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K78" i="1" l="1"/>
  <c r="K79" i="1"/>
  <c r="K80" i="1"/>
  <c r="K81" i="1"/>
  <c r="K82" i="1"/>
  <c r="K83" i="1"/>
  <c r="K84" i="1"/>
  <c r="K85" i="1"/>
  <c r="K86" i="1"/>
  <c r="K87" i="1"/>
  <c r="K88" i="1"/>
  <c r="K89" i="1"/>
  <c r="K90" i="1"/>
  <c r="K77" i="1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S16" i="3"/>
  <c r="M16" i="3"/>
  <c r="N16" i="3" s="1"/>
  <c r="L16" i="3"/>
  <c r="I16" i="3"/>
  <c r="H16" i="3"/>
  <c r="G16" i="3"/>
  <c r="F16" i="3"/>
  <c r="E16" i="3"/>
  <c r="D16" i="3"/>
  <c r="C16" i="3"/>
  <c r="M12" i="3"/>
  <c r="L12" i="3"/>
  <c r="H12" i="3"/>
  <c r="G12" i="3"/>
  <c r="I12" i="3" s="1"/>
  <c r="E12" i="3"/>
  <c r="F12" i="3" s="1"/>
  <c r="D12" i="3"/>
  <c r="C12" i="3"/>
  <c r="N12" i="3" l="1"/>
  <c r="K167" i="1"/>
  <c r="K166" i="1"/>
  <c r="F13" i="3" l="1"/>
  <c r="I9" i="3"/>
  <c r="I10" i="3"/>
  <c r="I11" i="3"/>
  <c r="I13" i="3"/>
  <c r="I8" i="3"/>
  <c r="Y8" i="3"/>
  <c r="T8" i="3"/>
  <c r="U8" i="3"/>
  <c r="V8" i="3"/>
  <c r="W8" i="3"/>
  <c r="X8" i="3"/>
  <c r="Z8" i="3"/>
  <c r="AA8" i="3"/>
  <c r="AB8" i="3"/>
  <c r="AC8" i="3"/>
  <c r="AD8" i="3"/>
  <c r="AE8" i="3"/>
  <c r="AF8" i="3"/>
  <c r="S8" i="3"/>
  <c r="N9" i="3"/>
  <c r="F9" i="3"/>
  <c r="F10" i="3"/>
  <c r="F11" i="3"/>
  <c r="F8" i="3"/>
  <c r="T9" i="3"/>
  <c r="U9" i="3"/>
  <c r="W9" i="3"/>
  <c r="X9" i="3"/>
  <c r="Z9" i="3"/>
  <c r="AA9" i="3"/>
  <c r="AB9" i="3"/>
  <c r="AC9" i="3"/>
  <c r="AE9" i="3"/>
  <c r="AF9" i="3"/>
  <c r="T10" i="3"/>
  <c r="K9" i="1" s="1"/>
  <c r="U10" i="3"/>
  <c r="W10" i="3"/>
  <c r="X10" i="3"/>
  <c r="Z10" i="3"/>
  <c r="AA10" i="3"/>
  <c r="AB10" i="3"/>
  <c r="AC10" i="3"/>
  <c r="AE10" i="3"/>
  <c r="AF10" i="3"/>
  <c r="T11" i="3"/>
  <c r="U11" i="3"/>
  <c r="W11" i="3"/>
  <c r="X11" i="3"/>
  <c r="Z11" i="3"/>
  <c r="AA11" i="3"/>
  <c r="AB11" i="3"/>
  <c r="AC11" i="3"/>
  <c r="AE11" i="3"/>
  <c r="AF11" i="3"/>
  <c r="T12" i="3"/>
  <c r="U12" i="3"/>
  <c r="W12" i="3"/>
  <c r="X12" i="3"/>
  <c r="Z12" i="3"/>
  <c r="AA12" i="3"/>
  <c r="AB12" i="3"/>
  <c r="AC12" i="3"/>
  <c r="AE12" i="3"/>
  <c r="AF12" i="3"/>
  <c r="T13" i="3"/>
  <c r="U13" i="3"/>
  <c r="W13" i="3"/>
  <c r="X13" i="3"/>
  <c r="Z13" i="3"/>
  <c r="AA13" i="3"/>
  <c r="AB13" i="3"/>
  <c r="AC13" i="3"/>
  <c r="AE13" i="3"/>
  <c r="AF13" i="3"/>
  <c r="S10" i="3"/>
  <c r="S11" i="3"/>
  <c r="K5" i="1" s="1"/>
  <c r="S12" i="3"/>
  <c r="S13" i="3"/>
  <c r="S9" i="3"/>
  <c r="P11" i="3"/>
  <c r="P10" i="3"/>
  <c r="P9" i="3"/>
  <c r="O11" i="3"/>
  <c r="O10" i="3"/>
  <c r="O9" i="3"/>
  <c r="N10" i="3"/>
  <c r="N11" i="3"/>
  <c r="M10" i="3"/>
  <c r="M9" i="3"/>
  <c r="M11" i="3"/>
  <c r="L11" i="3"/>
  <c r="L10" i="3"/>
  <c r="L9" i="3"/>
  <c r="K11" i="3"/>
  <c r="K10" i="3"/>
  <c r="K9" i="3"/>
  <c r="K14" i="3" s="1"/>
  <c r="K8" i="3"/>
  <c r="J13" i="3"/>
  <c r="J14" i="3"/>
  <c r="J11" i="3"/>
  <c r="J10" i="3"/>
  <c r="J9" i="3"/>
  <c r="J8" i="3"/>
  <c r="H14" i="3"/>
  <c r="L14" i="3"/>
  <c r="P14" i="3"/>
  <c r="H8" i="3"/>
  <c r="H9" i="3"/>
  <c r="H10" i="3"/>
  <c r="G14" i="3" s="1"/>
  <c r="H11" i="3"/>
  <c r="G8" i="3"/>
  <c r="G9" i="3"/>
  <c r="G10" i="3"/>
  <c r="G11" i="3"/>
  <c r="E10" i="3"/>
  <c r="E11" i="3"/>
  <c r="E9" i="3"/>
  <c r="E8" i="3"/>
  <c r="D14" i="3"/>
  <c r="E14" i="3"/>
  <c r="D11" i="3"/>
  <c r="D10" i="3"/>
  <c r="D9" i="3"/>
  <c r="D8" i="3"/>
  <c r="C9" i="3"/>
  <c r="C11" i="3"/>
  <c r="C8" i="3"/>
  <c r="C10" i="3"/>
  <c r="K97" i="3"/>
  <c r="J97" i="3"/>
  <c r="I97" i="3"/>
  <c r="H97" i="3"/>
  <c r="G97" i="3"/>
  <c r="F97" i="3"/>
  <c r="E97" i="3"/>
  <c r="D97" i="3"/>
  <c r="C97" i="3"/>
  <c r="L83" i="3"/>
  <c r="K83" i="3"/>
  <c r="J83" i="3"/>
  <c r="I83" i="3"/>
  <c r="H83" i="3"/>
  <c r="G83" i="3"/>
  <c r="F83" i="3"/>
  <c r="E83" i="3"/>
  <c r="D83" i="3"/>
  <c r="C83" i="3"/>
  <c r="M69" i="3"/>
  <c r="L69" i="3"/>
  <c r="K69" i="3"/>
  <c r="J69" i="3"/>
  <c r="I69" i="3"/>
  <c r="H69" i="3"/>
  <c r="G69" i="3"/>
  <c r="F69" i="3"/>
  <c r="E69" i="3"/>
  <c r="D69" i="3"/>
  <c r="C69" i="3"/>
  <c r="M56" i="3"/>
  <c r="N56" i="3"/>
  <c r="O56" i="3"/>
  <c r="L56" i="3"/>
  <c r="K56" i="3"/>
  <c r="J56" i="3"/>
  <c r="I56" i="3"/>
  <c r="H56" i="3"/>
  <c r="G56" i="3"/>
  <c r="F56" i="3"/>
  <c r="E56" i="3"/>
  <c r="D56" i="3"/>
  <c r="C56" i="3"/>
  <c r="L43" i="3"/>
  <c r="H43" i="3"/>
  <c r="K43" i="3"/>
  <c r="J43" i="3"/>
  <c r="I43" i="3"/>
  <c r="G43" i="3"/>
  <c r="F43" i="3"/>
  <c r="E43" i="3"/>
  <c r="D43" i="3"/>
  <c r="C43" i="3"/>
  <c r="D30" i="3"/>
  <c r="E30" i="3"/>
  <c r="F30" i="3"/>
  <c r="G30" i="3"/>
  <c r="I30" i="3"/>
  <c r="J30" i="3"/>
  <c r="K30" i="3"/>
  <c r="C30" i="3"/>
  <c r="V11" i="3" l="1"/>
  <c r="S14" i="3"/>
  <c r="V12" i="3"/>
  <c r="AB14" i="3"/>
  <c r="W14" i="3"/>
  <c r="Y10" i="3"/>
  <c r="AC14" i="3"/>
  <c r="X14" i="3"/>
  <c r="AF14" i="3"/>
  <c r="AA14" i="3"/>
  <c r="U14" i="3"/>
  <c r="AE14" i="3"/>
  <c r="T14" i="3"/>
  <c r="V10" i="3"/>
  <c r="Z14" i="3"/>
  <c r="I14" i="3"/>
  <c r="V13" i="3"/>
  <c r="K22" i="1" s="1"/>
  <c r="V9" i="3"/>
  <c r="N14" i="3"/>
  <c r="K66" i="1"/>
  <c r="Y12" i="3"/>
  <c r="K34" i="1"/>
  <c r="Y11" i="3"/>
  <c r="K35" i="1" s="1"/>
  <c r="Y9" i="3"/>
  <c r="K33" i="1" s="1"/>
  <c r="Y13" i="3"/>
  <c r="K37" i="1" s="1"/>
  <c r="AD12" i="3"/>
  <c r="AD10" i="3"/>
  <c r="K25" i="1"/>
  <c r="AD13" i="3"/>
  <c r="AD11" i="3"/>
  <c r="K60" i="1" s="1"/>
  <c r="AD9" i="3"/>
  <c r="K58" i="1" s="1"/>
  <c r="K70" i="1"/>
  <c r="K62" i="1"/>
  <c r="K54" i="1"/>
  <c r="K50" i="1"/>
  <c r="K46" i="1"/>
  <c r="K42" i="1"/>
  <c r="K38" i="1"/>
  <c r="K29" i="1"/>
  <c r="K21" i="1"/>
  <c r="K17" i="1"/>
  <c r="K13" i="1"/>
  <c r="K4" i="1"/>
  <c r="K69" i="1"/>
  <c r="K65" i="1"/>
  <c r="K61" i="1"/>
  <c r="K57" i="1"/>
  <c r="K53" i="1"/>
  <c r="K49" i="1"/>
  <c r="K45" i="1"/>
  <c r="K41" i="1"/>
  <c r="K32" i="1"/>
  <c r="K28" i="1"/>
  <c r="K24" i="1"/>
  <c r="K20" i="1"/>
  <c r="K16" i="1"/>
  <c r="K12" i="1"/>
  <c r="K8" i="1"/>
  <c r="K3" i="1"/>
  <c r="K72" i="1"/>
  <c r="K68" i="1"/>
  <c r="K64" i="1"/>
  <c r="K56" i="1"/>
  <c r="K52" i="1"/>
  <c r="K48" i="1"/>
  <c r="K44" i="1"/>
  <c r="K40" i="1"/>
  <c r="K31" i="1"/>
  <c r="K27" i="1"/>
  <c r="K23" i="1"/>
  <c r="K19" i="1"/>
  <c r="K15" i="1"/>
  <c r="K11" i="1"/>
  <c r="K7" i="1"/>
  <c r="K36" i="1"/>
  <c r="K6" i="1"/>
  <c r="K71" i="1"/>
  <c r="K67" i="1"/>
  <c r="K63" i="1"/>
  <c r="K59" i="1"/>
  <c r="K55" i="1"/>
  <c r="K51" i="1"/>
  <c r="K47" i="1"/>
  <c r="K43" i="1"/>
  <c r="K39" i="1"/>
  <c r="K30" i="1"/>
  <c r="K26" i="1"/>
  <c r="K18" i="1"/>
  <c r="K14" i="1"/>
  <c r="K10" i="1"/>
  <c r="F14" i="3"/>
  <c r="O14" i="3"/>
  <c r="M14" i="3"/>
  <c r="C14" i="3"/>
  <c r="V14" i="3" l="1"/>
  <c r="Y14" i="3"/>
  <c r="AD14" i="3"/>
  <c r="K114" i="1" l="1"/>
  <c r="K110" i="1"/>
  <c r="K108" i="1"/>
  <c r="K106" i="1"/>
  <c r="K101" i="1"/>
  <c r="K104" i="1" s="1"/>
  <c r="K100" i="1"/>
  <c r="K99" i="1"/>
  <c r="K98" i="1"/>
  <c r="K115" i="1"/>
  <c r="K102" i="1" l="1"/>
  <c r="K103" i="1"/>
  <c r="K112" i="1"/>
  <c r="K235" i="1"/>
  <c r="K234" i="1"/>
  <c r="K233" i="1"/>
  <c r="K164" i="1"/>
  <c r="K163" i="1"/>
  <c r="K173" i="1"/>
  <c r="K172" i="1"/>
  <c r="K176" i="1"/>
  <c r="K175" i="1"/>
  <c r="K179" i="1"/>
  <c r="K178" i="1"/>
  <c r="K187" i="1" l="1"/>
</calcChain>
</file>

<file path=xl/sharedStrings.xml><?xml version="1.0" encoding="utf-8"?>
<sst xmlns="http://schemas.openxmlformats.org/spreadsheetml/2006/main" count="1830" uniqueCount="204">
  <si>
    <t>value</t>
  </si>
  <si>
    <t>cattle</t>
  </si>
  <si>
    <t>dairy</t>
  </si>
  <si>
    <t>cows</t>
  </si>
  <si>
    <t>NIR 2022 Table 5.15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</si>
  <si>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</si>
  <si>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</si>
  <si>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</si>
  <si>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</si>
  <si>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</si>
  <si>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</si>
  <si>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</si>
  <si>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</si>
  <si>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</si>
  <si>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Assume same as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</si>
  <si>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</si>
  <si>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</si>
  <si>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</si>
  <si>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</si>
  <si>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</si>
  <si>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</si>
  <si>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</si>
  <si>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</si>
  <si>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</si>
  <si>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</si>
  <si>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</si>
  <si>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</si>
  <si>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</si>
  <si>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</si>
  <si>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</si>
  <si>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</si>
  <si>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</si>
  <si>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</si>
  <si>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</si>
  <si>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</si>
  <si>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</si>
  <si>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</si>
  <si>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</si>
  <si>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</si>
  <si>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</si>
  <si>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</si>
  <si>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</si>
  <si>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</si>
  <si>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</si>
  <si>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</si>
  <si>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</si>
  <si>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</si>
  <si>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</si>
  <si>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</si>
  <si>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</si>
  <si>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</si>
  <si>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</si>
  <si>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</si>
  <si>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</si>
  <si>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</si>
  <si>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</si>
  <si>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</si>
  <si>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</si>
  <si>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</si>
  <si>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</si>
  <si>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</si>
  <si>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</si>
  <si>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</si>
  <si>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</si>
  <si>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</si>
  <si>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</si>
  <si>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</si>
  <si>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</si>
  <si>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</si>
  <si>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</si>
  <si>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</si>
  <si>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</si>
  <si>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</si>
  <si>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</si>
  <si>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</si>
  <si>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</si>
  <si>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</si>
  <si>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</si>
  <si>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</si>
  <si>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</si>
  <si>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</si>
  <si>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</si>
  <si>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</si>
  <si>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</si>
  <si>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</si>
  <si>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</si>
  <si>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</si>
  <si>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</si>
  <si>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</si>
  <si>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</si>
  <si>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</si>
  <si>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</si>
  <si>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</si>
  <si>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</si>
  <si>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</si>
  <si>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</si>
  <si>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</si>
  <si>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</si>
  <si>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</si>
  <si>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</si>
  <si>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</si>
  <si>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</si>
  <si>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</si>
  <si>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</si>
  <si>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</si>
  <si>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</si>
  <si>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</si>
  <si>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</si>
  <si>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</si>
  <si>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</si>
  <si>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</si>
  <si>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</si>
  <si>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</si>
  <si>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</si>
  <si>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</si>
  <si>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</si>
  <si>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</si>
  <si>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</si>
  <si>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</si>
  <si>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</si>
  <si>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</si>
  <si>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</si>
  <si>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</si>
  <si>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</si>
  <si>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</si>
  <si>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</si>
  <si>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</si>
  <si>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</si>
  <si>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</si>
  <si>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</si>
  <si>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</si>
  <si>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</si>
  <si>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</si>
  <si>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</si>
  <si>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</si>
  <si>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</si>
  <si>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</si>
  <si>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</si>
  <si>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</si>
  <si>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</si>
  <si>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</si>
  <si>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</si>
  <si>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</si>
  <si>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</si>
  <si>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</si>
  <si>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</si>
  <si>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</si>
  <si>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</si>
  <si>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</si>
  <si>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</si>
  <si>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</si>
  <si>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</si>
  <si>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</si>
  <si>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</si>
  <si>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</si>
  <si>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</si>
  <si>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</si>
  <si>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</si>
  <si>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</si>
  <si>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</si>
  <si>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</si>
  <si>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</si>
  <si>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</si>
  <si>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</si>
  <si>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</si>
  <si>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</si>
  <si>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</si>
  <si>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</si>
  <si>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</si>
  <si>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</si>
  <si>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</si>
  <si>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</si>
  <si>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</si>
  <si>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</si>
  <si>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animal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</si>
  <si>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</si>
  <si>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</si>
  <si>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</si>
  <si>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</si>
  <si>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</si>
  <si>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</si>
  <si>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</si>
  <si>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</si>
  <si>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</si>
  <si>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laying chicks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</si>
  <si>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</si>
  <si>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</si>
  <si>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</si>
  <si>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</si>
  <si>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</si>
  <si>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</si>
  <si>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Swedish IIR 2023, Table 5-10</t>
  </si>
  <si>
    <t>Included in grown animals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</si>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</sst>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9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34" borderId="0" xfId="0" applyFill="1"/>
    <xf numFmtId="0" fontId="14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6" borderId="10" xfId="0" applyFont="1" applyFill="1" applyBorder="1" applyAlignment="1">
      <alignment horizontal="left" vertical="center" wrapText="1"/>
    </xf>
    <xf numFmtId="0" fontId="25" fillId="36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6" borderId="11" xfId="0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6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6" borderId="10" xfId="0" applyFont="1" applyFill="1" applyBorder="1" applyAlignment="1">
      <alignment horizontal="left" textRotation="90" wrapText="1"/>
    </xf>
    <xf numFmtId="0" fontId="24" fillId="36" borderId="10" xfId="0" applyFont="1" applyFill="1" applyBorder="1" applyAlignment="1">
      <alignment horizontal="left" textRotation="90" wrapText="1"/>
    </xf>
    <xf numFmtId="0" fontId="23" fillId="36" borderId="10" xfId="0" applyFont="1" applyFill="1" applyBorder="1" applyAlignment="1">
      <alignment horizontal="left" textRotation="90" wrapText="1"/>
    </xf>
    <xf numFmtId="0" fontId="25" fillId="36" borderId="11" xfId="0" applyFont="1" applyFill="1" applyBorder="1" applyAlignment="1">
      <alignment horizontal="left" vertical="center" wrapText="1"/>
    </xf>
    <xf numFmtId="0" fontId="25" fillId="36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6" borderId="11" xfId="0" applyFont="1" applyFill="1" applyBorder="1" applyAlignment="1">
      <alignment horizontal="center" vertical="center" wrapText="1"/>
    </xf>
    <xf numFmtId="1" fontId="23" fillId="37" borderId="10" xfId="0" applyNumberFormat="1" applyFont="1" applyFill="1" applyBorder="1" applyAlignment="1">
      <alignment horizontal="center" vertical="top" shrinkToFit="1"/>
    </xf>
    <xf numFmtId="164" fontId="23" fillId="37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1" fontId="21" fillId="0" borderId="0" xfId="0" applyNumberFormat="1" applyFont="1"/>
    <xf numFmtId="0" fontId="16" fillId="38" borderId="0" xfId="0" applyFont="1" applyFill="1"/>
    <xf numFmtId="0" fontId="0" fillId="38" borderId="0" xfId="0" applyFill="1"/>
    <xf numFmtId="0" fontId="0" fillId="38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0" fontId="22" fillId="36" borderId="12" xfId="0" applyFont="1" applyFill="1" applyBorder="1" applyAlignment="1">
      <alignment horizontal="left" wrapText="1"/>
    </xf>
    <xf numFmtId="0" fontId="22" fillId="36" borderId="11" xfId="0" applyFont="1" applyFill="1" applyBorder="1" applyAlignment="1">
      <alignment horizontal="left" wrapText="1"/>
    </xf>
    <xf numFmtId="0" fontId="24" fillId="36" borderId="13" xfId="0" applyFont="1" applyFill="1" applyBorder="1" applyAlignment="1">
      <alignment horizontal="left" vertical="top" wrapText="1" indent="10"/>
    </xf>
    <xf numFmtId="0" fontId="24" fillId="36" borderId="15" xfId="0" applyFont="1" applyFill="1" applyBorder="1" applyAlignment="1">
      <alignment horizontal="left" vertical="top" wrapText="1" indent="10"/>
    </xf>
    <xf numFmtId="0" fontId="24" fillId="36" borderId="14" xfId="0" applyFont="1" applyFill="1" applyBorder="1" applyAlignment="1">
      <alignment horizontal="left" vertical="top" wrapText="1" indent="10"/>
    </xf>
    <xf numFmtId="0" fontId="24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wrapText="1"/>
    </xf>
    <xf numFmtId="0" fontId="25" fillId="36" borderId="12" xfId="0" applyFont="1" applyFill="1" applyBorder="1" applyAlignment="1">
      <alignment horizontal="left" wrapText="1"/>
    </xf>
    <xf numFmtId="0" fontId="25" fillId="36" borderId="11" xfId="0" applyFont="1" applyFill="1" applyBorder="1" applyAlignment="1">
      <alignment horizontal="left" wrapText="1"/>
    </xf>
    <xf numFmtId="0" fontId="25" fillId="36" borderId="13" xfId="0" applyFont="1" applyFill="1" applyBorder="1" applyAlignment="1">
      <alignment horizontal="left" vertical="top" wrapText="1" indent="9"/>
    </xf>
    <xf numFmtId="0" fontId="25" fillId="36" borderId="15" xfId="0" applyFont="1" applyFill="1" applyBorder="1" applyAlignment="1">
      <alignment horizontal="left" vertical="top" wrapText="1" indent="9"/>
    </xf>
    <xf numFmtId="0" fontId="25" fillId="36" borderId="14" xfId="0" applyFont="1" applyFill="1" applyBorder="1" applyAlignment="1">
      <alignment horizontal="left" vertical="top" wrapText="1" indent="9"/>
    </xf>
    <xf numFmtId="1" fontId="0" fillId="0" borderId="0" xfId="0" applyNumberFormat="1" applyFont="1"/>
    <xf numFmtId="0" fontId="27" fillId="38" borderId="0" xfId="0" applyFont="1" applyFill="1"/>
    <xf numFmtId="0" fontId="28" fillId="0" borderId="0" xfId="0" quotePrefix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80</v>
      </c>
    </row>
    <row r="2" spans="1:1" x14ac:dyDescent="0.25">
      <c r="A2" t="s">
        <v>133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8"/>
  <sheetViews>
    <sheetView tabSelected="1" zoomScale="80" zoomScaleNormal="80" workbookViewId="0">
      <pane ySplit="1" topLeftCell="A44" activePane="bottomLeft" state="frozen"/>
      <selection pane="bottomLeft" activeCell="J84" sqref="J84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28</v>
      </c>
      <c r="B1" s="4" t="s">
        <v>48</v>
      </c>
      <c r="C1" s="4" t="s">
        <v>29</v>
      </c>
      <c r="D1" s="4" t="s">
        <v>30</v>
      </c>
      <c r="E1" s="4" t="s">
        <v>118</v>
      </c>
      <c r="F1" s="4" t="s">
        <v>31</v>
      </c>
      <c r="G1" s="4" t="s">
        <v>49</v>
      </c>
      <c r="H1" s="4" t="s">
        <v>32</v>
      </c>
      <c r="I1" s="4" t="s">
        <v>128</v>
      </c>
      <c r="J1" s="4" t="s">
        <v>33</v>
      </c>
      <c r="K1" s="4" t="s">
        <v>0</v>
      </c>
      <c r="L1" s="4" t="s">
        <v>34</v>
      </c>
      <c r="M1" s="4" t="s">
        <v>35</v>
      </c>
      <c r="N1" s="4" t="s">
        <v>36</v>
      </c>
    </row>
    <row r="2" spans="1:14" x14ac:dyDescent="0.25">
      <c r="A2" s="2" t="s">
        <v>124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18</v>
      </c>
      <c r="J3" t="s">
        <v>16</v>
      </c>
      <c r="K3" s="44">
        <f>INDEX(MMS!$S$9:$AF$13,MATCH(F3,MMS!$R$9:$R$13,0),MATCH(A3&amp;C3&amp;D3,MMS!$S$8:$AF$8,0))</f>
        <v>83.800623052959494</v>
      </c>
      <c r="L3" t="s">
        <v>17</v>
      </c>
      <c r="N3" t="s">
        <v>66</v>
      </c>
    </row>
    <row r="4" spans="1:14" x14ac:dyDescent="0.25">
      <c r="A4" t="s">
        <v>1</v>
      </c>
      <c r="C4" t="s">
        <v>2</v>
      </c>
      <c r="D4" t="s">
        <v>3</v>
      </c>
      <c r="F4" t="s">
        <v>19</v>
      </c>
      <c r="J4" t="s">
        <v>16</v>
      </c>
      <c r="K4" s="44">
        <f>INDEX(MMS!$S$9:$AF$13,MATCH(F4,MMS!$R$9:$R$13,0),MATCH(A4&amp;C4&amp;D4,MMS!$S$8:$AF$8,0))</f>
        <v>9.3457943925233611</v>
      </c>
      <c r="L4" t="s">
        <v>17</v>
      </c>
      <c r="N4" t="s">
        <v>67</v>
      </c>
    </row>
    <row r="5" spans="1:14" x14ac:dyDescent="0.25">
      <c r="A5" t="s">
        <v>1</v>
      </c>
      <c r="C5" t="s">
        <v>2</v>
      </c>
      <c r="D5" t="s">
        <v>3</v>
      </c>
      <c r="F5" t="s">
        <v>20</v>
      </c>
      <c r="J5" t="s">
        <v>16</v>
      </c>
      <c r="K5" s="44">
        <f>INDEX(MMS!$S$9:$AF$13,MATCH(F5,MMS!$R$9:$R$13,0),MATCH(A5&amp;C5&amp;D5,MMS!$S$8:$AF$8,0))</f>
        <v>1.2906097018246547</v>
      </c>
      <c r="L5" t="s">
        <v>17</v>
      </c>
      <c r="N5" t="s">
        <v>68</v>
      </c>
    </row>
    <row r="6" spans="1:14" x14ac:dyDescent="0.25">
      <c r="A6" t="s">
        <v>1</v>
      </c>
      <c r="C6" t="s">
        <v>2</v>
      </c>
      <c r="D6" t="s">
        <v>3</v>
      </c>
      <c r="F6" t="s">
        <v>183</v>
      </c>
      <c r="J6" t="s">
        <v>16</v>
      </c>
      <c r="K6" s="44">
        <f>INDEX(MMS!$S$9:$AF$13,MATCH(F6,MMS!$R$9:$R$13,0),MATCH(A6&amp;C6&amp;D6,MMS!$S$8:$AF$8,0))</f>
        <v>5.562972852692476</v>
      </c>
      <c r="L6" t="s">
        <v>17</v>
      </c>
      <c r="N6" t="s">
        <v>178</v>
      </c>
    </row>
    <row r="7" spans="1:14" x14ac:dyDescent="0.25">
      <c r="A7" t="s">
        <v>1</v>
      </c>
      <c r="C7" t="s">
        <v>2</v>
      </c>
      <c r="D7" t="s">
        <v>3</v>
      </c>
      <c r="F7" t="s">
        <v>175</v>
      </c>
      <c r="J7" t="s">
        <v>16</v>
      </c>
      <c r="K7" s="44">
        <f>INDEX(MMS!$S$9:$AF$13,MATCH(F7,MMS!$R$9:$R$13,0),MATCH(A7&amp;C7&amp;D7,MMS!$S$8:$AF$8,0))</f>
        <v>0</v>
      </c>
      <c r="L7" t="s">
        <v>17</v>
      </c>
      <c r="N7" t="s">
        <v>179</v>
      </c>
    </row>
    <row r="8" spans="1:14" x14ac:dyDescent="0.25">
      <c r="A8" t="s">
        <v>1</v>
      </c>
      <c r="C8" t="s">
        <v>7</v>
      </c>
      <c r="D8" t="s">
        <v>3</v>
      </c>
      <c r="F8" t="s">
        <v>18</v>
      </c>
      <c r="J8" t="s">
        <v>16</v>
      </c>
      <c r="K8" s="44">
        <f>INDEX(MMS!$S$9:$AF$13,MATCH(F8,MMS!$R$9:$R$13,0),MATCH(A8&amp;C8&amp;D8,MMS!$S$8:$AF$8,0))</f>
        <v>22.222222222222225</v>
      </c>
      <c r="L8" t="s">
        <v>17</v>
      </c>
      <c r="N8" t="s">
        <v>66</v>
      </c>
    </row>
    <row r="9" spans="1:14" x14ac:dyDescent="0.25">
      <c r="A9" t="s">
        <v>1</v>
      </c>
      <c r="C9" t="s">
        <v>7</v>
      </c>
      <c r="D9" t="s">
        <v>3</v>
      </c>
      <c r="F9" t="s">
        <v>19</v>
      </c>
      <c r="J9" t="s">
        <v>16</v>
      </c>
      <c r="K9" s="44">
        <f>INDEX(MMS!$S$9:$AF$13,MATCH(F9,MMS!$R$9:$R$13,0),MATCH(A9&amp;C9&amp;D9,MMS!$S$8:$AF$8,0))</f>
        <v>30.405405405405407</v>
      </c>
      <c r="L9" t="s">
        <v>17</v>
      </c>
      <c r="N9" t="s">
        <v>67</v>
      </c>
    </row>
    <row r="10" spans="1:14" x14ac:dyDescent="0.25">
      <c r="A10" t="s">
        <v>1</v>
      </c>
      <c r="C10" t="s">
        <v>7</v>
      </c>
      <c r="D10" t="s">
        <v>3</v>
      </c>
      <c r="F10" t="s">
        <v>20</v>
      </c>
      <c r="J10" t="s">
        <v>16</v>
      </c>
      <c r="K10" s="44">
        <f>INDEX(MMS!$S$9:$AF$13,MATCH(F10,MMS!$R$9:$R$13,0),MATCH(A10&amp;C10&amp;D10,MMS!$S$8:$AF$8,0))</f>
        <v>44.819819819819827</v>
      </c>
      <c r="L10" t="s">
        <v>17</v>
      </c>
      <c r="N10" t="s">
        <v>68</v>
      </c>
    </row>
    <row r="11" spans="1:14" x14ac:dyDescent="0.25">
      <c r="A11" t="s">
        <v>1</v>
      </c>
      <c r="C11" t="s">
        <v>7</v>
      </c>
      <c r="D11" t="s">
        <v>3</v>
      </c>
      <c r="F11" t="s">
        <v>183</v>
      </c>
      <c r="J11" t="s">
        <v>16</v>
      </c>
      <c r="K11" s="44">
        <f>INDEX(MMS!$S$9:$AF$13,MATCH(F11,MMS!$R$9:$R$13,0),MATCH(A11&amp;C11&amp;D11,MMS!$S$8:$AF$8,0))</f>
        <v>2.5525525525525525</v>
      </c>
      <c r="L11" t="s">
        <v>17</v>
      </c>
      <c r="N11" t="s">
        <v>178</v>
      </c>
    </row>
    <row r="12" spans="1:14" x14ac:dyDescent="0.25">
      <c r="A12" t="s">
        <v>1</v>
      </c>
      <c r="C12" t="s">
        <v>7</v>
      </c>
      <c r="D12" t="s">
        <v>3</v>
      </c>
      <c r="F12" t="s">
        <v>175</v>
      </c>
      <c r="J12" t="s">
        <v>16</v>
      </c>
      <c r="K12" s="44">
        <f>INDEX(MMS!$S$9:$AF$13,MATCH(F12,MMS!$R$9:$R$13,0),MATCH(A12&amp;C12&amp;D12,MMS!$S$8:$AF$8,0))</f>
        <v>0</v>
      </c>
      <c r="L12" t="s">
        <v>17</v>
      </c>
      <c r="N12" t="s">
        <v>179</v>
      </c>
    </row>
    <row r="13" spans="1:14" x14ac:dyDescent="0.25">
      <c r="A13" t="s">
        <v>1</v>
      </c>
      <c r="D13" t="s">
        <v>9</v>
      </c>
      <c r="F13" t="s">
        <v>18</v>
      </c>
      <c r="J13" t="s">
        <v>16</v>
      </c>
      <c r="K13" s="44">
        <f>INDEX(MMS!$S$9:$AF$13,MATCH(F13,MMS!$R$9:$R$13,0),MATCH(A13&amp;C13&amp;D13,MMS!$S$8:$AF$8,0))</f>
        <v>50.379048931771194</v>
      </c>
      <c r="L13" t="s">
        <v>17</v>
      </c>
      <c r="N13" t="s">
        <v>66</v>
      </c>
    </row>
    <row r="14" spans="1:14" x14ac:dyDescent="0.25">
      <c r="A14" t="s">
        <v>1</v>
      </c>
      <c r="D14" t="s">
        <v>9</v>
      </c>
      <c r="F14" t="s">
        <v>19</v>
      </c>
      <c r="J14" t="s">
        <v>16</v>
      </c>
      <c r="K14" s="44">
        <f>INDEX(MMS!$S$9:$AF$13,MATCH(F14,MMS!$R$9:$R$13,0),MATCH(A14&amp;C14&amp;D14,MMS!$S$8:$AF$8,0))</f>
        <v>19.090282563749142</v>
      </c>
      <c r="L14" t="s">
        <v>17</v>
      </c>
      <c r="N14" t="s">
        <v>67</v>
      </c>
    </row>
    <row r="15" spans="1:14" x14ac:dyDescent="0.25">
      <c r="A15" t="s">
        <v>1</v>
      </c>
      <c r="D15" t="s">
        <v>9</v>
      </c>
      <c r="F15" t="s">
        <v>20</v>
      </c>
      <c r="J15" t="s">
        <v>16</v>
      </c>
      <c r="K15" s="44">
        <f>INDEX(MMS!$S$9:$AF$13,MATCH(F15,MMS!$R$9:$R$13,0),MATCH(A15&amp;C15&amp;D15,MMS!$S$8:$AF$8,0))</f>
        <v>26.533425223983464</v>
      </c>
      <c r="L15" t="s">
        <v>17</v>
      </c>
      <c r="N15" t="s">
        <v>68</v>
      </c>
    </row>
    <row r="16" spans="1:14" x14ac:dyDescent="0.25">
      <c r="A16" t="s">
        <v>1</v>
      </c>
      <c r="D16" t="s">
        <v>9</v>
      </c>
      <c r="F16" t="s">
        <v>183</v>
      </c>
      <c r="J16" t="s">
        <v>16</v>
      </c>
      <c r="K16" s="44">
        <f>INDEX(MMS!$S$9:$AF$13,MATCH(F16,MMS!$R$9:$R$13,0),MATCH(A16&amp;C16&amp;D16,MMS!$S$8:$AF$8,0))</f>
        <v>3.9972432804962108</v>
      </c>
      <c r="L16" t="s">
        <v>17</v>
      </c>
      <c r="N16" t="s">
        <v>178</v>
      </c>
    </row>
    <row r="17" spans="1:14" x14ac:dyDescent="0.25">
      <c r="A17" t="s">
        <v>1</v>
      </c>
      <c r="D17" t="s">
        <v>9</v>
      </c>
      <c r="F17" t="s">
        <v>175</v>
      </c>
      <c r="J17" t="s">
        <v>16</v>
      </c>
      <c r="K17" s="44">
        <f>INDEX(MMS!$S$9:$AF$13,MATCH(F17,MMS!$R$9:$R$13,0),MATCH(A17&amp;C17&amp;D17,MMS!$S$8:$AF$8,0))</f>
        <v>0</v>
      </c>
      <c r="L17" t="s">
        <v>17</v>
      </c>
      <c r="N17" t="s">
        <v>179</v>
      </c>
    </row>
    <row r="18" spans="1:14" x14ac:dyDescent="0.25">
      <c r="A18" t="s">
        <v>1</v>
      </c>
      <c r="D18" t="s">
        <v>11</v>
      </c>
      <c r="F18" t="s">
        <v>18</v>
      </c>
      <c r="J18" t="s">
        <v>16</v>
      </c>
      <c r="K18" s="44">
        <f>INDEX(MMS!$S$9:$AF$13,MATCH(F18,MMS!$R$9:$R$13,0),MATCH(A18&amp;C18&amp;D18,MMS!$S$8:$AF$8,0))</f>
        <v>50.379048931771194</v>
      </c>
      <c r="L18" t="s">
        <v>17</v>
      </c>
      <c r="N18" t="s">
        <v>66</v>
      </c>
    </row>
    <row r="19" spans="1:14" x14ac:dyDescent="0.25">
      <c r="A19" t="s">
        <v>1</v>
      </c>
      <c r="D19" t="s">
        <v>11</v>
      </c>
      <c r="F19" t="s">
        <v>19</v>
      </c>
      <c r="J19" t="s">
        <v>16</v>
      </c>
      <c r="K19" s="44">
        <f>INDEX(MMS!$S$9:$AF$13,MATCH(F19,MMS!$R$9:$R$13,0),MATCH(A19&amp;C19&amp;D19,MMS!$S$8:$AF$8,0))</f>
        <v>19.090282563749142</v>
      </c>
      <c r="L19" t="s">
        <v>17</v>
      </c>
      <c r="N19" t="s">
        <v>67</v>
      </c>
    </row>
    <row r="20" spans="1:14" x14ac:dyDescent="0.25">
      <c r="A20" t="s">
        <v>1</v>
      </c>
      <c r="D20" t="s">
        <v>11</v>
      </c>
      <c r="F20" t="s">
        <v>20</v>
      </c>
      <c r="J20" t="s">
        <v>16</v>
      </c>
      <c r="K20" s="44">
        <f>INDEX(MMS!$S$9:$AF$13,MATCH(F20,MMS!$R$9:$R$13,0),MATCH(A20&amp;C20&amp;D20,MMS!$S$8:$AF$8,0))</f>
        <v>26.533425223983464</v>
      </c>
      <c r="L20" t="s">
        <v>17</v>
      </c>
      <c r="N20" t="s">
        <v>68</v>
      </c>
    </row>
    <row r="21" spans="1:14" x14ac:dyDescent="0.25">
      <c r="A21" t="s">
        <v>1</v>
      </c>
      <c r="D21" t="s">
        <v>11</v>
      </c>
      <c r="F21" t="s">
        <v>183</v>
      </c>
      <c r="J21" t="s">
        <v>16</v>
      </c>
      <c r="K21" s="44">
        <f>INDEX(MMS!$S$9:$AF$13,MATCH(F21,MMS!$R$9:$R$13,0),MATCH(A21&amp;C21&amp;D21,MMS!$S$8:$AF$8,0))</f>
        <v>3.9972432804962108</v>
      </c>
      <c r="L21" t="s">
        <v>17</v>
      </c>
      <c r="N21" t="s">
        <v>178</v>
      </c>
    </row>
    <row r="22" spans="1:14" x14ac:dyDescent="0.25">
      <c r="A22" t="s">
        <v>1</v>
      </c>
      <c r="D22" t="s">
        <v>11</v>
      </c>
      <c r="F22" t="s">
        <v>175</v>
      </c>
      <c r="J22" t="s">
        <v>16</v>
      </c>
      <c r="K22" s="44">
        <f>INDEX(MMS!$S$9:$AF$13,MATCH(F22,MMS!$R$9:$R$13,0),MATCH(A22&amp;C22&amp;D22,MMS!$S$8:$AF$8,0))</f>
        <v>0</v>
      </c>
      <c r="L22" t="s">
        <v>17</v>
      </c>
      <c r="N22" t="s">
        <v>179</v>
      </c>
    </row>
    <row r="23" spans="1:14" x14ac:dyDescent="0.25">
      <c r="A23" t="s">
        <v>1</v>
      </c>
      <c r="D23" t="s">
        <v>12</v>
      </c>
      <c r="F23" t="s">
        <v>18</v>
      </c>
      <c r="J23" t="s">
        <v>16</v>
      </c>
      <c r="K23" s="44">
        <f>INDEX(MMS!$S$9:$AF$13,MATCH(F23,MMS!$R$9:$R$13,0),MATCH(A23&amp;C23&amp;D23,MMS!$S$8:$AF$8,0))</f>
        <v>44.83940042826552</v>
      </c>
      <c r="L23" t="s">
        <v>17</v>
      </c>
      <c r="N23" t="s">
        <v>66</v>
      </c>
    </row>
    <row r="24" spans="1:14" x14ac:dyDescent="0.25">
      <c r="A24" t="s">
        <v>1</v>
      </c>
      <c r="D24" t="s">
        <v>12</v>
      </c>
      <c r="F24" t="s">
        <v>19</v>
      </c>
      <c r="J24" t="s">
        <v>16</v>
      </c>
      <c r="K24" s="44">
        <f>INDEX(MMS!$S$9:$AF$13,MATCH(F24,MMS!$R$9:$R$13,0),MATCH(A24&amp;C24&amp;D24,MMS!$S$8:$AF$8,0))</f>
        <v>19.914346895074946</v>
      </c>
      <c r="L24" t="s">
        <v>17</v>
      </c>
      <c r="N24" t="s">
        <v>67</v>
      </c>
    </row>
    <row r="25" spans="1:14" x14ac:dyDescent="0.25">
      <c r="A25" t="s">
        <v>1</v>
      </c>
      <c r="D25" t="s">
        <v>12</v>
      </c>
      <c r="F25" t="s">
        <v>20</v>
      </c>
      <c r="J25" t="s">
        <v>16</v>
      </c>
      <c r="K25" s="44">
        <f>INDEX(MMS!$S$9:$AF$13,MATCH(F25,MMS!$R$9:$R$13,0),MATCH(A25&amp;C25&amp;D25,MMS!$S$8:$AF$8,0))</f>
        <v>31.520342612419693</v>
      </c>
      <c r="L25" t="s">
        <v>17</v>
      </c>
      <c r="N25" t="s">
        <v>68</v>
      </c>
    </row>
    <row r="26" spans="1:14" x14ac:dyDescent="0.25">
      <c r="A26" t="s">
        <v>1</v>
      </c>
      <c r="D26" t="s">
        <v>12</v>
      </c>
      <c r="F26" t="s">
        <v>183</v>
      </c>
      <c r="J26" t="s">
        <v>16</v>
      </c>
      <c r="K26" s="44">
        <f>INDEX(MMS!$S$9:$AF$13,MATCH(F26,MMS!$R$9:$R$13,0),MATCH(A26&amp;C26&amp;D26,MMS!$S$8:$AF$8,0))</f>
        <v>3.7259100642398284</v>
      </c>
      <c r="L26" t="s">
        <v>17</v>
      </c>
      <c r="N26" t="s">
        <v>178</v>
      </c>
    </row>
    <row r="27" spans="1:14" x14ac:dyDescent="0.25">
      <c r="A27" t="s">
        <v>1</v>
      </c>
      <c r="D27" t="s">
        <v>12</v>
      </c>
      <c r="F27" t="s">
        <v>175</v>
      </c>
      <c r="J27" t="s">
        <v>16</v>
      </c>
      <c r="K27" s="44">
        <f>INDEX(MMS!$S$9:$AF$13,MATCH(F27,MMS!$R$9:$R$13,0),MATCH(A27&amp;C27&amp;D27,MMS!$S$8:$AF$8,0))</f>
        <v>0</v>
      </c>
      <c r="L27" t="s">
        <v>17</v>
      </c>
      <c r="N27" t="s">
        <v>179</v>
      </c>
    </row>
    <row r="28" spans="1:14" x14ac:dyDescent="0.25">
      <c r="A28" t="s">
        <v>1</v>
      </c>
      <c r="D28" t="s">
        <v>10</v>
      </c>
      <c r="F28" t="s">
        <v>18</v>
      </c>
      <c r="J28" t="s">
        <v>16</v>
      </c>
      <c r="K28" s="44">
        <f>INDEX(MMS!$S$9:$AF$13,MATCH(F28,MMS!$R$9:$R$13,0),MATCH(A28&amp;C28&amp;D28,MMS!$S$8:$AF$8,0))</f>
        <v>25.355691056910569</v>
      </c>
      <c r="L28" t="s">
        <v>17</v>
      </c>
      <c r="N28" t="s">
        <v>66</v>
      </c>
    </row>
    <row r="29" spans="1:14" x14ac:dyDescent="0.25">
      <c r="A29" t="s">
        <v>1</v>
      </c>
      <c r="D29" t="s">
        <v>10</v>
      </c>
      <c r="F29" t="s">
        <v>19</v>
      </c>
      <c r="J29" t="s">
        <v>16</v>
      </c>
      <c r="K29" s="44">
        <f>INDEX(MMS!$S$9:$AF$13,MATCH(F29,MMS!$R$9:$R$13,0),MATCH(A29&amp;C29&amp;D29,MMS!$S$8:$AF$8,0))</f>
        <v>20.325203252032519</v>
      </c>
      <c r="L29" t="s">
        <v>17</v>
      </c>
      <c r="N29" t="s">
        <v>67</v>
      </c>
    </row>
    <row r="30" spans="1:14" x14ac:dyDescent="0.25">
      <c r="A30" t="s">
        <v>1</v>
      </c>
      <c r="D30" t="s">
        <v>10</v>
      </c>
      <c r="F30" t="s">
        <v>20</v>
      </c>
      <c r="J30" t="s">
        <v>16</v>
      </c>
      <c r="K30" s="44">
        <f>INDEX(MMS!$S$9:$AF$13,MATCH(F30,MMS!$R$9:$R$13,0),MATCH(A30&amp;C30&amp;D30,MMS!$S$8:$AF$8,0))</f>
        <v>51.575203252032523</v>
      </c>
      <c r="L30" t="s">
        <v>17</v>
      </c>
      <c r="N30" t="s">
        <v>68</v>
      </c>
    </row>
    <row r="31" spans="1:14" x14ac:dyDescent="0.25">
      <c r="A31" t="s">
        <v>1</v>
      </c>
      <c r="D31" t="s">
        <v>10</v>
      </c>
      <c r="F31" t="s">
        <v>183</v>
      </c>
      <c r="J31" t="s">
        <v>16</v>
      </c>
      <c r="K31" s="44">
        <f>INDEX(MMS!$S$9:$AF$13,MATCH(F31,MMS!$R$9:$R$13,0),MATCH(A31&amp;C31&amp;D31,MMS!$S$8:$AF$8,0))</f>
        <v>2.7439024390243896</v>
      </c>
      <c r="L31" t="s">
        <v>17</v>
      </c>
      <c r="N31" t="s">
        <v>178</v>
      </c>
    </row>
    <row r="32" spans="1:14" x14ac:dyDescent="0.25">
      <c r="A32" t="s">
        <v>1</v>
      </c>
      <c r="D32" t="s">
        <v>10</v>
      </c>
      <c r="F32" t="s">
        <v>175</v>
      </c>
      <c r="J32" t="s">
        <v>16</v>
      </c>
      <c r="K32" s="44">
        <f>INDEX(MMS!$S$9:$AF$13,MATCH(F32,MMS!$R$9:$R$13,0),MATCH(A32&amp;C32&amp;D32,MMS!$S$8:$AF$8,0))</f>
        <v>0</v>
      </c>
      <c r="L32" t="s">
        <v>17</v>
      </c>
      <c r="N32" t="s">
        <v>179</v>
      </c>
    </row>
    <row r="33" spans="1:14" x14ac:dyDescent="0.25">
      <c r="A33" t="s">
        <v>1</v>
      </c>
      <c r="D33" t="s">
        <v>13</v>
      </c>
      <c r="F33" t="s">
        <v>18</v>
      </c>
      <c r="J33" t="s">
        <v>16</v>
      </c>
      <c r="K33" s="44">
        <f>INDEX(MMS!$S$9:$AF$13,MATCH(F33,MMS!$R$9:$R$13,0),MATCH(A33&amp;C33&amp;D33,MMS!$S$8:$AF$8,0))</f>
        <v>44.83940042826552</v>
      </c>
      <c r="L33" t="s">
        <v>17</v>
      </c>
      <c r="N33" t="s">
        <v>66</v>
      </c>
    </row>
    <row r="34" spans="1:14" x14ac:dyDescent="0.25">
      <c r="A34" t="s">
        <v>1</v>
      </c>
      <c r="D34" t="s">
        <v>13</v>
      </c>
      <c r="F34" t="s">
        <v>19</v>
      </c>
      <c r="J34" t="s">
        <v>16</v>
      </c>
      <c r="K34" s="44">
        <f>INDEX(MMS!$S$9:$AF$13,MATCH(F34,MMS!$R$9:$R$13,0),MATCH(A34&amp;C34&amp;D34,MMS!$S$8:$AF$8,0))</f>
        <v>19.914346895074946</v>
      </c>
      <c r="L34" t="s">
        <v>17</v>
      </c>
      <c r="N34" t="s">
        <v>67</v>
      </c>
    </row>
    <row r="35" spans="1:14" x14ac:dyDescent="0.25">
      <c r="A35" t="s">
        <v>1</v>
      </c>
      <c r="D35" t="s">
        <v>13</v>
      </c>
      <c r="F35" t="s">
        <v>20</v>
      </c>
      <c r="J35" t="s">
        <v>16</v>
      </c>
      <c r="K35" s="44">
        <f>INDEX(MMS!$S$9:$AF$13,MATCH(F35,MMS!$R$9:$R$13,0),MATCH(A35&amp;C35&amp;D35,MMS!$S$8:$AF$8,0))</f>
        <v>31.520342612419693</v>
      </c>
      <c r="L35" t="s">
        <v>17</v>
      </c>
      <c r="N35" t="s">
        <v>68</v>
      </c>
    </row>
    <row r="36" spans="1:14" x14ac:dyDescent="0.25">
      <c r="A36" t="s">
        <v>1</v>
      </c>
      <c r="D36" t="s">
        <v>13</v>
      </c>
      <c r="F36" t="s">
        <v>183</v>
      </c>
      <c r="J36" t="s">
        <v>16</v>
      </c>
      <c r="K36" s="44">
        <f>INDEX(MMS!$S$9:$AF$13,MATCH(F36,MMS!$R$9:$R$13,0),MATCH(A36&amp;C36&amp;D36,MMS!$S$8:$AF$8,0))</f>
        <v>3.7259100642398284</v>
      </c>
      <c r="L36" t="s">
        <v>17</v>
      </c>
      <c r="N36" t="s">
        <v>178</v>
      </c>
    </row>
    <row r="37" spans="1:14" x14ac:dyDescent="0.25">
      <c r="A37" t="s">
        <v>1</v>
      </c>
      <c r="D37" t="s">
        <v>13</v>
      </c>
      <c r="F37" t="s">
        <v>175</v>
      </c>
      <c r="J37" t="s">
        <v>16</v>
      </c>
      <c r="K37" s="44">
        <f>INDEX(MMS!$S$9:$AF$13,MATCH(F37,MMS!$R$9:$R$13,0),MATCH(A37&amp;C37&amp;D37,MMS!$S$8:$AF$8,0))</f>
        <v>0</v>
      </c>
      <c r="L37" t="s">
        <v>17</v>
      </c>
      <c r="N37" t="s">
        <v>179</v>
      </c>
    </row>
    <row r="38" spans="1:14" x14ac:dyDescent="0.25">
      <c r="A38" t="s">
        <v>55</v>
      </c>
      <c r="F38" t="s">
        <v>18</v>
      </c>
      <c r="J38" t="s">
        <v>16</v>
      </c>
      <c r="K38" s="44">
        <f>INDEX(MMS!$S$9:$AF$13,MATCH(F38,MMS!$R$9:$R$13,0),MATCH(A38&amp;C38&amp;D38,MMS!$S$8:$AF$8,0))</f>
        <v>0</v>
      </c>
      <c r="L38" t="s">
        <v>17</v>
      </c>
      <c r="N38" t="s">
        <v>66</v>
      </c>
    </row>
    <row r="39" spans="1:14" x14ac:dyDescent="0.25">
      <c r="A39" t="s">
        <v>55</v>
      </c>
      <c r="F39" t="s">
        <v>19</v>
      </c>
      <c r="J39" t="s">
        <v>16</v>
      </c>
      <c r="K39" s="44">
        <f>INDEX(MMS!$S$9:$AF$13,MATCH(F39,MMS!$R$9:$R$13,0),MATCH(A39&amp;C39&amp;D39,MMS!$S$8:$AF$8,0))</f>
        <v>66</v>
      </c>
      <c r="L39" t="s">
        <v>17</v>
      </c>
      <c r="N39" t="s">
        <v>67</v>
      </c>
    </row>
    <row r="40" spans="1:14" x14ac:dyDescent="0.25">
      <c r="A40" t="s">
        <v>55</v>
      </c>
      <c r="F40" t="s">
        <v>20</v>
      </c>
      <c r="J40" t="s">
        <v>16</v>
      </c>
      <c r="K40" s="44">
        <f>INDEX(MMS!$S$9:$AF$13,MATCH(F40,MMS!$R$9:$R$13,0),MATCH(A40&amp;C40&amp;D40,MMS!$S$8:$AF$8,0))</f>
        <v>4</v>
      </c>
      <c r="L40" t="s">
        <v>17</v>
      </c>
      <c r="N40" t="s">
        <v>68</v>
      </c>
    </row>
    <row r="41" spans="1:14" x14ac:dyDescent="0.25">
      <c r="A41" t="s">
        <v>55</v>
      </c>
      <c r="F41" t="s">
        <v>183</v>
      </c>
      <c r="J41" t="s">
        <v>16</v>
      </c>
      <c r="K41" s="44">
        <f>INDEX(MMS!$S$9:$AF$13,MATCH(F41,MMS!$R$9:$R$13,0),MATCH(A41&amp;C41&amp;D41,MMS!$S$8:$AF$8,0))</f>
        <v>0</v>
      </c>
      <c r="L41" t="s">
        <v>17</v>
      </c>
      <c r="N41" t="s">
        <v>178</v>
      </c>
    </row>
    <row r="42" spans="1:14" x14ac:dyDescent="0.25">
      <c r="A42" t="s">
        <v>55</v>
      </c>
      <c r="F42" t="s">
        <v>175</v>
      </c>
      <c r="J42" t="s">
        <v>16</v>
      </c>
      <c r="K42" s="44">
        <f>INDEX(MMS!$S$9:$AF$13,MATCH(F42,MMS!$R$9:$R$13,0),MATCH(A42&amp;C42&amp;D42,MMS!$S$8:$AF$8,0))</f>
        <v>30</v>
      </c>
      <c r="L42" t="s">
        <v>17</v>
      </c>
      <c r="N42" t="s">
        <v>179</v>
      </c>
    </row>
    <row r="43" spans="1:14" x14ac:dyDescent="0.25">
      <c r="A43" t="s">
        <v>61</v>
      </c>
      <c r="F43" t="s">
        <v>18</v>
      </c>
      <c r="J43" t="s">
        <v>16</v>
      </c>
      <c r="K43" s="44">
        <f>INDEX(MMS!$S$9:$AF$13,MATCH(F43,MMS!$R$9:$R$13,0),MATCH(A43&amp;C43&amp;D43,MMS!$S$8:$AF$8,0))</f>
        <v>0</v>
      </c>
      <c r="L43" t="s">
        <v>17</v>
      </c>
      <c r="N43" t="s">
        <v>66</v>
      </c>
    </row>
    <row r="44" spans="1:14" x14ac:dyDescent="0.25">
      <c r="A44" t="s">
        <v>61</v>
      </c>
      <c r="F44" t="s">
        <v>19</v>
      </c>
      <c r="J44" t="s">
        <v>16</v>
      </c>
      <c r="K44" s="44">
        <f>INDEX(MMS!$S$9:$AF$13,MATCH(F44,MMS!$R$9:$R$13,0),MATCH(A44&amp;C44&amp;D44,MMS!$S$8:$AF$8,0))</f>
        <v>100</v>
      </c>
      <c r="L44" t="s">
        <v>17</v>
      </c>
      <c r="N44" t="s">
        <v>67</v>
      </c>
    </row>
    <row r="45" spans="1:14" x14ac:dyDescent="0.25">
      <c r="A45" t="s">
        <v>61</v>
      </c>
      <c r="F45" t="s">
        <v>20</v>
      </c>
      <c r="J45" t="s">
        <v>16</v>
      </c>
      <c r="K45" s="44">
        <f>INDEX(MMS!$S$9:$AF$13,MATCH(F45,MMS!$R$9:$R$13,0),MATCH(A45&amp;C45&amp;D45,MMS!$S$8:$AF$8,0))</f>
        <v>0</v>
      </c>
      <c r="L45" t="s">
        <v>17</v>
      </c>
      <c r="N45" t="s">
        <v>68</v>
      </c>
    </row>
    <row r="46" spans="1:14" x14ac:dyDescent="0.25">
      <c r="A46" t="s">
        <v>61</v>
      </c>
      <c r="F46" t="s">
        <v>183</v>
      </c>
      <c r="J46" t="s">
        <v>16</v>
      </c>
      <c r="K46" s="44">
        <f>INDEX(MMS!$S$9:$AF$13,MATCH(F46,MMS!$R$9:$R$13,0),MATCH(A46&amp;C46&amp;D46,MMS!$S$8:$AF$8,0))</f>
        <v>0</v>
      </c>
      <c r="L46" t="s">
        <v>17</v>
      </c>
      <c r="N46" t="s">
        <v>178</v>
      </c>
    </row>
    <row r="47" spans="1:14" x14ac:dyDescent="0.25">
      <c r="A47" t="s">
        <v>61</v>
      </c>
      <c r="F47" t="s">
        <v>175</v>
      </c>
      <c r="J47" t="s">
        <v>16</v>
      </c>
      <c r="K47" s="44">
        <f>INDEX(MMS!$S$9:$AF$13,MATCH(F47,MMS!$R$9:$R$13,0),MATCH(A47&amp;C47&amp;D47,MMS!$S$8:$AF$8,0))</f>
        <v>0</v>
      </c>
      <c r="L47" t="s">
        <v>17</v>
      </c>
      <c r="N47" t="s">
        <v>179</v>
      </c>
    </row>
    <row r="48" spans="1:14" x14ac:dyDescent="0.25">
      <c r="A48" t="s">
        <v>37</v>
      </c>
      <c r="F48" t="s">
        <v>18</v>
      </c>
      <c r="J48" t="s">
        <v>16</v>
      </c>
      <c r="K48" s="44">
        <f>INDEX(MMS!$S$9:$AF$13,MATCH(F48,MMS!$R$9:$R$13,0),MATCH(A48&amp;C48&amp;D48,MMS!$S$8:$AF$8,0))</f>
        <v>47.115705235078359</v>
      </c>
      <c r="L48" t="s">
        <v>17</v>
      </c>
      <c r="N48" t="s">
        <v>66</v>
      </c>
    </row>
    <row r="49" spans="1:14" x14ac:dyDescent="0.25">
      <c r="A49" t="s">
        <v>37</v>
      </c>
      <c r="F49" t="s">
        <v>19</v>
      </c>
      <c r="J49" t="s">
        <v>16</v>
      </c>
      <c r="K49" s="44">
        <f>INDEX(MMS!$S$9:$AF$13,MATCH(F49,MMS!$R$9:$R$13,0),MATCH(A49&amp;C49&amp;D49,MMS!$S$8:$AF$8,0))</f>
        <v>27.875958652884293</v>
      </c>
      <c r="L49" t="s">
        <v>17</v>
      </c>
      <c r="N49" t="s">
        <v>67</v>
      </c>
    </row>
    <row r="50" spans="1:14" x14ac:dyDescent="0.25">
      <c r="A50" t="s">
        <v>37</v>
      </c>
      <c r="F50" t="s">
        <v>20</v>
      </c>
      <c r="J50" t="s">
        <v>16</v>
      </c>
      <c r="K50" s="44">
        <f>INDEX(MMS!$S$9:$AF$13,MATCH(F50,MMS!$R$9:$R$13,0),MATCH(A50&amp;C50&amp;D50,MMS!$S$8:$AF$8,0))</f>
        <v>15.205068356118707</v>
      </c>
      <c r="L50" t="s">
        <v>17</v>
      </c>
      <c r="N50" t="s">
        <v>68</v>
      </c>
    </row>
    <row r="51" spans="1:14" x14ac:dyDescent="0.25">
      <c r="A51" t="s">
        <v>37</v>
      </c>
      <c r="F51" t="s">
        <v>183</v>
      </c>
      <c r="J51" t="s">
        <v>16</v>
      </c>
      <c r="K51" s="44">
        <f>INDEX(MMS!$S$9:$AF$13,MATCH(F51,MMS!$R$9:$R$13,0),MATCH(A51&amp;C51&amp;D51,MMS!$S$8:$AF$8,0))</f>
        <v>9.8032677559186379</v>
      </c>
      <c r="L51" t="s">
        <v>17</v>
      </c>
      <c r="N51" t="s">
        <v>178</v>
      </c>
    </row>
    <row r="52" spans="1:14" x14ac:dyDescent="0.25">
      <c r="A52" t="s">
        <v>37</v>
      </c>
      <c r="F52" t="s">
        <v>175</v>
      </c>
      <c r="J52" t="s">
        <v>16</v>
      </c>
      <c r="K52" s="44">
        <f>INDEX(MMS!$S$9:$AF$13,MATCH(F52,MMS!$R$9:$R$13,0),MATCH(A52&amp;C52&amp;D52,MMS!$S$8:$AF$8,0))</f>
        <v>0</v>
      </c>
      <c r="L52" t="s">
        <v>17</v>
      </c>
      <c r="N52" t="s">
        <v>179</v>
      </c>
    </row>
    <row r="53" spans="1:14" x14ac:dyDescent="0.25">
      <c r="A53" t="s">
        <v>37</v>
      </c>
      <c r="D53" t="s">
        <v>38</v>
      </c>
      <c r="F53" t="s">
        <v>18</v>
      </c>
      <c r="J53" t="s">
        <v>16</v>
      </c>
      <c r="K53" s="44">
        <f>INDEX(MMS!$S$9:$AF$13,MATCH(F53,MMS!$R$9:$R$13,0),MATCH(A53&amp;C53&amp;D53,MMS!$S$8:$AF$8,0))</f>
        <v>79.533333333333317</v>
      </c>
      <c r="L53" t="s">
        <v>17</v>
      </c>
      <c r="N53" t="s">
        <v>66</v>
      </c>
    </row>
    <row r="54" spans="1:14" x14ac:dyDescent="0.25">
      <c r="A54" t="s">
        <v>37</v>
      </c>
      <c r="D54" t="s">
        <v>38</v>
      </c>
      <c r="F54" t="s">
        <v>19</v>
      </c>
      <c r="J54" t="s">
        <v>16</v>
      </c>
      <c r="K54" s="44">
        <f>INDEX(MMS!$S$9:$AF$13,MATCH(F54,MMS!$R$9:$R$13,0),MATCH(A54&amp;C54&amp;D54,MMS!$S$8:$AF$8,0))</f>
        <v>2.6666666666666656</v>
      </c>
      <c r="L54" t="s">
        <v>17</v>
      </c>
      <c r="N54" t="s">
        <v>67</v>
      </c>
    </row>
    <row r="55" spans="1:14" x14ac:dyDescent="0.25">
      <c r="A55" t="s">
        <v>37</v>
      </c>
      <c r="D55" t="s">
        <v>38</v>
      </c>
      <c r="F55" t="s">
        <v>20</v>
      </c>
      <c r="J55" t="s">
        <v>16</v>
      </c>
      <c r="K55" s="44">
        <f>INDEX(MMS!$S$9:$AF$13,MATCH(F55,MMS!$R$9:$R$13,0),MATCH(A55&amp;C55&amp;D55,MMS!$S$8:$AF$8,0))</f>
        <v>1.1666666666666663</v>
      </c>
      <c r="L55" t="s">
        <v>17</v>
      </c>
      <c r="N55" t="s">
        <v>68</v>
      </c>
    </row>
    <row r="56" spans="1:14" x14ac:dyDescent="0.25">
      <c r="A56" t="s">
        <v>37</v>
      </c>
      <c r="D56" t="s">
        <v>38</v>
      </c>
      <c r="F56" t="s">
        <v>183</v>
      </c>
      <c r="J56" t="s">
        <v>16</v>
      </c>
      <c r="K56" s="44">
        <f>INDEX(MMS!$S$9:$AF$13,MATCH(F56,MMS!$R$9:$R$13,0),MATCH(A56&amp;C56&amp;D56,MMS!$S$8:$AF$8,0))</f>
        <v>16.633333333333329</v>
      </c>
      <c r="L56" t="s">
        <v>17</v>
      </c>
      <c r="N56" t="s">
        <v>178</v>
      </c>
    </row>
    <row r="57" spans="1:14" x14ac:dyDescent="0.25">
      <c r="A57" t="s">
        <v>37</v>
      </c>
      <c r="D57" t="s">
        <v>38</v>
      </c>
      <c r="F57" t="s">
        <v>175</v>
      </c>
      <c r="J57" t="s">
        <v>16</v>
      </c>
      <c r="K57" s="44">
        <f>INDEX(MMS!$S$9:$AF$13,MATCH(F57,MMS!$R$9:$R$13,0),MATCH(A57&amp;C57&amp;D57,MMS!$S$8:$AF$8,0))</f>
        <v>0</v>
      </c>
      <c r="L57" t="s">
        <v>17</v>
      </c>
      <c r="N57" t="s">
        <v>179</v>
      </c>
    </row>
    <row r="58" spans="1:14" x14ac:dyDescent="0.25">
      <c r="A58" t="s">
        <v>37</v>
      </c>
      <c r="D58" t="s">
        <v>39</v>
      </c>
      <c r="F58" t="s">
        <v>18</v>
      </c>
      <c r="J58" t="s">
        <v>16</v>
      </c>
      <c r="K58" s="44">
        <f>INDEX(MMS!$S$9:$AF$13,MATCH(F58,MMS!$R$9:$R$13,0),MATCH(A58&amp;C58&amp;D58,MMS!$S$8:$AF$8,0))</f>
        <v>79.533333333333317</v>
      </c>
      <c r="L58" t="s">
        <v>17</v>
      </c>
      <c r="N58" t="s">
        <v>66</v>
      </c>
    </row>
    <row r="59" spans="1:14" x14ac:dyDescent="0.25">
      <c r="A59" t="s">
        <v>37</v>
      </c>
      <c r="D59" t="s">
        <v>39</v>
      </c>
      <c r="F59" t="s">
        <v>19</v>
      </c>
      <c r="J59" t="s">
        <v>16</v>
      </c>
      <c r="K59" s="44">
        <f>INDEX(MMS!$S$9:$AF$13,MATCH(F59,MMS!$R$9:$R$13,0),MATCH(A59&amp;C59&amp;D59,MMS!$S$8:$AF$8,0))</f>
        <v>2.6666666666666656</v>
      </c>
      <c r="L59" t="s">
        <v>17</v>
      </c>
      <c r="N59" t="s">
        <v>67</v>
      </c>
    </row>
    <row r="60" spans="1:14" x14ac:dyDescent="0.25">
      <c r="A60" t="s">
        <v>37</v>
      </c>
      <c r="D60" t="s">
        <v>39</v>
      </c>
      <c r="F60" t="s">
        <v>20</v>
      </c>
      <c r="J60" t="s">
        <v>16</v>
      </c>
      <c r="K60" s="44">
        <f>INDEX(MMS!$S$9:$AF$13,MATCH(F60,MMS!$R$9:$R$13,0),MATCH(A60&amp;C60&amp;D60,MMS!$S$8:$AF$8,0))</f>
        <v>1.1666666666666663</v>
      </c>
      <c r="L60" t="s">
        <v>17</v>
      </c>
      <c r="N60" t="s">
        <v>68</v>
      </c>
    </row>
    <row r="61" spans="1:14" x14ac:dyDescent="0.25">
      <c r="A61" t="s">
        <v>37</v>
      </c>
      <c r="D61" t="s">
        <v>39</v>
      </c>
      <c r="F61" t="s">
        <v>183</v>
      </c>
      <c r="J61" t="s">
        <v>16</v>
      </c>
      <c r="K61" s="44">
        <f>INDEX(MMS!$S$9:$AF$13,MATCH(F61,MMS!$R$9:$R$13,0),MATCH(A61&amp;C61&amp;D61,MMS!$S$8:$AF$8,0))</f>
        <v>16.633333333333329</v>
      </c>
      <c r="L61" t="s">
        <v>17</v>
      </c>
      <c r="N61" t="s">
        <v>178</v>
      </c>
    </row>
    <row r="62" spans="1:14" x14ac:dyDescent="0.25">
      <c r="A62" t="s">
        <v>37</v>
      </c>
      <c r="D62" t="s">
        <v>39</v>
      </c>
      <c r="F62" t="s">
        <v>175</v>
      </c>
      <c r="J62" t="s">
        <v>16</v>
      </c>
      <c r="K62" s="44">
        <f>INDEX(MMS!$S$9:$AF$13,MATCH(F62,MMS!$R$9:$R$13,0),MATCH(A62&amp;C62&amp;D62,MMS!$S$8:$AF$8,0))</f>
        <v>0</v>
      </c>
      <c r="L62" t="s">
        <v>17</v>
      </c>
      <c r="N62" t="s">
        <v>179</v>
      </c>
    </row>
    <row r="63" spans="1:14" x14ac:dyDescent="0.25">
      <c r="A63" t="s">
        <v>51</v>
      </c>
      <c r="F63" t="s">
        <v>18</v>
      </c>
      <c r="J63" t="s">
        <v>16</v>
      </c>
      <c r="K63" s="44">
        <f>INDEX(MMS!$S$9:$AF$13,MATCH(F63,MMS!$R$9:$R$13,0),MATCH(A63&amp;C63&amp;D63,MMS!$S$8:$AF$8,0))</f>
        <v>7.7000000000000011</v>
      </c>
      <c r="L63" t="s">
        <v>17</v>
      </c>
      <c r="N63" t="s">
        <v>66</v>
      </c>
    </row>
    <row r="64" spans="1:14" x14ac:dyDescent="0.25">
      <c r="A64" t="s">
        <v>51</v>
      </c>
      <c r="F64" t="s">
        <v>19</v>
      </c>
      <c r="J64" t="s">
        <v>16</v>
      </c>
      <c r="K64" s="44">
        <f>INDEX(MMS!$S$9:$AF$13,MATCH(F64,MMS!$R$9:$R$13,0),MATCH(A64&amp;C64&amp;D64,MMS!$S$8:$AF$8,0))</f>
        <v>85.966666666666669</v>
      </c>
      <c r="L64" t="s">
        <v>17</v>
      </c>
      <c r="N64" t="s">
        <v>67</v>
      </c>
    </row>
    <row r="65" spans="1:14" x14ac:dyDescent="0.25">
      <c r="A65" t="s">
        <v>51</v>
      </c>
      <c r="F65" t="s">
        <v>20</v>
      </c>
      <c r="J65" t="s">
        <v>16</v>
      </c>
      <c r="K65" s="44">
        <f>INDEX(MMS!$S$9:$AF$13,MATCH(F65,MMS!$R$9:$R$13,0),MATCH(A65&amp;C65&amp;D65,MMS!$S$8:$AF$8,0))</f>
        <v>6.3333333333333339</v>
      </c>
      <c r="L65" t="s">
        <v>17</v>
      </c>
      <c r="N65" t="s">
        <v>68</v>
      </c>
    </row>
    <row r="66" spans="1:14" x14ac:dyDescent="0.25">
      <c r="A66" t="s">
        <v>51</v>
      </c>
      <c r="F66" t="s">
        <v>183</v>
      </c>
      <c r="J66" t="s">
        <v>16</v>
      </c>
      <c r="K66" s="44">
        <f>INDEX(MMS!$S$9:$AF$13,MATCH(F66,MMS!$R$9:$R$13,0),MATCH(A66&amp;C66&amp;D66,MMS!$S$8:$AF$8,0))</f>
        <v>0</v>
      </c>
      <c r="L66" t="s">
        <v>17</v>
      </c>
      <c r="N66" t="s">
        <v>178</v>
      </c>
    </row>
    <row r="67" spans="1:14" x14ac:dyDescent="0.25">
      <c r="A67" t="s">
        <v>51</v>
      </c>
      <c r="F67" t="s">
        <v>175</v>
      </c>
      <c r="J67" t="s">
        <v>16</v>
      </c>
      <c r="K67" s="44">
        <f>INDEX(MMS!$S$9:$AF$13,MATCH(F67,MMS!$R$9:$R$13,0),MATCH(A67&amp;C67&amp;D67,MMS!$S$8:$AF$8,0))</f>
        <v>0</v>
      </c>
      <c r="L67" t="s">
        <v>17</v>
      </c>
      <c r="N67" t="s">
        <v>179</v>
      </c>
    </row>
    <row r="68" spans="1:14" x14ac:dyDescent="0.25">
      <c r="A68" t="s">
        <v>51</v>
      </c>
      <c r="C68" t="s">
        <v>52</v>
      </c>
      <c r="D68" t="s">
        <v>53</v>
      </c>
      <c r="F68" t="s">
        <v>18</v>
      </c>
      <c r="J68" t="s">
        <v>16</v>
      </c>
      <c r="K68" s="44">
        <f>INDEX(MMS!$S$9:$AF$13,MATCH(F68,MMS!$R$9:$R$13,0),MATCH(A68&amp;C68&amp;D68,MMS!$S$8:$AF$8,0))</f>
        <v>0</v>
      </c>
      <c r="L68" t="s">
        <v>17</v>
      </c>
      <c r="N68" t="s">
        <v>66</v>
      </c>
    </row>
    <row r="69" spans="1:14" x14ac:dyDescent="0.25">
      <c r="A69" t="s">
        <v>51</v>
      </c>
      <c r="C69" t="s">
        <v>52</v>
      </c>
      <c r="D69" t="s">
        <v>53</v>
      </c>
      <c r="F69" t="s">
        <v>19</v>
      </c>
      <c r="J69" t="s">
        <v>16</v>
      </c>
      <c r="K69" s="44">
        <f>INDEX(MMS!$S$9:$AF$13,MATCH(F69,MMS!$R$9:$R$13,0),MATCH(A69&amp;C69&amp;D69,MMS!$S$8:$AF$8,0))</f>
        <v>0</v>
      </c>
      <c r="L69" t="s">
        <v>17</v>
      </c>
      <c r="N69" t="s">
        <v>67</v>
      </c>
    </row>
    <row r="70" spans="1:14" x14ac:dyDescent="0.25">
      <c r="A70" t="s">
        <v>51</v>
      </c>
      <c r="C70" t="s">
        <v>52</v>
      </c>
      <c r="D70" t="s">
        <v>53</v>
      </c>
      <c r="F70" t="s">
        <v>20</v>
      </c>
      <c r="J70" t="s">
        <v>16</v>
      </c>
      <c r="K70" s="44">
        <f>INDEX(MMS!$S$9:$AF$13,MATCH(F70,MMS!$R$9:$R$13,0),MATCH(A70&amp;C70&amp;D70,MMS!$S$8:$AF$8,0))</f>
        <v>100</v>
      </c>
      <c r="L70" t="s">
        <v>17</v>
      </c>
      <c r="N70" t="s">
        <v>68</v>
      </c>
    </row>
    <row r="71" spans="1:14" x14ac:dyDescent="0.25">
      <c r="A71" t="s">
        <v>51</v>
      </c>
      <c r="C71" t="s">
        <v>52</v>
      </c>
      <c r="D71" t="s">
        <v>53</v>
      </c>
      <c r="F71" t="s">
        <v>183</v>
      </c>
      <c r="J71" t="s">
        <v>16</v>
      </c>
      <c r="K71" s="44">
        <f>INDEX(MMS!$S$9:$AF$13,MATCH(F71,MMS!$R$9:$R$13,0),MATCH(A71&amp;C71&amp;D71,MMS!$S$8:$AF$8,0))</f>
        <v>0</v>
      </c>
      <c r="L71" t="s">
        <v>17</v>
      </c>
      <c r="N71" t="s">
        <v>178</v>
      </c>
    </row>
    <row r="72" spans="1:14" x14ac:dyDescent="0.25">
      <c r="A72" t="s">
        <v>51</v>
      </c>
      <c r="C72" t="s">
        <v>52</v>
      </c>
      <c r="D72" t="s">
        <v>53</v>
      </c>
      <c r="F72" t="s">
        <v>175</v>
      </c>
      <c r="J72" t="s">
        <v>16</v>
      </c>
      <c r="K72" s="44">
        <f>INDEX(MMS!$S$9:$AF$13,MATCH(F72,MMS!$R$9:$R$13,0),MATCH(A72&amp;C72&amp;D72,MMS!$S$8:$AF$8,0))</f>
        <v>0</v>
      </c>
      <c r="L72" t="s">
        <v>17</v>
      </c>
      <c r="N72" t="s">
        <v>179</v>
      </c>
    </row>
    <row r="74" spans="1:14" x14ac:dyDescent="0.25">
      <c r="A74" s="68" t="s">
        <v>202</v>
      </c>
    </row>
    <row r="75" spans="1:14" x14ac:dyDescent="0.25">
      <c r="A75" s="68" t="s">
        <v>200</v>
      </c>
    </row>
    <row r="76" spans="1:14" x14ac:dyDescent="0.25">
      <c r="J76" s="6" t="s">
        <v>201</v>
      </c>
      <c r="K76" s="6">
        <v>0</v>
      </c>
      <c r="L76" s="6" t="s">
        <v>17</v>
      </c>
      <c r="M76" s="6" t="s">
        <v>60</v>
      </c>
    </row>
    <row r="77" spans="1:14" x14ac:dyDescent="0.25">
      <c r="A77" t="s">
        <v>1</v>
      </c>
      <c r="C77" t="s">
        <v>2</v>
      </c>
      <c r="D77" t="s">
        <v>3</v>
      </c>
      <c r="F77" t="s">
        <v>183</v>
      </c>
      <c r="J77" t="s">
        <v>201</v>
      </c>
      <c r="K77" s="44">
        <f>INDEX(MMS!$S$16:$AF$16,MATCH(A77&amp;C77&amp;D77,MMS!$S$8:$AF$8,0))</f>
        <v>65.600000000000009</v>
      </c>
      <c r="L77" t="s">
        <v>17</v>
      </c>
      <c r="M77" t="s">
        <v>203</v>
      </c>
      <c r="N77" t="s">
        <v>178</v>
      </c>
    </row>
    <row r="78" spans="1:14" x14ac:dyDescent="0.25">
      <c r="A78" t="s">
        <v>1</v>
      </c>
      <c r="C78" t="s">
        <v>7</v>
      </c>
      <c r="D78" t="s">
        <v>3</v>
      </c>
      <c r="F78" t="s">
        <v>183</v>
      </c>
      <c r="J78" t="s">
        <v>201</v>
      </c>
      <c r="K78" s="44">
        <f>INDEX(MMS!$S$16:$AF$16,MATCH(A78&amp;C78&amp;D78,MMS!$S$8:$AF$8,0))</f>
        <v>64.705882352941174</v>
      </c>
      <c r="L78" t="s">
        <v>17</v>
      </c>
    </row>
    <row r="79" spans="1:14" x14ac:dyDescent="0.25">
      <c r="A79" t="s">
        <v>1</v>
      </c>
      <c r="D79" t="s">
        <v>9</v>
      </c>
      <c r="F79" t="s">
        <v>183</v>
      </c>
      <c r="J79" t="s">
        <v>201</v>
      </c>
      <c r="K79" s="44">
        <f>INDEX(MMS!$S$16:$AF$16,MATCH(A79&amp;C79&amp;D79,MMS!$S$8:$AF$8,0))</f>
        <v>65.517241379310349</v>
      </c>
      <c r="L79" t="s">
        <v>17</v>
      </c>
    </row>
    <row r="80" spans="1:14" x14ac:dyDescent="0.25">
      <c r="A80" t="s">
        <v>1</v>
      </c>
      <c r="D80" t="s">
        <v>11</v>
      </c>
      <c r="F80" t="s">
        <v>183</v>
      </c>
      <c r="J80" t="s">
        <v>201</v>
      </c>
      <c r="K80" s="44">
        <f>INDEX(MMS!$S$16:$AF$16,MATCH(A80&amp;C80&amp;D80,MMS!$S$8:$AF$8,0))</f>
        <v>65.517241379310349</v>
      </c>
      <c r="L80" t="s">
        <v>17</v>
      </c>
    </row>
    <row r="81" spans="1:14" x14ac:dyDescent="0.25">
      <c r="A81" t="s">
        <v>1</v>
      </c>
      <c r="D81" t="s">
        <v>12</v>
      </c>
      <c r="F81" t="s">
        <v>183</v>
      </c>
      <c r="J81" t="s">
        <v>201</v>
      </c>
      <c r="K81" s="44">
        <f>INDEX(MMS!$S$16:$AF$16,MATCH(A81&amp;C81&amp;D81,MMS!$S$8:$AF$8,0))</f>
        <v>65.517241379310349</v>
      </c>
      <c r="L81" t="s">
        <v>17</v>
      </c>
    </row>
    <row r="82" spans="1:14" x14ac:dyDescent="0.25">
      <c r="A82" t="s">
        <v>1</v>
      </c>
      <c r="D82" t="s">
        <v>10</v>
      </c>
      <c r="F82" t="s">
        <v>183</v>
      </c>
      <c r="J82" t="s">
        <v>201</v>
      </c>
      <c r="K82" s="44">
        <f>INDEX(MMS!$S$16:$AF$16,MATCH(A82&amp;C82&amp;D82,MMS!$S$8:$AF$8,0))</f>
        <v>66.666666666666671</v>
      </c>
      <c r="L82" t="s">
        <v>17</v>
      </c>
    </row>
    <row r="83" spans="1:14" x14ac:dyDescent="0.25">
      <c r="A83" t="s">
        <v>1</v>
      </c>
      <c r="D83" t="s">
        <v>13</v>
      </c>
      <c r="F83" t="s">
        <v>183</v>
      </c>
      <c r="J83" t="s">
        <v>201</v>
      </c>
      <c r="K83" s="44">
        <f>INDEX(MMS!$S$16:$AF$16,MATCH(A83&amp;C83&amp;D83,MMS!$S$8:$AF$8,0))</f>
        <v>66.666666666666671</v>
      </c>
      <c r="L83" t="s">
        <v>17</v>
      </c>
    </row>
    <row r="84" spans="1:14" x14ac:dyDescent="0.25">
      <c r="A84" t="s">
        <v>55</v>
      </c>
      <c r="F84" t="s">
        <v>183</v>
      </c>
      <c r="J84" t="s">
        <v>201</v>
      </c>
      <c r="K84" s="44">
        <f>INDEX(MMS!$S$16:$AF$16,MATCH(A84&amp;C84&amp;D84,MMS!$S$8:$AF$8,0))</f>
        <v>0</v>
      </c>
      <c r="L84" t="s">
        <v>17</v>
      </c>
    </row>
    <row r="85" spans="1:14" x14ac:dyDescent="0.25">
      <c r="A85" t="s">
        <v>61</v>
      </c>
      <c r="F85" t="s">
        <v>183</v>
      </c>
      <c r="J85" t="s">
        <v>201</v>
      </c>
      <c r="K85" s="44">
        <f>INDEX(MMS!$S$16:$AF$16,MATCH(A85&amp;C85&amp;D85,MMS!$S$8:$AF$8,0))</f>
        <v>0</v>
      </c>
      <c r="L85" t="s">
        <v>17</v>
      </c>
    </row>
    <row r="86" spans="1:14" x14ac:dyDescent="0.25">
      <c r="A86" t="s">
        <v>37</v>
      </c>
      <c r="F86" t="s">
        <v>183</v>
      </c>
      <c r="J86" t="s">
        <v>201</v>
      </c>
      <c r="K86" s="44">
        <f>INDEX(MMS!$S$16:$AF$16,MATCH(A86&amp;C86&amp;D86,MMS!$S$8:$AF$8,0))</f>
        <v>65.986394557823118</v>
      </c>
      <c r="L86" t="s">
        <v>17</v>
      </c>
    </row>
    <row r="87" spans="1:14" x14ac:dyDescent="0.25">
      <c r="A87" t="s">
        <v>37</v>
      </c>
      <c r="D87" t="s">
        <v>38</v>
      </c>
      <c r="F87" t="s">
        <v>183</v>
      </c>
      <c r="J87" t="s">
        <v>201</v>
      </c>
      <c r="K87" s="44">
        <f>INDEX(MMS!$S$16:$AF$16,MATCH(A87&amp;C87&amp;D87,MMS!$S$8:$AF$8,0))</f>
        <v>65.93186372745491</v>
      </c>
      <c r="L87" t="s">
        <v>17</v>
      </c>
    </row>
    <row r="88" spans="1:14" x14ac:dyDescent="0.25">
      <c r="A88" t="s">
        <v>37</v>
      </c>
      <c r="D88" t="s">
        <v>39</v>
      </c>
      <c r="F88" t="s">
        <v>183</v>
      </c>
      <c r="J88" t="s">
        <v>201</v>
      </c>
      <c r="K88" s="44">
        <f>INDEX(MMS!$S$16:$AF$16,MATCH(A88&amp;C88&amp;D88,MMS!$S$8:$AF$8,0))</f>
        <v>65.93186372745491</v>
      </c>
      <c r="L88" t="s">
        <v>17</v>
      </c>
    </row>
    <row r="89" spans="1:14" x14ac:dyDescent="0.25">
      <c r="A89" t="s">
        <v>51</v>
      </c>
      <c r="F89" t="s">
        <v>183</v>
      </c>
      <c r="J89" t="s">
        <v>201</v>
      </c>
      <c r="K89" s="44">
        <f>INDEX(MMS!$S$16:$AF$16,MATCH(A89&amp;C89&amp;D89,MMS!$S$8:$AF$8,0))</f>
        <v>0</v>
      </c>
      <c r="L89" t="s">
        <v>17</v>
      </c>
    </row>
    <row r="90" spans="1:14" x14ac:dyDescent="0.25">
      <c r="A90" t="s">
        <v>51</v>
      </c>
      <c r="C90" t="s">
        <v>52</v>
      </c>
      <c r="D90" t="s">
        <v>53</v>
      </c>
      <c r="F90" t="s">
        <v>183</v>
      </c>
      <c r="J90" t="s">
        <v>201</v>
      </c>
      <c r="K90" s="44">
        <f>INDEX(MMS!$S$16:$AF$16,MATCH(A90&amp;C90&amp;D90,MMS!$S$8:$AF$8,0))</f>
        <v>0</v>
      </c>
      <c r="L90" t="s">
        <v>17</v>
      </c>
    </row>
    <row r="91" spans="1:14" x14ac:dyDescent="0.25">
      <c r="J91" s="1"/>
      <c r="K91" s="1"/>
      <c r="L91" s="1"/>
      <c r="M91" s="1"/>
    </row>
    <row r="92" spans="1:14" x14ac:dyDescent="0.25">
      <c r="J92" s="1" t="s">
        <v>136</v>
      </c>
      <c r="K92" s="1">
        <v>0</v>
      </c>
      <c r="L92" s="1" t="s">
        <v>17</v>
      </c>
      <c r="M92" s="1" t="s">
        <v>137</v>
      </c>
    </row>
    <row r="94" spans="1:14" x14ac:dyDescent="0.25">
      <c r="A94" s="2" t="s">
        <v>125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18" t="s">
        <v>127</v>
      </c>
      <c r="M94" s="2"/>
      <c r="N94" s="2"/>
    </row>
    <row r="96" spans="1:14" x14ac:dyDescent="0.25">
      <c r="J96" t="s">
        <v>126</v>
      </c>
      <c r="K96">
        <v>0</v>
      </c>
      <c r="M96" t="s">
        <v>99</v>
      </c>
    </row>
    <row r="98" spans="1:14" x14ac:dyDescent="0.25">
      <c r="A98" t="s">
        <v>1</v>
      </c>
      <c r="C98" t="s">
        <v>2</v>
      </c>
      <c r="D98" t="s">
        <v>3</v>
      </c>
      <c r="I98" t="s">
        <v>129</v>
      </c>
      <c r="J98" t="s">
        <v>126</v>
      </c>
      <c r="K98" s="16">
        <f>1.5*0.85</f>
        <v>1.2749999999999999</v>
      </c>
      <c r="N98" t="s">
        <v>134</v>
      </c>
    </row>
    <row r="99" spans="1:14" x14ac:dyDescent="0.25">
      <c r="A99" t="s">
        <v>1</v>
      </c>
      <c r="C99" t="s">
        <v>7</v>
      </c>
      <c r="D99" t="s">
        <v>3</v>
      </c>
      <c r="I99" t="s">
        <v>129</v>
      </c>
      <c r="J99" t="s">
        <v>126</v>
      </c>
      <c r="K99" s="16">
        <f>5.5*0.85</f>
        <v>4.6749999999999998</v>
      </c>
      <c r="N99" t="s">
        <v>134</v>
      </c>
    </row>
    <row r="100" spans="1:14" x14ac:dyDescent="0.25">
      <c r="A100" t="s">
        <v>1</v>
      </c>
      <c r="D100" t="s">
        <v>10</v>
      </c>
      <c r="I100" t="s">
        <v>129</v>
      </c>
      <c r="J100" t="s">
        <v>126</v>
      </c>
      <c r="K100" s="16">
        <f>5*0.85</f>
        <v>4.25</v>
      </c>
      <c r="N100" t="s">
        <v>134</v>
      </c>
    </row>
    <row r="101" spans="1:14" x14ac:dyDescent="0.25">
      <c r="A101" t="s">
        <v>1</v>
      </c>
      <c r="D101" t="s">
        <v>9</v>
      </c>
      <c r="I101" t="s">
        <v>129</v>
      </c>
      <c r="J101" t="s">
        <v>126</v>
      </c>
      <c r="K101" s="16">
        <f>3.5*0.85</f>
        <v>2.9750000000000001</v>
      </c>
      <c r="N101" t="s">
        <v>134</v>
      </c>
    </row>
    <row r="102" spans="1:14" x14ac:dyDescent="0.25">
      <c r="A102" t="s">
        <v>1</v>
      </c>
      <c r="D102" t="s">
        <v>11</v>
      </c>
      <c r="I102" t="s">
        <v>129</v>
      </c>
      <c r="J102" t="s">
        <v>126</v>
      </c>
      <c r="K102" s="16">
        <f>K101</f>
        <v>2.9750000000000001</v>
      </c>
      <c r="N102" t="s">
        <v>134</v>
      </c>
    </row>
    <row r="103" spans="1:14" x14ac:dyDescent="0.25">
      <c r="A103" t="s">
        <v>1</v>
      </c>
      <c r="D103" t="s">
        <v>12</v>
      </c>
      <c r="I103" t="s">
        <v>129</v>
      </c>
      <c r="J103" t="s">
        <v>126</v>
      </c>
      <c r="K103" s="16">
        <f>K101</f>
        <v>2.9750000000000001</v>
      </c>
      <c r="N103" t="s">
        <v>134</v>
      </c>
    </row>
    <row r="104" spans="1:14" x14ac:dyDescent="0.25">
      <c r="A104" t="s">
        <v>1</v>
      </c>
      <c r="D104" t="s">
        <v>13</v>
      </c>
      <c r="I104" t="s">
        <v>129</v>
      </c>
      <c r="J104" t="s">
        <v>126</v>
      </c>
      <c r="K104" s="16">
        <f>K101</f>
        <v>2.9750000000000001</v>
      </c>
      <c r="N104" t="s">
        <v>134</v>
      </c>
    </row>
    <row r="105" spans="1:14" x14ac:dyDescent="0.25">
      <c r="K105" s="16"/>
    </row>
    <row r="106" spans="1:14" x14ac:dyDescent="0.25">
      <c r="A106" t="s">
        <v>55</v>
      </c>
      <c r="I106" t="s">
        <v>129</v>
      </c>
      <c r="J106" t="s">
        <v>126</v>
      </c>
      <c r="K106" s="16">
        <f>6*0.85</f>
        <v>5.0999999999999996</v>
      </c>
      <c r="N106" t="s">
        <v>134</v>
      </c>
    </row>
    <row r="107" spans="1:14" x14ac:dyDescent="0.25">
      <c r="K107" s="16"/>
    </row>
    <row r="108" spans="1:14" x14ac:dyDescent="0.25">
      <c r="A108" t="s">
        <v>61</v>
      </c>
      <c r="D108" t="s">
        <v>131</v>
      </c>
      <c r="I108" t="s">
        <v>129</v>
      </c>
      <c r="J108" t="s">
        <v>126</v>
      </c>
      <c r="K108" s="16">
        <f>100/(365.25/2)*0.85</f>
        <v>0.4654346338124572</v>
      </c>
      <c r="M108" t="s">
        <v>132</v>
      </c>
      <c r="N108" t="s">
        <v>134</v>
      </c>
    </row>
    <row r="109" spans="1:14" x14ac:dyDescent="0.25">
      <c r="K109" s="16"/>
    </row>
    <row r="110" spans="1:14" x14ac:dyDescent="0.25">
      <c r="A110" t="s">
        <v>37</v>
      </c>
      <c r="D110" t="s">
        <v>41</v>
      </c>
      <c r="I110" t="s">
        <v>129</v>
      </c>
      <c r="J110" t="s">
        <v>126</v>
      </c>
      <c r="K110" s="16">
        <f>1.5*0.85</f>
        <v>1.2749999999999999</v>
      </c>
      <c r="N110" t="s">
        <v>134</v>
      </c>
    </row>
    <row r="111" spans="1:14" x14ac:dyDescent="0.25">
      <c r="A111" t="s">
        <v>37</v>
      </c>
      <c r="D111" t="s">
        <v>42</v>
      </c>
      <c r="I111" t="s">
        <v>129</v>
      </c>
      <c r="J111" t="s">
        <v>126</v>
      </c>
      <c r="K111" s="19">
        <v>0</v>
      </c>
    </row>
    <row r="112" spans="1:14" x14ac:dyDescent="0.25">
      <c r="A112" t="s">
        <v>37</v>
      </c>
      <c r="D112" t="s">
        <v>44</v>
      </c>
      <c r="I112" t="s">
        <v>129</v>
      </c>
      <c r="J112" t="s">
        <v>126</v>
      </c>
      <c r="K112" s="20">
        <f>K114</f>
        <v>5.9500000000000004E-2</v>
      </c>
      <c r="M112" t="s">
        <v>130</v>
      </c>
    </row>
    <row r="113" spans="1:14" x14ac:dyDescent="0.25">
      <c r="A113" t="s">
        <v>37</v>
      </c>
      <c r="D113" t="s">
        <v>43</v>
      </c>
      <c r="I113" t="s">
        <v>129</v>
      </c>
      <c r="J113" t="s">
        <v>126</v>
      </c>
      <c r="K113" s="16">
        <v>0</v>
      </c>
      <c r="M113" t="s">
        <v>135</v>
      </c>
      <c r="N113" t="s">
        <v>134</v>
      </c>
    </row>
    <row r="114" spans="1:14" x14ac:dyDescent="0.25">
      <c r="A114" t="s">
        <v>37</v>
      </c>
      <c r="D114" t="s">
        <v>38</v>
      </c>
      <c r="I114" t="s">
        <v>129</v>
      </c>
      <c r="J114" t="s">
        <v>126</v>
      </c>
      <c r="K114" s="16">
        <f>0.07*0.85</f>
        <v>5.9500000000000004E-2</v>
      </c>
      <c r="N114" t="s">
        <v>134</v>
      </c>
    </row>
    <row r="115" spans="1:14" x14ac:dyDescent="0.25">
      <c r="A115" t="s">
        <v>37</v>
      </c>
      <c r="D115" t="s">
        <v>39</v>
      </c>
      <c r="I115" t="s">
        <v>129</v>
      </c>
      <c r="J115" t="s">
        <v>126</v>
      </c>
      <c r="K115" s="20">
        <f>K114</f>
        <v>5.9500000000000004E-2</v>
      </c>
    </row>
    <row r="116" spans="1:14" x14ac:dyDescent="0.25">
      <c r="K116" s="20"/>
    </row>
    <row r="117" spans="1:14" x14ac:dyDescent="0.25">
      <c r="A117" t="s">
        <v>51</v>
      </c>
      <c r="C117" t="s">
        <v>62</v>
      </c>
      <c r="K117" s="20"/>
    </row>
    <row r="118" spans="1:14" x14ac:dyDescent="0.25">
      <c r="K118" s="20"/>
    </row>
    <row r="119" spans="1:14" x14ac:dyDescent="0.25">
      <c r="A119" t="s">
        <v>51</v>
      </c>
      <c r="C119" t="s">
        <v>52</v>
      </c>
    </row>
    <row r="120" spans="1:14" x14ac:dyDescent="0.25">
      <c r="J120" s="1"/>
      <c r="K120" s="1"/>
      <c r="L120" s="1"/>
      <c r="M120" s="1"/>
    </row>
    <row r="121" spans="1:14" x14ac:dyDescent="0.25">
      <c r="A121" s="2" t="s">
        <v>40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1:14" x14ac:dyDescent="0.25">
      <c r="A122" s="11" t="s">
        <v>81</v>
      </c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</row>
    <row r="123" spans="1:14" x14ac:dyDescent="0.25">
      <c r="J123" s="5" t="s">
        <v>69</v>
      </c>
      <c r="K123" s="5">
        <v>0.04</v>
      </c>
      <c r="L123" s="5" t="s">
        <v>71</v>
      </c>
      <c r="M123" s="5" t="s">
        <v>72</v>
      </c>
      <c r="N123" s="5" t="s">
        <v>70</v>
      </c>
    </row>
    <row r="124" spans="1:14" x14ac:dyDescent="0.25">
      <c r="A124" s="5" t="s">
        <v>37</v>
      </c>
      <c r="J124" s="5" t="s">
        <v>69</v>
      </c>
      <c r="K124" s="5">
        <v>0.02</v>
      </c>
      <c r="L124" s="5" t="s">
        <v>71</v>
      </c>
      <c r="N124" s="5" t="s">
        <v>70</v>
      </c>
    </row>
    <row r="125" spans="1:14" x14ac:dyDescent="0.25">
      <c r="A125" s="5"/>
      <c r="J125" s="5"/>
      <c r="K125" s="5"/>
      <c r="L125" s="5"/>
      <c r="N125" s="5"/>
    </row>
    <row r="126" spans="1:14" x14ac:dyDescent="0.25">
      <c r="A126" s="11" t="s">
        <v>82</v>
      </c>
      <c r="B126" s="12"/>
      <c r="C126" s="12"/>
      <c r="D126" s="12"/>
      <c r="E126" s="12"/>
      <c r="F126" s="13"/>
      <c r="G126" s="12"/>
      <c r="H126" s="12"/>
      <c r="I126" s="12"/>
      <c r="J126" s="12"/>
      <c r="K126" s="12"/>
      <c r="L126" s="12"/>
      <c r="M126" s="12"/>
      <c r="N126" s="12"/>
    </row>
    <row r="127" spans="1:14" x14ac:dyDescent="0.25">
      <c r="J127" s="6" t="s">
        <v>58</v>
      </c>
      <c r="K127" s="6">
        <v>0</v>
      </c>
      <c r="L127" s="6" t="s">
        <v>59</v>
      </c>
      <c r="M127" s="6" t="s">
        <v>60</v>
      </c>
    </row>
    <row r="128" spans="1:14" x14ac:dyDescent="0.25">
      <c r="A128" t="s">
        <v>1</v>
      </c>
      <c r="C128" t="s">
        <v>2</v>
      </c>
      <c r="D128" t="s">
        <v>3</v>
      </c>
      <c r="J128" t="s">
        <v>58</v>
      </c>
      <c r="K128">
        <v>0.24</v>
      </c>
      <c r="L128" t="s">
        <v>59</v>
      </c>
      <c r="N128" t="s">
        <v>65</v>
      </c>
    </row>
    <row r="129" spans="1:14" x14ac:dyDescent="0.25">
      <c r="A129" t="s">
        <v>1</v>
      </c>
      <c r="J129" t="s">
        <v>58</v>
      </c>
      <c r="K129">
        <v>0.18</v>
      </c>
      <c r="L129" t="s">
        <v>59</v>
      </c>
      <c r="N129" t="s">
        <v>65</v>
      </c>
    </row>
    <row r="130" spans="1:14" x14ac:dyDescent="0.25">
      <c r="A130" t="s">
        <v>61</v>
      </c>
      <c r="J130" t="s">
        <v>58</v>
      </c>
      <c r="K130">
        <v>0.19</v>
      </c>
      <c r="L130" t="s">
        <v>59</v>
      </c>
      <c r="N130" t="s">
        <v>73</v>
      </c>
    </row>
    <row r="131" spans="1:14" x14ac:dyDescent="0.25">
      <c r="A131" t="s">
        <v>55</v>
      </c>
      <c r="J131" t="s">
        <v>58</v>
      </c>
      <c r="K131">
        <v>0.3</v>
      </c>
      <c r="L131" t="s">
        <v>59</v>
      </c>
      <c r="N131" t="s">
        <v>73</v>
      </c>
    </row>
    <row r="132" spans="1:14" x14ac:dyDescent="0.25">
      <c r="A132" t="s">
        <v>37</v>
      </c>
      <c r="J132" t="s">
        <v>58</v>
      </c>
      <c r="K132">
        <v>0.45</v>
      </c>
      <c r="L132" t="s">
        <v>59</v>
      </c>
      <c r="N132" t="s">
        <v>65</v>
      </c>
    </row>
    <row r="133" spans="1:14" x14ac:dyDescent="0.25">
      <c r="A133" t="s">
        <v>51</v>
      </c>
      <c r="C133" t="s">
        <v>52</v>
      </c>
      <c r="J133" t="s">
        <v>58</v>
      </c>
      <c r="K133">
        <v>0.36</v>
      </c>
      <c r="L133" t="s">
        <v>59</v>
      </c>
      <c r="N133" t="s">
        <v>73</v>
      </c>
    </row>
    <row r="134" spans="1:14" x14ac:dyDescent="0.25">
      <c r="A134" t="s">
        <v>51</v>
      </c>
      <c r="C134" t="s">
        <v>62</v>
      </c>
      <c r="J134" t="s">
        <v>58</v>
      </c>
      <c r="K134">
        <v>0.39</v>
      </c>
      <c r="L134" t="s">
        <v>59</v>
      </c>
      <c r="N134" t="s">
        <v>73</v>
      </c>
    </row>
    <row r="136" spans="1:14" x14ac:dyDescent="0.25">
      <c r="F136" s="5" t="s">
        <v>15</v>
      </c>
      <c r="J136" t="s">
        <v>63</v>
      </c>
      <c r="K136">
        <v>1</v>
      </c>
      <c r="L136" t="s">
        <v>64</v>
      </c>
      <c r="N136" t="s">
        <v>65</v>
      </c>
    </row>
    <row r="137" spans="1:14" x14ac:dyDescent="0.25">
      <c r="F137" s="5" t="s">
        <v>18</v>
      </c>
      <c r="J137" t="s">
        <v>63</v>
      </c>
      <c r="K137">
        <v>3.5</v>
      </c>
      <c r="L137" t="s">
        <v>64</v>
      </c>
      <c r="N137" t="s">
        <v>65</v>
      </c>
    </row>
    <row r="138" spans="1:14" x14ac:dyDescent="0.25">
      <c r="F138" s="5" t="s">
        <v>19</v>
      </c>
      <c r="J138" t="s">
        <v>63</v>
      </c>
      <c r="K138">
        <v>2</v>
      </c>
      <c r="L138" t="s">
        <v>64</v>
      </c>
      <c r="N138" t="s">
        <v>65</v>
      </c>
    </row>
    <row r="139" spans="1:14" x14ac:dyDescent="0.25">
      <c r="F139" s="5" t="s">
        <v>20</v>
      </c>
      <c r="J139" t="s">
        <v>63</v>
      </c>
      <c r="K139">
        <v>17</v>
      </c>
      <c r="L139" t="s">
        <v>64</v>
      </c>
      <c r="N139" t="s">
        <v>65</v>
      </c>
    </row>
    <row r="140" spans="1:14" x14ac:dyDescent="0.25">
      <c r="F140" s="5" t="s">
        <v>175</v>
      </c>
      <c r="J140" t="s">
        <v>63</v>
      </c>
      <c r="K140">
        <v>0.5</v>
      </c>
      <c r="L140" t="s">
        <v>64</v>
      </c>
      <c r="N140" t="s">
        <v>65</v>
      </c>
    </row>
    <row r="141" spans="1:14" x14ac:dyDescent="0.25">
      <c r="F141" s="5" t="s">
        <v>183</v>
      </c>
      <c r="J141" t="s">
        <v>63</v>
      </c>
      <c r="K141">
        <v>10.7</v>
      </c>
      <c r="L141" t="s">
        <v>64</v>
      </c>
      <c r="N141" t="s">
        <v>65</v>
      </c>
    </row>
    <row r="142" spans="1:14" x14ac:dyDescent="0.25">
      <c r="F142" s="5"/>
    </row>
    <row r="143" spans="1:14" x14ac:dyDescent="0.25">
      <c r="J143" t="s">
        <v>74</v>
      </c>
      <c r="K143">
        <v>55</v>
      </c>
      <c r="L143" t="s">
        <v>17</v>
      </c>
      <c r="M143" t="s">
        <v>77</v>
      </c>
      <c r="N143" t="s">
        <v>75</v>
      </c>
    </row>
    <row r="144" spans="1:14" x14ac:dyDescent="0.25">
      <c r="F144" s="5"/>
      <c r="J144" t="s">
        <v>76</v>
      </c>
      <c r="K144">
        <v>10</v>
      </c>
      <c r="L144" t="s">
        <v>17</v>
      </c>
      <c r="M144" t="s">
        <v>78</v>
      </c>
      <c r="N144" t="s">
        <v>75</v>
      </c>
    </row>
    <row r="145" spans="1:14" x14ac:dyDescent="0.25">
      <c r="F145" s="5" t="s">
        <v>15</v>
      </c>
      <c r="J145" t="s">
        <v>76</v>
      </c>
      <c r="K145">
        <v>0</v>
      </c>
      <c r="L145" t="s">
        <v>17</v>
      </c>
    </row>
    <row r="147" spans="1:14" x14ac:dyDescent="0.25">
      <c r="A147" s="2" t="s">
        <v>195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1:14" s="9" customFormat="1" x14ac:dyDescent="0.25">
      <c r="A148" s="11" t="s">
        <v>81</v>
      </c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</row>
    <row r="149" spans="1:14" x14ac:dyDescent="0.25">
      <c r="A149" s="7" t="s">
        <v>1</v>
      </c>
      <c r="B149" s="7"/>
      <c r="C149" s="7" t="s">
        <v>2</v>
      </c>
      <c r="D149" s="7" t="s">
        <v>3</v>
      </c>
      <c r="E149" s="7"/>
      <c r="F149" s="7"/>
      <c r="G149" s="7"/>
      <c r="H149" s="7"/>
      <c r="I149" s="7"/>
      <c r="J149" s="7" t="s">
        <v>5</v>
      </c>
      <c r="K149" s="7">
        <v>137</v>
      </c>
      <c r="L149" s="7" t="s">
        <v>6</v>
      </c>
      <c r="M149" s="7"/>
      <c r="N149" s="7" t="s">
        <v>4</v>
      </c>
    </row>
    <row r="150" spans="1:14" x14ac:dyDescent="0.25">
      <c r="A150" s="7" t="s">
        <v>1</v>
      </c>
      <c r="B150" s="7"/>
      <c r="C150" s="7" t="s">
        <v>7</v>
      </c>
      <c r="D150" s="7" t="s">
        <v>3</v>
      </c>
      <c r="E150" s="7"/>
      <c r="F150" s="7"/>
      <c r="G150" s="7"/>
      <c r="H150" s="7"/>
      <c r="I150" s="7"/>
      <c r="J150" s="7" t="s">
        <v>5</v>
      </c>
      <c r="K150" s="7">
        <v>63</v>
      </c>
      <c r="L150" s="7" t="s">
        <v>6</v>
      </c>
      <c r="M150" s="7"/>
      <c r="N150" s="7" t="s">
        <v>8</v>
      </c>
    </row>
    <row r="151" spans="1:14" x14ac:dyDescent="0.25">
      <c r="A151" s="7" t="s">
        <v>1</v>
      </c>
      <c r="B151" s="7"/>
      <c r="C151" s="7"/>
      <c r="D151" s="7" t="s">
        <v>9</v>
      </c>
      <c r="E151" s="7"/>
      <c r="F151" s="7"/>
      <c r="G151" s="7"/>
      <c r="H151" s="7"/>
      <c r="I151" s="7"/>
      <c r="J151" s="7" t="s">
        <v>5</v>
      </c>
      <c r="K151" s="7">
        <v>47</v>
      </c>
      <c r="L151" s="7" t="s">
        <v>6</v>
      </c>
      <c r="M151" s="7"/>
      <c r="N151" s="7" t="s">
        <v>8</v>
      </c>
    </row>
    <row r="152" spans="1:14" x14ac:dyDescent="0.25">
      <c r="A152" s="7" t="s">
        <v>1</v>
      </c>
      <c r="B152" s="7"/>
      <c r="C152" s="7"/>
      <c r="D152" s="7" t="s">
        <v>10</v>
      </c>
      <c r="E152" s="7"/>
      <c r="F152" s="7"/>
      <c r="G152" s="7"/>
      <c r="H152" s="7"/>
      <c r="I152" s="7"/>
      <c r="J152" s="7" t="s">
        <v>5</v>
      </c>
      <c r="K152" s="7">
        <v>28</v>
      </c>
      <c r="L152" s="7" t="s">
        <v>6</v>
      </c>
      <c r="M152" s="7"/>
      <c r="N152" s="7" t="s">
        <v>8</v>
      </c>
    </row>
    <row r="153" spans="1:14" x14ac:dyDescent="0.25">
      <c r="A153" s="7" t="s">
        <v>1</v>
      </c>
      <c r="B153" s="7"/>
      <c r="C153" s="7"/>
      <c r="D153" s="7" t="s">
        <v>11</v>
      </c>
      <c r="E153" s="7"/>
      <c r="F153" s="7"/>
      <c r="G153" s="7"/>
      <c r="H153" s="7"/>
      <c r="I153" s="7"/>
      <c r="J153" s="7" t="s">
        <v>5</v>
      </c>
      <c r="K153" s="7">
        <v>47</v>
      </c>
      <c r="L153" s="7" t="s">
        <v>6</v>
      </c>
      <c r="M153" s="7"/>
      <c r="N153" s="7" t="s">
        <v>8</v>
      </c>
    </row>
    <row r="154" spans="1:14" x14ac:dyDescent="0.25">
      <c r="A154" s="7" t="s">
        <v>1</v>
      </c>
      <c r="B154" s="7"/>
      <c r="C154" s="7"/>
      <c r="D154" s="7" t="s">
        <v>12</v>
      </c>
      <c r="E154" s="7"/>
      <c r="F154" s="7"/>
      <c r="G154" s="7"/>
      <c r="H154" s="7"/>
      <c r="I154" s="7"/>
      <c r="J154" s="7" t="s">
        <v>5</v>
      </c>
      <c r="K154" s="7">
        <v>47</v>
      </c>
      <c r="L154" s="7" t="s">
        <v>6</v>
      </c>
      <c r="M154" s="7"/>
      <c r="N154" s="7" t="s">
        <v>8</v>
      </c>
    </row>
    <row r="155" spans="1:14" x14ac:dyDescent="0.25">
      <c r="A155" s="7" t="s">
        <v>1</v>
      </c>
      <c r="B155" s="7"/>
      <c r="C155" s="7"/>
      <c r="D155" s="7" t="s">
        <v>13</v>
      </c>
      <c r="E155" s="7"/>
      <c r="F155" s="7"/>
      <c r="G155" s="7"/>
      <c r="H155" s="7"/>
      <c r="I155" s="7"/>
      <c r="J155" s="7" t="s">
        <v>5</v>
      </c>
      <c r="K155" s="7">
        <v>47</v>
      </c>
      <c r="L155" s="7" t="s">
        <v>6</v>
      </c>
      <c r="M155" s="7" t="s">
        <v>14</v>
      </c>
      <c r="N155" s="7" t="s">
        <v>8</v>
      </c>
    </row>
    <row r="156" spans="1:14" x14ac:dyDescent="0.25">
      <c r="A156" s="7" t="s">
        <v>37</v>
      </c>
      <c r="B156" s="7"/>
      <c r="C156" s="7"/>
      <c r="D156" s="7" t="s">
        <v>41</v>
      </c>
      <c r="E156" s="7"/>
      <c r="F156" s="7"/>
      <c r="G156" s="7"/>
      <c r="H156" s="7"/>
      <c r="I156" s="7"/>
      <c r="J156" s="7" t="s">
        <v>5</v>
      </c>
      <c r="K156" s="7">
        <v>22.5</v>
      </c>
      <c r="L156" s="7" t="s">
        <v>6</v>
      </c>
      <c r="M156" s="7"/>
      <c r="N156" s="7" t="s">
        <v>8</v>
      </c>
    </row>
    <row r="157" spans="1:14" x14ac:dyDescent="0.25">
      <c r="A157" s="7" t="s">
        <v>37</v>
      </c>
      <c r="B157" s="7"/>
      <c r="C157" s="7"/>
      <c r="D157" s="7" t="s">
        <v>42</v>
      </c>
      <c r="E157" s="7"/>
      <c r="F157" s="7"/>
      <c r="G157" s="7"/>
      <c r="H157" s="7"/>
      <c r="I157" s="7"/>
      <c r="J157" s="7" t="s">
        <v>5</v>
      </c>
      <c r="K157" s="7">
        <v>13</v>
      </c>
      <c r="L157" s="7" t="s">
        <v>6</v>
      </c>
      <c r="M157" s="7"/>
      <c r="N157" s="7" t="s">
        <v>8</v>
      </c>
    </row>
    <row r="158" spans="1:14" x14ac:dyDescent="0.25">
      <c r="A158" s="7" t="s">
        <v>37</v>
      </c>
      <c r="B158" s="7"/>
      <c r="C158" s="7"/>
      <c r="D158" s="7" t="s">
        <v>43</v>
      </c>
      <c r="E158" s="7"/>
      <c r="F158" s="7"/>
      <c r="G158" s="7"/>
      <c r="H158" s="7"/>
      <c r="I158" s="7"/>
      <c r="J158" s="7" t="s">
        <v>5</v>
      </c>
      <c r="K158" s="7">
        <v>1.2</v>
      </c>
      <c r="L158" s="7" t="s">
        <v>6</v>
      </c>
      <c r="M158" s="8" t="s">
        <v>47</v>
      </c>
      <c r="N158" s="7" t="s">
        <v>8</v>
      </c>
    </row>
    <row r="159" spans="1:14" x14ac:dyDescent="0.25">
      <c r="A159" s="7" t="s">
        <v>37</v>
      </c>
      <c r="B159" s="7"/>
      <c r="C159" s="7"/>
      <c r="D159" s="7" t="s">
        <v>44</v>
      </c>
      <c r="E159" s="7"/>
      <c r="F159" s="7"/>
      <c r="G159" s="7"/>
      <c r="H159" s="7"/>
      <c r="I159" s="7"/>
      <c r="J159" s="7" t="s">
        <v>5</v>
      </c>
      <c r="K159" s="7">
        <v>9.5</v>
      </c>
      <c r="L159" s="7" t="s">
        <v>6</v>
      </c>
      <c r="M159" s="7" t="s">
        <v>45</v>
      </c>
      <c r="N159" s="7" t="s">
        <v>8</v>
      </c>
    </row>
    <row r="160" spans="1:14" x14ac:dyDescent="0.25">
      <c r="A160" s="7" t="s">
        <v>37</v>
      </c>
      <c r="B160" s="7"/>
      <c r="C160" s="7"/>
      <c r="D160" s="7" t="s">
        <v>38</v>
      </c>
      <c r="E160" s="7"/>
      <c r="F160" s="7"/>
      <c r="G160" s="7"/>
      <c r="H160" s="7"/>
      <c r="I160" s="7"/>
      <c r="J160" s="7" t="s">
        <v>5</v>
      </c>
      <c r="K160" s="7">
        <v>9.5</v>
      </c>
      <c r="L160" s="7" t="s">
        <v>6</v>
      </c>
      <c r="M160" s="7" t="s">
        <v>46</v>
      </c>
      <c r="N160" s="7" t="s">
        <v>8</v>
      </c>
    </row>
    <row r="161" spans="1:14" x14ac:dyDescent="0.25">
      <c r="A161" s="7" t="s">
        <v>37</v>
      </c>
      <c r="B161" s="7"/>
      <c r="C161" s="7"/>
      <c r="D161" s="7" t="s">
        <v>39</v>
      </c>
      <c r="E161" s="7"/>
      <c r="F161" s="7"/>
      <c r="G161" s="7"/>
      <c r="H161" s="7"/>
      <c r="I161" s="7"/>
      <c r="J161" s="7" t="s">
        <v>5</v>
      </c>
      <c r="K161" s="7">
        <v>9.5</v>
      </c>
      <c r="L161" s="7" t="s">
        <v>6</v>
      </c>
      <c r="M161" s="7" t="s">
        <v>46</v>
      </c>
      <c r="N161" s="7" t="s">
        <v>8</v>
      </c>
    </row>
    <row r="162" spans="1:14" x14ac:dyDescent="0.25">
      <c r="A162" t="s">
        <v>55</v>
      </c>
      <c r="J162" t="s">
        <v>5</v>
      </c>
      <c r="K162">
        <v>48</v>
      </c>
      <c r="L162" t="s">
        <v>6</v>
      </c>
      <c r="N162" t="s">
        <v>8</v>
      </c>
    </row>
    <row r="163" spans="1:14" x14ac:dyDescent="0.25">
      <c r="A163" t="s">
        <v>55</v>
      </c>
      <c r="J163" t="s">
        <v>104</v>
      </c>
      <c r="K163" s="14">
        <f>K162 * (6.4/2.29)/16</f>
        <v>8.3842794759825345</v>
      </c>
      <c r="L163" t="s">
        <v>107</v>
      </c>
      <c r="M163" t="s">
        <v>109</v>
      </c>
      <c r="N163" t="s">
        <v>113</v>
      </c>
    </row>
    <row r="164" spans="1:14" x14ac:dyDescent="0.25">
      <c r="A164" t="s">
        <v>55</v>
      </c>
      <c r="J164" t="s">
        <v>105</v>
      </c>
      <c r="K164" s="14">
        <f>K162 * (15.9/(47/39))/16</f>
        <v>39.58085106382979</v>
      </c>
      <c r="L164" t="s">
        <v>108</v>
      </c>
      <c r="M164" t="s">
        <v>110</v>
      </c>
      <c r="N164" t="s">
        <v>113</v>
      </c>
    </row>
    <row r="165" spans="1:14" x14ac:dyDescent="0.25">
      <c r="A165" t="s">
        <v>61</v>
      </c>
      <c r="J165" t="s">
        <v>5</v>
      </c>
      <c r="K165" s="14">
        <v>14</v>
      </c>
      <c r="L165" t="s">
        <v>6</v>
      </c>
      <c r="N165" t="s">
        <v>8</v>
      </c>
    </row>
    <row r="166" spans="1:14" x14ac:dyDescent="0.25">
      <c r="A166" t="s">
        <v>61</v>
      </c>
      <c r="J166" t="s">
        <v>104</v>
      </c>
      <c r="K166" s="14">
        <f>K165 * (4.8/2.29)/14.4</f>
        <v>2.0378457059679769</v>
      </c>
      <c r="L166" t="s">
        <v>107</v>
      </c>
      <c r="N166" t="s">
        <v>193</v>
      </c>
    </row>
    <row r="167" spans="1:14" x14ac:dyDescent="0.25">
      <c r="A167" t="s">
        <v>61</v>
      </c>
      <c r="J167" t="s">
        <v>105</v>
      </c>
      <c r="K167" s="14">
        <f>K165 * (25.2/(47/39))/14.4</f>
        <v>20.329787234042556</v>
      </c>
      <c r="L167" t="s">
        <v>108</v>
      </c>
      <c r="N167" t="s">
        <v>193</v>
      </c>
    </row>
    <row r="168" spans="1:14" x14ac:dyDescent="0.25">
      <c r="A168" t="s">
        <v>61</v>
      </c>
      <c r="D168" t="s">
        <v>93</v>
      </c>
      <c r="J168" t="s">
        <v>5</v>
      </c>
      <c r="K168" s="14">
        <v>0</v>
      </c>
      <c r="L168" t="s">
        <v>6</v>
      </c>
      <c r="M168" t="s">
        <v>192</v>
      </c>
      <c r="N168" t="s">
        <v>8</v>
      </c>
    </row>
    <row r="169" spans="1:14" x14ac:dyDescent="0.25">
      <c r="A169" t="s">
        <v>61</v>
      </c>
      <c r="D169" t="s">
        <v>93</v>
      </c>
      <c r="J169" t="s">
        <v>104</v>
      </c>
      <c r="K169" s="14">
        <v>0</v>
      </c>
      <c r="L169" t="s">
        <v>107</v>
      </c>
    </row>
    <row r="170" spans="1:14" x14ac:dyDescent="0.25">
      <c r="A170" t="s">
        <v>61</v>
      </c>
      <c r="D170" t="s">
        <v>93</v>
      </c>
      <c r="J170" t="s">
        <v>105</v>
      </c>
      <c r="K170" s="14">
        <v>0</v>
      </c>
      <c r="L170" t="s">
        <v>108</v>
      </c>
    </row>
    <row r="171" spans="1:14" x14ac:dyDescent="0.25">
      <c r="A171" t="s">
        <v>51</v>
      </c>
      <c r="C171" t="s">
        <v>62</v>
      </c>
      <c r="J171" t="s">
        <v>5</v>
      </c>
      <c r="K171" s="16">
        <v>0.6</v>
      </c>
      <c r="L171" t="s">
        <v>6</v>
      </c>
      <c r="N171" t="s">
        <v>8</v>
      </c>
    </row>
    <row r="172" spans="1:14" x14ac:dyDescent="0.25">
      <c r="A172" t="s">
        <v>51</v>
      </c>
      <c r="C172" t="s">
        <v>62</v>
      </c>
      <c r="J172" t="s">
        <v>104</v>
      </c>
      <c r="K172" s="16">
        <f>K171 * (0.39/2.29)/0.75</f>
        <v>0.13624454148471615</v>
      </c>
      <c r="L172" t="s">
        <v>107</v>
      </c>
      <c r="M172" t="s">
        <v>109</v>
      </c>
      <c r="N172" t="s">
        <v>112</v>
      </c>
    </row>
    <row r="173" spans="1:14" x14ac:dyDescent="0.25">
      <c r="A173" t="s">
        <v>51</v>
      </c>
      <c r="C173" t="s">
        <v>62</v>
      </c>
      <c r="J173" t="s">
        <v>105</v>
      </c>
      <c r="K173" s="16">
        <f>K171 * (0.33/(47/39))/0.75</f>
        <v>0.21906382978723404</v>
      </c>
      <c r="L173" t="s">
        <v>108</v>
      </c>
      <c r="M173" t="s">
        <v>110</v>
      </c>
      <c r="N173" t="s">
        <v>112</v>
      </c>
    </row>
    <row r="174" spans="1:14" x14ac:dyDescent="0.25">
      <c r="A174" t="s">
        <v>51</v>
      </c>
      <c r="C174" t="s">
        <v>52</v>
      </c>
      <c r="D174" t="s">
        <v>53</v>
      </c>
      <c r="J174" t="s">
        <v>5</v>
      </c>
      <c r="K174">
        <v>0.28999999999999998</v>
      </c>
      <c r="L174" t="s">
        <v>6</v>
      </c>
      <c r="N174" t="s">
        <v>8</v>
      </c>
    </row>
    <row r="175" spans="1:14" x14ac:dyDescent="0.25">
      <c r="A175" t="s">
        <v>51</v>
      </c>
      <c r="C175" t="s">
        <v>52</v>
      </c>
      <c r="D175" t="s">
        <v>53</v>
      </c>
      <c r="J175" t="s">
        <v>104</v>
      </c>
      <c r="K175" s="16">
        <f>K174 * (0.19/2.29)/0.53</f>
        <v>4.5398368624866105E-2</v>
      </c>
      <c r="L175" t="s">
        <v>107</v>
      </c>
      <c r="M175" t="s">
        <v>109</v>
      </c>
      <c r="N175" t="s">
        <v>106</v>
      </c>
    </row>
    <row r="176" spans="1:14" x14ac:dyDescent="0.25">
      <c r="A176" t="s">
        <v>51</v>
      </c>
      <c r="C176" t="s">
        <v>52</v>
      </c>
      <c r="D176" t="s">
        <v>53</v>
      </c>
      <c r="J176" t="s">
        <v>105</v>
      </c>
      <c r="K176" s="16">
        <f>K174 * (0.26/(47/39))/0.53</f>
        <v>0.11804897631473303</v>
      </c>
      <c r="L176" t="s">
        <v>108</v>
      </c>
      <c r="M176" t="s">
        <v>110</v>
      </c>
      <c r="N176" t="s">
        <v>106</v>
      </c>
    </row>
    <row r="177" spans="1:14" x14ac:dyDescent="0.25">
      <c r="A177" t="s">
        <v>51</v>
      </c>
      <c r="C177" t="s">
        <v>52</v>
      </c>
      <c r="J177" t="s">
        <v>5</v>
      </c>
      <c r="K177" s="16">
        <v>0.6</v>
      </c>
      <c r="L177" t="s">
        <v>6</v>
      </c>
      <c r="M177" t="s">
        <v>54</v>
      </c>
      <c r="N177" t="s">
        <v>8</v>
      </c>
    </row>
    <row r="178" spans="1:14" x14ac:dyDescent="0.25">
      <c r="A178" t="s">
        <v>51</v>
      </c>
      <c r="C178" t="s">
        <v>52</v>
      </c>
      <c r="J178" t="s">
        <v>104</v>
      </c>
      <c r="K178" s="16">
        <f>K177 * (0.55/2.29)/1.12</f>
        <v>0.12866500311915158</v>
      </c>
      <c r="L178" t="s">
        <v>107</v>
      </c>
      <c r="M178" t="s">
        <v>109</v>
      </c>
      <c r="N178" t="s">
        <v>111</v>
      </c>
    </row>
    <row r="179" spans="1:14" x14ac:dyDescent="0.25">
      <c r="A179" t="s">
        <v>51</v>
      </c>
      <c r="C179" t="s">
        <v>52</v>
      </c>
      <c r="J179" t="s">
        <v>105</v>
      </c>
      <c r="K179" s="16">
        <f>K177 * (0.44/(47/39))/1.12</f>
        <v>0.19559270516717325</v>
      </c>
      <c r="L179" t="s">
        <v>108</v>
      </c>
      <c r="M179" t="s">
        <v>110</v>
      </c>
      <c r="N179" t="s">
        <v>111</v>
      </c>
    </row>
    <row r="180" spans="1:14" x14ac:dyDescent="0.25">
      <c r="F180" s="5"/>
    </row>
    <row r="181" spans="1:14" s="9" customFormat="1" x14ac:dyDescent="0.25">
      <c r="A181" s="10"/>
      <c r="J181" s="6" t="s">
        <v>79</v>
      </c>
      <c r="K181" s="15">
        <v>0</v>
      </c>
      <c r="L181" s="15"/>
      <c r="M181" s="15" t="s">
        <v>99</v>
      </c>
    </row>
    <row r="182" spans="1:14" s="9" customFormat="1" x14ac:dyDescent="0.25">
      <c r="A182" s="10"/>
      <c r="J182" s="6" t="s">
        <v>83</v>
      </c>
      <c r="K182" s="15">
        <v>0</v>
      </c>
      <c r="L182" s="15"/>
      <c r="M182" s="15" t="s">
        <v>99</v>
      </c>
    </row>
    <row r="183" spans="1:14" s="9" customFormat="1" x14ac:dyDescent="0.25">
      <c r="A183" s="10"/>
      <c r="J183" s="6" t="s">
        <v>84</v>
      </c>
      <c r="K183" s="15">
        <v>0</v>
      </c>
      <c r="L183" s="15"/>
      <c r="M183" s="15" t="s">
        <v>99</v>
      </c>
    </row>
    <row r="184" spans="1:14" x14ac:dyDescent="0.25">
      <c r="A184" t="s">
        <v>1</v>
      </c>
      <c r="D184" t="s">
        <v>3</v>
      </c>
      <c r="F184" s="5"/>
      <c r="J184" t="s">
        <v>79</v>
      </c>
      <c r="K184">
        <v>22.5</v>
      </c>
      <c r="L184" t="s">
        <v>85</v>
      </c>
      <c r="M184" t="s">
        <v>88</v>
      </c>
      <c r="N184" t="s">
        <v>101</v>
      </c>
    </row>
    <row r="185" spans="1:14" x14ac:dyDescent="0.25">
      <c r="A185" t="s">
        <v>1</v>
      </c>
      <c r="D185" t="s">
        <v>3</v>
      </c>
      <c r="F185" s="5"/>
      <c r="J185" t="s">
        <v>83</v>
      </c>
      <c r="K185">
        <v>7.4</v>
      </c>
      <c r="L185" t="s">
        <v>86</v>
      </c>
      <c r="N185" t="s">
        <v>101</v>
      </c>
    </row>
    <row r="186" spans="1:14" x14ac:dyDescent="0.25">
      <c r="A186" t="s">
        <v>1</v>
      </c>
      <c r="D186" t="s">
        <v>3</v>
      </c>
      <c r="F186" s="5"/>
      <c r="J186" t="s">
        <v>84</v>
      </c>
      <c r="K186" s="14">
        <v>2</v>
      </c>
      <c r="L186" t="s">
        <v>87</v>
      </c>
      <c r="N186" t="s">
        <v>101</v>
      </c>
    </row>
    <row r="187" spans="1:14" x14ac:dyDescent="0.25">
      <c r="A187" t="s">
        <v>1</v>
      </c>
      <c r="D187" t="s">
        <v>9</v>
      </c>
      <c r="F187" s="5"/>
      <c r="J187" t="s">
        <v>79</v>
      </c>
      <c r="K187">
        <f>23.1</f>
        <v>23.1</v>
      </c>
      <c r="L187" t="s">
        <v>85</v>
      </c>
      <c r="M187" t="s">
        <v>89</v>
      </c>
      <c r="N187" t="s">
        <v>101</v>
      </c>
    </row>
    <row r="188" spans="1:14" x14ac:dyDescent="0.25">
      <c r="A188" t="s">
        <v>1</v>
      </c>
      <c r="D188" t="s">
        <v>9</v>
      </c>
      <c r="F188" s="5"/>
      <c r="J188" t="s">
        <v>83</v>
      </c>
      <c r="K188">
        <v>7.4</v>
      </c>
      <c r="L188" t="s">
        <v>86</v>
      </c>
      <c r="N188" t="s">
        <v>101</v>
      </c>
    </row>
    <row r="189" spans="1:14" x14ac:dyDescent="0.25">
      <c r="A189" t="s">
        <v>1</v>
      </c>
      <c r="D189" t="s">
        <v>9</v>
      </c>
      <c r="F189" s="5"/>
      <c r="J189" t="s">
        <v>84</v>
      </c>
      <c r="K189" s="14">
        <v>2</v>
      </c>
      <c r="L189" t="s">
        <v>87</v>
      </c>
      <c r="N189" t="s">
        <v>101</v>
      </c>
    </row>
    <row r="190" spans="1:14" x14ac:dyDescent="0.25">
      <c r="A190" t="s">
        <v>1</v>
      </c>
      <c r="D190" t="s">
        <v>10</v>
      </c>
      <c r="F190" s="5"/>
      <c r="J190" t="s">
        <v>79</v>
      </c>
      <c r="K190">
        <v>26.4</v>
      </c>
      <c r="L190" t="s">
        <v>85</v>
      </c>
      <c r="M190" t="s">
        <v>90</v>
      </c>
      <c r="N190" t="s">
        <v>101</v>
      </c>
    </row>
    <row r="191" spans="1:14" x14ac:dyDescent="0.25">
      <c r="A191" t="s">
        <v>1</v>
      </c>
      <c r="D191" t="s">
        <v>10</v>
      </c>
      <c r="F191" s="5"/>
      <c r="J191" t="s">
        <v>83</v>
      </c>
      <c r="K191">
        <v>6.85</v>
      </c>
      <c r="L191" t="s">
        <v>86</v>
      </c>
      <c r="N191" t="s">
        <v>101</v>
      </c>
    </row>
    <row r="192" spans="1:14" x14ac:dyDescent="0.25">
      <c r="A192" t="s">
        <v>1</v>
      </c>
      <c r="D192" t="s">
        <v>10</v>
      </c>
      <c r="F192" s="5"/>
      <c r="J192" t="s">
        <v>84</v>
      </c>
      <c r="K192">
        <v>1.69</v>
      </c>
      <c r="L192" t="s">
        <v>87</v>
      </c>
      <c r="N192" t="s">
        <v>101</v>
      </c>
    </row>
    <row r="193" spans="1:14" x14ac:dyDescent="0.25">
      <c r="A193" t="s">
        <v>1</v>
      </c>
      <c r="D193" t="s">
        <v>11</v>
      </c>
      <c r="F193" s="5"/>
      <c r="J193" t="s">
        <v>79</v>
      </c>
      <c r="K193">
        <v>27.04</v>
      </c>
      <c r="L193" t="s">
        <v>85</v>
      </c>
      <c r="M193" t="s">
        <v>92</v>
      </c>
      <c r="N193" t="s">
        <v>101</v>
      </c>
    </row>
    <row r="194" spans="1:14" x14ac:dyDescent="0.25">
      <c r="A194" t="s">
        <v>1</v>
      </c>
      <c r="D194" t="s">
        <v>11</v>
      </c>
      <c r="F194" s="5"/>
      <c r="J194" t="s">
        <v>83</v>
      </c>
      <c r="K194">
        <v>7.4</v>
      </c>
      <c r="L194" t="s">
        <v>86</v>
      </c>
      <c r="N194" t="s">
        <v>101</v>
      </c>
    </row>
    <row r="195" spans="1:14" x14ac:dyDescent="0.25">
      <c r="A195" t="s">
        <v>1</v>
      </c>
      <c r="D195" t="s">
        <v>11</v>
      </c>
      <c r="F195" s="5"/>
      <c r="J195" t="s">
        <v>84</v>
      </c>
      <c r="K195">
        <v>1.91</v>
      </c>
      <c r="L195" t="s">
        <v>87</v>
      </c>
      <c r="N195" t="s">
        <v>101</v>
      </c>
    </row>
    <row r="196" spans="1:14" x14ac:dyDescent="0.25">
      <c r="A196" t="s">
        <v>1</v>
      </c>
      <c r="D196" t="s">
        <v>12</v>
      </c>
      <c r="F196" s="5"/>
      <c r="J196" t="s">
        <v>79</v>
      </c>
      <c r="K196">
        <v>27.04</v>
      </c>
      <c r="L196" t="s">
        <v>85</v>
      </c>
      <c r="M196" t="s">
        <v>92</v>
      </c>
      <c r="N196" t="s">
        <v>101</v>
      </c>
    </row>
    <row r="197" spans="1:14" x14ac:dyDescent="0.25">
      <c r="A197" t="s">
        <v>1</v>
      </c>
      <c r="D197" t="s">
        <v>12</v>
      </c>
      <c r="F197" s="5"/>
      <c r="J197" t="s">
        <v>83</v>
      </c>
      <c r="K197">
        <v>7.4</v>
      </c>
      <c r="L197" t="s">
        <v>86</v>
      </c>
      <c r="N197" t="s">
        <v>101</v>
      </c>
    </row>
    <row r="198" spans="1:14" x14ac:dyDescent="0.25">
      <c r="A198" t="s">
        <v>1</v>
      </c>
      <c r="D198" t="s">
        <v>12</v>
      </c>
      <c r="F198" s="5"/>
      <c r="J198" t="s">
        <v>84</v>
      </c>
      <c r="K198">
        <v>1.91</v>
      </c>
      <c r="L198" t="s">
        <v>87</v>
      </c>
      <c r="N198" t="s">
        <v>101</v>
      </c>
    </row>
    <row r="199" spans="1:14" x14ac:dyDescent="0.25">
      <c r="A199" t="s">
        <v>1</v>
      </c>
      <c r="D199" t="s">
        <v>13</v>
      </c>
      <c r="F199" s="5"/>
      <c r="J199" t="s">
        <v>79</v>
      </c>
      <c r="K199">
        <v>25.28</v>
      </c>
      <c r="L199" t="s">
        <v>85</v>
      </c>
      <c r="M199" t="s">
        <v>91</v>
      </c>
      <c r="N199" t="s">
        <v>101</v>
      </c>
    </row>
    <row r="200" spans="1:14" x14ac:dyDescent="0.25">
      <c r="A200" t="s">
        <v>1</v>
      </c>
      <c r="D200" t="s">
        <v>13</v>
      </c>
      <c r="F200" s="5"/>
      <c r="J200" t="s">
        <v>83</v>
      </c>
      <c r="K200">
        <v>7.4</v>
      </c>
      <c r="L200" t="s">
        <v>86</v>
      </c>
      <c r="N200" t="s">
        <v>101</v>
      </c>
    </row>
    <row r="201" spans="1:14" x14ac:dyDescent="0.25">
      <c r="A201" t="s">
        <v>1</v>
      </c>
      <c r="D201" t="s">
        <v>13</v>
      </c>
      <c r="F201" s="5"/>
      <c r="J201" t="s">
        <v>84</v>
      </c>
      <c r="K201" s="14">
        <v>2</v>
      </c>
      <c r="L201" t="s">
        <v>87</v>
      </c>
      <c r="N201" t="s">
        <v>101</v>
      </c>
    </row>
    <row r="202" spans="1:14" x14ac:dyDescent="0.25">
      <c r="F202" s="5"/>
    </row>
    <row r="203" spans="1:14" x14ac:dyDescent="0.25">
      <c r="A203" t="s">
        <v>61</v>
      </c>
      <c r="F203" s="5"/>
      <c r="J203" t="s">
        <v>79</v>
      </c>
      <c r="K203" s="5">
        <v>25</v>
      </c>
      <c r="L203" t="s">
        <v>85</v>
      </c>
      <c r="M203" t="s">
        <v>102</v>
      </c>
      <c r="N203" t="s">
        <v>101</v>
      </c>
    </row>
    <row r="204" spans="1:14" x14ac:dyDescent="0.25">
      <c r="A204" t="s">
        <v>61</v>
      </c>
      <c r="F204" s="5"/>
      <c r="J204" t="s">
        <v>83</v>
      </c>
      <c r="K204" s="5">
        <v>7.8</v>
      </c>
      <c r="L204" t="s">
        <v>86</v>
      </c>
      <c r="N204" t="s">
        <v>101</v>
      </c>
    </row>
    <row r="205" spans="1:14" x14ac:dyDescent="0.25">
      <c r="A205" t="s">
        <v>61</v>
      </c>
      <c r="F205" s="5"/>
      <c r="J205" t="s">
        <v>84</v>
      </c>
      <c r="K205" s="5">
        <v>1.7</v>
      </c>
      <c r="L205" t="s">
        <v>87</v>
      </c>
      <c r="N205" t="s">
        <v>101</v>
      </c>
    </row>
    <row r="206" spans="1:14" x14ac:dyDescent="0.25">
      <c r="A206" t="s">
        <v>61</v>
      </c>
      <c r="D206" t="s">
        <v>93</v>
      </c>
      <c r="F206" s="5"/>
      <c r="J206" t="s">
        <v>79</v>
      </c>
      <c r="K206" s="5">
        <v>26.2</v>
      </c>
      <c r="L206" t="s">
        <v>85</v>
      </c>
      <c r="M206" t="s">
        <v>103</v>
      </c>
      <c r="N206" t="s">
        <v>101</v>
      </c>
    </row>
    <row r="207" spans="1:14" x14ac:dyDescent="0.25">
      <c r="A207" t="s">
        <v>61</v>
      </c>
      <c r="D207" t="s">
        <v>93</v>
      </c>
      <c r="F207" s="5"/>
      <c r="J207" t="s">
        <v>83</v>
      </c>
      <c r="K207" s="5">
        <v>5.2</v>
      </c>
      <c r="L207" t="s">
        <v>86</v>
      </c>
      <c r="N207" t="s">
        <v>101</v>
      </c>
    </row>
    <row r="208" spans="1:14" x14ac:dyDescent="0.25">
      <c r="A208" t="s">
        <v>61</v>
      </c>
      <c r="D208" t="s">
        <v>93</v>
      </c>
      <c r="F208" s="5"/>
      <c r="J208" t="s">
        <v>84</v>
      </c>
      <c r="K208" s="5">
        <v>1.7</v>
      </c>
      <c r="L208" t="s">
        <v>87</v>
      </c>
      <c r="N208" t="s">
        <v>101</v>
      </c>
    </row>
    <row r="209" spans="1:14" x14ac:dyDescent="0.25">
      <c r="F209" s="5"/>
      <c r="K209" s="5"/>
    </row>
    <row r="210" spans="1:14" x14ac:dyDescent="0.25">
      <c r="A210" t="s">
        <v>55</v>
      </c>
      <c r="F210" s="5"/>
      <c r="J210" t="s">
        <v>79</v>
      </c>
      <c r="K210" s="5">
        <v>29.9</v>
      </c>
      <c r="L210" t="s">
        <v>85</v>
      </c>
      <c r="M210" t="s">
        <v>100</v>
      </c>
      <c r="N210" t="s">
        <v>101</v>
      </c>
    </row>
    <row r="211" spans="1:14" x14ac:dyDescent="0.25">
      <c r="A211" t="s">
        <v>55</v>
      </c>
      <c r="F211" s="5"/>
      <c r="J211" t="s">
        <v>83</v>
      </c>
      <c r="K211" s="5">
        <v>7.5</v>
      </c>
      <c r="L211" t="s">
        <v>86</v>
      </c>
      <c r="N211" t="s">
        <v>101</v>
      </c>
    </row>
    <row r="212" spans="1:14" x14ac:dyDescent="0.25">
      <c r="A212" t="s">
        <v>55</v>
      </c>
      <c r="F212" s="5"/>
      <c r="J212" t="s">
        <v>84</v>
      </c>
      <c r="K212" s="5">
        <v>2</v>
      </c>
      <c r="L212" t="s">
        <v>87</v>
      </c>
      <c r="N212" t="s">
        <v>101</v>
      </c>
    </row>
    <row r="213" spans="1:14" x14ac:dyDescent="0.25">
      <c r="F213" s="5"/>
      <c r="K213" s="14"/>
    </row>
    <row r="214" spans="1:14" x14ac:dyDescent="0.25">
      <c r="A214" t="s">
        <v>37</v>
      </c>
      <c r="D214" t="s">
        <v>41</v>
      </c>
      <c r="F214" s="5"/>
      <c r="J214" t="s">
        <v>79</v>
      </c>
      <c r="K214">
        <v>25</v>
      </c>
      <c r="L214" t="s">
        <v>85</v>
      </c>
      <c r="M214" t="s">
        <v>94</v>
      </c>
      <c r="N214" t="s">
        <v>101</v>
      </c>
    </row>
    <row r="215" spans="1:14" x14ac:dyDescent="0.25">
      <c r="A215" t="s">
        <v>37</v>
      </c>
      <c r="D215" t="s">
        <v>41</v>
      </c>
      <c r="F215" s="5"/>
      <c r="J215" t="s">
        <v>83</v>
      </c>
      <c r="K215">
        <v>5.35</v>
      </c>
      <c r="L215" t="s">
        <v>86</v>
      </c>
      <c r="N215" t="s">
        <v>101</v>
      </c>
    </row>
    <row r="216" spans="1:14" x14ac:dyDescent="0.25">
      <c r="A216" t="s">
        <v>37</v>
      </c>
      <c r="D216" t="s">
        <v>41</v>
      </c>
      <c r="F216" s="5"/>
      <c r="J216" t="s">
        <v>84</v>
      </c>
      <c r="K216" s="14">
        <v>2.08</v>
      </c>
      <c r="L216" t="s">
        <v>87</v>
      </c>
      <c r="N216" t="s">
        <v>101</v>
      </c>
    </row>
    <row r="217" spans="1:14" x14ac:dyDescent="0.25">
      <c r="A217" t="s">
        <v>37</v>
      </c>
      <c r="D217" t="s">
        <v>44</v>
      </c>
      <c r="J217" t="s">
        <v>79</v>
      </c>
      <c r="K217" s="14">
        <v>24.9</v>
      </c>
      <c r="L217" t="s">
        <v>85</v>
      </c>
      <c r="M217" t="s">
        <v>95</v>
      </c>
      <c r="N217" t="s">
        <v>101</v>
      </c>
    </row>
    <row r="218" spans="1:14" x14ac:dyDescent="0.25">
      <c r="A218" t="s">
        <v>37</v>
      </c>
      <c r="D218" t="s">
        <v>44</v>
      </c>
      <c r="J218" t="s">
        <v>83</v>
      </c>
      <c r="K218" s="14">
        <v>5.35</v>
      </c>
      <c r="L218" t="s">
        <v>86</v>
      </c>
      <c r="N218" t="s">
        <v>101</v>
      </c>
    </row>
    <row r="219" spans="1:14" x14ac:dyDescent="0.25">
      <c r="A219" t="s">
        <v>37</v>
      </c>
      <c r="D219" t="s">
        <v>44</v>
      </c>
      <c r="J219" t="s">
        <v>84</v>
      </c>
      <c r="K219" s="14">
        <v>2.25</v>
      </c>
      <c r="L219" t="s">
        <v>87</v>
      </c>
      <c r="N219" t="s">
        <v>101</v>
      </c>
    </row>
    <row r="220" spans="1:14" x14ac:dyDescent="0.25">
      <c r="A220" t="s">
        <v>37</v>
      </c>
      <c r="D220" t="s">
        <v>42</v>
      </c>
      <c r="J220" t="s">
        <v>79</v>
      </c>
      <c r="K220" s="14">
        <v>25</v>
      </c>
      <c r="L220" t="s">
        <v>85</v>
      </c>
      <c r="M220" t="s">
        <v>96</v>
      </c>
      <c r="N220" t="s">
        <v>101</v>
      </c>
    </row>
    <row r="221" spans="1:14" x14ac:dyDescent="0.25">
      <c r="A221" t="s">
        <v>37</v>
      </c>
      <c r="D221" t="s">
        <v>42</v>
      </c>
      <c r="J221" t="s">
        <v>83</v>
      </c>
      <c r="K221" s="14">
        <v>5.35</v>
      </c>
      <c r="L221" t="s">
        <v>86</v>
      </c>
      <c r="N221" t="s">
        <v>101</v>
      </c>
    </row>
    <row r="222" spans="1:14" x14ac:dyDescent="0.25">
      <c r="A222" t="s">
        <v>37</v>
      </c>
      <c r="D222" t="s">
        <v>42</v>
      </c>
      <c r="J222" t="s">
        <v>84</v>
      </c>
      <c r="K222" s="14">
        <v>2.04</v>
      </c>
      <c r="L222" t="s">
        <v>87</v>
      </c>
      <c r="N222" t="s">
        <v>101</v>
      </c>
    </row>
    <row r="223" spans="1:14" x14ac:dyDescent="0.25">
      <c r="A223" t="s">
        <v>37</v>
      </c>
      <c r="D223" t="s">
        <v>43</v>
      </c>
      <c r="F223" s="5"/>
      <c r="J223" t="s">
        <v>79</v>
      </c>
      <c r="K223" s="14">
        <v>23.1</v>
      </c>
      <c r="L223" t="s">
        <v>85</v>
      </c>
      <c r="M223" t="s">
        <v>97</v>
      </c>
      <c r="N223" t="s">
        <v>101</v>
      </c>
    </row>
    <row r="224" spans="1:14" x14ac:dyDescent="0.25">
      <c r="A224" t="s">
        <v>37</v>
      </c>
      <c r="D224" t="s">
        <v>43</v>
      </c>
      <c r="F224" s="5"/>
      <c r="J224" t="s">
        <v>83</v>
      </c>
      <c r="K224" s="14">
        <v>5.36</v>
      </c>
      <c r="L224" t="s">
        <v>86</v>
      </c>
      <c r="N224" t="s">
        <v>101</v>
      </c>
    </row>
    <row r="225" spans="1:14" x14ac:dyDescent="0.25">
      <c r="A225" t="s">
        <v>37</v>
      </c>
      <c r="D225" t="s">
        <v>43</v>
      </c>
      <c r="F225" s="5"/>
      <c r="J225" t="s">
        <v>84</v>
      </c>
      <c r="K225" s="14">
        <v>2.64</v>
      </c>
      <c r="L225" t="s">
        <v>87</v>
      </c>
      <c r="N225" t="s">
        <v>101</v>
      </c>
    </row>
    <row r="226" spans="1:14" x14ac:dyDescent="0.25">
      <c r="A226" t="s">
        <v>37</v>
      </c>
      <c r="F226" s="5"/>
      <c r="J226" t="s">
        <v>79</v>
      </c>
      <c r="K226" s="14">
        <v>25</v>
      </c>
      <c r="L226" t="s">
        <v>85</v>
      </c>
      <c r="M226" t="s">
        <v>98</v>
      </c>
      <c r="N226" t="s">
        <v>101</v>
      </c>
    </row>
    <row r="227" spans="1:14" x14ac:dyDescent="0.25">
      <c r="A227" t="s">
        <v>37</v>
      </c>
      <c r="F227" s="5"/>
      <c r="J227" t="s">
        <v>83</v>
      </c>
      <c r="K227" s="14">
        <v>5.36</v>
      </c>
      <c r="L227" t="s">
        <v>86</v>
      </c>
      <c r="N227" t="s">
        <v>101</v>
      </c>
    </row>
    <row r="228" spans="1:14" x14ac:dyDescent="0.25">
      <c r="A228" t="s">
        <v>37</v>
      </c>
      <c r="F228" s="5"/>
      <c r="J228" t="s">
        <v>84</v>
      </c>
      <c r="K228" s="14">
        <v>2.2799999999999998</v>
      </c>
      <c r="L228" t="s">
        <v>87</v>
      </c>
      <c r="N228" t="s">
        <v>101</v>
      </c>
    </row>
    <row r="229" spans="1:14" x14ac:dyDescent="0.25">
      <c r="F229" s="5"/>
      <c r="K229" s="14"/>
    </row>
    <row r="230" spans="1:14" x14ac:dyDescent="0.25">
      <c r="F230" s="5"/>
      <c r="J230" s="6" t="s">
        <v>114</v>
      </c>
      <c r="K230" s="17">
        <v>0</v>
      </c>
      <c r="L230" s="6" t="s">
        <v>99</v>
      </c>
    </row>
    <row r="231" spans="1:14" x14ac:dyDescent="0.25">
      <c r="F231" s="5"/>
      <c r="J231" s="6" t="s">
        <v>119</v>
      </c>
      <c r="K231" s="17">
        <v>0</v>
      </c>
      <c r="L231" s="6" t="s">
        <v>99</v>
      </c>
    </row>
    <row r="232" spans="1:14" x14ac:dyDescent="0.25">
      <c r="F232" s="5"/>
      <c r="J232" s="6" t="s">
        <v>120</v>
      </c>
      <c r="K232" s="17">
        <v>0</v>
      </c>
      <c r="L232" s="6" t="s">
        <v>99</v>
      </c>
    </row>
    <row r="233" spans="1:14" x14ac:dyDescent="0.25">
      <c r="E233" t="s">
        <v>123</v>
      </c>
      <c r="F233" s="5"/>
      <c r="J233" t="s">
        <v>114</v>
      </c>
      <c r="K233" s="16">
        <f>5.49/1.035</f>
        <v>5.304347826086957</v>
      </c>
      <c r="L233" t="s">
        <v>115</v>
      </c>
      <c r="M233" t="s">
        <v>121</v>
      </c>
      <c r="N233" t="s">
        <v>122</v>
      </c>
    </row>
    <row r="234" spans="1:14" x14ac:dyDescent="0.25">
      <c r="E234" t="s">
        <v>123</v>
      </c>
      <c r="F234" s="5"/>
      <c r="J234" t="s">
        <v>119</v>
      </c>
      <c r="K234" s="16">
        <f>0.97/1.035</f>
        <v>0.9371980676328503</v>
      </c>
      <c r="L234" t="s">
        <v>116</v>
      </c>
      <c r="N234" t="s">
        <v>122</v>
      </c>
    </row>
    <row r="235" spans="1:14" x14ac:dyDescent="0.25">
      <c r="E235" t="s">
        <v>123</v>
      </c>
      <c r="F235" s="5"/>
      <c r="J235" t="s">
        <v>120</v>
      </c>
      <c r="K235" s="16">
        <f>1.6/1.035</f>
        <v>1.5458937198067635</v>
      </c>
      <c r="L235" t="s">
        <v>117</v>
      </c>
      <c r="N235" t="s">
        <v>122</v>
      </c>
    </row>
    <row r="236" spans="1:14" x14ac:dyDescent="0.25">
      <c r="F236" s="5"/>
      <c r="K236" s="16"/>
    </row>
    <row r="237" spans="1:14" x14ac:dyDescent="0.25">
      <c r="A237" s="11" t="s">
        <v>194</v>
      </c>
      <c r="B237" s="12"/>
      <c r="C237" s="12"/>
      <c r="D237" s="12"/>
      <c r="E237" s="12"/>
      <c r="F237" s="13"/>
      <c r="G237" s="12"/>
      <c r="H237" s="12"/>
      <c r="I237" s="12"/>
      <c r="J237" s="12"/>
      <c r="K237" s="12"/>
      <c r="L237" s="12"/>
      <c r="M237" s="12"/>
      <c r="N237" s="12"/>
    </row>
    <row r="238" spans="1:14" x14ac:dyDescent="0.25">
      <c r="F238" s="5"/>
    </row>
    <row r="239" spans="1:14" x14ac:dyDescent="0.25">
      <c r="A239" s="52" t="s">
        <v>185</v>
      </c>
      <c r="F239" s="5"/>
    </row>
    <row r="240" spans="1:14" x14ac:dyDescent="0.25">
      <c r="F240" s="5"/>
      <c r="J240" s="6" t="s">
        <v>27</v>
      </c>
      <c r="K240" s="6">
        <v>0</v>
      </c>
      <c r="L240" s="6"/>
      <c r="M240" s="6" t="s">
        <v>60</v>
      </c>
    </row>
    <row r="241" spans="1:14" x14ac:dyDescent="0.25">
      <c r="A241" t="s">
        <v>1</v>
      </c>
      <c r="F241" t="s">
        <v>18</v>
      </c>
      <c r="J241" t="s">
        <v>27</v>
      </c>
      <c r="K241">
        <v>60</v>
      </c>
      <c r="L241" t="s">
        <v>56</v>
      </c>
      <c r="N241" t="s">
        <v>191</v>
      </c>
    </row>
    <row r="242" spans="1:14" x14ac:dyDescent="0.25">
      <c r="A242" t="s">
        <v>1</v>
      </c>
      <c r="C242" t="s">
        <v>2</v>
      </c>
      <c r="D242" t="s">
        <v>3</v>
      </c>
      <c r="F242" t="s">
        <v>19</v>
      </c>
      <c r="J242" t="s">
        <v>27</v>
      </c>
      <c r="K242">
        <v>51</v>
      </c>
      <c r="L242" t="s">
        <v>56</v>
      </c>
      <c r="N242" t="s">
        <v>191</v>
      </c>
    </row>
    <row r="243" spans="1:14" x14ac:dyDescent="0.25">
      <c r="A243" t="s">
        <v>1</v>
      </c>
      <c r="C243" t="s">
        <v>7</v>
      </c>
      <c r="D243" t="s">
        <v>3</v>
      </c>
      <c r="F243" t="s">
        <v>19</v>
      </c>
      <c r="J243" t="s">
        <v>27</v>
      </c>
      <c r="K243">
        <v>52</v>
      </c>
      <c r="L243" t="s">
        <v>56</v>
      </c>
      <c r="N243" t="s">
        <v>191</v>
      </c>
    </row>
    <row r="244" spans="1:14" x14ac:dyDescent="0.25">
      <c r="A244" t="s">
        <v>1</v>
      </c>
      <c r="D244" t="s">
        <v>9</v>
      </c>
      <c r="F244" t="s">
        <v>19</v>
      </c>
      <c r="J244" t="s">
        <v>27</v>
      </c>
      <c r="K244">
        <v>51</v>
      </c>
      <c r="L244" t="s">
        <v>56</v>
      </c>
      <c r="N244" t="s">
        <v>191</v>
      </c>
    </row>
    <row r="245" spans="1:14" x14ac:dyDescent="0.25">
      <c r="A245" t="s">
        <v>1</v>
      </c>
      <c r="D245" t="s">
        <v>10</v>
      </c>
      <c r="F245" t="s">
        <v>19</v>
      </c>
      <c r="J245" t="s">
        <v>27</v>
      </c>
      <c r="K245">
        <v>51</v>
      </c>
      <c r="L245" t="s">
        <v>56</v>
      </c>
      <c r="N245" t="s">
        <v>191</v>
      </c>
    </row>
    <row r="246" spans="1:14" x14ac:dyDescent="0.25">
      <c r="A246" t="s">
        <v>1</v>
      </c>
      <c r="D246" t="s">
        <v>11</v>
      </c>
      <c r="F246" t="s">
        <v>19</v>
      </c>
      <c r="J246" t="s">
        <v>27</v>
      </c>
      <c r="K246">
        <v>52</v>
      </c>
      <c r="L246" t="s">
        <v>56</v>
      </c>
      <c r="N246" t="s">
        <v>191</v>
      </c>
    </row>
    <row r="247" spans="1:14" x14ac:dyDescent="0.25">
      <c r="A247" t="s">
        <v>1</v>
      </c>
      <c r="D247" t="s">
        <v>12</v>
      </c>
      <c r="F247" t="s">
        <v>19</v>
      </c>
      <c r="J247" t="s">
        <v>27</v>
      </c>
      <c r="K247">
        <v>52</v>
      </c>
      <c r="L247" t="s">
        <v>56</v>
      </c>
      <c r="N247" t="s">
        <v>191</v>
      </c>
    </row>
    <row r="248" spans="1:14" x14ac:dyDescent="0.25">
      <c r="A248" t="s">
        <v>1</v>
      </c>
      <c r="D248" t="s">
        <v>13</v>
      </c>
      <c r="F248" t="s">
        <v>19</v>
      </c>
      <c r="J248" t="s">
        <v>27</v>
      </c>
      <c r="K248">
        <v>52</v>
      </c>
      <c r="L248" t="s">
        <v>56</v>
      </c>
      <c r="M248" t="s">
        <v>14</v>
      </c>
    </row>
    <row r="249" spans="1:14" x14ac:dyDescent="0.25">
      <c r="A249" t="s">
        <v>1</v>
      </c>
      <c r="F249" t="s">
        <v>20</v>
      </c>
      <c r="J249" t="s">
        <v>27</v>
      </c>
      <c r="K249">
        <v>10</v>
      </c>
      <c r="L249" t="s">
        <v>56</v>
      </c>
      <c r="N249" t="s">
        <v>191</v>
      </c>
    </row>
    <row r="250" spans="1:14" x14ac:dyDescent="0.25">
      <c r="A250" t="s">
        <v>1</v>
      </c>
      <c r="F250" t="s">
        <v>183</v>
      </c>
      <c r="J250" t="s">
        <v>27</v>
      </c>
      <c r="K250">
        <v>60</v>
      </c>
      <c r="L250" t="s">
        <v>56</v>
      </c>
      <c r="N250" t="s">
        <v>191</v>
      </c>
    </row>
    <row r="251" spans="1:14" x14ac:dyDescent="0.25">
      <c r="A251" s="43" t="s">
        <v>1</v>
      </c>
      <c r="F251" s="5" t="s">
        <v>15</v>
      </c>
      <c r="G251" s="5"/>
      <c r="H251" s="5"/>
      <c r="I251" s="5"/>
      <c r="J251" s="5" t="s">
        <v>27</v>
      </c>
      <c r="K251" s="5">
        <v>60</v>
      </c>
      <c r="L251" s="5" t="s">
        <v>56</v>
      </c>
      <c r="M251" s="1"/>
      <c r="N251" t="s">
        <v>190</v>
      </c>
    </row>
    <row r="252" spans="1:14" x14ac:dyDescent="0.25">
      <c r="A252" s="5" t="s">
        <v>55</v>
      </c>
      <c r="B252" s="5"/>
      <c r="C252" s="5"/>
      <c r="D252" s="5"/>
      <c r="E252" s="5"/>
      <c r="F252" s="5" t="s">
        <v>18</v>
      </c>
      <c r="G252" s="5"/>
      <c r="H252" s="5"/>
      <c r="I252" s="5"/>
      <c r="J252" s="5" t="s">
        <v>27</v>
      </c>
      <c r="K252" s="5">
        <v>24</v>
      </c>
      <c r="L252" t="s">
        <v>56</v>
      </c>
      <c r="M252" s="1"/>
      <c r="N252" t="s">
        <v>191</v>
      </c>
    </row>
    <row r="253" spans="1:14" x14ac:dyDescent="0.25">
      <c r="A253" s="5" t="s">
        <v>55</v>
      </c>
      <c r="B253" s="5"/>
      <c r="C253" s="5"/>
      <c r="D253" s="5"/>
      <c r="E253" s="5"/>
      <c r="F253" s="5" t="s">
        <v>19</v>
      </c>
      <c r="G253" s="5"/>
      <c r="H253" s="5"/>
      <c r="I253" s="5"/>
      <c r="J253" s="5" t="s">
        <v>27</v>
      </c>
      <c r="K253" s="5">
        <v>25</v>
      </c>
      <c r="L253" t="s">
        <v>56</v>
      </c>
      <c r="M253" s="1"/>
      <c r="N253" t="s">
        <v>191</v>
      </c>
    </row>
    <row r="254" spans="1:14" x14ac:dyDescent="0.25">
      <c r="A254" s="5" t="s">
        <v>55</v>
      </c>
      <c r="B254" s="5"/>
      <c r="C254" s="5"/>
      <c r="D254" s="5"/>
      <c r="E254" s="5"/>
      <c r="F254" s="5" t="s">
        <v>20</v>
      </c>
      <c r="G254" s="5"/>
      <c r="H254" s="5"/>
      <c r="I254" s="5"/>
      <c r="J254" s="5" t="s">
        <v>27</v>
      </c>
      <c r="K254" s="5">
        <v>10</v>
      </c>
      <c r="L254" t="s">
        <v>56</v>
      </c>
      <c r="M254" s="1"/>
      <c r="N254" t="s">
        <v>191</v>
      </c>
    </row>
    <row r="255" spans="1:14" x14ac:dyDescent="0.25">
      <c r="A255" s="5" t="s">
        <v>55</v>
      </c>
      <c r="B255" s="5"/>
      <c r="C255" s="5"/>
      <c r="D255" s="5"/>
      <c r="E255" s="5"/>
      <c r="F255" s="5" t="s">
        <v>175</v>
      </c>
      <c r="G255" s="5"/>
      <c r="H255" s="5"/>
      <c r="I255" s="5"/>
      <c r="J255" s="5" t="s">
        <v>27</v>
      </c>
      <c r="K255" s="5">
        <v>25</v>
      </c>
      <c r="L255" t="s">
        <v>56</v>
      </c>
      <c r="M255" s="1"/>
      <c r="N255" t="s">
        <v>191</v>
      </c>
    </row>
    <row r="256" spans="1:14" x14ac:dyDescent="0.25">
      <c r="A256" s="5" t="s">
        <v>55</v>
      </c>
      <c r="B256" s="5"/>
      <c r="C256" s="5"/>
      <c r="D256" s="5"/>
      <c r="E256" s="5"/>
      <c r="F256" s="5" t="s">
        <v>15</v>
      </c>
      <c r="G256" s="5"/>
      <c r="H256" s="5"/>
      <c r="I256" s="5"/>
      <c r="J256" s="5" t="s">
        <v>27</v>
      </c>
      <c r="K256" s="5">
        <v>60</v>
      </c>
      <c r="L256" s="5" t="s">
        <v>56</v>
      </c>
      <c r="M256" s="1"/>
      <c r="N256" t="s">
        <v>190</v>
      </c>
    </row>
    <row r="257" spans="1:14" x14ac:dyDescent="0.25">
      <c r="A257" s="5" t="s">
        <v>61</v>
      </c>
      <c r="B257" s="5"/>
      <c r="C257" s="5"/>
      <c r="D257" s="5"/>
      <c r="E257" s="5"/>
      <c r="F257" s="5" t="s">
        <v>18</v>
      </c>
      <c r="G257" s="5"/>
      <c r="H257" s="5"/>
      <c r="I257" s="5"/>
      <c r="J257" s="5" t="s">
        <v>27</v>
      </c>
      <c r="K257" s="5">
        <v>25</v>
      </c>
      <c r="L257" s="5" t="s">
        <v>56</v>
      </c>
      <c r="M257" s="1"/>
      <c r="N257" t="s">
        <v>191</v>
      </c>
    </row>
    <row r="258" spans="1:14" x14ac:dyDescent="0.25">
      <c r="A258" s="5" t="s">
        <v>61</v>
      </c>
      <c r="B258" s="5"/>
      <c r="C258" s="5"/>
      <c r="D258" s="5"/>
      <c r="E258" s="5"/>
      <c r="F258" s="5" t="s">
        <v>19</v>
      </c>
      <c r="G258" s="5"/>
      <c r="H258" s="5"/>
      <c r="I258" s="5"/>
      <c r="J258" s="5" t="s">
        <v>27</v>
      </c>
      <c r="K258" s="5">
        <v>25</v>
      </c>
      <c r="L258" s="5" t="s">
        <v>56</v>
      </c>
      <c r="M258" s="1"/>
      <c r="N258" t="s">
        <v>191</v>
      </c>
    </row>
    <row r="259" spans="1:14" x14ac:dyDescent="0.25">
      <c r="A259" s="5" t="s">
        <v>61</v>
      </c>
      <c r="B259" s="5"/>
      <c r="C259" s="5"/>
      <c r="D259" s="5"/>
      <c r="E259" s="5"/>
      <c r="F259" s="5" t="s">
        <v>15</v>
      </c>
      <c r="G259" s="5"/>
      <c r="H259" s="5"/>
      <c r="I259" s="5"/>
      <c r="J259" s="5" t="s">
        <v>27</v>
      </c>
      <c r="K259" s="5">
        <v>50</v>
      </c>
      <c r="L259" s="5" t="s">
        <v>56</v>
      </c>
      <c r="M259" s="1"/>
      <c r="N259" t="s">
        <v>190</v>
      </c>
    </row>
    <row r="260" spans="1:14" x14ac:dyDescent="0.25">
      <c r="A260" t="s">
        <v>37</v>
      </c>
      <c r="F260" t="s">
        <v>18</v>
      </c>
      <c r="J260" t="s">
        <v>27</v>
      </c>
      <c r="K260">
        <v>70</v>
      </c>
      <c r="L260" t="s">
        <v>56</v>
      </c>
      <c r="N260" t="s">
        <v>191</v>
      </c>
    </row>
    <row r="261" spans="1:14" x14ac:dyDescent="0.25">
      <c r="A261" t="s">
        <v>37</v>
      </c>
      <c r="F261" t="s">
        <v>19</v>
      </c>
      <c r="J261" t="s">
        <v>27</v>
      </c>
      <c r="K261">
        <v>51</v>
      </c>
      <c r="L261" t="s">
        <v>56</v>
      </c>
      <c r="N261" t="s">
        <v>191</v>
      </c>
    </row>
    <row r="262" spans="1:14" x14ac:dyDescent="0.25">
      <c r="A262" t="s">
        <v>37</v>
      </c>
      <c r="F262" t="s">
        <v>20</v>
      </c>
      <c r="J262" t="s">
        <v>27</v>
      </c>
      <c r="K262">
        <v>10</v>
      </c>
      <c r="L262" t="s">
        <v>56</v>
      </c>
      <c r="N262" t="s">
        <v>191</v>
      </c>
    </row>
    <row r="263" spans="1:14" x14ac:dyDescent="0.25">
      <c r="A263" t="s">
        <v>37</v>
      </c>
      <c r="F263" t="s">
        <v>183</v>
      </c>
      <c r="J263" t="s">
        <v>27</v>
      </c>
      <c r="K263">
        <v>70</v>
      </c>
      <c r="L263" t="s">
        <v>56</v>
      </c>
      <c r="N263" t="s">
        <v>191</v>
      </c>
    </row>
    <row r="264" spans="1:14" x14ac:dyDescent="0.25">
      <c r="A264" s="5" t="s">
        <v>51</v>
      </c>
      <c r="B264" s="5"/>
      <c r="C264" s="5"/>
      <c r="D264" s="5"/>
      <c r="E264" s="5"/>
      <c r="F264" s="5" t="s">
        <v>18</v>
      </c>
      <c r="G264" s="5"/>
      <c r="H264" s="5"/>
      <c r="I264" s="5"/>
      <c r="J264" s="5" t="s">
        <v>27</v>
      </c>
      <c r="K264" s="5">
        <v>75</v>
      </c>
      <c r="L264" s="5" t="s">
        <v>56</v>
      </c>
      <c r="M264" s="1"/>
      <c r="N264" t="s">
        <v>191</v>
      </c>
    </row>
    <row r="265" spans="1:14" x14ac:dyDescent="0.25">
      <c r="A265" s="5" t="s">
        <v>51</v>
      </c>
      <c r="B265" s="5"/>
      <c r="C265" s="5"/>
      <c r="D265" s="5"/>
      <c r="E265" s="5"/>
      <c r="F265" s="5" t="s">
        <v>19</v>
      </c>
      <c r="G265" s="5"/>
      <c r="H265" s="5"/>
      <c r="I265" s="5"/>
      <c r="J265" s="5" t="s">
        <v>27</v>
      </c>
      <c r="K265" s="5">
        <v>60</v>
      </c>
      <c r="L265" s="5" t="s">
        <v>56</v>
      </c>
      <c r="M265" s="1"/>
      <c r="N265" t="s">
        <v>191</v>
      </c>
    </row>
    <row r="266" spans="1:14" x14ac:dyDescent="0.25">
      <c r="A266" s="5" t="s">
        <v>51</v>
      </c>
      <c r="B266" s="5"/>
      <c r="C266" s="5"/>
      <c r="D266" s="5"/>
      <c r="E266" s="5"/>
      <c r="F266" s="5" t="s">
        <v>20</v>
      </c>
      <c r="G266" s="5"/>
      <c r="H266" s="5"/>
      <c r="I266" s="5"/>
      <c r="J266" s="5" t="s">
        <v>27</v>
      </c>
      <c r="K266" s="5">
        <v>40</v>
      </c>
      <c r="L266" s="5" t="s">
        <v>56</v>
      </c>
      <c r="M266" s="1"/>
      <c r="N266" t="s">
        <v>191</v>
      </c>
    </row>
    <row r="267" spans="1:14" x14ac:dyDescent="0.25">
      <c r="A267" t="s">
        <v>51</v>
      </c>
      <c r="C267" t="s">
        <v>52</v>
      </c>
      <c r="D267" t="s">
        <v>53</v>
      </c>
      <c r="F267" s="5" t="s">
        <v>18</v>
      </c>
      <c r="J267" s="5" t="s">
        <v>27</v>
      </c>
      <c r="K267">
        <v>40</v>
      </c>
      <c r="L267" s="5" t="s">
        <v>56</v>
      </c>
      <c r="N267" t="s">
        <v>191</v>
      </c>
    </row>
    <row r="268" spans="1:14" x14ac:dyDescent="0.25">
      <c r="A268" t="s">
        <v>51</v>
      </c>
      <c r="C268" t="s">
        <v>52</v>
      </c>
      <c r="D268" t="s">
        <v>53</v>
      </c>
      <c r="F268" s="5" t="s">
        <v>19</v>
      </c>
      <c r="J268" s="5" t="s">
        <v>27</v>
      </c>
      <c r="K268" s="5">
        <v>40</v>
      </c>
      <c r="L268" s="5" t="s">
        <v>56</v>
      </c>
      <c r="N268" t="s">
        <v>191</v>
      </c>
    </row>
    <row r="269" spans="1:14" x14ac:dyDescent="0.25">
      <c r="A269" t="s">
        <v>51</v>
      </c>
      <c r="C269" t="s">
        <v>52</v>
      </c>
      <c r="D269" t="s">
        <v>53</v>
      </c>
      <c r="F269" s="5" t="s">
        <v>20</v>
      </c>
      <c r="J269" s="5" t="s">
        <v>27</v>
      </c>
      <c r="K269" s="5">
        <v>40</v>
      </c>
      <c r="L269" s="5" t="s">
        <v>56</v>
      </c>
      <c r="N269" t="s">
        <v>191</v>
      </c>
    </row>
    <row r="270" spans="1:14" x14ac:dyDescent="0.25">
      <c r="F270" s="5"/>
    </row>
    <row r="271" spans="1:14" x14ac:dyDescent="0.25">
      <c r="A271" s="11" t="s">
        <v>82</v>
      </c>
      <c r="B271" s="12"/>
      <c r="C271" s="12"/>
      <c r="D271" s="12"/>
      <c r="E271" s="12"/>
      <c r="F271" s="13"/>
      <c r="G271" s="12"/>
      <c r="H271" s="12"/>
      <c r="I271" s="12"/>
      <c r="J271" s="12"/>
      <c r="K271" s="12"/>
      <c r="L271" s="12"/>
      <c r="M271" s="12"/>
      <c r="N271" s="12"/>
    </row>
    <row r="272" spans="1:14" s="9" customFormat="1" x14ac:dyDescent="0.25">
      <c r="F272" s="51"/>
    </row>
    <row r="273" spans="1:14" x14ac:dyDescent="0.25">
      <c r="G273" t="s">
        <v>196</v>
      </c>
      <c r="J273" s="1" t="s">
        <v>22</v>
      </c>
      <c r="K273" s="1">
        <v>0</v>
      </c>
      <c r="L273" s="1"/>
      <c r="M273" s="1" t="s">
        <v>50</v>
      </c>
    </row>
    <row r="274" spans="1:14" x14ac:dyDescent="0.25">
      <c r="G274" t="s">
        <v>196</v>
      </c>
      <c r="J274" s="1" t="s">
        <v>23</v>
      </c>
      <c r="K274" s="1">
        <v>0</v>
      </c>
      <c r="L274" s="1"/>
      <c r="M274" s="1" t="s">
        <v>50</v>
      </c>
    </row>
    <row r="275" spans="1:14" x14ac:dyDescent="0.25">
      <c r="A275" s="53"/>
      <c r="J275" s="1"/>
      <c r="K275" s="1"/>
      <c r="L275" s="1"/>
      <c r="M275" s="1"/>
    </row>
    <row r="276" spans="1:14" x14ac:dyDescent="0.25">
      <c r="A276" t="s">
        <v>1</v>
      </c>
      <c r="F276" t="s">
        <v>18</v>
      </c>
      <c r="G276" t="s">
        <v>196</v>
      </c>
      <c r="H276" t="s">
        <v>21</v>
      </c>
      <c r="J276" t="s">
        <v>22</v>
      </c>
      <c r="K276">
        <v>4</v>
      </c>
      <c r="L276" t="s">
        <v>56</v>
      </c>
      <c r="N276" t="s">
        <v>180</v>
      </c>
    </row>
    <row r="277" spans="1:14" x14ac:dyDescent="0.25">
      <c r="A277" t="s">
        <v>1</v>
      </c>
      <c r="F277" t="s">
        <v>19</v>
      </c>
      <c r="G277" t="s">
        <v>196</v>
      </c>
      <c r="H277" t="s">
        <v>21</v>
      </c>
      <c r="J277" t="s">
        <v>22</v>
      </c>
      <c r="K277">
        <v>4</v>
      </c>
      <c r="L277" t="s">
        <v>56</v>
      </c>
      <c r="N277" t="s">
        <v>180</v>
      </c>
    </row>
    <row r="278" spans="1:14" x14ac:dyDescent="0.25">
      <c r="A278" t="s">
        <v>1</v>
      </c>
      <c r="F278" t="s">
        <v>20</v>
      </c>
      <c r="G278" t="s">
        <v>196</v>
      </c>
      <c r="H278" t="s">
        <v>21</v>
      </c>
      <c r="J278" t="s">
        <v>22</v>
      </c>
      <c r="K278">
        <v>20</v>
      </c>
      <c r="L278" t="s">
        <v>56</v>
      </c>
      <c r="N278" t="s">
        <v>180</v>
      </c>
    </row>
    <row r="279" spans="1:14" x14ac:dyDescent="0.25">
      <c r="A279" t="s">
        <v>1</v>
      </c>
      <c r="F279" t="s">
        <v>183</v>
      </c>
      <c r="G279" t="s">
        <v>196</v>
      </c>
      <c r="H279" t="s">
        <v>21</v>
      </c>
      <c r="J279" t="s">
        <v>22</v>
      </c>
      <c r="K279">
        <v>4</v>
      </c>
      <c r="L279" t="s">
        <v>56</v>
      </c>
      <c r="N279" t="s">
        <v>180</v>
      </c>
    </row>
    <row r="280" spans="1:14" x14ac:dyDescent="0.25">
      <c r="A280" s="43" t="s">
        <v>55</v>
      </c>
      <c r="B280" s="43"/>
      <c r="C280" s="43"/>
      <c r="D280" s="43"/>
      <c r="E280" s="43"/>
      <c r="F280" s="43" t="s">
        <v>19</v>
      </c>
      <c r="G280" t="s">
        <v>196</v>
      </c>
      <c r="H280" s="43" t="s">
        <v>21</v>
      </c>
      <c r="I280" s="43"/>
      <c r="J280" s="43" t="s">
        <v>22</v>
      </c>
      <c r="K280" s="43">
        <v>4</v>
      </c>
      <c r="L280" s="43" t="s">
        <v>56</v>
      </c>
      <c r="M280" s="1"/>
      <c r="N280" t="s">
        <v>180</v>
      </c>
    </row>
    <row r="281" spans="1:14" x14ac:dyDescent="0.25">
      <c r="A281" s="43" t="s">
        <v>55</v>
      </c>
      <c r="B281" s="43"/>
      <c r="C281" s="43"/>
      <c r="D281" s="43"/>
      <c r="E281" s="43"/>
      <c r="F281" s="43" t="s">
        <v>20</v>
      </c>
      <c r="G281" t="s">
        <v>196</v>
      </c>
      <c r="H281" s="43" t="s">
        <v>21</v>
      </c>
      <c r="I281" s="43"/>
      <c r="J281" s="43" t="s">
        <v>22</v>
      </c>
      <c r="K281" s="43">
        <v>15</v>
      </c>
      <c r="L281" s="43" t="s">
        <v>56</v>
      </c>
      <c r="M281" s="1"/>
      <c r="N281" t="s">
        <v>180</v>
      </c>
    </row>
    <row r="282" spans="1:14" x14ac:dyDescent="0.25">
      <c r="A282" s="43" t="s">
        <v>55</v>
      </c>
      <c r="B282" s="43"/>
      <c r="C282" s="43"/>
      <c r="D282" s="43"/>
      <c r="E282" s="43"/>
      <c r="F282" s="43" t="s">
        <v>175</v>
      </c>
      <c r="G282" t="s">
        <v>196</v>
      </c>
      <c r="H282" s="43" t="s">
        <v>21</v>
      </c>
      <c r="I282" s="43"/>
      <c r="J282" s="43" t="s">
        <v>22</v>
      </c>
      <c r="K282" s="43">
        <v>4</v>
      </c>
      <c r="L282" s="43" t="s">
        <v>56</v>
      </c>
      <c r="M282" s="1"/>
      <c r="N282" t="s">
        <v>180</v>
      </c>
    </row>
    <row r="283" spans="1:14" x14ac:dyDescent="0.25">
      <c r="A283" s="43" t="s">
        <v>61</v>
      </c>
      <c r="B283" s="43"/>
      <c r="C283" s="43"/>
      <c r="D283" s="43"/>
      <c r="E283" s="43"/>
      <c r="F283" t="s">
        <v>19</v>
      </c>
      <c r="G283" t="s">
        <v>196</v>
      </c>
      <c r="H283" s="43" t="s">
        <v>21</v>
      </c>
      <c r="I283" s="43"/>
      <c r="J283" s="43" t="s">
        <v>22</v>
      </c>
      <c r="K283" s="43">
        <v>4</v>
      </c>
      <c r="L283" s="43" t="s">
        <v>56</v>
      </c>
      <c r="M283" s="1"/>
      <c r="N283" t="s">
        <v>180</v>
      </c>
    </row>
    <row r="284" spans="1:14" x14ac:dyDescent="0.25">
      <c r="A284" s="43" t="s">
        <v>61</v>
      </c>
      <c r="B284" s="43"/>
      <c r="C284" s="43"/>
      <c r="D284" s="43"/>
      <c r="E284" s="43"/>
      <c r="F284" t="s">
        <v>20</v>
      </c>
      <c r="G284" t="s">
        <v>196</v>
      </c>
      <c r="H284" s="43" t="s">
        <v>21</v>
      </c>
      <c r="I284" s="43"/>
      <c r="J284" s="43" t="s">
        <v>22</v>
      </c>
      <c r="K284" s="43">
        <v>15</v>
      </c>
      <c r="L284" s="43" t="s">
        <v>56</v>
      </c>
      <c r="M284" s="1"/>
      <c r="N284" t="s">
        <v>180</v>
      </c>
    </row>
    <row r="285" spans="1:14" x14ac:dyDescent="0.25">
      <c r="A285" t="s">
        <v>37</v>
      </c>
      <c r="F285" t="s">
        <v>18</v>
      </c>
      <c r="G285" t="s">
        <v>196</v>
      </c>
      <c r="H285" t="s">
        <v>21</v>
      </c>
      <c r="J285" t="s">
        <v>22</v>
      </c>
      <c r="K285">
        <v>14</v>
      </c>
      <c r="L285" t="s">
        <v>56</v>
      </c>
      <c r="N285" t="s">
        <v>180</v>
      </c>
    </row>
    <row r="286" spans="1:14" x14ac:dyDescent="0.25">
      <c r="A286" t="s">
        <v>37</v>
      </c>
      <c r="F286" t="s">
        <v>19</v>
      </c>
      <c r="G286" t="s">
        <v>196</v>
      </c>
      <c r="H286" t="s">
        <v>21</v>
      </c>
      <c r="J286" t="s">
        <v>22</v>
      </c>
      <c r="K286">
        <v>10</v>
      </c>
      <c r="L286" t="s">
        <v>56</v>
      </c>
      <c r="N286" t="s">
        <v>180</v>
      </c>
    </row>
    <row r="287" spans="1:14" x14ac:dyDescent="0.25">
      <c r="A287" t="s">
        <v>37</v>
      </c>
      <c r="F287" t="s">
        <v>20</v>
      </c>
      <c r="G287" t="s">
        <v>196</v>
      </c>
      <c r="H287" t="s">
        <v>21</v>
      </c>
      <c r="J287" t="s">
        <v>22</v>
      </c>
      <c r="K287">
        <v>25</v>
      </c>
      <c r="L287" t="s">
        <v>56</v>
      </c>
      <c r="N287" t="s">
        <v>180</v>
      </c>
    </row>
    <row r="288" spans="1:14" x14ac:dyDescent="0.25">
      <c r="A288" t="s">
        <v>37</v>
      </c>
      <c r="F288" t="s">
        <v>183</v>
      </c>
      <c r="G288" t="s">
        <v>196</v>
      </c>
      <c r="H288" t="s">
        <v>21</v>
      </c>
      <c r="J288" t="s">
        <v>22</v>
      </c>
      <c r="K288">
        <v>14</v>
      </c>
      <c r="L288" t="s">
        <v>56</v>
      </c>
      <c r="N288" t="s">
        <v>180</v>
      </c>
    </row>
    <row r="289" spans="1:14" x14ac:dyDescent="0.25">
      <c r="A289" t="s">
        <v>51</v>
      </c>
      <c r="F289" t="s">
        <v>18</v>
      </c>
      <c r="G289" t="s">
        <v>196</v>
      </c>
      <c r="H289" t="s">
        <v>21</v>
      </c>
      <c r="J289" t="s">
        <v>22</v>
      </c>
      <c r="K289">
        <v>10</v>
      </c>
      <c r="L289" t="s">
        <v>56</v>
      </c>
      <c r="N289" t="s">
        <v>180</v>
      </c>
    </row>
    <row r="290" spans="1:14" x14ac:dyDescent="0.25">
      <c r="A290" t="s">
        <v>51</v>
      </c>
      <c r="F290" t="s">
        <v>19</v>
      </c>
      <c r="G290" t="s">
        <v>196</v>
      </c>
      <c r="H290" t="s">
        <v>21</v>
      </c>
      <c r="J290" t="s">
        <v>22</v>
      </c>
      <c r="K290">
        <v>10</v>
      </c>
      <c r="L290" t="s">
        <v>56</v>
      </c>
      <c r="N290" t="s">
        <v>180</v>
      </c>
    </row>
    <row r="291" spans="1:14" x14ac:dyDescent="0.25">
      <c r="A291" t="s">
        <v>51</v>
      </c>
      <c r="F291" t="s">
        <v>20</v>
      </c>
      <c r="G291" t="s">
        <v>196</v>
      </c>
      <c r="H291" t="s">
        <v>21</v>
      </c>
      <c r="J291" t="s">
        <v>22</v>
      </c>
      <c r="K291">
        <v>35</v>
      </c>
      <c r="L291" t="s">
        <v>56</v>
      </c>
      <c r="N291" t="s">
        <v>180</v>
      </c>
    </row>
    <row r="292" spans="1:14" x14ac:dyDescent="0.25">
      <c r="A292" t="s">
        <v>51</v>
      </c>
      <c r="C292" t="s">
        <v>62</v>
      </c>
      <c r="D292" t="s">
        <v>184</v>
      </c>
      <c r="F292" t="s">
        <v>20</v>
      </c>
      <c r="G292" t="s">
        <v>196</v>
      </c>
      <c r="H292" t="s">
        <v>21</v>
      </c>
      <c r="J292" t="s">
        <v>22</v>
      </c>
      <c r="K292">
        <v>20</v>
      </c>
      <c r="L292" t="s">
        <v>56</v>
      </c>
      <c r="N292" t="s">
        <v>180</v>
      </c>
    </row>
    <row r="293" spans="1:14" x14ac:dyDescent="0.25">
      <c r="A293" t="s">
        <v>51</v>
      </c>
      <c r="C293" t="s">
        <v>52</v>
      </c>
      <c r="D293" t="s">
        <v>53</v>
      </c>
      <c r="F293" t="s">
        <v>20</v>
      </c>
      <c r="G293" t="s">
        <v>196</v>
      </c>
      <c r="H293" t="s">
        <v>21</v>
      </c>
      <c r="J293" t="s">
        <v>22</v>
      </c>
      <c r="K293">
        <v>10</v>
      </c>
      <c r="L293" t="s">
        <v>56</v>
      </c>
      <c r="N293" t="s">
        <v>180</v>
      </c>
    </row>
    <row r="294" spans="1:1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</row>
    <row r="295" spans="1:14" x14ac:dyDescent="0.25">
      <c r="A295" t="s">
        <v>1</v>
      </c>
      <c r="F295" t="s">
        <v>18</v>
      </c>
      <c r="G295" t="s">
        <v>196</v>
      </c>
      <c r="H295" t="s">
        <v>21</v>
      </c>
      <c r="J295" t="s">
        <v>23</v>
      </c>
      <c r="K295">
        <v>3</v>
      </c>
      <c r="L295" t="s">
        <v>56</v>
      </c>
      <c r="N295" t="s">
        <v>181</v>
      </c>
    </row>
    <row r="296" spans="1:14" x14ac:dyDescent="0.25">
      <c r="A296" t="s">
        <v>1</v>
      </c>
      <c r="C296" t="s">
        <v>2</v>
      </c>
      <c r="D296" t="s">
        <v>3</v>
      </c>
      <c r="F296" t="s">
        <v>19</v>
      </c>
      <c r="G296" t="s">
        <v>196</v>
      </c>
      <c r="H296" t="s">
        <v>21</v>
      </c>
      <c r="J296" t="s">
        <v>23</v>
      </c>
      <c r="K296">
        <v>18</v>
      </c>
      <c r="L296" t="s">
        <v>56</v>
      </c>
      <c r="N296" t="s">
        <v>181</v>
      </c>
    </row>
    <row r="297" spans="1:14" x14ac:dyDescent="0.25">
      <c r="A297" t="s">
        <v>1</v>
      </c>
      <c r="C297" t="s">
        <v>7</v>
      </c>
      <c r="D297" t="s">
        <v>3</v>
      </c>
      <c r="F297" t="s">
        <v>19</v>
      </c>
      <c r="G297" t="s">
        <v>196</v>
      </c>
      <c r="H297" t="s">
        <v>21</v>
      </c>
      <c r="J297" t="s">
        <v>23</v>
      </c>
      <c r="K297">
        <v>17</v>
      </c>
      <c r="L297" t="s">
        <v>56</v>
      </c>
      <c r="N297" t="s">
        <v>181</v>
      </c>
    </row>
    <row r="298" spans="1:14" x14ac:dyDescent="0.25">
      <c r="A298" t="s">
        <v>1</v>
      </c>
      <c r="D298" t="s">
        <v>9</v>
      </c>
      <c r="F298" t="s">
        <v>19</v>
      </c>
      <c r="G298" t="s">
        <v>196</v>
      </c>
      <c r="H298" t="s">
        <v>21</v>
      </c>
      <c r="J298" t="s">
        <v>23</v>
      </c>
      <c r="K298">
        <v>18</v>
      </c>
      <c r="L298" t="s">
        <v>56</v>
      </c>
      <c r="N298" t="s">
        <v>181</v>
      </c>
    </row>
    <row r="299" spans="1:14" x14ac:dyDescent="0.25">
      <c r="A299" t="s">
        <v>1</v>
      </c>
      <c r="D299" t="s">
        <v>10</v>
      </c>
      <c r="F299" t="s">
        <v>19</v>
      </c>
      <c r="G299" t="s">
        <v>196</v>
      </c>
      <c r="H299" t="s">
        <v>21</v>
      </c>
      <c r="J299" t="s">
        <v>23</v>
      </c>
      <c r="K299">
        <v>18</v>
      </c>
      <c r="L299" t="s">
        <v>56</v>
      </c>
      <c r="N299" t="s">
        <v>181</v>
      </c>
    </row>
    <row r="300" spans="1:14" x14ac:dyDescent="0.25">
      <c r="A300" t="s">
        <v>1</v>
      </c>
      <c r="D300" t="s">
        <v>11</v>
      </c>
      <c r="F300" t="s">
        <v>19</v>
      </c>
      <c r="G300" t="s">
        <v>196</v>
      </c>
      <c r="H300" t="s">
        <v>21</v>
      </c>
      <c r="J300" t="s">
        <v>23</v>
      </c>
      <c r="K300">
        <v>17</v>
      </c>
      <c r="L300" t="s">
        <v>56</v>
      </c>
      <c r="N300" t="s">
        <v>181</v>
      </c>
    </row>
    <row r="301" spans="1:14" x14ac:dyDescent="0.25">
      <c r="A301" t="s">
        <v>1</v>
      </c>
      <c r="D301" t="s">
        <v>12</v>
      </c>
      <c r="F301" t="s">
        <v>19</v>
      </c>
      <c r="G301" t="s">
        <v>196</v>
      </c>
      <c r="H301" t="s">
        <v>21</v>
      </c>
      <c r="J301" t="s">
        <v>23</v>
      </c>
      <c r="K301">
        <v>17</v>
      </c>
      <c r="L301" t="s">
        <v>56</v>
      </c>
      <c r="N301" t="s">
        <v>181</v>
      </c>
    </row>
    <row r="302" spans="1:14" x14ac:dyDescent="0.25">
      <c r="A302" t="s">
        <v>1</v>
      </c>
      <c r="D302" t="s">
        <v>13</v>
      </c>
      <c r="F302" t="s">
        <v>19</v>
      </c>
      <c r="G302" t="s">
        <v>196</v>
      </c>
      <c r="H302" t="s">
        <v>21</v>
      </c>
      <c r="J302" t="s">
        <v>23</v>
      </c>
      <c r="K302">
        <v>17</v>
      </c>
      <c r="L302" t="s">
        <v>56</v>
      </c>
      <c r="M302" t="s">
        <v>14</v>
      </c>
      <c r="N302" t="s">
        <v>181</v>
      </c>
    </row>
    <row r="303" spans="1:14" x14ac:dyDescent="0.25">
      <c r="A303" t="s">
        <v>1</v>
      </c>
      <c r="F303" t="s">
        <v>20</v>
      </c>
      <c r="G303" t="s">
        <v>196</v>
      </c>
      <c r="H303" t="s">
        <v>21</v>
      </c>
      <c r="J303" t="s">
        <v>23</v>
      </c>
      <c r="K303">
        <v>30</v>
      </c>
      <c r="L303" t="s">
        <v>56</v>
      </c>
      <c r="N303" t="s">
        <v>181</v>
      </c>
    </row>
    <row r="304" spans="1:14" x14ac:dyDescent="0.25">
      <c r="A304" t="s">
        <v>1</v>
      </c>
      <c r="F304" t="s">
        <v>183</v>
      </c>
      <c r="G304" t="s">
        <v>196</v>
      </c>
      <c r="H304" t="s">
        <v>21</v>
      </c>
      <c r="J304" t="s">
        <v>23</v>
      </c>
      <c r="K304">
        <v>2.75</v>
      </c>
      <c r="L304" t="s">
        <v>56</v>
      </c>
      <c r="N304" t="s">
        <v>181</v>
      </c>
    </row>
    <row r="305" spans="1:14" x14ac:dyDescent="0.25">
      <c r="A305" s="43" t="s">
        <v>55</v>
      </c>
      <c r="B305" s="43"/>
      <c r="C305" s="43"/>
      <c r="D305" s="43"/>
      <c r="E305" s="43"/>
      <c r="F305" s="43" t="s">
        <v>19</v>
      </c>
      <c r="G305" t="s">
        <v>196</v>
      </c>
      <c r="H305" s="43" t="s">
        <v>21</v>
      </c>
      <c r="I305" s="43"/>
      <c r="J305" s="43" t="s">
        <v>23</v>
      </c>
      <c r="K305" s="43">
        <v>25</v>
      </c>
      <c r="L305" s="43" t="s">
        <v>56</v>
      </c>
      <c r="M305" s="1"/>
      <c r="N305" t="s">
        <v>181</v>
      </c>
    </row>
    <row r="306" spans="1:14" x14ac:dyDescent="0.25">
      <c r="A306" s="43" t="s">
        <v>55</v>
      </c>
      <c r="B306" s="43"/>
      <c r="C306" s="43"/>
      <c r="D306" s="43"/>
      <c r="E306" s="43"/>
      <c r="F306" s="43" t="s">
        <v>20</v>
      </c>
      <c r="G306" t="s">
        <v>196</v>
      </c>
      <c r="H306" s="43" t="s">
        <v>21</v>
      </c>
      <c r="I306" s="43"/>
      <c r="J306" s="43" t="s">
        <v>23</v>
      </c>
      <c r="K306" s="43">
        <v>33</v>
      </c>
      <c r="L306" s="43" t="s">
        <v>56</v>
      </c>
      <c r="M306" s="1"/>
      <c r="N306" t="s">
        <v>181</v>
      </c>
    </row>
    <row r="307" spans="1:14" x14ac:dyDescent="0.25">
      <c r="A307" s="43" t="s">
        <v>55</v>
      </c>
      <c r="B307" s="43"/>
      <c r="C307" s="43"/>
      <c r="D307" s="43"/>
      <c r="E307" s="43"/>
      <c r="F307" s="43" t="s">
        <v>175</v>
      </c>
      <c r="G307" t="s">
        <v>196</v>
      </c>
      <c r="H307" s="43" t="s">
        <v>21</v>
      </c>
      <c r="I307" s="43"/>
      <c r="J307" s="43" t="s">
        <v>23</v>
      </c>
      <c r="K307" s="43">
        <v>0.25</v>
      </c>
      <c r="L307" s="43" t="s">
        <v>56</v>
      </c>
      <c r="M307" s="1"/>
      <c r="N307" t="s">
        <v>181</v>
      </c>
    </row>
    <row r="308" spans="1:14" x14ac:dyDescent="0.25">
      <c r="A308" t="s">
        <v>37</v>
      </c>
      <c r="F308" t="s">
        <v>18</v>
      </c>
      <c r="G308" t="s">
        <v>196</v>
      </c>
      <c r="H308" t="s">
        <v>21</v>
      </c>
      <c r="J308" t="s">
        <v>23</v>
      </c>
      <c r="K308">
        <v>4</v>
      </c>
      <c r="L308" t="s">
        <v>56</v>
      </c>
      <c r="N308" t="s">
        <v>181</v>
      </c>
    </row>
    <row r="309" spans="1:14" x14ac:dyDescent="0.25">
      <c r="A309" t="s">
        <v>37</v>
      </c>
      <c r="F309" t="s">
        <v>19</v>
      </c>
      <c r="G309" t="s">
        <v>196</v>
      </c>
      <c r="H309" t="s">
        <v>21</v>
      </c>
      <c r="J309" t="s">
        <v>23</v>
      </c>
      <c r="K309">
        <v>18</v>
      </c>
      <c r="L309" t="s">
        <v>56</v>
      </c>
      <c r="N309" t="s">
        <v>181</v>
      </c>
    </row>
    <row r="310" spans="1:14" x14ac:dyDescent="0.25">
      <c r="A310" t="s">
        <v>37</v>
      </c>
      <c r="F310" t="s">
        <v>20</v>
      </c>
      <c r="G310" t="s">
        <v>196</v>
      </c>
      <c r="H310" t="s">
        <v>21</v>
      </c>
      <c r="J310" t="s">
        <v>23</v>
      </c>
      <c r="K310">
        <v>30</v>
      </c>
      <c r="L310" t="s">
        <v>56</v>
      </c>
      <c r="N310" t="s">
        <v>181</v>
      </c>
    </row>
    <row r="311" spans="1:14" x14ac:dyDescent="0.25">
      <c r="A311" t="s">
        <v>37</v>
      </c>
      <c r="F311" t="s">
        <v>183</v>
      </c>
      <c r="G311" t="s">
        <v>196</v>
      </c>
      <c r="H311" t="s">
        <v>21</v>
      </c>
      <c r="J311" t="s">
        <v>23</v>
      </c>
      <c r="K311">
        <v>2.75</v>
      </c>
      <c r="L311" t="s">
        <v>56</v>
      </c>
      <c r="N311" t="s">
        <v>181</v>
      </c>
    </row>
    <row r="312" spans="1:14" x14ac:dyDescent="0.25">
      <c r="A312" t="s">
        <v>51</v>
      </c>
      <c r="F312" t="s">
        <v>18</v>
      </c>
      <c r="G312" t="s">
        <v>196</v>
      </c>
      <c r="H312" t="s">
        <v>21</v>
      </c>
      <c r="J312" t="s">
        <v>23</v>
      </c>
      <c r="K312">
        <v>4</v>
      </c>
      <c r="L312" t="s">
        <v>56</v>
      </c>
      <c r="N312" t="s">
        <v>181</v>
      </c>
    </row>
    <row r="313" spans="1:14" x14ac:dyDescent="0.25">
      <c r="A313" t="s">
        <v>51</v>
      </c>
      <c r="F313" t="s">
        <v>19</v>
      </c>
      <c r="G313" t="s">
        <v>196</v>
      </c>
      <c r="H313" t="s">
        <v>21</v>
      </c>
      <c r="J313" t="s">
        <v>23</v>
      </c>
      <c r="K313">
        <v>12</v>
      </c>
      <c r="L313" t="s">
        <v>56</v>
      </c>
      <c r="N313" t="s">
        <v>181</v>
      </c>
    </row>
    <row r="314" spans="1:14" x14ac:dyDescent="0.25">
      <c r="A314" t="s">
        <v>51</v>
      </c>
      <c r="F314" t="s">
        <v>20</v>
      </c>
      <c r="G314" t="s">
        <v>196</v>
      </c>
      <c r="H314" t="s">
        <v>21</v>
      </c>
      <c r="J314" t="s">
        <v>23</v>
      </c>
      <c r="K314">
        <v>20</v>
      </c>
      <c r="L314" t="s">
        <v>56</v>
      </c>
      <c r="N314" t="s">
        <v>181</v>
      </c>
    </row>
    <row r="315" spans="1:14" x14ac:dyDescent="0.25">
      <c r="A315" t="s">
        <v>51</v>
      </c>
      <c r="C315" t="s">
        <v>52</v>
      </c>
      <c r="D315" t="s">
        <v>53</v>
      </c>
      <c r="F315" t="s">
        <v>19</v>
      </c>
      <c r="G315" t="s">
        <v>196</v>
      </c>
      <c r="H315" t="s">
        <v>21</v>
      </c>
      <c r="J315" t="s">
        <v>23</v>
      </c>
      <c r="K315">
        <v>5</v>
      </c>
      <c r="L315" t="s">
        <v>56</v>
      </c>
      <c r="N315" t="s">
        <v>181</v>
      </c>
    </row>
    <row r="316" spans="1:14" x14ac:dyDescent="0.25">
      <c r="A316" t="s">
        <v>51</v>
      </c>
      <c r="C316" t="s">
        <v>52</v>
      </c>
      <c r="D316" t="s">
        <v>53</v>
      </c>
      <c r="F316" t="s">
        <v>20</v>
      </c>
      <c r="G316" t="s">
        <v>196</v>
      </c>
      <c r="H316" t="s">
        <v>21</v>
      </c>
      <c r="J316" t="s">
        <v>23</v>
      </c>
      <c r="K316">
        <v>5</v>
      </c>
      <c r="L316" t="s">
        <v>56</v>
      </c>
      <c r="N316" t="s">
        <v>181</v>
      </c>
    </row>
    <row r="318" spans="1:14" x14ac:dyDescent="0.25">
      <c r="F318" t="s">
        <v>18</v>
      </c>
      <c r="G318" t="s">
        <v>196</v>
      </c>
      <c r="H318" t="s">
        <v>24</v>
      </c>
      <c r="J318" t="s">
        <v>23</v>
      </c>
      <c r="K318">
        <v>0.01</v>
      </c>
      <c r="L318" t="s">
        <v>57</v>
      </c>
      <c r="N318" t="s">
        <v>189</v>
      </c>
    </row>
    <row r="319" spans="1:14" x14ac:dyDescent="0.25">
      <c r="F319" t="s">
        <v>19</v>
      </c>
      <c r="G319" t="s">
        <v>196</v>
      </c>
      <c r="H319" t="s">
        <v>24</v>
      </c>
      <c r="J319" t="s">
        <v>23</v>
      </c>
      <c r="K319">
        <v>1</v>
      </c>
      <c r="L319" t="s">
        <v>57</v>
      </c>
      <c r="N319" t="s">
        <v>189</v>
      </c>
    </row>
    <row r="320" spans="1:14" x14ac:dyDescent="0.25">
      <c r="F320" t="s">
        <v>20</v>
      </c>
      <c r="G320" t="s">
        <v>196</v>
      </c>
      <c r="H320" t="s">
        <v>24</v>
      </c>
      <c r="J320" t="s">
        <v>23</v>
      </c>
      <c r="K320">
        <v>1</v>
      </c>
      <c r="L320" t="s">
        <v>57</v>
      </c>
      <c r="N320" t="s">
        <v>189</v>
      </c>
    </row>
    <row r="321" spans="1:14" x14ac:dyDescent="0.25">
      <c r="F321" t="s">
        <v>175</v>
      </c>
      <c r="G321" t="s">
        <v>196</v>
      </c>
      <c r="H321" t="s">
        <v>24</v>
      </c>
      <c r="J321" t="s">
        <v>23</v>
      </c>
      <c r="K321">
        <v>1</v>
      </c>
      <c r="L321" t="s">
        <v>57</v>
      </c>
      <c r="N321" t="s">
        <v>189</v>
      </c>
    </row>
    <row r="323" spans="1:14" x14ac:dyDescent="0.25">
      <c r="F323" t="s">
        <v>18</v>
      </c>
      <c r="G323" t="s">
        <v>196</v>
      </c>
      <c r="H323" t="s">
        <v>25</v>
      </c>
      <c r="J323" t="s">
        <v>23</v>
      </c>
      <c r="K323">
        <v>0.5</v>
      </c>
      <c r="L323" t="s">
        <v>56</v>
      </c>
      <c r="N323" t="s">
        <v>188</v>
      </c>
    </row>
    <row r="324" spans="1:14" x14ac:dyDescent="0.25">
      <c r="F324" t="s">
        <v>19</v>
      </c>
      <c r="G324" t="s">
        <v>196</v>
      </c>
      <c r="H324" t="s">
        <v>25</v>
      </c>
      <c r="J324" t="s">
        <v>23</v>
      </c>
      <c r="K324">
        <v>0.5</v>
      </c>
      <c r="L324" t="s">
        <v>56</v>
      </c>
      <c r="N324" t="s">
        <v>188</v>
      </c>
    </row>
    <row r="325" spans="1:14" x14ac:dyDescent="0.25">
      <c r="F325" t="s">
        <v>20</v>
      </c>
      <c r="G325" t="s">
        <v>196</v>
      </c>
      <c r="H325" t="s">
        <v>25</v>
      </c>
      <c r="J325" t="s">
        <v>23</v>
      </c>
      <c r="K325">
        <v>1</v>
      </c>
      <c r="L325" t="s">
        <v>56</v>
      </c>
      <c r="N325" t="s">
        <v>188</v>
      </c>
    </row>
    <row r="326" spans="1:14" x14ac:dyDescent="0.25">
      <c r="F326" t="s">
        <v>183</v>
      </c>
      <c r="G326" t="s">
        <v>196</v>
      </c>
      <c r="H326" t="s">
        <v>25</v>
      </c>
      <c r="J326" t="s">
        <v>23</v>
      </c>
      <c r="K326">
        <v>0</v>
      </c>
      <c r="L326" t="s">
        <v>56</v>
      </c>
      <c r="N326" t="s">
        <v>188</v>
      </c>
    </row>
    <row r="327" spans="1:14" x14ac:dyDescent="0.25">
      <c r="F327" s="43" t="s">
        <v>175</v>
      </c>
      <c r="G327" t="s">
        <v>196</v>
      </c>
      <c r="H327" t="s">
        <v>25</v>
      </c>
      <c r="J327" t="s">
        <v>23</v>
      </c>
      <c r="K327">
        <v>1</v>
      </c>
      <c r="L327" t="s">
        <v>56</v>
      </c>
      <c r="N327" t="s">
        <v>188</v>
      </c>
    </row>
    <row r="329" spans="1:14" x14ac:dyDescent="0.25">
      <c r="F329" t="s">
        <v>18</v>
      </c>
      <c r="G329" t="s">
        <v>196</v>
      </c>
      <c r="H329" t="s">
        <v>26</v>
      </c>
      <c r="J329" t="s">
        <v>23</v>
      </c>
      <c r="K329">
        <v>0.31</v>
      </c>
      <c r="L329" t="s">
        <v>57</v>
      </c>
      <c r="M329" t="s">
        <v>187</v>
      </c>
      <c r="N329" t="s">
        <v>186</v>
      </c>
    </row>
    <row r="330" spans="1:14" x14ac:dyDescent="0.25">
      <c r="F330" t="s">
        <v>19</v>
      </c>
      <c r="G330" t="s">
        <v>196</v>
      </c>
      <c r="H330" t="s">
        <v>26</v>
      </c>
      <c r="J330" t="s">
        <v>23</v>
      </c>
      <c r="K330">
        <v>31</v>
      </c>
      <c r="L330" t="s">
        <v>57</v>
      </c>
      <c r="M330" t="s">
        <v>19</v>
      </c>
      <c r="N330" t="s">
        <v>186</v>
      </c>
    </row>
    <row r="331" spans="1:14" x14ac:dyDescent="0.25">
      <c r="F331" t="s">
        <v>20</v>
      </c>
      <c r="G331" t="s">
        <v>196</v>
      </c>
      <c r="H331" t="s">
        <v>26</v>
      </c>
      <c r="J331" t="s">
        <v>23</v>
      </c>
      <c r="K331">
        <v>31</v>
      </c>
      <c r="L331" t="s">
        <v>57</v>
      </c>
      <c r="M331" t="s">
        <v>19</v>
      </c>
      <c r="N331" t="s">
        <v>186</v>
      </c>
    </row>
    <row r="332" spans="1:14" x14ac:dyDescent="0.25">
      <c r="F332" t="s">
        <v>175</v>
      </c>
      <c r="G332" t="s">
        <v>196</v>
      </c>
      <c r="H332" t="s">
        <v>26</v>
      </c>
      <c r="J332" t="s">
        <v>23</v>
      </c>
      <c r="K332">
        <v>31</v>
      </c>
      <c r="L332" t="s">
        <v>57</v>
      </c>
      <c r="M332" t="s">
        <v>19</v>
      </c>
      <c r="N332" t="s">
        <v>186</v>
      </c>
    </row>
    <row r="334" spans="1:14" x14ac:dyDescent="0.25">
      <c r="A334" s="1" t="s">
        <v>199</v>
      </c>
    </row>
    <row r="335" spans="1:14" x14ac:dyDescent="0.25">
      <c r="G335" t="s">
        <v>197</v>
      </c>
      <c r="H335" t="s">
        <v>197</v>
      </c>
      <c r="J335" t="s">
        <v>22</v>
      </c>
      <c r="K335">
        <v>0</v>
      </c>
    </row>
    <row r="336" spans="1:14" x14ac:dyDescent="0.25">
      <c r="G336" t="s">
        <v>197</v>
      </c>
      <c r="H336" t="s">
        <v>197</v>
      </c>
      <c r="J336" t="s">
        <v>23</v>
      </c>
      <c r="K336">
        <v>0</v>
      </c>
    </row>
    <row r="337" spans="7:11" x14ac:dyDescent="0.25">
      <c r="G337" t="s">
        <v>198</v>
      </c>
      <c r="H337" t="s">
        <v>198</v>
      </c>
      <c r="J337" t="s">
        <v>22</v>
      </c>
      <c r="K337" s="44">
        <v>0</v>
      </c>
    </row>
    <row r="338" spans="7:11" x14ac:dyDescent="0.25">
      <c r="G338" t="s">
        <v>198</v>
      </c>
      <c r="H338" t="s">
        <v>198</v>
      </c>
      <c r="J338" t="s">
        <v>23</v>
      </c>
      <c r="K338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F97"/>
  <sheetViews>
    <sheetView workbookViewId="0">
      <selection activeCell="P29" sqref="P29"/>
    </sheetView>
  </sheetViews>
  <sheetFormatPr defaultRowHeight="15" x14ac:dyDescent="0.25"/>
  <sheetData>
    <row r="2" spans="2:32" x14ac:dyDescent="0.25">
      <c r="B2" s="4" t="s">
        <v>157</v>
      </c>
    </row>
    <row r="4" spans="2:32" x14ac:dyDescent="0.25">
      <c r="R4" s="4" t="s">
        <v>177</v>
      </c>
    </row>
    <row r="5" spans="2:32" x14ac:dyDescent="0.25">
      <c r="B5" s="46" t="s">
        <v>172</v>
      </c>
      <c r="C5" s="47" t="s">
        <v>1</v>
      </c>
      <c r="D5" s="47" t="s">
        <v>1</v>
      </c>
      <c r="E5" s="47" t="s">
        <v>1</v>
      </c>
      <c r="F5" s="47" t="s">
        <v>1</v>
      </c>
      <c r="G5" s="47" t="s">
        <v>1</v>
      </c>
      <c r="H5" s="47" t="s">
        <v>1</v>
      </c>
      <c r="I5" s="47" t="s">
        <v>1</v>
      </c>
      <c r="J5" s="47" t="s">
        <v>55</v>
      </c>
      <c r="K5" s="47" t="s">
        <v>61</v>
      </c>
      <c r="L5" s="47" t="s">
        <v>37</v>
      </c>
      <c r="M5" s="47" t="s">
        <v>37</v>
      </c>
      <c r="N5" s="47" t="s">
        <v>37</v>
      </c>
      <c r="O5" s="47" t="s">
        <v>51</v>
      </c>
      <c r="P5" s="47" t="s">
        <v>51</v>
      </c>
      <c r="R5" s="46" t="s">
        <v>172</v>
      </c>
      <c r="S5" s="47" t="s">
        <v>1</v>
      </c>
      <c r="T5" s="47" t="s">
        <v>1</v>
      </c>
      <c r="U5" s="47" t="s">
        <v>1</v>
      </c>
      <c r="V5" s="47" t="s">
        <v>1</v>
      </c>
      <c r="W5" s="47" t="s">
        <v>1</v>
      </c>
      <c r="X5" s="47" t="s">
        <v>1</v>
      </c>
      <c r="Y5" s="47" t="s">
        <v>1</v>
      </c>
      <c r="Z5" s="47" t="s">
        <v>55</v>
      </c>
      <c r="AA5" s="47" t="s">
        <v>61</v>
      </c>
      <c r="AB5" s="47" t="s">
        <v>37</v>
      </c>
      <c r="AC5" s="47" t="s">
        <v>37</v>
      </c>
      <c r="AD5" s="47" t="s">
        <v>37</v>
      </c>
      <c r="AE5" s="47" t="s">
        <v>51</v>
      </c>
      <c r="AF5" s="47" t="s">
        <v>51</v>
      </c>
    </row>
    <row r="6" spans="2:32" x14ac:dyDescent="0.25">
      <c r="B6" s="46" t="s">
        <v>173</v>
      </c>
      <c r="C6" s="47" t="s">
        <v>2</v>
      </c>
      <c r="D6" s="47" t="s">
        <v>7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 t="s">
        <v>52</v>
      </c>
      <c r="R6" s="46" t="s">
        <v>173</v>
      </c>
      <c r="S6" s="47" t="s">
        <v>2</v>
      </c>
      <c r="T6" s="47" t="s">
        <v>7</v>
      </c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 t="s">
        <v>52</v>
      </c>
    </row>
    <row r="7" spans="2:32" x14ac:dyDescent="0.25">
      <c r="B7" s="46" t="s">
        <v>174</v>
      </c>
      <c r="C7" s="47" t="s">
        <v>3</v>
      </c>
      <c r="D7" s="47" t="s">
        <v>3</v>
      </c>
      <c r="E7" s="47" t="s">
        <v>9</v>
      </c>
      <c r="F7" s="47" t="s">
        <v>11</v>
      </c>
      <c r="G7" s="47" t="s">
        <v>12</v>
      </c>
      <c r="H7" s="47" t="s">
        <v>10</v>
      </c>
      <c r="I7" s="47" t="s">
        <v>13</v>
      </c>
      <c r="J7" s="47"/>
      <c r="K7" s="47"/>
      <c r="L7" s="47"/>
      <c r="M7" s="47" t="s">
        <v>38</v>
      </c>
      <c r="N7" s="47" t="s">
        <v>39</v>
      </c>
      <c r="O7" s="47"/>
      <c r="P7" s="47" t="s">
        <v>53</v>
      </c>
      <c r="R7" s="46" t="s">
        <v>174</v>
      </c>
      <c r="S7" s="47" t="s">
        <v>3</v>
      </c>
      <c r="T7" s="47" t="s">
        <v>3</v>
      </c>
      <c r="U7" s="47" t="s">
        <v>9</v>
      </c>
      <c r="V7" s="47" t="s">
        <v>11</v>
      </c>
      <c r="W7" s="47" t="s">
        <v>12</v>
      </c>
      <c r="X7" s="47" t="s">
        <v>10</v>
      </c>
      <c r="Y7" s="47" t="s">
        <v>13</v>
      </c>
      <c r="Z7" s="47"/>
      <c r="AA7" s="47"/>
      <c r="AB7" s="47"/>
      <c r="AC7" s="47" t="s">
        <v>38</v>
      </c>
      <c r="AD7" s="47" t="s">
        <v>39</v>
      </c>
      <c r="AE7" s="47"/>
      <c r="AF7" s="47" t="s">
        <v>53</v>
      </c>
    </row>
    <row r="8" spans="2:32" x14ac:dyDescent="0.25">
      <c r="B8" s="48" t="s">
        <v>15</v>
      </c>
      <c r="C8" s="44">
        <f>C30</f>
        <v>25.033333333333331</v>
      </c>
      <c r="D8" s="44">
        <f>D30</f>
        <v>55.633333333333333</v>
      </c>
      <c r="E8" s="44">
        <f>E30</f>
        <v>51.70000000000001</v>
      </c>
      <c r="F8" s="45">
        <f>E8</f>
        <v>51.70000000000001</v>
      </c>
      <c r="G8" s="44">
        <f>F30</f>
        <v>22.133333333333336</v>
      </c>
      <c r="H8" s="44">
        <f>G30</f>
        <v>34.366666666666667</v>
      </c>
      <c r="I8" s="45">
        <f>G8</f>
        <v>22.133333333333336</v>
      </c>
      <c r="J8" s="44">
        <f>K30</f>
        <v>50</v>
      </c>
      <c r="K8" s="44">
        <f>I30</f>
        <v>50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R8" s="46" t="s">
        <v>182</v>
      </c>
      <c r="S8" s="50" t="str">
        <f>S5&amp;S6&amp;S7</f>
        <v>cattledairycows</v>
      </c>
      <c r="T8" s="50" t="str">
        <f t="shared" ref="T8:Y8" si="0">T5&amp;T6&amp;T7</f>
        <v>cattlebeefcows</v>
      </c>
      <c r="U8" s="50" t="str">
        <f t="shared" si="0"/>
        <v>cattleheifers</v>
      </c>
      <c r="V8" s="50" t="str">
        <f t="shared" si="0"/>
        <v>cattlesteers</v>
      </c>
      <c r="W8" s="50" t="str">
        <f t="shared" si="0"/>
        <v>cattlebulls</v>
      </c>
      <c r="X8" s="50" t="str">
        <f t="shared" si="0"/>
        <v>cattlecalves</v>
      </c>
      <c r="Y8" s="50" t="str">
        <f t="shared" si="0"/>
        <v>cattlebreeding bulls</v>
      </c>
      <c r="Z8" s="50" t="str">
        <f t="shared" ref="Z8:AF8" si="1">Z5&amp;Z6&amp;Z7</f>
        <v>horses</v>
      </c>
      <c r="AA8" s="50" t="str">
        <f t="shared" si="1"/>
        <v>sheep</v>
      </c>
      <c r="AB8" s="50" t="str">
        <f t="shared" si="1"/>
        <v>pigs</v>
      </c>
      <c r="AC8" s="50" t="str">
        <f t="shared" si="1"/>
        <v>pigsgrowing pigs</v>
      </c>
      <c r="AD8" s="50" t="str">
        <f t="shared" si="1"/>
        <v>pigsfinishing pigs</v>
      </c>
      <c r="AE8" s="50" t="str">
        <f t="shared" si="1"/>
        <v>poultry</v>
      </c>
      <c r="AF8" s="50" t="str">
        <f t="shared" si="1"/>
        <v>poultrybroilerbroilers</v>
      </c>
    </row>
    <row r="9" spans="2:32" x14ac:dyDescent="0.25">
      <c r="B9" s="47" t="s">
        <v>18</v>
      </c>
      <c r="C9" s="44">
        <f>C43</f>
        <v>62.766666666666673</v>
      </c>
      <c r="D9" s="44">
        <f>D43</f>
        <v>9.8666666666666671</v>
      </c>
      <c r="E9" s="44">
        <f>E43</f>
        <v>24.366666666666664</v>
      </c>
      <c r="F9" s="45">
        <f t="shared" ref="F9:F13" si="2">E9</f>
        <v>24.366666666666664</v>
      </c>
      <c r="G9" s="44">
        <f>F43</f>
        <v>34.9</v>
      </c>
      <c r="H9" s="44">
        <f>G43</f>
        <v>16.633333333333333</v>
      </c>
      <c r="I9" s="45">
        <f t="shared" ref="I9:I13" si="3">G9</f>
        <v>34.9</v>
      </c>
      <c r="J9" s="44">
        <f>J43</f>
        <v>0</v>
      </c>
      <c r="K9" s="44">
        <f>J43</f>
        <v>0</v>
      </c>
      <c r="L9" s="44">
        <f>I43</f>
        <v>47.1</v>
      </c>
      <c r="M9" s="44">
        <f>H43</f>
        <v>79.533333333333346</v>
      </c>
      <c r="N9" s="45">
        <f>M9</f>
        <v>79.533333333333346</v>
      </c>
      <c r="O9" s="44">
        <f>K43</f>
        <v>7.7</v>
      </c>
      <c r="P9" s="44">
        <f>L43</f>
        <v>0</v>
      </c>
      <c r="R9" s="47" t="s">
        <v>18</v>
      </c>
      <c r="S9" s="44">
        <f t="shared" ref="S9:AF13" si="4">C9/SUM(C$9:C$13)*100</f>
        <v>83.800623052959494</v>
      </c>
      <c r="T9" s="44">
        <f t="shared" si="4"/>
        <v>22.222222222222225</v>
      </c>
      <c r="U9" s="44">
        <f t="shared" si="4"/>
        <v>50.379048931771194</v>
      </c>
      <c r="V9" s="44">
        <f t="shared" si="4"/>
        <v>50.379048931771194</v>
      </c>
      <c r="W9" s="44">
        <f t="shared" si="4"/>
        <v>44.83940042826552</v>
      </c>
      <c r="X9" s="44">
        <f t="shared" si="4"/>
        <v>25.355691056910569</v>
      </c>
      <c r="Y9" s="44">
        <f t="shared" si="4"/>
        <v>44.83940042826552</v>
      </c>
      <c r="Z9" s="44">
        <f t="shared" si="4"/>
        <v>0</v>
      </c>
      <c r="AA9" s="44">
        <f t="shared" si="4"/>
        <v>0</v>
      </c>
      <c r="AB9" s="44">
        <f t="shared" si="4"/>
        <v>47.115705235078359</v>
      </c>
      <c r="AC9" s="44">
        <f t="shared" si="4"/>
        <v>79.533333333333317</v>
      </c>
      <c r="AD9" s="44">
        <f t="shared" si="4"/>
        <v>79.533333333333317</v>
      </c>
      <c r="AE9" s="44">
        <f t="shared" si="4"/>
        <v>7.7000000000000011</v>
      </c>
      <c r="AF9" s="44">
        <f t="shared" si="4"/>
        <v>0</v>
      </c>
    </row>
    <row r="10" spans="2:32" x14ac:dyDescent="0.25">
      <c r="B10" s="47" t="s">
        <v>19</v>
      </c>
      <c r="C10" s="44">
        <f>C56</f>
        <v>7</v>
      </c>
      <c r="D10" s="44">
        <f>D56</f>
        <v>13.5</v>
      </c>
      <c r="E10" s="44">
        <f>E56</f>
        <v>9.2333333333333343</v>
      </c>
      <c r="F10" s="45">
        <f t="shared" si="2"/>
        <v>9.2333333333333343</v>
      </c>
      <c r="G10" s="44">
        <f>F56</f>
        <v>15.5</v>
      </c>
      <c r="H10" s="44">
        <f>G56</f>
        <v>13.333333333333334</v>
      </c>
      <c r="I10" s="45">
        <f t="shared" si="3"/>
        <v>15.5</v>
      </c>
      <c r="J10" s="44">
        <f>M56</f>
        <v>33</v>
      </c>
      <c r="K10" s="44">
        <f>J56</f>
        <v>50</v>
      </c>
      <c r="L10" s="44">
        <f>I56</f>
        <v>27.866666666666664</v>
      </c>
      <c r="M10" s="44">
        <f>H56</f>
        <v>2.6666666666666665</v>
      </c>
      <c r="N10" s="45">
        <f t="shared" ref="N10:N12" si="5">M10</f>
        <v>2.6666666666666665</v>
      </c>
      <c r="O10" s="44">
        <f>N56</f>
        <v>85.966666666666654</v>
      </c>
      <c r="P10" s="44">
        <f>O56</f>
        <v>0</v>
      </c>
      <c r="R10" s="47" t="s">
        <v>19</v>
      </c>
      <c r="S10" s="44">
        <f t="shared" si="4"/>
        <v>9.3457943925233611</v>
      </c>
      <c r="T10" s="44">
        <f t="shared" si="4"/>
        <v>30.405405405405407</v>
      </c>
      <c r="U10" s="44">
        <f t="shared" si="4"/>
        <v>19.090282563749142</v>
      </c>
      <c r="V10" s="44">
        <f t="shared" si="4"/>
        <v>19.090282563749142</v>
      </c>
      <c r="W10" s="44">
        <f t="shared" si="4"/>
        <v>19.914346895074946</v>
      </c>
      <c r="X10" s="44">
        <f t="shared" si="4"/>
        <v>20.325203252032519</v>
      </c>
      <c r="Y10" s="44">
        <f t="shared" si="4"/>
        <v>19.914346895074946</v>
      </c>
      <c r="Z10" s="44">
        <f t="shared" si="4"/>
        <v>66</v>
      </c>
      <c r="AA10" s="44">
        <f t="shared" si="4"/>
        <v>100</v>
      </c>
      <c r="AB10" s="44">
        <f t="shared" si="4"/>
        <v>27.875958652884293</v>
      </c>
      <c r="AC10" s="44">
        <f t="shared" si="4"/>
        <v>2.6666666666666656</v>
      </c>
      <c r="AD10" s="44">
        <f t="shared" si="4"/>
        <v>2.6666666666666656</v>
      </c>
      <c r="AE10" s="44">
        <f t="shared" si="4"/>
        <v>85.966666666666669</v>
      </c>
      <c r="AF10" s="44">
        <f t="shared" si="4"/>
        <v>0</v>
      </c>
    </row>
    <row r="11" spans="2:32" x14ac:dyDescent="0.25">
      <c r="B11" s="47" t="s">
        <v>20</v>
      </c>
      <c r="C11" s="44">
        <f>C69</f>
        <v>0.96666666666666667</v>
      </c>
      <c r="D11" s="44">
        <f>D69</f>
        <v>19.900000000000002</v>
      </c>
      <c r="E11" s="44">
        <f>E69</f>
        <v>12.833333333333334</v>
      </c>
      <c r="F11" s="45">
        <f t="shared" si="2"/>
        <v>12.833333333333334</v>
      </c>
      <c r="G11" s="44">
        <f>F69</f>
        <v>24.533333333333331</v>
      </c>
      <c r="H11" s="44">
        <f>G69</f>
        <v>33.833333333333336</v>
      </c>
      <c r="I11" s="45">
        <f t="shared" si="3"/>
        <v>24.533333333333331</v>
      </c>
      <c r="J11" s="44">
        <f>K69</f>
        <v>2</v>
      </c>
      <c r="K11" s="44">
        <f>J69</f>
        <v>0</v>
      </c>
      <c r="L11" s="44">
        <f>I69</f>
        <v>15.200000000000001</v>
      </c>
      <c r="M11" s="44">
        <f>H69</f>
        <v>1.1666666666666667</v>
      </c>
      <c r="N11" s="45">
        <f t="shared" si="5"/>
        <v>1.1666666666666667</v>
      </c>
      <c r="O11" s="44">
        <f>L69</f>
        <v>6.333333333333333</v>
      </c>
      <c r="P11" s="44">
        <f>M69</f>
        <v>100</v>
      </c>
      <c r="R11" s="47" t="s">
        <v>20</v>
      </c>
      <c r="S11" s="44">
        <f t="shared" si="4"/>
        <v>1.2906097018246547</v>
      </c>
      <c r="T11" s="44">
        <f t="shared" si="4"/>
        <v>44.819819819819827</v>
      </c>
      <c r="U11" s="44">
        <f t="shared" si="4"/>
        <v>26.533425223983464</v>
      </c>
      <c r="V11" s="44">
        <f t="shared" si="4"/>
        <v>26.533425223983464</v>
      </c>
      <c r="W11" s="44">
        <f t="shared" si="4"/>
        <v>31.520342612419693</v>
      </c>
      <c r="X11" s="44">
        <f t="shared" si="4"/>
        <v>51.575203252032523</v>
      </c>
      <c r="Y11" s="44">
        <f t="shared" si="4"/>
        <v>31.520342612419693</v>
      </c>
      <c r="Z11" s="44">
        <f t="shared" si="4"/>
        <v>4</v>
      </c>
      <c r="AA11" s="44">
        <f t="shared" si="4"/>
        <v>0</v>
      </c>
      <c r="AB11" s="44">
        <f t="shared" si="4"/>
        <v>15.205068356118707</v>
      </c>
      <c r="AC11" s="44">
        <f t="shared" si="4"/>
        <v>1.1666666666666663</v>
      </c>
      <c r="AD11" s="44">
        <f t="shared" si="4"/>
        <v>1.1666666666666663</v>
      </c>
      <c r="AE11" s="44">
        <f t="shared" si="4"/>
        <v>6.3333333333333339</v>
      </c>
      <c r="AF11" s="44">
        <f t="shared" si="4"/>
        <v>100</v>
      </c>
    </row>
    <row r="12" spans="2:32" x14ac:dyDescent="0.25">
      <c r="B12" s="47" t="s">
        <v>183</v>
      </c>
      <c r="C12" s="44">
        <f>C83+C97</f>
        <v>4.1666666666666661</v>
      </c>
      <c r="D12" s="44">
        <f>D83+D97</f>
        <v>1.1333333333333333</v>
      </c>
      <c r="E12" s="44">
        <f>E83+E97</f>
        <v>1.9333333333333336</v>
      </c>
      <c r="F12" s="45">
        <f>E12</f>
        <v>1.9333333333333336</v>
      </c>
      <c r="G12" s="44">
        <f>F83+F97</f>
        <v>2.9000000000000004</v>
      </c>
      <c r="H12" s="44">
        <f>G83+G97</f>
        <v>1.7999999999999998</v>
      </c>
      <c r="I12" s="45">
        <f>G12</f>
        <v>2.9000000000000004</v>
      </c>
      <c r="J12" s="44">
        <v>0</v>
      </c>
      <c r="K12" s="44">
        <v>0</v>
      </c>
      <c r="L12" s="44">
        <f>J83+J97</f>
        <v>9.7999999999999989</v>
      </c>
      <c r="M12" s="44">
        <f>I83+I97</f>
        <v>16.633333333333333</v>
      </c>
      <c r="N12" s="45">
        <f>M12</f>
        <v>16.633333333333333</v>
      </c>
      <c r="O12" s="44">
        <v>0</v>
      </c>
      <c r="P12" s="44">
        <v>0</v>
      </c>
      <c r="R12" s="47" t="s">
        <v>183</v>
      </c>
      <c r="S12" s="44">
        <f t="shared" si="4"/>
        <v>5.562972852692476</v>
      </c>
      <c r="T12" s="44">
        <f t="shared" si="4"/>
        <v>2.5525525525525525</v>
      </c>
      <c r="U12" s="44">
        <f t="shared" si="4"/>
        <v>3.9972432804962108</v>
      </c>
      <c r="V12" s="44">
        <f t="shared" si="4"/>
        <v>3.9972432804962108</v>
      </c>
      <c r="W12" s="44">
        <f t="shared" si="4"/>
        <v>3.7259100642398284</v>
      </c>
      <c r="X12" s="44">
        <f t="shared" si="4"/>
        <v>2.7439024390243896</v>
      </c>
      <c r="Y12" s="44">
        <f t="shared" si="4"/>
        <v>3.7259100642398284</v>
      </c>
      <c r="Z12" s="44">
        <f t="shared" si="4"/>
        <v>0</v>
      </c>
      <c r="AA12" s="44">
        <f t="shared" si="4"/>
        <v>0</v>
      </c>
      <c r="AB12" s="44">
        <f t="shared" si="4"/>
        <v>9.8032677559186379</v>
      </c>
      <c r="AC12" s="44">
        <f t="shared" si="4"/>
        <v>16.633333333333329</v>
      </c>
      <c r="AD12" s="44">
        <f t="shared" si="4"/>
        <v>16.633333333333329</v>
      </c>
      <c r="AE12" s="44">
        <f t="shared" si="4"/>
        <v>0</v>
      </c>
      <c r="AF12" s="44">
        <f t="shared" si="4"/>
        <v>0</v>
      </c>
    </row>
    <row r="13" spans="2:32" x14ac:dyDescent="0.25">
      <c r="B13" s="47" t="s">
        <v>175</v>
      </c>
      <c r="C13" s="44">
        <v>0</v>
      </c>
      <c r="D13" s="44">
        <v>0</v>
      </c>
      <c r="E13" s="44">
        <v>0</v>
      </c>
      <c r="F13" s="45">
        <f t="shared" si="2"/>
        <v>0</v>
      </c>
      <c r="G13" s="44">
        <v>0</v>
      </c>
      <c r="H13" s="44">
        <v>0</v>
      </c>
      <c r="I13" s="45">
        <f t="shared" si="3"/>
        <v>0</v>
      </c>
      <c r="J13" s="44">
        <f>L83</f>
        <v>15</v>
      </c>
      <c r="K13" s="44">
        <v>0</v>
      </c>
      <c r="L13" s="44">
        <v>0</v>
      </c>
      <c r="M13" s="44">
        <v>0</v>
      </c>
      <c r="N13" s="44">
        <v>0</v>
      </c>
      <c r="O13" s="44">
        <v>0</v>
      </c>
      <c r="P13" s="44">
        <v>0</v>
      </c>
      <c r="R13" s="47" t="s">
        <v>175</v>
      </c>
      <c r="S13" s="44">
        <f t="shared" si="4"/>
        <v>0</v>
      </c>
      <c r="T13" s="44">
        <f t="shared" si="4"/>
        <v>0</v>
      </c>
      <c r="U13" s="44">
        <f t="shared" si="4"/>
        <v>0</v>
      </c>
      <c r="V13" s="44">
        <f t="shared" si="4"/>
        <v>0</v>
      </c>
      <c r="W13" s="44">
        <f t="shared" si="4"/>
        <v>0</v>
      </c>
      <c r="X13" s="44">
        <f t="shared" si="4"/>
        <v>0</v>
      </c>
      <c r="Y13" s="44">
        <f t="shared" si="4"/>
        <v>0</v>
      </c>
      <c r="Z13" s="44">
        <f t="shared" si="4"/>
        <v>30</v>
      </c>
      <c r="AA13" s="44">
        <f t="shared" si="4"/>
        <v>0</v>
      </c>
      <c r="AB13" s="44">
        <f t="shared" si="4"/>
        <v>0</v>
      </c>
      <c r="AC13" s="44">
        <f t="shared" si="4"/>
        <v>0</v>
      </c>
      <c r="AD13" s="44">
        <f t="shared" si="4"/>
        <v>0</v>
      </c>
      <c r="AE13" s="44">
        <f t="shared" si="4"/>
        <v>0</v>
      </c>
      <c r="AF13" s="44">
        <f t="shared" si="4"/>
        <v>0</v>
      </c>
    </row>
    <row r="14" spans="2:32" x14ac:dyDescent="0.25">
      <c r="B14" s="46" t="s">
        <v>176</v>
      </c>
      <c r="C14" s="49">
        <f>SUM(C8:C13)</f>
        <v>99.933333333333351</v>
      </c>
      <c r="D14" s="49">
        <f t="shared" ref="D14:G14" si="6">SUM(D8:D13)</f>
        <v>100.03333333333335</v>
      </c>
      <c r="E14" s="49">
        <f t="shared" si="6"/>
        <v>100.06666666666668</v>
      </c>
      <c r="F14" s="49">
        <f t="shared" si="6"/>
        <v>100.06666666666668</v>
      </c>
      <c r="G14" s="49">
        <f t="shared" si="6"/>
        <v>99.966666666666669</v>
      </c>
      <c r="H14" s="49">
        <f t="shared" ref="H14:I14" si="7">SUM(H8:H13)</f>
        <v>99.966666666666654</v>
      </c>
      <c r="I14" s="49">
        <f t="shared" si="7"/>
        <v>99.966666666666669</v>
      </c>
      <c r="J14" s="49">
        <f t="shared" ref="J14" si="8">SUM(J8:J13)</f>
        <v>100</v>
      </c>
      <c r="K14" s="49">
        <f t="shared" ref="K14" si="9">SUM(K8:K13)</f>
        <v>100</v>
      </c>
      <c r="L14" s="49">
        <f t="shared" ref="L14" si="10">SUM(L8:L13)</f>
        <v>99.966666666666669</v>
      </c>
      <c r="M14" s="49">
        <f t="shared" ref="M14" si="11">SUM(M8:M13)</f>
        <v>100.00000000000003</v>
      </c>
      <c r="N14" s="49">
        <f t="shared" ref="N14" si="12">SUM(N8:N13)</f>
        <v>100.00000000000003</v>
      </c>
      <c r="O14" s="49">
        <f t="shared" ref="O14" si="13">SUM(O8:O13)</f>
        <v>99.999999999999986</v>
      </c>
      <c r="P14" s="49">
        <f t="shared" ref="P14" si="14">SUM(P8:P13)</f>
        <v>100</v>
      </c>
      <c r="R14" s="46" t="s">
        <v>176</v>
      </c>
      <c r="S14" s="49">
        <f>SUM(S9:S13)</f>
        <v>99.999999999999986</v>
      </c>
      <c r="T14" s="49">
        <f t="shared" ref="T14:Y14" si="15">SUM(T9:T13)</f>
        <v>100.00000000000001</v>
      </c>
      <c r="U14" s="49">
        <f t="shared" si="15"/>
        <v>100</v>
      </c>
      <c r="V14" s="49">
        <f t="shared" si="15"/>
        <v>100</v>
      </c>
      <c r="W14" s="49">
        <f t="shared" si="15"/>
        <v>99.999999999999986</v>
      </c>
      <c r="X14" s="49">
        <f t="shared" si="15"/>
        <v>100</v>
      </c>
      <c r="Y14" s="49">
        <f t="shared" si="15"/>
        <v>99.999999999999986</v>
      </c>
      <c r="Z14" s="49">
        <f t="shared" ref="Z14:AF14" si="16">SUM(Z9:Z13)</f>
        <v>100</v>
      </c>
      <c r="AA14" s="49">
        <f t="shared" si="16"/>
        <v>100</v>
      </c>
      <c r="AB14" s="49">
        <f t="shared" si="16"/>
        <v>100</v>
      </c>
      <c r="AC14" s="49">
        <f t="shared" si="16"/>
        <v>99.999999999999986</v>
      </c>
      <c r="AD14" s="49">
        <f t="shared" si="16"/>
        <v>99.999999999999986</v>
      </c>
      <c r="AE14" s="49">
        <f t="shared" si="16"/>
        <v>100</v>
      </c>
      <c r="AF14" s="49">
        <f t="shared" si="16"/>
        <v>100</v>
      </c>
    </row>
    <row r="15" spans="2:32" x14ac:dyDescent="0.25">
      <c r="B15" s="67" t="s">
        <v>163</v>
      </c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R15" s="67" t="s">
        <v>163</v>
      </c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</row>
    <row r="16" spans="2:32" x14ac:dyDescent="0.25">
      <c r="B16" s="48" t="s">
        <v>17</v>
      </c>
      <c r="C16" s="44">
        <f>C97/(C83+C97)*100</f>
        <v>65.600000000000009</v>
      </c>
      <c r="D16" s="44">
        <f>D97/(D83+D97)*100</f>
        <v>64.705882352941174</v>
      </c>
      <c r="E16" s="44">
        <f>E97/(E83+E97)*100</f>
        <v>65.517241379310349</v>
      </c>
      <c r="F16" s="45">
        <f>E16</f>
        <v>65.517241379310349</v>
      </c>
      <c r="G16" s="44">
        <f>F97/(F83+F97)*100</f>
        <v>65.517241379310349</v>
      </c>
      <c r="H16" s="44">
        <f>G97/(G83+G97)*100</f>
        <v>66.666666666666671</v>
      </c>
      <c r="I16" s="45">
        <f>H16</f>
        <v>66.666666666666671</v>
      </c>
      <c r="J16" s="44">
        <v>0</v>
      </c>
      <c r="K16" s="44">
        <v>0</v>
      </c>
      <c r="L16" s="44">
        <f>J97/(J83+J97)*100</f>
        <v>65.986394557823118</v>
      </c>
      <c r="M16" s="44">
        <f>I97/(I83+I97)*100</f>
        <v>65.93186372745491</v>
      </c>
      <c r="N16" s="45">
        <f>M16</f>
        <v>65.93186372745491</v>
      </c>
      <c r="O16" s="44">
        <v>0</v>
      </c>
      <c r="P16" s="44">
        <v>0</v>
      </c>
      <c r="R16" s="48" t="s">
        <v>17</v>
      </c>
      <c r="S16" s="66">
        <f>C16</f>
        <v>65.600000000000009</v>
      </c>
      <c r="T16" s="66">
        <f t="shared" ref="T16:AF16" si="17">D16</f>
        <v>64.705882352941174</v>
      </c>
      <c r="U16" s="66">
        <f t="shared" si="17"/>
        <v>65.517241379310349</v>
      </c>
      <c r="V16" s="66">
        <f t="shared" si="17"/>
        <v>65.517241379310349</v>
      </c>
      <c r="W16" s="66">
        <f t="shared" si="17"/>
        <v>65.517241379310349</v>
      </c>
      <c r="X16" s="66">
        <f t="shared" si="17"/>
        <v>66.666666666666671</v>
      </c>
      <c r="Y16" s="66">
        <f t="shared" si="17"/>
        <v>66.666666666666671</v>
      </c>
      <c r="Z16" s="66">
        <f t="shared" si="17"/>
        <v>0</v>
      </c>
      <c r="AA16" s="66">
        <f t="shared" si="17"/>
        <v>0</v>
      </c>
      <c r="AB16" s="66">
        <f t="shared" si="17"/>
        <v>65.986394557823118</v>
      </c>
      <c r="AC16" s="66">
        <f t="shared" si="17"/>
        <v>65.93186372745491</v>
      </c>
      <c r="AD16" s="66">
        <f t="shared" si="17"/>
        <v>65.93186372745491</v>
      </c>
      <c r="AE16" s="66">
        <f t="shared" si="17"/>
        <v>0</v>
      </c>
      <c r="AF16" s="66">
        <f t="shared" si="17"/>
        <v>0</v>
      </c>
    </row>
    <row r="19" spans="2:13" x14ac:dyDescent="0.25">
      <c r="B19" s="59" t="s">
        <v>150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</row>
    <row r="20" spans="2:13" ht="33" x14ac:dyDescent="0.25">
      <c r="B20" s="27" t="s">
        <v>139</v>
      </c>
      <c r="C20" s="28" t="s">
        <v>140</v>
      </c>
      <c r="D20" s="28" t="s">
        <v>141</v>
      </c>
      <c r="E20" s="28" t="s">
        <v>142</v>
      </c>
      <c r="F20" s="28" t="s">
        <v>143</v>
      </c>
      <c r="G20" s="28" t="s">
        <v>144</v>
      </c>
      <c r="H20" s="28" t="s">
        <v>151</v>
      </c>
      <c r="I20" s="28" t="s">
        <v>152</v>
      </c>
      <c r="J20" s="28" t="s">
        <v>153</v>
      </c>
      <c r="K20" s="28" t="s">
        <v>154</v>
      </c>
      <c r="L20" s="28" t="s">
        <v>155</v>
      </c>
      <c r="M20" s="23"/>
    </row>
    <row r="21" spans="2:13" x14ac:dyDescent="0.25">
      <c r="B21" s="29">
        <v>1990</v>
      </c>
      <c r="C21" s="25">
        <v>24.8</v>
      </c>
      <c r="D21" s="25">
        <v>48.3</v>
      </c>
      <c r="E21" s="25">
        <v>45.8</v>
      </c>
      <c r="F21" s="25">
        <v>36.700000000000003</v>
      </c>
      <c r="G21" s="25">
        <v>35</v>
      </c>
      <c r="H21" s="30" t="s">
        <v>156</v>
      </c>
      <c r="I21" s="31">
        <v>50</v>
      </c>
      <c r="J21" s="31">
        <v>100</v>
      </c>
      <c r="K21" s="31">
        <v>50</v>
      </c>
      <c r="L21" s="30" t="s">
        <v>156</v>
      </c>
      <c r="M21" s="26"/>
    </row>
    <row r="22" spans="2:13" x14ac:dyDescent="0.25">
      <c r="B22" s="29">
        <v>1995</v>
      </c>
      <c r="C22" s="25">
        <v>24.8</v>
      </c>
      <c r="D22" s="25">
        <v>48.3</v>
      </c>
      <c r="E22" s="25">
        <v>45.8</v>
      </c>
      <c r="F22" s="25">
        <v>36.700000000000003</v>
      </c>
      <c r="G22" s="25">
        <v>35</v>
      </c>
      <c r="H22" s="30" t="s">
        <v>156</v>
      </c>
      <c r="I22" s="31">
        <v>50</v>
      </c>
      <c r="J22" s="31">
        <v>100</v>
      </c>
      <c r="K22" s="31">
        <v>50</v>
      </c>
      <c r="L22" s="30" t="s">
        <v>156</v>
      </c>
      <c r="M22" s="26"/>
    </row>
    <row r="23" spans="2:13" x14ac:dyDescent="0.25">
      <c r="B23" s="29">
        <v>2000</v>
      </c>
      <c r="C23" s="25">
        <v>24.8</v>
      </c>
      <c r="D23" s="25">
        <v>51.7</v>
      </c>
      <c r="E23" s="25">
        <v>49.2</v>
      </c>
      <c r="F23" s="25">
        <v>36.700000000000003</v>
      </c>
      <c r="G23" s="25">
        <v>36.700000000000003</v>
      </c>
      <c r="H23" s="30" t="s">
        <v>156</v>
      </c>
      <c r="I23" s="31">
        <v>50</v>
      </c>
      <c r="J23" s="31">
        <v>100</v>
      </c>
      <c r="K23" s="31">
        <v>50</v>
      </c>
      <c r="L23" s="30" t="s">
        <v>156</v>
      </c>
      <c r="M23" s="26"/>
    </row>
    <row r="24" spans="2:13" x14ac:dyDescent="0.25">
      <c r="B24" s="29">
        <v>2005</v>
      </c>
      <c r="C24" s="25">
        <v>26.1</v>
      </c>
      <c r="D24" s="25">
        <v>58.9</v>
      </c>
      <c r="E24" s="25">
        <v>53.7</v>
      </c>
      <c r="F24" s="25">
        <v>30.2</v>
      </c>
      <c r="G24" s="25">
        <v>36.6</v>
      </c>
      <c r="H24" s="30" t="s">
        <v>156</v>
      </c>
      <c r="I24" s="31">
        <v>50</v>
      </c>
      <c r="J24" s="31">
        <v>100</v>
      </c>
      <c r="K24" s="31">
        <v>50</v>
      </c>
      <c r="L24" s="30" t="s">
        <v>156</v>
      </c>
      <c r="M24" s="26"/>
    </row>
    <row r="25" spans="2:13" x14ac:dyDescent="0.25">
      <c r="B25" s="29">
        <v>2010</v>
      </c>
      <c r="C25" s="25">
        <v>25</v>
      </c>
      <c r="D25" s="25">
        <v>54.1</v>
      </c>
      <c r="E25" s="25">
        <v>51.7</v>
      </c>
      <c r="F25" s="25">
        <v>26.4</v>
      </c>
      <c r="G25" s="25">
        <v>31.4</v>
      </c>
      <c r="H25" s="30" t="s">
        <v>156</v>
      </c>
      <c r="I25" s="31">
        <v>50</v>
      </c>
      <c r="J25" s="31">
        <v>100</v>
      </c>
      <c r="K25" s="31">
        <v>50</v>
      </c>
      <c r="L25" s="30" t="s">
        <v>156</v>
      </c>
      <c r="M25" s="26"/>
    </row>
    <row r="26" spans="2:13" x14ac:dyDescent="0.25">
      <c r="B26" s="29">
        <v>2015</v>
      </c>
      <c r="C26" s="25">
        <v>24.5</v>
      </c>
      <c r="D26" s="25">
        <v>52.1</v>
      </c>
      <c r="E26" s="25">
        <v>49.7</v>
      </c>
      <c r="F26" s="25">
        <v>18.600000000000001</v>
      </c>
      <c r="G26" s="25">
        <v>31.7</v>
      </c>
      <c r="H26" s="30" t="s">
        <v>156</v>
      </c>
      <c r="I26" s="31">
        <v>50</v>
      </c>
      <c r="J26" s="31">
        <v>100</v>
      </c>
      <c r="K26" s="31">
        <v>50</v>
      </c>
      <c r="L26" s="30" t="s">
        <v>156</v>
      </c>
      <c r="M26" s="26"/>
    </row>
    <row r="27" spans="2:13" x14ac:dyDescent="0.25">
      <c r="B27" s="29">
        <v>2019</v>
      </c>
      <c r="C27" s="25">
        <v>25.3</v>
      </c>
      <c r="D27" s="25">
        <v>57.4</v>
      </c>
      <c r="E27" s="25">
        <v>52.7</v>
      </c>
      <c r="F27" s="25">
        <v>23.9</v>
      </c>
      <c r="G27" s="25">
        <v>35.700000000000003</v>
      </c>
      <c r="H27" s="30" t="s">
        <v>156</v>
      </c>
      <c r="I27" s="31">
        <v>50</v>
      </c>
      <c r="J27" s="31">
        <v>100</v>
      </c>
      <c r="K27" s="31">
        <v>50</v>
      </c>
      <c r="L27" s="30" t="s">
        <v>156</v>
      </c>
      <c r="M27" s="26"/>
    </row>
    <row r="28" spans="2:13" x14ac:dyDescent="0.25">
      <c r="B28" s="29">
        <v>2020</v>
      </c>
      <c r="C28" s="25">
        <v>25.3</v>
      </c>
      <c r="D28" s="25">
        <v>57.4</v>
      </c>
      <c r="E28" s="25">
        <v>52.7</v>
      </c>
      <c r="F28" s="25">
        <v>23.9</v>
      </c>
      <c r="G28" s="25">
        <v>35.700000000000003</v>
      </c>
      <c r="H28" s="30" t="s">
        <v>156</v>
      </c>
      <c r="I28" s="31">
        <v>50</v>
      </c>
      <c r="J28" s="31">
        <v>100</v>
      </c>
      <c r="K28" s="31">
        <v>50</v>
      </c>
      <c r="L28" s="30" t="s">
        <v>156</v>
      </c>
      <c r="M28" s="26"/>
    </row>
    <row r="29" spans="2:13" x14ac:dyDescent="0.25">
      <c r="B29" s="29">
        <v>2021</v>
      </c>
      <c r="C29" s="25">
        <v>25.3</v>
      </c>
      <c r="D29" s="25">
        <v>57.4</v>
      </c>
      <c r="E29" s="25">
        <v>52.7</v>
      </c>
      <c r="F29" s="25">
        <v>23.9</v>
      </c>
      <c r="G29" s="25">
        <v>35.700000000000003</v>
      </c>
      <c r="H29" s="30" t="s">
        <v>156</v>
      </c>
      <c r="I29" s="31">
        <v>50</v>
      </c>
      <c r="J29" s="31">
        <v>100</v>
      </c>
      <c r="K29" s="31">
        <v>50</v>
      </c>
      <c r="L29" s="30" t="s">
        <v>156</v>
      </c>
      <c r="M29" s="26"/>
    </row>
    <row r="30" spans="2:13" x14ac:dyDescent="0.25">
      <c r="B30" s="41" t="s">
        <v>171</v>
      </c>
      <c r="C30" s="42">
        <f>AVERAGE(C26:C28)</f>
        <v>25.033333333333331</v>
      </c>
      <c r="D30" s="42">
        <f t="shared" ref="D30:K30" si="18">AVERAGE(D26:D28)</f>
        <v>55.633333333333333</v>
      </c>
      <c r="E30" s="42">
        <f t="shared" si="18"/>
        <v>51.70000000000001</v>
      </c>
      <c r="F30" s="42">
        <f t="shared" si="18"/>
        <v>22.133333333333336</v>
      </c>
      <c r="G30" s="42">
        <f t="shared" si="18"/>
        <v>34.366666666666667</v>
      </c>
      <c r="H30" s="42"/>
      <c r="I30" s="42">
        <f t="shared" si="18"/>
        <v>50</v>
      </c>
      <c r="J30" s="42">
        <f t="shared" si="18"/>
        <v>100</v>
      </c>
      <c r="K30" s="42">
        <f t="shared" si="18"/>
        <v>50</v>
      </c>
      <c r="L30" s="42"/>
      <c r="M30" s="26"/>
    </row>
    <row r="32" spans="2:13" x14ac:dyDescent="0.25">
      <c r="B32" s="60" t="s">
        <v>138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</row>
    <row r="33" spans="2:16" ht="66.75" x14ac:dyDescent="0.25">
      <c r="B33" s="21" t="s">
        <v>139</v>
      </c>
      <c r="C33" s="22" t="s">
        <v>140</v>
      </c>
      <c r="D33" s="22" t="s">
        <v>141</v>
      </c>
      <c r="E33" s="22" t="s">
        <v>142</v>
      </c>
      <c r="F33" s="22" t="s">
        <v>143</v>
      </c>
      <c r="G33" s="22" t="s">
        <v>144</v>
      </c>
      <c r="H33" s="22" t="s">
        <v>145</v>
      </c>
      <c r="I33" s="22" t="s">
        <v>146</v>
      </c>
      <c r="J33" s="22" t="s">
        <v>147</v>
      </c>
      <c r="K33" s="22" t="s">
        <v>148</v>
      </c>
      <c r="L33" s="22" t="s">
        <v>149</v>
      </c>
      <c r="M33" s="23"/>
    </row>
    <row r="34" spans="2:16" x14ac:dyDescent="0.25">
      <c r="B34" s="24">
        <v>1990</v>
      </c>
      <c r="C34" s="25">
        <v>22.6</v>
      </c>
      <c r="D34" s="25">
        <v>15.5</v>
      </c>
      <c r="E34" s="25">
        <v>16.3</v>
      </c>
      <c r="F34" s="25">
        <v>19</v>
      </c>
      <c r="G34" s="25">
        <v>19.5</v>
      </c>
      <c r="H34" s="25">
        <v>44</v>
      </c>
      <c r="I34" s="25">
        <v>44</v>
      </c>
      <c r="J34" s="25">
        <v>0</v>
      </c>
      <c r="K34" s="25">
        <v>25</v>
      </c>
      <c r="L34" s="25">
        <v>0</v>
      </c>
      <c r="M34" s="26"/>
    </row>
    <row r="35" spans="2:16" x14ac:dyDescent="0.25">
      <c r="B35" s="24">
        <v>1995</v>
      </c>
      <c r="C35" s="25">
        <v>30.6</v>
      </c>
      <c r="D35" s="25">
        <v>21</v>
      </c>
      <c r="E35" s="25">
        <v>22</v>
      </c>
      <c r="F35" s="25">
        <v>25.8</v>
      </c>
      <c r="G35" s="25">
        <v>26.5</v>
      </c>
      <c r="H35" s="25">
        <v>63</v>
      </c>
      <c r="I35" s="25">
        <v>63</v>
      </c>
      <c r="J35" s="25">
        <v>0</v>
      </c>
      <c r="K35" s="25">
        <v>25</v>
      </c>
      <c r="L35" s="25">
        <v>0</v>
      </c>
      <c r="M35" s="26"/>
    </row>
    <row r="36" spans="2:16" x14ac:dyDescent="0.25">
      <c r="B36" s="24">
        <v>2000</v>
      </c>
      <c r="C36" s="25">
        <v>39</v>
      </c>
      <c r="D36" s="25">
        <v>12.5</v>
      </c>
      <c r="E36" s="25">
        <v>13.2</v>
      </c>
      <c r="F36" s="25">
        <v>16.399999999999999</v>
      </c>
      <c r="G36" s="25">
        <v>16.399999999999999</v>
      </c>
      <c r="H36" s="25">
        <v>80.5</v>
      </c>
      <c r="I36" s="25">
        <v>25.8</v>
      </c>
      <c r="J36" s="25">
        <v>0</v>
      </c>
      <c r="K36" s="25">
        <v>25</v>
      </c>
      <c r="L36" s="25">
        <v>0</v>
      </c>
      <c r="M36" s="26"/>
    </row>
    <row r="37" spans="2:16" x14ac:dyDescent="0.25">
      <c r="B37" s="24">
        <v>2005</v>
      </c>
      <c r="C37" s="25">
        <v>50.8</v>
      </c>
      <c r="D37" s="25">
        <v>5.9</v>
      </c>
      <c r="E37" s="25">
        <v>19.600000000000001</v>
      </c>
      <c r="F37" s="25">
        <v>22.5</v>
      </c>
      <c r="G37" s="25">
        <v>18.899999999999999</v>
      </c>
      <c r="H37" s="25">
        <v>91.3</v>
      </c>
      <c r="I37" s="25">
        <v>31.8</v>
      </c>
      <c r="J37" s="25">
        <v>0</v>
      </c>
      <c r="K37" s="25">
        <v>20.8</v>
      </c>
      <c r="L37" s="25">
        <v>0</v>
      </c>
      <c r="M37" s="26"/>
    </row>
    <row r="38" spans="2:16" x14ac:dyDescent="0.25">
      <c r="B38" s="24">
        <v>2010</v>
      </c>
      <c r="C38" s="25">
        <v>57.1</v>
      </c>
      <c r="D38" s="25">
        <v>11.2</v>
      </c>
      <c r="E38" s="25">
        <v>22.3</v>
      </c>
      <c r="F38" s="25">
        <v>28.6</v>
      </c>
      <c r="G38" s="25">
        <v>16.8</v>
      </c>
      <c r="H38" s="25">
        <v>91.3</v>
      </c>
      <c r="I38" s="25">
        <v>60.4</v>
      </c>
      <c r="J38" s="25">
        <v>0</v>
      </c>
      <c r="K38" s="25">
        <v>12</v>
      </c>
      <c r="L38" s="25">
        <v>0</v>
      </c>
      <c r="M38" s="26"/>
    </row>
    <row r="39" spans="2:16" x14ac:dyDescent="0.25">
      <c r="B39" s="24">
        <v>2015</v>
      </c>
      <c r="C39" s="25">
        <v>60.4</v>
      </c>
      <c r="D39" s="25">
        <v>10</v>
      </c>
      <c r="E39" s="25">
        <v>24.9</v>
      </c>
      <c r="F39" s="25">
        <v>31.4</v>
      </c>
      <c r="G39" s="25">
        <v>16.100000000000001</v>
      </c>
      <c r="H39" s="25">
        <v>81.400000000000006</v>
      </c>
      <c r="I39" s="25">
        <v>49.7</v>
      </c>
      <c r="J39" s="25">
        <v>0</v>
      </c>
      <c r="K39" s="25">
        <v>9.3000000000000007</v>
      </c>
      <c r="L39" s="25">
        <v>0</v>
      </c>
      <c r="M39" s="26"/>
    </row>
    <row r="40" spans="2:16" x14ac:dyDescent="0.25">
      <c r="B40" s="24">
        <v>2019</v>
      </c>
      <c r="C40" s="25">
        <v>64.099999999999994</v>
      </c>
      <c r="D40" s="25">
        <v>9.8000000000000007</v>
      </c>
      <c r="E40" s="25">
        <v>24.2</v>
      </c>
      <c r="F40" s="25">
        <v>36.700000000000003</v>
      </c>
      <c r="G40" s="25">
        <v>16.899999999999999</v>
      </c>
      <c r="H40" s="25">
        <v>78.900000000000006</v>
      </c>
      <c r="I40" s="25">
        <v>46</v>
      </c>
      <c r="J40" s="25">
        <v>0</v>
      </c>
      <c r="K40" s="25">
        <v>6.9</v>
      </c>
      <c r="L40" s="25">
        <v>0</v>
      </c>
      <c r="M40" s="26"/>
    </row>
    <row r="41" spans="2:16" x14ac:dyDescent="0.25">
      <c r="B41" s="24">
        <v>2020</v>
      </c>
      <c r="C41" s="25">
        <v>63.8</v>
      </c>
      <c r="D41" s="25">
        <v>9.8000000000000007</v>
      </c>
      <c r="E41" s="25">
        <v>24</v>
      </c>
      <c r="F41" s="25">
        <v>36.6</v>
      </c>
      <c r="G41" s="25">
        <v>16.899999999999999</v>
      </c>
      <c r="H41" s="25">
        <v>78.3</v>
      </c>
      <c r="I41" s="25">
        <v>45.6</v>
      </c>
      <c r="J41" s="25">
        <v>0</v>
      </c>
      <c r="K41" s="25">
        <v>6.9</v>
      </c>
      <c r="L41" s="25">
        <v>0</v>
      </c>
      <c r="M41" s="26"/>
    </row>
    <row r="42" spans="2:16" x14ac:dyDescent="0.25">
      <c r="B42" s="24">
        <v>2021</v>
      </c>
      <c r="C42" s="25">
        <v>63.7</v>
      </c>
      <c r="D42" s="25">
        <v>9.6999999999999993</v>
      </c>
      <c r="E42" s="25">
        <v>24</v>
      </c>
      <c r="F42" s="25">
        <v>36.5</v>
      </c>
      <c r="G42" s="25">
        <v>16.8</v>
      </c>
      <c r="H42" s="25">
        <v>77.8</v>
      </c>
      <c r="I42" s="25">
        <v>45.4</v>
      </c>
      <c r="J42" s="25">
        <v>0</v>
      </c>
      <c r="K42" s="25">
        <v>6.9</v>
      </c>
      <c r="L42" s="25">
        <v>0</v>
      </c>
      <c r="M42" s="26"/>
    </row>
    <row r="43" spans="2:16" x14ac:dyDescent="0.25">
      <c r="B43" s="41" t="s">
        <v>171</v>
      </c>
      <c r="C43" s="42">
        <f>AVERAGE(C39:C41)</f>
        <v>62.766666666666673</v>
      </c>
      <c r="D43" s="42">
        <f t="shared" ref="D43:L43" si="19">AVERAGE(D39:D41)</f>
        <v>9.8666666666666671</v>
      </c>
      <c r="E43" s="42">
        <f t="shared" si="19"/>
        <v>24.366666666666664</v>
      </c>
      <c r="F43" s="42">
        <f t="shared" si="19"/>
        <v>34.9</v>
      </c>
      <c r="G43" s="42">
        <f t="shared" si="19"/>
        <v>16.633333333333333</v>
      </c>
      <c r="H43" s="42">
        <f t="shared" si="19"/>
        <v>79.533333333333346</v>
      </c>
      <c r="I43" s="42">
        <f t="shared" si="19"/>
        <v>47.1</v>
      </c>
      <c r="J43" s="42">
        <f t="shared" si="19"/>
        <v>0</v>
      </c>
      <c r="K43" s="42">
        <f t="shared" si="19"/>
        <v>7.7</v>
      </c>
      <c r="L43" s="42">
        <f t="shared" si="19"/>
        <v>0</v>
      </c>
      <c r="M43" s="26"/>
    </row>
    <row r="45" spans="2:16" x14ac:dyDescent="0.25">
      <c r="B45" s="59" t="s">
        <v>165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</row>
    <row r="46" spans="2:16" ht="44.25" x14ac:dyDescent="0.25">
      <c r="B46" s="37" t="s">
        <v>139</v>
      </c>
      <c r="C46" s="38" t="s">
        <v>140</v>
      </c>
      <c r="D46" s="38" t="s">
        <v>141</v>
      </c>
      <c r="E46" s="38" t="s">
        <v>142</v>
      </c>
      <c r="F46" s="38" t="s">
        <v>143</v>
      </c>
      <c r="G46" s="38" t="s">
        <v>144</v>
      </c>
      <c r="H46" s="38" t="s">
        <v>145</v>
      </c>
      <c r="I46" s="38" t="s">
        <v>146</v>
      </c>
      <c r="J46" s="38" t="s">
        <v>166</v>
      </c>
      <c r="K46" s="38" t="s">
        <v>153</v>
      </c>
      <c r="L46" s="38" t="s">
        <v>167</v>
      </c>
      <c r="M46" s="38" t="s">
        <v>154</v>
      </c>
      <c r="N46" s="38" t="s">
        <v>148</v>
      </c>
      <c r="O46" s="38" t="s">
        <v>168</v>
      </c>
      <c r="P46" s="23"/>
    </row>
    <row r="47" spans="2:16" x14ac:dyDescent="0.25">
      <c r="B47" s="24">
        <v>1990</v>
      </c>
      <c r="C47" s="25">
        <v>51.9</v>
      </c>
      <c r="D47" s="25">
        <v>28.9</v>
      </c>
      <c r="E47" s="25">
        <v>30.3</v>
      </c>
      <c r="F47" s="25">
        <v>35.5</v>
      </c>
      <c r="G47" s="25">
        <v>36.4</v>
      </c>
      <c r="H47" s="25">
        <v>54</v>
      </c>
      <c r="I47" s="25">
        <v>45</v>
      </c>
      <c r="J47" s="25">
        <v>50</v>
      </c>
      <c r="K47" s="25">
        <v>0</v>
      </c>
      <c r="L47" s="39">
        <v>100</v>
      </c>
      <c r="M47" s="25">
        <v>33</v>
      </c>
      <c r="N47" s="25">
        <v>55</v>
      </c>
      <c r="O47" s="25">
        <v>0</v>
      </c>
      <c r="P47" s="26"/>
    </row>
    <row r="48" spans="2:16" x14ac:dyDescent="0.25">
      <c r="B48" s="24">
        <v>1995</v>
      </c>
      <c r="C48" s="25">
        <v>43.8</v>
      </c>
      <c r="D48" s="25">
        <v>23.4</v>
      </c>
      <c r="E48" s="25">
        <v>24.5</v>
      </c>
      <c r="F48" s="25">
        <v>28.7</v>
      </c>
      <c r="G48" s="25">
        <v>29.4</v>
      </c>
      <c r="H48" s="25">
        <v>35</v>
      </c>
      <c r="I48" s="25">
        <v>26</v>
      </c>
      <c r="J48" s="25">
        <v>50</v>
      </c>
      <c r="K48" s="25">
        <v>0</v>
      </c>
      <c r="L48" s="39">
        <v>100</v>
      </c>
      <c r="M48" s="25">
        <v>33</v>
      </c>
      <c r="N48" s="25">
        <v>55</v>
      </c>
      <c r="O48" s="25">
        <v>0</v>
      </c>
      <c r="P48" s="26"/>
    </row>
    <row r="49" spans="2:16" x14ac:dyDescent="0.25">
      <c r="B49" s="24">
        <v>2000</v>
      </c>
      <c r="C49" s="25">
        <v>35.299999999999997</v>
      </c>
      <c r="D49" s="25">
        <v>28</v>
      </c>
      <c r="E49" s="25">
        <v>29.5</v>
      </c>
      <c r="F49" s="25">
        <v>36.700000000000003</v>
      </c>
      <c r="G49" s="25">
        <v>36.700000000000003</v>
      </c>
      <c r="H49" s="25">
        <v>18</v>
      </c>
      <c r="I49" s="25">
        <v>67</v>
      </c>
      <c r="J49" s="25">
        <v>50</v>
      </c>
      <c r="K49" s="25">
        <v>0</v>
      </c>
      <c r="L49" s="39">
        <v>100</v>
      </c>
      <c r="M49" s="25">
        <v>33</v>
      </c>
      <c r="N49" s="25">
        <v>55</v>
      </c>
      <c r="O49" s="25">
        <v>0</v>
      </c>
      <c r="P49" s="26"/>
    </row>
    <row r="50" spans="2:16" x14ac:dyDescent="0.25">
      <c r="B50" s="24">
        <v>2005</v>
      </c>
      <c r="C50" s="25">
        <v>22.4</v>
      </c>
      <c r="D50" s="25">
        <v>19</v>
      </c>
      <c r="E50" s="25">
        <v>16.7</v>
      </c>
      <c r="F50" s="25">
        <v>27.2</v>
      </c>
      <c r="G50" s="25">
        <v>22.8</v>
      </c>
      <c r="H50" s="25">
        <v>6.2</v>
      </c>
      <c r="I50" s="25">
        <v>45.6</v>
      </c>
      <c r="J50" s="25">
        <v>50</v>
      </c>
      <c r="K50" s="25">
        <v>0</v>
      </c>
      <c r="L50" s="39">
        <v>100</v>
      </c>
      <c r="M50" s="25">
        <v>33</v>
      </c>
      <c r="N50" s="25">
        <v>72.599999999999994</v>
      </c>
      <c r="O50" s="25">
        <v>0</v>
      </c>
      <c r="P50" s="26"/>
    </row>
    <row r="51" spans="2:16" x14ac:dyDescent="0.25">
      <c r="B51" s="24">
        <v>2010</v>
      </c>
      <c r="C51" s="25">
        <v>16.399999999999999</v>
      </c>
      <c r="D51" s="25">
        <v>20.100000000000001</v>
      </c>
      <c r="E51" s="25">
        <v>15.2</v>
      </c>
      <c r="F51" s="25">
        <v>25.8</v>
      </c>
      <c r="G51" s="25">
        <v>22</v>
      </c>
      <c r="H51" s="25">
        <v>5.2</v>
      </c>
      <c r="I51" s="25">
        <v>30.4</v>
      </c>
      <c r="J51" s="25">
        <v>50</v>
      </c>
      <c r="K51" s="25">
        <v>0</v>
      </c>
      <c r="L51" s="39">
        <v>100</v>
      </c>
      <c r="M51" s="25">
        <v>33</v>
      </c>
      <c r="N51" s="25">
        <v>88</v>
      </c>
      <c r="O51" s="25">
        <v>0</v>
      </c>
      <c r="P51" s="26"/>
    </row>
    <row r="52" spans="2:16" x14ac:dyDescent="0.25">
      <c r="B52" s="24">
        <v>2015</v>
      </c>
      <c r="C52" s="25">
        <v>10.8</v>
      </c>
      <c r="D52" s="25">
        <v>19.899999999999999</v>
      </c>
      <c r="E52" s="25">
        <v>11.9</v>
      </c>
      <c r="F52" s="25">
        <v>25.3</v>
      </c>
      <c r="G52" s="25">
        <v>16.100000000000001</v>
      </c>
      <c r="H52" s="25">
        <v>3.4</v>
      </c>
      <c r="I52" s="25">
        <v>36</v>
      </c>
      <c r="J52" s="25">
        <v>50</v>
      </c>
      <c r="K52" s="25">
        <v>0</v>
      </c>
      <c r="L52" s="39">
        <v>100</v>
      </c>
      <c r="M52" s="25">
        <v>33</v>
      </c>
      <c r="N52" s="25">
        <v>78.099999999999994</v>
      </c>
      <c r="O52" s="25">
        <v>0</v>
      </c>
      <c r="P52" s="26"/>
    </row>
    <row r="53" spans="2:16" x14ac:dyDescent="0.25">
      <c r="B53" s="24">
        <v>2019</v>
      </c>
      <c r="C53" s="25">
        <v>5.0999999999999996</v>
      </c>
      <c r="D53" s="25">
        <v>10.3</v>
      </c>
      <c r="E53" s="25">
        <v>7.9</v>
      </c>
      <c r="F53" s="25">
        <v>10.6</v>
      </c>
      <c r="G53" s="25">
        <v>12</v>
      </c>
      <c r="H53" s="25">
        <v>2.2999999999999998</v>
      </c>
      <c r="I53" s="25">
        <v>23.8</v>
      </c>
      <c r="J53" s="25">
        <v>50</v>
      </c>
      <c r="K53" s="25">
        <v>0</v>
      </c>
      <c r="L53" s="39">
        <v>100</v>
      </c>
      <c r="M53" s="25">
        <v>33</v>
      </c>
      <c r="N53" s="25">
        <v>89.9</v>
      </c>
      <c r="O53" s="25">
        <v>0</v>
      </c>
      <c r="P53" s="26"/>
    </row>
    <row r="54" spans="2:16" x14ac:dyDescent="0.25">
      <c r="B54" s="24">
        <v>2020</v>
      </c>
      <c r="C54" s="25">
        <v>5.0999999999999996</v>
      </c>
      <c r="D54" s="25">
        <v>10.3</v>
      </c>
      <c r="E54" s="25">
        <v>7.9</v>
      </c>
      <c r="F54" s="25">
        <v>10.6</v>
      </c>
      <c r="G54" s="25">
        <v>11.9</v>
      </c>
      <c r="H54" s="25">
        <v>2.2999999999999998</v>
      </c>
      <c r="I54" s="25">
        <v>23.8</v>
      </c>
      <c r="J54" s="25">
        <v>50</v>
      </c>
      <c r="K54" s="25">
        <v>0</v>
      </c>
      <c r="L54" s="39">
        <v>100</v>
      </c>
      <c r="M54" s="25">
        <v>33</v>
      </c>
      <c r="N54" s="25">
        <v>89.9</v>
      </c>
      <c r="O54" s="25">
        <v>0</v>
      </c>
      <c r="P54" s="26"/>
    </row>
    <row r="55" spans="2:16" x14ac:dyDescent="0.25">
      <c r="B55" s="24">
        <v>2021</v>
      </c>
      <c r="C55" s="25">
        <v>5.0999999999999996</v>
      </c>
      <c r="D55" s="25">
        <v>10.3</v>
      </c>
      <c r="E55" s="25">
        <v>7.9</v>
      </c>
      <c r="F55" s="25">
        <v>10.6</v>
      </c>
      <c r="G55" s="25">
        <v>11.9</v>
      </c>
      <c r="H55" s="25">
        <v>2.2999999999999998</v>
      </c>
      <c r="I55" s="25">
        <v>23.8</v>
      </c>
      <c r="J55" s="25">
        <v>50</v>
      </c>
      <c r="K55" s="25">
        <v>0</v>
      </c>
      <c r="L55" s="39">
        <v>100</v>
      </c>
      <c r="M55" s="25">
        <v>33</v>
      </c>
      <c r="N55" s="25">
        <v>89.9</v>
      </c>
      <c r="O55" s="25">
        <v>0</v>
      </c>
      <c r="P55" s="26"/>
    </row>
    <row r="56" spans="2:16" x14ac:dyDescent="0.25">
      <c r="B56" s="41" t="s">
        <v>171</v>
      </c>
      <c r="C56" s="42">
        <f>AVERAGE(C52:C54)</f>
        <v>7</v>
      </c>
      <c r="D56" s="42">
        <f t="shared" ref="D56:O56" si="20">AVERAGE(D52:D54)</f>
        <v>13.5</v>
      </c>
      <c r="E56" s="42">
        <f t="shared" si="20"/>
        <v>9.2333333333333343</v>
      </c>
      <c r="F56" s="42">
        <f t="shared" si="20"/>
        <v>15.5</v>
      </c>
      <c r="G56" s="42">
        <f t="shared" si="20"/>
        <v>13.333333333333334</v>
      </c>
      <c r="H56" s="42">
        <f t="shared" si="20"/>
        <v>2.6666666666666665</v>
      </c>
      <c r="I56" s="42">
        <f t="shared" si="20"/>
        <v>27.866666666666664</v>
      </c>
      <c r="J56" s="42">
        <f t="shared" si="20"/>
        <v>50</v>
      </c>
      <c r="K56" s="42">
        <f t="shared" si="20"/>
        <v>0</v>
      </c>
      <c r="L56" s="42">
        <f t="shared" si="20"/>
        <v>100</v>
      </c>
      <c r="M56" s="42">
        <f t="shared" si="20"/>
        <v>33</v>
      </c>
      <c r="N56" s="42">
        <f t="shared" si="20"/>
        <v>85.966666666666654</v>
      </c>
      <c r="O56" s="42">
        <f t="shared" si="20"/>
        <v>0</v>
      </c>
      <c r="P56" s="26"/>
    </row>
    <row r="58" spans="2:16" x14ac:dyDescent="0.25">
      <c r="B58" s="60" t="s">
        <v>169</v>
      </c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</row>
    <row r="59" spans="2:16" ht="65.25" x14ac:dyDescent="0.25">
      <c r="B59" s="40" t="s">
        <v>139</v>
      </c>
      <c r="C59" s="38" t="s">
        <v>140</v>
      </c>
      <c r="D59" s="38" t="s">
        <v>141</v>
      </c>
      <c r="E59" s="38" t="s">
        <v>142</v>
      </c>
      <c r="F59" s="38" t="s">
        <v>143</v>
      </c>
      <c r="G59" s="38" t="s">
        <v>144</v>
      </c>
      <c r="H59" s="38" t="s">
        <v>145</v>
      </c>
      <c r="I59" s="38" t="s">
        <v>146</v>
      </c>
      <c r="J59" s="38" t="s">
        <v>170</v>
      </c>
      <c r="K59" s="38" t="s">
        <v>154</v>
      </c>
      <c r="L59" s="38" t="s">
        <v>148</v>
      </c>
      <c r="M59" s="38" t="s">
        <v>168</v>
      </c>
      <c r="N59" s="23"/>
    </row>
    <row r="60" spans="2:16" x14ac:dyDescent="0.25">
      <c r="B60" s="29">
        <v>1990</v>
      </c>
      <c r="C60" s="25">
        <v>0.8</v>
      </c>
      <c r="D60" s="25">
        <v>7.2</v>
      </c>
      <c r="E60" s="25">
        <v>7.6</v>
      </c>
      <c r="F60" s="25">
        <v>8.9</v>
      </c>
      <c r="G60" s="25">
        <v>9.1</v>
      </c>
      <c r="H60" s="25">
        <v>2</v>
      </c>
      <c r="I60" s="25">
        <v>11</v>
      </c>
      <c r="J60" s="25">
        <v>0</v>
      </c>
      <c r="K60" s="25">
        <v>2</v>
      </c>
      <c r="L60" s="25">
        <v>20</v>
      </c>
      <c r="M60" s="31">
        <v>100</v>
      </c>
      <c r="N60" s="26"/>
    </row>
    <row r="61" spans="2:16" x14ac:dyDescent="0.25">
      <c r="B61" s="29">
        <v>1995</v>
      </c>
      <c r="C61" s="25">
        <v>0.8</v>
      </c>
      <c r="D61" s="25">
        <v>7.2</v>
      </c>
      <c r="E61" s="25">
        <v>7.6</v>
      </c>
      <c r="F61" s="25">
        <v>8.9</v>
      </c>
      <c r="G61" s="25">
        <v>9.1</v>
      </c>
      <c r="H61" s="25">
        <v>2</v>
      </c>
      <c r="I61" s="25">
        <v>11</v>
      </c>
      <c r="J61" s="25">
        <v>0</v>
      </c>
      <c r="K61" s="25">
        <v>2</v>
      </c>
      <c r="L61" s="25">
        <v>20</v>
      </c>
      <c r="M61" s="31">
        <v>100</v>
      </c>
      <c r="N61" s="26"/>
    </row>
    <row r="62" spans="2:16" x14ac:dyDescent="0.25">
      <c r="B62" s="29">
        <v>2000</v>
      </c>
      <c r="C62" s="25">
        <v>0.8</v>
      </c>
      <c r="D62" s="25">
        <v>7.7</v>
      </c>
      <c r="E62" s="25">
        <v>8.1</v>
      </c>
      <c r="F62" s="25">
        <v>10.1</v>
      </c>
      <c r="G62" s="25">
        <v>10.1</v>
      </c>
      <c r="H62" s="25">
        <v>1</v>
      </c>
      <c r="I62" s="25">
        <v>7</v>
      </c>
      <c r="J62" s="25">
        <v>0</v>
      </c>
      <c r="K62" s="25">
        <v>2</v>
      </c>
      <c r="L62" s="25">
        <v>20</v>
      </c>
      <c r="M62" s="31">
        <v>100</v>
      </c>
      <c r="N62" s="26"/>
    </row>
    <row r="63" spans="2:16" x14ac:dyDescent="0.25">
      <c r="B63" s="29">
        <v>2005</v>
      </c>
      <c r="C63" s="25">
        <v>0.4</v>
      </c>
      <c r="D63" s="25">
        <v>16</v>
      </c>
      <c r="E63" s="25">
        <v>9.8000000000000007</v>
      </c>
      <c r="F63" s="25">
        <v>19.899999999999999</v>
      </c>
      <c r="G63" s="25">
        <v>21.6</v>
      </c>
      <c r="H63" s="25">
        <v>1.3</v>
      </c>
      <c r="I63" s="25">
        <v>22.1</v>
      </c>
      <c r="J63" s="25">
        <v>0</v>
      </c>
      <c r="K63" s="25">
        <v>2</v>
      </c>
      <c r="L63" s="25">
        <v>6.6</v>
      </c>
      <c r="M63" s="31">
        <v>100</v>
      </c>
      <c r="N63" s="26"/>
    </row>
    <row r="64" spans="2:16" x14ac:dyDescent="0.25">
      <c r="B64" s="29">
        <v>2010</v>
      </c>
      <c r="C64" s="25">
        <v>0.8</v>
      </c>
      <c r="D64" s="25">
        <v>14.5</v>
      </c>
      <c r="E64" s="25">
        <v>10.5</v>
      </c>
      <c r="F64" s="25">
        <v>18.8</v>
      </c>
      <c r="G64" s="25">
        <v>29.5</v>
      </c>
      <c r="H64" s="25">
        <v>0.9</v>
      </c>
      <c r="I64" s="25">
        <v>7.4</v>
      </c>
      <c r="J64" s="25">
        <v>0</v>
      </c>
      <c r="K64" s="25">
        <v>2</v>
      </c>
      <c r="L64" s="25">
        <v>0</v>
      </c>
      <c r="M64" s="31">
        <v>100</v>
      </c>
      <c r="N64" s="26"/>
    </row>
    <row r="65" spans="2:14" x14ac:dyDescent="0.25">
      <c r="B65" s="29">
        <v>2015</v>
      </c>
      <c r="C65" s="25">
        <v>0.9</v>
      </c>
      <c r="D65" s="25">
        <v>17.100000000000001</v>
      </c>
      <c r="E65" s="25">
        <v>11.9</v>
      </c>
      <c r="F65" s="25">
        <v>22.4</v>
      </c>
      <c r="G65" s="25">
        <v>34.5</v>
      </c>
      <c r="H65" s="25">
        <v>1.5</v>
      </c>
      <c r="I65" s="25">
        <v>6</v>
      </c>
      <c r="J65" s="25">
        <v>0</v>
      </c>
      <c r="K65" s="25">
        <v>2</v>
      </c>
      <c r="L65" s="25">
        <v>12.6</v>
      </c>
      <c r="M65" s="31">
        <v>100</v>
      </c>
      <c r="N65" s="26"/>
    </row>
    <row r="66" spans="2:14" x14ac:dyDescent="0.25">
      <c r="B66" s="29">
        <v>2019</v>
      </c>
      <c r="C66" s="25">
        <v>1</v>
      </c>
      <c r="D66" s="25">
        <v>21.3</v>
      </c>
      <c r="E66" s="25">
        <v>13.3</v>
      </c>
      <c r="F66" s="25">
        <v>25.6</v>
      </c>
      <c r="G66" s="25">
        <v>33.5</v>
      </c>
      <c r="H66" s="25">
        <v>1</v>
      </c>
      <c r="I66" s="25">
        <v>19.8</v>
      </c>
      <c r="J66" s="25">
        <v>0</v>
      </c>
      <c r="K66" s="25">
        <v>2</v>
      </c>
      <c r="L66" s="25">
        <v>3.2</v>
      </c>
      <c r="M66" s="31">
        <v>100</v>
      </c>
      <c r="N66" s="26"/>
    </row>
    <row r="67" spans="2:14" x14ac:dyDescent="0.25">
      <c r="B67" s="29">
        <v>2020</v>
      </c>
      <c r="C67" s="25">
        <v>1</v>
      </c>
      <c r="D67" s="25">
        <v>21.3</v>
      </c>
      <c r="E67" s="25">
        <v>13.3</v>
      </c>
      <c r="F67" s="25">
        <v>25.6</v>
      </c>
      <c r="G67" s="25">
        <v>33.5</v>
      </c>
      <c r="H67" s="25">
        <v>1</v>
      </c>
      <c r="I67" s="25">
        <v>19.8</v>
      </c>
      <c r="J67" s="25">
        <v>0</v>
      </c>
      <c r="K67" s="25">
        <v>2</v>
      </c>
      <c r="L67" s="25">
        <v>3.2</v>
      </c>
      <c r="M67" s="31">
        <v>100</v>
      </c>
      <c r="N67" s="26"/>
    </row>
    <row r="68" spans="2:14" x14ac:dyDescent="0.25">
      <c r="B68" s="29">
        <v>2021</v>
      </c>
      <c r="C68" s="25">
        <v>1</v>
      </c>
      <c r="D68" s="25">
        <v>21.2</v>
      </c>
      <c r="E68" s="25">
        <v>13.3</v>
      </c>
      <c r="F68" s="25">
        <v>25.6</v>
      </c>
      <c r="G68" s="25">
        <v>33.5</v>
      </c>
      <c r="H68" s="25">
        <v>1</v>
      </c>
      <c r="I68" s="25">
        <v>19.8</v>
      </c>
      <c r="J68" s="25">
        <v>0</v>
      </c>
      <c r="K68" s="25">
        <v>2</v>
      </c>
      <c r="L68" s="25">
        <v>3.2</v>
      </c>
      <c r="M68" s="31">
        <v>100</v>
      </c>
      <c r="N68" s="26"/>
    </row>
    <row r="69" spans="2:14" x14ac:dyDescent="0.25">
      <c r="B69" s="41" t="s">
        <v>171</v>
      </c>
      <c r="C69" s="42">
        <f>AVERAGE(C65:C67)</f>
        <v>0.96666666666666667</v>
      </c>
      <c r="D69" s="42">
        <f t="shared" ref="D69:M69" si="21">AVERAGE(D65:D67)</f>
        <v>19.900000000000002</v>
      </c>
      <c r="E69" s="42">
        <f t="shared" si="21"/>
        <v>12.833333333333334</v>
      </c>
      <c r="F69" s="42">
        <f t="shared" si="21"/>
        <v>24.533333333333331</v>
      </c>
      <c r="G69" s="42">
        <f t="shared" si="21"/>
        <v>33.833333333333336</v>
      </c>
      <c r="H69" s="42">
        <f t="shared" si="21"/>
        <v>1.1666666666666667</v>
      </c>
      <c r="I69" s="42">
        <f t="shared" si="21"/>
        <v>15.200000000000001</v>
      </c>
      <c r="J69" s="42">
        <f t="shared" si="21"/>
        <v>0</v>
      </c>
      <c r="K69" s="42">
        <f t="shared" si="21"/>
        <v>2</v>
      </c>
      <c r="L69" s="42">
        <f t="shared" si="21"/>
        <v>6.333333333333333</v>
      </c>
      <c r="M69" s="42">
        <f t="shared" si="21"/>
        <v>100</v>
      </c>
      <c r="N69" s="26"/>
    </row>
    <row r="71" spans="2:14" ht="22.5" customHeight="1" x14ac:dyDescent="0.25">
      <c r="B71" s="59" t="s">
        <v>158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</row>
    <row r="72" spans="2:14" ht="24" x14ac:dyDescent="0.25">
      <c r="B72" s="61" t="s">
        <v>139</v>
      </c>
      <c r="C72" s="63" t="s">
        <v>159</v>
      </c>
      <c r="D72" s="64"/>
      <c r="E72" s="64"/>
      <c r="F72" s="64"/>
      <c r="G72" s="64"/>
      <c r="H72" s="64"/>
      <c r="I72" s="64"/>
      <c r="J72" s="64"/>
      <c r="K72" s="65"/>
      <c r="L72" s="32" t="s">
        <v>160</v>
      </c>
      <c r="M72" s="33"/>
    </row>
    <row r="73" spans="2:14" ht="49.5" x14ac:dyDescent="0.25">
      <c r="B73" s="62"/>
      <c r="C73" s="22" t="s">
        <v>140</v>
      </c>
      <c r="D73" s="34" t="s">
        <v>141</v>
      </c>
      <c r="E73" s="34" t="s">
        <v>142</v>
      </c>
      <c r="F73" s="34" t="s">
        <v>143</v>
      </c>
      <c r="G73" s="34" t="s">
        <v>144</v>
      </c>
      <c r="H73" s="22" t="s">
        <v>161</v>
      </c>
      <c r="I73" s="34" t="s">
        <v>145</v>
      </c>
      <c r="J73" s="34" t="s">
        <v>146</v>
      </c>
      <c r="K73" s="22" t="s">
        <v>151</v>
      </c>
      <c r="L73" s="22" t="s">
        <v>154</v>
      </c>
      <c r="M73" s="23"/>
    </row>
    <row r="74" spans="2:14" x14ac:dyDescent="0.25">
      <c r="B74" s="29">
        <v>1990</v>
      </c>
      <c r="C74" s="25">
        <v>0</v>
      </c>
      <c r="D74" s="25">
        <v>0</v>
      </c>
      <c r="E74" s="25">
        <v>0</v>
      </c>
      <c r="F74" s="25">
        <v>0</v>
      </c>
      <c r="G74" s="25">
        <v>0</v>
      </c>
      <c r="H74" s="25">
        <v>0</v>
      </c>
      <c r="I74" s="25">
        <v>0</v>
      </c>
      <c r="J74" s="25">
        <v>0</v>
      </c>
      <c r="K74" s="25">
        <v>0</v>
      </c>
      <c r="L74" s="25">
        <v>15</v>
      </c>
      <c r="M74" s="26"/>
    </row>
    <row r="75" spans="2:14" x14ac:dyDescent="0.25">
      <c r="B75" s="29">
        <v>1995</v>
      </c>
      <c r="C75" s="25">
        <v>0</v>
      </c>
      <c r="D75" s="25">
        <v>0</v>
      </c>
      <c r="E75" s="25">
        <v>0</v>
      </c>
      <c r="F75" s="25">
        <v>0</v>
      </c>
      <c r="G75" s="25">
        <v>0</v>
      </c>
      <c r="H75" s="25">
        <v>0</v>
      </c>
      <c r="I75" s="25">
        <v>0</v>
      </c>
      <c r="J75" s="25">
        <v>0</v>
      </c>
      <c r="K75" s="25">
        <v>0</v>
      </c>
      <c r="L75" s="25">
        <v>15</v>
      </c>
      <c r="M75" s="26"/>
    </row>
    <row r="76" spans="2:14" x14ac:dyDescent="0.25">
      <c r="B76" s="29">
        <v>2000</v>
      </c>
      <c r="C76" s="25">
        <v>0</v>
      </c>
      <c r="D76" s="25">
        <v>0</v>
      </c>
      <c r="E76" s="25">
        <v>0</v>
      </c>
      <c r="F76" s="25">
        <v>0</v>
      </c>
      <c r="G76" s="25">
        <v>0</v>
      </c>
      <c r="H76" s="25">
        <v>0</v>
      </c>
      <c r="I76" s="25">
        <v>0.2</v>
      </c>
      <c r="J76" s="25">
        <v>0.1</v>
      </c>
      <c r="K76" s="25">
        <v>0.1</v>
      </c>
      <c r="L76" s="25">
        <v>15</v>
      </c>
      <c r="M76" s="26"/>
    </row>
    <row r="77" spans="2:14" x14ac:dyDescent="0.25">
      <c r="B77" s="29">
        <v>2005</v>
      </c>
      <c r="C77" s="25">
        <v>0.1</v>
      </c>
      <c r="D77" s="25">
        <v>0</v>
      </c>
      <c r="E77" s="25">
        <v>0</v>
      </c>
      <c r="F77" s="25">
        <v>0.1</v>
      </c>
      <c r="G77" s="25">
        <v>0.1</v>
      </c>
      <c r="H77" s="25">
        <v>0</v>
      </c>
      <c r="I77" s="25">
        <v>0.4</v>
      </c>
      <c r="J77" s="25">
        <v>0.1</v>
      </c>
      <c r="K77" s="25">
        <v>0.3</v>
      </c>
      <c r="L77" s="25">
        <v>15</v>
      </c>
      <c r="M77" s="26"/>
    </row>
    <row r="78" spans="2:14" x14ac:dyDescent="0.25">
      <c r="B78" s="29">
        <v>2010</v>
      </c>
      <c r="C78" s="25">
        <v>0.2</v>
      </c>
      <c r="D78" s="25">
        <v>0.1</v>
      </c>
      <c r="E78" s="25">
        <v>0.1</v>
      </c>
      <c r="F78" s="25">
        <v>0.1</v>
      </c>
      <c r="G78" s="25">
        <v>0.1</v>
      </c>
      <c r="H78" s="25">
        <v>0.1</v>
      </c>
      <c r="I78" s="25">
        <v>0.8</v>
      </c>
      <c r="J78" s="25">
        <v>0.6</v>
      </c>
      <c r="K78" s="25">
        <v>0.8</v>
      </c>
      <c r="L78" s="25">
        <v>15</v>
      </c>
      <c r="M78" s="26"/>
    </row>
    <row r="79" spans="2:14" x14ac:dyDescent="0.25">
      <c r="B79" s="29">
        <v>2015</v>
      </c>
      <c r="C79" s="25">
        <v>1.2</v>
      </c>
      <c r="D79" s="25">
        <v>0.3</v>
      </c>
      <c r="E79" s="25">
        <v>0.6</v>
      </c>
      <c r="F79" s="25">
        <v>0.8</v>
      </c>
      <c r="G79" s="25">
        <v>0.5</v>
      </c>
      <c r="H79" s="25">
        <v>0.5</v>
      </c>
      <c r="I79" s="25">
        <v>4.7</v>
      </c>
      <c r="J79" s="25">
        <v>2.9</v>
      </c>
      <c r="K79" s="25">
        <v>4.2</v>
      </c>
      <c r="L79" s="25">
        <v>15</v>
      </c>
      <c r="M79" s="26"/>
    </row>
    <row r="80" spans="2:14" x14ac:dyDescent="0.25">
      <c r="B80" s="29">
        <v>2019</v>
      </c>
      <c r="C80" s="25">
        <v>1.4</v>
      </c>
      <c r="D80" s="25">
        <v>0.4</v>
      </c>
      <c r="E80" s="25">
        <v>0.6</v>
      </c>
      <c r="F80" s="25">
        <v>1</v>
      </c>
      <c r="G80" s="25">
        <v>0.6</v>
      </c>
      <c r="H80" s="25">
        <v>0.6</v>
      </c>
      <c r="I80" s="25">
        <v>5.7</v>
      </c>
      <c r="J80" s="25">
        <v>3.3</v>
      </c>
      <c r="K80" s="25">
        <v>5.0999999999999996</v>
      </c>
      <c r="L80" s="25">
        <v>15</v>
      </c>
      <c r="M80" s="26"/>
    </row>
    <row r="81" spans="2:13" x14ac:dyDescent="0.25">
      <c r="B81" s="29">
        <v>2020</v>
      </c>
      <c r="C81" s="25">
        <v>1.7</v>
      </c>
      <c r="D81" s="25">
        <v>0.5</v>
      </c>
      <c r="E81" s="25">
        <v>0.8</v>
      </c>
      <c r="F81" s="25">
        <v>1.2</v>
      </c>
      <c r="G81" s="25">
        <v>0.7</v>
      </c>
      <c r="H81" s="25">
        <v>0.7</v>
      </c>
      <c r="I81" s="25">
        <v>6.6</v>
      </c>
      <c r="J81" s="25">
        <v>3.8</v>
      </c>
      <c r="K81" s="25">
        <v>5.9</v>
      </c>
      <c r="L81" s="25">
        <v>15</v>
      </c>
      <c r="M81" s="26"/>
    </row>
    <row r="82" spans="2:13" x14ac:dyDescent="0.25">
      <c r="B82" s="29">
        <v>2021</v>
      </c>
      <c r="C82" s="25">
        <v>2</v>
      </c>
      <c r="D82" s="25">
        <v>0.5</v>
      </c>
      <c r="E82" s="25">
        <v>0.9</v>
      </c>
      <c r="F82" s="25">
        <v>1.4</v>
      </c>
      <c r="G82" s="25">
        <v>0.9</v>
      </c>
      <c r="H82" s="25">
        <v>0.9</v>
      </c>
      <c r="I82" s="25">
        <v>7.6</v>
      </c>
      <c r="J82" s="25">
        <v>4.5</v>
      </c>
      <c r="K82" s="25">
        <v>6.8</v>
      </c>
      <c r="L82" s="25">
        <v>15</v>
      </c>
      <c r="M82" s="26"/>
    </row>
    <row r="83" spans="2:13" x14ac:dyDescent="0.25">
      <c r="B83" s="41" t="s">
        <v>171</v>
      </c>
      <c r="C83" s="42">
        <f>AVERAGE(C79:C81)</f>
        <v>1.4333333333333333</v>
      </c>
      <c r="D83" s="42">
        <f t="shared" ref="D83:L83" si="22">AVERAGE(D79:D81)</f>
        <v>0.39999999999999997</v>
      </c>
      <c r="E83" s="42">
        <f t="shared" si="22"/>
        <v>0.66666666666666663</v>
      </c>
      <c r="F83" s="42">
        <f t="shared" si="22"/>
        <v>1</v>
      </c>
      <c r="G83" s="42">
        <f t="shared" si="22"/>
        <v>0.6</v>
      </c>
      <c r="H83" s="42">
        <f t="shared" si="22"/>
        <v>0.6</v>
      </c>
      <c r="I83" s="42">
        <f t="shared" si="22"/>
        <v>5.666666666666667</v>
      </c>
      <c r="J83" s="42">
        <f t="shared" si="22"/>
        <v>3.3333333333333335</v>
      </c>
      <c r="K83" s="42">
        <f t="shared" si="22"/>
        <v>5.0666666666666673</v>
      </c>
      <c r="L83" s="42">
        <f t="shared" si="22"/>
        <v>15</v>
      </c>
      <c r="M83" s="26"/>
    </row>
    <row r="85" spans="2:13" ht="28.5" customHeight="1" x14ac:dyDescent="0.25">
      <c r="B85" s="60" t="s">
        <v>162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</row>
    <row r="86" spans="2:13" x14ac:dyDescent="0.25">
      <c r="B86" s="54"/>
      <c r="C86" s="56" t="s">
        <v>163</v>
      </c>
      <c r="D86" s="57"/>
      <c r="E86" s="57"/>
      <c r="F86" s="57"/>
      <c r="G86" s="57"/>
      <c r="H86" s="57"/>
      <c r="I86" s="57"/>
      <c r="J86" s="57"/>
      <c r="K86" s="58"/>
      <c r="L86" s="26"/>
    </row>
    <row r="87" spans="2:13" ht="42" x14ac:dyDescent="0.25">
      <c r="B87" s="55"/>
      <c r="C87" s="35" t="s">
        <v>140</v>
      </c>
      <c r="D87" s="36" t="s">
        <v>141</v>
      </c>
      <c r="E87" s="36" t="s">
        <v>142</v>
      </c>
      <c r="F87" s="36" t="s">
        <v>143</v>
      </c>
      <c r="G87" s="36" t="s">
        <v>144</v>
      </c>
      <c r="H87" s="35" t="s">
        <v>161</v>
      </c>
      <c r="I87" s="36" t="s">
        <v>164</v>
      </c>
      <c r="J87" s="36" t="s">
        <v>146</v>
      </c>
      <c r="K87" s="35" t="s">
        <v>151</v>
      </c>
      <c r="L87" s="23"/>
    </row>
    <row r="88" spans="2:13" x14ac:dyDescent="0.25">
      <c r="B88" s="29">
        <v>1990</v>
      </c>
      <c r="C88" s="25">
        <v>0</v>
      </c>
      <c r="D88" s="25">
        <v>0</v>
      </c>
      <c r="E88" s="25">
        <v>0</v>
      </c>
      <c r="F88" s="25">
        <v>0</v>
      </c>
      <c r="G88" s="25">
        <v>0</v>
      </c>
      <c r="H88" s="25">
        <v>0</v>
      </c>
      <c r="I88" s="25">
        <v>0</v>
      </c>
      <c r="J88" s="25">
        <v>0</v>
      </c>
      <c r="K88" s="25">
        <v>0</v>
      </c>
      <c r="L88" s="33"/>
    </row>
    <row r="89" spans="2:13" x14ac:dyDescent="0.25">
      <c r="B89" s="29">
        <v>1995</v>
      </c>
      <c r="C89" s="25">
        <v>0</v>
      </c>
      <c r="D89" s="25">
        <v>0</v>
      </c>
      <c r="E89" s="25">
        <v>0</v>
      </c>
      <c r="F89" s="25">
        <v>0</v>
      </c>
      <c r="G89" s="25">
        <v>0</v>
      </c>
      <c r="H89" s="25">
        <v>0</v>
      </c>
      <c r="I89" s="25">
        <v>0</v>
      </c>
      <c r="J89" s="25">
        <v>0</v>
      </c>
      <c r="K89" s="25">
        <v>0</v>
      </c>
      <c r="L89" s="26"/>
    </row>
    <row r="90" spans="2:13" x14ac:dyDescent="0.25">
      <c r="B90" s="29">
        <v>2000</v>
      </c>
      <c r="C90" s="25">
        <v>0.1</v>
      </c>
      <c r="D90" s="25">
        <v>0</v>
      </c>
      <c r="E90" s="25">
        <v>0</v>
      </c>
      <c r="F90" s="25">
        <v>0.1</v>
      </c>
      <c r="G90" s="25">
        <v>0.1</v>
      </c>
      <c r="H90" s="25">
        <v>0</v>
      </c>
      <c r="I90" s="25">
        <v>0.4</v>
      </c>
      <c r="J90" s="25">
        <v>0.1</v>
      </c>
      <c r="K90" s="25">
        <v>0.3</v>
      </c>
      <c r="L90" s="33"/>
    </row>
    <row r="91" spans="2:13" x14ac:dyDescent="0.25">
      <c r="B91" s="29">
        <v>2005</v>
      </c>
      <c r="C91" s="25">
        <v>0.2</v>
      </c>
      <c r="D91" s="25">
        <v>0.1</v>
      </c>
      <c r="E91" s="25">
        <v>0.1</v>
      </c>
      <c r="F91" s="25">
        <v>0.1</v>
      </c>
      <c r="G91" s="25">
        <v>0.1</v>
      </c>
      <c r="H91" s="25">
        <v>0.1</v>
      </c>
      <c r="I91" s="25">
        <v>0.9</v>
      </c>
      <c r="J91" s="25">
        <v>0.3</v>
      </c>
      <c r="K91" s="25">
        <v>0.7</v>
      </c>
      <c r="L91" s="26"/>
    </row>
    <row r="92" spans="2:13" x14ac:dyDescent="0.25">
      <c r="B92" s="29">
        <v>2010</v>
      </c>
      <c r="C92" s="25">
        <v>0.5</v>
      </c>
      <c r="D92" s="25">
        <v>0.1</v>
      </c>
      <c r="E92" s="25">
        <v>0.2</v>
      </c>
      <c r="F92" s="25">
        <v>0.3</v>
      </c>
      <c r="G92" s="25">
        <v>0.2</v>
      </c>
      <c r="H92" s="25">
        <v>0.2</v>
      </c>
      <c r="I92" s="25">
        <v>1.8</v>
      </c>
      <c r="J92" s="25">
        <v>1.2</v>
      </c>
      <c r="K92" s="25">
        <v>1.6</v>
      </c>
      <c r="L92" s="33"/>
    </row>
    <row r="93" spans="2:13" x14ac:dyDescent="0.25">
      <c r="B93" s="29">
        <v>2015</v>
      </c>
      <c r="C93" s="25">
        <v>2.2000000000000002</v>
      </c>
      <c r="D93" s="25">
        <v>0.6</v>
      </c>
      <c r="E93" s="25">
        <v>1.1000000000000001</v>
      </c>
      <c r="F93" s="25">
        <v>1.5</v>
      </c>
      <c r="G93" s="25">
        <v>1</v>
      </c>
      <c r="H93" s="25">
        <v>1</v>
      </c>
      <c r="I93" s="25">
        <v>8.9</v>
      </c>
      <c r="J93" s="25">
        <v>5.5</v>
      </c>
      <c r="K93" s="25">
        <v>8</v>
      </c>
      <c r="L93" s="33"/>
    </row>
    <row r="94" spans="2:13" x14ac:dyDescent="0.25">
      <c r="B94" s="29">
        <v>2019</v>
      </c>
      <c r="C94" s="25">
        <v>3</v>
      </c>
      <c r="D94" s="25">
        <v>0.8</v>
      </c>
      <c r="E94" s="25">
        <v>1.3</v>
      </c>
      <c r="F94" s="25">
        <v>2.1</v>
      </c>
      <c r="G94" s="25">
        <v>1.3</v>
      </c>
      <c r="H94" s="25">
        <v>1.3</v>
      </c>
      <c r="I94" s="25">
        <v>12.1</v>
      </c>
      <c r="J94" s="25">
        <v>7</v>
      </c>
      <c r="K94" s="25">
        <v>10.8</v>
      </c>
      <c r="L94" s="26"/>
    </row>
    <row r="95" spans="2:13" x14ac:dyDescent="0.25">
      <c r="B95" s="29">
        <v>2020</v>
      </c>
      <c r="C95" s="25">
        <v>3</v>
      </c>
      <c r="D95" s="25">
        <v>0.8</v>
      </c>
      <c r="E95" s="25">
        <v>1.4</v>
      </c>
      <c r="F95" s="25">
        <v>2.1</v>
      </c>
      <c r="G95" s="25">
        <v>1.3</v>
      </c>
      <c r="H95" s="25">
        <v>1.3</v>
      </c>
      <c r="I95" s="25">
        <v>11.9</v>
      </c>
      <c r="J95" s="25">
        <v>6.9</v>
      </c>
      <c r="K95" s="25">
        <v>10.6</v>
      </c>
      <c r="L95" s="33"/>
    </row>
    <row r="96" spans="2:13" x14ac:dyDescent="0.25">
      <c r="B96" s="29">
        <v>2021</v>
      </c>
      <c r="C96" s="25">
        <v>2.9</v>
      </c>
      <c r="D96" s="25">
        <v>0.8</v>
      </c>
      <c r="E96" s="25">
        <v>1.3</v>
      </c>
      <c r="F96" s="25">
        <v>2</v>
      </c>
      <c r="G96" s="25">
        <v>1.3</v>
      </c>
      <c r="H96" s="25">
        <v>1.3</v>
      </c>
      <c r="I96" s="25">
        <v>11.3</v>
      </c>
      <c r="J96" s="25">
        <v>6.6</v>
      </c>
      <c r="K96" s="25">
        <v>10.1</v>
      </c>
      <c r="L96" s="26"/>
    </row>
    <row r="97" spans="2:11" x14ac:dyDescent="0.25">
      <c r="B97" s="41" t="s">
        <v>171</v>
      </c>
      <c r="C97" s="42">
        <f>AVERAGE(C93:C95)</f>
        <v>2.7333333333333329</v>
      </c>
      <c r="D97" s="42">
        <f t="shared" ref="D97:K97" si="23">AVERAGE(D93:D95)</f>
        <v>0.73333333333333339</v>
      </c>
      <c r="E97" s="42">
        <f t="shared" si="23"/>
        <v>1.2666666666666668</v>
      </c>
      <c r="F97" s="42">
        <f t="shared" si="23"/>
        <v>1.9000000000000001</v>
      </c>
      <c r="G97" s="42">
        <f t="shared" si="23"/>
        <v>1.2</v>
      </c>
      <c r="H97" s="42">
        <f t="shared" si="23"/>
        <v>1.2</v>
      </c>
      <c r="I97" s="42">
        <f t="shared" si="23"/>
        <v>10.966666666666667</v>
      </c>
      <c r="J97" s="42">
        <f t="shared" si="23"/>
        <v>6.4666666666666659</v>
      </c>
      <c r="K97" s="42">
        <f t="shared" si="23"/>
        <v>9.7999999999999989</v>
      </c>
    </row>
  </sheetData>
  <mergeCells count="10">
    <mergeCell ref="B19:M19"/>
    <mergeCell ref="B71:M71"/>
    <mergeCell ref="B72:B73"/>
    <mergeCell ref="C72:K72"/>
    <mergeCell ref="B85:L85"/>
    <mergeCell ref="B86:B87"/>
    <mergeCell ref="C86:K86"/>
    <mergeCell ref="B45:P45"/>
    <mergeCell ref="B58:N58"/>
    <mergeCell ref="B32:M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2024-04-24T11:41:06Z</dcterms:modified>
</cp:coreProperties>
</file>