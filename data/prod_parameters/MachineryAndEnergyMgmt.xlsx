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fault" sheetId="1" r:id="rId1"/>
    <sheet name="referenc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4" i="1"/>
</calcChain>
</file>

<file path=xl/sharedStrings.xml><?xml version="1.0" encoding="utf-8"?>
<sst xmlns="http://schemas.openxmlformats.org/spreadsheetml/2006/main" count="354" uniqueCount="182">
  <si>
    <t>f_crop</t>
  </si>
  <si>
    <t>parameter</t>
  </si>
  <si>
    <t>value</t>
  </si>
  <si>
    <t>unit</t>
  </si>
  <si>
    <t>description</t>
  </si>
  <si>
    <t>source</t>
  </si>
  <si>
    <t>Tractor parameters</t>
  </si>
  <si>
    <t>Variables</t>
  </si>
  <si>
    <t>Constants</t>
  </si>
  <si>
    <t>tractor_weight</t>
  </si>
  <si>
    <t>m</t>
  </si>
  <si>
    <t>kg</t>
  </si>
  <si>
    <t>S</t>
  </si>
  <si>
    <t>km/h</t>
  </si>
  <si>
    <t>a</t>
  </si>
  <si>
    <t>m/s^2</t>
  </si>
  <si>
    <t>α</t>
  </si>
  <si>
    <t>rad</t>
  </si>
  <si>
    <t>P</t>
  </si>
  <si>
    <t>kW</t>
  </si>
  <si>
    <t>D</t>
  </si>
  <si>
    <t>km</t>
  </si>
  <si>
    <t>field_speed</t>
  </si>
  <si>
    <t>mean_acceleration</t>
  </si>
  <si>
    <t>mean_slope</t>
  </si>
  <si>
    <t>rated_power</t>
  </si>
  <si>
    <t>diesel</t>
  </si>
  <si>
    <t>mean_distance_field_to_farm</t>
  </si>
  <si>
    <t>A</t>
  </si>
  <si>
    <t>m^2</t>
  </si>
  <si>
    <r>
      <t>C</t>
    </r>
    <r>
      <rPr>
        <vertAlign val="subscript"/>
        <sz val="11"/>
        <color theme="1"/>
        <rFont val="Calibri"/>
        <family val="2"/>
        <scheme val="minor"/>
      </rPr>
      <t>D</t>
    </r>
  </si>
  <si>
    <r>
      <rPr>
        <sz val="11"/>
        <color theme="1"/>
        <rFont val="Calibri"/>
        <family val="2"/>
      </rPr>
      <t>ρ</t>
    </r>
    <r>
      <rPr>
        <vertAlign val="subscript"/>
        <sz val="11"/>
        <color theme="1"/>
        <rFont val="Calibri"/>
        <family val="2"/>
      </rPr>
      <t>air</t>
    </r>
  </si>
  <si>
    <t>kg/m3</t>
  </si>
  <si>
    <r>
      <t>C</t>
    </r>
    <r>
      <rPr>
        <vertAlign val="subscript"/>
        <sz val="11"/>
        <color theme="1"/>
        <rFont val="Calibri"/>
        <family val="2"/>
      </rPr>
      <t>rr</t>
    </r>
  </si>
  <si>
    <r>
      <t>C</t>
    </r>
    <r>
      <rPr>
        <vertAlign val="subscript"/>
        <sz val="11"/>
        <color theme="1"/>
        <rFont val="Calibri"/>
        <family val="2"/>
      </rPr>
      <t>rv</t>
    </r>
  </si>
  <si>
    <t>s</t>
  </si>
  <si>
    <r>
      <t>η</t>
    </r>
    <r>
      <rPr>
        <vertAlign val="subscript"/>
        <sz val="11"/>
        <color theme="1"/>
        <rFont val="Calibri"/>
        <family val="2"/>
      </rPr>
      <t>Fält</t>
    </r>
  </si>
  <si>
    <r>
      <t>B</t>
    </r>
    <r>
      <rPr>
        <vertAlign val="subscript"/>
        <sz val="11"/>
        <color theme="1"/>
        <rFont val="Calibri"/>
        <family val="2"/>
        <scheme val="minor"/>
      </rPr>
      <t>n</t>
    </r>
  </si>
  <si>
    <t>density_air</t>
  </si>
  <si>
    <t>friction_coefficient_field</t>
  </si>
  <si>
    <t>friction_coefficient_road</t>
  </si>
  <si>
    <t>slippage</t>
  </si>
  <si>
    <t>field_efficiency</t>
  </si>
  <si>
    <t>tractor_ground_resistance</t>
  </si>
  <si>
    <t>f_soil_class</t>
  </si>
  <si>
    <t>tractor_surface_coefficient</t>
  </si>
  <si>
    <t>Application parameters</t>
  </si>
  <si>
    <t>Konstgödsel</t>
  </si>
  <si>
    <t>Flytgödsel</t>
  </si>
  <si>
    <t>field_operations</t>
  </si>
  <si>
    <t>drivetrain_efficiency</t>
  </si>
  <si>
    <r>
      <t>pump-to-wheel, η</t>
    </r>
    <r>
      <rPr>
        <vertAlign val="subscript"/>
        <sz val="11"/>
        <color theme="1"/>
        <rFont val="Calibri"/>
        <family val="2"/>
      </rPr>
      <t>Driv</t>
    </r>
  </si>
  <si>
    <t>f_operation</t>
  </si>
  <si>
    <t>fallback</t>
  </si>
  <si>
    <t>E_per_area</t>
  </si>
  <si>
    <t>E_per_mass</t>
  </si>
  <si>
    <t>kWh/ha</t>
  </si>
  <si>
    <t>kWh/ton</t>
  </si>
  <si>
    <t>E_per_mass_distance</t>
  </si>
  <si>
    <t>kWh/ton*km</t>
  </si>
  <si>
    <t>harrowing</t>
  </si>
  <si>
    <t>rolling</t>
  </si>
  <si>
    <t>cultivation</t>
  </si>
  <si>
    <t>ploughing</t>
  </si>
  <si>
    <t>trimming</t>
  </si>
  <si>
    <t>ridging</t>
  </si>
  <si>
    <t>topping</t>
  </si>
  <si>
    <t>minreal fert</t>
  </si>
  <si>
    <t>liquid manure</t>
  </si>
  <si>
    <t>spraying</t>
  </si>
  <si>
    <t>seeding</t>
  </si>
  <si>
    <t>harvest</t>
  </si>
  <si>
    <t>coarse</t>
  </si>
  <si>
    <t>medium</t>
  </si>
  <si>
    <t>fine</t>
  </si>
  <si>
    <t>working_depth</t>
  </si>
  <si>
    <t>application_par_A</t>
  </si>
  <si>
    <t>application_par_B</t>
  </si>
  <si>
    <t>application_par_C</t>
  </si>
  <si>
    <t>application_soil_cor</t>
  </si>
  <si>
    <t>correction factor for different soils</t>
  </si>
  <si>
    <t>Field operations per crop</t>
  </si>
  <si>
    <t>Moldboard plough</t>
  </si>
  <si>
    <t>Field cultivator</t>
  </si>
  <si>
    <t>Disc harrow</t>
  </si>
  <si>
    <t>?</t>
  </si>
  <si>
    <t>cm</t>
  </si>
  <si>
    <t>-</t>
  </si>
  <si>
    <t>Rullvält</t>
  </si>
  <si>
    <t>Lindgren, 2002</t>
  </si>
  <si>
    <t>Putsare</t>
  </si>
  <si>
    <t>Baky, 2010</t>
  </si>
  <si>
    <t>P_per_width</t>
  </si>
  <si>
    <t>kW/m</t>
  </si>
  <si>
    <t>Windrower</t>
  </si>
  <si>
    <t>Beet topper</t>
  </si>
  <si>
    <t>ASAE, 2000</t>
  </si>
  <si>
    <t>semi-solid manure</t>
  </si>
  <si>
    <t>Kletgödselspridning</t>
  </si>
  <si>
    <t>Ogräsbekämpning, kemisk, Sprejspridning</t>
  </si>
  <si>
    <t>seeding, combi</t>
  </si>
  <si>
    <t>seeding, beets</t>
  </si>
  <si>
    <t>seeding, spec</t>
  </si>
  <si>
    <t>Direktsådd</t>
  </si>
  <si>
    <t>Kombisåmaskin</t>
  </si>
  <si>
    <t>Potatissättare</t>
  </si>
  <si>
    <t>Majs &amp; betor</t>
  </si>
  <si>
    <t>Grisso, 2010</t>
  </si>
  <si>
    <t xml:space="preserve">Baky, 2010 </t>
  </si>
  <si>
    <t>Skördetröska (+hack)</t>
  </si>
  <si>
    <t>Sugar beet</t>
  </si>
  <si>
    <t>Betupptagare (självg.)</t>
  </si>
  <si>
    <t>Maskinkalkylgruppen, 2020</t>
  </si>
  <si>
    <t>Potatoes, table</t>
  </si>
  <si>
    <t>Potatoes, starch</t>
  </si>
  <si>
    <t>Matpotatis (självg.)</t>
  </si>
  <si>
    <t>Stärkelsepotatist (självg.)</t>
  </si>
  <si>
    <t>Majströska</t>
  </si>
  <si>
    <t>Maize (corn)</t>
  </si>
  <si>
    <t>Engström &amp; Lagnelöv, 2017</t>
  </si>
  <si>
    <t>mowing</t>
  </si>
  <si>
    <t>bales</t>
  </si>
  <si>
    <t>bunker silo</t>
  </si>
  <si>
    <t>tower silo</t>
  </si>
  <si>
    <t>ensiling</t>
  </si>
  <si>
    <t>work_rate</t>
  </si>
  <si>
    <t>ha/h</t>
  </si>
  <si>
    <t>tractor_front_area</t>
  </si>
  <si>
    <t>%</t>
  </si>
  <si>
    <t>f_forage_system</t>
  </si>
  <si>
    <t>forage_system_share</t>
  </si>
  <si>
    <t>transport, grain</t>
  </si>
  <si>
    <t>transport, straw</t>
  </si>
  <si>
    <t>transport, general</t>
  </si>
  <si>
    <t>E_per_mass_straw</t>
  </si>
  <si>
    <t>Transport kärna</t>
  </si>
  <si>
    <t>Transport halm</t>
  </si>
  <si>
    <t>Transport vagn allmän</t>
  </si>
  <si>
    <t>Jordbruksverket (2022) Jordbruksstatistisk sammanställning 2022,  JO1901, https://jordbruksverket.se/om-jordbruksverket/jordbruksverkets-officiella-statistik/jordbruksverkets-statistikrapporter/statistik/2022-07-05-jordbruksstatistisk---sammanstallning-2022</t>
  </si>
  <si>
    <t>Baky, A., Sundberg, M., &amp; Brown, N. (2010). Kartläggning av jordbrukets energianvändning [Survey of energy use in Swedish agriculture]. Retrieved from JTI, Uppsala: https://www.diva-portal.org/smash/get/diva2:959931/FULLTEXT01.pdf</t>
  </si>
  <si>
    <t>Engström, J., &amp; Lagnelöv, O. (2017). Battery Electric Autonomous Agricultural Machine - Simulation of all operations on a Swedish farm. http://www.diva-portal.org/smash/record.jsf?pid=diva2%3A1144170&amp;dswid=-6740</t>
  </si>
  <si>
    <t>Grisso, R., Perumpral, J. V., Vaughan, D., Roberson, G. T., &amp; Pitman, R. (2010). Predicting Tractor Diesel Fuel Consumption. In (Vol. Pub. 442-073). College of Agriculture and Life Sciences: Virginia Polytech Institute and State University.https://vtechworks.lib.vt.edu/bitstream/handle/10919/47472/442-073_pdf.pdf?sequence=1&amp;isAllowed=y</t>
  </si>
  <si>
    <t xml:space="preserve">Kitani, A., Jungbluth, T., Peart, R. M., Ramdani, A., Badger, P. C., &amp; Clark, N. R. (1999). CIGR Handbook of Agricultural Engineering (A. Kitani Ed.  Vol. 5 - Energy and Biomass Engineering): American Society of Agricultural Engineers. </t>
  </si>
  <si>
    <t>Lindgren, M., Pettersson, O., Hansson, P.-A., &amp; Norén, O. (2002). Jordbruks- och anläggningsmaskiners motorbelastning och avgasemissioner [Engine load pattern and engine exhaust gas emissions from off-road vehicles]. Retrieved from http://www.diva-portal.org/smash/record.jsf?pid=diva2%3A959556</t>
  </si>
  <si>
    <t>Maskinkalkylgruppen. (2020). Maskinkostnader 2020 [Machine costs 2020]. Retrieved from Maskinkalkylgruppen: http://maskinkostnader.se/</t>
  </si>
  <si>
    <t>Nilsson, B. (1976). Planering av jordbrukets maskinsystem. Problem, modeller och tillämpningar. [The planning of farm machinery systems - Problems, models and applications]. In (Vol. Report no. 38). Uppsala, Sweden: Swedish University of Agricultural Sciences</t>
  </si>
  <si>
    <t xml:space="preserve">Reif, K., &amp; Dietsche, K.-H. (2014). Bosch Automotive Handbook (K. Reif Ed. 9th ed.). Robert Bosch GmbH, Germany: John Wiley &amp; Sons Ltd. </t>
  </si>
  <si>
    <t>SAE. (2000). Agricultural Machinery Management Data. In. ASABE, St. Joseph, MI, USA: American Society of Agricultural Engineers</t>
  </si>
  <si>
    <t>f_energy_source</t>
  </si>
  <si>
    <t>hydrogen</t>
  </si>
  <si>
    <t>electricity</t>
  </si>
  <si>
    <t>Energy in greenhouses</t>
  </si>
  <si>
    <t>f_activity</t>
  </si>
  <si>
    <t>field machinery</t>
  </si>
  <si>
    <t>fuel oil</t>
  </si>
  <si>
    <t>natural gas</t>
  </si>
  <si>
    <t>woody biofuels</t>
  </si>
  <si>
    <t>geothermal</t>
  </si>
  <si>
    <t>district heating</t>
  </si>
  <si>
    <t>greenhouses</t>
  </si>
  <si>
    <t>energy_source_share</t>
  </si>
  <si>
    <t>Tomatoes, greenhouse</t>
  </si>
  <si>
    <t>Cucumbers, greenhouse</t>
  </si>
  <si>
    <t>Lettuce, greenhouse</t>
  </si>
  <si>
    <t>Other vegetables, greenhouse</t>
  </si>
  <si>
    <t>Herbs, greenhouse</t>
  </si>
  <si>
    <t>Strawberries, greenhouse</t>
  </si>
  <si>
    <t>Other berries, greenhouse</t>
  </si>
  <si>
    <t>greenhouse_energy_use</t>
  </si>
  <si>
    <t>kWh/m2</t>
  </si>
  <si>
    <t>tomat</t>
  </si>
  <si>
    <t>gurka</t>
  </si>
  <si>
    <t>övrigt</t>
  </si>
  <si>
    <t>Energianvändning i växthus 2020. Tomat, gurka och prydnadsväxter.</t>
  </si>
  <si>
    <t>https://jordbruksverket.se/om-jordbruksverket/jordbruksverkets-officiella-statistik/jordbruksverkets-statistikrapporter/statistik/2022-04-25-energianvandning-i-vaxthus-2020.-tomat-gurka-och-prydnadsvaxter.</t>
  </si>
  <si>
    <t>snitt 2017 och 2020</t>
  </si>
  <si>
    <t>naturgas+övriga fossila</t>
  </si>
  <si>
    <t>Bark, flis och spån+Pellets och briketter+Övriga 
biobränslen</t>
  </si>
  <si>
    <t>https://www.energimyndigheten.se/statistik/den-officiella-statistiken/statistikprodukter/energianvandningen-inom-jordbruket/</t>
  </si>
  <si>
    <t>snitt 2018 och 2021</t>
  </si>
  <si>
    <t>biodiesel</t>
  </si>
  <si>
    <t>MachineryAndEnergyMgmt-field_operations.csv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</si>
</sst>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Font="1" applyFill="1"/>
    <xf numFmtId="0" fontId="1" fillId="2" borderId="0" xfId="0" applyFont="1" applyFill="1"/>
    <xf numFmtId="0" fontId="0" fillId="2" borderId="0" xfId="0" applyFill="1"/>
    <xf numFmtId="0" fontId="0" fillId="0" borderId="0" xfId="0" applyBorder="1"/>
    <xf numFmtId="0" fontId="3" fillId="0" borderId="0" xfId="0" applyFont="1" applyBorder="1"/>
    <xf numFmtId="0" fontId="0" fillId="0" borderId="0" xfId="0" applyFill="1" applyBorder="1"/>
    <xf numFmtId="0" fontId="3" fillId="0" borderId="0" xfId="0" applyFont="1" applyFill="1" applyBorder="1"/>
    <xf numFmtId="0" fontId="0" fillId="3" borderId="0" xfId="0" applyFill="1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2" fontId="7" fillId="0" borderId="0" xfId="0" applyNumberFormat="1" applyFont="1"/>
    <xf numFmtId="2" fontId="0" fillId="0" borderId="0" xfId="0" applyNumberFormat="1"/>
    <xf numFmtId="0" fontId="0" fillId="0" borderId="1" xfId="0" applyBorder="1"/>
    <xf numFmtId="0" fontId="8" fillId="0" borderId="0" xfId="0" applyFont="1"/>
    <xf numFmtId="0" fontId="0" fillId="0" borderId="2" xfId="0" applyBorder="1"/>
    <xf numFmtId="0" fontId="0" fillId="0" borderId="3" xfId="0" applyBorder="1"/>
    <xf numFmtId="1" fontId="7" fillId="0" borderId="0" xfId="0" applyNumberFormat="1" applyFont="1"/>
    <xf numFmtId="0" fontId="0" fillId="0" borderId="0" xfId="0" applyAlignment="1"/>
    <xf numFmtId="0" fontId="6" fillId="0" borderId="0" xfId="0" applyFont="1" applyFill="1" applyBorder="1"/>
    <xf numFmtId="0" fontId="9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2"/>
  <sheetViews>
    <sheetView tabSelected="1" workbookViewId="0">
      <pane ySplit="1" topLeftCell="A90" activePane="bottomLeft" state="frozen"/>
      <selection pane="bottomLeft" activeCell="G113" sqref="G113"/>
    </sheetView>
  </sheetViews>
  <sheetFormatPr defaultRowHeight="15" x14ac:dyDescent="0.25"/>
  <cols>
    <col min="3" max="6" width="12.28515625" customWidth="1"/>
    <col min="7" max="7" width="31" bestFit="1" customWidth="1"/>
    <col min="8" max="8" width="9.28515625" customWidth="1"/>
    <col min="9" max="9" width="12.140625" customWidth="1"/>
    <col min="10" max="10" width="31.7109375" customWidth="1"/>
    <col min="11" max="11" width="22.7109375" customWidth="1"/>
  </cols>
  <sheetData>
    <row r="1" spans="1:11" x14ac:dyDescent="0.25">
      <c r="A1" t="s">
        <v>152</v>
      </c>
      <c r="B1" s="14" t="s">
        <v>0</v>
      </c>
      <c r="C1" s="14" t="s">
        <v>148</v>
      </c>
      <c r="D1" s="14" t="s">
        <v>52</v>
      </c>
      <c r="E1" s="14" t="s">
        <v>44</v>
      </c>
      <c r="F1" s="14" t="s">
        <v>129</v>
      </c>
      <c r="G1" s="14" t="s">
        <v>1</v>
      </c>
      <c r="H1" s="14" t="s">
        <v>2</v>
      </c>
      <c r="I1" s="14" t="s">
        <v>3</v>
      </c>
      <c r="J1" s="14" t="s">
        <v>4</v>
      </c>
      <c r="K1" s="14" t="s">
        <v>5</v>
      </c>
    </row>
    <row r="2" spans="1:11" x14ac:dyDescent="0.25">
      <c r="G2" s="20" t="s">
        <v>160</v>
      </c>
      <c r="H2" s="9">
        <v>0</v>
      </c>
      <c r="I2" s="9" t="s">
        <v>128</v>
      </c>
      <c r="J2" s="9" t="s">
        <v>53</v>
      </c>
    </row>
    <row r="4" spans="1:11" x14ac:dyDescent="0.25">
      <c r="A4" t="s">
        <v>153</v>
      </c>
      <c r="C4" s="4" t="s">
        <v>26</v>
      </c>
      <c r="G4" s="6" t="s">
        <v>160</v>
      </c>
      <c r="H4" s="18">
        <f>(241822577+237201100)/(241822577+237201100+5856000+8368914)*100</f>
        <v>97.116076100458642</v>
      </c>
      <c r="I4" t="s">
        <v>128</v>
      </c>
      <c r="K4" t="s">
        <v>178</v>
      </c>
    </row>
    <row r="5" spans="1:11" x14ac:dyDescent="0.25">
      <c r="A5" t="s">
        <v>153</v>
      </c>
      <c r="C5" s="4" t="s">
        <v>180</v>
      </c>
      <c r="G5" s="6" t="s">
        <v>160</v>
      </c>
      <c r="H5" s="18">
        <f>100-H4</f>
        <v>2.8839238995413581</v>
      </c>
      <c r="I5" t="s">
        <v>128</v>
      </c>
      <c r="K5" t="s">
        <v>179</v>
      </c>
    </row>
    <row r="6" spans="1:11" x14ac:dyDescent="0.25">
      <c r="A6" t="s">
        <v>153</v>
      </c>
      <c r="C6" s="4" t="s">
        <v>149</v>
      </c>
      <c r="G6" s="6" t="s">
        <v>160</v>
      </c>
      <c r="H6" s="10">
        <v>0</v>
      </c>
      <c r="I6" t="s">
        <v>128</v>
      </c>
    </row>
    <row r="7" spans="1:11" x14ac:dyDescent="0.25">
      <c r="A7" t="s">
        <v>153</v>
      </c>
      <c r="C7" s="6" t="s">
        <v>150</v>
      </c>
      <c r="G7" s="6" t="s">
        <v>160</v>
      </c>
      <c r="H7" s="10">
        <v>0</v>
      </c>
      <c r="I7" t="s">
        <v>128</v>
      </c>
    </row>
    <row r="8" spans="1:11" x14ac:dyDescent="0.25">
      <c r="C8" s="6"/>
      <c r="G8" s="6"/>
      <c r="H8" s="15"/>
    </row>
    <row r="9" spans="1:11" x14ac:dyDescent="0.25">
      <c r="A9" t="s">
        <v>159</v>
      </c>
      <c r="C9" s="6" t="s">
        <v>154</v>
      </c>
      <c r="G9" s="6" t="s">
        <v>160</v>
      </c>
      <c r="H9" s="11">
        <v>6.4777062142923141</v>
      </c>
      <c r="I9" t="s">
        <v>128</v>
      </c>
      <c r="K9" t="s">
        <v>173</v>
      </c>
    </row>
    <row r="10" spans="1:11" x14ac:dyDescent="0.25">
      <c r="A10" t="s">
        <v>159</v>
      </c>
      <c r="C10" s="6" t="s">
        <v>155</v>
      </c>
      <c r="G10" s="6" t="s">
        <v>160</v>
      </c>
      <c r="H10" s="11">
        <v>8.7567853491111922</v>
      </c>
      <c r="I10" t="s">
        <v>128</v>
      </c>
      <c r="J10" t="s">
        <v>176</v>
      </c>
      <c r="K10" t="s">
        <v>174</v>
      </c>
    </row>
    <row r="11" spans="1:11" x14ac:dyDescent="0.25">
      <c r="A11" t="s">
        <v>159</v>
      </c>
      <c r="C11" s="6" t="s">
        <v>156</v>
      </c>
      <c r="G11" s="6" t="s">
        <v>160</v>
      </c>
      <c r="H11" s="18">
        <v>59.671114354829328</v>
      </c>
      <c r="I11" t="s">
        <v>128</v>
      </c>
      <c r="J11" s="19" t="s">
        <v>177</v>
      </c>
      <c r="K11" t="s">
        <v>175</v>
      </c>
    </row>
    <row r="12" spans="1:11" x14ac:dyDescent="0.25">
      <c r="A12" t="s">
        <v>159</v>
      </c>
      <c r="C12" s="6" t="s">
        <v>150</v>
      </c>
      <c r="G12" s="6" t="s">
        <v>160</v>
      </c>
      <c r="H12" s="18">
        <v>16.802918820320372</v>
      </c>
      <c r="I12" t="s">
        <v>128</v>
      </c>
    </row>
    <row r="13" spans="1:11" x14ac:dyDescent="0.25">
      <c r="A13" t="s">
        <v>159</v>
      </c>
      <c r="C13" s="6" t="s">
        <v>158</v>
      </c>
      <c r="G13" s="6" t="s">
        <v>160</v>
      </c>
      <c r="H13" s="11">
        <v>7.4851294970113242</v>
      </c>
      <c r="I13" t="s">
        <v>128</v>
      </c>
    </row>
    <row r="14" spans="1:11" x14ac:dyDescent="0.25">
      <c r="A14" t="s">
        <v>159</v>
      </c>
      <c r="C14" s="6" t="s">
        <v>157</v>
      </c>
      <c r="G14" s="6" t="s">
        <v>160</v>
      </c>
      <c r="H14" s="11">
        <v>0.80634576443547301</v>
      </c>
      <c r="I14" t="s">
        <v>128</v>
      </c>
    </row>
    <row r="16" spans="1:11" x14ac:dyDescent="0.25">
      <c r="F16" t="s">
        <v>121</v>
      </c>
      <c r="G16" t="s">
        <v>130</v>
      </c>
      <c r="H16" s="15">
        <v>80</v>
      </c>
      <c r="I16" t="s">
        <v>128</v>
      </c>
    </row>
    <row r="17" spans="1:11" x14ac:dyDescent="0.25">
      <c r="F17" t="s">
        <v>122</v>
      </c>
      <c r="G17" t="s">
        <v>130</v>
      </c>
      <c r="H17" s="15">
        <v>10</v>
      </c>
      <c r="I17" t="s">
        <v>128</v>
      </c>
    </row>
    <row r="18" spans="1:11" x14ac:dyDescent="0.25">
      <c r="F18" t="s">
        <v>123</v>
      </c>
      <c r="G18" t="s">
        <v>130</v>
      </c>
      <c r="H18" s="15">
        <v>10</v>
      </c>
      <c r="I18" t="s">
        <v>128</v>
      </c>
    </row>
    <row r="20" spans="1:11" x14ac:dyDescent="0.25">
      <c r="A20" s="1" t="s">
        <v>6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2" t="s">
        <v>7</v>
      </c>
      <c r="B21" s="2"/>
      <c r="C21" s="2"/>
      <c r="D21" s="2"/>
      <c r="E21" s="2"/>
      <c r="F21" s="2"/>
      <c r="G21" s="3"/>
      <c r="H21" s="3"/>
      <c r="I21" s="3"/>
      <c r="J21" s="3"/>
      <c r="K21" s="3"/>
    </row>
    <row r="22" spans="1:11" x14ac:dyDescent="0.25">
      <c r="B22" s="4"/>
      <c r="C22" s="4"/>
      <c r="D22" s="4"/>
      <c r="E22" s="4"/>
      <c r="F22" s="4"/>
      <c r="G22" s="4" t="s">
        <v>9</v>
      </c>
      <c r="H22">
        <v>10800</v>
      </c>
      <c r="I22" t="s">
        <v>11</v>
      </c>
      <c r="J22" s="4" t="s">
        <v>10</v>
      </c>
    </row>
    <row r="23" spans="1:11" x14ac:dyDescent="0.25">
      <c r="B23" s="4"/>
      <c r="C23" s="4"/>
      <c r="D23" s="4"/>
      <c r="E23" s="4"/>
      <c r="F23" s="4"/>
      <c r="G23" s="4" t="s">
        <v>22</v>
      </c>
      <c r="H23">
        <v>5</v>
      </c>
      <c r="I23" t="s">
        <v>13</v>
      </c>
      <c r="J23" s="4" t="s">
        <v>12</v>
      </c>
    </row>
    <row r="24" spans="1:11" x14ac:dyDescent="0.25">
      <c r="B24" s="4"/>
      <c r="C24" s="4"/>
      <c r="D24" s="4"/>
      <c r="E24" s="4"/>
      <c r="F24" s="4"/>
      <c r="G24" s="6" t="s">
        <v>125</v>
      </c>
      <c r="H24">
        <v>2</v>
      </c>
      <c r="I24" t="s">
        <v>126</v>
      </c>
      <c r="J24" s="7"/>
    </row>
    <row r="25" spans="1:11" x14ac:dyDescent="0.25">
      <c r="B25" s="4"/>
      <c r="C25" s="4"/>
      <c r="D25" s="4"/>
      <c r="E25" s="4"/>
      <c r="F25" s="4"/>
      <c r="G25" s="4" t="s">
        <v>23</v>
      </c>
      <c r="H25">
        <v>0.2</v>
      </c>
      <c r="I25" t="s">
        <v>15</v>
      </c>
      <c r="J25" s="4" t="s">
        <v>14</v>
      </c>
    </row>
    <row r="26" spans="1:11" x14ac:dyDescent="0.25">
      <c r="B26" s="4"/>
      <c r="C26" s="4"/>
      <c r="D26" s="4"/>
      <c r="E26" s="4"/>
      <c r="F26" s="4"/>
      <c r="G26" s="4" t="s">
        <v>24</v>
      </c>
      <c r="H26">
        <v>3.5000000000000003E-2</v>
      </c>
      <c r="I26" t="s">
        <v>17</v>
      </c>
      <c r="J26" s="5" t="s">
        <v>16</v>
      </c>
    </row>
    <row r="27" spans="1:11" x14ac:dyDescent="0.25">
      <c r="B27" s="4"/>
      <c r="C27" s="4"/>
      <c r="D27" s="4"/>
      <c r="E27" s="4"/>
      <c r="F27" s="4"/>
      <c r="G27" s="6" t="s">
        <v>25</v>
      </c>
      <c r="H27">
        <v>250</v>
      </c>
      <c r="I27" t="s">
        <v>19</v>
      </c>
      <c r="J27" s="5" t="s">
        <v>18</v>
      </c>
    </row>
    <row r="28" spans="1:11" x14ac:dyDescent="0.25">
      <c r="B28" s="4"/>
      <c r="C28" s="4"/>
      <c r="D28" s="4"/>
      <c r="E28" s="4"/>
      <c r="F28" s="4"/>
      <c r="G28" s="20" t="s">
        <v>50</v>
      </c>
      <c r="H28" s="9">
        <v>1</v>
      </c>
      <c r="I28" s="9"/>
      <c r="J28" s="21" t="s">
        <v>53</v>
      </c>
    </row>
    <row r="29" spans="1:11" ht="18" x14ac:dyDescent="0.35">
      <c r="B29" s="4"/>
      <c r="C29" s="4" t="s">
        <v>26</v>
      </c>
      <c r="D29" s="4"/>
      <c r="E29" s="4"/>
      <c r="F29" s="4"/>
      <c r="G29" s="6" t="s">
        <v>50</v>
      </c>
      <c r="H29">
        <v>0.26</v>
      </c>
      <c r="J29" s="5" t="s">
        <v>51</v>
      </c>
    </row>
    <row r="30" spans="1:11" ht="18" x14ac:dyDescent="0.35">
      <c r="B30" s="4"/>
      <c r="C30" s="4" t="s">
        <v>180</v>
      </c>
      <c r="D30" s="4"/>
      <c r="E30" s="4"/>
      <c r="F30" s="4"/>
      <c r="G30" s="6" t="s">
        <v>50</v>
      </c>
      <c r="H30">
        <v>0.26</v>
      </c>
      <c r="J30" s="5" t="s">
        <v>51</v>
      </c>
    </row>
    <row r="31" spans="1:11" ht="18" x14ac:dyDescent="0.35">
      <c r="B31" s="4"/>
      <c r="C31" s="4" t="s">
        <v>149</v>
      </c>
      <c r="D31" s="4"/>
      <c r="E31" s="4"/>
      <c r="F31" s="4"/>
      <c r="G31" s="6" t="s">
        <v>50</v>
      </c>
      <c r="H31">
        <v>0.45</v>
      </c>
      <c r="J31" s="5" t="s">
        <v>51</v>
      </c>
    </row>
    <row r="32" spans="1:11" ht="18" x14ac:dyDescent="0.35">
      <c r="B32" s="4"/>
      <c r="C32" s="6" t="s">
        <v>150</v>
      </c>
      <c r="D32" s="6"/>
      <c r="E32" s="6"/>
      <c r="F32" s="6"/>
      <c r="G32" s="6" t="s">
        <v>50</v>
      </c>
      <c r="H32">
        <v>0.76</v>
      </c>
      <c r="J32" s="5" t="s">
        <v>51</v>
      </c>
    </row>
    <row r="33" spans="1:15" x14ac:dyDescent="0.25">
      <c r="B33" s="4"/>
      <c r="C33" s="4"/>
      <c r="D33" s="4"/>
      <c r="E33" s="4"/>
      <c r="F33" s="4"/>
      <c r="G33" s="6" t="s">
        <v>27</v>
      </c>
      <c r="H33">
        <v>4</v>
      </c>
      <c r="I33" t="s">
        <v>21</v>
      </c>
      <c r="J33" s="7" t="s">
        <v>20</v>
      </c>
    </row>
    <row r="35" spans="1:15" x14ac:dyDescent="0.25">
      <c r="A35" s="2" t="s">
        <v>8</v>
      </c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5" x14ac:dyDescent="0.25">
      <c r="G36" t="s">
        <v>127</v>
      </c>
      <c r="H36">
        <v>4</v>
      </c>
      <c r="I36" t="s">
        <v>29</v>
      </c>
      <c r="J36" t="s">
        <v>28</v>
      </c>
      <c r="O36" s="6"/>
    </row>
    <row r="37" spans="1:15" ht="18" x14ac:dyDescent="0.35">
      <c r="G37" t="s">
        <v>45</v>
      </c>
      <c r="H37">
        <v>0.9</v>
      </c>
      <c r="J37" t="s">
        <v>30</v>
      </c>
      <c r="O37" s="6"/>
    </row>
    <row r="38" spans="1:15" ht="18" x14ac:dyDescent="0.35">
      <c r="G38" t="s">
        <v>38</v>
      </c>
      <c r="H38">
        <v>1.2250000000000001</v>
      </c>
      <c r="I38" t="s">
        <v>32</v>
      </c>
      <c r="J38" t="s">
        <v>31</v>
      </c>
      <c r="O38" s="6"/>
    </row>
    <row r="39" spans="1:15" ht="18" x14ac:dyDescent="0.35">
      <c r="G39" t="s">
        <v>39</v>
      </c>
      <c r="H39">
        <v>0.1</v>
      </c>
      <c r="J39" t="s">
        <v>33</v>
      </c>
      <c r="O39" s="6"/>
    </row>
    <row r="40" spans="1:15" ht="18" x14ac:dyDescent="0.35">
      <c r="G40" t="s">
        <v>40</v>
      </c>
      <c r="H40">
        <v>0.01</v>
      </c>
      <c r="J40" t="s">
        <v>34</v>
      </c>
    </row>
    <row r="41" spans="1:15" x14ac:dyDescent="0.25">
      <c r="G41" t="s">
        <v>41</v>
      </c>
      <c r="H41">
        <v>0.2</v>
      </c>
      <c r="J41" t="s">
        <v>35</v>
      </c>
    </row>
    <row r="42" spans="1:15" ht="18" x14ac:dyDescent="0.35">
      <c r="G42" t="s">
        <v>42</v>
      </c>
      <c r="H42">
        <v>0.8</v>
      </c>
      <c r="J42" t="s">
        <v>36</v>
      </c>
    </row>
    <row r="43" spans="1:15" ht="18" x14ac:dyDescent="0.35">
      <c r="G43" t="s">
        <v>43</v>
      </c>
      <c r="H43">
        <v>55</v>
      </c>
      <c r="J43" t="s">
        <v>37</v>
      </c>
      <c r="N43" s="4"/>
    </row>
    <row r="45" spans="1:15" x14ac:dyDescent="0.25">
      <c r="A45" s="1" t="s">
        <v>46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5" x14ac:dyDescent="0.25">
      <c r="G46" s="9" t="s">
        <v>76</v>
      </c>
      <c r="H46" s="9">
        <v>0</v>
      </c>
      <c r="I46" s="9" t="s">
        <v>85</v>
      </c>
      <c r="J46" s="9"/>
    </row>
    <row r="47" spans="1:15" x14ac:dyDescent="0.25">
      <c r="G47" s="9" t="s">
        <v>77</v>
      </c>
      <c r="H47" s="9">
        <v>0</v>
      </c>
      <c r="I47" s="9" t="s">
        <v>85</v>
      </c>
      <c r="J47" s="9"/>
    </row>
    <row r="48" spans="1:15" x14ac:dyDescent="0.25">
      <c r="G48" s="9" t="s">
        <v>78</v>
      </c>
      <c r="H48" s="9">
        <v>0</v>
      </c>
      <c r="I48" s="9" t="s">
        <v>85</v>
      </c>
      <c r="J48" s="9"/>
    </row>
    <row r="49" spans="4:11" x14ac:dyDescent="0.25">
      <c r="G49" s="9" t="s">
        <v>75</v>
      </c>
      <c r="H49" s="9">
        <v>0</v>
      </c>
      <c r="I49" s="9" t="s">
        <v>86</v>
      </c>
      <c r="J49" s="9"/>
    </row>
    <row r="50" spans="4:11" x14ac:dyDescent="0.25">
      <c r="G50" s="9" t="s">
        <v>92</v>
      </c>
      <c r="H50" s="9">
        <v>0</v>
      </c>
      <c r="I50" s="9" t="s">
        <v>93</v>
      </c>
      <c r="J50" s="9"/>
    </row>
    <row r="51" spans="4:11" x14ac:dyDescent="0.25">
      <c r="G51" s="9" t="s">
        <v>79</v>
      </c>
      <c r="H51" s="9">
        <v>1</v>
      </c>
      <c r="I51" s="9" t="s">
        <v>87</v>
      </c>
      <c r="J51" s="9" t="s">
        <v>80</v>
      </c>
    </row>
    <row r="52" spans="4:11" x14ac:dyDescent="0.25">
      <c r="G52" s="9" t="s">
        <v>54</v>
      </c>
      <c r="H52" s="9">
        <v>0</v>
      </c>
      <c r="I52" s="9" t="s">
        <v>56</v>
      </c>
      <c r="J52" s="9"/>
    </row>
    <row r="53" spans="4:11" x14ac:dyDescent="0.25">
      <c r="G53" s="9" t="s">
        <v>55</v>
      </c>
      <c r="H53" s="9">
        <v>0</v>
      </c>
      <c r="I53" s="9" t="s">
        <v>57</v>
      </c>
      <c r="J53" s="9"/>
    </row>
    <row r="54" spans="4:11" x14ac:dyDescent="0.25">
      <c r="G54" s="9" t="s">
        <v>134</v>
      </c>
      <c r="H54" s="9">
        <v>0</v>
      </c>
      <c r="I54" s="9" t="s">
        <v>57</v>
      </c>
      <c r="J54" s="9"/>
    </row>
    <row r="55" spans="4:11" x14ac:dyDescent="0.25">
      <c r="G55" s="9" t="s">
        <v>58</v>
      </c>
      <c r="H55" s="9">
        <v>0</v>
      </c>
      <c r="I55" s="9" t="s">
        <v>59</v>
      </c>
      <c r="J55" s="9"/>
    </row>
    <row r="56" spans="4:11" x14ac:dyDescent="0.25">
      <c r="G56" s="9"/>
      <c r="H56" s="9"/>
      <c r="I56" s="9"/>
      <c r="J56" s="9"/>
    </row>
    <row r="57" spans="4:11" x14ac:dyDescent="0.25">
      <c r="D57" t="s">
        <v>60</v>
      </c>
      <c r="G57" s="10" t="s">
        <v>76</v>
      </c>
      <c r="H57" s="10">
        <v>364</v>
      </c>
      <c r="I57" s="10"/>
      <c r="J57" s="10" t="s">
        <v>84</v>
      </c>
      <c r="K57" s="10"/>
    </row>
    <row r="58" spans="4:11" x14ac:dyDescent="0.25">
      <c r="D58" t="s">
        <v>60</v>
      </c>
      <c r="G58" s="10" t="s">
        <v>77</v>
      </c>
      <c r="H58" s="10">
        <v>18.8</v>
      </c>
      <c r="I58" s="10"/>
      <c r="J58" s="10"/>
      <c r="K58" s="10"/>
    </row>
    <row r="59" spans="4:11" x14ac:dyDescent="0.25">
      <c r="D59" t="s">
        <v>60</v>
      </c>
      <c r="G59" s="10" t="s">
        <v>78</v>
      </c>
      <c r="H59" s="10">
        <v>0</v>
      </c>
      <c r="I59" s="10"/>
      <c r="J59" s="10"/>
      <c r="K59" s="10"/>
    </row>
    <row r="60" spans="4:11" x14ac:dyDescent="0.25">
      <c r="D60" t="s">
        <v>60</v>
      </c>
      <c r="G60" s="10" t="s">
        <v>75</v>
      </c>
      <c r="H60" s="10">
        <v>10</v>
      </c>
      <c r="I60" s="10"/>
      <c r="J60" s="10"/>
      <c r="K60" s="10"/>
    </row>
    <row r="61" spans="4:11" x14ac:dyDescent="0.25">
      <c r="D61" t="s">
        <v>60</v>
      </c>
      <c r="E61" t="s">
        <v>74</v>
      </c>
      <c r="G61" s="10" t="s">
        <v>79</v>
      </c>
      <c r="H61" s="12">
        <v>1</v>
      </c>
      <c r="I61" s="10"/>
      <c r="J61" s="10"/>
      <c r="K61" s="10"/>
    </row>
    <row r="62" spans="4:11" x14ac:dyDescent="0.25">
      <c r="D62" t="s">
        <v>60</v>
      </c>
      <c r="E62" t="s">
        <v>73</v>
      </c>
      <c r="G62" s="10" t="s">
        <v>79</v>
      </c>
      <c r="H62" s="10">
        <v>0.88</v>
      </c>
      <c r="I62" s="10"/>
      <c r="J62" s="10"/>
      <c r="K62" s="10"/>
    </row>
    <row r="63" spans="4:11" x14ac:dyDescent="0.25">
      <c r="D63" t="s">
        <v>60</v>
      </c>
      <c r="E63" t="s">
        <v>72</v>
      </c>
      <c r="G63" s="10" t="s">
        <v>79</v>
      </c>
      <c r="H63" s="10">
        <v>0.78</v>
      </c>
      <c r="I63" s="10"/>
      <c r="J63" s="10"/>
      <c r="K63" s="10"/>
    </row>
    <row r="64" spans="4:11" x14ac:dyDescent="0.25">
      <c r="G64" s="10"/>
      <c r="H64" s="10"/>
      <c r="I64" s="10"/>
      <c r="J64" s="10"/>
      <c r="K64" s="10"/>
    </row>
    <row r="65" spans="4:11" x14ac:dyDescent="0.25">
      <c r="D65" t="s">
        <v>63</v>
      </c>
      <c r="G65" s="10" t="s">
        <v>76</v>
      </c>
      <c r="H65" s="10">
        <v>652</v>
      </c>
      <c r="I65" s="10"/>
      <c r="J65" s="10" t="s">
        <v>82</v>
      </c>
      <c r="K65" s="10"/>
    </row>
    <row r="66" spans="4:11" x14ac:dyDescent="0.25">
      <c r="D66" t="s">
        <v>63</v>
      </c>
      <c r="G66" s="10" t="s">
        <v>77</v>
      </c>
      <c r="H66" s="10">
        <v>0</v>
      </c>
      <c r="I66" s="10"/>
      <c r="J66" s="10"/>
      <c r="K66" s="10"/>
    </row>
    <row r="67" spans="4:11" x14ac:dyDescent="0.25">
      <c r="D67" t="s">
        <v>63</v>
      </c>
      <c r="G67" s="10" t="s">
        <v>78</v>
      </c>
      <c r="H67" s="10">
        <v>5.0999999999999996</v>
      </c>
      <c r="I67" s="10"/>
      <c r="J67" s="10"/>
      <c r="K67" s="10"/>
    </row>
    <row r="68" spans="4:11" x14ac:dyDescent="0.25">
      <c r="D68" t="s">
        <v>63</v>
      </c>
      <c r="G68" s="10" t="s">
        <v>75</v>
      </c>
      <c r="H68" s="10">
        <v>20</v>
      </c>
      <c r="I68" s="10"/>
      <c r="J68" s="10"/>
      <c r="K68" s="10"/>
    </row>
    <row r="69" spans="4:11" x14ac:dyDescent="0.25">
      <c r="D69" t="s">
        <v>63</v>
      </c>
      <c r="E69" t="s">
        <v>74</v>
      </c>
      <c r="G69" s="10" t="s">
        <v>79</v>
      </c>
      <c r="H69" s="12">
        <v>1</v>
      </c>
      <c r="I69" s="10"/>
      <c r="J69" s="10"/>
      <c r="K69" s="10"/>
    </row>
    <row r="70" spans="4:11" x14ac:dyDescent="0.25">
      <c r="D70" t="s">
        <v>63</v>
      </c>
      <c r="E70" t="s">
        <v>73</v>
      </c>
      <c r="G70" s="10" t="s">
        <v>79</v>
      </c>
      <c r="H70" s="12">
        <v>0.7</v>
      </c>
      <c r="I70" s="10"/>
      <c r="J70" s="10"/>
      <c r="K70" s="10"/>
    </row>
    <row r="71" spans="4:11" x14ac:dyDescent="0.25">
      <c r="D71" t="s">
        <v>63</v>
      </c>
      <c r="E71" t="s">
        <v>72</v>
      </c>
      <c r="G71" s="10" t="s">
        <v>79</v>
      </c>
      <c r="H71" s="10">
        <v>0.45</v>
      </c>
      <c r="I71" s="10"/>
      <c r="J71" s="10"/>
      <c r="K71" s="10"/>
    </row>
    <row r="72" spans="4:11" x14ac:dyDescent="0.25">
      <c r="G72" s="10"/>
      <c r="H72" s="10"/>
      <c r="I72" s="10"/>
      <c r="J72" s="10"/>
      <c r="K72" s="10"/>
    </row>
    <row r="73" spans="4:11" x14ac:dyDescent="0.25">
      <c r="D73" t="s">
        <v>62</v>
      </c>
      <c r="G73" s="10" t="s">
        <v>76</v>
      </c>
      <c r="H73" s="10">
        <v>46</v>
      </c>
      <c r="I73" s="10"/>
      <c r="J73" s="10" t="s">
        <v>83</v>
      </c>
      <c r="K73" s="10"/>
    </row>
    <row r="74" spans="4:11" x14ac:dyDescent="0.25">
      <c r="D74" t="s">
        <v>62</v>
      </c>
      <c r="G74" s="10" t="s">
        <v>77</v>
      </c>
      <c r="H74" s="10">
        <v>2.8</v>
      </c>
      <c r="I74" s="10"/>
      <c r="J74" s="10"/>
      <c r="K74" s="10"/>
    </row>
    <row r="75" spans="4:11" x14ac:dyDescent="0.25">
      <c r="D75" t="s">
        <v>62</v>
      </c>
      <c r="G75" s="10" t="s">
        <v>78</v>
      </c>
      <c r="H75" s="10">
        <v>0</v>
      </c>
      <c r="I75" s="10"/>
      <c r="J75" s="10"/>
      <c r="K75" s="10"/>
    </row>
    <row r="76" spans="4:11" x14ac:dyDescent="0.25">
      <c r="D76" t="s">
        <v>62</v>
      </c>
      <c r="G76" s="10" t="s">
        <v>75</v>
      </c>
      <c r="H76" s="10">
        <v>5</v>
      </c>
      <c r="I76" s="10"/>
      <c r="J76" s="10"/>
      <c r="K76" s="10"/>
    </row>
    <row r="77" spans="4:11" x14ac:dyDescent="0.25">
      <c r="D77" t="s">
        <v>62</v>
      </c>
      <c r="E77" t="s">
        <v>74</v>
      </c>
      <c r="G77" s="10" t="s">
        <v>79</v>
      </c>
      <c r="H77" s="12">
        <v>1</v>
      </c>
      <c r="I77" s="10"/>
      <c r="J77" s="10"/>
      <c r="K77" s="10"/>
    </row>
    <row r="78" spans="4:11" x14ac:dyDescent="0.25">
      <c r="D78" t="s">
        <v>62</v>
      </c>
      <c r="E78" t="s">
        <v>73</v>
      </c>
      <c r="G78" s="10" t="s">
        <v>79</v>
      </c>
      <c r="H78" s="10">
        <v>0.85</v>
      </c>
      <c r="I78" s="10"/>
      <c r="J78" s="10"/>
      <c r="K78" s="10"/>
    </row>
    <row r="79" spans="4:11" x14ac:dyDescent="0.25">
      <c r="D79" t="s">
        <v>62</v>
      </c>
      <c r="E79" t="s">
        <v>72</v>
      </c>
      <c r="G79" s="10" t="s">
        <v>79</v>
      </c>
      <c r="H79" s="10">
        <v>0.65</v>
      </c>
      <c r="I79" s="10"/>
      <c r="J79" s="10"/>
      <c r="K79" s="10"/>
    </row>
    <row r="80" spans="4:11" x14ac:dyDescent="0.25">
      <c r="G80" s="10"/>
      <c r="H80" s="10"/>
      <c r="I80" s="10"/>
      <c r="J80" s="10"/>
      <c r="K80" s="10"/>
    </row>
    <row r="81" spans="2:11" x14ac:dyDescent="0.25">
      <c r="D81" t="s">
        <v>65</v>
      </c>
      <c r="G81" s="10" t="s">
        <v>92</v>
      </c>
      <c r="H81" s="12">
        <v>5.0999999999999996</v>
      </c>
      <c r="I81" s="10"/>
      <c r="J81" s="6" t="s">
        <v>94</v>
      </c>
      <c r="K81" s="4" t="s">
        <v>96</v>
      </c>
    </row>
    <row r="82" spans="2:11" x14ac:dyDescent="0.25">
      <c r="D82" t="s">
        <v>66</v>
      </c>
      <c r="G82" s="10" t="s">
        <v>92</v>
      </c>
      <c r="H82" s="12">
        <v>7.1</v>
      </c>
      <c r="I82" s="10"/>
      <c r="J82" s="6" t="s">
        <v>95</v>
      </c>
      <c r="K82" s="4" t="s">
        <v>96</v>
      </c>
    </row>
    <row r="83" spans="2:11" x14ac:dyDescent="0.25">
      <c r="G83" s="10"/>
      <c r="H83" s="10"/>
      <c r="I83" s="10"/>
      <c r="J83" s="10"/>
      <c r="K83" s="10"/>
    </row>
    <row r="84" spans="2:11" x14ac:dyDescent="0.25">
      <c r="D84" t="s">
        <v>61</v>
      </c>
      <c r="G84" s="10" t="s">
        <v>54</v>
      </c>
      <c r="H84" s="12">
        <v>3.7353333333333332</v>
      </c>
      <c r="I84" s="10"/>
      <c r="J84" s="10" t="s">
        <v>88</v>
      </c>
      <c r="K84" s="6" t="s">
        <v>89</v>
      </c>
    </row>
    <row r="85" spans="2:11" x14ac:dyDescent="0.25">
      <c r="D85" t="s">
        <v>64</v>
      </c>
      <c r="G85" s="10" t="s">
        <v>54</v>
      </c>
      <c r="H85" s="11">
        <v>17.096931944444446</v>
      </c>
      <c r="I85" s="10"/>
      <c r="J85" s="6" t="s">
        <v>90</v>
      </c>
      <c r="K85" s="4" t="s">
        <v>91</v>
      </c>
    </row>
    <row r="86" spans="2:11" x14ac:dyDescent="0.25">
      <c r="D86" t="s">
        <v>67</v>
      </c>
      <c r="G86" s="10" t="s">
        <v>54</v>
      </c>
      <c r="H86" s="12">
        <v>1.2451111111111113</v>
      </c>
      <c r="I86" s="10"/>
      <c r="J86" s="6" t="s">
        <v>47</v>
      </c>
      <c r="K86" s="10" t="s">
        <v>89</v>
      </c>
    </row>
    <row r="87" spans="2:11" x14ac:dyDescent="0.25">
      <c r="D87" t="s">
        <v>68</v>
      </c>
      <c r="G87" s="10" t="s">
        <v>54</v>
      </c>
      <c r="H87" s="12">
        <v>3.1127777777777781</v>
      </c>
      <c r="I87" s="10"/>
      <c r="J87" s="6" t="s">
        <v>48</v>
      </c>
      <c r="K87" s="10" t="s">
        <v>89</v>
      </c>
    </row>
    <row r="88" spans="2:11" x14ac:dyDescent="0.25">
      <c r="D88" t="s">
        <v>97</v>
      </c>
      <c r="G88" s="10" t="s">
        <v>54</v>
      </c>
      <c r="H88" s="12">
        <v>4.6691666666666665</v>
      </c>
      <c r="I88" s="10"/>
      <c r="J88" s="4" t="s">
        <v>98</v>
      </c>
      <c r="K88" s="10" t="s">
        <v>89</v>
      </c>
    </row>
    <row r="89" spans="2:11" x14ac:dyDescent="0.25">
      <c r="D89" t="s">
        <v>69</v>
      </c>
      <c r="G89" s="10" t="s">
        <v>54</v>
      </c>
      <c r="H89" s="12">
        <v>3.1127777777777781</v>
      </c>
      <c r="I89" s="10"/>
      <c r="J89" s="4" t="s">
        <v>99</v>
      </c>
      <c r="K89" s="6" t="s">
        <v>89</v>
      </c>
    </row>
    <row r="90" spans="2:11" x14ac:dyDescent="0.25">
      <c r="D90" t="s">
        <v>70</v>
      </c>
      <c r="G90" s="10" t="s">
        <v>54</v>
      </c>
      <c r="H90" s="11">
        <v>11.828555555555555</v>
      </c>
      <c r="I90" s="10"/>
      <c r="J90" s="4" t="s">
        <v>103</v>
      </c>
      <c r="K90" s="10" t="s">
        <v>89</v>
      </c>
    </row>
    <row r="91" spans="2:11" x14ac:dyDescent="0.25">
      <c r="D91" t="s">
        <v>100</v>
      </c>
      <c r="G91" s="10" t="s">
        <v>54</v>
      </c>
      <c r="H91" s="11">
        <v>26.302972222222223</v>
      </c>
      <c r="I91" s="10"/>
      <c r="J91" s="6" t="s">
        <v>104</v>
      </c>
      <c r="K91" s="10" t="s">
        <v>91</v>
      </c>
    </row>
    <row r="92" spans="2:11" x14ac:dyDescent="0.25">
      <c r="D92" t="s">
        <v>101</v>
      </c>
      <c r="G92" s="10" t="s">
        <v>54</v>
      </c>
      <c r="H92" s="11">
        <v>11.3</v>
      </c>
      <c r="I92" s="10"/>
      <c r="J92" s="6" t="s">
        <v>106</v>
      </c>
      <c r="K92" s="10" t="s">
        <v>107</v>
      </c>
    </row>
    <row r="93" spans="2:11" x14ac:dyDescent="0.25">
      <c r="D93" t="s">
        <v>102</v>
      </c>
      <c r="G93" s="10" t="s">
        <v>54</v>
      </c>
      <c r="H93" s="11">
        <v>23.278130416666666</v>
      </c>
      <c r="I93" s="10"/>
      <c r="J93" s="6" t="s">
        <v>105</v>
      </c>
      <c r="K93" s="10" t="s">
        <v>107</v>
      </c>
    </row>
    <row r="94" spans="2:11" x14ac:dyDescent="0.25">
      <c r="D94" t="s">
        <v>71</v>
      </c>
      <c r="G94" s="10" t="s">
        <v>54</v>
      </c>
      <c r="H94" s="10">
        <v>13.15</v>
      </c>
      <c r="I94" s="10"/>
      <c r="J94" s="10" t="s">
        <v>109</v>
      </c>
      <c r="K94" s="10" t="s">
        <v>108</v>
      </c>
    </row>
    <row r="95" spans="2:11" x14ac:dyDescent="0.25">
      <c r="D95" t="s">
        <v>71</v>
      </c>
      <c r="G95" s="10" t="s">
        <v>55</v>
      </c>
      <c r="H95" s="10">
        <v>5.26</v>
      </c>
      <c r="I95" s="10"/>
      <c r="J95" s="10" t="s">
        <v>109</v>
      </c>
      <c r="K95" s="10" t="s">
        <v>108</v>
      </c>
    </row>
    <row r="96" spans="2:11" x14ac:dyDescent="0.25">
      <c r="B96" t="s">
        <v>110</v>
      </c>
      <c r="D96" t="s">
        <v>71</v>
      </c>
      <c r="G96" s="10" t="s">
        <v>55</v>
      </c>
      <c r="H96" s="12">
        <v>1.7546281240590185</v>
      </c>
      <c r="I96" s="10"/>
      <c r="J96" s="10" t="s">
        <v>111</v>
      </c>
      <c r="K96" s="4" t="s">
        <v>112</v>
      </c>
    </row>
    <row r="97" spans="1:11" x14ac:dyDescent="0.25">
      <c r="B97" t="s">
        <v>113</v>
      </c>
      <c r="D97" t="s">
        <v>71</v>
      </c>
      <c r="G97" s="10" t="s">
        <v>55</v>
      </c>
      <c r="H97" s="12">
        <v>5.1828516694033944</v>
      </c>
      <c r="I97" s="10"/>
      <c r="J97" s="6" t="s">
        <v>115</v>
      </c>
      <c r="K97" s="4" t="s">
        <v>112</v>
      </c>
    </row>
    <row r="98" spans="1:11" x14ac:dyDescent="0.25">
      <c r="B98" t="s">
        <v>114</v>
      </c>
      <c r="D98" t="s">
        <v>71</v>
      </c>
      <c r="G98" s="10" t="s">
        <v>55</v>
      </c>
      <c r="H98" s="13">
        <v>4.0531064740502947</v>
      </c>
      <c r="J98" s="6" t="s">
        <v>116</v>
      </c>
      <c r="K98" s="4" t="s">
        <v>112</v>
      </c>
    </row>
    <row r="99" spans="1:11" x14ac:dyDescent="0.25">
      <c r="B99" t="s">
        <v>118</v>
      </c>
      <c r="D99" t="s">
        <v>71</v>
      </c>
      <c r="G99" s="10" t="s">
        <v>55</v>
      </c>
      <c r="H99" s="13">
        <v>4.3591310772039646</v>
      </c>
      <c r="J99" s="6" t="s">
        <v>117</v>
      </c>
      <c r="K99" s="6" t="s">
        <v>107</v>
      </c>
    </row>
    <row r="100" spans="1:11" x14ac:dyDescent="0.25">
      <c r="G100" s="10"/>
      <c r="H100" s="13"/>
      <c r="J100" s="6"/>
      <c r="K100" s="6"/>
    </row>
    <row r="101" spans="1:11" x14ac:dyDescent="0.25">
      <c r="D101" t="s">
        <v>120</v>
      </c>
      <c r="G101" s="10" t="s">
        <v>54</v>
      </c>
      <c r="H101" s="13">
        <v>14.6</v>
      </c>
      <c r="J101" s="6"/>
      <c r="K101" s="4" t="s">
        <v>119</v>
      </c>
    </row>
    <row r="102" spans="1:11" x14ac:dyDescent="0.25">
      <c r="D102" t="s">
        <v>124</v>
      </c>
      <c r="F102" t="s">
        <v>121</v>
      </c>
      <c r="G102" s="10" t="s">
        <v>54</v>
      </c>
      <c r="H102" s="13">
        <v>37.744765138888887</v>
      </c>
      <c r="J102" s="6"/>
      <c r="K102" s="6" t="s">
        <v>91</v>
      </c>
    </row>
    <row r="103" spans="1:11" x14ac:dyDescent="0.25">
      <c r="D103" t="s">
        <v>124</v>
      </c>
      <c r="F103" t="s">
        <v>122</v>
      </c>
      <c r="G103" s="10" t="s">
        <v>54</v>
      </c>
      <c r="H103" s="13">
        <v>50.107162083333336</v>
      </c>
      <c r="J103" s="6"/>
      <c r="K103" s="6" t="s">
        <v>91</v>
      </c>
    </row>
    <row r="104" spans="1:11" x14ac:dyDescent="0.25">
      <c r="D104" t="s">
        <v>124</v>
      </c>
      <c r="F104" t="s">
        <v>123</v>
      </c>
      <c r="G104" s="10" t="s">
        <v>54</v>
      </c>
      <c r="H104" s="13">
        <v>36.955675972222224</v>
      </c>
      <c r="J104" s="6"/>
      <c r="K104" s="6" t="s">
        <v>91</v>
      </c>
    </row>
    <row r="105" spans="1:11" x14ac:dyDescent="0.25">
      <c r="G105" s="10"/>
      <c r="H105" s="13"/>
      <c r="J105" s="6"/>
      <c r="K105" s="6"/>
    </row>
    <row r="106" spans="1:11" x14ac:dyDescent="0.25">
      <c r="D106" t="s">
        <v>131</v>
      </c>
      <c r="G106" s="10" t="s">
        <v>55</v>
      </c>
      <c r="H106" s="13">
        <v>1.6176327916666666</v>
      </c>
      <c r="J106" s="6" t="s">
        <v>135</v>
      </c>
      <c r="K106" s="4" t="s">
        <v>91</v>
      </c>
    </row>
    <row r="107" spans="1:11" x14ac:dyDescent="0.25">
      <c r="D107" t="s">
        <v>132</v>
      </c>
      <c r="G107" s="10" t="s">
        <v>134</v>
      </c>
      <c r="H107" s="13">
        <v>3.0774477499999997</v>
      </c>
      <c r="J107" s="6" t="s">
        <v>136</v>
      </c>
      <c r="K107" s="4" t="s">
        <v>91</v>
      </c>
    </row>
    <row r="108" spans="1:11" x14ac:dyDescent="0.25">
      <c r="D108" t="s">
        <v>133</v>
      </c>
      <c r="G108" s="10" t="s">
        <v>58</v>
      </c>
      <c r="H108" s="13">
        <v>0.25</v>
      </c>
      <c r="J108" s="6" t="s">
        <v>137</v>
      </c>
      <c r="K108" s="4" t="s">
        <v>112</v>
      </c>
    </row>
    <row r="110" spans="1:11" x14ac:dyDescent="0.25">
      <c r="A110" s="1" t="s">
        <v>81</v>
      </c>
      <c r="B110" s="1"/>
      <c r="C110" s="1"/>
      <c r="D110" s="1"/>
      <c r="E110" s="1"/>
      <c r="F110" s="1"/>
      <c r="G110" s="8"/>
      <c r="H110" s="8"/>
      <c r="I110" s="8"/>
      <c r="J110" s="8"/>
      <c r="K110" s="8"/>
    </row>
    <row r="111" spans="1:11" x14ac:dyDescent="0.25">
      <c r="G111" s="9" t="s">
        <v>49</v>
      </c>
      <c r="H111" s="9">
        <v>0</v>
      </c>
      <c r="J111" s="9" t="s">
        <v>53</v>
      </c>
    </row>
    <row r="112" spans="1:11" x14ac:dyDescent="0.25">
      <c r="G112" t="s">
        <v>49</v>
      </c>
      <c r="H112" t="s">
        <v>181</v>
      </c>
    </row>
    <row r="114" spans="1:11" x14ac:dyDescent="0.25">
      <c r="A114" s="1" t="s">
        <v>151</v>
      </c>
      <c r="B114" s="1"/>
      <c r="C114" s="1"/>
      <c r="D114" s="1"/>
      <c r="E114" s="1"/>
      <c r="F114" s="1"/>
      <c r="G114" s="8"/>
      <c r="H114" s="8"/>
      <c r="I114" s="8"/>
      <c r="J114" s="8"/>
      <c r="K114" s="8"/>
    </row>
    <row r="115" spans="1:11" x14ac:dyDescent="0.25">
      <c r="G115" s="9" t="s">
        <v>168</v>
      </c>
      <c r="H115" s="9">
        <v>0</v>
      </c>
      <c r="I115" s="9" t="s">
        <v>169</v>
      </c>
      <c r="J115" s="9" t="s">
        <v>53</v>
      </c>
    </row>
    <row r="116" spans="1:11" x14ac:dyDescent="0.25">
      <c r="B116" t="s">
        <v>161</v>
      </c>
      <c r="G116" t="s">
        <v>168</v>
      </c>
      <c r="H116">
        <v>302</v>
      </c>
      <c r="I116" t="s">
        <v>169</v>
      </c>
      <c r="J116" t="s">
        <v>170</v>
      </c>
      <c r="K116" t="s">
        <v>173</v>
      </c>
    </row>
    <row r="117" spans="1:11" x14ac:dyDescent="0.25">
      <c r="B117" t="s">
        <v>162</v>
      </c>
      <c r="G117" t="s">
        <v>168</v>
      </c>
      <c r="H117">
        <v>197</v>
      </c>
      <c r="I117" t="s">
        <v>169</v>
      </c>
      <c r="J117" t="s">
        <v>171</v>
      </c>
      <c r="K117" t="s">
        <v>174</v>
      </c>
    </row>
    <row r="118" spans="1:11" x14ac:dyDescent="0.25">
      <c r="B118" t="s">
        <v>163</v>
      </c>
      <c r="G118" t="s">
        <v>168</v>
      </c>
      <c r="H118">
        <v>216</v>
      </c>
      <c r="I118" t="s">
        <v>169</v>
      </c>
      <c r="J118" t="s">
        <v>172</v>
      </c>
      <c r="K118" t="s">
        <v>175</v>
      </c>
    </row>
    <row r="119" spans="1:11" x14ac:dyDescent="0.25">
      <c r="B119" t="s">
        <v>164</v>
      </c>
      <c r="G119" t="s">
        <v>168</v>
      </c>
      <c r="H119">
        <v>216</v>
      </c>
      <c r="I119" t="s">
        <v>169</v>
      </c>
      <c r="J119" t="s">
        <v>172</v>
      </c>
    </row>
    <row r="120" spans="1:11" x14ac:dyDescent="0.25">
      <c r="B120" t="s">
        <v>165</v>
      </c>
      <c r="G120" t="s">
        <v>168</v>
      </c>
      <c r="H120">
        <v>216</v>
      </c>
      <c r="I120" t="s">
        <v>169</v>
      </c>
      <c r="J120" t="s">
        <v>172</v>
      </c>
    </row>
    <row r="121" spans="1:11" x14ac:dyDescent="0.25">
      <c r="B121" t="s">
        <v>166</v>
      </c>
      <c r="G121" t="s">
        <v>168</v>
      </c>
      <c r="H121">
        <v>216</v>
      </c>
      <c r="I121" t="s">
        <v>169</v>
      </c>
      <c r="J121" t="s">
        <v>172</v>
      </c>
    </row>
    <row r="122" spans="1:11" x14ac:dyDescent="0.25">
      <c r="B122" t="s">
        <v>167</v>
      </c>
      <c r="G122" t="s">
        <v>168</v>
      </c>
      <c r="H122">
        <v>216</v>
      </c>
      <c r="I122" t="s">
        <v>169</v>
      </c>
      <c r="J122" t="s">
        <v>172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C13" sqref="C13"/>
    </sheetView>
  </sheetViews>
  <sheetFormatPr defaultRowHeight="15" x14ac:dyDescent="0.25"/>
  <sheetData>
    <row r="1" spans="1:1" x14ac:dyDescent="0.25">
      <c r="A1" s="16" t="s">
        <v>138</v>
      </c>
    </row>
    <row r="2" spans="1:1" x14ac:dyDescent="0.25">
      <c r="A2" s="17" t="s">
        <v>139</v>
      </c>
    </row>
    <row r="3" spans="1:1" x14ac:dyDescent="0.25">
      <c r="A3" s="17" t="s">
        <v>140</v>
      </c>
    </row>
    <row r="4" spans="1:1" x14ac:dyDescent="0.25">
      <c r="A4" s="17" t="s">
        <v>141</v>
      </c>
    </row>
    <row r="5" spans="1:1" x14ac:dyDescent="0.25">
      <c r="A5" s="17" t="s">
        <v>142</v>
      </c>
    </row>
    <row r="6" spans="1:1" x14ac:dyDescent="0.25">
      <c r="A6" s="17" t="s">
        <v>143</v>
      </c>
    </row>
    <row r="7" spans="1:1" x14ac:dyDescent="0.25">
      <c r="A7" s="17" t="s">
        <v>144</v>
      </c>
    </row>
    <row r="8" spans="1:1" x14ac:dyDescent="0.25">
      <c r="A8" s="17" t="s">
        <v>145</v>
      </c>
    </row>
    <row r="9" spans="1:1" x14ac:dyDescent="0.25">
      <c r="A9" s="17" t="s">
        <v>146</v>
      </c>
    </row>
    <row r="10" spans="1:1" x14ac:dyDescent="0.25">
      <c r="A10" s="1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2023-09-12T11:41:41Z</dcterms:modified>
</cp:coreProperties>
</file>