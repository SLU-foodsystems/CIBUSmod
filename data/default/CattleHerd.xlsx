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1" r:id="rId13"/>
  </pivotCaches>
</workbook>
</file>

<file path=xl/calcChain.xml><?xml version="1.0" encoding="utf-8"?>
<calcChain xmlns="http://schemas.openxmlformats.org/spreadsheetml/2006/main">
  <c r="K32" i="1" l="1"/>
  <c r="K55" i="1"/>
  <c r="K54" i="1"/>
  <c r="K68" i="1"/>
  <c r="K67" i="1"/>
  <c r="K33" i="1"/>
  <c r="K57" i="1" s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E22" i="21"/>
  <c r="AD22" i="21"/>
  <c r="AF21" i="21"/>
  <c r="AF22" i="21" s="1"/>
  <c r="AE21" i="21"/>
  <c r="AD21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K56" i="1" l="1"/>
  <c r="K193" i="1" s="1"/>
  <c r="O52" i="1"/>
  <c r="K52" i="1" s="1"/>
  <c r="K192" i="1" s="1"/>
  <c r="K51" i="1"/>
  <c r="K191" i="1" s="1"/>
  <c r="K64" i="1"/>
  <c r="K197" i="1" s="1"/>
  <c r="K65" i="1"/>
  <c r="K198" i="1" s="1"/>
  <c r="AF63" i="21" l="1"/>
  <c r="L117" i="21"/>
  <c r="AF86" i="21" s="1"/>
  <c r="AF62" i="21"/>
  <c r="AF100" i="21"/>
  <c r="AF99" i="21"/>
  <c r="AF98" i="21"/>
  <c r="AF97" i="21"/>
  <c r="AF96" i="21"/>
  <c r="AF95" i="21"/>
  <c r="AF94" i="21"/>
  <c r="AF93" i="21"/>
  <c r="AF92" i="21"/>
  <c r="AF91" i="21"/>
  <c r="AF90" i="21"/>
  <c r="AF89" i="21"/>
  <c r="AF88" i="21"/>
  <c r="AF87" i="21"/>
  <c r="AF85" i="21"/>
  <c r="AF84" i="21"/>
  <c r="AF83" i="21"/>
  <c r="AF82" i="21"/>
  <c r="AF81" i="21"/>
  <c r="AF80" i="21"/>
  <c r="AF79" i="21"/>
  <c r="AF78" i="21"/>
  <c r="AF77" i="21"/>
  <c r="AF76" i="21"/>
  <c r="AF75" i="21"/>
  <c r="AF74" i="21"/>
  <c r="AF73" i="21"/>
  <c r="AF72" i="21"/>
  <c r="AF71" i="21"/>
  <c r="AF69" i="21"/>
  <c r="AF68" i="21"/>
  <c r="AF67" i="21"/>
  <c r="AF66" i="21"/>
  <c r="AF65" i="21"/>
  <c r="AF64" i="21"/>
  <c r="F375" i="1"/>
  <c r="K375" i="1" s="1"/>
  <c r="F374" i="1"/>
  <c r="K374" i="1" s="1"/>
  <c r="F373" i="1"/>
  <c r="K373" i="1" s="1"/>
  <c r="F372" i="1"/>
  <c r="K372" i="1" s="1"/>
  <c r="F371" i="1"/>
  <c r="K371" i="1" s="1"/>
  <c r="F370" i="1"/>
  <c r="K370" i="1" s="1"/>
  <c r="F369" i="1"/>
  <c r="K369" i="1" s="1"/>
  <c r="F368" i="1"/>
  <c r="K368" i="1" s="1"/>
  <c r="F367" i="1"/>
  <c r="K367" i="1" s="1"/>
  <c r="F366" i="1"/>
  <c r="K366" i="1" s="1"/>
  <c r="F365" i="1"/>
  <c r="K365" i="1" s="1"/>
  <c r="F364" i="1"/>
  <c r="K364" i="1" s="1"/>
  <c r="F363" i="1"/>
  <c r="K363" i="1" s="1"/>
  <c r="F362" i="1"/>
  <c r="K362" i="1" s="1"/>
  <c r="F361" i="1"/>
  <c r="K361" i="1" s="1"/>
  <c r="F360" i="1"/>
  <c r="K360" i="1" s="1"/>
  <c r="F359" i="1"/>
  <c r="K359" i="1" s="1"/>
  <c r="F358" i="1"/>
  <c r="K358" i="1" s="1"/>
  <c r="F357" i="1"/>
  <c r="K357" i="1" s="1"/>
  <c r="F356" i="1"/>
  <c r="K356" i="1" s="1"/>
  <c r="F355" i="1"/>
  <c r="K355" i="1" s="1"/>
  <c r="F354" i="1"/>
  <c r="K354" i="1" s="1"/>
  <c r="F353" i="1"/>
  <c r="K353" i="1" s="1"/>
  <c r="F352" i="1"/>
  <c r="K352" i="1" s="1"/>
  <c r="F351" i="1"/>
  <c r="K351" i="1" s="1"/>
  <c r="F350" i="1"/>
  <c r="K350" i="1" s="1"/>
  <c r="F349" i="1"/>
  <c r="K349" i="1" s="1"/>
  <c r="F348" i="1"/>
  <c r="K348" i="1" s="1"/>
  <c r="F347" i="1"/>
  <c r="K347" i="1" s="1"/>
  <c r="F346" i="1"/>
  <c r="K346" i="1" s="1"/>
  <c r="F345" i="1"/>
  <c r="K345" i="1" s="1"/>
  <c r="F344" i="1"/>
  <c r="K344" i="1" s="1"/>
  <c r="F343" i="1"/>
  <c r="K343" i="1" s="1"/>
  <c r="F342" i="1"/>
  <c r="K342" i="1" s="1"/>
  <c r="F341" i="1"/>
  <c r="K341" i="1" s="1"/>
  <c r="F340" i="1"/>
  <c r="K340" i="1" s="1"/>
  <c r="F339" i="1"/>
  <c r="K339" i="1" s="1"/>
  <c r="F338" i="1"/>
  <c r="K338" i="1" s="1"/>
  <c r="L114" i="21"/>
  <c r="L72" i="21"/>
  <c r="L71" i="21"/>
  <c r="L69" i="21"/>
  <c r="L68" i="21"/>
  <c r="K35" i="1"/>
  <c r="K34" i="1"/>
  <c r="K47" i="1"/>
  <c r="K46" i="1"/>
  <c r="AF105" i="21" l="1"/>
  <c r="AF101" i="21"/>
  <c r="AF70" i="21"/>
  <c r="AF106" i="21"/>
  <c r="AF103" i="21"/>
  <c r="F668" i="1"/>
  <c r="K668" i="1" s="1"/>
  <c r="F667" i="1"/>
  <c r="K667" i="1" s="1"/>
  <c r="F666" i="1"/>
  <c r="K666" i="1" s="1"/>
  <c r="F665" i="1"/>
  <c r="K665" i="1" s="1"/>
  <c r="F664" i="1"/>
  <c r="K664" i="1" s="1"/>
  <c r="F663" i="1"/>
  <c r="K663" i="1" s="1"/>
  <c r="F662" i="1"/>
  <c r="K662" i="1" s="1"/>
  <c r="F661" i="1"/>
  <c r="K661" i="1" s="1"/>
  <c r="F660" i="1"/>
  <c r="K660" i="1" s="1"/>
  <c r="F659" i="1"/>
  <c r="K659" i="1" s="1"/>
  <c r="F658" i="1"/>
  <c r="K658" i="1" s="1"/>
  <c r="F657" i="1"/>
  <c r="K657" i="1" s="1"/>
  <c r="F656" i="1"/>
  <c r="K656" i="1" s="1"/>
  <c r="F655" i="1"/>
  <c r="K655" i="1" s="1"/>
  <c r="F654" i="1"/>
  <c r="K654" i="1" s="1"/>
  <c r="F653" i="1"/>
  <c r="K653" i="1" s="1"/>
  <c r="F652" i="1"/>
  <c r="K652" i="1" s="1"/>
  <c r="J651" i="1"/>
  <c r="F650" i="1"/>
  <c r="K650" i="1" s="1"/>
  <c r="K651" i="1" s="1"/>
  <c r="F649" i="1"/>
  <c r="K649" i="1" s="1"/>
  <c r="F648" i="1"/>
  <c r="K648" i="1" s="1"/>
  <c r="F647" i="1"/>
  <c r="K647" i="1" s="1"/>
  <c r="F646" i="1"/>
  <c r="K646" i="1" s="1"/>
  <c r="F645" i="1"/>
  <c r="K645" i="1" s="1"/>
  <c r="F644" i="1"/>
  <c r="K644" i="1" s="1"/>
  <c r="F643" i="1"/>
  <c r="K643" i="1" s="1"/>
  <c r="F642" i="1"/>
  <c r="K642" i="1" s="1"/>
  <c r="F641" i="1"/>
  <c r="K641" i="1" s="1"/>
  <c r="F640" i="1"/>
  <c r="K640" i="1" s="1"/>
  <c r="F639" i="1"/>
  <c r="K639" i="1" s="1"/>
  <c r="F638" i="1"/>
  <c r="K638" i="1" s="1"/>
  <c r="F637" i="1"/>
  <c r="K637" i="1" s="1"/>
  <c r="F636" i="1"/>
  <c r="K636" i="1" s="1"/>
  <c r="F635" i="1"/>
  <c r="K635" i="1" s="1"/>
  <c r="F634" i="1"/>
  <c r="K634" i="1" s="1"/>
  <c r="F633" i="1"/>
  <c r="K633" i="1" s="1"/>
  <c r="F632" i="1"/>
  <c r="K632" i="1" s="1"/>
  <c r="F631" i="1"/>
  <c r="K631" i="1" s="1"/>
  <c r="F630" i="1"/>
  <c r="K630" i="1" s="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Y66" i="21"/>
  <c r="Y65" i="21"/>
  <c r="Y64" i="21"/>
  <c r="Y103" i="21" s="1"/>
  <c r="Y63" i="21"/>
  <c r="X63" i="21"/>
  <c r="X64" i="21"/>
  <c r="Y62" i="21"/>
  <c r="N114" i="21"/>
  <c r="N82" i="21"/>
  <c r="N73" i="21"/>
  <c r="N72" i="21"/>
  <c r="N68" i="21"/>
  <c r="AC21" i="21"/>
  <c r="AB21" i="21"/>
  <c r="AA21" i="21"/>
  <c r="J67" i="21"/>
  <c r="E117" i="21"/>
  <c r="E114" i="21"/>
  <c r="D114" i="21"/>
  <c r="E72" i="21"/>
  <c r="D72" i="21"/>
  <c r="E71" i="21"/>
  <c r="D71" i="21"/>
  <c r="E68" i="21"/>
  <c r="D68" i="21"/>
  <c r="E69" i="21"/>
  <c r="D69" i="21"/>
  <c r="I67" i="21"/>
  <c r="Y105" i="21" l="1"/>
  <c r="Y106" i="21" s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J777" i="1"/>
  <c r="A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J484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A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O114" i="21"/>
  <c r="N113" i="21"/>
  <c r="N112" i="21"/>
  <c r="N111" i="21"/>
  <c r="N110" i="21"/>
  <c r="N109" i="21"/>
  <c r="N108" i="21"/>
  <c r="N107" i="21"/>
  <c r="N106" i="21"/>
  <c r="N105" i="21"/>
  <c r="N104" i="21"/>
  <c r="N103" i="21"/>
  <c r="N102" i="21"/>
  <c r="N101" i="21"/>
  <c r="N100" i="21"/>
  <c r="N99" i="21"/>
  <c r="N98" i="21"/>
  <c r="N97" i="21"/>
  <c r="N96" i="21"/>
  <c r="N95" i="21"/>
  <c r="N94" i="21"/>
  <c r="N93" i="21"/>
  <c r="N92" i="21"/>
  <c r="N91" i="21"/>
  <c r="N90" i="21"/>
  <c r="N89" i="21"/>
  <c r="N88" i="21"/>
  <c r="N87" i="21"/>
  <c r="N86" i="21"/>
  <c r="N85" i="21"/>
  <c r="N84" i="21"/>
  <c r="N83" i="21"/>
  <c r="O82" i="21"/>
  <c r="O79" i="21"/>
  <c r="N77" i="21"/>
  <c r="N76" i="21"/>
  <c r="N75" i="21"/>
  <c r="N74" i="21"/>
  <c r="O73" i="21"/>
  <c r="O72" i="21"/>
  <c r="O68" i="21"/>
  <c r="AL63" i="21"/>
  <c r="AK63" i="21"/>
  <c r="AJ63" i="21"/>
  <c r="AI63" i="21"/>
  <c r="AH63" i="21"/>
  <c r="AG63" i="21"/>
  <c r="AE63" i="21"/>
  <c r="AD63" i="21"/>
  <c r="AC63" i="21"/>
  <c r="AB63" i="21"/>
  <c r="AA63" i="21"/>
  <c r="E48" i="8"/>
  <c r="O71" i="1"/>
  <c r="K71" i="1" s="1"/>
  <c r="K69" i="1" s="1"/>
  <c r="O72" i="1"/>
  <c r="K72" i="1" s="1"/>
  <c r="K201" i="1" s="1"/>
  <c r="O73" i="1"/>
  <c r="K70" i="1" s="1"/>
  <c r="O60" i="1"/>
  <c r="K60" i="1" s="1"/>
  <c r="K58" i="1" s="1"/>
  <c r="K194" i="1" s="1"/>
  <c r="K59" i="1"/>
  <c r="O61" i="1"/>
  <c r="K61" i="1" s="1"/>
  <c r="K195" i="1" s="1"/>
  <c r="O62" i="1"/>
  <c r="K62" i="1" s="1"/>
  <c r="K196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J13" i="10"/>
  <c r="I13" i="10"/>
  <c r="H13" i="10"/>
  <c r="O13" i="10"/>
  <c r="N13" i="10"/>
  <c r="P13" i="10"/>
  <c r="C13" i="10"/>
  <c r="D13" i="10"/>
  <c r="B13" i="10"/>
  <c r="H11" i="10"/>
  <c r="H10" i="10"/>
  <c r="K200" i="1" l="1"/>
  <c r="K199" i="1"/>
  <c r="K73" i="1"/>
  <c r="K202" i="1" s="1"/>
  <c r="N117" i="21"/>
  <c r="AH90" i="21" s="1"/>
  <c r="AH62" i="21"/>
  <c r="E13" i="10"/>
  <c r="AH98" i="21" l="1"/>
  <c r="AH82" i="21"/>
  <c r="AH95" i="21"/>
  <c r="AH81" i="21"/>
  <c r="AH96" i="21"/>
  <c r="AH80" i="21"/>
  <c r="AH71" i="21"/>
  <c r="AH93" i="21"/>
  <c r="AH73" i="21"/>
  <c r="AH66" i="21"/>
  <c r="AH67" i="21"/>
  <c r="AH85" i="21"/>
  <c r="AH68" i="21"/>
  <c r="AH84" i="21"/>
  <c r="AH69" i="21"/>
  <c r="AH99" i="21"/>
  <c r="AH101" i="21"/>
  <c r="AH83" i="21"/>
  <c r="AH92" i="21"/>
  <c r="AH77" i="21"/>
  <c r="AH91" i="21"/>
  <c r="AH87" i="21"/>
  <c r="AH76" i="21"/>
  <c r="AH97" i="21"/>
  <c r="AH89" i="21"/>
  <c r="AH75" i="21"/>
  <c r="AH79" i="21"/>
  <c r="AH74" i="21"/>
  <c r="AH70" i="21"/>
  <c r="AH72" i="21"/>
  <c r="AH86" i="21"/>
  <c r="AH94" i="21"/>
  <c r="AH88" i="21"/>
  <c r="AH100" i="21"/>
  <c r="AH78" i="21"/>
  <c r="AH65" i="21"/>
  <c r="AH64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AH105" i="21" l="1"/>
  <c r="AH106" i="21" s="1"/>
  <c r="AH103" i="21"/>
  <c r="K84" i="1"/>
  <c r="K82" i="1"/>
  <c r="P2" i="8"/>
  <c r="P11" i="8"/>
  <c r="K29" i="1" l="1"/>
  <c r="P9" i="8"/>
  <c r="AM5" i="8"/>
  <c r="K45" i="1"/>
  <c r="J819" i="1" l="1"/>
  <c r="E819" i="1"/>
  <c r="A819" i="1"/>
  <c r="J735" i="1"/>
  <c r="A735" i="1"/>
  <c r="J693" i="1"/>
  <c r="A693" i="1"/>
  <c r="J609" i="1"/>
  <c r="E609" i="1"/>
  <c r="A609" i="1"/>
  <c r="J526" i="1"/>
  <c r="E526" i="1"/>
  <c r="A526" i="1"/>
  <c r="J442" i="1"/>
  <c r="A442" i="1"/>
  <c r="J400" i="1"/>
  <c r="A400" i="1"/>
  <c r="J277" i="1"/>
  <c r="E277" i="1"/>
  <c r="A277" i="1"/>
  <c r="Z63" i="21" l="1"/>
  <c r="K221" i="1" l="1"/>
  <c r="AM12" i="8" l="1"/>
  <c r="D21" i="21"/>
  <c r="F21" i="21"/>
  <c r="F867" i="1" l="1"/>
  <c r="F800" i="1"/>
  <c r="F608" i="1"/>
  <c r="F592" i="1"/>
  <c r="F256" i="1"/>
  <c r="F408" i="1"/>
  <c r="F423" i="1"/>
  <c r="R114" i="21"/>
  <c r="P114" i="21"/>
  <c r="J114" i="21"/>
  <c r="I114" i="21"/>
  <c r="H114" i="21"/>
  <c r="G114" i="21"/>
  <c r="R67" i="21"/>
  <c r="AL62" i="21" s="1"/>
  <c r="Q67" i="21"/>
  <c r="P67" i="21"/>
  <c r="AJ62" i="21" s="1"/>
  <c r="AD62" i="21"/>
  <c r="AC62" i="21"/>
  <c r="H72" i="21"/>
  <c r="G72" i="21"/>
  <c r="X62" i="21"/>
  <c r="U98" i="21"/>
  <c r="F833" i="1" s="1"/>
  <c r="U83" i="21"/>
  <c r="F607" i="1" s="1"/>
  <c r="U84" i="21"/>
  <c r="F525" i="1" s="1"/>
  <c r="U86" i="21"/>
  <c r="F737" i="1" s="1"/>
  <c r="U92" i="21"/>
  <c r="F701" i="1" s="1"/>
  <c r="B113" i="21"/>
  <c r="U100" i="21" s="1"/>
  <c r="B114" i="21"/>
  <c r="U101" i="21" s="1"/>
  <c r="B111" i="21"/>
  <c r="B112" i="21"/>
  <c r="U99" i="21" s="1"/>
  <c r="B104" i="21"/>
  <c r="U91" i="21" s="1"/>
  <c r="B105" i="21"/>
  <c r="B106" i="21"/>
  <c r="U93" i="21" s="1"/>
  <c r="B107" i="21"/>
  <c r="U94" i="21" s="1"/>
  <c r="B108" i="21"/>
  <c r="U95" i="21" s="1"/>
  <c r="B109" i="21"/>
  <c r="U96" i="21" s="1"/>
  <c r="B110" i="21"/>
  <c r="U97" i="21" s="1"/>
  <c r="B84" i="21"/>
  <c r="U71" i="21" s="1"/>
  <c r="B85" i="21"/>
  <c r="U72" i="21" s="1"/>
  <c r="B86" i="21"/>
  <c r="U73" i="21" s="1"/>
  <c r="B87" i="21"/>
  <c r="U74" i="21" s="1"/>
  <c r="B88" i="21"/>
  <c r="U75" i="21" s="1"/>
  <c r="B89" i="21"/>
  <c r="U76" i="21" s="1"/>
  <c r="B90" i="21"/>
  <c r="U77" i="21" s="1"/>
  <c r="B91" i="21"/>
  <c r="U78" i="21" s="1"/>
  <c r="B92" i="21"/>
  <c r="U79" i="21" s="1"/>
  <c r="B93" i="21"/>
  <c r="U80" i="21" s="1"/>
  <c r="B94" i="21"/>
  <c r="U81" i="21" s="1"/>
  <c r="B95" i="21"/>
  <c r="U82" i="21" s="1"/>
  <c r="B96" i="21"/>
  <c r="B97" i="21"/>
  <c r="B98" i="21"/>
  <c r="U85" i="21" s="1"/>
  <c r="B99" i="21"/>
  <c r="B100" i="21"/>
  <c r="U87" i="21" s="1"/>
  <c r="B101" i="21"/>
  <c r="U88" i="21" s="1"/>
  <c r="B102" i="21"/>
  <c r="U89" i="21" s="1"/>
  <c r="B103" i="21"/>
  <c r="U90" i="21" s="1"/>
  <c r="B83" i="21"/>
  <c r="U70" i="21" s="1"/>
  <c r="U65" i="21"/>
  <c r="F799" i="1" s="1"/>
  <c r="U66" i="21"/>
  <c r="F590" i="1" s="1"/>
  <c r="U67" i="21"/>
  <c r="F591" i="1" s="1"/>
  <c r="U68" i="21"/>
  <c r="F509" i="1" s="1"/>
  <c r="U69" i="21"/>
  <c r="F510" i="1" s="1"/>
  <c r="U64" i="21"/>
  <c r="F798" i="1" s="1"/>
  <c r="X32" i="21"/>
  <c r="X33" i="21"/>
  <c r="X34" i="21"/>
  <c r="X35" i="21"/>
  <c r="X36" i="21"/>
  <c r="X37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31" i="21"/>
  <c r="X27" i="21"/>
  <c r="X28" i="21"/>
  <c r="X29" i="21"/>
  <c r="X30" i="21"/>
  <c r="X26" i="21"/>
  <c r="F684" i="1" l="1"/>
  <c r="F268" i="1"/>
  <c r="F810" i="1"/>
  <c r="F433" i="1"/>
  <c r="F391" i="1"/>
  <c r="F600" i="1"/>
  <c r="F517" i="1"/>
  <c r="F309" i="1"/>
  <c r="F851" i="1"/>
  <c r="F726" i="1"/>
  <c r="F558" i="1"/>
  <c r="F720" i="1"/>
  <c r="F552" i="1"/>
  <c r="F845" i="1"/>
  <c r="F385" i="1"/>
  <c r="F678" i="1"/>
  <c r="F262" i="1"/>
  <c r="F804" i="1"/>
  <c r="F427" i="1"/>
  <c r="F511" i="1"/>
  <c r="F303" i="1"/>
  <c r="F594" i="1"/>
  <c r="F555" i="1"/>
  <c r="F848" i="1"/>
  <c r="F388" i="1"/>
  <c r="F681" i="1"/>
  <c r="F265" i="1"/>
  <c r="F807" i="1"/>
  <c r="F430" i="1"/>
  <c r="F597" i="1"/>
  <c r="F514" i="1"/>
  <c r="F306" i="1"/>
  <c r="F723" i="1"/>
  <c r="F289" i="1"/>
  <c r="F831" i="1"/>
  <c r="F454" i="1"/>
  <c r="F621" i="1"/>
  <c r="F538" i="1"/>
  <c r="F329" i="1"/>
  <c r="F747" i="1"/>
  <c r="F578" i="1"/>
  <c r="F871" i="1"/>
  <c r="F412" i="1"/>
  <c r="F705" i="1"/>
  <c r="F606" i="1"/>
  <c r="F523" i="1"/>
  <c r="F315" i="1"/>
  <c r="F732" i="1"/>
  <c r="F816" i="1"/>
  <c r="F439" i="1"/>
  <c r="F564" i="1"/>
  <c r="F857" i="1"/>
  <c r="F397" i="1"/>
  <c r="F690" i="1"/>
  <c r="F274" i="1"/>
  <c r="F850" i="1"/>
  <c r="F390" i="1"/>
  <c r="F683" i="1"/>
  <c r="F267" i="1"/>
  <c r="F809" i="1"/>
  <c r="F432" i="1"/>
  <c r="F599" i="1"/>
  <c r="F516" i="1"/>
  <c r="F308" i="1"/>
  <c r="F725" i="1"/>
  <c r="F557" i="1"/>
  <c r="F288" i="1"/>
  <c r="F830" i="1"/>
  <c r="F453" i="1"/>
  <c r="F620" i="1"/>
  <c r="F537" i="1"/>
  <c r="F328" i="1"/>
  <c r="F746" i="1"/>
  <c r="F577" i="1"/>
  <c r="F870" i="1"/>
  <c r="F411" i="1"/>
  <c r="F704" i="1"/>
  <c r="F814" i="1"/>
  <c r="F437" i="1"/>
  <c r="F604" i="1"/>
  <c r="F521" i="1"/>
  <c r="F313" i="1"/>
  <c r="F272" i="1"/>
  <c r="F730" i="1"/>
  <c r="F562" i="1"/>
  <c r="F855" i="1"/>
  <c r="F395" i="1"/>
  <c r="F688" i="1"/>
  <c r="F542" i="1"/>
  <c r="F333" i="1"/>
  <c r="F751" i="1"/>
  <c r="F625" i="1"/>
  <c r="F582" i="1"/>
  <c r="F875" i="1"/>
  <c r="F416" i="1"/>
  <c r="F709" i="1"/>
  <c r="F293" i="1"/>
  <c r="F835" i="1"/>
  <c r="F458" i="1"/>
  <c r="F738" i="1"/>
  <c r="F569" i="1"/>
  <c r="F862" i="1"/>
  <c r="F403" i="1"/>
  <c r="F696" i="1"/>
  <c r="F280" i="1"/>
  <c r="F822" i="1"/>
  <c r="F445" i="1"/>
  <c r="F612" i="1"/>
  <c r="F529" i="1"/>
  <c r="F320" i="1"/>
  <c r="F527" i="1"/>
  <c r="F318" i="1"/>
  <c r="F736" i="1"/>
  <c r="F567" i="1"/>
  <c r="F860" i="1"/>
  <c r="F401" i="1"/>
  <c r="F694" i="1"/>
  <c r="F278" i="1"/>
  <c r="F820" i="1"/>
  <c r="F443" i="1"/>
  <c r="F610" i="1"/>
  <c r="F271" i="1"/>
  <c r="F813" i="1"/>
  <c r="F436" i="1"/>
  <c r="F603" i="1"/>
  <c r="F520" i="1"/>
  <c r="F312" i="1"/>
  <c r="F729" i="1"/>
  <c r="F561" i="1"/>
  <c r="F854" i="1"/>
  <c r="F394" i="1"/>
  <c r="F687" i="1"/>
  <c r="F849" i="1"/>
  <c r="F389" i="1"/>
  <c r="F682" i="1"/>
  <c r="F266" i="1"/>
  <c r="F808" i="1"/>
  <c r="F431" i="1"/>
  <c r="F598" i="1"/>
  <c r="F515" i="1"/>
  <c r="F307" i="1"/>
  <c r="F556" i="1"/>
  <c r="F724" i="1"/>
  <c r="F721" i="1"/>
  <c r="F553" i="1"/>
  <c r="F846" i="1"/>
  <c r="F386" i="1"/>
  <c r="F679" i="1"/>
  <c r="F263" i="1"/>
  <c r="F805" i="1"/>
  <c r="F428" i="1"/>
  <c r="F595" i="1"/>
  <c r="F512" i="1"/>
  <c r="F304" i="1"/>
  <c r="F702" i="1"/>
  <c r="F286" i="1"/>
  <c r="F828" i="1"/>
  <c r="F451" i="1"/>
  <c r="F618" i="1"/>
  <c r="F535" i="1"/>
  <c r="F326" i="1"/>
  <c r="F744" i="1"/>
  <c r="F575" i="1"/>
  <c r="F868" i="1"/>
  <c r="F409" i="1"/>
  <c r="F866" i="1"/>
  <c r="F407" i="1"/>
  <c r="F700" i="1"/>
  <c r="F284" i="1"/>
  <c r="F826" i="1"/>
  <c r="F449" i="1"/>
  <c r="F616" i="1"/>
  <c r="F533" i="1"/>
  <c r="F324" i="1"/>
  <c r="F742" i="1"/>
  <c r="F573" i="1"/>
  <c r="F270" i="1"/>
  <c r="F686" i="1"/>
  <c r="F812" i="1"/>
  <c r="F435" i="1"/>
  <c r="F602" i="1"/>
  <c r="F519" i="1"/>
  <c r="F311" i="1"/>
  <c r="F728" i="1"/>
  <c r="F560" i="1"/>
  <c r="F853" i="1"/>
  <c r="F393" i="1"/>
  <c r="F865" i="1"/>
  <c r="F406" i="1"/>
  <c r="F699" i="1"/>
  <c r="F283" i="1"/>
  <c r="F825" i="1"/>
  <c r="F448" i="1"/>
  <c r="F615" i="1"/>
  <c r="F532" i="1"/>
  <c r="F323" i="1"/>
  <c r="F741" i="1"/>
  <c r="F572" i="1"/>
  <c r="F571" i="1"/>
  <c r="F864" i="1"/>
  <c r="F405" i="1"/>
  <c r="F698" i="1"/>
  <c r="F282" i="1"/>
  <c r="F824" i="1"/>
  <c r="F447" i="1"/>
  <c r="F614" i="1"/>
  <c r="F531" i="1"/>
  <c r="F322" i="1"/>
  <c r="F740" i="1"/>
  <c r="F570" i="1"/>
  <c r="F739" i="1"/>
  <c r="F863" i="1"/>
  <c r="F404" i="1"/>
  <c r="F697" i="1"/>
  <c r="F281" i="1"/>
  <c r="F823" i="1"/>
  <c r="F446" i="1"/>
  <c r="F613" i="1"/>
  <c r="F530" i="1"/>
  <c r="F321" i="1"/>
  <c r="F554" i="1"/>
  <c r="F847" i="1"/>
  <c r="F387" i="1"/>
  <c r="F680" i="1"/>
  <c r="F722" i="1"/>
  <c r="F264" i="1"/>
  <c r="F806" i="1"/>
  <c r="F429" i="1"/>
  <c r="F596" i="1"/>
  <c r="F513" i="1"/>
  <c r="F305" i="1"/>
  <c r="F832" i="1"/>
  <c r="F455" i="1"/>
  <c r="F622" i="1"/>
  <c r="F539" i="1"/>
  <c r="F330" i="1"/>
  <c r="F748" i="1"/>
  <c r="F579" i="1"/>
  <c r="F872" i="1"/>
  <c r="F413" i="1"/>
  <c r="F706" i="1"/>
  <c r="F290" i="1"/>
  <c r="F287" i="1"/>
  <c r="F829" i="1"/>
  <c r="F452" i="1"/>
  <c r="F619" i="1"/>
  <c r="F536" i="1"/>
  <c r="F327" i="1"/>
  <c r="F703" i="1"/>
  <c r="F745" i="1"/>
  <c r="F576" i="1"/>
  <c r="F869" i="1"/>
  <c r="F410" i="1"/>
  <c r="F815" i="1"/>
  <c r="F438" i="1"/>
  <c r="F605" i="1"/>
  <c r="F522" i="1"/>
  <c r="F314" i="1"/>
  <c r="F731" i="1"/>
  <c r="F563" i="1"/>
  <c r="F856" i="1"/>
  <c r="F396" i="1"/>
  <c r="F689" i="1"/>
  <c r="F273" i="1"/>
  <c r="F624" i="1"/>
  <c r="F541" i="1"/>
  <c r="F332" i="1"/>
  <c r="F750" i="1"/>
  <c r="F581" i="1"/>
  <c r="F874" i="1"/>
  <c r="F415" i="1"/>
  <c r="F708" i="1"/>
  <c r="F292" i="1"/>
  <c r="F834" i="1"/>
  <c r="F457" i="1"/>
  <c r="F685" i="1"/>
  <c r="F269" i="1"/>
  <c r="F811" i="1"/>
  <c r="F434" i="1"/>
  <c r="F601" i="1"/>
  <c r="F518" i="1"/>
  <c r="F310" i="1"/>
  <c r="F727" i="1"/>
  <c r="F559" i="1"/>
  <c r="F852" i="1"/>
  <c r="F392" i="1"/>
  <c r="F543" i="1"/>
  <c r="F334" i="1"/>
  <c r="F752" i="1"/>
  <c r="F583" i="1"/>
  <c r="F876" i="1"/>
  <c r="F417" i="1"/>
  <c r="F710" i="1"/>
  <c r="F294" i="1"/>
  <c r="F836" i="1"/>
  <c r="F459" i="1"/>
  <c r="F626" i="1"/>
  <c r="F528" i="1"/>
  <c r="F424" i="1"/>
  <c r="F440" i="1"/>
  <c r="F257" i="1"/>
  <c r="F593" i="1"/>
  <c r="F801" i="1"/>
  <c r="F817" i="1"/>
  <c r="F425" i="1"/>
  <c r="F441" i="1"/>
  <c r="F258" i="1"/>
  <c r="F291" i="1"/>
  <c r="F574" i="1"/>
  <c r="F611" i="1"/>
  <c r="F672" i="1"/>
  <c r="F802" i="1"/>
  <c r="F818" i="1"/>
  <c r="F426" i="1"/>
  <c r="F259" i="1"/>
  <c r="F275" i="1"/>
  <c r="F673" i="1"/>
  <c r="F803" i="1"/>
  <c r="F444" i="1"/>
  <c r="F379" i="1"/>
  <c r="F260" i="1"/>
  <c r="F276" i="1"/>
  <c r="F674" i="1"/>
  <c r="F707" i="1"/>
  <c r="F743" i="1"/>
  <c r="F821" i="1"/>
  <c r="F839" i="1"/>
  <c r="F380" i="1"/>
  <c r="F261" i="1"/>
  <c r="F675" i="1"/>
  <c r="F691" i="1"/>
  <c r="F840" i="1"/>
  <c r="F381" i="1"/>
  <c r="F414" i="1"/>
  <c r="F325" i="1"/>
  <c r="F279" i="1"/>
  <c r="F546" i="1"/>
  <c r="F676" i="1"/>
  <c r="F692" i="1"/>
  <c r="F841" i="1"/>
  <c r="F873" i="1"/>
  <c r="F534" i="1"/>
  <c r="F382" i="1"/>
  <c r="F398" i="1"/>
  <c r="F547" i="1"/>
  <c r="F677" i="1"/>
  <c r="F842" i="1"/>
  <c r="F858" i="1"/>
  <c r="F383" i="1"/>
  <c r="F399" i="1"/>
  <c r="F548" i="1"/>
  <c r="F580" i="1"/>
  <c r="F617" i="1"/>
  <c r="F695" i="1"/>
  <c r="F714" i="1"/>
  <c r="F843" i="1"/>
  <c r="F859" i="1"/>
  <c r="F319" i="1"/>
  <c r="F384" i="1"/>
  <c r="F549" i="1"/>
  <c r="F565" i="1"/>
  <c r="F715" i="1"/>
  <c r="F844" i="1"/>
  <c r="F456" i="1"/>
  <c r="F450" i="1"/>
  <c r="F402" i="1"/>
  <c r="F297" i="1"/>
  <c r="F550" i="1"/>
  <c r="F566" i="1"/>
  <c r="F716" i="1"/>
  <c r="F749" i="1"/>
  <c r="F827" i="1"/>
  <c r="F861" i="1"/>
  <c r="F505" i="1"/>
  <c r="F298" i="1"/>
  <c r="F551" i="1"/>
  <c r="F717" i="1"/>
  <c r="F733" i="1"/>
  <c r="F506" i="1"/>
  <c r="F299" i="1"/>
  <c r="F331" i="1"/>
  <c r="F285" i="1"/>
  <c r="F568" i="1"/>
  <c r="F588" i="1"/>
  <c r="F718" i="1"/>
  <c r="F734" i="1"/>
  <c r="F507" i="1"/>
  <c r="F540" i="1"/>
  <c r="F300" i="1"/>
  <c r="F316" i="1"/>
  <c r="F589" i="1"/>
  <c r="F719" i="1"/>
  <c r="F508" i="1"/>
  <c r="F524" i="1"/>
  <c r="F421" i="1"/>
  <c r="F301" i="1"/>
  <c r="F317" i="1"/>
  <c r="F623" i="1"/>
  <c r="F422" i="1"/>
  <c r="F302" i="1"/>
  <c r="S27" i="21" l="1"/>
  <c r="S28" i="21"/>
  <c r="S29" i="21"/>
  <c r="S30" i="21"/>
  <c r="S31" i="21"/>
  <c r="S32" i="21"/>
  <c r="S33" i="21"/>
  <c r="S34" i="21"/>
  <c r="S35" i="21"/>
  <c r="S36" i="21"/>
  <c r="S37" i="21"/>
  <c r="S38" i="21"/>
  <c r="S39" i="21"/>
  <c r="S40" i="21"/>
  <c r="S41" i="21"/>
  <c r="S42" i="21"/>
  <c r="S43" i="21"/>
  <c r="S44" i="21"/>
  <c r="S45" i="21"/>
  <c r="S46" i="21"/>
  <c r="S47" i="21"/>
  <c r="S48" i="21"/>
  <c r="T48" i="21" s="1"/>
  <c r="S49" i="21"/>
  <c r="S50" i="21"/>
  <c r="S51" i="21"/>
  <c r="S52" i="21"/>
  <c r="S53" i="21"/>
  <c r="S54" i="21"/>
  <c r="S55" i="21"/>
  <c r="S56" i="21"/>
  <c r="S57" i="21"/>
  <c r="S26" i="21"/>
  <c r="AG26" i="21"/>
  <c r="AG32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4" i="21"/>
  <c r="U54" i="21" s="1"/>
  <c r="V54" i="21"/>
  <c r="V46" i="21"/>
  <c r="T46" i="21"/>
  <c r="T30" i="21"/>
  <c r="V30" i="21"/>
  <c r="V57" i="21"/>
  <c r="T57" i="21"/>
  <c r="V53" i="21"/>
  <c r="T53" i="21"/>
  <c r="V49" i="21"/>
  <c r="T49" i="21"/>
  <c r="T45" i="21"/>
  <c r="V45" i="21"/>
  <c r="T41" i="21"/>
  <c r="V41" i="21"/>
  <c r="T37" i="21"/>
  <c r="V37" i="21"/>
  <c r="T33" i="21"/>
  <c r="U33" i="21" s="1"/>
  <c r="V33" i="21"/>
  <c r="T29" i="21"/>
  <c r="V29" i="21"/>
  <c r="V26" i="21"/>
  <c r="T26" i="21"/>
  <c r="T50" i="21"/>
  <c r="V50" i="21"/>
  <c r="T42" i="21"/>
  <c r="V42" i="21"/>
  <c r="V34" i="21"/>
  <c r="T34" i="21"/>
  <c r="V56" i="21"/>
  <c r="T56" i="21"/>
  <c r="V52" i="21"/>
  <c r="T52" i="21"/>
  <c r="U52" i="21" s="1"/>
  <c r="V48" i="21"/>
  <c r="V44" i="21"/>
  <c r="T44" i="21"/>
  <c r="V40" i="21"/>
  <c r="T40" i="21"/>
  <c r="V36" i="21"/>
  <c r="T36" i="21"/>
  <c r="V32" i="21"/>
  <c r="T32" i="21"/>
  <c r="V28" i="21"/>
  <c r="T28" i="21"/>
  <c r="T38" i="21"/>
  <c r="V38" i="21"/>
  <c r="T55" i="21"/>
  <c r="V55" i="21"/>
  <c r="T51" i="21"/>
  <c r="U51" i="21" s="1"/>
  <c r="V51" i="21"/>
  <c r="T47" i="21"/>
  <c r="V47" i="21"/>
  <c r="T43" i="21"/>
  <c r="V43" i="21"/>
  <c r="T39" i="21"/>
  <c r="V39" i="21"/>
  <c r="T35" i="21"/>
  <c r="V35" i="21"/>
  <c r="T31" i="21"/>
  <c r="V31" i="21"/>
  <c r="T27" i="21"/>
  <c r="V27" i="21"/>
  <c r="BG22" i="21"/>
  <c r="K39" i="1"/>
  <c r="AM6" i="8"/>
  <c r="D5" i="8"/>
  <c r="U38" i="21" l="1"/>
  <c r="U56" i="21"/>
  <c r="U34" i="21"/>
  <c r="U53" i="21"/>
  <c r="U41" i="21"/>
  <c r="U42" i="21"/>
  <c r="U35" i="21"/>
  <c r="U36" i="21"/>
  <c r="T59" i="21"/>
  <c r="U26" i="21"/>
  <c r="U37" i="21"/>
  <c r="U27" i="21"/>
  <c r="U31" i="21"/>
  <c r="U40" i="21"/>
  <c r="U55" i="21"/>
  <c r="U28" i="21"/>
  <c r="U45" i="21"/>
  <c r="U49" i="21"/>
  <c r="U32" i="21"/>
  <c r="T60" i="21"/>
  <c r="U50" i="21"/>
  <c r="U48" i="21"/>
  <c r="U39" i="21"/>
  <c r="V59" i="21"/>
  <c r="U43" i="21"/>
  <c r="U44" i="21"/>
  <c r="U29" i="21"/>
  <c r="U30" i="21"/>
  <c r="U47" i="21"/>
  <c r="U46" i="21"/>
  <c r="W27" i="21"/>
  <c r="W31" i="21"/>
  <c r="W35" i="21"/>
  <c r="W39" i="21"/>
  <c r="W43" i="21"/>
  <c r="W47" i="21"/>
  <c r="W51" i="21"/>
  <c r="W55" i="21"/>
  <c r="W26" i="21"/>
  <c r="W36" i="21"/>
  <c r="W48" i="21"/>
  <c r="W56" i="21"/>
  <c r="W28" i="21"/>
  <c r="W44" i="21"/>
  <c r="W29" i="21"/>
  <c r="W33" i="21"/>
  <c r="W37" i="21"/>
  <c r="W41" i="21"/>
  <c r="W45" i="21"/>
  <c r="W49" i="21"/>
  <c r="W53" i="21"/>
  <c r="W30" i="21"/>
  <c r="W34" i="21"/>
  <c r="W38" i="21"/>
  <c r="W42" i="21"/>
  <c r="W46" i="21"/>
  <c r="W50" i="21"/>
  <c r="W54" i="21"/>
  <c r="V60" i="21"/>
  <c r="W32" i="21"/>
  <c r="W40" i="21"/>
  <c r="W52" i="21"/>
  <c r="U59" i="21" l="1"/>
  <c r="U60" i="21"/>
  <c r="W60" i="21"/>
  <c r="W59" i="21"/>
  <c r="O88" i="21"/>
  <c r="M88" i="21"/>
  <c r="M109" i="21"/>
  <c r="O109" i="21"/>
  <c r="M96" i="21"/>
  <c r="O96" i="21"/>
  <c r="M98" i="21"/>
  <c r="O98" i="21"/>
  <c r="M92" i="21"/>
  <c r="O92" i="21"/>
  <c r="M105" i="21"/>
  <c r="O105" i="21"/>
  <c r="M86" i="21"/>
  <c r="O86" i="21"/>
  <c r="M101" i="21"/>
  <c r="O101" i="21"/>
  <c r="O99" i="21"/>
  <c r="M99" i="21"/>
  <c r="O91" i="21"/>
  <c r="M91" i="21"/>
  <c r="O111" i="21"/>
  <c r="M111" i="21"/>
  <c r="M90" i="21"/>
  <c r="O90" i="21"/>
  <c r="M112" i="21"/>
  <c r="O112" i="21"/>
  <c r="O84" i="21"/>
  <c r="M84" i="21"/>
  <c r="M85" i="21"/>
  <c r="O85" i="21"/>
  <c r="M106" i="21"/>
  <c r="O106" i="21"/>
  <c r="M93" i="21"/>
  <c r="O93" i="21"/>
  <c r="O95" i="21"/>
  <c r="M95" i="21"/>
  <c r="M83" i="21"/>
  <c r="O83" i="21"/>
  <c r="O103" i="21"/>
  <c r="M103" i="21"/>
  <c r="M110" i="21"/>
  <c r="O110" i="21"/>
  <c r="M97" i="21"/>
  <c r="O97" i="21"/>
  <c r="M102" i="21"/>
  <c r="O102" i="21"/>
  <c r="O89" i="21"/>
  <c r="M89" i="21"/>
  <c r="M94" i="21"/>
  <c r="O94" i="21"/>
  <c r="M108" i="21"/>
  <c r="O108" i="21"/>
  <c r="M87" i="21"/>
  <c r="O87" i="21"/>
  <c r="O107" i="21"/>
  <c r="M107" i="21"/>
  <c r="M104" i="21"/>
  <c r="O104" i="21"/>
  <c r="M100" i="21"/>
  <c r="O100" i="21"/>
  <c r="M113" i="21"/>
  <c r="O113" i="21"/>
  <c r="Y18" i="21" l="1"/>
  <c r="Z18" i="21"/>
  <c r="Q82" i="21" s="1"/>
  <c r="Q89" i="21" l="1"/>
  <c r="Q97" i="21"/>
  <c r="Q105" i="21"/>
  <c r="Q94" i="21"/>
  <c r="Q87" i="21"/>
  <c r="Q110" i="21"/>
  <c r="Q104" i="21"/>
  <c r="Q103" i="21"/>
  <c r="Q108" i="21"/>
  <c r="Q111" i="21"/>
  <c r="Q84" i="21"/>
  <c r="Q85" i="21"/>
  <c r="Q96" i="21"/>
  <c r="Q109" i="21"/>
  <c r="Q100" i="21"/>
  <c r="Q88" i="21"/>
  <c r="Q102" i="21"/>
  <c r="Q92" i="21"/>
  <c r="Q91" i="21"/>
  <c r="Q112" i="21"/>
  <c r="Q83" i="21"/>
  <c r="Q98" i="21"/>
  <c r="Q107" i="21"/>
  <c r="Q106" i="21"/>
  <c r="Q113" i="21"/>
  <c r="Q99" i="21"/>
  <c r="Q93" i="21"/>
  <c r="Q86" i="21"/>
  <c r="Q101" i="21"/>
  <c r="Q95" i="21"/>
  <c r="Q90" i="21"/>
  <c r="K82" i="21"/>
  <c r="Y16" i="21"/>
  <c r="Z16" i="21"/>
  <c r="K72" i="21"/>
  <c r="Q72" i="21"/>
  <c r="Q70" i="21"/>
  <c r="Q71" i="21"/>
  <c r="Q68" i="21"/>
  <c r="K71" i="21"/>
  <c r="K68" i="21"/>
  <c r="K67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E21" i="21"/>
  <c r="X21" i="21"/>
  <c r="K83" i="21" l="1"/>
  <c r="K97" i="21"/>
  <c r="K89" i="21"/>
  <c r="K103" i="21"/>
  <c r="K112" i="21"/>
  <c r="K94" i="21"/>
  <c r="K99" i="21"/>
  <c r="K101" i="21"/>
  <c r="K111" i="21"/>
  <c r="K84" i="21"/>
  <c r="K87" i="21"/>
  <c r="K107" i="21"/>
  <c r="K104" i="21"/>
  <c r="K109" i="21"/>
  <c r="K100" i="21"/>
  <c r="K86" i="21"/>
  <c r="K88" i="21"/>
  <c r="K108" i="21"/>
  <c r="K102" i="21"/>
  <c r="K92" i="21"/>
  <c r="K91" i="21"/>
  <c r="K106" i="21"/>
  <c r="K113" i="21"/>
  <c r="K110" i="21"/>
  <c r="K93" i="21"/>
  <c r="K105" i="21"/>
  <c r="K85" i="21"/>
  <c r="K96" i="21"/>
  <c r="K95" i="21"/>
  <c r="K98" i="21"/>
  <c r="K90" i="21"/>
  <c r="AK62" i="21"/>
  <c r="AE62" i="21"/>
  <c r="Q73" i="21"/>
  <c r="Z19" i="21"/>
  <c r="Q114" i="21" s="1"/>
  <c r="Z21" i="21"/>
  <c r="K73" i="21"/>
  <c r="Y19" i="21"/>
  <c r="AC34" i="21"/>
  <c r="AE34" i="21" s="1"/>
  <c r="AC33" i="21"/>
  <c r="AC28" i="21"/>
  <c r="AE28" i="21" s="1"/>
  <c r="AC29" i="21"/>
  <c r="AE29" i="21" s="1"/>
  <c r="AC30" i="21"/>
  <c r="AE30" i="21" s="1"/>
  <c r="AC27" i="21"/>
  <c r="D35" i="21"/>
  <c r="F35" i="21" s="1"/>
  <c r="D34" i="21"/>
  <c r="F34" i="21" s="1"/>
  <c r="D33" i="21"/>
  <c r="F33" i="21" s="1"/>
  <c r="D32" i="21"/>
  <c r="F32" i="21" s="1"/>
  <c r="D31" i="21"/>
  <c r="F31" i="21" s="1"/>
  <c r="D30" i="21"/>
  <c r="D47" i="21"/>
  <c r="F47" i="21" s="1"/>
  <c r="D46" i="21"/>
  <c r="F46" i="21" s="1"/>
  <c r="D43" i="21"/>
  <c r="F43" i="21" s="1"/>
  <c r="D42" i="21"/>
  <c r="F42" i="21" s="1"/>
  <c r="D41" i="21"/>
  <c r="F41" i="21" s="1"/>
  <c r="D40" i="21"/>
  <c r="F40" i="21" s="1"/>
  <c r="D39" i="21"/>
  <c r="F39" i="21" s="1"/>
  <c r="D38" i="21"/>
  <c r="F38" i="21" s="1"/>
  <c r="D37" i="21"/>
  <c r="F37" i="21" s="1"/>
  <c r="D36" i="21"/>
  <c r="F36" i="21" s="1"/>
  <c r="H49" i="21"/>
  <c r="H48" i="21"/>
  <c r="H45" i="21"/>
  <c r="H44" i="21"/>
  <c r="F29" i="21"/>
  <c r="K114" i="21" l="1"/>
  <c r="Y21" i="21"/>
  <c r="AC26" i="21"/>
  <c r="AE33" i="21"/>
  <c r="AE32" i="21" s="1"/>
  <c r="AC32" i="21"/>
  <c r="AE27" i="21"/>
  <c r="AD27" i="21"/>
  <c r="AD28" i="21"/>
  <c r="AF33" i="21"/>
  <c r="D48" i="21"/>
  <c r="F48" i="21" s="1"/>
  <c r="D44" i="21"/>
  <c r="F44" i="21" s="1"/>
  <c r="AD33" i="21"/>
  <c r="D45" i="21"/>
  <c r="F45" i="21" s="1"/>
  <c r="D49" i="21"/>
  <c r="F49" i="21" s="1"/>
  <c r="AD34" i="21"/>
  <c r="F30" i="21"/>
  <c r="AD29" i="21"/>
  <c r="AD30" i="21"/>
  <c r="AF34" i="21" l="1"/>
  <c r="AF27" i="21"/>
  <c r="AE26" i="21"/>
  <c r="AF26" i="21" s="1"/>
  <c r="AF28" i="21"/>
  <c r="AF29" i="21"/>
  <c r="AD26" i="21"/>
  <c r="AD32" i="21"/>
  <c r="AF32" i="21"/>
  <c r="AF30" i="21"/>
  <c r="Q76" i="21"/>
  <c r="K76" i="21"/>
  <c r="Q74" i="21"/>
  <c r="K74" i="21"/>
  <c r="Q77" i="21"/>
  <c r="K77" i="21"/>
  <c r="K75" i="21"/>
  <c r="Q75" i="21"/>
  <c r="E35" i="21"/>
  <c r="E31" i="21"/>
  <c r="E30" i="21"/>
  <c r="E34" i="21"/>
  <c r="E32" i="21"/>
  <c r="E33" i="21"/>
  <c r="G35" i="21"/>
  <c r="G31" i="21"/>
  <c r="G32" i="21"/>
  <c r="G34" i="21"/>
  <c r="G30" i="21"/>
  <c r="G33" i="21"/>
  <c r="Q117" i="21" l="1"/>
  <c r="AK71" i="21"/>
  <c r="K117" i="21"/>
  <c r="AK97" i="21"/>
  <c r="AK96" i="21"/>
  <c r="AK80" i="21"/>
  <c r="AK94" i="21"/>
  <c r="AK81" i="21"/>
  <c r="AK90" i="21"/>
  <c r="AK82" i="21"/>
  <c r="AK95" i="21"/>
  <c r="AK92" i="21"/>
  <c r="AK88" i="21"/>
  <c r="AK87" i="21"/>
  <c r="AK83" i="21"/>
  <c r="AK78" i="21"/>
  <c r="AK79" i="21"/>
  <c r="AK89" i="21"/>
  <c r="AK85" i="21"/>
  <c r="AK100" i="21"/>
  <c r="AK101" i="21"/>
  <c r="AK93" i="21"/>
  <c r="AK86" i="21"/>
  <c r="AK91" i="21"/>
  <c r="AK98" i="21"/>
  <c r="AK99" i="21"/>
  <c r="AK75" i="21"/>
  <c r="R82" i="21"/>
  <c r="P82" i="21"/>
  <c r="I82" i="21"/>
  <c r="R79" i="21"/>
  <c r="P79" i="21"/>
  <c r="J79" i="21"/>
  <c r="J80" i="21" s="1"/>
  <c r="I79" i="21"/>
  <c r="P73" i="21"/>
  <c r="J73" i="21"/>
  <c r="I73" i="21"/>
  <c r="R73" i="21"/>
  <c r="R70" i="21"/>
  <c r="J70" i="21"/>
  <c r="AI62" i="21"/>
  <c r="H68" i="21"/>
  <c r="G68" i="21"/>
  <c r="F117" i="21" l="1"/>
  <c r="Z71" i="21" s="1"/>
  <c r="K679" i="1" s="1"/>
  <c r="G117" i="21"/>
  <c r="AA62" i="21"/>
  <c r="I101" i="21"/>
  <c r="I89" i="21"/>
  <c r="I87" i="21"/>
  <c r="I104" i="21"/>
  <c r="I97" i="21"/>
  <c r="I94" i="21"/>
  <c r="I90" i="21"/>
  <c r="I109" i="21"/>
  <c r="I83" i="21"/>
  <c r="I93" i="21"/>
  <c r="I103" i="21"/>
  <c r="I98" i="21"/>
  <c r="I88" i="21"/>
  <c r="I85" i="21"/>
  <c r="I102" i="21"/>
  <c r="I107" i="21"/>
  <c r="I92" i="21"/>
  <c r="I105" i="21"/>
  <c r="I99" i="21"/>
  <c r="I106" i="21"/>
  <c r="I112" i="21"/>
  <c r="I86" i="21"/>
  <c r="I108" i="21"/>
  <c r="I95" i="21"/>
  <c r="I111" i="21"/>
  <c r="I84" i="21"/>
  <c r="I91" i="21"/>
  <c r="I100" i="21"/>
  <c r="I113" i="21"/>
  <c r="I96" i="21"/>
  <c r="I110" i="21"/>
  <c r="P93" i="21"/>
  <c r="P83" i="21"/>
  <c r="P113" i="21"/>
  <c r="P87" i="21"/>
  <c r="P102" i="21"/>
  <c r="P112" i="21"/>
  <c r="P110" i="21"/>
  <c r="P101" i="21"/>
  <c r="P89" i="21"/>
  <c r="P104" i="21"/>
  <c r="P107" i="21"/>
  <c r="P95" i="21"/>
  <c r="P86" i="21"/>
  <c r="P88" i="21"/>
  <c r="P85" i="21"/>
  <c r="P91" i="21"/>
  <c r="P94" i="21"/>
  <c r="P84" i="21"/>
  <c r="P105" i="21"/>
  <c r="P92" i="21"/>
  <c r="P109" i="21"/>
  <c r="P99" i="21"/>
  <c r="P106" i="21"/>
  <c r="P97" i="21"/>
  <c r="P103" i="21"/>
  <c r="P111" i="21"/>
  <c r="P100" i="21"/>
  <c r="P96" i="21"/>
  <c r="P98" i="21"/>
  <c r="P90" i="21"/>
  <c r="P108" i="21"/>
  <c r="R89" i="21"/>
  <c r="R97" i="21"/>
  <c r="R104" i="21"/>
  <c r="R90" i="21"/>
  <c r="R100" i="21"/>
  <c r="R94" i="21"/>
  <c r="R110" i="21"/>
  <c r="R101" i="21"/>
  <c r="R93" i="21"/>
  <c r="R112" i="21"/>
  <c r="R106" i="21"/>
  <c r="R95" i="21"/>
  <c r="R107" i="21"/>
  <c r="R103" i="21"/>
  <c r="R108" i="21"/>
  <c r="R99" i="21"/>
  <c r="R92" i="21"/>
  <c r="R91" i="21"/>
  <c r="R111" i="21"/>
  <c r="R84" i="21"/>
  <c r="R98" i="21"/>
  <c r="R86" i="21"/>
  <c r="R109" i="21"/>
  <c r="R87" i="21"/>
  <c r="R88" i="21"/>
  <c r="R83" i="21"/>
  <c r="R113" i="21"/>
  <c r="R105" i="21"/>
  <c r="R102" i="21"/>
  <c r="R85" i="21"/>
  <c r="R96" i="21"/>
  <c r="H117" i="21"/>
  <c r="AB62" i="21"/>
  <c r="J81" i="21"/>
  <c r="M117" i="21"/>
  <c r="AG71" i="21" s="1"/>
  <c r="K386" i="1" s="1"/>
  <c r="AE69" i="21"/>
  <c r="K261" i="1" s="1"/>
  <c r="AE65" i="21"/>
  <c r="AE64" i="21"/>
  <c r="AG77" i="21"/>
  <c r="K392" i="1" s="1"/>
  <c r="AK69" i="21"/>
  <c r="AK65" i="21"/>
  <c r="AK64" i="21"/>
  <c r="D117" i="21"/>
  <c r="AE73" i="21"/>
  <c r="K265" i="1" s="1"/>
  <c r="K257" i="1"/>
  <c r="AE68" i="21"/>
  <c r="K260" i="1" s="1"/>
  <c r="AE67" i="21"/>
  <c r="K259" i="1" s="1"/>
  <c r="AE66" i="21"/>
  <c r="K258" i="1" s="1"/>
  <c r="AE76" i="21"/>
  <c r="K268" i="1" s="1"/>
  <c r="AE74" i="21"/>
  <c r="K266" i="1" s="1"/>
  <c r="AE77" i="21"/>
  <c r="K269" i="1" s="1"/>
  <c r="AE71" i="21"/>
  <c r="K263" i="1" s="1"/>
  <c r="AE70" i="21"/>
  <c r="K262" i="1" s="1"/>
  <c r="AE72" i="21"/>
  <c r="K264" i="1" s="1"/>
  <c r="AK73" i="21"/>
  <c r="AK67" i="21"/>
  <c r="AK66" i="21"/>
  <c r="AK68" i="21"/>
  <c r="AK76" i="21"/>
  <c r="AK74" i="21"/>
  <c r="AK77" i="21"/>
  <c r="AK84" i="21"/>
  <c r="AK72" i="21"/>
  <c r="AK70" i="21"/>
  <c r="AE84" i="21"/>
  <c r="K276" i="1" s="1"/>
  <c r="K277" i="1" s="1"/>
  <c r="AE98" i="21"/>
  <c r="K291" i="1" s="1"/>
  <c r="AE100" i="21"/>
  <c r="K293" i="1" s="1"/>
  <c r="AE101" i="21"/>
  <c r="K294" i="1" s="1"/>
  <c r="AE96" i="21"/>
  <c r="K289" i="1" s="1"/>
  <c r="AE81" i="21"/>
  <c r="K273" i="1" s="1"/>
  <c r="AE95" i="21"/>
  <c r="K288" i="1" s="1"/>
  <c r="AE75" i="21"/>
  <c r="K267" i="1" s="1"/>
  <c r="AE79" i="21"/>
  <c r="K271" i="1" s="1"/>
  <c r="AE89" i="21"/>
  <c r="K282" i="1" s="1"/>
  <c r="AE80" i="21"/>
  <c r="K272" i="1" s="1"/>
  <c r="AE88" i="21"/>
  <c r="K281" i="1" s="1"/>
  <c r="AE82" i="21"/>
  <c r="K274" i="1" s="1"/>
  <c r="AE83" i="21"/>
  <c r="K275" i="1" s="1"/>
  <c r="AE97" i="21"/>
  <c r="K290" i="1" s="1"/>
  <c r="AE93" i="21"/>
  <c r="K286" i="1" s="1"/>
  <c r="AE78" i="21"/>
  <c r="K270" i="1" s="1"/>
  <c r="AE90" i="21"/>
  <c r="K283" i="1" s="1"/>
  <c r="AE99" i="21"/>
  <c r="K292" i="1" s="1"/>
  <c r="AE92" i="21"/>
  <c r="K285" i="1" s="1"/>
  <c r="AE87" i="21"/>
  <c r="K280" i="1" s="1"/>
  <c r="AE86" i="21"/>
  <c r="K279" i="1" s="1"/>
  <c r="AE91" i="21"/>
  <c r="K284" i="1" s="1"/>
  <c r="AE85" i="21"/>
  <c r="K278" i="1" s="1"/>
  <c r="AE94" i="21"/>
  <c r="K287" i="1" s="1"/>
  <c r="Z100" i="21"/>
  <c r="K709" i="1" s="1"/>
  <c r="Z84" i="21"/>
  <c r="K692" i="1" s="1"/>
  <c r="K693" i="1" s="1"/>
  <c r="Z87" i="21"/>
  <c r="K696" i="1" s="1"/>
  <c r="Z94" i="21"/>
  <c r="K703" i="1" s="1"/>
  <c r="Z78" i="21"/>
  <c r="K686" i="1" s="1"/>
  <c r="Z91" i="21"/>
  <c r="K700" i="1" s="1"/>
  <c r="Z95" i="21"/>
  <c r="K704" i="1" s="1"/>
  <c r="Z88" i="21"/>
  <c r="K697" i="1" s="1"/>
  <c r="Z101" i="21"/>
  <c r="K710" i="1" s="1"/>
  <c r="Z81" i="21"/>
  <c r="K689" i="1" s="1"/>
  <c r="Z93" i="21"/>
  <c r="K702" i="1" s="1"/>
  <c r="Z92" i="21"/>
  <c r="K701" i="1" s="1"/>
  <c r="Z79" i="21"/>
  <c r="K687" i="1" s="1"/>
  <c r="Z83" i="21"/>
  <c r="K691" i="1" s="1"/>
  <c r="Z98" i="21"/>
  <c r="K707" i="1" s="1"/>
  <c r="Z80" i="21"/>
  <c r="K688" i="1" s="1"/>
  <c r="Z99" i="21"/>
  <c r="K708" i="1" s="1"/>
  <c r="Z82" i="21"/>
  <c r="K690" i="1" s="1"/>
  <c r="Z86" i="21"/>
  <c r="K695" i="1" s="1"/>
  <c r="Z96" i="21"/>
  <c r="K705" i="1" s="1"/>
  <c r="Z90" i="21"/>
  <c r="K699" i="1" s="1"/>
  <c r="Z85" i="21"/>
  <c r="K694" i="1" s="1"/>
  <c r="Z97" i="21"/>
  <c r="K706" i="1" s="1"/>
  <c r="Z75" i="21"/>
  <c r="Z89" i="21"/>
  <c r="K698" i="1" s="1"/>
  <c r="I80" i="21"/>
  <c r="I81" i="21"/>
  <c r="R74" i="21"/>
  <c r="R76" i="21"/>
  <c r="R77" i="21"/>
  <c r="R75" i="21"/>
  <c r="P75" i="21"/>
  <c r="P76" i="21"/>
  <c r="P77" i="21"/>
  <c r="P74" i="21"/>
  <c r="P81" i="21"/>
  <c r="P80" i="21"/>
  <c r="O77" i="21"/>
  <c r="O74" i="21"/>
  <c r="O75" i="21"/>
  <c r="O76" i="21"/>
  <c r="I76" i="21"/>
  <c r="I75" i="21"/>
  <c r="I77" i="21"/>
  <c r="R80" i="21"/>
  <c r="R81" i="21"/>
  <c r="O80" i="21"/>
  <c r="O81" i="21"/>
  <c r="J75" i="21"/>
  <c r="J77" i="21"/>
  <c r="J76" i="21"/>
  <c r="J74" i="21"/>
  <c r="J117" i="21" s="1"/>
  <c r="I74" i="21"/>
  <c r="E47" i="21"/>
  <c r="G48" i="21"/>
  <c r="E38" i="21"/>
  <c r="G38" i="21"/>
  <c r="G49" i="21"/>
  <c r="G45" i="21"/>
  <c r="E37" i="21"/>
  <c r="E46" i="21"/>
  <c r="E40" i="21"/>
  <c r="E29" i="21"/>
  <c r="G47" i="21"/>
  <c r="G43" i="21"/>
  <c r="G41" i="21"/>
  <c r="G37" i="21"/>
  <c r="E49" i="21"/>
  <c r="E45" i="21"/>
  <c r="E42" i="21"/>
  <c r="E39" i="21"/>
  <c r="G29" i="21"/>
  <c r="G46" i="21"/>
  <c r="G40" i="21"/>
  <c r="E48" i="21"/>
  <c r="E44" i="21"/>
  <c r="E36" i="21"/>
  <c r="G42" i="21"/>
  <c r="G39" i="21"/>
  <c r="E43" i="21"/>
  <c r="E41" i="21"/>
  <c r="G44" i="21"/>
  <c r="G36" i="21"/>
  <c r="I117" i="21" l="1"/>
  <c r="AG70" i="21"/>
  <c r="K385" i="1" s="1"/>
  <c r="AD69" i="21"/>
  <c r="K844" i="1" s="1"/>
  <c r="AD66" i="21"/>
  <c r="K841" i="1" s="1"/>
  <c r="AD74" i="21"/>
  <c r="K849" i="1" s="1"/>
  <c r="AD68" i="21"/>
  <c r="K843" i="1" s="1"/>
  <c r="AD64" i="21"/>
  <c r="K839" i="1" s="1"/>
  <c r="AD65" i="21"/>
  <c r="K840" i="1" s="1"/>
  <c r="AD67" i="21"/>
  <c r="K842" i="1" s="1"/>
  <c r="AD76" i="21"/>
  <c r="K851" i="1" s="1"/>
  <c r="X66" i="21"/>
  <c r="K590" i="1" s="1"/>
  <c r="X69" i="21"/>
  <c r="X65" i="21"/>
  <c r="K589" i="1" s="1"/>
  <c r="AA65" i="21"/>
  <c r="K715" i="1" s="1"/>
  <c r="AA64" i="21"/>
  <c r="K714" i="1" s="1"/>
  <c r="AA70" i="21"/>
  <c r="K720" i="1" s="1"/>
  <c r="AA76" i="21"/>
  <c r="K726" i="1" s="1"/>
  <c r="AA71" i="21"/>
  <c r="K721" i="1" s="1"/>
  <c r="AA77" i="21"/>
  <c r="K727" i="1" s="1"/>
  <c r="AA72" i="21"/>
  <c r="K722" i="1" s="1"/>
  <c r="AA66" i="21"/>
  <c r="K716" i="1" s="1"/>
  <c r="AA73" i="21"/>
  <c r="K723" i="1" s="1"/>
  <c r="AA99" i="21"/>
  <c r="K750" i="1" s="1"/>
  <c r="AA67" i="21"/>
  <c r="K717" i="1" s="1"/>
  <c r="AA74" i="21"/>
  <c r="K724" i="1" s="1"/>
  <c r="AA68" i="21"/>
  <c r="K718" i="1" s="1"/>
  <c r="AA89" i="21"/>
  <c r="K740" i="1" s="1"/>
  <c r="AA84" i="21"/>
  <c r="K734" i="1" s="1"/>
  <c r="K735" i="1" s="1"/>
  <c r="AA90" i="21"/>
  <c r="K741" i="1" s="1"/>
  <c r="AA96" i="21"/>
  <c r="K747" i="1" s="1"/>
  <c r="AA81" i="21"/>
  <c r="K731" i="1" s="1"/>
  <c r="AA80" i="21"/>
  <c r="K730" i="1" s="1"/>
  <c r="AA97" i="21"/>
  <c r="K748" i="1" s="1"/>
  <c r="AA82" i="21"/>
  <c r="K732" i="1" s="1"/>
  <c r="AA94" i="21"/>
  <c r="K745" i="1" s="1"/>
  <c r="AA86" i="21"/>
  <c r="K737" i="1" s="1"/>
  <c r="AA75" i="21"/>
  <c r="K725" i="1" s="1"/>
  <c r="AA93" i="21"/>
  <c r="K744" i="1" s="1"/>
  <c r="AA78" i="21"/>
  <c r="K728" i="1" s="1"/>
  <c r="AA91" i="21"/>
  <c r="K742" i="1" s="1"/>
  <c r="AA87" i="21"/>
  <c r="K738" i="1" s="1"/>
  <c r="AA79" i="21"/>
  <c r="K729" i="1" s="1"/>
  <c r="AA95" i="21"/>
  <c r="K746" i="1" s="1"/>
  <c r="AA101" i="21"/>
  <c r="K752" i="1" s="1"/>
  <c r="AA83" i="21"/>
  <c r="K733" i="1" s="1"/>
  <c r="AA69" i="21"/>
  <c r="K719" i="1" s="1"/>
  <c r="AA88" i="21"/>
  <c r="K739" i="1" s="1"/>
  <c r="AA98" i="21"/>
  <c r="K749" i="1" s="1"/>
  <c r="AA85" i="21"/>
  <c r="K736" i="1" s="1"/>
  <c r="AA92" i="21"/>
  <c r="K743" i="1" s="1"/>
  <c r="AA100" i="21"/>
  <c r="K751" i="1" s="1"/>
  <c r="Z73" i="21"/>
  <c r="K681" i="1" s="1"/>
  <c r="Z69" i="21"/>
  <c r="K677" i="1" s="1"/>
  <c r="Z64" i="21"/>
  <c r="K672" i="1" s="1"/>
  <c r="Z65" i="21"/>
  <c r="K673" i="1" s="1"/>
  <c r="Z74" i="21"/>
  <c r="K682" i="1" s="1"/>
  <c r="Z66" i="21"/>
  <c r="K674" i="1" s="1"/>
  <c r="Z68" i="21"/>
  <c r="K676" i="1" s="1"/>
  <c r="Z67" i="21"/>
  <c r="K675" i="1" s="1"/>
  <c r="Z70" i="21"/>
  <c r="K678" i="1" s="1"/>
  <c r="AC74" i="21"/>
  <c r="K808" i="1" s="1"/>
  <c r="AC71" i="21"/>
  <c r="K805" i="1" s="1"/>
  <c r="AC76" i="21"/>
  <c r="K810" i="1" s="1"/>
  <c r="Z72" i="21"/>
  <c r="K680" i="1" s="1"/>
  <c r="AD70" i="21"/>
  <c r="K845" i="1" s="1"/>
  <c r="AC72" i="21"/>
  <c r="K806" i="1" s="1"/>
  <c r="AC73" i="21"/>
  <c r="K807" i="1" s="1"/>
  <c r="AC77" i="21"/>
  <c r="K811" i="1" s="1"/>
  <c r="AD73" i="21"/>
  <c r="K848" i="1" s="1"/>
  <c r="Z77" i="21"/>
  <c r="K685" i="1" s="1"/>
  <c r="AB65" i="21"/>
  <c r="K757" i="1" s="1"/>
  <c r="AB64" i="21"/>
  <c r="K756" i="1" s="1"/>
  <c r="Z76" i="21"/>
  <c r="K684" i="1" s="1"/>
  <c r="AC70" i="21"/>
  <c r="K804" i="1" s="1"/>
  <c r="AC67" i="21"/>
  <c r="K801" i="1" s="1"/>
  <c r="AC69" i="21"/>
  <c r="K803" i="1" s="1"/>
  <c r="AC65" i="21"/>
  <c r="K799" i="1" s="1"/>
  <c r="AC64" i="21"/>
  <c r="K798" i="1" s="1"/>
  <c r="AC66" i="21"/>
  <c r="K800" i="1" s="1"/>
  <c r="AC68" i="21"/>
  <c r="K802" i="1" s="1"/>
  <c r="AD77" i="21"/>
  <c r="K852" i="1" s="1"/>
  <c r="AB77" i="21"/>
  <c r="K769" i="1" s="1"/>
  <c r="AB76" i="21"/>
  <c r="K768" i="1" s="1"/>
  <c r="AB72" i="21"/>
  <c r="K764" i="1" s="1"/>
  <c r="AB94" i="21"/>
  <c r="K787" i="1" s="1"/>
  <c r="AB66" i="21"/>
  <c r="K758" i="1" s="1"/>
  <c r="AB73" i="21"/>
  <c r="K765" i="1" s="1"/>
  <c r="AB96" i="21"/>
  <c r="K789" i="1" s="1"/>
  <c r="AB74" i="21"/>
  <c r="K766" i="1" s="1"/>
  <c r="AB91" i="21"/>
  <c r="K784" i="1" s="1"/>
  <c r="AB99" i="21"/>
  <c r="K792" i="1" s="1"/>
  <c r="AB93" i="21"/>
  <c r="K786" i="1" s="1"/>
  <c r="AB89" i="21"/>
  <c r="K782" i="1" s="1"/>
  <c r="AB70" i="21"/>
  <c r="K762" i="1" s="1"/>
  <c r="AB87" i="21"/>
  <c r="K780" i="1" s="1"/>
  <c r="AB85" i="21"/>
  <c r="K778" i="1" s="1"/>
  <c r="AB69" i="21"/>
  <c r="K761" i="1" s="1"/>
  <c r="AB86" i="21"/>
  <c r="K779" i="1" s="1"/>
  <c r="AB83" i="21"/>
  <c r="K775" i="1" s="1"/>
  <c r="AB78" i="21"/>
  <c r="K770" i="1" s="1"/>
  <c r="AB81" i="21"/>
  <c r="K773" i="1" s="1"/>
  <c r="AB98" i="21"/>
  <c r="K791" i="1" s="1"/>
  <c r="AB79" i="21"/>
  <c r="K771" i="1" s="1"/>
  <c r="AB80" i="21"/>
  <c r="K772" i="1" s="1"/>
  <c r="AB97" i="21"/>
  <c r="K790" i="1" s="1"/>
  <c r="AB90" i="21"/>
  <c r="K783" i="1" s="1"/>
  <c r="AB82" i="21"/>
  <c r="K774" i="1" s="1"/>
  <c r="AB101" i="21"/>
  <c r="K794" i="1" s="1"/>
  <c r="AB71" i="21"/>
  <c r="K763" i="1" s="1"/>
  <c r="AB67" i="21"/>
  <c r="K759" i="1" s="1"/>
  <c r="AB88" i="21"/>
  <c r="K781" i="1" s="1"/>
  <c r="AB75" i="21"/>
  <c r="K767" i="1" s="1"/>
  <c r="AB84" i="21"/>
  <c r="K776" i="1" s="1"/>
  <c r="K777" i="1" s="1"/>
  <c r="AB95" i="21"/>
  <c r="K788" i="1" s="1"/>
  <c r="AB100" i="21"/>
  <c r="K793" i="1" s="1"/>
  <c r="AB68" i="21"/>
  <c r="K760" i="1" s="1"/>
  <c r="AB92" i="21"/>
  <c r="K785" i="1" s="1"/>
  <c r="AD71" i="21"/>
  <c r="K846" i="1" s="1"/>
  <c r="AD72" i="21"/>
  <c r="K847" i="1" s="1"/>
  <c r="R117" i="21"/>
  <c r="AL70" i="21" s="1"/>
  <c r="AG76" i="21"/>
  <c r="K391" i="1" s="1"/>
  <c r="O117" i="21"/>
  <c r="AI71" i="21" s="1"/>
  <c r="AG73" i="21"/>
  <c r="K388" i="1" s="1"/>
  <c r="AG69" i="21"/>
  <c r="K384" i="1" s="1"/>
  <c r="AG64" i="21"/>
  <c r="K379" i="1" s="1"/>
  <c r="AG65" i="21"/>
  <c r="K380" i="1" s="1"/>
  <c r="AG74" i="21"/>
  <c r="K389" i="1" s="1"/>
  <c r="AG66" i="21"/>
  <c r="K381" i="1" s="1"/>
  <c r="AG68" i="21"/>
  <c r="K383" i="1" s="1"/>
  <c r="AG67" i="21"/>
  <c r="K382" i="1" s="1"/>
  <c r="P117" i="21"/>
  <c r="AJ70" i="21" s="1"/>
  <c r="K511" i="1" s="1"/>
  <c r="AG72" i="21"/>
  <c r="K387" i="1" s="1"/>
  <c r="X77" i="21"/>
  <c r="K601" i="1" s="1"/>
  <c r="X71" i="21"/>
  <c r="K595" i="1" s="1"/>
  <c r="K593" i="1"/>
  <c r="X73" i="21"/>
  <c r="K597" i="1" s="1"/>
  <c r="X101" i="21"/>
  <c r="K626" i="1" s="1"/>
  <c r="X74" i="21"/>
  <c r="K598" i="1" s="1"/>
  <c r="X76" i="21"/>
  <c r="K600" i="1" s="1"/>
  <c r="X70" i="21"/>
  <c r="X68" i="21"/>
  <c r="K592" i="1" s="1"/>
  <c r="X72" i="21"/>
  <c r="K596" i="1" s="1"/>
  <c r="X67" i="21"/>
  <c r="K591" i="1" s="1"/>
  <c r="X99" i="21"/>
  <c r="K624" i="1" s="1"/>
  <c r="X94" i="21"/>
  <c r="K619" i="1" s="1"/>
  <c r="X90" i="21"/>
  <c r="K615" i="1" s="1"/>
  <c r="X86" i="21"/>
  <c r="K611" i="1" s="1"/>
  <c r="X82" i="21"/>
  <c r="K606" i="1" s="1"/>
  <c r="X78" i="21"/>
  <c r="K602" i="1" s="1"/>
  <c r="X96" i="21"/>
  <c r="K621" i="1" s="1"/>
  <c r="X91" i="21"/>
  <c r="K616" i="1" s="1"/>
  <c r="X87" i="21"/>
  <c r="K612" i="1" s="1"/>
  <c r="X83" i="21"/>
  <c r="K607" i="1" s="1"/>
  <c r="X79" i="21"/>
  <c r="K603" i="1" s="1"/>
  <c r="X97" i="21"/>
  <c r="K622" i="1" s="1"/>
  <c r="X93" i="21"/>
  <c r="K618" i="1" s="1"/>
  <c r="X89" i="21"/>
  <c r="K614" i="1" s="1"/>
  <c r="X85" i="21"/>
  <c r="K610" i="1" s="1"/>
  <c r="X81" i="21"/>
  <c r="K605" i="1" s="1"/>
  <c r="X75" i="21"/>
  <c r="K599" i="1" s="1"/>
  <c r="X95" i="21"/>
  <c r="K620" i="1" s="1"/>
  <c r="X92" i="21"/>
  <c r="K617" i="1" s="1"/>
  <c r="X88" i="21"/>
  <c r="K613" i="1" s="1"/>
  <c r="X84" i="21"/>
  <c r="K608" i="1" s="1"/>
  <c r="K609" i="1" s="1"/>
  <c r="X80" i="21"/>
  <c r="K604" i="1" s="1"/>
  <c r="X98" i="21"/>
  <c r="K623" i="1" s="1"/>
  <c r="X100" i="21"/>
  <c r="K625" i="1" s="1"/>
  <c r="K683" i="1"/>
  <c r="Z103" i="21"/>
  <c r="AK103" i="21"/>
  <c r="AE103" i="21"/>
  <c r="K256" i="1"/>
  <c r="AG92" i="21"/>
  <c r="K408" i="1" s="1"/>
  <c r="AG79" i="21"/>
  <c r="K394" i="1" s="1"/>
  <c r="AG83" i="21"/>
  <c r="K398" i="1" s="1"/>
  <c r="AG97" i="21"/>
  <c r="K413" i="1" s="1"/>
  <c r="AG80" i="21"/>
  <c r="K395" i="1" s="1"/>
  <c r="AG100" i="21"/>
  <c r="K416" i="1" s="1"/>
  <c r="AG78" i="21"/>
  <c r="K393" i="1" s="1"/>
  <c r="AG88" i="21"/>
  <c r="K404" i="1" s="1"/>
  <c r="AG96" i="21"/>
  <c r="K412" i="1" s="1"/>
  <c r="AG84" i="21"/>
  <c r="K399" i="1" s="1"/>
  <c r="K400" i="1" s="1"/>
  <c r="AG89" i="21"/>
  <c r="K405" i="1" s="1"/>
  <c r="AG90" i="21"/>
  <c r="K406" i="1" s="1"/>
  <c r="AG75" i="21"/>
  <c r="AG95" i="21"/>
  <c r="K411" i="1" s="1"/>
  <c r="AG98" i="21"/>
  <c r="K414" i="1" s="1"/>
  <c r="AG91" i="21"/>
  <c r="K407" i="1" s="1"/>
  <c r="AG87" i="21"/>
  <c r="K403" i="1" s="1"/>
  <c r="AG81" i="21"/>
  <c r="K396" i="1" s="1"/>
  <c r="AG82" i="21"/>
  <c r="K397" i="1" s="1"/>
  <c r="AG86" i="21"/>
  <c r="K402" i="1" s="1"/>
  <c r="AG85" i="21"/>
  <c r="K401" i="1" s="1"/>
  <c r="AG101" i="21"/>
  <c r="K417" i="1" s="1"/>
  <c r="AG94" i="21"/>
  <c r="K410" i="1" s="1"/>
  <c r="AG93" i="21"/>
  <c r="K409" i="1" s="1"/>
  <c r="AG99" i="21"/>
  <c r="K415" i="1" s="1"/>
  <c r="K428" i="1" l="1"/>
  <c r="K470" i="1"/>
  <c r="K552" i="1"/>
  <c r="K303" i="1"/>
  <c r="AJ76" i="21"/>
  <c r="K517" i="1" s="1"/>
  <c r="X105" i="21"/>
  <c r="X106" i="21" s="1"/>
  <c r="AB103" i="21"/>
  <c r="AA103" i="21"/>
  <c r="AJ73" i="21"/>
  <c r="K514" i="1" s="1"/>
  <c r="AJ71" i="21"/>
  <c r="K512" i="1" s="1"/>
  <c r="AI70" i="21"/>
  <c r="AJ69" i="21"/>
  <c r="K510" i="1" s="1"/>
  <c r="AJ65" i="21"/>
  <c r="K506" i="1" s="1"/>
  <c r="AJ64" i="21"/>
  <c r="K505" i="1" s="1"/>
  <c r="AJ74" i="21"/>
  <c r="K515" i="1" s="1"/>
  <c r="AJ67" i="21"/>
  <c r="K508" i="1" s="1"/>
  <c r="AJ68" i="21"/>
  <c r="K509" i="1" s="1"/>
  <c r="AJ66" i="21"/>
  <c r="K507" i="1" s="1"/>
  <c r="AI73" i="21"/>
  <c r="AJ77" i="21"/>
  <c r="K518" i="1" s="1"/>
  <c r="AJ72" i="21"/>
  <c r="K513" i="1" s="1"/>
  <c r="K594" i="1"/>
  <c r="X103" i="21"/>
  <c r="AL69" i="21"/>
  <c r="AL64" i="21"/>
  <c r="AL65" i="21"/>
  <c r="AL74" i="21"/>
  <c r="AL67" i="21"/>
  <c r="AL66" i="21"/>
  <c r="AL68" i="21"/>
  <c r="AL71" i="21"/>
  <c r="AL76" i="21"/>
  <c r="AL72" i="21"/>
  <c r="AI76" i="21"/>
  <c r="AI69" i="21"/>
  <c r="AI65" i="21"/>
  <c r="AI64" i="21"/>
  <c r="AI68" i="21"/>
  <c r="AI74" i="21"/>
  <c r="AI67" i="21"/>
  <c r="AI66" i="21"/>
  <c r="AL77" i="21"/>
  <c r="AI77" i="21"/>
  <c r="AI72" i="21"/>
  <c r="AL73" i="21"/>
  <c r="K588" i="1"/>
  <c r="K390" i="1"/>
  <c r="AG103" i="21"/>
  <c r="AJ86" i="21"/>
  <c r="K528" i="1" s="1"/>
  <c r="AJ84" i="21"/>
  <c r="K525" i="1" s="1"/>
  <c r="K526" i="1" s="1"/>
  <c r="AJ96" i="21"/>
  <c r="K538" i="1" s="1"/>
  <c r="AJ94" i="21"/>
  <c r="K536" i="1" s="1"/>
  <c r="AJ88" i="21"/>
  <c r="K530" i="1" s="1"/>
  <c r="AJ87" i="21"/>
  <c r="K529" i="1" s="1"/>
  <c r="AJ81" i="21"/>
  <c r="K522" i="1" s="1"/>
  <c r="AJ89" i="21"/>
  <c r="K531" i="1" s="1"/>
  <c r="AJ90" i="21"/>
  <c r="K532" i="1" s="1"/>
  <c r="AJ78" i="21"/>
  <c r="K519" i="1" s="1"/>
  <c r="AJ101" i="21"/>
  <c r="K543" i="1" s="1"/>
  <c r="AJ79" i="21"/>
  <c r="K520" i="1" s="1"/>
  <c r="AJ93" i="21"/>
  <c r="K535" i="1" s="1"/>
  <c r="AJ91" i="21"/>
  <c r="K533" i="1" s="1"/>
  <c r="AJ82" i="21"/>
  <c r="K523" i="1" s="1"/>
  <c r="AJ85" i="21"/>
  <c r="K527" i="1" s="1"/>
  <c r="AJ92" i="21"/>
  <c r="K534" i="1" s="1"/>
  <c r="AJ75" i="21"/>
  <c r="AJ100" i="21"/>
  <c r="K542" i="1" s="1"/>
  <c r="AJ97" i="21"/>
  <c r="K539" i="1" s="1"/>
  <c r="AJ98" i="21"/>
  <c r="K540" i="1" s="1"/>
  <c r="AJ80" i="21"/>
  <c r="K521" i="1" s="1"/>
  <c r="AJ95" i="21"/>
  <c r="K537" i="1" s="1"/>
  <c r="AJ99" i="21"/>
  <c r="K541" i="1" s="1"/>
  <c r="AJ83" i="21"/>
  <c r="K524" i="1" s="1"/>
  <c r="AC86" i="21"/>
  <c r="K821" i="1" s="1"/>
  <c r="AC85" i="21"/>
  <c r="K820" i="1" s="1"/>
  <c r="AC96" i="21"/>
  <c r="K831" i="1" s="1"/>
  <c r="AC99" i="21"/>
  <c r="K834" i="1" s="1"/>
  <c r="AC97" i="21"/>
  <c r="K832" i="1" s="1"/>
  <c r="AC87" i="21"/>
  <c r="K822" i="1" s="1"/>
  <c r="AC94" i="21"/>
  <c r="K829" i="1" s="1"/>
  <c r="AC75" i="21"/>
  <c r="AC93" i="21"/>
  <c r="K828" i="1" s="1"/>
  <c r="AC91" i="21"/>
  <c r="K826" i="1" s="1"/>
  <c r="AC78" i="21"/>
  <c r="K812" i="1" s="1"/>
  <c r="AC79" i="21"/>
  <c r="K813" i="1" s="1"/>
  <c r="AC90" i="21"/>
  <c r="K825" i="1" s="1"/>
  <c r="AC80" i="21"/>
  <c r="K814" i="1" s="1"/>
  <c r="AC88" i="21"/>
  <c r="K823" i="1" s="1"/>
  <c r="AC89" i="21"/>
  <c r="K824" i="1" s="1"/>
  <c r="AC95" i="21"/>
  <c r="K830" i="1" s="1"/>
  <c r="AC82" i="21"/>
  <c r="K816" i="1" s="1"/>
  <c r="AC81" i="21"/>
  <c r="K815" i="1" s="1"/>
  <c r="AC84" i="21"/>
  <c r="K818" i="1" s="1"/>
  <c r="K819" i="1" s="1"/>
  <c r="AC98" i="21"/>
  <c r="K833" i="1" s="1"/>
  <c r="AC101" i="21"/>
  <c r="K836" i="1" s="1"/>
  <c r="AC100" i="21"/>
  <c r="K835" i="1" s="1"/>
  <c r="AC92" i="21"/>
  <c r="K827" i="1" s="1"/>
  <c r="AC83" i="21"/>
  <c r="K817" i="1" s="1"/>
  <c r="AI79" i="21"/>
  <c r="AI90" i="21"/>
  <c r="AI86" i="21"/>
  <c r="AI94" i="21"/>
  <c r="AI82" i="21"/>
  <c r="AI93" i="21"/>
  <c r="AI80" i="21"/>
  <c r="AI88" i="21"/>
  <c r="AI101" i="21"/>
  <c r="AI81" i="21"/>
  <c r="AI84" i="21"/>
  <c r="AI85" i="21"/>
  <c r="AI97" i="21"/>
  <c r="AI96" i="21"/>
  <c r="AI92" i="21"/>
  <c r="AI83" i="21"/>
  <c r="AI95" i="21"/>
  <c r="AI75" i="21"/>
  <c r="K474" i="1" s="1"/>
  <c r="AI87" i="21"/>
  <c r="AI78" i="21"/>
  <c r="AI91" i="21"/>
  <c r="AI98" i="21"/>
  <c r="AI99" i="21"/>
  <c r="AI89" i="21"/>
  <c r="AI100" i="21"/>
  <c r="AD101" i="21"/>
  <c r="K876" i="1" s="1"/>
  <c r="AD100" i="21"/>
  <c r="K875" i="1" s="1"/>
  <c r="AD98" i="21"/>
  <c r="K873" i="1" s="1"/>
  <c r="AD78" i="21"/>
  <c r="K853" i="1" s="1"/>
  <c r="AD82" i="21"/>
  <c r="K857" i="1" s="1"/>
  <c r="AD86" i="21"/>
  <c r="K861" i="1" s="1"/>
  <c r="AD90" i="21"/>
  <c r="K865" i="1" s="1"/>
  <c r="AD94" i="21"/>
  <c r="K869" i="1" s="1"/>
  <c r="AD95" i="21"/>
  <c r="K870" i="1" s="1"/>
  <c r="AD75" i="21"/>
  <c r="AD79" i="21"/>
  <c r="K854" i="1" s="1"/>
  <c r="AD83" i="21"/>
  <c r="K858" i="1" s="1"/>
  <c r="AD87" i="21"/>
  <c r="K862" i="1" s="1"/>
  <c r="AD91" i="21"/>
  <c r="K866" i="1" s="1"/>
  <c r="AD96" i="21"/>
  <c r="K871" i="1" s="1"/>
  <c r="AD80" i="21"/>
  <c r="K855" i="1" s="1"/>
  <c r="AD84" i="21"/>
  <c r="K859" i="1" s="1"/>
  <c r="AD88" i="21"/>
  <c r="K863" i="1" s="1"/>
  <c r="AD92" i="21"/>
  <c r="K867" i="1" s="1"/>
  <c r="AD89" i="21"/>
  <c r="K864" i="1" s="1"/>
  <c r="AD97" i="21"/>
  <c r="K872" i="1" s="1"/>
  <c r="AD85" i="21"/>
  <c r="K860" i="1" s="1"/>
  <c r="AD93" i="21"/>
  <c r="K868" i="1" s="1"/>
  <c r="AD99" i="21"/>
  <c r="K874" i="1" s="1"/>
  <c r="AD81" i="21"/>
  <c r="K856" i="1" s="1"/>
  <c r="AL84" i="21"/>
  <c r="AL79" i="21"/>
  <c r="AL75" i="21"/>
  <c r="K308" i="1" s="1"/>
  <c r="AL99" i="21"/>
  <c r="AL90" i="21"/>
  <c r="AL82" i="21"/>
  <c r="AL98" i="21"/>
  <c r="AL92" i="21"/>
  <c r="AL83" i="21"/>
  <c r="AL97" i="21"/>
  <c r="AL96" i="21"/>
  <c r="AL78" i="21"/>
  <c r="AL81" i="21"/>
  <c r="AL87" i="21"/>
  <c r="AL94" i="21"/>
  <c r="AL86" i="21"/>
  <c r="AL89" i="21"/>
  <c r="AL85" i="21"/>
  <c r="AL93" i="21"/>
  <c r="AL88" i="21"/>
  <c r="AL100" i="21"/>
  <c r="AL101" i="21"/>
  <c r="AL91" i="21"/>
  <c r="AL80" i="21"/>
  <c r="AL95" i="21"/>
  <c r="AB105" i="21"/>
  <c r="AB106" i="21" s="1"/>
  <c r="AA105" i="21"/>
  <c r="AA106" i="21" s="1"/>
  <c r="K438" i="1" l="1"/>
  <c r="K480" i="1"/>
  <c r="K429" i="1"/>
  <c r="K471" i="1"/>
  <c r="K434" i="1"/>
  <c r="K476" i="1"/>
  <c r="K427" i="1"/>
  <c r="K469" i="1"/>
  <c r="K447" i="1"/>
  <c r="K489" i="1"/>
  <c r="K446" i="1"/>
  <c r="K488" i="1"/>
  <c r="K437" i="1"/>
  <c r="K479" i="1"/>
  <c r="K423" i="1"/>
  <c r="K465" i="1"/>
  <c r="K456" i="1"/>
  <c r="K498" i="1"/>
  <c r="K451" i="1"/>
  <c r="K493" i="1"/>
  <c r="K424" i="1"/>
  <c r="K466" i="1"/>
  <c r="K449" i="1"/>
  <c r="K491" i="1"/>
  <c r="K439" i="1"/>
  <c r="K481" i="1"/>
  <c r="K431" i="1"/>
  <c r="K473" i="1"/>
  <c r="K459" i="1"/>
  <c r="K501" i="1"/>
  <c r="K457" i="1"/>
  <c r="K499" i="1"/>
  <c r="K435" i="1"/>
  <c r="K477" i="1"/>
  <c r="K452" i="1"/>
  <c r="K494" i="1"/>
  <c r="K425" i="1"/>
  <c r="K467" i="1"/>
  <c r="K444" i="1"/>
  <c r="K486" i="1"/>
  <c r="K421" i="1"/>
  <c r="K463" i="1"/>
  <c r="K422" i="1"/>
  <c r="K464" i="1"/>
  <c r="K443" i="1"/>
  <c r="K485" i="1"/>
  <c r="K426" i="1"/>
  <c r="K468" i="1"/>
  <c r="K430" i="1"/>
  <c r="K472" i="1"/>
  <c r="K448" i="1"/>
  <c r="K490" i="1"/>
  <c r="K440" i="1"/>
  <c r="K482" i="1"/>
  <c r="K433" i="1"/>
  <c r="K475" i="1"/>
  <c r="K436" i="1"/>
  <c r="K478" i="1"/>
  <c r="K450" i="1"/>
  <c r="K492" i="1"/>
  <c r="K441" i="1"/>
  <c r="K442" i="1" s="1"/>
  <c r="K483" i="1"/>
  <c r="K484" i="1" s="1"/>
  <c r="K458" i="1"/>
  <c r="K500" i="1"/>
  <c r="K445" i="1"/>
  <c r="K487" i="1"/>
  <c r="K453" i="1"/>
  <c r="K495" i="1"/>
  <c r="K454" i="1"/>
  <c r="K496" i="1"/>
  <c r="K455" i="1"/>
  <c r="K497" i="1"/>
  <c r="K554" i="1"/>
  <c r="K305" i="1"/>
  <c r="K569" i="1"/>
  <c r="K320" i="1"/>
  <c r="K558" i="1"/>
  <c r="K309" i="1"/>
  <c r="K553" i="1"/>
  <c r="K304" i="1"/>
  <c r="K550" i="1"/>
  <c r="K301" i="1"/>
  <c r="K555" i="1"/>
  <c r="K306" i="1"/>
  <c r="K548" i="1"/>
  <c r="K299" i="1"/>
  <c r="K578" i="1"/>
  <c r="K329" i="1"/>
  <c r="K549" i="1"/>
  <c r="K300" i="1"/>
  <c r="K556" i="1"/>
  <c r="K307" i="1"/>
  <c r="K564" i="1"/>
  <c r="K315" i="1"/>
  <c r="K559" i="1"/>
  <c r="K310" i="1"/>
  <c r="K547" i="1"/>
  <c r="K298" i="1"/>
  <c r="K579" i="1"/>
  <c r="K330" i="1"/>
  <c r="K546" i="1"/>
  <c r="K297" i="1"/>
  <c r="K577" i="1"/>
  <c r="K328" i="1"/>
  <c r="K565" i="1"/>
  <c r="K316" i="1"/>
  <c r="K574" i="1"/>
  <c r="K325" i="1"/>
  <c r="K573" i="1"/>
  <c r="K324" i="1"/>
  <c r="K580" i="1"/>
  <c r="K331" i="1"/>
  <c r="K551" i="1"/>
  <c r="K302" i="1"/>
  <c r="K583" i="1"/>
  <c r="K334" i="1"/>
  <c r="K582" i="1"/>
  <c r="K333" i="1"/>
  <c r="K572" i="1"/>
  <c r="K323" i="1"/>
  <c r="K570" i="1"/>
  <c r="K321" i="1"/>
  <c r="K581" i="1"/>
  <c r="K332" i="1"/>
  <c r="K575" i="1"/>
  <c r="K326" i="1"/>
  <c r="K567" i="1"/>
  <c r="K318" i="1"/>
  <c r="K561" i="1"/>
  <c r="K312" i="1"/>
  <c r="K563" i="1"/>
  <c r="K314" i="1"/>
  <c r="K560" i="1"/>
  <c r="K311" i="1"/>
  <c r="K568" i="1"/>
  <c r="K319" i="1"/>
  <c r="K562" i="1"/>
  <c r="K313" i="1"/>
  <c r="K571" i="1"/>
  <c r="K322" i="1"/>
  <c r="K566" i="1"/>
  <c r="K317" i="1"/>
  <c r="K576" i="1"/>
  <c r="K327" i="1"/>
  <c r="AD103" i="21"/>
  <c r="K850" i="1"/>
  <c r="K809" i="1"/>
  <c r="AC103" i="21"/>
  <c r="K432" i="1"/>
  <c r="AI103" i="21"/>
  <c r="K557" i="1"/>
  <c r="AL103" i="21"/>
  <c r="K516" i="1"/>
  <c r="AJ103" i="21"/>
  <c r="AD105" i="21"/>
  <c r="AD106" i="21" s="1"/>
  <c r="K209" i="1"/>
  <c r="K208" i="1"/>
  <c r="AG105" i="21" l="1"/>
  <c r="Z105" i="21"/>
  <c r="Z106" i="21" s="1"/>
  <c r="AK105" i="21"/>
  <c r="AK106" i="21" s="1"/>
  <c r="AE105" i="21"/>
  <c r="AE106" i="21" s="1"/>
  <c r="AL105" i="21"/>
  <c r="AL106" i="21" s="1"/>
  <c r="AI105" i="21"/>
  <c r="AI106" i="21" s="1"/>
  <c r="AC105" i="21"/>
  <c r="AC106" i="21" s="1"/>
  <c r="AJ105" i="21"/>
  <c r="AJ106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8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11" i="1"/>
  <c r="K10" i="1"/>
  <c r="K7" i="1"/>
  <c r="K6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4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8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<sst xmlns="http://schemas.openxmlformats.org/spreadsheetml/2006/main" count="5596" uniqueCount="690">
  <si>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</si>
  <si>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</si>
  <si>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</si>
  <si>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</si>
  <si>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</si>
  <si>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</si>
  <si>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</si>
  <si>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</si>
  <si>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</si>
  <si>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</si>
  <si>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</si>
  <si>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</si>
  <si>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</si>
  <si>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</si>
  <si>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</si>
  <si>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</si>
  <si>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</si>
  <si>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</si>
  <si>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</si>
  <si>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</si>
  <si>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</si>
  <si>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</si>
  <si>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</si>
  <si>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</si>
  <si>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</si>
  <si>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</si>
  <si>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</si>
  <si>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</si>
  <si>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</si>
  <si>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</si>
  <si>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</si>
  <si>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</si>
  <si>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</si>
  <si>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</si>
  <si>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</si>
  <si>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</si>
  <si>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</si>
  <si>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</si>
  <si>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</si>
  <si>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</si>
  <si>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</si>
  <si>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</si>
  <si>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</si>
  <si>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</si>
  <si>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</si>
  <si>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</si>
  <si>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</si>
  <si>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</si>
  <si>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</si>
  <si>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</si>
  <si>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</si>
  <si>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</si>
  <si>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</si>
  <si>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</si>
  <si>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</si>
  <si>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</si>
  <si>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</si>
  <si>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</si>
  <si>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</si>
  <si>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</si>
  <si>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</si>
  <si>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</si>
  <si>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</si>
  <si>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</si>
  <si>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</si>
  <si>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</si>
  <si>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</si>
  <si>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</si>
  <si>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</si>
  <si>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</si>
  <si>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</si>
  <si>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</si>
  <si>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</si>
  <si>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</si>
  <si>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</si>
  <si>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</si>
  <si>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</si>
  <si>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</si>
  <si>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</si>
  <si>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</si>
  <si>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</si>
  <si>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</si>
  <si>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</si>
  <si>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</si>
  <si>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</si>
  <si>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</si>
  <si>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</si>
  <si>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</si>
  <si>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</si>
  <si>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</si>
  <si>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</si>
  <si>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</si>
  <si>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</si>
  <si>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</si>
  <si>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</si>
  <si>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</si>
  <si>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</si>
  <si>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</si>
  <si>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</si>
  <si>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</si>
  <si>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</si>
  <si>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</si>
  <si>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</si>
  <si>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</si>
  <si>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</si>
  <si>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</si>
  <si>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</si>
  <si>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</si>
  <si>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</si>
  <si>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</si>
  <si>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</si>
  <si>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</si>
  <si>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</si>
  <si>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</si>
  <si>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</si>
  <si>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</si>
  <si>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</si>
  <si>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</si>
  <si>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</si>
  <si>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</si>
  <si>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</si>
  <si>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</si>
  <si>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</si>
  <si>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</si>
  <si>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</si>
  <si>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</si>
  <si>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</si>
  <si>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</si>
  <si>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</si>
  <si>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</si>
  <si>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</si>
  <si>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</si>
  <si>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</si>
  <si>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</si>
  <si>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</si>
  <si>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</si>
  <si>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</si>
  <si>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</si>
  <si>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</si>
  <si>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</si>
  <si>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</si>
  <si>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</si>
  <si>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</si>
  <si>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</si>
  <si>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</si>
  <si>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</si>
  <si>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</si>
  <si>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</si>
  <si>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</si>
  <si>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</si>
  <si>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</si>
  <si>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</si>
  <si>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</si>
  <si>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</si>
  <si>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</si>
  <si>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</si>
  <si>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</si>
  <si>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</si>
  <si>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</si>
  <si>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</si>
  <si>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</si>
  <si>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</si>
  <si>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</si>
  <si>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</si>
  <si>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</si>
  <si>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</si>
  <si>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</si>
  <si>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</si>
  <si>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</si>
  <si>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</si>
  <si>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</si>
  <si>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</si>
  <si>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</si>
  <si>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</si>
  <si>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</si>
  <si>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</si>
  <si>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</si>
  <si>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</si>
  <si>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</si>
  <si>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</si>
  <si>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</si>
  <si>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</si>
  <si>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</si>
  <si>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</si>
  <si>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</si>
  <si>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</si>
  <si>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</si>
  <si>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</si>
  <si>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</si>
  <si>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</si>
  <si>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</si>
  <si>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</si>
  <si>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</si>
  <si>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</si>
  <si>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</si>
  <si>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</si>
  <si>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</si>
  <si>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</si>
  <si>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</si>
  <si>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</si>
  <si>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</si>
  <si>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</si>
  <si>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</si>
  <si>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</si>
  <si>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</si>
  <si>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</si>
  <si>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</si>
  <si>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</si>
  <si>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</si>
  <si>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</si>
  <si>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</si>
  <si>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</si>
  <si>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</si>
  <si>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</si>
  <si>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</si>
  <si>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</si>
  <si>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</si>
  <si>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</si>
  <si>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</si>
  <si>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</si>
  <si>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</si>
  <si>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</si>
  <si>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</si>
  <si>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</si>
  <si>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</si>
  <si>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</si>
  <si>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</si>
  <si>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</si>
  <si>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</si>
  <si>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</si>
  <si>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</si>
  <si>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</si>
  <si>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</si>
  <si>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</si>
  <si>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</si>
  <si>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</si>
  <si>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</si>
  <si>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</si>
  <si>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</si>
  <si>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</si>
  <si>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</si>
  <si>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</si>
  <si>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</si>
  <si>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</si>
  <si>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</si>
  <si>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</si>
  <si>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</si>
  <si>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</si>
  <si>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</si>
  <si>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</si>
  <si>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</si>
  <si>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</si>
  <si>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</si>
  <si>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</si>
  <si>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</si>
  <si>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</si>
  <si>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</si>
  <si>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</si>
  <si>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</si>
  <si>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</si>
  <si>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</si>
  <si>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</si>
  <si>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</si>
  <si>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</si>
  <si>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</si>
  <si>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</si>
  <si>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</si>
  <si>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</si>
  <si>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</si>
  <si>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</si>
  <si>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</si>
  <si>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</si>
  <si>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</si>
  <si>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</si>
  <si>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</si>
  <si>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</si>
  <si>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</si>
  <si>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</si>
  <si>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</si>
  <si>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</si>
  <si>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</si>
  <si>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</si>
  <si>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</si>
  <si>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</si>
  <si>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</si>
  <si>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</si>
  <si>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</si>
  <si>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</si>
  <si>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</si>
  <si>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</si>
  <si>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</si>
  <si>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</si>
  <si>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</si>
  <si>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</si>
  <si>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</si>
  <si>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</si>
  <si>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</si>
  <si>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</si>
  <si>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</si>
  <si>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</si>
  <si>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</si>
  <si>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</si>
  <si>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</si>
  <si>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</si>
  <si>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</si>
  <si>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</si>
  <si>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</si>
  <si>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</si>
  <si>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</si>
  <si>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</si>
  <si>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</si>
  <si>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</si>
  <si>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</si>
  <si>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</si>
  <si>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</si>
  <si>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</si>
  <si>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</si>
  <si>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</si>
  <si>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</si>
  <si>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</si>
  <si>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</si>
  <si>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</si>
  <si>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</si>
  <si>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</si>
  <si>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</si>
  <si>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</si>
  <si>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</si>
  <si>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</si>
  <si>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</si>
  <si>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</si>
  <si>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</si>
  <si>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</si>
  <si>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</si>
  <si>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</si>
  <si>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</si>
  <si>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</si>
  <si>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</si>
  <si>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</si>
  <si>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</si>
  <si>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</si>
  <si>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</si>
  <si>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</si>
  <si>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</si>
  <si>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</si>
  <si>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</si>
  <si>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</si>
  <si>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</si>
  <si>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</si>
  <si>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</si>
  <si>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</si>
  <si>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</si>
  <si>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</si>
  <si>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</si>
  <si>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</si>
  <si>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</si>
  <si>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</si>
  <si>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</si>
  <si>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</si>
  <si>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</si>
  <si>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</si>
  <si>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</si>
  <si>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</si>
  <si>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</si>
  <si>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</si>
  <si>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</si>
  <si>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</si>
  <si>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</si>
  <si>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</si>
  <si>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</si>
  <si>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</si>
  <si>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</si>
  <si>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</si>
  <si>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</si>
  <si>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</si>
  <si>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</si>
  <si>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</si>
  <si>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</si>
  <si>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</si>
  <si>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</si>
  <si>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</si>
  <si>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</si>
  <si>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</si>
  <si>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</si>
  <si>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</si>
  <si>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</si>
  <si>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</si>
  <si>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</si>
  <si>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</si>
  <si>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</si>
  <si>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</si>
  <si>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</si>
  <si>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</si>
  <si>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</si>
  <si>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</si>
  <si>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</si>
  <si>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</si>
  <si>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</si>
  <si>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</si>
  <si>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</si>
  <si>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</si>
  <si>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</si>
  <si>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</si>
  <si>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</si>
  <si>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</si>
  <si>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</si>
  <si>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</si>
  <si>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</si>
  <si>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</si>
  <si>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</si>
  <si>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</si>
  <si>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</si>
  <si>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</si>
  <si>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</si>
  <si>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</si>
  <si>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</si>
  <si>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</si>
  <si>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</si>
  <si>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</si>
  <si>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</si>
  <si>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</si>
  <si>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</si>
  <si>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</si>
  <si>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</si>
  <si>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</si>
  <si>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</si>
  <si>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</si>
  <si>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</si>
  <si>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</si>
  <si>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</si>
  <si>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</si>
  <si>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</si>
  <si>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</si>
  <si>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</si>
  <si>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</si>
  <si>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</si>
  <si>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</si>
  <si>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</si>
  <si>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</si>
  <si>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</si>
  <si>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</si>
  <si>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</si>
  <si>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</si>
  <si>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</si>
  <si>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</si>
  <si>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</si>
  <si>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</si>
  <si>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</si>
  <si>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</si>
  <si>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</si>
  <si>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</si>
  <si>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</si>
  <si>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</si>
  <si>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</si>
  <si>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</si>
  <si>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</si>
  <si>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</si>
  <si>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</si>
  <si>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</si>
  <si>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</si>
  <si>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</si>
  <si>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</si>
  <si>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</si>
  <si>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</si>
  <si>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</si>
  <si>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</si>
  <si>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</si>
  <si>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</si>
  <si>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</si>
  <si>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</si>
  <si>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</si>
  <si>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</si>
  <si>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</si>
  <si>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</si>
  <si>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</si>
  <si>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</si>
  <si>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</si>
  <si>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</si>
  <si>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</si>
  <si>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</si>
  <si>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</si>
  <si>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</si>
  <si>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</si>
  <si>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</si>
  <si>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</si>
  <si>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</si>
  <si>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</si>
  <si>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</si>
  <si>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</si>
  <si>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</si>
  <si>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</si>
  <si>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</si>
  <si>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</si>
  <si>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</si>
  <si>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</si>
  <si>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</si>
  <si>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</si>
  <si>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</si>
  <si>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</si>
  <si>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</si>
  <si>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</si>
  <si>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</si>
  <si>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</si>
  <si>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</si>
  <si>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</si>
  <si>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</si>
  <si>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</si>
  <si>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</si>
  <si>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</si>
  <si>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</si>
  <si>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</si>
  <si>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</si>
  <si>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</si>
  <si>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</si>
  <si>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</si>
  <si>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</si>
  <si>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</si>
  <si>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</si>
  <si>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</si>
  <si>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</si>
  <si>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</si>
  <si>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</si>
  <si>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</si>
  <si>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</si>
  <si>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</si>
  <si>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</si>
  <si>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</si>
  <si>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</si>
  <si>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</si>
  <si>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</si>
  <si>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</si>
  <si>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</si>
  <si>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</si>
  <si>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</si>
  <si>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</si>
  <si>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</si>
  <si>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</si>
  <si>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</si>
  <si>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</si>
  <si>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</si>
  <si>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</si>
  <si>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</si>
  <si>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</si>
  <si>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</si>
  <si>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</si>
  <si>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</si>
  <si>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</si>
  <si>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</si>
  <si>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</si>
  <si>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</si>
  <si>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</si>
  <si>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</si>
  <si>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</si>
  <si>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</si>
  <si>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</si>
  <si>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</si>
  <si>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</si>
  <si>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</si>
  <si>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</si>
  <si>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</si>
  <si>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</si>
  <si>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</si>
  <si>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</si>
  <si>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</si>
  <si>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</si>
  <si>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</si>
  <si>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</si>
  <si>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</si>
  <si>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</si>
  <si>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</si>
  <si>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</si>
  <si>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</si>
  <si>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</si>
  <si>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</si>
  <si>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</si>
  <si>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</si>
  <si>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</si>
  <si>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</si>
  <si>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Stat. for 'Kvigor' used for beef cows, heifers and steers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</si>
  <si>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</si>
  <si>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</si>
  <si>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</si>
  <si>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</si>
  <si>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</si>
  <si>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</si>
  <si>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</si>
  <si>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</si>
  <si>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</si>
  <si>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</si>
  <si>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</si>
  <si>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</si>
  <si>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</si>
  <si>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</si>
  <si>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</si>
  <si>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</si>
  <si>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</si>
  <si>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</si>
  <si>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</si>
  <si>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</si>
  <si>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Mikaela?? 89% delivered to dairy??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</si>
  <si>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</si>
  <si>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</si>
  <si>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</si>
  <si>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</si>
  <si>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</si>
  <si>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</si>
  <si>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</si>
  <si>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</si>
  <si>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</si>
  <si>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</si>
  <si>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</si>
  <si>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</si>
  <si>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</si>
  <si>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</si>
  <si>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</si>
  <si>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</si>
  <si>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</si>
  <si>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</si>
  <si>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</si>
  <si>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</si>
  <si>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</si>
  <si>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</si>
  <si>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</si>
  <si>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</si>
  <si>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</si>
  <si>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</si>
  <si>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</si>
  <si>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</si>
  <si>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</si>
  <si>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</si>
  <si>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</si>
  <si>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</si>
  <si>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</si>
  <si>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</si>
  <si>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</si>
  <si>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</si>
  <si>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</si>
  <si>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</si>
  <si>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</si>
  <si>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</si>
  <si>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</si>
  <si>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</si>
  <si>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</si>
  <si>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</si>
  <si>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</si>
  <si>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</si>
  <si>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</si>
  <si>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</si>
  <si>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</si>
  <si>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</si>
  <si>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</si>
  <si>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</si>
  <si>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</si>
  <si>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</si>
  <si>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time_lag_recruitment</t>
  </si>
  <si>
    <t>Time from slaughter of cow to first calving of replacement heifer</t>
  </si>
  <si>
    <t>Pers. com. Anna Hessle, SLU</t>
  </si>
  <si>
    <t>Gård &amp; Djurhälsan (2016) Slaktutbyte något att räkna med?</t>
  </si>
  <si>
    <t>Växa KAP Slakt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</si>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</sst>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1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0" fontId="20" fillId="0" borderId="0" xfId="0" applyFont="1" applyAlignment="1">
      <alignment wrapText="1"/>
    </xf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49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49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312</v>
      </c>
    </row>
    <row r="2" spans="1:1" x14ac:dyDescent="0.25">
      <c r="A2" t="s">
        <v>589</v>
      </c>
    </row>
    <row r="3" spans="1:1" x14ac:dyDescent="0.25">
      <c r="A3" t="s">
        <v>601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876"/>
  <sheetViews>
    <sheetView tabSelected="1" topLeftCell="A238" zoomScale="80" zoomScaleNormal="80" workbookViewId="0">
      <selection activeCell="K250" sqref="K250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47</v>
      </c>
      <c r="B1" s="6" t="s">
        <v>283</v>
      </c>
      <c r="C1" s="6" t="s">
        <v>369</v>
      </c>
      <c r="D1" s="6" t="s">
        <v>48</v>
      </c>
      <c r="E1" s="6" t="s">
        <v>620</v>
      </c>
      <c r="F1" s="6" t="s">
        <v>309</v>
      </c>
      <c r="G1" s="6" t="s">
        <v>573</v>
      </c>
      <c r="H1" s="6" t="s">
        <v>313</v>
      </c>
      <c r="I1" s="6" t="s">
        <v>314</v>
      </c>
      <c r="J1" s="6" t="s">
        <v>43</v>
      </c>
      <c r="K1" s="6" t="s">
        <v>0</v>
      </c>
      <c r="L1" s="6" t="s">
        <v>44</v>
      </c>
      <c r="M1" s="6" t="s">
        <v>45</v>
      </c>
      <c r="N1" s="6" t="s">
        <v>46</v>
      </c>
    </row>
    <row r="2" spans="1:17" x14ac:dyDescent="0.25">
      <c r="A2" s="94" t="s">
        <v>285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290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39</v>
      </c>
      <c r="K4" s="2">
        <f>AVERAGE(9829,9903,9953,10112,10330)</f>
        <v>10025.4</v>
      </c>
      <c r="L4" t="s">
        <v>40</v>
      </c>
      <c r="M4" t="s">
        <v>368</v>
      </c>
      <c r="N4" t="s">
        <v>49</v>
      </c>
    </row>
    <row r="5" spans="1:17" x14ac:dyDescent="0.25">
      <c r="A5" t="s">
        <v>2</v>
      </c>
      <c r="B5" t="s">
        <v>1</v>
      </c>
      <c r="J5" t="s">
        <v>592</v>
      </c>
      <c r="K5" s="111">
        <v>8</v>
      </c>
      <c r="L5" s="93" t="s">
        <v>9</v>
      </c>
      <c r="M5" s="93" t="s">
        <v>598</v>
      </c>
      <c r="N5" t="s">
        <v>280</v>
      </c>
    </row>
    <row r="6" spans="1:17" x14ac:dyDescent="0.25">
      <c r="A6" t="s">
        <v>2</v>
      </c>
      <c r="B6" t="s">
        <v>1</v>
      </c>
      <c r="J6" t="s">
        <v>41</v>
      </c>
      <c r="K6" s="1">
        <f>AVERAGE(4.3,4.2,4.2,4.3,4.3)</f>
        <v>4.26</v>
      </c>
      <c r="L6" t="s">
        <v>9</v>
      </c>
      <c r="N6" t="s">
        <v>49</v>
      </c>
    </row>
    <row r="7" spans="1:17" x14ac:dyDescent="0.25">
      <c r="A7" t="s">
        <v>2</v>
      </c>
      <c r="B7" t="s">
        <v>1</v>
      </c>
      <c r="J7" t="s">
        <v>42</v>
      </c>
      <c r="K7" s="1">
        <f>AVERAGE(3.5,3.6,3.5,3.6,3.6)</f>
        <v>3.56</v>
      </c>
      <c r="L7" t="s">
        <v>9</v>
      </c>
      <c r="N7" t="s">
        <v>49</v>
      </c>
    </row>
    <row r="8" spans="1:17" x14ac:dyDescent="0.25">
      <c r="A8" t="s">
        <v>2</v>
      </c>
      <c r="B8" t="s">
        <v>5</v>
      </c>
      <c r="J8" t="s">
        <v>39</v>
      </c>
      <c r="K8" s="2">
        <f>AVERAGE(9135,9246,9280,9499,9676)</f>
        <v>9367.2000000000007</v>
      </c>
      <c r="L8" t="s">
        <v>40</v>
      </c>
      <c r="N8" t="s">
        <v>49</v>
      </c>
    </row>
    <row r="9" spans="1:17" x14ac:dyDescent="0.25">
      <c r="A9" t="s">
        <v>2</v>
      </c>
      <c r="B9" t="s">
        <v>5</v>
      </c>
      <c r="J9" t="s">
        <v>592</v>
      </c>
      <c r="K9" s="111">
        <v>8</v>
      </c>
      <c r="L9" s="93" t="s">
        <v>9</v>
      </c>
      <c r="M9" s="93" t="s">
        <v>598</v>
      </c>
      <c r="N9" t="s">
        <v>280</v>
      </c>
    </row>
    <row r="10" spans="1:17" x14ac:dyDescent="0.25">
      <c r="A10" t="s">
        <v>2</v>
      </c>
      <c r="B10" t="s">
        <v>5</v>
      </c>
      <c r="J10" t="s">
        <v>41</v>
      </c>
      <c r="K10" s="1">
        <f>AVERAGE(4.2,4.1,4.1,4.1,4.2)</f>
        <v>4.1399999999999997</v>
      </c>
      <c r="L10" t="s">
        <v>9</v>
      </c>
      <c r="N10" t="s">
        <v>49</v>
      </c>
    </row>
    <row r="11" spans="1:17" x14ac:dyDescent="0.25">
      <c r="A11" t="s">
        <v>2</v>
      </c>
      <c r="B11" t="s">
        <v>5</v>
      </c>
      <c r="J11" t="s">
        <v>42</v>
      </c>
      <c r="K11" s="1">
        <f>AVERAGE(3.4,3.4,3.4,3.5,3.5)</f>
        <v>3.44</v>
      </c>
      <c r="L11" t="s">
        <v>9</v>
      </c>
      <c r="N11" t="s">
        <v>49</v>
      </c>
    </row>
    <row r="12" spans="1:17" x14ac:dyDescent="0.25">
      <c r="A12" s="100" t="s">
        <v>291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37</v>
      </c>
      <c r="J13" s="32" t="s">
        <v>39</v>
      </c>
      <c r="K13" s="258">
        <v>0</v>
      </c>
      <c r="L13" s="32" t="s">
        <v>40</v>
      </c>
      <c r="M13" s="259" t="s">
        <v>597</v>
      </c>
    </row>
    <row r="14" spans="1:17" s="32" customFormat="1" x14ac:dyDescent="0.25">
      <c r="A14" s="32" t="s">
        <v>37</v>
      </c>
      <c r="J14" s="32" t="s">
        <v>592</v>
      </c>
      <c r="K14" s="258">
        <v>0</v>
      </c>
      <c r="L14" s="32" t="s">
        <v>9</v>
      </c>
      <c r="M14" s="259"/>
    </row>
    <row r="15" spans="1:17" x14ac:dyDescent="0.25">
      <c r="A15" t="s">
        <v>37</v>
      </c>
      <c r="J15" t="s">
        <v>41</v>
      </c>
      <c r="K15" s="183">
        <v>4.1399999999999997</v>
      </c>
      <c r="L15" t="s">
        <v>9</v>
      </c>
      <c r="M15" t="s">
        <v>503</v>
      </c>
    </row>
    <row r="16" spans="1:17" x14ac:dyDescent="0.25">
      <c r="A16" t="s">
        <v>37</v>
      </c>
      <c r="J16" t="s">
        <v>42</v>
      </c>
      <c r="K16" s="183">
        <v>3.44</v>
      </c>
      <c r="L16" t="s">
        <v>9</v>
      </c>
      <c r="M16" t="s">
        <v>503</v>
      </c>
      <c r="Q16" s="182" t="s">
        <v>501</v>
      </c>
    </row>
    <row r="17" spans="1:14" x14ac:dyDescent="0.25">
      <c r="A17" t="s">
        <v>37</v>
      </c>
      <c r="J17" t="s">
        <v>279</v>
      </c>
      <c r="K17" s="2">
        <v>0</v>
      </c>
      <c r="L17" t="s">
        <v>9</v>
      </c>
    </row>
    <row r="18" spans="1:14" x14ac:dyDescent="0.25">
      <c r="K18" s="2"/>
    </row>
    <row r="19" spans="1:14" x14ac:dyDescent="0.25">
      <c r="A19" s="94" t="s">
        <v>286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290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613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613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613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613</v>
      </c>
    </row>
    <row r="25" spans="1:14" x14ac:dyDescent="0.25">
      <c r="A25" t="s">
        <v>2</v>
      </c>
      <c r="B25" t="s">
        <v>1</v>
      </c>
      <c r="J25" t="s">
        <v>8</v>
      </c>
      <c r="K25">
        <v>37.1</v>
      </c>
      <c r="L25" t="s">
        <v>9</v>
      </c>
      <c r="M25" t="s">
        <v>10</v>
      </c>
      <c r="N25" t="s">
        <v>614</v>
      </c>
    </row>
    <row r="26" spans="1:14" x14ac:dyDescent="0.25">
      <c r="A26" t="s">
        <v>2</v>
      </c>
      <c r="B26" t="s">
        <v>5</v>
      </c>
      <c r="J26" t="s">
        <v>8</v>
      </c>
      <c r="K26">
        <v>36.1</v>
      </c>
      <c r="L26" t="s">
        <v>9</v>
      </c>
      <c r="M26" t="s">
        <v>10</v>
      </c>
      <c r="N26" t="s">
        <v>614</v>
      </c>
    </row>
    <row r="27" spans="1:14" x14ac:dyDescent="0.25">
      <c r="A27" t="s">
        <v>2</v>
      </c>
      <c r="J27" t="s">
        <v>653</v>
      </c>
      <c r="K27">
        <v>0</v>
      </c>
      <c r="L27" t="s">
        <v>4</v>
      </c>
    </row>
    <row r="28" spans="1:14" x14ac:dyDescent="0.25">
      <c r="A28" t="s">
        <v>2</v>
      </c>
      <c r="J28" t="s">
        <v>11</v>
      </c>
      <c r="K28" s="13">
        <v>50.655978419999997</v>
      </c>
      <c r="L28" t="s">
        <v>9</v>
      </c>
      <c r="M28" t="s">
        <v>12</v>
      </c>
      <c r="N28" t="s">
        <v>615</v>
      </c>
    </row>
    <row r="29" spans="1:14" x14ac:dyDescent="0.25">
      <c r="A29" t="s">
        <v>2</v>
      </c>
      <c r="J29" t="s">
        <v>13</v>
      </c>
      <c r="K29" s="13">
        <f>(79242*1.07+141785*4.46)/(79242+141785)</f>
        <v>3.2446264031091228</v>
      </c>
      <c r="L29" t="s">
        <v>9</v>
      </c>
      <c r="M29" t="s">
        <v>14</v>
      </c>
    </row>
    <row r="30" spans="1:14" x14ac:dyDescent="0.25">
      <c r="A30" t="s">
        <v>2</v>
      </c>
      <c r="B30" t="s">
        <v>1</v>
      </c>
      <c r="J30" t="s">
        <v>15</v>
      </c>
      <c r="K30">
        <v>5</v>
      </c>
      <c r="L30" t="s">
        <v>9</v>
      </c>
      <c r="M30" t="s">
        <v>14</v>
      </c>
      <c r="N30" t="s">
        <v>614</v>
      </c>
    </row>
    <row r="31" spans="1:14" x14ac:dyDescent="0.25">
      <c r="A31" t="s">
        <v>2</v>
      </c>
      <c r="B31" t="s">
        <v>5</v>
      </c>
      <c r="J31" t="s">
        <v>15</v>
      </c>
      <c r="K31">
        <v>4.5999999999999996</v>
      </c>
      <c r="L31" t="s">
        <v>9</v>
      </c>
      <c r="M31" t="s">
        <v>14</v>
      </c>
      <c r="N31" t="s">
        <v>614</v>
      </c>
    </row>
    <row r="32" spans="1:14" x14ac:dyDescent="0.25">
      <c r="A32" t="s">
        <v>2</v>
      </c>
      <c r="B32" t="s">
        <v>1</v>
      </c>
      <c r="J32" t="s">
        <v>16</v>
      </c>
      <c r="K32">
        <f>9*7</f>
        <v>63</v>
      </c>
      <c r="L32" t="s">
        <v>17</v>
      </c>
      <c r="N32" t="s">
        <v>665</v>
      </c>
    </row>
    <row r="33" spans="1:14" x14ac:dyDescent="0.25">
      <c r="A33" t="s">
        <v>2</v>
      </c>
      <c r="B33" t="s">
        <v>5</v>
      </c>
      <c r="J33" t="s">
        <v>16</v>
      </c>
      <c r="K33">
        <f>12*7</f>
        <v>84</v>
      </c>
      <c r="L33" t="s">
        <v>17</v>
      </c>
      <c r="N33" t="s">
        <v>664</v>
      </c>
    </row>
    <row r="34" spans="1:14" x14ac:dyDescent="0.25">
      <c r="A34" t="s">
        <v>2</v>
      </c>
      <c r="B34" t="s">
        <v>1</v>
      </c>
      <c r="J34" t="s">
        <v>378</v>
      </c>
      <c r="K34" s="271">
        <f>1/90*0.5</f>
        <v>5.5555555555555558E-3</v>
      </c>
      <c r="L34" t="s">
        <v>379</v>
      </c>
      <c r="M34" t="s">
        <v>646</v>
      </c>
      <c r="N34" t="s">
        <v>648</v>
      </c>
    </row>
    <row r="35" spans="1:14" x14ac:dyDescent="0.25">
      <c r="A35" t="s">
        <v>2</v>
      </c>
      <c r="B35" t="s">
        <v>5</v>
      </c>
      <c r="J35" t="s">
        <v>378</v>
      </c>
      <c r="K35" s="271">
        <f>1/99*0.5</f>
        <v>5.0505050505050509E-3</v>
      </c>
      <c r="L35" t="s">
        <v>379</v>
      </c>
      <c r="M35" t="s">
        <v>647</v>
      </c>
      <c r="N35" t="s">
        <v>649</v>
      </c>
    </row>
    <row r="37" spans="1:14" x14ac:dyDescent="0.25">
      <c r="A37" s="100" t="s">
        <v>291</v>
      </c>
      <c r="B37" s="100"/>
      <c r="C37" s="100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 spans="1:14" x14ac:dyDescent="0.25">
      <c r="A38" t="s">
        <v>37</v>
      </c>
      <c r="J38" t="s">
        <v>3</v>
      </c>
      <c r="K38">
        <v>12.7</v>
      </c>
      <c r="L38" t="s">
        <v>4</v>
      </c>
    </row>
    <row r="39" spans="1:14" x14ac:dyDescent="0.25">
      <c r="A39" t="s">
        <v>37</v>
      </c>
      <c r="J39" t="s">
        <v>6</v>
      </c>
      <c r="K39">
        <f>(27.5+28.4+27.6+29.9+30)/5</f>
        <v>28.68</v>
      </c>
      <c r="L39" t="s">
        <v>4</v>
      </c>
      <c r="M39" t="s">
        <v>7</v>
      </c>
      <c r="N39" t="s">
        <v>616</v>
      </c>
    </row>
    <row r="40" spans="1:14" x14ac:dyDescent="0.25">
      <c r="A40" t="s">
        <v>37</v>
      </c>
      <c r="J40" t="s">
        <v>8</v>
      </c>
      <c r="K40" s="13">
        <v>25.100803450000001</v>
      </c>
      <c r="L40" t="s">
        <v>9</v>
      </c>
      <c r="M40" t="s">
        <v>10</v>
      </c>
    </row>
    <row r="41" spans="1:14" x14ac:dyDescent="0.25">
      <c r="A41" t="s">
        <v>37</v>
      </c>
      <c r="J41" t="s">
        <v>653</v>
      </c>
      <c r="K41">
        <v>5</v>
      </c>
      <c r="L41" t="s">
        <v>4</v>
      </c>
      <c r="M41" t="s">
        <v>654</v>
      </c>
      <c r="N41" t="s">
        <v>655</v>
      </c>
    </row>
    <row r="42" spans="1:14" x14ac:dyDescent="0.25">
      <c r="A42" t="s">
        <v>37</v>
      </c>
      <c r="J42" t="s">
        <v>11</v>
      </c>
      <c r="K42">
        <v>51.7</v>
      </c>
      <c r="L42" t="s">
        <v>9</v>
      </c>
      <c r="M42" t="s">
        <v>12</v>
      </c>
      <c r="N42" t="s">
        <v>617</v>
      </c>
    </row>
    <row r="43" spans="1:14" x14ac:dyDescent="0.25">
      <c r="A43" t="s">
        <v>37</v>
      </c>
      <c r="J43" t="s">
        <v>13</v>
      </c>
      <c r="K43" s="1">
        <v>4.573044941</v>
      </c>
      <c r="L43" t="s">
        <v>9</v>
      </c>
      <c r="M43" t="s">
        <v>14</v>
      </c>
    </row>
    <row r="44" spans="1:14" x14ac:dyDescent="0.25">
      <c r="A44" t="s">
        <v>37</v>
      </c>
      <c r="J44" t="s">
        <v>15</v>
      </c>
      <c r="K44" s="1">
        <v>2.2748382920000001</v>
      </c>
      <c r="L44" t="s">
        <v>9</v>
      </c>
      <c r="M44" t="s">
        <v>14</v>
      </c>
    </row>
    <row r="45" spans="1:14" x14ac:dyDescent="0.25">
      <c r="A45" t="s">
        <v>37</v>
      </c>
      <c r="J45" t="s">
        <v>16</v>
      </c>
      <c r="K45" s="2">
        <f>7*30.4</f>
        <v>212.79999999999998</v>
      </c>
      <c r="L45" t="s">
        <v>17</v>
      </c>
      <c r="N45" t="s">
        <v>612</v>
      </c>
    </row>
    <row r="46" spans="1:14" x14ac:dyDescent="0.25">
      <c r="A46" t="s">
        <v>37</v>
      </c>
      <c r="B46" t="s">
        <v>1</v>
      </c>
      <c r="J46" t="s">
        <v>378</v>
      </c>
      <c r="K46" s="183">
        <f>1/17*1.5</f>
        <v>8.8235294117647051E-2</v>
      </c>
      <c r="L46" t="s">
        <v>379</v>
      </c>
      <c r="M46" t="s">
        <v>643</v>
      </c>
      <c r="N46" t="s">
        <v>645</v>
      </c>
    </row>
    <row r="47" spans="1:14" x14ac:dyDescent="0.25">
      <c r="A47" t="s">
        <v>37</v>
      </c>
      <c r="B47" t="s">
        <v>5</v>
      </c>
      <c r="J47" t="s">
        <v>378</v>
      </c>
      <c r="K47" s="183">
        <f>1/32*1.5</f>
        <v>4.6875E-2</v>
      </c>
      <c r="L47" t="s">
        <v>379</v>
      </c>
      <c r="M47" t="s">
        <v>644</v>
      </c>
      <c r="N47" t="s">
        <v>649</v>
      </c>
    </row>
    <row r="49" spans="1:16" x14ac:dyDescent="0.25">
      <c r="J49" s="158" t="s">
        <v>287</v>
      </c>
      <c r="K49" s="158">
        <v>0</v>
      </c>
      <c r="L49" s="158"/>
      <c r="M49" s="159" t="s">
        <v>401</v>
      </c>
    </row>
    <row r="50" spans="1:16" x14ac:dyDescent="0.25">
      <c r="A50" s="97" t="s">
        <v>290</v>
      </c>
      <c r="B50" s="97"/>
      <c r="C50" s="97"/>
      <c r="D50" s="98"/>
      <c r="E50" s="98"/>
      <c r="F50" s="98"/>
      <c r="G50" s="98"/>
      <c r="H50" s="98"/>
      <c r="I50" s="98"/>
      <c r="J50" s="98"/>
      <c r="K50" s="99"/>
      <c r="L50" s="98"/>
      <c r="M50" s="98"/>
      <c r="N50" s="98"/>
      <c r="O50" s="283" t="s">
        <v>621</v>
      </c>
    </row>
    <row r="51" spans="1:16" x14ac:dyDescent="0.25">
      <c r="A51" t="s">
        <v>2</v>
      </c>
      <c r="B51" s="4"/>
      <c r="C51" s="4"/>
      <c r="D51" s="110" t="s">
        <v>18</v>
      </c>
      <c r="E51" s="110"/>
      <c r="F51" s="110"/>
      <c r="G51" s="110"/>
      <c r="H51" s="110"/>
      <c r="I51" s="110"/>
      <c r="J51" s="110" t="s">
        <v>287</v>
      </c>
      <c r="K51" s="2">
        <f>K104/O51</f>
        <v>622.94564509508837</v>
      </c>
      <c r="L51" t="s">
        <v>122</v>
      </c>
      <c r="M51" s="109" t="s">
        <v>627</v>
      </c>
      <c r="N51" t="s">
        <v>641</v>
      </c>
      <c r="O51" s="1">
        <v>0.5</v>
      </c>
    </row>
    <row r="52" spans="1:16" x14ac:dyDescent="0.25">
      <c r="A52" t="s">
        <v>2</v>
      </c>
      <c r="D52" s="110" t="s">
        <v>402</v>
      </c>
      <c r="E52" s="110"/>
      <c r="F52" s="110"/>
      <c r="G52" s="110"/>
      <c r="H52" s="110"/>
      <c r="I52" s="110"/>
      <c r="J52" s="110" t="s">
        <v>287</v>
      </c>
      <c r="K52" s="2">
        <f>K105/O52</f>
        <v>762.19389342033719</v>
      </c>
      <c r="L52" t="s">
        <v>122</v>
      </c>
      <c r="M52" s="109" t="s">
        <v>627</v>
      </c>
      <c r="O52" s="1">
        <f>O65/O64*O51</f>
        <v>0.56603773584905659</v>
      </c>
    </row>
    <row r="53" spans="1:16" x14ac:dyDescent="0.25">
      <c r="A53" t="s">
        <v>2</v>
      </c>
      <c r="D53" s="110"/>
      <c r="E53" s="110"/>
      <c r="F53" s="110"/>
      <c r="G53" s="110"/>
      <c r="H53" s="110"/>
      <c r="I53" s="110"/>
      <c r="J53" s="110" t="s">
        <v>321</v>
      </c>
      <c r="K53" s="110">
        <v>40</v>
      </c>
      <c r="L53" t="s">
        <v>122</v>
      </c>
      <c r="M53" s="93"/>
      <c r="N53" t="s">
        <v>658</v>
      </c>
    </row>
    <row r="54" spans="1:16" x14ac:dyDescent="0.25">
      <c r="A54" t="s">
        <v>2</v>
      </c>
      <c r="B54" t="s">
        <v>1</v>
      </c>
      <c r="D54" s="110"/>
      <c r="E54" s="110"/>
      <c r="F54" s="110"/>
      <c r="G54" s="110"/>
      <c r="H54" s="110"/>
      <c r="I54" s="110"/>
      <c r="J54" s="110" t="s">
        <v>618</v>
      </c>
      <c r="K54" s="274">
        <f>K53+0.55*K32</f>
        <v>74.650000000000006</v>
      </c>
      <c r="L54" t="s">
        <v>122</v>
      </c>
      <c r="M54" s="93"/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619</v>
      </c>
      <c r="K55" s="274">
        <f>K53+0.55*K32</f>
        <v>74.650000000000006</v>
      </c>
      <c r="L55" t="s">
        <v>122</v>
      </c>
      <c r="M55" s="110"/>
      <c r="O55" s="283"/>
    </row>
    <row r="56" spans="1:16" x14ac:dyDescent="0.25">
      <c r="A56" t="s">
        <v>2</v>
      </c>
      <c r="B56" t="s">
        <v>5</v>
      </c>
      <c r="D56" s="110"/>
      <c r="E56" s="110"/>
      <c r="F56" s="110"/>
      <c r="G56" s="110"/>
      <c r="H56" s="110"/>
      <c r="I56" s="110"/>
      <c r="J56" s="110" t="s">
        <v>618</v>
      </c>
      <c r="K56" s="274">
        <f>K53+0.55*K33</f>
        <v>86.2</v>
      </c>
      <c r="L56" t="s">
        <v>122</v>
      </c>
      <c r="M56" s="110"/>
      <c r="O56" s="283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619</v>
      </c>
      <c r="K57" s="274">
        <f>K53+0.55*K33</f>
        <v>86.2</v>
      </c>
      <c r="L57" t="s">
        <v>122</v>
      </c>
      <c r="M57" s="110"/>
      <c r="O57" s="283"/>
    </row>
    <row r="58" spans="1:16" x14ac:dyDescent="0.25">
      <c r="A58" t="s">
        <v>2</v>
      </c>
      <c r="D58" s="110"/>
      <c r="E58" s="110"/>
      <c r="F58" s="110"/>
      <c r="G58" s="110"/>
      <c r="H58" s="110"/>
      <c r="I58" s="110"/>
      <c r="J58" s="110" t="s">
        <v>650</v>
      </c>
      <c r="K58" s="274">
        <f>K60</f>
        <v>586.10884105147261</v>
      </c>
      <c r="L58" t="s">
        <v>122</v>
      </c>
      <c r="M58" s="110" t="s">
        <v>651</v>
      </c>
      <c r="O58" s="283" t="s">
        <v>621</v>
      </c>
    </row>
    <row r="59" spans="1:16" x14ac:dyDescent="0.25">
      <c r="A59" t="s">
        <v>2</v>
      </c>
      <c r="D59" t="s">
        <v>611</v>
      </c>
      <c r="F59" s="110"/>
      <c r="G59" s="110"/>
      <c r="H59" s="110"/>
      <c r="I59" s="110"/>
      <c r="J59" s="110" t="s">
        <v>284</v>
      </c>
      <c r="K59" s="274">
        <f>K106/O59</f>
        <v>338.44023370458274</v>
      </c>
      <c r="L59" t="s">
        <v>122</v>
      </c>
      <c r="M59" s="109" t="s">
        <v>627</v>
      </c>
      <c r="N59" t="s">
        <v>656</v>
      </c>
      <c r="O59" s="303">
        <v>0.5</v>
      </c>
    </row>
    <row r="60" spans="1:16" x14ac:dyDescent="0.25">
      <c r="A60" t="s">
        <v>2</v>
      </c>
      <c r="D60" s="110" t="s">
        <v>32</v>
      </c>
      <c r="E60" s="110"/>
      <c r="F60" s="110"/>
      <c r="G60" s="110"/>
      <c r="H60" s="110"/>
      <c r="I60" s="110"/>
      <c r="J60" s="110" t="s">
        <v>284</v>
      </c>
      <c r="K60" s="274">
        <f>K107/O60</f>
        <v>586.10884105147261</v>
      </c>
      <c r="L60" t="s">
        <v>122</v>
      </c>
      <c r="M60" s="109" t="s">
        <v>627</v>
      </c>
      <c r="N60" t="s">
        <v>623</v>
      </c>
      <c r="O60" s="284">
        <f>320/625</f>
        <v>0.51200000000000001</v>
      </c>
      <c r="P60" t="s">
        <v>631</v>
      </c>
    </row>
    <row r="61" spans="1:16" x14ac:dyDescent="0.25">
      <c r="A61" t="s">
        <v>2</v>
      </c>
      <c r="D61" s="110" t="s">
        <v>33</v>
      </c>
      <c r="E61" s="110"/>
      <c r="F61" s="110"/>
      <c r="G61" s="110"/>
      <c r="H61" s="110"/>
      <c r="I61" s="110"/>
      <c r="J61" s="110" t="s">
        <v>284</v>
      </c>
      <c r="K61" s="274">
        <f>K108/O61</f>
        <v>640.74329323562813</v>
      </c>
      <c r="L61" t="s">
        <v>122</v>
      </c>
      <c r="M61" s="109" t="s">
        <v>627</v>
      </c>
      <c r="N61" t="s">
        <v>623</v>
      </c>
      <c r="O61" s="284">
        <f>320/625</f>
        <v>0.51200000000000001</v>
      </c>
    </row>
    <row r="62" spans="1:16" x14ac:dyDescent="0.25">
      <c r="A62" t="s">
        <v>2</v>
      </c>
      <c r="D62" s="110" t="s">
        <v>34</v>
      </c>
      <c r="E62" s="110"/>
      <c r="F62" s="110"/>
      <c r="G62" s="110"/>
      <c r="H62" s="110"/>
      <c r="I62" s="110"/>
      <c r="J62" s="110" t="s">
        <v>284</v>
      </c>
      <c r="K62" s="274">
        <f>K109/O62</f>
        <v>636.45866416098977</v>
      </c>
      <c r="L62" t="s">
        <v>122</v>
      </c>
      <c r="M62" s="109" t="s">
        <v>627</v>
      </c>
      <c r="N62" t="s">
        <v>623</v>
      </c>
      <c r="O62" s="284">
        <f>330/640</f>
        <v>0.515625</v>
      </c>
    </row>
    <row r="63" spans="1:16" x14ac:dyDescent="0.25">
      <c r="A63" s="100" t="s">
        <v>291</v>
      </c>
      <c r="B63" s="100"/>
      <c r="C63" s="100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283" t="s">
        <v>621</v>
      </c>
    </row>
    <row r="64" spans="1:16" x14ac:dyDescent="0.25">
      <c r="A64" t="s">
        <v>37</v>
      </c>
      <c r="B64" s="4"/>
      <c r="C64" s="4"/>
      <c r="D64" s="110" t="s">
        <v>18</v>
      </c>
      <c r="E64" s="110"/>
      <c r="F64" s="110"/>
      <c r="G64" s="110"/>
      <c r="H64" s="110"/>
      <c r="I64" s="110"/>
      <c r="J64" s="110" t="s">
        <v>287</v>
      </c>
      <c r="K64" s="274">
        <f>K121/O64</f>
        <v>642.93110058329</v>
      </c>
      <c r="L64" t="s">
        <v>122</v>
      </c>
      <c r="M64" s="109" t="s">
        <v>627</v>
      </c>
      <c r="N64" t="s">
        <v>652</v>
      </c>
      <c r="O64">
        <v>0.53</v>
      </c>
    </row>
    <row r="65" spans="1:15" x14ac:dyDescent="0.25">
      <c r="A65" t="s">
        <v>37</v>
      </c>
      <c r="D65" s="110" t="s">
        <v>402</v>
      </c>
      <c r="E65" s="110"/>
      <c r="F65" s="110"/>
      <c r="G65" s="110"/>
      <c r="H65" s="110"/>
      <c r="I65" s="110"/>
      <c r="J65" s="110" t="s">
        <v>287</v>
      </c>
      <c r="K65" s="274">
        <f>K122/O65</f>
        <v>871.65582368082369</v>
      </c>
      <c r="L65" t="s">
        <v>122</v>
      </c>
      <c r="M65" s="109" t="s">
        <v>627</v>
      </c>
      <c r="N65" t="s">
        <v>652</v>
      </c>
      <c r="O65" s="1">
        <v>0.6</v>
      </c>
    </row>
    <row r="66" spans="1:15" x14ac:dyDescent="0.25">
      <c r="A66" t="s">
        <v>37</v>
      </c>
      <c r="D66" s="110"/>
      <c r="E66" s="110"/>
      <c r="F66" s="110"/>
      <c r="G66" s="110"/>
      <c r="H66" s="110"/>
      <c r="I66" s="110"/>
      <c r="J66" s="110" t="s">
        <v>321</v>
      </c>
      <c r="K66" s="110">
        <v>41</v>
      </c>
      <c r="L66" t="s">
        <v>122</v>
      </c>
      <c r="M66" s="93"/>
      <c r="N66" t="s">
        <v>657</v>
      </c>
    </row>
    <row r="67" spans="1:15" x14ac:dyDescent="0.25">
      <c r="A67" t="s">
        <v>37</v>
      </c>
      <c r="D67" s="110"/>
      <c r="E67" s="110"/>
      <c r="F67" s="110"/>
      <c r="G67" s="110"/>
      <c r="H67" s="110"/>
      <c r="I67" s="110"/>
      <c r="J67" s="110" t="s">
        <v>618</v>
      </c>
      <c r="K67" s="274">
        <f>300*0.95</f>
        <v>285</v>
      </c>
      <c r="L67" t="s">
        <v>122</v>
      </c>
      <c r="M67" s="166" t="s">
        <v>666</v>
      </c>
      <c r="N67" t="s">
        <v>612</v>
      </c>
    </row>
    <row r="68" spans="1:15" x14ac:dyDescent="0.25">
      <c r="A68" t="s">
        <v>37</v>
      </c>
      <c r="D68" s="110"/>
      <c r="E68" s="110"/>
      <c r="F68" s="110"/>
      <c r="G68" s="110"/>
      <c r="H68" s="110"/>
      <c r="I68" s="110"/>
      <c r="J68" s="110" t="s">
        <v>619</v>
      </c>
      <c r="K68" s="274">
        <f>275*0.95</f>
        <v>261.25</v>
      </c>
      <c r="L68" t="s">
        <v>122</v>
      </c>
      <c r="M68" s="166" t="s">
        <v>666</v>
      </c>
      <c r="N68" t="s">
        <v>612</v>
      </c>
      <c r="O68" s="283"/>
    </row>
    <row r="69" spans="1:15" x14ac:dyDescent="0.25">
      <c r="A69" t="s">
        <v>37</v>
      </c>
      <c r="D69" s="110"/>
      <c r="E69" s="110"/>
      <c r="F69" s="110"/>
      <c r="G69" s="110"/>
      <c r="H69" s="110"/>
      <c r="I69" s="110"/>
      <c r="J69" s="110" t="s">
        <v>650</v>
      </c>
      <c r="K69" s="274">
        <f>K71</f>
        <v>591.31287185564975</v>
      </c>
      <c r="L69" t="s">
        <v>122</v>
      </c>
      <c r="M69" s="110" t="s">
        <v>651</v>
      </c>
      <c r="O69" s="283" t="s">
        <v>621</v>
      </c>
    </row>
    <row r="70" spans="1:15" x14ac:dyDescent="0.25">
      <c r="A70" t="s">
        <v>37</v>
      </c>
      <c r="D70" t="s">
        <v>611</v>
      </c>
      <c r="F70" s="110"/>
      <c r="G70" s="110"/>
      <c r="H70" s="110"/>
      <c r="I70" s="110"/>
      <c r="J70" s="110" t="s">
        <v>284</v>
      </c>
      <c r="K70" s="274">
        <f>K123/O70</f>
        <v>315.86083068362478</v>
      </c>
      <c r="L70" t="s">
        <v>122</v>
      </c>
      <c r="M70" s="109" t="s">
        <v>627</v>
      </c>
      <c r="N70" t="s">
        <v>656</v>
      </c>
      <c r="O70" s="303">
        <v>0.5</v>
      </c>
    </row>
    <row r="71" spans="1:15" x14ac:dyDescent="0.25">
      <c r="A71" t="s">
        <v>37</v>
      </c>
      <c r="D71" s="110" t="s">
        <v>32</v>
      </c>
      <c r="E71" s="110"/>
      <c r="F71" s="110"/>
      <c r="G71" s="110"/>
      <c r="H71" s="110"/>
      <c r="I71" s="110"/>
      <c r="J71" s="110" t="s">
        <v>284</v>
      </c>
      <c r="K71" s="274">
        <f>K124/O71</f>
        <v>591.31287185564975</v>
      </c>
      <c r="L71" t="s">
        <v>122</v>
      </c>
      <c r="M71" s="109" t="s">
        <v>627</v>
      </c>
      <c r="N71" t="s">
        <v>622</v>
      </c>
      <c r="O71" s="284">
        <f>315/600</f>
        <v>0.52500000000000002</v>
      </c>
    </row>
    <row r="72" spans="1:15" x14ac:dyDescent="0.25">
      <c r="A72" t="s">
        <v>37</v>
      </c>
      <c r="D72" s="110" t="s">
        <v>33</v>
      </c>
      <c r="E72" s="110"/>
      <c r="F72" s="110"/>
      <c r="G72" s="110"/>
      <c r="H72" s="110"/>
      <c r="I72" s="110"/>
      <c r="J72" s="110" t="s">
        <v>284</v>
      </c>
      <c r="K72" s="274">
        <f>K125/O72</f>
        <v>631.22742272568064</v>
      </c>
      <c r="L72" t="s">
        <v>122</v>
      </c>
      <c r="M72" s="109" t="s">
        <v>627</v>
      </c>
      <c r="N72" t="s">
        <v>622</v>
      </c>
      <c r="O72" s="284">
        <f>330/620</f>
        <v>0.532258064516129</v>
      </c>
    </row>
    <row r="73" spans="1:15" x14ac:dyDescent="0.25">
      <c r="A73" t="s">
        <v>37</v>
      </c>
      <c r="D73" s="110" t="s">
        <v>34</v>
      </c>
      <c r="E73" s="110"/>
      <c r="F73" s="110"/>
      <c r="G73" s="110"/>
      <c r="H73" s="110"/>
      <c r="I73" s="110"/>
      <c r="J73" s="110" t="s">
        <v>284</v>
      </c>
      <c r="K73" s="274">
        <f>K126/O73</f>
        <v>639.06904467839013</v>
      </c>
      <c r="L73" t="s">
        <v>122</v>
      </c>
      <c r="M73" s="109" t="s">
        <v>627</v>
      </c>
      <c r="N73" t="s">
        <v>622</v>
      </c>
      <c r="O73" s="284">
        <f>360/640</f>
        <v>0.5625</v>
      </c>
    </row>
    <row r="74" spans="1:15" x14ac:dyDescent="0.25">
      <c r="A74" s="94" t="s">
        <v>288</v>
      </c>
      <c r="B74" s="94"/>
      <c r="C74" s="94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</row>
    <row r="75" spans="1:15" x14ac:dyDescent="0.25">
      <c r="A75" s="97" t="s">
        <v>290</v>
      </c>
      <c r="B75" s="97"/>
      <c r="C75" s="97"/>
      <c r="D75" s="98"/>
      <c r="E75" s="98"/>
      <c r="F75" s="98"/>
      <c r="G75" s="98"/>
      <c r="H75" s="98"/>
      <c r="I75" s="98"/>
      <c r="J75" s="98"/>
      <c r="K75" s="99"/>
      <c r="L75" s="98"/>
      <c r="M75" s="98"/>
      <c r="N75" s="98"/>
    </row>
    <row r="76" spans="1:15" x14ac:dyDescent="0.25">
      <c r="A76" t="s">
        <v>2</v>
      </c>
      <c r="D76" t="s">
        <v>18</v>
      </c>
      <c r="J76" t="s">
        <v>19</v>
      </c>
      <c r="K76">
        <v>6.6</v>
      </c>
      <c r="L76" t="s">
        <v>9</v>
      </c>
      <c r="M76" t="s">
        <v>10</v>
      </c>
      <c r="N76" t="s">
        <v>612</v>
      </c>
    </row>
    <row r="77" spans="1:15" x14ac:dyDescent="0.25">
      <c r="A77" t="s">
        <v>2</v>
      </c>
      <c r="J77" t="s">
        <v>20</v>
      </c>
      <c r="K77">
        <v>4.2</v>
      </c>
      <c r="L77" t="s">
        <v>9</v>
      </c>
      <c r="M77" t="s">
        <v>21</v>
      </c>
      <c r="N77" t="s">
        <v>612</v>
      </c>
    </row>
    <row r="78" spans="1:15" x14ac:dyDescent="0.25">
      <c r="A78" t="s">
        <v>2</v>
      </c>
      <c r="J78" t="s">
        <v>22</v>
      </c>
      <c r="K78">
        <v>10</v>
      </c>
      <c r="L78" t="s">
        <v>17</v>
      </c>
      <c r="M78" t="s">
        <v>23</v>
      </c>
      <c r="N78" t="s">
        <v>612</v>
      </c>
    </row>
    <row r="79" spans="1:15" x14ac:dyDescent="0.25">
      <c r="A79" t="s">
        <v>2</v>
      </c>
      <c r="J79" t="s">
        <v>24</v>
      </c>
      <c r="K79">
        <v>3.4</v>
      </c>
      <c r="L79" t="s">
        <v>9</v>
      </c>
      <c r="M79" t="s">
        <v>21</v>
      </c>
      <c r="N79" t="s">
        <v>612</v>
      </c>
    </row>
    <row r="80" spans="1:15" x14ac:dyDescent="0.25">
      <c r="A80" t="s">
        <v>2</v>
      </c>
      <c r="J80" t="s">
        <v>25</v>
      </c>
      <c r="K80">
        <v>10</v>
      </c>
      <c r="L80" t="s">
        <v>17</v>
      </c>
      <c r="M80" t="s">
        <v>23</v>
      </c>
      <c r="N80" t="s">
        <v>612</v>
      </c>
    </row>
    <row r="81" spans="1:14" x14ac:dyDescent="0.25">
      <c r="A81" t="s">
        <v>2</v>
      </c>
      <c r="J81" t="s">
        <v>26</v>
      </c>
      <c r="K81">
        <v>6.8</v>
      </c>
      <c r="L81" t="s">
        <v>9</v>
      </c>
      <c r="M81" t="s">
        <v>27</v>
      </c>
      <c r="N81" t="s">
        <v>612</v>
      </c>
    </row>
    <row r="82" spans="1:14" x14ac:dyDescent="0.25">
      <c r="A82" t="s">
        <v>2</v>
      </c>
      <c r="J82" t="s">
        <v>28</v>
      </c>
      <c r="K82" s="93">
        <f>100+10</f>
        <v>110</v>
      </c>
      <c r="L82" t="s">
        <v>17</v>
      </c>
      <c r="M82" t="s">
        <v>23</v>
      </c>
      <c r="N82" s="93" t="s">
        <v>612</v>
      </c>
    </row>
    <row r="83" spans="1:14" x14ac:dyDescent="0.25">
      <c r="A83" t="s">
        <v>2</v>
      </c>
      <c r="J83" t="s">
        <v>29</v>
      </c>
      <c r="K83">
        <v>4</v>
      </c>
      <c r="L83" t="s">
        <v>9</v>
      </c>
      <c r="M83" t="s">
        <v>27</v>
      </c>
      <c r="N83" t="s">
        <v>612</v>
      </c>
    </row>
    <row r="84" spans="1:14" x14ac:dyDescent="0.25">
      <c r="A84" t="s">
        <v>2</v>
      </c>
      <c r="J84" t="s">
        <v>30</v>
      </c>
      <c r="K84" s="93">
        <f>100+10</f>
        <v>110</v>
      </c>
      <c r="L84" t="s">
        <v>17</v>
      </c>
      <c r="M84" t="s">
        <v>23</v>
      </c>
      <c r="N84" s="93" t="s">
        <v>612</v>
      </c>
    </row>
    <row r="85" spans="1:14" x14ac:dyDescent="0.25">
      <c r="A85" s="100" t="s">
        <v>291</v>
      </c>
      <c r="B85" s="100"/>
      <c r="C85" s="100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 spans="1:14" x14ac:dyDescent="0.25">
      <c r="A86" t="s">
        <v>37</v>
      </c>
      <c r="D86" t="s">
        <v>18</v>
      </c>
      <c r="J86" t="s">
        <v>19</v>
      </c>
      <c r="K86">
        <v>2</v>
      </c>
      <c r="L86" t="s">
        <v>9</v>
      </c>
      <c r="M86" t="s">
        <v>10</v>
      </c>
      <c r="N86" t="s">
        <v>612</v>
      </c>
    </row>
    <row r="87" spans="1:14" x14ac:dyDescent="0.25">
      <c r="A87" t="s">
        <v>37</v>
      </c>
      <c r="J87" t="s">
        <v>20</v>
      </c>
      <c r="K87">
        <v>4</v>
      </c>
      <c r="L87" t="s">
        <v>9</v>
      </c>
      <c r="M87" t="s">
        <v>21</v>
      </c>
      <c r="N87" t="s">
        <v>612</v>
      </c>
    </row>
    <row r="88" spans="1:14" x14ac:dyDescent="0.25">
      <c r="A88" t="s">
        <v>37</v>
      </c>
      <c r="J88" t="s">
        <v>22</v>
      </c>
      <c r="K88">
        <v>3</v>
      </c>
      <c r="L88" t="s">
        <v>17</v>
      </c>
      <c r="M88" t="s">
        <v>38</v>
      </c>
      <c r="N88" t="s">
        <v>612</v>
      </c>
    </row>
    <row r="89" spans="1:14" x14ac:dyDescent="0.25">
      <c r="A89" t="s">
        <v>37</v>
      </c>
      <c r="J89" t="s">
        <v>24</v>
      </c>
      <c r="K89">
        <v>3.2</v>
      </c>
      <c r="L89" t="s">
        <v>9</v>
      </c>
      <c r="M89" t="s">
        <v>21</v>
      </c>
      <c r="N89" t="s">
        <v>612</v>
      </c>
    </row>
    <row r="90" spans="1:14" x14ac:dyDescent="0.25">
      <c r="A90" t="s">
        <v>37</v>
      </c>
      <c r="J90" t="s">
        <v>25</v>
      </c>
      <c r="K90">
        <v>10</v>
      </c>
      <c r="L90" t="s">
        <v>17</v>
      </c>
      <c r="M90" t="s">
        <v>38</v>
      </c>
      <c r="N90" t="s">
        <v>612</v>
      </c>
    </row>
    <row r="91" spans="1:14" x14ac:dyDescent="0.25">
      <c r="A91" t="s">
        <v>37</v>
      </c>
      <c r="J91" t="s">
        <v>26</v>
      </c>
      <c r="K91">
        <v>2.2000000000000002</v>
      </c>
      <c r="L91" t="s">
        <v>9</v>
      </c>
      <c r="M91" t="s">
        <v>27</v>
      </c>
      <c r="N91" t="s">
        <v>612</v>
      </c>
    </row>
    <row r="92" spans="1:14" x14ac:dyDescent="0.25">
      <c r="A92" t="s">
        <v>37</v>
      </c>
      <c r="J92" t="s">
        <v>28</v>
      </c>
      <c r="K92">
        <v>234</v>
      </c>
      <c r="L92" t="s">
        <v>17</v>
      </c>
      <c r="M92" t="s">
        <v>38</v>
      </c>
      <c r="N92" t="s">
        <v>612</v>
      </c>
    </row>
    <row r="93" spans="1:14" x14ac:dyDescent="0.25">
      <c r="A93" t="s">
        <v>37</v>
      </c>
      <c r="J93" t="s">
        <v>29</v>
      </c>
      <c r="K93">
        <v>1.6</v>
      </c>
      <c r="L93" t="s">
        <v>9</v>
      </c>
      <c r="M93" t="s">
        <v>27</v>
      </c>
      <c r="N93" t="s">
        <v>612</v>
      </c>
    </row>
    <row r="94" spans="1:14" x14ac:dyDescent="0.25">
      <c r="A94" t="s">
        <v>37</v>
      </c>
      <c r="J94" t="s">
        <v>30</v>
      </c>
      <c r="K94">
        <v>241</v>
      </c>
      <c r="L94" t="s">
        <v>17</v>
      </c>
      <c r="M94" t="s">
        <v>38</v>
      </c>
      <c r="N94" t="s">
        <v>612</v>
      </c>
    </row>
    <row r="96" spans="1:14" x14ac:dyDescent="0.25">
      <c r="A96" s="94" t="s">
        <v>289</v>
      </c>
      <c r="B96" s="94"/>
      <c r="C96" s="94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</row>
    <row r="97" spans="1:14" x14ac:dyDescent="0.25">
      <c r="A97" s="97" t="s">
        <v>290</v>
      </c>
      <c r="B97" s="97"/>
      <c r="C97" s="97"/>
      <c r="D97" s="98"/>
      <c r="E97" s="98"/>
      <c r="F97" s="98"/>
      <c r="G97" s="98"/>
      <c r="H97" s="98"/>
      <c r="I97" s="98"/>
      <c r="J97" s="98"/>
      <c r="K97" s="99"/>
      <c r="L97" s="98"/>
      <c r="M97" s="98"/>
      <c r="N97" s="98"/>
    </row>
    <row r="98" spans="1:14" x14ac:dyDescent="0.25">
      <c r="A98" t="s">
        <v>2</v>
      </c>
      <c r="D98" t="s">
        <v>18</v>
      </c>
      <c r="J98" t="s">
        <v>31</v>
      </c>
      <c r="K98" s="270">
        <v>61.98743349686297</v>
      </c>
      <c r="L98" t="s">
        <v>4</v>
      </c>
      <c r="N98" t="s">
        <v>626</v>
      </c>
    </row>
    <row r="99" spans="1:14" x14ac:dyDescent="0.25">
      <c r="A99" t="s">
        <v>2</v>
      </c>
      <c r="D99" t="s">
        <v>402</v>
      </c>
      <c r="J99" t="s">
        <v>31</v>
      </c>
      <c r="K99" s="270">
        <v>41.352528548123978</v>
      </c>
      <c r="L99" t="s">
        <v>4</v>
      </c>
      <c r="N99" t="s">
        <v>626</v>
      </c>
    </row>
    <row r="100" spans="1:14" x14ac:dyDescent="0.25">
      <c r="A100" t="s">
        <v>2</v>
      </c>
      <c r="D100" t="s">
        <v>611</v>
      </c>
      <c r="J100" t="s">
        <v>31</v>
      </c>
      <c r="K100" s="270">
        <v>10.328497352565272</v>
      </c>
      <c r="L100" t="s">
        <v>4</v>
      </c>
      <c r="N100" t="s">
        <v>626</v>
      </c>
    </row>
    <row r="101" spans="1:14" x14ac:dyDescent="0.25">
      <c r="A101" t="s">
        <v>2</v>
      </c>
      <c r="D101" t="s">
        <v>32</v>
      </c>
      <c r="J101" t="s">
        <v>31</v>
      </c>
      <c r="K101" s="270">
        <v>30.188104823951395</v>
      </c>
      <c r="L101" t="s">
        <v>4</v>
      </c>
      <c r="N101" t="s">
        <v>626</v>
      </c>
    </row>
    <row r="102" spans="1:14" x14ac:dyDescent="0.25">
      <c r="A102" t="s">
        <v>2</v>
      </c>
      <c r="D102" t="s">
        <v>33</v>
      </c>
      <c r="J102" t="s">
        <v>31</v>
      </c>
      <c r="K102" s="13">
        <v>29.050688450113576</v>
      </c>
      <c r="L102" t="s">
        <v>4</v>
      </c>
      <c r="N102" t="s">
        <v>626</v>
      </c>
    </row>
    <row r="103" spans="1:14" x14ac:dyDescent="0.25">
      <c r="A103" t="s">
        <v>2</v>
      </c>
      <c r="D103" t="s">
        <v>34</v>
      </c>
      <c r="J103" t="s">
        <v>31</v>
      </c>
      <c r="K103" s="13">
        <v>21.274161929371228</v>
      </c>
      <c r="L103" t="s">
        <v>4</v>
      </c>
      <c r="N103" t="s">
        <v>626</v>
      </c>
    </row>
    <row r="104" spans="1:14" x14ac:dyDescent="0.25">
      <c r="A104" t="s">
        <v>2</v>
      </c>
      <c r="D104" t="s">
        <v>18</v>
      </c>
      <c r="J104" t="s">
        <v>35</v>
      </c>
      <c r="K104" s="13">
        <v>311.47282254754418</v>
      </c>
      <c r="L104" t="s">
        <v>36</v>
      </c>
      <c r="N104" t="s">
        <v>626</v>
      </c>
    </row>
    <row r="105" spans="1:14" x14ac:dyDescent="0.25">
      <c r="A105" t="s">
        <v>2</v>
      </c>
      <c r="D105" t="s">
        <v>402</v>
      </c>
      <c r="J105" t="s">
        <v>35</v>
      </c>
      <c r="K105" s="270">
        <v>431.43050570962481</v>
      </c>
      <c r="L105" s="110" t="s">
        <v>36</v>
      </c>
      <c r="N105" t="s">
        <v>626</v>
      </c>
    </row>
    <row r="106" spans="1:14" x14ac:dyDescent="0.25">
      <c r="A106" t="s">
        <v>2</v>
      </c>
      <c r="D106" t="s">
        <v>611</v>
      </c>
      <c r="J106" t="s">
        <v>35</v>
      </c>
      <c r="K106" s="270">
        <v>169.22011685229137</v>
      </c>
      <c r="L106" t="s">
        <v>36</v>
      </c>
      <c r="N106" t="s">
        <v>626</v>
      </c>
    </row>
    <row r="107" spans="1:14" x14ac:dyDescent="0.25">
      <c r="A107" t="s">
        <v>2</v>
      </c>
      <c r="D107" t="s">
        <v>32</v>
      </c>
      <c r="J107" t="s">
        <v>35</v>
      </c>
      <c r="K107" s="270">
        <v>300.087726618354</v>
      </c>
      <c r="L107" t="s">
        <v>36</v>
      </c>
      <c r="N107" t="s">
        <v>626</v>
      </c>
    </row>
    <row r="108" spans="1:14" x14ac:dyDescent="0.25">
      <c r="A108" t="s">
        <v>2</v>
      </c>
      <c r="D108" t="s">
        <v>33</v>
      </c>
      <c r="J108" t="s">
        <v>35</v>
      </c>
      <c r="K108" s="13">
        <v>328.06056613664163</v>
      </c>
      <c r="L108" t="s">
        <v>36</v>
      </c>
      <c r="N108" t="s">
        <v>626</v>
      </c>
    </row>
    <row r="109" spans="1:14" x14ac:dyDescent="0.25">
      <c r="A109" t="s">
        <v>2</v>
      </c>
      <c r="D109" t="s">
        <v>34</v>
      </c>
      <c r="J109" t="s">
        <v>35</v>
      </c>
      <c r="K109" s="13">
        <v>328.17399870801034</v>
      </c>
      <c r="L109" t="s">
        <v>36</v>
      </c>
      <c r="N109" t="s">
        <v>626</v>
      </c>
    </row>
    <row r="110" spans="1:14" x14ac:dyDescent="0.25">
      <c r="A110" t="s">
        <v>2</v>
      </c>
      <c r="B110" t="s">
        <v>1</v>
      </c>
      <c r="J110" t="s">
        <v>495</v>
      </c>
      <c r="K110" s="13">
        <v>7.708382338966838</v>
      </c>
      <c r="L110" t="s">
        <v>9</v>
      </c>
      <c r="M110" t="s">
        <v>499</v>
      </c>
      <c r="N110" t="s">
        <v>380</v>
      </c>
    </row>
    <row r="111" spans="1:14" x14ac:dyDescent="0.25">
      <c r="A111" t="s">
        <v>2</v>
      </c>
      <c r="B111" t="s">
        <v>1</v>
      </c>
      <c r="J111" t="s">
        <v>498</v>
      </c>
      <c r="K111" s="13">
        <v>14.798145933014354</v>
      </c>
      <c r="L111" t="s">
        <v>9</v>
      </c>
      <c r="M111" t="s">
        <v>500</v>
      </c>
      <c r="N111" t="s">
        <v>380</v>
      </c>
    </row>
    <row r="112" spans="1:14" x14ac:dyDescent="0.25">
      <c r="A112" t="s">
        <v>2</v>
      </c>
      <c r="B112" t="s">
        <v>5</v>
      </c>
      <c r="J112" t="s">
        <v>495</v>
      </c>
      <c r="K112" s="13">
        <v>7.708382338966838</v>
      </c>
      <c r="L112" t="s">
        <v>9</v>
      </c>
      <c r="M112" t="s">
        <v>499</v>
      </c>
      <c r="N112" t="s">
        <v>380</v>
      </c>
    </row>
    <row r="113" spans="1:14" x14ac:dyDescent="0.25">
      <c r="A113" t="s">
        <v>2</v>
      </c>
      <c r="B113" t="s">
        <v>5</v>
      </c>
      <c r="J113" t="s">
        <v>498</v>
      </c>
      <c r="K113" s="13">
        <v>65.534646274777856</v>
      </c>
      <c r="L113" t="s">
        <v>9</v>
      </c>
      <c r="M113" t="s">
        <v>500</v>
      </c>
      <c r="N113" t="s">
        <v>380</v>
      </c>
    </row>
    <row r="114" spans="1:14" x14ac:dyDescent="0.25">
      <c r="A114" s="100" t="s">
        <v>291</v>
      </c>
      <c r="B114" s="100"/>
      <c r="C114" s="100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 spans="1:14" x14ac:dyDescent="0.25">
      <c r="A115" t="s">
        <v>37</v>
      </c>
      <c r="D115" t="s">
        <v>18</v>
      </c>
      <c r="J115" t="s">
        <v>31</v>
      </c>
      <c r="K115" s="270">
        <v>75.040699327626541</v>
      </c>
      <c r="L115" t="s">
        <v>4</v>
      </c>
      <c r="M115" t="s">
        <v>630</v>
      </c>
      <c r="N115" t="s">
        <v>626</v>
      </c>
    </row>
    <row r="116" spans="1:14" x14ac:dyDescent="0.25">
      <c r="A116" t="s">
        <v>37</v>
      </c>
      <c r="D116" t="s">
        <v>402</v>
      </c>
      <c r="J116" t="s">
        <v>31</v>
      </c>
      <c r="K116" s="270">
        <v>56.088803088803097</v>
      </c>
      <c r="L116" t="s">
        <v>4</v>
      </c>
      <c r="N116" t="s">
        <v>626</v>
      </c>
    </row>
    <row r="117" spans="1:14" x14ac:dyDescent="0.25">
      <c r="A117" t="s">
        <v>37</v>
      </c>
      <c r="D117" t="s">
        <v>611</v>
      </c>
      <c r="J117" t="s">
        <v>31</v>
      </c>
      <c r="K117" s="270">
        <v>9.9010035771065183</v>
      </c>
      <c r="L117" t="s">
        <v>4</v>
      </c>
      <c r="N117" t="s">
        <v>626</v>
      </c>
    </row>
    <row r="118" spans="1:14" x14ac:dyDescent="0.25">
      <c r="A118" t="s">
        <v>37</v>
      </c>
      <c r="D118" t="s">
        <v>32</v>
      </c>
      <c r="J118" t="s">
        <v>31</v>
      </c>
      <c r="K118" s="13">
        <v>26.026750161681768</v>
      </c>
      <c r="L118" t="s">
        <v>4</v>
      </c>
      <c r="N118" t="s">
        <v>626</v>
      </c>
    </row>
    <row r="119" spans="1:14" x14ac:dyDescent="0.25">
      <c r="A119" t="s">
        <v>37</v>
      </c>
      <c r="D119" t="s">
        <v>33</v>
      </c>
      <c r="J119" t="s">
        <v>31</v>
      </c>
      <c r="K119" s="13">
        <v>27.558030529284888</v>
      </c>
      <c r="L119" t="s">
        <v>4</v>
      </c>
      <c r="N119" t="s">
        <v>626</v>
      </c>
    </row>
    <row r="120" spans="1:14" x14ac:dyDescent="0.25">
      <c r="A120" t="s">
        <v>37</v>
      </c>
      <c r="D120" t="s">
        <v>34</v>
      </c>
      <c r="J120" t="s">
        <v>31</v>
      </c>
      <c r="K120" s="13">
        <v>19.243860274657415</v>
      </c>
      <c r="L120" t="s">
        <v>4</v>
      </c>
      <c r="N120" t="s">
        <v>626</v>
      </c>
    </row>
    <row r="121" spans="1:14" x14ac:dyDescent="0.25">
      <c r="A121" t="s">
        <v>37</v>
      </c>
      <c r="D121" t="s">
        <v>18</v>
      </c>
      <c r="J121" t="s">
        <v>35</v>
      </c>
      <c r="K121" s="270">
        <v>340.75348330914369</v>
      </c>
      <c r="L121" t="s">
        <v>36</v>
      </c>
      <c r="N121" t="s">
        <v>626</v>
      </c>
    </row>
    <row r="122" spans="1:14" x14ac:dyDescent="0.25">
      <c r="A122" t="s">
        <v>37</v>
      </c>
      <c r="D122" t="s">
        <v>402</v>
      </c>
      <c r="J122" t="s">
        <v>35</v>
      </c>
      <c r="K122" s="270">
        <v>522.99349420849421</v>
      </c>
      <c r="L122" s="110" t="s">
        <v>36</v>
      </c>
      <c r="N122" t="s">
        <v>626</v>
      </c>
    </row>
    <row r="123" spans="1:14" x14ac:dyDescent="0.25">
      <c r="A123" t="s">
        <v>37</v>
      </c>
      <c r="D123" t="s">
        <v>611</v>
      </c>
      <c r="J123" t="s">
        <v>35</v>
      </c>
      <c r="K123" s="270">
        <v>157.93041534181239</v>
      </c>
      <c r="L123" t="s">
        <v>36</v>
      </c>
      <c r="N123" t="s">
        <v>626</v>
      </c>
    </row>
    <row r="124" spans="1:14" x14ac:dyDescent="0.25">
      <c r="A124" t="s">
        <v>37</v>
      </c>
      <c r="D124" t="s">
        <v>32</v>
      </c>
      <c r="J124" t="s">
        <v>35</v>
      </c>
      <c r="K124" s="13">
        <v>310.43925772421613</v>
      </c>
      <c r="L124" t="s">
        <v>36</v>
      </c>
      <c r="N124" t="s">
        <v>626</v>
      </c>
    </row>
    <row r="125" spans="1:14" x14ac:dyDescent="0.25">
      <c r="A125" t="s">
        <v>37</v>
      </c>
      <c r="D125" t="s">
        <v>33</v>
      </c>
      <c r="J125" t="s">
        <v>35</v>
      </c>
      <c r="K125" s="13">
        <v>335.97588628947517</v>
      </c>
      <c r="L125" t="s">
        <v>36</v>
      </c>
      <c r="N125" t="s">
        <v>626</v>
      </c>
    </row>
    <row r="126" spans="1:14" x14ac:dyDescent="0.25">
      <c r="A126" t="s">
        <v>37</v>
      </c>
      <c r="D126" t="s">
        <v>34</v>
      </c>
      <c r="J126" t="s">
        <v>35</v>
      </c>
      <c r="K126" s="13">
        <v>359.47633763159445</v>
      </c>
      <c r="L126" t="s">
        <v>36</v>
      </c>
      <c r="N126" t="s">
        <v>626</v>
      </c>
    </row>
    <row r="127" spans="1:14" x14ac:dyDescent="0.25">
      <c r="A127" t="s">
        <v>37</v>
      </c>
      <c r="B127" t="s">
        <v>1</v>
      </c>
      <c r="J127" t="s">
        <v>495</v>
      </c>
      <c r="K127" s="13">
        <v>2.4579700542883822</v>
      </c>
      <c r="L127" t="s">
        <v>9</v>
      </c>
      <c r="M127" t="s">
        <v>499</v>
      </c>
      <c r="N127" t="s">
        <v>380</v>
      </c>
    </row>
    <row r="128" spans="1:14" x14ac:dyDescent="0.25">
      <c r="A128" t="s">
        <v>37</v>
      </c>
      <c r="B128" t="s">
        <v>1</v>
      </c>
      <c r="J128" t="s">
        <v>498</v>
      </c>
      <c r="K128" s="13">
        <v>9.2748685002842954</v>
      </c>
      <c r="L128" t="s">
        <v>9</v>
      </c>
      <c r="M128" t="s">
        <v>500</v>
      </c>
      <c r="N128" t="s">
        <v>380</v>
      </c>
    </row>
    <row r="129" spans="1:14" x14ac:dyDescent="0.25">
      <c r="A129" t="s">
        <v>37</v>
      </c>
      <c r="B129" t="s">
        <v>5</v>
      </c>
      <c r="J129" t="s">
        <v>495</v>
      </c>
      <c r="K129" s="13">
        <v>2.4579700542883822</v>
      </c>
      <c r="L129" t="s">
        <v>9</v>
      </c>
      <c r="M129" t="s">
        <v>499</v>
      </c>
      <c r="N129" t="s">
        <v>380</v>
      </c>
    </row>
    <row r="130" spans="1:14" x14ac:dyDescent="0.25">
      <c r="A130" t="s">
        <v>37</v>
      </c>
      <c r="B130" t="s">
        <v>5</v>
      </c>
      <c r="J130" t="s">
        <v>498</v>
      </c>
      <c r="K130" s="13">
        <v>35.940115438601644</v>
      </c>
      <c r="L130" t="s">
        <v>9</v>
      </c>
      <c r="M130" t="s">
        <v>500</v>
      </c>
      <c r="N130" t="s">
        <v>380</v>
      </c>
    </row>
    <row r="131" spans="1:14" x14ac:dyDescent="0.25">
      <c r="K131" s="13"/>
    </row>
    <row r="132" spans="1:14" x14ac:dyDescent="0.25">
      <c r="A132" s="256" t="s">
        <v>572</v>
      </c>
      <c r="B132" s="157"/>
      <c r="C132" s="157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</row>
    <row r="133" spans="1:14" x14ac:dyDescent="0.25">
      <c r="A133" s="110" t="s">
        <v>2</v>
      </c>
      <c r="B133" s="110"/>
      <c r="C133" s="110"/>
      <c r="D133" s="110"/>
      <c r="E133" s="93" t="s">
        <v>18</v>
      </c>
      <c r="F133" s="110"/>
      <c r="G133" t="s">
        <v>579</v>
      </c>
      <c r="H133" s="110"/>
      <c r="I133" s="110"/>
      <c r="J133" s="110" t="s">
        <v>571</v>
      </c>
      <c r="K133" s="110">
        <v>5</v>
      </c>
      <c r="L133" s="110" t="s">
        <v>4</v>
      </c>
      <c r="M133" s="110"/>
      <c r="N133" s="110" t="s">
        <v>587</v>
      </c>
    </row>
    <row r="134" spans="1:14" x14ac:dyDescent="0.25">
      <c r="A134" s="110" t="s">
        <v>2</v>
      </c>
      <c r="B134" s="110"/>
      <c r="C134" s="110"/>
      <c r="D134" s="110"/>
      <c r="E134" s="93" t="s">
        <v>18</v>
      </c>
      <c r="F134" s="110"/>
      <c r="G134" t="s">
        <v>580</v>
      </c>
      <c r="H134" s="110"/>
      <c r="I134" s="110"/>
      <c r="J134" s="110" t="s">
        <v>571</v>
      </c>
      <c r="K134" s="110">
        <v>5.4</v>
      </c>
      <c r="L134" s="110" t="s">
        <v>4</v>
      </c>
      <c r="M134" s="110"/>
      <c r="N134" s="110" t="s">
        <v>587</v>
      </c>
    </row>
    <row r="135" spans="1:14" x14ac:dyDescent="0.25">
      <c r="A135" s="110" t="s">
        <v>2</v>
      </c>
      <c r="B135" s="110"/>
      <c r="C135" s="110"/>
      <c r="D135" s="110"/>
      <c r="E135" s="93" t="s">
        <v>18</v>
      </c>
      <c r="F135" s="110"/>
      <c r="G135" t="s">
        <v>581</v>
      </c>
      <c r="H135" s="110"/>
      <c r="I135" s="110"/>
      <c r="J135" s="110" t="s">
        <v>571</v>
      </c>
      <c r="K135" s="110">
        <v>4.9000000000000004</v>
      </c>
      <c r="L135" s="110" t="s">
        <v>4</v>
      </c>
      <c r="M135" s="110"/>
      <c r="N135" s="110" t="s">
        <v>587</v>
      </c>
    </row>
    <row r="136" spans="1:14" x14ac:dyDescent="0.25">
      <c r="A136" s="110" t="s">
        <v>2</v>
      </c>
      <c r="B136" s="110"/>
      <c r="C136" s="110"/>
      <c r="D136" s="110"/>
      <c r="E136" s="93" t="s">
        <v>18</v>
      </c>
      <c r="F136" s="110"/>
      <c r="G136" t="s">
        <v>582</v>
      </c>
      <c r="H136" s="110"/>
      <c r="I136" s="110"/>
      <c r="J136" s="110" t="s">
        <v>571</v>
      </c>
      <c r="K136" s="110">
        <v>5.0999999999999996</v>
      </c>
      <c r="L136" s="110" t="s">
        <v>4</v>
      </c>
      <c r="M136" s="110"/>
      <c r="N136" s="110" t="s">
        <v>587</v>
      </c>
    </row>
    <row r="137" spans="1:14" x14ac:dyDescent="0.25">
      <c r="A137" s="110" t="s">
        <v>2</v>
      </c>
      <c r="B137" s="110"/>
      <c r="C137" s="110"/>
      <c r="D137" s="110"/>
      <c r="E137" s="93" t="s">
        <v>18</v>
      </c>
      <c r="F137" s="110"/>
      <c r="G137" t="s">
        <v>583</v>
      </c>
      <c r="H137" s="110"/>
      <c r="I137" s="110"/>
      <c r="J137" s="110" t="s">
        <v>571</v>
      </c>
      <c r="K137" s="110">
        <v>4.9000000000000004</v>
      </c>
      <c r="L137" s="110" t="s">
        <v>4</v>
      </c>
      <c r="M137" s="110"/>
      <c r="N137" s="110" t="s">
        <v>587</v>
      </c>
    </row>
    <row r="138" spans="1:14" x14ac:dyDescent="0.25">
      <c r="A138" s="110" t="s">
        <v>2</v>
      </c>
      <c r="B138" s="110"/>
      <c r="C138" s="110"/>
      <c r="D138" s="110"/>
      <c r="E138" s="93" t="s">
        <v>18</v>
      </c>
      <c r="F138" s="110"/>
      <c r="G138" t="s">
        <v>584</v>
      </c>
      <c r="H138" s="110"/>
      <c r="I138" s="110"/>
      <c r="J138" s="110" t="s">
        <v>571</v>
      </c>
      <c r="K138" s="110">
        <v>5</v>
      </c>
      <c r="L138" s="110" t="s">
        <v>4</v>
      </c>
      <c r="M138" s="110"/>
      <c r="N138" s="110" t="s">
        <v>588</v>
      </c>
    </row>
    <row r="139" spans="1:14" x14ac:dyDescent="0.25">
      <c r="A139" s="110" t="s">
        <v>2</v>
      </c>
      <c r="B139" s="110"/>
      <c r="C139" s="110"/>
      <c r="D139" s="110"/>
      <c r="E139" s="93" t="s">
        <v>18</v>
      </c>
      <c r="F139" s="110"/>
      <c r="G139" t="s">
        <v>585</v>
      </c>
      <c r="H139" s="110"/>
      <c r="I139" s="110"/>
      <c r="J139" s="110" t="s">
        <v>571</v>
      </c>
      <c r="K139" s="110">
        <v>5</v>
      </c>
      <c r="L139" s="110" t="s">
        <v>4</v>
      </c>
      <c r="M139" s="110"/>
      <c r="N139" s="110" t="s">
        <v>587</v>
      </c>
    </row>
    <row r="140" spans="1:14" x14ac:dyDescent="0.25">
      <c r="A140" s="110" t="s">
        <v>2</v>
      </c>
      <c r="B140" s="110"/>
      <c r="C140" s="110"/>
      <c r="D140" s="110"/>
      <c r="E140" s="93" t="s">
        <v>18</v>
      </c>
      <c r="F140" s="110"/>
      <c r="G140" t="s">
        <v>586</v>
      </c>
      <c r="H140" s="110"/>
      <c r="I140" s="110"/>
      <c r="J140" s="110" t="s">
        <v>571</v>
      </c>
      <c r="K140" s="110">
        <v>3.1</v>
      </c>
      <c r="L140" s="110" t="s">
        <v>4</v>
      </c>
      <c r="M140" s="110"/>
      <c r="N140" s="110" t="s">
        <v>587</v>
      </c>
    </row>
    <row r="141" spans="1:14" x14ac:dyDescent="0.25">
      <c r="A141" s="110"/>
      <c r="B141" s="110"/>
      <c r="C141" s="110"/>
      <c r="D141" s="110"/>
      <c r="E141" s="93"/>
      <c r="F141" s="110"/>
      <c r="G141" s="110"/>
      <c r="H141" s="110"/>
      <c r="I141" s="110"/>
      <c r="J141" s="110"/>
      <c r="K141" s="110"/>
      <c r="L141" s="110"/>
      <c r="M141" s="110"/>
      <c r="N141" s="110"/>
    </row>
    <row r="142" spans="1:14" x14ac:dyDescent="0.25">
      <c r="A142" s="110"/>
      <c r="B142" s="110"/>
      <c r="C142" s="110"/>
      <c r="D142" s="110"/>
      <c r="E142" s="93"/>
      <c r="F142" s="110"/>
      <c r="G142" t="s">
        <v>579</v>
      </c>
      <c r="H142" s="110"/>
      <c r="I142" s="110"/>
      <c r="J142" s="110" t="s">
        <v>571</v>
      </c>
      <c r="K142" s="110">
        <v>6.5</v>
      </c>
      <c r="L142" s="110" t="s">
        <v>4</v>
      </c>
      <c r="M142" s="110" t="s">
        <v>577</v>
      </c>
      <c r="N142" s="110" t="s">
        <v>587</v>
      </c>
    </row>
    <row r="143" spans="1:14" x14ac:dyDescent="0.25">
      <c r="A143" s="110"/>
      <c r="B143" s="110"/>
      <c r="C143" s="110"/>
      <c r="D143" s="110"/>
      <c r="E143" s="93"/>
      <c r="F143" s="110"/>
      <c r="G143" t="s">
        <v>580</v>
      </c>
      <c r="H143" s="110"/>
      <c r="I143" s="110"/>
      <c r="J143" s="110" t="s">
        <v>571</v>
      </c>
      <c r="K143" s="110">
        <v>6.8</v>
      </c>
      <c r="L143" s="110" t="s">
        <v>4</v>
      </c>
      <c r="M143" s="110"/>
      <c r="N143" s="110" t="s">
        <v>587</v>
      </c>
    </row>
    <row r="144" spans="1:14" x14ac:dyDescent="0.25">
      <c r="A144" s="110"/>
      <c r="B144" s="110"/>
      <c r="C144" s="110"/>
      <c r="D144" s="110"/>
      <c r="E144" s="93"/>
      <c r="F144" s="110"/>
      <c r="G144" t="s">
        <v>581</v>
      </c>
      <c r="H144" s="110"/>
      <c r="I144" s="110"/>
      <c r="J144" s="110" t="s">
        <v>571</v>
      </c>
      <c r="K144" s="110">
        <v>6.2</v>
      </c>
      <c r="L144" s="110" t="s">
        <v>4</v>
      </c>
      <c r="M144" s="110"/>
      <c r="N144" s="110" t="s">
        <v>587</v>
      </c>
    </row>
    <row r="145" spans="1:14" x14ac:dyDescent="0.25">
      <c r="A145" s="110"/>
      <c r="B145" s="110"/>
      <c r="C145" s="110"/>
      <c r="D145" s="110"/>
      <c r="E145" s="93"/>
      <c r="F145" s="110"/>
      <c r="G145" t="s">
        <v>582</v>
      </c>
      <c r="H145" s="110"/>
      <c r="I145" s="110"/>
      <c r="J145" s="110" t="s">
        <v>571</v>
      </c>
      <c r="K145" s="110">
        <v>6.3</v>
      </c>
      <c r="L145" s="110" t="s">
        <v>4</v>
      </c>
      <c r="M145" s="110"/>
      <c r="N145" s="110" t="s">
        <v>587</v>
      </c>
    </row>
    <row r="146" spans="1:14" x14ac:dyDescent="0.25">
      <c r="A146" s="110"/>
      <c r="B146" s="110"/>
      <c r="C146" s="110"/>
      <c r="D146" s="110"/>
      <c r="E146" s="93"/>
      <c r="F146" s="110"/>
      <c r="G146" t="s">
        <v>583</v>
      </c>
      <c r="H146" s="110"/>
      <c r="I146" s="110"/>
      <c r="J146" s="110" t="s">
        <v>571</v>
      </c>
      <c r="K146" s="110">
        <v>6.5</v>
      </c>
      <c r="L146" s="110" t="s">
        <v>4</v>
      </c>
      <c r="M146" s="110"/>
      <c r="N146" s="110" t="s">
        <v>587</v>
      </c>
    </row>
    <row r="147" spans="1:14" x14ac:dyDescent="0.25">
      <c r="A147" s="110"/>
      <c r="B147" s="110"/>
      <c r="C147" s="110"/>
      <c r="D147" s="110"/>
      <c r="E147" s="93"/>
      <c r="F147" s="110"/>
      <c r="G147" t="s">
        <v>584</v>
      </c>
      <c r="H147" s="110"/>
      <c r="I147" s="110"/>
      <c r="J147" s="110" t="s">
        <v>571</v>
      </c>
      <c r="K147" s="110">
        <v>6</v>
      </c>
      <c r="L147" s="110" t="s">
        <v>4</v>
      </c>
      <c r="M147" s="110"/>
      <c r="N147" s="110" t="s">
        <v>587</v>
      </c>
    </row>
    <row r="148" spans="1:14" x14ac:dyDescent="0.25">
      <c r="A148" s="110"/>
      <c r="B148" s="110"/>
      <c r="C148" s="110"/>
      <c r="D148" s="110"/>
      <c r="E148" s="93"/>
      <c r="F148" s="110"/>
      <c r="G148" t="s">
        <v>585</v>
      </c>
      <c r="H148" s="110"/>
      <c r="I148" s="110"/>
      <c r="J148" s="110" t="s">
        <v>571</v>
      </c>
      <c r="K148" s="110">
        <v>5.4</v>
      </c>
      <c r="L148" s="110" t="s">
        <v>4</v>
      </c>
      <c r="M148" s="110"/>
      <c r="N148" s="110" t="s">
        <v>587</v>
      </c>
    </row>
    <row r="149" spans="1:14" x14ac:dyDescent="0.25">
      <c r="A149" s="110"/>
      <c r="B149" s="110"/>
      <c r="C149" s="110"/>
      <c r="D149" s="110"/>
      <c r="E149" s="93"/>
      <c r="F149" s="110"/>
      <c r="G149" t="s">
        <v>586</v>
      </c>
      <c r="H149" s="110"/>
      <c r="I149" s="110"/>
      <c r="J149" s="110" t="s">
        <v>571</v>
      </c>
      <c r="K149" s="110">
        <v>4.2</v>
      </c>
      <c r="L149" s="110" t="s">
        <v>4</v>
      </c>
      <c r="M149" s="110"/>
      <c r="N149" s="110" t="s">
        <v>587</v>
      </c>
    </row>
    <row r="150" spans="1:14" x14ac:dyDescent="0.25">
      <c r="A150" s="110"/>
      <c r="B150" s="110"/>
      <c r="C150" s="110"/>
      <c r="D150" s="110"/>
      <c r="E150" s="93"/>
      <c r="F150" s="110"/>
      <c r="G150" s="110"/>
      <c r="H150" s="110"/>
      <c r="I150" s="110"/>
      <c r="J150" s="110"/>
      <c r="K150" s="110"/>
      <c r="L150" s="110"/>
      <c r="M150" s="110"/>
      <c r="N150" s="110"/>
    </row>
    <row r="151" spans="1:14" x14ac:dyDescent="0.25">
      <c r="A151" s="110"/>
      <c r="B151" s="110"/>
      <c r="C151" s="110"/>
      <c r="D151" s="110"/>
      <c r="E151" s="93" t="s">
        <v>633</v>
      </c>
      <c r="F151" s="110"/>
      <c r="G151" t="s">
        <v>579</v>
      </c>
      <c r="H151" s="110"/>
      <c r="I151" s="110"/>
      <c r="J151" s="110" t="s">
        <v>571</v>
      </c>
      <c r="K151" s="110">
        <v>4</v>
      </c>
      <c r="L151" s="110" t="s">
        <v>4</v>
      </c>
      <c r="M151" s="110"/>
      <c r="N151" s="110" t="s">
        <v>587</v>
      </c>
    </row>
    <row r="152" spans="1:14" x14ac:dyDescent="0.25">
      <c r="A152" s="110"/>
      <c r="B152" s="110"/>
      <c r="C152" s="110"/>
      <c r="D152" s="110"/>
      <c r="E152" s="93" t="s">
        <v>633</v>
      </c>
      <c r="F152" s="110"/>
      <c r="G152" t="s">
        <v>580</v>
      </c>
      <c r="H152" s="110"/>
      <c r="I152" s="110"/>
      <c r="J152" s="110" t="s">
        <v>571</v>
      </c>
      <c r="K152" s="110">
        <v>4.3</v>
      </c>
      <c r="L152" s="110" t="s">
        <v>4</v>
      </c>
      <c r="M152" s="110"/>
      <c r="N152" s="110" t="s">
        <v>587</v>
      </c>
    </row>
    <row r="153" spans="1:14" x14ac:dyDescent="0.25">
      <c r="A153" s="110"/>
      <c r="B153" s="110"/>
      <c r="C153" s="110"/>
      <c r="D153" s="110"/>
      <c r="E153" s="93" t="s">
        <v>633</v>
      </c>
      <c r="F153" s="110"/>
      <c r="G153" t="s">
        <v>581</v>
      </c>
      <c r="H153" s="110"/>
      <c r="I153" s="110"/>
      <c r="J153" s="110" t="s">
        <v>571</v>
      </c>
      <c r="K153" s="110">
        <v>4</v>
      </c>
      <c r="L153" s="110" t="s">
        <v>4</v>
      </c>
      <c r="M153" s="110"/>
      <c r="N153" s="110" t="s">
        <v>587</v>
      </c>
    </row>
    <row r="154" spans="1:14" x14ac:dyDescent="0.25">
      <c r="A154" s="110"/>
      <c r="B154" s="110"/>
      <c r="C154" s="110"/>
      <c r="D154" s="110"/>
      <c r="E154" s="93" t="s">
        <v>633</v>
      </c>
      <c r="F154" s="110"/>
      <c r="G154" t="s">
        <v>582</v>
      </c>
      <c r="H154" s="110"/>
      <c r="I154" s="110"/>
      <c r="J154" s="110" t="s">
        <v>571</v>
      </c>
      <c r="K154" s="110">
        <v>4.3</v>
      </c>
      <c r="L154" s="110" t="s">
        <v>4</v>
      </c>
      <c r="M154" s="110"/>
      <c r="N154" s="110" t="s">
        <v>587</v>
      </c>
    </row>
    <row r="155" spans="1:14" x14ac:dyDescent="0.25">
      <c r="A155" s="110"/>
      <c r="B155" s="110"/>
      <c r="C155" s="110"/>
      <c r="D155" s="110"/>
      <c r="E155" s="93" t="s">
        <v>633</v>
      </c>
      <c r="F155" s="110"/>
      <c r="G155" t="s">
        <v>583</v>
      </c>
      <c r="H155" s="110"/>
      <c r="I155" s="110"/>
      <c r="J155" s="110" t="s">
        <v>571</v>
      </c>
      <c r="K155" s="110">
        <v>4.7</v>
      </c>
      <c r="L155" s="110" t="s">
        <v>4</v>
      </c>
      <c r="M155" s="110"/>
      <c r="N155" s="110" t="s">
        <v>587</v>
      </c>
    </row>
    <row r="156" spans="1:14" x14ac:dyDescent="0.25">
      <c r="A156" s="110"/>
      <c r="B156" s="110"/>
      <c r="C156" s="110"/>
      <c r="D156" s="110"/>
      <c r="E156" s="93" t="s">
        <v>633</v>
      </c>
      <c r="F156" s="110"/>
      <c r="G156" t="s">
        <v>584</v>
      </c>
      <c r="H156" s="110"/>
      <c r="I156" s="110"/>
      <c r="J156" s="110" t="s">
        <v>571</v>
      </c>
      <c r="K156" s="110">
        <v>3.8</v>
      </c>
      <c r="L156" s="110" t="s">
        <v>4</v>
      </c>
      <c r="M156" s="110"/>
      <c r="N156" s="110" t="s">
        <v>587</v>
      </c>
    </row>
    <row r="157" spans="1:14" x14ac:dyDescent="0.25">
      <c r="A157" s="110"/>
      <c r="B157" s="110"/>
      <c r="C157" s="110"/>
      <c r="D157" s="110"/>
      <c r="E157" s="93" t="s">
        <v>633</v>
      </c>
      <c r="F157" s="110"/>
      <c r="G157" t="s">
        <v>585</v>
      </c>
      <c r="H157" s="110"/>
      <c r="I157" s="110"/>
      <c r="J157" s="110" t="s">
        <v>571</v>
      </c>
      <c r="K157" s="110">
        <v>3.9</v>
      </c>
      <c r="L157" s="110" t="s">
        <v>4</v>
      </c>
      <c r="M157" s="110"/>
      <c r="N157" s="110" t="s">
        <v>587</v>
      </c>
    </row>
    <row r="158" spans="1:14" x14ac:dyDescent="0.25">
      <c r="A158" s="110"/>
      <c r="B158" s="110"/>
      <c r="C158" s="110"/>
      <c r="D158" s="110"/>
      <c r="E158" s="93" t="s">
        <v>633</v>
      </c>
      <c r="F158" s="110"/>
      <c r="G158" t="s">
        <v>586</v>
      </c>
      <c r="H158" s="110"/>
      <c r="I158" s="110"/>
      <c r="J158" s="110" t="s">
        <v>571</v>
      </c>
      <c r="K158" s="110">
        <v>3.2</v>
      </c>
      <c r="L158" s="110" t="s">
        <v>4</v>
      </c>
      <c r="M158" s="110"/>
      <c r="N158" s="110" t="s">
        <v>587</v>
      </c>
    </row>
    <row r="159" spans="1:14" x14ac:dyDescent="0.25">
      <c r="A159" s="110"/>
      <c r="B159" s="110"/>
      <c r="C159" s="110"/>
      <c r="D159" s="110"/>
      <c r="E159" s="93"/>
      <c r="F159" s="110"/>
      <c r="G159" s="110"/>
      <c r="H159" s="110"/>
      <c r="I159" s="110"/>
      <c r="J159" s="110"/>
      <c r="K159" s="110"/>
      <c r="L159" s="110"/>
      <c r="M159" s="110"/>
      <c r="N159" s="110"/>
    </row>
    <row r="160" spans="1:14" x14ac:dyDescent="0.25">
      <c r="A160" s="110"/>
      <c r="B160" s="110"/>
      <c r="C160" s="110"/>
      <c r="D160" s="110"/>
      <c r="E160" s="93" t="s">
        <v>34</v>
      </c>
      <c r="F160" s="110"/>
      <c r="G160" t="s">
        <v>579</v>
      </c>
      <c r="H160" s="110"/>
      <c r="I160" s="110"/>
      <c r="J160" s="110" t="s">
        <v>571</v>
      </c>
      <c r="K160" s="110">
        <v>0</v>
      </c>
      <c r="L160" s="110" t="s">
        <v>4</v>
      </c>
      <c r="M160" s="110" t="s">
        <v>578</v>
      </c>
      <c r="N160" s="110"/>
    </row>
    <row r="161" spans="1:14" x14ac:dyDescent="0.25">
      <c r="A161" s="110"/>
      <c r="B161" s="110"/>
      <c r="C161" s="110"/>
      <c r="D161" s="110"/>
      <c r="E161" s="93" t="s">
        <v>34</v>
      </c>
      <c r="F161" s="110"/>
      <c r="G161" t="s">
        <v>580</v>
      </c>
      <c r="H161" s="110"/>
      <c r="I161" s="110"/>
      <c r="J161" s="110" t="s">
        <v>571</v>
      </c>
      <c r="K161" s="110">
        <v>0</v>
      </c>
      <c r="L161" s="110" t="s">
        <v>4</v>
      </c>
      <c r="M161" s="110"/>
      <c r="N161" s="110"/>
    </row>
    <row r="162" spans="1:14" x14ac:dyDescent="0.25">
      <c r="A162" s="110"/>
      <c r="B162" s="110"/>
      <c r="C162" s="110"/>
      <c r="D162" s="110"/>
      <c r="E162" s="93" t="s">
        <v>34</v>
      </c>
      <c r="F162" s="110"/>
      <c r="G162" t="s">
        <v>581</v>
      </c>
      <c r="H162" s="110"/>
      <c r="I162" s="110"/>
      <c r="J162" s="110" t="s">
        <v>571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93" t="s">
        <v>34</v>
      </c>
      <c r="F163" s="110"/>
      <c r="G163" t="s">
        <v>582</v>
      </c>
      <c r="H163" s="110"/>
      <c r="I163" s="110"/>
      <c r="J163" s="110" t="s">
        <v>571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34</v>
      </c>
      <c r="F164" s="110"/>
      <c r="G164" t="s">
        <v>583</v>
      </c>
      <c r="H164" s="110"/>
      <c r="I164" s="110"/>
      <c r="J164" s="110" t="s">
        <v>571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34</v>
      </c>
      <c r="F165" s="110"/>
      <c r="G165" t="s">
        <v>584</v>
      </c>
      <c r="H165" s="110"/>
      <c r="I165" s="110"/>
      <c r="J165" s="110" t="s">
        <v>571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34</v>
      </c>
      <c r="F166" s="110"/>
      <c r="G166" t="s">
        <v>585</v>
      </c>
      <c r="H166" s="110"/>
      <c r="I166" s="110"/>
      <c r="J166" s="110" t="s">
        <v>571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34</v>
      </c>
      <c r="F167" s="110"/>
      <c r="G167" t="s">
        <v>586</v>
      </c>
      <c r="H167" s="110"/>
      <c r="I167" s="110"/>
      <c r="J167" s="110" t="s">
        <v>571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/>
      <c r="F168" s="110"/>
      <c r="G168" s="110"/>
      <c r="H168" s="110"/>
      <c r="I168" s="110"/>
      <c r="J168" s="110"/>
      <c r="K168" s="110"/>
      <c r="L168" s="110"/>
      <c r="M168" s="110"/>
      <c r="N168" s="110"/>
    </row>
    <row r="169" spans="1:14" x14ac:dyDescent="0.25">
      <c r="A169" s="110"/>
      <c r="B169" s="110"/>
      <c r="C169" s="110"/>
      <c r="D169" s="110"/>
      <c r="E169" s="93" t="s">
        <v>402</v>
      </c>
      <c r="F169" s="110"/>
      <c r="G169" t="s">
        <v>579</v>
      </c>
      <c r="H169" s="110"/>
      <c r="I169" s="110"/>
      <c r="J169" s="110" t="s">
        <v>571</v>
      </c>
      <c r="K169" s="110">
        <v>0</v>
      </c>
      <c r="L169" s="110" t="s">
        <v>4</v>
      </c>
      <c r="M169" s="110" t="s">
        <v>578</v>
      </c>
      <c r="N169" s="110"/>
    </row>
    <row r="170" spans="1:14" x14ac:dyDescent="0.25">
      <c r="A170" s="110"/>
      <c r="B170" s="110"/>
      <c r="C170" s="110"/>
      <c r="D170" s="110"/>
      <c r="E170" s="93" t="s">
        <v>402</v>
      </c>
      <c r="F170" s="110"/>
      <c r="G170" t="s">
        <v>580</v>
      </c>
      <c r="H170" s="110"/>
      <c r="I170" s="110"/>
      <c r="J170" s="110" t="s">
        <v>571</v>
      </c>
      <c r="K170" s="110">
        <v>0</v>
      </c>
      <c r="L170" s="110" t="s">
        <v>4</v>
      </c>
      <c r="M170" s="110"/>
      <c r="N170" s="110"/>
    </row>
    <row r="171" spans="1:14" x14ac:dyDescent="0.25">
      <c r="A171" s="110"/>
      <c r="B171" s="110"/>
      <c r="C171" s="110"/>
      <c r="D171" s="110"/>
      <c r="E171" s="93" t="s">
        <v>402</v>
      </c>
      <c r="F171" s="110"/>
      <c r="G171" t="s">
        <v>581</v>
      </c>
      <c r="H171" s="110"/>
      <c r="I171" s="110"/>
      <c r="J171" s="110" t="s">
        <v>571</v>
      </c>
      <c r="K171" s="110">
        <v>0</v>
      </c>
      <c r="L171" s="110" t="s">
        <v>4</v>
      </c>
      <c r="M171" s="110"/>
      <c r="N171" s="110"/>
    </row>
    <row r="172" spans="1:14" x14ac:dyDescent="0.25">
      <c r="A172" s="110"/>
      <c r="B172" s="110"/>
      <c r="C172" s="110"/>
      <c r="D172" s="110"/>
      <c r="E172" s="93" t="s">
        <v>402</v>
      </c>
      <c r="F172" s="110"/>
      <c r="G172" t="s">
        <v>582</v>
      </c>
      <c r="H172" s="110"/>
      <c r="I172" s="110"/>
      <c r="J172" s="110" t="s">
        <v>571</v>
      </c>
      <c r="K172" s="110">
        <v>0</v>
      </c>
      <c r="L172" s="110" t="s">
        <v>4</v>
      </c>
      <c r="M172" s="110"/>
      <c r="N172" s="110"/>
    </row>
    <row r="173" spans="1:14" x14ac:dyDescent="0.25">
      <c r="A173" s="110"/>
      <c r="B173" s="110"/>
      <c r="C173" s="110"/>
      <c r="D173" s="110"/>
      <c r="E173" s="93" t="s">
        <v>402</v>
      </c>
      <c r="F173" s="110"/>
      <c r="G173" t="s">
        <v>583</v>
      </c>
      <c r="H173" s="110"/>
      <c r="I173" s="110"/>
      <c r="J173" s="110" t="s">
        <v>571</v>
      </c>
      <c r="K173" s="110">
        <v>0</v>
      </c>
      <c r="L173" s="110" t="s">
        <v>4</v>
      </c>
      <c r="M173" s="110"/>
      <c r="N173" s="110"/>
    </row>
    <row r="174" spans="1:14" x14ac:dyDescent="0.25">
      <c r="A174" s="110"/>
      <c r="B174" s="110"/>
      <c r="C174" s="110"/>
      <c r="D174" s="110"/>
      <c r="E174" s="93" t="s">
        <v>402</v>
      </c>
      <c r="F174" s="110"/>
      <c r="G174" t="s">
        <v>584</v>
      </c>
      <c r="H174" s="110"/>
      <c r="I174" s="110"/>
      <c r="J174" s="110" t="s">
        <v>571</v>
      </c>
      <c r="K174" s="110">
        <v>0</v>
      </c>
      <c r="L174" s="110" t="s">
        <v>4</v>
      </c>
      <c r="M174" s="110"/>
      <c r="N174" s="110"/>
    </row>
    <row r="175" spans="1:14" x14ac:dyDescent="0.25">
      <c r="A175" s="110"/>
      <c r="B175" s="110"/>
      <c r="C175" s="110"/>
      <c r="D175" s="110"/>
      <c r="E175" s="93" t="s">
        <v>402</v>
      </c>
      <c r="F175" s="110"/>
      <c r="G175" t="s">
        <v>585</v>
      </c>
      <c r="H175" s="110"/>
      <c r="I175" s="110"/>
      <c r="J175" s="110" t="s">
        <v>571</v>
      </c>
      <c r="K175" s="110">
        <v>0</v>
      </c>
      <c r="L175" s="110" t="s">
        <v>4</v>
      </c>
      <c r="M175" s="110"/>
      <c r="N175" s="110"/>
    </row>
    <row r="176" spans="1:14" x14ac:dyDescent="0.25">
      <c r="A176" s="110"/>
      <c r="B176" s="110"/>
      <c r="C176" s="110"/>
      <c r="D176" s="110"/>
      <c r="E176" s="93" t="s">
        <v>402</v>
      </c>
      <c r="F176" s="110"/>
      <c r="G176" t="s">
        <v>586</v>
      </c>
      <c r="H176" s="110"/>
      <c r="I176" s="110"/>
      <c r="J176" s="110" t="s">
        <v>571</v>
      </c>
      <c r="K176" s="110">
        <v>0</v>
      </c>
      <c r="L176" s="110" t="s">
        <v>4</v>
      </c>
      <c r="M176" s="110"/>
      <c r="N176" s="110"/>
    </row>
    <row r="177" spans="1:14" x14ac:dyDescent="0.25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</row>
    <row r="178" spans="1:14" x14ac:dyDescent="0.25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 t="s">
        <v>574</v>
      </c>
      <c r="K178" s="110">
        <v>0</v>
      </c>
      <c r="L178" s="110" t="s">
        <v>9</v>
      </c>
      <c r="M178" s="110" t="s">
        <v>576</v>
      </c>
      <c r="N178" s="110"/>
    </row>
    <row r="179" spans="1:14" x14ac:dyDescent="0.25">
      <c r="A179" s="110" t="s">
        <v>2</v>
      </c>
      <c r="B179" s="110"/>
      <c r="C179" s="110"/>
      <c r="D179" s="110" t="s">
        <v>18</v>
      </c>
      <c r="E179" s="110"/>
      <c r="F179" s="110"/>
      <c r="G179" s="110"/>
      <c r="H179" s="110"/>
      <c r="I179" s="110"/>
      <c r="J179" s="110" t="s">
        <v>574</v>
      </c>
      <c r="K179" s="110">
        <v>38</v>
      </c>
      <c r="L179" s="110" t="s">
        <v>9</v>
      </c>
      <c r="M179" s="110"/>
      <c r="N179" s="110" t="s">
        <v>575</v>
      </c>
    </row>
    <row r="181" spans="1:14" x14ac:dyDescent="0.25">
      <c r="A181" s="94" t="s">
        <v>292</v>
      </c>
      <c r="B181" s="94"/>
      <c r="C181" s="94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</row>
    <row r="182" spans="1:14" x14ac:dyDescent="0.25">
      <c r="A182" s="97" t="s">
        <v>290</v>
      </c>
      <c r="B182" s="97"/>
      <c r="C182" s="97"/>
      <c r="D182" s="98"/>
      <c r="E182" s="98"/>
      <c r="F182" s="98"/>
      <c r="G182" s="98"/>
      <c r="H182" s="98"/>
      <c r="I182" s="98"/>
      <c r="J182" s="98"/>
      <c r="K182" s="99"/>
      <c r="L182" s="98"/>
      <c r="M182" s="98"/>
      <c r="N182" s="98"/>
    </row>
    <row r="183" spans="1:14" x14ac:dyDescent="0.25">
      <c r="A183" t="s">
        <v>2</v>
      </c>
      <c r="H183" t="s">
        <v>5</v>
      </c>
      <c r="I183" t="s">
        <v>1</v>
      </c>
      <c r="J183" t="s">
        <v>315</v>
      </c>
      <c r="K183">
        <v>89</v>
      </c>
      <c r="L183" t="s">
        <v>9</v>
      </c>
      <c r="M183" t="s">
        <v>318</v>
      </c>
    </row>
    <row r="184" spans="1:14" x14ac:dyDescent="0.25">
      <c r="A184" t="s">
        <v>2</v>
      </c>
      <c r="H184" t="s">
        <v>5</v>
      </c>
      <c r="I184" t="s">
        <v>1</v>
      </c>
      <c r="J184" t="s">
        <v>316</v>
      </c>
      <c r="K184">
        <v>8.5</v>
      </c>
      <c r="L184" t="s">
        <v>9</v>
      </c>
      <c r="M184" t="s">
        <v>318</v>
      </c>
    </row>
    <row r="185" spans="1:14" x14ac:dyDescent="0.25">
      <c r="A185" s="100" t="s">
        <v>291</v>
      </c>
      <c r="B185" s="100"/>
      <c r="C185" s="100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 spans="1:14" x14ac:dyDescent="0.25">
      <c r="A186" t="s">
        <v>37</v>
      </c>
      <c r="H186" t="s">
        <v>5</v>
      </c>
      <c r="I186" t="s">
        <v>1</v>
      </c>
      <c r="J186" t="s">
        <v>315</v>
      </c>
      <c r="K186">
        <v>14</v>
      </c>
      <c r="L186" t="s">
        <v>9</v>
      </c>
      <c r="M186" t="s">
        <v>318</v>
      </c>
    </row>
    <row r="187" spans="1:14" x14ac:dyDescent="0.25">
      <c r="A187" t="s">
        <v>37</v>
      </c>
      <c r="H187" t="s">
        <v>5</v>
      </c>
      <c r="I187" t="s">
        <v>1</v>
      </c>
      <c r="J187" t="s">
        <v>316</v>
      </c>
      <c r="K187">
        <v>8.5</v>
      </c>
      <c r="L187" t="s">
        <v>9</v>
      </c>
      <c r="M187" t="s">
        <v>318</v>
      </c>
    </row>
    <row r="189" spans="1:14" x14ac:dyDescent="0.25">
      <c r="A189" s="94" t="s">
        <v>382</v>
      </c>
      <c r="B189" s="94"/>
      <c r="C189" s="94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</row>
    <row r="190" spans="1:14" x14ac:dyDescent="0.25">
      <c r="A190" s="4" t="s">
        <v>668</v>
      </c>
    </row>
    <row r="191" spans="1:14" x14ac:dyDescent="0.25">
      <c r="A191" t="s">
        <v>2</v>
      </c>
      <c r="E191" s="110" t="s">
        <v>18</v>
      </c>
      <c r="J191" t="s">
        <v>669</v>
      </c>
      <c r="K191" s="13">
        <f>K51*0.035</f>
        <v>21.803097578328096</v>
      </c>
      <c r="L191" t="s">
        <v>670</v>
      </c>
      <c r="M191" t="s">
        <v>672</v>
      </c>
      <c r="N191" s="257" t="s">
        <v>671</v>
      </c>
    </row>
    <row r="192" spans="1:14" x14ac:dyDescent="0.25">
      <c r="A192" t="s">
        <v>2</v>
      </c>
      <c r="E192" s="110" t="s">
        <v>402</v>
      </c>
      <c r="J192" t="s">
        <v>669</v>
      </c>
      <c r="K192" s="13">
        <f>K52*0.03</f>
        <v>22.865816802610116</v>
      </c>
      <c r="L192" t="s">
        <v>670</v>
      </c>
      <c r="M192" t="s">
        <v>673</v>
      </c>
      <c r="N192" s="257"/>
    </row>
    <row r="193" spans="1:14" x14ac:dyDescent="0.25">
      <c r="A193" t="s">
        <v>2</v>
      </c>
      <c r="E193" s="110" t="s">
        <v>633</v>
      </c>
      <c r="J193" t="s">
        <v>669</v>
      </c>
      <c r="K193" s="1">
        <f>AVERAGE(K53,AVERAGE(K54:K57))*0.03 * (1 - K220/100)</f>
        <v>0.34321124999999986</v>
      </c>
      <c r="L193" t="s">
        <v>670</v>
      </c>
      <c r="M193" t="s">
        <v>673</v>
      </c>
    </row>
    <row r="194" spans="1:14" x14ac:dyDescent="0.25">
      <c r="A194" t="s">
        <v>2</v>
      </c>
      <c r="E194" s="110" t="s">
        <v>32</v>
      </c>
      <c r="J194" t="s">
        <v>669</v>
      </c>
      <c r="K194" s="13">
        <f>AVERAGE(AVERAGE(K55,K57),AVERAGE(K58,K60)) * 0.03</f>
        <v>9.9980076157720887</v>
      </c>
      <c r="L194" t="s">
        <v>670</v>
      </c>
      <c r="M194" t="s">
        <v>673</v>
      </c>
    </row>
    <row r="195" spans="1:14" x14ac:dyDescent="0.25">
      <c r="A195" t="s">
        <v>2</v>
      </c>
      <c r="E195" s="110" t="s">
        <v>33</v>
      </c>
      <c r="J195" t="s">
        <v>669</v>
      </c>
      <c r="K195" s="13">
        <f>AVERAGE(AVERAGE(K54,K56),K61) * 0.03</f>
        <v>10.817524398534422</v>
      </c>
      <c r="L195" t="s">
        <v>670</v>
      </c>
      <c r="M195" t="s">
        <v>673</v>
      </c>
    </row>
    <row r="196" spans="1:14" x14ac:dyDescent="0.25">
      <c r="A196" t="s">
        <v>2</v>
      </c>
      <c r="E196" s="110" t="s">
        <v>34</v>
      </c>
      <c r="J196" t="s">
        <v>669</v>
      </c>
      <c r="K196" s="13">
        <f>AVERAGE(AVERAGE(K54,K56),K62) * 0.03</f>
        <v>10.753254962414847</v>
      </c>
      <c r="L196" t="s">
        <v>670</v>
      </c>
      <c r="M196" t="s">
        <v>673</v>
      </c>
    </row>
    <row r="197" spans="1:14" x14ac:dyDescent="0.25">
      <c r="A197" t="s">
        <v>37</v>
      </c>
      <c r="E197" s="110" t="s">
        <v>18</v>
      </c>
      <c r="J197" t="s">
        <v>669</v>
      </c>
      <c r="K197" s="13">
        <f>K64*0.035</f>
        <v>22.502588520415152</v>
      </c>
      <c r="L197" t="s">
        <v>670</v>
      </c>
      <c r="M197" t="s">
        <v>673</v>
      </c>
    </row>
    <row r="198" spans="1:14" x14ac:dyDescent="0.25">
      <c r="A198" t="s">
        <v>37</v>
      </c>
      <c r="E198" s="110" t="s">
        <v>402</v>
      </c>
      <c r="J198" t="s">
        <v>669</v>
      </c>
      <c r="K198" s="13">
        <f>K65*0.03</f>
        <v>26.149674710424708</v>
      </c>
      <c r="L198" t="s">
        <v>670</v>
      </c>
      <c r="M198" t="s">
        <v>673</v>
      </c>
    </row>
    <row r="199" spans="1:14" x14ac:dyDescent="0.25">
      <c r="A199" t="s">
        <v>37</v>
      </c>
      <c r="E199" s="110" t="s">
        <v>633</v>
      </c>
      <c r="J199" t="s">
        <v>669</v>
      </c>
      <c r="K199" s="1">
        <f>AVERAGE(K66,AVERAGE(K67:K70))*0.03 * (1 - K219/100)</f>
        <v>1.3343745545949013</v>
      </c>
      <c r="L199" t="s">
        <v>670</v>
      </c>
      <c r="M199" t="s">
        <v>673</v>
      </c>
    </row>
    <row r="200" spans="1:14" x14ac:dyDescent="0.25">
      <c r="A200" t="s">
        <v>37</v>
      </c>
      <c r="E200" s="110" t="s">
        <v>32</v>
      </c>
      <c r="J200" t="s">
        <v>669</v>
      </c>
      <c r="K200" s="13">
        <f>AVERAGE(AVERAGE(K67,K68),AVERAGE(K69,K71)) * 0.03</f>
        <v>12.966568077834745</v>
      </c>
      <c r="L200" t="s">
        <v>670</v>
      </c>
      <c r="M200" t="s">
        <v>673</v>
      </c>
    </row>
    <row r="201" spans="1:14" x14ac:dyDescent="0.25">
      <c r="A201" t="s">
        <v>37</v>
      </c>
      <c r="E201" s="110" t="s">
        <v>33</v>
      </c>
      <c r="J201" t="s">
        <v>669</v>
      </c>
      <c r="K201" s="13">
        <f>AVERAGE(AVERAGE(K67,K68),K72) * 0.03</f>
        <v>13.565286340885208</v>
      </c>
      <c r="L201" t="s">
        <v>670</v>
      </c>
      <c r="M201" t="s">
        <v>673</v>
      </c>
    </row>
    <row r="202" spans="1:14" x14ac:dyDescent="0.25">
      <c r="A202" t="s">
        <v>37</v>
      </c>
      <c r="E202" s="110" t="s">
        <v>34</v>
      </c>
      <c r="J202" t="s">
        <v>669</v>
      </c>
      <c r="K202" s="13">
        <f>AVERAGE(AVERAGE(K67,K68),K73) * 0.03</f>
        <v>13.682910670175852</v>
      </c>
      <c r="L202" t="s">
        <v>670</v>
      </c>
      <c r="M202" t="s">
        <v>673</v>
      </c>
    </row>
    <row r="204" spans="1:14" x14ac:dyDescent="0.25">
      <c r="A204" s="4" t="s">
        <v>667</v>
      </c>
    </row>
    <row r="205" spans="1:14" x14ac:dyDescent="0.25">
      <c r="E205" t="s">
        <v>18</v>
      </c>
      <c r="J205" t="s">
        <v>383</v>
      </c>
      <c r="K205">
        <v>0.50700000000000001</v>
      </c>
      <c r="L205" t="s">
        <v>384</v>
      </c>
      <c r="N205" t="s">
        <v>386</v>
      </c>
    </row>
    <row r="206" spans="1:14" x14ac:dyDescent="0.25">
      <c r="J206" t="s">
        <v>383</v>
      </c>
      <c r="K206">
        <v>0.47499999999999998</v>
      </c>
      <c r="L206" t="s">
        <v>384</v>
      </c>
      <c r="N206" t="s">
        <v>387</v>
      </c>
    </row>
    <row r="207" spans="1:14" x14ac:dyDescent="0.25">
      <c r="E207" t="s">
        <v>18</v>
      </c>
      <c r="J207" t="s">
        <v>398</v>
      </c>
      <c r="K207" s="13">
        <v>5</v>
      </c>
      <c r="L207" t="s">
        <v>397</v>
      </c>
      <c r="N207" t="s">
        <v>386</v>
      </c>
    </row>
    <row r="208" spans="1:14" x14ac:dyDescent="0.25">
      <c r="A208" t="s">
        <v>2</v>
      </c>
      <c r="E208" t="s">
        <v>18</v>
      </c>
      <c r="J208" t="s">
        <v>388</v>
      </c>
      <c r="K208" s="13">
        <f>(0.013+0.021+0.038) * 30.4</f>
        <v>2.1888000000000001</v>
      </c>
      <c r="L208" t="s">
        <v>389</v>
      </c>
      <c r="M208" t="s">
        <v>390</v>
      </c>
      <c r="N208" t="s">
        <v>385</v>
      </c>
    </row>
    <row r="209" spans="1:14" x14ac:dyDescent="0.25">
      <c r="A209" t="s">
        <v>37</v>
      </c>
      <c r="E209" t="s">
        <v>18</v>
      </c>
      <c r="J209" t="s">
        <v>388</v>
      </c>
      <c r="K209" s="13">
        <f>(8 * 7 * 3.6)/100</f>
        <v>2.016</v>
      </c>
      <c r="L209" t="s">
        <v>389</v>
      </c>
      <c r="M209" t="s">
        <v>391</v>
      </c>
      <c r="N209" t="s">
        <v>392</v>
      </c>
    </row>
    <row r="210" spans="1:14" x14ac:dyDescent="0.25">
      <c r="K210" s="13"/>
    </row>
    <row r="211" spans="1:14" x14ac:dyDescent="0.25">
      <c r="J211" t="s">
        <v>393</v>
      </c>
      <c r="K211" s="1">
        <v>1</v>
      </c>
      <c r="L211" t="s">
        <v>399</v>
      </c>
    </row>
    <row r="212" spans="1:14" x14ac:dyDescent="0.25">
      <c r="A212" t="s">
        <v>2</v>
      </c>
      <c r="E212" t="s">
        <v>18</v>
      </c>
      <c r="J212" t="s">
        <v>393</v>
      </c>
      <c r="K212" s="1">
        <v>1.1100000000000001</v>
      </c>
      <c r="L212" t="s">
        <v>399</v>
      </c>
      <c r="N212" t="s">
        <v>385</v>
      </c>
    </row>
    <row r="213" spans="1:14" x14ac:dyDescent="0.25">
      <c r="A213" t="s">
        <v>37</v>
      </c>
      <c r="E213" t="s">
        <v>34</v>
      </c>
      <c r="J213" t="s">
        <v>393</v>
      </c>
      <c r="K213" s="1">
        <v>0.9</v>
      </c>
      <c r="L213" t="s">
        <v>399</v>
      </c>
      <c r="M213" t="s">
        <v>395</v>
      </c>
      <c r="N213" t="s">
        <v>394</v>
      </c>
    </row>
    <row r="214" spans="1:14" x14ac:dyDescent="0.25">
      <c r="E214" t="s">
        <v>32</v>
      </c>
      <c r="J214" t="s">
        <v>393</v>
      </c>
      <c r="K214" s="1">
        <v>1.05</v>
      </c>
      <c r="L214" t="s">
        <v>399</v>
      </c>
      <c r="N214" t="s">
        <v>394</v>
      </c>
    </row>
    <row r="215" spans="1:14" x14ac:dyDescent="0.25">
      <c r="A215" t="s">
        <v>2</v>
      </c>
      <c r="E215" t="s">
        <v>33</v>
      </c>
      <c r="J215" t="s">
        <v>393</v>
      </c>
      <c r="K215" s="1">
        <v>1.05</v>
      </c>
      <c r="L215" t="s">
        <v>399</v>
      </c>
      <c r="N215" t="s">
        <v>394</v>
      </c>
    </row>
    <row r="216" spans="1:14" x14ac:dyDescent="0.25">
      <c r="J216" t="s">
        <v>396</v>
      </c>
      <c r="K216" s="13">
        <v>0</v>
      </c>
      <c r="L216" t="s">
        <v>399</v>
      </c>
    </row>
    <row r="217" spans="1:14" x14ac:dyDescent="0.25">
      <c r="A217" t="s">
        <v>2</v>
      </c>
      <c r="E217" t="s">
        <v>18</v>
      </c>
      <c r="J217" t="s">
        <v>396</v>
      </c>
      <c r="K217" s="13">
        <v>-13.6</v>
      </c>
      <c r="L217" t="s">
        <v>399</v>
      </c>
      <c r="N217" t="s">
        <v>385</v>
      </c>
    </row>
    <row r="218" spans="1:14" x14ac:dyDescent="0.25">
      <c r="K218" s="13"/>
    </row>
    <row r="219" spans="1:14" x14ac:dyDescent="0.25">
      <c r="A219" t="s">
        <v>37</v>
      </c>
      <c r="J219" t="s">
        <v>593</v>
      </c>
      <c r="K219" s="2">
        <v>78</v>
      </c>
      <c r="L219" t="s">
        <v>591</v>
      </c>
      <c r="M219" t="s">
        <v>595</v>
      </c>
      <c r="N219" t="s">
        <v>502</v>
      </c>
    </row>
    <row r="220" spans="1:14" x14ac:dyDescent="0.25">
      <c r="A220" t="s">
        <v>2</v>
      </c>
      <c r="J220" t="s">
        <v>593</v>
      </c>
      <c r="K220" s="2">
        <v>81</v>
      </c>
      <c r="L220" t="s">
        <v>591</v>
      </c>
      <c r="M220" t="s">
        <v>600</v>
      </c>
      <c r="N220" s="257" t="s">
        <v>596</v>
      </c>
    </row>
    <row r="221" spans="1:14" x14ac:dyDescent="0.25">
      <c r="J221" t="s">
        <v>594</v>
      </c>
      <c r="K221" s="13">
        <f>18.8*0.13</f>
        <v>2.4440000000000004</v>
      </c>
      <c r="L221" t="s">
        <v>590</v>
      </c>
      <c r="M221" t="s">
        <v>599</v>
      </c>
    </row>
    <row r="222" spans="1:14" x14ac:dyDescent="0.25">
      <c r="K222" s="2"/>
    </row>
    <row r="223" spans="1:14" x14ac:dyDescent="0.25">
      <c r="A223" s="4" t="s">
        <v>674</v>
      </c>
      <c r="H223" s="2"/>
    </row>
    <row r="224" spans="1:14" x14ac:dyDescent="0.25">
      <c r="A224" t="s">
        <v>2</v>
      </c>
      <c r="E224" t="s">
        <v>18</v>
      </c>
      <c r="J224" t="s">
        <v>675</v>
      </c>
      <c r="K224" s="13">
        <v>7.6</v>
      </c>
      <c r="L224" t="s">
        <v>676</v>
      </c>
      <c r="N224" t="s">
        <v>385</v>
      </c>
    </row>
    <row r="225" spans="1:14" x14ac:dyDescent="0.25">
      <c r="A225" s="4"/>
      <c r="E225" s="110" t="s">
        <v>633</v>
      </c>
      <c r="J225" t="s">
        <v>675</v>
      </c>
      <c r="K225" s="13">
        <v>7</v>
      </c>
      <c r="L225" t="s">
        <v>676</v>
      </c>
      <c r="M225" s="93" t="s">
        <v>677</v>
      </c>
      <c r="N225" t="s">
        <v>678</v>
      </c>
    </row>
    <row r="226" spans="1:14" x14ac:dyDescent="0.25">
      <c r="A226" s="4"/>
      <c r="J226" t="s">
        <v>675</v>
      </c>
      <c r="K226" s="13">
        <v>6.5</v>
      </c>
      <c r="L226" t="s">
        <v>676</v>
      </c>
    </row>
    <row r="227" spans="1:14" x14ac:dyDescent="0.25">
      <c r="A227" s="4"/>
      <c r="K227" s="13"/>
    </row>
    <row r="228" spans="1:14" x14ac:dyDescent="0.25">
      <c r="A228" s="4" t="s">
        <v>679</v>
      </c>
    </row>
    <row r="229" spans="1:14" x14ac:dyDescent="0.25">
      <c r="J229" s="158" t="s">
        <v>680</v>
      </c>
      <c r="K229" s="309">
        <v>0</v>
      </c>
      <c r="L229" s="158" t="s">
        <v>681</v>
      </c>
      <c r="M229" s="158" t="s">
        <v>401</v>
      </c>
    </row>
    <row r="230" spans="1:14" x14ac:dyDescent="0.25">
      <c r="J230" s="158" t="s">
        <v>682</v>
      </c>
      <c r="K230" s="309">
        <v>0</v>
      </c>
      <c r="L230" s="158" t="s">
        <v>681</v>
      </c>
      <c r="M230" s="158" t="s">
        <v>401</v>
      </c>
    </row>
    <row r="231" spans="1:14" x14ac:dyDescent="0.25">
      <c r="J231" s="158" t="s">
        <v>683</v>
      </c>
      <c r="K231" s="309">
        <v>0</v>
      </c>
      <c r="L231" s="158" t="s">
        <v>684</v>
      </c>
      <c r="M231" s="158" t="s">
        <v>401</v>
      </c>
    </row>
    <row r="232" spans="1:14" x14ac:dyDescent="0.25">
      <c r="J232" s="158" t="s">
        <v>685</v>
      </c>
      <c r="K232" s="309">
        <v>0</v>
      </c>
      <c r="L232" s="158" t="s">
        <v>684</v>
      </c>
      <c r="M232" s="158" t="s">
        <v>401</v>
      </c>
    </row>
    <row r="233" spans="1:14" x14ac:dyDescent="0.25">
      <c r="K233" s="2"/>
    </row>
    <row r="234" spans="1:14" x14ac:dyDescent="0.25">
      <c r="E234" t="s">
        <v>18</v>
      </c>
      <c r="J234" t="s">
        <v>680</v>
      </c>
      <c r="K234" s="2">
        <v>300</v>
      </c>
      <c r="L234" t="s">
        <v>681</v>
      </c>
      <c r="N234" t="s">
        <v>385</v>
      </c>
    </row>
    <row r="235" spans="1:14" x14ac:dyDescent="0.25">
      <c r="E235" t="s">
        <v>18</v>
      </c>
      <c r="J235" t="s">
        <v>682</v>
      </c>
      <c r="K235" s="2">
        <v>0</v>
      </c>
      <c r="L235" t="s">
        <v>681</v>
      </c>
    </row>
    <row r="237" spans="1:14" x14ac:dyDescent="0.25">
      <c r="E237" s="110" t="s">
        <v>402</v>
      </c>
      <c r="J237" t="s">
        <v>683</v>
      </c>
      <c r="K237" s="2">
        <v>4</v>
      </c>
      <c r="L237" t="s">
        <v>684</v>
      </c>
      <c r="M237" t="s">
        <v>686</v>
      </c>
    </row>
    <row r="238" spans="1:14" x14ac:dyDescent="0.25">
      <c r="E238" s="110" t="s">
        <v>402</v>
      </c>
      <c r="J238" t="s">
        <v>685</v>
      </c>
      <c r="K238" s="2">
        <v>-2</v>
      </c>
      <c r="L238" t="s">
        <v>684</v>
      </c>
    </row>
    <row r="239" spans="1:14" x14ac:dyDescent="0.25">
      <c r="E239" s="110" t="s">
        <v>633</v>
      </c>
      <c r="J239" t="s">
        <v>683</v>
      </c>
      <c r="K239" s="2">
        <v>4</v>
      </c>
      <c r="L239" t="s">
        <v>684</v>
      </c>
      <c r="N239" t="s">
        <v>678</v>
      </c>
    </row>
    <row r="240" spans="1:14" x14ac:dyDescent="0.25">
      <c r="E240" s="110" t="s">
        <v>633</v>
      </c>
      <c r="J240" t="s">
        <v>685</v>
      </c>
      <c r="K240" s="2">
        <v>-2</v>
      </c>
      <c r="L240" t="s">
        <v>684</v>
      </c>
    </row>
    <row r="241" spans="1:14" x14ac:dyDescent="0.25">
      <c r="E241" s="110" t="s">
        <v>32</v>
      </c>
      <c r="J241" t="s">
        <v>683</v>
      </c>
      <c r="K241" s="2">
        <v>4</v>
      </c>
      <c r="L241" t="s">
        <v>684</v>
      </c>
      <c r="N241" t="s">
        <v>678</v>
      </c>
    </row>
    <row r="242" spans="1:14" x14ac:dyDescent="0.25">
      <c r="E242" s="110" t="s">
        <v>32</v>
      </c>
      <c r="J242" t="s">
        <v>685</v>
      </c>
      <c r="K242" s="2">
        <v>-2</v>
      </c>
      <c r="L242" t="s">
        <v>684</v>
      </c>
    </row>
    <row r="243" spans="1:14" x14ac:dyDescent="0.25">
      <c r="E243" s="110" t="s">
        <v>33</v>
      </c>
      <c r="J243" t="s">
        <v>683</v>
      </c>
      <c r="K243" s="2">
        <v>4</v>
      </c>
      <c r="L243" t="s">
        <v>684</v>
      </c>
      <c r="N243" t="s">
        <v>678</v>
      </c>
    </row>
    <row r="244" spans="1:14" x14ac:dyDescent="0.25">
      <c r="E244" s="110" t="s">
        <v>33</v>
      </c>
      <c r="J244" t="s">
        <v>685</v>
      </c>
      <c r="K244" s="2">
        <v>-2</v>
      </c>
      <c r="L244" t="s">
        <v>684</v>
      </c>
    </row>
    <row r="245" spans="1:14" x14ac:dyDescent="0.25">
      <c r="E245" s="110" t="s">
        <v>34</v>
      </c>
      <c r="J245" t="s">
        <v>683</v>
      </c>
      <c r="K245" s="2">
        <v>4</v>
      </c>
      <c r="L245" t="s">
        <v>684</v>
      </c>
      <c r="N245" t="s">
        <v>678</v>
      </c>
    </row>
    <row r="246" spans="1:14" x14ac:dyDescent="0.25">
      <c r="E246" s="110" t="s">
        <v>34</v>
      </c>
      <c r="J246" t="s">
        <v>685</v>
      </c>
      <c r="K246" s="2">
        <v>-2</v>
      </c>
      <c r="L246" t="s">
        <v>684</v>
      </c>
    </row>
    <row r="247" spans="1:14" x14ac:dyDescent="0.25">
      <c r="F247" s="110"/>
      <c r="K247" s="2"/>
    </row>
    <row r="248" spans="1:14" x14ac:dyDescent="0.25">
      <c r="A248" s="4" t="s">
        <v>448</v>
      </c>
      <c r="F248" s="110"/>
      <c r="K248" s="2"/>
    </row>
    <row r="249" spans="1:14" x14ac:dyDescent="0.25">
      <c r="A249" s="4"/>
      <c r="F249" s="110"/>
      <c r="J249" t="s">
        <v>687</v>
      </c>
      <c r="K249" s="2">
        <v>50</v>
      </c>
      <c r="L249" t="s">
        <v>689</v>
      </c>
      <c r="N249" t="s">
        <v>688</v>
      </c>
    </row>
    <row r="250" spans="1:14" x14ac:dyDescent="0.25">
      <c r="K250" s="2"/>
    </row>
    <row r="251" spans="1:14" x14ac:dyDescent="0.25">
      <c r="A251" s="94" t="s">
        <v>381</v>
      </c>
      <c r="B251" s="94"/>
      <c r="C251" s="94"/>
      <c r="D251" s="95"/>
      <c r="E251" s="95"/>
      <c r="F251" s="95"/>
      <c r="G251" s="95"/>
      <c r="H251" s="95"/>
      <c r="I251" s="95"/>
      <c r="J251" s="95"/>
      <c r="K251" s="95"/>
      <c r="L251" s="95" t="s">
        <v>311</v>
      </c>
      <c r="M251" s="95"/>
      <c r="N251" s="95"/>
    </row>
    <row r="252" spans="1:14" x14ac:dyDescent="0.25">
      <c r="J252" s="158" t="s">
        <v>310</v>
      </c>
      <c r="K252" s="158">
        <v>0</v>
      </c>
      <c r="L252" s="158"/>
      <c r="M252" s="158" t="s">
        <v>401</v>
      </c>
    </row>
    <row r="253" spans="1:14" x14ac:dyDescent="0.25">
      <c r="A253" s="97" t="s">
        <v>290</v>
      </c>
      <c r="B253" s="97"/>
      <c r="C253" s="97"/>
      <c r="D253" s="98"/>
      <c r="E253" s="98"/>
      <c r="F253" s="98"/>
      <c r="G253" s="98"/>
      <c r="H253" s="98"/>
      <c r="I253" s="98"/>
      <c r="J253" s="98"/>
      <c r="K253" s="99"/>
      <c r="L253" s="98"/>
      <c r="M253" s="98"/>
      <c r="N253" s="98"/>
    </row>
    <row r="254" spans="1:14" x14ac:dyDescent="0.25">
      <c r="A254" s="81" t="s">
        <v>63</v>
      </c>
      <c r="B254" s="48"/>
      <c r="C254" s="48"/>
      <c r="D254" s="49"/>
      <c r="E254" s="49"/>
      <c r="F254" s="49"/>
      <c r="G254" s="49"/>
      <c r="H254" s="49"/>
      <c r="I254" s="49"/>
      <c r="J254" s="49"/>
      <c r="K254" s="161"/>
      <c r="L254" s="49"/>
      <c r="M254" s="49"/>
      <c r="N254" s="49"/>
    </row>
    <row r="255" spans="1:14" x14ac:dyDescent="0.25">
      <c r="A255" s="158" t="s">
        <v>2</v>
      </c>
      <c r="B255" s="158"/>
      <c r="C255" s="158"/>
      <c r="D255" s="158"/>
      <c r="E255" s="158" t="s">
        <v>18</v>
      </c>
      <c r="J255" s="158" t="s">
        <v>310</v>
      </c>
      <c r="K255" s="158">
        <v>0</v>
      </c>
      <c r="L255" s="158"/>
      <c r="M255" s="158" t="s">
        <v>401</v>
      </c>
    </row>
    <row r="256" spans="1:14" x14ac:dyDescent="0.25">
      <c r="A256" t="s">
        <v>2</v>
      </c>
      <c r="E256" t="s">
        <v>18</v>
      </c>
      <c r="F256" t="str">
        <f>Foderstater!U$64</f>
        <v>ley silage, 1st cut</v>
      </c>
      <c r="J256" t="s">
        <v>310</v>
      </c>
      <c r="K256" s="13">
        <f>INDEX(Foderstater!$X$64:$AL$101,MATCH(F256,Foderstater!$U$64:$U$101,0),MATCH(A256&amp;C256&amp;E256,Foderstater!$X$63:$AL$63,0))</f>
        <v>41.480852339300604</v>
      </c>
      <c r="L256" s="158"/>
      <c r="M256" s="158"/>
    </row>
    <row r="257" spans="1:13" x14ac:dyDescent="0.25">
      <c r="A257" t="s">
        <v>2</v>
      </c>
      <c r="E257" t="s">
        <v>18</v>
      </c>
      <c r="F257" t="str">
        <f>Foderstater!U$65</f>
        <v>ley silage, regrowth</v>
      </c>
      <c r="J257" t="s">
        <v>310</v>
      </c>
      <c r="K257" s="13">
        <f>INDEX(Foderstater!$X$64:$AL$101,MATCH(F257,Foderstater!$U$64:$U$101,0),MATCH(A257&amp;C257&amp;E257,Foderstater!$X$63:$AL$63,0))</f>
        <v>9.9247167513786927</v>
      </c>
      <c r="L257" s="158"/>
      <c r="M257" s="158"/>
    </row>
    <row r="258" spans="1:13" x14ac:dyDescent="0.25">
      <c r="A258" t="s">
        <v>2</v>
      </c>
      <c r="E258" t="s">
        <v>18</v>
      </c>
      <c r="F258" t="str">
        <f>Foderstater!U$66</f>
        <v>other silage</v>
      </c>
      <c r="J258" t="s">
        <v>310</v>
      </c>
      <c r="K258" s="13">
        <f>INDEX(Foderstater!$X$64:$AL$101,MATCH(F258,Foderstater!$U$64:$U$101,0),MATCH(A258&amp;C258&amp;E258,Foderstater!$X$63:$AL$63,0))</f>
        <v>0</v>
      </c>
      <c r="L258" s="158"/>
      <c r="M258" s="158"/>
    </row>
    <row r="259" spans="1:13" x14ac:dyDescent="0.25">
      <c r="A259" t="s">
        <v>2</v>
      </c>
      <c r="E259" t="s">
        <v>18</v>
      </c>
      <c r="F259" t="str">
        <f>Foderstater!U$67</f>
        <v>maize silage</v>
      </c>
      <c r="J259" t="s">
        <v>310</v>
      </c>
      <c r="K259" s="13">
        <f>INDEX(Foderstater!$X$64:$AL$101,MATCH(F259,Foderstater!$U$64:$U$101,0),MATCH(A259&amp;C259&amp;E259,Foderstater!$X$63:$AL$63,0))</f>
        <v>0</v>
      </c>
      <c r="L259" s="158"/>
      <c r="M259" s="158"/>
    </row>
    <row r="260" spans="1:13" x14ac:dyDescent="0.25">
      <c r="A260" t="s">
        <v>2</v>
      </c>
      <c r="E260" t="s">
        <v>18</v>
      </c>
      <c r="F260" t="str">
        <f>Foderstater!U$68</f>
        <v>straw</v>
      </c>
      <c r="J260" t="s">
        <v>310</v>
      </c>
      <c r="K260" s="13">
        <f>INDEX(Foderstater!$X$64:$AL$101,MATCH(F260,Foderstater!$U$64:$U$101,0),MATCH(A260&amp;C260&amp;E260,Foderstater!$X$63:$AL$63,0))</f>
        <v>3.1679738484393072</v>
      </c>
      <c r="L260" s="158"/>
      <c r="M260" s="158"/>
    </row>
    <row r="261" spans="1:13" x14ac:dyDescent="0.25">
      <c r="A261" t="s">
        <v>2</v>
      </c>
      <c r="E261" t="s">
        <v>18</v>
      </c>
      <c r="F261" t="str">
        <f>Foderstater!U$69</f>
        <v>grazing</v>
      </c>
      <c r="J261" t="s">
        <v>310</v>
      </c>
      <c r="K261" s="13">
        <f>INDEX(Foderstater!$X$64:$AL$101,MATCH(F261,Foderstater!$U$64:$U$101,0),MATCH(A261&amp;C261&amp;E261,Foderstater!$X$63:$AL$63,0))</f>
        <v>6.6079520088655128</v>
      </c>
      <c r="L261" s="158"/>
      <c r="M261" s="158"/>
    </row>
    <row r="262" spans="1:13" x14ac:dyDescent="0.25">
      <c r="A262" t="s">
        <v>2</v>
      </c>
      <c r="E262" t="s">
        <v>18</v>
      </c>
      <c r="F262" t="str">
        <f>Foderstater!U$70</f>
        <v>wheat</v>
      </c>
      <c r="J262" t="s">
        <v>310</v>
      </c>
      <c r="K262" s="13">
        <f>INDEX(Foderstater!$X$64:$AL$101,MATCH(F262,Foderstater!$U$64:$U$101,0),MATCH(A262&amp;C262&amp;E262,Foderstater!$X$63:$AL$63,0))</f>
        <v>6.1497391870569844</v>
      </c>
      <c r="L262" s="158"/>
      <c r="M262" s="158"/>
    </row>
    <row r="263" spans="1:13" x14ac:dyDescent="0.25">
      <c r="A263" t="s">
        <v>2</v>
      </c>
      <c r="E263" t="s">
        <v>18</v>
      </c>
      <c r="F263" t="str">
        <f>Foderstater!U$71</f>
        <v>barley</v>
      </c>
      <c r="J263" t="s">
        <v>310</v>
      </c>
      <c r="K263" s="13">
        <f>INDEX(Foderstater!$X$64:$AL$101,MATCH(F263,Foderstater!$U$64:$U$101,0),MATCH(A263&amp;C263&amp;E263,Foderstater!$X$63:$AL$63,0))</f>
        <v>11.290606059990822</v>
      </c>
      <c r="L263" s="158"/>
      <c r="M263" s="158"/>
    </row>
    <row r="264" spans="1:13" x14ac:dyDescent="0.25">
      <c r="A264" t="s">
        <v>2</v>
      </c>
      <c r="E264" t="s">
        <v>18</v>
      </c>
      <c r="F264" t="str">
        <f>Foderstater!U$72</f>
        <v>oats</v>
      </c>
      <c r="J264" t="s">
        <v>310</v>
      </c>
      <c r="K264" s="13">
        <f>INDEX(Foderstater!$X$64:$AL$101,MATCH(F264,Foderstater!$U$64:$U$101,0),MATCH(A264&amp;C264&amp;E264,Foderstater!$X$63:$AL$63,0))</f>
        <v>2.5305995086863016</v>
      </c>
      <c r="L264" s="158"/>
      <c r="M264" s="158"/>
    </row>
    <row r="265" spans="1:13" x14ac:dyDescent="0.25">
      <c r="A265" t="s">
        <v>2</v>
      </c>
      <c r="E265" t="s">
        <v>18</v>
      </c>
      <c r="F265" t="str">
        <f>Foderstater!U$73</f>
        <v>triticale</v>
      </c>
      <c r="J265" t="s">
        <v>310</v>
      </c>
      <c r="K265" s="13">
        <f>INDEX(Foderstater!$X$64:$AL$101,MATCH(F265,Foderstater!$U$64:$U$101,0),MATCH(A265&amp;C265&amp;E265,Foderstater!$X$63:$AL$63,0))</f>
        <v>3.9696382637077976</v>
      </c>
      <c r="L265" s="158"/>
      <c r="M265" s="158"/>
    </row>
    <row r="266" spans="1:13" x14ac:dyDescent="0.25">
      <c r="A266" t="s">
        <v>2</v>
      </c>
      <c r="E266" t="s">
        <v>18</v>
      </c>
      <c r="F266" t="str">
        <f>Foderstater!U$74</f>
        <v>rye</v>
      </c>
      <c r="J266" t="s">
        <v>310</v>
      </c>
      <c r="K266" s="13">
        <f>INDEX(Foderstater!$X$64:$AL$101,MATCH(F266,Foderstater!$U$64:$U$101,0),MATCH(A266&amp;C266&amp;E266,Foderstater!$X$63:$AL$63,0))</f>
        <v>1.1272622080408017E-2</v>
      </c>
      <c r="L266" s="158"/>
      <c r="M266" s="158"/>
    </row>
    <row r="267" spans="1:13" x14ac:dyDescent="0.25">
      <c r="A267" t="s">
        <v>2</v>
      </c>
      <c r="E267" t="s">
        <v>18</v>
      </c>
      <c r="F267" t="str">
        <f>Foderstater!U$75</f>
        <v>maize</v>
      </c>
      <c r="J267" t="s">
        <v>310</v>
      </c>
      <c r="K267" s="13">
        <f>INDEX(Foderstater!$X$64:$AL$101,MATCH(F267,Foderstater!$U$64:$U$101,0),MATCH(A267&amp;C267&amp;E267,Foderstater!$X$63:$AL$63,0))</f>
        <v>0.39798335104430993</v>
      </c>
      <c r="L267" s="158"/>
      <c r="M267" s="158"/>
    </row>
    <row r="268" spans="1:13" x14ac:dyDescent="0.25">
      <c r="A268" t="s">
        <v>2</v>
      </c>
      <c r="E268" t="s">
        <v>18</v>
      </c>
      <c r="F268" t="str">
        <f>Foderstater!U$76</f>
        <v>peas</v>
      </c>
      <c r="J268" t="s">
        <v>310</v>
      </c>
      <c r="K268" s="13">
        <f>INDEX(Foderstater!$X$64:$AL$101,MATCH(F268,Foderstater!$U$64:$U$101,0),MATCH(A268&amp;C268&amp;E268,Foderstater!$X$63:$AL$63,0))</f>
        <v>6.2198540886316538E-2</v>
      </c>
      <c r="L268" s="158"/>
      <c r="M268" s="158"/>
    </row>
    <row r="269" spans="1:13" x14ac:dyDescent="0.25">
      <c r="A269" t="s">
        <v>2</v>
      </c>
      <c r="E269" t="s">
        <v>18</v>
      </c>
      <c r="F269" t="str">
        <f>Foderstater!U$77</f>
        <v>broad beans</v>
      </c>
      <c r="J269" t="s">
        <v>310</v>
      </c>
      <c r="K269" s="13">
        <f>INDEX(Foderstater!$X$64:$AL$101,MATCH(F269,Foderstater!$U$64:$U$101,0),MATCH(A269&amp;C269&amp;E269,Foderstater!$X$63:$AL$63,0))</f>
        <v>0.21373263842786655</v>
      </c>
      <c r="L269" s="158"/>
      <c r="M269" s="158"/>
    </row>
    <row r="270" spans="1:13" x14ac:dyDescent="0.25">
      <c r="A270" t="s">
        <v>2</v>
      </c>
      <c r="E270" t="s">
        <v>18</v>
      </c>
      <c r="F270" t="str">
        <f>Foderstater!U$78</f>
        <v>rapeseed</v>
      </c>
      <c r="J270" t="s">
        <v>310</v>
      </c>
      <c r="K270" s="13">
        <f>INDEX(Foderstater!$X$64:$AL$101,MATCH(F270,Foderstater!$U$64:$U$101,0),MATCH(A270&amp;C270&amp;E270,Foderstater!$X$63:$AL$63,0))</f>
        <v>3.3834826631664936</v>
      </c>
      <c r="L270" s="158"/>
      <c r="M270" s="158"/>
    </row>
    <row r="271" spans="1:13" x14ac:dyDescent="0.25">
      <c r="A271" t="s">
        <v>2</v>
      </c>
      <c r="E271" t="s">
        <v>18</v>
      </c>
      <c r="F271" t="str">
        <f>Foderstater!U$79</f>
        <v>linseed</v>
      </c>
      <c r="J271" t="s">
        <v>310</v>
      </c>
      <c r="K271" s="13">
        <f>INDEX(Foderstater!$X$64:$AL$101,MATCH(F271,Foderstater!$U$64:$U$101,0),MATCH(A271&amp;C271&amp;E271,Foderstater!$X$63:$AL$63,0))</f>
        <v>2.4958557242137649E-3</v>
      </c>
      <c r="L271" s="158"/>
      <c r="M271" s="158"/>
    </row>
    <row r="272" spans="1:13" x14ac:dyDescent="0.25">
      <c r="A272" t="s">
        <v>2</v>
      </c>
      <c r="E272" t="s">
        <v>18</v>
      </c>
      <c r="F272" t="str">
        <f>Foderstater!U$80</f>
        <v>vegetable oils</v>
      </c>
      <c r="J272" t="s">
        <v>310</v>
      </c>
      <c r="K272" s="13">
        <f>INDEX(Foderstater!$X$64:$AL$101,MATCH(F272,Foderstater!$U$64:$U$101,0),MATCH(A272&amp;C272&amp;E272,Foderstater!$X$63:$AL$63,0))</f>
        <v>6.4435354702415792E-2</v>
      </c>
      <c r="L272" s="158"/>
      <c r="M272" s="158"/>
    </row>
    <row r="273" spans="1:13" x14ac:dyDescent="0.25">
      <c r="A273" t="s">
        <v>2</v>
      </c>
      <c r="E273" t="s">
        <v>18</v>
      </c>
      <c r="F273" t="str">
        <f>Foderstater!U$81</f>
        <v>soybeans</v>
      </c>
      <c r="J273" t="s">
        <v>310</v>
      </c>
      <c r="K273" s="13">
        <f>INDEX(Foderstater!$X$64:$AL$101,MATCH(F273,Foderstater!$U$64:$U$101,0),MATCH(A273&amp;C273&amp;E273,Foderstater!$X$63:$AL$63,0))</f>
        <v>6.2968191575980506E-2</v>
      </c>
      <c r="L273" s="158"/>
      <c r="M273" s="158"/>
    </row>
    <row r="274" spans="1:13" x14ac:dyDescent="0.25">
      <c r="A274" t="s">
        <v>2</v>
      </c>
      <c r="E274" t="s">
        <v>18</v>
      </c>
      <c r="F274" t="str">
        <f>Foderstater!U$82</f>
        <v>soybean meal</v>
      </c>
      <c r="J274" t="s">
        <v>310</v>
      </c>
      <c r="K274" s="13">
        <f>INDEX(Foderstater!$X$64:$AL$101,MATCH(F274,Foderstater!$U$64:$U$101,0),MATCH(A274&amp;C274&amp;E274,Foderstater!$X$63:$AL$63,0))</f>
        <v>0.57519106653391427</v>
      </c>
      <c r="L274" s="158"/>
      <c r="M274" s="158"/>
    </row>
    <row r="275" spans="1:13" x14ac:dyDescent="0.25">
      <c r="A275" t="s">
        <v>2</v>
      </c>
      <c r="E275" t="s">
        <v>18</v>
      </c>
      <c r="F275" t="str">
        <f>Foderstater!U$83</f>
        <v>soybean protein concentrate</v>
      </c>
      <c r="J275" t="s">
        <v>310</v>
      </c>
      <c r="K275" s="13">
        <f>INDEX(Foderstater!$X$64:$AL$101,MATCH(F275,Foderstater!$U$64:$U$101,0),MATCH(A275&amp;C275&amp;E275,Foderstater!$X$63:$AL$63,0))</f>
        <v>0</v>
      </c>
      <c r="L275" s="158"/>
      <c r="M275" s="158"/>
    </row>
    <row r="276" spans="1:13" x14ac:dyDescent="0.25">
      <c r="A276" t="s">
        <v>2</v>
      </c>
      <c r="B276" t="s">
        <v>1</v>
      </c>
      <c r="E276" t="s">
        <v>18</v>
      </c>
      <c r="F276" t="str">
        <f>Foderstater!U$84</f>
        <v>rapeseed meal</v>
      </c>
      <c r="J276" t="s">
        <v>310</v>
      </c>
      <c r="K276" s="13">
        <f>INDEX(Foderstater!$X$64:$AL$101,MATCH(F276,Foderstater!$U$64:$U$101,0),MATCH(A276&amp;C276&amp;E276,Foderstater!$X$63:$AL$63,0))</f>
        <v>4.4425645420347344</v>
      </c>
      <c r="L276" s="158"/>
      <c r="M276" s="158"/>
    </row>
    <row r="277" spans="1:13" x14ac:dyDescent="0.25">
      <c r="A277" s="268" t="str">
        <f>A276</f>
        <v>dairy</v>
      </c>
      <c r="B277" s="268" t="s">
        <v>5</v>
      </c>
      <c r="D277" s="268"/>
      <c r="E277" s="268" t="str">
        <f>E276</f>
        <v>cows</v>
      </c>
      <c r="F277" s="268" t="s">
        <v>609</v>
      </c>
      <c r="J277" s="268" t="str">
        <f>J276</f>
        <v>share_in_ration</v>
      </c>
      <c r="K277" s="269">
        <f>K276</f>
        <v>4.4425645420347344</v>
      </c>
      <c r="L277" s="158"/>
      <c r="M277" s="268" t="s">
        <v>610</v>
      </c>
    </row>
    <row r="278" spans="1:13" x14ac:dyDescent="0.25">
      <c r="A278" t="s">
        <v>2</v>
      </c>
      <c r="E278" t="s">
        <v>18</v>
      </c>
      <c r="F278" t="str">
        <f>Foderstater!U$85</f>
        <v>sunflower seed meal</v>
      </c>
      <c r="J278" t="s">
        <v>310</v>
      </c>
      <c r="K278" s="13">
        <f>INDEX(Foderstater!$X$64:$AL$101,MATCH(F278,Foderstater!$U$64:$U$101,0),MATCH(A278&amp;C278&amp;E278,Foderstater!$X$63:$AL$63,0))</f>
        <v>6.136972904857535E-2</v>
      </c>
    </row>
    <row r="279" spans="1:13" x14ac:dyDescent="0.25">
      <c r="A279" t="s">
        <v>2</v>
      </c>
      <c r="E279" t="s">
        <v>18</v>
      </c>
      <c r="F279" t="str">
        <f>Foderstater!U$86</f>
        <v>palm kernel expeller</v>
      </c>
      <c r="J279" t="s">
        <v>310</v>
      </c>
      <c r="K279" s="13">
        <f>INDEX(Foderstater!$X$64:$AL$101,MATCH(F279,Foderstater!$U$64:$U$101,0),MATCH(A279&amp;C279&amp;E279,Foderstater!$X$63:$AL$63,0))</f>
        <v>0.39877553799094467</v>
      </c>
    </row>
    <row r="280" spans="1:13" x14ac:dyDescent="0.25">
      <c r="A280" t="s">
        <v>2</v>
      </c>
      <c r="E280" t="s">
        <v>18</v>
      </c>
      <c r="F280" t="str">
        <f>Foderstater!U$87</f>
        <v>luzern meal</v>
      </c>
      <c r="J280" t="s">
        <v>310</v>
      </c>
      <c r="K280" s="13">
        <f>INDEX(Foderstater!$X$64:$AL$101,MATCH(F280,Foderstater!$U$64:$U$101,0),MATCH(A280&amp;C280&amp;E280,Foderstater!$X$63:$AL$63,0))</f>
        <v>0.12130313990935594</v>
      </c>
    </row>
    <row r="281" spans="1:13" x14ac:dyDescent="0.25">
      <c r="A281" t="s">
        <v>2</v>
      </c>
      <c r="E281" t="s">
        <v>18</v>
      </c>
      <c r="F281" t="str">
        <f>Foderstater!U$88</f>
        <v>wheat bran</v>
      </c>
      <c r="J281" t="s">
        <v>310</v>
      </c>
      <c r="K281" s="13">
        <f>INDEX(Foderstater!$X$64:$AL$101,MATCH(F281,Foderstater!$U$64:$U$101,0),MATCH(A281&amp;C281&amp;E281,Foderstater!$X$63:$AL$63,0))</f>
        <v>1.321614002942858</v>
      </c>
    </row>
    <row r="282" spans="1:13" x14ac:dyDescent="0.25">
      <c r="A282" t="s">
        <v>2</v>
      </c>
      <c r="E282" t="s">
        <v>18</v>
      </c>
      <c r="F282" t="str">
        <f>Foderstater!U$89</f>
        <v>wheat bran, fine</v>
      </c>
      <c r="J282" t="s">
        <v>310</v>
      </c>
      <c r="K282" s="13">
        <f>INDEX(Foderstater!$X$64:$AL$101,MATCH(F282,Foderstater!$U$64:$U$101,0),MATCH(A282&amp;C282&amp;E282,Foderstater!$X$63:$AL$63,0))</f>
        <v>3.4645257386917328E-3</v>
      </c>
    </row>
    <row r="283" spans="1:13" x14ac:dyDescent="0.25">
      <c r="A283" t="s">
        <v>2</v>
      </c>
      <c r="E283" t="s">
        <v>18</v>
      </c>
      <c r="F283" t="str">
        <f>Foderstater!U$90</f>
        <v>oat hulls</v>
      </c>
      <c r="J283" t="s">
        <v>310</v>
      </c>
      <c r="K283" s="13">
        <f>INDEX(Foderstater!$X$64:$AL$101,MATCH(F283,Foderstater!$U$64:$U$101,0),MATCH(A283&amp;C283&amp;E283,Foderstater!$X$63:$AL$63,0))</f>
        <v>0.15917555594859789</v>
      </c>
    </row>
    <row r="284" spans="1:13" x14ac:dyDescent="0.25">
      <c r="A284" t="s">
        <v>2</v>
      </c>
      <c r="E284" t="s">
        <v>18</v>
      </c>
      <c r="F284" t="str">
        <f>Foderstater!U$91</f>
        <v>oat bran</v>
      </c>
      <c r="J284" t="s">
        <v>310</v>
      </c>
      <c r="K284" s="13">
        <f>INDEX(Foderstater!$X$64:$AL$101,MATCH(F284,Foderstater!$U$64:$U$101,0),MATCH(A284&amp;C284&amp;E284,Foderstater!$X$63:$AL$63,0))</f>
        <v>1.7964759181842063E-2</v>
      </c>
    </row>
    <row r="285" spans="1:13" x14ac:dyDescent="0.25">
      <c r="A285" t="s">
        <v>2</v>
      </c>
      <c r="E285" t="s">
        <v>18</v>
      </c>
      <c r="F285" t="str">
        <f>Foderstater!U$92</f>
        <v>rye bran</v>
      </c>
      <c r="J285" t="s">
        <v>310</v>
      </c>
      <c r="K285" s="13">
        <f>INDEX(Foderstater!$X$64:$AL$101,MATCH(F285,Foderstater!$U$64:$U$101,0),MATCH(A285&amp;C285&amp;E285,Foderstater!$X$63:$AL$63,0))</f>
        <v>5.5403512056737859E-2</v>
      </c>
    </row>
    <row r="286" spans="1:13" x14ac:dyDescent="0.25">
      <c r="A286" t="s">
        <v>2</v>
      </c>
      <c r="E286" t="s">
        <v>18</v>
      </c>
      <c r="F286" t="str">
        <f>Foderstater!U$93</f>
        <v>wheat distillers grain, dry</v>
      </c>
      <c r="J286" t="s">
        <v>310</v>
      </c>
      <c r="K286" s="13">
        <f>INDEX(Foderstater!$X$64:$AL$101,MATCH(F286,Foderstater!$U$64:$U$101,0),MATCH(A286&amp;C286&amp;E286,Foderstater!$X$63:$AL$63,0))</f>
        <v>1.4206094996744831</v>
      </c>
    </row>
    <row r="287" spans="1:13" x14ac:dyDescent="0.25">
      <c r="A287" t="s">
        <v>2</v>
      </c>
      <c r="E287" t="s">
        <v>18</v>
      </c>
      <c r="F287" t="str">
        <f>Foderstater!U$94</f>
        <v>barley brewers grain</v>
      </c>
      <c r="J287" t="s">
        <v>310</v>
      </c>
      <c r="K287" s="13">
        <f>INDEX(Foderstater!$X$64:$AL$101,MATCH(F287,Foderstater!$U$64:$U$101,0),MATCH(A287&amp;C287&amp;E287,Foderstater!$X$63:$AL$63,0))</f>
        <v>0</v>
      </c>
    </row>
    <row r="288" spans="1:13" x14ac:dyDescent="0.25">
      <c r="A288" t="s">
        <v>2</v>
      </c>
      <c r="E288" t="s">
        <v>18</v>
      </c>
      <c r="F288" t="str">
        <f>Foderstater!U$95</f>
        <v>maize gluten meal</v>
      </c>
      <c r="J288" t="s">
        <v>310</v>
      </c>
      <c r="K288" s="13">
        <f>INDEX(Foderstater!$X$64:$AL$101,MATCH(F288,Foderstater!$U$64:$U$101,0),MATCH(A288&amp;C288&amp;E288,Foderstater!$X$63:$AL$63,0))</f>
        <v>4.2926359235494246E-2</v>
      </c>
    </row>
    <row r="289" spans="1:13" x14ac:dyDescent="0.25">
      <c r="A289" t="s">
        <v>2</v>
      </c>
      <c r="E289" t="s">
        <v>18</v>
      </c>
      <c r="F289" t="str">
        <f>Foderstater!U$96</f>
        <v>sugar beet molasses</v>
      </c>
      <c r="J289" t="s">
        <v>310</v>
      </c>
      <c r="K289" s="13">
        <f>INDEX(Foderstater!$X$64:$AL$101,MATCH(F289,Foderstater!$U$64:$U$101,0),MATCH(A289&amp;C289&amp;E289,Foderstater!$X$63:$AL$63,0))</f>
        <v>0.47602729121024218</v>
      </c>
    </row>
    <row r="290" spans="1:13" x14ac:dyDescent="0.25">
      <c r="A290" t="s">
        <v>2</v>
      </c>
      <c r="E290" t="s">
        <v>18</v>
      </c>
      <c r="F290" t="str">
        <f>Foderstater!U$97</f>
        <v>sugar beet pulp</v>
      </c>
      <c r="J290" t="s">
        <v>310</v>
      </c>
      <c r="K290" s="13">
        <f>INDEX(Foderstater!$X$64:$AL$101,MATCH(F290,Foderstater!$U$64:$U$101,0),MATCH(A290&amp;C290&amp;E290,Foderstater!$X$63:$AL$63,0))</f>
        <v>0.91853231005300495</v>
      </c>
    </row>
    <row r="291" spans="1:13" x14ac:dyDescent="0.25">
      <c r="A291" t="s">
        <v>2</v>
      </c>
      <c r="E291" t="s">
        <v>18</v>
      </c>
      <c r="F291" t="str">
        <f>Foderstater!U$98</f>
        <v>whey powder</v>
      </c>
      <c r="J291" t="s">
        <v>310</v>
      </c>
      <c r="K291" s="13">
        <f>INDEX(Foderstater!$X$64:$AL$101,MATCH(F291,Foderstater!$U$64:$U$101,0),MATCH(A291&amp;C291&amp;E291,Foderstater!$X$63:$AL$63,0))</f>
        <v>0</v>
      </c>
    </row>
    <row r="292" spans="1:13" x14ac:dyDescent="0.25">
      <c r="A292" t="s">
        <v>2</v>
      </c>
      <c r="E292" t="s">
        <v>18</v>
      </c>
      <c r="F292" t="str">
        <f>Foderstater!U$99</f>
        <v>potatoe protein</v>
      </c>
      <c r="J292" t="s">
        <v>310</v>
      </c>
      <c r="K292" s="13">
        <f>INDEX(Foderstater!$X$64:$AL$101,MATCH(F292,Foderstater!$U$64:$U$101,0),MATCH(A292&amp;C292&amp;E292,Foderstater!$X$63:$AL$63,0))</f>
        <v>4.2052766660258274E-3</v>
      </c>
    </row>
    <row r="293" spans="1:13" x14ac:dyDescent="0.25">
      <c r="A293" t="s">
        <v>2</v>
      </c>
      <c r="E293" t="s">
        <v>18</v>
      </c>
      <c r="F293" t="str">
        <f>Foderstater!U$100</f>
        <v>fish meal</v>
      </c>
      <c r="J293" t="s">
        <v>310</v>
      </c>
      <c r="K293" s="13">
        <f>INDEX(Foderstater!$X$64:$AL$101,MATCH(F293,Foderstater!$U$64:$U$101,0),MATCH(A293&amp;C293&amp;E293,Foderstater!$X$63:$AL$63,0))</f>
        <v>0</v>
      </c>
    </row>
    <row r="294" spans="1:13" x14ac:dyDescent="0.25">
      <c r="A294" t="s">
        <v>2</v>
      </c>
      <c r="E294" t="s">
        <v>18</v>
      </c>
      <c r="F294" t="str">
        <f>Foderstater!U$101</f>
        <v>minerals</v>
      </c>
      <c r="J294" t="s">
        <v>310</v>
      </c>
      <c r="K294" s="13">
        <f>INDEX(Foderstater!$X$64:$AL$101,MATCH(F294,Foderstater!$U$64:$U$101,0),MATCH(A294&amp;C294&amp;E294,Foderstater!$X$63:$AL$63,0))</f>
        <v>0.66022570674046432</v>
      </c>
    </row>
    <row r="296" spans="1:13" x14ac:dyDescent="0.25">
      <c r="A296" s="158" t="s">
        <v>2</v>
      </c>
      <c r="B296" s="158" t="s">
        <v>1</v>
      </c>
      <c r="C296" s="158" t="s">
        <v>407</v>
      </c>
      <c r="D296" s="158"/>
      <c r="E296" s="158" t="s">
        <v>18</v>
      </c>
      <c r="J296" s="158" t="s">
        <v>310</v>
      </c>
      <c r="K296" s="158">
        <v>0</v>
      </c>
      <c r="L296" s="158"/>
      <c r="M296" s="158" t="s">
        <v>401</v>
      </c>
    </row>
    <row r="297" spans="1:13" x14ac:dyDescent="0.25">
      <c r="A297" t="s">
        <v>2</v>
      </c>
      <c r="B297" t="s">
        <v>1</v>
      </c>
      <c r="C297" t="s">
        <v>407</v>
      </c>
      <c r="E297" t="s">
        <v>18</v>
      </c>
      <c r="F297" t="str">
        <f>Foderstater!U$64</f>
        <v>ley silage, 1st cut</v>
      </c>
      <c r="J297" t="s">
        <v>310</v>
      </c>
      <c r="K297" s="13">
        <f>INDEX(Foderstater!$X$64:$AL$101,MATCH(F297,Foderstater!$U$64:$U$101,0),MATCH(A297&amp;C297&amp;E297,Foderstater!$X$63:$AL$63,0))</f>
        <v>22.93829412577864</v>
      </c>
      <c r="L297" s="158"/>
      <c r="M297" s="158"/>
    </row>
    <row r="298" spans="1:13" x14ac:dyDescent="0.25">
      <c r="A298" t="s">
        <v>2</v>
      </c>
      <c r="B298" t="s">
        <v>1</v>
      </c>
      <c r="C298" t="s">
        <v>407</v>
      </c>
      <c r="E298" t="s">
        <v>18</v>
      </c>
      <c r="F298" t="str">
        <f>Foderstater!U$65</f>
        <v>ley silage, regrowth</v>
      </c>
      <c r="J298" t="s">
        <v>310</v>
      </c>
      <c r="K298" s="13">
        <f>INDEX(Foderstater!$X$64:$AL$101,MATCH(F298,Foderstater!$U$64:$U$101,0),MATCH(A298&amp;C298&amp;E298,Foderstater!$X$63:$AL$63,0))</f>
        <v>10.638819198282629</v>
      </c>
      <c r="L298" s="158"/>
      <c r="M298" s="158"/>
    </row>
    <row r="299" spans="1:13" x14ac:dyDescent="0.25">
      <c r="A299" t="s">
        <v>2</v>
      </c>
      <c r="B299" t="s">
        <v>1</v>
      </c>
      <c r="C299" t="s">
        <v>407</v>
      </c>
      <c r="E299" t="s">
        <v>18</v>
      </c>
      <c r="F299" t="str">
        <f>Foderstater!U$66</f>
        <v>other silage</v>
      </c>
      <c r="J299" t="s">
        <v>310</v>
      </c>
      <c r="K299" s="13">
        <f>INDEX(Foderstater!$X$64:$AL$101,MATCH(F299,Foderstater!$U$64:$U$101,0),MATCH(A299&amp;C299&amp;E299,Foderstater!$X$63:$AL$63,0))</f>
        <v>0</v>
      </c>
      <c r="L299" s="158"/>
      <c r="M299" s="158"/>
    </row>
    <row r="300" spans="1:13" x14ac:dyDescent="0.25">
      <c r="A300" t="s">
        <v>2</v>
      </c>
      <c r="B300" t="s">
        <v>1</v>
      </c>
      <c r="C300" t="s">
        <v>407</v>
      </c>
      <c r="E300" t="s">
        <v>18</v>
      </c>
      <c r="F300" t="str">
        <f>Foderstater!U$67</f>
        <v>maize silage</v>
      </c>
      <c r="J300" t="s">
        <v>310</v>
      </c>
      <c r="K300" s="13">
        <f>INDEX(Foderstater!$X$64:$AL$101,MATCH(F300,Foderstater!$U$64:$U$101,0),MATCH(A300&amp;C300&amp;E300,Foderstater!$X$63:$AL$63,0))</f>
        <v>15.876048855936714</v>
      </c>
      <c r="L300" s="158"/>
      <c r="M300" s="158"/>
    </row>
    <row r="301" spans="1:13" x14ac:dyDescent="0.25">
      <c r="A301" t="s">
        <v>2</v>
      </c>
      <c r="B301" t="s">
        <v>1</v>
      </c>
      <c r="C301" t="s">
        <v>407</v>
      </c>
      <c r="E301" t="s">
        <v>18</v>
      </c>
      <c r="F301" t="str">
        <f>Foderstater!U$68</f>
        <v>straw</v>
      </c>
      <c r="J301" t="s">
        <v>310</v>
      </c>
      <c r="K301" s="13">
        <f>INDEX(Foderstater!$X$64:$AL$101,MATCH(F301,Foderstater!$U$64:$U$101,0),MATCH(A301&amp;C301&amp;E301,Foderstater!$X$63:$AL$63,0))</f>
        <v>3.0977656304266756</v>
      </c>
      <c r="L301" s="158"/>
      <c r="M301" s="158"/>
    </row>
    <row r="302" spans="1:13" x14ac:dyDescent="0.25">
      <c r="A302" t="s">
        <v>2</v>
      </c>
      <c r="B302" t="s">
        <v>1</v>
      </c>
      <c r="C302" t="s">
        <v>407</v>
      </c>
      <c r="E302" t="s">
        <v>18</v>
      </c>
      <c r="F302" t="str">
        <f>Foderstater!U$69</f>
        <v>grazing</v>
      </c>
      <c r="J302" t="s">
        <v>310</v>
      </c>
      <c r="K302" s="13">
        <f>INDEX(Foderstater!$X$64:$AL$101,MATCH(F302,Foderstater!$U$64:$U$101,0),MATCH(A302&amp;C302&amp;E302,Foderstater!$X$63:$AL$63,0))</f>
        <v>6.4615074492035101</v>
      </c>
      <c r="L302" s="158"/>
      <c r="M302" s="158"/>
    </row>
    <row r="303" spans="1:13" x14ac:dyDescent="0.25">
      <c r="A303" t="s">
        <v>2</v>
      </c>
      <c r="B303" t="s">
        <v>1</v>
      </c>
      <c r="C303" t="s">
        <v>407</v>
      </c>
      <c r="E303" t="s">
        <v>18</v>
      </c>
      <c r="F303" t="str">
        <f>Foderstater!U$70</f>
        <v>wheat</v>
      </c>
      <c r="J303" t="s">
        <v>310</v>
      </c>
      <c r="K303" s="13">
        <f>INDEX(Foderstater!$X$64:$AL$101,MATCH(F303,Foderstater!$U$64:$U$101,0),MATCH(A303&amp;C303&amp;E303,Foderstater!$X$63:$AL$63,0))</f>
        <v>5.0974881237730667</v>
      </c>
      <c r="L303" s="158"/>
      <c r="M303" s="158"/>
    </row>
    <row r="304" spans="1:13" x14ac:dyDescent="0.25">
      <c r="A304" t="s">
        <v>2</v>
      </c>
      <c r="B304" t="s">
        <v>1</v>
      </c>
      <c r="C304" t="s">
        <v>407</v>
      </c>
      <c r="E304" t="s">
        <v>18</v>
      </c>
      <c r="F304" t="str">
        <f>Foderstater!U$71</f>
        <v>barley</v>
      </c>
      <c r="J304" t="s">
        <v>310</v>
      </c>
      <c r="K304" s="13">
        <f>INDEX(Foderstater!$X$64:$AL$101,MATCH(F304,Foderstater!$U$64:$U$101,0),MATCH(A304&amp;C304&amp;E304,Foderstater!$X$63:$AL$63,0))</f>
        <v>8.404170018075888</v>
      </c>
      <c r="L304" s="158"/>
      <c r="M304" s="158"/>
    </row>
    <row r="305" spans="1:13" x14ac:dyDescent="0.25">
      <c r="A305" t="s">
        <v>2</v>
      </c>
      <c r="B305" t="s">
        <v>1</v>
      </c>
      <c r="C305" t="s">
        <v>407</v>
      </c>
      <c r="E305" t="s">
        <v>18</v>
      </c>
      <c r="F305" t="str">
        <f>Foderstater!U$72</f>
        <v>oats</v>
      </c>
      <c r="J305" t="s">
        <v>310</v>
      </c>
      <c r="K305" s="13">
        <f>INDEX(Foderstater!$X$64:$AL$101,MATCH(F305,Foderstater!$U$64:$U$101,0),MATCH(A305&amp;C305&amp;E305,Foderstater!$X$63:$AL$63,0))</f>
        <v>2.0416884227683041</v>
      </c>
      <c r="L305" s="158"/>
      <c r="M305" s="158"/>
    </row>
    <row r="306" spans="1:13" x14ac:dyDescent="0.25">
      <c r="A306" t="s">
        <v>2</v>
      </c>
      <c r="B306" t="s">
        <v>1</v>
      </c>
      <c r="C306" t="s">
        <v>407</v>
      </c>
      <c r="E306" t="s">
        <v>18</v>
      </c>
      <c r="F306" t="str">
        <f>Foderstater!U$73</f>
        <v>triticale</v>
      </c>
      <c r="J306" t="s">
        <v>310</v>
      </c>
      <c r="K306" s="13">
        <f>INDEX(Foderstater!$X$64:$AL$101,MATCH(F306,Foderstater!$U$64:$U$101,0),MATCH(A306&amp;C306&amp;E306,Foderstater!$X$63:$AL$63,0))</f>
        <v>2.6355687688154275</v>
      </c>
      <c r="L306" s="158"/>
      <c r="M306" s="158"/>
    </row>
    <row r="307" spans="1:13" x14ac:dyDescent="0.25">
      <c r="A307" t="s">
        <v>2</v>
      </c>
      <c r="B307" t="s">
        <v>1</v>
      </c>
      <c r="C307" t="s">
        <v>407</v>
      </c>
      <c r="E307" t="s">
        <v>18</v>
      </c>
      <c r="F307" t="str">
        <f>Foderstater!U$74</f>
        <v>rye</v>
      </c>
      <c r="J307" t="s">
        <v>310</v>
      </c>
      <c r="K307" s="13">
        <f>INDEX(Foderstater!$X$64:$AL$101,MATCH(F307,Foderstater!$U$64:$U$101,0),MATCH(A307&amp;C307&amp;E307,Foderstater!$X$63:$AL$63,0))</f>
        <v>1.7420276725880934E-2</v>
      </c>
      <c r="L307" s="158"/>
      <c r="M307" s="158"/>
    </row>
    <row r="308" spans="1:13" x14ac:dyDescent="0.25">
      <c r="A308" t="s">
        <v>2</v>
      </c>
      <c r="B308" t="s">
        <v>1</v>
      </c>
      <c r="C308" t="s">
        <v>407</v>
      </c>
      <c r="E308" t="s">
        <v>18</v>
      </c>
      <c r="F308" t="str">
        <f>Foderstater!U$75</f>
        <v>maize</v>
      </c>
      <c r="J308" t="s">
        <v>310</v>
      </c>
      <c r="K308" s="13">
        <f>INDEX(Foderstater!$X$64:$AL$101,MATCH(F308,Foderstater!$U$64:$U$101,0),MATCH(A308&amp;C308&amp;E308,Foderstater!$X$63:$AL$63,0))</f>
        <v>0.6150281680723525</v>
      </c>
      <c r="L308" s="158"/>
      <c r="M308" s="158"/>
    </row>
    <row r="309" spans="1:13" x14ac:dyDescent="0.25">
      <c r="A309" t="s">
        <v>2</v>
      </c>
      <c r="B309" t="s">
        <v>1</v>
      </c>
      <c r="C309" t="s">
        <v>407</v>
      </c>
      <c r="E309" t="s">
        <v>18</v>
      </c>
      <c r="F309" t="str">
        <f>Foderstater!U$76</f>
        <v>peas</v>
      </c>
      <c r="J309" t="s">
        <v>310</v>
      </c>
      <c r="K309" s="13">
        <f>INDEX(Foderstater!$X$64:$AL$101,MATCH(F309,Foderstater!$U$64:$U$101,0),MATCH(A309&amp;C309&amp;E309,Foderstater!$X$63:$AL$63,0))</f>
        <v>9.6119233524986178E-2</v>
      </c>
      <c r="L309" s="158"/>
      <c r="M309" s="158"/>
    </row>
    <row r="310" spans="1:13" x14ac:dyDescent="0.25">
      <c r="A310" t="s">
        <v>2</v>
      </c>
      <c r="B310" t="s">
        <v>1</v>
      </c>
      <c r="C310" t="s">
        <v>407</v>
      </c>
      <c r="E310" t="s">
        <v>18</v>
      </c>
      <c r="F310" t="str">
        <f>Foderstater!U$77</f>
        <v>broad beans</v>
      </c>
      <c r="J310" t="s">
        <v>310</v>
      </c>
      <c r="K310" s="13">
        <f>INDEX(Foderstater!$X$64:$AL$101,MATCH(F310,Foderstater!$U$64:$U$101,0),MATCH(A310&amp;C310&amp;E310,Foderstater!$X$63:$AL$63,0))</f>
        <v>0.33029420131428044</v>
      </c>
      <c r="L310" s="158"/>
      <c r="M310" s="158"/>
    </row>
    <row r="311" spans="1:13" x14ac:dyDescent="0.25">
      <c r="A311" t="s">
        <v>2</v>
      </c>
      <c r="B311" t="s">
        <v>1</v>
      </c>
      <c r="C311" t="s">
        <v>407</v>
      </c>
      <c r="E311" t="s">
        <v>18</v>
      </c>
      <c r="F311" t="str">
        <f>Foderstater!U$78</f>
        <v>rapeseed</v>
      </c>
      <c r="J311" t="s">
        <v>310</v>
      </c>
      <c r="K311" s="13">
        <f>INDEX(Foderstater!$X$64:$AL$101,MATCH(F311,Foderstater!$U$64:$U$101,0),MATCH(A311&amp;C311&amp;E311,Foderstater!$X$63:$AL$63,0))</f>
        <v>5.2287040112895822</v>
      </c>
      <c r="L311" s="158"/>
      <c r="M311" s="158"/>
    </row>
    <row r="312" spans="1:13" x14ac:dyDescent="0.25">
      <c r="A312" t="s">
        <v>2</v>
      </c>
      <c r="B312" t="s">
        <v>1</v>
      </c>
      <c r="C312" t="s">
        <v>407</v>
      </c>
      <c r="E312" t="s">
        <v>18</v>
      </c>
      <c r="F312" t="str">
        <f>Foderstater!U$79</f>
        <v>linseed</v>
      </c>
      <c r="J312" t="s">
        <v>310</v>
      </c>
      <c r="K312" s="13">
        <f>INDEX(Foderstater!$X$64:$AL$101,MATCH(F312,Foderstater!$U$64:$U$101,0),MATCH(A312&amp;C312&amp;E312,Foderstater!$X$63:$AL$63,0))</f>
        <v>3.8569994694707295E-3</v>
      </c>
      <c r="L312" s="158"/>
      <c r="M312" s="158"/>
    </row>
    <row r="313" spans="1:13" x14ac:dyDescent="0.25">
      <c r="A313" t="s">
        <v>2</v>
      </c>
      <c r="B313" t="s">
        <v>1</v>
      </c>
      <c r="C313" t="s">
        <v>407</v>
      </c>
      <c r="E313" t="s">
        <v>18</v>
      </c>
      <c r="F313" t="str">
        <f>Foderstater!U$80</f>
        <v>vegetable oils</v>
      </c>
      <c r="J313" t="s">
        <v>310</v>
      </c>
      <c r="K313" s="13">
        <f>INDEX(Foderstater!$X$64:$AL$101,MATCH(F313,Foderstater!$U$64:$U$101,0),MATCH(A313&amp;C313&amp;E313,Foderstater!$X$63:$AL$63,0))</f>
        <v>9.957591958992984E-2</v>
      </c>
      <c r="L313" s="158"/>
      <c r="M313" s="158"/>
    </row>
    <row r="314" spans="1:13" x14ac:dyDescent="0.25">
      <c r="A314" t="s">
        <v>2</v>
      </c>
      <c r="B314" t="s">
        <v>1</v>
      </c>
      <c r="C314" t="s">
        <v>407</v>
      </c>
      <c r="E314" t="s">
        <v>18</v>
      </c>
      <c r="F314" t="str">
        <f>Foderstater!U$81</f>
        <v>soybeans</v>
      </c>
      <c r="J314" t="s">
        <v>310</v>
      </c>
      <c r="K314" s="13">
        <f>INDEX(Foderstater!$X$64:$AL$101,MATCH(F314,Foderstater!$U$64:$U$101,0),MATCH(A314&amp;C314&amp;E314,Foderstater!$X$63:$AL$63,0))</f>
        <v>9.7308622107391843E-2</v>
      </c>
      <c r="L314" s="158"/>
      <c r="M314" s="158"/>
    </row>
    <row r="315" spans="1:13" x14ac:dyDescent="0.25">
      <c r="A315" t="s">
        <v>2</v>
      </c>
      <c r="B315" t="s">
        <v>1</v>
      </c>
      <c r="C315" t="s">
        <v>407</v>
      </c>
      <c r="E315" t="s">
        <v>18</v>
      </c>
      <c r="F315" t="str">
        <f>Foderstater!U$82</f>
        <v>soybean meal</v>
      </c>
      <c r="J315" t="s">
        <v>310</v>
      </c>
      <c r="K315" s="13">
        <f>INDEX(Foderstater!$X$64:$AL$101,MATCH(F315,Foderstater!$U$64:$U$101,0),MATCH(A315&amp;C315&amp;E315,Foderstater!$X$63:$AL$63,0))</f>
        <v>0.88887815787688529</v>
      </c>
      <c r="L315" s="158"/>
      <c r="M315" s="158"/>
    </row>
    <row r="316" spans="1:13" x14ac:dyDescent="0.25">
      <c r="A316" t="s">
        <v>2</v>
      </c>
      <c r="B316" t="s">
        <v>1</v>
      </c>
      <c r="C316" t="s">
        <v>407</v>
      </c>
      <c r="E316" t="s">
        <v>18</v>
      </c>
      <c r="F316" t="str">
        <f>Foderstater!U$83</f>
        <v>soybean protein concentrate</v>
      </c>
      <c r="J316" t="s">
        <v>310</v>
      </c>
      <c r="K316" s="13">
        <f>INDEX(Foderstater!$X$64:$AL$101,MATCH(F316,Foderstater!$U$64:$U$101,0),MATCH(A316&amp;C316&amp;E316,Foderstater!$X$63:$AL$63,0))</f>
        <v>0</v>
      </c>
      <c r="L316" s="158"/>
      <c r="M316" s="158"/>
    </row>
    <row r="317" spans="1:13" x14ac:dyDescent="0.25">
      <c r="A317" t="s">
        <v>2</v>
      </c>
      <c r="B317" t="s">
        <v>1</v>
      </c>
      <c r="C317" t="s">
        <v>407</v>
      </c>
      <c r="E317" t="s">
        <v>18</v>
      </c>
      <c r="F317" t="str">
        <f>Foderstater!U$84</f>
        <v>rapeseed meal</v>
      </c>
      <c r="J317" t="s">
        <v>310</v>
      </c>
      <c r="K317" s="13">
        <f>INDEX(Foderstater!$X$64:$AL$101,MATCH(F317,Foderstater!$U$64:$U$101,0),MATCH(A317&amp;C317&amp;E317,Foderstater!$X$63:$AL$63,0))</f>
        <v>6.8653684247374684</v>
      </c>
      <c r="L317" s="158"/>
      <c r="M317" s="158"/>
    </row>
    <row r="318" spans="1:13" x14ac:dyDescent="0.25">
      <c r="A318" t="s">
        <v>2</v>
      </c>
      <c r="B318" t="s">
        <v>1</v>
      </c>
      <c r="C318" t="s">
        <v>407</v>
      </c>
      <c r="E318" t="s">
        <v>18</v>
      </c>
      <c r="F318" t="str">
        <f>Foderstater!U$85</f>
        <v>sunflower seed meal</v>
      </c>
      <c r="J318" t="s">
        <v>310</v>
      </c>
      <c r="K318" s="13">
        <f>INDEX(Foderstater!$X$64:$AL$101,MATCH(F318,Foderstater!$U$64:$U$101,0),MATCH(A318&amp;C318&amp;E318,Foderstater!$X$63:$AL$63,0))</f>
        <v>9.4838419579113625E-2</v>
      </c>
    </row>
    <row r="319" spans="1:13" x14ac:dyDescent="0.25">
      <c r="A319" t="s">
        <v>2</v>
      </c>
      <c r="B319" t="s">
        <v>1</v>
      </c>
      <c r="C319" t="s">
        <v>407</v>
      </c>
      <c r="E319" t="s">
        <v>18</v>
      </c>
      <c r="F319" t="str">
        <f>Foderstater!U$86</f>
        <v>palm kernel expeller</v>
      </c>
      <c r="J319" t="s">
        <v>310</v>
      </c>
      <c r="K319" s="13">
        <f>INDEX(Foderstater!$X$64:$AL$101,MATCH(F319,Foderstater!$U$64:$U$101,0),MATCH(A319&amp;C319&amp;E319,Foderstater!$X$63:$AL$63,0))</f>
        <v>0.61625238331975196</v>
      </c>
    </row>
    <row r="320" spans="1:13" x14ac:dyDescent="0.25">
      <c r="A320" t="s">
        <v>2</v>
      </c>
      <c r="B320" t="s">
        <v>1</v>
      </c>
      <c r="C320" t="s">
        <v>407</v>
      </c>
      <c r="E320" t="s">
        <v>18</v>
      </c>
      <c r="F320" t="str">
        <f>Foderstater!U$87</f>
        <v>luzern meal</v>
      </c>
      <c r="J320" t="s">
        <v>310</v>
      </c>
      <c r="K320" s="13">
        <f>INDEX(Foderstater!$X$64:$AL$101,MATCH(F320,Foderstater!$U$64:$U$101,0),MATCH(A320&amp;C320&amp;E320,Foderstater!$X$63:$AL$63,0))</f>
        <v>0.18745720825786316</v>
      </c>
    </row>
    <row r="321" spans="1:14" x14ac:dyDescent="0.25">
      <c r="A321" t="s">
        <v>2</v>
      </c>
      <c r="B321" t="s">
        <v>1</v>
      </c>
      <c r="C321" t="s">
        <v>407</v>
      </c>
      <c r="E321" t="s">
        <v>18</v>
      </c>
      <c r="F321" t="str">
        <f>Foderstater!U$88</f>
        <v>wheat bran</v>
      </c>
      <c r="J321" t="s">
        <v>310</v>
      </c>
      <c r="K321" s="13">
        <f>INDEX(Foderstater!$X$64:$AL$101,MATCH(F321,Foderstater!$U$64:$U$101,0),MATCH(A321&amp;C321&amp;E321,Foderstater!$X$63:$AL$63,0))</f>
        <v>2.0423714635193808</v>
      </c>
    </row>
    <row r="322" spans="1:14" x14ac:dyDescent="0.25">
      <c r="A322" t="s">
        <v>2</v>
      </c>
      <c r="B322" t="s">
        <v>1</v>
      </c>
      <c r="C322" t="s">
        <v>407</v>
      </c>
      <c r="E322" t="s">
        <v>18</v>
      </c>
      <c r="F322" t="str">
        <f>Foderstater!U$89</f>
        <v>wheat bran, fine</v>
      </c>
      <c r="J322" t="s">
        <v>310</v>
      </c>
      <c r="K322" s="13">
        <f>INDEX(Foderstater!$X$64:$AL$101,MATCH(F322,Foderstater!$U$64:$U$101,0),MATCH(A322&amp;C322&amp;E322,Foderstater!$X$63:$AL$63,0))</f>
        <v>5.3539448640650723E-3</v>
      </c>
    </row>
    <row r="323" spans="1:14" x14ac:dyDescent="0.25">
      <c r="A323" t="s">
        <v>2</v>
      </c>
      <c r="B323" t="s">
        <v>1</v>
      </c>
      <c r="C323" t="s">
        <v>407</v>
      </c>
      <c r="E323" t="s">
        <v>18</v>
      </c>
      <c r="F323" t="str">
        <f>Foderstater!U$90</f>
        <v>oat hulls</v>
      </c>
      <c r="J323" t="s">
        <v>310</v>
      </c>
      <c r="K323" s="13">
        <f>INDEX(Foderstater!$X$64:$AL$101,MATCH(F323,Foderstater!$U$64:$U$101,0),MATCH(A323&amp;C323&amp;E323,Foderstater!$X$63:$AL$63,0))</f>
        <v>0.24598378379417407</v>
      </c>
    </row>
    <row r="324" spans="1:14" x14ac:dyDescent="0.25">
      <c r="A324" t="s">
        <v>2</v>
      </c>
      <c r="B324" t="s">
        <v>1</v>
      </c>
      <c r="C324" t="s">
        <v>407</v>
      </c>
      <c r="E324" t="s">
        <v>18</v>
      </c>
      <c r="F324" t="str">
        <f>Foderstater!U$91</f>
        <v>oat bran</v>
      </c>
      <c r="J324" t="s">
        <v>310</v>
      </c>
      <c r="K324" s="13">
        <f>INDEX(Foderstater!$X$64:$AL$101,MATCH(F324,Foderstater!$U$64:$U$101,0),MATCH(A324&amp;C324&amp;E324,Foderstater!$X$63:$AL$63,0))</f>
        <v>2.77620480868788E-2</v>
      </c>
    </row>
    <row r="325" spans="1:14" x14ac:dyDescent="0.25">
      <c r="A325" t="s">
        <v>2</v>
      </c>
      <c r="B325" t="s">
        <v>1</v>
      </c>
      <c r="C325" t="s">
        <v>407</v>
      </c>
      <c r="E325" t="s">
        <v>18</v>
      </c>
      <c r="F325" t="str">
        <f>Foderstater!U$92</f>
        <v>rye bran</v>
      </c>
      <c r="J325" t="s">
        <v>310</v>
      </c>
      <c r="K325" s="13">
        <f>INDEX(Foderstater!$X$64:$AL$101,MATCH(F325,Foderstater!$U$64:$U$101,0),MATCH(A325&amp;C325&amp;E325,Foderstater!$X$63:$AL$63,0))</f>
        <v>8.5618457243544915E-2</v>
      </c>
    </row>
    <row r="326" spans="1:14" x14ac:dyDescent="0.25">
      <c r="A326" t="s">
        <v>2</v>
      </c>
      <c r="B326" t="s">
        <v>1</v>
      </c>
      <c r="C326" t="s">
        <v>407</v>
      </c>
      <c r="E326" t="s">
        <v>18</v>
      </c>
      <c r="F326" t="str">
        <f>Foderstater!U$93</f>
        <v>wheat distillers grain, dry</v>
      </c>
      <c r="J326" t="s">
        <v>310</v>
      </c>
      <c r="K326" s="13">
        <f>INDEX(Foderstater!$X$64:$AL$101,MATCH(F326,Foderstater!$U$64:$U$101,0),MATCH(A326&amp;C326&amp;E326,Foderstater!$X$63:$AL$63,0))</f>
        <v>2.1953552977488813</v>
      </c>
    </row>
    <row r="327" spans="1:14" x14ac:dyDescent="0.25">
      <c r="A327" t="s">
        <v>2</v>
      </c>
      <c r="B327" t="s">
        <v>1</v>
      </c>
      <c r="C327" t="s">
        <v>407</v>
      </c>
      <c r="E327" t="s">
        <v>18</v>
      </c>
      <c r="F327" t="str">
        <f>Foderstater!U$94</f>
        <v>barley brewers grain</v>
      </c>
      <c r="J327" t="s">
        <v>310</v>
      </c>
      <c r="K327" s="13">
        <f>INDEX(Foderstater!$X$64:$AL$101,MATCH(F327,Foderstater!$U$64:$U$101,0),MATCH(A327&amp;C327&amp;E327,Foderstater!$X$63:$AL$63,0))</f>
        <v>0</v>
      </c>
    </row>
    <row r="328" spans="1:14" x14ac:dyDescent="0.25">
      <c r="A328" t="s">
        <v>2</v>
      </c>
      <c r="B328" t="s">
        <v>1</v>
      </c>
      <c r="C328" t="s">
        <v>407</v>
      </c>
      <c r="E328" t="s">
        <v>18</v>
      </c>
      <c r="F328" t="str">
        <f>Foderstater!U$95</f>
        <v>maize gluten meal</v>
      </c>
      <c r="J328" t="s">
        <v>310</v>
      </c>
      <c r="K328" s="13">
        <f>INDEX(Foderstater!$X$64:$AL$101,MATCH(F328,Foderstater!$U$64:$U$101,0),MATCH(A328&amp;C328&amp;E328,Foderstater!$X$63:$AL$63,0))</f>
        <v>6.6336745025503241E-2</v>
      </c>
    </row>
    <row r="329" spans="1:14" x14ac:dyDescent="0.25">
      <c r="A329" t="s">
        <v>2</v>
      </c>
      <c r="B329" t="s">
        <v>1</v>
      </c>
      <c r="C329" t="s">
        <v>407</v>
      </c>
      <c r="E329" t="s">
        <v>18</v>
      </c>
      <c r="F329" t="str">
        <f>Foderstater!U$96</f>
        <v>sugar beet molasses</v>
      </c>
      <c r="J329" t="s">
        <v>310</v>
      </c>
      <c r="K329" s="13">
        <f>INDEX(Foderstater!$X$64:$AL$101,MATCH(F329,Foderstater!$U$64:$U$101,0),MATCH(A329&amp;C329&amp;E329,Foderstater!$X$63:$AL$63,0))</f>
        <v>0.73563427238161927</v>
      </c>
    </row>
    <row r="330" spans="1:14" x14ac:dyDescent="0.25">
      <c r="A330" t="s">
        <v>2</v>
      </c>
      <c r="B330" t="s">
        <v>1</v>
      </c>
      <c r="C330" t="s">
        <v>407</v>
      </c>
      <c r="E330" t="s">
        <v>18</v>
      </c>
      <c r="F330" t="str">
        <f>Foderstater!U$97</f>
        <v>sugar beet pulp</v>
      </c>
      <c r="J330" t="s">
        <v>310</v>
      </c>
      <c r="K330" s="13">
        <f>INDEX(Foderstater!$X$64:$AL$101,MATCH(F330,Foderstater!$U$64:$U$101,0),MATCH(A330&amp;C330&amp;E330,Foderstater!$X$63:$AL$63,0))</f>
        <v>1.4194645139923689</v>
      </c>
    </row>
    <row r="331" spans="1:14" x14ac:dyDescent="0.25">
      <c r="A331" t="s">
        <v>2</v>
      </c>
      <c r="B331" t="s">
        <v>1</v>
      </c>
      <c r="C331" t="s">
        <v>407</v>
      </c>
      <c r="E331" t="s">
        <v>18</v>
      </c>
      <c r="F331" t="str">
        <f>Foderstater!U$98</f>
        <v>whey powder</v>
      </c>
      <c r="J331" t="s">
        <v>310</v>
      </c>
      <c r="K331" s="13">
        <f>INDEX(Foderstater!$X$64:$AL$101,MATCH(F331,Foderstater!$U$64:$U$101,0),MATCH(A331&amp;C331&amp;E331,Foderstater!$X$63:$AL$63,0))</f>
        <v>0</v>
      </c>
    </row>
    <row r="332" spans="1:14" x14ac:dyDescent="0.25">
      <c r="A332" t="s">
        <v>2</v>
      </c>
      <c r="B332" t="s">
        <v>1</v>
      </c>
      <c r="C332" t="s">
        <v>407</v>
      </c>
      <c r="E332" t="s">
        <v>18</v>
      </c>
      <c r="F332" t="str">
        <f>Foderstater!U$99</f>
        <v>potatoe protein</v>
      </c>
      <c r="J332" t="s">
        <v>310</v>
      </c>
      <c r="K332" s="13">
        <f>INDEX(Foderstater!$X$64:$AL$101,MATCH(F332,Foderstater!$U$64:$U$101,0),MATCH(A332&amp;C332&amp;E332,Foderstater!$X$63:$AL$63,0))</f>
        <v>6.4986728649744927E-3</v>
      </c>
    </row>
    <row r="333" spans="1:14" x14ac:dyDescent="0.25">
      <c r="A333" t="s">
        <v>2</v>
      </c>
      <c r="B333" t="s">
        <v>1</v>
      </c>
      <c r="C333" t="s">
        <v>407</v>
      </c>
      <c r="E333" t="s">
        <v>18</v>
      </c>
      <c r="F333" t="str">
        <f>Foderstater!U$100</f>
        <v>fish meal</v>
      </c>
      <c r="J333" t="s">
        <v>310</v>
      </c>
      <c r="K333" s="13">
        <f>INDEX(Foderstater!$X$64:$AL$101,MATCH(F333,Foderstater!$U$64:$U$101,0),MATCH(A333&amp;C333&amp;E333,Foderstater!$X$63:$AL$63,0))</f>
        <v>0</v>
      </c>
    </row>
    <row r="334" spans="1:14" x14ac:dyDescent="0.25">
      <c r="A334" t="s">
        <v>2</v>
      </c>
      <c r="B334" t="s">
        <v>1</v>
      </c>
      <c r="C334" t="s">
        <v>407</v>
      </c>
      <c r="E334" t="s">
        <v>18</v>
      </c>
      <c r="F334" t="str">
        <f>Foderstater!U$101</f>
        <v>minerals</v>
      </c>
      <c r="J334" t="s">
        <v>310</v>
      </c>
      <c r="K334" s="13">
        <f>INDEX(Foderstater!$X$64:$AL$101,MATCH(F334,Foderstater!$U$64:$U$101,0),MATCH(A334&amp;C334&amp;E334,Foderstater!$X$63:$AL$63,0))</f>
        <v>0.83716818155279793</v>
      </c>
    </row>
    <row r="336" spans="1:14" x14ac:dyDescent="0.25">
      <c r="A336" s="81" t="s">
        <v>636</v>
      </c>
      <c r="B336" s="48"/>
      <c r="C336" s="48"/>
      <c r="D336" s="49"/>
      <c r="E336" s="49"/>
      <c r="F336" s="49"/>
      <c r="G336" s="49"/>
      <c r="H336" s="49"/>
      <c r="I336" s="49"/>
      <c r="J336" s="49"/>
      <c r="K336" s="161"/>
      <c r="L336" s="49"/>
      <c r="M336" s="49"/>
      <c r="N336" s="49"/>
    </row>
    <row r="337" spans="1:13" x14ac:dyDescent="0.25">
      <c r="A337" s="158" t="s">
        <v>2</v>
      </c>
      <c r="B337" s="158"/>
      <c r="C337" s="158"/>
      <c r="D337" s="158"/>
      <c r="E337" s="158" t="s">
        <v>402</v>
      </c>
      <c r="F337" s="158"/>
      <c r="G337" s="158"/>
      <c r="H337" s="158"/>
      <c r="I337" s="158"/>
      <c r="J337" s="158" t="s">
        <v>310</v>
      </c>
      <c r="K337" s="158">
        <v>0</v>
      </c>
      <c r="L337" s="158"/>
      <c r="M337" s="158" t="s">
        <v>401</v>
      </c>
    </row>
    <row r="338" spans="1:13" x14ac:dyDescent="0.25">
      <c r="A338" s="110" t="s">
        <v>2</v>
      </c>
      <c r="B338" s="110"/>
      <c r="C338" s="110"/>
      <c r="D338" s="110"/>
      <c r="E338" s="110" t="s">
        <v>402</v>
      </c>
      <c r="F338" t="str">
        <f>Foderstater!U$64</f>
        <v>ley silage, 1st cut</v>
      </c>
      <c r="G338" s="93"/>
      <c r="H338" s="93"/>
      <c r="I338" s="93"/>
      <c r="J338" s="110" t="s">
        <v>310</v>
      </c>
      <c r="K338" s="13">
        <f>INDEX(Foderstater!$X$64:$AL$101,MATCH(F338,Foderstater!$U$64:$U$101,0),MATCH(A338&amp;C338&amp;E338,Foderstater!$X$63:$AL$63,0))</f>
        <v>0</v>
      </c>
      <c r="L338" s="158"/>
      <c r="M338" s="93"/>
    </row>
    <row r="339" spans="1:13" x14ac:dyDescent="0.25">
      <c r="A339" s="110" t="s">
        <v>2</v>
      </c>
      <c r="E339" s="110" t="s">
        <v>402</v>
      </c>
      <c r="F339" t="str">
        <f>Foderstater!U$65</f>
        <v>ley silage, regrowth</v>
      </c>
      <c r="J339" s="110" t="s">
        <v>310</v>
      </c>
      <c r="K339" s="13">
        <f>INDEX(Foderstater!$X$64:$AL$101,MATCH(F339,Foderstater!$U$64:$U$101,0),MATCH(A339&amp;C339&amp;E339,Foderstater!$X$63:$AL$63,0))</f>
        <v>7.0178130628008537</v>
      </c>
    </row>
    <row r="340" spans="1:13" x14ac:dyDescent="0.25">
      <c r="A340" s="110" t="s">
        <v>2</v>
      </c>
      <c r="E340" s="110" t="s">
        <v>402</v>
      </c>
      <c r="F340" t="str">
        <f>Foderstater!U$66</f>
        <v>other silage</v>
      </c>
      <c r="J340" s="110" t="s">
        <v>310</v>
      </c>
      <c r="K340" s="13">
        <f>INDEX(Foderstater!$X$64:$AL$101,MATCH(F340,Foderstater!$U$64:$U$101,0),MATCH(A340&amp;C340&amp;E340,Foderstater!$X$63:$AL$63,0))</f>
        <v>41.192418289263692</v>
      </c>
    </row>
    <row r="341" spans="1:13" x14ac:dyDescent="0.25">
      <c r="A341" s="110" t="s">
        <v>2</v>
      </c>
      <c r="E341" s="110" t="s">
        <v>402</v>
      </c>
      <c r="F341" t="str">
        <f>Foderstater!U$67</f>
        <v>maize silage</v>
      </c>
      <c r="J341" s="110" t="s">
        <v>310</v>
      </c>
      <c r="K341" s="13">
        <f>INDEX(Foderstater!$X$64:$AL$101,MATCH(F341,Foderstater!$U$64:$U$101,0),MATCH(A341&amp;C341&amp;E341,Foderstater!$X$63:$AL$63,0))</f>
        <v>0</v>
      </c>
    </row>
    <row r="342" spans="1:13" x14ac:dyDescent="0.25">
      <c r="A342" s="110" t="s">
        <v>2</v>
      </c>
      <c r="E342" s="110" t="s">
        <v>402</v>
      </c>
      <c r="F342" t="str">
        <f>Foderstater!U$68</f>
        <v>straw</v>
      </c>
      <c r="J342" s="110" t="s">
        <v>310</v>
      </c>
      <c r="K342" s="13">
        <f>INDEX(Foderstater!$X$64:$AL$101,MATCH(F342,Foderstater!$U$64:$U$101,0),MATCH(A342&amp;C342&amp;E342,Foderstater!$X$63:$AL$63,0))</f>
        <v>0.67138025374082655</v>
      </c>
    </row>
    <row r="343" spans="1:13" x14ac:dyDescent="0.25">
      <c r="A343" s="110" t="s">
        <v>2</v>
      </c>
      <c r="E343" s="110" t="s">
        <v>402</v>
      </c>
      <c r="F343" t="str">
        <f>Foderstater!U$69</f>
        <v>grazing</v>
      </c>
      <c r="J343" s="110" t="s">
        <v>310</v>
      </c>
      <c r="K343" s="13">
        <f>INDEX(Foderstater!$X$64:$AL$101,MATCH(F343,Foderstater!$U$64:$U$101,0),MATCH(A343&amp;C343&amp;E343,Foderstater!$X$63:$AL$63,0))</f>
        <v>50.052481882315824</v>
      </c>
    </row>
    <row r="344" spans="1:13" x14ac:dyDescent="0.25">
      <c r="A344" s="110" t="s">
        <v>2</v>
      </c>
      <c r="E344" s="110" t="s">
        <v>402</v>
      </c>
      <c r="F344" t="str">
        <f>Foderstater!U$70</f>
        <v>wheat</v>
      </c>
      <c r="J344" s="110" t="s">
        <v>310</v>
      </c>
      <c r="K344" s="13">
        <f>INDEX(Foderstater!$X$64:$AL$101,MATCH(F344,Foderstater!$U$64:$U$101,0),MATCH(A344&amp;C344&amp;E344,Foderstater!$X$63:$AL$63,0))</f>
        <v>0</v>
      </c>
    </row>
    <row r="345" spans="1:13" x14ac:dyDescent="0.25">
      <c r="A345" s="110" t="s">
        <v>2</v>
      </c>
      <c r="E345" s="110" t="s">
        <v>402</v>
      </c>
      <c r="F345" t="str">
        <f>Foderstater!U$71</f>
        <v>barley</v>
      </c>
      <c r="J345" s="110" t="s">
        <v>310</v>
      </c>
      <c r="K345" s="13">
        <f>INDEX(Foderstater!$X$64:$AL$101,MATCH(F345,Foderstater!$U$64:$U$101,0),MATCH(A345&amp;C345&amp;E345,Foderstater!$X$63:$AL$63,0))</f>
        <v>0</v>
      </c>
    </row>
    <row r="346" spans="1:13" x14ac:dyDescent="0.25">
      <c r="A346" s="110" t="s">
        <v>2</v>
      </c>
      <c r="E346" s="110" t="s">
        <v>402</v>
      </c>
      <c r="F346" t="str">
        <f>Foderstater!U$72</f>
        <v>oats</v>
      </c>
      <c r="J346" s="110" t="s">
        <v>310</v>
      </c>
      <c r="K346" s="13">
        <f>INDEX(Foderstater!$X$64:$AL$101,MATCH(F346,Foderstater!$U$64:$U$101,0),MATCH(A346&amp;C346&amp;E346,Foderstater!$X$63:$AL$63,0))</f>
        <v>0</v>
      </c>
    </row>
    <row r="347" spans="1:13" x14ac:dyDescent="0.25">
      <c r="A347" s="110" t="s">
        <v>2</v>
      </c>
      <c r="E347" s="110" t="s">
        <v>402</v>
      </c>
      <c r="F347" t="str">
        <f>Foderstater!U$73</f>
        <v>triticale</v>
      </c>
      <c r="J347" s="110" t="s">
        <v>310</v>
      </c>
      <c r="K347" s="13">
        <f>INDEX(Foderstater!$X$64:$AL$101,MATCH(F347,Foderstater!$U$64:$U$101,0),MATCH(A347&amp;C347&amp;E347,Foderstater!$X$63:$AL$63,0))</f>
        <v>0</v>
      </c>
    </row>
    <row r="348" spans="1:13" x14ac:dyDescent="0.25">
      <c r="A348" s="110" t="s">
        <v>2</v>
      </c>
      <c r="E348" s="110" t="s">
        <v>402</v>
      </c>
      <c r="F348" t="str">
        <f>Foderstater!U$74</f>
        <v>rye</v>
      </c>
      <c r="J348" s="110" t="s">
        <v>310</v>
      </c>
      <c r="K348" s="13">
        <f>INDEX(Foderstater!$X$64:$AL$101,MATCH(F348,Foderstater!$U$64:$U$101,0),MATCH(A348&amp;C348&amp;E348,Foderstater!$X$63:$AL$63,0))</f>
        <v>0</v>
      </c>
    </row>
    <row r="349" spans="1:13" x14ac:dyDescent="0.25">
      <c r="A349" s="110" t="s">
        <v>2</v>
      </c>
      <c r="E349" s="110" t="s">
        <v>402</v>
      </c>
      <c r="F349" t="str">
        <f>Foderstater!U$75</f>
        <v>maize</v>
      </c>
      <c r="J349" s="110" t="s">
        <v>310</v>
      </c>
      <c r="K349" s="13">
        <f>INDEX(Foderstater!$X$64:$AL$101,MATCH(F349,Foderstater!$U$64:$U$101,0),MATCH(A349&amp;C349&amp;E349,Foderstater!$X$63:$AL$63,0))</f>
        <v>0</v>
      </c>
    </row>
    <row r="350" spans="1:13" x14ac:dyDescent="0.25">
      <c r="A350" s="110" t="s">
        <v>2</v>
      </c>
      <c r="E350" s="110" t="s">
        <v>402</v>
      </c>
      <c r="F350" t="str">
        <f>Foderstater!U$76</f>
        <v>peas</v>
      </c>
      <c r="J350" s="110" t="s">
        <v>310</v>
      </c>
      <c r="K350" s="13">
        <f>INDEX(Foderstater!$X$64:$AL$101,MATCH(F350,Foderstater!$U$64:$U$101,0),MATCH(A350&amp;C350&amp;E350,Foderstater!$X$63:$AL$63,0))</f>
        <v>0</v>
      </c>
    </row>
    <row r="351" spans="1:13" x14ac:dyDescent="0.25">
      <c r="A351" s="110" t="s">
        <v>2</v>
      </c>
      <c r="E351" s="110" t="s">
        <v>402</v>
      </c>
      <c r="F351" t="str">
        <f>Foderstater!U$77</f>
        <v>broad beans</v>
      </c>
      <c r="J351" s="110" t="s">
        <v>310</v>
      </c>
      <c r="K351" s="13">
        <f>INDEX(Foderstater!$X$64:$AL$101,MATCH(F351,Foderstater!$U$64:$U$101,0),MATCH(A351&amp;C351&amp;E351,Foderstater!$X$63:$AL$63,0))</f>
        <v>0</v>
      </c>
    </row>
    <row r="352" spans="1:13" x14ac:dyDescent="0.25">
      <c r="A352" s="110" t="s">
        <v>2</v>
      </c>
      <c r="E352" s="110" t="s">
        <v>402</v>
      </c>
      <c r="F352" t="str">
        <f>Foderstater!U$78</f>
        <v>rapeseed</v>
      </c>
      <c r="J352" s="110" t="s">
        <v>310</v>
      </c>
      <c r="K352" s="13">
        <f>INDEX(Foderstater!$X$64:$AL$101,MATCH(F352,Foderstater!$U$64:$U$101,0),MATCH(A352&amp;C352&amp;E352,Foderstater!$X$63:$AL$63,0))</f>
        <v>0</v>
      </c>
    </row>
    <row r="353" spans="1:11" x14ac:dyDescent="0.25">
      <c r="A353" s="110" t="s">
        <v>2</v>
      </c>
      <c r="E353" s="110" t="s">
        <v>402</v>
      </c>
      <c r="F353" t="str">
        <f>Foderstater!U$79</f>
        <v>linseed</v>
      </c>
      <c r="J353" s="110" t="s">
        <v>310</v>
      </c>
      <c r="K353" s="13">
        <f>INDEX(Foderstater!$X$64:$AL$101,MATCH(F353,Foderstater!$U$64:$U$101,0),MATCH(A353&amp;C353&amp;E353,Foderstater!$X$63:$AL$63,0))</f>
        <v>0</v>
      </c>
    </row>
    <row r="354" spans="1:11" x14ac:dyDescent="0.25">
      <c r="A354" s="110" t="s">
        <v>2</v>
      </c>
      <c r="E354" s="110" t="s">
        <v>402</v>
      </c>
      <c r="F354" t="str">
        <f>Foderstater!U$80</f>
        <v>vegetable oils</v>
      </c>
      <c r="J354" s="110" t="s">
        <v>310</v>
      </c>
      <c r="K354" s="13">
        <f>INDEX(Foderstater!$X$64:$AL$101,MATCH(F354,Foderstater!$U$64:$U$101,0),MATCH(A354&amp;C354&amp;E354,Foderstater!$X$63:$AL$63,0))</f>
        <v>0</v>
      </c>
    </row>
    <row r="355" spans="1:11" x14ac:dyDescent="0.25">
      <c r="A355" s="110" t="s">
        <v>2</v>
      </c>
      <c r="E355" s="110" t="s">
        <v>402</v>
      </c>
      <c r="F355" t="str">
        <f>Foderstater!U$81</f>
        <v>soybeans</v>
      </c>
      <c r="J355" s="110" t="s">
        <v>310</v>
      </c>
      <c r="K355" s="13">
        <f>INDEX(Foderstater!$X$64:$AL$101,MATCH(F355,Foderstater!$U$64:$U$101,0),MATCH(A355&amp;C355&amp;E355,Foderstater!$X$63:$AL$63,0))</f>
        <v>0</v>
      </c>
    </row>
    <row r="356" spans="1:11" x14ac:dyDescent="0.25">
      <c r="A356" s="110" t="s">
        <v>2</v>
      </c>
      <c r="E356" s="110" t="s">
        <v>402</v>
      </c>
      <c r="F356" t="str">
        <f>Foderstater!U$82</f>
        <v>soybean meal</v>
      </c>
      <c r="J356" s="110" t="s">
        <v>310</v>
      </c>
      <c r="K356" s="13">
        <f>INDEX(Foderstater!$X$64:$AL$101,MATCH(F356,Foderstater!$U$64:$U$101,0),MATCH(A356&amp;C356&amp;E356,Foderstater!$X$63:$AL$63,0))</f>
        <v>0</v>
      </c>
    </row>
    <row r="357" spans="1:11" x14ac:dyDescent="0.25">
      <c r="A357" s="110" t="s">
        <v>2</v>
      </c>
      <c r="E357" s="110" t="s">
        <v>402</v>
      </c>
      <c r="F357" t="str">
        <f>Foderstater!U$83</f>
        <v>soybean protein concentrate</v>
      </c>
      <c r="J357" s="110" t="s">
        <v>310</v>
      </c>
      <c r="K357" s="13">
        <f>INDEX(Foderstater!$X$64:$AL$101,MATCH(F357,Foderstater!$U$64:$U$101,0),MATCH(A357&amp;C357&amp;E357,Foderstater!$X$63:$AL$63,0))</f>
        <v>0</v>
      </c>
    </row>
    <row r="358" spans="1:11" x14ac:dyDescent="0.25">
      <c r="A358" s="110" t="s">
        <v>2</v>
      </c>
      <c r="E358" s="110" t="s">
        <v>402</v>
      </c>
      <c r="F358" t="str">
        <f>Foderstater!U$84</f>
        <v>rapeseed meal</v>
      </c>
      <c r="J358" s="110" t="s">
        <v>310</v>
      </c>
      <c r="K358" s="13">
        <f>INDEX(Foderstater!$X$64:$AL$101,MATCH(F358,Foderstater!$U$64:$U$101,0),MATCH(A358&amp;C358&amp;E358,Foderstater!$X$63:$AL$63,0))</f>
        <v>0</v>
      </c>
    </row>
    <row r="359" spans="1:11" x14ac:dyDescent="0.25">
      <c r="A359" s="110" t="s">
        <v>2</v>
      </c>
      <c r="E359" s="110" t="s">
        <v>402</v>
      </c>
      <c r="F359" t="str">
        <f>Foderstater!U$85</f>
        <v>sunflower seed meal</v>
      </c>
      <c r="J359" s="110" t="s">
        <v>310</v>
      </c>
      <c r="K359" s="13">
        <f>INDEX(Foderstater!$X$64:$AL$101,MATCH(F359,Foderstater!$U$64:$U$101,0),MATCH(A359&amp;C359&amp;E359,Foderstater!$X$63:$AL$63,0))</f>
        <v>0</v>
      </c>
    </row>
    <row r="360" spans="1:11" x14ac:dyDescent="0.25">
      <c r="A360" s="110" t="s">
        <v>2</v>
      </c>
      <c r="E360" s="110" t="s">
        <v>402</v>
      </c>
      <c r="F360" t="str">
        <f>Foderstater!U$86</f>
        <v>palm kernel expeller</v>
      </c>
      <c r="J360" s="110" t="s">
        <v>310</v>
      </c>
      <c r="K360" s="13">
        <f>INDEX(Foderstater!$X$64:$AL$101,MATCH(F360,Foderstater!$U$64:$U$101,0),MATCH(A360&amp;C360&amp;E360,Foderstater!$X$63:$AL$63,0))</f>
        <v>0</v>
      </c>
    </row>
    <row r="361" spans="1:11" x14ac:dyDescent="0.25">
      <c r="A361" s="110" t="s">
        <v>2</v>
      </c>
      <c r="E361" s="110" t="s">
        <v>402</v>
      </c>
      <c r="F361" t="str">
        <f>Foderstater!U$87</f>
        <v>luzern meal</v>
      </c>
      <c r="J361" s="110" t="s">
        <v>310</v>
      </c>
      <c r="K361" s="13">
        <f>INDEX(Foderstater!$X$64:$AL$101,MATCH(F361,Foderstater!$U$64:$U$101,0),MATCH(A361&amp;C361&amp;E361,Foderstater!$X$63:$AL$63,0))</f>
        <v>0</v>
      </c>
    </row>
    <row r="362" spans="1:11" x14ac:dyDescent="0.25">
      <c r="A362" s="110" t="s">
        <v>2</v>
      </c>
      <c r="E362" s="110" t="s">
        <v>402</v>
      </c>
      <c r="F362" t="str">
        <f>Foderstater!U$88</f>
        <v>wheat bran</v>
      </c>
      <c r="J362" s="110" t="s">
        <v>310</v>
      </c>
      <c r="K362" s="13">
        <f>INDEX(Foderstater!$X$64:$AL$101,MATCH(F362,Foderstater!$U$64:$U$101,0),MATCH(A362&amp;C362&amp;E362,Foderstater!$X$63:$AL$63,0))</f>
        <v>0</v>
      </c>
    </row>
    <row r="363" spans="1:11" x14ac:dyDescent="0.25">
      <c r="A363" s="110" t="s">
        <v>2</v>
      </c>
      <c r="E363" s="110" t="s">
        <v>402</v>
      </c>
      <c r="F363" t="str">
        <f>Foderstater!U$89</f>
        <v>wheat bran, fine</v>
      </c>
      <c r="J363" s="110" t="s">
        <v>310</v>
      </c>
      <c r="K363" s="13">
        <f>INDEX(Foderstater!$X$64:$AL$101,MATCH(F363,Foderstater!$U$64:$U$101,0),MATCH(A363&amp;C363&amp;E363,Foderstater!$X$63:$AL$63,0))</f>
        <v>0</v>
      </c>
    </row>
    <row r="364" spans="1:11" x14ac:dyDescent="0.25">
      <c r="A364" s="110" t="s">
        <v>2</v>
      </c>
      <c r="E364" s="110" t="s">
        <v>402</v>
      </c>
      <c r="F364" t="str">
        <f>Foderstater!U$90</f>
        <v>oat hulls</v>
      </c>
      <c r="J364" s="110" t="s">
        <v>310</v>
      </c>
      <c r="K364" s="13">
        <f>INDEX(Foderstater!$X$64:$AL$101,MATCH(F364,Foderstater!$U$64:$U$101,0),MATCH(A364&amp;C364&amp;E364,Foderstater!$X$63:$AL$63,0))</f>
        <v>0</v>
      </c>
    </row>
    <row r="365" spans="1:11" x14ac:dyDescent="0.25">
      <c r="A365" s="110" t="s">
        <v>2</v>
      </c>
      <c r="E365" s="110" t="s">
        <v>402</v>
      </c>
      <c r="F365" t="str">
        <f>Foderstater!U$91</f>
        <v>oat bran</v>
      </c>
      <c r="J365" s="110" t="s">
        <v>310</v>
      </c>
      <c r="K365" s="13">
        <f>INDEX(Foderstater!$X$64:$AL$101,MATCH(F365,Foderstater!$U$64:$U$101,0),MATCH(A365&amp;C365&amp;E365,Foderstater!$X$63:$AL$63,0))</f>
        <v>0</v>
      </c>
    </row>
    <row r="366" spans="1:11" x14ac:dyDescent="0.25">
      <c r="A366" s="110" t="s">
        <v>2</v>
      </c>
      <c r="E366" s="110" t="s">
        <v>402</v>
      </c>
      <c r="F366" t="str">
        <f>Foderstater!U$92</f>
        <v>rye bran</v>
      </c>
      <c r="J366" s="110" t="s">
        <v>310</v>
      </c>
      <c r="K366" s="13">
        <f>INDEX(Foderstater!$X$64:$AL$101,MATCH(F366,Foderstater!$U$64:$U$101,0),MATCH(A366&amp;C366&amp;E366,Foderstater!$X$63:$AL$63,0))</f>
        <v>0</v>
      </c>
    </row>
    <row r="367" spans="1:11" x14ac:dyDescent="0.25">
      <c r="A367" s="110" t="s">
        <v>2</v>
      </c>
      <c r="E367" s="110" t="s">
        <v>402</v>
      </c>
      <c r="F367" t="str">
        <f>Foderstater!U$93</f>
        <v>wheat distillers grain, dry</v>
      </c>
      <c r="J367" s="110" t="s">
        <v>310</v>
      </c>
      <c r="K367" s="13">
        <f>INDEX(Foderstater!$X$64:$AL$101,MATCH(F367,Foderstater!$U$64:$U$101,0),MATCH(A367&amp;C367&amp;E367,Foderstater!$X$63:$AL$63,0))</f>
        <v>0</v>
      </c>
    </row>
    <row r="368" spans="1:11" x14ac:dyDescent="0.25">
      <c r="A368" s="110" t="s">
        <v>2</v>
      </c>
      <c r="E368" s="110" t="s">
        <v>402</v>
      </c>
      <c r="F368" t="str">
        <f>Foderstater!U$94</f>
        <v>barley brewers grain</v>
      </c>
      <c r="J368" s="110" t="s">
        <v>310</v>
      </c>
      <c r="K368" s="13">
        <f>INDEX(Foderstater!$X$64:$AL$101,MATCH(F368,Foderstater!$U$64:$U$101,0),MATCH(A368&amp;C368&amp;E368,Foderstater!$X$63:$AL$63,0))</f>
        <v>0</v>
      </c>
    </row>
    <row r="369" spans="1:14" x14ac:dyDescent="0.25">
      <c r="A369" s="110" t="s">
        <v>2</v>
      </c>
      <c r="E369" s="110" t="s">
        <v>402</v>
      </c>
      <c r="F369" t="str">
        <f>Foderstater!U$95</f>
        <v>maize gluten meal</v>
      </c>
      <c r="J369" s="110" t="s">
        <v>310</v>
      </c>
      <c r="K369" s="13">
        <f>INDEX(Foderstater!$X$64:$AL$101,MATCH(F369,Foderstater!$U$64:$U$101,0),MATCH(A369&amp;C369&amp;E369,Foderstater!$X$63:$AL$63,0))</f>
        <v>0</v>
      </c>
    </row>
    <row r="370" spans="1:14" x14ac:dyDescent="0.25">
      <c r="A370" s="110" t="s">
        <v>2</v>
      </c>
      <c r="E370" s="110" t="s">
        <v>402</v>
      </c>
      <c r="F370" t="str">
        <f>Foderstater!U$96</f>
        <v>sugar beet molasses</v>
      </c>
      <c r="J370" s="110" t="s">
        <v>310</v>
      </c>
      <c r="K370" s="13">
        <f>INDEX(Foderstater!$X$64:$AL$101,MATCH(F370,Foderstater!$U$64:$U$101,0),MATCH(A370&amp;C370&amp;E370,Foderstater!$X$63:$AL$63,0))</f>
        <v>0</v>
      </c>
    </row>
    <row r="371" spans="1:14" x14ac:dyDescent="0.25">
      <c r="A371" s="110" t="s">
        <v>2</v>
      </c>
      <c r="E371" s="110" t="s">
        <v>402</v>
      </c>
      <c r="F371" t="str">
        <f>Foderstater!U$97</f>
        <v>sugar beet pulp</v>
      </c>
      <c r="J371" s="110" t="s">
        <v>310</v>
      </c>
      <c r="K371" s="13">
        <f>INDEX(Foderstater!$X$64:$AL$101,MATCH(F371,Foderstater!$U$64:$U$101,0),MATCH(A371&amp;C371&amp;E371,Foderstater!$X$63:$AL$63,0))</f>
        <v>0</v>
      </c>
    </row>
    <row r="372" spans="1:14" x14ac:dyDescent="0.25">
      <c r="A372" s="110" t="s">
        <v>2</v>
      </c>
      <c r="E372" s="110" t="s">
        <v>402</v>
      </c>
      <c r="F372" t="str">
        <f>Foderstater!U$98</f>
        <v>whey powder</v>
      </c>
      <c r="J372" s="110" t="s">
        <v>310</v>
      </c>
      <c r="K372" s="13">
        <f>INDEX(Foderstater!$X$64:$AL$101,MATCH(F372,Foderstater!$U$64:$U$101,0),MATCH(A372&amp;C372&amp;E372,Foderstater!$X$63:$AL$63,0))</f>
        <v>0</v>
      </c>
    </row>
    <row r="373" spans="1:14" x14ac:dyDescent="0.25">
      <c r="A373" s="110" t="s">
        <v>2</v>
      </c>
      <c r="E373" s="110" t="s">
        <v>402</v>
      </c>
      <c r="F373" t="str">
        <f>Foderstater!U$99</f>
        <v>potatoe protein</v>
      </c>
      <c r="J373" s="110" t="s">
        <v>310</v>
      </c>
      <c r="K373" s="13">
        <f>INDEX(Foderstater!$X$64:$AL$101,MATCH(F373,Foderstater!$U$64:$U$101,0),MATCH(A373&amp;C373&amp;E373,Foderstater!$X$63:$AL$63,0))</f>
        <v>0</v>
      </c>
    </row>
    <row r="374" spans="1:14" x14ac:dyDescent="0.25">
      <c r="A374" s="110" t="s">
        <v>2</v>
      </c>
      <c r="E374" s="110" t="s">
        <v>402</v>
      </c>
      <c r="F374" t="str">
        <f>Foderstater!U$100</f>
        <v>fish meal</v>
      </c>
      <c r="J374" s="110" t="s">
        <v>310</v>
      </c>
      <c r="K374" s="13">
        <f>INDEX(Foderstater!$X$64:$AL$101,MATCH(F374,Foderstater!$U$64:$U$101,0),MATCH(A374&amp;C374&amp;E374,Foderstater!$X$63:$AL$63,0))</f>
        <v>0</v>
      </c>
    </row>
    <row r="375" spans="1:14" x14ac:dyDescent="0.25">
      <c r="A375" s="110" t="s">
        <v>2</v>
      </c>
      <c r="E375" s="110" t="s">
        <v>402</v>
      </c>
      <c r="F375" t="str">
        <f>Foderstater!U$101</f>
        <v>minerals</v>
      </c>
      <c r="J375" s="110" t="s">
        <v>310</v>
      </c>
      <c r="K375" s="13">
        <f>INDEX(Foderstater!$X$64:$AL$101,MATCH(F375,Foderstater!$U$64:$U$101,0),MATCH(A375&amp;C375&amp;E375,Foderstater!$X$63:$AL$63,0))</f>
        <v>1.0659065118787974</v>
      </c>
    </row>
    <row r="377" spans="1:14" x14ac:dyDescent="0.25">
      <c r="A377" s="81" t="s">
        <v>79</v>
      </c>
      <c r="B377" s="48"/>
      <c r="C377" s="48"/>
      <c r="D377" s="49"/>
      <c r="E377" s="49"/>
      <c r="F377" s="49"/>
      <c r="G377" s="49"/>
      <c r="H377" s="49"/>
      <c r="I377" s="49"/>
      <c r="J377" s="49"/>
      <c r="K377" s="161"/>
      <c r="L377" s="49"/>
      <c r="M377" s="49"/>
      <c r="N377" s="49"/>
    </row>
    <row r="378" spans="1:14" x14ac:dyDescent="0.25">
      <c r="A378" s="158" t="s">
        <v>2</v>
      </c>
      <c r="B378" s="158"/>
      <c r="C378" s="158"/>
      <c r="D378" s="158"/>
      <c r="E378" s="158" t="s">
        <v>633</v>
      </c>
      <c r="J378" s="158" t="s">
        <v>310</v>
      </c>
      <c r="K378" s="158">
        <v>0</v>
      </c>
      <c r="L378" s="158"/>
      <c r="M378" s="158" t="s">
        <v>401</v>
      </c>
    </row>
    <row r="379" spans="1:14" x14ac:dyDescent="0.25">
      <c r="A379" t="s">
        <v>2</v>
      </c>
      <c r="E379" t="s">
        <v>633</v>
      </c>
      <c r="F379" t="str">
        <f>Foderstater!U$64</f>
        <v>ley silage, 1st cut</v>
      </c>
      <c r="J379" t="s">
        <v>310</v>
      </c>
      <c r="K379" s="13">
        <f>INDEX(Foderstater!$X$64:$AL$101,MATCH(F379,Foderstater!$U$64:$U$101,0),MATCH(A379&amp;C379&amp;E379,Foderstater!$X$63:$AL$63,0))</f>
        <v>0</v>
      </c>
      <c r="L379" s="158"/>
      <c r="M379" s="158"/>
    </row>
    <row r="380" spans="1:14" x14ac:dyDescent="0.25">
      <c r="A380" t="s">
        <v>2</v>
      </c>
      <c r="E380" t="s">
        <v>633</v>
      </c>
      <c r="F380" t="str">
        <f>Foderstater!U$65</f>
        <v>ley silage, regrowth</v>
      </c>
      <c r="J380" t="s">
        <v>310</v>
      </c>
      <c r="K380" s="13">
        <f>INDEX(Foderstater!$X$64:$AL$101,MATCH(F380,Foderstater!$U$64:$U$101,0),MATCH(A380&amp;C380&amp;E380,Foderstater!$X$63:$AL$63,0))</f>
        <v>0</v>
      </c>
      <c r="L380" s="158"/>
      <c r="M380" s="158"/>
    </row>
    <row r="381" spans="1:14" x14ac:dyDescent="0.25">
      <c r="A381" t="s">
        <v>2</v>
      </c>
      <c r="E381" t="s">
        <v>633</v>
      </c>
      <c r="F381" t="str">
        <f>Foderstater!U$66</f>
        <v>other silage</v>
      </c>
      <c r="J381" t="s">
        <v>310</v>
      </c>
      <c r="K381" s="13">
        <f>INDEX(Foderstater!$X$64:$AL$101,MATCH(F381,Foderstater!$U$64:$U$101,0),MATCH(A381&amp;C381&amp;E381,Foderstater!$X$63:$AL$63,0))</f>
        <v>0</v>
      </c>
      <c r="L381" s="158"/>
      <c r="M381" s="158"/>
    </row>
    <row r="382" spans="1:14" x14ac:dyDescent="0.25">
      <c r="A382" t="s">
        <v>2</v>
      </c>
      <c r="E382" t="s">
        <v>633</v>
      </c>
      <c r="F382" t="str">
        <f>Foderstater!U$67</f>
        <v>maize silage</v>
      </c>
      <c r="J382" t="s">
        <v>310</v>
      </c>
      <c r="K382" s="13">
        <f>INDEX(Foderstater!$X$64:$AL$101,MATCH(F382,Foderstater!$U$64:$U$101,0),MATCH(A382&amp;C382&amp;E382,Foderstater!$X$63:$AL$63,0))</f>
        <v>0</v>
      </c>
      <c r="L382" s="158"/>
      <c r="M382" s="158"/>
    </row>
    <row r="383" spans="1:14" x14ac:dyDescent="0.25">
      <c r="A383" t="s">
        <v>2</v>
      </c>
      <c r="E383" t="s">
        <v>633</v>
      </c>
      <c r="F383" t="str">
        <f>Foderstater!U$68</f>
        <v>straw</v>
      </c>
      <c r="J383" t="s">
        <v>310</v>
      </c>
      <c r="K383" s="13">
        <f>INDEX(Foderstater!$X$64:$AL$101,MATCH(F383,Foderstater!$U$64:$U$101,0),MATCH(A383&amp;C383&amp;E383,Foderstater!$X$63:$AL$63,0))</f>
        <v>0</v>
      </c>
      <c r="L383" s="158"/>
      <c r="M383" s="158"/>
    </row>
    <row r="384" spans="1:14" x14ac:dyDescent="0.25">
      <c r="A384" t="s">
        <v>2</v>
      </c>
      <c r="E384" t="s">
        <v>633</v>
      </c>
      <c r="F384" t="str">
        <f>Foderstater!U$69</f>
        <v>grazing</v>
      </c>
      <c r="J384" t="s">
        <v>310</v>
      </c>
      <c r="K384" s="13">
        <f>INDEX(Foderstater!$X$64:$AL$101,MATCH(F384,Foderstater!$U$64:$U$101,0),MATCH(A384&amp;C384&amp;E384,Foderstater!$X$63:$AL$63,0))</f>
        <v>0</v>
      </c>
      <c r="L384" s="158"/>
      <c r="M384" s="158"/>
    </row>
    <row r="385" spans="1:13" x14ac:dyDescent="0.25">
      <c r="A385" t="s">
        <v>2</v>
      </c>
      <c r="E385" t="s">
        <v>633</v>
      </c>
      <c r="F385" t="str">
        <f>Foderstater!U$70</f>
        <v>wheat</v>
      </c>
      <c r="J385" t="s">
        <v>310</v>
      </c>
      <c r="K385" s="13">
        <f>INDEX(Foderstater!$X$64:$AL$101,MATCH(F385,Foderstater!$U$64:$U$101,0),MATCH(A385&amp;C385&amp;E385,Foderstater!$X$63:$AL$63,0))</f>
        <v>25.895167825161479</v>
      </c>
      <c r="L385" s="158"/>
      <c r="M385" s="158"/>
    </row>
    <row r="386" spans="1:13" x14ac:dyDescent="0.25">
      <c r="A386" t="s">
        <v>2</v>
      </c>
      <c r="E386" t="s">
        <v>633</v>
      </c>
      <c r="F386" t="str">
        <f>Foderstater!U$71</f>
        <v>barley</v>
      </c>
      <c r="J386" t="s">
        <v>310</v>
      </c>
      <c r="K386" s="13">
        <f>INDEX(Foderstater!$X$64:$AL$101,MATCH(F386,Foderstater!$U$64:$U$101,0),MATCH(A386&amp;C386&amp;E386,Foderstater!$X$63:$AL$63,0))</f>
        <v>28.160177745950715</v>
      </c>
      <c r="L386" s="158"/>
      <c r="M386" s="158"/>
    </row>
    <row r="387" spans="1:13" x14ac:dyDescent="0.25">
      <c r="A387" t="s">
        <v>2</v>
      </c>
      <c r="E387" t="s">
        <v>633</v>
      </c>
      <c r="F387" t="str">
        <f>Foderstater!U$72</f>
        <v>oats</v>
      </c>
      <c r="J387" t="s">
        <v>310</v>
      </c>
      <c r="K387" s="13">
        <f>INDEX(Foderstater!$X$64:$AL$101,MATCH(F387,Foderstater!$U$64:$U$101,0),MATCH(A387&amp;C387&amp;E387,Foderstater!$X$63:$AL$63,0))</f>
        <v>9.5204890127561814</v>
      </c>
      <c r="L387" s="158"/>
      <c r="M387" s="158"/>
    </row>
    <row r="388" spans="1:13" x14ac:dyDescent="0.25">
      <c r="A388" t="s">
        <v>2</v>
      </c>
      <c r="E388" t="s">
        <v>633</v>
      </c>
      <c r="F388" t="str">
        <f>Foderstater!U$73</f>
        <v>triticale</v>
      </c>
      <c r="J388" t="s">
        <v>310</v>
      </c>
      <c r="K388" s="13">
        <f>INDEX(Foderstater!$X$64:$AL$101,MATCH(F388,Foderstater!$U$64:$U$101,0),MATCH(A388&amp;C388&amp;E388,Foderstater!$X$63:$AL$63,0))</f>
        <v>3.4188101018837349</v>
      </c>
      <c r="L388" s="158"/>
      <c r="M388" s="158"/>
    </row>
    <row r="389" spans="1:13" x14ac:dyDescent="0.25">
      <c r="A389" t="s">
        <v>2</v>
      </c>
      <c r="E389" t="s">
        <v>633</v>
      </c>
      <c r="F389" t="str">
        <f>Foderstater!U$74</f>
        <v>rye</v>
      </c>
      <c r="J389" t="s">
        <v>310</v>
      </c>
      <c r="K389" s="13">
        <f>INDEX(Foderstater!$X$64:$AL$101,MATCH(F389,Foderstater!$U$64:$U$101,0),MATCH(A389&amp;C389&amp;E389,Foderstater!$X$63:$AL$63,0))</f>
        <v>0.21145675610695761</v>
      </c>
      <c r="L389" s="158"/>
      <c r="M389" s="158"/>
    </row>
    <row r="390" spans="1:13" x14ac:dyDescent="0.25">
      <c r="A390" t="s">
        <v>2</v>
      </c>
      <c r="E390" t="s">
        <v>633</v>
      </c>
      <c r="F390" t="str">
        <f>Foderstater!U$75</f>
        <v>maize</v>
      </c>
      <c r="J390" t="s">
        <v>310</v>
      </c>
      <c r="K390" s="13">
        <f>INDEX(Foderstater!$X$64:$AL$101,MATCH(F390,Foderstater!$U$64:$U$101,0),MATCH(A390&amp;C390&amp;E390,Foderstater!$X$63:$AL$63,0))</f>
        <v>0.91869888679500122</v>
      </c>
      <c r="L390" s="158"/>
      <c r="M390" s="158"/>
    </row>
    <row r="391" spans="1:13" x14ac:dyDescent="0.25">
      <c r="A391" t="s">
        <v>2</v>
      </c>
      <c r="E391" t="s">
        <v>633</v>
      </c>
      <c r="F391" t="str">
        <f>Foderstater!U$76</f>
        <v>peas</v>
      </c>
      <c r="J391" t="s">
        <v>310</v>
      </c>
      <c r="K391" s="13">
        <f>INDEX(Foderstater!$X$64:$AL$101,MATCH(F391,Foderstater!$U$64:$U$101,0),MATCH(A391&amp;C391&amp;E391,Foderstater!$X$63:$AL$63,0))</f>
        <v>0.14357819271231378</v>
      </c>
      <c r="L391" s="158"/>
      <c r="M391" s="158"/>
    </row>
    <row r="392" spans="1:13" x14ac:dyDescent="0.25">
      <c r="A392" t="s">
        <v>2</v>
      </c>
      <c r="E392" t="s">
        <v>633</v>
      </c>
      <c r="F392" t="str">
        <f>Foderstater!U$77</f>
        <v>broad beans</v>
      </c>
      <c r="J392" t="s">
        <v>310</v>
      </c>
      <c r="K392" s="13">
        <f>INDEX(Foderstater!$X$64:$AL$101,MATCH(F392,Foderstater!$U$64:$U$101,0),MATCH(A392&amp;C392&amp;E392,Foderstater!$X$63:$AL$63,0))</f>
        <v>0.49337726435088475</v>
      </c>
      <c r="L392" s="158"/>
      <c r="M392" s="158"/>
    </row>
    <row r="393" spans="1:13" x14ac:dyDescent="0.25">
      <c r="A393" t="s">
        <v>2</v>
      </c>
      <c r="E393" t="s">
        <v>633</v>
      </c>
      <c r="F393" t="str">
        <f>Foderstater!U$78</f>
        <v>rapeseed</v>
      </c>
      <c r="J393" t="s">
        <v>310</v>
      </c>
      <c r="K393" s="13">
        <f>INDEX(Foderstater!$X$64:$AL$101,MATCH(F393,Foderstater!$U$64:$U$101,0),MATCH(A393&amp;C393&amp;E393,Foderstater!$X$63:$AL$63,0))</f>
        <v>7.8103813840071092</v>
      </c>
      <c r="L393" s="158"/>
      <c r="M393" s="158"/>
    </row>
    <row r="394" spans="1:13" x14ac:dyDescent="0.25">
      <c r="A394" t="s">
        <v>2</v>
      </c>
      <c r="E394" t="s">
        <v>633</v>
      </c>
      <c r="F394" t="str">
        <f>Foderstater!U$79</f>
        <v>linseed</v>
      </c>
      <c r="J394" t="s">
        <v>310</v>
      </c>
      <c r="K394" s="13">
        <f>INDEX(Foderstater!$X$64:$AL$101,MATCH(F394,Foderstater!$U$64:$U$101,0),MATCH(A394&amp;C394&amp;E394,Foderstater!$X$63:$AL$63,0))</f>
        <v>5.7613964740470527E-3</v>
      </c>
      <c r="L394" s="158"/>
      <c r="M394" s="158"/>
    </row>
    <row r="395" spans="1:13" x14ac:dyDescent="0.25">
      <c r="A395" t="s">
        <v>2</v>
      </c>
      <c r="E395" t="s">
        <v>633</v>
      </c>
      <c r="F395" t="str">
        <f>Foderstater!U$80</f>
        <v>vegetable oils</v>
      </c>
      <c r="J395" t="s">
        <v>310</v>
      </c>
      <c r="K395" s="13">
        <f>INDEX(Foderstater!$X$64:$AL$101,MATCH(F395,Foderstater!$U$64:$U$101,0),MATCH(A395&amp;C395&amp;E395,Foderstater!$X$63:$AL$63,0))</f>
        <v>0.14874162067337257</v>
      </c>
      <c r="L395" s="158"/>
      <c r="M395" s="158"/>
    </row>
    <row r="396" spans="1:13" x14ac:dyDescent="0.25">
      <c r="A396" t="s">
        <v>2</v>
      </c>
      <c r="E396" t="s">
        <v>633</v>
      </c>
      <c r="F396" t="str">
        <f>Foderstater!U$81</f>
        <v>soybeans</v>
      </c>
      <c r="J396" t="s">
        <v>310</v>
      </c>
      <c r="K396" s="13">
        <f>INDEX(Foderstater!$X$64:$AL$101,MATCH(F396,Foderstater!$U$64:$U$101,0),MATCH(A396&amp;C396&amp;E396,Foderstater!$X$63:$AL$63,0))</f>
        <v>0.14535484299167828</v>
      </c>
      <c r="L396" s="158"/>
      <c r="M396" s="158"/>
    </row>
    <row r="397" spans="1:13" x14ac:dyDescent="0.25">
      <c r="A397" t="s">
        <v>2</v>
      </c>
      <c r="E397" t="s">
        <v>633</v>
      </c>
      <c r="F397" t="str">
        <f>Foderstater!U$82</f>
        <v>soybean meal</v>
      </c>
      <c r="J397" t="s">
        <v>310</v>
      </c>
      <c r="K397" s="13">
        <f>INDEX(Foderstater!$X$64:$AL$101,MATCH(F397,Foderstater!$U$64:$U$101,0),MATCH(A397&amp;C397&amp;E397,Foderstater!$X$63:$AL$63,0))</f>
        <v>1.3277625587415678</v>
      </c>
      <c r="L397" s="158"/>
      <c r="M397" s="158"/>
    </row>
    <row r="398" spans="1:13" x14ac:dyDescent="0.25">
      <c r="A398" t="s">
        <v>2</v>
      </c>
      <c r="E398" t="s">
        <v>633</v>
      </c>
      <c r="F398" t="str">
        <f>Foderstater!U$83</f>
        <v>soybean protein concentrate</v>
      </c>
      <c r="J398" t="s">
        <v>310</v>
      </c>
      <c r="K398" s="13">
        <f>INDEX(Foderstater!$X$64:$AL$101,MATCH(F398,Foderstater!$U$64:$U$101,0),MATCH(A398&amp;C398&amp;E398,Foderstater!$X$63:$AL$63,0))</f>
        <v>0</v>
      </c>
      <c r="L398" s="158"/>
      <c r="M398" s="158"/>
    </row>
    <row r="399" spans="1:13" x14ac:dyDescent="0.25">
      <c r="A399" t="s">
        <v>2</v>
      </c>
      <c r="B399" t="s">
        <v>1</v>
      </c>
      <c r="E399" t="s">
        <v>633</v>
      </c>
      <c r="F399" t="str">
        <f>Foderstater!U$84</f>
        <v>rapeseed meal</v>
      </c>
      <c r="J399" t="s">
        <v>310</v>
      </c>
      <c r="K399" s="13">
        <f>INDEX(Foderstater!$X$64:$AL$101,MATCH(F399,Foderstater!$U$64:$U$101,0),MATCH(A399&amp;C399&amp;E399,Foderstater!$X$63:$AL$63,0))</f>
        <v>10.255150343783729</v>
      </c>
      <c r="L399" s="158"/>
      <c r="M399" s="158"/>
    </row>
    <row r="400" spans="1:13" x14ac:dyDescent="0.25">
      <c r="A400" s="268" t="str">
        <f>A399</f>
        <v>dairy</v>
      </c>
      <c r="B400" s="268" t="s">
        <v>5</v>
      </c>
      <c r="D400" s="268"/>
      <c r="E400" s="268" t="s">
        <v>633</v>
      </c>
      <c r="F400" s="268" t="s">
        <v>609</v>
      </c>
      <c r="J400" s="268" t="str">
        <f>J399</f>
        <v>share_in_ration</v>
      </c>
      <c r="K400" s="269">
        <f>K399</f>
        <v>10.255150343783729</v>
      </c>
      <c r="L400" s="158"/>
      <c r="M400" s="268" t="s">
        <v>610</v>
      </c>
    </row>
    <row r="401" spans="1:11" x14ac:dyDescent="0.25">
      <c r="A401" t="s">
        <v>2</v>
      </c>
      <c r="E401" t="s">
        <v>633</v>
      </c>
      <c r="F401" t="str">
        <f>Foderstater!U$85</f>
        <v>sunflower seed meal</v>
      </c>
      <c r="J401" t="s">
        <v>310</v>
      </c>
      <c r="K401" s="13">
        <f>INDEX(Foderstater!$X$64:$AL$101,MATCH(F401,Foderstater!$U$64:$U$101,0),MATCH(A401&amp;C401&amp;E401,Foderstater!$X$63:$AL$63,0))</f>
        <v>0.14166497571291584</v>
      </c>
    </row>
    <row r="402" spans="1:11" x14ac:dyDescent="0.25">
      <c r="A402" t="s">
        <v>2</v>
      </c>
      <c r="E402" t="s">
        <v>633</v>
      </c>
      <c r="F402" t="str">
        <f>Foderstater!U$86</f>
        <v>palm kernel expeller</v>
      </c>
      <c r="J402" t="s">
        <v>310</v>
      </c>
      <c r="K402" s="13">
        <f>INDEX(Foderstater!$X$64:$AL$101,MATCH(F402,Foderstater!$U$64:$U$101,0),MATCH(A402&amp;C402&amp;E402,Foderstater!$X$63:$AL$63,0))</f>
        <v>0.92052755943695241</v>
      </c>
    </row>
    <row r="403" spans="1:11" x14ac:dyDescent="0.25">
      <c r="A403" t="s">
        <v>2</v>
      </c>
      <c r="E403" t="s">
        <v>633</v>
      </c>
      <c r="F403" t="str">
        <f>Foderstater!U$87</f>
        <v>luzern meal</v>
      </c>
      <c r="J403" t="s">
        <v>310</v>
      </c>
      <c r="K403" s="13">
        <f>INDEX(Foderstater!$X$64:$AL$101,MATCH(F403,Foderstater!$U$64:$U$101,0),MATCH(A403&amp;C403&amp;E403,Foderstater!$X$63:$AL$63,0))</f>
        <v>0.28001437574471844</v>
      </c>
    </row>
    <row r="404" spans="1:11" x14ac:dyDescent="0.25">
      <c r="A404" t="s">
        <v>2</v>
      </c>
      <c r="E404" t="s">
        <v>633</v>
      </c>
      <c r="F404" t="str">
        <f>Foderstater!U$88</f>
        <v>wheat bran</v>
      </c>
      <c r="J404" t="s">
        <v>310</v>
      </c>
      <c r="K404" s="13">
        <f>INDEX(Foderstater!$X$64:$AL$101,MATCH(F404,Foderstater!$U$64:$U$101,0),MATCH(A404&amp;C404&amp;E404,Foderstater!$X$63:$AL$63,0))</f>
        <v>3.0507942357144198</v>
      </c>
    </row>
    <row r="405" spans="1:11" x14ac:dyDescent="0.25">
      <c r="A405" t="s">
        <v>2</v>
      </c>
      <c r="E405" t="s">
        <v>633</v>
      </c>
      <c r="F405" t="str">
        <f>Foderstater!U$89</f>
        <v>wheat bran, fine</v>
      </c>
      <c r="J405" t="s">
        <v>310</v>
      </c>
      <c r="K405" s="13">
        <f>INDEX(Foderstater!$X$64:$AL$101,MATCH(F405,Foderstater!$U$64:$U$101,0),MATCH(A405&amp;C405&amp;E405,Foderstater!$X$63:$AL$63,0))</f>
        <v>7.9974600220257888E-3</v>
      </c>
    </row>
    <row r="406" spans="1:11" x14ac:dyDescent="0.25">
      <c r="A406" t="s">
        <v>2</v>
      </c>
      <c r="E406" t="s">
        <v>633</v>
      </c>
      <c r="F406" t="str">
        <f>Foderstater!U$90</f>
        <v>oat hulls</v>
      </c>
      <c r="J406" t="s">
        <v>310</v>
      </c>
      <c r="K406" s="13">
        <f>INDEX(Foderstater!$X$64:$AL$101,MATCH(F406,Foderstater!$U$64:$U$101,0),MATCH(A406&amp;C406&amp;E406,Foderstater!$X$63:$AL$63,0))</f>
        <v>0.36743850131225997</v>
      </c>
    </row>
    <row r="407" spans="1:11" x14ac:dyDescent="0.25">
      <c r="A407" t="s">
        <v>2</v>
      </c>
      <c r="E407" t="s">
        <v>633</v>
      </c>
      <c r="F407" t="str">
        <f>Foderstater!U$91</f>
        <v>oat bran</v>
      </c>
      <c r="J407" t="s">
        <v>310</v>
      </c>
      <c r="K407" s="13">
        <f>INDEX(Foderstater!$X$64:$AL$101,MATCH(F407,Foderstater!$U$64:$U$101,0),MATCH(A407&amp;C407&amp;E407,Foderstater!$X$63:$AL$63,0))</f>
        <v>4.1469584641145113E-2</v>
      </c>
    </row>
    <row r="408" spans="1:11" x14ac:dyDescent="0.25">
      <c r="A408" t="s">
        <v>2</v>
      </c>
      <c r="E408" t="s">
        <v>633</v>
      </c>
      <c r="F408" t="str">
        <f>Foderstater!U$92</f>
        <v>rye bran</v>
      </c>
      <c r="J408" t="s">
        <v>310</v>
      </c>
      <c r="K408" s="13">
        <f>INDEX(Foderstater!$X$64:$AL$101,MATCH(F408,Foderstater!$U$64:$U$101,0),MATCH(A408&amp;C408&amp;E408,Foderstater!$X$63:$AL$63,0))</f>
        <v>0.12789264856808435</v>
      </c>
    </row>
    <row r="409" spans="1:11" x14ac:dyDescent="0.25">
      <c r="A409" t="s">
        <v>2</v>
      </c>
      <c r="E409" t="s">
        <v>633</v>
      </c>
      <c r="F409" t="str">
        <f>Foderstater!U$93</f>
        <v>wheat distillers grain, dry</v>
      </c>
      <c r="J409" t="s">
        <v>310</v>
      </c>
      <c r="K409" s="13">
        <f>INDEX(Foderstater!$X$64:$AL$101,MATCH(F409,Foderstater!$U$64:$U$101,0),MATCH(A409&amp;C409&amp;E409,Foderstater!$X$63:$AL$63,0))</f>
        <v>3.2793139775740143</v>
      </c>
    </row>
    <row r="410" spans="1:11" x14ac:dyDescent="0.25">
      <c r="A410" t="s">
        <v>2</v>
      </c>
      <c r="E410" t="s">
        <v>633</v>
      </c>
      <c r="F410" t="str">
        <f>Foderstater!U$94</f>
        <v>barley brewers grain</v>
      </c>
      <c r="J410" t="s">
        <v>310</v>
      </c>
      <c r="K410" s="13">
        <f>INDEX(Foderstater!$X$64:$AL$101,MATCH(F410,Foderstater!$U$64:$U$101,0),MATCH(A410&amp;C410&amp;E410,Foderstater!$X$63:$AL$63,0))</f>
        <v>0</v>
      </c>
    </row>
    <row r="411" spans="1:11" x14ac:dyDescent="0.25">
      <c r="A411" t="s">
        <v>2</v>
      </c>
      <c r="E411" t="s">
        <v>633</v>
      </c>
      <c r="F411" t="str">
        <f>Foderstater!U$95</f>
        <v>maize gluten meal</v>
      </c>
      <c r="J411" t="s">
        <v>310</v>
      </c>
      <c r="K411" s="13">
        <f>INDEX(Foderstater!$X$64:$AL$101,MATCH(F411,Foderstater!$U$64:$U$101,0),MATCH(A411&amp;C411&amp;E411,Foderstater!$X$63:$AL$63,0))</f>
        <v>9.909057336275405E-2</v>
      </c>
    </row>
    <row r="412" spans="1:11" x14ac:dyDescent="0.25">
      <c r="A412" t="s">
        <v>2</v>
      </c>
      <c r="E412" t="s">
        <v>633</v>
      </c>
      <c r="F412" t="str">
        <f>Foderstater!U$96</f>
        <v>sugar beet molasses</v>
      </c>
      <c r="J412" t="s">
        <v>310</v>
      </c>
      <c r="K412" s="13">
        <f>INDEX(Foderstater!$X$64:$AL$101,MATCH(F412,Foderstater!$U$64:$U$101,0),MATCH(A412&amp;C412&amp;E412,Foderstater!$X$63:$AL$63,0))</f>
        <v>1.0988543650666409</v>
      </c>
    </row>
    <row r="413" spans="1:11" x14ac:dyDescent="0.25">
      <c r="A413" t="s">
        <v>2</v>
      </c>
      <c r="E413" t="s">
        <v>633</v>
      </c>
      <c r="F413" t="str">
        <f>Foderstater!U$97</f>
        <v>sugar beet pulp</v>
      </c>
      <c r="J413" t="s">
        <v>310</v>
      </c>
      <c r="K413" s="13">
        <f>INDEX(Foderstater!$X$64:$AL$101,MATCH(F413,Foderstater!$U$64:$U$101,0),MATCH(A413&amp;C413&amp;E413,Foderstater!$X$63:$AL$63,0))</f>
        <v>2.1203264119382346</v>
      </c>
    </row>
    <row r="414" spans="1:11" x14ac:dyDescent="0.25">
      <c r="A414" t="s">
        <v>2</v>
      </c>
      <c r="E414" t="s">
        <v>633</v>
      </c>
      <c r="F414" t="str">
        <f>Foderstater!U$98</f>
        <v>whey powder</v>
      </c>
      <c r="J414" t="s">
        <v>310</v>
      </c>
      <c r="K414" s="13">
        <f>INDEX(Foderstater!$X$64:$AL$101,MATCH(F414,Foderstater!$U$64:$U$101,0),MATCH(A414&amp;C414&amp;E414,Foderstater!$X$63:$AL$63,0))</f>
        <v>0</v>
      </c>
    </row>
    <row r="415" spans="1:11" x14ac:dyDescent="0.25">
      <c r="A415" t="s">
        <v>2</v>
      </c>
      <c r="E415" t="s">
        <v>633</v>
      </c>
      <c r="F415" t="str">
        <f>Foderstater!U$99</f>
        <v>potatoe protein</v>
      </c>
      <c r="J415" t="s">
        <v>310</v>
      </c>
      <c r="K415" s="13">
        <f>INDEX(Foderstater!$X$64:$AL$101,MATCH(F415,Foderstater!$U$64:$U$101,0),MATCH(A415&amp;C415&amp;E415,Foderstater!$X$63:$AL$63,0))</f>
        <v>9.7073985170620554E-3</v>
      </c>
    </row>
    <row r="416" spans="1:11" x14ac:dyDescent="0.25">
      <c r="A416" t="s">
        <v>2</v>
      </c>
      <c r="E416" t="s">
        <v>633</v>
      </c>
      <c r="F416" t="str">
        <f>Foderstater!U$100</f>
        <v>fish meal</v>
      </c>
      <c r="J416" t="s">
        <v>310</v>
      </c>
      <c r="K416" s="13">
        <f>INDEX(Foderstater!$X$64:$AL$101,MATCH(F416,Foderstater!$U$64:$U$101,0),MATCH(A416&amp;C416&amp;E416,Foderstater!$X$63:$AL$63,0))</f>
        <v>0</v>
      </c>
    </row>
    <row r="417" spans="1:14" x14ac:dyDescent="0.25">
      <c r="A417" t="s">
        <v>2</v>
      </c>
      <c r="E417" t="s">
        <v>633</v>
      </c>
      <c r="F417" t="str">
        <f>Foderstater!U$101</f>
        <v>minerals</v>
      </c>
      <c r="J417" t="s">
        <v>310</v>
      </c>
      <c r="K417" s="13">
        <f>INDEX(Foderstater!$X$64:$AL$101,MATCH(F417,Foderstater!$U$64:$U$101,0),MATCH(A417&amp;C417&amp;E417,Foderstater!$X$63:$AL$63,0))</f>
        <v>0</v>
      </c>
    </row>
    <row r="419" spans="1:14" x14ac:dyDescent="0.25">
      <c r="A419" s="81" t="s">
        <v>68</v>
      </c>
      <c r="B419" s="48"/>
      <c r="C419" s="48"/>
      <c r="D419" s="49"/>
      <c r="E419" s="49"/>
      <c r="F419" s="49"/>
      <c r="G419" s="49"/>
      <c r="H419" s="49"/>
      <c r="I419" s="49"/>
      <c r="J419" s="49"/>
      <c r="K419" s="161"/>
      <c r="L419" s="49"/>
      <c r="M419" s="49"/>
      <c r="N419" s="49"/>
    </row>
    <row r="420" spans="1:14" x14ac:dyDescent="0.25">
      <c r="A420" s="158" t="s">
        <v>2</v>
      </c>
      <c r="B420" s="158"/>
      <c r="C420" s="158"/>
      <c r="D420" s="158"/>
      <c r="E420" s="158" t="s">
        <v>32</v>
      </c>
      <c r="J420" s="158" t="s">
        <v>310</v>
      </c>
      <c r="K420" s="255">
        <v>0</v>
      </c>
      <c r="L420" s="158"/>
      <c r="M420" s="158" t="s">
        <v>401</v>
      </c>
    </row>
    <row r="421" spans="1:14" x14ac:dyDescent="0.25">
      <c r="A421" t="s">
        <v>2</v>
      </c>
      <c r="E421" t="s">
        <v>32</v>
      </c>
      <c r="F421" t="str">
        <f>Foderstater!U$64</f>
        <v>ley silage, 1st cut</v>
      </c>
      <c r="J421" t="s">
        <v>310</v>
      </c>
      <c r="K421" s="13">
        <f>INDEX(Foderstater!$X$64:$AL$101,MATCH(F421,Foderstater!$U$64:$U$101,0),MATCH(A421&amp;C421&amp;E421,Foderstater!$X$63:$AL$63,0))</f>
        <v>0</v>
      </c>
      <c r="L421" s="158"/>
      <c r="M421" s="158"/>
    </row>
    <row r="422" spans="1:14" x14ac:dyDescent="0.25">
      <c r="A422" t="s">
        <v>2</v>
      </c>
      <c r="E422" t="s">
        <v>32</v>
      </c>
      <c r="F422" t="str">
        <f>Foderstater!U$65</f>
        <v>ley silage, regrowth</v>
      </c>
      <c r="J422" t="s">
        <v>310</v>
      </c>
      <c r="K422" s="13">
        <f>INDEX(Foderstater!$X$64:$AL$101,MATCH(F422,Foderstater!$U$64:$U$101,0),MATCH(A422&amp;C422&amp;E422,Foderstater!$X$63:$AL$63,0))</f>
        <v>55.625459984330824</v>
      </c>
      <c r="L422" s="158"/>
      <c r="M422" s="158"/>
    </row>
    <row r="423" spans="1:14" x14ac:dyDescent="0.25">
      <c r="A423" t="s">
        <v>2</v>
      </c>
      <c r="E423" t="s">
        <v>32</v>
      </c>
      <c r="F423" t="str">
        <f>Foderstater!U$66</f>
        <v>other silage</v>
      </c>
      <c r="J423" t="s">
        <v>310</v>
      </c>
      <c r="K423" s="13">
        <f>INDEX(Foderstater!$X$64:$AL$101,MATCH(F423,Foderstater!$U$64:$U$101,0),MATCH(A423&amp;C423&amp;E423,Foderstater!$X$63:$AL$63,0))</f>
        <v>0</v>
      </c>
      <c r="L423" s="158"/>
      <c r="M423" s="158"/>
    </row>
    <row r="424" spans="1:14" x14ac:dyDescent="0.25">
      <c r="A424" t="s">
        <v>2</v>
      </c>
      <c r="E424" t="s">
        <v>32</v>
      </c>
      <c r="F424" t="str">
        <f>Foderstater!U$67</f>
        <v>maize silage</v>
      </c>
      <c r="J424" t="s">
        <v>310</v>
      </c>
      <c r="K424" s="13">
        <f>INDEX(Foderstater!$X$64:$AL$101,MATCH(F424,Foderstater!$U$64:$U$101,0),MATCH(A424&amp;C424&amp;E424,Foderstater!$X$63:$AL$63,0))</f>
        <v>0</v>
      </c>
      <c r="L424" s="158"/>
      <c r="M424" s="158"/>
    </row>
    <row r="425" spans="1:14" x14ac:dyDescent="0.25">
      <c r="A425" t="s">
        <v>2</v>
      </c>
      <c r="E425" t="s">
        <v>32</v>
      </c>
      <c r="F425" t="str">
        <f>Foderstater!U$68</f>
        <v>straw</v>
      </c>
      <c r="J425" t="s">
        <v>310</v>
      </c>
      <c r="K425" s="13">
        <f>INDEX(Foderstater!$X$64:$AL$101,MATCH(F425,Foderstater!$U$64:$U$101,0),MATCH(A425&amp;C425&amp;E425,Foderstater!$X$63:$AL$63,0))</f>
        <v>0</v>
      </c>
      <c r="L425" s="158"/>
      <c r="M425" s="158"/>
    </row>
    <row r="426" spans="1:14" x14ac:dyDescent="0.25">
      <c r="A426" t="s">
        <v>2</v>
      </c>
      <c r="E426" t="s">
        <v>32</v>
      </c>
      <c r="F426" t="str">
        <f>Foderstater!U$69</f>
        <v>grazing</v>
      </c>
      <c r="J426" t="s">
        <v>310</v>
      </c>
      <c r="K426" s="13">
        <f>INDEX(Foderstater!$X$64:$AL$101,MATCH(F426,Foderstater!$U$64:$U$101,0),MATCH(A426&amp;C426&amp;E426,Foderstater!$X$63:$AL$63,0))</f>
        <v>37.985802806201164</v>
      </c>
      <c r="L426" s="158"/>
      <c r="M426" s="158"/>
    </row>
    <row r="427" spans="1:14" x14ac:dyDescent="0.25">
      <c r="A427" t="s">
        <v>2</v>
      </c>
      <c r="E427" t="s">
        <v>32</v>
      </c>
      <c r="F427" t="str">
        <f>Foderstater!U$70</f>
        <v>wheat</v>
      </c>
      <c r="J427" t="s">
        <v>310</v>
      </c>
      <c r="K427" s="13">
        <f>INDEX(Foderstater!$X$64:$AL$101,MATCH(F427,Foderstater!$U$64:$U$101,0),MATCH(A427&amp;C427&amp;E427,Foderstater!$X$63:$AL$63,0))</f>
        <v>1.3863617500865526</v>
      </c>
      <c r="L427" s="158"/>
      <c r="M427" s="158"/>
    </row>
    <row r="428" spans="1:14" x14ac:dyDescent="0.25">
      <c r="A428" t="s">
        <v>2</v>
      </c>
      <c r="E428" t="s">
        <v>32</v>
      </c>
      <c r="F428" t="str">
        <f>Foderstater!U$71</f>
        <v>barley</v>
      </c>
      <c r="J428" t="s">
        <v>310</v>
      </c>
      <c r="K428" s="13">
        <f>INDEX(Foderstater!$X$64:$AL$101,MATCH(F428,Foderstater!$U$64:$U$101,0),MATCH(A428&amp;C428&amp;E428,Foderstater!$X$63:$AL$63,0))</f>
        <v>2.2689110468918563</v>
      </c>
      <c r="L428" s="158"/>
      <c r="M428" s="158"/>
    </row>
    <row r="429" spans="1:14" x14ac:dyDescent="0.25">
      <c r="A429" t="s">
        <v>2</v>
      </c>
      <c r="E429" t="s">
        <v>32</v>
      </c>
      <c r="F429" t="str">
        <f>Foderstater!U$72</f>
        <v>oats</v>
      </c>
      <c r="J429" t="s">
        <v>310</v>
      </c>
      <c r="K429" s="13">
        <f>INDEX(Foderstater!$X$64:$AL$101,MATCH(F429,Foderstater!$U$64:$U$101,0),MATCH(A429&amp;C429&amp;E429,Foderstater!$X$63:$AL$63,0))</f>
        <v>0.55429500315000624</v>
      </c>
      <c r="L429" s="158"/>
      <c r="M429" s="158"/>
    </row>
    <row r="430" spans="1:14" x14ac:dyDescent="0.25">
      <c r="A430" t="s">
        <v>2</v>
      </c>
      <c r="E430" t="s">
        <v>32</v>
      </c>
      <c r="F430" t="str">
        <f>Foderstater!U$73</f>
        <v>triticale</v>
      </c>
      <c r="J430" t="s">
        <v>310</v>
      </c>
      <c r="K430" s="13">
        <f>INDEX(Foderstater!$X$64:$AL$101,MATCH(F430,Foderstater!$U$64:$U$101,0),MATCH(A430&amp;C430&amp;E430,Foderstater!$X$63:$AL$63,0))</f>
        <v>0.70529164372503017</v>
      </c>
      <c r="L430" s="158"/>
      <c r="M430" s="158"/>
    </row>
    <row r="431" spans="1:14" x14ac:dyDescent="0.25">
      <c r="A431" t="s">
        <v>2</v>
      </c>
      <c r="E431" t="s">
        <v>32</v>
      </c>
      <c r="F431" t="str">
        <f>Foderstater!U$74</f>
        <v>rye</v>
      </c>
      <c r="J431" t="s">
        <v>310</v>
      </c>
      <c r="K431" s="13">
        <f>INDEX(Foderstater!$X$64:$AL$101,MATCH(F431,Foderstater!$U$64:$U$101,0),MATCH(A431&amp;C431&amp;E431,Foderstater!$X$63:$AL$63,0))</f>
        <v>4.8796554435071035E-3</v>
      </c>
      <c r="L431" s="158"/>
      <c r="M431" s="158"/>
    </row>
    <row r="432" spans="1:14" x14ac:dyDescent="0.25">
      <c r="A432" t="s">
        <v>2</v>
      </c>
      <c r="E432" t="s">
        <v>32</v>
      </c>
      <c r="F432" t="str">
        <f>Foderstater!U$75</f>
        <v>maize</v>
      </c>
      <c r="J432" t="s">
        <v>310</v>
      </c>
      <c r="K432" s="13">
        <f>INDEX(Foderstater!$X$64:$AL$101,MATCH(F432,Foderstater!$U$64:$U$101,0),MATCH(A432&amp;C432&amp;E432,Foderstater!$X$63:$AL$63,0))</f>
        <v>2.1200240211883402E-2</v>
      </c>
      <c r="L432" s="158"/>
      <c r="M432" s="158"/>
    </row>
    <row r="433" spans="1:13" x14ac:dyDescent="0.25">
      <c r="A433" t="s">
        <v>2</v>
      </c>
      <c r="E433" t="s">
        <v>32</v>
      </c>
      <c r="F433" t="str">
        <f>Foderstater!U$76</f>
        <v>peas</v>
      </c>
      <c r="J433" t="s">
        <v>310</v>
      </c>
      <c r="K433" s="13">
        <f>INDEX(Foderstater!$X$64:$AL$101,MATCH(F433,Foderstater!$U$64:$U$101,0),MATCH(A433&amp;C433&amp;E433,Foderstater!$X$63:$AL$63,0))</f>
        <v>3.3132642462517254E-3</v>
      </c>
      <c r="L433" s="158"/>
      <c r="M433" s="158"/>
    </row>
    <row r="434" spans="1:13" x14ac:dyDescent="0.25">
      <c r="A434" t="s">
        <v>2</v>
      </c>
      <c r="E434" t="s">
        <v>32</v>
      </c>
      <c r="F434" t="str">
        <f>Foderstater!U$77</f>
        <v>broad beans</v>
      </c>
      <c r="J434" t="s">
        <v>310</v>
      </c>
      <c r="K434" s="13">
        <f>INDEX(Foderstater!$X$64:$AL$101,MATCH(F434,Foderstater!$U$64:$U$101,0),MATCH(A434&amp;C434&amp;E434,Foderstater!$X$63:$AL$63,0))</f>
        <v>1.1385358869662632E-2</v>
      </c>
      <c r="L434" s="158"/>
      <c r="M434" s="158"/>
    </row>
    <row r="435" spans="1:13" x14ac:dyDescent="0.25">
      <c r="A435" t="s">
        <v>2</v>
      </c>
      <c r="E435" t="s">
        <v>32</v>
      </c>
      <c r="F435" t="str">
        <f>Foderstater!U$78</f>
        <v>rapeseed</v>
      </c>
      <c r="J435" t="s">
        <v>310</v>
      </c>
      <c r="K435" s="13">
        <f>INDEX(Foderstater!$X$64:$AL$101,MATCH(F435,Foderstater!$U$64:$U$101,0),MATCH(A435&amp;C435&amp;E435,Foderstater!$X$63:$AL$63,0))</f>
        <v>0.18023529130967705</v>
      </c>
      <c r="L435" s="158"/>
      <c r="M435" s="158"/>
    </row>
    <row r="436" spans="1:13" x14ac:dyDescent="0.25">
      <c r="A436" t="s">
        <v>2</v>
      </c>
      <c r="E436" t="s">
        <v>32</v>
      </c>
      <c r="F436" t="str">
        <f>Foderstater!U$79</f>
        <v>linseed</v>
      </c>
      <c r="J436" t="s">
        <v>310</v>
      </c>
      <c r="K436" s="13">
        <f>INDEX(Foderstater!$X$64:$AL$101,MATCH(F436,Foderstater!$U$64:$U$101,0),MATCH(A436&amp;C436&amp;E436,Foderstater!$X$63:$AL$63,0))</f>
        <v>1.3295214673853263E-4</v>
      </c>
      <c r="L436" s="158"/>
      <c r="M436" s="158"/>
    </row>
    <row r="437" spans="1:13" x14ac:dyDescent="0.25">
      <c r="A437" t="s">
        <v>2</v>
      </c>
      <c r="E437" t="s">
        <v>32</v>
      </c>
      <c r="F437" t="str">
        <f>Foderstater!U$80</f>
        <v>vegetable oils</v>
      </c>
      <c r="J437" t="s">
        <v>310</v>
      </c>
      <c r="K437" s="13">
        <f>INDEX(Foderstater!$X$64:$AL$101,MATCH(F437,Foderstater!$U$64:$U$101,0),MATCH(A437&amp;C437&amp;E437,Foderstater!$X$63:$AL$63,0))</f>
        <v>3.4324174472239043E-3</v>
      </c>
      <c r="L437" s="158"/>
      <c r="M437" s="158"/>
    </row>
    <row r="438" spans="1:13" x14ac:dyDescent="0.25">
      <c r="A438" t="s">
        <v>2</v>
      </c>
      <c r="E438" t="s">
        <v>32</v>
      </c>
      <c r="F438" t="str">
        <f>Foderstater!U$81</f>
        <v>soybeans</v>
      </c>
      <c r="J438" t="s">
        <v>310</v>
      </c>
      <c r="K438" s="13">
        <f>INDEX(Foderstater!$X$64:$AL$101,MATCH(F438,Foderstater!$U$64:$U$101,0),MATCH(A438&amp;C438&amp;E438,Foderstater!$X$63:$AL$63,0))</f>
        <v>3.3542628947059953E-3</v>
      </c>
      <c r="L438" s="158"/>
      <c r="M438" s="158"/>
    </row>
    <row r="439" spans="1:13" x14ac:dyDescent="0.25">
      <c r="A439" t="s">
        <v>2</v>
      </c>
      <c r="E439" t="s">
        <v>32</v>
      </c>
      <c r="F439" t="str">
        <f>Foderstater!U$82</f>
        <v>soybean meal</v>
      </c>
      <c r="J439" t="s">
        <v>310</v>
      </c>
      <c r="K439" s="13">
        <f>INDEX(Foderstater!$X$64:$AL$101,MATCH(F439,Foderstater!$U$64:$U$101,0),MATCH(A439&amp;C439&amp;E439,Foderstater!$X$63:$AL$63,0))</f>
        <v>3.0639946988362182E-2</v>
      </c>
      <c r="L439" s="158"/>
      <c r="M439" s="158"/>
    </row>
    <row r="440" spans="1:13" x14ac:dyDescent="0.25">
      <c r="A440" t="s">
        <v>2</v>
      </c>
      <c r="E440" t="s">
        <v>32</v>
      </c>
      <c r="F440" t="str">
        <f>Foderstater!U$83</f>
        <v>soybean protein concentrate</v>
      </c>
      <c r="J440" t="s">
        <v>310</v>
      </c>
      <c r="K440" s="13">
        <f>INDEX(Foderstater!$X$64:$AL$101,MATCH(F440,Foderstater!$U$64:$U$101,0),MATCH(A440&amp;C440&amp;E440,Foderstater!$X$63:$AL$63,0))</f>
        <v>0</v>
      </c>
      <c r="L440" s="158"/>
      <c r="M440" s="158"/>
    </row>
    <row r="441" spans="1:13" x14ac:dyDescent="0.25">
      <c r="A441" t="s">
        <v>2</v>
      </c>
      <c r="B441" t="s">
        <v>1</v>
      </c>
      <c r="E441" t="s">
        <v>32</v>
      </c>
      <c r="F441" t="str">
        <f>Foderstater!U$84</f>
        <v>rapeseed meal</v>
      </c>
      <c r="J441" t="s">
        <v>310</v>
      </c>
      <c r="K441" s="13">
        <f>INDEX(Foderstater!$X$64:$AL$101,MATCH(F441,Foderstater!$U$64:$U$101,0),MATCH(A441&amp;C441&amp;E441,Foderstater!$X$63:$AL$63,0))</f>
        <v>0.23665169711445078</v>
      </c>
      <c r="L441" s="158"/>
      <c r="M441" s="158"/>
    </row>
    <row r="442" spans="1:13" s="268" customFormat="1" x14ac:dyDescent="0.25">
      <c r="A442" s="268" t="str">
        <f>A441</f>
        <v>dairy</v>
      </c>
      <c r="B442" s="268" t="s">
        <v>5</v>
      </c>
      <c r="E442" s="268" t="s">
        <v>32</v>
      </c>
      <c r="F442" s="268" t="s">
        <v>609</v>
      </c>
      <c r="J442" s="268" t="str">
        <f>J441</f>
        <v>share_in_ration</v>
      </c>
      <c r="K442" s="269">
        <f>K441</f>
        <v>0.23665169711445078</v>
      </c>
      <c r="M442" s="268" t="s">
        <v>610</v>
      </c>
    </row>
    <row r="443" spans="1:13" x14ac:dyDescent="0.25">
      <c r="A443" t="s">
        <v>2</v>
      </c>
      <c r="E443" t="s">
        <v>32</v>
      </c>
      <c r="F443" t="str">
        <f>Foderstater!U$85</f>
        <v>sunflower seed meal</v>
      </c>
      <c r="J443" t="s">
        <v>310</v>
      </c>
      <c r="K443" s="13">
        <f>INDEX(Foderstater!$X$64:$AL$101,MATCH(F443,Foderstater!$U$64:$U$101,0),MATCH(A443&amp;C443&amp;E443,Foderstater!$X$63:$AL$63,0))</f>
        <v>3.2691141329254793E-3</v>
      </c>
    </row>
    <row r="444" spans="1:13" x14ac:dyDescent="0.25">
      <c r="A444" t="s">
        <v>2</v>
      </c>
      <c r="E444" t="s">
        <v>32</v>
      </c>
      <c r="F444" t="str">
        <f>Foderstater!U$86</f>
        <v>palm kernel expeller</v>
      </c>
      <c r="J444" t="s">
        <v>310</v>
      </c>
      <c r="K444" s="13">
        <f>INDEX(Foderstater!$X$64:$AL$101,MATCH(F444,Foderstater!$U$64:$U$101,0),MATCH(A444&amp;C444&amp;E444,Foderstater!$X$63:$AL$63,0))</f>
        <v>2.1242439347895763E-2</v>
      </c>
    </row>
    <row r="445" spans="1:13" x14ac:dyDescent="0.25">
      <c r="A445" t="s">
        <v>2</v>
      </c>
      <c r="E445" t="s">
        <v>32</v>
      </c>
      <c r="F445" t="str">
        <f>Foderstater!U$87</f>
        <v>luzern meal</v>
      </c>
      <c r="J445" t="s">
        <v>310</v>
      </c>
      <c r="K445" s="13">
        <f>INDEX(Foderstater!$X$64:$AL$101,MATCH(F445,Foderstater!$U$64:$U$101,0),MATCH(A445&amp;C445&amp;E445,Foderstater!$X$63:$AL$63,0))</f>
        <v>6.4617167974137888E-3</v>
      </c>
    </row>
    <row r="446" spans="1:13" x14ac:dyDescent="0.25">
      <c r="A446" t="s">
        <v>2</v>
      </c>
      <c r="E446" t="s">
        <v>32</v>
      </c>
      <c r="F446" t="str">
        <f>Foderstater!U$88</f>
        <v>wheat bran</v>
      </c>
      <c r="J446" t="s">
        <v>310</v>
      </c>
      <c r="K446" s="13">
        <f>INDEX(Foderstater!$X$64:$AL$101,MATCH(F446,Foderstater!$U$64:$U$101,0),MATCH(A446&amp;C446&amp;E446,Foderstater!$X$63:$AL$63,0))</f>
        <v>7.0401272455886954E-2</v>
      </c>
    </row>
    <row r="447" spans="1:13" x14ac:dyDescent="0.25">
      <c r="A447" t="s">
        <v>2</v>
      </c>
      <c r="E447" t="s">
        <v>32</v>
      </c>
      <c r="F447" t="str">
        <f>Foderstater!U$89</f>
        <v>wheat bran, fine</v>
      </c>
      <c r="J447" t="s">
        <v>310</v>
      </c>
      <c r="K447" s="13">
        <f>INDEX(Foderstater!$X$64:$AL$101,MATCH(F447,Foderstater!$U$64:$U$101,0),MATCH(A447&amp;C447&amp;E447,Foderstater!$X$63:$AL$63,0))</f>
        <v>1.8455238815339291E-4</v>
      </c>
    </row>
    <row r="448" spans="1:13" x14ac:dyDescent="0.25">
      <c r="A448" t="s">
        <v>2</v>
      </c>
      <c r="E448" t="s">
        <v>32</v>
      </c>
      <c r="F448" t="str">
        <f>Foderstater!U$90</f>
        <v>oat hulls</v>
      </c>
      <c r="J448" t="s">
        <v>310</v>
      </c>
      <c r="K448" s="13">
        <f>INDEX(Foderstater!$X$64:$AL$101,MATCH(F448,Foderstater!$U$64:$U$101,0),MATCH(A448&amp;C448&amp;E448,Foderstater!$X$63:$AL$63,0))</f>
        <v>8.4791487209590587E-3</v>
      </c>
    </row>
    <row r="449" spans="1:14" x14ac:dyDescent="0.25">
      <c r="A449" t="s">
        <v>2</v>
      </c>
      <c r="E449" t="s">
        <v>32</v>
      </c>
      <c r="F449" t="str">
        <f>Foderstater!U$91</f>
        <v>oat bran</v>
      </c>
      <c r="J449" t="s">
        <v>310</v>
      </c>
      <c r="K449" s="13">
        <f>INDEX(Foderstater!$X$64:$AL$101,MATCH(F449,Foderstater!$U$64:$U$101,0),MATCH(A449&amp;C449&amp;E449,Foderstater!$X$63:$AL$63,0))</f>
        <v>9.5696769476491604E-4</v>
      </c>
    </row>
    <row r="450" spans="1:14" x14ac:dyDescent="0.25">
      <c r="A450" t="s">
        <v>2</v>
      </c>
      <c r="E450" t="s">
        <v>32</v>
      </c>
      <c r="F450" t="str">
        <f>Foderstater!U$92</f>
        <v>rye bran</v>
      </c>
      <c r="J450" t="s">
        <v>310</v>
      </c>
      <c r="K450" s="13">
        <f>INDEX(Foderstater!$X$64:$AL$101,MATCH(F450,Foderstater!$U$64:$U$101,0),MATCH(A450&amp;C450&amp;E450,Foderstater!$X$63:$AL$63,0))</f>
        <v>2.9512987442885481E-3</v>
      </c>
    </row>
    <row r="451" spans="1:14" x14ac:dyDescent="0.25">
      <c r="A451" t="s">
        <v>2</v>
      </c>
      <c r="E451" t="s">
        <v>32</v>
      </c>
      <c r="F451" t="str">
        <f>Foderstater!U$93</f>
        <v>wheat distillers grain, dry</v>
      </c>
      <c r="J451" t="s">
        <v>310</v>
      </c>
      <c r="K451" s="13">
        <f>INDEX(Foderstater!$X$64:$AL$101,MATCH(F451,Foderstater!$U$64:$U$101,0),MATCH(A451&amp;C451&amp;E451,Foderstater!$X$63:$AL$63,0))</f>
        <v>7.5674679760735511E-2</v>
      </c>
    </row>
    <row r="452" spans="1:14" x14ac:dyDescent="0.25">
      <c r="A452" t="s">
        <v>2</v>
      </c>
      <c r="E452" t="s">
        <v>32</v>
      </c>
      <c r="F452" t="str">
        <f>Foderstater!U$94</f>
        <v>barley brewers grain</v>
      </c>
      <c r="J452" t="s">
        <v>310</v>
      </c>
      <c r="K452" s="13">
        <f>INDEX(Foderstater!$X$64:$AL$101,MATCH(F452,Foderstater!$U$64:$U$101,0),MATCH(A452&amp;C452&amp;E452,Foderstater!$X$63:$AL$63,0))</f>
        <v>0</v>
      </c>
    </row>
    <row r="453" spans="1:14" x14ac:dyDescent="0.25">
      <c r="A453" t="s">
        <v>2</v>
      </c>
      <c r="E453" t="s">
        <v>32</v>
      </c>
      <c r="F453" t="str">
        <f>Foderstater!U$95</f>
        <v>maize gluten meal</v>
      </c>
      <c r="J453" t="s">
        <v>310</v>
      </c>
      <c r="K453" s="13">
        <f>INDEX(Foderstater!$X$64:$AL$101,MATCH(F453,Foderstater!$U$64:$U$101,0),MATCH(A453&amp;C453&amp;E453,Foderstater!$X$63:$AL$63,0))</f>
        <v>2.2866512501744235E-3</v>
      </c>
    </row>
    <row r="454" spans="1:14" x14ac:dyDescent="0.25">
      <c r="A454" t="s">
        <v>2</v>
      </c>
      <c r="E454" t="s">
        <v>32</v>
      </c>
      <c r="F454" t="str">
        <f>Foderstater!U$96</f>
        <v>sugar beet molasses</v>
      </c>
      <c r="J454" t="s">
        <v>310</v>
      </c>
      <c r="K454" s="13">
        <f>INDEX(Foderstater!$X$64:$AL$101,MATCH(F454,Foderstater!$U$64:$U$101,0),MATCH(A454&amp;C454&amp;E454,Foderstater!$X$63:$AL$63,0))</f>
        <v>2.535757562367404E-2</v>
      </c>
    </row>
    <row r="455" spans="1:14" x14ac:dyDescent="0.25">
      <c r="A455" t="s">
        <v>2</v>
      </c>
      <c r="E455" t="s">
        <v>32</v>
      </c>
      <c r="F455" t="str">
        <f>Foderstater!U$97</f>
        <v>sugar beet pulp</v>
      </c>
      <c r="J455" t="s">
        <v>310</v>
      </c>
      <c r="K455" s="13">
        <f>INDEX(Foderstater!$X$64:$AL$101,MATCH(F455,Foderstater!$U$64:$U$101,0),MATCH(A455&amp;C455&amp;E455,Foderstater!$X$63:$AL$63,0))</f>
        <v>4.8929447838464507E-2</v>
      </c>
    </row>
    <row r="456" spans="1:14" x14ac:dyDescent="0.25">
      <c r="A456" t="s">
        <v>2</v>
      </c>
      <c r="E456" t="s">
        <v>32</v>
      </c>
      <c r="F456" t="str">
        <f>Foderstater!U$98</f>
        <v>whey powder</v>
      </c>
      <c r="J456" t="s">
        <v>310</v>
      </c>
      <c r="K456" s="13">
        <f>INDEX(Foderstater!$X$64:$AL$101,MATCH(F456,Foderstater!$U$64:$U$101,0),MATCH(A456&amp;C456&amp;E456,Foderstater!$X$63:$AL$63,0))</f>
        <v>0</v>
      </c>
    </row>
    <row r="457" spans="1:14" x14ac:dyDescent="0.25">
      <c r="A457" t="s">
        <v>2</v>
      </c>
      <c r="E457" t="s">
        <v>32</v>
      </c>
      <c r="F457" t="str">
        <f>Foderstater!U$99</f>
        <v>potatoe protein</v>
      </c>
      <c r="J457" t="s">
        <v>310</v>
      </c>
      <c r="K457" s="13">
        <f>INDEX(Foderstater!$X$64:$AL$101,MATCH(F457,Foderstater!$U$64:$U$101,0),MATCH(A457&amp;C457&amp;E457,Foderstater!$X$63:$AL$63,0))</f>
        <v>2.240115704419248E-4</v>
      </c>
    </row>
    <row r="458" spans="1:14" x14ac:dyDescent="0.25">
      <c r="A458" t="s">
        <v>2</v>
      </c>
      <c r="E458" t="s">
        <v>32</v>
      </c>
      <c r="F458" t="str">
        <f>Foderstater!U$100</f>
        <v>fish meal</v>
      </c>
      <c r="J458" t="s">
        <v>310</v>
      </c>
      <c r="K458" s="13">
        <f>INDEX(Foderstater!$X$64:$AL$101,MATCH(F458,Foderstater!$U$64:$U$101,0),MATCH(A458&amp;C458&amp;E458,Foderstater!$X$63:$AL$63,0))</f>
        <v>0</v>
      </c>
    </row>
    <row r="459" spans="1:14" x14ac:dyDescent="0.25">
      <c r="A459" t="s">
        <v>2</v>
      </c>
      <c r="E459" t="s">
        <v>32</v>
      </c>
      <c r="F459" t="str">
        <f>Foderstater!U$101</f>
        <v>minerals</v>
      </c>
      <c r="J459" t="s">
        <v>310</v>
      </c>
      <c r="K459" s="13">
        <f>INDEX(Foderstater!$X$64:$AL$101,MATCH(F459,Foderstater!$U$64:$U$101,0),MATCH(A459&amp;C459&amp;E459,Foderstater!$X$63:$AL$63,0))</f>
        <v>0.71223380261627178</v>
      </c>
    </row>
    <row r="460" spans="1:14" x14ac:dyDescent="0.25">
      <c r="K460" s="13"/>
    </row>
    <row r="461" spans="1:14" x14ac:dyDescent="0.25">
      <c r="A461" s="81" t="s">
        <v>71</v>
      </c>
      <c r="B461" s="48"/>
      <c r="C461" s="48"/>
      <c r="D461" s="49"/>
      <c r="E461" s="49"/>
      <c r="F461" s="49"/>
      <c r="G461" s="49"/>
      <c r="H461" s="49"/>
      <c r="I461" s="49"/>
      <c r="J461" s="49"/>
      <c r="K461" s="161"/>
      <c r="L461" s="49"/>
      <c r="M461" s="49"/>
      <c r="N461" s="49"/>
    </row>
    <row r="462" spans="1:14" x14ac:dyDescent="0.25">
      <c r="A462" s="158" t="s">
        <v>2</v>
      </c>
      <c r="B462" s="158"/>
      <c r="C462" s="158"/>
      <c r="D462" s="158"/>
      <c r="E462" s="158" t="s">
        <v>33</v>
      </c>
      <c r="J462" s="158" t="s">
        <v>310</v>
      </c>
      <c r="K462" s="255">
        <v>0</v>
      </c>
      <c r="L462" s="158"/>
      <c r="M462" s="158" t="s">
        <v>401</v>
      </c>
    </row>
    <row r="463" spans="1:14" x14ac:dyDescent="0.25">
      <c r="A463" t="s">
        <v>2</v>
      </c>
      <c r="E463" t="s">
        <v>33</v>
      </c>
      <c r="F463" t="str">
        <f>Foderstater!U$64</f>
        <v>ley silage, 1st cut</v>
      </c>
      <c r="J463" t="s">
        <v>310</v>
      </c>
      <c r="K463" s="13">
        <f>INDEX(Foderstater!$X$64:$AL$101,MATCH(F463,Foderstater!$U$64:$U$101,0),MATCH(A463&amp;C463&amp;E463,Foderstater!$X$63:$AL$63,0))</f>
        <v>0</v>
      </c>
      <c r="L463" s="158"/>
      <c r="M463" s="158"/>
    </row>
    <row r="464" spans="1:14" x14ac:dyDescent="0.25">
      <c r="A464" t="s">
        <v>2</v>
      </c>
      <c r="E464" t="s">
        <v>33</v>
      </c>
      <c r="F464" t="str">
        <f>Foderstater!U$65</f>
        <v>ley silage, regrowth</v>
      </c>
      <c r="J464" t="s">
        <v>310</v>
      </c>
      <c r="K464" s="13">
        <f>INDEX(Foderstater!$X$64:$AL$101,MATCH(F464,Foderstater!$U$64:$U$101,0),MATCH(A464&amp;C464&amp;E464,Foderstater!$X$63:$AL$63,0))</f>
        <v>55.029062371648976</v>
      </c>
      <c r="L464" s="158"/>
      <c r="M464" s="158"/>
    </row>
    <row r="465" spans="1:13" x14ac:dyDescent="0.25">
      <c r="A465" t="s">
        <v>2</v>
      </c>
      <c r="E465" t="s">
        <v>33</v>
      </c>
      <c r="F465" t="str">
        <f>Foderstater!U$66</f>
        <v>other silage</v>
      </c>
      <c r="J465" t="s">
        <v>310</v>
      </c>
      <c r="K465" s="13">
        <f>INDEX(Foderstater!$X$64:$AL$101,MATCH(F465,Foderstater!$U$64:$U$101,0),MATCH(A465&amp;C465&amp;E465,Foderstater!$X$63:$AL$63,0))</f>
        <v>0</v>
      </c>
      <c r="L465" s="158"/>
      <c r="M465" s="158"/>
    </row>
    <row r="466" spans="1:13" x14ac:dyDescent="0.25">
      <c r="A466" t="s">
        <v>2</v>
      </c>
      <c r="E466" t="s">
        <v>33</v>
      </c>
      <c r="F466" t="str">
        <f>Foderstater!U$67</f>
        <v>maize silage</v>
      </c>
      <c r="J466" t="s">
        <v>310</v>
      </c>
      <c r="K466" s="13">
        <f>INDEX(Foderstater!$X$64:$AL$101,MATCH(F466,Foderstater!$U$64:$U$101,0),MATCH(A466&amp;C466&amp;E466,Foderstater!$X$63:$AL$63,0))</f>
        <v>0</v>
      </c>
      <c r="L466" s="158"/>
      <c r="M466" s="158"/>
    </row>
    <row r="467" spans="1:13" x14ac:dyDescent="0.25">
      <c r="A467" t="s">
        <v>2</v>
      </c>
      <c r="E467" t="s">
        <v>33</v>
      </c>
      <c r="F467" t="str">
        <f>Foderstater!U$68</f>
        <v>straw</v>
      </c>
      <c r="J467" t="s">
        <v>310</v>
      </c>
      <c r="K467" s="13">
        <f>INDEX(Foderstater!$X$64:$AL$101,MATCH(F467,Foderstater!$U$64:$U$101,0),MATCH(A467&amp;C467&amp;E467,Foderstater!$X$63:$AL$63,0))</f>
        <v>0</v>
      </c>
      <c r="L467" s="158"/>
      <c r="M467" s="158"/>
    </row>
    <row r="468" spans="1:13" x14ac:dyDescent="0.25">
      <c r="A468" t="s">
        <v>2</v>
      </c>
      <c r="E468" t="s">
        <v>33</v>
      </c>
      <c r="F468" t="str">
        <f>Foderstater!U$69</f>
        <v>grazing</v>
      </c>
      <c r="J468" t="s">
        <v>310</v>
      </c>
      <c r="K468" s="13">
        <f>INDEX(Foderstater!$X$64:$AL$101,MATCH(F468,Foderstater!$U$64:$U$101,0),MATCH(A468&amp;C468&amp;E468,Foderstater!$X$63:$AL$63,0))</f>
        <v>38.614788214420173</v>
      </c>
      <c r="L468" s="158"/>
      <c r="M468" s="158"/>
    </row>
    <row r="469" spans="1:13" x14ac:dyDescent="0.25">
      <c r="A469" t="s">
        <v>2</v>
      </c>
      <c r="E469" t="s">
        <v>33</v>
      </c>
      <c r="F469" t="str">
        <f>Foderstater!U$70</f>
        <v>wheat</v>
      </c>
      <c r="J469" t="s">
        <v>310</v>
      </c>
      <c r="K469" s="13">
        <f>INDEX(Foderstater!$X$64:$AL$101,MATCH(F469,Foderstater!$U$64:$U$101,0),MATCH(A469&amp;C469&amp;E469,Foderstater!$X$63:$AL$63,0))</f>
        <v>1.3702995315856561</v>
      </c>
      <c r="L469" s="158"/>
      <c r="M469" s="158"/>
    </row>
    <row r="470" spans="1:13" x14ac:dyDescent="0.25">
      <c r="A470" t="s">
        <v>2</v>
      </c>
      <c r="E470" t="s">
        <v>33</v>
      </c>
      <c r="F470" t="str">
        <f>Foderstater!U$71</f>
        <v>barley</v>
      </c>
      <c r="J470" t="s">
        <v>310</v>
      </c>
      <c r="K470" s="13">
        <f>INDEX(Foderstater!$X$64:$AL$101,MATCH(F470,Foderstater!$U$64:$U$101,0),MATCH(A470&amp;C470&amp;E470,Foderstater!$X$63:$AL$63,0))</f>
        <v>2.1464108702309166</v>
      </c>
      <c r="L470" s="158"/>
      <c r="M470" s="158"/>
    </row>
    <row r="471" spans="1:13" x14ac:dyDescent="0.25">
      <c r="A471" t="s">
        <v>2</v>
      </c>
      <c r="E471" t="s">
        <v>33</v>
      </c>
      <c r="F471" t="str">
        <f>Foderstater!U$72</f>
        <v>oats</v>
      </c>
      <c r="J471" t="s">
        <v>310</v>
      </c>
      <c r="K471" s="13">
        <f>INDEX(Foderstater!$X$64:$AL$101,MATCH(F471,Foderstater!$U$64:$U$101,0),MATCH(A471&amp;C471&amp;E471,Foderstater!$X$63:$AL$63,0))</f>
        <v>0.54223737074929057</v>
      </c>
      <c r="L471" s="158"/>
      <c r="M471" s="158"/>
    </row>
    <row r="472" spans="1:13" x14ac:dyDescent="0.25">
      <c r="A472" t="s">
        <v>2</v>
      </c>
      <c r="E472" t="s">
        <v>33</v>
      </c>
      <c r="F472" t="str">
        <f>Foderstater!U$73</f>
        <v>triticale</v>
      </c>
      <c r="J472" t="s">
        <v>310</v>
      </c>
      <c r="K472" s="13">
        <f>INDEX(Foderstater!$X$64:$AL$101,MATCH(F472,Foderstater!$U$64:$U$101,0),MATCH(A472&amp;C472&amp;E472,Foderstater!$X$63:$AL$63,0))</f>
        <v>0.63111634374194048</v>
      </c>
      <c r="L472" s="158"/>
      <c r="M472" s="158"/>
    </row>
    <row r="473" spans="1:13" x14ac:dyDescent="0.25">
      <c r="A473" t="s">
        <v>2</v>
      </c>
      <c r="E473" t="s">
        <v>33</v>
      </c>
      <c r="F473" t="str">
        <f>Foderstater!U$74</f>
        <v>rye</v>
      </c>
      <c r="J473" t="s">
        <v>310</v>
      </c>
      <c r="K473" s="13">
        <f>INDEX(Foderstater!$X$64:$AL$101,MATCH(F473,Foderstater!$U$64:$U$101,0),MATCH(A473&amp;C473&amp;E473,Foderstater!$X$63:$AL$63,0))</f>
        <v>5.6371722021104978E-3</v>
      </c>
      <c r="L473" s="158"/>
      <c r="M473" s="158"/>
    </row>
    <row r="474" spans="1:13" x14ac:dyDescent="0.25">
      <c r="A474" t="s">
        <v>2</v>
      </c>
      <c r="E474" t="s">
        <v>33</v>
      </c>
      <c r="F474" t="str">
        <f>Foderstater!U$75</f>
        <v>maize</v>
      </c>
      <c r="J474" t="s">
        <v>310</v>
      </c>
      <c r="K474" s="13">
        <f>INDEX(Foderstater!$X$64:$AL$101,MATCH(F474,Foderstater!$U$64:$U$101,0),MATCH(A474&amp;C474&amp;E474,Foderstater!$X$63:$AL$63,0))</f>
        <v>2.4491361364359067E-2</v>
      </c>
      <c r="L474" s="158"/>
      <c r="M474" s="158"/>
    </row>
    <row r="475" spans="1:13" x14ac:dyDescent="0.25">
      <c r="A475" t="s">
        <v>2</v>
      </c>
      <c r="E475" t="s">
        <v>33</v>
      </c>
      <c r="F475" t="str">
        <f>Foderstater!U$76</f>
        <v>peas</v>
      </c>
      <c r="J475" t="s">
        <v>310</v>
      </c>
      <c r="K475" s="13">
        <f>INDEX(Foderstater!$X$64:$AL$101,MATCH(F475,Foderstater!$U$64:$U$101,0),MATCH(A475&amp;C475&amp;E475,Foderstater!$X$63:$AL$63,0))</f>
        <v>3.3129545230803178E-2</v>
      </c>
      <c r="L475" s="158"/>
      <c r="M475" s="158"/>
    </row>
    <row r="476" spans="1:13" x14ac:dyDescent="0.25">
      <c r="A476" t="s">
        <v>2</v>
      </c>
      <c r="E476" t="s">
        <v>33</v>
      </c>
      <c r="F476" t="str">
        <f>Foderstater!U$77</f>
        <v>broad beans</v>
      </c>
      <c r="J476" t="s">
        <v>310</v>
      </c>
      <c r="K476" s="13">
        <f>INDEX(Foderstater!$X$64:$AL$101,MATCH(F476,Foderstater!$U$64:$U$101,0),MATCH(A476&amp;C476&amp;E476,Foderstater!$X$63:$AL$63,0))</f>
        <v>4.0966798466627027E-2</v>
      </c>
      <c r="L476" s="158"/>
      <c r="M476" s="158"/>
    </row>
    <row r="477" spans="1:13" x14ac:dyDescent="0.25">
      <c r="A477" t="s">
        <v>2</v>
      </c>
      <c r="E477" t="s">
        <v>33</v>
      </c>
      <c r="F477" t="str">
        <f>Foderstater!U$78</f>
        <v>rapeseed</v>
      </c>
      <c r="J477" t="s">
        <v>310</v>
      </c>
      <c r="K477" s="13">
        <f>INDEX(Foderstater!$X$64:$AL$101,MATCH(F477,Foderstater!$U$64:$U$101,0),MATCH(A477&amp;C477&amp;E477,Foderstater!$X$63:$AL$63,0))</f>
        <v>0.20821498275295594</v>
      </c>
      <c r="L477" s="158"/>
      <c r="M477" s="158"/>
    </row>
    <row r="478" spans="1:13" x14ac:dyDescent="0.25">
      <c r="A478" t="s">
        <v>2</v>
      </c>
      <c r="E478" t="s">
        <v>33</v>
      </c>
      <c r="F478" t="str">
        <f>Foderstater!U$79</f>
        <v>linseed</v>
      </c>
      <c r="J478" t="s">
        <v>310</v>
      </c>
      <c r="K478" s="13">
        <f>INDEX(Foderstater!$X$64:$AL$101,MATCH(F478,Foderstater!$U$64:$U$101,0),MATCH(A478&amp;C478&amp;E478,Foderstater!$X$63:$AL$63,0))</f>
        <v>1.5359161204765519E-4</v>
      </c>
      <c r="L478" s="158"/>
      <c r="M478" s="158"/>
    </row>
    <row r="479" spans="1:13" x14ac:dyDescent="0.25">
      <c r="A479" t="s">
        <v>2</v>
      </c>
      <c r="E479" t="s">
        <v>33</v>
      </c>
      <c r="F479" t="str">
        <f>Foderstater!U$80</f>
        <v>vegetable oils</v>
      </c>
      <c r="J479" t="s">
        <v>310</v>
      </c>
      <c r="K479" s="13">
        <f>INDEX(Foderstater!$X$64:$AL$101,MATCH(F479,Foderstater!$U$64:$U$101,0),MATCH(A479&amp;C479&amp;E479,Foderstater!$X$63:$AL$63,0))</f>
        <v>3.9652652617667341E-3</v>
      </c>
      <c r="L479" s="158"/>
      <c r="M479" s="158"/>
    </row>
    <row r="480" spans="1:13" x14ac:dyDescent="0.25">
      <c r="A480" t="s">
        <v>2</v>
      </c>
      <c r="E480" t="s">
        <v>33</v>
      </c>
      <c r="F480" t="str">
        <f>Foderstater!U$81</f>
        <v>soybeans</v>
      </c>
      <c r="J480" t="s">
        <v>310</v>
      </c>
      <c r="K480" s="13">
        <f>INDEX(Foderstater!$X$64:$AL$101,MATCH(F480,Foderstater!$U$64:$U$101,0),MATCH(A480&amp;C480&amp;E480,Foderstater!$X$63:$AL$63,0))</f>
        <v>3.8749780117707201E-3</v>
      </c>
      <c r="L480" s="158"/>
      <c r="M480" s="158"/>
    </row>
    <row r="481" spans="1:13" x14ac:dyDescent="0.25">
      <c r="A481" t="s">
        <v>2</v>
      </c>
      <c r="E481" t="s">
        <v>33</v>
      </c>
      <c r="F481" t="str">
        <f>Foderstater!U$82</f>
        <v>soybean meal</v>
      </c>
      <c r="J481" t="s">
        <v>310</v>
      </c>
      <c r="K481" s="13">
        <f>INDEX(Foderstater!$X$64:$AL$101,MATCH(F481,Foderstater!$U$64:$U$101,0),MATCH(A481&amp;C481&amp;E481,Foderstater!$X$63:$AL$63,0))</f>
        <v>3.5396486378307765E-2</v>
      </c>
      <c r="L481" s="158"/>
      <c r="M481" s="158"/>
    </row>
    <row r="482" spans="1:13" x14ac:dyDescent="0.25">
      <c r="A482" t="s">
        <v>2</v>
      </c>
      <c r="E482" t="s">
        <v>33</v>
      </c>
      <c r="F482" t="str">
        <f>Foderstater!U$83</f>
        <v>soybean protein concentrate</v>
      </c>
      <c r="J482" t="s">
        <v>310</v>
      </c>
      <c r="K482" s="13">
        <f>INDEX(Foderstater!$X$64:$AL$101,MATCH(F482,Foderstater!$U$64:$U$101,0),MATCH(A482&amp;C482&amp;E482,Foderstater!$X$63:$AL$63,0))</f>
        <v>0</v>
      </c>
      <c r="L482" s="158"/>
      <c r="M482" s="158"/>
    </row>
    <row r="483" spans="1:13" x14ac:dyDescent="0.25">
      <c r="A483" t="s">
        <v>2</v>
      </c>
      <c r="B483" t="s">
        <v>1</v>
      </c>
      <c r="E483" t="s">
        <v>33</v>
      </c>
      <c r="F483" t="str">
        <f>Foderstater!U$84</f>
        <v>rapeseed meal</v>
      </c>
      <c r="J483" t="s">
        <v>310</v>
      </c>
      <c r="K483" s="13">
        <f>INDEX(Foderstater!$X$64:$AL$101,MATCH(F483,Foderstater!$U$64:$U$101,0),MATCH(A483&amp;C483&amp;E483,Foderstater!$X$63:$AL$63,0))</f>
        <v>0.27338946038309825</v>
      </c>
      <c r="L483" s="158"/>
      <c r="M483" s="158"/>
    </row>
    <row r="484" spans="1:13" x14ac:dyDescent="0.25">
      <c r="A484" s="268" t="str">
        <f>A483</f>
        <v>dairy</v>
      </c>
      <c r="B484" s="268" t="s">
        <v>5</v>
      </c>
      <c r="C484" s="268"/>
      <c r="D484" s="268"/>
      <c r="E484" s="268" t="s">
        <v>33</v>
      </c>
      <c r="F484" s="268" t="s">
        <v>609</v>
      </c>
      <c r="J484" s="268" t="str">
        <f>J483</f>
        <v>share_in_ration</v>
      </c>
      <c r="K484" s="269">
        <f>K483</f>
        <v>0.27338946038309825</v>
      </c>
      <c r="L484" s="268"/>
      <c r="M484" s="268" t="s">
        <v>610</v>
      </c>
    </row>
    <row r="485" spans="1:13" x14ac:dyDescent="0.25">
      <c r="A485" t="s">
        <v>2</v>
      </c>
      <c r="E485" t="s">
        <v>33</v>
      </c>
      <c r="F485" t="str">
        <f>Foderstater!U$85</f>
        <v>sunflower seed meal</v>
      </c>
      <c r="J485" t="s">
        <v>310</v>
      </c>
      <c r="K485" s="13">
        <f>INDEX(Foderstater!$X$64:$AL$101,MATCH(F485,Foderstater!$U$64:$U$101,0),MATCH(A485&amp;C485&amp;E485,Foderstater!$X$63:$AL$63,0))</f>
        <v>3.7766107728313516E-3</v>
      </c>
    </row>
    <row r="486" spans="1:13" x14ac:dyDescent="0.25">
      <c r="A486" t="s">
        <v>2</v>
      </c>
      <c r="E486" t="s">
        <v>33</v>
      </c>
      <c r="F486" t="str">
        <f>Foderstater!U$86</f>
        <v>palm kernel expeller</v>
      </c>
      <c r="J486" t="s">
        <v>310</v>
      </c>
      <c r="K486" s="13">
        <f>INDEX(Foderstater!$X$64:$AL$101,MATCH(F486,Foderstater!$U$64:$U$101,0),MATCH(A486&amp;C486&amp;E486,Foderstater!$X$63:$AL$63,0))</f>
        <v>2.454011148600925E-2</v>
      </c>
    </row>
    <row r="487" spans="1:13" x14ac:dyDescent="0.25">
      <c r="A487" t="s">
        <v>2</v>
      </c>
      <c r="E487" t="s">
        <v>33</v>
      </c>
      <c r="F487" t="str">
        <f>Foderstater!U$87</f>
        <v>luzern meal</v>
      </c>
      <c r="J487" t="s">
        <v>310</v>
      </c>
      <c r="K487" s="13">
        <f>INDEX(Foderstater!$X$64:$AL$101,MATCH(F487,Foderstater!$U$64:$U$101,0),MATCH(A487&amp;C487&amp;E487,Foderstater!$X$63:$AL$63,0))</f>
        <v>7.4648324517994124E-3</v>
      </c>
    </row>
    <row r="488" spans="1:13" x14ac:dyDescent="0.25">
      <c r="A488" t="s">
        <v>2</v>
      </c>
      <c r="E488" t="s">
        <v>33</v>
      </c>
      <c r="F488" t="str">
        <f>Foderstater!U$88</f>
        <v>wheat bran</v>
      </c>
      <c r="J488" t="s">
        <v>310</v>
      </c>
      <c r="K488" s="13">
        <f>INDEX(Foderstater!$X$64:$AL$101,MATCH(F488,Foderstater!$U$64:$U$101,0),MATCH(A488&amp;C488&amp;E488,Foderstater!$X$63:$AL$63,0))</f>
        <v>8.1330352250506319E-2</v>
      </c>
    </row>
    <row r="489" spans="1:13" x14ac:dyDescent="0.25">
      <c r="A489" t="s">
        <v>2</v>
      </c>
      <c r="E489" t="s">
        <v>33</v>
      </c>
      <c r="F489" t="str">
        <f>Foderstater!U$89</f>
        <v>wheat bran, fine</v>
      </c>
      <c r="J489" t="s">
        <v>310</v>
      </c>
      <c r="K489" s="13">
        <f>INDEX(Foderstater!$X$64:$AL$101,MATCH(F489,Foderstater!$U$64:$U$101,0),MATCH(A489&amp;C489&amp;E489,Foderstater!$X$63:$AL$63,0))</f>
        <v>2.1320226486804789E-4</v>
      </c>
    </row>
    <row r="490" spans="1:13" x14ac:dyDescent="0.25">
      <c r="A490" t="s">
        <v>2</v>
      </c>
      <c r="E490" t="s">
        <v>33</v>
      </c>
      <c r="F490" t="str">
        <f>Foderstater!U$90</f>
        <v>oat hulls</v>
      </c>
      <c r="J490" t="s">
        <v>310</v>
      </c>
      <c r="K490" s="13">
        <f>INDEX(Foderstater!$X$64:$AL$101,MATCH(F490,Foderstater!$U$64:$U$101,0),MATCH(A490&amp;C490&amp;E490,Foderstater!$X$63:$AL$63,0))</f>
        <v>9.7954501133788105E-3</v>
      </c>
    </row>
    <row r="491" spans="1:13" x14ac:dyDescent="0.25">
      <c r="A491" t="s">
        <v>2</v>
      </c>
      <c r="E491" t="s">
        <v>33</v>
      </c>
      <c r="F491" t="str">
        <f>Foderstater!U$91</f>
        <v>oat bran</v>
      </c>
      <c r="J491" t="s">
        <v>310</v>
      </c>
      <c r="K491" s="13">
        <f>INDEX(Foderstater!$X$64:$AL$101,MATCH(F491,Foderstater!$U$64:$U$101,0),MATCH(A491&amp;C491&amp;E491,Foderstater!$X$63:$AL$63,0))</f>
        <v>1.1055271729123049E-3</v>
      </c>
    </row>
    <row r="492" spans="1:13" x14ac:dyDescent="0.25">
      <c r="A492" t="s">
        <v>2</v>
      </c>
      <c r="E492" t="s">
        <v>33</v>
      </c>
      <c r="F492" t="str">
        <f>Foderstater!U$92</f>
        <v>rye bran</v>
      </c>
      <c r="J492" t="s">
        <v>310</v>
      </c>
      <c r="K492" s="13">
        <f>INDEX(Foderstater!$X$64:$AL$101,MATCH(F492,Foderstater!$U$64:$U$101,0),MATCH(A492&amp;C492&amp;E492,Foderstater!$X$63:$AL$63,0))</f>
        <v>3.4094577852959427E-3</v>
      </c>
    </row>
    <row r="493" spans="1:13" x14ac:dyDescent="0.25">
      <c r="A493" t="s">
        <v>2</v>
      </c>
      <c r="E493" t="s">
        <v>33</v>
      </c>
      <c r="F493" t="str">
        <f>Foderstater!U$93</f>
        <v>wheat distillers grain, dry</v>
      </c>
      <c r="J493" t="s">
        <v>310</v>
      </c>
      <c r="K493" s="13">
        <f>INDEX(Foderstater!$X$64:$AL$101,MATCH(F493,Foderstater!$U$64:$U$101,0),MATCH(A493&amp;C493&amp;E493,Foderstater!$X$63:$AL$63,0))</f>
        <v>8.7422402276057576E-2</v>
      </c>
    </row>
    <row r="494" spans="1:13" x14ac:dyDescent="0.25">
      <c r="A494" t="s">
        <v>2</v>
      </c>
      <c r="E494" t="s">
        <v>33</v>
      </c>
      <c r="F494" t="str">
        <f>Foderstater!U$94</f>
        <v>barley brewers grain</v>
      </c>
      <c r="J494" t="s">
        <v>310</v>
      </c>
      <c r="K494" s="13">
        <f>INDEX(Foderstater!$X$64:$AL$101,MATCH(F494,Foderstater!$U$64:$U$101,0),MATCH(A494&amp;C494&amp;E494,Foderstater!$X$63:$AL$63,0))</f>
        <v>0</v>
      </c>
    </row>
    <row r="495" spans="1:13" x14ac:dyDescent="0.25">
      <c r="A495" t="s">
        <v>2</v>
      </c>
      <c r="E495" t="s">
        <v>33</v>
      </c>
      <c r="F495" t="str">
        <f>Foderstater!U$95</f>
        <v>maize gluten meal</v>
      </c>
      <c r="J495" t="s">
        <v>310</v>
      </c>
      <c r="K495" s="13">
        <f>INDEX(Foderstater!$X$64:$AL$101,MATCH(F495,Foderstater!$U$64:$U$101,0),MATCH(A495&amp;C495&amp;E495,Foderstater!$X$63:$AL$63,0))</f>
        <v>2.6416305439262745E-3</v>
      </c>
    </row>
    <row r="496" spans="1:13" x14ac:dyDescent="0.25">
      <c r="A496" t="s">
        <v>2</v>
      </c>
      <c r="E496" t="s">
        <v>33</v>
      </c>
      <c r="F496" t="str">
        <f>Foderstater!U$96</f>
        <v>sugar beet molasses</v>
      </c>
      <c r="J496" t="s">
        <v>310</v>
      </c>
      <c r="K496" s="13">
        <f>INDEX(Foderstater!$X$64:$AL$101,MATCH(F496,Foderstater!$U$64:$U$101,0),MATCH(A496&amp;C496&amp;E496,Foderstater!$X$63:$AL$63,0))</f>
        <v>2.929408071401712E-2</v>
      </c>
    </row>
    <row r="497" spans="1:14" x14ac:dyDescent="0.25">
      <c r="A497" t="s">
        <v>2</v>
      </c>
      <c r="E497" t="s">
        <v>33</v>
      </c>
      <c r="F497" t="str">
        <f>Foderstater!U$97</f>
        <v>sugar beet pulp</v>
      </c>
      <c r="J497" t="s">
        <v>310</v>
      </c>
      <c r="K497" s="13">
        <f>INDEX(Foderstater!$X$64:$AL$101,MATCH(F497,Foderstater!$U$64:$U$101,0),MATCH(A497&amp;C497&amp;E497,Foderstater!$X$63:$AL$63,0))</f>
        <v>5.6525245770502136E-2</v>
      </c>
    </row>
    <row r="498" spans="1:14" x14ac:dyDescent="0.25">
      <c r="A498" t="s">
        <v>2</v>
      </c>
      <c r="E498" t="s">
        <v>33</v>
      </c>
      <c r="F498" t="str">
        <f>Foderstater!U$98</f>
        <v>whey powder</v>
      </c>
      <c r="J498" t="s">
        <v>310</v>
      </c>
      <c r="K498" s="13">
        <f>INDEX(Foderstater!$X$64:$AL$101,MATCH(F498,Foderstater!$U$64:$U$101,0),MATCH(A498&amp;C498&amp;E498,Foderstater!$X$63:$AL$63,0))</f>
        <v>0</v>
      </c>
    </row>
    <row r="499" spans="1:14" x14ac:dyDescent="0.25">
      <c r="A499" t="s">
        <v>2</v>
      </c>
      <c r="E499" t="s">
        <v>33</v>
      </c>
      <c r="F499" t="str">
        <f>Foderstater!U$99</f>
        <v>potatoe protein</v>
      </c>
      <c r="J499" t="s">
        <v>310</v>
      </c>
      <c r="K499" s="13">
        <f>INDEX(Foderstater!$X$64:$AL$101,MATCH(F499,Foderstater!$U$64:$U$101,0),MATCH(A499&amp;C499&amp;E499,Foderstater!$X$63:$AL$63,0))</f>
        <v>2.5878708291312121E-4</v>
      </c>
    </row>
    <row r="500" spans="1:14" x14ac:dyDescent="0.25">
      <c r="A500" t="s">
        <v>2</v>
      </c>
      <c r="E500" t="s">
        <v>33</v>
      </c>
      <c r="F500" t="str">
        <f>Foderstater!U$100</f>
        <v>fish meal</v>
      </c>
      <c r="J500" t="s">
        <v>310</v>
      </c>
      <c r="K500" s="13">
        <f>INDEX(Foderstater!$X$64:$AL$101,MATCH(F500,Foderstater!$U$64:$U$101,0),MATCH(A500&amp;C500&amp;E500,Foderstater!$X$63:$AL$63,0))</f>
        <v>0</v>
      </c>
    </row>
    <row r="501" spans="1:14" x14ac:dyDescent="0.25">
      <c r="A501" t="s">
        <v>2</v>
      </c>
      <c r="E501" t="s">
        <v>33</v>
      </c>
      <c r="F501" t="str">
        <f>Foderstater!U$101</f>
        <v>minerals</v>
      </c>
      <c r="J501" t="s">
        <v>310</v>
      </c>
      <c r="K501" s="13">
        <f>INDEX(Foderstater!$X$64:$AL$101,MATCH(F501,Foderstater!$U$64:$U$101,0),MATCH(A501&amp;C501&amp;E501,Foderstater!$X$63:$AL$63,0))</f>
        <v>0.72908796527420217</v>
      </c>
    </row>
    <row r="503" spans="1:14" x14ac:dyDescent="0.25">
      <c r="A503" s="81" t="s">
        <v>75</v>
      </c>
      <c r="B503" s="48"/>
      <c r="C503" s="48"/>
      <c r="D503" s="49"/>
      <c r="E503" s="49"/>
      <c r="F503" s="49"/>
      <c r="G503" s="49"/>
      <c r="H503" s="49"/>
      <c r="I503" s="49"/>
      <c r="J503" s="49"/>
      <c r="K503" s="161"/>
      <c r="L503" s="49"/>
      <c r="M503" s="49"/>
      <c r="N503" s="49"/>
    </row>
    <row r="504" spans="1:14" x14ac:dyDescent="0.25">
      <c r="A504" s="158" t="s">
        <v>2</v>
      </c>
      <c r="B504" s="158"/>
      <c r="C504" s="158"/>
      <c r="D504" s="158"/>
      <c r="E504" s="158" t="s">
        <v>34</v>
      </c>
      <c r="J504" s="158" t="s">
        <v>310</v>
      </c>
      <c r="K504" s="158">
        <v>0</v>
      </c>
      <c r="L504" s="158"/>
      <c r="M504" s="158" t="s">
        <v>401</v>
      </c>
    </row>
    <row r="505" spans="1:14" x14ac:dyDescent="0.25">
      <c r="A505" t="s">
        <v>2</v>
      </c>
      <c r="D505" s="110"/>
      <c r="E505" s="110" t="s">
        <v>34</v>
      </c>
      <c r="F505" t="str">
        <f>Foderstater!U$64</f>
        <v>ley silage, 1st cut</v>
      </c>
      <c r="J505" t="s">
        <v>310</v>
      </c>
      <c r="K505" s="13">
        <f>INDEX(Foderstater!$X$64:$AL$101,MATCH(F505,Foderstater!$U$64:$U$101,0),MATCH(A505&amp;C505&amp;E505,Foderstater!$X$63:$AL$63,0))</f>
        <v>65.065884609325579</v>
      </c>
      <c r="L505" s="158"/>
      <c r="M505" s="158"/>
    </row>
    <row r="506" spans="1:14" x14ac:dyDescent="0.25">
      <c r="A506" t="s">
        <v>2</v>
      </c>
      <c r="D506" s="110"/>
      <c r="E506" s="110" t="s">
        <v>34</v>
      </c>
      <c r="F506" t="str">
        <f>Foderstater!U$65</f>
        <v>ley silage, regrowth</v>
      </c>
      <c r="J506" t="s">
        <v>310</v>
      </c>
      <c r="K506" s="13">
        <f>INDEX(Foderstater!$X$64:$AL$101,MATCH(F506,Foderstater!$U$64:$U$101,0),MATCH(A506&amp;C506&amp;E506,Foderstater!$X$63:$AL$63,0))</f>
        <v>0</v>
      </c>
      <c r="L506" s="158"/>
      <c r="M506" s="158"/>
    </row>
    <row r="507" spans="1:14" x14ac:dyDescent="0.25">
      <c r="A507" t="s">
        <v>2</v>
      </c>
      <c r="D507" s="110"/>
      <c r="E507" s="110" t="s">
        <v>34</v>
      </c>
      <c r="F507" t="str">
        <f>Foderstater!U$66</f>
        <v>other silage</v>
      </c>
      <c r="J507" t="s">
        <v>310</v>
      </c>
      <c r="K507" s="13">
        <f>INDEX(Foderstater!$X$64:$AL$101,MATCH(F507,Foderstater!$U$64:$U$101,0),MATCH(A507&amp;C507&amp;E507,Foderstater!$X$63:$AL$63,0))</f>
        <v>0</v>
      </c>
      <c r="L507" s="158"/>
      <c r="M507" s="158"/>
    </row>
    <row r="508" spans="1:14" x14ac:dyDescent="0.25">
      <c r="A508" t="s">
        <v>2</v>
      </c>
      <c r="D508" s="110"/>
      <c r="E508" s="110" t="s">
        <v>34</v>
      </c>
      <c r="F508" t="str">
        <f>Foderstater!U$67</f>
        <v>maize silage</v>
      </c>
      <c r="J508" t="s">
        <v>310</v>
      </c>
      <c r="K508" s="13">
        <f>INDEX(Foderstater!$X$64:$AL$101,MATCH(F508,Foderstater!$U$64:$U$101,0),MATCH(A508&amp;C508&amp;E508,Foderstater!$X$63:$AL$63,0))</f>
        <v>0</v>
      </c>
      <c r="L508" s="158"/>
      <c r="M508" s="158"/>
    </row>
    <row r="509" spans="1:14" x14ac:dyDescent="0.25">
      <c r="A509" t="s">
        <v>2</v>
      </c>
      <c r="D509" s="110"/>
      <c r="E509" s="110" t="s">
        <v>34</v>
      </c>
      <c r="F509" t="str">
        <f>Foderstater!U$68</f>
        <v>straw</v>
      </c>
      <c r="J509" t="s">
        <v>310</v>
      </c>
      <c r="K509" s="13">
        <f>INDEX(Foderstater!$X$64:$AL$101,MATCH(F509,Foderstater!$U$64:$U$101,0),MATCH(A509&amp;C509&amp;E509,Foderstater!$X$63:$AL$63,0))</f>
        <v>0</v>
      </c>
      <c r="L509" s="158"/>
      <c r="M509" s="158"/>
    </row>
    <row r="510" spans="1:14" x14ac:dyDescent="0.25">
      <c r="A510" t="s">
        <v>2</v>
      </c>
      <c r="D510" s="110"/>
      <c r="E510" s="110" t="s">
        <v>34</v>
      </c>
      <c r="F510" t="str">
        <f>Foderstater!U$69</f>
        <v>grazing</v>
      </c>
      <c r="J510" t="s">
        <v>310</v>
      </c>
      <c r="K510" s="13">
        <f>INDEX(Foderstater!$X$64:$AL$101,MATCH(F510,Foderstater!$U$64:$U$101,0),MATCH(A510&amp;C510&amp;E510,Foderstater!$X$63:$AL$63,0))</f>
        <v>0</v>
      </c>
      <c r="L510" s="158"/>
      <c r="M510" s="158"/>
    </row>
    <row r="511" spans="1:14" x14ac:dyDescent="0.25">
      <c r="A511" t="s">
        <v>2</v>
      </c>
      <c r="D511" s="110"/>
      <c r="E511" s="110" t="s">
        <v>34</v>
      </c>
      <c r="F511" t="str">
        <f>Foderstater!U$70</f>
        <v>wheat</v>
      </c>
      <c r="J511" t="s">
        <v>310</v>
      </c>
      <c r="K511" s="13">
        <f>INDEX(Foderstater!$X$64:$AL$101,MATCH(F511,Foderstater!$U$64:$U$101,0),MATCH(A511&amp;C511&amp;E511,Foderstater!$X$63:$AL$63,0))</f>
        <v>7.597272449205918</v>
      </c>
      <c r="L511" s="158"/>
      <c r="M511" s="158"/>
    </row>
    <row r="512" spans="1:14" x14ac:dyDescent="0.25">
      <c r="A512" t="s">
        <v>2</v>
      </c>
      <c r="D512" s="110"/>
      <c r="E512" s="110" t="s">
        <v>34</v>
      </c>
      <c r="F512" t="str">
        <f>Foderstater!U$71</f>
        <v>barley</v>
      </c>
      <c r="J512" t="s">
        <v>310</v>
      </c>
      <c r="K512" s="13">
        <f>INDEX(Foderstater!$X$64:$AL$101,MATCH(F512,Foderstater!$U$64:$U$101,0),MATCH(A512&amp;C512&amp;E512,Foderstater!$X$63:$AL$63,0))</f>
        <v>13.591338970365666</v>
      </c>
      <c r="L512" s="158"/>
      <c r="M512" s="158"/>
    </row>
    <row r="513" spans="1:13" x14ac:dyDescent="0.25">
      <c r="A513" t="s">
        <v>2</v>
      </c>
      <c r="D513" s="110"/>
      <c r="E513" s="110" t="s">
        <v>34</v>
      </c>
      <c r="F513" t="str">
        <f>Foderstater!U$72</f>
        <v>oats</v>
      </c>
      <c r="J513" t="s">
        <v>310</v>
      </c>
      <c r="K513" s="13">
        <f>INDEX(Foderstater!$X$64:$AL$101,MATCH(F513,Foderstater!$U$64:$U$101,0),MATCH(A513&amp;C513&amp;E513,Foderstater!$X$63:$AL$63,0))</f>
        <v>3.1053519716836115</v>
      </c>
      <c r="L513" s="158"/>
      <c r="M513" s="158"/>
    </row>
    <row r="514" spans="1:13" x14ac:dyDescent="0.25">
      <c r="A514" t="s">
        <v>2</v>
      </c>
      <c r="D514" s="110"/>
      <c r="E514" s="110" t="s">
        <v>34</v>
      </c>
      <c r="F514" t="str">
        <f>Foderstater!U$73</f>
        <v>triticale</v>
      </c>
      <c r="J514" t="s">
        <v>310</v>
      </c>
      <c r="K514" s="13">
        <f>INDEX(Foderstater!$X$64:$AL$101,MATCH(F514,Foderstater!$U$64:$U$101,0),MATCH(A514&amp;C514&amp;E514,Foderstater!$X$63:$AL$63,0))</f>
        <v>4.6592010515149394</v>
      </c>
      <c r="L514" s="158"/>
      <c r="M514" s="158"/>
    </row>
    <row r="515" spans="1:13" x14ac:dyDescent="0.25">
      <c r="A515" t="s">
        <v>2</v>
      </c>
      <c r="D515" s="110"/>
      <c r="E515" s="110" t="s">
        <v>34</v>
      </c>
      <c r="F515" t="str">
        <f>Foderstater!U$74</f>
        <v>rye</v>
      </c>
      <c r="J515" t="s">
        <v>310</v>
      </c>
      <c r="K515" s="13">
        <f>INDEX(Foderstater!$X$64:$AL$101,MATCH(F515,Foderstater!$U$64:$U$101,0),MATCH(A515&amp;C515&amp;E515,Foderstater!$X$63:$AL$63,0))</f>
        <v>1.6945393347994473E-2</v>
      </c>
      <c r="L515" s="158"/>
      <c r="M515" s="158"/>
    </row>
    <row r="516" spans="1:13" x14ac:dyDescent="0.25">
      <c r="A516" t="s">
        <v>2</v>
      </c>
      <c r="D516" s="110"/>
      <c r="E516" s="110" t="s">
        <v>34</v>
      </c>
      <c r="F516" t="str">
        <f>Foderstater!U$75</f>
        <v>maize</v>
      </c>
      <c r="J516" t="s">
        <v>310</v>
      </c>
      <c r="K516" s="13">
        <f>INDEX(Foderstater!$X$64:$AL$101,MATCH(F516,Foderstater!$U$64:$U$101,0),MATCH(A516&amp;C516&amp;E516,Foderstater!$X$63:$AL$63,0))</f>
        <v>7.3621265603978081E-2</v>
      </c>
      <c r="L516" s="158"/>
      <c r="M516" s="158"/>
    </row>
    <row r="517" spans="1:13" x14ac:dyDescent="0.25">
      <c r="A517" t="s">
        <v>2</v>
      </c>
      <c r="D517" s="110"/>
      <c r="E517" s="110" t="s">
        <v>34</v>
      </c>
      <c r="F517" t="str">
        <f>Foderstater!U$76</f>
        <v>peas</v>
      </c>
      <c r="J517" t="s">
        <v>310</v>
      </c>
      <c r="K517" s="13">
        <f>INDEX(Foderstater!$X$64:$AL$101,MATCH(F517,Foderstater!$U$64:$U$101,0),MATCH(A517&amp;C517&amp;E517,Foderstater!$X$63:$AL$63,0))</f>
        <v>1.3794797059070938</v>
      </c>
      <c r="L517" s="158"/>
      <c r="M517" s="158"/>
    </row>
    <row r="518" spans="1:13" x14ac:dyDescent="0.25">
      <c r="A518" t="s">
        <v>2</v>
      </c>
      <c r="D518" s="110"/>
      <c r="E518" s="110" t="s">
        <v>34</v>
      </c>
      <c r="F518" t="str">
        <f>Foderstater!U$77</f>
        <v>broad beans</v>
      </c>
      <c r="J518" t="s">
        <v>310</v>
      </c>
      <c r="K518" s="13">
        <f>INDEX(Foderstater!$X$64:$AL$101,MATCH(F518,Foderstater!$U$64:$U$101,0),MATCH(A518&amp;C518&amp;E518,Foderstater!$X$63:$AL$63,0))</f>
        <v>1.338045660068792</v>
      </c>
      <c r="L518" s="158"/>
      <c r="M518" s="158"/>
    </row>
    <row r="519" spans="1:13" x14ac:dyDescent="0.25">
      <c r="A519" t="s">
        <v>2</v>
      </c>
      <c r="D519" s="110"/>
      <c r="E519" s="110" t="s">
        <v>34</v>
      </c>
      <c r="F519" t="str">
        <f>Foderstater!U$78</f>
        <v>rapeseed</v>
      </c>
      <c r="J519" t="s">
        <v>310</v>
      </c>
      <c r="K519" s="13">
        <f>INDEX(Foderstater!$X$64:$AL$101,MATCH(F519,Foderstater!$U$64:$U$101,0),MATCH(A519&amp;C519&amp;E519,Foderstater!$X$63:$AL$63,0))</f>
        <v>0.62589622193442496</v>
      </c>
      <c r="L519" s="158"/>
      <c r="M519" s="158"/>
    </row>
    <row r="520" spans="1:13" x14ac:dyDescent="0.25">
      <c r="A520" t="s">
        <v>2</v>
      </c>
      <c r="D520" s="110"/>
      <c r="E520" s="110" t="s">
        <v>34</v>
      </c>
      <c r="F520" t="str">
        <f>Foderstater!U$79</f>
        <v>linseed</v>
      </c>
      <c r="J520" t="s">
        <v>310</v>
      </c>
      <c r="K520" s="13">
        <f>INDEX(Foderstater!$X$64:$AL$101,MATCH(F520,Foderstater!$U$64:$U$101,0),MATCH(A520&amp;C520&amp;E520,Foderstater!$X$63:$AL$63,0))</f>
        <v>4.6169784916729557E-4</v>
      </c>
      <c r="L520" s="158"/>
      <c r="M520" s="158"/>
    </row>
    <row r="521" spans="1:13" x14ac:dyDescent="0.25">
      <c r="A521" t="s">
        <v>2</v>
      </c>
      <c r="D521" s="110"/>
      <c r="E521" s="110" t="s">
        <v>34</v>
      </c>
      <c r="F521" t="str">
        <f>Foderstater!U$80</f>
        <v>vegetable oils</v>
      </c>
      <c r="J521" t="s">
        <v>310</v>
      </c>
      <c r="K521" s="13">
        <f>INDEX(Foderstater!$X$64:$AL$101,MATCH(F521,Foderstater!$U$64:$U$101,0),MATCH(A521&amp;C521&amp;E521,Foderstater!$X$63:$AL$63,0))</f>
        <v>1.1919625156141098E-2</v>
      </c>
      <c r="L521" s="158"/>
      <c r="M521" s="158"/>
    </row>
    <row r="522" spans="1:13" x14ac:dyDescent="0.25">
      <c r="A522" t="s">
        <v>2</v>
      </c>
      <c r="D522" s="110"/>
      <c r="E522" s="110" t="s">
        <v>34</v>
      </c>
      <c r="F522" t="str">
        <f>Foderstater!U$81</f>
        <v>soybeans</v>
      </c>
      <c r="J522" t="s">
        <v>310</v>
      </c>
      <c r="K522" s="13">
        <f>INDEX(Foderstater!$X$64:$AL$101,MATCH(F522,Foderstater!$U$64:$U$101,0),MATCH(A522&amp;C522&amp;E522,Foderstater!$X$63:$AL$63,0))</f>
        <v>1.1648220822436621E-2</v>
      </c>
      <c r="L522" s="158"/>
      <c r="M522" s="158"/>
    </row>
    <row r="523" spans="1:13" x14ac:dyDescent="0.25">
      <c r="A523" t="s">
        <v>2</v>
      </c>
      <c r="D523" s="110"/>
      <c r="E523" s="110" t="s">
        <v>34</v>
      </c>
      <c r="F523" t="str">
        <f>Foderstater!U$82</f>
        <v>soybean meal</v>
      </c>
      <c r="J523" t="s">
        <v>310</v>
      </c>
      <c r="K523" s="13">
        <f>INDEX(Foderstater!$X$64:$AL$101,MATCH(F523,Foderstater!$U$64:$U$101,0),MATCH(A523&amp;C523&amp;E523,Foderstater!$X$63:$AL$63,0))</f>
        <v>0.10640217529505162</v>
      </c>
      <c r="L523" s="158"/>
      <c r="M523" s="158"/>
    </row>
    <row r="524" spans="1:13" x14ac:dyDescent="0.25">
      <c r="A524" t="s">
        <v>2</v>
      </c>
      <c r="D524" s="110"/>
      <c r="E524" s="110" t="s">
        <v>34</v>
      </c>
      <c r="F524" t="str">
        <f>Foderstater!U$83</f>
        <v>soybean protein concentrate</v>
      </c>
      <c r="J524" t="s">
        <v>310</v>
      </c>
      <c r="K524" s="13">
        <f>INDEX(Foderstater!$X$64:$AL$101,MATCH(F524,Foderstater!$U$64:$U$101,0),MATCH(A524&amp;C524&amp;E524,Foderstater!$X$63:$AL$63,0))</f>
        <v>0</v>
      </c>
      <c r="L524" s="158"/>
      <c r="M524" s="158"/>
    </row>
    <row r="525" spans="1:13" x14ac:dyDescent="0.25">
      <c r="A525" t="s">
        <v>2</v>
      </c>
      <c r="B525" t="s">
        <v>1</v>
      </c>
      <c r="D525" s="110"/>
      <c r="E525" s="110" t="s">
        <v>34</v>
      </c>
      <c r="F525" t="str">
        <f>Foderstater!U$84</f>
        <v>rapeseed meal</v>
      </c>
      <c r="J525" t="s">
        <v>310</v>
      </c>
      <c r="K525" s="13">
        <f>INDEX(Foderstater!$X$64:$AL$101,MATCH(F525,Foderstater!$U$64:$U$101,0),MATCH(A525&amp;C525&amp;E525,Foderstater!$X$63:$AL$63,0))</f>
        <v>0.82181132264384626</v>
      </c>
      <c r="L525" s="158"/>
      <c r="M525" s="158"/>
    </row>
    <row r="526" spans="1:13" x14ac:dyDescent="0.25">
      <c r="A526" s="268" t="str">
        <f>A525</f>
        <v>dairy</v>
      </c>
      <c r="B526" s="268" t="s">
        <v>5</v>
      </c>
      <c r="D526" s="268"/>
      <c r="E526" s="268" t="str">
        <f>E525</f>
        <v>bulls</v>
      </c>
      <c r="F526" s="268" t="s">
        <v>609</v>
      </c>
      <c r="J526" s="268" t="str">
        <f>J525</f>
        <v>share_in_ration</v>
      </c>
      <c r="K526" s="269">
        <f>K525</f>
        <v>0.82181132264384626</v>
      </c>
      <c r="L526" s="158"/>
      <c r="M526" s="268" t="s">
        <v>610</v>
      </c>
    </row>
    <row r="527" spans="1:13" x14ac:dyDescent="0.25">
      <c r="A527" t="s">
        <v>2</v>
      </c>
      <c r="D527" s="110"/>
      <c r="E527" s="110" t="s">
        <v>34</v>
      </c>
      <c r="F527" t="str">
        <f>Foderstater!U$85</f>
        <v>sunflower seed meal</v>
      </c>
      <c r="J527" t="s">
        <v>310</v>
      </c>
      <c r="K527" s="13">
        <f>INDEX(Foderstater!$X$64:$AL$101,MATCH(F527,Foderstater!$U$64:$U$101,0),MATCH(A527&amp;C527&amp;E527,Foderstater!$X$63:$AL$63,0))</f>
        <v>1.1352527964985915E-2</v>
      </c>
    </row>
    <row r="528" spans="1:13" x14ac:dyDescent="0.25">
      <c r="A528" t="s">
        <v>2</v>
      </c>
      <c r="D528" s="110"/>
      <c r="E528" s="110" t="s">
        <v>34</v>
      </c>
      <c r="F528" t="str">
        <f>Foderstater!U$86</f>
        <v>palm kernel expeller</v>
      </c>
      <c r="J528" t="s">
        <v>310</v>
      </c>
      <c r="K528" s="13">
        <f>INDEX(Foderstater!$X$64:$AL$101,MATCH(F528,Foderstater!$U$64:$U$101,0),MATCH(A528&amp;C528&amp;E528,Foderstater!$X$63:$AL$63,0))</f>
        <v>7.3767808934127849E-2</v>
      </c>
    </row>
    <row r="529" spans="1:13" x14ac:dyDescent="0.25">
      <c r="A529" t="s">
        <v>2</v>
      </c>
      <c r="D529" s="110"/>
      <c r="E529" s="110" t="s">
        <v>34</v>
      </c>
      <c r="F529" t="str">
        <f>Foderstater!U$87</f>
        <v>luzern meal</v>
      </c>
      <c r="J529" t="s">
        <v>310</v>
      </c>
      <c r="K529" s="13">
        <f>INDEX(Foderstater!$X$64:$AL$101,MATCH(F529,Foderstater!$U$64:$U$101,0),MATCH(A529&amp;C529&amp;E529,Foderstater!$X$63:$AL$63,0))</f>
        <v>2.2439357471687103E-2</v>
      </c>
    </row>
    <row r="530" spans="1:13" x14ac:dyDescent="0.25">
      <c r="A530" t="s">
        <v>2</v>
      </c>
      <c r="D530" s="110"/>
      <c r="E530" s="110" t="s">
        <v>34</v>
      </c>
      <c r="F530" t="str">
        <f>Foderstater!U$88</f>
        <v>wheat bran</v>
      </c>
      <c r="J530" t="s">
        <v>310</v>
      </c>
      <c r="K530" s="13">
        <f>INDEX(Foderstater!$X$64:$AL$101,MATCH(F530,Foderstater!$U$64:$U$101,0),MATCH(A530&amp;C530&amp;E530,Foderstater!$X$63:$AL$63,0))</f>
        <v>0.24447981374416825</v>
      </c>
    </row>
    <row r="531" spans="1:13" x14ac:dyDescent="0.25">
      <c r="A531" t="s">
        <v>2</v>
      </c>
      <c r="D531" s="110"/>
      <c r="E531" s="110" t="s">
        <v>34</v>
      </c>
      <c r="F531" t="str">
        <f>Foderstater!U$89</f>
        <v>wheat bran, fine</v>
      </c>
      <c r="J531" t="s">
        <v>310</v>
      </c>
      <c r="K531" s="13">
        <f>INDEX(Foderstater!$X$64:$AL$101,MATCH(F531,Foderstater!$U$64:$U$101,0),MATCH(A531&amp;C531&amp;E531,Foderstater!$X$63:$AL$63,0))</f>
        <v>6.4088803948898038E-4</v>
      </c>
    </row>
    <row r="532" spans="1:13" x14ac:dyDescent="0.25">
      <c r="A532" t="s">
        <v>2</v>
      </c>
      <c r="D532" s="110"/>
      <c r="E532" s="110" t="s">
        <v>34</v>
      </c>
      <c r="F532" t="str">
        <f>Foderstater!U$90</f>
        <v>oat hulls</v>
      </c>
      <c r="J532" t="s">
        <v>310</v>
      </c>
      <c r="K532" s="13">
        <f>INDEX(Foderstater!$X$64:$AL$101,MATCH(F532,Foderstater!$U$64:$U$101,0),MATCH(A532&amp;C532&amp;E532,Foderstater!$X$63:$AL$63,0))</f>
        <v>2.9445216367475335E-2</v>
      </c>
    </row>
    <row r="533" spans="1:13" x14ac:dyDescent="0.25">
      <c r="A533" t="s">
        <v>2</v>
      </c>
      <c r="D533" s="110"/>
      <c r="E533" s="110" t="s">
        <v>34</v>
      </c>
      <c r="F533" t="str">
        <f>Foderstater!U$91</f>
        <v>oat bran</v>
      </c>
      <c r="J533" t="s">
        <v>310</v>
      </c>
      <c r="K533" s="13">
        <f>INDEX(Foderstater!$X$64:$AL$101,MATCH(F533,Foderstater!$U$64:$U$101,0),MATCH(A533&amp;C533&amp;E533,Foderstater!$X$63:$AL$63,0))</f>
        <v>3.3232252147418258E-3</v>
      </c>
    </row>
    <row r="534" spans="1:13" x14ac:dyDescent="0.25">
      <c r="A534" t="s">
        <v>2</v>
      </c>
      <c r="D534" s="110"/>
      <c r="E534" s="110" t="s">
        <v>34</v>
      </c>
      <c r="F534" t="str">
        <f>Foderstater!U$92</f>
        <v>rye bran</v>
      </c>
      <c r="J534" t="s">
        <v>310</v>
      </c>
      <c r="K534" s="13">
        <f>INDEX(Foderstater!$X$64:$AL$101,MATCH(F534,Foderstater!$U$64:$U$101,0),MATCH(A534&amp;C534&amp;E534,Foderstater!$X$63:$AL$63,0))</f>
        <v>1.0248862586385358E-2</v>
      </c>
    </row>
    <row r="535" spans="1:13" x14ac:dyDescent="0.25">
      <c r="A535" t="s">
        <v>2</v>
      </c>
      <c r="D535" s="110"/>
      <c r="E535" s="110" t="s">
        <v>34</v>
      </c>
      <c r="F535" t="str">
        <f>Foderstater!U$93</f>
        <v>wheat distillers grain, dry</v>
      </c>
      <c r="J535" t="s">
        <v>310</v>
      </c>
      <c r="K535" s="13">
        <f>INDEX(Foderstater!$X$64:$AL$101,MATCH(F535,Foderstater!$U$64:$U$101,0),MATCH(A535&amp;C535&amp;E535,Foderstater!$X$63:$AL$63,0))</f>
        <v>0.2627925741632976</v>
      </c>
    </row>
    <row r="536" spans="1:13" x14ac:dyDescent="0.25">
      <c r="A536" t="s">
        <v>2</v>
      </c>
      <c r="D536" s="110"/>
      <c r="E536" s="110" t="s">
        <v>34</v>
      </c>
      <c r="F536" t="str">
        <f>Foderstater!U$94</f>
        <v>barley brewers grain</v>
      </c>
      <c r="J536" t="s">
        <v>310</v>
      </c>
      <c r="K536" s="13">
        <f>INDEX(Foderstater!$X$64:$AL$101,MATCH(F536,Foderstater!$U$64:$U$101,0),MATCH(A536&amp;C536&amp;E536,Foderstater!$X$63:$AL$63,0))</f>
        <v>0</v>
      </c>
    </row>
    <row r="537" spans="1:13" x14ac:dyDescent="0.25">
      <c r="A537" t="s">
        <v>2</v>
      </c>
      <c r="D537" s="110"/>
      <c r="E537" s="110" t="s">
        <v>34</v>
      </c>
      <c r="F537" t="str">
        <f>Foderstater!U$95</f>
        <v>maize gluten meal</v>
      </c>
      <c r="J537" t="s">
        <v>310</v>
      </c>
      <c r="K537" s="13">
        <f>INDEX(Foderstater!$X$64:$AL$101,MATCH(F537,Foderstater!$U$64:$U$101,0),MATCH(A537&amp;C537&amp;E537,Foderstater!$X$63:$AL$63,0))</f>
        <v>7.940766583314298E-3</v>
      </c>
    </row>
    <row r="538" spans="1:13" x14ac:dyDescent="0.25">
      <c r="A538" t="s">
        <v>2</v>
      </c>
      <c r="D538" s="110"/>
      <c r="E538" s="110" t="s">
        <v>34</v>
      </c>
      <c r="F538" t="str">
        <f>Foderstater!U$96</f>
        <v>sugar beet molasses</v>
      </c>
      <c r="J538" t="s">
        <v>310</v>
      </c>
      <c r="K538" s="13">
        <f>INDEX(Foderstater!$X$64:$AL$101,MATCH(F538,Foderstater!$U$64:$U$101,0),MATCH(A538&amp;C538&amp;E538,Foderstater!$X$63:$AL$63,0))</f>
        <v>8.8058285727207697E-2</v>
      </c>
    </row>
    <row r="539" spans="1:13" x14ac:dyDescent="0.25">
      <c r="A539" t="s">
        <v>2</v>
      </c>
      <c r="D539" s="110"/>
      <c r="E539" s="110" t="s">
        <v>34</v>
      </c>
      <c r="F539" t="str">
        <f>Foderstater!U$97</f>
        <v>sugar beet pulp</v>
      </c>
      <c r="J539" t="s">
        <v>310</v>
      </c>
      <c r="K539" s="13">
        <f>INDEX(Foderstater!$X$64:$AL$101,MATCH(F539,Foderstater!$U$64:$U$101,0),MATCH(A539&amp;C539&amp;E539,Foderstater!$X$63:$AL$63,0))</f>
        <v>0.16991542733333806</v>
      </c>
    </row>
    <row r="540" spans="1:13" x14ac:dyDescent="0.25">
      <c r="A540" t="s">
        <v>2</v>
      </c>
      <c r="D540" s="110"/>
      <c r="E540" s="110" t="s">
        <v>34</v>
      </c>
      <c r="F540" t="str">
        <f>Foderstater!U$98</f>
        <v>whey powder</v>
      </c>
      <c r="J540" t="s">
        <v>310</v>
      </c>
      <c r="K540" s="13">
        <f>INDEX(Foderstater!$X$64:$AL$101,MATCH(F540,Foderstater!$U$64:$U$101,0),MATCH(A540&amp;C540&amp;E540,Foderstater!$X$63:$AL$63,0))</f>
        <v>0</v>
      </c>
    </row>
    <row r="541" spans="1:13" x14ac:dyDescent="0.25">
      <c r="A541" t="s">
        <v>2</v>
      </c>
      <c r="D541" s="110"/>
      <c r="E541" s="110" t="s">
        <v>34</v>
      </c>
      <c r="F541" t="str">
        <f>Foderstater!U$99</f>
        <v>potatoe protein</v>
      </c>
      <c r="J541" t="s">
        <v>310</v>
      </c>
      <c r="K541" s="13">
        <f>INDEX(Foderstater!$X$64:$AL$101,MATCH(F541,Foderstater!$U$64:$U$101,0),MATCH(A541&amp;C541&amp;E541,Foderstater!$X$63:$AL$63,0))</f>
        <v>7.7791643684418715E-4</v>
      </c>
    </row>
    <row r="542" spans="1:13" x14ac:dyDescent="0.25">
      <c r="A542" t="s">
        <v>2</v>
      </c>
      <c r="D542" s="110"/>
      <c r="E542" s="110" t="s">
        <v>34</v>
      </c>
      <c r="F542" t="str">
        <f>Foderstater!U$100</f>
        <v>fish meal</v>
      </c>
      <c r="J542" t="s">
        <v>310</v>
      </c>
      <c r="K542" s="13">
        <f>INDEX(Foderstater!$X$64:$AL$101,MATCH(F542,Foderstater!$U$64:$U$101,0),MATCH(A542&amp;C542&amp;E542,Foderstater!$X$63:$AL$63,0))</f>
        <v>0</v>
      </c>
    </row>
    <row r="543" spans="1:13" x14ac:dyDescent="0.25">
      <c r="A543" t="s">
        <v>2</v>
      </c>
      <c r="D543" s="110"/>
      <c r="E543" s="110" t="s">
        <v>34</v>
      </c>
      <c r="F543" t="str">
        <f>Foderstater!U$101</f>
        <v>minerals</v>
      </c>
      <c r="J543" t="s">
        <v>310</v>
      </c>
      <c r="K543" s="13">
        <f>INDEX(Foderstater!$X$64:$AL$101,MATCH(F543,Foderstater!$U$64:$U$101,0),MATCH(A543&amp;C543&amp;E543,Foderstater!$X$63:$AL$63,0))</f>
        <v>0.66953698870828937</v>
      </c>
    </row>
    <row r="544" spans="1:13" x14ac:dyDescent="0.25">
      <c r="A544" s="158"/>
      <c r="B544" s="158"/>
      <c r="C544" s="158"/>
      <c r="D544" s="158"/>
      <c r="E544" s="158"/>
      <c r="J544" s="158"/>
      <c r="K544" s="158"/>
      <c r="L544" s="158"/>
      <c r="M544" s="158"/>
    </row>
    <row r="545" spans="1:13" x14ac:dyDescent="0.25">
      <c r="A545" s="158" t="s">
        <v>2</v>
      </c>
      <c r="B545" s="158" t="s">
        <v>1</v>
      </c>
      <c r="C545" s="158" t="s">
        <v>407</v>
      </c>
      <c r="D545" s="158"/>
      <c r="E545" s="158" t="s">
        <v>34</v>
      </c>
      <c r="J545" s="158" t="s">
        <v>310</v>
      </c>
      <c r="K545" s="158">
        <v>0</v>
      </c>
      <c r="L545" s="158"/>
      <c r="M545" s="158" t="s">
        <v>401</v>
      </c>
    </row>
    <row r="546" spans="1:13" x14ac:dyDescent="0.25">
      <c r="A546" t="s">
        <v>2</v>
      </c>
      <c r="B546" t="s">
        <v>1</v>
      </c>
      <c r="C546" t="s">
        <v>407</v>
      </c>
      <c r="D546" s="110"/>
      <c r="E546" s="110" t="s">
        <v>34</v>
      </c>
      <c r="F546" t="str">
        <f>Foderstater!U$64</f>
        <v>ley silage, 1st cut</v>
      </c>
      <c r="J546" t="s">
        <v>310</v>
      </c>
      <c r="K546" s="13">
        <f>INDEX(Foderstater!$X$64:$AL$101,MATCH(F546,Foderstater!$U$64:$U$101,0),MATCH(A546&amp;C546&amp;E546,Foderstater!$X$63:$AL$63,0))</f>
        <v>56.668911580722877</v>
      </c>
      <c r="L546" s="158"/>
      <c r="M546" s="158"/>
    </row>
    <row r="547" spans="1:13" x14ac:dyDescent="0.25">
      <c r="A547" t="s">
        <v>2</v>
      </c>
      <c r="B547" t="s">
        <v>1</v>
      </c>
      <c r="C547" t="s">
        <v>407</v>
      </c>
      <c r="D547" s="110"/>
      <c r="E547" s="110" t="s">
        <v>34</v>
      </c>
      <c r="F547" t="str">
        <f>Foderstater!U$65</f>
        <v>ley silage, regrowth</v>
      </c>
      <c r="J547" t="s">
        <v>310</v>
      </c>
      <c r="K547" s="13">
        <f>INDEX(Foderstater!$X$64:$AL$101,MATCH(F547,Foderstater!$U$64:$U$101,0),MATCH(A547&amp;C547&amp;E547,Foderstater!$X$63:$AL$63,0))</f>
        <v>0</v>
      </c>
      <c r="L547" s="158"/>
      <c r="M547" s="158"/>
    </row>
    <row r="548" spans="1:13" x14ac:dyDescent="0.25">
      <c r="A548" t="s">
        <v>2</v>
      </c>
      <c r="B548" t="s">
        <v>1</v>
      </c>
      <c r="C548" t="s">
        <v>407</v>
      </c>
      <c r="D548" s="110"/>
      <c r="E548" s="110" t="s">
        <v>34</v>
      </c>
      <c r="F548" t="str">
        <f>Foderstater!U$66</f>
        <v>other silage</v>
      </c>
      <c r="J548" t="s">
        <v>310</v>
      </c>
      <c r="K548" s="13">
        <f>INDEX(Foderstater!$X$64:$AL$101,MATCH(F548,Foderstater!$U$64:$U$101,0),MATCH(A548&amp;C548&amp;E548,Foderstater!$X$63:$AL$63,0))</f>
        <v>0</v>
      </c>
      <c r="L548" s="158"/>
      <c r="M548" s="158"/>
    </row>
    <row r="549" spans="1:13" x14ac:dyDescent="0.25">
      <c r="A549" t="s">
        <v>2</v>
      </c>
      <c r="B549" t="s">
        <v>1</v>
      </c>
      <c r="C549" t="s">
        <v>407</v>
      </c>
      <c r="D549" s="110"/>
      <c r="E549" s="110" t="s">
        <v>34</v>
      </c>
      <c r="F549" t="str">
        <f>Foderstater!U$67</f>
        <v>maize silage</v>
      </c>
      <c r="J549" t="s">
        <v>310</v>
      </c>
      <c r="K549" s="13">
        <f>INDEX(Foderstater!$X$64:$AL$101,MATCH(F549,Foderstater!$U$64:$U$101,0),MATCH(A549&amp;C549&amp;E549,Foderstater!$X$63:$AL$63,0))</f>
        <v>13.226790925693349</v>
      </c>
      <c r="L549" s="158"/>
      <c r="M549" s="158"/>
    </row>
    <row r="550" spans="1:13" x14ac:dyDescent="0.25">
      <c r="A550" t="s">
        <v>2</v>
      </c>
      <c r="B550" t="s">
        <v>1</v>
      </c>
      <c r="C550" t="s">
        <v>407</v>
      </c>
      <c r="D550" s="110"/>
      <c r="E550" s="110" t="s">
        <v>34</v>
      </c>
      <c r="F550" t="str">
        <f>Foderstater!U$68</f>
        <v>straw</v>
      </c>
      <c r="J550" t="s">
        <v>310</v>
      </c>
      <c r="K550" s="13">
        <f>INDEX(Foderstater!$X$64:$AL$101,MATCH(F550,Foderstater!$U$64:$U$101,0),MATCH(A550&amp;C550&amp;E550,Foderstater!$X$63:$AL$63,0))</f>
        <v>0</v>
      </c>
      <c r="L550" s="158"/>
      <c r="M550" s="158"/>
    </row>
    <row r="551" spans="1:13" x14ac:dyDescent="0.25">
      <c r="A551" t="s">
        <v>2</v>
      </c>
      <c r="B551" t="s">
        <v>1</v>
      </c>
      <c r="C551" t="s">
        <v>407</v>
      </c>
      <c r="D551" s="110"/>
      <c r="E551" s="110" t="s">
        <v>34</v>
      </c>
      <c r="F551" t="str">
        <f>Foderstater!U$69</f>
        <v>grazing</v>
      </c>
      <c r="J551" t="s">
        <v>310</v>
      </c>
      <c r="K551" s="13">
        <f>INDEX(Foderstater!$X$64:$AL$101,MATCH(F551,Foderstater!$U$64:$U$101,0),MATCH(A551&amp;C551&amp;E551,Foderstater!$X$63:$AL$63,0))</f>
        <v>0</v>
      </c>
      <c r="L551" s="158"/>
      <c r="M551" s="158"/>
    </row>
    <row r="552" spans="1:13" x14ac:dyDescent="0.25">
      <c r="A552" t="s">
        <v>2</v>
      </c>
      <c r="B552" t="s">
        <v>1</v>
      </c>
      <c r="C552" t="s">
        <v>407</v>
      </c>
      <c r="D552" s="110"/>
      <c r="E552" s="110" t="s">
        <v>34</v>
      </c>
      <c r="F552" t="str">
        <f>Foderstater!U$70</f>
        <v>wheat</v>
      </c>
      <c r="J552" t="s">
        <v>310</v>
      </c>
      <c r="K552" s="13">
        <f>INDEX(Foderstater!$X$64:$AL$101,MATCH(F552,Foderstater!$U$64:$U$101,0),MATCH(A552&amp;C552&amp;E552,Foderstater!$X$63:$AL$63,0))</f>
        <v>6.3615760162052783</v>
      </c>
      <c r="L552" s="158"/>
      <c r="M552" s="158"/>
    </row>
    <row r="553" spans="1:13" x14ac:dyDescent="0.25">
      <c r="A553" t="s">
        <v>2</v>
      </c>
      <c r="B553" t="s">
        <v>1</v>
      </c>
      <c r="C553" t="s">
        <v>407</v>
      </c>
      <c r="D553" s="110"/>
      <c r="E553" s="110" t="s">
        <v>34</v>
      </c>
      <c r="F553" t="str">
        <f>Foderstater!U$71</f>
        <v>barley</v>
      </c>
      <c r="J553" t="s">
        <v>310</v>
      </c>
      <c r="K553" s="13">
        <f>INDEX(Foderstater!$X$64:$AL$101,MATCH(F553,Foderstater!$U$64:$U$101,0),MATCH(A553&amp;C553&amp;E553,Foderstater!$X$63:$AL$63,0))</f>
        <v>12.896189928777954</v>
      </c>
      <c r="L553" s="158"/>
      <c r="M553" s="158"/>
    </row>
    <row r="554" spans="1:13" x14ac:dyDescent="0.25">
      <c r="A554" t="s">
        <v>2</v>
      </c>
      <c r="B554" t="s">
        <v>1</v>
      </c>
      <c r="C554" t="s">
        <v>407</v>
      </c>
      <c r="D554" s="110"/>
      <c r="E554" s="110" t="s">
        <v>34</v>
      </c>
      <c r="F554" t="str">
        <f>Foderstater!U$72</f>
        <v>oats</v>
      </c>
      <c r="J554" t="s">
        <v>310</v>
      </c>
      <c r="K554" s="13">
        <f>INDEX(Foderstater!$X$64:$AL$101,MATCH(F554,Foderstater!$U$64:$U$101,0),MATCH(A554&amp;C554&amp;E554,Foderstater!$X$63:$AL$63,0))</f>
        <v>2.68903535703005</v>
      </c>
      <c r="L554" s="158"/>
      <c r="M554" s="158"/>
    </row>
    <row r="555" spans="1:13" x14ac:dyDescent="0.25">
      <c r="A555" t="s">
        <v>2</v>
      </c>
      <c r="B555" t="s">
        <v>1</v>
      </c>
      <c r="C555" t="s">
        <v>407</v>
      </c>
      <c r="D555" s="110"/>
      <c r="E555" s="110" t="s">
        <v>34</v>
      </c>
      <c r="F555" t="str">
        <f>Foderstater!U$73</f>
        <v>triticale</v>
      </c>
      <c r="J555" t="s">
        <v>310</v>
      </c>
      <c r="K555" s="13">
        <f>INDEX(Foderstater!$X$64:$AL$101,MATCH(F555,Foderstater!$U$64:$U$101,0),MATCH(A555&amp;C555&amp;E555,Foderstater!$X$63:$AL$63,0))</f>
        <v>4.9410321920692617</v>
      </c>
      <c r="L555" s="158"/>
      <c r="M555" s="158"/>
    </row>
    <row r="556" spans="1:13" x14ac:dyDescent="0.25">
      <c r="A556" t="s">
        <v>2</v>
      </c>
      <c r="B556" t="s">
        <v>1</v>
      </c>
      <c r="C556" t="s">
        <v>407</v>
      </c>
      <c r="D556" s="110"/>
      <c r="E556" s="110" t="s">
        <v>34</v>
      </c>
      <c r="F556" t="str">
        <f>Foderstater!U$74</f>
        <v>rye</v>
      </c>
      <c r="J556" t="s">
        <v>310</v>
      </c>
      <c r="K556" s="13">
        <f>INDEX(Foderstater!$X$64:$AL$101,MATCH(F556,Foderstater!$U$64:$U$101,0),MATCH(A556&amp;C556&amp;E556,Foderstater!$X$63:$AL$63,0))</f>
        <v>1.3668084713412143E-3</v>
      </c>
      <c r="L556" s="158"/>
      <c r="M556" s="158"/>
    </row>
    <row r="557" spans="1:13" x14ac:dyDescent="0.25">
      <c r="A557" t="s">
        <v>2</v>
      </c>
      <c r="B557" t="s">
        <v>1</v>
      </c>
      <c r="C557" t="s">
        <v>407</v>
      </c>
      <c r="D557" s="110"/>
      <c r="E557" s="110" t="s">
        <v>34</v>
      </c>
      <c r="F557" t="str">
        <f>Foderstater!U$75</f>
        <v>maize</v>
      </c>
      <c r="J557" t="s">
        <v>310</v>
      </c>
      <c r="K557" s="13">
        <f>INDEX(Foderstater!$X$64:$AL$101,MATCH(F557,Foderstater!$U$64:$U$101,0),MATCH(A557&amp;C557&amp;E557,Foderstater!$X$63:$AL$63,0))</f>
        <v>4.8255588786707375E-2</v>
      </c>
      <c r="L557" s="158"/>
      <c r="M557" s="158"/>
    </row>
    <row r="558" spans="1:13" x14ac:dyDescent="0.25">
      <c r="A558" t="s">
        <v>2</v>
      </c>
      <c r="B558" t="s">
        <v>1</v>
      </c>
      <c r="C558" t="s">
        <v>407</v>
      </c>
      <c r="D558" s="110"/>
      <c r="E558" s="110" t="s">
        <v>34</v>
      </c>
      <c r="F558" t="str">
        <f>Foderstater!U$76</f>
        <v>peas</v>
      </c>
      <c r="J558" t="s">
        <v>310</v>
      </c>
      <c r="K558" s="13">
        <f>INDEX(Foderstater!$X$64:$AL$101,MATCH(F558,Foderstater!$U$64:$U$101,0),MATCH(A558&amp;C558&amp;E558,Foderstater!$X$63:$AL$63,0))</f>
        <v>0.43086866195785822</v>
      </c>
      <c r="L558" s="158"/>
      <c r="M558" s="158"/>
    </row>
    <row r="559" spans="1:13" x14ac:dyDescent="0.25">
      <c r="A559" t="s">
        <v>2</v>
      </c>
      <c r="B559" t="s">
        <v>1</v>
      </c>
      <c r="C559" t="s">
        <v>407</v>
      </c>
      <c r="D559" s="110"/>
      <c r="E559" s="110" t="s">
        <v>34</v>
      </c>
      <c r="F559" t="str">
        <f>Foderstater!U$77</f>
        <v>broad beans</v>
      </c>
      <c r="J559" t="s">
        <v>310</v>
      </c>
      <c r="K559" s="13">
        <f>INDEX(Foderstater!$X$64:$AL$101,MATCH(F559,Foderstater!$U$64:$U$101,0),MATCH(A559&amp;C559&amp;E559,Foderstater!$X$63:$AL$63,0))</f>
        <v>0.42774566708132739</v>
      </c>
      <c r="L559" s="158"/>
      <c r="M559" s="158"/>
    </row>
    <row r="560" spans="1:13" x14ac:dyDescent="0.25">
      <c r="A560" t="s">
        <v>2</v>
      </c>
      <c r="B560" t="s">
        <v>1</v>
      </c>
      <c r="C560" t="s">
        <v>407</v>
      </c>
      <c r="D560" s="110"/>
      <c r="E560" s="110" t="s">
        <v>34</v>
      </c>
      <c r="F560" t="str">
        <f>Foderstater!U$78</f>
        <v>rapeseed</v>
      </c>
      <c r="J560" t="s">
        <v>310</v>
      </c>
      <c r="K560" s="13">
        <f>INDEX(Foderstater!$X$64:$AL$101,MATCH(F560,Foderstater!$U$64:$U$101,0),MATCH(A560&amp;C560&amp;E560,Foderstater!$X$63:$AL$63,0))</f>
        <v>0.41024818659446338</v>
      </c>
      <c r="L560" s="158"/>
      <c r="M560" s="158"/>
    </row>
    <row r="561" spans="1:13" x14ac:dyDescent="0.25">
      <c r="A561" t="s">
        <v>2</v>
      </c>
      <c r="B561" t="s">
        <v>1</v>
      </c>
      <c r="C561" t="s">
        <v>407</v>
      </c>
      <c r="D561" s="110"/>
      <c r="E561" s="110" t="s">
        <v>34</v>
      </c>
      <c r="F561" t="str">
        <f>Foderstater!U$79</f>
        <v>linseed</v>
      </c>
      <c r="J561" t="s">
        <v>310</v>
      </c>
      <c r="K561" s="13">
        <f>INDEX(Foderstater!$X$64:$AL$101,MATCH(F561,Foderstater!$U$64:$U$101,0),MATCH(A561&amp;C561&amp;E561,Foderstater!$X$63:$AL$63,0))</f>
        <v>3.0262318054907772E-4</v>
      </c>
      <c r="L561" s="158"/>
      <c r="M561" s="158"/>
    </row>
    <row r="562" spans="1:13" x14ac:dyDescent="0.25">
      <c r="A562" t="s">
        <v>2</v>
      </c>
      <c r="B562" t="s">
        <v>1</v>
      </c>
      <c r="C562" t="s">
        <v>407</v>
      </c>
      <c r="D562" s="110"/>
      <c r="E562" s="110" t="s">
        <v>34</v>
      </c>
      <c r="F562" t="str">
        <f>Foderstater!U$80</f>
        <v>vegetable oils</v>
      </c>
      <c r="J562" t="s">
        <v>310</v>
      </c>
      <c r="K562" s="13">
        <f>INDEX(Foderstater!$X$64:$AL$101,MATCH(F562,Foderstater!$U$64:$U$101,0),MATCH(A562&amp;C562&amp;E562,Foderstater!$X$63:$AL$63,0))</f>
        <v>7.8128041579790201E-3</v>
      </c>
      <c r="L562" s="158"/>
      <c r="M562" s="158"/>
    </row>
    <row r="563" spans="1:13" x14ac:dyDescent="0.25">
      <c r="A563" t="s">
        <v>2</v>
      </c>
      <c r="B563" t="s">
        <v>1</v>
      </c>
      <c r="C563" t="s">
        <v>407</v>
      </c>
      <c r="D563" s="110"/>
      <c r="E563" s="110" t="s">
        <v>34</v>
      </c>
      <c r="F563" t="str">
        <f>Foderstater!U$81</f>
        <v>soybeans</v>
      </c>
      <c r="J563" t="s">
        <v>310</v>
      </c>
      <c r="K563" s="13">
        <f>INDEX(Foderstater!$X$64:$AL$101,MATCH(F563,Foderstater!$U$64:$U$101,0),MATCH(A563&amp;C563&amp;E563,Foderstater!$X$63:$AL$63,0))</f>
        <v>7.6349102327017302E-3</v>
      </c>
      <c r="L563" s="158"/>
      <c r="M563" s="158"/>
    </row>
    <row r="564" spans="1:13" x14ac:dyDescent="0.25">
      <c r="A564" t="s">
        <v>2</v>
      </c>
      <c r="B564" t="s">
        <v>1</v>
      </c>
      <c r="C564" t="s">
        <v>407</v>
      </c>
      <c r="D564" s="110"/>
      <c r="E564" s="110" t="s">
        <v>34</v>
      </c>
      <c r="F564" t="str">
        <f>Foderstater!U$82</f>
        <v>soybean meal</v>
      </c>
      <c r="J564" t="s">
        <v>310</v>
      </c>
      <c r="K564" s="13">
        <f>INDEX(Foderstater!$X$64:$AL$101,MATCH(F564,Foderstater!$U$64:$U$101,0),MATCH(A564&amp;C564&amp;E564,Foderstater!$X$63:$AL$63,0))</f>
        <v>6.9742072143510206E-2</v>
      </c>
      <c r="L564" s="158"/>
      <c r="M564" s="158"/>
    </row>
    <row r="565" spans="1:13" x14ac:dyDescent="0.25">
      <c r="A565" t="s">
        <v>2</v>
      </c>
      <c r="B565" t="s">
        <v>1</v>
      </c>
      <c r="C565" t="s">
        <v>407</v>
      </c>
      <c r="D565" s="110"/>
      <c r="E565" s="110" t="s">
        <v>34</v>
      </c>
      <c r="F565" t="str">
        <f>Foderstater!U$83</f>
        <v>soybean protein concentrate</v>
      </c>
      <c r="J565" t="s">
        <v>310</v>
      </c>
      <c r="K565" s="13">
        <f>INDEX(Foderstater!$X$64:$AL$101,MATCH(F565,Foderstater!$U$64:$U$101,0),MATCH(A565&amp;C565&amp;E565,Foderstater!$X$63:$AL$63,0))</f>
        <v>0</v>
      </c>
      <c r="L565" s="158"/>
      <c r="M565" s="158"/>
    </row>
    <row r="566" spans="1:13" x14ac:dyDescent="0.25">
      <c r="A566" t="s">
        <v>2</v>
      </c>
      <c r="B566" t="s">
        <v>1</v>
      </c>
      <c r="C566" t="s">
        <v>407</v>
      </c>
      <c r="D566" s="110"/>
      <c r="E566" s="110" t="s">
        <v>34</v>
      </c>
      <c r="F566" t="str">
        <f>Foderstater!U$84</f>
        <v>rapeseed meal</v>
      </c>
      <c r="J566" t="s">
        <v>310</v>
      </c>
      <c r="K566" s="13">
        <f>INDEX(Foderstater!$X$64:$AL$101,MATCH(F566,Foderstater!$U$64:$U$101,0),MATCH(A566&amp;C566&amp;E566,Foderstater!$X$63:$AL$63,0))</f>
        <v>0.53866215040479692</v>
      </c>
      <c r="L566" s="158"/>
      <c r="M566" s="158"/>
    </row>
    <row r="567" spans="1:13" x14ac:dyDescent="0.25">
      <c r="A567" t="s">
        <v>2</v>
      </c>
      <c r="B567" t="s">
        <v>1</v>
      </c>
      <c r="C567" t="s">
        <v>407</v>
      </c>
      <c r="D567" s="110"/>
      <c r="E567" s="110" t="s">
        <v>34</v>
      </c>
      <c r="F567" t="str">
        <f>Foderstater!U$85</f>
        <v>sunflower seed meal</v>
      </c>
      <c r="J567" t="s">
        <v>310</v>
      </c>
      <c r="K567" s="13">
        <f>INDEX(Foderstater!$X$64:$AL$101,MATCH(F567,Foderstater!$U$64:$U$101,0),MATCH(A567&amp;C567&amp;E567,Foderstater!$X$63:$AL$63,0))</f>
        <v>7.441096219600373E-3</v>
      </c>
    </row>
    <row r="568" spans="1:13" x14ac:dyDescent="0.25">
      <c r="A568" t="s">
        <v>2</v>
      </c>
      <c r="B568" t="s">
        <v>1</v>
      </c>
      <c r="C568" t="s">
        <v>407</v>
      </c>
      <c r="D568" s="110"/>
      <c r="E568" s="110" t="s">
        <v>34</v>
      </c>
      <c r="F568" t="str">
        <f>Foderstater!U$86</f>
        <v>palm kernel expeller</v>
      </c>
      <c r="J568" t="s">
        <v>310</v>
      </c>
      <c r="K568" s="13">
        <f>INDEX(Foderstater!$X$64:$AL$101,MATCH(F568,Foderstater!$U$64:$U$101,0),MATCH(A568&amp;C568&amp;E568,Foderstater!$X$63:$AL$63,0))</f>
        <v>4.8351641667911303E-2</v>
      </c>
    </row>
    <row r="569" spans="1:13" x14ac:dyDescent="0.25">
      <c r="A569" t="s">
        <v>2</v>
      </c>
      <c r="B569" t="s">
        <v>1</v>
      </c>
      <c r="C569" t="s">
        <v>407</v>
      </c>
      <c r="D569" s="110"/>
      <c r="E569" s="110" t="s">
        <v>34</v>
      </c>
      <c r="F569" t="str">
        <f>Foderstater!U$87</f>
        <v>luzern meal</v>
      </c>
      <c r="J569" t="s">
        <v>310</v>
      </c>
      <c r="K569" s="13">
        <f>INDEX(Foderstater!$X$64:$AL$101,MATCH(F569,Foderstater!$U$64:$U$101,0),MATCH(A569&amp;C569&amp;E569,Foderstater!$X$63:$AL$63,0))</f>
        <v>1.4708038471063079E-2</v>
      </c>
    </row>
    <row r="570" spans="1:13" x14ac:dyDescent="0.25">
      <c r="A570" t="s">
        <v>2</v>
      </c>
      <c r="B570" t="s">
        <v>1</v>
      </c>
      <c r="C570" t="s">
        <v>407</v>
      </c>
      <c r="D570" s="110"/>
      <c r="E570" s="110" t="s">
        <v>34</v>
      </c>
      <c r="F570" t="str">
        <f>Foderstater!U$88</f>
        <v>wheat bran</v>
      </c>
      <c r="J570" t="s">
        <v>310</v>
      </c>
      <c r="K570" s="13">
        <f>INDEX(Foderstater!$X$64:$AL$101,MATCH(F570,Foderstater!$U$64:$U$101,0),MATCH(A570&amp;C570&amp;E570,Foderstater!$X$63:$AL$63,0))</f>
        <v>0.16024605474932127</v>
      </c>
    </row>
    <row r="571" spans="1:13" x14ac:dyDescent="0.25">
      <c r="A571" t="s">
        <v>2</v>
      </c>
      <c r="B571" t="s">
        <v>1</v>
      </c>
      <c r="C571" t="s">
        <v>407</v>
      </c>
      <c r="D571" s="110"/>
      <c r="E571" s="110" t="s">
        <v>34</v>
      </c>
      <c r="F571" t="str">
        <f>Foderstater!U$89</f>
        <v>wheat bran, fine</v>
      </c>
      <c r="J571" t="s">
        <v>310</v>
      </c>
      <c r="K571" s="13">
        <f>INDEX(Foderstater!$X$64:$AL$101,MATCH(F571,Foderstater!$U$64:$U$101,0),MATCH(A571&amp;C571&amp;E571,Foderstater!$X$63:$AL$63,0))</f>
        <v>4.2007468138700703E-4</v>
      </c>
    </row>
    <row r="572" spans="1:13" x14ac:dyDescent="0.25">
      <c r="A572" t="s">
        <v>2</v>
      </c>
      <c r="B572" t="s">
        <v>1</v>
      </c>
      <c r="C572" t="s">
        <v>407</v>
      </c>
      <c r="D572" s="110"/>
      <c r="E572" s="110" t="s">
        <v>34</v>
      </c>
      <c r="F572" t="str">
        <f>Foderstater!U$90</f>
        <v>oat hulls</v>
      </c>
      <c r="J572" t="s">
        <v>310</v>
      </c>
      <c r="K572" s="13">
        <f>INDEX(Foderstater!$X$64:$AL$101,MATCH(F572,Foderstater!$U$64:$U$101,0),MATCH(A572&amp;C572&amp;E572,Foderstater!$X$63:$AL$63,0))</f>
        <v>1.9300079142998843E-2</v>
      </c>
    </row>
    <row r="573" spans="1:13" x14ac:dyDescent="0.25">
      <c r="A573" t="s">
        <v>2</v>
      </c>
      <c r="B573" t="s">
        <v>1</v>
      </c>
      <c r="C573" t="s">
        <v>407</v>
      </c>
      <c r="D573" s="110"/>
      <c r="E573" s="110" t="s">
        <v>34</v>
      </c>
      <c r="F573" t="str">
        <f>Foderstater!U$91</f>
        <v>oat bran</v>
      </c>
      <c r="J573" t="s">
        <v>310</v>
      </c>
      <c r="K573" s="13">
        <f>INDEX(Foderstater!$X$64:$AL$101,MATCH(F573,Foderstater!$U$64:$U$101,0),MATCH(A573&amp;C573&amp;E573,Foderstater!$X$63:$AL$63,0))</f>
        <v>2.178231902054312E-3</v>
      </c>
    </row>
    <row r="574" spans="1:13" x14ac:dyDescent="0.25">
      <c r="A574" t="s">
        <v>2</v>
      </c>
      <c r="B574" t="s">
        <v>1</v>
      </c>
      <c r="C574" t="s">
        <v>407</v>
      </c>
      <c r="D574" s="110"/>
      <c r="E574" s="110" t="s">
        <v>34</v>
      </c>
      <c r="F574" t="str">
        <f>Foderstater!U$92</f>
        <v>rye bran</v>
      </c>
      <c r="J574" t="s">
        <v>310</v>
      </c>
      <c r="K574" s="13">
        <f>INDEX(Foderstater!$X$64:$AL$101,MATCH(F574,Foderstater!$U$64:$U$101,0),MATCH(A574&amp;C574&amp;E574,Foderstater!$X$63:$AL$63,0))</f>
        <v>6.7176907982054394E-3</v>
      </c>
    </row>
    <row r="575" spans="1:13" x14ac:dyDescent="0.25">
      <c r="A575" t="s">
        <v>2</v>
      </c>
      <c r="B575" t="s">
        <v>1</v>
      </c>
      <c r="C575" t="s">
        <v>407</v>
      </c>
      <c r="D575" s="110"/>
      <c r="E575" s="110" t="s">
        <v>34</v>
      </c>
      <c r="F575" t="str">
        <f>Foderstater!U$93</f>
        <v>wheat distillers grain, dry</v>
      </c>
      <c r="J575" t="s">
        <v>310</v>
      </c>
      <c r="K575" s="13">
        <f>INDEX(Foderstater!$X$64:$AL$101,MATCH(F575,Foderstater!$U$64:$U$101,0),MATCH(A575&amp;C575&amp;E575,Foderstater!$X$63:$AL$63,0))</f>
        <v>0.17224928546106344</v>
      </c>
    </row>
    <row r="576" spans="1:13" x14ac:dyDescent="0.25">
      <c r="A576" t="s">
        <v>2</v>
      </c>
      <c r="B576" t="s">
        <v>1</v>
      </c>
      <c r="C576" t="s">
        <v>407</v>
      </c>
      <c r="D576" s="110"/>
      <c r="E576" s="110" t="s">
        <v>34</v>
      </c>
      <c r="F576" t="str">
        <f>Foderstater!U$94</f>
        <v>barley brewers grain</v>
      </c>
      <c r="J576" t="s">
        <v>310</v>
      </c>
      <c r="K576" s="13">
        <f>INDEX(Foderstater!$X$64:$AL$101,MATCH(F576,Foderstater!$U$64:$U$101,0),MATCH(A576&amp;C576&amp;E576,Foderstater!$X$63:$AL$63,0))</f>
        <v>0</v>
      </c>
    </row>
    <row r="577" spans="1:14" x14ac:dyDescent="0.25">
      <c r="A577" t="s">
        <v>2</v>
      </c>
      <c r="B577" t="s">
        <v>1</v>
      </c>
      <c r="C577" t="s">
        <v>407</v>
      </c>
      <c r="D577" s="110"/>
      <c r="E577" s="110" t="s">
        <v>34</v>
      </c>
      <c r="F577" t="str">
        <f>Foderstater!U$95</f>
        <v>maize gluten meal</v>
      </c>
      <c r="J577" t="s">
        <v>310</v>
      </c>
      <c r="K577" s="13">
        <f>INDEX(Foderstater!$X$64:$AL$101,MATCH(F577,Foderstater!$U$64:$U$101,0),MATCH(A577&amp;C577&amp;E577,Foderstater!$X$63:$AL$63,0))</f>
        <v>5.2048326492629164E-3</v>
      </c>
    </row>
    <row r="578" spans="1:14" x14ac:dyDescent="0.25">
      <c r="A578" t="s">
        <v>2</v>
      </c>
      <c r="B578" t="s">
        <v>1</v>
      </c>
      <c r="C578" t="s">
        <v>407</v>
      </c>
      <c r="D578" s="110"/>
      <c r="E578" s="110" t="s">
        <v>34</v>
      </c>
      <c r="F578" t="str">
        <f>Foderstater!U$96</f>
        <v>sugar beet molasses</v>
      </c>
      <c r="J578" t="s">
        <v>310</v>
      </c>
      <c r="K578" s="13">
        <f>INDEX(Foderstater!$X$64:$AL$101,MATCH(F578,Foderstater!$U$64:$U$101,0),MATCH(A578&amp;C578&amp;E578,Foderstater!$X$63:$AL$63,0))</f>
        <v>5.7718437607039867E-2</v>
      </c>
    </row>
    <row r="579" spans="1:14" x14ac:dyDescent="0.25">
      <c r="A579" t="s">
        <v>2</v>
      </c>
      <c r="B579" t="s">
        <v>1</v>
      </c>
      <c r="C579" t="s">
        <v>407</v>
      </c>
      <c r="D579" s="110"/>
      <c r="E579" s="110" t="s">
        <v>34</v>
      </c>
      <c r="F579" t="str">
        <f>Foderstater!U$97</f>
        <v>sugar beet pulp</v>
      </c>
      <c r="J579" t="s">
        <v>310</v>
      </c>
      <c r="K579" s="13">
        <f>INDEX(Foderstater!$X$64:$AL$101,MATCH(F579,Foderstater!$U$64:$U$101,0),MATCH(A579&amp;C579&amp;E579,Foderstater!$X$63:$AL$63,0))</f>
        <v>0.11137229063707067</v>
      </c>
    </row>
    <row r="580" spans="1:14" x14ac:dyDescent="0.25">
      <c r="A580" t="s">
        <v>2</v>
      </c>
      <c r="B580" t="s">
        <v>1</v>
      </c>
      <c r="C580" t="s">
        <v>407</v>
      </c>
      <c r="D580" s="110"/>
      <c r="E580" s="110" t="s">
        <v>34</v>
      </c>
      <c r="F580" t="str">
        <f>Foderstater!U$98</f>
        <v>whey powder</v>
      </c>
      <c r="J580" t="s">
        <v>310</v>
      </c>
      <c r="K580" s="13">
        <f>INDEX(Foderstater!$X$64:$AL$101,MATCH(F580,Foderstater!$U$64:$U$101,0),MATCH(A580&amp;C580&amp;E580,Foderstater!$X$63:$AL$63,0))</f>
        <v>0</v>
      </c>
    </row>
    <row r="581" spans="1:14" x14ac:dyDescent="0.25">
      <c r="A581" t="s">
        <v>2</v>
      </c>
      <c r="B581" t="s">
        <v>1</v>
      </c>
      <c r="C581" t="s">
        <v>407</v>
      </c>
      <c r="D581" s="110"/>
      <c r="E581" s="110" t="s">
        <v>34</v>
      </c>
      <c r="F581" t="str">
        <f>Foderstater!U$99</f>
        <v>potatoe protein</v>
      </c>
      <c r="J581" t="s">
        <v>310</v>
      </c>
      <c r="K581" s="13">
        <f>INDEX(Foderstater!$X$64:$AL$101,MATCH(F581,Foderstater!$U$64:$U$101,0),MATCH(A581&amp;C581&amp;E581,Foderstater!$X$63:$AL$63,0))</f>
        <v>5.0989093136080688E-4</v>
      </c>
    </row>
    <row r="582" spans="1:14" x14ac:dyDescent="0.25">
      <c r="A582" t="s">
        <v>2</v>
      </c>
      <c r="B582" t="s">
        <v>1</v>
      </c>
      <c r="C582" t="s">
        <v>407</v>
      </c>
      <c r="D582" s="110"/>
      <c r="E582" s="110" t="s">
        <v>34</v>
      </c>
      <c r="F582" t="str">
        <f>Foderstater!U$100</f>
        <v>fish meal</v>
      </c>
      <c r="J582" t="s">
        <v>310</v>
      </c>
      <c r="K582" s="13">
        <f>INDEX(Foderstater!$X$64:$AL$101,MATCH(F582,Foderstater!$U$64:$U$101,0),MATCH(A582&amp;C582&amp;E582,Foderstater!$X$63:$AL$63,0))</f>
        <v>0</v>
      </c>
    </row>
    <row r="583" spans="1:14" x14ac:dyDescent="0.25">
      <c r="A583" t="s">
        <v>2</v>
      </c>
      <c r="B583" t="s">
        <v>1</v>
      </c>
      <c r="C583" t="s">
        <v>407</v>
      </c>
      <c r="D583" s="110"/>
      <c r="E583" s="110" t="s">
        <v>34</v>
      </c>
      <c r="F583" t="str">
        <f>Foderstater!U$101</f>
        <v>minerals</v>
      </c>
      <c r="J583" t="s">
        <v>310</v>
      </c>
      <c r="K583" s="13">
        <f>INDEX(Foderstater!$X$64:$AL$101,MATCH(F583,Foderstater!$U$64:$U$101,0),MATCH(A583&amp;C583&amp;E583,Foderstater!$X$63:$AL$63,0))</f>
        <v>0.66740688157168271</v>
      </c>
    </row>
    <row r="585" spans="1:14" x14ac:dyDescent="0.25">
      <c r="A585" s="100" t="s">
        <v>291</v>
      </c>
      <c r="B585" s="100"/>
      <c r="C585" s="100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 spans="1:14" x14ac:dyDescent="0.25">
      <c r="A586" s="91" t="s">
        <v>63</v>
      </c>
      <c r="B586" s="162"/>
      <c r="C586" s="162"/>
      <c r="D586" s="90"/>
      <c r="E586" s="90"/>
      <c r="F586" s="90"/>
      <c r="G586" s="90"/>
      <c r="H586" s="90"/>
      <c r="I586" s="90"/>
      <c r="J586" s="90"/>
      <c r="K586" s="163"/>
      <c r="L586" s="90"/>
      <c r="M586" s="90"/>
      <c r="N586" s="90"/>
    </row>
    <row r="587" spans="1:14" x14ac:dyDescent="0.25">
      <c r="A587" s="158" t="s">
        <v>37</v>
      </c>
      <c r="B587" s="158"/>
      <c r="C587" s="158"/>
      <c r="D587" s="158"/>
      <c r="E587" s="158" t="s">
        <v>18</v>
      </c>
      <c r="J587" s="158" t="s">
        <v>310</v>
      </c>
      <c r="K587" s="158">
        <v>0</v>
      </c>
      <c r="L587" s="158"/>
      <c r="M587" s="158" t="s">
        <v>401</v>
      </c>
    </row>
    <row r="588" spans="1:14" x14ac:dyDescent="0.25">
      <c r="A588" t="s">
        <v>37</v>
      </c>
      <c r="E588" t="s">
        <v>18</v>
      </c>
      <c r="F588" t="str">
        <f>Foderstater!U$64</f>
        <v>ley silage, 1st cut</v>
      </c>
      <c r="J588" t="s">
        <v>310</v>
      </c>
      <c r="K588" s="13">
        <f>INDEX(Foderstater!$X$64:$AL$101,MATCH(F588,Foderstater!$U$64:$U$101,0),MATCH(A588&amp;C588&amp;E588,Foderstater!$X$63:$AL$63,0))</f>
        <v>0</v>
      </c>
      <c r="L588" s="158"/>
      <c r="M588" s="158"/>
    </row>
    <row r="589" spans="1:14" x14ac:dyDescent="0.25">
      <c r="A589" t="s">
        <v>37</v>
      </c>
      <c r="E589" t="s">
        <v>18</v>
      </c>
      <c r="F589" t="str">
        <f>Foderstater!U$65</f>
        <v>ley silage, regrowth</v>
      </c>
      <c r="J589" t="s">
        <v>310</v>
      </c>
      <c r="K589" s="13">
        <f>INDEX(Foderstater!$X$64:$AL$101,MATCH(F589,Foderstater!$U$64:$U$101,0),MATCH(A589&amp;C589&amp;E589,Foderstater!$X$63:$AL$63,0))</f>
        <v>19.638470390756044</v>
      </c>
      <c r="L589" s="158"/>
      <c r="M589" s="158"/>
    </row>
    <row r="590" spans="1:14" x14ac:dyDescent="0.25">
      <c r="A590" t="s">
        <v>37</v>
      </c>
      <c r="E590" t="s">
        <v>18</v>
      </c>
      <c r="F590" t="str">
        <f>Foderstater!U$66</f>
        <v>other silage</v>
      </c>
      <c r="J590" t="s">
        <v>310</v>
      </c>
      <c r="K590" s="13">
        <f>INDEX(Foderstater!$X$64:$AL$101,MATCH(F590,Foderstater!$U$64:$U$101,0),MATCH(A590&amp;C590&amp;E590,Foderstater!$X$63:$AL$63,0))</f>
        <v>20.321711421281208</v>
      </c>
      <c r="L590" s="158"/>
      <c r="M590" s="158"/>
    </row>
    <row r="591" spans="1:14" x14ac:dyDescent="0.25">
      <c r="A591" t="s">
        <v>37</v>
      </c>
      <c r="E591" t="s">
        <v>18</v>
      </c>
      <c r="F591" t="str">
        <f>Foderstater!U$67</f>
        <v>maize silage</v>
      </c>
      <c r="J591" t="s">
        <v>310</v>
      </c>
      <c r="K591" s="13">
        <f>INDEX(Foderstater!$X$64:$AL$101,MATCH(F591,Foderstater!$U$64:$U$101,0),MATCH(A591&amp;C591&amp;E591,Foderstater!$X$63:$AL$63,0))</f>
        <v>0</v>
      </c>
      <c r="L591" s="158"/>
      <c r="M591" s="158"/>
    </row>
    <row r="592" spans="1:14" x14ac:dyDescent="0.25">
      <c r="A592" t="s">
        <v>37</v>
      </c>
      <c r="E592" t="s">
        <v>18</v>
      </c>
      <c r="F592" t="str">
        <f>Foderstater!U$68</f>
        <v>straw</v>
      </c>
      <c r="J592" t="s">
        <v>310</v>
      </c>
      <c r="K592" s="13">
        <f>INDEX(Foderstater!$X$64:$AL$101,MATCH(F592,Foderstater!$U$64:$U$101,0),MATCH(A592&amp;C592&amp;E592,Foderstater!$X$63:$AL$63,0))</f>
        <v>1.1297448457337229</v>
      </c>
      <c r="L592" s="158"/>
      <c r="M592" s="158"/>
    </row>
    <row r="593" spans="1:13" x14ac:dyDescent="0.25">
      <c r="A593" t="s">
        <v>37</v>
      </c>
      <c r="E593" t="s">
        <v>18</v>
      </c>
      <c r="F593" t="str">
        <f>Foderstater!U$69</f>
        <v>grazing</v>
      </c>
      <c r="J593" t="s">
        <v>310</v>
      </c>
      <c r="K593" s="13">
        <f>INDEX(Foderstater!$X$64:$AL$101,MATCH(F593,Foderstater!$U$64:$U$101,0),MATCH(A593&amp;C593&amp;E593,Foderstater!$X$63:$AL$63,0))</f>
        <v>58.050981669759572</v>
      </c>
      <c r="L593" s="158"/>
      <c r="M593" s="158"/>
    </row>
    <row r="594" spans="1:13" x14ac:dyDescent="0.25">
      <c r="A594" t="s">
        <v>37</v>
      </c>
      <c r="E594" t="s">
        <v>18</v>
      </c>
      <c r="F594" t="str">
        <f>Foderstater!U$70</f>
        <v>wheat</v>
      </c>
      <c r="J594" t="s">
        <v>310</v>
      </c>
      <c r="K594" s="13">
        <f>INDEX(Foderstater!$X$64:$AL$101,MATCH(F594,Foderstater!$U$64:$U$101,0),MATCH(A594&amp;C594&amp;E594,Foderstater!$X$63:$AL$63,0))</f>
        <v>0</v>
      </c>
      <c r="L594" s="158"/>
      <c r="M594" s="158"/>
    </row>
    <row r="595" spans="1:13" x14ac:dyDescent="0.25">
      <c r="A595" t="s">
        <v>37</v>
      </c>
      <c r="E595" t="s">
        <v>18</v>
      </c>
      <c r="F595" t="str">
        <f>Foderstater!U$71</f>
        <v>barley</v>
      </c>
      <c r="J595" t="s">
        <v>310</v>
      </c>
      <c r="K595" s="13">
        <f>INDEX(Foderstater!$X$64:$AL$101,MATCH(F595,Foderstater!$U$64:$U$101,0),MATCH(A595&amp;C595&amp;E595,Foderstater!$X$63:$AL$63,0))</f>
        <v>0</v>
      </c>
      <c r="L595" s="158"/>
      <c r="M595" s="158"/>
    </row>
    <row r="596" spans="1:13" x14ac:dyDescent="0.25">
      <c r="A596" t="s">
        <v>37</v>
      </c>
      <c r="E596" t="s">
        <v>18</v>
      </c>
      <c r="F596" t="str">
        <f>Foderstater!U$72</f>
        <v>oats</v>
      </c>
      <c r="J596" t="s">
        <v>310</v>
      </c>
      <c r="K596" s="13">
        <f>INDEX(Foderstater!$X$64:$AL$101,MATCH(F596,Foderstater!$U$64:$U$101,0),MATCH(A596&amp;C596&amp;E596,Foderstater!$X$63:$AL$63,0))</f>
        <v>0</v>
      </c>
      <c r="L596" s="158"/>
      <c r="M596" s="158"/>
    </row>
    <row r="597" spans="1:13" x14ac:dyDescent="0.25">
      <c r="A597" t="s">
        <v>37</v>
      </c>
      <c r="E597" t="s">
        <v>18</v>
      </c>
      <c r="F597" t="str">
        <f>Foderstater!U$73</f>
        <v>triticale</v>
      </c>
      <c r="J597" t="s">
        <v>310</v>
      </c>
      <c r="K597" s="13">
        <f>INDEX(Foderstater!$X$64:$AL$101,MATCH(F597,Foderstater!$U$64:$U$101,0),MATCH(A597&amp;C597&amp;E597,Foderstater!$X$63:$AL$63,0))</f>
        <v>0</v>
      </c>
      <c r="L597" s="158"/>
      <c r="M597" s="158"/>
    </row>
    <row r="598" spans="1:13" x14ac:dyDescent="0.25">
      <c r="A598" t="s">
        <v>37</v>
      </c>
      <c r="E598" t="s">
        <v>18</v>
      </c>
      <c r="F598" t="str">
        <f>Foderstater!U$74</f>
        <v>rye</v>
      </c>
      <c r="J598" t="s">
        <v>310</v>
      </c>
      <c r="K598" s="13">
        <f>INDEX(Foderstater!$X$64:$AL$101,MATCH(F598,Foderstater!$U$64:$U$101,0),MATCH(A598&amp;C598&amp;E598,Foderstater!$X$63:$AL$63,0))</f>
        <v>0</v>
      </c>
      <c r="L598" s="158"/>
      <c r="M598" s="158"/>
    </row>
    <row r="599" spans="1:13" x14ac:dyDescent="0.25">
      <c r="A599" t="s">
        <v>37</v>
      </c>
      <c r="E599" t="s">
        <v>18</v>
      </c>
      <c r="F599" t="str">
        <f>Foderstater!U$75</f>
        <v>maize</v>
      </c>
      <c r="J599" t="s">
        <v>310</v>
      </c>
      <c r="K599" s="13">
        <f>INDEX(Foderstater!$X$64:$AL$101,MATCH(F599,Foderstater!$U$64:$U$101,0),MATCH(A599&amp;C599&amp;E599,Foderstater!$X$63:$AL$63,0))</f>
        <v>0</v>
      </c>
      <c r="L599" s="158"/>
      <c r="M599" s="158"/>
    </row>
    <row r="600" spans="1:13" x14ac:dyDescent="0.25">
      <c r="A600" t="s">
        <v>37</v>
      </c>
      <c r="E600" t="s">
        <v>18</v>
      </c>
      <c r="F600" t="str">
        <f>Foderstater!U$76</f>
        <v>peas</v>
      </c>
      <c r="J600" t="s">
        <v>310</v>
      </c>
      <c r="K600" s="13">
        <f>INDEX(Foderstater!$X$64:$AL$101,MATCH(F600,Foderstater!$U$64:$U$101,0),MATCH(A600&amp;C600&amp;E600,Foderstater!$X$63:$AL$63,0))</f>
        <v>0</v>
      </c>
      <c r="L600" s="158"/>
      <c r="M600" s="158"/>
    </row>
    <row r="601" spans="1:13" x14ac:dyDescent="0.25">
      <c r="A601" t="s">
        <v>37</v>
      </c>
      <c r="E601" t="s">
        <v>18</v>
      </c>
      <c r="F601" t="str">
        <f>Foderstater!U$77</f>
        <v>broad beans</v>
      </c>
      <c r="J601" t="s">
        <v>310</v>
      </c>
      <c r="K601" s="13">
        <f>INDEX(Foderstater!$X$64:$AL$101,MATCH(F601,Foderstater!$U$64:$U$101,0),MATCH(A601&amp;C601&amp;E601,Foderstater!$X$63:$AL$63,0))</f>
        <v>0</v>
      </c>
      <c r="L601" s="158"/>
      <c r="M601" s="158"/>
    </row>
    <row r="602" spans="1:13" x14ac:dyDescent="0.25">
      <c r="A602" t="s">
        <v>37</v>
      </c>
      <c r="E602" t="s">
        <v>18</v>
      </c>
      <c r="F602" t="str">
        <f>Foderstater!U$78</f>
        <v>rapeseed</v>
      </c>
      <c r="J602" t="s">
        <v>310</v>
      </c>
      <c r="K602" s="13">
        <f>INDEX(Foderstater!$X$64:$AL$101,MATCH(F602,Foderstater!$U$64:$U$101,0),MATCH(A602&amp;C602&amp;E602,Foderstater!$X$63:$AL$63,0))</f>
        <v>0</v>
      </c>
      <c r="L602" s="158"/>
      <c r="M602" s="158"/>
    </row>
    <row r="603" spans="1:13" x14ac:dyDescent="0.25">
      <c r="A603" t="s">
        <v>37</v>
      </c>
      <c r="E603" t="s">
        <v>18</v>
      </c>
      <c r="F603" t="str">
        <f>Foderstater!U$79</f>
        <v>linseed</v>
      </c>
      <c r="J603" t="s">
        <v>310</v>
      </c>
      <c r="K603" s="13">
        <f>INDEX(Foderstater!$X$64:$AL$101,MATCH(F603,Foderstater!$U$64:$U$101,0),MATCH(A603&amp;C603&amp;E603,Foderstater!$X$63:$AL$63,0))</f>
        <v>0</v>
      </c>
      <c r="L603" s="158"/>
      <c r="M603" s="158"/>
    </row>
    <row r="604" spans="1:13" x14ac:dyDescent="0.25">
      <c r="A604" t="s">
        <v>37</v>
      </c>
      <c r="E604" t="s">
        <v>18</v>
      </c>
      <c r="F604" t="str">
        <f>Foderstater!U$80</f>
        <v>vegetable oils</v>
      </c>
      <c r="J604" t="s">
        <v>310</v>
      </c>
      <c r="K604" s="13">
        <f>INDEX(Foderstater!$X$64:$AL$101,MATCH(F604,Foderstater!$U$64:$U$101,0),MATCH(A604&amp;C604&amp;E604,Foderstater!$X$63:$AL$63,0))</f>
        <v>0</v>
      </c>
      <c r="L604" s="158"/>
      <c r="M604" s="158"/>
    </row>
    <row r="605" spans="1:13" x14ac:dyDescent="0.25">
      <c r="A605" t="s">
        <v>37</v>
      </c>
      <c r="E605" t="s">
        <v>18</v>
      </c>
      <c r="F605" t="str">
        <f>Foderstater!U$81</f>
        <v>soybeans</v>
      </c>
      <c r="J605" t="s">
        <v>310</v>
      </c>
      <c r="K605" s="13">
        <f>INDEX(Foderstater!$X$64:$AL$101,MATCH(F605,Foderstater!$U$64:$U$101,0),MATCH(A605&amp;C605&amp;E605,Foderstater!$X$63:$AL$63,0))</f>
        <v>0</v>
      </c>
      <c r="L605" s="158"/>
      <c r="M605" s="158"/>
    </row>
    <row r="606" spans="1:13" x14ac:dyDescent="0.25">
      <c r="A606" t="s">
        <v>37</v>
      </c>
      <c r="E606" t="s">
        <v>18</v>
      </c>
      <c r="F606" t="str">
        <f>Foderstater!U$82</f>
        <v>soybean meal</v>
      </c>
      <c r="J606" t="s">
        <v>310</v>
      </c>
      <c r="K606" s="13">
        <f>INDEX(Foderstater!$X$64:$AL$101,MATCH(F606,Foderstater!$U$64:$U$101,0),MATCH(A606&amp;C606&amp;E606,Foderstater!$X$63:$AL$63,0))</f>
        <v>0</v>
      </c>
      <c r="L606" s="158"/>
      <c r="M606" s="158"/>
    </row>
    <row r="607" spans="1:13" x14ac:dyDescent="0.25">
      <c r="A607" t="s">
        <v>37</v>
      </c>
      <c r="E607" t="s">
        <v>18</v>
      </c>
      <c r="F607" t="str">
        <f>Foderstater!U$83</f>
        <v>soybean protein concentrate</v>
      </c>
      <c r="J607" t="s">
        <v>310</v>
      </c>
      <c r="K607" s="13">
        <f>INDEX(Foderstater!$X$64:$AL$101,MATCH(F607,Foderstater!$U$64:$U$101,0),MATCH(A607&amp;C607&amp;E607,Foderstater!$X$63:$AL$63,0))</f>
        <v>0</v>
      </c>
      <c r="L607" s="158"/>
      <c r="M607" s="158"/>
    </row>
    <row r="608" spans="1:13" x14ac:dyDescent="0.25">
      <c r="A608" t="s">
        <v>37</v>
      </c>
      <c r="B608" t="s">
        <v>1</v>
      </c>
      <c r="E608" t="s">
        <v>18</v>
      </c>
      <c r="F608" t="str">
        <f>Foderstater!U$84</f>
        <v>rapeseed meal</v>
      </c>
      <c r="J608" t="s">
        <v>310</v>
      </c>
      <c r="K608" s="13">
        <f>INDEX(Foderstater!$X$64:$AL$101,MATCH(F608,Foderstater!$U$64:$U$101,0),MATCH(A608&amp;C608&amp;E608,Foderstater!$X$63:$AL$63,0))</f>
        <v>0</v>
      </c>
      <c r="L608" s="158"/>
      <c r="M608" s="158"/>
    </row>
    <row r="609" spans="1:13" x14ac:dyDescent="0.25">
      <c r="A609" s="268" t="str">
        <f>A608</f>
        <v>beef</v>
      </c>
      <c r="B609" s="268" t="s">
        <v>5</v>
      </c>
      <c r="D609" s="268"/>
      <c r="E609" s="268" t="str">
        <f>E608</f>
        <v>cows</v>
      </c>
      <c r="F609" s="268" t="s">
        <v>609</v>
      </c>
      <c r="J609" s="268" t="str">
        <f>J608</f>
        <v>share_in_ration</v>
      </c>
      <c r="K609" s="269">
        <f>K608</f>
        <v>0</v>
      </c>
      <c r="L609" s="158"/>
      <c r="M609" s="268" t="s">
        <v>610</v>
      </c>
    </row>
    <row r="610" spans="1:13" x14ac:dyDescent="0.25">
      <c r="A610" t="s">
        <v>37</v>
      </c>
      <c r="E610" t="s">
        <v>18</v>
      </c>
      <c r="F610" t="str">
        <f>Foderstater!U$85</f>
        <v>sunflower seed meal</v>
      </c>
      <c r="J610" t="s">
        <v>310</v>
      </c>
      <c r="K610" s="13">
        <f>INDEX(Foderstater!$X$64:$AL$101,MATCH(F610,Foderstater!$U$64:$U$101,0),MATCH(A610&amp;C610&amp;E610,Foderstater!$X$63:$AL$63,0))</f>
        <v>0</v>
      </c>
    </row>
    <row r="611" spans="1:13" x14ac:dyDescent="0.25">
      <c r="A611" t="s">
        <v>37</v>
      </c>
      <c r="E611" t="s">
        <v>18</v>
      </c>
      <c r="F611" t="str">
        <f>Foderstater!U$86</f>
        <v>palm kernel expeller</v>
      </c>
      <c r="J611" t="s">
        <v>310</v>
      </c>
      <c r="K611" s="13">
        <f>INDEX(Foderstater!$X$64:$AL$101,MATCH(F611,Foderstater!$U$64:$U$101,0),MATCH(A611&amp;C611&amp;E611,Foderstater!$X$63:$AL$63,0))</f>
        <v>0</v>
      </c>
    </row>
    <row r="612" spans="1:13" x14ac:dyDescent="0.25">
      <c r="A612" t="s">
        <v>37</v>
      </c>
      <c r="E612" t="s">
        <v>18</v>
      </c>
      <c r="F612" t="str">
        <f>Foderstater!U$87</f>
        <v>luzern meal</v>
      </c>
      <c r="J612" t="s">
        <v>310</v>
      </c>
      <c r="K612" s="13">
        <f>INDEX(Foderstater!$X$64:$AL$101,MATCH(F612,Foderstater!$U$64:$U$101,0),MATCH(A612&amp;C612&amp;E612,Foderstater!$X$63:$AL$63,0))</f>
        <v>0</v>
      </c>
    </row>
    <row r="613" spans="1:13" x14ac:dyDescent="0.25">
      <c r="A613" t="s">
        <v>37</v>
      </c>
      <c r="E613" t="s">
        <v>18</v>
      </c>
      <c r="F613" t="str">
        <f>Foderstater!U$88</f>
        <v>wheat bran</v>
      </c>
      <c r="J613" t="s">
        <v>310</v>
      </c>
      <c r="K613" s="13">
        <f>INDEX(Foderstater!$X$64:$AL$101,MATCH(F613,Foderstater!$U$64:$U$101,0),MATCH(A613&amp;C613&amp;E613,Foderstater!$X$63:$AL$63,0))</f>
        <v>0</v>
      </c>
    </row>
    <row r="614" spans="1:13" x14ac:dyDescent="0.25">
      <c r="A614" t="s">
        <v>37</v>
      </c>
      <c r="E614" t="s">
        <v>18</v>
      </c>
      <c r="F614" t="str">
        <f>Foderstater!U$89</f>
        <v>wheat bran, fine</v>
      </c>
      <c r="J614" t="s">
        <v>310</v>
      </c>
      <c r="K614" s="13">
        <f>INDEX(Foderstater!$X$64:$AL$101,MATCH(F614,Foderstater!$U$64:$U$101,0),MATCH(A614&amp;C614&amp;E614,Foderstater!$X$63:$AL$63,0))</f>
        <v>0</v>
      </c>
    </row>
    <row r="615" spans="1:13" x14ac:dyDescent="0.25">
      <c r="A615" t="s">
        <v>37</v>
      </c>
      <c r="E615" t="s">
        <v>18</v>
      </c>
      <c r="F615" t="str">
        <f>Foderstater!U$90</f>
        <v>oat hulls</v>
      </c>
      <c r="J615" t="s">
        <v>310</v>
      </c>
      <c r="K615" s="13">
        <f>INDEX(Foderstater!$X$64:$AL$101,MATCH(F615,Foderstater!$U$64:$U$101,0),MATCH(A615&amp;C615&amp;E615,Foderstater!$X$63:$AL$63,0))</f>
        <v>0</v>
      </c>
    </row>
    <row r="616" spans="1:13" x14ac:dyDescent="0.25">
      <c r="A616" t="s">
        <v>37</v>
      </c>
      <c r="E616" t="s">
        <v>18</v>
      </c>
      <c r="F616" t="str">
        <f>Foderstater!U$91</f>
        <v>oat bran</v>
      </c>
      <c r="J616" t="s">
        <v>310</v>
      </c>
      <c r="K616" s="13">
        <f>INDEX(Foderstater!$X$64:$AL$101,MATCH(F616,Foderstater!$U$64:$U$101,0),MATCH(A616&amp;C616&amp;E616,Foderstater!$X$63:$AL$63,0))</f>
        <v>0</v>
      </c>
    </row>
    <row r="617" spans="1:13" x14ac:dyDescent="0.25">
      <c r="A617" t="s">
        <v>37</v>
      </c>
      <c r="E617" t="s">
        <v>18</v>
      </c>
      <c r="F617" t="str">
        <f>Foderstater!U$92</f>
        <v>rye bran</v>
      </c>
      <c r="J617" t="s">
        <v>310</v>
      </c>
      <c r="K617" s="13">
        <f>INDEX(Foderstater!$X$64:$AL$101,MATCH(F617,Foderstater!$U$64:$U$101,0),MATCH(A617&amp;C617&amp;E617,Foderstater!$X$63:$AL$63,0))</f>
        <v>0</v>
      </c>
    </row>
    <row r="618" spans="1:13" x14ac:dyDescent="0.25">
      <c r="A618" t="s">
        <v>37</v>
      </c>
      <c r="E618" t="s">
        <v>18</v>
      </c>
      <c r="F618" t="str">
        <f>Foderstater!U$93</f>
        <v>wheat distillers grain, dry</v>
      </c>
      <c r="J618" t="s">
        <v>310</v>
      </c>
      <c r="K618" s="13">
        <f>INDEX(Foderstater!$X$64:$AL$101,MATCH(F618,Foderstater!$U$64:$U$101,0),MATCH(A618&amp;C618&amp;E618,Foderstater!$X$63:$AL$63,0))</f>
        <v>0</v>
      </c>
    </row>
    <row r="619" spans="1:13" x14ac:dyDescent="0.25">
      <c r="A619" t="s">
        <v>37</v>
      </c>
      <c r="E619" t="s">
        <v>18</v>
      </c>
      <c r="F619" t="str">
        <f>Foderstater!U$94</f>
        <v>barley brewers grain</v>
      </c>
      <c r="J619" t="s">
        <v>310</v>
      </c>
      <c r="K619" s="13">
        <f>INDEX(Foderstater!$X$64:$AL$101,MATCH(F619,Foderstater!$U$64:$U$101,0),MATCH(A619&amp;C619&amp;E619,Foderstater!$X$63:$AL$63,0))</f>
        <v>0</v>
      </c>
    </row>
    <row r="620" spans="1:13" x14ac:dyDescent="0.25">
      <c r="A620" t="s">
        <v>37</v>
      </c>
      <c r="E620" t="s">
        <v>18</v>
      </c>
      <c r="F620" t="str">
        <f>Foderstater!U$95</f>
        <v>maize gluten meal</v>
      </c>
      <c r="J620" t="s">
        <v>310</v>
      </c>
      <c r="K620" s="13">
        <f>INDEX(Foderstater!$X$64:$AL$101,MATCH(F620,Foderstater!$U$64:$U$101,0),MATCH(A620&amp;C620&amp;E620,Foderstater!$X$63:$AL$63,0))</f>
        <v>0</v>
      </c>
    </row>
    <row r="621" spans="1:13" x14ac:dyDescent="0.25">
      <c r="A621" t="s">
        <v>37</v>
      </c>
      <c r="E621" t="s">
        <v>18</v>
      </c>
      <c r="F621" t="str">
        <f>Foderstater!U$96</f>
        <v>sugar beet molasses</v>
      </c>
      <c r="J621" t="s">
        <v>310</v>
      </c>
      <c r="K621" s="13">
        <f>INDEX(Foderstater!$X$64:$AL$101,MATCH(F621,Foderstater!$U$64:$U$101,0),MATCH(A621&amp;C621&amp;E621,Foderstater!$X$63:$AL$63,0))</f>
        <v>0</v>
      </c>
    </row>
    <row r="622" spans="1:13" x14ac:dyDescent="0.25">
      <c r="A622" t="s">
        <v>37</v>
      </c>
      <c r="E622" t="s">
        <v>18</v>
      </c>
      <c r="F622" t="str">
        <f>Foderstater!U$97</f>
        <v>sugar beet pulp</v>
      </c>
      <c r="J622" t="s">
        <v>310</v>
      </c>
      <c r="K622" s="13">
        <f>INDEX(Foderstater!$X$64:$AL$101,MATCH(F622,Foderstater!$U$64:$U$101,0),MATCH(A622&amp;C622&amp;E622,Foderstater!$X$63:$AL$63,0))</f>
        <v>0</v>
      </c>
    </row>
    <row r="623" spans="1:13" x14ac:dyDescent="0.25">
      <c r="A623" t="s">
        <v>37</v>
      </c>
      <c r="E623" t="s">
        <v>18</v>
      </c>
      <c r="F623" t="str">
        <f>Foderstater!U$98</f>
        <v>whey powder</v>
      </c>
      <c r="J623" t="s">
        <v>310</v>
      </c>
      <c r="K623" s="13">
        <f>INDEX(Foderstater!$X$64:$AL$101,MATCH(F623,Foderstater!$U$64:$U$101,0),MATCH(A623&amp;C623&amp;E623,Foderstater!$X$63:$AL$63,0))</f>
        <v>0</v>
      </c>
    </row>
    <row r="624" spans="1:13" x14ac:dyDescent="0.25">
      <c r="A624" t="s">
        <v>37</v>
      </c>
      <c r="E624" t="s">
        <v>18</v>
      </c>
      <c r="F624" t="str">
        <f>Foderstater!U$99</f>
        <v>potatoe protein</v>
      </c>
      <c r="J624" t="s">
        <v>310</v>
      </c>
      <c r="K624" s="13">
        <f>INDEX(Foderstater!$X$64:$AL$101,MATCH(F624,Foderstater!$U$64:$U$101,0),MATCH(A624&amp;C624&amp;E624,Foderstater!$X$63:$AL$63,0))</f>
        <v>0</v>
      </c>
    </row>
    <row r="625" spans="1:14" x14ac:dyDescent="0.25">
      <c r="A625" t="s">
        <v>37</v>
      </c>
      <c r="E625" t="s">
        <v>18</v>
      </c>
      <c r="F625" t="str">
        <f>Foderstater!U$100</f>
        <v>fish meal</v>
      </c>
      <c r="J625" t="s">
        <v>310</v>
      </c>
      <c r="K625" s="13">
        <f>INDEX(Foderstater!$X$64:$AL$101,MATCH(F625,Foderstater!$U$64:$U$101,0),MATCH(A625&amp;C625&amp;E625,Foderstater!$X$63:$AL$63,0))</f>
        <v>0</v>
      </c>
    </row>
    <row r="626" spans="1:14" x14ac:dyDescent="0.25">
      <c r="A626" t="s">
        <v>37</v>
      </c>
      <c r="E626" t="s">
        <v>18</v>
      </c>
      <c r="F626" t="str">
        <f>Foderstater!U$101</f>
        <v>minerals</v>
      </c>
      <c r="J626" t="s">
        <v>310</v>
      </c>
      <c r="K626" s="13">
        <f>INDEX(Foderstater!$X$64:$AL$101,MATCH(F626,Foderstater!$U$64:$U$101,0),MATCH(A626&amp;C626&amp;E626,Foderstater!$X$63:$AL$63,0))</f>
        <v>0.85909167246946194</v>
      </c>
    </row>
    <row r="627" spans="1:14" x14ac:dyDescent="0.25">
      <c r="K627" s="13"/>
    </row>
    <row r="628" spans="1:14" x14ac:dyDescent="0.25">
      <c r="A628" s="91" t="s">
        <v>636</v>
      </c>
      <c r="B628" s="162"/>
      <c r="C628" s="162"/>
      <c r="D628" s="90"/>
      <c r="E628" s="90"/>
      <c r="F628" s="90"/>
      <c r="G628" s="90"/>
      <c r="H628" s="90"/>
      <c r="I628" s="90"/>
      <c r="J628" s="90"/>
      <c r="K628" s="163"/>
      <c r="L628" s="90"/>
      <c r="M628" s="90"/>
      <c r="N628" s="90"/>
    </row>
    <row r="629" spans="1:14" x14ac:dyDescent="0.25">
      <c r="A629" s="158" t="s">
        <v>37</v>
      </c>
      <c r="B629" s="158"/>
      <c r="C629" s="158"/>
      <c r="D629" s="158"/>
      <c r="E629" s="158" t="s">
        <v>402</v>
      </c>
      <c r="F629" s="158"/>
      <c r="G629" s="158"/>
      <c r="H629" s="158"/>
      <c r="I629" s="158"/>
      <c r="J629" s="158" t="s">
        <v>310</v>
      </c>
      <c r="K629" s="158">
        <v>0</v>
      </c>
      <c r="L629" s="158"/>
      <c r="M629" s="158" t="s">
        <v>401</v>
      </c>
    </row>
    <row r="630" spans="1:14" x14ac:dyDescent="0.25">
      <c r="A630" s="110" t="s">
        <v>37</v>
      </c>
      <c r="B630" s="110"/>
      <c r="C630" s="110"/>
      <c r="D630" s="110"/>
      <c r="E630" s="110" t="s">
        <v>402</v>
      </c>
      <c r="F630" t="str">
        <f>Foderstater!U$64</f>
        <v>ley silage, 1st cut</v>
      </c>
      <c r="J630" t="s">
        <v>310</v>
      </c>
      <c r="K630" s="13">
        <f>INDEX(Foderstater!$X$64:$AL$101,MATCH(F630,Foderstater!$U$64:$U$101,0),MATCH(A630&amp;C630&amp;E630,Foderstater!$X$63:$AL$63,0))</f>
        <v>0</v>
      </c>
      <c r="L630" s="158"/>
      <c r="M630" s="110"/>
    </row>
    <row r="631" spans="1:14" x14ac:dyDescent="0.25">
      <c r="A631" s="110" t="s">
        <v>37</v>
      </c>
      <c r="B631" s="110"/>
      <c r="C631" s="110"/>
      <c r="D631" s="110"/>
      <c r="E631" s="110" t="s">
        <v>402</v>
      </c>
      <c r="F631" t="str">
        <f>Foderstater!U$65</f>
        <v>ley silage, regrowth</v>
      </c>
      <c r="J631" t="s">
        <v>310</v>
      </c>
      <c r="K631" s="13">
        <f>INDEX(Foderstater!$X$64:$AL$101,MATCH(F631,Foderstater!$U$64:$U$101,0),MATCH(A631&amp;C631&amp;E631,Foderstater!$X$63:$AL$63,0))</f>
        <v>7.0178130628008537</v>
      </c>
    </row>
    <row r="632" spans="1:14" x14ac:dyDescent="0.25">
      <c r="A632" s="110" t="s">
        <v>37</v>
      </c>
      <c r="B632" s="110"/>
      <c r="C632" s="110"/>
      <c r="D632" s="110"/>
      <c r="E632" s="110" t="s">
        <v>402</v>
      </c>
      <c r="F632" t="str">
        <f>Foderstater!U$66</f>
        <v>other silage</v>
      </c>
      <c r="J632" t="s">
        <v>310</v>
      </c>
      <c r="K632" s="13">
        <f>INDEX(Foderstater!$X$64:$AL$101,MATCH(F632,Foderstater!$U$64:$U$101,0),MATCH(A632&amp;C632&amp;E632,Foderstater!$X$63:$AL$63,0))</f>
        <v>41.192418289263692</v>
      </c>
    </row>
    <row r="633" spans="1:14" x14ac:dyDescent="0.25">
      <c r="A633" s="110" t="s">
        <v>37</v>
      </c>
      <c r="B633" s="110"/>
      <c r="C633" s="110"/>
      <c r="D633" s="110"/>
      <c r="E633" s="110" t="s">
        <v>402</v>
      </c>
      <c r="F633" t="str">
        <f>Foderstater!U$67</f>
        <v>maize silage</v>
      </c>
      <c r="J633" t="s">
        <v>310</v>
      </c>
      <c r="K633" s="13">
        <f>INDEX(Foderstater!$X$64:$AL$101,MATCH(F633,Foderstater!$U$64:$U$101,0),MATCH(A633&amp;C633&amp;E633,Foderstater!$X$63:$AL$63,0))</f>
        <v>0</v>
      </c>
    </row>
    <row r="634" spans="1:14" x14ac:dyDescent="0.25">
      <c r="A634" s="110" t="s">
        <v>37</v>
      </c>
      <c r="B634" s="110"/>
      <c r="C634" s="110"/>
      <c r="D634" s="110"/>
      <c r="E634" s="110" t="s">
        <v>402</v>
      </c>
      <c r="F634" t="str">
        <f>Foderstater!U$68</f>
        <v>straw</v>
      </c>
      <c r="J634" t="s">
        <v>310</v>
      </c>
      <c r="K634" s="13">
        <f>INDEX(Foderstater!$X$64:$AL$101,MATCH(F634,Foderstater!$U$64:$U$101,0),MATCH(A634&amp;C634&amp;E634,Foderstater!$X$63:$AL$63,0))</f>
        <v>0.67138025374082655</v>
      </c>
    </row>
    <row r="635" spans="1:14" x14ac:dyDescent="0.25">
      <c r="A635" s="110" t="s">
        <v>37</v>
      </c>
      <c r="B635" s="110"/>
      <c r="C635" s="110"/>
      <c r="D635" s="110"/>
      <c r="E635" s="110" t="s">
        <v>402</v>
      </c>
      <c r="F635" t="str">
        <f>Foderstater!U$69</f>
        <v>grazing</v>
      </c>
      <c r="J635" t="s">
        <v>310</v>
      </c>
      <c r="K635" s="13">
        <f>INDEX(Foderstater!$X$64:$AL$101,MATCH(F635,Foderstater!$U$64:$U$101,0),MATCH(A635&amp;C635&amp;E635,Foderstater!$X$63:$AL$63,0))</f>
        <v>50.052481882315824</v>
      </c>
    </row>
    <row r="636" spans="1:14" x14ac:dyDescent="0.25">
      <c r="A636" s="110" t="s">
        <v>37</v>
      </c>
      <c r="B636" s="110"/>
      <c r="C636" s="110"/>
      <c r="D636" s="110"/>
      <c r="E636" s="110" t="s">
        <v>402</v>
      </c>
      <c r="F636" t="str">
        <f>Foderstater!U$70</f>
        <v>wheat</v>
      </c>
      <c r="J636" t="s">
        <v>310</v>
      </c>
      <c r="K636" s="13">
        <f>INDEX(Foderstater!$X$64:$AL$101,MATCH(F636,Foderstater!$U$64:$U$101,0),MATCH(A636&amp;C636&amp;E636,Foderstater!$X$63:$AL$63,0))</f>
        <v>0</v>
      </c>
    </row>
    <row r="637" spans="1:14" x14ac:dyDescent="0.25">
      <c r="A637" s="110" t="s">
        <v>37</v>
      </c>
      <c r="B637" s="110"/>
      <c r="C637" s="110"/>
      <c r="D637" s="110"/>
      <c r="E637" s="110" t="s">
        <v>402</v>
      </c>
      <c r="F637" t="str">
        <f>Foderstater!U$71</f>
        <v>barley</v>
      </c>
      <c r="J637" t="s">
        <v>310</v>
      </c>
      <c r="K637" s="13">
        <f>INDEX(Foderstater!$X$64:$AL$101,MATCH(F637,Foderstater!$U$64:$U$101,0),MATCH(A637&amp;C637&amp;E637,Foderstater!$X$63:$AL$63,0))</f>
        <v>0</v>
      </c>
    </row>
    <row r="638" spans="1:14" x14ac:dyDescent="0.25">
      <c r="A638" s="110" t="s">
        <v>37</v>
      </c>
      <c r="B638" s="110"/>
      <c r="C638" s="110"/>
      <c r="D638" s="110"/>
      <c r="E638" s="110" t="s">
        <v>402</v>
      </c>
      <c r="F638" t="str">
        <f>Foderstater!U$72</f>
        <v>oats</v>
      </c>
      <c r="J638" t="s">
        <v>310</v>
      </c>
      <c r="K638" s="13">
        <f>INDEX(Foderstater!$X$64:$AL$101,MATCH(F638,Foderstater!$U$64:$U$101,0),MATCH(A638&amp;C638&amp;E638,Foderstater!$X$63:$AL$63,0))</f>
        <v>0</v>
      </c>
    </row>
    <row r="639" spans="1:14" x14ac:dyDescent="0.25">
      <c r="A639" s="110" t="s">
        <v>37</v>
      </c>
      <c r="B639" s="110"/>
      <c r="C639" s="110"/>
      <c r="D639" s="110"/>
      <c r="E639" s="110" t="s">
        <v>402</v>
      </c>
      <c r="F639" t="str">
        <f>Foderstater!U$73</f>
        <v>triticale</v>
      </c>
      <c r="J639" t="s">
        <v>310</v>
      </c>
      <c r="K639" s="13">
        <f>INDEX(Foderstater!$X$64:$AL$101,MATCH(F639,Foderstater!$U$64:$U$101,0),MATCH(A639&amp;C639&amp;E639,Foderstater!$X$63:$AL$63,0))</f>
        <v>0</v>
      </c>
    </row>
    <row r="640" spans="1:14" x14ac:dyDescent="0.25">
      <c r="A640" s="110" t="s">
        <v>37</v>
      </c>
      <c r="B640" s="110"/>
      <c r="C640" s="110"/>
      <c r="D640" s="110"/>
      <c r="E640" s="110" t="s">
        <v>402</v>
      </c>
      <c r="F640" t="str">
        <f>Foderstater!U$74</f>
        <v>rye</v>
      </c>
      <c r="J640" t="s">
        <v>310</v>
      </c>
      <c r="K640" s="13">
        <f>INDEX(Foderstater!$X$64:$AL$101,MATCH(F640,Foderstater!$U$64:$U$101,0),MATCH(A640&amp;C640&amp;E640,Foderstater!$X$63:$AL$63,0))</f>
        <v>0</v>
      </c>
    </row>
    <row r="641" spans="1:13" x14ac:dyDescent="0.25">
      <c r="A641" s="110" t="s">
        <v>37</v>
      </c>
      <c r="B641" s="110"/>
      <c r="C641" s="110"/>
      <c r="D641" s="110"/>
      <c r="E641" s="110" t="s">
        <v>402</v>
      </c>
      <c r="F641" t="str">
        <f>Foderstater!U$75</f>
        <v>maize</v>
      </c>
      <c r="J641" t="s">
        <v>310</v>
      </c>
      <c r="K641" s="13">
        <f>INDEX(Foderstater!$X$64:$AL$101,MATCH(F641,Foderstater!$U$64:$U$101,0),MATCH(A641&amp;C641&amp;E641,Foderstater!$X$63:$AL$63,0))</f>
        <v>0</v>
      </c>
    </row>
    <row r="642" spans="1:13" x14ac:dyDescent="0.25">
      <c r="A642" s="110" t="s">
        <v>37</v>
      </c>
      <c r="B642" s="110"/>
      <c r="C642" s="110"/>
      <c r="D642" s="110"/>
      <c r="E642" s="110" t="s">
        <v>402</v>
      </c>
      <c r="F642" t="str">
        <f>Foderstater!U$76</f>
        <v>peas</v>
      </c>
      <c r="J642" t="s">
        <v>310</v>
      </c>
      <c r="K642" s="13">
        <f>INDEX(Foderstater!$X$64:$AL$101,MATCH(F642,Foderstater!$U$64:$U$101,0),MATCH(A642&amp;C642&amp;E642,Foderstater!$X$63:$AL$63,0))</f>
        <v>0</v>
      </c>
    </row>
    <row r="643" spans="1:13" x14ac:dyDescent="0.25">
      <c r="A643" s="110" t="s">
        <v>37</v>
      </c>
      <c r="B643" s="110"/>
      <c r="C643" s="110"/>
      <c r="D643" s="110"/>
      <c r="E643" s="110" t="s">
        <v>402</v>
      </c>
      <c r="F643" t="str">
        <f>Foderstater!U$77</f>
        <v>broad beans</v>
      </c>
      <c r="J643" t="s">
        <v>310</v>
      </c>
      <c r="K643" s="13">
        <f>INDEX(Foderstater!$X$64:$AL$101,MATCH(F643,Foderstater!$U$64:$U$101,0),MATCH(A643&amp;C643&amp;E643,Foderstater!$X$63:$AL$63,0))</f>
        <v>0</v>
      </c>
    </row>
    <row r="644" spans="1:13" x14ac:dyDescent="0.25">
      <c r="A644" s="110" t="s">
        <v>37</v>
      </c>
      <c r="B644" s="110"/>
      <c r="C644" s="110"/>
      <c r="D644" s="110"/>
      <c r="E644" s="110" t="s">
        <v>402</v>
      </c>
      <c r="F644" t="str">
        <f>Foderstater!U$78</f>
        <v>rapeseed</v>
      </c>
      <c r="J644" t="s">
        <v>310</v>
      </c>
      <c r="K644" s="13">
        <f>INDEX(Foderstater!$X$64:$AL$101,MATCH(F644,Foderstater!$U$64:$U$101,0),MATCH(A644&amp;C644&amp;E644,Foderstater!$X$63:$AL$63,0))</f>
        <v>0</v>
      </c>
    </row>
    <row r="645" spans="1:13" x14ac:dyDescent="0.25">
      <c r="A645" s="110" t="s">
        <v>37</v>
      </c>
      <c r="B645" s="110"/>
      <c r="C645" s="110"/>
      <c r="D645" s="110"/>
      <c r="E645" s="110" t="s">
        <v>402</v>
      </c>
      <c r="F645" t="str">
        <f>Foderstater!U$79</f>
        <v>linseed</v>
      </c>
      <c r="J645" t="s">
        <v>310</v>
      </c>
      <c r="K645" s="13">
        <f>INDEX(Foderstater!$X$64:$AL$101,MATCH(F645,Foderstater!$U$64:$U$101,0),MATCH(A645&amp;C645&amp;E645,Foderstater!$X$63:$AL$63,0))</f>
        <v>0</v>
      </c>
    </row>
    <row r="646" spans="1:13" x14ac:dyDescent="0.25">
      <c r="A646" s="110" t="s">
        <v>37</v>
      </c>
      <c r="B646" s="110"/>
      <c r="C646" s="110"/>
      <c r="D646" s="110"/>
      <c r="E646" s="110" t="s">
        <v>402</v>
      </c>
      <c r="F646" t="str">
        <f>Foderstater!U$80</f>
        <v>vegetable oils</v>
      </c>
      <c r="J646" t="s">
        <v>310</v>
      </c>
      <c r="K646" s="13">
        <f>INDEX(Foderstater!$X$64:$AL$101,MATCH(F646,Foderstater!$U$64:$U$101,0),MATCH(A646&amp;C646&amp;E646,Foderstater!$X$63:$AL$63,0))</f>
        <v>0</v>
      </c>
    </row>
    <row r="647" spans="1:13" x14ac:dyDescent="0.25">
      <c r="A647" s="110" t="s">
        <v>37</v>
      </c>
      <c r="B647" s="110"/>
      <c r="C647" s="110"/>
      <c r="D647" s="110"/>
      <c r="E647" s="110" t="s">
        <v>402</v>
      </c>
      <c r="F647" t="str">
        <f>Foderstater!U$81</f>
        <v>soybeans</v>
      </c>
      <c r="J647" t="s">
        <v>310</v>
      </c>
      <c r="K647" s="13">
        <f>INDEX(Foderstater!$X$64:$AL$101,MATCH(F647,Foderstater!$U$64:$U$101,0),MATCH(A647&amp;C647&amp;E647,Foderstater!$X$63:$AL$63,0))</f>
        <v>0</v>
      </c>
    </row>
    <row r="648" spans="1:13" x14ac:dyDescent="0.25">
      <c r="A648" s="110" t="s">
        <v>37</v>
      </c>
      <c r="B648" s="110"/>
      <c r="C648" s="110"/>
      <c r="D648" s="110"/>
      <c r="E648" s="110" t="s">
        <v>402</v>
      </c>
      <c r="F648" t="str">
        <f>Foderstater!U$82</f>
        <v>soybean meal</v>
      </c>
      <c r="J648" t="s">
        <v>310</v>
      </c>
      <c r="K648" s="13">
        <f>INDEX(Foderstater!$X$64:$AL$101,MATCH(F648,Foderstater!$U$64:$U$101,0),MATCH(A648&amp;C648&amp;E648,Foderstater!$X$63:$AL$63,0))</f>
        <v>0</v>
      </c>
    </row>
    <row r="649" spans="1:13" x14ac:dyDescent="0.25">
      <c r="A649" s="110" t="s">
        <v>37</v>
      </c>
      <c r="B649" s="110"/>
      <c r="C649" s="110"/>
      <c r="D649" s="110"/>
      <c r="E649" s="110" t="s">
        <v>402</v>
      </c>
      <c r="F649" t="str">
        <f>Foderstater!U$83</f>
        <v>soybean protein concentrate</v>
      </c>
      <c r="J649" t="s">
        <v>310</v>
      </c>
      <c r="K649" s="13">
        <f>INDEX(Foderstater!$X$64:$AL$101,MATCH(F649,Foderstater!$U$64:$U$101,0),MATCH(A649&amp;C649&amp;E649,Foderstater!$X$63:$AL$63,0))</f>
        <v>0</v>
      </c>
    </row>
    <row r="650" spans="1:13" x14ac:dyDescent="0.25">
      <c r="A650" s="110" t="s">
        <v>37</v>
      </c>
      <c r="B650" s="110"/>
      <c r="C650" s="110"/>
      <c r="D650" s="110"/>
      <c r="E650" s="110" t="s">
        <v>402</v>
      </c>
      <c r="F650" t="str">
        <f>Foderstater!U$84</f>
        <v>rapeseed meal</v>
      </c>
      <c r="J650" t="s">
        <v>310</v>
      </c>
      <c r="K650" s="13">
        <f>INDEX(Foderstater!$X$64:$AL$101,MATCH(F650,Foderstater!$U$64:$U$101,0),MATCH(A650&amp;C650&amp;E650,Foderstater!$X$63:$AL$63,0))</f>
        <v>0</v>
      </c>
    </row>
    <row r="651" spans="1:13" x14ac:dyDescent="0.25">
      <c r="A651" s="268" t="s">
        <v>37</v>
      </c>
      <c r="B651" s="268"/>
      <c r="C651" s="268"/>
      <c r="D651" s="268"/>
      <c r="E651" s="268" t="s">
        <v>402</v>
      </c>
      <c r="F651" s="268" t="s">
        <v>609</v>
      </c>
      <c r="J651" s="268" t="str">
        <f>J650</f>
        <v>share_in_ration</v>
      </c>
      <c r="K651" s="269">
        <f>K650</f>
        <v>0</v>
      </c>
      <c r="M651" s="268" t="s">
        <v>610</v>
      </c>
    </row>
    <row r="652" spans="1:13" x14ac:dyDescent="0.25">
      <c r="A652" s="110" t="s">
        <v>37</v>
      </c>
      <c r="B652" s="110"/>
      <c r="C652" s="110"/>
      <c r="D652" s="110"/>
      <c r="E652" s="110" t="s">
        <v>402</v>
      </c>
      <c r="F652" t="str">
        <f>Foderstater!U$85</f>
        <v>sunflower seed meal</v>
      </c>
      <c r="J652" t="s">
        <v>310</v>
      </c>
      <c r="K652" s="13">
        <f>INDEX(Foderstater!$X$64:$AL$101,MATCH(F652,Foderstater!$U$64:$U$101,0),MATCH(A652&amp;C652&amp;E652,Foderstater!$X$63:$AL$63,0))</f>
        <v>0</v>
      </c>
    </row>
    <row r="653" spans="1:13" x14ac:dyDescent="0.25">
      <c r="A653" s="110" t="s">
        <v>37</v>
      </c>
      <c r="B653" s="110"/>
      <c r="C653" s="110"/>
      <c r="D653" s="110"/>
      <c r="E653" s="110" t="s">
        <v>402</v>
      </c>
      <c r="F653" t="str">
        <f>Foderstater!U$86</f>
        <v>palm kernel expeller</v>
      </c>
      <c r="J653" t="s">
        <v>310</v>
      </c>
      <c r="K653" s="13">
        <f>INDEX(Foderstater!$X$64:$AL$101,MATCH(F653,Foderstater!$U$64:$U$101,0),MATCH(A653&amp;C653&amp;E653,Foderstater!$X$63:$AL$63,0))</f>
        <v>0</v>
      </c>
    </row>
    <row r="654" spans="1:13" x14ac:dyDescent="0.25">
      <c r="A654" s="110" t="s">
        <v>37</v>
      </c>
      <c r="B654" s="110"/>
      <c r="C654" s="110"/>
      <c r="D654" s="110"/>
      <c r="E654" s="110" t="s">
        <v>402</v>
      </c>
      <c r="F654" t="str">
        <f>Foderstater!U$87</f>
        <v>luzern meal</v>
      </c>
      <c r="J654" t="s">
        <v>310</v>
      </c>
      <c r="K654" s="13">
        <f>INDEX(Foderstater!$X$64:$AL$101,MATCH(F654,Foderstater!$U$64:$U$101,0),MATCH(A654&amp;C654&amp;E654,Foderstater!$X$63:$AL$63,0))</f>
        <v>0</v>
      </c>
    </row>
    <row r="655" spans="1:13" x14ac:dyDescent="0.25">
      <c r="A655" s="110" t="s">
        <v>37</v>
      </c>
      <c r="B655" s="110"/>
      <c r="C655" s="110"/>
      <c r="D655" s="110"/>
      <c r="E655" s="110" t="s">
        <v>402</v>
      </c>
      <c r="F655" t="str">
        <f>Foderstater!U$88</f>
        <v>wheat bran</v>
      </c>
      <c r="J655" t="s">
        <v>310</v>
      </c>
      <c r="K655" s="13">
        <f>INDEX(Foderstater!$X$64:$AL$101,MATCH(F655,Foderstater!$U$64:$U$101,0),MATCH(A655&amp;C655&amp;E655,Foderstater!$X$63:$AL$63,0))</f>
        <v>0</v>
      </c>
    </row>
    <row r="656" spans="1:13" x14ac:dyDescent="0.25">
      <c r="A656" s="110" t="s">
        <v>37</v>
      </c>
      <c r="B656" s="110"/>
      <c r="C656" s="110"/>
      <c r="D656" s="110"/>
      <c r="E656" s="110" t="s">
        <v>402</v>
      </c>
      <c r="F656" t="str">
        <f>Foderstater!U$89</f>
        <v>wheat bran, fine</v>
      </c>
      <c r="J656" t="s">
        <v>310</v>
      </c>
      <c r="K656" s="13">
        <f>INDEX(Foderstater!$X$64:$AL$101,MATCH(F656,Foderstater!$U$64:$U$101,0),MATCH(A656&amp;C656&amp;E656,Foderstater!$X$63:$AL$63,0))</f>
        <v>0</v>
      </c>
    </row>
    <row r="657" spans="1:14" x14ac:dyDescent="0.25">
      <c r="A657" s="110" t="s">
        <v>37</v>
      </c>
      <c r="B657" s="110"/>
      <c r="C657" s="110"/>
      <c r="D657" s="110"/>
      <c r="E657" s="110" t="s">
        <v>402</v>
      </c>
      <c r="F657" t="str">
        <f>Foderstater!U$90</f>
        <v>oat hulls</v>
      </c>
      <c r="J657" t="s">
        <v>310</v>
      </c>
      <c r="K657" s="13">
        <f>INDEX(Foderstater!$X$64:$AL$101,MATCH(F657,Foderstater!$U$64:$U$101,0),MATCH(A657&amp;C657&amp;E657,Foderstater!$X$63:$AL$63,0))</f>
        <v>0</v>
      </c>
    </row>
    <row r="658" spans="1:14" x14ac:dyDescent="0.25">
      <c r="A658" s="110" t="s">
        <v>37</v>
      </c>
      <c r="B658" s="110"/>
      <c r="C658" s="110"/>
      <c r="D658" s="110"/>
      <c r="E658" s="110" t="s">
        <v>402</v>
      </c>
      <c r="F658" t="str">
        <f>Foderstater!U$91</f>
        <v>oat bran</v>
      </c>
      <c r="J658" t="s">
        <v>310</v>
      </c>
      <c r="K658" s="13">
        <f>INDEX(Foderstater!$X$64:$AL$101,MATCH(F658,Foderstater!$U$64:$U$101,0),MATCH(A658&amp;C658&amp;E658,Foderstater!$X$63:$AL$63,0))</f>
        <v>0</v>
      </c>
    </row>
    <row r="659" spans="1:14" x14ac:dyDescent="0.25">
      <c r="A659" s="110" t="s">
        <v>37</v>
      </c>
      <c r="B659" s="110"/>
      <c r="C659" s="110"/>
      <c r="D659" s="110"/>
      <c r="E659" s="110" t="s">
        <v>402</v>
      </c>
      <c r="F659" t="str">
        <f>Foderstater!U$92</f>
        <v>rye bran</v>
      </c>
      <c r="J659" t="s">
        <v>310</v>
      </c>
      <c r="K659" s="13">
        <f>INDEX(Foderstater!$X$64:$AL$101,MATCH(F659,Foderstater!$U$64:$U$101,0),MATCH(A659&amp;C659&amp;E659,Foderstater!$X$63:$AL$63,0))</f>
        <v>0</v>
      </c>
    </row>
    <row r="660" spans="1:14" x14ac:dyDescent="0.25">
      <c r="A660" s="110" t="s">
        <v>37</v>
      </c>
      <c r="B660" s="110"/>
      <c r="C660" s="110"/>
      <c r="D660" s="110"/>
      <c r="E660" s="110" t="s">
        <v>402</v>
      </c>
      <c r="F660" t="str">
        <f>Foderstater!U$93</f>
        <v>wheat distillers grain, dry</v>
      </c>
      <c r="J660" t="s">
        <v>310</v>
      </c>
      <c r="K660" s="13">
        <f>INDEX(Foderstater!$X$64:$AL$101,MATCH(F660,Foderstater!$U$64:$U$101,0),MATCH(A660&amp;C660&amp;E660,Foderstater!$X$63:$AL$63,0))</f>
        <v>0</v>
      </c>
    </row>
    <row r="661" spans="1:14" x14ac:dyDescent="0.25">
      <c r="A661" s="110" t="s">
        <v>37</v>
      </c>
      <c r="B661" s="110"/>
      <c r="C661" s="110"/>
      <c r="D661" s="110"/>
      <c r="E661" s="110" t="s">
        <v>402</v>
      </c>
      <c r="F661" t="str">
        <f>Foderstater!U$94</f>
        <v>barley brewers grain</v>
      </c>
      <c r="J661" t="s">
        <v>310</v>
      </c>
      <c r="K661" s="13">
        <f>INDEX(Foderstater!$X$64:$AL$101,MATCH(F661,Foderstater!$U$64:$U$101,0),MATCH(A661&amp;C661&amp;E661,Foderstater!$X$63:$AL$63,0))</f>
        <v>0</v>
      </c>
    </row>
    <row r="662" spans="1:14" x14ac:dyDescent="0.25">
      <c r="A662" s="110" t="s">
        <v>37</v>
      </c>
      <c r="B662" s="110"/>
      <c r="C662" s="110"/>
      <c r="D662" s="110"/>
      <c r="E662" s="110" t="s">
        <v>402</v>
      </c>
      <c r="F662" t="str">
        <f>Foderstater!U$95</f>
        <v>maize gluten meal</v>
      </c>
      <c r="J662" t="s">
        <v>310</v>
      </c>
      <c r="K662" s="13">
        <f>INDEX(Foderstater!$X$64:$AL$101,MATCH(F662,Foderstater!$U$64:$U$101,0),MATCH(A662&amp;C662&amp;E662,Foderstater!$X$63:$AL$63,0))</f>
        <v>0</v>
      </c>
    </row>
    <row r="663" spans="1:14" x14ac:dyDescent="0.25">
      <c r="A663" s="110" t="s">
        <v>37</v>
      </c>
      <c r="B663" s="110"/>
      <c r="C663" s="110"/>
      <c r="D663" s="110"/>
      <c r="E663" s="110" t="s">
        <v>402</v>
      </c>
      <c r="F663" t="str">
        <f>Foderstater!U$96</f>
        <v>sugar beet molasses</v>
      </c>
      <c r="J663" t="s">
        <v>310</v>
      </c>
      <c r="K663" s="13">
        <f>INDEX(Foderstater!$X$64:$AL$101,MATCH(F663,Foderstater!$U$64:$U$101,0),MATCH(A663&amp;C663&amp;E663,Foderstater!$X$63:$AL$63,0))</f>
        <v>0</v>
      </c>
    </row>
    <row r="664" spans="1:14" x14ac:dyDescent="0.25">
      <c r="A664" s="110" t="s">
        <v>37</v>
      </c>
      <c r="B664" s="110"/>
      <c r="C664" s="110"/>
      <c r="D664" s="110"/>
      <c r="E664" s="110" t="s">
        <v>402</v>
      </c>
      <c r="F664" t="str">
        <f>Foderstater!U$97</f>
        <v>sugar beet pulp</v>
      </c>
      <c r="J664" t="s">
        <v>310</v>
      </c>
      <c r="K664" s="13">
        <f>INDEX(Foderstater!$X$64:$AL$101,MATCH(F664,Foderstater!$U$64:$U$101,0),MATCH(A664&amp;C664&amp;E664,Foderstater!$X$63:$AL$63,0))</f>
        <v>0</v>
      </c>
    </row>
    <row r="665" spans="1:14" x14ac:dyDescent="0.25">
      <c r="A665" s="110" t="s">
        <v>37</v>
      </c>
      <c r="B665" s="110"/>
      <c r="C665" s="110"/>
      <c r="D665" s="110"/>
      <c r="E665" s="110" t="s">
        <v>402</v>
      </c>
      <c r="F665" t="str">
        <f>Foderstater!U$98</f>
        <v>whey powder</v>
      </c>
      <c r="J665" t="s">
        <v>310</v>
      </c>
      <c r="K665" s="13">
        <f>INDEX(Foderstater!$X$64:$AL$101,MATCH(F665,Foderstater!$U$64:$U$101,0),MATCH(A665&amp;C665&amp;E665,Foderstater!$X$63:$AL$63,0))</f>
        <v>0</v>
      </c>
    </row>
    <row r="666" spans="1:14" x14ac:dyDescent="0.25">
      <c r="A666" s="110" t="s">
        <v>37</v>
      </c>
      <c r="B666" s="110"/>
      <c r="C666" s="110"/>
      <c r="D666" s="110"/>
      <c r="E666" s="110" t="s">
        <v>402</v>
      </c>
      <c r="F666" t="str">
        <f>Foderstater!U$99</f>
        <v>potatoe protein</v>
      </c>
      <c r="J666" t="s">
        <v>310</v>
      </c>
      <c r="K666" s="13">
        <f>INDEX(Foderstater!$X$64:$AL$101,MATCH(F666,Foderstater!$U$64:$U$101,0),MATCH(A666&amp;C666&amp;E666,Foderstater!$X$63:$AL$63,0))</f>
        <v>0</v>
      </c>
    </row>
    <row r="667" spans="1:14" x14ac:dyDescent="0.25">
      <c r="A667" s="110" t="s">
        <v>37</v>
      </c>
      <c r="B667" s="110"/>
      <c r="C667" s="110"/>
      <c r="D667" s="110"/>
      <c r="E667" s="110" t="s">
        <v>402</v>
      </c>
      <c r="F667" t="str">
        <f>Foderstater!U$100</f>
        <v>fish meal</v>
      </c>
      <c r="J667" t="s">
        <v>310</v>
      </c>
      <c r="K667" s="13">
        <f>INDEX(Foderstater!$X$64:$AL$101,MATCH(F667,Foderstater!$U$64:$U$101,0),MATCH(A667&amp;C667&amp;E667,Foderstater!$X$63:$AL$63,0))</f>
        <v>0</v>
      </c>
    </row>
    <row r="668" spans="1:14" x14ac:dyDescent="0.25">
      <c r="A668" s="110" t="s">
        <v>37</v>
      </c>
      <c r="B668" s="110"/>
      <c r="C668" s="110"/>
      <c r="D668" s="110"/>
      <c r="E668" s="110" t="s">
        <v>402</v>
      </c>
      <c r="F668" t="str">
        <f>Foderstater!U$101</f>
        <v>minerals</v>
      </c>
      <c r="J668" t="s">
        <v>310</v>
      </c>
      <c r="K668" s="13">
        <f>INDEX(Foderstater!$X$64:$AL$101,MATCH(F668,Foderstater!$U$64:$U$101,0),MATCH(A668&amp;C668&amp;E668,Foderstater!$X$63:$AL$63,0))</f>
        <v>1.0659065118787974</v>
      </c>
    </row>
    <row r="670" spans="1:14" x14ac:dyDescent="0.25">
      <c r="A670" s="91" t="s">
        <v>79</v>
      </c>
      <c r="B670" s="162"/>
      <c r="C670" s="162"/>
      <c r="D670" s="90"/>
      <c r="E670" s="90"/>
      <c r="F670" s="90"/>
      <c r="G670" s="90"/>
      <c r="H670" s="90"/>
      <c r="I670" s="90"/>
      <c r="J670" s="90"/>
      <c r="K670" s="163"/>
      <c r="L670" s="90"/>
      <c r="M670" s="90"/>
      <c r="N670" s="90"/>
    </row>
    <row r="671" spans="1:14" x14ac:dyDescent="0.25">
      <c r="A671" s="158" t="s">
        <v>37</v>
      </c>
      <c r="B671" s="158"/>
      <c r="C671" s="158"/>
      <c r="D671" s="158"/>
      <c r="E671" s="158" t="s">
        <v>633</v>
      </c>
      <c r="J671" s="158" t="s">
        <v>310</v>
      </c>
      <c r="K671" s="158">
        <v>0</v>
      </c>
      <c r="L671" s="158"/>
      <c r="M671" s="158" t="s">
        <v>401</v>
      </c>
    </row>
    <row r="672" spans="1:14" x14ac:dyDescent="0.25">
      <c r="A672" t="s">
        <v>37</v>
      </c>
      <c r="E672" t="s">
        <v>633</v>
      </c>
      <c r="F672" t="str">
        <f>Foderstater!U$64</f>
        <v>ley silage, 1st cut</v>
      </c>
      <c r="J672" t="s">
        <v>310</v>
      </c>
      <c r="K672" s="13">
        <f>INDEX(Foderstater!$X$64:$AL$101,MATCH(F672,Foderstater!$U$64:$U$101,0),MATCH(A672&amp;C672&amp;E672,Foderstater!$X$63:$AL$63,0))</f>
        <v>0</v>
      </c>
      <c r="L672" s="158"/>
      <c r="M672" s="158"/>
    </row>
    <row r="673" spans="1:13" x14ac:dyDescent="0.25">
      <c r="A673" t="s">
        <v>37</v>
      </c>
      <c r="E673" t="s">
        <v>633</v>
      </c>
      <c r="F673" t="str">
        <f>Foderstater!U$65</f>
        <v>ley silage, regrowth</v>
      </c>
      <c r="J673" t="s">
        <v>310</v>
      </c>
      <c r="K673" s="13">
        <f>INDEX(Foderstater!$X$64:$AL$101,MATCH(F673,Foderstater!$U$64:$U$101,0),MATCH(A673&amp;C673&amp;E673,Foderstater!$X$63:$AL$63,0))</f>
        <v>0</v>
      </c>
      <c r="L673" s="158"/>
      <c r="M673" s="158"/>
    </row>
    <row r="674" spans="1:13" x14ac:dyDescent="0.25">
      <c r="A674" t="s">
        <v>37</v>
      </c>
      <c r="E674" t="s">
        <v>633</v>
      </c>
      <c r="F674" t="str">
        <f>Foderstater!U$66</f>
        <v>other silage</v>
      </c>
      <c r="J674" t="s">
        <v>310</v>
      </c>
      <c r="K674" s="13">
        <f>INDEX(Foderstater!$X$64:$AL$101,MATCH(F674,Foderstater!$U$64:$U$101,0),MATCH(A674&amp;C674&amp;E674,Foderstater!$X$63:$AL$63,0))</f>
        <v>0</v>
      </c>
      <c r="L674" s="158"/>
      <c r="M674" s="158"/>
    </row>
    <row r="675" spans="1:13" x14ac:dyDescent="0.25">
      <c r="A675" t="s">
        <v>37</v>
      </c>
      <c r="E675" t="s">
        <v>633</v>
      </c>
      <c r="F675" t="str">
        <f>Foderstater!U$67</f>
        <v>maize silage</v>
      </c>
      <c r="J675" t="s">
        <v>310</v>
      </c>
      <c r="K675" s="13">
        <f>INDEX(Foderstater!$X$64:$AL$101,MATCH(F675,Foderstater!$U$64:$U$101,0),MATCH(A675&amp;C675&amp;E675,Foderstater!$X$63:$AL$63,0))</f>
        <v>0</v>
      </c>
      <c r="L675" s="158"/>
      <c r="M675" s="158"/>
    </row>
    <row r="676" spans="1:13" x14ac:dyDescent="0.25">
      <c r="A676" t="s">
        <v>37</v>
      </c>
      <c r="E676" t="s">
        <v>633</v>
      </c>
      <c r="F676" t="str">
        <f>Foderstater!U$68</f>
        <v>straw</v>
      </c>
      <c r="J676" t="s">
        <v>310</v>
      </c>
      <c r="K676" s="13">
        <f>INDEX(Foderstater!$X$64:$AL$101,MATCH(F676,Foderstater!$U$64:$U$101,0),MATCH(A676&amp;C676&amp;E676,Foderstater!$X$63:$AL$63,0))</f>
        <v>0</v>
      </c>
      <c r="L676" s="158"/>
      <c r="M676" s="158"/>
    </row>
    <row r="677" spans="1:13" x14ac:dyDescent="0.25">
      <c r="A677" t="s">
        <v>37</v>
      </c>
      <c r="E677" t="s">
        <v>633</v>
      </c>
      <c r="F677" t="str">
        <f>Foderstater!U$69</f>
        <v>grazing</v>
      </c>
      <c r="J677" t="s">
        <v>310</v>
      </c>
      <c r="K677" s="13">
        <f>INDEX(Foderstater!$X$64:$AL$101,MATCH(F677,Foderstater!$U$64:$U$101,0),MATCH(A677&amp;C677&amp;E677,Foderstater!$X$63:$AL$63,0))</f>
        <v>100</v>
      </c>
      <c r="L677" s="158"/>
      <c r="M677" s="158"/>
    </row>
    <row r="678" spans="1:13" x14ac:dyDescent="0.25">
      <c r="A678" t="s">
        <v>37</v>
      </c>
      <c r="E678" t="s">
        <v>633</v>
      </c>
      <c r="F678" t="str">
        <f>Foderstater!U$70</f>
        <v>wheat</v>
      </c>
      <c r="J678" t="s">
        <v>310</v>
      </c>
      <c r="K678" s="13">
        <f>INDEX(Foderstater!$X$64:$AL$101,MATCH(F678,Foderstater!$U$64:$U$101,0),MATCH(A678&amp;C678&amp;E678,Foderstater!$X$63:$AL$63,0))</f>
        <v>0</v>
      </c>
      <c r="L678" s="158"/>
      <c r="M678" s="158"/>
    </row>
    <row r="679" spans="1:13" x14ac:dyDescent="0.25">
      <c r="A679" t="s">
        <v>37</v>
      </c>
      <c r="E679" t="s">
        <v>633</v>
      </c>
      <c r="F679" t="str">
        <f>Foderstater!U$71</f>
        <v>barley</v>
      </c>
      <c r="J679" t="s">
        <v>310</v>
      </c>
      <c r="K679" s="13">
        <f>INDEX(Foderstater!$X$64:$AL$101,MATCH(F679,Foderstater!$U$64:$U$101,0),MATCH(A679&amp;C679&amp;E679,Foderstater!$X$63:$AL$63,0))</f>
        <v>0</v>
      </c>
      <c r="L679" s="158"/>
      <c r="M679" s="158"/>
    </row>
    <row r="680" spans="1:13" x14ac:dyDescent="0.25">
      <c r="A680" t="s">
        <v>37</v>
      </c>
      <c r="E680" t="s">
        <v>633</v>
      </c>
      <c r="F680" t="str">
        <f>Foderstater!U$72</f>
        <v>oats</v>
      </c>
      <c r="J680" t="s">
        <v>310</v>
      </c>
      <c r="K680" s="13">
        <f>INDEX(Foderstater!$X$64:$AL$101,MATCH(F680,Foderstater!$U$64:$U$101,0),MATCH(A680&amp;C680&amp;E680,Foderstater!$X$63:$AL$63,0))</f>
        <v>0</v>
      </c>
      <c r="L680" s="158"/>
      <c r="M680" s="158"/>
    </row>
    <row r="681" spans="1:13" x14ac:dyDescent="0.25">
      <c r="A681" t="s">
        <v>37</v>
      </c>
      <c r="E681" t="s">
        <v>633</v>
      </c>
      <c r="F681" t="str">
        <f>Foderstater!U$73</f>
        <v>triticale</v>
      </c>
      <c r="J681" t="s">
        <v>310</v>
      </c>
      <c r="K681" s="13">
        <f>INDEX(Foderstater!$X$64:$AL$101,MATCH(F681,Foderstater!$U$64:$U$101,0),MATCH(A681&amp;C681&amp;E681,Foderstater!$X$63:$AL$63,0))</f>
        <v>0</v>
      </c>
      <c r="L681" s="158"/>
      <c r="M681" s="158"/>
    </row>
    <row r="682" spans="1:13" x14ac:dyDescent="0.25">
      <c r="A682" t="s">
        <v>37</v>
      </c>
      <c r="E682" t="s">
        <v>633</v>
      </c>
      <c r="F682" t="str">
        <f>Foderstater!U$74</f>
        <v>rye</v>
      </c>
      <c r="J682" t="s">
        <v>310</v>
      </c>
      <c r="K682" s="13">
        <f>INDEX(Foderstater!$X$64:$AL$101,MATCH(F682,Foderstater!$U$64:$U$101,0),MATCH(A682&amp;C682&amp;E682,Foderstater!$X$63:$AL$63,0))</f>
        <v>0</v>
      </c>
      <c r="L682" s="158"/>
      <c r="M682" s="158"/>
    </row>
    <row r="683" spans="1:13" x14ac:dyDescent="0.25">
      <c r="A683" t="s">
        <v>37</v>
      </c>
      <c r="E683" t="s">
        <v>633</v>
      </c>
      <c r="F683" t="str">
        <f>Foderstater!U$75</f>
        <v>maize</v>
      </c>
      <c r="J683" t="s">
        <v>310</v>
      </c>
      <c r="K683" s="13">
        <f>INDEX(Foderstater!$X$64:$AL$101,MATCH(F683,Foderstater!$U$64:$U$101,0),MATCH(A683&amp;C683&amp;E683,Foderstater!$X$63:$AL$63,0))</f>
        <v>0</v>
      </c>
      <c r="L683" s="158"/>
      <c r="M683" s="158"/>
    </row>
    <row r="684" spans="1:13" x14ac:dyDescent="0.25">
      <c r="A684" t="s">
        <v>37</v>
      </c>
      <c r="E684" t="s">
        <v>633</v>
      </c>
      <c r="F684" t="str">
        <f>Foderstater!U$76</f>
        <v>peas</v>
      </c>
      <c r="J684" t="s">
        <v>310</v>
      </c>
      <c r="K684" s="13">
        <f>INDEX(Foderstater!$X$64:$AL$101,MATCH(F684,Foderstater!$U$64:$U$101,0),MATCH(A684&amp;C684&amp;E684,Foderstater!$X$63:$AL$63,0))</f>
        <v>0</v>
      </c>
      <c r="L684" s="158"/>
      <c r="M684" s="158"/>
    </row>
    <row r="685" spans="1:13" x14ac:dyDescent="0.25">
      <c r="A685" t="s">
        <v>37</v>
      </c>
      <c r="E685" t="s">
        <v>633</v>
      </c>
      <c r="F685" t="str">
        <f>Foderstater!U$77</f>
        <v>broad beans</v>
      </c>
      <c r="J685" t="s">
        <v>310</v>
      </c>
      <c r="K685" s="13">
        <f>INDEX(Foderstater!$X$64:$AL$101,MATCH(F685,Foderstater!$U$64:$U$101,0),MATCH(A685&amp;C685&amp;E685,Foderstater!$X$63:$AL$63,0))</f>
        <v>0</v>
      </c>
      <c r="L685" s="158"/>
      <c r="M685" s="158"/>
    </row>
    <row r="686" spans="1:13" x14ac:dyDescent="0.25">
      <c r="A686" t="s">
        <v>37</v>
      </c>
      <c r="E686" t="s">
        <v>633</v>
      </c>
      <c r="F686" t="str">
        <f>Foderstater!U$78</f>
        <v>rapeseed</v>
      </c>
      <c r="J686" t="s">
        <v>310</v>
      </c>
      <c r="K686" s="13">
        <f>INDEX(Foderstater!$X$64:$AL$101,MATCH(F686,Foderstater!$U$64:$U$101,0),MATCH(A686&amp;C686&amp;E686,Foderstater!$X$63:$AL$63,0))</f>
        <v>0</v>
      </c>
      <c r="L686" s="158"/>
      <c r="M686" s="158"/>
    </row>
    <row r="687" spans="1:13" x14ac:dyDescent="0.25">
      <c r="A687" t="s">
        <v>37</v>
      </c>
      <c r="E687" t="s">
        <v>633</v>
      </c>
      <c r="F687" t="str">
        <f>Foderstater!U$79</f>
        <v>linseed</v>
      </c>
      <c r="J687" t="s">
        <v>310</v>
      </c>
      <c r="K687" s="13">
        <f>INDEX(Foderstater!$X$64:$AL$101,MATCH(F687,Foderstater!$U$64:$U$101,0),MATCH(A687&amp;C687&amp;E687,Foderstater!$X$63:$AL$63,0))</f>
        <v>0</v>
      </c>
      <c r="L687" s="158"/>
      <c r="M687" s="158"/>
    </row>
    <row r="688" spans="1:13" x14ac:dyDescent="0.25">
      <c r="A688" t="s">
        <v>37</v>
      </c>
      <c r="E688" t="s">
        <v>633</v>
      </c>
      <c r="F688" t="str">
        <f>Foderstater!U$80</f>
        <v>vegetable oils</v>
      </c>
      <c r="J688" t="s">
        <v>310</v>
      </c>
      <c r="K688" s="13">
        <f>INDEX(Foderstater!$X$64:$AL$101,MATCH(F688,Foderstater!$U$64:$U$101,0),MATCH(A688&amp;C688&amp;E688,Foderstater!$X$63:$AL$63,0))</f>
        <v>0</v>
      </c>
      <c r="L688" s="158"/>
      <c r="M688" s="158"/>
    </row>
    <row r="689" spans="1:13" x14ac:dyDescent="0.25">
      <c r="A689" t="s">
        <v>37</v>
      </c>
      <c r="E689" t="s">
        <v>633</v>
      </c>
      <c r="F689" t="str">
        <f>Foderstater!U$81</f>
        <v>soybeans</v>
      </c>
      <c r="J689" t="s">
        <v>310</v>
      </c>
      <c r="K689" s="13">
        <f>INDEX(Foderstater!$X$64:$AL$101,MATCH(F689,Foderstater!$U$64:$U$101,0),MATCH(A689&amp;C689&amp;E689,Foderstater!$X$63:$AL$63,0))</f>
        <v>0</v>
      </c>
      <c r="L689" s="158"/>
      <c r="M689" s="158"/>
    </row>
    <row r="690" spans="1:13" x14ac:dyDescent="0.25">
      <c r="A690" t="s">
        <v>37</v>
      </c>
      <c r="E690" t="s">
        <v>633</v>
      </c>
      <c r="F690" t="str">
        <f>Foderstater!U$82</f>
        <v>soybean meal</v>
      </c>
      <c r="J690" t="s">
        <v>310</v>
      </c>
      <c r="K690" s="13">
        <f>INDEX(Foderstater!$X$64:$AL$101,MATCH(F690,Foderstater!$U$64:$U$101,0),MATCH(A690&amp;C690&amp;E690,Foderstater!$X$63:$AL$63,0))</f>
        <v>0</v>
      </c>
      <c r="L690" s="158"/>
      <c r="M690" s="158"/>
    </row>
    <row r="691" spans="1:13" x14ac:dyDescent="0.25">
      <c r="A691" t="s">
        <v>37</v>
      </c>
      <c r="E691" t="s">
        <v>633</v>
      </c>
      <c r="F691" t="str">
        <f>Foderstater!U$83</f>
        <v>soybean protein concentrate</v>
      </c>
      <c r="J691" t="s">
        <v>310</v>
      </c>
      <c r="K691" s="13">
        <f>INDEX(Foderstater!$X$64:$AL$101,MATCH(F691,Foderstater!$U$64:$U$101,0),MATCH(A691&amp;C691&amp;E691,Foderstater!$X$63:$AL$63,0))</f>
        <v>0</v>
      </c>
      <c r="L691" s="158"/>
      <c r="M691" s="158"/>
    </row>
    <row r="692" spans="1:13" x14ac:dyDescent="0.25">
      <c r="A692" t="s">
        <v>37</v>
      </c>
      <c r="B692" t="s">
        <v>1</v>
      </c>
      <c r="E692" t="s">
        <v>633</v>
      </c>
      <c r="F692" t="str">
        <f>Foderstater!U$84</f>
        <v>rapeseed meal</v>
      </c>
      <c r="J692" t="s">
        <v>310</v>
      </c>
      <c r="K692" s="13">
        <f>INDEX(Foderstater!$X$64:$AL$101,MATCH(F692,Foderstater!$U$64:$U$101,0),MATCH(A692&amp;C692&amp;E692,Foderstater!$X$63:$AL$63,0))</f>
        <v>0</v>
      </c>
      <c r="L692" s="158"/>
      <c r="M692" s="158"/>
    </row>
    <row r="693" spans="1:13" x14ac:dyDescent="0.25">
      <c r="A693" s="268" t="str">
        <f>A692</f>
        <v>beef</v>
      </c>
      <c r="B693" s="268" t="s">
        <v>5</v>
      </c>
      <c r="D693" s="268"/>
      <c r="E693" s="268" t="s">
        <v>633</v>
      </c>
      <c r="F693" s="268" t="s">
        <v>609</v>
      </c>
      <c r="J693" s="268" t="str">
        <f>J692</f>
        <v>share_in_ration</v>
      </c>
      <c r="K693" s="269">
        <f>K692</f>
        <v>0</v>
      </c>
      <c r="L693" s="158"/>
      <c r="M693" s="268" t="s">
        <v>610</v>
      </c>
    </row>
    <row r="694" spans="1:13" x14ac:dyDescent="0.25">
      <c r="A694" t="s">
        <v>37</v>
      </c>
      <c r="E694" t="s">
        <v>633</v>
      </c>
      <c r="F694" t="str">
        <f>Foderstater!U$85</f>
        <v>sunflower seed meal</v>
      </c>
      <c r="J694" t="s">
        <v>310</v>
      </c>
      <c r="K694" s="13">
        <f>INDEX(Foderstater!$X$64:$AL$101,MATCH(F694,Foderstater!$U$64:$U$101,0),MATCH(A694&amp;C694&amp;E694,Foderstater!$X$63:$AL$63,0))</f>
        <v>0</v>
      </c>
    </row>
    <row r="695" spans="1:13" x14ac:dyDescent="0.25">
      <c r="A695" t="s">
        <v>37</v>
      </c>
      <c r="E695" t="s">
        <v>633</v>
      </c>
      <c r="F695" t="str">
        <f>Foderstater!U$86</f>
        <v>palm kernel expeller</v>
      </c>
      <c r="J695" t="s">
        <v>310</v>
      </c>
      <c r="K695" s="13">
        <f>INDEX(Foderstater!$X$64:$AL$101,MATCH(F695,Foderstater!$U$64:$U$101,0),MATCH(A695&amp;C695&amp;E695,Foderstater!$X$63:$AL$63,0))</f>
        <v>0</v>
      </c>
    </row>
    <row r="696" spans="1:13" x14ac:dyDescent="0.25">
      <c r="A696" t="s">
        <v>37</v>
      </c>
      <c r="E696" t="s">
        <v>633</v>
      </c>
      <c r="F696" t="str">
        <f>Foderstater!U$87</f>
        <v>luzern meal</v>
      </c>
      <c r="J696" t="s">
        <v>310</v>
      </c>
      <c r="K696" s="13">
        <f>INDEX(Foderstater!$X$64:$AL$101,MATCH(F696,Foderstater!$U$64:$U$101,0),MATCH(A696&amp;C696&amp;E696,Foderstater!$X$63:$AL$63,0))</f>
        <v>0</v>
      </c>
    </row>
    <row r="697" spans="1:13" x14ac:dyDescent="0.25">
      <c r="A697" t="s">
        <v>37</v>
      </c>
      <c r="E697" t="s">
        <v>633</v>
      </c>
      <c r="F697" t="str">
        <f>Foderstater!U$88</f>
        <v>wheat bran</v>
      </c>
      <c r="J697" t="s">
        <v>310</v>
      </c>
      <c r="K697" s="13">
        <f>INDEX(Foderstater!$X$64:$AL$101,MATCH(F697,Foderstater!$U$64:$U$101,0),MATCH(A697&amp;C697&amp;E697,Foderstater!$X$63:$AL$63,0))</f>
        <v>0</v>
      </c>
    </row>
    <row r="698" spans="1:13" x14ac:dyDescent="0.25">
      <c r="A698" t="s">
        <v>37</v>
      </c>
      <c r="E698" t="s">
        <v>633</v>
      </c>
      <c r="F698" t="str">
        <f>Foderstater!U$89</f>
        <v>wheat bran, fine</v>
      </c>
      <c r="J698" t="s">
        <v>310</v>
      </c>
      <c r="K698" s="13">
        <f>INDEX(Foderstater!$X$64:$AL$101,MATCH(F698,Foderstater!$U$64:$U$101,0),MATCH(A698&amp;C698&amp;E698,Foderstater!$X$63:$AL$63,0))</f>
        <v>0</v>
      </c>
    </row>
    <row r="699" spans="1:13" x14ac:dyDescent="0.25">
      <c r="A699" t="s">
        <v>37</v>
      </c>
      <c r="E699" t="s">
        <v>633</v>
      </c>
      <c r="F699" t="str">
        <f>Foderstater!U$90</f>
        <v>oat hulls</v>
      </c>
      <c r="J699" t="s">
        <v>310</v>
      </c>
      <c r="K699" s="13">
        <f>INDEX(Foderstater!$X$64:$AL$101,MATCH(F699,Foderstater!$U$64:$U$101,0),MATCH(A699&amp;C699&amp;E699,Foderstater!$X$63:$AL$63,0))</f>
        <v>0</v>
      </c>
    </row>
    <row r="700" spans="1:13" x14ac:dyDescent="0.25">
      <c r="A700" t="s">
        <v>37</v>
      </c>
      <c r="E700" t="s">
        <v>633</v>
      </c>
      <c r="F700" t="str">
        <f>Foderstater!U$91</f>
        <v>oat bran</v>
      </c>
      <c r="J700" t="s">
        <v>310</v>
      </c>
      <c r="K700" s="13">
        <f>INDEX(Foderstater!$X$64:$AL$101,MATCH(F700,Foderstater!$U$64:$U$101,0),MATCH(A700&amp;C700&amp;E700,Foderstater!$X$63:$AL$63,0))</f>
        <v>0</v>
      </c>
    </row>
    <row r="701" spans="1:13" x14ac:dyDescent="0.25">
      <c r="A701" t="s">
        <v>37</v>
      </c>
      <c r="E701" t="s">
        <v>633</v>
      </c>
      <c r="F701" t="str">
        <f>Foderstater!U$92</f>
        <v>rye bran</v>
      </c>
      <c r="J701" t="s">
        <v>310</v>
      </c>
      <c r="K701" s="13">
        <f>INDEX(Foderstater!$X$64:$AL$101,MATCH(F701,Foderstater!$U$64:$U$101,0),MATCH(A701&amp;C701&amp;E701,Foderstater!$X$63:$AL$63,0))</f>
        <v>0</v>
      </c>
    </row>
    <row r="702" spans="1:13" x14ac:dyDescent="0.25">
      <c r="A702" t="s">
        <v>37</v>
      </c>
      <c r="E702" t="s">
        <v>633</v>
      </c>
      <c r="F702" t="str">
        <f>Foderstater!U$93</f>
        <v>wheat distillers grain, dry</v>
      </c>
      <c r="J702" t="s">
        <v>310</v>
      </c>
      <c r="K702" s="13">
        <f>INDEX(Foderstater!$X$64:$AL$101,MATCH(F702,Foderstater!$U$64:$U$101,0),MATCH(A702&amp;C702&amp;E702,Foderstater!$X$63:$AL$63,0))</f>
        <v>0</v>
      </c>
    </row>
    <row r="703" spans="1:13" x14ac:dyDescent="0.25">
      <c r="A703" t="s">
        <v>37</v>
      </c>
      <c r="E703" t="s">
        <v>633</v>
      </c>
      <c r="F703" t="str">
        <f>Foderstater!U$94</f>
        <v>barley brewers grain</v>
      </c>
      <c r="J703" t="s">
        <v>310</v>
      </c>
      <c r="K703" s="13">
        <f>INDEX(Foderstater!$X$64:$AL$101,MATCH(F703,Foderstater!$U$64:$U$101,0),MATCH(A703&amp;C703&amp;E703,Foderstater!$X$63:$AL$63,0))</f>
        <v>0</v>
      </c>
    </row>
    <row r="704" spans="1:13" x14ac:dyDescent="0.25">
      <c r="A704" t="s">
        <v>37</v>
      </c>
      <c r="E704" t="s">
        <v>633</v>
      </c>
      <c r="F704" t="str">
        <f>Foderstater!U$95</f>
        <v>maize gluten meal</v>
      </c>
      <c r="J704" t="s">
        <v>310</v>
      </c>
      <c r="K704" s="13">
        <f>INDEX(Foderstater!$X$64:$AL$101,MATCH(F704,Foderstater!$U$64:$U$101,0),MATCH(A704&amp;C704&amp;E704,Foderstater!$X$63:$AL$63,0))</f>
        <v>0</v>
      </c>
    </row>
    <row r="705" spans="1:14" x14ac:dyDescent="0.25">
      <c r="A705" t="s">
        <v>37</v>
      </c>
      <c r="E705" t="s">
        <v>633</v>
      </c>
      <c r="F705" t="str">
        <f>Foderstater!U$96</f>
        <v>sugar beet molasses</v>
      </c>
      <c r="J705" t="s">
        <v>310</v>
      </c>
      <c r="K705" s="13">
        <f>INDEX(Foderstater!$X$64:$AL$101,MATCH(F705,Foderstater!$U$64:$U$101,0),MATCH(A705&amp;C705&amp;E705,Foderstater!$X$63:$AL$63,0))</f>
        <v>0</v>
      </c>
    </row>
    <row r="706" spans="1:14" x14ac:dyDescent="0.25">
      <c r="A706" t="s">
        <v>37</v>
      </c>
      <c r="E706" t="s">
        <v>633</v>
      </c>
      <c r="F706" t="str">
        <f>Foderstater!U$97</f>
        <v>sugar beet pulp</v>
      </c>
      <c r="J706" t="s">
        <v>310</v>
      </c>
      <c r="K706" s="13">
        <f>INDEX(Foderstater!$X$64:$AL$101,MATCH(F706,Foderstater!$U$64:$U$101,0),MATCH(A706&amp;C706&amp;E706,Foderstater!$X$63:$AL$63,0))</f>
        <v>0</v>
      </c>
    </row>
    <row r="707" spans="1:14" x14ac:dyDescent="0.25">
      <c r="A707" t="s">
        <v>37</v>
      </c>
      <c r="E707" t="s">
        <v>633</v>
      </c>
      <c r="F707" t="str">
        <f>Foderstater!U$98</f>
        <v>whey powder</v>
      </c>
      <c r="J707" t="s">
        <v>310</v>
      </c>
      <c r="K707" s="13">
        <f>INDEX(Foderstater!$X$64:$AL$101,MATCH(F707,Foderstater!$U$64:$U$101,0),MATCH(A707&amp;C707&amp;E707,Foderstater!$X$63:$AL$63,0))</f>
        <v>0</v>
      </c>
    </row>
    <row r="708" spans="1:14" x14ac:dyDescent="0.25">
      <c r="A708" t="s">
        <v>37</v>
      </c>
      <c r="E708" t="s">
        <v>633</v>
      </c>
      <c r="F708" t="str">
        <f>Foderstater!U$99</f>
        <v>potatoe protein</v>
      </c>
      <c r="J708" t="s">
        <v>310</v>
      </c>
      <c r="K708" s="13">
        <f>INDEX(Foderstater!$X$64:$AL$101,MATCH(F708,Foderstater!$U$64:$U$101,0),MATCH(A708&amp;C708&amp;E708,Foderstater!$X$63:$AL$63,0))</f>
        <v>0</v>
      </c>
    </row>
    <row r="709" spans="1:14" x14ac:dyDescent="0.25">
      <c r="A709" t="s">
        <v>37</v>
      </c>
      <c r="E709" t="s">
        <v>633</v>
      </c>
      <c r="F709" t="str">
        <f>Foderstater!U$100</f>
        <v>fish meal</v>
      </c>
      <c r="J709" t="s">
        <v>310</v>
      </c>
      <c r="K709" s="13">
        <f>INDEX(Foderstater!$X$64:$AL$101,MATCH(F709,Foderstater!$U$64:$U$101,0),MATCH(A709&amp;C709&amp;E709,Foderstater!$X$63:$AL$63,0))</f>
        <v>0</v>
      </c>
    </row>
    <row r="710" spans="1:14" x14ac:dyDescent="0.25">
      <c r="A710" t="s">
        <v>37</v>
      </c>
      <c r="E710" t="s">
        <v>633</v>
      </c>
      <c r="F710" t="str">
        <f>Foderstater!U$101</f>
        <v>minerals</v>
      </c>
      <c r="J710" t="s">
        <v>310</v>
      </c>
      <c r="K710" s="13">
        <f>INDEX(Foderstater!$X$64:$AL$101,MATCH(F710,Foderstater!$U$64:$U$101,0),MATCH(A710&amp;C710&amp;E710,Foderstater!$X$63:$AL$63,0))</f>
        <v>0</v>
      </c>
    </row>
    <row r="712" spans="1:14" x14ac:dyDescent="0.25">
      <c r="A712" s="91" t="s">
        <v>68</v>
      </c>
      <c r="B712" s="162"/>
      <c r="C712" s="162"/>
      <c r="D712" s="90"/>
      <c r="E712" s="90"/>
      <c r="F712" s="90"/>
      <c r="G712" s="90"/>
      <c r="H712" s="90"/>
      <c r="I712" s="90"/>
      <c r="J712" s="90"/>
      <c r="K712" s="163"/>
      <c r="L712" s="90"/>
      <c r="M712" s="90"/>
      <c r="N712" s="90"/>
    </row>
    <row r="713" spans="1:14" x14ac:dyDescent="0.25">
      <c r="A713" s="158" t="s">
        <v>37</v>
      </c>
      <c r="B713" s="158"/>
      <c r="C713" s="158"/>
      <c r="D713" s="158"/>
      <c r="E713" s="158" t="s">
        <v>32</v>
      </c>
      <c r="J713" s="158" t="s">
        <v>310</v>
      </c>
      <c r="K713" s="158">
        <v>0</v>
      </c>
      <c r="L713" s="158"/>
      <c r="M713" s="158" t="s">
        <v>401</v>
      </c>
    </row>
    <row r="714" spans="1:14" x14ac:dyDescent="0.25">
      <c r="A714" t="s">
        <v>37</v>
      </c>
      <c r="E714" t="s">
        <v>32</v>
      </c>
      <c r="F714" t="str">
        <f>Foderstater!U$64</f>
        <v>ley silage, 1st cut</v>
      </c>
      <c r="J714" t="s">
        <v>310</v>
      </c>
      <c r="K714" s="13">
        <f>INDEX(Foderstater!$X$64:$AL$101,MATCH(F714,Foderstater!$U$64:$U$101,0),MATCH(A714&amp;C714&amp;E714,Foderstater!$X$63:$AL$63,0))</f>
        <v>0</v>
      </c>
      <c r="L714" s="158"/>
      <c r="M714" s="158"/>
    </row>
    <row r="715" spans="1:14" x14ac:dyDescent="0.25">
      <c r="A715" t="s">
        <v>37</v>
      </c>
      <c r="E715" t="s">
        <v>32</v>
      </c>
      <c r="F715" t="str">
        <f>Foderstater!U$65</f>
        <v>ley silage, regrowth</v>
      </c>
      <c r="J715" t="s">
        <v>310</v>
      </c>
      <c r="K715" s="13">
        <f>INDEX(Foderstater!$X$64:$AL$101,MATCH(F715,Foderstater!$U$64:$U$101,0),MATCH(A715&amp;C715&amp;E715,Foderstater!$X$63:$AL$63,0))</f>
        <v>68.854768967576106</v>
      </c>
      <c r="L715" s="158"/>
      <c r="M715" s="158"/>
    </row>
    <row r="716" spans="1:14" x14ac:dyDescent="0.25">
      <c r="A716" t="s">
        <v>37</v>
      </c>
      <c r="E716" t="s">
        <v>32</v>
      </c>
      <c r="F716" t="str">
        <f>Foderstater!U$66</f>
        <v>other silage</v>
      </c>
      <c r="J716" t="s">
        <v>310</v>
      </c>
      <c r="K716" s="13">
        <f>INDEX(Foderstater!$X$64:$AL$101,MATCH(F716,Foderstater!$U$64:$U$101,0),MATCH(A716&amp;C716&amp;E716,Foderstater!$X$63:$AL$63,0))</f>
        <v>0</v>
      </c>
      <c r="L716" s="158"/>
      <c r="M716" s="158"/>
    </row>
    <row r="717" spans="1:14" x14ac:dyDescent="0.25">
      <c r="A717" t="s">
        <v>37</v>
      </c>
      <c r="E717" t="s">
        <v>32</v>
      </c>
      <c r="F717" t="str">
        <f>Foderstater!U$67</f>
        <v>maize silage</v>
      </c>
      <c r="J717" t="s">
        <v>310</v>
      </c>
      <c r="K717" s="13">
        <f>INDEX(Foderstater!$X$64:$AL$101,MATCH(F717,Foderstater!$U$64:$U$101,0),MATCH(A717&amp;C717&amp;E717,Foderstater!$X$63:$AL$63,0))</f>
        <v>0</v>
      </c>
      <c r="L717" s="158"/>
      <c r="M717" s="158"/>
    </row>
    <row r="718" spans="1:14" x14ac:dyDescent="0.25">
      <c r="A718" t="s">
        <v>37</v>
      </c>
      <c r="E718" t="s">
        <v>32</v>
      </c>
      <c r="F718" t="str">
        <f>Foderstater!U$68</f>
        <v>straw</v>
      </c>
      <c r="J718" t="s">
        <v>310</v>
      </c>
      <c r="K718" s="13">
        <f>INDEX(Foderstater!$X$64:$AL$101,MATCH(F718,Foderstater!$U$64:$U$101,0),MATCH(A718&amp;C718&amp;E718,Foderstater!$X$63:$AL$63,0))</f>
        <v>0</v>
      </c>
      <c r="L718" s="158"/>
      <c r="M718" s="158"/>
    </row>
    <row r="719" spans="1:14" x14ac:dyDescent="0.25">
      <c r="A719" t="s">
        <v>37</v>
      </c>
      <c r="E719" t="s">
        <v>32</v>
      </c>
      <c r="F719" t="str">
        <f>Foderstater!U$69</f>
        <v>grazing</v>
      </c>
      <c r="J719" t="s">
        <v>310</v>
      </c>
      <c r="K719" s="13">
        <f>INDEX(Foderstater!$X$64:$AL$101,MATCH(F719,Foderstater!$U$64:$U$101,0),MATCH(A719&amp;C719&amp;E719,Foderstater!$X$63:$AL$63,0))</f>
        <v>30.425854259446911</v>
      </c>
      <c r="L719" s="158"/>
      <c r="M719" s="158"/>
    </row>
    <row r="720" spans="1:14" x14ac:dyDescent="0.25">
      <c r="A720" t="s">
        <v>37</v>
      </c>
      <c r="E720" t="s">
        <v>32</v>
      </c>
      <c r="F720" t="str">
        <f>Foderstater!U$70</f>
        <v>wheat</v>
      </c>
      <c r="J720" t="s">
        <v>310</v>
      </c>
      <c r="K720" s="13">
        <f>INDEX(Foderstater!$X$64:$AL$101,MATCH(F720,Foderstater!$U$64:$U$101,0),MATCH(A720&amp;C720&amp;E720,Foderstater!$X$63:$AL$63,0))</f>
        <v>0</v>
      </c>
      <c r="L720" s="158"/>
      <c r="M720" s="158"/>
    </row>
    <row r="721" spans="1:13" x14ac:dyDescent="0.25">
      <c r="A721" t="s">
        <v>37</v>
      </c>
      <c r="E721" t="s">
        <v>32</v>
      </c>
      <c r="F721" t="str">
        <f>Foderstater!U$71</f>
        <v>barley</v>
      </c>
      <c r="J721" t="s">
        <v>310</v>
      </c>
      <c r="K721" s="13">
        <f>INDEX(Foderstater!$X$64:$AL$101,MATCH(F721,Foderstater!$U$64:$U$101,0),MATCH(A721&amp;C721&amp;E721,Foderstater!$X$63:$AL$63,0))</f>
        <v>0</v>
      </c>
      <c r="L721" s="158"/>
      <c r="M721" s="158"/>
    </row>
    <row r="722" spans="1:13" x14ac:dyDescent="0.25">
      <c r="A722" t="s">
        <v>37</v>
      </c>
      <c r="E722" t="s">
        <v>32</v>
      </c>
      <c r="F722" t="str">
        <f>Foderstater!U$72</f>
        <v>oats</v>
      </c>
      <c r="J722" t="s">
        <v>310</v>
      </c>
      <c r="K722" s="13">
        <f>INDEX(Foderstater!$X$64:$AL$101,MATCH(F722,Foderstater!$U$64:$U$101,0),MATCH(A722&amp;C722&amp;E722,Foderstater!$X$63:$AL$63,0))</f>
        <v>0</v>
      </c>
      <c r="L722" s="158"/>
      <c r="M722" s="158"/>
    </row>
    <row r="723" spans="1:13" x14ac:dyDescent="0.25">
      <c r="A723" t="s">
        <v>37</v>
      </c>
      <c r="E723" t="s">
        <v>32</v>
      </c>
      <c r="F723" t="str">
        <f>Foderstater!U$73</f>
        <v>triticale</v>
      </c>
      <c r="J723" t="s">
        <v>310</v>
      </c>
      <c r="K723" s="13">
        <f>INDEX(Foderstater!$X$64:$AL$101,MATCH(F723,Foderstater!$U$64:$U$101,0),MATCH(A723&amp;C723&amp;E723,Foderstater!$X$63:$AL$63,0))</f>
        <v>0</v>
      </c>
      <c r="L723" s="158"/>
      <c r="M723" s="158"/>
    </row>
    <row r="724" spans="1:13" x14ac:dyDescent="0.25">
      <c r="A724" t="s">
        <v>37</v>
      </c>
      <c r="E724" t="s">
        <v>32</v>
      </c>
      <c r="F724" t="str">
        <f>Foderstater!U$74</f>
        <v>rye</v>
      </c>
      <c r="J724" t="s">
        <v>310</v>
      </c>
      <c r="K724" s="13">
        <f>INDEX(Foderstater!$X$64:$AL$101,MATCH(F724,Foderstater!$U$64:$U$101,0),MATCH(A724&amp;C724&amp;E724,Foderstater!$X$63:$AL$63,0))</f>
        <v>0</v>
      </c>
      <c r="L724" s="158"/>
      <c r="M724" s="158"/>
    </row>
    <row r="725" spans="1:13" x14ac:dyDescent="0.25">
      <c r="A725" t="s">
        <v>37</v>
      </c>
      <c r="E725" t="s">
        <v>32</v>
      </c>
      <c r="F725" t="str">
        <f>Foderstater!U$75</f>
        <v>maize</v>
      </c>
      <c r="J725" t="s">
        <v>310</v>
      </c>
      <c r="K725" s="13">
        <f>INDEX(Foderstater!$X$64:$AL$101,MATCH(F725,Foderstater!$U$64:$U$101,0),MATCH(A725&amp;C725&amp;E725,Foderstater!$X$63:$AL$63,0))</f>
        <v>0</v>
      </c>
      <c r="L725" s="158"/>
      <c r="M725" s="158"/>
    </row>
    <row r="726" spans="1:13" x14ac:dyDescent="0.25">
      <c r="A726" t="s">
        <v>37</v>
      </c>
      <c r="E726" t="s">
        <v>32</v>
      </c>
      <c r="F726" t="str">
        <f>Foderstater!U$76</f>
        <v>peas</v>
      </c>
      <c r="J726" t="s">
        <v>310</v>
      </c>
      <c r="K726" s="13">
        <f>INDEX(Foderstater!$X$64:$AL$101,MATCH(F726,Foderstater!$U$64:$U$101,0),MATCH(A726&amp;C726&amp;E726,Foderstater!$X$63:$AL$63,0))</f>
        <v>0</v>
      </c>
      <c r="L726" s="158"/>
      <c r="M726" s="158"/>
    </row>
    <row r="727" spans="1:13" x14ac:dyDescent="0.25">
      <c r="A727" t="s">
        <v>37</v>
      </c>
      <c r="E727" t="s">
        <v>32</v>
      </c>
      <c r="F727" t="str">
        <f>Foderstater!U$77</f>
        <v>broad beans</v>
      </c>
      <c r="J727" t="s">
        <v>310</v>
      </c>
      <c r="K727" s="13">
        <f>INDEX(Foderstater!$X$64:$AL$101,MATCH(F727,Foderstater!$U$64:$U$101,0),MATCH(A727&amp;C727&amp;E727,Foderstater!$X$63:$AL$63,0))</f>
        <v>0</v>
      </c>
      <c r="L727" s="158"/>
      <c r="M727" s="158"/>
    </row>
    <row r="728" spans="1:13" x14ac:dyDescent="0.25">
      <c r="A728" t="s">
        <v>37</v>
      </c>
      <c r="E728" t="s">
        <v>32</v>
      </c>
      <c r="F728" t="str">
        <f>Foderstater!U$78</f>
        <v>rapeseed</v>
      </c>
      <c r="J728" t="s">
        <v>310</v>
      </c>
      <c r="K728" s="13">
        <f>INDEX(Foderstater!$X$64:$AL$101,MATCH(F728,Foderstater!$U$64:$U$101,0),MATCH(A728&amp;C728&amp;E728,Foderstater!$X$63:$AL$63,0))</f>
        <v>0</v>
      </c>
      <c r="L728" s="158"/>
      <c r="M728" s="158"/>
    </row>
    <row r="729" spans="1:13" x14ac:dyDescent="0.25">
      <c r="A729" t="s">
        <v>37</v>
      </c>
      <c r="E729" t="s">
        <v>32</v>
      </c>
      <c r="F729" t="str">
        <f>Foderstater!U$79</f>
        <v>linseed</v>
      </c>
      <c r="J729" t="s">
        <v>310</v>
      </c>
      <c r="K729" s="13">
        <f>INDEX(Foderstater!$X$64:$AL$101,MATCH(F729,Foderstater!$U$64:$U$101,0),MATCH(A729&amp;C729&amp;E729,Foderstater!$X$63:$AL$63,0))</f>
        <v>0</v>
      </c>
      <c r="L729" s="158"/>
      <c r="M729" s="158"/>
    </row>
    <row r="730" spans="1:13" x14ac:dyDescent="0.25">
      <c r="A730" t="s">
        <v>37</v>
      </c>
      <c r="E730" t="s">
        <v>32</v>
      </c>
      <c r="F730" t="str">
        <f>Foderstater!U$80</f>
        <v>vegetable oils</v>
      </c>
      <c r="J730" t="s">
        <v>310</v>
      </c>
      <c r="K730" s="13">
        <f>INDEX(Foderstater!$X$64:$AL$101,MATCH(F730,Foderstater!$U$64:$U$101,0),MATCH(A730&amp;C730&amp;E730,Foderstater!$X$63:$AL$63,0))</f>
        <v>0</v>
      </c>
      <c r="L730" s="158"/>
      <c r="M730" s="158"/>
    </row>
    <row r="731" spans="1:13" x14ac:dyDescent="0.25">
      <c r="A731" t="s">
        <v>37</v>
      </c>
      <c r="E731" t="s">
        <v>32</v>
      </c>
      <c r="F731" t="str">
        <f>Foderstater!U$81</f>
        <v>soybeans</v>
      </c>
      <c r="J731" t="s">
        <v>310</v>
      </c>
      <c r="K731" s="13">
        <f>INDEX(Foderstater!$X$64:$AL$101,MATCH(F731,Foderstater!$U$64:$U$101,0),MATCH(A731&amp;C731&amp;E731,Foderstater!$X$63:$AL$63,0))</f>
        <v>0</v>
      </c>
      <c r="L731" s="158"/>
      <c r="M731" s="158"/>
    </row>
    <row r="732" spans="1:13" x14ac:dyDescent="0.25">
      <c r="A732" t="s">
        <v>37</v>
      </c>
      <c r="E732" t="s">
        <v>32</v>
      </c>
      <c r="F732" t="str">
        <f>Foderstater!U$82</f>
        <v>soybean meal</v>
      </c>
      <c r="J732" t="s">
        <v>310</v>
      </c>
      <c r="K732" s="13">
        <f>INDEX(Foderstater!$X$64:$AL$101,MATCH(F732,Foderstater!$U$64:$U$101,0),MATCH(A732&amp;C732&amp;E732,Foderstater!$X$63:$AL$63,0))</f>
        <v>0</v>
      </c>
      <c r="L732" s="158"/>
      <c r="M732" s="158"/>
    </row>
    <row r="733" spans="1:13" x14ac:dyDescent="0.25">
      <c r="A733" t="s">
        <v>37</v>
      </c>
      <c r="E733" t="s">
        <v>32</v>
      </c>
      <c r="F733" t="str">
        <f>Foderstater!U$83</f>
        <v>soybean protein concentrate</v>
      </c>
      <c r="J733" t="s">
        <v>310</v>
      </c>
      <c r="K733" s="13">
        <f>INDEX(Foderstater!$X$64:$AL$101,MATCH(F733,Foderstater!$U$64:$U$101,0),MATCH(A733&amp;C733&amp;E733,Foderstater!$X$63:$AL$63,0))</f>
        <v>0</v>
      </c>
      <c r="L733" s="158"/>
      <c r="M733" s="158"/>
    </row>
    <row r="734" spans="1:13" x14ac:dyDescent="0.25">
      <c r="A734" t="s">
        <v>37</v>
      </c>
      <c r="B734" t="s">
        <v>1</v>
      </c>
      <c r="E734" t="s">
        <v>32</v>
      </c>
      <c r="F734" t="str">
        <f>Foderstater!U$84</f>
        <v>rapeseed meal</v>
      </c>
      <c r="J734" t="s">
        <v>310</v>
      </c>
      <c r="K734" s="13">
        <f>INDEX(Foderstater!$X$64:$AL$101,MATCH(F734,Foderstater!$U$64:$U$101,0),MATCH(A734&amp;C734&amp;E734,Foderstater!$X$63:$AL$63,0))</f>
        <v>0</v>
      </c>
      <c r="L734" s="158"/>
      <c r="M734" s="158"/>
    </row>
    <row r="735" spans="1:13" x14ac:dyDescent="0.25">
      <c r="A735" s="268" t="str">
        <f>A734</f>
        <v>beef</v>
      </c>
      <c r="B735" s="268" t="s">
        <v>5</v>
      </c>
      <c r="D735" s="268"/>
      <c r="E735" s="268" t="s">
        <v>32</v>
      </c>
      <c r="F735" s="268" t="s">
        <v>609</v>
      </c>
      <c r="J735" s="268" t="str">
        <f>J734</f>
        <v>share_in_ration</v>
      </c>
      <c r="K735" s="269">
        <f>K734</f>
        <v>0</v>
      </c>
      <c r="L735" s="158"/>
      <c r="M735" s="268" t="s">
        <v>610</v>
      </c>
    </row>
    <row r="736" spans="1:13" x14ac:dyDescent="0.25">
      <c r="A736" t="s">
        <v>37</v>
      </c>
      <c r="E736" t="s">
        <v>32</v>
      </c>
      <c r="F736" t="str">
        <f>Foderstater!U$85</f>
        <v>sunflower seed meal</v>
      </c>
      <c r="J736" t="s">
        <v>310</v>
      </c>
      <c r="K736" s="13">
        <f>INDEX(Foderstater!$X$64:$AL$101,MATCH(F736,Foderstater!$U$64:$U$101,0),MATCH(A736&amp;C736&amp;E736,Foderstater!$X$63:$AL$63,0))</f>
        <v>0</v>
      </c>
    </row>
    <row r="737" spans="1:11" x14ac:dyDescent="0.25">
      <c r="A737" t="s">
        <v>37</v>
      </c>
      <c r="E737" t="s">
        <v>32</v>
      </c>
      <c r="F737" t="str">
        <f>Foderstater!U$86</f>
        <v>palm kernel expeller</v>
      </c>
      <c r="J737" t="s">
        <v>310</v>
      </c>
      <c r="K737" s="13">
        <f>INDEX(Foderstater!$X$64:$AL$101,MATCH(F737,Foderstater!$U$64:$U$101,0),MATCH(A737&amp;C737&amp;E737,Foderstater!$X$63:$AL$63,0))</f>
        <v>0</v>
      </c>
    </row>
    <row r="738" spans="1:11" x14ac:dyDescent="0.25">
      <c r="A738" t="s">
        <v>37</v>
      </c>
      <c r="E738" t="s">
        <v>32</v>
      </c>
      <c r="F738" t="str">
        <f>Foderstater!U$87</f>
        <v>luzern meal</v>
      </c>
      <c r="J738" t="s">
        <v>310</v>
      </c>
      <c r="K738" s="13">
        <f>INDEX(Foderstater!$X$64:$AL$101,MATCH(F738,Foderstater!$U$64:$U$101,0),MATCH(A738&amp;C738&amp;E738,Foderstater!$X$63:$AL$63,0))</f>
        <v>0</v>
      </c>
    </row>
    <row r="739" spans="1:11" x14ac:dyDescent="0.25">
      <c r="A739" t="s">
        <v>37</v>
      </c>
      <c r="E739" t="s">
        <v>32</v>
      </c>
      <c r="F739" t="str">
        <f>Foderstater!U$88</f>
        <v>wheat bran</v>
      </c>
      <c r="J739" t="s">
        <v>310</v>
      </c>
      <c r="K739" s="13">
        <f>INDEX(Foderstater!$X$64:$AL$101,MATCH(F739,Foderstater!$U$64:$U$101,0),MATCH(A739&amp;C739&amp;E739,Foderstater!$X$63:$AL$63,0))</f>
        <v>0</v>
      </c>
    </row>
    <row r="740" spans="1:11" x14ac:dyDescent="0.25">
      <c r="A740" t="s">
        <v>37</v>
      </c>
      <c r="E740" t="s">
        <v>32</v>
      </c>
      <c r="F740" t="str">
        <f>Foderstater!U$89</f>
        <v>wheat bran, fine</v>
      </c>
      <c r="J740" t="s">
        <v>310</v>
      </c>
      <c r="K740" s="13">
        <f>INDEX(Foderstater!$X$64:$AL$101,MATCH(F740,Foderstater!$U$64:$U$101,0),MATCH(A740&amp;C740&amp;E740,Foderstater!$X$63:$AL$63,0))</f>
        <v>0</v>
      </c>
    </row>
    <row r="741" spans="1:11" x14ac:dyDescent="0.25">
      <c r="A741" t="s">
        <v>37</v>
      </c>
      <c r="E741" t="s">
        <v>32</v>
      </c>
      <c r="F741" t="str">
        <f>Foderstater!U$90</f>
        <v>oat hulls</v>
      </c>
      <c r="J741" t="s">
        <v>310</v>
      </c>
      <c r="K741" s="13">
        <f>INDEX(Foderstater!$X$64:$AL$101,MATCH(F741,Foderstater!$U$64:$U$101,0),MATCH(A741&amp;C741&amp;E741,Foderstater!$X$63:$AL$63,0))</f>
        <v>0</v>
      </c>
    </row>
    <row r="742" spans="1:11" x14ac:dyDescent="0.25">
      <c r="A742" t="s">
        <v>37</v>
      </c>
      <c r="E742" t="s">
        <v>32</v>
      </c>
      <c r="F742" t="str">
        <f>Foderstater!U$91</f>
        <v>oat bran</v>
      </c>
      <c r="J742" t="s">
        <v>310</v>
      </c>
      <c r="K742" s="13">
        <f>INDEX(Foderstater!$X$64:$AL$101,MATCH(F742,Foderstater!$U$64:$U$101,0),MATCH(A742&amp;C742&amp;E742,Foderstater!$X$63:$AL$63,0))</f>
        <v>0</v>
      </c>
    </row>
    <row r="743" spans="1:11" x14ac:dyDescent="0.25">
      <c r="A743" t="s">
        <v>37</v>
      </c>
      <c r="E743" t="s">
        <v>32</v>
      </c>
      <c r="F743" t="str">
        <f>Foderstater!U$92</f>
        <v>rye bran</v>
      </c>
      <c r="J743" t="s">
        <v>310</v>
      </c>
      <c r="K743" s="13">
        <f>INDEX(Foderstater!$X$64:$AL$101,MATCH(F743,Foderstater!$U$64:$U$101,0),MATCH(A743&amp;C743&amp;E743,Foderstater!$X$63:$AL$63,0))</f>
        <v>0</v>
      </c>
    </row>
    <row r="744" spans="1:11" x14ac:dyDescent="0.25">
      <c r="A744" t="s">
        <v>37</v>
      </c>
      <c r="E744" t="s">
        <v>32</v>
      </c>
      <c r="F744" t="str">
        <f>Foderstater!U$93</f>
        <v>wheat distillers grain, dry</v>
      </c>
      <c r="J744" t="s">
        <v>310</v>
      </c>
      <c r="K744" s="13">
        <f>INDEX(Foderstater!$X$64:$AL$101,MATCH(F744,Foderstater!$U$64:$U$101,0),MATCH(A744&amp;C744&amp;E744,Foderstater!$X$63:$AL$63,0))</f>
        <v>0</v>
      </c>
    </row>
    <row r="745" spans="1:11" x14ac:dyDescent="0.25">
      <c r="A745" t="s">
        <v>37</v>
      </c>
      <c r="E745" t="s">
        <v>32</v>
      </c>
      <c r="F745" t="str">
        <f>Foderstater!U$94</f>
        <v>barley brewers grain</v>
      </c>
      <c r="J745" t="s">
        <v>310</v>
      </c>
      <c r="K745" s="13">
        <f>INDEX(Foderstater!$X$64:$AL$101,MATCH(F745,Foderstater!$U$64:$U$101,0),MATCH(A745&amp;C745&amp;E745,Foderstater!$X$63:$AL$63,0))</f>
        <v>0</v>
      </c>
    </row>
    <row r="746" spans="1:11" x14ac:dyDescent="0.25">
      <c r="A746" t="s">
        <v>37</v>
      </c>
      <c r="E746" t="s">
        <v>32</v>
      </c>
      <c r="F746" t="str">
        <f>Foderstater!U$95</f>
        <v>maize gluten meal</v>
      </c>
      <c r="J746" t="s">
        <v>310</v>
      </c>
      <c r="K746" s="13">
        <f>INDEX(Foderstater!$X$64:$AL$101,MATCH(F746,Foderstater!$U$64:$U$101,0),MATCH(A746&amp;C746&amp;E746,Foderstater!$X$63:$AL$63,0))</f>
        <v>0</v>
      </c>
    </row>
    <row r="747" spans="1:11" x14ac:dyDescent="0.25">
      <c r="A747" t="s">
        <v>37</v>
      </c>
      <c r="E747" t="s">
        <v>32</v>
      </c>
      <c r="F747" t="str">
        <f>Foderstater!U$96</f>
        <v>sugar beet molasses</v>
      </c>
      <c r="J747" t="s">
        <v>310</v>
      </c>
      <c r="K747" s="13">
        <f>INDEX(Foderstater!$X$64:$AL$101,MATCH(F747,Foderstater!$U$64:$U$101,0),MATCH(A747&amp;C747&amp;E747,Foderstater!$X$63:$AL$63,0))</f>
        <v>0</v>
      </c>
    </row>
    <row r="748" spans="1:11" x14ac:dyDescent="0.25">
      <c r="A748" t="s">
        <v>37</v>
      </c>
      <c r="E748" t="s">
        <v>32</v>
      </c>
      <c r="F748" t="str">
        <f>Foderstater!U$97</f>
        <v>sugar beet pulp</v>
      </c>
      <c r="J748" t="s">
        <v>310</v>
      </c>
      <c r="K748" s="13">
        <f>INDEX(Foderstater!$X$64:$AL$101,MATCH(F748,Foderstater!$U$64:$U$101,0),MATCH(A748&amp;C748&amp;E748,Foderstater!$X$63:$AL$63,0))</f>
        <v>0</v>
      </c>
    </row>
    <row r="749" spans="1:11" x14ac:dyDescent="0.25">
      <c r="A749" t="s">
        <v>37</v>
      </c>
      <c r="E749" t="s">
        <v>32</v>
      </c>
      <c r="F749" t="str">
        <f>Foderstater!U$98</f>
        <v>whey powder</v>
      </c>
      <c r="J749" t="s">
        <v>310</v>
      </c>
      <c r="K749" s="13">
        <f>INDEX(Foderstater!$X$64:$AL$101,MATCH(F749,Foderstater!$U$64:$U$101,0),MATCH(A749&amp;C749&amp;E749,Foderstater!$X$63:$AL$63,0))</f>
        <v>0</v>
      </c>
    </row>
    <row r="750" spans="1:11" x14ac:dyDescent="0.25">
      <c r="A750" t="s">
        <v>37</v>
      </c>
      <c r="E750" t="s">
        <v>32</v>
      </c>
      <c r="F750" t="str">
        <f>Foderstater!U$99</f>
        <v>potatoe protein</v>
      </c>
      <c r="J750" t="s">
        <v>310</v>
      </c>
      <c r="K750" s="13">
        <f>INDEX(Foderstater!$X$64:$AL$101,MATCH(F750,Foderstater!$U$64:$U$101,0),MATCH(A750&amp;C750&amp;E750,Foderstater!$X$63:$AL$63,0))</f>
        <v>0</v>
      </c>
    </row>
    <row r="751" spans="1:11" x14ac:dyDescent="0.25">
      <c r="A751" t="s">
        <v>37</v>
      </c>
      <c r="E751" t="s">
        <v>32</v>
      </c>
      <c r="F751" t="str">
        <f>Foderstater!U$100</f>
        <v>fish meal</v>
      </c>
      <c r="J751" t="s">
        <v>310</v>
      </c>
      <c r="K751" s="13">
        <f>INDEX(Foderstater!$X$64:$AL$101,MATCH(F751,Foderstater!$U$64:$U$101,0),MATCH(A751&amp;C751&amp;E751,Foderstater!$X$63:$AL$63,0))</f>
        <v>0</v>
      </c>
    </row>
    <row r="752" spans="1:11" x14ac:dyDescent="0.25">
      <c r="A752" t="s">
        <v>37</v>
      </c>
      <c r="E752" t="s">
        <v>32</v>
      </c>
      <c r="F752" t="str">
        <f>Foderstater!U$101</f>
        <v>minerals</v>
      </c>
      <c r="J752" t="s">
        <v>310</v>
      </c>
      <c r="K752" s="13">
        <f>INDEX(Foderstater!$X$64:$AL$101,MATCH(F752,Foderstater!$U$64:$U$101,0),MATCH(A752&amp;C752&amp;E752,Foderstater!$X$63:$AL$63,0))</f>
        <v>0.71937677297698155</v>
      </c>
    </row>
    <row r="753" spans="1:14" x14ac:dyDescent="0.25">
      <c r="K753" s="13"/>
    </row>
    <row r="754" spans="1:14" x14ac:dyDescent="0.25">
      <c r="A754" s="91" t="s">
        <v>71</v>
      </c>
      <c r="B754" s="162"/>
      <c r="C754" s="162"/>
      <c r="D754" s="90"/>
      <c r="E754" s="90"/>
      <c r="F754" s="90"/>
      <c r="G754" s="90"/>
      <c r="H754" s="90"/>
      <c r="I754" s="90"/>
      <c r="J754" s="90"/>
      <c r="K754" s="163"/>
      <c r="L754" s="90"/>
      <c r="M754" s="90"/>
      <c r="N754" s="90"/>
    </row>
    <row r="755" spans="1:14" x14ac:dyDescent="0.25">
      <c r="A755" s="158" t="s">
        <v>37</v>
      </c>
      <c r="B755" s="158"/>
      <c r="C755" s="158"/>
      <c r="D755" s="158"/>
      <c r="E755" s="158" t="s">
        <v>33</v>
      </c>
      <c r="J755" s="158" t="s">
        <v>310</v>
      </c>
      <c r="K755" s="158">
        <v>0</v>
      </c>
      <c r="L755" s="158"/>
      <c r="M755" s="158" t="s">
        <v>401</v>
      </c>
    </row>
    <row r="756" spans="1:14" x14ac:dyDescent="0.25">
      <c r="A756" t="s">
        <v>37</v>
      </c>
      <c r="E756" t="s">
        <v>33</v>
      </c>
      <c r="F756" t="str">
        <f>Foderstater!U$64</f>
        <v>ley silage, 1st cut</v>
      </c>
      <c r="J756" t="s">
        <v>310</v>
      </c>
      <c r="K756" s="13">
        <f>INDEX(Foderstater!$X$64:$AL$101,MATCH(F756,Foderstater!$U$64:$U$101,0),MATCH(A756&amp;C756&amp;E756,Foderstater!$X$63:$AL$63,0))</f>
        <v>0</v>
      </c>
      <c r="L756" s="158"/>
      <c r="M756" s="158"/>
    </row>
    <row r="757" spans="1:14" x14ac:dyDescent="0.25">
      <c r="A757" t="s">
        <v>37</v>
      </c>
      <c r="E757" t="s">
        <v>33</v>
      </c>
      <c r="F757" t="str">
        <f>Foderstater!U$65</f>
        <v>ley silage, regrowth</v>
      </c>
      <c r="J757" t="s">
        <v>310</v>
      </c>
      <c r="K757" s="13">
        <f>INDEX(Foderstater!$X$64:$AL$101,MATCH(F757,Foderstater!$U$64:$U$101,0),MATCH(A757&amp;C757&amp;E757,Foderstater!$X$63:$AL$63,0))</f>
        <v>69.016974351370379</v>
      </c>
      <c r="L757" s="158"/>
      <c r="M757" s="158"/>
    </row>
    <row r="758" spans="1:14" x14ac:dyDescent="0.25">
      <c r="A758" t="s">
        <v>37</v>
      </c>
      <c r="E758" t="s">
        <v>33</v>
      </c>
      <c r="F758" t="str">
        <f>Foderstater!U$66</f>
        <v>other silage</v>
      </c>
      <c r="J758" t="s">
        <v>310</v>
      </c>
      <c r="K758" s="13">
        <f>INDEX(Foderstater!$X$64:$AL$101,MATCH(F758,Foderstater!$U$64:$U$101,0),MATCH(A758&amp;C758&amp;E758,Foderstater!$X$63:$AL$63,0))</f>
        <v>0</v>
      </c>
      <c r="L758" s="158"/>
      <c r="M758" s="158"/>
    </row>
    <row r="759" spans="1:14" x14ac:dyDescent="0.25">
      <c r="A759" t="s">
        <v>37</v>
      </c>
      <c r="E759" t="s">
        <v>33</v>
      </c>
      <c r="F759" t="str">
        <f>Foderstater!U$67</f>
        <v>maize silage</v>
      </c>
      <c r="J759" t="s">
        <v>310</v>
      </c>
      <c r="K759" s="13">
        <f>INDEX(Foderstater!$X$64:$AL$101,MATCH(F759,Foderstater!$U$64:$U$101,0),MATCH(A759&amp;C759&amp;E759,Foderstater!$X$63:$AL$63,0))</f>
        <v>0</v>
      </c>
      <c r="L759" s="158"/>
      <c r="M759" s="158"/>
    </row>
    <row r="760" spans="1:14" x14ac:dyDescent="0.25">
      <c r="A760" t="s">
        <v>37</v>
      </c>
      <c r="E760" t="s">
        <v>33</v>
      </c>
      <c r="F760" t="str">
        <f>Foderstater!U$68</f>
        <v>straw</v>
      </c>
      <c r="J760" t="s">
        <v>310</v>
      </c>
      <c r="K760" s="13">
        <f>INDEX(Foderstater!$X$64:$AL$101,MATCH(F760,Foderstater!$U$64:$U$101,0),MATCH(A760&amp;C760&amp;E760,Foderstater!$X$63:$AL$63,0))</f>
        <v>0</v>
      </c>
      <c r="L760" s="158"/>
      <c r="M760" s="158"/>
    </row>
    <row r="761" spans="1:14" x14ac:dyDescent="0.25">
      <c r="A761" t="s">
        <v>37</v>
      </c>
      <c r="E761" t="s">
        <v>33</v>
      </c>
      <c r="F761" t="str">
        <f>Foderstater!U$69</f>
        <v>grazing</v>
      </c>
      <c r="J761" t="s">
        <v>310</v>
      </c>
      <c r="K761" s="13">
        <f>INDEX(Foderstater!$X$64:$AL$101,MATCH(F761,Foderstater!$U$64:$U$101,0),MATCH(A761&amp;C761&amp;E761,Foderstater!$X$63:$AL$63,0))</f>
        <v>30.282083494235561</v>
      </c>
      <c r="L761" s="158"/>
      <c r="M761" s="158"/>
    </row>
    <row r="762" spans="1:14" x14ac:dyDescent="0.25">
      <c r="A762" t="s">
        <v>37</v>
      </c>
      <c r="E762" t="s">
        <v>33</v>
      </c>
      <c r="F762" t="str">
        <f>Foderstater!U$70</f>
        <v>wheat</v>
      </c>
      <c r="J762" t="s">
        <v>310</v>
      </c>
      <c r="K762" s="13">
        <f>INDEX(Foderstater!$X$64:$AL$101,MATCH(F762,Foderstater!$U$64:$U$101,0),MATCH(A762&amp;C762&amp;E762,Foderstater!$X$63:$AL$63,0))</f>
        <v>0</v>
      </c>
      <c r="L762" s="158"/>
      <c r="M762" s="158"/>
    </row>
    <row r="763" spans="1:14" x14ac:dyDescent="0.25">
      <c r="A763" t="s">
        <v>37</v>
      </c>
      <c r="E763" t="s">
        <v>33</v>
      </c>
      <c r="F763" t="str">
        <f>Foderstater!U$71</f>
        <v>barley</v>
      </c>
      <c r="J763" t="s">
        <v>310</v>
      </c>
      <c r="K763" s="13">
        <f>INDEX(Foderstater!$X$64:$AL$101,MATCH(F763,Foderstater!$U$64:$U$101,0),MATCH(A763&amp;C763&amp;E763,Foderstater!$X$63:$AL$63,0))</f>
        <v>0</v>
      </c>
      <c r="L763" s="158"/>
      <c r="M763" s="158"/>
    </row>
    <row r="764" spans="1:14" x14ac:dyDescent="0.25">
      <c r="A764" t="s">
        <v>37</v>
      </c>
      <c r="E764" t="s">
        <v>33</v>
      </c>
      <c r="F764" t="str">
        <f>Foderstater!U$72</f>
        <v>oats</v>
      </c>
      <c r="J764" t="s">
        <v>310</v>
      </c>
      <c r="K764" s="13">
        <f>INDEX(Foderstater!$X$64:$AL$101,MATCH(F764,Foderstater!$U$64:$U$101,0),MATCH(A764&amp;C764&amp;E764,Foderstater!$X$63:$AL$63,0))</f>
        <v>0</v>
      </c>
      <c r="L764" s="158"/>
      <c r="M764" s="158"/>
    </row>
    <row r="765" spans="1:14" x14ac:dyDescent="0.25">
      <c r="A765" t="s">
        <v>37</v>
      </c>
      <c r="E765" t="s">
        <v>33</v>
      </c>
      <c r="F765" t="str">
        <f>Foderstater!U$73</f>
        <v>triticale</v>
      </c>
      <c r="J765" t="s">
        <v>310</v>
      </c>
      <c r="K765" s="13">
        <f>INDEX(Foderstater!$X$64:$AL$101,MATCH(F765,Foderstater!$U$64:$U$101,0),MATCH(A765&amp;C765&amp;E765,Foderstater!$X$63:$AL$63,0))</f>
        <v>0</v>
      </c>
      <c r="L765" s="158"/>
      <c r="M765" s="158"/>
    </row>
    <row r="766" spans="1:14" x14ac:dyDescent="0.25">
      <c r="A766" t="s">
        <v>37</v>
      </c>
      <c r="E766" t="s">
        <v>33</v>
      </c>
      <c r="F766" t="str">
        <f>Foderstater!U$74</f>
        <v>rye</v>
      </c>
      <c r="J766" t="s">
        <v>310</v>
      </c>
      <c r="K766" s="13">
        <f>INDEX(Foderstater!$X$64:$AL$101,MATCH(F766,Foderstater!$U$64:$U$101,0),MATCH(A766&amp;C766&amp;E766,Foderstater!$X$63:$AL$63,0))</f>
        <v>0</v>
      </c>
      <c r="L766" s="158"/>
      <c r="M766" s="158"/>
    </row>
    <row r="767" spans="1:14" x14ac:dyDescent="0.25">
      <c r="A767" t="s">
        <v>37</v>
      </c>
      <c r="E767" t="s">
        <v>33</v>
      </c>
      <c r="F767" t="str">
        <f>Foderstater!U$75</f>
        <v>maize</v>
      </c>
      <c r="J767" t="s">
        <v>310</v>
      </c>
      <c r="K767" s="13">
        <f>INDEX(Foderstater!$X$64:$AL$101,MATCH(F767,Foderstater!$U$64:$U$101,0),MATCH(A767&amp;C767&amp;E767,Foderstater!$X$63:$AL$63,0))</f>
        <v>0</v>
      </c>
      <c r="L767" s="158"/>
      <c r="M767" s="158"/>
    </row>
    <row r="768" spans="1:14" x14ac:dyDescent="0.25">
      <c r="A768" t="s">
        <v>37</v>
      </c>
      <c r="E768" t="s">
        <v>33</v>
      </c>
      <c r="F768" t="str">
        <f>Foderstater!U$76</f>
        <v>peas</v>
      </c>
      <c r="J768" t="s">
        <v>310</v>
      </c>
      <c r="K768" s="13">
        <f>INDEX(Foderstater!$X$64:$AL$101,MATCH(F768,Foderstater!$U$64:$U$101,0),MATCH(A768&amp;C768&amp;E768,Foderstater!$X$63:$AL$63,0))</f>
        <v>0</v>
      </c>
      <c r="L768" s="158"/>
      <c r="M768" s="158"/>
    </row>
    <row r="769" spans="1:13" x14ac:dyDescent="0.25">
      <c r="A769" t="s">
        <v>37</v>
      </c>
      <c r="E769" t="s">
        <v>33</v>
      </c>
      <c r="F769" t="str">
        <f>Foderstater!U$77</f>
        <v>broad beans</v>
      </c>
      <c r="J769" t="s">
        <v>310</v>
      </c>
      <c r="K769" s="13">
        <f>INDEX(Foderstater!$X$64:$AL$101,MATCH(F769,Foderstater!$U$64:$U$101,0),MATCH(A769&amp;C769&amp;E769,Foderstater!$X$63:$AL$63,0))</f>
        <v>0</v>
      </c>
      <c r="L769" s="158"/>
      <c r="M769" s="158"/>
    </row>
    <row r="770" spans="1:13" x14ac:dyDescent="0.25">
      <c r="A770" t="s">
        <v>37</v>
      </c>
      <c r="E770" t="s">
        <v>33</v>
      </c>
      <c r="F770" t="str">
        <f>Foderstater!U$78</f>
        <v>rapeseed</v>
      </c>
      <c r="J770" t="s">
        <v>310</v>
      </c>
      <c r="K770" s="13">
        <f>INDEX(Foderstater!$X$64:$AL$101,MATCH(F770,Foderstater!$U$64:$U$101,0),MATCH(A770&amp;C770&amp;E770,Foderstater!$X$63:$AL$63,0))</f>
        <v>0</v>
      </c>
      <c r="L770" s="158"/>
      <c r="M770" s="158"/>
    </row>
    <row r="771" spans="1:13" x14ac:dyDescent="0.25">
      <c r="A771" t="s">
        <v>37</v>
      </c>
      <c r="E771" t="s">
        <v>33</v>
      </c>
      <c r="F771" t="str">
        <f>Foderstater!U$79</f>
        <v>linseed</v>
      </c>
      <c r="J771" t="s">
        <v>310</v>
      </c>
      <c r="K771" s="13">
        <f>INDEX(Foderstater!$X$64:$AL$101,MATCH(F771,Foderstater!$U$64:$U$101,0),MATCH(A771&amp;C771&amp;E771,Foderstater!$X$63:$AL$63,0))</f>
        <v>0</v>
      </c>
      <c r="L771" s="158"/>
      <c r="M771" s="158"/>
    </row>
    <row r="772" spans="1:13" x14ac:dyDescent="0.25">
      <c r="A772" t="s">
        <v>37</v>
      </c>
      <c r="E772" t="s">
        <v>33</v>
      </c>
      <c r="F772" t="str">
        <f>Foderstater!U$80</f>
        <v>vegetable oils</v>
      </c>
      <c r="J772" t="s">
        <v>310</v>
      </c>
      <c r="K772" s="13">
        <f>INDEX(Foderstater!$X$64:$AL$101,MATCH(F772,Foderstater!$U$64:$U$101,0),MATCH(A772&amp;C772&amp;E772,Foderstater!$X$63:$AL$63,0))</f>
        <v>0</v>
      </c>
      <c r="L772" s="158"/>
      <c r="M772" s="158"/>
    </row>
    <row r="773" spans="1:13" x14ac:dyDescent="0.25">
      <c r="A773" t="s">
        <v>37</v>
      </c>
      <c r="E773" t="s">
        <v>33</v>
      </c>
      <c r="F773" t="str">
        <f>Foderstater!U$81</f>
        <v>soybeans</v>
      </c>
      <c r="J773" t="s">
        <v>310</v>
      </c>
      <c r="K773" s="13">
        <f>INDEX(Foderstater!$X$64:$AL$101,MATCH(F773,Foderstater!$U$64:$U$101,0),MATCH(A773&amp;C773&amp;E773,Foderstater!$X$63:$AL$63,0))</f>
        <v>0</v>
      </c>
      <c r="L773" s="158"/>
      <c r="M773" s="158"/>
    </row>
    <row r="774" spans="1:13" x14ac:dyDescent="0.25">
      <c r="A774" t="s">
        <v>37</v>
      </c>
      <c r="E774" t="s">
        <v>33</v>
      </c>
      <c r="F774" t="str">
        <f>Foderstater!U$82</f>
        <v>soybean meal</v>
      </c>
      <c r="J774" t="s">
        <v>310</v>
      </c>
      <c r="K774" s="13">
        <f>INDEX(Foderstater!$X$64:$AL$101,MATCH(F774,Foderstater!$U$64:$U$101,0),MATCH(A774&amp;C774&amp;E774,Foderstater!$X$63:$AL$63,0))</f>
        <v>0</v>
      </c>
      <c r="L774" s="158"/>
      <c r="M774" s="158"/>
    </row>
    <row r="775" spans="1:13" x14ac:dyDescent="0.25">
      <c r="A775" t="s">
        <v>37</v>
      </c>
      <c r="E775" t="s">
        <v>33</v>
      </c>
      <c r="F775" t="str">
        <f>Foderstater!U$83</f>
        <v>soybean protein concentrate</v>
      </c>
      <c r="J775" t="s">
        <v>310</v>
      </c>
      <c r="K775" s="13">
        <f>INDEX(Foderstater!$X$64:$AL$101,MATCH(F775,Foderstater!$U$64:$U$101,0),MATCH(A775&amp;C775&amp;E775,Foderstater!$X$63:$AL$63,0))</f>
        <v>0</v>
      </c>
      <c r="L775" s="158"/>
      <c r="M775" s="158"/>
    </row>
    <row r="776" spans="1:13" x14ac:dyDescent="0.25">
      <c r="A776" t="s">
        <v>37</v>
      </c>
      <c r="B776" t="s">
        <v>1</v>
      </c>
      <c r="E776" t="s">
        <v>33</v>
      </c>
      <c r="F776" t="str">
        <f>Foderstater!U$84</f>
        <v>rapeseed meal</v>
      </c>
      <c r="J776" t="s">
        <v>310</v>
      </c>
      <c r="K776" s="13">
        <f>INDEX(Foderstater!$X$64:$AL$101,MATCH(F776,Foderstater!$U$64:$U$101,0),MATCH(A776&amp;C776&amp;E776,Foderstater!$X$63:$AL$63,0))</f>
        <v>0</v>
      </c>
      <c r="L776" s="158"/>
      <c r="M776" s="158"/>
    </row>
    <row r="777" spans="1:13" x14ac:dyDescent="0.25">
      <c r="A777" s="268" t="str">
        <f>A776</f>
        <v>beef</v>
      </c>
      <c r="B777" s="268" t="s">
        <v>5</v>
      </c>
      <c r="D777" s="268"/>
      <c r="E777" s="268" t="s">
        <v>33</v>
      </c>
      <c r="F777" s="268" t="s">
        <v>609</v>
      </c>
      <c r="J777" s="268" t="str">
        <f>J776</f>
        <v>share_in_ration</v>
      </c>
      <c r="K777" s="269">
        <f>K776</f>
        <v>0</v>
      </c>
      <c r="L777" s="158"/>
      <c r="M777" s="268" t="s">
        <v>610</v>
      </c>
    </row>
    <row r="778" spans="1:13" x14ac:dyDescent="0.25">
      <c r="A778" t="s">
        <v>37</v>
      </c>
      <c r="E778" t="s">
        <v>33</v>
      </c>
      <c r="F778" t="str">
        <f>Foderstater!U$85</f>
        <v>sunflower seed meal</v>
      </c>
      <c r="J778" t="s">
        <v>310</v>
      </c>
      <c r="K778" s="13">
        <f>INDEX(Foderstater!$X$64:$AL$101,MATCH(F778,Foderstater!$U$64:$U$101,0),MATCH(A778&amp;C778&amp;E778,Foderstater!$X$63:$AL$63,0))</f>
        <v>0</v>
      </c>
    </row>
    <row r="779" spans="1:13" x14ac:dyDescent="0.25">
      <c r="A779" t="s">
        <v>37</v>
      </c>
      <c r="E779" t="s">
        <v>33</v>
      </c>
      <c r="F779" t="str">
        <f>Foderstater!U$86</f>
        <v>palm kernel expeller</v>
      </c>
      <c r="J779" t="s">
        <v>310</v>
      </c>
      <c r="K779" s="13">
        <f>INDEX(Foderstater!$X$64:$AL$101,MATCH(F779,Foderstater!$U$64:$U$101,0),MATCH(A779&amp;C779&amp;E779,Foderstater!$X$63:$AL$63,0))</f>
        <v>0</v>
      </c>
    </row>
    <row r="780" spans="1:13" x14ac:dyDescent="0.25">
      <c r="A780" t="s">
        <v>37</v>
      </c>
      <c r="E780" t="s">
        <v>33</v>
      </c>
      <c r="F780" t="str">
        <f>Foderstater!U$87</f>
        <v>luzern meal</v>
      </c>
      <c r="J780" t="s">
        <v>310</v>
      </c>
      <c r="K780" s="13">
        <f>INDEX(Foderstater!$X$64:$AL$101,MATCH(F780,Foderstater!$U$64:$U$101,0),MATCH(A780&amp;C780&amp;E780,Foderstater!$X$63:$AL$63,0))</f>
        <v>0</v>
      </c>
    </row>
    <row r="781" spans="1:13" x14ac:dyDescent="0.25">
      <c r="A781" t="s">
        <v>37</v>
      </c>
      <c r="E781" t="s">
        <v>33</v>
      </c>
      <c r="F781" t="str">
        <f>Foderstater!U$88</f>
        <v>wheat bran</v>
      </c>
      <c r="J781" t="s">
        <v>310</v>
      </c>
      <c r="K781" s="13">
        <f>INDEX(Foderstater!$X$64:$AL$101,MATCH(F781,Foderstater!$U$64:$U$101,0),MATCH(A781&amp;C781&amp;E781,Foderstater!$X$63:$AL$63,0))</f>
        <v>0</v>
      </c>
    </row>
    <row r="782" spans="1:13" x14ac:dyDescent="0.25">
      <c r="A782" t="s">
        <v>37</v>
      </c>
      <c r="E782" t="s">
        <v>33</v>
      </c>
      <c r="F782" t="str">
        <f>Foderstater!U$89</f>
        <v>wheat bran, fine</v>
      </c>
      <c r="J782" t="s">
        <v>310</v>
      </c>
      <c r="K782" s="13">
        <f>INDEX(Foderstater!$X$64:$AL$101,MATCH(F782,Foderstater!$U$64:$U$101,0),MATCH(A782&amp;C782&amp;E782,Foderstater!$X$63:$AL$63,0))</f>
        <v>0</v>
      </c>
    </row>
    <row r="783" spans="1:13" x14ac:dyDescent="0.25">
      <c r="A783" t="s">
        <v>37</v>
      </c>
      <c r="E783" t="s">
        <v>33</v>
      </c>
      <c r="F783" t="str">
        <f>Foderstater!U$90</f>
        <v>oat hulls</v>
      </c>
      <c r="J783" t="s">
        <v>310</v>
      </c>
      <c r="K783" s="13">
        <f>INDEX(Foderstater!$X$64:$AL$101,MATCH(F783,Foderstater!$U$64:$U$101,0),MATCH(A783&amp;C783&amp;E783,Foderstater!$X$63:$AL$63,0))</f>
        <v>0</v>
      </c>
    </row>
    <row r="784" spans="1:13" x14ac:dyDescent="0.25">
      <c r="A784" t="s">
        <v>37</v>
      </c>
      <c r="E784" t="s">
        <v>33</v>
      </c>
      <c r="F784" t="str">
        <f>Foderstater!U$91</f>
        <v>oat bran</v>
      </c>
      <c r="J784" t="s">
        <v>310</v>
      </c>
      <c r="K784" s="13">
        <f>INDEX(Foderstater!$X$64:$AL$101,MATCH(F784,Foderstater!$U$64:$U$101,0),MATCH(A784&amp;C784&amp;E784,Foderstater!$X$63:$AL$63,0))</f>
        <v>0</v>
      </c>
    </row>
    <row r="785" spans="1:14" x14ac:dyDescent="0.25">
      <c r="A785" t="s">
        <v>37</v>
      </c>
      <c r="E785" t="s">
        <v>33</v>
      </c>
      <c r="F785" t="str">
        <f>Foderstater!U$92</f>
        <v>rye bran</v>
      </c>
      <c r="J785" t="s">
        <v>310</v>
      </c>
      <c r="K785" s="13">
        <f>INDEX(Foderstater!$X$64:$AL$101,MATCH(F785,Foderstater!$U$64:$U$101,0),MATCH(A785&amp;C785&amp;E785,Foderstater!$X$63:$AL$63,0))</f>
        <v>0</v>
      </c>
    </row>
    <row r="786" spans="1:14" x14ac:dyDescent="0.25">
      <c r="A786" t="s">
        <v>37</v>
      </c>
      <c r="E786" t="s">
        <v>33</v>
      </c>
      <c r="F786" t="str">
        <f>Foderstater!U$93</f>
        <v>wheat distillers grain, dry</v>
      </c>
      <c r="J786" t="s">
        <v>310</v>
      </c>
      <c r="K786" s="13">
        <f>INDEX(Foderstater!$X$64:$AL$101,MATCH(F786,Foderstater!$U$64:$U$101,0),MATCH(A786&amp;C786&amp;E786,Foderstater!$X$63:$AL$63,0))</f>
        <v>0</v>
      </c>
    </row>
    <row r="787" spans="1:14" x14ac:dyDescent="0.25">
      <c r="A787" t="s">
        <v>37</v>
      </c>
      <c r="E787" t="s">
        <v>33</v>
      </c>
      <c r="F787" t="str">
        <f>Foderstater!U$94</f>
        <v>barley brewers grain</v>
      </c>
      <c r="J787" t="s">
        <v>310</v>
      </c>
      <c r="K787" s="13">
        <f>INDEX(Foderstater!$X$64:$AL$101,MATCH(F787,Foderstater!$U$64:$U$101,0),MATCH(A787&amp;C787&amp;E787,Foderstater!$X$63:$AL$63,0))</f>
        <v>0</v>
      </c>
    </row>
    <row r="788" spans="1:14" x14ac:dyDescent="0.25">
      <c r="A788" t="s">
        <v>37</v>
      </c>
      <c r="E788" t="s">
        <v>33</v>
      </c>
      <c r="F788" t="str">
        <f>Foderstater!U$95</f>
        <v>maize gluten meal</v>
      </c>
      <c r="J788" t="s">
        <v>310</v>
      </c>
      <c r="K788" s="13">
        <f>INDEX(Foderstater!$X$64:$AL$101,MATCH(F788,Foderstater!$U$64:$U$101,0),MATCH(A788&amp;C788&amp;E788,Foderstater!$X$63:$AL$63,0))</f>
        <v>0</v>
      </c>
    </row>
    <row r="789" spans="1:14" x14ac:dyDescent="0.25">
      <c r="A789" t="s">
        <v>37</v>
      </c>
      <c r="E789" t="s">
        <v>33</v>
      </c>
      <c r="F789" t="str">
        <f>Foderstater!U$96</f>
        <v>sugar beet molasses</v>
      </c>
      <c r="J789" t="s">
        <v>310</v>
      </c>
      <c r="K789" s="13">
        <f>INDEX(Foderstater!$X$64:$AL$101,MATCH(F789,Foderstater!$U$64:$U$101,0),MATCH(A789&amp;C789&amp;E789,Foderstater!$X$63:$AL$63,0))</f>
        <v>0</v>
      </c>
    </row>
    <row r="790" spans="1:14" x14ac:dyDescent="0.25">
      <c r="A790" t="s">
        <v>37</v>
      </c>
      <c r="E790" t="s">
        <v>33</v>
      </c>
      <c r="F790" t="str">
        <f>Foderstater!U$97</f>
        <v>sugar beet pulp</v>
      </c>
      <c r="J790" t="s">
        <v>310</v>
      </c>
      <c r="K790" s="13">
        <f>INDEX(Foderstater!$X$64:$AL$101,MATCH(F790,Foderstater!$U$64:$U$101,0),MATCH(A790&amp;C790&amp;E790,Foderstater!$X$63:$AL$63,0))</f>
        <v>0</v>
      </c>
    </row>
    <row r="791" spans="1:14" x14ac:dyDescent="0.25">
      <c r="A791" t="s">
        <v>37</v>
      </c>
      <c r="E791" t="s">
        <v>33</v>
      </c>
      <c r="F791" t="str">
        <f>Foderstater!U$98</f>
        <v>whey powder</v>
      </c>
      <c r="J791" t="s">
        <v>310</v>
      </c>
      <c r="K791" s="13">
        <f>INDEX(Foderstater!$X$64:$AL$101,MATCH(F791,Foderstater!$U$64:$U$101,0),MATCH(A791&amp;C791&amp;E791,Foderstater!$X$63:$AL$63,0))</f>
        <v>0</v>
      </c>
    </row>
    <row r="792" spans="1:14" x14ac:dyDescent="0.25">
      <c r="A792" t="s">
        <v>37</v>
      </c>
      <c r="E792" t="s">
        <v>33</v>
      </c>
      <c r="F792" t="str">
        <f>Foderstater!U$99</f>
        <v>potatoe protein</v>
      </c>
      <c r="J792" t="s">
        <v>310</v>
      </c>
      <c r="K792" s="13">
        <f>INDEX(Foderstater!$X$64:$AL$101,MATCH(F792,Foderstater!$U$64:$U$101,0),MATCH(A792&amp;C792&amp;E792,Foderstater!$X$63:$AL$63,0))</f>
        <v>0</v>
      </c>
    </row>
    <row r="793" spans="1:14" x14ac:dyDescent="0.25">
      <c r="A793" t="s">
        <v>37</v>
      </c>
      <c r="E793" t="s">
        <v>33</v>
      </c>
      <c r="F793" t="str">
        <f>Foderstater!U$100</f>
        <v>fish meal</v>
      </c>
      <c r="J793" t="s">
        <v>310</v>
      </c>
      <c r="K793" s="13">
        <f>INDEX(Foderstater!$X$64:$AL$101,MATCH(F793,Foderstater!$U$64:$U$101,0),MATCH(A793&amp;C793&amp;E793,Foderstater!$X$63:$AL$63,0))</f>
        <v>0</v>
      </c>
    </row>
    <row r="794" spans="1:14" x14ac:dyDescent="0.25">
      <c r="A794" t="s">
        <v>37</v>
      </c>
      <c r="E794" t="s">
        <v>33</v>
      </c>
      <c r="F794" t="str">
        <f>Foderstater!U$101</f>
        <v>minerals</v>
      </c>
      <c r="J794" t="s">
        <v>310</v>
      </c>
      <c r="K794" s="13">
        <f>INDEX(Foderstater!$X$64:$AL$101,MATCH(F794,Foderstater!$U$64:$U$101,0),MATCH(A794&amp;C794&amp;E794,Foderstater!$X$63:$AL$63,0))</f>
        <v>0.70094215439405494</v>
      </c>
    </row>
    <row r="796" spans="1:14" x14ac:dyDescent="0.25">
      <c r="A796" s="91" t="s">
        <v>75</v>
      </c>
      <c r="B796" s="162"/>
      <c r="C796" s="162"/>
      <c r="D796" s="90"/>
      <c r="E796" s="90"/>
      <c r="F796" s="90"/>
      <c r="G796" s="90"/>
      <c r="H796" s="90"/>
      <c r="I796" s="90"/>
      <c r="J796" s="90"/>
      <c r="K796" s="163"/>
      <c r="L796" s="90"/>
      <c r="M796" s="90"/>
      <c r="N796" s="90"/>
    </row>
    <row r="797" spans="1:14" x14ac:dyDescent="0.25">
      <c r="A797" s="158" t="s">
        <v>37</v>
      </c>
      <c r="B797" s="158"/>
      <c r="C797" s="158"/>
      <c r="D797" s="158"/>
      <c r="E797" s="158" t="s">
        <v>34</v>
      </c>
      <c r="J797" s="158" t="s">
        <v>310</v>
      </c>
      <c r="K797" s="158">
        <v>0</v>
      </c>
      <c r="L797" s="158"/>
      <c r="M797" s="158" t="s">
        <v>401</v>
      </c>
    </row>
    <row r="798" spans="1:14" x14ac:dyDescent="0.25">
      <c r="A798" t="s">
        <v>37</v>
      </c>
      <c r="E798" t="s">
        <v>34</v>
      </c>
      <c r="F798" t="str">
        <f>Foderstater!U$64</f>
        <v>ley silage, 1st cut</v>
      </c>
      <c r="J798" t="s">
        <v>310</v>
      </c>
      <c r="K798" s="13">
        <f>INDEX(Foderstater!$X$64:$AL$101,MATCH(F798,Foderstater!$U$64:$U$101,0),MATCH(A798&amp;C798&amp;E798,Foderstater!$X$63:$AL$63,0))</f>
        <v>60.138713626619086</v>
      </c>
      <c r="L798" s="158"/>
      <c r="M798" s="158"/>
    </row>
    <row r="799" spans="1:14" x14ac:dyDescent="0.25">
      <c r="A799" t="s">
        <v>37</v>
      </c>
      <c r="E799" t="s">
        <v>34</v>
      </c>
      <c r="F799" t="str">
        <f>Foderstater!U$65</f>
        <v>ley silage, regrowth</v>
      </c>
      <c r="J799" t="s">
        <v>310</v>
      </c>
      <c r="K799" s="13">
        <f>INDEX(Foderstater!$X$64:$AL$101,MATCH(F799,Foderstater!$U$64:$U$101,0),MATCH(A799&amp;C799&amp;E799,Foderstater!$X$63:$AL$63,0))</f>
        <v>0</v>
      </c>
      <c r="L799" s="158"/>
      <c r="M799" s="158"/>
    </row>
    <row r="800" spans="1:14" x14ac:dyDescent="0.25">
      <c r="A800" t="s">
        <v>37</v>
      </c>
      <c r="E800" t="s">
        <v>34</v>
      </c>
      <c r="F800" t="str">
        <f>Foderstater!U$66</f>
        <v>other silage</v>
      </c>
      <c r="J800" t="s">
        <v>310</v>
      </c>
      <c r="K800" s="13">
        <f>INDEX(Foderstater!$X$64:$AL$101,MATCH(F800,Foderstater!$U$64:$U$101,0),MATCH(A800&amp;C800&amp;E800,Foderstater!$X$63:$AL$63,0))</f>
        <v>0</v>
      </c>
      <c r="L800" s="158"/>
      <c r="M800" s="158"/>
    </row>
    <row r="801" spans="1:13" x14ac:dyDescent="0.25">
      <c r="A801" t="s">
        <v>37</v>
      </c>
      <c r="E801" t="s">
        <v>34</v>
      </c>
      <c r="F801" t="str">
        <f>Foderstater!U$67</f>
        <v>maize silage</v>
      </c>
      <c r="J801" t="s">
        <v>310</v>
      </c>
      <c r="K801" s="13">
        <f>INDEX(Foderstater!$X$64:$AL$101,MATCH(F801,Foderstater!$U$64:$U$101,0),MATCH(A801&amp;C801&amp;E801,Foderstater!$X$63:$AL$63,0))</f>
        <v>0</v>
      </c>
      <c r="L801" s="158"/>
      <c r="M801" s="158"/>
    </row>
    <row r="802" spans="1:13" x14ac:dyDescent="0.25">
      <c r="A802" t="s">
        <v>37</v>
      </c>
      <c r="E802" t="s">
        <v>34</v>
      </c>
      <c r="F802" t="str">
        <f>Foderstater!U$68</f>
        <v>straw</v>
      </c>
      <c r="J802" t="s">
        <v>310</v>
      </c>
      <c r="K802" s="13">
        <f>INDEX(Foderstater!$X$64:$AL$101,MATCH(F802,Foderstater!$U$64:$U$101,0),MATCH(A802&amp;C802&amp;E802,Foderstater!$X$63:$AL$63,0))</f>
        <v>0</v>
      </c>
      <c r="L802" s="158"/>
      <c r="M802" s="158"/>
    </row>
    <row r="803" spans="1:13" x14ac:dyDescent="0.25">
      <c r="A803" t="s">
        <v>37</v>
      </c>
      <c r="E803" t="s">
        <v>34</v>
      </c>
      <c r="F803" t="str">
        <f>Foderstater!U$69</f>
        <v>grazing</v>
      </c>
      <c r="J803" t="s">
        <v>310</v>
      </c>
      <c r="K803" s="13">
        <f>INDEX(Foderstater!$X$64:$AL$101,MATCH(F803,Foderstater!$U$64:$U$101,0),MATCH(A803&amp;C803&amp;E803,Foderstater!$X$63:$AL$63,0))</f>
        <v>0</v>
      </c>
      <c r="L803" s="158"/>
      <c r="M803" s="158"/>
    </row>
    <row r="804" spans="1:13" x14ac:dyDescent="0.25">
      <c r="A804" t="s">
        <v>37</v>
      </c>
      <c r="E804" t="s">
        <v>34</v>
      </c>
      <c r="F804" t="str">
        <f>Foderstater!U$70</f>
        <v>wheat</v>
      </c>
      <c r="J804" t="s">
        <v>310</v>
      </c>
      <c r="K804" s="13">
        <f>INDEX(Foderstater!$X$64:$AL$101,MATCH(F804,Foderstater!$U$64:$U$101,0),MATCH(A804&amp;C804&amp;E804,Foderstater!$X$63:$AL$63,0))</f>
        <v>8.7950802360888023</v>
      </c>
      <c r="L804" s="158"/>
      <c r="M804" s="158"/>
    </row>
    <row r="805" spans="1:13" x14ac:dyDescent="0.25">
      <c r="A805" t="s">
        <v>37</v>
      </c>
      <c r="E805" t="s">
        <v>34</v>
      </c>
      <c r="F805" t="str">
        <f>Foderstater!U$71</f>
        <v>barley</v>
      </c>
      <c r="J805" t="s">
        <v>310</v>
      </c>
      <c r="K805" s="13">
        <f>INDEX(Foderstater!$X$64:$AL$101,MATCH(F805,Foderstater!$U$64:$U$101,0),MATCH(A805&amp;C805&amp;E805,Foderstater!$X$63:$AL$63,0))</f>
        <v>16.456273052444185</v>
      </c>
      <c r="L805" s="158"/>
      <c r="M805" s="158"/>
    </row>
    <row r="806" spans="1:13" x14ac:dyDescent="0.25">
      <c r="A806" t="s">
        <v>37</v>
      </c>
      <c r="E806" t="s">
        <v>34</v>
      </c>
      <c r="F806" t="str">
        <f>Foderstater!U$72</f>
        <v>oats</v>
      </c>
      <c r="J806" t="s">
        <v>310</v>
      </c>
      <c r="K806" s="13">
        <f>INDEX(Foderstater!$X$64:$AL$101,MATCH(F806,Foderstater!$U$64:$U$101,0),MATCH(A806&amp;C806&amp;E806,Foderstater!$X$63:$AL$63,0))</f>
        <v>3.6372465594215786</v>
      </c>
      <c r="L806" s="158"/>
      <c r="M806" s="158"/>
    </row>
    <row r="807" spans="1:13" x14ac:dyDescent="0.25">
      <c r="A807" t="s">
        <v>37</v>
      </c>
      <c r="E807" t="s">
        <v>34</v>
      </c>
      <c r="F807" t="str">
        <f>Foderstater!U$73</f>
        <v>triticale</v>
      </c>
      <c r="J807" t="s">
        <v>310</v>
      </c>
      <c r="K807" s="13">
        <f>INDEX(Foderstater!$X$64:$AL$101,MATCH(F807,Foderstater!$U$64:$U$101,0),MATCH(A807&amp;C807&amp;E807,Foderstater!$X$63:$AL$63,0))</f>
        <v>5.8891480485237606</v>
      </c>
      <c r="L807" s="158"/>
      <c r="M807" s="158"/>
    </row>
    <row r="808" spans="1:13" x14ac:dyDescent="0.25">
      <c r="A808" t="s">
        <v>37</v>
      </c>
      <c r="E808" t="s">
        <v>34</v>
      </c>
      <c r="F808" t="str">
        <f>Foderstater!U$74</f>
        <v>rye</v>
      </c>
      <c r="J808" t="s">
        <v>310</v>
      </c>
      <c r="K808" s="13">
        <f>INDEX(Foderstater!$X$64:$AL$101,MATCH(F808,Foderstater!$U$64:$U$101,0),MATCH(A808&amp;C808&amp;E808,Foderstater!$X$63:$AL$63,0))</f>
        <v>1.3507533293838584E-2</v>
      </c>
      <c r="L808" s="158"/>
      <c r="M808" s="158"/>
    </row>
    <row r="809" spans="1:13" x14ac:dyDescent="0.25">
      <c r="A809" t="s">
        <v>37</v>
      </c>
      <c r="E809" t="s">
        <v>34</v>
      </c>
      <c r="F809" t="str">
        <f>Foderstater!U$75</f>
        <v>maize</v>
      </c>
      <c r="J809" t="s">
        <v>310</v>
      </c>
      <c r="K809" s="13">
        <f>INDEX(Foderstater!$X$64:$AL$101,MATCH(F809,Foderstater!$U$64:$U$101,0),MATCH(A809&amp;C809&amp;E809,Foderstater!$X$63:$AL$63,0))</f>
        <v>5.8685075988393134E-2</v>
      </c>
      <c r="L809" s="158"/>
      <c r="M809" s="158"/>
    </row>
    <row r="810" spans="1:13" x14ac:dyDescent="0.25">
      <c r="A810" t="s">
        <v>37</v>
      </c>
      <c r="E810" t="s">
        <v>34</v>
      </c>
      <c r="F810" t="str">
        <f>Foderstater!U$76</f>
        <v>peas</v>
      </c>
      <c r="J810" t="s">
        <v>310</v>
      </c>
      <c r="K810" s="13">
        <f>INDEX(Foderstater!$X$64:$AL$101,MATCH(F810,Foderstater!$U$64:$U$101,0),MATCH(A810&amp;C810&amp;E810,Foderstater!$X$63:$AL$63,0))</f>
        <v>1.230521308754674</v>
      </c>
      <c r="L810" s="158"/>
      <c r="M810" s="158"/>
    </row>
    <row r="811" spans="1:13" x14ac:dyDescent="0.25">
      <c r="A811" t="s">
        <v>37</v>
      </c>
      <c r="E811" t="s">
        <v>34</v>
      </c>
      <c r="F811" t="str">
        <f>Foderstater!U$77</f>
        <v>broad beans</v>
      </c>
      <c r="J811" t="s">
        <v>310</v>
      </c>
      <c r="K811" s="13">
        <f>INDEX(Foderstater!$X$64:$AL$101,MATCH(F811,Foderstater!$U$64:$U$101,0),MATCH(A811&amp;C811&amp;E811,Foderstater!$X$63:$AL$63,0))</f>
        <v>1.1908458068725807</v>
      </c>
      <c r="L811" s="158"/>
      <c r="M811" s="158"/>
    </row>
    <row r="812" spans="1:13" x14ac:dyDescent="0.25">
      <c r="A812" t="s">
        <v>37</v>
      </c>
      <c r="E812" t="s">
        <v>34</v>
      </c>
      <c r="F812" t="str">
        <f>Foderstater!U$78</f>
        <v>rapeseed</v>
      </c>
      <c r="J812" t="s">
        <v>310</v>
      </c>
      <c r="K812" s="13">
        <f>INDEX(Foderstater!$X$64:$AL$101,MATCH(F812,Foderstater!$U$64:$U$101,0),MATCH(A812&amp;C812&amp;E812,Foderstater!$X$63:$AL$63,0))</f>
        <v>0.49891518495011011</v>
      </c>
      <c r="L812" s="158"/>
      <c r="M812" s="158"/>
    </row>
    <row r="813" spans="1:13" x14ac:dyDescent="0.25">
      <c r="A813" t="s">
        <v>37</v>
      </c>
      <c r="E813" t="s">
        <v>34</v>
      </c>
      <c r="F813" t="str">
        <f>Foderstater!U$79</f>
        <v>linseed</v>
      </c>
      <c r="J813" t="s">
        <v>310</v>
      </c>
      <c r="K813" s="13">
        <f>INDEX(Foderstater!$X$64:$AL$101,MATCH(F813,Foderstater!$U$64:$U$101,0),MATCH(A813&amp;C813&amp;E813,Foderstater!$X$63:$AL$63,0))</f>
        <v>3.6802917118822752E-4</v>
      </c>
      <c r="L813" s="158"/>
      <c r="M813" s="158"/>
    </row>
    <row r="814" spans="1:13" x14ac:dyDescent="0.25">
      <c r="A814" t="s">
        <v>37</v>
      </c>
      <c r="E814" t="s">
        <v>34</v>
      </c>
      <c r="F814" t="str">
        <f>Foderstater!U$80</f>
        <v>vegetable oils</v>
      </c>
      <c r="J814" t="s">
        <v>310</v>
      </c>
      <c r="K814" s="13">
        <f>INDEX(Foderstater!$X$64:$AL$101,MATCH(F814,Foderstater!$U$64:$U$101,0),MATCH(A814&amp;C814&amp;E814,Foderstater!$X$63:$AL$63,0))</f>
        <v>9.5013866211436822E-3</v>
      </c>
      <c r="L814" s="158"/>
      <c r="M814" s="158"/>
    </row>
    <row r="815" spans="1:13" x14ac:dyDescent="0.25">
      <c r="A815" t="s">
        <v>37</v>
      </c>
      <c r="E815" t="s">
        <v>34</v>
      </c>
      <c r="F815" t="str">
        <f>Foderstater!U$81</f>
        <v>soybeans</v>
      </c>
      <c r="J815" t="s">
        <v>310</v>
      </c>
      <c r="K815" s="13">
        <f>INDEX(Foderstater!$X$64:$AL$101,MATCH(F815,Foderstater!$U$64:$U$101,0),MATCH(A815&amp;C815&amp;E815,Foderstater!$X$63:$AL$63,0))</f>
        <v>9.2850444567383218E-3</v>
      </c>
      <c r="L815" s="158"/>
      <c r="M815" s="158"/>
    </row>
    <row r="816" spans="1:13" x14ac:dyDescent="0.25">
      <c r="A816" t="s">
        <v>37</v>
      </c>
      <c r="E816" t="s">
        <v>34</v>
      </c>
      <c r="F816" t="str">
        <f>Foderstater!U$82</f>
        <v>soybean meal</v>
      </c>
      <c r="J816" t="s">
        <v>310</v>
      </c>
      <c r="K816" s="13">
        <f>INDEX(Foderstater!$X$64:$AL$101,MATCH(F816,Foderstater!$U$64:$U$101,0),MATCH(A816&amp;C816&amp;E816,Foderstater!$X$63:$AL$63,0))</f>
        <v>8.4815436019657742E-2</v>
      </c>
      <c r="L816" s="158"/>
      <c r="M816" s="158"/>
    </row>
    <row r="817" spans="1:13" x14ac:dyDescent="0.25">
      <c r="A817" t="s">
        <v>37</v>
      </c>
      <c r="E817" t="s">
        <v>34</v>
      </c>
      <c r="F817" t="str">
        <f>Foderstater!U$83</f>
        <v>soybean protein concentrate</v>
      </c>
      <c r="J817" t="s">
        <v>310</v>
      </c>
      <c r="K817" s="13">
        <f>INDEX(Foderstater!$X$64:$AL$101,MATCH(F817,Foderstater!$U$64:$U$101,0),MATCH(A817&amp;C817&amp;E817,Foderstater!$X$63:$AL$63,0))</f>
        <v>0</v>
      </c>
      <c r="L817" s="158"/>
      <c r="M817" s="158"/>
    </row>
    <row r="818" spans="1:13" x14ac:dyDescent="0.25">
      <c r="A818" t="s">
        <v>37</v>
      </c>
      <c r="B818" t="s">
        <v>1</v>
      </c>
      <c r="E818" t="s">
        <v>34</v>
      </c>
      <c r="F818" t="str">
        <f>Foderstater!U$84</f>
        <v>rapeseed meal</v>
      </c>
      <c r="J818" t="s">
        <v>310</v>
      </c>
      <c r="K818" s="13">
        <f>INDEX(Foderstater!$X$64:$AL$101,MATCH(F818,Foderstater!$U$64:$U$101,0),MATCH(A818&amp;C818&amp;E818,Foderstater!$X$63:$AL$63,0))</f>
        <v>0.65508327684698231</v>
      </c>
      <c r="L818" s="158"/>
      <c r="M818" s="158"/>
    </row>
    <row r="819" spans="1:13" x14ac:dyDescent="0.25">
      <c r="A819" s="268" t="str">
        <f>A818</f>
        <v>beef</v>
      </c>
      <c r="B819" s="268" t="s">
        <v>5</v>
      </c>
      <c r="D819" s="268"/>
      <c r="E819" s="268" t="str">
        <f>E818</f>
        <v>bulls</v>
      </c>
      <c r="F819" s="268" t="s">
        <v>609</v>
      </c>
      <c r="J819" s="268" t="str">
        <f>J818</f>
        <v>share_in_ration</v>
      </c>
      <c r="K819" s="269">
        <f>K818</f>
        <v>0.65508327684698231</v>
      </c>
      <c r="L819" s="158"/>
      <c r="M819" s="268" t="s">
        <v>610</v>
      </c>
    </row>
    <row r="820" spans="1:13" x14ac:dyDescent="0.25">
      <c r="A820" t="s">
        <v>37</v>
      </c>
      <c r="E820" t="s">
        <v>34</v>
      </c>
      <c r="F820" t="str">
        <f>Foderstater!U$85</f>
        <v>sunflower seed meal</v>
      </c>
      <c r="J820" t="s">
        <v>310</v>
      </c>
      <c r="K820" s="13">
        <f>INDEX(Foderstater!$X$64:$AL$101,MATCH(F820,Foderstater!$U$64:$U$101,0),MATCH(A820&amp;C820&amp;E820,Foderstater!$X$63:$AL$63,0))</f>
        <v>9.0493413936850002E-3</v>
      </c>
    </row>
    <row r="821" spans="1:13" x14ac:dyDescent="0.25">
      <c r="A821" t="s">
        <v>37</v>
      </c>
      <c r="E821" t="s">
        <v>34</v>
      </c>
      <c r="F821" t="str">
        <f>Foderstater!U$86</f>
        <v>palm kernel expeller</v>
      </c>
      <c r="J821" t="s">
        <v>310</v>
      </c>
      <c r="K821" s="13">
        <f>INDEX(Foderstater!$X$64:$AL$101,MATCH(F821,Foderstater!$U$64:$U$101,0),MATCH(A821&amp;C821&amp;E821,Foderstater!$X$63:$AL$63,0))</f>
        <v>5.880188879234155E-2</v>
      </c>
    </row>
    <row r="822" spans="1:13" x14ac:dyDescent="0.25">
      <c r="A822" t="s">
        <v>37</v>
      </c>
      <c r="E822" t="s">
        <v>34</v>
      </c>
      <c r="F822" t="str">
        <f>Foderstater!U$87</f>
        <v>luzern meal</v>
      </c>
      <c r="J822" t="s">
        <v>310</v>
      </c>
      <c r="K822" s="13">
        <f>INDEX(Foderstater!$X$64:$AL$101,MATCH(F822,Foderstater!$U$64:$U$101,0),MATCH(A822&amp;C822&amp;E822,Foderstater!$X$63:$AL$63,0))</f>
        <v>1.7886888897567656E-2</v>
      </c>
    </row>
    <row r="823" spans="1:13" x14ac:dyDescent="0.25">
      <c r="A823" t="s">
        <v>37</v>
      </c>
      <c r="E823" t="s">
        <v>34</v>
      </c>
      <c r="F823" t="str">
        <f>Foderstater!U$88</f>
        <v>wheat bran</v>
      </c>
      <c r="J823" t="s">
        <v>310</v>
      </c>
      <c r="K823" s="13">
        <f>INDEX(Foderstater!$X$64:$AL$101,MATCH(F823,Foderstater!$U$64:$U$101,0),MATCH(A823&amp;C823&amp;E823,Foderstater!$X$63:$AL$63,0))</f>
        <v>0.19488005713432707</v>
      </c>
    </row>
    <row r="824" spans="1:13" x14ac:dyDescent="0.25">
      <c r="A824" t="s">
        <v>37</v>
      </c>
      <c r="E824" t="s">
        <v>34</v>
      </c>
      <c r="F824" t="str">
        <f>Foderstater!U$89</f>
        <v>wheat bran, fine</v>
      </c>
      <c r="J824" t="s">
        <v>310</v>
      </c>
      <c r="K824" s="13">
        <f>INDEX(Foderstater!$X$64:$AL$101,MATCH(F824,Foderstater!$U$64:$U$101,0),MATCH(A824&amp;C824&amp;E824,Foderstater!$X$63:$AL$63,0))</f>
        <v>5.108654814463125E-4</v>
      </c>
    </row>
    <row r="825" spans="1:13" x14ac:dyDescent="0.25">
      <c r="A825" t="s">
        <v>37</v>
      </c>
      <c r="E825" t="s">
        <v>34</v>
      </c>
      <c r="F825" t="str">
        <f>Foderstater!U$90</f>
        <v>oat hulls</v>
      </c>
      <c r="J825" t="s">
        <v>310</v>
      </c>
      <c r="K825" s="13">
        <f>INDEX(Foderstater!$X$64:$AL$101,MATCH(F825,Foderstater!$U$64:$U$101,0),MATCH(A825&amp;C825&amp;E825,Foderstater!$X$63:$AL$63,0))</f>
        <v>2.3471407966757316E-2</v>
      </c>
    </row>
    <row r="826" spans="1:13" x14ac:dyDescent="0.25">
      <c r="A826" t="s">
        <v>37</v>
      </c>
      <c r="E826" t="s">
        <v>34</v>
      </c>
      <c r="F826" t="str">
        <f>Foderstater!U$91</f>
        <v>oat bran</v>
      </c>
      <c r="J826" t="s">
        <v>310</v>
      </c>
      <c r="K826" s="13">
        <f>INDEX(Foderstater!$X$64:$AL$101,MATCH(F826,Foderstater!$U$64:$U$101,0),MATCH(A826&amp;C826&amp;E826,Foderstater!$X$63:$AL$63,0))</f>
        <v>2.6490134698680073E-3</v>
      </c>
    </row>
    <row r="827" spans="1:13" x14ac:dyDescent="0.25">
      <c r="A827" t="s">
        <v>37</v>
      </c>
      <c r="E827" t="s">
        <v>34</v>
      </c>
      <c r="F827" t="str">
        <f>Foderstater!U$92</f>
        <v>rye bran</v>
      </c>
      <c r="J827" t="s">
        <v>310</v>
      </c>
      <c r="K827" s="13">
        <f>INDEX(Foderstater!$X$64:$AL$101,MATCH(F827,Foderstater!$U$64:$U$101,0),MATCH(A827&amp;C827&amp;E827,Foderstater!$X$63:$AL$63,0))</f>
        <v>8.1695862566661028E-3</v>
      </c>
    </row>
    <row r="828" spans="1:13" x14ac:dyDescent="0.25">
      <c r="A828" t="s">
        <v>37</v>
      </c>
      <c r="E828" t="s">
        <v>34</v>
      </c>
      <c r="F828" t="str">
        <f>Foderstater!U$93</f>
        <v>wheat distillers grain, dry</v>
      </c>
      <c r="J828" t="s">
        <v>310</v>
      </c>
      <c r="K828" s="13">
        <f>INDEX(Foderstater!$X$64:$AL$101,MATCH(F828,Foderstater!$U$64:$U$101,0),MATCH(A828&amp;C828&amp;E828,Foderstater!$X$63:$AL$63,0))</f>
        <v>0.20947754779055638</v>
      </c>
    </row>
    <row r="829" spans="1:13" x14ac:dyDescent="0.25">
      <c r="A829" t="s">
        <v>37</v>
      </c>
      <c r="E829" t="s">
        <v>34</v>
      </c>
      <c r="F829" t="str">
        <f>Foderstater!U$94</f>
        <v>barley brewers grain</v>
      </c>
      <c r="J829" t="s">
        <v>310</v>
      </c>
      <c r="K829" s="13">
        <f>INDEX(Foderstater!$X$64:$AL$101,MATCH(F829,Foderstater!$U$64:$U$101,0),MATCH(A829&amp;C829&amp;E829,Foderstater!$X$63:$AL$63,0))</f>
        <v>0</v>
      </c>
    </row>
    <row r="830" spans="1:13" x14ac:dyDescent="0.25">
      <c r="A830" t="s">
        <v>37</v>
      </c>
      <c r="E830" t="s">
        <v>34</v>
      </c>
      <c r="F830" t="str">
        <f>Foderstater!U$95</f>
        <v>maize gluten meal</v>
      </c>
      <c r="J830" t="s">
        <v>310</v>
      </c>
      <c r="K830" s="13">
        <f>INDEX(Foderstater!$X$64:$AL$101,MATCH(F830,Foderstater!$U$64:$U$101,0),MATCH(A830&amp;C830&amp;E830,Foderstater!$X$63:$AL$63,0))</f>
        <v>6.3297538628935548E-3</v>
      </c>
    </row>
    <row r="831" spans="1:13" x14ac:dyDescent="0.25">
      <c r="A831" t="s">
        <v>37</v>
      </c>
      <c r="E831" t="s">
        <v>34</v>
      </c>
      <c r="F831" t="str">
        <f>Foderstater!U$96</f>
        <v>sugar beet molasses</v>
      </c>
      <c r="J831" t="s">
        <v>310</v>
      </c>
      <c r="K831" s="13">
        <f>INDEX(Foderstater!$X$64:$AL$101,MATCH(F831,Foderstater!$U$64:$U$101,0),MATCH(A831&amp;C831&amp;E831,Foderstater!$X$63:$AL$63,0))</f>
        <v>7.0193131657187727E-2</v>
      </c>
    </row>
    <row r="832" spans="1:13" x14ac:dyDescent="0.25">
      <c r="A832" t="s">
        <v>37</v>
      </c>
      <c r="E832" t="s">
        <v>34</v>
      </c>
      <c r="F832" t="str">
        <f>Foderstater!U$97</f>
        <v>sugar beet pulp</v>
      </c>
      <c r="J832" t="s">
        <v>310</v>
      </c>
      <c r="K832" s="13">
        <f>INDEX(Foderstater!$X$64:$AL$101,MATCH(F832,Foderstater!$U$64:$U$101,0),MATCH(A832&amp;C832&amp;E832,Foderstater!$X$63:$AL$63,0))</f>
        <v>0.13544319950020575</v>
      </c>
    </row>
    <row r="833" spans="1:13" x14ac:dyDescent="0.25">
      <c r="A833" t="s">
        <v>37</v>
      </c>
      <c r="E833" t="s">
        <v>34</v>
      </c>
      <c r="F833" t="str">
        <f>Foderstater!U$98</f>
        <v>whey powder</v>
      </c>
      <c r="J833" t="s">
        <v>310</v>
      </c>
      <c r="K833" s="13">
        <f>INDEX(Foderstater!$X$64:$AL$101,MATCH(F833,Foderstater!$U$64:$U$101,0),MATCH(A833&amp;C833&amp;E833,Foderstater!$X$63:$AL$63,0))</f>
        <v>0</v>
      </c>
    </row>
    <row r="834" spans="1:13" x14ac:dyDescent="0.25">
      <c r="A834" t="s">
        <v>37</v>
      </c>
      <c r="E834" t="s">
        <v>34</v>
      </c>
      <c r="F834" t="str">
        <f>Foderstater!U$99</f>
        <v>potatoe protein</v>
      </c>
      <c r="J834" t="s">
        <v>310</v>
      </c>
      <c r="K834" s="13">
        <f>INDEX(Foderstater!$X$64:$AL$101,MATCH(F834,Foderstater!$U$64:$U$101,0),MATCH(A834&amp;C834&amp;E834,Foderstater!$X$63:$AL$63,0))</f>
        <v>6.2009373017834091E-4</v>
      </c>
    </row>
    <row r="835" spans="1:13" x14ac:dyDescent="0.25">
      <c r="A835" t="s">
        <v>37</v>
      </c>
      <c r="E835" t="s">
        <v>34</v>
      </c>
      <c r="F835" t="str">
        <f>Foderstater!U$100</f>
        <v>fish meal</v>
      </c>
      <c r="J835" t="s">
        <v>310</v>
      </c>
      <c r="K835" s="13">
        <f>INDEX(Foderstater!$X$64:$AL$101,MATCH(F835,Foderstater!$U$64:$U$101,0),MATCH(A835&amp;C835&amp;E835,Foderstater!$X$63:$AL$63,0))</f>
        <v>0</v>
      </c>
    </row>
    <row r="836" spans="1:13" x14ac:dyDescent="0.25">
      <c r="A836" t="s">
        <v>37</v>
      </c>
      <c r="E836" t="s">
        <v>34</v>
      </c>
      <c r="F836" t="str">
        <f>Foderstater!U$101</f>
        <v>minerals</v>
      </c>
      <c r="J836" t="s">
        <v>310</v>
      </c>
      <c r="K836" s="13">
        <f>INDEX(Foderstater!$X$64:$AL$101,MATCH(F836,Foderstater!$U$64:$U$101,0),MATCH(A836&amp;C836&amp;E836,Foderstater!$X$63:$AL$63,0))</f>
        <v>0.59452761799360676</v>
      </c>
    </row>
    <row r="837" spans="1:13" x14ac:dyDescent="0.25">
      <c r="L837" s="158"/>
      <c r="M837" s="158"/>
    </row>
    <row r="838" spans="1:13" x14ac:dyDescent="0.25">
      <c r="A838" s="158" t="s">
        <v>37</v>
      </c>
      <c r="B838" s="158" t="s">
        <v>1</v>
      </c>
      <c r="C838" s="158" t="s">
        <v>407</v>
      </c>
      <c r="D838" s="158"/>
      <c r="E838" s="158" t="s">
        <v>34</v>
      </c>
      <c r="J838" s="158" t="s">
        <v>310</v>
      </c>
      <c r="K838" s="158">
        <v>0</v>
      </c>
      <c r="L838" s="158"/>
      <c r="M838" s="158" t="s">
        <v>401</v>
      </c>
    </row>
    <row r="839" spans="1:13" x14ac:dyDescent="0.25">
      <c r="A839" t="s">
        <v>37</v>
      </c>
      <c r="B839" t="s">
        <v>1</v>
      </c>
      <c r="C839" t="s">
        <v>407</v>
      </c>
      <c r="E839" t="s">
        <v>34</v>
      </c>
      <c r="F839" t="str">
        <f>Foderstater!U$64</f>
        <v>ley silage, 1st cut</v>
      </c>
      <c r="J839" t="s">
        <v>310</v>
      </c>
      <c r="K839" s="13">
        <f>INDEX(Foderstater!$X$64:$AL$101,MATCH(F839,Foderstater!$U$64:$U$101,0),MATCH(A839&amp;C839&amp;E839,Foderstater!$X$63:$AL$63,0))</f>
        <v>56.070538180908102</v>
      </c>
      <c r="L839" s="158"/>
      <c r="M839" s="158"/>
    </row>
    <row r="840" spans="1:13" x14ac:dyDescent="0.25">
      <c r="A840" t="s">
        <v>37</v>
      </c>
      <c r="B840" t="s">
        <v>1</v>
      </c>
      <c r="C840" t="s">
        <v>407</v>
      </c>
      <c r="E840" t="s">
        <v>34</v>
      </c>
      <c r="F840" t="str">
        <f>Foderstater!U$65</f>
        <v>ley silage, regrowth</v>
      </c>
      <c r="J840" t="s">
        <v>310</v>
      </c>
      <c r="K840" s="13">
        <f>INDEX(Foderstater!$X$64:$AL$101,MATCH(F840,Foderstater!$U$64:$U$101,0),MATCH(A840&amp;C840&amp;E840,Foderstater!$X$63:$AL$63,0))</f>
        <v>0</v>
      </c>
      <c r="L840" s="158"/>
      <c r="M840" s="158"/>
    </row>
    <row r="841" spans="1:13" x14ac:dyDescent="0.25">
      <c r="A841" t="s">
        <v>37</v>
      </c>
      <c r="B841" t="s">
        <v>1</v>
      </c>
      <c r="C841" t="s">
        <v>407</v>
      </c>
      <c r="E841" t="s">
        <v>34</v>
      </c>
      <c r="F841" t="str">
        <f>Foderstater!U$66</f>
        <v>other silage</v>
      </c>
      <c r="J841" t="s">
        <v>310</v>
      </c>
      <c r="K841" s="13">
        <f>INDEX(Foderstater!$X$64:$AL$101,MATCH(F841,Foderstater!$U$64:$U$101,0),MATCH(A841&amp;C841&amp;E841,Foderstater!$X$63:$AL$63,0))</f>
        <v>0</v>
      </c>
      <c r="L841" s="158"/>
      <c r="M841" s="158"/>
    </row>
    <row r="842" spans="1:13" x14ac:dyDescent="0.25">
      <c r="A842" t="s">
        <v>37</v>
      </c>
      <c r="B842" t="s">
        <v>1</v>
      </c>
      <c r="C842" t="s">
        <v>407</v>
      </c>
      <c r="E842" t="s">
        <v>34</v>
      </c>
      <c r="F842" t="str">
        <f>Foderstater!U$67</f>
        <v>maize silage</v>
      </c>
      <c r="J842" t="s">
        <v>310</v>
      </c>
      <c r="K842" s="13">
        <f>INDEX(Foderstater!$X$64:$AL$101,MATCH(F842,Foderstater!$U$64:$U$101,0),MATCH(A842&amp;C842&amp;E842,Foderstater!$X$63:$AL$63,0))</f>
        <v>13.09114711176567</v>
      </c>
      <c r="L842" s="158"/>
      <c r="M842" s="158"/>
    </row>
    <row r="843" spans="1:13" x14ac:dyDescent="0.25">
      <c r="A843" t="s">
        <v>37</v>
      </c>
      <c r="B843" t="s">
        <v>1</v>
      </c>
      <c r="C843" t="s">
        <v>407</v>
      </c>
      <c r="E843" t="s">
        <v>34</v>
      </c>
      <c r="F843" t="str">
        <f>Foderstater!U$68</f>
        <v>straw</v>
      </c>
      <c r="J843" t="s">
        <v>310</v>
      </c>
      <c r="K843" s="13">
        <f>INDEX(Foderstater!$X$64:$AL$101,MATCH(F843,Foderstater!$U$64:$U$101,0),MATCH(A843&amp;C843&amp;E843,Foderstater!$X$63:$AL$63,0))</f>
        <v>0</v>
      </c>
      <c r="L843" s="158"/>
      <c r="M843" s="158"/>
    </row>
    <row r="844" spans="1:13" x14ac:dyDescent="0.25">
      <c r="A844" t="s">
        <v>37</v>
      </c>
      <c r="B844" t="s">
        <v>1</v>
      </c>
      <c r="C844" t="s">
        <v>407</v>
      </c>
      <c r="E844" t="s">
        <v>34</v>
      </c>
      <c r="F844" t="str">
        <f>Foderstater!U$69</f>
        <v>grazing</v>
      </c>
      <c r="J844" t="s">
        <v>310</v>
      </c>
      <c r="K844" s="13">
        <f>INDEX(Foderstater!$X$64:$AL$101,MATCH(F844,Foderstater!$U$64:$U$101,0),MATCH(A844&amp;C844&amp;E844,Foderstater!$X$63:$AL$63,0))</f>
        <v>0</v>
      </c>
      <c r="L844" s="158"/>
      <c r="M844" s="158"/>
    </row>
    <row r="845" spans="1:13" x14ac:dyDescent="0.25">
      <c r="A845" t="s">
        <v>37</v>
      </c>
      <c r="B845" t="s">
        <v>1</v>
      </c>
      <c r="C845" t="s">
        <v>407</v>
      </c>
      <c r="E845" t="s">
        <v>34</v>
      </c>
      <c r="F845" t="str">
        <f>Foderstater!U$70</f>
        <v>wheat</v>
      </c>
      <c r="J845" t="s">
        <v>310</v>
      </c>
      <c r="K845" s="13">
        <f>INDEX(Foderstater!$X$64:$AL$101,MATCH(F845,Foderstater!$U$64:$U$101,0),MATCH(A845&amp;C845&amp;E845,Foderstater!$X$63:$AL$63,0))</f>
        <v>6.338193642704308</v>
      </c>
      <c r="L845" s="158"/>
      <c r="M845" s="158"/>
    </row>
    <row r="846" spans="1:13" x14ac:dyDescent="0.25">
      <c r="A846" t="s">
        <v>37</v>
      </c>
      <c r="B846" t="s">
        <v>1</v>
      </c>
      <c r="C846" t="s">
        <v>407</v>
      </c>
      <c r="E846" t="s">
        <v>34</v>
      </c>
      <c r="F846" t="str">
        <f>Foderstater!U$71</f>
        <v>barley</v>
      </c>
      <c r="J846" t="s">
        <v>310</v>
      </c>
      <c r="K846" s="13">
        <f>INDEX(Foderstater!$X$64:$AL$101,MATCH(F846,Foderstater!$U$64:$U$101,0),MATCH(A846&amp;C846&amp;E846,Foderstater!$X$63:$AL$63,0))</f>
        <v>13.009738603465815</v>
      </c>
      <c r="L846" s="158"/>
      <c r="M846" s="158"/>
    </row>
    <row r="847" spans="1:13" x14ac:dyDescent="0.25">
      <c r="A847" t="s">
        <v>37</v>
      </c>
      <c r="B847" t="s">
        <v>1</v>
      </c>
      <c r="C847" t="s">
        <v>407</v>
      </c>
      <c r="E847" t="s">
        <v>34</v>
      </c>
      <c r="F847" t="str">
        <f>Foderstater!U$72</f>
        <v>oats</v>
      </c>
      <c r="J847" t="s">
        <v>310</v>
      </c>
      <c r="K847" s="13">
        <f>INDEX(Foderstater!$X$64:$AL$101,MATCH(F847,Foderstater!$U$64:$U$101,0),MATCH(A847&amp;C847&amp;E847,Foderstater!$X$63:$AL$63,0))</f>
        <v>2.6885792015166539</v>
      </c>
      <c r="L847" s="158"/>
      <c r="M847" s="158"/>
    </row>
    <row r="848" spans="1:13" x14ac:dyDescent="0.25">
      <c r="A848" t="s">
        <v>37</v>
      </c>
      <c r="B848" t="s">
        <v>1</v>
      </c>
      <c r="C848" t="s">
        <v>407</v>
      </c>
      <c r="E848" t="s">
        <v>34</v>
      </c>
      <c r="F848" t="str">
        <f>Foderstater!U$73</f>
        <v>triticale</v>
      </c>
      <c r="J848" t="s">
        <v>310</v>
      </c>
      <c r="K848" s="13">
        <f>INDEX(Foderstater!$X$64:$AL$101,MATCH(F848,Foderstater!$U$64:$U$101,0),MATCH(A848&amp;C848&amp;E848,Foderstater!$X$63:$AL$63,0))</f>
        <v>5.0332855432745562</v>
      </c>
      <c r="L848" s="158"/>
      <c r="M848" s="158"/>
    </row>
    <row r="849" spans="1:13" x14ac:dyDescent="0.25">
      <c r="A849" t="s">
        <v>37</v>
      </c>
      <c r="B849" t="s">
        <v>1</v>
      </c>
      <c r="C849" t="s">
        <v>407</v>
      </c>
      <c r="E849" t="s">
        <v>34</v>
      </c>
      <c r="F849" t="str">
        <f>Foderstater!U$74</f>
        <v>rye</v>
      </c>
      <c r="J849" t="s">
        <v>310</v>
      </c>
      <c r="K849" s="13">
        <f>INDEX(Foderstater!$X$64:$AL$101,MATCH(F849,Foderstater!$U$64:$U$101,0),MATCH(A849&amp;C849&amp;E849,Foderstater!$X$63:$AL$63,0))</f>
        <v>0</v>
      </c>
      <c r="L849" s="158"/>
      <c r="M849" s="158"/>
    </row>
    <row r="850" spans="1:13" x14ac:dyDescent="0.25">
      <c r="A850" t="s">
        <v>37</v>
      </c>
      <c r="B850" t="s">
        <v>1</v>
      </c>
      <c r="C850" t="s">
        <v>407</v>
      </c>
      <c r="E850" t="s">
        <v>34</v>
      </c>
      <c r="F850" t="str">
        <f>Foderstater!U$75</f>
        <v>maize</v>
      </c>
      <c r="J850" t="s">
        <v>310</v>
      </c>
      <c r="K850" s="13">
        <f>INDEX(Foderstater!$X$64:$AL$101,MATCH(F850,Foderstater!$U$64:$U$101,0),MATCH(A850&amp;C850&amp;E850,Foderstater!$X$63:$AL$63,0))</f>
        <v>0</v>
      </c>
      <c r="L850" s="158"/>
      <c r="M850" s="158"/>
    </row>
    <row r="851" spans="1:13" x14ac:dyDescent="0.25">
      <c r="A851" t="s">
        <v>37</v>
      </c>
      <c r="B851" t="s">
        <v>1</v>
      </c>
      <c r="C851" t="s">
        <v>407</v>
      </c>
      <c r="E851" t="s">
        <v>34</v>
      </c>
      <c r="F851" t="str">
        <f>Foderstater!U$76</f>
        <v>peas</v>
      </c>
      <c r="J851" t="s">
        <v>310</v>
      </c>
      <c r="K851" s="13">
        <f>INDEX(Foderstater!$X$64:$AL$101,MATCH(F851,Foderstater!$U$64:$U$101,0),MATCH(A851&amp;C851&amp;E851,Foderstater!$X$63:$AL$63,0))</f>
        <v>1.6370482011197791</v>
      </c>
      <c r="L851" s="158"/>
      <c r="M851" s="158"/>
    </row>
    <row r="852" spans="1:13" x14ac:dyDescent="0.25">
      <c r="A852" t="s">
        <v>37</v>
      </c>
      <c r="B852" t="s">
        <v>1</v>
      </c>
      <c r="C852" t="s">
        <v>407</v>
      </c>
      <c r="E852" t="s">
        <v>34</v>
      </c>
      <c r="F852" t="str">
        <f>Foderstater!U$77</f>
        <v>broad beans</v>
      </c>
      <c r="J852" t="s">
        <v>310</v>
      </c>
      <c r="K852" s="13">
        <f>INDEX(Foderstater!$X$64:$AL$101,MATCH(F852,Foderstater!$U$64:$U$101,0),MATCH(A852&amp;C852&amp;E852,Foderstater!$X$63:$AL$63,0))</f>
        <v>1.5539189073731028</v>
      </c>
      <c r="L852" s="158"/>
      <c r="M852" s="158"/>
    </row>
    <row r="853" spans="1:13" x14ac:dyDescent="0.25">
      <c r="A853" t="s">
        <v>37</v>
      </c>
      <c r="B853" t="s">
        <v>1</v>
      </c>
      <c r="C853" t="s">
        <v>407</v>
      </c>
      <c r="E853" t="s">
        <v>34</v>
      </c>
      <c r="F853" t="str">
        <f>Foderstater!U$78</f>
        <v>rapeseed</v>
      </c>
      <c r="J853" t="s">
        <v>310</v>
      </c>
      <c r="K853" s="13">
        <f>INDEX(Foderstater!$X$64:$AL$101,MATCH(F853,Foderstater!$U$64:$U$101,0),MATCH(A853&amp;C853&amp;E853,Foderstater!$X$63:$AL$63,0))</f>
        <v>0</v>
      </c>
      <c r="L853" s="158"/>
      <c r="M853" s="158"/>
    </row>
    <row r="854" spans="1:13" x14ac:dyDescent="0.25">
      <c r="A854" t="s">
        <v>37</v>
      </c>
      <c r="B854" t="s">
        <v>1</v>
      </c>
      <c r="C854" t="s">
        <v>407</v>
      </c>
      <c r="E854" t="s">
        <v>34</v>
      </c>
      <c r="F854" t="str">
        <f>Foderstater!U$79</f>
        <v>linseed</v>
      </c>
      <c r="J854" t="s">
        <v>310</v>
      </c>
      <c r="K854" s="13">
        <f>INDEX(Foderstater!$X$64:$AL$101,MATCH(F854,Foderstater!$U$64:$U$101,0),MATCH(A854&amp;C854&amp;E854,Foderstater!$X$63:$AL$63,0))</f>
        <v>0</v>
      </c>
      <c r="L854" s="158"/>
      <c r="M854" s="158"/>
    </row>
    <row r="855" spans="1:13" x14ac:dyDescent="0.25">
      <c r="A855" t="s">
        <v>37</v>
      </c>
      <c r="B855" t="s">
        <v>1</v>
      </c>
      <c r="C855" t="s">
        <v>407</v>
      </c>
      <c r="E855" t="s">
        <v>34</v>
      </c>
      <c r="F855" t="str">
        <f>Foderstater!U$80</f>
        <v>vegetable oils</v>
      </c>
      <c r="J855" t="s">
        <v>310</v>
      </c>
      <c r="K855" s="13">
        <f>INDEX(Foderstater!$X$64:$AL$101,MATCH(F855,Foderstater!$U$64:$U$101,0),MATCH(A855&amp;C855&amp;E855,Foderstater!$X$63:$AL$63,0))</f>
        <v>0</v>
      </c>
      <c r="L855" s="158"/>
      <c r="M855" s="158"/>
    </row>
    <row r="856" spans="1:13" x14ac:dyDescent="0.25">
      <c r="A856" t="s">
        <v>37</v>
      </c>
      <c r="B856" t="s">
        <v>1</v>
      </c>
      <c r="C856" t="s">
        <v>407</v>
      </c>
      <c r="E856" t="s">
        <v>34</v>
      </c>
      <c r="F856" t="str">
        <f>Foderstater!U$81</f>
        <v>soybeans</v>
      </c>
      <c r="J856" t="s">
        <v>310</v>
      </c>
      <c r="K856" s="13">
        <f>INDEX(Foderstater!$X$64:$AL$101,MATCH(F856,Foderstater!$U$64:$U$101,0),MATCH(A856&amp;C856&amp;E856,Foderstater!$X$63:$AL$63,0))</f>
        <v>0</v>
      </c>
      <c r="L856" s="158"/>
      <c r="M856" s="158"/>
    </row>
    <row r="857" spans="1:13" x14ac:dyDescent="0.25">
      <c r="A857" t="s">
        <v>37</v>
      </c>
      <c r="B857" t="s">
        <v>1</v>
      </c>
      <c r="C857" t="s">
        <v>407</v>
      </c>
      <c r="E857" t="s">
        <v>34</v>
      </c>
      <c r="F857" t="str">
        <f>Foderstater!U$82</f>
        <v>soybean meal</v>
      </c>
      <c r="J857" t="s">
        <v>310</v>
      </c>
      <c r="K857" s="13">
        <f>INDEX(Foderstater!$X$64:$AL$101,MATCH(F857,Foderstater!$U$64:$U$101,0),MATCH(A857&amp;C857&amp;E857,Foderstater!$X$63:$AL$63,0))</f>
        <v>0</v>
      </c>
      <c r="L857" s="158"/>
      <c r="M857" s="158"/>
    </row>
    <row r="858" spans="1:13" x14ac:dyDescent="0.25">
      <c r="A858" t="s">
        <v>37</v>
      </c>
      <c r="B858" t="s">
        <v>1</v>
      </c>
      <c r="C858" t="s">
        <v>407</v>
      </c>
      <c r="E858" t="s">
        <v>34</v>
      </c>
      <c r="F858" t="str">
        <f>Foderstater!U$83</f>
        <v>soybean protein concentrate</v>
      </c>
      <c r="J858" t="s">
        <v>310</v>
      </c>
      <c r="K858" s="13">
        <f>INDEX(Foderstater!$X$64:$AL$101,MATCH(F858,Foderstater!$U$64:$U$101,0),MATCH(A858&amp;C858&amp;E858,Foderstater!$X$63:$AL$63,0))</f>
        <v>0</v>
      </c>
      <c r="L858" s="158"/>
      <c r="M858" s="158"/>
    </row>
    <row r="859" spans="1:13" x14ac:dyDescent="0.25">
      <c r="A859" t="s">
        <v>37</v>
      </c>
      <c r="B859" t="s">
        <v>1</v>
      </c>
      <c r="C859" t="s">
        <v>407</v>
      </c>
      <c r="E859" t="s">
        <v>34</v>
      </c>
      <c r="F859" t="str">
        <f>Foderstater!U$84</f>
        <v>rapeseed meal</v>
      </c>
      <c r="J859" t="s">
        <v>310</v>
      </c>
      <c r="K859" s="13">
        <f>INDEX(Foderstater!$X$64:$AL$101,MATCH(F859,Foderstater!$U$64:$U$101,0),MATCH(A859&amp;C859&amp;E859,Foderstater!$X$63:$AL$63,0))</f>
        <v>0</v>
      </c>
      <c r="L859" s="158"/>
      <c r="M859" s="158"/>
    </row>
    <row r="860" spans="1:13" x14ac:dyDescent="0.25">
      <c r="A860" t="s">
        <v>37</v>
      </c>
      <c r="B860" t="s">
        <v>1</v>
      </c>
      <c r="C860" t="s">
        <v>407</v>
      </c>
      <c r="E860" t="s">
        <v>34</v>
      </c>
      <c r="F860" t="str">
        <f>Foderstater!U$85</f>
        <v>sunflower seed meal</v>
      </c>
      <c r="J860" t="s">
        <v>310</v>
      </c>
      <c r="K860" s="13">
        <f>INDEX(Foderstater!$X$64:$AL$101,MATCH(F860,Foderstater!$U$64:$U$101,0),MATCH(A860&amp;C860&amp;E860,Foderstater!$X$63:$AL$63,0))</f>
        <v>0</v>
      </c>
    </row>
    <row r="861" spans="1:13" x14ac:dyDescent="0.25">
      <c r="A861" t="s">
        <v>37</v>
      </c>
      <c r="B861" t="s">
        <v>1</v>
      </c>
      <c r="C861" t="s">
        <v>407</v>
      </c>
      <c r="E861" t="s">
        <v>34</v>
      </c>
      <c r="F861" t="str">
        <f>Foderstater!U$86</f>
        <v>palm kernel expeller</v>
      </c>
      <c r="J861" t="s">
        <v>310</v>
      </c>
      <c r="K861" s="13">
        <f>INDEX(Foderstater!$X$64:$AL$101,MATCH(F861,Foderstater!$U$64:$U$101,0),MATCH(A861&amp;C861&amp;E861,Foderstater!$X$63:$AL$63,0))</f>
        <v>0</v>
      </c>
    </row>
    <row r="862" spans="1:13" x14ac:dyDescent="0.25">
      <c r="A862" t="s">
        <v>37</v>
      </c>
      <c r="B862" t="s">
        <v>1</v>
      </c>
      <c r="C862" t="s">
        <v>407</v>
      </c>
      <c r="E862" t="s">
        <v>34</v>
      </c>
      <c r="F862" t="str">
        <f>Foderstater!U$87</f>
        <v>luzern meal</v>
      </c>
      <c r="J862" t="s">
        <v>310</v>
      </c>
      <c r="K862" s="13">
        <f>INDEX(Foderstater!$X$64:$AL$101,MATCH(F862,Foderstater!$U$64:$U$101,0),MATCH(A862&amp;C862&amp;E862,Foderstater!$X$63:$AL$63,0))</f>
        <v>0</v>
      </c>
    </row>
    <row r="863" spans="1:13" x14ac:dyDescent="0.25">
      <c r="A863" t="s">
        <v>37</v>
      </c>
      <c r="B863" t="s">
        <v>1</v>
      </c>
      <c r="C863" t="s">
        <v>407</v>
      </c>
      <c r="E863" t="s">
        <v>34</v>
      </c>
      <c r="F863" t="str">
        <f>Foderstater!U$88</f>
        <v>wheat bran</v>
      </c>
      <c r="J863" t="s">
        <v>310</v>
      </c>
      <c r="K863" s="13">
        <f>INDEX(Foderstater!$X$64:$AL$101,MATCH(F863,Foderstater!$U$64:$U$101,0),MATCH(A863&amp;C863&amp;E863,Foderstater!$X$63:$AL$63,0))</f>
        <v>0</v>
      </c>
    </row>
    <row r="864" spans="1:13" x14ac:dyDescent="0.25">
      <c r="A864" t="s">
        <v>37</v>
      </c>
      <c r="B864" t="s">
        <v>1</v>
      </c>
      <c r="C864" t="s">
        <v>407</v>
      </c>
      <c r="E864" t="s">
        <v>34</v>
      </c>
      <c r="F864" t="str">
        <f>Foderstater!U$89</f>
        <v>wheat bran, fine</v>
      </c>
      <c r="J864" t="s">
        <v>310</v>
      </c>
      <c r="K864" s="13">
        <f>INDEX(Foderstater!$X$64:$AL$101,MATCH(F864,Foderstater!$U$64:$U$101,0),MATCH(A864&amp;C864&amp;E864,Foderstater!$X$63:$AL$63,0))</f>
        <v>0</v>
      </c>
    </row>
    <row r="865" spans="1:11" x14ac:dyDescent="0.25">
      <c r="A865" t="s">
        <v>37</v>
      </c>
      <c r="B865" t="s">
        <v>1</v>
      </c>
      <c r="C865" t="s">
        <v>407</v>
      </c>
      <c r="E865" t="s">
        <v>34</v>
      </c>
      <c r="F865" t="str">
        <f>Foderstater!U$90</f>
        <v>oat hulls</v>
      </c>
      <c r="J865" t="s">
        <v>310</v>
      </c>
      <c r="K865" s="13">
        <f>INDEX(Foderstater!$X$64:$AL$101,MATCH(F865,Foderstater!$U$64:$U$101,0),MATCH(A865&amp;C865&amp;E865,Foderstater!$X$63:$AL$63,0))</f>
        <v>0</v>
      </c>
    </row>
    <row r="866" spans="1:11" x14ac:dyDescent="0.25">
      <c r="A866" t="s">
        <v>37</v>
      </c>
      <c r="B866" t="s">
        <v>1</v>
      </c>
      <c r="C866" t="s">
        <v>407</v>
      </c>
      <c r="E866" t="s">
        <v>34</v>
      </c>
      <c r="F866" t="str">
        <f>Foderstater!U$91</f>
        <v>oat bran</v>
      </c>
      <c r="J866" t="s">
        <v>310</v>
      </c>
      <c r="K866" s="13">
        <f>INDEX(Foderstater!$X$64:$AL$101,MATCH(F866,Foderstater!$U$64:$U$101,0),MATCH(A866&amp;C866&amp;E866,Foderstater!$X$63:$AL$63,0))</f>
        <v>0</v>
      </c>
    </row>
    <row r="867" spans="1:11" x14ac:dyDescent="0.25">
      <c r="A867" t="s">
        <v>37</v>
      </c>
      <c r="B867" t="s">
        <v>1</v>
      </c>
      <c r="C867" t="s">
        <v>407</v>
      </c>
      <c r="E867" t="s">
        <v>34</v>
      </c>
      <c r="F867" t="str">
        <f>Foderstater!U$92</f>
        <v>rye bran</v>
      </c>
      <c r="J867" t="s">
        <v>310</v>
      </c>
      <c r="K867" s="13">
        <f>INDEX(Foderstater!$X$64:$AL$101,MATCH(F867,Foderstater!$U$64:$U$101,0),MATCH(A867&amp;C867&amp;E867,Foderstater!$X$63:$AL$63,0))</f>
        <v>0</v>
      </c>
    </row>
    <row r="868" spans="1:11" x14ac:dyDescent="0.25">
      <c r="A868" t="s">
        <v>37</v>
      </c>
      <c r="B868" t="s">
        <v>1</v>
      </c>
      <c r="C868" t="s">
        <v>407</v>
      </c>
      <c r="E868" t="s">
        <v>34</v>
      </c>
      <c r="F868" t="str">
        <f>Foderstater!U$93</f>
        <v>wheat distillers grain, dry</v>
      </c>
      <c r="J868" t="s">
        <v>310</v>
      </c>
      <c r="K868" s="13">
        <f>INDEX(Foderstater!$X$64:$AL$101,MATCH(F868,Foderstater!$U$64:$U$101,0),MATCH(A868&amp;C868&amp;E868,Foderstater!$X$63:$AL$63,0))</f>
        <v>0</v>
      </c>
    </row>
    <row r="869" spans="1:11" x14ac:dyDescent="0.25">
      <c r="A869" t="s">
        <v>37</v>
      </c>
      <c r="B869" t="s">
        <v>1</v>
      </c>
      <c r="C869" t="s">
        <v>407</v>
      </c>
      <c r="E869" t="s">
        <v>34</v>
      </c>
      <c r="F869" t="str">
        <f>Foderstater!U$94</f>
        <v>barley brewers grain</v>
      </c>
      <c r="J869" t="s">
        <v>310</v>
      </c>
      <c r="K869" s="13">
        <f>INDEX(Foderstater!$X$64:$AL$101,MATCH(F869,Foderstater!$U$64:$U$101,0),MATCH(A869&amp;C869&amp;E869,Foderstater!$X$63:$AL$63,0))</f>
        <v>0</v>
      </c>
    </row>
    <row r="870" spans="1:11" x14ac:dyDescent="0.25">
      <c r="A870" t="s">
        <v>37</v>
      </c>
      <c r="B870" t="s">
        <v>1</v>
      </c>
      <c r="C870" t="s">
        <v>407</v>
      </c>
      <c r="E870" t="s">
        <v>34</v>
      </c>
      <c r="F870" t="str">
        <f>Foderstater!U$95</f>
        <v>maize gluten meal</v>
      </c>
      <c r="J870" t="s">
        <v>310</v>
      </c>
      <c r="K870" s="13">
        <f>INDEX(Foderstater!$X$64:$AL$101,MATCH(F870,Foderstater!$U$64:$U$101,0),MATCH(A870&amp;C870&amp;E870,Foderstater!$X$63:$AL$63,0))</f>
        <v>0</v>
      </c>
    </row>
    <row r="871" spans="1:11" x14ac:dyDescent="0.25">
      <c r="A871" t="s">
        <v>37</v>
      </c>
      <c r="B871" t="s">
        <v>1</v>
      </c>
      <c r="C871" t="s">
        <v>407</v>
      </c>
      <c r="E871" t="s">
        <v>34</v>
      </c>
      <c r="F871" t="str">
        <f>Foderstater!U$96</f>
        <v>sugar beet molasses</v>
      </c>
      <c r="J871" t="s">
        <v>310</v>
      </c>
      <c r="K871" s="13">
        <f>INDEX(Foderstater!$X$64:$AL$101,MATCH(F871,Foderstater!$U$64:$U$101,0),MATCH(A871&amp;C871&amp;E871,Foderstater!$X$63:$AL$63,0))</f>
        <v>0</v>
      </c>
    </row>
    <row r="872" spans="1:11" x14ac:dyDescent="0.25">
      <c r="A872" t="s">
        <v>37</v>
      </c>
      <c r="B872" t="s">
        <v>1</v>
      </c>
      <c r="C872" t="s">
        <v>407</v>
      </c>
      <c r="E872" t="s">
        <v>34</v>
      </c>
      <c r="F872" t="str">
        <f>Foderstater!U$97</f>
        <v>sugar beet pulp</v>
      </c>
      <c r="J872" t="s">
        <v>310</v>
      </c>
      <c r="K872" s="13">
        <f>INDEX(Foderstater!$X$64:$AL$101,MATCH(F872,Foderstater!$U$64:$U$101,0),MATCH(A872&amp;C872&amp;E872,Foderstater!$X$63:$AL$63,0))</f>
        <v>0</v>
      </c>
    </row>
    <row r="873" spans="1:11" x14ac:dyDescent="0.25">
      <c r="A873" t="s">
        <v>37</v>
      </c>
      <c r="B873" t="s">
        <v>1</v>
      </c>
      <c r="C873" t="s">
        <v>407</v>
      </c>
      <c r="E873" t="s">
        <v>34</v>
      </c>
      <c r="F873" t="str">
        <f>Foderstater!U$98</f>
        <v>whey powder</v>
      </c>
      <c r="J873" t="s">
        <v>310</v>
      </c>
      <c r="K873" s="13">
        <f>INDEX(Foderstater!$X$64:$AL$101,MATCH(F873,Foderstater!$U$64:$U$101,0),MATCH(A873&amp;C873&amp;E873,Foderstater!$X$63:$AL$63,0))</f>
        <v>0</v>
      </c>
    </row>
    <row r="874" spans="1:11" x14ac:dyDescent="0.25">
      <c r="A874" t="s">
        <v>37</v>
      </c>
      <c r="B874" t="s">
        <v>1</v>
      </c>
      <c r="C874" t="s">
        <v>407</v>
      </c>
      <c r="E874" t="s">
        <v>34</v>
      </c>
      <c r="F874" t="str">
        <f>Foderstater!U$99</f>
        <v>potatoe protein</v>
      </c>
      <c r="J874" t="s">
        <v>310</v>
      </c>
      <c r="K874" s="13">
        <f>INDEX(Foderstater!$X$64:$AL$101,MATCH(F874,Foderstater!$U$64:$U$101,0),MATCH(A874&amp;C874&amp;E874,Foderstater!$X$63:$AL$63,0))</f>
        <v>0</v>
      </c>
    </row>
    <row r="875" spans="1:11" x14ac:dyDescent="0.25">
      <c r="A875" t="s">
        <v>37</v>
      </c>
      <c r="B875" t="s">
        <v>1</v>
      </c>
      <c r="C875" t="s">
        <v>407</v>
      </c>
      <c r="E875" t="s">
        <v>34</v>
      </c>
      <c r="F875" t="str">
        <f>Foderstater!U$100</f>
        <v>fish meal</v>
      </c>
      <c r="J875" t="s">
        <v>310</v>
      </c>
      <c r="K875" s="13">
        <f>INDEX(Foderstater!$X$64:$AL$101,MATCH(F875,Foderstater!$U$64:$U$101,0),MATCH(A875&amp;C875&amp;E875,Foderstater!$X$63:$AL$63,0))</f>
        <v>0</v>
      </c>
    </row>
    <row r="876" spans="1:11" x14ac:dyDescent="0.25">
      <c r="A876" t="s">
        <v>37</v>
      </c>
      <c r="B876" t="s">
        <v>1</v>
      </c>
      <c r="C876" t="s">
        <v>407</v>
      </c>
      <c r="E876" t="s">
        <v>34</v>
      </c>
      <c r="F876" t="str">
        <f>Foderstater!U$101</f>
        <v>minerals</v>
      </c>
      <c r="J876" t="s">
        <v>310</v>
      </c>
      <c r="K876" s="13">
        <f>INDEX(Foderstater!$X$64:$AL$101,MATCH(F876,Foderstater!$U$64:$U$101,0),MATCH(A876&amp;C876&amp;E876,Foderstater!$X$63:$AL$63,0))</f>
        <v>0.57755060787201484</v>
      </c>
    </row>
  </sheetData>
  <hyperlinks>
    <hyperlink ref="N220" r:id="rId1"/>
    <hyperlink ref="N191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A17" zoomScale="80" zoomScaleNormal="80" workbookViewId="0">
      <selection activeCell="AD83" sqref="AD83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50</v>
      </c>
      <c r="P2" s="5">
        <f>(1-P7/100)+(P7/100)</f>
        <v>1</v>
      </c>
      <c r="Y2" s="4" t="s">
        <v>51</v>
      </c>
    </row>
    <row r="3" spans="2:47" x14ac:dyDescent="0.25">
      <c r="D3" s="6" t="s">
        <v>52</v>
      </c>
      <c r="F3" s="6" t="s">
        <v>53</v>
      </c>
      <c r="H3" s="6" t="s">
        <v>54</v>
      </c>
      <c r="J3" s="6" t="s">
        <v>55</v>
      </c>
      <c r="AA3" s="6" t="s">
        <v>52</v>
      </c>
      <c r="AC3" s="6" t="s">
        <v>53</v>
      </c>
      <c r="AE3" s="6" t="s">
        <v>54</v>
      </c>
      <c r="AG3" s="6" t="s">
        <v>55</v>
      </c>
    </row>
    <row r="4" spans="2:47" x14ac:dyDescent="0.25">
      <c r="B4" s="6"/>
      <c r="D4" t="s">
        <v>56</v>
      </c>
      <c r="E4" t="s">
        <v>57</v>
      </c>
      <c r="F4" t="s">
        <v>56</v>
      </c>
      <c r="G4" t="s">
        <v>57</v>
      </c>
      <c r="H4" t="s">
        <v>56</v>
      </c>
      <c r="I4" t="s">
        <v>57</v>
      </c>
      <c r="J4" t="s">
        <v>56</v>
      </c>
      <c r="K4" t="s">
        <v>57</v>
      </c>
      <c r="M4" s="7" t="s">
        <v>58</v>
      </c>
      <c r="N4" s="8"/>
      <c r="O4" s="8"/>
      <c r="P4" s="9" t="s">
        <v>59</v>
      </c>
      <c r="Q4" s="9" t="s">
        <v>60</v>
      </c>
      <c r="R4" s="9" t="s">
        <v>61</v>
      </c>
      <c r="S4" s="9"/>
      <c r="T4" s="9" t="s">
        <v>62</v>
      </c>
      <c r="U4" s="8"/>
      <c r="V4" s="8"/>
      <c r="W4" s="10"/>
      <c r="Y4" s="6"/>
      <c r="AA4" t="s">
        <v>56</v>
      </c>
      <c r="AB4" t="s">
        <v>57</v>
      </c>
      <c r="AC4" t="s">
        <v>56</v>
      </c>
      <c r="AD4" t="s">
        <v>57</v>
      </c>
      <c r="AE4" t="s">
        <v>56</v>
      </c>
      <c r="AF4" t="s">
        <v>57</v>
      </c>
      <c r="AG4" t="s">
        <v>56</v>
      </c>
      <c r="AH4" t="s">
        <v>57</v>
      </c>
      <c r="AJ4" s="7" t="s">
        <v>58</v>
      </c>
      <c r="AK4" s="8"/>
      <c r="AL4" s="8"/>
      <c r="AM4" s="9" t="s">
        <v>59</v>
      </c>
      <c r="AN4" s="9" t="s">
        <v>60</v>
      </c>
      <c r="AO4" s="9" t="s">
        <v>61</v>
      </c>
      <c r="AP4" s="9"/>
      <c r="AQ4" s="9" t="s">
        <v>62</v>
      </c>
      <c r="AR4" s="8"/>
      <c r="AS4" s="8"/>
      <c r="AT4" s="10"/>
    </row>
    <row r="5" spans="2:47" x14ac:dyDescent="0.25">
      <c r="B5" t="s">
        <v>63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64</v>
      </c>
      <c r="N5" s="15"/>
      <c r="O5" s="15"/>
      <c r="P5" s="16">
        <v>13.2</v>
      </c>
      <c r="Q5" s="17">
        <v>12.9</v>
      </c>
      <c r="R5" s="15" t="s">
        <v>65</v>
      </c>
      <c r="S5" s="15"/>
      <c r="T5" s="15" t="s">
        <v>66</v>
      </c>
      <c r="U5" s="15"/>
      <c r="V5" s="15"/>
      <c r="W5" s="18"/>
      <c r="Y5" t="s">
        <v>63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64</v>
      </c>
      <c r="AK5" s="15"/>
      <c r="AL5" s="15"/>
      <c r="AM5" s="19">
        <f>(12.7+12.7+12.7+12.7)/4</f>
        <v>12.7</v>
      </c>
      <c r="AN5" s="20">
        <v>12.7</v>
      </c>
      <c r="AO5" s="15" t="s">
        <v>65</v>
      </c>
      <c r="AP5" s="15"/>
      <c r="AQ5" s="15" t="s">
        <v>67</v>
      </c>
      <c r="AR5" s="15"/>
      <c r="AS5" s="15"/>
      <c r="AT5" s="18"/>
    </row>
    <row r="6" spans="2:47" x14ac:dyDescent="0.25">
      <c r="B6" t="s">
        <v>68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69</v>
      </c>
      <c r="N6" s="15"/>
      <c r="O6" s="15"/>
      <c r="P6" s="19">
        <v>27</v>
      </c>
      <c r="Q6" s="17">
        <v>27</v>
      </c>
      <c r="R6" s="15" t="s">
        <v>65</v>
      </c>
      <c r="S6" s="15"/>
      <c r="T6" s="15" t="s">
        <v>66</v>
      </c>
      <c r="U6" s="15"/>
      <c r="V6" s="15"/>
      <c r="W6" s="18"/>
      <c r="Y6" t="s">
        <v>68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69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65</v>
      </c>
      <c r="AP6" s="15"/>
      <c r="AQ6" s="15" t="s">
        <v>70</v>
      </c>
      <c r="AR6" s="15"/>
      <c r="AS6" s="15"/>
      <c r="AT6" s="18"/>
    </row>
    <row r="7" spans="2:47" x14ac:dyDescent="0.25">
      <c r="B7" t="s">
        <v>71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72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73</v>
      </c>
      <c r="U7" s="15"/>
      <c r="V7" s="15"/>
      <c r="W7" s="18"/>
      <c r="Y7" t="s">
        <v>71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72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9</v>
      </c>
      <c r="AP7" s="15"/>
      <c r="AQ7" s="15" t="s">
        <v>74</v>
      </c>
      <c r="AR7" s="15"/>
      <c r="AS7" s="15"/>
      <c r="AT7" s="18"/>
    </row>
    <row r="8" spans="2:47" x14ac:dyDescent="0.25">
      <c r="B8" t="s">
        <v>75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76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77</v>
      </c>
      <c r="U8" s="15"/>
      <c r="V8" s="15"/>
      <c r="W8" s="18"/>
      <c r="Y8" t="s">
        <v>75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76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78</v>
      </c>
      <c r="AR8" s="15"/>
      <c r="AS8" s="15"/>
      <c r="AT8" s="18"/>
    </row>
    <row r="9" spans="2:47" x14ac:dyDescent="0.25">
      <c r="B9" t="s">
        <v>79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80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79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80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81</v>
      </c>
      <c r="AR9" s="15"/>
      <c r="AS9" s="15"/>
      <c r="AT9" s="18"/>
    </row>
    <row r="10" spans="2:47" x14ac:dyDescent="0.25">
      <c r="D10" s="26"/>
      <c r="E10" s="26"/>
      <c r="M10" s="14" t="s">
        <v>82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73</v>
      </c>
      <c r="U10" s="15"/>
      <c r="V10" s="15"/>
      <c r="W10" s="18"/>
      <c r="AJ10" s="14" t="s">
        <v>82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67</v>
      </c>
      <c r="AR10" s="15"/>
      <c r="AS10" s="15"/>
      <c r="AT10" s="18"/>
    </row>
    <row r="11" spans="2:47" x14ac:dyDescent="0.25">
      <c r="B11" s="27" t="s">
        <v>83</v>
      </c>
      <c r="D11" t="s">
        <v>56</v>
      </c>
      <c r="E11" t="s">
        <v>57</v>
      </c>
      <c r="G11" t="s">
        <v>84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85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86</v>
      </c>
      <c r="S11" s="15"/>
      <c r="T11" s="15" t="s">
        <v>74</v>
      </c>
      <c r="U11" s="15"/>
      <c r="V11" s="15"/>
      <c r="W11" s="18"/>
      <c r="Y11" s="27" t="s">
        <v>83</v>
      </c>
      <c r="AA11" t="s">
        <v>56</v>
      </c>
      <c r="AB11" t="s">
        <v>57</v>
      </c>
      <c r="AD11" t="s">
        <v>84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85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86</v>
      </c>
      <c r="AP11" s="15"/>
      <c r="AQ11" s="15" t="s">
        <v>74</v>
      </c>
      <c r="AR11" s="15"/>
      <c r="AS11" s="15"/>
      <c r="AT11" s="18"/>
      <c r="AU11" s="32"/>
    </row>
    <row r="12" spans="2:47" x14ac:dyDescent="0.25">
      <c r="B12" t="s">
        <v>87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88</v>
      </c>
      <c r="N12" s="15"/>
      <c r="O12" s="15"/>
      <c r="P12" s="15">
        <v>100</v>
      </c>
      <c r="Q12" s="33">
        <f>P12</f>
        <v>100</v>
      </c>
      <c r="R12" s="15" t="s">
        <v>89</v>
      </c>
      <c r="S12" s="15"/>
      <c r="T12" s="15" t="s">
        <v>90</v>
      </c>
      <c r="U12" s="15"/>
      <c r="V12" s="15"/>
      <c r="W12" s="18"/>
      <c r="Y12" t="s">
        <v>87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88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89</v>
      </c>
      <c r="AP12" s="15"/>
      <c r="AQ12" s="15"/>
      <c r="AR12" s="15"/>
      <c r="AS12" s="15"/>
      <c r="AT12" s="18"/>
      <c r="AU12" s="32"/>
    </row>
    <row r="13" spans="2:47" x14ac:dyDescent="0.25">
      <c r="B13" t="s">
        <v>91</v>
      </c>
      <c r="D13" s="12">
        <f>D12*P8/100</f>
        <v>122361.22653271889</v>
      </c>
      <c r="E13" s="12">
        <f>E12*Q8/100</f>
        <v>26230.316860251078</v>
      </c>
      <c r="M13" s="35" t="s">
        <v>92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91</v>
      </c>
      <c r="AA13" s="12">
        <f>AA12*AM8/100</f>
        <v>67815.211804631574</v>
      </c>
      <c r="AB13" s="12">
        <f>AB12*AN8/100</f>
        <v>36837.892832145553</v>
      </c>
      <c r="AJ13" s="35" t="s">
        <v>92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93</v>
      </c>
      <c r="D14" s="12">
        <f>D12-D13</f>
        <v>119192.15050351919</v>
      </c>
      <c r="E14" s="12">
        <f>E12-E13</f>
        <v>25550.968746836195</v>
      </c>
      <c r="M14" s="14" t="s">
        <v>94</v>
      </c>
      <c r="N14" s="15"/>
      <c r="O14" s="15"/>
      <c r="P14" s="15">
        <v>6.6</v>
      </c>
      <c r="Q14" s="37">
        <f t="shared" ref="Q14:Q22" si="4">P14</f>
        <v>6.6</v>
      </c>
      <c r="R14" s="24" t="s">
        <v>95</v>
      </c>
      <c r="S14" s="15"/>
      <c r="T14" s="15" t="s">
        <v>90</v>
      </c>
      <c r="U14" s="15"/>
      <c r="V14" s="15"/>
      <c r="W14" s="18"/>
      <c r="Y14" t="s">
        <v>93</v>
      </c>
      <c r="AA14" s="12">
        <f>AA12-AA13</f>
        <v>63355.410641464317</v>
      </c>
      <c r="AB14" s="12">
        <f>AB12-AB13</f>
        <v>34415.284792894199</v>
      </c>
      <c r="AJ14" s="14" t="s">
        <v>94</v>
      </c>
      <c r="AK14" s="15"/>
      <c r="AL14" s="15"/>
      <c r="AM14" s="19">
        <v>2</v>
      </c>
      <c r="AN14" s="37">
        <f t="shared" si="3"/>
        <v>2</v>
      </c>
      <c r="AO14" s="24" t="s">
        <v>95</v>
      </c>
      <c r="AP14" s="15"/>
      <c r="AQ14" s="15" t="s">
        <v>90</v>
      </c>
      <c r="AR14" s="15"/>
      <c r="AS14" s="15"/>
      <c r="AT14" s="18"/>
      <c r="AU14" s="32"/>
    </row>
    <row r="15" spans="2:47" x14ac:dyDescent="0.25">
      <c r="B15" t="s">
        <v>319</v>
      </c>
      <c r="D15" s="12">
        <f>D13*(1-P15/100)</f>
        <v>117222.05501834469</v>
      </c>
      <c r="E15" s="12">
        <f>E13*(1-Q15/100)</f>
        <v>25128.643552120531</v>
      </c>
      <c r="M15" s="14" t="s">
        <v>97</v>
      </c>
      <c r="N15" s="15"/>
      <c r="O15" s="15"/>
      <c r="P15" s="38">
        <v>4.2</v>
      </c>
      <c r="Q15" s="37">
        <f t="shared" si="4"/>
        <v>4.2</v>
      </c>
      <c r="R15" s="24" t="s">
        <v>98</v>
      </c>
      <c r="S15" s="15"/>
      <c r="T15" s="15" t="s">
        <v>90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97</v>
      </c>
      <c r="AK15" s="15"/>
      <c r="AL15" s="15"/>
      <c r="AM15" s="19">
        <v>4</v>
      </c>
      <c r="AN15" s="37">
        <f t="shared" si="3"/>
        <v>4</v>
      </c>
      <c r="AO15" s="24" t="s">
        <v>98</v>
      </c>
      <c r="AP15" s="15"/>
      <c r="AQ15" s="15" t="s">
        <v>90</v>
      </c>
      <c r="AR15" s="15"/>
      <c r="AS15" s="15"/>
      <c r="AT15" s="18"/>
      <c r="AU15" s="32"/>
    </row>
    <row r="16" spans="2:47" x14ac:dyDescent="0.25">
      <c r="B16" t="s">
        <v>320</v>
      </c>
      <c r="D16" s="12">
        <f>D14*(1-P17/100)</f>
        <v>115139.61738639954</v>
      </c>
      <c r="E16" s="12">
        <f>E14*(1-Q17/100)</f>
        <v>24682.235809443762</v>
      </c>
      <c r="M16" s="25" t="s">
        <v>100</v>
      </c>
      <c r="N16" s="15"/>
      <c r="O16" s="15"/>
      <c r="P16" s="15">
        <v>10</v>
      </c>
      <c r="Q16" s="37">
        <f t="shared" si="4"/>
        <v>10</v>
      </c>
      <c r="R16" s="15" t="s">
        <v>89</v>
      </c>
      <c r="S16" s="15"/>
      <c r="T16" s="15" t="s">
        <v>90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100</v>
      </c>
      <c r="AK16" s="15"/>
      <c r="AL16" s="15"/>
      <c r="AM16" s="15">
        <v>3</v>
      </c>
      <c r="AN16" s="37">
        <f t="shared" si="3"/>
        <v>3</v>
      </c>
      <c r="AO16" s="15" t="s">
        <v>89</v>
      </c>
      <c r="AP16" s="15"/>
      <c r="AQ16" s="15" t="s">
        <v>90</v>
      </c>
      <c r="AR16" s="15"/>
      <c r="AS16" s="15"/>
      <c r="AT16" s="18"/>
      <c r="AU16" s="32"/>
    </row>
    <row r="17" spans="2:47" x14ac:dyDescent="0.25">
      <c r="B17" t="s">
        <v>96</v>
      </c>
      <c r="D17" s="12">
        <f>D15+E15*P39/100</f>
        <v>139586.54777973198</v>
      </c>
      <c r="E17" s="12">
        <f>E15-E15*P39/100</f>
        <v>2764.1507907332598</v>
      </c>
      <c r="M17" s="14" t="s">
        <v>102</v>
      </c>
      <c r="N17" s="15"/>
      <c r="O17" s="15"/>
      <c r="P17" s="15">
        <v>3.4</v>
      </c>
      <c r="Q17" s="37">
        <f t="shared" si="4"/>
        <v>3.4</v>
      </c>
      <c r="R17" s="24" t="s">
        <v>98</v>
      </c>
      <c r="S17" s="15"/>
      <c r="T17" s="15" t="s">
        <v>90</v>
      </c>
      <c r="U17" s="15"/>
      <c r="V17" s="15"/>
      <c r="W17" s="18"/>
      <c r="Y17" t="s">
        <v>96</v>
      </c>
      <c r="AA17" s="12">
        <f>AA15+AB15*AM39/100</f>
        <v>70053.616129086673</v>
      </c>
      <c r="AB17" s="12">
        <f>AB15-AB15*AM39/100</f>
        <v>30413.364322219368</v>
      </c>
      <c r="AJ17" s="14" t="s">
        <v>102</v>
      </c>
      <c r="AK17" s="15"/>
      <c r="AL17" s="15"/>
      <c r="AM17" s="15">
        <v>3.2</v>
      </c>
      <c r="AN17" s="37">
        <f t="shared" si="3"/>
        <v>3.2</v>
      </c>
      <c r="AO17" s="24" t="s">
        <v>98</v>
      </c>
      <c r="AP17" s="15"/>
      <c r="AQ17" s="15" t="s">
        <v>90</v>
      </c>
      <c r="AR17" s="15"/>
      <c r="AS17" s="15"/>
      <c r="AT17" s="18"/>
      <c r="AU17" s="32"/>
    </row>
    <row r="18" spans="2:47" x14ac:dyDescent="0.25">
      <c r="B18" t="s">
        <v>99</v>
      </c>
      <c r="D18" s="12">
        <f>D16+E16*P40/100</f>
        <v>117237.60743020226</v>
      </c>
      <c r="E18" s="12">
        <f>E16-E16*P40/100</f>
        <v>22584.245765641041</v>
      </c>
      <c r="M18" s="25" t="s">
        <v>100</v>
      </c>
      <c r="N18" s="15"/>
      <c r="O18" s="15"/>
      <c r="P18" s="15">
        <v>10</v>
      </c>
      <c r="Q18" s="37">
        <f t="shared" si="4"/>
        <v>10</v>
      </c>
      <c r="R18" s="15" t="s">
        <v>89</v>
      </c>
      <c r="S18" s="15"/>
      <c r="T18" s="15" t="s">
        <v>90</v>
      </c>
      <c r="U18" s="15"/>
      <c r="V18" s="15"/>
      <c r="W18" s="18"/>
      <c r="Y18" t="s">
        <v>99</v>
      </c>
      <c r="AA18" s="12">
        <f>AA16+AB16*AM40/100</f>
        <v>64159.72713369679</v>
      </c>
      <c r="AB18" s="12">
        <f>AB16-AB16*AM40/100</f>
        <v>30482.306046762249</v>
      </c>
      <c r="AJ18" s="25" t="s">
        <v>100</v>
      </c>
      <c r="AK18" s="15"/>
      <c r="AL18" s="15"/>
      <c r="AM18" s="15">
        <v>10</v>
      </c>
      <c r="AN18" s="37">
        <f t="shared" si="3"/>
        <v>10</v>
      </c>
      <c r="AO18" s="15" t="s">
        <v>89</v>
      </c>
      <c r="AP18" s="15"/>
      <c r="AQ18" s="15" t="s">
        <v>90</v>
      </c>
      <c r="AR18" s="15"/>
      <c r="AS18" s="15"/>
      <c r="AT18" s="18"/>
      <c r="AU18" s="32"/>
    </row>
    <row r="19" spans="2:47" x14ac:dyDescent="0.25">
      <c r="B19" t="s">
        <v>101</v>
      </c>
      <c r="D19" s="12">
        <f>D17*(1-P19/100)</f>
        <v>130094.66253071019</v>
      </c>
      <c r="E19" s="12">
        <f>E17*(1-Q19/100)</f>
        <v>2576.1885369633978</v>
      </c>
      <c r="M19" s="14" t="s">
        <v>105</v>
      </c>
      <c r="N19" s="15"/>
      <c r="O19" s="15"/>
      <c r="P19" s="38">
        <v>6.8</v>
      </c>
      <c r="Q19" s="37">
        <f t="shared" si="4"/>
        <v>6.8</v>
      </c>
      <c r="R19" s="15" t="s">
        <v>106</v>
      </c>
      <c r="S19" s="15"/>
      <c r="T19" s="15" t="s">
        <v>90</v>
      </c>
      <c r="U19" s="15"/>
      <c r="V19" s="15"/>
      <c r="W19" s="18"/>
      <c r="Y19" t="s">
        <v>101</v>
      </c>
      <c r="AA19" s="12">
        <f>AA17*(1-AM19/100)</f>
        <v>68512.436574246763</v>
      </c>
      <c r="AB19" s="12">
        <f>AB17*(1-AN19/100)</f>
        <v>29744.27030713054</v>
      </c>
      <c r="AJ19" s="14" t="s">
        <v>105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106</v>
      </c>
      <c r="AP19" s="15"/>
      <c r="AQ19" s="15" t="s">
        <v>90</v>
      </c>
      <c r="AR19" s="15"/>
      <c r="AS19" s="15"/>
      <c r="AT19" s="18"/>
      <c r="AU19" s="32"/>
    </row>
    <row r="20" spans="2:47" x14ac:dyDescent="0.25">
      <c r="B20" t="s">
        <v>103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100</v>
      </c>
      <c r="N20" s="15"/>
      <c r="O20" s="15"/>
      <c r="P20" s="15">
        <v>59</v>
      </c>
      <c r="Q20" s="37">
        <f t="shared" si="4"/>
        <v>59</v>
      </c>
      <c r="R20" s="15" t="s">
        <v>89</v>
      </c>
      <c r="S20" s="15"/>
      <c r="T20" s="15" t="s">
        <v>90</v>
      </c>
      <c r="U20" s="15"/>
      <c r="V20" s="15"/>
      <c r="W20" s="18"/>
      <c r="Y20" t="s">
        <v>103</v>
      </c>
      <c r="AA20" s="12">
        <f>AA18*(1-AM21/100)</f>
        <v>63133.17149955764</v>
      </c>
      <c r="AB20" s="12">
        <f>AB18*(1-AN21/100)</f>
        <v>29994.589150014053</v>
      </c>
      <c r="AJ20" s="25" t="s">
        <v>100</v>
      </c>
      <c r="AK20" s="15"/>
      <c r="AL20" s="15"/>
      <c r="AM20" s="15">
        <v>234</v>
      </c>
      <c r="AN20" s="37">
        <f t="shared" si="3"/>
        <v>234</v>
      </c>
      <c r="AO20" s="15" t="s">
        <v>89</v>
      </c>
      <c r="AP20" s="15"/>
      <c r="AQ20" s="15" t="s">
        <v>90</v>
      </c>
      <c r="AR20" s="15"/>
      <c r="AS20" s="15"/>
      <c r="AT20" s="18"/>
      <c r="AU20" s="32"/>
    </row>
    <row r="21" spans="2:47" x14ac:dyDescent="0.25">
      <c r="B21" t="s">
        <v>104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109</v>
      </c>
      <c r="N21" s="15"/>
      <c r="O21" s="15"/>
      <c r="P21" s="23">
        <v>4</v>
      </c>
      <c r="Q21" s="40">
        <f t="shared" si="4"/>
        <v>4</v>
      </c>
      <c r="R21" s="15" t="s">
        <v>106</v>
      </c>
      <c r="S21" s="15"/>
      <c r="T21" s="15" t="s">
        <v>90</v>
      </c>
      <c r="U21" s="15"/>
      <c r="V21" s="15"/>
      <c r="W21" s="18"/>
      <c r="Y21" t="s">
        <v>104</v>
      </c>
      <c r="AA21" s="12">
        <f>AA13-AA15+AA17-AA19</f>
        <v>4253.7880270251771</v>
      </c>
      <c r="AB21" s="12">
        <f>AB13-AB15+AB17-AB19</f>
        <v>2142.6097283746494</v>
      </c>
      <c r="AJ21" s="14" t="s">
        <v>109</v>
      </c>
      <c r="AK21" s="15"/>
      <c r="AL21" s="15"/>
      <c r="AM21" s="15">
        <v>1.6</v>
      </c>
      <c r="AN21" s="40">
        <f t="shared" si="3"/>
        <v>1.6</v>
      </c>
      <c r="AO21" s="15" t="s">
        <v>106</v>
      </c>
      <c r="AP21" s="15"/>
      <c r="AQ21" s="15" t="s">
        <v>90</v>
      </c>
      <c r="AR21" s="15"/>
      <c r="AS21" s="15"/>
      <c r="AT21" s="18"/>
    </row>
    <row r="22" spans="2:47" x14ac:dyDescent="0.25">
      <c r="B22" t="s">
        <v>107</v>
      </c>
      <c r="D22" s="12">
        <f>D14-D16+D18-D20</f>
        <v>8742.0374143277586</v>
      </c>
      <c r="E22" s="12">
        <f>E14-E16+E18-E20</f>
        <v>1772.1027680180741</v>
      </c>
      <c r="M22" s="25" t="s">
        <v>100</v>
      </c>
      <c r="N22" s="15"/>
      <c r="O22" s="15"/>
      <c r="P22" s="15">
        <v>59</v>
      </c>
      <c r="Q22" s="37">
        <f t="shared" si="4"/>
        <v>59</v>
      </c>
      <c r="R22" s="15" t="s">
        <v>89</v>
      </c>
      <c r="S22" s="15"/>
      <c r="T22" s="15" t="s">
        <v>90</v>
      </c>
      <c r="U22" s="15"/>
      <c r="V22" s="15"/>
      <c r="W22" s="18"/>
      <c r="Y22" t="s">
        <v>107</v>
      </c>
      <c r="AA22" s="12">
        <f>AA14-AA16+AA18-AA20</f>
        <v>3053.9287746660193</v>
      </c>
      <c r="AB22" s="12">
        <f>AB14-AB16+AB18-AB20</f>
        <v>1589.006010120811</v>
      </c>
      <c r="AJ22" s="25" t="s">
        <v>100</v>
      </c>
      <c r="AK22" s="15"/>
      <c r="AL22" s="15"/>
      <c r="AM22" s="15">
        <v>241</v>
      </c>
      <c r="AN22" s="37">
        <f t="shared" si="3"/>
        <v>241</v>
      </c>
      <c r="AO22" s="15" t="s">
        <v>89</v>
      </c>
      <c r="AP22" s="15"/>
      <c r="AQ22" s="15" t="s">
        <v>90</v>
      </c>
      <c r="AR22" s="15"/>
      <c r="AS22" s="15"/>
      <c r="AT22" s="18"/>
    </row>
    <row r="23" spans="2:47" x14ac:dyDescent="0.25">
      <c r="B23" t="s">
        <v>108</v>
      </c>
      <c r="D23" s="12">
        <f>D5*P7/100</f>
        <v>96909.870148000016</v>
      </c>
      <c r="E23" s="12">
        <f>E5*Q7/100</f>
        <v>19864.173731999999</v>
      </c>
      <c r="M23" s="35" t="s">
        <v>112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108</v>
      </c>
      <c r="AA23" s="12">
        <f>AA5*AM7/100</f>
        <v>34638.236422008958</v>
      </c>
      <c r="AB23" s="12">
        <f>AB5*AN7/100</f>
        <v>18815.832130474009</v>
      </c>
      <c r="AJ23" s="35" t="s">
        <v>112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110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94</v>
      </c>
      <c r="N24" s="21"/>
      <c r="O24" s="22"/>
      <c r="P24" s="23">
        <v>60.9</v>
      </c>
      <c r="Q24" s="23">
        <v>61.5</v>
      </c>
      <c r="R24" s="15" t="s">
        <v>65</v>
      </c>
      <c r="S24" s="15"/>
      <c r="T24" s="24" t="s">
        <v>73</v>
      </c>
      <c r="U24" s="15"/>
      <c r="V24" s="15"/>
      <c r="W24" s="18"/>
      <c r="Y24" t="s">
        <v>110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94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65</v>
      </c>
      <c r="AP24" s="15"/>
      <c r="AQ24" s="15"/>
      <c r="AR24" s="15"/>
      <c r="AS24" s="15"/>
      <c r="AT24" s="18"/>
    </row>
    <row r="25" spans="2:47" x14ac:dyDescent="0.25">
      <c r="B25" t="s">
        <v>111</v>
      </c>
      <c r="D25" s="12">
        <f>D24*(D19)/(D19+D20-D23)</f>
        <v>9459.2765100233191</v>
      </c>
      <c r="E25" s="12">
        <f>E24*(E19)/(E19+E20-E23)</f>
        <v>187.31652197749989</v>
      </c>
      <c r="M25" s="14" t="s">
        <v>115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65</v>
      </c>
      <c r="S25" s="15"/>
      <c r="T25" s="15"/>
      <c r="U25" s="15"/>
      <c r="V25" s="15"/>
      <c r="W25" s="18"/>
      <c r="Y25" t="s">
        <v>111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115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65</v>
      </c>
      <c r="AP25" s="15"/>
      <c r="AQ25" s="15"/>
      <c r="AR25" s="15"/>
      <c r="AS25" s="15"/>
      <c r="AT25" s="18"/>
    </row>
    <row r="26" spans="2:47" x14ac:dyDescent="0.25">
      <c r="B26" t="s">
        <v>113</v>
      </c>
      <c r="D26" s="12">
        <f>D24-D25</f>
        <v>1137.0671713630636</v>
      </c>
      <c r="E26" s="12">
        <f>E24-E25</f>
        <v>132.09372421896674</v>
      </c>
      <c r="M26" s="14" t="s">
        <v>117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65</v>
      </c>
      <c r="S26" s="15"/>
      <c r="T26" s="15"/>
      <c r="U26" s="15"/>
      <c r="V26" s="15"/>
      <c r="W26" s="18"/>
      <c r="Y26" t="s">
        <v>113</v>
      </c>
      <c r="AA26" s="12">
        <f>AA24-AA25</f>
        <v>589.58908248537045</v>
      </c>
      <c r="AB26" s="12">
        <f>AB24-AB25</f>
        <v>231.29981088009185</v>
      </c>
      <c r="AJ26" s="14" t="s">
        <v>117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65</v>
      </c>
      <c r="AP26" s="15"/>
      <c r="AQ26" s="15"/>
      <c r="AR26" s="15"/>
      <c r="AS26" s="15"/>
      <c r="AT26" s="18"/>
    </row>
    <row r="27" spans="2:47" x14ac:dyDescent="0.25">
      <c r="B27" t="s">
        <v>114</v>
      </c>
      <c r="D27" s="12">
        <f>D20-D23-D26</f>
        <v>14501.165813631082</v>
      </c>
      <c r="E27" s="12">
        <f>E20-E23-E26</f>
        <v>1684.6084787964335</v>
      </c>
      <c r="M27" s="14" t="s">
        <v>119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65</v>
      </c>
      <c r="S27" s="15"/>
      <c r="T27" s="15"/>
      <c r="U27" s="15"/>
      <c r="V27" s="15"/>
      <c r="W27" s="18"/>
      <c r="Y27" t="s">
        <v>114</v>
      </c>
      <c r="AA27" s="12">
        <f>AA20-AA23-AA26</f>
        <v>27905.345995063311</v>
      </c>
      <c r="AB27" s="12">
        <f>AB20-AB23-AB26</f>
        <v>10947.457208659953</v>
      </c>
      <c r="AJ27" s="14" t="s">
        <v>119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65</v>
      </c>
      <c r="AP27" s="15"/>
      <c r="AQ27" s="15"/>
      <c r="AR27" s="15"/>
      <c r="AS27" s="15"/>
      <c r="AT27" s="18"/>
    </row>
    <row r="28" spans="2:47" x14ac:dyDescent="0.25">
      <c r="B28" t="s">
        <v>116</v>
      </c>
      <c r="D28" s="12">
        <f>(D19-D25)*(P37/100)</f>
        <v>16697.557956586181</v>
      </c>
      <c r="E28" s="12">
        <f>(E19-E25)*(Q37/100)</f>
        <v>1464.3158995083204</v>
      </c>
      <c r="M28" s="14" t="s">
        <v>120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65</v>
      </c>
      <c r="S28" s="15"/>
      <c r="T28" s="15"/>
      <c r="U28" s="15"/>
      <c r="V28" s="15"/>
      <c r="W28" s="18"/>
      <c r="Y28" t="s">
        <v>116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120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65</v>
      </c>
      <c r="AP28" s="15"/>
      <c r="AQ28" s="15"/>
      <c r="AR28" s="15"/>
      <c r="AS28" s="15"/>
      <c r="AT28" s="18"/>
    </row>
    <row r="29" spans="2:47" x14ac:dyDescent="0.25">
      <c r="B29" t="s">
        <v>118</v>
      </c>
      <c r="D29" s="12">
        <f>D19-D25-D28</f>
        <v>103937.82806410069</v>
      </c>
      <c r="E29" s="12">
        <f>E19-E25-E28</f>
        <v>924.55611547757735</v>
      </c>
      <c r="M29" s="43" t="s">
        <v>121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118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121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94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122</v>
      </c>
      <c r="S30" s="19"/>
      <c r="T30" s="15"/>
      <c r="U30" s="15"/>
      <c r="V30" s="15"/>
      <c r="W30" s="18"/>
      <c r="AA30" s="12"/>
      <c r="AB30" s="26"/>
      <c r="AJ30" s="14" t="s">
        <v>94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122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115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122</v>
      </c>
      <c r="S31" s="19"/>
      <c r="T31" s="15"/>
      <c r="U31" s="15"/>
      <c r="V31" s="15"/>
      <c r="W31" s="18"/>
      <c r="AA31" s="12"/>
      <c r="AB31" s="26"/>
      <c r="AJ31" s="14" t="s">
        <v>115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122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117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122</v>
      </c>
      <c r="S32" s="19"/>
      <c r="T32" s="15"/>
      <c r="U32" s="15"/>
      <c r="V32" s="15"/>
      <c r="W32" s="18"/>
      <c r="AA32" s="45"/>
      <c r="AB32" s="26"/>
      <c r="AJ32" s="14" t="s">
        <v>117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122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119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122</v>
      </c>
      <c r="S33" s="19"/>
      <c r="T33" s="15"/>
      <c r="U33" s="15"/>
      <c r="V33" s="15"/>
      <c r="W33" s="18"/>
      <c r="AA33" s="12"/>
      <c r="AB33" s="26"/>
      <c r="AJ33" s="14" t="s">
        <v>119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122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120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122</v>
      </c>
      <c r="S34" s="19"/>
      <c r="T34" s="15"/>
      <c r="U34" s="15"/>
      <c r="V34" s="15"/>
      <c r="W34" s="18"/>
      <c r="AA34" s="12"/>
      <c r="AB34" s="26"/>
      <c r="AJ34" s="14" t="s">
        <v>120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122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123</v>
      </c>
      <c r="N35" s="21"/>
      <c r="O35" s="22"/>
      <c r="P35" s="19"/>
      <c r="Q35" s="37"/>
      <c r="R35" s="19"/>
      <c r="S35" s="19" t="s">
        <v>306</v>
      </c>
      <c r="T35" s="15"/>
      <c r="U35" s="15"/>
      <c r="V35" s="15"/>
      <c r="W35" s="18"/>
      <c r="AA35" s="12"/>
      <c r="AB35" s="26"/>
      <c r="AJ35" s="35" t="s">
        <v>123</v>
      </c>
      <c r="AK35" s="21"/>
      <c r="AL35" s="22"/>
      <c r="AM35" s="19"/>
      <c r="AN35" s="37"/>
      <c r="AO35" s="19"/>
      <c r="AP35" s="19" t="s">
        <v>306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496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9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117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9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497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9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119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9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301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301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302</v>
      </c>
      <c r="N39" s="15"/>
      <c r="O39" s="19"/>
      <c r="P39" s="19">
        <v>89</v>
      </c>
      <c r="Q39" s="15"/>
      <c r="R39" s="108" t="s">
        <v>9</v>
      </c>
      <c r="S39" s="15"/>
      <c r="T39" s="15" t="s">
        <v>304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302</v>
      </c>
      <c r="AK39" s="15"/>
      <c r="AL39" s="19"/>
      <c r="AM39" s="19">
        <v>14</v>
      </c>
      <c r="AN39" s="15"/>
      <c r="AO39" s="108" t="s">
        <v>9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303</v>
      </c>
      <c r="N40" s="47"/>
      <c r="O40" s="46"/>
      <c r="P40" s="46">
        <v>8.5</v>
      </c>
      <c r="Q40" s="47"/>
      <c r="R40" s="47" t="s">
        <v>9</v>
      </c>
      <c r="S40" s="47"/>
      <c r="T40" s="47" t="s">
        <v>304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303</v>
      </c>
      <c r="AK40" s="47"/>
      <c r="AL40" s="46"/>
      <c r="AM40" s="46">
        <v>8.5</v>
      </c>
      <c r="AN40" s="47"/>
      <c r="AO40" s="47" t="s">
        <v>9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295</v>
      </c>
      <c r="F42" s="6" t="s">
        <v>296</v>
      </c>
      <c r="AH42" s="24"/>
      <c r="AI42" s="24"/>
    </row>
    <row r="43" spans="2:46" x14ac:dyDescent="0.25">
      <c r="B43" s="48" t="s">
        <v>124</v>
      </c>
      <c r="C43" s="48"/>
      <c r="D43" s="49" t="s">
        <v>265</v>
      </c>
      <c r="E43" s="49" t="s">
        <v>267</v>
      </c>
      <c r="F43" s="49" t="s">
        <v>126</v>
      </c>
      <c r="G43" s="49" t="s">
        <v>127</v>
      </c>
      <c r="H43" s="49" t="s">
        <v>317</v>
      </c>
      <c r="J43" s="48" t="s">
        <v>128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293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294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129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130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131</v>
      </c>
      <c r="K47" s="49"/>
      <c r="L47" s="49" t="s">
        <v>132</v>
      </c>
      <c r="M47" s="49" t="s">
        <v>133</v>
      </c>
      <c r="N47" s="49" t="s">
        <v>134</v>
      </c>
      <c r="O47" s="49" t="s">
        <v>135</v>
      </c>
      <c r="P47" s="49" t="s">
        <v>136</v>
      </c>
      <c r="Q47" s="49" t="s">
        <v>137</v>
      </c>
      <c r="R47" s="49" t="s">
        <v>138</v>
      </c>
      <c r="S47" s="49" t="s">
        <v>139</v>
      </c>
      <c r="T47" s="49" t="s">
        <v>140</v>
      </c>
      <c r="U47" s="49" t="s">
        <v>141</v>
      </c>
      <c r="V47" s="49" t="s">
        <v>142</v>
      </c>
      <c r="W47" s="49" t="s">
        <v>143</v>
      </c>
      <c r="X47" s="49" t="s">
        <v>144</v>
      </c>
      <c r="Y47" s="49" t="s">
        <v>145</v>
      </c>
      <c r="Z47" s="49" t="s">
        <v>146</v>
      </c>
      <c r="AA47" s="49" t="s">
        <v>147</v>
      </c>
      <c r="AB47" s="49" t="s">
        <v>148</v>
      </c>
      <c r="AC47" s="49" t="s">
        <v>149</v>
      </c>
      <c r="AD47" s="49" t="s">
        <v>150</v>
      </c>
      <c r="AE47" s="49" t="s">
        <v>151</v>
      </c>
      <c r="AF47" s="49" t="s">
        <v>152</v>
      </c>
      <c r="AG47" s="49" t="s">
        <v>153</v>
      </c>
      <c r="AH47" s="49"/>
    </row>
    <row r="48" spans="2:46" x14ac:dyDescent="0.25">
      <c r="B48" s="49" t="s">
        <v>154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129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155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130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156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157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158</v>
      </c>
      <c r="K51" s="49"/>
      <c r="L51" s="49" t="s">
        <v>159</v>
      </c>
      <c r="M51" s="49" t="s">
        <v>160</v>
      </c>
      <c r="N51" s="49" t="s">
        <v>161</v>
      </c>
      <c r="O51" s="49" t="s">
        <v>162</v>
      </c>
      <c r="P51" s="49" t="s">
        <v>163</v>
      </c>
      <c r="Q51" s="49" t="s">
        <v>164</v>
      </c>
      <c r="R51" s="49" t="s">
        <v>165</v>
      </c>
      <c r="S51" s="49" t="s">
        <v>166</v>
      </c>
      <c r="T51" s="49" t="s">
        <v>167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168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129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169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170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130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171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172</v>
      </c>
    </row>
    <row r="57" spans="2:34" x14ac:dyDescent="0.25">
      <c r="D57" s="49" t="s">
        <v>125</v>
      </c>
      <c r="E57" t="s">
        <v>132</v>
      </c>
      <c r="F57" t="s">
        <v>133</v>
      </c>
      <c r="G57" t="s">
        <v>134</v>
      </c>
      <c r="H57" t="s">
        <v>135</v>
      </c>
      <c r="I57" t="s">
        <v>136</v>
      </c>
      <c r="J57" t="s">
        <v>137</v>
      </c>
      <c r="K57" t="s">
        <v>138</v>
      </c>
      <c r="L57" t="s">
        <v>139</v>
      </c>
      <c r="M57" t="s">
        <v>140</v>
      </c>
      <c r="N57" t="s">
        <v>141</v>
      </c>
      <c r="O57" t="s">
        <v>142</v>
      </c>
      <c r="P57" t="s">
        <v>143</v>
      </c>
      <c r="Q57" t="s">
        <v>144</v>
      </c>
      <c r="R57" t="s">
        <v>145</v>
      </c>
      <c r="S57" t="s">
        <v>146</v>
      </c>
      <c r="T57" t="s">
        <v>147</v>
      </c>
      <c r="U57" t="s">
        <v>148</v>
      </c>
      <c r="V57" t="s">
        <v>149</v>
      </c>
      <c r="W57" t="s">
        <v>150</v>
      </c>
      <c r="X57" t="s">
        <v>151</v>
      </c>
      <c r="Y57" t="s">
        <v>152</v>
      </c>
      <c r="Z57" t="s">
        <v>153</v>
      </c>
    </row>
    <row r="58" spans="2:34" x14ac:dyDescent="0.25">
      <c r="B58" t="s">
        <v>173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307</v>
      </c>
    </row>
    <row r="59" spans="2:34" x14ac:dyDescent="0.25">
      <c r="B59" t="s">
        <v>174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308</v>
      </c>
    </row>
    <row r="60" spans="2:34" x14ac:dyDescent="0.25">
      <c r="B60" t="s">
        <v>130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129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175</v>
      </c>
    </row>
    <row r="64" spans="2:34" x14ac:dyDescent="0.25">
      <c r="D64" t="s">
        <v>132</v>
      </c>
      <c r="E64" t="s">
        <v>133</v>
      </c>
      <c r="F64" t="s">
        <v>134</v>
      </c>
      <c r="G64" t="s">
        <v>135</v>
      </c>
      <c r="H64" t="s">
        <v>136</v>
      </c>
      <c r="I64" t="s">
        <v>137</v>
      </c>
      <c r="J64" t="s">
        <v>138</v>
      </c>
      <c r="K64" t="s">
        <v>139</v>
      </c>
      <c r="L64" t="s">
        <v>140</v>
      </c>
      <c r="M64" t="s">
        <v>141</v>
      </c>
      <c r="N64" t="s">
        <v>142</v>
      </c>
      <c r="O64" t="s">
        <v>143</v>
      </c>
      <c r="P64" t="s">
        <v>144</v>
      </c>
      <c r="Q64" t="s">
        <v>145</v>
      </c>
      <c r="R64" t="s">
        <v>146</v>
      </c>
      <c r="S64" t="s">
        <v>147</v>
      </c>
      <c r="T64" t="s">
        <v>148</v>
      </c>
      <c r="U64" t="s">
        <v>149</v>
      </c>
      <c r="V64" t="s">
        <v>150</v>
      </c>
      <c r="W64" t="s">
        <v>151</v>
      </c>
      <c r="X64" t="s">
        <v>152</v>
      </c>
      <c r="Y64" t="s">
        <v>153</v>
      </c>
      <c r="Z64" t="s">
        <v>176</v>
      </c>
      <c r="AC64" s="6" t="s">
        <v>297</v>
      </c>
    </row>
    <row r="65" spans="2:31" x14ac:dyDescent="0.25">
      <c r="B65" t="s">
        <v>177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177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178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178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299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299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179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179</v>
      </c>
      <c r="AD68">
        <v>19.279999999999998</v>
      </c>
      <c r="AE68" s="13">
        <f t="shared" si="9"/>
        <v>11.5194144</v>
      </c>
    </row>
    <row r="69" spans="2:31" x14ac:dyDescent="0.25">
      <c r="B69" t="s">
        <v>180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180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181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181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182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182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183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183</v>
      </c>
      <c r="AD72">
        <v>12.48</v>
      </c>
      <c r="AE72" s="13">
        <f t="shared" si="9"/>
        <v>2.6478400000000004</v>
      </c>
    </row>
    <row r="73" spans="2:31" x14ac:dyDescent="0.25">
      <c r="B73" t="s">
        <v>184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184</v>
      </c>
      <c r="AD73">
        <v>27.5</v>
      </c>
      <c r="AE73" s="13">
        <f t="shared" si="9"/>
        <v>0.86166666666666669</v>
      </c>
    </row>
    <row r="74" spans="2:31" x14ac:dyDescent="0.25">
      <c r="B74" t="s">
        <v>298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298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305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305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300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300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185</v>
      </c>
    </row>
    <row r="79" spans="2:31" x14ac:dyDescent="0.25">
      <c r="D79" t="s">
        <v>132</v>
      </c>
      <c r="E79" t="s">
        <v>133</v>
      </c>
      <c r="F79" t="s">
        <v>134</v>
      </c>
      <c r="G79" t="s">
        <v>135</v>
      </c>
      <c r="H79" t="s">
        <v>136</v>
      </c>
      <c r="I79" t="s">
        <v>137</v>
      </c>
      <c r="J79" t="s">
        <v>138</v>
      </c>
      <c r="K79" t="s">
        <v>139</v>
      </c>
      <c r="L79" t="s">
        <v>140</v>
      </c>
      <c r="M79" t="s">
        <v>141</v>
      </c>
      <c r="N79" t="s">
        <v>142</v>
      </c>
      <c r="O79" t="s">
        <v>143</v>
      </c>
      <c r="P79" t="s">
        <v>144</v>
      </c>
      <c r="Q79" t="s">
        <v>145</v>
      </c>
      <c r="R79" t="s">
        <v>146</v>
      </c>
      <c r="S79" t="s">
        <v>147</v>
      </c>
      <c r="T79" t="s">
        <v>148</v>
      </c>
      <c r="U79" t="s">
        <v>149</v>
      </c>
      <c r="V79" t="s">
        <v>150</v>
      </c>
      <c r="W79" t="s">
        <v>151</v>
      </c>
      <c r="X79" t="s">
        <v>152</v>
      </c>
      <c r="Y79" t="s">
        <v>153</v>
      </c>
      <c r="AC79" s="6" t="s">
        <v>297</v>
      </c>
    </row>
    <row r="80" spans="2:31" x14ac:dyDescent="0.25">
      <c r="B80" t="s">
        <v>173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173</v>
      </c>
      <c r="AD80">
        <v>17.399999999999999</v>
      </c>
    </row>
    <row r="81" spans="2:30" x14ac:dyDescent="0.25">
      <c r="B81" t="s">
        <v>174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174</v>
      </c>
      <c r="AD81">
        <v>35.200000000000003</v>
      </c>
    </row>
    <row r="82" spans="2:30" x14ac:dyDescent="0.25">
      <c r="B82" t="s">
        <v>129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129</v>
      </c>
      <c r="AD82">
        <v>20.8</v>
      </c>
    </row>
    <row r="83" spans="2:30" x14ac:dyDescent="0.25">
      <c r="B83" t="s">
        <v>130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130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188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159</v>
      </c>
      <c r="E86" t="s">
        <v>160</v>
      </c>
      <c r="F86" t="s">
        <v>161</v>
      </c>
      <c r="G86" t="s">
        <v>162</v>
      </c>
      <c r="H86" t="s">
        <v>163</v>
      </c>
      <c r="I86" t="s">
        <v>164</v>
      </c>
      <c r="J86" t="s">
        <v>165</v>
      </c>
      <c r="K86" t="s">
        <v>166</v>
      </c>
      <c r="L86" t="s">
        <v>167</v>
      </c>
    </row>
    <row r="87" spans="2:30" x14ac:dyDescent="0.25">
      <c r="B87" s="66" t="s">
        <v>129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186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173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174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130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187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377</v>
      </c>
    </row>
    <row r="96" spans="2:30" x14ac:dyDescent="0.25">
      <c r="C96" t="s">
        <v>300</v>
      </c>
      <c r="F96" t="s">
        <v>372</v>
      </c>
      <c r="I96" t="s">
        <v>375</v>
      </c>
    </row>
    <row r="97" spans="2:11" x14ac:dyDescent="0.25">
      <c r="C97" t="s">
        <v>18</v>
      </c>
      <c r="D97" t="s">
        <v>373</v>
      </c>
      <c r="E97" t="s">
        <v>374</v>
      </c>
      <c r="F97" t="s">
        <v>18</v>
      </c>
      <c r="G97" t="s">
        <v>373</v>
      </c>
      <c r="H97" t="s">
        <v>374</v>
      </c>
      <c r="I97" t="s">
        <v>18</v>
      </c>
      <c r="J97" t="s">
        <v>373</v>
      </c>
      <c r="K97" t="s">
        <v>374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5" t="s">
        <v>371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5" t="s">
        <v>376</v>
      </c>
      <c r="E104" s="156">
        <f>1/E103</f>
        <v>4.9969493593654671E-2</v>
      </c>
      <c r="H104" s="156">
        <f>1/H103</f>
        <v>3.1568577532293592E-2</v>
      </c>
      <c r="K104" s="156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0"/>
  <sheetViews>
    <sheetView topLeftCell="K1" workbookViewId="0">
      <selection activeCell="AB22" sqref="AB22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outlineLevel="1"/>
    <col min="32" max="34" width="8.5703125" customWidth="1" outlineLevel="1"/>
    <col min="35" max="38" width="8.5703125" customWidth="1"/>
    <col min="39" max="39" width="8.5703125" hidden="1" customWidth="1"/>
    <col min="40" max="47" width="8.5703125" customWidth="1"/>
  </cols>
  <sheetData>
    <row r="2" spans="2:59" x14ac:dyDescent="0.25">
      <c r="B2" s="196" t="s">
        <v>485</v>
      </c>
      <c r="C2" s="228"/>
      <c r="D2" s="228" t="s">
        <v>420</v>
      </c>
      <c r="E2" s="228"/>
      <c r="F2" s="228"/>
      <c r="G2" s="228"/>
      <c r="H2" s="228"/>
      <c r="I2" s="228"/>
      <c r="J2" s="228"/>
      <c r="K2" s="228"/>
      <c r="L2" s="228"/>
      <c r="M2" s="228"/>
      <c r="N2" s="228"/>
      <c r="O2" s="228"/>
      <c r="P2" s="228"/>
      <c r="Q2" s="228"/>
      <c r="R2" s="228"/>
      <c r="S2" s="228"/>
      <c r="T2" s="228"/>
      <c r="U2" s="228"/>
      <c r="V2" s="228"/>
      <c r="W2" s="228"/>
      <c r="X2" s="218"/>
      <c r="Y2" s="196" t="s">
        <v>493</v>
      </c>
      <c r="Z2" s="218"/>
      <c r="AA2" s="196" t="s">
        <v>641</v>
      </c>
      <c r="AB2" s="228"/>
      <c r="AC2" s="228"/>
      <c r="AD2" s="228"/>
      <c r="AE2" s="228"/>
      <c r="AF2" s="228"/>
      <c r="AG2" s="228"/>
      <c r="AH2" s="228"/>
      <c r="AI2" s="228"/>
      <c r="AJ2" s="228"/>
      <c r="AK2" s="228"/>
      <c r="AL2" s="218"/>
    </row>
    <row r="3" spans="2:59" ht="15" customHeight="1" x14ac:dyDescent="0.25">
      <c r="B3" s="229" t="s">
        <v>505</v>
      </c>
      <c r="C3" s="230"/>
      <c r="D3" s="231" t="s">
        <v>419</v>
      </c>
      <c r="E3" s="201"/>
      <c r="F3" s="201"/>
      <c r="G3" s="201"/>
      <c r="H3" s="201"/>
      <c r="I3" s="201"/>
      <c r="J3" s="201"/>
      <c r="K3" s="201"/>
      <c r="L3" s="201"/>
      <c r="M3" s="231" t="s">
        <v>436</v>
      </c>
      <c r="N3" s="201"/>
      <c r="O3" s="201"/>
      <c r="P3" s="201"/>
      <c r="Q3" s="201"/>
      <c r="R3" s="201"/>
      <c r="S3" s="231" t="s">
        <v>437</v>
      </c>
      <c r="T3" s="201"/>
      <c r="U3" s="201"/>
      <c r="V3" s="201"/>
      <c r="W3" s="201"/>
      <c r="X3" s="232"/>
      <c r="Y3" s="240" t="s">
        <v>494</v>
      </c>
      <c r="Z3" s="219"/>
      <c r="AA3" s="296" t="s">
        <v>642</v>
      </c>
      <c r="AB3" s="201"/>
      <c r="AC3" s="201"/>
      <c r="AD3" s="201"/>
      <c r="AE3" s="201"/>
      <c r="AF3" s="201"/>
      <c r="AG3" s="308" t="s">
        <v>663</v>
      </c>
      <c r="AH3" s="201"/>
      <c r="AI3" s="201"/>
      <c r="AJ3" s="201"/>
      <c r="AK3" s="201"/>
      <c r="AL3" s="232"/>
      <c r="AP3" s="196" t="s">
        <v>550</v>
      </c>
      <c r="AQ3" s="197"/>
      <c r="AR3" s="197"/>
      <c r="AS3" s="197"/>
      <c r="AT3" s="197"/>
      <c r="AU3" s="197"/>
      <c r="AV3" s="197"/>
      <c r="AW3" s="197"/>
      <c r="AX3" s="197"/>
      <c r="AY3" s="197"/>
      <c r="AZ3" s="197"/>
      <c r="BA3" s="197"/>
      <c r="BB3" s="197"/>
      <c r="BC3" s="197"/>
      <c r="BD3" s="197"/>
      <c r="BE3" s="197"/>
      <c r="BF3" s="198"/>
      <c r="BG3" s="199"/>
    </row>
    <row r="4" spans="2:59" ht="22.5" customHeight="1" x14ac:dyDescent="0.25">
      <c r="B4" s="200"/>
      <c r="C4" s="201"/>
      <c r="D4" s="233" t="s">
        <v>570</v>
      </c>
      <c r="E4" s="233"/>
      <c r="F4" s="233"/>
      <c r="G4" s="234" t="s">
        <v>422</v>
      </c>
      <c r="H4" s="234"/>
      <c r="I4" s="234"/>
      <c r="J4" s="233" t="s">
        <v>417</v>
      </c>
      <c r="K4" s="233"/>
      <c r="L4" s="233"/>
      <c r="M4" s="234" t="s">
        <v>430</v>
      </c>
      <c r="N4" s="234"/>
      <c r="O4" s="234"/>
      <c r="P4" s="233" t="s">
        <v>431</v>
      </c>
      <c r="Q4" s="233"/>
      <c r="R4" s="233"/>
      <c r="S4" s="234" t="s">
        <v>423</v>
      </c>
      <c r="T4" s="234"/>
      <c r="U4" s="234"/>
      <c r="V4" s="233" t="s">
        <v>424</v>
      </c>
      <c r="W4" s="233"/>
      <c r="X4" s="221"/>
      <c r="Y4" s="220" t="s">
        <v>490</v>
      </c>
      <c r="Z4" s="221" t="s">
        <v>490</v>
      </c>
      <c r="AA4" s="220" t="s">
        <v>637</v>
      </c>
      <c r="AB4" s="234"/>
      <c r="AC4" s="234"/>
      <c r="AD4" s="233" t="s">
        <v>659</v>
      </c>
      <c r="AE4" s="233"/>
      <c r="AF4" s="233"/>
      <c r="AG4" s="234" t="s">
        <v>660</v>
      </c>
      <c r="AH4" s="234"/>
      <c r="AI4" s="234"/>
      <c r="AJ4" s="233" t="s">
        <v>661</v>
      </c>
      <c r="AK4" s="233"/>
      <c r="AL4" s="221"/>
      <c r="AP4" s="240" t="s">
        <v>552</v>
      </c>
      <c r="AQ4" s="201"/>
      <c r="AR4" s="201"/>
      <c r="AS4" s="300" t="s">
        <v>512</v>
      </c>
      <c r="AT4" s="299" t="s">
        <v>514</v>
      </c>
      <c r="AU4" s="300" t="s">
        <v>516</v>
      </c>
      <c r="AV4" s="299" t="s">
        <v>518</v>
      </c>
      <c r="AW4" s="300" t="s">
        <v>519</v>
      </c>
      <c r="AX4" s="299" t="s">
        <v>521</v>
      </c>
      <c r="AY4" s="300" t="s">
        <v>522</v>
      </c>
      <c r="AZ4" s="299" t="s">
        <v>523</v>
      </c>
      <c r="BA4" s="300" t="s">
        <v>525</v>
      </c>
      <c r="BB4" s="299" t="s">
        <v>526</v>
      </c>
      <c r="BC4" s="300" t="s">
        <v>545</v>
      </c>
      <c r="BD4" s="299" t="s">
        <v>528</v>
      </c>
      <c r="BE4" s="300" t="s">
        <v>529</v>
      </c>
      <c r="BF4" s="301" t="s">
        <v>549</v>
      </c>
      <c r="BG4" s="302" t="s">
        <v>544</v>
      </c>
    </row>
    <row r="5" spans="2:59" ht="22.5" customHeight="1" x14ac:dyDescent="0.25">
      <c r="B5" s="208"/>
      <c r="C5" s="209"/>
      <c r="D5" s="304" t="s">
        <v>414</v>
      </c>
      <c r="E5" s="304" t="s">
        <v>415</v>
      </c>
      <c r="F5" s="304" t="s">
        <v>416</v>
      </c>
      <c r="G5" s="206" t="s">
        <v>414</v>
      </c>
      <c r="H5" s="206" t="s">
        <v>415</v>
      </c>
      <c r="I5" s="206" t="s">
        <v>416</v>
      </c>
      <c r="J5" s="304" t="s">
        <v>414</v>
      </c>
      <c r="K5" s="304" t="s">
        <v>415</v>
      </c>
      <c r="L5" s="304" t="s">
        <v>416</v>
      </c>
      <c r="M5" s="206" t="s">
        <v>414</v>
      </c>
      <c r="N5" s="206" t="s">
        <v>415</v>
      </c>
      <c r="O5" s="206" t="s">
        <v>416</v>
      </c>
      <c r="P5" s="304" t="s">
        <v>414</v>
      </c>
      <c r="Q5" s="304" t="s">
        <v>415</v>
      </c>
      <c r="R5" s="304" t="s">
        <v>416</v>
      </c>
      <c r="S5" s="206" t="s">
        <v>414</v>
      </c>
      <c r="T5" s="206" t="s">
        <v>415</v>
      </c>
      <c r="U5" s="206" t="s">
        <v>416</v>
      </c>
      <c r="V5" s="304" t="s">
        <v>414</v>
      </c>
      <c r="W5" s="304" t="s">
        <v>415</v>
      </c>
      <c r="X5" s="305" t="s">
        <v>416</v>
      </c>
      <c r="Y5" s="297" t="s">
        <v>491</v>
      </c>
      <c r="Z5" s="305" t="s">
        <v>492</v>
      </c>
      <c r="AA5" s="297" t="s">
        <v>638</v>
      </c>
      <c r="AB5" s="206" t="s">
        <v>639</v>
      </c>
      <c r="AC5" s="206" t="s">
        <v>640</v>
      </c>
      <c r="AD5" s="304" t="s">
        <v>638</v>
      </c>
      <c r="AE5" s="304" t="s">
        <v>639</v>
      </c>
      <c r="AF5" s="304" t="s">
        <v>640</v>
      </c>
      <c r="AG5" s="206" t="s">
        <v>638</v>
      </c>
      <c r="AH5" s="206" t="s">
        <v>639</v>
      </c>
      <c r="AI5" s="206" t="s">
        <v>640</v>
      </c>
      <c r="AJ5" s="304" t="s">
        <v>638</v>
      </c>
      <c r="AK5" s="304" t="s">
        <v>639</v>
      </c>
      <c r="AL5" s="305" t="s">
        <v>640</v>
      </c>
      <c r="AP5" s="200"/>
      <c r="AQ5" s="201"/>
      <c r="AR5" s="201"/>
      <c r="AS5" s="300"/>
      <c r="AT5" s="299"/>
      <c r="AU5" s="300"/>
      <c r="AV5" s="299"/>
      <c r="AW5" s="300"/>
      <c r="AX5" s="299"/>
      <c r="AY5" s="300"/>
      <c r="AZ5" s="299"/>
      <c r="BA5" s="300"/>
      <c r="BB5" s="299"/>
      <c r="BC5" s="300"/>
      <c r="BD5" s="299"/>
      <c r="BE5" s="300"/>
      <c r="BF5" s="301"/>
      <c r="BG5" s="302"/>
    </row>
    <row r="6" spans="2:59" ht="14.25" customHeight="1" x14ac:dyDescent="0.25">
      <c r="B6" s="208" t="s">
        <v>546</v>
      </c>
      <c r="C6" s="209" t="s">
        <v>456</v>
      </c>
      <c r="D6" s="304">
        <v>86</v>
      </c>
      <c r="E6" s="304">
        <v>86</v>
      </c>
      <c r="F6" s="304">
        <v>86</v>
      </c>
      <c r="G6" s="206">
        <v>15</v>
      </c>
      <c r="H6" s="206">
        <v>15</v>
      </c>
      <c r="I6" s="206">
        <v>16</v>
      </c>
      <c r="J6" s="304">
        <v>53</v>
      </c>
      <c r="K6" s="304">
        <v>53</v>
      </c>
      <c r="L6" s="304">
        <v>53</v>
      </c>
      <c r="M6" s="206">
        <v>18</v>
      </c>
      <c r="N6" s="206">
        <v>18</v>
      </c>
      <c r="O6" s="206">
        <v>18</v>
      </c>
      <c r="P6" s="304">
        <v>26</v>
      </c>
      <c r="Q6" s="304">
        <v>26</v>
      </c>
      <c r="R6" s="304">
        <v>26</v>
      </c>
      <c r="S6" s="206">
        <v>24</v>
      </c>
      <c r="T6" s="206">
        <v>24</v>
      </c>
      <c r="U6" s="206">
        <v>24</v>
      </c>
      <c r="V6" s="304">
        <v>24</v>
      </c>
      <c r="W6" s="304">
        <v>24</v>
      </c>
      <c r="X6" s="305">
        <v>24</v>
      </c>
      <c r="Y6" s="297"/>
      <c r="Z6" s="305"/>
      <c r="AA6" s="297">
        <v>27</v>
      </c>
      <c r="AB6" s="206">
        <v>27</v>
      </c>
      <c r="AC6" s="206">
        <v>27</v>
      </c>
      <c r="AD6" s="304">
        <v>26</v>
      </c>
      <c r="AE6" s="304">
        <v>26</v>
      </c>
      <c r="AF6" s="304">
        <v>26</v>
      </c>
      <c r="AG6" s="206">
        <v>24</v>
      </c>
      <c r="AH6" s="206">
        <v>24</v>
      </c>
      <c r="AI6" s="206">
        <v>24</v>
      </c>
      <c r="AJ6" s="304">
        <v>30</v>
      </c>
      <c r="AK6" s="304">
        <v>30</v>
      </c>
      <c r="AL6" s="305">
        <v>30</v>
      </c>
      <c r="AP6" s="200"/>
      <c r="AQ6" s="201"/>
      <c r="AR6" s="201"/>
      <c r="AS6" s="300"/>
      <c r="AT6" s="299"/>
      <c r="AU6" s="300"/>
      <c r="AV6" s="299"/>
      <c r="AW6" s="300"/>
      <c r="AX6" s="299"/>
      <c r="AY6" s="300"/>
      <c r="AZ6" s="299"/>
      <c r="BA6" s="300"/>
      <c r="BB6" s="299"/>
      <c r="BC6" s="300"/>
      <c r="BD6" s="299"/>
      <c r="BE6" s="300"/>
      <c r="BF6" s="301"/>
      <c r="BG6" s="302"/>
    </row>
    <row r="7" spans="2:59" ht="15" customHeight="1" outlineLevel="1" x14ac:dyDescent="0.25">
      <c r="B7" s="200" t="s">
        <v>506</v>
      </c>
      <c r="C7" s="235">
        <v>1</v>
      </c>
      <c r="D7" s="234"/>
      <c r="E7" s="234"/>
      <c r="F7" s="234"/>
      <c r="G7" s="236">
        <v>1229</v>
      </c>
      <c r="H7" s="236"/>
      <c r="I7" s="236">
        <v>1329</v>
      </c>
      <c r="J7" s="234"/>
      <c r="K7" s="234"/>
      <c r="L7" s="234"/>
      <c r="M7" s="236">
        <v>2119</v>
      </c>
      <c r="N7" s="236"/>
      <c r="O7" s="236">
        <v>2130</v>
      </c>
      <c r="P7" s="234"/>
      <c r="Q7" s="234"/>
      <c r="R7" s="234"/>
      <c r="S7" s="236"/>
      <c r="T7" s="236"/>
      <c r="U7" s="236"/>
      <c r="V7" s="234"/>
      <c r="W7" s="234"/>
      <c r="X7" s="225"/>
      <c r="Y7" s="222">
        <v>2973.75</v>
      </c>
      <c r="Z7" s="223">
        <v>1619.5499999999997</v>
      </c>
      <c r="AA7" s="222"/>
      <c r="AB7" s="236"/>
      <c r="AC7" s="236"/>
      <c r="AD7" s="234"/>
      <c r="AE7" s="234"/>
      <c r="AF7" s="234"/>
      <c r="AG7" s="236"/>
      <c r="AH7" s="236"/>
      <c r="AI7" s="236"/>
      <c r="AJ7" s="234"/>
      <c r="AK7" s="234"/>
      <c r="AL7" s="225"/>
      <c r="AM7" t="s">
        <v>506</v>
      </c>
      <c r="AP7" s="200" t="s">
        <v>542</v>
      </c>
      <c r="AQ7" s="201"/>
      <c r="AR7" s="201"/>
      <c r="AS7" s="202">
        <v>330888.66666666669</v>
      </c>
      <c r="AT7" s="203">
        <v>134305.60078577482</v>
      </c>
      <c r="AU7" s="202">
        <v>161884.47694681794</v>
      </c>
      <c r="AV7" s="203">
        <v>195238.33333333334</v>
      </c>
      <c r="AW7" s="202">
        <v>18420.385743830502</v>
      </c>
      <c r="AX7" s="203">
        <v>143245.77727956543</v>
      </c>
      <c r="AY7" s="202">
        <v>175831.90285749588</v>
      </c>
      <c r="AZ7" s="203">
        <v>55410.679511747854</v>
      </c>
      <c r="BA7" s="202">
        <v>93814.3633671766</v>
      </c>
      <c r="BB7" s="203">
        <v>85881.771420969075</v>
      </c>
      <c r="BC7" s="202">
        <v>36635.903910179375</v>
      </c>
      <c r="BD7" s="203">
        <v>22798.725582342147</v>
      </c>
      <c r="BE7" s="202">
        <v>35985.745927433803</v>
      </c>
      <c r="BF7" s="204"/>
      <c r="BG7" s="205"/>
    </row>
    <row r="8" spans="2:59" outlineLevel="2" x14ac:dyDescent="0.25">
      <c r="B8" s="200" t="s">
        <v>425</v>
      </c>
      <c r="C8" s="235">
        <v>1</v>
      </c>
      <c r="D8" s="234"/>
      <c r="E8" s="234"/>
      <c r="F8" s="234"/>
      <c r="G8" s="236"/>
      <c r="H8" s="236"/>
      <c r="I8" s="236"/>
      <c r="J8" s="234"/>
      <c r="K8" s="234"/>
      <c r="L8" s="234"/>
      <c r="M8" s="236"/>
      <c r="N8" s="236"/>
      <c r="O8" s="236"/>
      <c r="P8" s="234">
        <v>2663</v>
      </c>
      <c r="Q8" s="234">
        <v>2561</v>
      </c>
      <c r="R8" s="234">
        <v>2690</v>
      </c>
      <c r="S8" s="236">
        <v>2568</v>
      </c>
      <c r="T8" s="236">
        <v>2502</v>
      </c>
      <c r="U8" s="236">
        <v>2401</v>
      </c>
      <c r="V8" s="234">
        <v>2506</v>
      </c>
      <c r="W8" s="234">
        <v>2459</v>
      </c>
      <c r="X8" s="225">
        <v>2431</v>
      </c>
      <c r="Y8" s="222">
        <v>711.50000000000011</v>
      </c>
      <c r="Z8" s="223">
        <v>751.1500000000002</v>
      </c>
      <c r="AA8" s="222">
        <v>2807</v>
      </c>
      <c r="AB8" s="236">
        <v>2343</v>
      </c>
      <c r="AC8" s="236">
        <v>2144</v>
      </c>
      <c r="AD8" s="234">
        <v>3190</v>
      </c>
      <c r="AE8" s="234">
        <v>2663</v>
      </c>
      <c r="AF8" s="234">
        <v>2436</v>
      </c>
      <c r="AG8" s="236">
        <v>2883</v>
      </c>
      <c r="AH8" s="236">
        <v>2506</v>
      </c>
      <c r="AI8" s="236">
        <v>2339</v>
      </c>
      <c r="AJ8" s="234"/>
      <c r="AK8" s="234"/>
      <c r="AL8" s="225"/>
      <c r="AM8" t="s">
        <v>425</v>
      </c>
      <c r="AP8" s="200" t="s">
        <v>531</v>
      </c>
      <c r="AQ8" s="201"/>
      <c r="AR8" s="201"/>
      <c r="AS8" s="206" t="s">
        <v>513</v>
      </c>
      <c r="AT8" s="207" t="s">
        <v>515</v>
      </c>
      <c r="AU8" s="206" t="s">
        <v>517</v>
      </c>
      <c r="AV8" s="207" t="s">
        <v>513</v>
      </c>
      <c r="AW8" s="206" t="s">
        <v>520</v>
      </c>
      <c r="AX8" s="207" t="s">
        <v>515</v>
      </c>
      <c r="AY8" s="206" t="s">
        <v>515</v>
      </c>
      <c r="AZ8" s="207" t="s">
        <v>524</v>
      </c>
      <c r="BA8" s="206" t="s">
        <v>543</v>
      </c>
      <c r="BB8" s="207" t="s">
        <v>527</v>
      </c>
      <c r="BC8" s="206" t="s">
        <v>524</v>
      </c>
      <c r="BD8" s="207" t="s">
        <v>524</v>
      </c>
      <c r="BE8" s="206" t="s">
        <v>530</v>
      </c>
      <c r="BF8" s="204"/>
      <c r="BG8" s="205"/>
    </row>
    <row r="9" spans="2:59" outlineLevel="2" x14ac:dyDescent="0.25">
      <c r="B9" s="200" t="s">
        <v>507</v>
      </c>
      <c r="C9" s="235">
        <v>1</v>
      </c>
      <c r="D9" s="234">
        <v>659</v>
      </c>
      <c r="E9" s="234">
        <v>1254</v>
      </c>
      <c r="F9" s="234">
        <v>770</v>
      </c>
      <c r="G9" s="236"/>
      <c r="H9" s="236"/>
      <c r="I9" s="236"/>
      <c r="J9" s="234"/>
      <c r="K9" s="234">
        <v>1235</v>
      </c>
      <c r="L9" s="234"/>
      <c r="M9" s="236"/>
      <c r="N9" s="236"/>
      <c r="O9" s="236"/>
      <c r="P9" s="234"/>
      <c r="Q9" s="234"/>
      <c r="R9" s="234"/>
      <c r="S9" s="236"/>
      <c r="T9" s="236"/>
      <c r="U9" s="236"/>
      <c r="V9" s="234"/>
      <c r="W9" s="234"/>
      <c r="X9" s="225"/>
      <c r="Y9" s="224"/>
      <c r="Z9" s="225"/>
      <c r="AA9" s="224"/>
      <c r="AB9" s="236"/>
      <c r="AC9" s="236"/>
      <c r="AD9" s="234"/>
      <c r="AE9" s="234"/>
      <c r="AF9" s="234"/>
      <c r="AG9" s="236"/>
      <c r="AH9" s="236"/>
      <c r="AI9" s="236"/>
      <c r="AJ9" s="234">
        <v>3102</v>
      </c>
      <c r="AK9" s="234">
        <v>2615</v>
      </c>
      <c r="AL9" s="225">
        <v>2416</v>
      </c>
      <c r="AM9" t="s">
        <v>507</v>
      </c>
      <c r="AP9" s="200"/>
      <c r="AQ9" s="201"/>
      <c r="AR9" s="201"/>
      <c r="AS9" s="206"/>
      <c r="AT9" s="207"/>
      <c r="AU9" s="206"/>
      <c r="AV9" s="207"/>
      <c r="AW9" s="206"/>
      <c r="AX9" s="207"/>
      <c r="AY9" s="206"/>
      <c r="AZ9" s="207"/>
      <c r="BA9" s="206"/>
      <c r="BB9" s="207"/>
      <c r="BC9" s="206"/>
      <c r="BD9" s="207"/>
      <c r="BE9" s="206"/>
      <c r="BF9" s="204"/>
      <c r="BG9" s="205"/>
    </row>
    <row r="10" spans="2:59" outlineLevel="2" x14ac:dyDescent="0.25">
      <c r="B10" s="200" t="s">
        <v>426</v>
      </c>
      <c r="C10" s="235">
        <v>1</v>
      </c>
      <c r="D10" s="234"/>
      <c r="E10" s="234"/>
      <c r="F10" s="234"/>
      <c r="G10" s="236"/>
      <c r="H10" s="236">
        <v>1165</v>
      </c>
      <c r="I10" s="236"/>
      <c r="J10" s="234"/>
      <c r="K10" s="234"/>
      <c r="L10" s="234"/>
      <c r="M10" s="236"/>
      <c r="N10" s="236">
        <v>1868</v>
      </c>
      <c r="O10" s="236"/>
      <c r="P10" s="234"/>
      <c r="Q10" s="234"/>
      <c r="R10" s="234"/>
      <c r="S10" s="236"/>
      <c r="T10" s="236"/>
      <c r="U10" s="236"/>
      <c r="V10" s="234"/>
      <c r="W10" s="234"/>
      <c r="X10" s="225"/>
      <c r="Y10" s="224"/>
      <c r="Z10" s="225"/>
      <c r="AA10" s="224"/>
      <c r="AB10" s="236"/>
      <c r="AC10" s="236"/>
      <c r="AD10" s="234"/>
      <c r="AE10" s="234"/>
      <c r="AF10" s="234"/>
      <c r="AG10" s="236"/>
      <c r="AH10" s="236"/>
      <c r="AI10" s="236"/>
      <c r="AJ10" s="234"/>
      <c r="AK10" s="234"/>
      <c r="AL10" s="225"/>
      <c r="AM10" t="s">
        <v>426</v>
      </c>
      <c r="AP10" s="208" t="s">
        <v>546</v>
      </c>
      <c r="AQ10" s="201"/>
      <c r="AR10" s="209" t="s">
        <v>456</v>
      </c>
      <c r="AS10" s="202"/>
      <c r="AT10" s="203"/>
      <c r="AU10" s="202"/>
      <c r="AV10" s="203"/>
      <c r="AW10" s="202"/>
      <c r="AX10" s="203"/>
      <c r="AY10" s="202"/>
      <c r="AZ10" s="203"/>
      <c r="BA10" s="202"/>
      <c r="BB10" s="203"/>
      <c r="BC10" s="202"/>
      <c r="BD10" s="203"/>
      <c r="BE10" s="202"/>
      <c r="BF10" s="204"/>
      <c r="BG10" s="205"/>
    </row>
    <row r="11" spans="2:59" outlineLevel="2" x14ac:dyDescent="0.25">
      <c r="B11" s="200" t="s">
        <v>427</v>
      </c>
      <c r="C11" s="235">
        <v>1</v>
      </c>
      <c r="D11" s="234"/>
      <c r="E11" s="234"/>
      <c r="F11" s="234"/>
      <c r="G11" s="236"/>
      <c r="H11" s="236">
        <v>272</v>
      </c>
      <c r="I11" s="236"/>
      <c r="J11" s="234"/>
      <c r="K11" s="234"/>
      <c r="L11" s="234"/>
      <c r="M11" s="236"/>
      <c r="N11" s="236">
        <v>436</v>
      </c>
      <c r="O11" s="236"/>
      <c r="P11" s="234"/>
      <c r="Q11" s="234"/>
      <c r="R11" s="234"/>
      <c r="S11" s="236"/>
      <c r="T11" s="236"/>
      <c r="U11" s="236"/>
      <c r="V11" s="234"/>
      <c r="W11" s="234"/>
      <c r="X11" s="225"/>
      <c r="Y11" s="224"/>
      <c r="Z11" s="223">
        <v>1250.5</v>
      </c>
      <c r="AA11" s="224"/>
      <c r="AB11" s="236"/>
      <c r="AC11" s="236"/>
      <c r="AD11" s="234"/>
      <c r="AE11" s="234"/>
      <c r="AF11" s="234"/>
      <c r="AG11" s="236"/>
      <c r="AH11" s="236"/>
      <c r="AI11" s="236"/>
      <c r="AJ11" s="234"/>
      <c r="AK11" s="234"/>
      <c r="AL11" s="225"/>
      <c r="AM11" t="s">
        <v>427</v>
      </c>
      <c r="AP11" s="200" t="s">
        <v>532</v>
      </c>
      <c r="AQ11" s="201"/>
      <c r="AR11" s="235">
        <v>1</v>
      </c>
      <c r="AS11" s="202">
        <v>3312</v>
      </c>
      <c r="AT11" s="203">
        <v>1200</v>
      </c>
      <c r="AU11" s="202">
        <v>1574</v>
      </c>
      <c r="AV11" s="203">
        <v>786.48686181535004</v>
      </c>
      <c r="AW11" s="202">
        <v>262.69098440595201</v>
      </c>
      <c r="AX11" s="203">
        <v>806.85837484127944</v>
      </c>
      <c r="AY11" s="202">
        <v>826.64375933225631</v>
      </c>
      <c r="AZ11" s="203">
        <v>613.65524823425994</v>
      </c>
      <c r="BA11" s="202">
        <v>1049.6483068162927</v>
      </c>
      <c r="BB11" s="203">
        <v>579.64056365482281</v>
      </c>
      <c r="BC11" s="202">
        <v>1672.50649055184</v>
      </c>
      <c r="BD11" s="203">
        <v>1390.53746046009</v>
      </c>
      <c r="BE11" s="202">
        <v>1039.6552482342599</v>
      </c>
      <c r="BF11" s="210">
        <f>(AT11*AT$7+AX11*AX$7+AW11*AW$7)/SUM(AT$7,AW$7,AX$7)</f>
        <v>951.39023277684373</v>
      </c>
      <c r="BG11" s="211">
        <f>AY11</f>
        <v>826.64375933225631</v>
      </c>
    </row>
    <row r="12" spans="2:59" outlineLevel="2" x14ac:dyDescent="0.25">
      <c r="B12" s="200" t="s">
        <v>510</v>
      </c>
      <c r="C12" s="235">
        <v>1</v>
      </c>
      <c r="D12" s="234">
        <v>977</v>
      </c>
      <c r="E12" s="234"/>
      <c r="F12" s="234">
        <v>970</v>
      </c>
      <c r="G12" s="236"/>
      <c r="H12" s="236"/>
      <c r="I12" s="236"/>
      <c r="J12" s="234">
        <v>1536</v>
      </c>
      <c r="K12" s="234"/>
      <c r="L12" s="234">
        <v>1614</v>
      </c>
      <c r="M12" s="236"/>
      <c r="N12" s="236"/>
      <c r="O12" s="236"/>
      <c r="P12" s="234"/>
      <c r="Q12" s="234"/>
      <c r="R12" s="234"/>
      <c r="S12" s="236"/>
      <c r="T12" s="236"/>
      <c r="U12" s="236"/>
      <c r="V12" s="234"/>
      <c r="W12" s="234"/>
      <c r="X12" s="225"/>
      <c r="Y12" s="224"/>
      <c r="Z12" s="225"/>
      <c r="AA12" s="224"/>
      <c r="AB12" s="236"/>
      <c r="AC12" s="236"/>
      <c r="AD12" s="234"/>
      <c r="AE12" s="234"/>
      <c r="AF12" s="234"/>
      <c r="AG12" s="236"/>
      <c r="AH12" s="236"/>
      <c r="AI12" s="236"/>
      <c r="AJ12" s="234"/>
      <c r="AK12" s="234"/>
      <c r="AL12" s="225"/>
      <c r="AM12" t="s">
        <v>510</v>
      </c>
      <c r="AP12" s="200" t="s">
        <v>533</v>
      </c>
      <c r="AQ12" s="201"/>
      <c r="AR12" s="235">
        <v>1</v>
      </c>
      <c r="AS12" s="202"/>
      <c r="AT12" s="203"/>
      <c r="AU12" s="202">
        <v>426</v>
      </c>
      <c r="AV12" s="203">
        <v>707</v>
      </c>
      <c r="AW12" s="202"/>
      <c r="AX12" s="203"/>
      <c r="AY12" s="202"/>
      <c r="AZ12" s="203">
        <v>426</v>
      </c>
      <c r="BA12" s="202"/>
      <c r="BB12" s="203"/>
      <c r="BC12" s="202"/>
      <c r="BD12" s="203"/>
      <c r="BE12" s="202"/>
      <c r="BF12" s="210"/>
      <c r="BG12" s="211"/>
    </row>
    <row r="13" spans="2:59" outlineLevel="2" x14ac:dyDescent="0.25">
      <c r="B13" s="200" t="s">
        <v>509</v>
      </c>
      <c r="C13" s="235">
        <v>0.85</v>
      </c>
      <c r="D13" s="234"/>
      <c r="E13" s="234">
        <v>299</v>
      </c>
      <c r="F13" s="234"/>
      <c r="G13" s="236"/>
      <c r="H13" s="236"/>
      <c r="I13" s="236"/>
      <c r="J13" s="234"/>
      <c r="K13" s="234">
        <v>139</v>
      </c>
      <c r="L13" s="234"/>
      <c r="M13" s="236"/>
      <c r="N13" s="236"/>
      <c r="O13" s="236"/>
      <c r="P13" s="234"/>
      <c r="Q13" s="234"/>
      <c r="R13" s="234"/>
      <c r="S13" s="236"/>
      <c r="T13" s="236"/>
      <c r="U13" s="236"/>
      <c r="V13" s="234"/>
      <c r="W13" s="234"/>
      <c r="X13" s="225"/>
      <c r="Y13" s="222">
        <v>244</v>
      </c>
      <c r="Z13" s="223">
        <v>244</v>
      </c>
      <c r="AA13" s="222"/>
      <c r="AB13" s="236"/>
      <c r="AC13" s="236"/>
      <c r="AD13" s="234"/>
      <c r="AE13" s="234"/>
      <c r="AF13" s="234"/>
      <c r="AG13" s="236"/>
      <c r="AH13" s="236"/>
      <c r="AI13" s="236"/>
      <c r="AJ13" s="234"/>
      <c r="AK13" s="234"/>
      <c r="AL13" s="225"/>
      <c r="AM13" t="s">
        <v>509</v>
      </c>
      <c r="AP13" s="200" t="s">
        <v>534</v>
      </c>
      <c r="AQ13" s="201"/>
      <c r="AR13" s="235">
        <v>1</v>
      </c>
      <c r="AS13" s="202">
        <v>543</v>
      </c>
      <c r="AT13" s="203"/>
      <c r="AU13" s="202"/>
      <c r="AV13" s="203"/>
      <c r="AW13" s="202"/>
      <c r="AX13" s="203"/>
      <c r="AY13" s="202"/>
      <c r="AZ13" s="203"/>
      <c r="BA13" s="202"/>
      <c r="BB13" s="203"/>
      <c r="BC13" s="202"/>
      <c r="BD13" s="203"/>
      <c r="BE13" s="202"/>
      <c r="BF13" s="210"/>
      <c r="BG13" s="211"/>
    </row>
    <row r="14" spans="2:59" outlineLevel="2" x14ac:dyDescent="0.25">
      <c r="B14" s="200" t="s">
        <v>508</v>
      </c>
      <c r="C14" s="235">
        <v>1</v>
      </c>
      <c r="D14" s="234">
        <v>1953</v>
      </c>
      <c r="E14" s="234">
        <v>2053</v>
      </c>
      <c r="F14" s="234">
        <v>1806</v>
      </c>
      <c r="G14" s="236"/>
      <c r="H14" s="236"/>
      <c r="I14" s="236"/>
      <c r="J14" s="234">
        <v>1313</v>
      </c>
      <c r="K14" s="234">
        <v>1390</v>
      </c>
      <c r="L14" s="234">
        <v>1235</v>
      </c>
      <c r="M14" s="236"/>
      <c r="N14" s="236"/>
      <c r="O14" s="236"/>
      <c r="P14" s="234">
        <v>1548</v>
      </c>
      <c r="Q14" s="234">
        <v>1662</v>
      </c>
      <c r="R14" s="234">
        <v>1548</v>
      </c>
      <c r="S14" s="236">
        <v>932</v>
      </c>
      <c r="T14" s="236">
        <v>995</v>
      </c>
      <c r="U14" s="236">
        <v>951</v>
      </c>
      <c r="V14" s="234">
        <v>926</v>
      </c>
      <c r="W14" s="234">
        <v>978</v>
      </c>
      <c r="X14" s="225">
        <v>924</v>
      </c>
      <c r="Y14" s="224"/>
      <c r="Z14" s="225"/>
      <c r="AA14" s="224">
        <v>939</v>
      </c>
      <c r="AB14" s="236">
        <v>1280</v>
      </c>
      <c r="AC14" s="236">
        <v>1530</v>
      </c>
      <c r="AD14" s="234">
        <v>1068</v>
      </c>
      <c r="AE14" s="234">
        <v>1457</v>
      </c>
      <c r="AF14" s="234">
        <v>1662</v>
      </c>
      <c r="AG14" s="236">
        <v>638</v>
      </c>
      <c r="AH14" s="236">
        <v>871</v>
      </c>
      <c r="AI14" s="236">
        <v>978</v>
      </c>
      <c r="AJ14" s="234">
        <v>1307</v>
      </c>
      <c r="AK14" s="234">
        <v>1782</v>
      </c>
      <c r="AL14" s="225">
        <v>2020</v>
      </c>
      <c r="AM14" t="s">
        <v>508</v>
      </c>
      <c r="AP14" s="200" t="s">
        <v>538</v>
      </c>
      <c r="AQ14" s="201"/>
      <c r="AR14" s="235">
        <v>0.85</v>
      </c>
      <c r="AS14" s="202"/>
      <c r="AT14" s="203"/>
      <c r="AU14" s="202"/>
      <c r="AV14" s="203">
        <v>236.67855598613721</v>
      </c>
      <c r="AW14" s="202"/>
      <c r="AX14" s="203"/>
      <c r="AY14" s="202"/>
      <c r="AZ14" s="203"/>
      <c r="BA14" s="202"/>
      <c r="BB14" s="203"/>
      <c r="BC14" s="202"/>
      <c r="BD14" s="203"/>
      <c r="BE14" s="202"/>
      <c r="BF14" s="210"/>
      <c r="BG14" s="211"/>
    </row>
    <row r="15" spans="2:59" outlineLevel="2" x14ac:dyDescent="0.25">
      <c r="B15" s="200" t="s">
        <v>566</v>
      </c>
      <c r="C15" s="235">
        <v>1</v>
      </c>
      <c r="D15" s="234">
        <v>345</v>
      </c>
      <c r="E15" s="234">
        <v>362</v>
      </c>
      <c r="F15" s="234">
        <v>319</v>
      </c>
      <c r="G15" s="236"/>
      <c r="H15" s="236"/>
      <c r="I15" s="236"/>
      <c r="J15" s="234">
        <v>232</v>
      </c>
      <c r="K15" s="234">
        <v>245</v>
      </c>
      <c r="L15" s="234">
        <v>218</v>
      </c>
      <c r="M15" s="236"/>
      <c r="N15" s="236"/>
      <c r="O15" s="236"/>
      <c r="P15" s="234">
        <v>273</v>
      </c>
      <c r="Q15" s="234">
        <v>293</v>
      </c>
      <c r="R15" s="234">
        <v>273</v>
      </c>
      <c r="S15" s="236">
        <v>165</v>
      </c>
      <c r="T15" s="236">
        <v>176</v>
      </c>
      <c r="U15" s="236">
        <v>168</v>
      </c>
      <c r="V15" s="234">
        <v>163</v>
      </c>
      <c r="W15" s="234">
        <v>173</v>
      </c>
      <c r="X15" s="225">
        <v>163</v>
      </c>
      <c r="Y15" s="224">
        <v>782.99999999999989</v>
      </c>
      <c r="Z15" s="225">
        <v>782.99999999999989</v>
      </c>
      <c r="AA15" s="224">
        <v>235</v>
      </c>
      <c r="AB15" s="236">
        <v>320</v>
      </c>
      <c r="AC15" s="236">
        <v>283</v>
      </c>
      <c r="AD15" s="234">
        <v>267</v>
      </c>
      <c r="AE15" s="234">
        <v>364</v>
      </c>
      <c r="AF15" s="234">
        <v>415</v>
      </c>
      <c r="AG15" s="236">
        <v>159</v>
      </c>
      <c r="AH15" s="236">
        <v>218</v>
      </c>
      <c r="AI15" s="236">
        <v>245</v>
      </c>
      <c r="AJ15" s="234">
        <v>327</v>
      </c>
      <c r="AK15" s="234">
        <v>446</v>
      </c>
      <c r="AL15" s="225">
        <v>505</v>
      </c>
      <c r="AM15" t="s">
        <v>566</v>
      </c>
      <c r="AP15" s="200" t="s">
        <v>537</v>
      </c>
      <c r="AQ15" s="201"/>
      <c r="AR15" s="235">
        <v>1</v>
      </c>
      <c r="AS15" s="202">
        <v>417.5</v>
      </c>
      <c r="AT15" s="203">
        <v>250</v>
      </c>
      <c r="AU15" s="202">
        <v>700</v>
      </c>
      <c r="AV15" s="203">
        <v>2089.9186867547151</v>
      </c>
      <c r="AW15" s="202"/>
      <c r="AX15" s="203">
        <v>148.25672031204095</v>
      </c>
      <c r="AY15" s="202">
        <v>315.82638263311139</v>
      </c>
      <c r="AZ15" s="203">
        <v>1270.24890336371</v>
      </c>
      <c r="BA15" s="202"/>
      <c r="BB15" s="203">
        <v>0</v>
      </c>
      <c r="BC15" s="202">
        <v>2115.9077118980499</v>
      </c>
      <c r="BD15" s="203">
        <v>1860.8262874502</v>
      </c>
      <c r="BE15" s="202">
        <v>1391.3037356936829</v>
      </c>
      <c r="BF15" s="210">
        <f>(AT15*AT$7+AX15*AX$7+AW15*AW$7)/SUM(AT$7,AW$7,AX$7)</f>
        <v>185.19857647570211</v>
      </c>
      <c r="BG15" s="211">
        <f>AY15</f>
        <v>315.82638263311139</v>
      </c>
    </row>
    <row r="16" spans="2:59" outlineLevel="2" x14ac:dyDescent="0.25">
      <c r="B16" s="200" t="s">
        <v>511</v>
      </c>
      <c r="C16" s="235">
        <v>0.86</v>
      </c>
      <c r="D16" s="234"/>
      <c r="E16" s="234"/>
      <c r="F16" s="234"/>
      <c r="G16" s="236">
        <v>861</v>
      </c>
      <c r="H16" s="236">
        <v>654</v>
      </c>
      <c r="I16" s="236"/>
      <c r="J16" s="234"/>
      <c r="K16" s="234"/>
      <c r="L16" s="234"/>
      <c r="M16" s="236">
        <v>1084</v>
      </c>
      <c r="N16" s="236">
        <v>1014</v>
      </c>
      <c r="O16" s="236"/>
      <c r="P16" s="234">
        <v>188</v>
      </c>
      <c r="Q16" s="234">
        <v>184</v>
      </c>
      <c r="R16" s="234"/>
      <c r="S16" s="236"/>
      <c r="T16" s="236"/>
      <c r="U16" s="236"/>
      <c r="V16" s="234"/>
      <c r="W16" s="234"/>
      <c r="X16" s="225"/>
      <c r="Y16" s="222">
        <f>2180.75-(Y18*U59*C18/C16)</f>
        <v>1824.2423144269196</v>
      </c>
      <c r="Z16" s="223">
        <f>1516-(Y18*U59*C18/C16)</f>
        <v>1159.4923144269196</v>
      </c>
      <c r="AA16" s="222">
        <v>196</v>
      </c>
      <c r="AB16" s="236">
        <v>165</v>
      </c>
      <c r="AC16" s="236">
        <v>154</v>
      </c>
      <c r="AD16" s="234">
        <v>223</v>
      </c>
      <c r="AE16" s="234">
        <v>188</v>
      </c>
      <c r="AF16" s="234">
        <v>175</v>
      </c>
      <c r="AG16" s="236"/>
      <c r="AH16" s="236"/>
      <c r="AI16" s="236"/>
      <c r="AJ16" s="234"/>
      <c r="AK16" s="234"/>
      <c r="AL16" s="225"/>
      <c r="AM16" t="s">
        <v>511</v>
      </c>
      <c r="AP16" s="200" t="s">
        <v>535</v>
      </c>
      <c r="AQ16" s="201"/>
      <c r="AR16" s="235">
        <v>0.86</v>
      </c>
      <c r="AS16" s="202">
        <v>1280.5</v>
      </c>
      <c r="AT16" s="203">
        <v>250</v>
      </c>
      <c r="AU16" s="202">
        <v>50</v>
      </c>
      <c r="AV16" s="203">
        <v>40</v>
      </c>
      <c r="AW16" s="202">
        <v>544.72412968182198</v>
      </c>
      <c r="AX16" s="203">
        <v>470.02657462822322</v>
      </c>
      <c r="AY16" s="202">
        <v>352.21214602608444</v>
      </c>
      <c r="AZ16" s="203"/>
      <c r="BA16" s="202">
        <v>761.89322230651851</v>
      </c>
      <c r="BB16" s="203">
        <v>665.02406890599786</v>
      </c>
      <c r="BC16" s="202">
        <v>54.611532090800402</v>
      </c>
      <c r="BD16" s="203">
        <v>304.94242553949198</v>
      </c>
      <c r="BE16" s="202">
        <v>0</v>
      </c>
      <c r="BF16" s="210">
        <f>(AT16*AT$7+AX16*AX$7+AW16*AW$7)/SUM(AT$7,AW$7,AX$7)</f>
        <v>374.83221164758027</v>
      </c>
      <c r="BG16" s="211">
        <f>AY16</f>
        <v>352.21214602608444</v>
      </c>
    </row>
    <row r="17" spans="2:59" outlineLevel="2" x14ac:dyDescent="0.25">
      <c r="B17" s="200" t="s">
        <v>428</v>
      </c>
      <c r="C17" s="235">
        <v>0.85</v>
      </c>
      <c r="D17" s="234"/>
      <c r="E17" s="234"/>
      <c r="F17" s="234"/>
      <c r="G17" s="236">
        <v>68</v>
      </c>
      <c r="H17" s="236">
        <v>78</v>
      </c>
      <c r="I17" s="236"/>
      <c r="J17" s="234"/>
      <c r="K17" s="234"/>
      <c r="L17" s="234"/>
      <c r="M17" s="236">
        <v>124</v>
      </c>
      <c r="N17" s="236">
        <v>32</v>
      </c>
      <c r="O17" s="236"/>
      <c r="P17" s="234">
        <v>4</v>
      </c>
      <c r="Q17" s="234">
        <v>3</v>
      </c>
      <c r="R17" s="234"/>
      <c r="S17" s="236"/>
      <c r="T17" s="236"/>
      <c r="U17" s="236"/>
      <c r="V17" s="234"/>
      <c r="W17" s="234"/>
      <c r="X17" s="225"/>
      <c r="Y17" s="224"/>
      <c r="Z17" s="225"/>
      <c r="AA17" s="224"/>
      <c r="AB17" s="236"/>
      <c r="AC17" s="236"/>
      <c r="AD17" s="234"/>
      <c r="AE17" s="234"/>
      <c r="AF17" s="234"/>
      <c r="AG17" s="236"/>
      <c r="AH17" s="236"/>
      <c r="AI17" s="236"/>
      <c r="AJ17" s="234"/>
      <c r="AK17" s="234"/>
      <c r="AL17" s="225"/>
      <c r="AM17" t="s">
        <v>428</v>
      </c>
      <c r="AP17" s="200" t="s">
        <v>536</v>
      </c>
      <c r="AQ17" s="201"/>
      <c r="AR17" s="235">
        <v>0.9</v>
      </c>
      <c r="AS17" s="202">
        <v>1350.5</v>
      </c>
      <c r="AT17" s="203"/>
      <c r="AU17" s="202"/>
      <c r="AV17" s="203"/>
      <c r="AW17" s="202">
        <v>151.88273877697699</v>
      </c>
      <c r="AX17" s="203">
        <v>76.165488229258244</v>
      </c>
      <c r="AY17" s="202">
        <v>76.642835336930261</v>
      </c>
      <c r="AZ17" s="203"/>
      <c r="BA17" s="202"/>
      <c r="BB17" s="203">
        <v>70.258860306326625</v>
      </c>
      <c r="BC17" s="202">
        <v>0</v>
      </c>
      <c r="BD17" s="203">
        <v>0</v>
      </c>
      <c r="BE17" s="202">
        <v>0</v>
      </c>
      <c r="BF17" s="210">
        <f>(AT17*AT$7+AX17*AX$7+AW17*AW$7)/SUM(AT$7,AW$7,AX$7)</f>
        <v>46.315645191807654</v>
      </c>
      <c r="BG17" s="211">
        <f>AY17</f>
        <v>76.642835336930261</v>
      </c>
    </row>
    <row r="18" spans="2:59" outlineLevel="2" x14ac:dyDescent="0.25">
      <c r="B18" s="200" t="s">
        <v>429</v>
      </c>
      <c r="C18" s="235">
        <v>0.9</v>
      </c>
      <c r="D18" s="234"/>
      <c r="E18" s="234"/>
      <c r="F18" s="234"/>
      <c r="G18" s="236"/>
      <c r="H18" s="236"/>
      <c r="I18" s="236">
        <v>991</v>
      </c>
      <c r="J18" s="234"/>
      <c r="K18" s="234"/>
      <c r="L18" s="234"/>
      <c r="M18" s="236">
        <v>80</v>
      </c>
      <c r="N18" s="236">
        <v>79</v>
      </c>
      <c r="O18" s="236">
        <v>1279</v>
      </c>
      <c r="P18" s="234">
        <v>119</v>
      </c>
      <c r="Q18" s="234">
        <v>119</v>
      </c>
      <c r="R18" s="234">
        <v>294</v>
      </c>
      <c r="S18" s="236"/>
      <c r="T18" s="236"/>
      <c r="U18" s="236"/>
      <c r="V18" s="234"/>
      <c r="W18" s="234"/>
      <c r="X18" s="225"/>
      <c r="Y18" s="222">
        <f>1244*(1+U59)</f>
        <v>1522.3713939465354</v>
      </c>
      <c r="Z18" s="223">
        <f>1966*(1+U59)</f>
        <v>2405.9342126196852</v>
      </c>
      <c r="AA18" s="222">
        <v>128</v>
      </c>
      <c r="AB18" s="236">
        <v>108</v>
      </c>
      <c r="AC18" s="236">
        <v>102</v>
      </c>
      <c r="AD18" s="234">
        <v>146</v>
      </c>
      <c r="AE18" s="234">
        <v>123</v>
      </c>
      <c r="AF18" s="234">
        <v>116</v>
      </c>
      <c r="AG18" s="236"/>
      <c r="AH18" s="236"/>
      <c r="AI18" s="236"/>
      <c r="AJ18" s="234"/>
      <c r="AK18" s="234"/>
      <c r="AL18" s="225"/>
      <c r="AM18" t="s">
        <v>429</v>
      </c>
      <c r="AP18" s="200" t="s">
        <v>540</v>
      </c>
      <c r="AQ18" s="201"/>
      <c r="AR18" s="235">
        <v>0.9</v>
      </c>
      <c r="AS18" s="202"/>
      <c r="AT18" s="203">
        <v>14</v>
      </c>
      <c r="AU18" s="202"/>
      <c r="AV18" s="203"/>
      <c r="AW18" s="202">
        <v>13.5075892857143</v>
      </c>
      <c r="AX18" s="203">
        <v>13.575224933331304</v>
      </c>
      <c r="AY18" s="202"/>
      <c r="AZ18" s="203"/>
      <c r="BA18" s="202"/>
      <c r="BB18" s="203"/>
      <c r="BC18" s="202"/>
      <c r="BD18" s="203"/>
      <c r="BE18" s="202"/>
      <c r="BF18" s="210">
        <f>(AT18*AT$7+AX18*AX$7+AW18*AW$7)/SUM(AT$7,AW$7,AX$7)</f>
        <v>13.763769256243801</v>
      </c>
      <c r="BG18" s="211"/>
    </row>
    <row r="19" spans="2:59" outlineLevel="1" x14ac:dyDescent="0.25">
      <c r="B19" s="200" t="s">
        <v>418</v>
      </c>
      <c r="C19" s="235">
        <v>1</v>
      </c>
      <c r="D19" s="234">
        <v>34</v>
      </c>
      <c r="E19" s="234">
        <v>34</v>
      </c>
      <c r="F19" s="234">
        <v>34</v>
      </c>
      <c r="G19" s="236">
        <v>12</v>
      </c>
      <c r="H19" s="236">
        <v>12</v>
      </c>
      <c r="I19" s="236">
        <v>14</v>
      </c>
      <c r="J19" s="234">
        <v>33</v>
      </c>
      <c r="K19" s="234">
        <v>33</v>
      </c>
      <c r="L19" s="234">
        <v>33</v>
      </c>
      <c r="M19" s="236">
        <v>22</v>
      </c>
      <c r="N19" s="236">
        <v>22</v>
      </c>
      <c r="O19" s="236">
        <v>21</v>
      </c>
      <c r="P19" s="234">
        <v>35</v>
      </c>
      <c r="Q19" s="234">
        <v>35</v>
      </c>
      <c r="R19" s="234">
        <v>35</v>
      </c>
      <c r="S19" s="236">
        <v>26</v>
      </c>
      <c r="T19" s="236">
        <v>26</v>
      </c>
      <c r="U19" s="236">
        <v>24</v>
      </c>
      <c r="V19" s="234">
        <v>26</v>
      </c>
      <c r="W19" s="234">
        <v>26</v>
      </c>
      <c r="X19" s="225">
        <v>26</v>
      </c>
      <c r="Y19" s="247">
        <f>SUM(Y8:Y18)*0.01</f>
        <v>50.85113708373455</v>
      </c>
      <c r="Z19" s="248">
        <f>SUM(Z8:Z18)*0.01</f>
        <v>65.940765270466045</v>
      </c>
      <c r="AA19" s="298">
        <v>30</v>
      </c>
      <c r="AB19" s="236">
        <v>30</v>
      </c>
      <c r="AC19" s="236">
        <v>30</v>
      </c>
      <c r="AD19" s="234">
        <v>35</v>
      </c>
      <c r="AE19" s="234">
        <v>35</v>
      </c>
      <c r="AF19" s="234">
        <v>35</v>
      </c>
      <c r="AG19" s="236">
        <v>26</v>
      </c>
      <c r="AH19" s="236">
        <v>26</v>
      </c>
      <c r="AI19" s="236">
        <v>26</v>
      </c>
      <c r="AJ19" s="234">
        <v>28</v>
      </c>
      <c r="AK19" s="234">
        <v>28</v>
      </c>
      <c r="AL19" s="225">
        <v>28</v>
      </c>
      <c r="AM19" t="s">
        <v>418</v>
      </c>
      <c r="AP19" s="246" t="s">
        <v>449</v>
      </c>
      <c r="AQ19" s="201"/>
      <c r="AR19" s="235">
        <v>1</v>
      </c>
      <c r="AS19" s="202"/>
      <c r="AT19" s="203"/>
      <c r="AU19" s="202"/>
      <c r="AV19" s="203"/>
      <c r="AW19" s="202"/>
      <c r="AX19" s="203"/>
      <c r="AY19" s="202"/>
      <c r="AZ19" s="203"/>
      <c r="BA19" s="202"/>
      <c r="BB19" s="203"/>
      <c r="BC19" s="202"/>
      <c r="BD19" s="203"/>
      <c r="BE19" s="202"/>
      <c r="BF19" s="244">
        <f>SUM(BF11:BF18)*0.006</f>
        <v>9.4290026120890662</v>
      </c>
      <c r="BG19" s="245">
        <f>SUM(BG11:BG18)*0.006</f>
        <v>9.427950739970294</v>
      </c>
    </row>
    <row r="20" spans="2:59" outlineLevel="1" x14ac:dyDescent="0.25">
      <c r="B20" s="200"/>
      <c r="C20" s="235"/>
      <c r="D20" s="234"/>
      <c r="E20" s="234"/>
      <c r="F20" s="234"/>
      <c r="G20" s="236"/>
      <c r="H20" s="236"/>
      <c r="I20" s="236"/>
      <c r="J20" s="234"/>
      <c r="K20" s="234"/>
      <c r="L20" s="234"/>
      <c r="M20" s="236"/>
      <c r="N20" s="236"/>
      <c r="O20" s="236"/>
      <c r="P20" s="234"/>
      <c r="Q20" s="234"/>
      <c r="R20" s="234"/>
      <c r="S20" s="236"/>
      <c r="T20" s="236"/>
      <c r="U20" s="236"/>
      <c r="V20" s="234"/>
      <c r="W20" s="234"/>
      <c r="X20" s="225"/>
      <c r="Y20" s="224"/>
      <c r="Z20" s="225"/>
      <c r="AA20" s="224"/>
      <c r="AB20" s="236"/>
      <c r="AC20" s="236"/>
      <c r="AD20" s="234"/>
      <c r="AE20" s="234"/>
      <c r="AF20" s="234"/>
      <c r="AG20" s="236"/>
      <c r="AH20" s="236"/>
      <c r="AI20" s="236"/>
      <c r="AJ20" s="234"/>
      <c r="AK20" s="234"/>
      <c r="AL20" s="225"/>
      <c r="AP20" s="200" t="s">
        <v>539</v>
      </c>
      <c r="AQ20" s="201"/>
      <c r="AR20" s="254">
        <v>0.95</v>
      </c>
      <c r="AS20" s="202"/>
      <c r="AT20" s="203">
        <v>40</v>
      </c>
      <c r="AU20" s="202"/>
      <c r="AV20" s="203"/>
      <c r="AW20" s="202">
        <v>39.852222222222203</v>
      </c>
      <c r="AX20" s="203">
        <v>39.87786647807954</v>
      </c>
      <c r="AY20" s="202"/>
      <c r="AZ20" s="203"/>
      <c r="BA20" s="202"/>
      <c r="BB20" s="203"/>
      <c r="BC20" s="202"/>
      <c r="BD20" s="203"/>
      <c r="BE20" s="202"/>
      <c r="BF20" s="210">
        <f>(AT20*AT$7+AX20*AX$7+AW20*AW$7)/SUM(AT$7,AW$7,AX$7)</f>
        <v>39.931692014500904</v>
      </c>
      <c r="BG20" s="211"/>
    </row>
    <row r="21" spans="2:59" x14ac:dyDescent="0.25">
      <c r="B21" s="212" t="s">
        <v>300</v>
      </c>
      <c r="C21" s="237"/>
      <c r="D21" s="238">
        <f>SUM(D7:D19)</f>
        <v>3968</v>
      </c>
      <c r="E21" s="238">
        <f t="shared" ref="E21:AC21" si="0">SUM(E7:E19)</f>
        <v>4002</v>
      </c>
      <c r="F21" s="238">
        <f>SUM(F7:F19)</f>
        <v>3899</v>
      </c>
      <c r="G21" s="239">
        <f t="shared" si="0"/>
        <v>2170</v>
      </c>
      <c r="H21" s="239">
        <f t="shared" si="0"/>
        <v>2181</v>
      </c>
      <c r="I21" s="239">
        <f t="shared" si="0"/>
        <v>2334</v>
      </c>
      <c r="J21" s="238">
        <f t="shared" si="0"/>
        <v>3114</v>
      </c>
      <c r="K21" s="238">
        <f t="shared" si="0"/>
        <v>3042</v>
      </c>
      <c r="L21" s="238">
        <f t="shared" si="0"/>
        <v>3100</v>
      </c>
      <c r="M21" s="239">
        <f t="shared" si="0"/>
        <v>3429</v>
      </c>
      <c r="N21" s="239">
        <f t="shared" si="0"/>
        <v>3451</v>
      </c>
      <c r="O21" s="239">
        <f t="shared" si="0"/>
        <v>3430</v>
      </c>
      <c r="P21" s="238">
        <f t="shared" si="0"/>
        <v>4830</v>
      </c>
      <c r="Q21" s="238">
        <f t="shared" si="0"/>
        <v>4857</v>
      </c>
      <c r="R21" s="238">
        <f t="shared" si="0"/>
        <v>4840</v>
      </c>
      <c r="S21" s="239">
        <f t="shared" si="0"/>
        <v>3691</v>
      </c>
      <c r="T21" s="239">
        <f t="shared" si="0"/>
        <v>3699</v>
      </c>
      <c r="U21" s="239">
        <f t="shared" si="0"/>
        <v>3544</v>
      </c>
      <c r="V21" s="238">
        <f t="shared" si="0"/>
        <v>3621</v>
      </c>
      <c r="W21" s="238">
        <f t="shared" si="0"/>
        <v>3636</v>
      </c>
      <c r="X21" s="227">
        <f t="shared" si="0"/>
        <v>3544</v>
      </c>
      <c r="Y21" s="226">
        <f t="shared" si="0"/>
        <v>8109.7148454571889</v>
      </c>
      <c r="Z21" s="227">
        <f t="shared" si="0"/>
        <v>8279.5672923170714</v>
      </c>
      <c r="AA21" s="226">
        <f t="shared" si="0"/>
        <v>4335</v>
      </c>
      <c r="AB21" s="239">
        <f t="shared" si="0"/>
        <v>4246</v>
      </c>
      <c r="AC21" s="239">
        <f t="shared" si="0"/>
        <v>4243</v>
      </c>
      <c r="AD21" s="238">
        <f>SUM(AD7:AD19)</f>
        <v>4929</v>
      </c>
      <c r="AE21" s="238">
        <f>SUM(AE7:AE19)</f>
        <v>4830</v>
      </c>
      <c r="AF21" s="238">
        <f>SUM(AF7:AF19)</f>
        <v>4839</v>
      </c>
      <c r="AG21" s="239">
        <f t="shared" ref="AG21:AI21" si="1">SUM(AG7:AG19)</f>
        <v>3706</v>
      </c>
      <c r="AH21" s="239">
        <f t="shared" si="1"/>
        <v>3621</v>
      </c>
      <c r="AI21" s="239">
        <f t="shared" si="1"/>
        <v>3588</v>
      </c>
      <c r="AJ21" s="238">
        <f>SUM(AJ7:AJ19)</f>
        <v>4764</v>
      </c>
      <c r="AK21" s="238">
        <f>SUM(AK7:AK19)</f>
        <v>4871</v>
      </c>
      <c r="AL21" s="227">
        <f>SUM(AL7:AL19)</f>
        <v>4969</v>
      </c>
      <c r="AP21" s="200" t="s">
        <v>541</v>
      </c>
      <c r="AQ21" s="201"/>
      <c r="AR21" s="254">
        <v>0.13</v>
      </c>
      <c r="AS21" s="202"/>
      <c r="AT21" s="203"/>
      <c r="AU21" s="202"/>
      <c r="AV21" s="203"/>
      <c r="AW21" s="202"/>
      <c r="AX21" s="203"/>
      <c r="AY21" s="202">
        <v>1874.9851705020715</v>
      </c>
      <c r="AZ21" s="203"/>
      <c r="BA21" s="202"/>
      <c r="BB21" s="203"/>
      <c r="BC21" s="202"/>
      <c r="BD21" s="203"/>
      <c r="BE21" s="202"/>
      <c r="BF21" s="210"/>
      <c r="BG21" s="211">
        <f>AY21</f>
        <v>1874.9851705020715</v>
      </c>
    </row>
    <row r="22" spans="2:59" x14ac:dyDescent="0.25">
      <c r="C22" s="306" t="s">
        <v>662</v>
      </c>
      <c r="D22" s="307">
        <f>SUM(D14:D15)/D21</f>
        <v>0.579133064516129</v>
      </c>
      <c r="E22" s="307">
        <f t="shared" ref="E22:AF22" si="2">SUM(E14:E15)/E21</f>
        <v>0.60344827586206895</v>
      </c>
      <c r="F22" s="307">
        <f t="shared" si="2"/>
        <v>0.54501154142087715</v>
      </c>
      <c r="G22" s="307">
        <f t="shared" si="2"/>
        <v>0</v>
      </c>
      <c r="H22" s="307">
        <f t="shared" si="2"/>
        <v>0</v>
      </c>
      <c r="I22" s="307">
        <f t="shared" si="2"/>
        <v>0</v>
      </c>
      <c r="J22" s="307">
        <f t="shared" si="2"/>
        <v>0.49614643545279385</v>
      </c>
      <c r="K22" s="307">
        <f t="shared" si="2"/>
        <v>0.53747534516765283</v>
      </c>
      <c r="L22" s="307">
        <f t="shared" si="2"/>
        <v>0.46870967741935482</v>
      </c>
      <c r="M22" s="307">
        <f t="shared" si="2"/>
        <v>0</v>
      </c>
      <c r="N22" s="307">
        <f t="shared" si="2"/>
        <v>0</v>
      </c>
      <c r="O22" s="307">
        <f t="shared" si="2"/>
        <v>0</v>
      </c>
      <c r="P22" s="307">
        <f t="shared" si="2"/>
        <v>0.37701863354037268</v>
      </c>
      <c r="Q22" s="307">
        <f t="shared" si="2"/>
        <v>0.40251183858348777</v>
      </c>
      <c r="R22" s="307">
        <f t="shared" si="2"/>
        <v>0.37623966942148762</v>
      </c>
      <c r="S22" s="307">
        <f t="shared" si="2"/>
        <v>0.29720942833920344</v>
      </c>
      <c r="T22" s="307">
        <f t="shared" si="2"/>
        <v>0.31657204649905379</v>
      </c>
      <c r="U22" s="307">
        <f t="shared" si="2"/>
        <v>0.31574492099322798</v>
      </c>
      <c r="V22" s="307">
        <f t="shared" si="2"/>
        <v>0.30074565037282519</v>
      </c>
      <c r="W22" s="307">
        <f t="shared" si="2"/>
        <v>0.31655665566556657</v>
      </c>
      <c r="X22" s="307">
        <f t="shared" si="2"/>
        <v>0.30671557562076751</v>
      </c>
      <c r="Y22" s="307">
        <f t="shared" si="2"/>
        <v>9.6550867067614871E-2</v>
      </c>
      <c r="Z22" s="307">
        <f t="shared" si="2"/>
        <v>9.457015956939871E-2</v>
      </c>
      <c r="AA22" s="307">
        <f t="shared" si="2"/>
        <v>0.27081891580161477</v>
      </c>
      <c r="AB22" s="307">
        <f t="shared" si="2"/>
        <v>0.37682524729156852</v>
      </c>
      <c r="AC22" s="307">
        <f t="shared" si="2"/>
        <v>0.42729201037002124</v>
      </c>
      <c r="AD22" s="307">
        <f t="shared" si="2"/>
        <v>0.27084601339013997</v>
      </c>
      <c r="AE22" s="307">
        <f t="shared" si="2"/>
        <v>0.37701863354037268</v>
      </c>
      <c r="AF22" s="307">
        <f t="shared" si="2"/>
        <v>0.42922091341186197</v>
      </c>
      <c r="AG22" s="307">
        <f t="shared" ref="AG22" si="3">SUM(AG14:AG15)/AG21</f>
        <v>0.21505666486778197</v>
      </c>
      <c r="AH22" s="307">
        <f t="shared" ref="AH22" si="4">SUM(AH14:AH15)/AH21</f>
        <v>0.30074565037282519</v>
      </c>
      <c r="AI22" s="307">
        <f t="shared" ref="AI22" si="5">SUM(AI14:AI15)/AI21</f>
        <v>0.34085841694537344</v>
      </c>
      <c r="AJ22" s="307">
        <f t="shared" ref="AJ22" si="6">SUM(AJ14:AJ15)/AJ21</f>
        <v>0.34298908480268681</v>
      </c>
      <c r="AK22" s="307">
        <f t="shared" ref="AK22" si="7">SUM(AK14:AK15)/AK21</f>
        <v>0.45740094436460688</v>
      </c>
      <c r="AL22" s="307">
        <f t="shared" ref="AL22" si="8">SUM(AL14:AL15)/AL21</f>
        <v>0.50815053330650028</v>
      </c>
      <c r="AP22" s="212" t="s">
        <v>547</v>
      </c>
      <c r="AQ22" s="213"/>
      <c r="AR22" s="213"/>
      <c r="AS22" s="214">
        <f t="shared" ref="AS22:BG22" si="9">SUM(AS11:AS18)</f>
        <v>6903.5</v>
      </c>
      <c r="AT22" s="215">
        <f t="shared" si="9"/>
        <v>1714</v>
      </c>
      <c r="AU22" s="214">
        <f t="shared" si="9"/>
        <v>2750</v>
      </c>
      <c r="AV22" s="215">
        <f t="shared" si="9"/>
        <v>3860.0841045562024</v>
      </c>
      <c r="AW22" s="214">
        <f t="shared" si="9"/>
        <v>972.8054421504653</v>
      </c>
      <c r="AX22" s="215">
        <f t="shared" si="9"/>
        <v>1514.8823829441333</v>
      </c>
      <c r="AY22" s="214">
        <f t="shared" si="9"/>
        <v>1571.3251233283822</v>
      </c>
      <c r="AZ22" s="215">
        <f t="shared" si="9"/>
        <v>2309.9041515979698</v>
      </c>
      <c r="BA22" s="214">
        <f t="shared" si="9"/>
        <v>1811.5415291228112</v>
      </c>
      <c r="BB22" s="215">
        <f t="shared" si="9"/>
        <v>1314.9234928671474</v>
      </c>
      <c r="BC22" s="214">
        <f t="shared" si="9"/>
        <v>3843.0257345406899</v>
      </c>
      <c r="BD22" s="215">
        <f t="shared" si="9"/>
        <v>3556.3061734497819</v>
      </c>
      <c r="BE22" s="214">
        <f t="shared" si="9"/>
        <v>2430.9589839279429</v>
      </c>
      <c r="BF22" s="216">
        <f t="shared" si="9"/>
        <v>1571.5004353481777</v>
      </c>
      <c r="BG22" s="217">
        <f t="shared" si="9"/>
        <v>1571.3251233283822</v>
      </c>
    </row>
    <row r="23" spans="2:59" x14ac:dyDescent="0.25">
      <c r="B23" s="168" t="s">
        <v>433</v>
      </c>
      <c r="C23" s="168"/>
      <c r="D23" s="179">
        <v>103131</v>
      </c>
      <c r="E23" s="179">
        <v>40386</v>
      </c>
      <c r="F23" s="179">
        <v>21929</v>
      </c>
      <c r="G23" s="164"/>
      <c r="H23" s="164"/>
      <c r="I23" s="164"/>
      <c r="J23" s="164"/>
      <c r="K23" s="164"/>
      <c r="L23" s="173" t="s">
        <v>569</v>
      </c>
      <c r="M23" s="241"/>
      <c r="N23" s="241"/>
      <c r="O23" s="241"/>
      <c r="P23" s="241"/>
      <c r="Q23" s="241"/>
      <c r="R23" s="241"/>
      <c r="S23" s="241"/>
      <c r="T23" s="241"/>
      <c r="U23" s="242"/>
      <c r="V23" s="242"/>
      <c r="W23" s="242"/>
      <c r="X23" s="168"/>
      <c r="Y23" s="164"/>
    </row>
    <row r="24" spans="2:59" x14ac:dyDescent="0.25">
      <c r="B24" s="168" t="s">
        <v>432</v>
      </c>
      <c r="C24" s="168"/>
      <c r="D24" s="179">
        <v>87632</v>
      </c>
      <c r="E24" s="179">
        <v>21961</v>
      </c>
      <c r="F24" s="179">
        <v>15238</v>
      </c>
      <c r="G24" s="164"/>
      <c r="H24" s="164"/>
      <c r="I24" s="164"/>
      <c r="J24" s="164"/>
      <c r="K24" s="164"/>
      <c r="L24" s="168"/>
      <c r="M24" s="168"/>
      <c r="N24" s="168"/>
      <c r="O24" s="168"/>
      <c r="P24" s="168"/>
      <c r="Q24" s="311" t="s">
        <v>563</v>
      </c>
      <c r="R24" s="311" t="s">
        <v>564</v>
      </c>
      <c r="S24" s="311" t="s">
        <v>551</v>
      </c>
      <c r="T24" s="310" t="s">
        <v>290</v>
      </c>
      <c r="U24" s="310"/>
      <c r="V24" s="310" t="s">
        <v>291</v>
      </c>
      <c r="W24" s="310"/>
      <c r="X24" s="167" t="s">
        <v>455</v>
      </c>
      <c r="Y24" s="164"/>
      <c r="Z24" s="173" t="s">
        <v>550</v>
      </c>
      <c r="AA24" s="83"/>
      <c r="AB24" s="83"/>
      <c r="AC24" s="83"/>
      <c r="AD24" s="168"/>
      <c r="AE24" s="168"/>
      <c r="AF24" s="168"/>
      <c r="AG24" s="168"/>
      <c r="AH24" s="168"/>
    </row>
    <row r="25" spans="2:59" x14ac:dyDescent="0.25">
      <c r="L25" s="168"/>
      <c r="M25" s="168"/>
      <c r="N25" s="168"/>
      <c r="O25" s="168"/>
      <c r="P25" s="169" t="s">
        <v>456</v>
      </c>
      <c r="Q25" s="311"/>
      <c r="R25" s="311"/>
      <c r="S25" s="311"/>
      <c r="T25" s="243" t="s">
        <v>456</v>
      </c>
      <c r="U25" s="243" t="s">
        <v>311</v>
      </c>
      <c r="V25" s="243" t="s">
        <v>456</v>
      </c>
      <c r="W25" s="243" t="s">
        <v>311</v>
      </c>
      <c r="X25" s="167" t="s">
        <v>489</v>
      </c>
      <c r="Z25" s="173" t="s">
        <v>565</v>
      </c>
      <c r="AA25" s="168"/>
      <c r="AB25" s="168"/>
      <c r="AC25" s="167" t="s">
        <v>290</v>
      </c>
      <c r="AD25" s="167" t="s">
        <v>455</v>
      </c>
      <c r="AE25" s="101" t="s">
        <v>291</v>
      </c>
      <c r="AF25" s="101" t="s">
        <v>455</v>
      </c>
      <c r="AG25" s="167" t="s">
        <v>300</v>
      </c>
      <c r="AH25" s="167" t="s">
        <v>489</v>
      </c>
    </row>
    <row r="26" spans="2:59" outlineLevel="1" x14ac:dyDescent="0.25">
      <c r="B26" s="173" t="s">
        <v>482</v>
      </c>
      <c r="C26" s="173"/>
      <c r="D26" s="83" t="s">
        <v>488</v>
      </c>
      <c r="E26" s="168"/>
      <c r="F26" s="168"/>
      <c r="G26" s="168"/>
      <c r="H26" s="168"/>
      <c r="I26" s="168"/>
      <c r="J26" s="168"/>
      <c r="L26" s="168" t="s">
        <v>370</v>
      </c>
      <c r="M26" s="168"/>
      <c r="N26" s="168"/>
      <c r="O26" s="168"/>
      <c r="P26" s="185">
        <v>0.86</v>
      </c>
      <c r="Q26" s="187">
        <v>84300.800000000003</v>
      </c>
      <c r="R26" s="187">
        <v>2279</v>
      </c>
      <c r="S26" s="187">
        <f>SUM(Q26:R26)</f>
        <v>86579.8</v>
      </c>
      <c r="T26" s="186">
        <f>S26*X26*P26</f>
        <v>46200.229028142108</v>
      </c>
      <c r="U26" s="191">
        <f>T26/SUM(T$26:T$56)</f>
        <v>7.7600983612187147E-2</v>
      </c>
      <c r="V26" s="186">
        <f>S26*(1-X26)*P26</f>
        <v>28258.398971857892</v>
      </c>
      <c r="W26" s="191">
        <f>V26/SUM(V$26:V$56)</f>
        <v>0.2589516782516148</v>
      </c>
      <c r="X26" s="163">
        <f>$AH$27</f>
        <v>0.62048187388225995</v>
      </c>
      <c r="Z26" s="83" t="s">
        <v>487</v>
      </c>
      <c r="AA26" s="168"/>
      <c r="AB26" s="168"/>
      <c r="AC26" s="189">
        <f>SUM(AC27:AC30)</f>
        <v>332329.99870767561</v>
      </c>
      <c r="AD26" s="193">
        <f>AC26/(AC$26+AC$32)</f>
        <v>0.86121145432261814</v>
      </c>
      <c r="AE26" s="188">
        <f>SUM(AE27:AE30)</f>
        <v>203269.85149961221</v>
      </c>
      <c r="AF26" s="194">
        <f>AE26/(AE$26+AE$32)</f>
        <v>0.9805541436045544</v>
      </c>
      <c r="AG26" s="189">
        <f>SUM(AG27:AG30)</f>
        <v>535599.85020728782</v>
      </c>
      <c r="AH26" s="195"/>
    </row>
    <row r="27" spans="2:59" outlineLevel="1" x14ac:dyDescent="0.25">
      <c r="B27" s="173" t="s">
        <v>548</v>
      </c>
      <c r="C27" s="173"/>
      <c r="D27" s="167"/>
      <c r="E27" s="167" t="s">
        <v>456</v>
      </c>
      <c r="F27" s="101"/>
      <c r="G27" s="101" t="s">
        <v>456</v>
      </c>
      <c r="H27" s="167"/>
      <c r="I27" s="167" t="s">
        <v>455</v>
      </c>
      <c r="J27" s="101" t="s">
        <v>453</v>
      </c>
      <c r="L27" s="168" t="s">
        <v>404</v>
      </c>
      <c r="M27" s="168"/>
      <c r="N27" s="168"/>
      <c r="O27" s="168"/>
      <c r="P27" s="185">
        <v>0.86</v>
      </c>
      <c r="Q27" s="187">
        <v>92367.8</v>
      </c>
      <c r="R27" s="187">
        <v>1785</v>
      </c>
      <c r="S27" s="187">
        <f t="shared" ref="S27:S57" si="10">SUM(Q27:R27)</f>
        <v>94152.8</v>
      </c>
      <c r="T27" s="186">
        <f t="shared" ref="T27:T57" si="11">S27*X27*P27</f>
        <v>50241.290966725013</v>
      </c>
      <c r="U27" s="191">
        <f t="shared" ref="U27:U56" si="12">T27/SUM(T$26:T$56)</f>
        <v>8.4388620554003743E-2</v>
      </c>
      <c r="V27" s="186">
        <f t="shared" ref="V27:V57" si="13">S27*(1-X27)*P27</f>
        <v>30730.117033274986</v>
      </c>
      <c r="W27" s="191">
        <f t="shared" ref="W27:W56" si="14">V27/SUM(V$26:V$56)</f>
        <v>0.28160177745950715</v>
      </c>
      <c r="X27" s="163">
        <f>$AH$27</f>
        <v>0.62048187388225995</v>
      </c>
      <c r="Z27" s="168" t="s">
        <v>481</v>
      </c>
      <c r="AA27" s="168"/>
      <c r="AB27" s="168"/>
      <c r="AC27" s="187">
        <f>AG27*AH27</f>
        <v>77812.622155690507</v>
      </c>
      <c r="AD27" s="190">
        <f>AC27/SUM(AC$27:AC$30)</f>
        <v>0.23414263671133737</v>
      </c>
      <c r="AE27" s="186">
        <f>AG27-AC27</f>
        <v>47594.138994041161</v>
      </c>
      <c r="AF27" s="191">
        <f>AE27/SUM(AE$27:AE$30)</f>
        <v>0.2341426367113372</v>
      </c>
      <c r="AG27" s="187">
        <v>125406.76114973167</v>
      </c>
      <c r="AH27" s="192">
        <v>0.62048187388225995</v>
      </c>
    </row>
    <row r="28" spans="2:59" outlineLevel="1" x14ac:dyDescent="0.25">
      <c r="B28" s="83" t="s">
        <v>438</v>
      </c>
      <c r="C28" s="169" t="s">
        <v>456</v>
      </c>
      <c r="D28" s="167" t="s">
        <v>290</v>
      </c>
      <c r="E28" s="167" t="s">
        <v>455</v>
      </c>
      <c r="F28" s="101" t="s">
        <v>291</v>
      </c>
      <c r="G28" s="101" t="s">
        <v>455</v>
      </c>
      <c r="H28" s="167" t="s">
        <v>300</v>
      </c>
      <c r="I28" s="167" t="s">
        <v>489</v>
      </c>
      <c r="J28" s="101" t="s">
        <v>454</v>
      </c>
      <c r="L28" s="168" t="s">
        <v>435</v>
      </c>
      <c r="M28" s="168"/>
      <c r="N28" s="168"/>
      <c r="O28" s="168"/>
      <c r="P28" s="185">
        <v>0.86</v>
      </c>
      <c r="Q28" s="187">
        <v>31831.5</v>
      </c>
      <c r="R28" s="187">
        <v>0</v>
      </c>
      <c r="S28" s="187">
        <f t="shared" si="10"/>
        <v>31831.5</v>
      </c>
      <c r="T28" s="186">
        <f t="shared" si="11"/>
        <v>16985.747140895513</v>
      </c>
      <c r="U28" s="191">
        <f t="shared" si="12"/>
        <v>2.8530392884383367E-2</v>
      </c>
      <c r="V28" s="186">
        <f t="shared" si="13"/>
        <v>10389.342859104483</v>
      </c>
      <c r="W28" s="191">
        <f t="shared" si="14"/>
        <v>9.5204890127561809E-2</v>
      </c>
      <c r="X28" s="163">
        <f>$AH$27</f>
        <v>0.62048187388225995</v>
      </c>
      <c r="Z28" s="168" t="s">
        <v>478</v>
      </c>
      <c r="AA28" s="168"/>
      <c r="AB28" s="168"/>
      <c r="AC28" s="187">
        <f>AG28*AH28</f>
        <v>61792.549779753324</v>
      </c>
      <c r="AD28" s="190">
        <f>AC28/SUM(AC$27:AC$30)</f>
        <v>0.18593732139754057</v>
      </c>
      <c r="AE28" s="186">
        <f>AG28-AC28</f>
        <v>37795.451708713757</v>
      </c>
      <c r="AF28" s="191">
        <f>AE28/SUM(AE$27:AE$30)</f>
        <v>0.18593732139754066</v>
      </c>
      <c r="AG28" s="187">
        <v>99588.001488467082</v>
      </c>
      <c r="AH28" s="192">
        <v>0.62048187388225973</v>
      </c>
    </row>
    <row r="29" spans="2:59" outlineLevel="1" x14ac:dyDescent="0.25">
      <c r="B29" s="168" t="s">
        <v>439</v>
      </c>
      <c r="C29" s="185">
        <v>0.86</v>
      </c>
      <c r="D29" s="92">
        <f>H29*I29</f>
        <v>8000.2142902474725</v>
      </c>
      <c r="E29" s="170">
        <f>D29*$C29/SUMPRODUCT(D$29:D$49,$C$29:$C$49)</f>
        <v>1.0523812255528259E-2</v>
      </c>
      <c r="F29" s="171">
        <f>H29-D29</f>
        <v>631.319043085864</v>
      </c>
      <c r="G29" s="172">
        <f t="shared" ref="G29:G49" si="15">F29*$C29/SUMPRODUCT(F$29:F$49,$C$29:$C$49)</f>
        <v>4.6480203269391104E-3</v>
      </c>
      <c r="H29" s="92">
        <v>8631.5333333333365</v>
      </c>
      <c r="I29" s="180">
        <v>0.92685899263716798</v>
      </c>
      <c r="J29" s="172">
        <v>0.27270318402958632</v>
      </c>
      <c r="L29" s="168" t="s">
        <v>477</v>
      </c>
      <c r="M29" s="168"/>
      <c r="N29" s="168"/>
      <c r="O29" s="168"/>
      <c r="P29" s="185">
        <v>0.86</v>
      </c>
      <c r="Q29" s="187">
        <v>11430.7</v>
      </c>
      <c r="R29" s="187">
        <v>0</v>
      </c>
      <c r="S29" s="187">
        <f t="shared" si="10"/>
        <v>11430.7</v>
      </c>
      <c r="T29" s="186">
        <f t="shared" si="11"/>
        <v>6099.5862539759164</v>
      </c>
      <c r="U29" s="191">
        <f t="shared" si="12"/>
        <v>1.0245271568839703E-2</v>
      </c>
      <c r="V29" s="186">
        <f t="shared" si="13"/>
        <v>3730.8157460240845</v>
      </c>
      <c r="W29" s="191">
        <f t="shared" si="14"/>
        <v>3.4188101018837347E-2</v>
      </c>
      <c r="X29" s="163">
        <f>$AH$27</f>
        <v>0.62048187388225995</v>
      </c>
      <c r="Z29" s="168" t="s">
        <v>480</v>
      </c>
      <c r="AA29" s="168"/>
      <c r="AB29" s="168"/>
      <c r="AC29" s="187">
        <f>AG29*AH29</f>
        <v>159717.72580047889</v>
      </c>
      <c r="AD29" s="190">
        <f>AC29/SUM(AC$27:AC$30)</f>
        <v>0.48059978461640451</v>
      </c>
      <c r="AE29" s="186">
        <f>AG29-AC29</f>
        <v>97691.446849722182</v>
      </c>
      <c r="AF29" s="191">
        <f>AE29/SUM(AE$27:AE$30)</f>
        <v>0.48059978461640462</v>
      </c>
      <c r="AG29" s="187">
        <v>257409.17265020107</v>
      </c>
      <c r="AH29" s="192">
        <v>0.62048187388225973</v>
      </c>
    </row>
    <row r="30" spans="2:59" outlineLevel="1" x14ac:dyDescent="0.25">
      <c r="B30" s="168" t="s">
        <v>481</v>
      </c>
      <c r="C30" s="185">
        <v>0.86</v>
      </c>
      <c r="D30" s="92">
        <f t="shared" ref="D30:D35" si="16">H30*I30</f>
        <v>38739.785795838885</v>
      </c>
      <c r="E30" s="170">
        <f t="shared" ref="E30:E49" si="17">D30*C30/SUMPRODUCT(D$29:D$49,$C$29:$C$49)</f>
        <v>5.0959914040274737E-2</v>
      </c>
      <c r="F30" s="171">
        <f t="shared" ref="F30:F35" si="18">H30-D30</f>
        <v>23695.214204161115</v>
      </c>
      <c r="G30" s="172">
        <f t="shared" si="15"/>
        <v>0.17445353261288826</v>
      </c>
      <c r="H30" s="92">
        <v>62435</v>
      </c>
      <c r="I30" s="180">
        <v>0.62048187388225973</v>
      </c>
      <c r="J30" s="172">
        <v>0</v>
      </c>
      <c r="L30" s="168" t="s">
        <v>463</v>
      </c>
      <c r="M30" s="168"/>
      <c r="N30" s="168"/>
      <c r="O30" s="168"/>
      <c r="P30" s="185">
        <v>0.86</v>
      </c>
      <c r="Q30" s="187">
        <v>707</v>
      </c>
      <c r="R30" s="187">
        <v>0</v>
      </c>
      <c r="S30" s="187">
        <f t="shared" si="10"/>
        <v>707</v>
      </c>
      <c r="T30" s="186">
        <f t="shared" si="11"/>
        <v>377.26538895789167</v>
      </c>
      <c r="U30" s="191">
        <f t="shared" si="12"/>
        <v>6.3368008951067466E-4</v>
      </c>
      <c r="V30" s="186">
        <f t="shared" si="13"/>
        <v>230.75461104210834</v>
      </c>
      <c r="W30" s="191">
        <f t="shared" si="14"/>
        <v>2.1145675610695761E-3</v>
      </c>
      <c r="X30" s="163">
        <f>$AH$27</f>
        <v>0.62048187388225995</v>
      </c>
      <c r="Z30" s="168" t="s">
        <v>479</v>
      </c>
      <c r="AA30" s="168"/>
      <c r="AB30" s="168"/>
      <c r="AC30" s="187">
        <f>AG30*AH30</f>
        <v>33007.100971752872</v>
      </c>
      <c r="AD30" s="190">
        <f>AC30/SUM(AC$27:AC$30)</f>
        <v>9.9320257274717494E-2</v>
      </c>
      <c r="AE30" s="186">
        <f>AG30-AC30</f>
        <v>20188.81394713511</v>
      </c>
      <c r="AF30" s="191">
        <f>AE30/SUM(AE$27:AE$30)</f>
        <v>9.9320257274717522E-2</v>
      </c>
      <c r="AG30" s="187">
        <v>53195.914918887982</v>
      </c>
      <c r="AH30" s="192">
        <v>0.62048187388225973</v>
      </c>
    </row>
    <row r="31" spans="2:59" outlineLevel="1" x14ac:dyDescent="0.25">
      <c r="B31" s="168" t="s">
        <v>478</v>
      </c>
      <c r="C31" s="185">
        <v>0.86</v>
      </c>
      <c r="D31" s="92">
        <f t="shared" si="16"/>
        <v>21059.030703189121</v>
      </c>
      <c r="E31" s="170">
        <f t="shared" si="17"/>
        <v>2.7701918644095731E-2</v>
      </c>
      <c r="F31" s="171">
        <f t="shared" si="18"/>
        <v>12880.769296810882</v>
      </c>
      <c r="G31" s="172">
        <f t="shared" si="15"/>
        <v>9.4833314746134476E-2</v>
      </c>
      <c r="H31" s="92">
        <v>33939.800000000003</v>
      </c>
      <c r="I31" s="180">
        <v>0.62048187388225973</v>
      </c>
      <c r="J31" s="172">
        <v>0</v>
      </c>
      <c r="L31" s="168" t="s">
        <v>464</v>
      </c>
      <c r="M31" s="168"/>
      <c r="N31" s="168"/>
      <c r="O31" s="168"/>
      <c r="P31" s="185">
        <v>0.86</v>
      </c>
      <c r="Q31" s="187">
        <v>16116.5</v>
      </c>
      <c r="R31" s="187">
        <v>537</v>
      </c>
      <c r="S31" s="187">
        <f t="shared" si="10"/>
        <v>16653.5</v>
      </c>
      <c r="T31" s="186">
        <f t="shared" si="11"/>
        <v>13319.469300000001</v>
      </c>
      <c r="U31" s="191">
        <f t="shared" si="12"/>
        <v>2.2372268289898023E-2</v>
      </c>
      <c r="V31" s="186">
        <f t="shared" si="13"/>
        <v>1002.5406999999993</v>
      </c>
      <c r="W31" s="191">
        <f t="shared" si="14"/>
        <v>9.1869888679500123E-3</v>
      </c>
      <c r="X31" s="163">
        <f t="shared" ref="X31:X57" si="19">$AH$33</f>
        <v>0.93</v>
      </c>
      <c r="Z31" s="168"/>
      <c r="AA31" s="168"/>
      <c r="AB31" s="168"/>
      <c r="AC31" s="187"/>
      <c r="AD31" s="190"/>
      <c r="AE31" s="186"/>
      <c r="AF31" s="191"/>
      <c r="AG31" s="187"/>
      <c r="AH31" s="192"/>
    </row>
    <row r="32" spans="2:59" outlineLevel="2" x14ac:dyDescent="0.25">
      <c r="B32" s="168" t="s">
        <v>480</v>
      </c>
      <c r="C32" s="185">
        <v>0.86</v>
      </c>
      <c r="D32" s="92">
        <f t="shared" si="16"/>
        <v>68413.87639421731</v>
      </c>
      <c r="E32" s="170">
        <f t="shared" si="17"/>
        <v>8.9994438239402258E-2</v>
      </c>
      <c r="F32" s="171">
        <f t="shared" si="18"/>
        <v>41845.390272449687</v>
      </c>
      <c r="G32" s="172">
        <f t="shared" si="15"/>
        <v>0.30808230276778314</v>
      </c>
      <c r="H32" s="92">
        <v>110259.266666667</v>
      </c>
      <c r="I32" s="180">
        <v>0.62048187388225973</v>
      </c>
      <c r="J32" s="172">
        <v>0</v>
      </c>
      <c r="L32" s="168" t="s">
        <v>434</v>
      </c>
      <c r="M32" s="168"/>
      <c r="N32" s="168"/>
      <c r="O32" s="168"/>
      <c r="P32" s="185">
        <v>0.85</v>
      </c>
      <c r="Q32" s="187">
        <v>2047.3</v>
      </c>
      <c r="R32" s="187">
        <v>586</v>
      </c>
      <c r="S32" s="187">
        <f t="shared" si="10"/>
        <v>2633.3</v>
      </c>
      <c r="T32" s="186">
        <f t="shared" si="11"/>
        <v>2081.6236500000005</v>
      </c>
      <c r="U32" s="191">
        <f t="shared" si="12"/>
        <v>3.4964338088452809E-3</v>
      </c>
      <c r="V32" s="186">
        <f t="shared" si="13"/>
        <v>156.6813499999999</v>
      </c>
      <c r="W32" s="191">
        <f t="shared" si="14"/>
        <v>1.4357819271231379E-3</v>
      </c>
      <c r="X32" s="163">
        <f t="shared" si="19"/>
        <v>0.93</v>
      </c>
      <c r="Z32" s="83" t="s">
        <v>486</v>
      </c>
      <c r="AA32" s="168"/>
      <c r="AB32" s="168"/>
      <c r="AC32" s="189">
        <f>SUM(AC33:AC34)</f>
        <v>53556.646249999976</v>
      </c>
      <c r="AD32" s="193">
        <f>AC32/(AC$26+AC$32)</f>
        <v>0.1387885456773818</v>
      </c>
      <c r="AE32" s="188">
        <f>SUM(AE33:AE34)</f>
        <v>4031.1454166666626</v>
      </c>
      <c r="AF32" s="194">
        <f>AE32/(AE$26+AE$32)</f>
        <v>1.9445856395445563E-2</v>
      </c>
      <c r="AG32" s="189">
        <f>SUM(AG33:AG34)</f>
        <v>57587.791666666642</v>
      </c>
      <c r="AH32" s="195"/>
    </row>
    <row r="33" spans="2:34" outlineLevel="2" x14ac:dyDescent="0.25">
      <c r="B33" s="168" t="s">
        <v>479</v>
      </c>
      <c r="C33" s="185">
        <v>0.86</v>
      </c>
      <c r="D33" s="92">
        <f t="shared" si="16"/>
        <v>14138.341343739448</v>
      </c>
      <c r="E33" s="170">
        <f t="shared" si="17"/>
        <v>1.8598158062774157E-2</v>
      </c>
      <c r="F33" s="171">
        <f t="shared" si="18"/>
        <v>8647.7253229272501</v>
      </c>
      <c r="G33" s="172">
        <f t="shared" si="15"/>
        <v>6.3667971880400173E-2</v>
      </c>
      <c r="H33" s="92">
        <v>22786.066666666698</v>
      </c>
      <c r="I33" s="180">
        <v>0.62048187388225973</v>
      </c>
      <c r="J33" s="172">
        <v>0</v>
      </c>
      <c r="L33" s="168" t="s">
        <v>467</v>
      </c>
      <c r="M33" s="168"/>
      <c r="N33" s="168"/>
      <c r="O33" s="168"/>
      <c r="P33" s="185">
        <v>0.85</v>
      </c>
      <c r="Q33" s="187">
        <v>9008.7999999999993</v>
      </c>
      <c r="R33" s="187">
        <v>40</v>
      </c>
      <c r="S33" s="187">
        <f t="shared" si="10"/>
        <v>9048.7999999999993</v>
      </c>
      <c r="T33" s="186">
        <f t="shared" si="11"/>
        <v>7153.0763999999999</v>
      </c>
      <c r="U33" s="191">
        <f t="shared" si="12"/>
        <v>1.2014783826179763E-2</v>
      </c>
      <c r="V33" s="186">
        <f t="shared" si="13"/>
        <v>538.40359999999953</v>
      </c>
      <c r="W33" s="191">
        <f t="shared" si="14"/>
        <v>4.9337726435088472E-3</v>
      </c>
      <c r="X33" s="163">
        <f t="shared" si="19"/>
        <v>0.93</v>
      </c>
      <c r="Z33" s="168" t="s">
        <v>483</v>
      </c>
      <c r="AA33" s="168"/>
      <c r="AB33" s="168"/>
      <c r="AC33" s="187">
        <f>AG33*AH33</f>
        <v>27475.937049999968</v>
      </c>
      <c r="AD33" s="190">
        <f>AC33/SUM(AC$33:AC$34)</f>
        <v>0.51302572087399856</v>
      </c>
      <c r="AE33" s="186">
        <f>AG33-AC33</f>
        <v>2068.0812833333293</v>
      </c>
      <c r="AF33" s="191">
        <f>AE33/SUM(AE$33:AE$34)</f>
        <v>0.51302572087399845</v>
      </c>
      <c r="AG33" s="187">
        <v>29544.018333333297</v>
      </c>
      <c r="AH33" s="192">
        <v>0.93</v>
      </c>
    </row>
    <row r="34" spans="2:34" outlineLevel="2" x14ac:dyDescent="0.25">
      <c r="B34" s="168" t="s">
        <v>483</v>
      </c>
      <c r="C34" s="185">
        <v>0.85</v>
      </c>
      <c r="D34" s="92">
        <f t="shared" si="16"/>
        <v>4095.4809354661024</v>
      </c>
      <c r="E34" s="170">
        <f t="shared" si="17"/>
        <v>5.3247209739873142E-3</v>
      </c>
      <c r="F34" s="171">
        <f t="shared" si="18"/>
        <v>323.18573120056726</v>
      </c>
      <c r="G34" s="172">
        <f t="shared" si="15"/>
        <v>2.3517534066013895E-3</v>
      </c>
      <c r="H34" s="92">
        <v>4418.6666666666697</v>
      </c>
      <c r="I34" s="180">
        <v>0.92685899263716798</v>
      </c>
      <c r="J34" s="172">
        <v>0</v>
      </c>
      <c r="L34" s="168" t="s">
        <v>469</v>
      </c>
      <c r="M34" s="168"/>
      <c r="N34" s="168"/>
      <c r="O34" s="168"/>
      <c r="P34" s="185">
        <v>0.91</v>
      </c>
      <c r="Q34" s="187">
        <v>40016.699999999997</v>
      </c>
      <c r="R34" s="187">
        <v>93785</v>
      </c>
      <c r="S34" s="187">
        <f t="shared" si="10"/>
        <v>133801.70000000001</v>
      </c>
      <c r="T34" s="186">
        <f t="shared" si="11"/>
        <v>113236.37871000002</v>
      </c>
      <c r="U34" s="191">
        <f t="shared" si="12"/>
        <v>0.19019936812922544</v>
      </c>
      <c r="V34" s="186">
        <f t="shared" si="13"/>
        <v>8523.168289999996</v>
      </c>
      <c r="W34" s="191">
        <f t="shared" si="14"/>
        <v>7.810381384007109E-2</v>
      </c>
      <c r="X34" s="163">
        <f t="shared" si="19"/>
        <v>0.93</v>
      </c>
      <c r="Z34" s="168" t="s">
        <v>484</v>
      </c>
      <c r="AA34" s="168"/>
      <c r="AB34" s="168"/>
      <c r="AC34" s="187">
        <f>AG34*AH34</f>
        <v>26080.709200000008</v>
      </c>
      <c r="AD34" s="190">
        <f>AC34/SUM(AC$33:AC$34)</f>
        <v>0.4869742791260015</v>
      </c>
      <c r="AE34" s="186">
        <f>AG34-AC34</f>
        <v>1963.0641333333333</v>
      </c>
      <c r="AF34" s="191">
        <f>AE34/SUM(AE$33:AE$34)</f>
        <v>0.48697427912600155</v>
      </c>
      <c r="AG34" s="187">
        <v>28043.773333333342</v>
      </c>
      <c r="AH34" s="192">
        <v>0.93</v>
      </c>
    </row>
    <row r="35" spans="2:34" outlineLevel="2" x14ac:dyDescent="0.25">
      <c r="B35" s="168" t="s">
        <v>484</v>
      </c>
      <c r="C35" s="185">
        <v>0.85</v>
      </c>
      <c r="D35" s="92">
        <f t="shared" si="16"/>
        <v>11613.017957647857</v>
      </c>
      <c r="E35" s="170">
        <f t="shared" si="17"/>
        <v>1.5098612657402435E-2</v>
      </c>
      <c r="F35" s="171">
        <f t="shared" si="18"/>
        <v>916.415375685443</v>
      </c>
      <c r="G35" s="172">
        <f t="shared" si="15"/>
        <v>6.6685585827817324E-3</v>
      </c>
      <c r="H35" s="92">
        <v>12529.4333333333</v>
      </c>
      <c r="I35" s="180">
        <v>0.92685899263716798</v>
      </c>
      <c r="J35" s="172">
        <v>0</v>
      </c>
      <c r="L35" s="168" t="s">
        <v>553</v>
      </c>
      <c r="M35" s="168"/>
      <c r="N35" s="168"/>
      <c r="O35" s="168"/>
      <c r="P35" s="185">
        <v>0.91</v>
      </c>
      <c r="Q35" s="187">
        <v>98.7</v>
      </c>
      <c r="R35" s="187">
        <v>0</v>
      </c>
      <c r="S35" s="187">
        <f t="shared" si="10"/>
        <v>98.7</v>
      </c>
      <c r="T35" s="186">
        <f t="shared" si="11"/>
        <v>83.529810000000012</v>
      </c>
      <c r="U35" s="191">
        <f t="shared" si="12"/>
        <v>1.403022355796268E-4</v>
      </c>
      <c r="V35" s="186">
        <f t="shared" si="13"/>
        <v>6.2871899999999963</v>
      </c>
      <c r="W35" s="191">
        <f t="shared" si="14"/>
        <v>5.7613964740470527E-5</v>
      </c>
      <c r="X35" s="163">
        <f t="shared" si="19"/>
        <v>0.93</v>
      </c>
    </row>
    <row r="36" spans="2:34" outlineLevel="2" x14ac:dyDescent="0.25">
      <c r="B36" s="168" t="s">
        <v>445</v>
      </c>
      <c r="C36" s="185">
        <v>0.93</v>
      </c>
      <c r="D36" s="92">
        <f t="shared" ref="D36:D49" si="20">H36*I36</f>
        <v>125972.18626629541</v>
      </c>
      <c r="E36" s="170">
        <f t="shared" si="17"/>
        <v>0.17919695914371556</v>
      </c>
      <c r="F36" s="171">
        <f t="shared" ref="F36:F49" si="21">H36-D36</f>
        <v>9940.8137337045919</v>
      </c>
      <c r="G36" s="172">
        <f t="shared" si="15"/>
        <v>7.914537891799911E-2</v>
      </c>
      <c r="H36" s="92">
        <v>135913</v>
      </c>
      <c r="I36" s="180">
        <v>0.92685899263716798</v>
      </c>
      <c r="J36" s="172">
        <v>0.19883912083302038</v>
      </c>
      <c r="L36" s="168" t="s">
        <v>473</v>
      </c>
      <c r="M36" s="168"/>
      <c r="N36" s="168"/>
      <c r="O36" s="168"/>
      <c r="P36" s="185">
        <v>1</v>
      </c>
      <c r="Q36" s="187">
        <v>2126.8000000000002</v>
      </c>
      <c r="R36" s="187">
        <v>192</v>
      </c>
      <c r="S36" s="187">
        <f t="shared" si="10"/>
        <v>2318.8000000000002</v>
      </c>
      <c r="T36" s="186">
        <f t="shared" si="11"/>
        <v>2156.4840000000004</v>
      </c>
      <c r="U36" s="191">
        <f t="shared" si="12"/>
        <v>3.6221742416473347E-3</v>
      </c>
      <c r="V36" s="186">
        <f t="shared" si="13"/>
        <v>162.31599999999989</v>
      </c>
      <c r="W36" s="191">
        <f t="shared" si="14"/>
        <v>1.4874162067337257E-3</v>
      </c>
      <c r="X36" s="163">
        <f t="shared" si="19"/>
        <v>0.93</v>
      </c>
    </row>
    <row r="37" spans="2:34" outlineLevel="2" x14ac:dyDescent="0.25">
      <c r="B37" s="168" t="s">
        <v>440</v>
      </c>
      <c r="C37" s="185">
        <v>0.9</v>
      </c>
      <c r="D37" s="92">
        <f t="shared" si="20"/>
        <v>36603.206384229525</v>
      </c>
      <c r="E37" s="170">
        <f t="shared" si="17"/>
        <v>5.0388874796215039E-2</v>
      </c>
      <c r="F37" s="171">
        <f t="shared" si="21"/>
        <v>2888.4602824371759</v>
      </c>
      <c r="G37" s="172">
        <f t="shared" si="15"/>
        <v>2.2255101917213038E-2</v>
      </c>
      <c r="H37" s="92">
        <v>39491.666666666701</v>
      </c>
      <c r="I37" s="180">
        <v>0.92685899263716798</v>
      </c>
      <c r="J37" s="172">
        <v>0</v>
      </c>
      <c r="L37" s="168" t="s">
        <v>466</v>
      </c>
      <c r="M37" s="168"/>
      <c r="N37" s="168"/>
      <c r="O37" s="168"/>
      <c r="P37" s="185">
        <v>0.87</v>
      </c>
      <c r="Q37" s="187">
        <v>0</v>
      </c>
      <c r="R37" s="187">
        <v>2604.6</v>
      </c>
      <c r="S37" s="187">
        <f t="shared" si="10"/>
        <v>2604.6</v>
      </c>
      <c r="T37" s="186">
        <f t="shared" si="11"/>
        <v>2107.3818600000004</v>
      </c>
      <c r="U37" s="191">
        <f t="shared" si="12"/>
        <v>3.5396990149738415E-3</v>
      </c>
      <c r="V37" s="186">
        <f t="shared" si="13"/>
        <v>158.62013999999988</v>
      </c>
      <c r="W37" s="191">
        <f t="shared" si="14"/>
        <v>1.4535484299167828E-3</v>
      </c>
      <c r="X37" s="163">
        <f t="shared" si="19"/>
        <v>0.93</v>
      </c>
      <c r="Y37" s="26"/>
      <c r="AA37" s="26"/>
      <c r="AD37" s="26"/>
      <c r="AE37" s="26"/>
      <c r="AF37" s="65"/>
    </row>
    <row r="38" spans="2:34" outlineLevel="2" x14ac:dyDescent="0.25">
      <c r="B38" s="168" t="s">
        <v>441</v>
      </c>
      <c r="C38" s="185">
        <v>0.87</v>
      </c>
      <c r="D38" s="92">
        <f t="shared" si="20"/>
        <v>90204.110729731736</v>
      </c>
      <c r="E38" s="170">
        <f t="shared" si="17"/>
        <v>0.12003795899244715</v>
      </c>
      <c r="F38" s="171">
        <f t="shared" si="21"/>
        <v>7118.2559369349037</v>
      </c>
      <c r="G38" s="172">
        <f t="shared" si="15"/>
        <v>5.3016802262705415E-2</v>
      </c>
      <c r="H38" s="92">
        <v>97322.36666666664</v>
      </c>
      <c r="I38" s="180">
        <v>0.92685899263716798</v>
      </c>
      <c r="J38" s="172">
        <v>0</v>
      </c>
      <c r="L38" s="168" t="s">
        <v>468</v>
      </c>
      <c r="M38" s="168"/>
      <c r="N38" s="168"/>
      <c r="O38" s="168"/>
      <c r="P38" s="185">
        <v>0.875</v>
      </c>
      <c r="Q38" s="187">
        <v>6226.3</v>
      </c>
      <c r="R38" s="187">
        <v>17429.8</v>
      </c>
      <c r="S38" s="187">
        <f t="shared" si="10"/>
        <v>23656.1</v>
      </c>
      <c r="T38" s="186">
        <f t="shared" si="11"/>
        <v>19250.151374999998</v>
      </c>
      <c r="U38" s="191">
        <f t="shared" si="12"/>
        <v>3.2333837143394988E-2</v>
      </c>
      <c r="V38" s="186">
        <f t="shared" si="13"/>
        <v>1448.9361249999988</v>
      </c>
      <c r="W38" s="191">
        <f t="shared" si="14"/>
        <v>1.3277625587415678E-2</v>
      </c>
      <c r="X38" s="163">
        <f t="shared" si="19"/>
        <v>0.93</v>
      </c>
      <c r="AD38" s="12"/>
      <c r="AE38" s="26"/>
      <c r="AF38" s="65"/>
    </row>
    <row r="39" spans="2:34" outlineLevel="2" x14ac:dyDescent="0.25">
      <c r="B39" s="168" t="s">
        <v>442</v>
      </c>
      <c r="C39" s="185">
        <v>0.91</v>
      </c>
      <c r="D39" s="92">
        <f t="shared" si="20"/>
        <v>29382.974831585889</v>
      </c>
      <c r="E39" s="170">
        <f t="shared" si="17"/>
        <v>4.0898763293892797E-2</v>
      </c>
      <c r="F39" s="171">
        <f t="shared" si="21"/>
        <v>2318.69183508071</v>
      </c>
      <c r="G39" s="172">
        <f t="shared" si="15"/>
        <v>1.8063633075250322E-2</v>
      </c>
      <c r="H39" s="92">
        <v>31701.666666666599</v>
      </c>
      <c r="I39" s="180">
        <v>0.92685899263716798</v>
      </c>
      <c r="J39" s="172">
        <v>1</v>
      </c>
      <c r="L39" s="168" t="s">
        <v>554</v>
      </c>
      <c r="M39" s="168"/>
      <c r="N39" s="168"/>
      <c r="O39" s="168"/>
      <c r="P39" s="185">
        <v>0.87</v>
      </c>
      <c r="Q39" s="187">
        <v>0</v>
      </c>
      <c r="R39" s="187">
        <v>0</v>
      </c>
      <c r="S39" s="187">
        <f t="shared" si="10"/>
        <v>0</v>
      </c>
      <c r="T39" s="186">
        <f t="shared" si="11"/>
        <v>0</v>
      </c>
      <c r="U39" s="191">
        <f t="shared" si="12"/>
        <v>0</v>
      </c>
      <c r="V39" s="186">
        <f t="shared" si="13"/>
        <v>0</v>
      </c>
      <c r="W39" s="191">
        <f t="shared" si="14"/>
        <v>0</v>
      </c>
      <c r="X39" s="163">
        <f t="shared" si="19"/>
        <v>0.93</v>
      </c>
      <c r="AB39" s="12"/>
      <c r="AC39" s="12"/>
      <c r="AD39" s="12"/>
      <c r="AE39" s="26"/>
      <c r="AF39" s="65"/>
    </row>
    <row r="40" spans="2:34" outlineLevel="2" x14ac:dyDescent="0.25">
      <c r="B40" s="168" t="s">
        <v>443</v>
      </c>
      <c r="C40" s="185">
        <v>0.87</v>
      </c>
      <c r="D40" s="92">
        <f t="shared" si="20"/>
        <v>15543.487097124786</v>
      </c>
      <c r="E40" s="170">
        <f t="shared" si="17"/>
        <v>2.0684295334994267E-2</v>
      </c>
      <c r="F40" s="171">
        <f t="shared" si="21"/>
        <v>1226.5795695418474</v>
      </c>
      <c r="G40" s="172">
        <f t="shared" si="15"/>
        <v>9.1355701556687548E-3</v>
      </c>
      <c r="H40" s="92">
        <v>16770.066666666633</v>
      </c>
      <c r="I40" s="180">
        <v>0.92685899263716798</v>
      </c>
      <c r="J40" s="172">
        <v>1</v>
      </c>
      <c r="L40" s="168" t="s">
        <v>405</v>
      </c>
      <c r="M40" s="168"/>
      <c r="N40" s="168"/>
      <c r="O40" s="168"/>
      <c r="P40" s="185">
        <v>0.89500000000000002</v>
      </c>
      <c r="Q40" s="187">
        <v>143785.1</v>
      </c>
      <c r="R40" s="187">
        <v>34843</v>
      </c>
      <c r="S40" s="187">
        <f t="shared" si="10"/>
        <v>178628.1</v>
      </c>
      <c r="T40" s="186">
        <f t="shared" si="11"/>
        <v>148681.09903499999</v>
      </c>
      <c r="U40" s="191">
        <f t="shared" si="12"/>
        <v>0.2497346825408365</v>
      </c>
      <c r="V40" s="186">
        <f t="shared" si="13"/>
        <v>11191.050464999993</v>
      </c>
      <c r="W40" s="191">
        <f t="shared" si="14"/>
        <v>0.1025515034378373</v>
      </c>
      <c r="X40" s="163">
        <f t="shared" si="19"/>
        <v>0.93</v>
      </c>
      <c r="AB40" s="12"/>
      <c r="AC40" s="12"/>
      <c r="AD40" s="12"/>
      <c r="AE40" s="26"/>
      <c r="AF40" s="65"/>
    </row>
    <row r="41" spans="2:34" outlineLevel="2" x14ac:dyDescent="0.25">
      <c r="B41" s="168" t="s">
        <v>444</v>
      </c>
      <c r="C41" s="185">
        <v>0.87</v>
      </c>
      <c r="D41" s="92">
        <f t="shared" si="20"/>
        <v>39489.568868500683</v>
      </c>
      <c r="E41" s="170">
        <f t="shared" si="17"/>
        <v>5.2550235350905056E-2</v>
      </c>
      <c r="F41" s="171">
        <f t="shared" si="21"/>
        <v>3116.2311314993494</v>
      </c>
      <c r="G41" s="172">
        <f t="shared" si="15"/>
        <v>2.320970349581554E-2</v>
      </c>
      <c r="H41" s="92">
        <v>42605.800000000032</v>
      </c>
      <c r="I41" s="180">
        <v>0.92685899263716798</v>
      </c>
      <c r="J41" s="172">
        <v>1</v>
      </c>
      <c r="L41" s="168" t="s">
        <v>470</v>
      </c>
      <c r="M41" s="168"/>
      <c r="N41" s="168"/>
      <c r="O41" s="168"/>
      <c r="P41" s="185">
        <v>0.91</v>
      </c>
      <c r="Q41" s="187">
        <v>1937.9</v>
      </c>
      <c r="R41" s="187">
        <v>489</v>
      </c>
      <c r="S41" s="187">
        <f t="shared" si="10"/>
        <v>2426.9</v>
      </c>
      <c r="T41" s="186">
        <f t="shared" si="11"/>
        <v>2053.8854700000002</v>
      </c>
      <c r="U41" s="191">
        <f t="shared" si="12"/>
        <v>3.4498429131529511E-3</v>
      </c>
      <c r="V41" s="186">
        <f t="shared" si="13"/>
        <v>154.5935299999999</v>
      </c>
      <c r="W41" s="191">
        <f t="shared" si="14"/>
        <v>1.4166497571291583E-3</v>
      </c>
      <c r="X41" s="163">
        <f t="shared" si="19"/>
        <v>0.93</v>
      </c>
      <c r="AB41" s="12"/>
      <c r="AC41" s="12"/>
      <c r="AD41" s="12"/>
      <c r="AE41" s="26"/>
      <c r="AF41" s="65"/>
    </row>
    <row r="42" spans="2:34" outlineLevel="2" x14ac:dyDescent="0.25">
      <c r="B42" s="168" t="s">
        <v>446</v>
      </c>
      <c r="C42" s="185">
        <v>0.9</v>
      </c>
      <c r="D42" s="92">
        <f t="shared" si="20"/>
        <v>103581.4047798645</v>
      </c>
      <c r="E42" s="170">
        <f t="shared" si="17"/>
        <v>0.14259271119257511</v>
      </c>
      <c r="F42" s="171">
        <f t="shared" si="21"/>
        <v>8173.8952201354987</v>
      </c>
      <c r="G42" s="172">
        <f t="shared" si="15"/>
        <v>6.297849144432284E-2</v>
      </c>
      <c r="H42" s="92">
        <v>111755.3</v>
      </c>
      <c r="I42" s="180">
        <v>0.92685899263716798</v>
      </c>
      <c r="J42" s="172">
        <v>0.60570716705655525</v>
      </c>
      <c r="L42" s="168" t="s">
        <v>465</v>
      </c>
      <c r="M42" s="168"/>
      <c r="N42" s="168"/>
      <c r="O42" s="168"/>
      <c r="P42" s="185">
        <v>0.91</v>
      </c>
      <c r="Q42" s="187">
        <v>1397.8</v>
      </c>
      <c r="R42" s="187">
        <v>14372</v>
      </c>
      <c r="S42" s="187">
        <f t="shared" si="10"/>
        <v>15769.8</v>
      </c>
      <c r="T42" s="186">
        <f t="shared" si="11"/>
        <v>13345.981740000001</v>
      </c>
      <c r="U42" s="191">
        <f t="shared" si="12"/>
        <v>2.2416800350998974E-2</v>
      </c>
      <c r="V42" s="186">
        <f t="shared" si="13"/>
        <v>1004.5362599999994</v>
      </c>
      <c r="W42" s="191">
        <f t="shared" si="14"/>
        <v>9.2052755943695247E-3</v>
      </c>
      <c r="X42" s="163">
        <f t="shared" si="19"/>
        <v>0.93</v>
      </c>
      <c r="AB42" s="12"/>
      <c r="AC42" s="12"/>
      <c r="AD42" s="12"/>
      <c r="AE42" s="26"/>
      <c r="AF42" s="65"/>
    </row>
    <row r="43" spans="2:34" outlineLevel="2" x14ac:dyDescent="0.25">
      <c r="B43" s="168" t="s">
        <v>447</v>
      </c>
      <c r="C43" s="185">
        <v>0.92</v>
      </c>
      <c r="D43" s="92">
        <f t="shared" si="20"/>
        <v>3649.7235506071347</v>
      </c>
      <c r="E43" s="170">
        <f t="shared" si="17"/>
        <v>5.1359503625540851E-3</v>
      </c>
      <c r="F43" s="171">
        <f t="shared" si="21"/>
        <v>288.0097827262025</v>
      </c>
      <c r="G43" s="172">
        <f t="shared" si="15"/>
        <v>2.2683796616346378E-3</v>
      </c>
      <c r="H43" s="92">
        <v>3937.7333333333372</v>
      </c>
      <c r="I43" s="180">
        <v>0.92685899263716798</v>
      </c>
      <c r="J43" s="172">
        <v>1</v>
      </c>
      <c r="L43" s="168" t="s">
        <v>471</v>
      </c>
      <c r="M43" s="168"/>
      <c r="N43" s="168"/>
      <c r="O43" s="168"/>
      <c r="P43" s="185">
        <v>0.9</v>
      </c>
      <c r="Q43" s="187">
        <v>3732.3</v>
      </c>
      <c r="R43" s="187">
        <v>1118</v>
      </c>
      <c r="S43" s="187">
        <f t="shared" si="10"/>
        <v>4850.3</v>
      </c>
      <c r="T43" s="186">
        <f t="shared" si="11"/>
        <v>4059.7011000000007</v>
      </c>
      <c r="U43" s="191">
        <f t="shared" si="12"/>
        <v>6.8189445195083057E-3</v>
      </c>
      <c r="V43" s="186">
        <f t="shared" si="13"/>
        <v>305.56889999999981</v>
      </c>
      <c r="W43" s="191">
        <f t="shared" si="14"/>
        <v>2.8001437574471846E-3</v>
      </c>
      <c r="X43" s="163">
        <f t="shared" si="19"/>
        <v>0.93</v>
      </c>
      <c r="AB43" s="12"/>
      <c r="AC43" s="12"/>
      <c r="AD43" s="12"/>
      <c r="AE43" s="26"/>
      <c r="AF43" s="65"/>
    </row>
    <row r="44" spans="2:34" outlineLevel="2" x14ac:dyDescent="0.25">
      <c r="B44" s="168" t="s">
        <v>451</v>
      </c>
      <c r="C44" s="185">
        <v>0.9</v>
      </c>
      <c r="D44" s="92">
        <f t="shared" si="20"/>
        <v>2313.4678513921531</v>
      </c>
      <c r="E44" s="170">
        <f t="shared" si="17"/>
        <v>3.1847767839020039E-3</v>
      </c>
      <c r="F44" s="171">
        <f t="shared" si="21"/>
        <v>182.56214860784985</v>
      </c>
      <c r="G44" s="172">
        <f t="shared" si="15"/>
        <v>1.4066107289745849E-3</v>
      </c>
      <c r="H44" s="92">
        <f>2773.36666666667*0.9</f>
        <v>2496.0300000000029</v>
      </c>
      <c r="I44" s="180">
        <v>0.92685899263716798</v>
      </c>
      <c r="J44" s="172">
        <v>0.40587012896078656</v>
      </c>
      <c r="L44" s="168" t="s">
        <v>410</v>
      </c>
      <c r="M44" s="168"/>
      <c r="N44" s="168"/>
      <c r="O44" s="168"/>
      <c r="P44" s="185">
        <v>0.87</v>
      </c>
      <c r="Q44" s="187">
        <v>54666.9</v>
      </c>
      <c r="R44" s="187">
        <v>0</v>
      </c>
      <c r="S44" s="187">
        <f t="shared" si="10"/>
        <v>54666.9</v>
      </c>
      <c r="T44" s="186">
        <f t="shared" si="11"/>
        <v>44230.988790000003</v>
      </c>
      <c r="U44" s="191">
        <f t="shared" si="12"/>
        <v>7.4293316471501752E-2</v>
      </c>
      <c r="V44" s="186">
        <f t="shared" si="13"/>
        <v>3329.2142099999978</v>
      </c>
      <c r="W44" s="191">
        <f t="shared" si="14"/>
        <v>3.0507942357144199E-2</v>
      </c>
      <c r="X44" s="163">
        <f t="shared" si="19"/>
        <v>0.93</v>
      </c>
      <c r="AB44" s="12"/>
      <c r="AC44" s="12"/>
      <c r="AD44" s="12"/>
      <c r="AE44" s="26"/>
      <c r="AF44" s="65"/>
    </row>
    <row r="45" spans="2:34" outlineLevel="2" x14ac:dyDescent="0.25">
      <c r="B45" s="168" t="s">
        <v>452</v>
      </c>
      <c r="C45" s="185">
        <v>0.9</v>
      </c>
      <c r="D45" s="92">
        <f t="shared" si="20"/>
        <v>257.05198348801702</v>
      </c>
      <c r="E45" s="170">
        <f t="shared" si="17"/>
        <v>3.5386408710022266E-4</v>
      </c>
      <c r="F45" s="171">
        <f t="shared" si="21"/>
        <v>20.284683178649971</v>
      </c>
      <c r="G45" s="172">
        <f t="shared" si="15"/>
        <v>1.5629008099717602E-4</v>
      </c>
      <c r="H45" s="92">
        <f>2773.36666666667*0.1</f>
        <v>277.33666666666699</v>
      </c>
      <c r="I45" s="180">
        <v>0.92685899263716798</v>
      </c>
      <c r="J45" s="172">
        <v>0.40587012896078656</v>
      </c>
      <c r="L45" s="168" t="s">
        <v>555</v>
      </c>
      <c r="M45" s="168"/>
      <c r="N45" s="168"/>
      <c r="O45" s="168"/>
      <c r="P45" s="185">
        <v>0.878</v>
      </c>
      <c r="Q45" s="187">
        <v>142</v>
      </c>
      <c r="R45" s="187">
        <v>0</v>
      </c>
      <c r="S45" s="187">
        <f t="shared" si="10"/>
        <v>142</v>
      </c>
      <c r="T45" s="186">
        <f t="shared" si="11"/>
        <v>115.94868</v>
      </c>
      <c r="U45" s="191">
        <f t="shared" si="12"/>
        <v>1.9475513013266472E-4</v>
      </c>
      <c r="V45" s="186">
        <f t="shared" si="13"/>
        <v>8.7273199999999935</v>
      </c>
      <c r="W45" s="191">
        <f t="shared" si="14"/>
        <v>7.9974600220257885E-5</v>
      </c>
      <c r="X45" s="163">
        <f t="shared" si="19"/>
        <v>0.93</v>
      </c>
      <c r="AB45" s="12"/>
      <c r="AC45" s="12"/>
      <c r="AD45" s="12"/>
      <c r="AE45" s="26"/>
      <c r="AF45" s="65"/>
    </row>
    <row r="46" spans="2:34" outlineLevel="2" x14ac:dyDescent="0.25">
      <c r="B46" s="168" t="s">
        <v>448</v>
      </c>
      <c r="C46" s="185">
        <v>1</v>
      </c>
      <c r="D46" s="92">
        <f t="shared" si="20"/>
        <v>19145.662781409661</v>
      </c>
      <c r="E46" s="170">
        <f t="shared" si="17"/>
        <v>2.9284878447717939E-2</v>
      </c>
      <c r="F46" s="171">
        <f t="shared" si="21"/>
        <v>1510.837218590339</v>
      </c>
      <c r="G46" s="172">
        <f t="shared" si="15"/>
        <v>1.2934163684403482E-2</v>
      </c>
      <c r="H46" s="92">
        <v>20656.5</v>
      </c>
      <c r="I46" s="180">
        <v>0.92685899263716798</v>
      </c>
      <c r="J46" s="172">
        <v>0.2671631311304497</v>
      </c>
      <c r="L46" s="168" t="s">
        <v>556</v>
      </c>
      <c r="M46" s="168"/>
      <c r="N46" s="168"/>
      <c r="O46" s="168"/>
      <c r="P46" s="185">
        <v>0.87599999999999989</v>
      </c>
      <c r="Q46" s="187">
        <v>6539</v>
      </c>
      <c r="R46" s="187">
        <v>0</v>
      </c>
      <c r="S46" s="187">
        <f t="shared" si="10"/>
        <v>6539</v>
      </c>
      <c r="T46" s="186">
        <f t="shared" si="11"/>
        <v>5327.1925199999996</v>
      </c>
      <c r="U46" s="191">
        <f t="shared" si="12"/>
        <v>8.9479075783731061E-3</v>
      </c>
      <c r="V46" s="186">
        <f t="shared" si="13"/>
        <v>400.97147999999964</v>
      </c>
      <c r="W46" s="191">
        <f t="shared" si="14"/>
        <v>3.6743850131225994E-3</v>
      </c>
      <c r="X46" s="163">
        <f t="shared" si="19"/>
        <v>0.93</v>
      </c>
      <c r="AB46" s="12"/>
      <c r="AC46" s="12"/>
      <c r="AD46" s="12"/>
      <c r="AE46" s="26"/>
      <c r="AF46" s="65"/>
    </row>
    <row r="47" spans="2:34" outlineLevel="2" x14ac:dyDescent="0.25">
      <c r="B47" s="168" t="s">
        <v>449</v>
      </c>
      <c r="C47" s="185">
        <v>1</v>
      </c>
      <c r="D47" s="92">
        <f t="shared" si="20"/>
        <v>35644.185384547847</v>
      </c>
      <c r="E47" s="170">
        <f t="shared" si="17"/>
        <v>5.4520736538197417E-2</v>
      </c>
      <c r="F47" s="171">
        <f t="shared" si="21"/>
        <v>2812.7812821188563</v>
      </c>
      <c r="G47" s="172">
        <f t="shared" si="15"/>
        <v>2.4080008794922475E-2</v>
      </c>
      <c r="H47" s="92">
        <v>38456.966666666704</v>
      </c>
      <c r="I47" s="180">
        <v>0.92685899263716798</v>
      </c>
      <c r="J47" s="172">
        <v>0.14385536511797675</v>
      </c>
      <c r="L47" s="168" t="s">
        <v>557</v>
      </c>
      <c r="M47" s="168"/>
      <c r="N47" s="168"/>
      <c r="O47" s="168"/>
      <c r="P47" s="185">
        <v>0.87599999999999989</v>
      </c>
      <c r="Q47" s="187">
        <v>738</v>
      </c>
      <c r="R47" s="187">
        <v>0</v>
      </c>
      <c r="S47" s="187">
        <f t="shared" si="10"/>
        <v>738</v>
      </c>
      <c r="T47" s="186">
        <f t="shared" si="11"/>
        <v>601.23383999999999</v>
      </c>
      <c r="U47" s="191">
        <f t="shared" si="12"/>
        <v>1.0098724258815342E-3</v>
      </c>
      <c r="V47" s="186">
        <f t="shared" si="13"/>
        <v>45.254159999999963</v>
      </c>
      <c r="W47" s="191">
        <f t="shared" si="14"/>
        <v>4.146958464114511E-4</v>
      </c>
      <c r="X47" s="163">
        <f t="shared" si="19"/>
        <v>0.93</v>
      </c>
      <c r="AB47" s="12"/>
      <c r="AC47" s="12"/>
      <c r="AD47" s="12"/>
      <c r="AE47" s="26"/>
      <c r="AF47" s="65"/>
    </row>
    <row r="48" spans="2:34" outlineLevel="2" x14ac:dyDescent="0.25">
      <c r="B48" s="168" t="s">
        <v>458</v>
      </c>
      <c r="C48" s="185">
        <v>0.9</v>
      </c>
      <c r="D48" s="92">
        <f t="shared" si="20"/>
        <v>38744.652296118176</v>
      </c>
      <c r="E48" s="170">
        <f t="shared" si="17"/>
        <v>5.3336841944347575E-2</v>
      </c>
      <c r="F48" s="171">
        <f t="shared" si="21"/>
        <v>3057.4477038818441</v>
      </c>
      <c r="G48" s="172">
        <f t="shared" si="15"/>
        <v>2.3557121650648622E-2</v>
      </c>
      <c r="H48" s="92">
        <f>69670.1666666667*0.6</f>
        <v>41802.10000000002</v>
      </c>
      <c r="I48" s="180">
        <v>0.92685899263716798</v>
      </c>
      <c r="J48" s="172">
        <v>0.46986991038291381</v>
      </c>
      <c r="L48" s="168" t="s">
        <v>558</v>
      </c>
      <c r="M48" s="168"/>
      <c r="N48" s="168"/>
      <c r="O48" s="168"/>
      <c r="P48" s="185">
        <v>0.87599999999999989</v>
      </c>
      <c r="Q48" s="187">
        <v>2276</v>
      </c>
      <c r="R48" s="187">
        <v>0</v>
      </c>
      <c r="S48" s="187">
        <f t="shared" si="10"/>
        <v>2276</v>
      </c>
      <c r="T48" s="186">
        <f>S48*X48*P48</f>
        <v>1854.2116800000001</v>
      </c>
      <c r="U48" s="191">
        <f t="shared" si="12"/>
        <v>3.1144575085452196E-3</v>
      </c>
      <c r="V48" s="186">
        <f t="shared" si="13"/>
        <v>139.56431999999987</v>
      </c>
      <c r="W48" s="191">
        <f t="shared" si="14"/>
        <v>1.2789264856808435E-3</v>
      </c>
      <c r="X48" s="163">
        <f t="shared" si="19"/>
        <v>0.93</v>
      </c>
      <c r="AB48" s="12"/>
      <c r="AC48" s="12"/>
      <c r="AD48" s="12"/>
      <c r="AE48" s="26"/>
      <c r="AF48" s="65"/>
    </row>
    <row r="49" spans="2:44" outlineLevel="2" x14ac:dyDescent="0.25">
      <c r="B49" s="168" t="s">
        <v>457</v>
      </c>
      <c r="C49" s="185">
        <v>0.75</v>
      </c>
      <c r="D49" s="92">
        <f t="shared" si="20"/>
        <v>25829.768197412119</v>
      </c>
      <c r="E49" s="170">
        <f t="shared" si="17"/>
        <v>2.963157885797087E-2</v>
      </c>
      <c r="F49" s="171">
        <f t="shared" si="21"/>
        <v>2038.2984692545615</v>
      </c>
      <c r="G49" s="172">
        <f t="shared" si="15"/>
        <v>1.3087289805915893E-2</v>
      </c>
      <c r="H49" s="92">
        <f>69670.1666666667*0.4</f>
        <v>27868.06666666668</v>
      </c>
      <c r="I49" s="180">
        <v>0.92685899263716798</v>
      </c>
      <c r="J49" s="172">
        <v>0.46986991038291381</v>
      </c>
      <c r="L49" s="168" t="s">
        <v>406</v>
      </c>
      <c r="M49" s="168"/>
      <c r="N49" s="168"/>
      <c r="O49" s="168"/>
      <c r="P49" s="185">
        <v>0.9</v>
      </c>
      <c r="Q49" s="187">
        <v>56803</v>
      </c>
      <c r="R49" s="187">
        <v>0</v>
      </c>
      <c r="S49" s="187">
        <f t="shared" si="10"/>
        <v>56803</v>
      </c>
      <c r="T49" s="186">
        <f t="shared" si="11"/>
        <v>47544.111000000004</v>
      </c>
      <c r="U49" s="191">
        <f t="shared" si="12"/>
        <v>7.9858257332872246E-2</v>
      </c>
      <c r="V49" s="186">
        <f t="shared" si="13"/>
        <v>3578.5889999999977</v>
      </c>
      <c r="W49" s="191">
        <f t="shared" si="14"/>
        <v>3.2793139775740145E-2</v>
      </c>
      <c r="X49" s="163">
        <f t="shared" si="19"/>
        <v>0.93</v>
      </c>
      <c r="AB49" s="12"/>
      <c r="AC49" s="12"/>
      <c r="AD49" s="12"/>
      <c r="AE49" s="26"/>
      <c r="AF49" s="65"/>
    </row>
    <row r="50" spans="2:44" outlineLevel="2" x14ac:dyDescent="0.25">
      <c r="B50" s="174" t="s">
        <v>450</v>
      </c>
      <c r="C50" s="174"/>
      <c r="D50" s="175">
        <v>692.67262049750991</v>
      </c>
      <c r="E50" s="176"/>
      <c r="F50" s="177">
        <v>54.660712835823112</v>
      </c>
      <c r="G50" s="178"/>
      <c r="H50" s="92"/>
      <c r="I50" s="181">
        <v>0.92685899263716798</v>
      </c>
      <c r="J50" s="178">
        <v>0.15455308043620117</v>
      </c>
      <c r="L50" s="168" t="s">
        <v>559</v>
      </c>
      <c r="M50" s="168"/>
      <c r="N50" s="168"/>
      <c r="O50" s="168"/>
      <c r="P50" s="185">
        <v>0.9</v>
      </c>
      <c r="Q50" s="187"/>
      <c r="R50" s="187"/>
      <c r="S50" s="187">
        <f t="shared" si="10"/>
        <v>0</v>
      </c>
      <c r="T50" s="186">
        <f t="shared" si="11"/>
        <v>0</v>
      </c>
      <c r="U50" s="191">
        <f t="shared" si="12"/>
        <v>0</v>
      </c>
      <c r="V50" s="186">
        <f t="shared" si="13"/>
        <v>0</v>
      </c>
      <c r="W50" s="191">
        <f t="shared" si="14"/>
        <v>0</v>
      </c>
      <c r="X50" s="163">
        <f t="shared" si="19"/>
        <v>0.93</v>
      </c>
      <c r="AA50" s="1"/>
      <c r="AB50" s="12"/>
      <c r="AC50" s="12"/>
      <c r="AF50" s="32"/>
    </row>
    <row r="51" spans="2:44" outlineLevel="2" x14ac:dyDescent="0.25">
      <c r="L51" s="168" t="s">
        <v>560</v>
      </c>
      <c r="M51" s="168"/>
      <c r="N51" s="168"/>
      <c r="O51" s="168"/>
      <c r="P51" s="185">
        <v>0.88500000000000001</v>
      </c>
      <c r="Q51" s="187">
        <v>198</v>
      </c>
      <c r="R51" s="187">
        <v>1547.5</v>
      </c>
      <c r="S51" s="187">
        <f t="shared" si="10"/>
        <v>1745.5</v>
      </c>
      <c r="T51" s="186">
        <f t="shared" si="11"/>
        <v>1436.633775</v>
      </c>
      <c r="U51" s="191">
        <f t="shared" si="12"/>
        <v>2.4130658305304242E-3</v>
      </c>
      <c r="V51" s="186">
        <f t="shared" si="13"/>
        <v>108.13372499999993</v>
      </c>
      <c r="W51" s="191">
        <f t="shared" si="14"/>
        <v>9.9090573362754049E-4</v>
      </c>
      <c r="X51" s="163">
        <f t="shared" si="19"/>
        <v>0.93</v>
      </c>
      <c r="AB51" s="12"/>
      <c r="AC51" s="12"/>
    </row>
    <row r="52" spans="2:44" outlineLevel="2" x14ac:dyDescent="0.25">
      <c r="L52" s="168" t="s">
        <v>474</v>
      </c>
      <c r="M52" s="168"/>
      <c r="N52" s="168"/>
      <c r="O52" s="168"/>
      <c r="P52" s="185">
        <v>0.755</v>
      </c>
      <c r="Q52" s="187">
        <v>22689.449999999997</v>
      </c>
      <c r="R52" s="187">
        <v>0</v>
      </c>
      <c r="S52" s="187">
        <f t="shared" si="10"/>
        <v>22689.449999999997</v>
      </c>
      <c r="T52" s="186">
        <f t="shared" si="11"/>
        <v>15931.397317500001</v>
      </c>
      <c r="U52" s="191">
        <f t="shared" si="12"/>
        <v>2.6759436655638499E-2</v>
      </c>
      <c r="V52" s="186">
        <f t="shared" si="13"/>
        <v>1199.137432499999</v>
      </c>
      <c r="W52" s="191">
        <f t="shared" si="14"/>
        <v>1.098854365066641E-2</v>
      </c>
      <c r="X52" s="163">
        <f t="shared" si="19"/>
        <v>0.93</v>
      </c>
    </row>
    <row r="53" spans="2:44" outlineLevel="2" x14ac:dyDescent="0.25">
      <c r="L53" s="168" t="s">
        <v>409</v>
      </c>
      <c r="M53" s="168"/>
      <c r="N53" s="168"/>
      <c r="O53" s="168"/>
      <c r="P53" s="185">
        <v>0.89500000000000002</v>
      </c>
      <c r="Q53" s="187">
        <v>9769.35</v>
      </c>
      <c r="R53" s="187">
        <v>27163.3</v>
      </c>
      <c r="S53" s="187">
        <f t="shared" si="10"/>
        <v>36932.65</v>
      </c>
      <c r="T53" s="186">
        <f t="shared" si="11"/>
        <v>30740.891227500004</v>
      </c>
      <c r="U53" s="191">
        <f t="shared" si="12"/>
        <v>5.1634449580675305E-2</v>
      </c>
      <c r="V53" s="186">
        <f t="shared" si="13"/>
        <v>2313.8305224999986</v>
      </c>
      <c r="W53" s="191">
        <f t="shared" si="14"/>
        <v>2.1203264119382347E-2</v>
      </c>
      <c r="X53" s="163">
        <f t="shared" si="19"/>
        <v>0.93</v>
      </c>
    </row>
    <row r="54" spans="2:44" outlineLevel="2" x14ac:dyDescent="0.25">
      <c r="L54" s="168" t="s">
        <v>561</v>
      </c>
      <c r="M54" s="168"/>
      <c r="N54" s="168"/>
      <c r="O54" s="168"/>
      <c r="P54" s="185">
        <v>0.97</v>
      </c>
      <c r="Q54" s="187">
        <v>0</v>
      </c>
      <c r="R54" s="187">
        <v>0</v>
      </c>
      <c r="S54" s="187">
        <f t="shared" si="10"/>
        <v>0</v>
      </c>
      <c r="T54" s="186">
        <f t="shared" si="11"/>
        <v>0</v>
      </c>
      <c r="U54" s="191">
        <f t="shared" si="12"/>
        <v>0</v>
      </c>
      <c r="V54" s="186">
        <f t="shared" si="13"/>
        <v>0</v>
      </c>
      <c r="W54" s="191">
        <f t="shared" si="14"/>
        <v>0</v>
      </c>
      <c r="X54" s="163">
        <f t="shared" si="19"/>
        <v>0.93</v>
      </c>
    </row>
    <row r="55" spans="2:44" outlineLevel="2" x14ac:dyDescent="0.25">
      <c r="L55" s="168" t="s">
        <v>472</v>
      </c>
      <c r="M55" s="168"/>
      <c r="N55" s="168"/>
      <c r="O55" s="168"/>
      <c r="P55" s="185">
        <v>0.91</v>
      </c>
      <c r="Q55" s="187">
        <v>135.5</v>
      </c>
      <c r="R55" s="187">
        <v>30.8</v>
      </c>
      <c r="S55" s="187">
        <f t="shared" si="10"/>
        <v>166.3</v>
      </c>
      <c r="T55" s="186">
        <f t="shared" si="11"/>
        <v>140.73969000000002</v>
      </c>
      <c r="U55" s="191">
        <f t="shared" si="12"/>
        <v>2.3639576268380891E-4</v>
      </c>
      <c r="V55" s="186">
        <f t="shared" si="13"/>
        <v>10.593309999999994</v>
      </c>
      <c r="W55" s="191">
        <f t="shared" si="14"/>
        <v>9.7073985170620562E-5</v>
      </c>
      <c r="X55" s="163">
        <f t="shared" si="19"/>
        <v>0.93</v>
      </c>
      <c r="Z55" s="264"/>
      <c r="AA55" s="265"/>
      <c r="AB55" s="266"/>
      <c r="AC55" s="267"/>
    </row>
    <row r="56" spans="2:44" outlineLevel="2" x14ac:dyDescent="0.25">
      <c r="L56" s="168" t="s">
        <v>562</v>
      </c>
      <c r="M56" s="168"/>
      <c r="N56" s="168"/>
      <c r="O56" s="168"/>
      <c r="P56" s="185">
        <v>0.92</v>
      </c>
      <c r="Q56" s="187">
        <v>0</v>
      </c>
      <c r="R56" s="187">
        <v>0</v>
      </c>
      <c r="S56" s="187">
        <f t="shared" si="10"/>
        <v>0</v>
      </c>
      <c r="T56" s="186">
        <f t="shared" si="11"/>
        <v>0</v>
      </c>
      <c r="U56" s="191">
        <f t="shared" si="12"/>
        <v>0</v>
      </c>
      <c r="V56" s="186">
        <f t="shared" si="13"/>
        <v>0</v>
      </c>
      <c r="W56" s="191">
        <f t="shared" si="14"/>
        <v>0</v>
      </c>
      <c r="X56" s="163">
        <f t="shared" si="19"/>
        <v>0.93</v>
      </c>
    </row>
    <row r="57" spans="2:44" outlineLevel="2" x14ac:dyDescent="0.25">
      <c r="L57" s="174" t="s">
        <v>421</v>
      </c>
      <c r="M57" s="174"/>
      <c r="N57" s="174"/>
      <c r="O57" s="174"/>
      <c r="P57" s="249">
        <v>1</v>
      </c>
      <c r="Q57" s="250">
        <v>16268</v>
      </c>
      <c r="R57" s="250">
        <v>1347.3</v>
      </c>
      <c r="S57" s="250">
        <f t="shared" si="10"/>
        <v>17615.3</v>
      </c>
      <c r="T57" s="251">
        <f t="shared" si="11"/>
        <v>16382.228999999999</v>
      </c>
      <c r="U57" s="252"/>
      <c r="V57" s="251">
        <f t="shared" si="13"/>
        <v>1233.070999999999</v>
      </c>
      <c r="W57" s="252"/>
      <c r="X57" s="253">
        <f t="shared" si="19"/>
        <v>0.93</v>
      </c>
      <c r="Z57" s="261" t="s">
        <v>606</v>
      </c>
      <c r="AA57" s="261"/>
      <c r="AB57" s="261"/>
      <c r="AC57" s="260"/>
      <c r="AE57" t="s">
        <v>607</v>
      </c>
      <c r="AQ57" s="12"/>
      <c r="AR57" s="26"/>
    </row>
    <row r="58" spans="2:44" outlineLevel="2" x14ac:dyDescent="0.25">
      <c r="Z58" s="261" t="s">
        <v>608</v>
      </c>
      <c r="AA58" s="261"/>
      <c r="AB58" s="261"/>
      <c r="AC58" s="260"/>
      <c r="AE58" t="s">
        <v>1</v>
      </c>
      <c r="AG58">
        <v>9</v>
      </c>
      <c r="AH58" t="s">
        <v>9</v>
      </c>
      <c r="AQ58" s="12"/>
      <c r="AR58" s="26"/>
    </row>
    <row r="59" spans="2:44" outlineLevel="1" x14ac:dyDescent="0.25">
      <c r="S59" s="184" t="s">
        <v>567</v>
      </c>
      <c r="T59" s="12">
        <f>SUM(T26:T31)</f>
        <v>133223.58807869646</v>
      </c>
      <c r="U59" s="26">
        <f>T59/SUM(T$59:T$60)</f>
        <v>0.22377121699882263</v>
      </c>
      <c r="V59" s="12">
        <f>SUM(V26:V31)</f>
        <v>74341.969921303564</v>
      </c>
      <c r="W59" s="26">
        <f>V59/SUM(V$59:V$60)</f>
        <v>0.68124800328654078</v>
      </c>
      <c r="Z59" s="260" t="s">
        <v>602</v>
      </c>
      <c r="AA59" s="261"/>
      <c r="AB59" s="261"/>
      <c r="AC59" s="260"/>
      <c r="AE59" t="s">
        <v>5</v>
      </c>
      <c r="AG59">
        <v>14</v>
      </c>
      <c r="AH59" t="s">
        <v>9</v>
      </c>
      <c r="AI59" s="2"/>
      <c r="AQ59" s="12"/>
      <c r="AR59" s="26"/>
    </row>
    <row r="60" spans="2:44" x14ac:dyDescent="0.25">
      <c r="S60" s="184" t="s">
        <v>568</v>
      </c>
      <c r="T60" s="12">
        <f>SUM(T32:T56)</f>
        <v>462132.64166999998</v>
      </c>
      <c r="U60" s="26">
        <f>T60/SUM(T$59:T$60)</f>
        <v>0.77622878300117737</v>
      </c>
      <c r="V60" s="12">
        <f>SUM(V32:V56)</f>
        <v>34784.177329999977</v>
      </c>
      <c r="W60" s="26">
        <f>V60/SUM(V$59:V$60)</f>
        <v>0.31875199671345927</v>
      </c>
      <c r="AQ60" s="12"/>
      <c r="AR60" s="26"/>
    </row>
    <row r="61" spans="2:44" x14ac:dyDescent="0.25">
      <c r="W61" s="262" t="s">
        <v>603</v>
      </c>
      <c r="X61" s="263">
        <v>1</v>
      </c>
      <c r="Y61" s="263">
        <v>1</v>
      </c>
      <c r="Z61" s="263">
        <v>1</v>
      </c>
      <c r="AA61" s="263">
        <v>1</v>
      </c>
      <c r="AB61" s="263">
        <v>1</v>
      </c>
      <c r="AC61" s="263">
        <v>1</v>
      </c>
      <c r="AD61" s="263">
        <v>1</v>
      </c>
      <c r="AE61" s="263">
        <v>0.65</v>
      </c>
      <c r="AF61" s="263">
        <v>1</v>
      </c>
      <c r="AG61" s="263">
        <v>1</v>
      </c>
      <c r="AH61" s="263">
        <v>1</v>
      </c>
      <c r="AI61" s="263">
        <v>1</v>
      </c>
      <c r="AJ61" s="263">
        <v>1</v>
      </c>
      <c r="AK61" s="263">
        <v>0.65</v>
      </c>
      <c r="AL61" s="263">
        <v>1</v>
      </c>
    </row>
    <row r="62" spans="2:44" x14ac:dyDescent="0.25">
      <c r="T62" s="2"/>
      <c r="W62" s="272" t="s">
        <v>604</v>
      </c>
      <c r="X62" s="273">
        <f>1+(D72*(1-X61))/SUM(D67:D68)</f>
        <v>1</v>
      </c>
      <c r="Y62" s="273">
        <f>1+(E72*(1-Y61))/SUM(E67:E68)</f>
        <v>1</v>
      </c>
      <c r="Z62" s="263">
        <v>1</v>
      </c>
      <c r="AA62" s="273">
        <f t="shared" ref="AA62:AF62" si="22">1+(G72*(1-AA61))/SUM(G67:G68)</f>
        <v>1</v>
      </c>
      <c r="AB62" s="273">
        <f t="shared" si="22"/>
        <v>1</v>
      </c>
      <c r="AC62" s="273">
        <f t="shared" si="22"/>
        <v>1</v>
      </c>
      <c r="AD62" s="273">
        <f t="shared" si="22"/>
        <v>1</v>
      </c>
      <c r="AE62" s="273">
        <f t="shared" si="22"/>
        <v>1.0743640187232888</v>
      </c>
      <c r="AF62" s="273">
        <f t="shared" si="22"/>
        <v>1</v>
      </c>
      <c r="AG62" s="263">
        <v>1</v>
      </c>
      <c r="AH62" s="273">
        <f>1+(N72*(1-AH61))/SUM(N67:N68)</f>
        <v>1</v>
      </c>
      <c r="AI62" s="273">
        <f>1+(O72*(1-AI61))/SUM(O67:O68)</f>
        <v>1</v>
      </c>
      <c r="AJ62" s="273">
        <f>1+(P72*(1-AJ61))/SUM(P67:P68)</f>
        <v>1</v>
      </c>
      <c r="AK62" s="273">
        <f>1+(Q72*(1-AK61))/SUM(Q67:Q68)</f>
        <v>1.1155987682962838</v>
      </c>
      <c r="AL62" s="273">
        <f>1+(R72*(1-AL61))/SUM(R67:R68)</f>
        <v>1</v>
      </c>
    </row>
    <row r="63" spans="2:44" ht="60" x14ac:dyDescent="0.25">
      <c r="B63" s="6" t="s">
        <v>475</v>
      </c>
      <c r="C63" s="6"/>
      <c r="D63" s="90" t="s">
        <v>37</v>
      </c>
      <c r="E63" s="90" t="s">
        <v>37</v>
      </c>
      <c r="F63" s="90" t="s">
        <v>37</v>
      </c>
      <c r="G63" s="90" t="s">
        <v>37</v>
      </c>
      <c r="H63" s="90" t="s">
        <v>37</v>
      </c>
      <c r="I63" s="90" t="s">
        <v>37</v>
      </c>
      <c r="J63" s="90" t="s">
        <v>37</v>
      </c>
      <c r="K63" s="49" t="s">
        <v>2</v>
      </c>
      <c r="L63" s="49" t="s">
        <v>2</v>
      </c>
      <c r="M63" s="49" t="s">
        <v>2</v>
      </c>
      <c r="N63" s="49" t="s">
        <v>2</v>
      </c>
      <c r="O63" s="49" t="s">
        <v>2</v>
      </c>
      <c r="P63" s="49" t="s">
        <v>2</v>
      </c>
      <c r="Q63" s="49" t="s">
        <v>2</v>
      </c>
      <c r="R63" s="49" t="s">
        <v>2</v>
      </c>
      <c r="T63" s="2"/>
      <c r="X63" s="291" t="str">
        <f t="shared" ref="X63:Y63" si="23">D63&amp;D64&amp;D65</f>
        <v>beefcows</v>
      </c>
      <c r="Y63" s="291" t="str">
        <f t="shared" si="23"/>
        <v>beefbreeding bulls</v>
      </c>
      <c r="Z63" s="291" t="str">
        <f t="shared" ref="Z63:AF63" si="24">F63&amp;F64&amp;F65</f>
        <v>beefcalves, suckling</v>
      </c>
      <c r="AA63" s="291" t="str">
        <f t="shared" si="24"/>
        <v>beefheifers</v>
      </c>
      <c r="AB63" s="291" t="str">
        <f t="shared" si="24"/>
        <v>beefsteers</v>
      </c>
      <c r="AC63" s="291" t="str">
        <f t="shared" si="24"/>
        <v>beefbulls</v>
      </c>
      <c r="AD63" s="291" t="str">
        <f t="shared" si="24"/>
        <v>beefmaize basedbulls</v>
      </c>
      <c r="AE63" s="291" t="str">
        <f t="shared" si="24"/>
        <v>dairycows</v>
      </c>
      <c r="AF63" s="291" t="str">
        <f t="shared" si="24"/>
        <v>dairybreeding bulls</v>
      </c>
      <c r="AG63" s="291" t="str">
        <f t="shared" ref="AG63:AL63" si="25">M63&amp;M64&amp;M65</f>
        <v>dairycalves, suckling</v>
      </c>
      <c r="AH63" s="291" t="str">
        <f t="shared" si="25"/>
        <v>dairyheifers</v>
      </c>
      <c r="AI63" s="291" t="str">
        <f t="shared" si="25"/>
        <v>dairysteers</v>
      </c>
      <c r="AJ63" s="291" t="str">
        <f t="shared" si="25"/>
        <v>dairybulls</v>
      </c>
      <c r="AK63" s="291" t="str">
        <f t="shared" si="25"/>
        <v>dairymaize basedcows</v>
      </c>
      <c r="AL63" s="291" t="str">
        <f t="shared" si="25"/>
        <v>dairymaize basedbulls</v>
      </c>
    </row>
    <row r="64" spans="2:44" outlineLevel="2" x14ac:dyDescent="0.25">
      <c r="B64" s="6" t="s">
        <v>476</v>
      </c>
      <c r="C64" s="6"/>
      <c r="J64" t="s">
        <v>407</v>
      </c>
      <c r="Q64" t="s">
        <v>407</v>
      </c>
      <c r="R64" t="s">
        <v>407</v>
      </c>
      <c r="T64" s="2"/>
      <c r="U64" s="110" t="str">
        <f>B67</f>
        <v>ley silage, 1st cut</v>
      </c>
      <c r="X64" s="13">
        <f t="shared" ref="X64:AF64" si="26">X62*D67/D$117*100</f>
        <v>0</v>
      </c>
      <c r="Y64" s="13">
        <f t="shared" si="26"/>
        <v>0</v>
      </c>
      <c r="Z64" s="13">
        <f t="shared" si="26"/>
        <v>0</v>
      </c>
      <c r="AA64" s="13">
        <f t="shared" si="26"/>
        <v>0</v>
      </c>
      <c r="AB64" s="13">
        <f t="shared" si="26"/>
        <v>0</v>
      </c>
      <c r="AC64" s="13">
        <f t="shared" si="26"/>
        <v>60.138713626619086</v>
      </c>
      <c r="AD64" s="13">
        <f t="shared" si="26"/>
        <v>56.070538180908102</v>
      </c>
      <c r="AE64" s="13">
        <f t="shared" si="26"/>
        <v>41.480852339300604</v>
      </c>
      <c r="AF64" s="13">
        <f t="shared" si="26"/>
        <v>0</v>
      </c>
      <c r="AG64" s="13">
        <f t="shared" ref="AG64:AL64" si="27">AG62*M67/M$117*100</f>
        <v>0</v>
      </c>
      <c r="AH64" s="13">
        <f t="shared" si="27"/>
        <v>0</v>
      </c>
      <c r="AI64" s="13">
        <f t="shared" si="27"/>
        <v>0</v>
      </c>
      <c r="AJ64" s="13">
        <f t="shared" si="27"/>
        <v>65.065884609325579</v>
      </c>
      <c r="AK64" s="13">
        <f t="shared" si="27"/>
        <v>22.93829412577864</v>
      </c>
      <c r="AL64" s="13">
        <f t="shared" si="27"/>
        <v>56.668911580722877</v>
      </c>
    </row>
    <row r="65" spans="1:38" outlineLevel="2" x14ac:dyDescent="0.25">
      <c r="B65" s="6" t="s">
        <v>632</v>
      </c>
      <c r="C65" s="6"/>
      <c r="D65" t="s">
        <v>18</v>
      </c>
      <c r="E65" t="s">
        <v>402</v>
      </c>
      <c r="F65" t="s">
        <v>633</v>
      </c>
      <c r="G65" t="s">
        <v>32</v>
      </c>
      <c r="H65" t="s">
        <v>33</v>
      </c>
      <c r="I65" t="s">
        <v>34</v>
      </c>
      <c r="J65" t="s">
        <v>34</v>
      </c>
      <c r="K65" t="s">
        <v>18</v>
      </c>
      <c r="L65" t="s">
        <v>402</v>
      </c>
      <c r="M65" t="s">
        <v>633</v>
      </c>
      <c r="N65" t="s">
        <v>32</v>
      </c>
      <c r="O65" t="s">
        <v>33</v>
      </c>
      <c r="P65" t="s">
        <v>34</v>
      </c>
      <c r="Q65" t="s">
        <v>18</v>
      </c>
      <c r="R65" t="s">
        <v>34</v>
      </c>
      <c r="T65" s="2"/>
      <c r="U65" s="110" t="str">
        <f t="shared" ref="U65:U69" si="28">B68</f>
        <v>ley silage, regrowth</v>
      </c>
      <c r="X65" s="13">
        <f t="shared" ref="X65:Y65" si="29">X62*D68/D$117*100</f>
        <v>19.638470390756044</v>
      </c>
      <c r="Y65" s="13">
        <f t="shared" si="29"/>
        <v>7.0178130628008537</v>
      </c>
      <c r="Z65" s="13">
        <f t="shared" ref="Z65:AF65" si="30">Z62*F68/F$117*100</f>
        <v>0</v>
      </c>
      <c r="AA65" s="13">
        <f t="shared" si="30"/>
        <v>68.854768967576106</v>
      </c>
      <c r="AB65" s="13">
        <f t="shared" si="30"/>
        <v>69.016974351370379</v>
      </c>
      <c r="AC65" s="13">
        <f t="shared" si="30"/>
        <v>0</v>
      </c>
      <c r="AD65" s="13">
        <f t="shared" si="30"/>
        <v>0</v>
      </c>
      <c r="AE65" s="13">
        <f t="shared" si="30"/>
        <v>9.9247167513786927</v>
      </c>
      <c r="AF65" s="13">
        <f t="shared" si="30"/>
        <v>7.0178130628008537</v>
      </c>
      <c r="AG65" s="13">
        <f t="shared" ref="AG65:AL65" si="31">AG62*M68/M$117*100</f>
        <v>0</v>
      </c>
      <c r="AH65" s="13">
        <f t="shared" si="31"/>
        <v>55.625459984330824</v>
      </c>
      <c r="AI65" s="13">
        <f t="shared" si="31"/>
        <v>55.029062371648976</v>
      </c>
      <c r="AJ65" s="13">
        <f t="shared" si="31"/>
        <v>0</v>
      </c>
      <c r="AK65" s="13">
        <f t="shared" si="31"/>
        <v>10.638819198282629</v>
      </c>
      <c r="AL65" s="13">
        <f t="shared" si="31"/>
        <v>0</v>
      </c>
    </row>
    <row r="66" spans="1:38" outlineLevel="2" x14ac:dyDescent="0.25">
      <c r="B66" s="6" t="s">
        <v>459</v>
      </c>
      <c r="C66" s="6"/>
      <c r="T66" s="2"/>
      <c r="U66" s="110" t="str">
        <f t="shared" si="28"/>
        <v>other silage</v>
      </c>
      <c r="X66" s="13">
        <f t="shared" ref="X66:Y68" si="32">D69/D$117*100</f>
        <v>20.321711421281208</v>
      </c>
      <c r="Y66" s="13">
        <f t="shared" si="32"/>
        <v>41.192418289263692</v>
      </c>
      <c r="Z66" s="13">
        <f t="shared" ref="Z66:AF68" si="33">F69/F$117*100</f>
        <v>0</v>
      </c>
      <c r="AA66" s="13">
        <f t="shared" si="33"/>
        <v>0</v>
      </c>
      <c r="AB66" s="13">
        <f t="shared" si="33"/>
        <v>0</v>
      </c>
      <c r="AC66" s="13">
        <f t="shared" si="33"/>
        <v>0</v>
      </c>
      <c r="AD66" s="13">
        <f t="shared" si="33"/>
        <v>0</v>
      </c>
      <c r="AE66" s="13">
        <f t="shared" si="33"/>
        <v>0</v>
      </c>
      <c r="AF66" s="13">
        <f t="shared" si="33"/>
        <v>41.192418289263692</v>
      </c>
      <c r="AG66" s="13">
        <f t="shared" ref="AG66:AL68" si="34">M69/M$117*100</f>
        <v>0</v>
      </c>
      <c r="AH66" s="13">
        <f t="shared" si="34"/>
        <v>0</v>
      </c>
      <c r="AI66" s="13">
        <f t="shared" si="34"/>
        <v>0</v>
      </c>
      <c r="AJ66" s="13">
        <f t="shared" si="34"/>
        <v>0</v>
      </c>
      <c r="AK66" s="13">
        <f t="shared" si="34"/>
        <v>0</v>
      </c>
      <c r="AL66" s="13">
        <f t="shared" si="34"/>
        <v>0</v>
      </c>
    </row>
    <row r="67" spans="1:38" outlineLevel="2" x14ac:dyDescent="0.25">
      <c r="A67" s="155"/>
      <c r="B67" t="s">
        <v>411</v>
      </c>
      <c r="D67" s="12"/>
      <c r="F67" s="12"/>
      <c r="G67" s="12"/>
      <c r="H67" s="12"/>
      <c r="I67" s="12">
        <f>(G7*D24+I7*F24)/(D24+F24)*C7</f>
        <v>1243.8128706133955</v>
      </c>
      <c r="J67" s="2">
        <f>H10*C10</f>
        <v>1165</v>
      </c>
      <c r="K67" s="2">
        <f>Y7</f>
        <v>2973.75</v>
      </c>
      <c r="M67" s="2"/>
      <c r="N67" s="12"/>
      <c r="O67" s="12"/>
      <c r="P67" s="12">
        <f>(M7*D23+O7*F23)/(D23+F23)*C7</f>
        <v>2120.9288261634415</v>
      </c>
      <c r="Q67" s="12">
        <f>Z7</f>
        <v>1619.5499999999997</v>
      </c>
      <c r="R67">
        <f>N10*C10</f>
        <v>1868</v>
      </c>
      <c r="T67" s="72"/>
      <c r="U67" s="110" t="str">
        <f t="shared" si="28"/>
        <v>maize silage</v>
      </c>
      <c r="X67" s="13">
        <f t="shared" si="32"/>
        <v>0</v>
      </c>
      <c r="Y67" s="13">
        <f t="shared" si="32"/>
        <v>0</v>
      </c>
      <c r="Z67" s="13">
        <f t="shared" si="33"/>
        <v>0</v>
      </c>
      <c r="AA67" s="13">
        <f t="shared" si="33"/>
        <v>0</v>
      </c>
      <c r="AB67" s="13">
        <f t="shared" si="33"/>
        <v>0</v>
      </c>
      <c r="AC67" s="13">
        <f t="shared" si="33"/>
        <v>0</v>
      </c>
      <c r="AD67" s="13">
        <f t="shared" si="33"/>
        <v>13.09114711176567</v>
      </c>
      <c r="AE67" s="13">
        <f t="shared" si="33"/>
        <v>0</v>
      </c>
      <c r="AF67" s="13">
        <f t="shared" si="33"/>
        <v>0</v>
      </c>
      <c r="AG67" s="13">
        <f t="shared" si="34"/>
        <v>0</v>
      </c>
      <c r="AH67" s="13">
        <f t="shared" si="34"/>
        <v>0</v>
      </c>
      <c r="AI67" s="13">
        <f t="shared" si="34"/>
        <v>0</v>
      </c>
      <c r="AJ67" s="13">
        <f t="shared" si="34"/>
        <v>0</v>
      </c>
      <c r="AK67" s="13">
        <f t="shared" si="34"/>
        <v>15.876048855936714</v>
      </c>
      <c r="AL67" s="13">
        <f t="shared" si="34"/>
        <v>13.226790925693349</v>
      </c>
    </row>
    <row r="68" spans="1:38" outlineLevel="2" x14ac:dyDescent="0.25">
      <c r="B68" t="s">
        <v>412</v>
      </c>
      <c r="D68" s="12">
        <f>SUMPRODUCT(D9:F9,D24:F24)/SUM(D24:F24)*C9</f>
        <v>777.22554493675455</v>
      </c>
      <c r="E68" s="12">
        <f>SUMPRODUCT(J9:L9,D24:F24)/SUM(D24:F24)*C9</f>
        <v>217.26842691318663</v>
      </c>
      <c r="G68" s="12">
        <f>SUMPRODUCT(V8:X8,D24:F24)/SUM(D24:F24)*C8</f>
        <v>2488.57630716729</v>
      </c>
      <c r="H68" s="12">
        <f>SUMPRODUCT(S8:U8,D24:F24)/SUM(D24:F24)*C8</f>
        <v>2536.0033645488702</v>
      </c>
      <c r="I68" s="12"/>
      <c r="J68" s="2"/>
      <c r="K68" s="2">
        <f>Y8</f>
        <v>711.50000000000011</v>
      </c>
      <c r="L68" s="12">
        <f>E68</f>
        <v>217.26842691318663</v>
      </c>
      <c r="N68" s="12">
        <f>AB8*C8</f>
        <v>2343</v>
      </c>
      <c r="O68" s="12">
        <f>SUMPRODUCT(P8:R8,D23:F23)/SUM(D23:F23)*C8</f>
        <v>2641.6801191929694</v>
      </c>
      <c r="P68" s="12"/>
      <c r="Q68" s="12">
        <f>Z8</f>
        <v>751.1500000000002</v>
      </c>
      <c r="U68" s="110" t="str">
        <f t="shared" si="28"/>
        <v>straw</v>
      </c>
      <c r="X68" s="13">
        <f t="shared" si="32"/>
        <v>1.1297448457337229</v>
      </c>
      <c r="Y68" s="13">
        <f t="shared" si="32"/>
        <v>0.67138025374082655</v>
      </c>
      <c r="Z68" s="13">
        <f t="shared" si="33"/>
        <v>0</v>
      </c>
      <c r="AA68" s="13">
        <f t="shared" si="33"/>
        <v>0</v>
      </c>
      <c r="AB68" s="13">
        <f t="shared" si="33"/>
        <v>0</v>
      </c>
      <c r="AC68" s="13">
        <f t="shared" si="33"/>
        <v>0</v>
      </c>
      <c r="AD68" s="13">
        <f t="shared" si="33"/>
        <v>0</v>
      </c>
      <c r="AE68" s="13">
        <f t="shared" si="33"/>
        <v>3.1679738484393072</v>
      </c>
      <c r="AF68" s="13">
        <f t="shared" si="33"/>
        <v>0.67138025374082655</v>
      </c>
      <c r="AG68" s="13">
        <f t="shared" si="34"/>
        <v>0</v>
      </c>
      <c r="AH68" s="13">
        <f t="shared" si="34"/>
        <v>0</v>
      </c>
      <c r="AI68" s="13">
        <f t="shared" si="34"/>
        <v>0</v>
      </c>
      <c r="AJ68" s="13">
        <f t="shared" si="34"/>
        <v>0</v>
      </c>
      <c r="AK68" s="13">
        <f t="shared" si="34"/>
        <v>3.0977656304266756</v>
      </c>
      <c r="AL68" s="13">
        <f t="shared" si="34"/>
        <v>0</v>
      </c>
    </row>
    <row r="69" spans="1:38" outlineLevel="2" x14ac:dyDescent="0.25">
      <c r="B69" t="s">
        <v>413</v>
      </c>
      <c r="D69" s="12">
        <f>SUMPRODUCT(D12:F12,D24:F24)/SUM(D24:F24)*C12</f>
        <v>804.26595957734855</v>
      </c>
      <c r="E69" s="12">
        <f>SUMPRODUCT(J12:L12,D24:F24)/SUM(D24:F24)*C12</f>
        <v>1275.2992766219929</v>
      </c>
      <c r="G69" s="12"/>
      <c r="H69" s="12"/>
      <c r="I69" s="12"/>
      <c r="J69" s="2"/>
      <c r="L69" s="12">
        <f>E69</f>
        <v>1275.2992766219929</v>
      </c>
      <c r="N69" s="12"/>
      <c r="O69" s="12"/>
      <c r="P69" s="12"/>
      <c r="Q69" s="12"/>
      <c r="U69" s="110" t="str">
        <f t="shared" si="28"/>
        <v>grazing</v>
      </c>
      <c r="X69" s="13">
        <f t="shared" ref="X69:AF69" si="35">X61*D72/D$117*100</f>
        <v>58.050981669759572</v>
      </c>
      <c r="Y69" s="13">
        <f t="shared" si="35"/>
        <v>50.052481882315824</v>
      </c>
      <c r="Z69" s="13">
        <f t="shared" si="35"/>
        <v>100</v>
      </c>
      <c r="AA69" s="13">
        <f t="shared" si="35"/>
        <v>30.425854259446911</v>
      </c>
      <c r="AB69" s="13">
        <f t="shared" si="35"/>
        <v>30.282083494235561</v>
      </c>
      <c r="AC69" s="13">
        <f t="shared" si="35"/>
        <v>0</v>
      </c>
      <c r="AD69" s="13">
        <f t="shared" si="35"/>
        <v>0</v>
      </c>
      <c r="AE69" s="13">
        <f t="shared" si="35"/>
        <v>6.6079520088655128</v>
      </c>
      <c r="AF69" s="13">
        <f t="shared" si="35"/>
        <v>50.052481882315824</v>
      </c>
      <c r="AG69" s="13">
        <f t="shared" ref="AG69:AL69" si="36">AG61*M72/M$117*100</f>
        <v>0</v>
      </c>
      <c r="AH69" s="13">
        <f t="shared" si="36"/>
        <v>37.985802806201164</v>
      </c>
      <c r="AI69" s="13">
        <f t="shared" si="36"/>
        <v>38.614788214420173</v>
      </c>
      <c r="AJ69" s="13">
        <f t="shared" si="36"/>
        <v>0</v>
      </c>
      <c r="AK69" s="13">
        <f t="shared" si="36"/>
        <v>6.4615074492035101</v>
      </c>
      <c r="AL69" s="13">
        <f t="shared" si="36"/>
        <v>0</v>
      </c>
    </row>
    <row r="70" spans="1:38" outlineLevel="2" x14ac:dyDescent="0.25">
      <c r="B70" t="s">
        <v>408</v>
      </c>
      <c r="D70" s="12"/>
      <c r="E70" s="12"/>
      <c r="G70" s="12"/>
      <c r="H70" s="12"/>
      <c r="I70" s="12"/>
      <c r="J70" s="2">
        <f>H11*C11</f>
        <v>272</v>
      </c>
      <c r="N70" s="12"/>
      <c r="O70" s="12"/>
      <c r="P70" s="12"/>
      <c r="Q70" s="12">
        <f>Z11</f>
        <v>1250.5</v>
      </c>
      <c r="R70">
        <f>N11*C11</f>
        <v>436</v>
      </c>
      <c r="U70" s="110" t="str">
        <f t="shared" ref="U70:U101" si="37">B83</f>
        <v>wheat</v>
      </c>
      <c r="X70" s="13">
        <f t="shared" ref="X70:Y70" si="38">(D74+D83)/D$117*100</f>
        <v>0</v>
      </c>
      <c r="Y70" s="13">
        <f t="shared" si="38"/>
        <v>0</v>
      </c>
      <c r="Z70" s="13">
        <f t="shared" ref="Z70:AF70" si="39">(F74+F83)/F$117*100</f>
        <v>0</v>
      </c>
      <c r="AA70" s="13">
        <f t="shared" si="39"/>
        <v>0</v>
      </c>
      <c r="AB70" s="13">
        <f t="shared" si="39"/>
        <v>0</v>
      </c>
      <c r="AC70" s="13">
        <f t="shared" si="39"/>
        <v>8.7950802360888023</v>
      </c>
      <c r="AD70" s="13">
        <f t="shared" si="39"/>
        <v>6.338193642704308</v>
      </c>
      <c r="AE70" s="13">
        <f t="shared" si="39"/>
        <v>6.1497391870569844</v>
      </c>
      <c r="AF70" s="13">
        <f t="shared" si="39"/>
        <v>0</v>
      </c>
      <c r="AG70" s="13">
        <f t="shared" ref="AG70:AL70" si="40">(M74+M83)/M$117*100</f>
        <v>25.895167825161479</v>
      </c>
      <c r="AH70" s="13">
        <f t="shared" si="40"/>
        <v>1.3863617500865526</v>
      </c>
      <c r="AI70" s="13">
        <f t="shared" si="40"/>
        <v>1.3702995315856561</v>
      </c>
      <c r="AJ70" s="13">
        <f t="shared" si="40"/>
        <v>7.597272449205918</v>
      </c>
      <c r="AK70" s="13">
        <f t="shared" si="40"/>
        <v>5.0974881237730667</v>
      </c>
      <c r="AL70" s="13">
        <f t="shared" si="40"/>
        <v>6.3615760162052783</v>
      </c>
    </row>
    <row r="71" spans="1:38" outlineLevel="2" x14ac:dyDescent="0.25">
      <c r="B71" t="s">
        <v>403</v>
      </c>
      <c r="D71" s="12">
        <f>SUMPRODUCT(D13:F13,D24:F24)/SUM(D24:F24)*C13</f>
        <v>44.711555222661033</v>
      </c>
      <c r="E71" s="12">
        <f>SUMPRODUCT(J13:L13,D24:F24)/SUM(D24:F24)*C13</f>
        <v>20.785639384447773</v>
      </c>
      <c r="G71" s="12"/>
      <c r="H71" s="12"/>
      <c r="I71" s="12"/>
      <c r="K71" s="2">
        <f>Y13</f>
        <v>244</v>
      </c>
      <c r="L71" s="12">
        <f>E71</f>
        <v>20.785639384447773</v>
      </c>
      <c r="N71" s="12"/>
      <c r="O71" s="12"/>
      <c r="P71" s="12"/>
      <c r="Q71" s="12">
        <f>Z13</f>
        <v>244</v>
      </c>
      <c r="U71" s="110" t="str">
        <f t="shared" si="37"/>
        <v>barley</v>
      </c>
      <c r="X71" s="13">
        <f t="shared" ref="X71:Y72" si="41">(D76+D84)/D$117*100</f>
        <v>0</v>
      </c>
      <c r="Y71" s="13">
        <f t="shared" si="41"/>
        <v>0</v>
      </c>
      <c r="Z71" s="13">
        <f t="shared" ref="Z71:AF72" si="42">(F76+F84)/F$117*100</f>
        <v>0</v>
      </c>
      <c r="AA71" s="13">
        <f t="shared" si="42"/>
        <v>0</v>
      </c>
      <c r="AB71" s="13">
        <f t="shared" si="42"/>
        <v>0</v>
      </c>
      <c r="AC71" s="13">
        <f t="shared" si="42"/>
        <v>16.456273052444185</v>
      </c>
      <c r="AD71" s="13">
        <f t="shared" si="42"/>
        <v>13.009738603465815</v>
      </c>
      <c r="AE71" s="13">
        <f t="shared" si="42"/>
        <v>11.290606059990822</v>
      </c>
      <c r="AF71" s="13">
        <f t="shared" si="42"/>
        <v>0</v>
      </c>
      <c r="AG71" s="13">
        <f t="shared" ref="AG71:AL72" si="43">(M76+M84)/M$117*100</f>
        <v>28.160177745950715</v>
      </c>
      <c r="AH71" s="13">
        <f t="shared" si="43"/>
        <v>2.2689110468918563</v>
      </c>
      <c r="AI71" s="13">
        <f t="shared" si="43"/>
        <v>2.1464108702309166</v>
      </c>
      <c r="AJ71" s="13">
        <f t="shared" si="43"/>
        <v>13.591338970365666</v>
      </c>
      <c r="AK71" s="13">
        <f t="shared" si="43"/>
        <v>8.404170018075888</v>
      </c>
      <c r="AL71" s="13">
        <f t="shared" si="43"/>
        <v>12.896189928777954</v>
      </c>
    </row>
    <row r="72" spans="1:38" outlineLevel="2" x14ac:dyDescent="0.25">
      <c r="B72" t="s">
        <v>400</v>
      </c>
      <c r="D72" s="12">
        <f>SUMPRODUCT(D14:F14,D24:F24)/SUM(D24:F24)*C14+SUMPRODUCT(D15:F15,D24:F24)/SUM(D24:F24)*C15</f>
        <v>2297.4653811953758</v>
      </c>
      <c r="E72" s="12">
        <f>SUMPRODUCT(J14:L14,D24:F24)/SUM(D24:F24)*C14+SUMPRODUCT(J15:L15,D24:F24)/SUM(D24:F24)*C15</f>
        <v>1549.6029752225008</v>
      </c>
      <c r="F72" s="293">
        <v>100</v>
      </c>
      <c r="G72" s="12">
        <f>SUMPRODUCT(V14:X14,D24:F24)/SUM(D24:F24)*C14+SUMPRODUCT(V15:X15,D24:F24)/SUM(D24:F24)*C15</f>
        <v>1099.6632647339202</v>
      </c>
      <c r="H72" s="12">
        <f>SUMPRODUCT(S14:U14,D24:F24)/SUM(D24:F24)*C14+SUMPRODUCT(S15:U15,D24:F24)/SUM(D24:F24)*C15</f>
        <v>1112.7040318510626</v>
      </c>
      <c r="I72" s="12"/>
      <c r="K72">
        <f>Y15</f>
        <v>782.99999999999989</v>
      </c>
      <c r="L72" s="12">
        <f>E72</f>
        <v>1549.6029752225008</v>
      </c>
      <c r="M72" s="2"/>
      <c r="N72" s="12">
        <f>AB14*C14+AB15*C15</f>
        <v>1600</v>
      </c>
      <c r="O72" s="12">
        <f>SUMPRODUCT(P14:R14,D23:F23)/SUM(D23:F23)*C14+SUMPRODUCT(P15:R15,D23:F23)/SUM(D23:F23)*C15</f>
        <v>1853.7099113910278</v>
      </c>
      <c r="P72" s="12"/>
      <c r="Q72" s="12">
        <f>Z15</f>
        <v>782.99999999999989</v>
      </c>
      <c r="T72" s="2"/>
      <c r="U72" s="110" t="str">
        <f t="shared" si="37"/>
        <v>oats</v>
      </c>
      <c r="X72" s="13">
        <f t="shared" si="41"/>
        <v>0</v>
      </c>
      <c r="Y72" s="13">
        <f t="shared" si="41"/>
        <v>0</v>
      </c>
      <c r="Z72" s="13">
        <f t="shared" si="42"/>
        <v>0</v>
      </c>
      <c r="AA72" s="13">
        <f t="shared" si="42"/>
        <v>0</v>
      </c>
      <c r="AB72" s="13">
        <f t="shared" si="42"/>
        <v>0</v>
      </c>
      <c r="AC72" s="13">
        <f t="shared" si="42"/>
        <v>3.6372465594215786</v>
      </c>
      <c r="AD72" s="13">
        <f t="shared" si="42"/>
        <v>2.6885792015166539</v>
      </c>
      <c r="AE72" s="13">
        <f t="shared" si="42"/>
        <v>2.5305995086863016</v>
      </c>
      <c r="AF72" s="13">
        <f t="shared" si="42"/>
        <v>0</v>
      </c>
      <c r="AG72" s="13">
        <f t="shared" si="43"/>
        <v>9.5204890127561814</v>
      </c>
      <c r="AH72" s="13">
        <f t="shared" si="43"/>
        <v>0.55429500315000624</v>
      </c>
      <c r="AI72" s="13">
        <f t="shared" si="43"/>
        <v>0.54223737074929057</v>
      </c>
      <c r="AJ72" s="13">
        <f t="shared" si="43"/>
        <v>3.1053519716836115</v>
      </c>
      <c r="AK72" s="13">
        <f t="shared" si="43"/>
        <v>2.0416884227683041</v>
      </c>
      <c r="AL72" s="13">
        <f t="shared" si="43"/>
        <v>2.68903535703005</v>
      </c>
    </row>
    <row r="73" spans="1:38" outlineLevel="2" x14ac:dyDescent="0.25">
      <c r="A73" s="155"/>
      <c r="B73" s="6" t="s">
        <v>461</v>
      </c>
      <c r="C73" s="6"/>
      <c r="D73" s="165"/>
      <c r="F73" s="165"/>
      <c r="G73" s="165"/>
      <c r="H73" s="165"/>
      <c r="I73" s="165">
        <f>(G16*D$24+I16*F$24)/(D$24+F$24)*C16</f>
        <v>630.77661825605128</v>
      </c>
      <c r="J73" s="72">
        <f>H16*C16</f>
        <v>562.43999999999994</v>
      </c>
      <c r="K73" s="72">
        <f>Y16*C16</f>
        <v>1568.8483904071509</v>
      </c>
      <c r="M73" s="72"/>
      <c r="N73" s="165">
        <f>AB16*C16</f>
        <v>141.9</v>
      </c>
      <c r="O73" s="165">
        <f>SUMPRODUCT(P16:R16,D$23:F$23)/SUM(D$23:F$23)*C16</f>
        <v>139.41044642965076</v>
      </c>
      <c r="P73" s="165">
        <f>(M16*D$23+O16*F$23)/(D$23+F$23)*C16</f>
        <v>768.77373612665917</v>
      </c>
      <c r="Q73" s="165">
        <f>Z16*C16</f>
        <v>997.16339040715081</v>
      </c>
      <c r="R73" s="72">
        <f>N16*C16</f>
        <v>872.04</v>
      </c>
      <c r="T73" s="72"/>
      <c r="U73" s="110" t="str">
        <f t="shared" si="37"/>
        <v>triticale</v>
      </c>
      <c r="X73" s="13">
        <f t="shared" ref="X73:Y73" si="44">(D75+D86)/D$117*100</f>
        <v>0</v>
      </c>
      <c r="Y73" s="13">
        <f t="shared" si="44"/>
        <v>0</v>
      </c>
      <c r="Z73" s="13">
        <f t="shared" ref="Z73:AF73" si="45">(F75+F86)/F$117*100</f>
        <v>0</v>
      </c>
      <c r="AA73" s="13">
        <f t="shared" si="45"/>
        <v>0</v>
      </c>
      <c r="AB73" s="13">
        <f t="shared" si="45"/>
        <v>0</v>
      </c>
      <c r="AC73" s="13">
        <f t="shared" si="45"/>
        <v>5.8891480485237606</v>
      </c>
      <c r="AD73" s="13">
        <f t="shared" si="45"/>
        <v>5.0332855432745562</v>
      </c>
      <c r="AE73" s="13">
        <f t="shared" si="45"/>
        <v>3.9696382637077976</v>
      </c>
      <c r="AF73" s="13">
        <f t="shared" si="45"/>
        <v>0</v>
      </c>
      <c r="AG73" s="13">
        <f t="shared" ref="AG73:AL73" si="46">(M75+M86)/M$117*100</f>
        <v>3.4188101018837349</v>
      </c>
      <c r="AH73" s="13">
        <f t="shared" si="46"/>
        <v>0.70529164372503017</v>
      </c>
      <c r="AI73" s="13">
        <f t="shared" si="46"/>
        <v>0.63111634374194048</v>
      </c>
      <c r="AJ73" s="13">
        <f t="shared" si="46"/>
        <v>4.6592010515149394</v>
      </c>
      <c r="AK73" s="13">
        <f t="shared" si="46"/>
        <v>2.6355687688154275</v>
      </c>
      <c r="AL73" s="13">
        <f t="shared" si="46"/>
        <v>4.9410321920692617</v>
      </c>
    </row>
    <row r="74" spans="1:38" outlineLevel="2" x14ac:dyDescent="0.25">
      <c r="B74" s="166" t="s">
        <v>370</v>
      </c>
      <c r="C74" s="166"/>
      <c r="D74" s="12"/>
      <c r="F74" s="12"/>
      <c r="G74" s="12"/>
      <c r="H74" s="12"/>
      <c r="I74" s="12">
        <f t="shared" ref="I74:J77" si="47">I$73*$AF27</f>
        <v>147.69170057433243</v>
      </c>
      <c r="J74" s="12">
        <f t="shared" si="47"/>
        <v>131.69118459192447</v>
      </c>
      <c r="K74" s="12">
        <f>K$73*$AD27</f>
        <v>367.3342987302679</v>
      </c>
      <c r="M74" s="12"/>
      <c r="N74" s="12">
        <f t="shared" ref="N74:P77" si="48">N$73*$AF27</f>
        <v>33.224840149338753</v>
      </c>
      <c r="O74" s="12">
        <f t="shared" si="48"/>
        <v>32.641929512143051</v>
      </c>
      <c r="P74" s="12">
        <f t="shared" si="48"/>
        <v>180.00270961112176</v>
      </c>
      <c r="Q74" s="12">
        <f>Q$73*$AD27</f>
        <v>233.478465461947</v>
      </c>
      <c r="R74" s="12">
        <f>R$73*$AF27</f>
        <v>204.18174491775449</v>
      </c>
      <c r="T74" s="2"/>
      <c r="U74" s="110" t="str">
        <f t="shared" si="37"/>
        <v>rye</v>
      </c>
      <c r="X74" s="13">
        <f t="shared" ref="X74:Y74" si="49">(D78+D87)/D$117*100</f>
        <v>0</v>
      </c>
      <c r="Y74" s="13">
        <f t="shared" si="49"/>
        <v>0</v>
      </c>
      <c r="Z74" s="13">
        <f t="shared" ref="Z74:AF74" si="50">(F78+F87)/F$117*100</f>
        <v>0</v>
      </c>
      <c r="AA74" s="13">
        <f t="shared" si="50"/>
        <v>0</v>
      </c>
      <c r="AB74" s="13">
        <f t="shared" si="50"/>
        <v>0</v>
      </c>
      <c r="AC74" s="13">
        <f t="shared" si="50"/>
        <v>1.3507533293838584E-2</v>
      </c>
      <c r="AD74" s="13">
        <f t="shared" si="50"/>
        <v>0</v>
      </c>
      <c r="AE74" s="13">
        <f t="shared" si="50"/>
        <v>1.1272622080408017E-2</v>
      </c>
      <c r="AF74" s="13">
        <f t="shared" si="50"/>
        <v>0</v>
      </c>
      <c r="AG74" s="13">
        <f t="shared" ref="AG74:AL74" si="51">(M78+M87)/M$117*100</f>
        <v>0.21145675610695761</v>
      </c>
      <c r="AH74" s="13">
        <f t="shared" si="51"/>
        <v>4.8796554435071035E-3</v>
      </c>
      <c r="AI74" s="13">
        <f t="shared" si="51"/>
        <v>5.6371722021104978E-3</v>
      </c>
      <c r="AJ74" s="13">
        <f t="shared" si="51"/>
        <v>1.6945393347994473E-2</v>
      </c>
      <c r="AK74" s="13">
        <f t="shared" si="51"/>
        <v>1.7420276725880934E-2</v>
      </c>
      <c r="AL74" s="13">
        <f t="shared" si="51"/>
        <v>1.3668084713412143E-3</v>
      </c>
    </row>
    <row r="75" spans="1:38" outlineLevel="2" x14ac:dyDescent="0.25">
      <c r="B75" s="166" t="s">
        <v>477</v>
      </c>
      <c r="C75" s="166"/>
      <c r="D75" s="12"/>
      <c r="F75" s="12"/>
      <c r="G75" s="12"/>
      <c r="H75" s="12"/>
      <c r="I75" s="12">
        <f t="shared" si="47"/>
        <v>117.28491479872922</v>
      </c>
      <c r="J75" s="12">
        <f t="shared" si="47"/>
        <v>104.57858704683275</v>
      </c>
      <c r="K75" s="12">
        <f>K$73*$AD28</f>
        <v>291.70746739114861</v>
      </c>
      <c r="M75" s="12"/>
      <c r="N75" s="12">
        <f t="shared" si="48"/>
        <v>26.38450590631102</v>
      </c>
      <c r="O75" s="12">
        <f t="shared" si="48"/>
        <v>25.921604983964599</v>
      </c>
      <c r="P75" s="12">
        <f t="shared" si="48"/>
        <v>142.94372925617074</v>
      </c>
      <c r="Q75" s="12">
        <f>Q$73*$AD28</f>
        <v>185.40988980799563</v>
      </c>
      <c r="R75" s="12">
        <f>R$73*$AF28</f>
        <v>162.14478175151135</v>
      </c>
      <c r="T75" s="2"/>
      <c r="U75" s="110" t="str">
        <f t="shared" si="37"/>
        <v>maize</v>
      </c>
      <c r="X75" s="13">
        <f t="shared" ref="X75:Y75" si="52">D88/D$117*100</f>
        <v>0</v>
      </c>
      <c r="Y75" s="13">
        <f t="shared" si="52"/>
        <v>0</v>
      </c>
      <c r="Z75" s="13">
        <f t="shared" ref="Z75:AF75" si="53">F88/F$117*100</f>
        <v>0</v>
      </c>
      <c r="AA75" s="13">
        <f t="shared" si="53"/>
        <v>0</v>
      </c>
      <c r="AB75" s="13">
        <f t="shared" si="53"/>
        <v>0</v>
      </c>
      <c r="AC75" s="13">
        <f t="shared" si="53"/>
        <v>5.8685075988393134E-2</v>
      </c>
      <c r="AD75" s="13">
        <f t="shared" si="53"/>
        <v>0</v>
      </c>
      <c r="AE75" s="13">
        <f t="shared" si="53"/>
        <v>0.39798335104430993</v>
      </c>
      <c r="AF75" s="13">
        <f t="shared" si="53"/>
        <v>0</v>
      </c>
      <c r="AG75" s="13">
        <f t="shared" ref="AG75:AL75" si="54">M88/M$117*100</f>
        <v>0.91869888679500122</v>
      </c>
      <c r="AH75" s="13">
        <f t="shared" si="54"/>
        <v>2.1200240211883402E-2</v>
      </c>
      <c r="AI75" s="13">
        <f t="shared" si="54"/>
        <v>2.4491361364359067E-2</v>
      </c>
      <c r="AJ75" s="13">
        <f t="shared" si="54"/>
        <v>7.3621265603978081E-2</v>
      </c>
      <c r="AK75" s="13">
        <f t="shared" si="54"/>
        <v>0.6150281680723525</v>
      </c>
      <c r="AL75" s="13">
        <f t="shared" si="54"/>
        <v>4.8255588786707375E-2</v>
      </c>
    </row>
    <row r="76" spans="1:38" outlineLevel="2" x14ac:dyDescent="0.25">
      <c r="B76" s="166" t="s">
        <v>404</v>
      </c>
      <c r="C76" s="166"/>
      <c r="D76" s="12"/>
      <c r="F76" s="12"/>
      <c r="G76" s="12"/>
      <c r="H76" s="12"/>
      <c r="I76" s="12">
        <f t="shared" si="47"/>
        <v>303.15110687492233</v>
      </c>
      <c r="J76" s="12">
        <f t="shared" si="47"/>
        <v>270.30854285965057</v>
      </c>
      <c r="K76" s="12">
        <f>K$73*$AD29</f>
        <v>753.98819852546956</v>
      </c>
      <c r="M76" s="12"/>
      <c r="N76" s="12">
        <f t="shared" si="48"/>
        <v>68.197109437067823</v>
      </c>
      <c r="O76" s="12">
        <f t="shared" si="48"/>
        <v>67.000630527366965</v>
      </c>
      <c r="P76" s="12">
        <f t="shared" si="48"/>
        <v>369.4724920012211</v>
      </c>
      <c r="Q76" s="12">
        <f>Q$73*$AD29</f>
        <v>479.23651065704036</v>
      </c>
      <c r="R76" s="12">
        <f>R$73*$AF29</f>
        <v>419.10223617688945</v>
      </c>
      <c r="T76" s="72"/>
      <c r="U76" s="110" t="str">
        <f t="shared" si="37"/>
        <v>peas</v>
      </c>
      <c r="X76" s="13">
        <f t="shared" ref="X76:AF77" si="55">(D80+D89)/D$117*100</f>
        <v>0</v>
      </c>
      <c r="Y76" s="13">
        <f t="shared" si="55"/>
        <v>0</v>
      </c>
      <c r="Z76" s="13">
        <f t="shared" si="55"/>
        <v>0</v>
      </c>
      <c r="AA76" s="13">
        <f t="shared" si="55"/>
        <v>0</v>
      </c>
      <c r="AB76" s="13">
        <f t="shared" si="55"/>
        <v>0</v>
      </c>
      <c r="AC76" s="13">
        <f t="shared" si="55"/>
        <v>1.230521308754674</v>
      </c>
      <c r="AD76" s="13">
        <f t="shared" si="55"/>
        <v>1.6370482011197791</v>
      </c>
      <c r="AE76" s="13">
        <f t="shared" si="55"/>
        <v>6.2198540886316538E-2</v>
      </c>
      <c r="AF76" s="13">
        <f t="shared" si="55"/>
        <v>0</v>
      </c>
      <c r="AG76" s="13">
        <f t="shared" ref="AG76:AL77" si="56">(M80+M89)/M$117*100</f>
        <v>0.14357819271231378</v>
      </c>
      <c r="AH76" s="13">
        <f t="shared" si="56"/>
        <v>3.3132642462517254E-3</v>
      </c>
      <c r="AI76" s="13">
        <f t="shared" si="56"/>
        <v>3.3129545230803178E-2</v>
      </c>
      <c r="AJ76" s="13">
        <f t="shared" si="56"/>
        <v>1.3794797059070938</v>
      </c>
      <c r="AK76" s="13">
        <f t="shared" si="56"/>
        <v>9.6119233524986178E-2</v>
      </c>
      <c r="AL76" s="13">
        <f t="shared" si="56"/>
        <v>0.43086866195785822</v>
      </c>
    </row>
    <row r="77" spans="1:38" outlineLevel="2" x14ac:dyDescent="0.25">
      <c r="B77" s="166" t="s">
        <v>435</v>
      </c>
      <c r="C77" s="166"/>
      <c r="D77" s="12"/>
      <c r="F77" s="12"/>
      <c r="G77" s="12"/>
      <c r="H77" s="12"/>
      <c r="I77" s="12">
        <f t="shared" si="47"/>
        <v>62.648896008067297</v>
      </c>
      <c r="J77" s="12">
        <f t="shared" si="47"/>
        <v>55.86168550159212</v>
      </c>
      <c r="K77" s="12">
        <f>K$73*$AD30</f>
        <v>155.81842576026466</v>
      </c>
      <c r="M77" s="12"/>
      <c r="N77" s="12">
        <f t="shared" si="48"/>
        <v>14.093544507282417</v>
      </c>
      <c r="O77" s="12">
        <f t="shared" si="48"/>
        <v>13.846281406176139</v>
      </c>
      <c r="P77" s="12">
        <f t="shared" si="48"/>
        <v>76.354805258145589</v>
      </c>
      <c r="Q77" s="12">
        <f>Q$73*$AD30</f>
        <v>99.03852448016778</v>
      </c>
      <c r="R77" s="12">
        <f>R$73*$AF30</f>
        <v>86.611237153844669</v>
      </c>
      <c r="U77" s="110" t="str">
        <f t="shared" si="37"/>
        <v>broad beans</v>
      </c>
      <c r="X77" s="13">
        <f t="shared" si="55"/>
        <v>0</v>
      </c>
      <c r="Y77" s="13">
        <f t="shared" si="55"/>
        <v>0</v>
      </c>
      <c r="Z77" s="13">
        <f t="shared" si="55"/>
        <v>0</v>
      </c>
      <c r="AA77" s="13">
        <f t="shared" si="55"/>
        <v>0</v>
      </c>
      <c r="AB77" s="13">
        <f t="shared" si="55"/>
        <v>0</v>
      </c>
      <c r="AC77" s="13">
        <f t="shared" si="55"/>
        <v>1.1908458068725807</v>
      </c>
      <c r="AD77" s="13">
        <f t="shared" si="55"/>
        <v>1.5539189073731028</v>
      </c>
      <c r="AE77" s="13">
        <f t="shared" si="55"/>
        <v>0.21373263842786655</v>
      </c>
      <c r="AF77" s="13">
        <f t="shared" si="55"/>
        <v>0</v>
      </c>
      <c r="AG77" s="13">
        <f t="shared" si="56"/>
        <v>0.49337726435088475</v>
      </c>
      <c r="AH77" s="13">
        <f t="shared" si="56"/>
        <v>1.1385358869662632E-2</v>
      </c>
      <c r="AI77" s="13">
        <f t="shared" si="56"/>
        <v>4.0966798466627027E-2</v>
      </c>
      <c r="AJ77" s="13">
        <f t="shared" si="56"/>
        <v>1.338045660068792</v>
      </c>
      <c r="AK77" s="13">
        <f t="shared" si="56"/>
        <v>0.33029420131428044</v>
      </c>
      <c r="AL77" s="13">
        <f t="shared" si="56"/>
        <v>0.42774566708132739</v>
      </c>
    </row>
    <row r="78" spans="1:38" outlineLevel="2" x14ac:dyDescent="0.25">
      <c r="B78" s="110" t="s">
        <v>463</v>
      </c>
      <c r="C78" s="110"/>
      <c r="D78" s="12"/>
      <c r="G78" s="12"/>
      <c r="H78" s="12"/>
      <c r="I78" s="12"/>
      <c r="J78" s="12"/>
      <c r="N78" s="12"/>
      <c r="O78" s="12"/>
      <c r="P78" s="12"/>
      <c r="Q78" s="12"/>
      <c r="R78" s="12"/>
      <c r="U78" s="110" t="str">
        <f t="shared" si="37"/>
        <v>rapeseed</v>
      </c>
      <c r="X78" s="13">
        <f t="shared" ref="X78:Y101" si="57">D91/D$117*100</f>
        <v>0</v>
      </c>
      <c r="Y78" s="13">
        <f t="shared" si="57"/>
        <v>0</v>
      </c>
      <c r="Z78" s="13">
        <f t="shared" ref="Z78:Z101" si="58">F91/F$117*100</f>
        <v>0</v>
      </c>
      <c r="AA78" s="13">
        <f t="shared" ref="AA78:AA101" si="59">G91/G$117*100</f>
        <v>0</v>
      </c>
      <c r="AB78" s="13">
        <f t="shared" ref="AB78:AB101" si="60">H91/H$117*100</f>
        <v>0</v>
      </c>
      <c r="AC78" s="13">
        <f t="shared" ref="AC78:AC101" si="61">I91/I$117*100</f>
        <v>0.49891518495011011</v>
      </c>
      <c r="AD78" s="13">
        <f t="shared" ref="AD78:AD101" si="62">J91/J$117*100</f>
        <v>0</v>
      </c>
      <c r="AE78" s="13">
        <f t="shared" ref="AE78:AF101" si="63">K91/K$117*100</f>
        <v>3.3834826631664936</v>
      </c>
      <c r="AF78" s="13">
        <f t="shared" si="63"/>
        <v>0</v>
      </c>
      <c r="AG78" s="13">
        <f t="shared" ref="AG78:AG101" si="64">M91/M$117*100</f>
        <v>7.8103813840071092</v>
      </c>
      <c r="AH78" s="13">
        <f t="shared" ref="AH78:AH101" si="65">N91/N$117*100</f>
        <v>0.18023529130967705</v>
      </c>
      <c r="AI78" s="13">
        <f t="shared" ref="AI78:AI101" si="66">O91/O$117*100</f>
        <v>0.20821498275295594</v>
      </c>
      <c r="AJ78" s="13">
        <f t="shared" ref="AJ78:AJ101" si="67">P91/P$117*100</f>
        <v>0.62589622193442496</v>
      </c>
      <c r="AK78" s="13">
        <f t="shared" ref="AK78:AK101" si="68">Q91/Q$117*100</f>
        <v>5.2287040112895822</v>
      </c>
      <c r="AL78" s="13">
        <f t="shared" ref="AL78:AL101" si="69">R91/R$117*100</f>
        <v>0.41024818659446338</v>
      </c>
    </row>
    <row r="79" spans="1:38" outlineLevel="2" x14ac:dyDescent="0.25">
      <c r="B79" s="6" t="s">
        <v>462</v>
      </c>
      <c r="C79" s="6"/>
      <c r="D79" s="165"/>
      <c r="F79" s="165"/>
      <c r="G79" s="165"/>
      <c r="H79" s="165"/>
      <c r="I79" s="165">
        <f>(G17*D$24+I17*F$24)/(D$24+F$24)*C17</f>
        <v>49.238160785457367</v>
      </c>
      <c r="J79" s="72">
        <f>H17*C17</f>
        <v>66.3</v>
      </c>
      <c r="M79" s="72"/>
      <c r="N79" s="165"/>
      <c r="O79" s="165">
        <f>SUMPRODUCT(P17:R17,D$23:F$23)/SUM(D$23:F$23)*C17</f>
        <v>2.7418595795607028</v>
      </c>
      <c r="P79" s="165">
        <f>(M17*D$23+O17*F$23)/(D$23+F$23)*C17</f>
        <v>86.918338397569158</v>
      </c>
      <c r="Q79" s="165"/>
      <c r="R79" s="72">
        <f>N17*C17</f>
        <v>27.2</v>
      </c>
      <c r="U79" s="110" t="str">
        <f t="shared" si="37"/>
        <v>linseed</v>
      </c>
      <c r="X79" s="13">
        <f t="shared" si="57"/>
        <v>0</v>
      </c>
      <c r="Y79" s="13">
        <f t="shared" si="57"/>
        <v>0</v>
      </c>
      <c r="Z79" s="13">
        <f t="shared" si="58"/>
        <v>0</v>
      </c>
      <c r="AA79" s="13">
        <f t="shared" si="59"/>
        <v>0</v>
      </c>
      <c r="AB79" s="13">
        <f t="shared" si="60"/>
        <v>0</v>
      </c>
      <c r="AC79" s="13">
        <f t="shared" si="61"/>
        <v>3.6802917118822752E-4</v>
      </c>
      <c r="AD79" s="13">
        <f t="shared" si="62"/>
        <v>0</v>
      </c>
      <c r="AE79" s="13">
        <f t="shared" si="63"/>
        <v>2.4958557242137649E-3</v>
      </c>
      <c r="AF79" s="13">
        <f t="shared" si="63"/>
        <v>0</v>
      </c>
      <c r="AG79" s="13">
        <f t="shared" si="64"/>
        <v>5.7613964740470527E-3</v>
      </c>
      <c r="AH79" s="13">
        <f t="shared" si="65"/>
        <v>1.3295214673853263E-4</v>
      </c>
      <c r="AI79" s="13">
        <f t="shared" si="66"/>
        <v>1.5359161204765519E-4</v>
      </c>
      <c r="AJ79" s="13">
        <f t="shared" si="67"/>
        <v>4.6169784916729557E-4</v>
      </c>
      <c r="AK79" s="13">
        <f t="shared" si="68"/>
        <v>3.8569994694707295E-3</v>
      </c>
      <c r="AL79" s="13">
        <f t="shared" si="69"/>
        <v>3.0262318054907772E-4</v>
      </c>
    </row>
    <row r="80" spans="1:38" outlineLevel="2" x14ac:dyDescent="0.25">
      <c r="B80" s="166" t="s">
        <v>434</v>
      </c>
      <c r="C80" s="166"/>
      <c r="D80" s="12"/>
      <c r="F80" s="12"/>
      <c r="G80" s="12"/>
      <c r="H80" s="12"/>
      <c r="I80" s="12">
        <f>I$79*$AF33</f>
        <v>25.260442931469107</v>
      </c>
      <c r="J80" s="12">
        <f>J$79*$AF33</f>
        <v>34.013605293946092</v>
      </c>
      <c r="M80" s="12"/>
      <c r="N80" s="292"/>
      <c r="O80" s="292">
        <f>O$79*$AD33</f>
        <v>1.4066444873394082</v>
      </c>
      <c r="P80" s="12">
        <f>P$79*$AD33</f>
        <v>44.591343213583066</v>
      </c>
      <c r="Q80" s="12"/>
      <c r="R80" s="12">
        <f>R$79*$AD33</f>
        <v>13.954299607772761</v>
      </c>
      <c r="U80" s="110" t="str">
        <f t="shared" si="37"/>
        <v>vegetable oils</v>
      </c>
      <c r="X80" s="13">
        <f t="shared" si="57"/>
        <v>0</v>
      </c>
      <c r="Y80" s="13">
        <f t="shared" si="57"/>
        <v>0</v>
      </c>
      <c r="Z80" s="13">
        <f t="shared" si="58"/>
        <v>0</v>
      </c>
      <c r="AA80" s="13">
        <f t="shared" si="59"/>
        <v>0</v>
      </c>
      <c r="AB80" s="13">
        <f t="shared" si="60"/>
        <v>0</v>
      </c>
      <c r="AC80" s="13">
        <f t="shared" si="61"/>
        <v>9.5013866211436822E-3</v>
      </c>
      <c r="AD80" s="13">
        <f t="shared" si="62"/>
        <v>0</v>
      </c>
      <c r="AE80" s="13">
        <f t="shared" si="63"/>
        <v>6.4435354702415792E-2</v>
      </c>
      <c r="AF80" s="13">
        <f t="shared" si="63"/>
        <v>0</v>
      </c>
      <c r="AG80" s="13">
        <f t="shared" si="64"/>
        <v>0.14874162067337257</v>
      </c>
      <c r="AH80" s="13">
        <f t="shared" si="65"/>
        <v>3.4324174472239043E-3</v>
      </c>
      <c r="AI80" s="13">
        <f t="shared" si="66"/>
        <v>3.9652652617667341E-3</v>
      </c>
      <c r="AJ80" s="13">
        <f t="shared" si="67"/>
        <v>1.1919625156141098E-2</v>
      </c>
      <c r="AK80" s="13">
        <f t="shared" si="68"/>
        <v>9.957591958992984E-2</v>
      </c>
      <c r="AL80" s="13">
        <f t="shared" si="69"/>
        <v>7.8128041579790201E-3</v>
      </c>
    </row>
    <row r="81" spans="2:38" outlineLevel="2" x14ac:dyDescent="0.25">
      <c r="B81" s="166" t="s">
        <v>467</v>
      </c>
      <c r="C81" s="166"/>
      <c r="D81" s="12"/>
      <c r="F81" s="12"/>
      <c r="G81" s="12"/>
      <c r="H81" s="12"/>
      <c r="I81" s="12">
        <f>I$79*$AF34</f>
        <v>23.97771785398826</v>
      </c>
      <c r="J81" s="12">
        <f>J$79*$AF34</f>
        <v>32.286394706053905</v>
      </c>
      <c r="M81" s="12"/>
      <c r="N81" s="292"/>
      <c r="O81" s="292">
        <f>O$79*$AD34</f>
        <v>1.3352150922212949</v>
      </c>
      <c r="P81" s="12">
        <f>P$79*$AD34</f>
        <v>42.326995183986099</v>
      </c>
      <c r="Q81" s="12"/>
      <c r="R81" s="12">
        <f>R$79*$AD34</f>
        <v>13.24570039222724</v>
      </c>
      <c r="U81" s="110" t="str">
        <f t="shared" si="37"/>
        <v>soybeans</v>
      </c>
      <c r="X81" s="13">
        <f t="shared" si="57"/>
        <v>0</v>
      </c>
      <c r="Y81" s="13">
        <f t="shared" si="57"/>
        <v>0</v>
      </c>
      <c r="Z81" s="13">
        <f t="shared" si="58"/>
        <v>0</v>
      </c>
      <c r="AA81" s="13">
        <f t="shared" si="59"/>
        <v>0</v>
      </c>
      <c r="AB81" s="13">
        <f t="shared" si="60"/>
        <v>0</v>
      </c>
      <c r="AC81" s="13">
        <f t="shared" si="61"/>
        <v>9.2850444567383218E-3</v>
      </c>
      <c r="AD81" s="13">
        <f t="shared" si="62"/>
        <v>0</v>
      </c>
      <c r="AE81" s="13">
        <f t="shared" si="63"/>
        <v>6.2968191575980506E-2</v>
      </c>
      <c r="AF81" s="13">
        <f t="shared" si="63"/>
        <v>0</v>
      </c>
      <c r="AG81" s="13">
        <f t="shared" si="64"/>
        <v>0.14535484299167828</v>
      </c>
      <c r="AH81" s="13">
        <f t="shared" si="65"/>
        <v>3.3542628947059953E-3</v>
      </c>
      <c r="AI81" s="13">
        <f t="shared" si="66"/>
        <v>3.8749780117707201E-3</v>
      </c>
      <c r="AJ81" s="13">
        <f t="shared" si="67"/>
        <v>1.1648220822436621E-2</v>
      </c>
      <c r="AK81" s="13">
        <f t="shared" si="68"/>
        <v>9.7308622107391843E-2</v>
      </c>
      <c r="AL81" s="13">
        <f t="shared" si="69"/>
        <v>7.6349102327017302E-3</v>
      </c>
    </row>
    <row r="82" spans="2:38" outlineLevel="2" x14ac:dyDescent="0.25">
      <c r="B82" s="6" t="s">
        <v>460</v>
      </c>
      <c r="C82" s="6"/>
      <c r="D82" s="165"/>
      <c r="F82" s="165"/>
      <c r="G82" s="165"/>
      <c r="H82" s="165"/>
      <c r="I82" s="165">
        <f>(G18*D$24+I18*F$24)/(D$24+F$24)*C18</f>
        <v>132.11599300087491</v>
      </c>
      <c r="J82" s="72"/>
      <c r="K82" s="165">
        <f>Y18*C18</f>
        <v>1370.1342545518819</v>
      </c>
      <c r="M82" s="294">
        <v>100</v>
      </c>
      <c r="N82" s="165">
        <f>AB18*C18</f>
        <v>97.2</v>
      </c>
      <c r="O82" s="165">
        <f>SUMPRODUCT(P18:R18,D$23:F$23)/SUM(D$23:F$23)*C18</f>
        <v>127.97579935447216</v>
      </c>
      <c r="P82" s="165">
        <f>(M18*D$23+O18*F$23)/(D$23+F$23)*C18</f>
        <v>261.21784663361586</v>
      </c>
      <c r="Q82" s="165">
        <f>Z18*C18</f>
        <v>2165.3407913577166</v>
      </c>
      <c r="R82" s="72">
        <f>N18*C18</f>
        <v>71.100000000000009</v>
      </c>
      <c r="U82" s="110" t="str">
        <f t="shared" si="37"/>
        <v>soybean meal</v>
      </c>
      <c r="X82" s="13">
        <f t="shared" si="57"/>
        <v>0</v>
      </c>
      <c r="Y82" s="13">
        <f t="shared" si="57"/>
        <v>0</v>
      </c>
      <c r="Z82" s="13">
        <f t="shared" si="58"/>
        <v>0</v>
      </c>
      <c r="AA82" s="13">
        <f t="shared" si="59"/>
        <v>0</v>
      </c>
      <c r="AB82" s="13">
        <f t="shared" si="60"/>
        <v>0</v>
      </c>
      <c r="AC82" s="13">
        <f t="shared" si="61"/>
        <v>8.4815436019657742E-2</v>
      </c>
      <c r="AD82" s="13">
        <f t="shared" si="62"/>
        <v>0</v>
      </c>
      <c r="AE82" s="13">
        <f t="shared" si="63"/>
        <v>0.57519106653391427</v>
      </c>
      <c r="AF82" s="13">
        <f t="shared" si="63"/>
        <v>0</v>
      </c>
      <c r="AG82" s="13">
        <f t="shared" si="64"/>
        <v>1.3277625587415678</v>
      </c>
      <c r="AH82" s="13">
        <f t="shared" si="65"/>
        <v>3.0639946988362182E-2</v>
      </c>
      <c r="AI82" s="13">
        <f t="shared" si="66"/>
        <v>3.5396486378307765E-2</v>
      </c>
      <c r="AJ82" s="13">
        <f t="shared" si="67"/>
        <v>0.10640217529505162</v>
      </c>
      <c r="AK82" s="13">
        <f t="shared" si="68"/>
        <v>0.88887815787688529</v>
      </c>
      <c r="AL82" s="13">
        <f t="shared" si="69"/>
        <v>6.9742072143510206E-2</v>
      </c>
    </row>
    <row r="83" spans="2:38" outlineLevel="2" x14ac:dyDescent="0.25">
      <c r="B83" t="str">
        <f>L26</f>
        <v>wheat</v>
      </c>
      <c r="F83" s="13"/>
      <c r="I83" s="13">
        <f t="shared" ref="I83:I113" si="70">I$82*$W26</f>
        <v>34.211658111455151</v>
      </c>
      <c r="J83" s="13"/>
      <c r="K83" s="13">
        <f t="shared" ref="K83:K113" si="71">K$82*$U26</f>
        <v>106.32376583397684</v>
      </c>
      <c r="M83" s="13">
        <f t="shared" ref="M83:P113" si="72">M$82*$W26</f>
        <v>25.895167825161479</v>
      </c>
      <c r="N83" s="13">
        <f t="shared" si="72"/>
        <v>25.170103126056958</v>
      </c>
      <c r="O83" s="13">
        <f t="shared" si="72"/>
        <v>33.139548018432485</v>
      </c>
      <c r="P83" s="13">
        <f t="shared" si="72"/>
        <v>67.642799775047763</v>
      </c>
      <c r="Q83" s="13">
        <f t="shared" ref="Q83:R113" si="73">Q$82*$U26</f>
        <v>168.03257526495051</v>
      </c>
      <c r="R83" s="13">
        <f t="shared" si="73"/>
        <v>5.5174299348265068</v>
      </c>
      <c r="U83" s="110" t="str">
        <f t="shared" si="37"/>
        <v>soybean protein concentrate</v>
      </c>
      <c r="X83" s="13">
        <f t="shared" si="57"/>
        <v>0</v>
      </c>
      <c r="Y83" s="13">
        <f t="shared" si="57"/>
        <v>0</v>
      </c>
      <c r="Z83" s="13">
        <f t="shared" si="58"/>
        <v>0</v>
      </c>
      <c r="AA83" s="13">
        <f t="shared" si="59"/>
        <v>0</v>
      </c>
      <c r="AB83" s="13">
        <f t="shared" si="60"/>
        <v>0</v>
      </c>
      <c r="AC83" s="13">
        <f t="shared" si="61"/>
        <v>0</v>
      </c>
      <c r="AD83" s="13">
        <f t="shared" si="62"/>
        <v>0</v>
      </c>
      <c r="AE83" s="13">
        <f t="shared" si="63"/>
        <v>0</v>
      </c>
      <c r="AF83" s="13">
        <f t="shared" si="63"/>
        <v>0</v>
      </c>
      <c r="AG83" s="13">
        <f t="shared" si="64"/>
        <v>0</v>
      </c>
      <c r="AH83" s="13">
        <f t="shared" si="65"/>
        <v>0</v>
      </c>
      <c r="AI83" s="13">
        <f t="shared" si="66"/>
        <v>0</v>
      </c>
      <c r="AJ83" s="13">
        <f t="shared" si="67"/>
        <v>0</v>
      </c>
      <c r="AK83" s="13">
        <f t="shared" si="68"/>
        <v>0</v>
      </c>
      <c r="AL83" s="13">
        <f t="shared" si="69"/>
        <v>0</v>
      </c>
    </row>
    <row r="84" spans="2:38" outlineLevel="2" x14ac:dyDescent="0.25">
      <c r="B84" t="str">
        <f t="shared" ref="B84:B114" si="74">L27</f>
        <v>barley</v>
      </c>
      <c r="C84" s="166"/>
      <c r="F84" s="13"/>
      <c r="I84" s="13">
        <f t="shared" si="70"/>
        <v>37.204098459874182</v>
      </c>
      <c r="J84" s="13"/>
      <c r="K84" s="13">
        <f t="shared" si="71"/>
        <v>115.62373971542154</v>
      </c>
      <c r="M84" s="13">
        <f t="shared" si="72"/>
        <v>28.160177745950715</v>
      </c>
      <c r="N84" s="13">
        <f t="shared" si="72"/>
        <v>27.371692769064097</v>
      </c>
      <c r="O84" s="13">
        <f t="shared" si="72"/>
        <v>36.038212570020605</v>
      </c>
      <c r="P84" s="13">
        <f t="shared" si="72"/>
        <v>73.559409916171163</v>
      </c>
      <c r="Q84" s="13">
        <f t="shared" si="73"/>
        <v>182.73012241199254</v>
      </c>
      <c r="R84" s="13">
        <f t="shared" si="73"/>
        <v>6.0000309213896665</v>
      </c>
      <c r="U84" s="110" t="str">
        <f t="shared" si="37"/>
        <v>rapeseed meal</v>
      </c>
      <c r="X84" s="13">
        <f t="shared" si="57"/>
        <v>0</v>
      </c>
      <c r="Y84" s="13">
        <f t="shared" si="57"/>
        <v>0</v>
      </c>
      <c r="Z84" s="13">
        <f t="shared" si="58"/>
        <v>0</v>
      </c>
      <c r="AA84" s="13">
        <f t="shared" si="59"/>
        <v>0</v>
      </c>
      <c r="AB84" s="13">
        <f t="shared" si="60"/>
        <v>0</v>
      </c>
      <c r="AC84" s="13">
        <f t="shared" si="61"/>
        <v>0.65508327684698231</v>
      </c>
      <c r="AD84" s="13">
        <f t="shared" si="62"/>
        <v>0</v>
      </c>
      <c r="AE84" s="13">
        <f t="shared" si="63"/>
        <v>4.4425645420347344</v>
      </c>
      <c r="AF84" s="13">
        <f t="shared" si="63"/>
        <v>0</v>
      </c>
      <c r="AG84" s="13">
        <f t="shared" si="64"/>
        <v>10.255150343783729</v>
      </c>
      <c r="AH84" s="13">
        <f t="shared" si="65"/>
        <v>0.23665169711445078</v>
      </c>
      <c r="AI84" s="13">
        <f t="shared" si="66"/>
        <v>0.27338946038309825</v>
      </c>
      <c r="AJ84" s="13">
        <f t="shared" si="67"/>
        <v>0.82181132264384626</v>
      </c>
      <c r="AK84" s="13">
        <f t="shared" si="68"/>
        <v>6.8653684247374684</v>
      </c>
      <c r="AL84" s="13">
        <f t="shared" si="69"/>
        <v>0.53866215040479692</v>
      </c>
    </row>
    <row r="85" spans="2:38" outlineLevel="2" x14ac:dyDescent="0.25">
      <c r="B85" t="str">
        <f t="shared" si="74"/>
        <v>oats</v>
      </c>
      <c r="C85" s="166"/>
      <c r="F85" s="13"/>
      <c r="I85" s="13">
        <f t="shared" si="70"/>
        <v>12.57808859774202</v>
      </c>
      <c r="J85" s="13"/>
      <c r="K85" s="13">
        <f t="shared" si="71"/>
        <v>39.090468586716916</v>
      </c>
      <c r="M85" s="13">
        <f t="shared" si="72"/>
        <v>9.5204890127561814</v>
      </c>
      <c r="N85" s="13">
        <f t="shared" si="72"/>
        <v>9.2539153203990079</v>
      </c>
      <c r="O85" s="13">
        <f t="shared" si="72"/>
        <v>12.183921916529417</v>
      </c>
      <c r="P85" s="13">
        <f t="shared" si="72"/>
        <v>24.869216388111688</v>
      </c>
      <c r="Q85" s="13">
        <f t="shared" si="73"/>
        <v>61.778023506017249</v>
      </c>
      <c r="R85" s="13">
        <f t="shared" si="73"/>
        <v>2.0285109340796574</v>
      </c>
      <c r="U85" s="110" t="str">
        <f t="shared" si="37"/>
        <v>sunflower seed meal</v>
      </c>
      <c r="X85" s="13">
        <f t="shared" si="57"/>
        <v>0</v>
      </c>
      <c r="Y85" s="13">
        <f t="shared" si="57"/>
        <v>0</v>
      </c>
      <c r="Z85" s="13">
        <f t="shared" si="58"/>
        <v>0</v>
      </c>
      <c r="AA85" s="13">
        <f t="shared" si="59"/>
        <v>0</v>
      </c>
      <c r="AB85" s="13">
        <f t="shared" si="60"/>
        <v>0</v>
      </c>
      <c r="AC85" s="13">
        <f t="shared" si="61"/>
        <v>9.0493413936850002E-3</v>
      </c>
      <c r="AD85" s="13">
        <f t="shared" si="62"/>
        <v>0</v>
      </c>
      <c r="AE85" s="13">
        <f t="shared" si="63"/>
        <v>6.136972904857535E-2</v>
      </c>
      <c r="AF85" s="13">
        <f t="shared" si="63"/>
        <v>0</v>
      </c>
      <c r="AG85" s="13">
        <f t="shared" si="64"/>
        <v>0.14166497571291584</v>
      </c>
      <c r="AH85" s="13">
        <f t="shared" si="65"/>
        <v>3.2691141329254793E-3</v>
      </c>
      <c r="AI85" s="13">
        <f t="shared" si="66"/>
        <v>3.7766107728313516E-3</v>
      </c>
      <c r="AJ85" s="13">
        <f t="shared" si="67"/>
        <v>1.1352527964985915E-2</v>
      </c>
      <c r="AK85" s="13">
        <f t="shared" si="68"/>
        <v>9.4838419579113625E-2</v>
      </c>
      <c r="AL85" s="13">
        <f t="shared" si="69"/>
        <v>7.441096219600373E-3</v>
      </c>
    </row>
    <row r="86" spans="2:38" outlineLevel="2" x14ac:dyDescent="0.25">
      <c r="B86" t="str">
        <f t="shared" si="74"/>
        <v>triticale</v>
      </c>
      <c r="C86" s="166"/>
      <c r="F86" s="13"/>
      <c r="I86" s="13">
        <f t="shared" si="70"/>
        <v>4.5167949149179192</v>
      </c>
      <c r="J86" s="13"/>
      <c r="K86" s="13">
        <f t="shared" si="71"/>
        <v>14.037397523653777</v>
      </c>
      <c r="M86" s="13">
        <f t="shared" si="72"/>
        <v>3.4188101018837349</v>
      </c>
      <c r="N86" s="13">
        <f t="shared" si="72"/>
        <v>3.3230834190309904</v>
      </c>
      <c r="O86" s="13">
        <f t="shared" si="72"/>
        <v>4.3752495562971534</v>
      </c>
      <c r="P86" s="13">
        <f t="shared" si="72"/>
        <v>8.9305421286332205</v>
      </c>
      <c r="Q86" s="13">
        <f t="shared" si="73"/>
        <v>22.184504446546079</v>
      </c>
      <c r="R86" s="13">
        <f t="shared" si="73"/>
        <v>0.72843880854450294</v>
      </c>
      <c r="U86" s="110" t="str">
        <f t="shared" si="37"/>
        <v>palm kernel expeller</v>
      </c>
      <c r="X86" s="13">
        <f t="shared" si="57"/>
        <v>0</v>
      </c>
      <c r="Y86" s="13">
        <f t="shared" si="57"/>
        <v>0</v>
      </c>
      <c r="Z86" s="13">
        <f t="shared" si="58"/>
        <v>0</v>
      </c>
      <c r="AA86" s="13">
        <f t="shared" si="59"/>
        <v>0</v>
      </c>
      <c r="AB86" s="13">
        <f t="shared" si="60"/>
        <v>0</v>
      </c>
      <c r="AC86" s="13">
        <f t="shared" si="61"/>
        <v>5.880188879234155E-2</v>
      </c>
      <c r="AD86" s="13">
        <f t="shared" si="62"/>
        <v>0</v>
      </c>
      <c r="AE86" s="13">
        <f t="shared" si="63"/>
        <v>0.39877553799094467</v>
      </c>
      <c r="AF86" s="13">
        <f t="shared" si="63"/>
        <v>0</v>
      </c>
      <c r="AG86" s="13">
        <f t="shared" si="64"/>
        <v>0.92052755943695241</v>
      </c>
      <c r="AH86" s="13">
        <f t="shared" si="65"/>
        <v>2.1242439347895763E-2</v>
      </c>
      <c r="AI86" s="13">
        <f t="shared" si="66"/>
        <v>2.454011148600925E-2</v>
      </c>
      <c r="AJ86" s="13">
        <f t="shared" si="67"/>
        <v>7.3767808934127849E-2</v>
      </c>
      <c r="AK86" s="13">
        <f t="shared" si="68"/>
        <v>0.61625238331975196</v>
      </c>
      <c r="AL86" s="13">
        <f t="shared" si="69"/>
        <v>4.8351641667911303E-2</v>
      </c>
    </row>
    <row r="87" spans="2:38" outlineLevel="2" x14ac:dyDescent="0.25">
      <c r="B87" t="str">
        <f t="shared" si="74"/>
        <v>rye</v>
      </c>
      <c r="C87" s="166"/>
      <c r="F87" s="13"/>
      <c r="I87" s="13">
        <f t="shared" si="70"/>
        <v>0.27936819309814526</v>
      </c>
      <c r="J87" s="13"/>
      <c r="K87" s="13">
        <f t="shared" si="71"/>
        <v>0.86822679706607797</v>
      </c>
      <c r="M87" s="13">
        <f t="shared" si="72"/>
        <v>0.21145675610695761</v>
      </c>
      <c r="N87" s="13">
        <f t="shared" si="72"/>
        <v>0.20553596693596279</v>
      </c>
      <c r="O87" s="13">
        <f t="shared" si="72"/>
        <v>0.27061347391691565</v>
      </c>
      <c r="P87" s="13">
        <f t="shared" si="72"/>
        <v>0.55236278486389168</v>
      </c>
      <c r="Q87" s="13">
        <f t="shared" si="73"/>
        <v>1.3721333464886729</v>
      </c>
      <c r="R87" s="13">
        <f t="shared" si="73"/>
        <v>4.5054654364208975E-2</v>
      </c>
      <c r="U87" s="110" t="str">
        <f t="shared" si="37"/>
        <v>luzern meal</v>
      </c>
      <c r="X87" s="13">
        <f t="shared" si="57"/>
        <v>0</v>
      </c>
      <c r="Y87" s="13">
        <f t="shared" si="57"/>
        <v>0</v>
      </c>
      <c r="Z87" s="13">
        <f t="shared" si="58"/>
        <v>0</v>
      </c>
      <c r="AA87" s="13">
        <f t="shared" si="59"/>
        <v>0</v>
      </c>
      <c r="AB87" s="13">
        <f t="shared" si="60"/>
        <v>0</v>
      </c>
      <c r="AC87" s="13">
        <f t="shared" si="61"/>
        <v>1.7886888897567656E-2</v>
      </c>
      <c r="AD87" s="13">
        <f t="shared" si="62"/>
        <v>0</v>
      </c>
      <c r="AE87" s="13">
        <f t="shared" si="63"/>
        <v>0.12130313990935594</v>
      </c>
      <c r="AF87" s="13">
        <f t="shared" si="63"/>
        <v>0</v>
      </c>
      <c r="AG87" s="13">
        <f t="shared" si="64"/>
        <v>0.28001437574471844</v>
      </c>
      <c r="AH87" s="13">
        <f t="shared" si="65"/>
        <v>6.4617167974137888E-3</v>
      </c>
      <c r="AI87" s="13">
        <f t="shared" si="66"/>
        <v>7.4648324517994124E-3</v>
      </c>
      <c r="AJ87" s="13">
        <f t="shared" si="67"/>
        <v>2.2439357471687103E-2</v>
      </c>
      <c r="AK87" s="13">
        <f t="shared" si="68"/>
        <v>0.18745720825786316</v>
      </c>
      <c r="AL87" s="13">
        <f t="shared" si="69"/>
        <v>1.4708038471063079E-2</v>
      </c>
    </row>
    <row r="88" spans="2:38" outlineLevel="2" x14ac:dyDescent="0.25">
      <c r="B88" t="str">
        <f t="shared" si="74"/>
        <v>maize</v>
      </c>
      <c r="C88" s="166"/>
      <c r="F88" s="13"/>
      <c r="I88" s="13">
        <f t="shared" si="70"/>
        <v>1.2137481569771995</v>
      </c>
      <c r="J88" s="13"/>
      <c r="K88" s="13">
        <f t="shared" si="71"/>
        <v>30.653011136014133</v>
      </c>
      <c r="M88" s="13">
        <f t="shared" si="72"/>
        <v>0.91869888679500122</v>
      </c>
      <c r="N88" s="13">
        <f t="shared" si="72"/>
        <v>0.89297531796474128</v>
      </c>
      <c r="O88" s="13">
        <f t="shared" si="72"/>
        <v>1.1757122440365402</v>
      </c>
      <c r="P88" s="13">
        <f t="shared" si="72"/>
        <v>2.3998054491329026</v>
      </c>
      <c r="Q88" s="13">
        <f t="shared" si="73"/>
        <v>48.443585123314932</v>
      </c>
      <c r="R88" s="13">
        <f t="shared" si="73"/>
        <v>1.5906682754117496</v>
      </c>
      <c r="U88" s="110" t="str">
        <f t="shared" si="37"/>
        <v>wheat bran</v>
      </c>
      <c r="X88" s="13">
        <f t="shared" si="57"/>
        <v>0</v>
      </c>
      <c r="Y88" s="13">
        <f t="shared" si="57"/>
        <v>0</v>
      </c>
      <c r="Z88" s="13">
        <f t="shared" si="58"/>
        <v>0</v>
      </c>
      <c r="AA88" s="13">
        <f t="shared" si="59"/>
        <v>0</v>
      </c>
      <c r="AB88" s="13">
        <f t="shared" si="60"/>
        <v>0</v>
      </c>
      <c r="AC88" s="13">
        <f t="shared" si="61"/>
        <v>0.19488005713432707</v>
      </c>
      <c r="AD88" s="13">
        <f t="shared" si="62"/>
        <v>0</v>
      </c>
      <c r="AE88" s="13">
        <f t="shared" si="63"/>
        <v>1.321614002942858</v>
      </c>
      <c r="AF88" s="13">
        <f t="shared" si="63"/>
        <v>0</v>
      </c>
      <c r="AG88" s="13">
        <f t="shared" si="64"/>
        <v>3.0507942357144198</v>
      </c>
      <c r="AH88" s="13">
        <f t="shared" si="65"/>
        <v>7.0401272455886954E-2</v>
      </c>
      <c r="AI88" s="13">
        <f t="shared" si="66"/>
        <v>8.1330352250506319E-2</v>
      </c>
      <c r="AJ88" s="13">
        <f t="shared" si="67"/>
        <v>0.24447981374416825</v>
      </c>
      <c r="AK88" s="13">
        <f t="shared" si="68"/>
        <v>2.0423714635193808</v>
      </c>
      <c r="AL88" s="13">
        <f t="shared" si="69"/>
        <v>0.16024605474932127</v>
      </c>
    </row>
    <row r="89" spans="2:38" outlineLevel="2" x14ac:dyDescent="0.25">
      <c r="B89" t="str">
        <f t="shared" si="74"/>
        <v>peas</v>
      </c>
      <c r="C89" s="166"/>
      <c r="F89" s="13"/>
      <c r="I89" s="13">
        <f t="shared" si="70"/>
        <v>0.18968975503458319</v>
      </c>
      <c r="J89" s="13"/>
      <c r="K89" s="13">
        <f t="shared" si="71"/>
        <v>4.7905837302722256</v>
      </c>
      <c r="M89" s="13">
        <f t="shared" si="72"/>
        <v>0.14357819271231378</v>
      </c>
      <c r="N89" s="13">
        <f t="shared" si="72"/>
        <v>0.139558003316369</v>
      </c>
      <c r="O89" s="13">
        <f t="shared" si="72"/>
        <v>0.18374533982228808</v>
      </c>
      <c r="P89" s="13">
        <f t="shared" si="72"/>
        <v>0.37505186323856926</v>
      </c>
      <c r="Q89" s="13">
        <f t="shared" si="73"/>
        <v>7.570970750574916</v>
      </c>
      <c r="R89" s="13">
        <f t="shared" si="73"/>
        <v>0.2485964438088995</v>
      </c>
      <c r="U89" s="110" t="str">
        <f t="shared" si="37"/>
        <v>wheat bran, fine</v>
      </c>
      <c r="X89" s="13">
        <f t="shared" si="57"/>
        <v>0</v>
      </c>
      <c r="Y89" s="13">
        <f t="shared" si="57"/>
        <v>0</v>
      </c>
      <c r="Z89" s="13">
        <f t="shared" si="58"/>
        <v>0</v>
      </c>
      <c r="AA89" s="13">
        <f t="shared" si="59"/>
        <v>0</v>
      </c>
      <c r="AB89" s="13">
        <f t="shared" si="60"/>
        <v>0</v>
      </c>
      <c r="AC89" s="13">
        <f t="shared" si="61"/>
        <v>5.108654814463125E-4</v>
      </c>
      <c r="AD89" s="13">
        <f t="shared" si="62"/>
        <v>0</v>
      </c>
      <c r="AE89" s="13">
        <f t="shared" si="63"/>
        <v>3.4645257386917328E-3</v>
      </c>
      <c r="AF89" s="13">
        <f t="shared" si="63"/>
        <v>0</v>
      </c>
      <c r="AG89" s="13">
        <f t="shared" si="64"/>
        <v>7.9974600220257888E-3</v>
      </c>
      <c r="AH89" s="13">
        <f t="shared" si="65"/>
        <v>1.8455238815339291E-4</v>
      </c>
      <c r="AI89" s="13">
        <f t="shared" si="66"/>
        <v>2.1320226486804789E-4</v>
      </c>
      <c r="AJ89" s="13">
        <f t="shared" si="67"/>
        <v>6.4088803948898038E-4</v>
      </c>
      <c r="AK89" s="13">
        <f t="shared" si="68"/>
        <v>5.3539448640650723E-3</v>
      </c>
      <c r="AL89" s="13">
        <f t="shared" si="69"/>
        <v>4.2007468138700703E-4</v>
      </c>
    </row>
    <row r="90" spans="2:38" outlineLevel="2" x14ac:dyDescent="0.25">
      <c r="B90" t="str">
        <f t="shared" si="74"/>
        <v>broad beans</v>
      </c>
      <c r="F90" s="13"/>
      <c r="I90" s="13">
        <f t="shared" si="70"/>
        <v>0.65183027203772292</v>
      </c>
      <c r="J90" s="13"/>
      <c r="K90" s="13">
        <f t="shared" si="71"/>
        <v>16.461866881284816</v>
      </c>
      <c r="M90" s="13">
        <f t="shared" si="72"/>
        <v>0.49337726435088475</v>
      </c>
      <c r="N90" s="13">
        <f t="shared" si="72"/>
        <v>0.47956270094905995</v>
      </c>
      <c r="O90" s="13">
        <f t="shared" si="72"/>
        <v>0.63140349788627192</v>
      </c>
      <c r="P90" s="13">
        <f t="shared" si="72"/>
        <v>1.2887894657172236</v>
      </c>
      <c r="Q90" s="13">
        <f t="shared" si="73"/>
        <v>26.016101518171983</v>
      </c>
      <c r="R90" s="13">
        <f t="shared" si="73"/>
        <v>0.8542511300413812</v>
      </c>
      <c r="U90" s="110" t="str">
        <f t="shared" si="37"/>
        <v>oat hulls</v>
      </c>
      <c r="X90" s="13">
        <f t="shared" si="57"/>
        <v>0</v>
      </c>
      <c r="Y90" s="13">
        <f t="shared" si="57"/>
        <v>0</v>
      </c>
      <c r="Z90" s="13">
        <f t="shared" si="58"/>
        <v>0</v>
      </c>
      <c r="AA90" s="13">
        <f t="shared" si="59"/>
        <v>0</v>
      </c>
      <c r="AB90" s="13">
        <f t="shared" si="60"/>
        <v>0</v>
      </c>
      <c r="AC90" s="13">
        <f t="shared" si="61"/>
        <v>2.3471407966757316E-2</v>
      </c>
      <c r="AD90" s="13">
        <f t="shared" si="62"/>
        <v>0</v>
      </c>
      <c r="AE90" s="13">
        <f t="shared" si="63"/>
        <v>0.15917555594859789</v>
      </c>
      <c r="AF90" s="13">
        <f t="shared" si="63"/>
        <v>0</v>
      </c>
      <c r="AG90" s="13">
        <f t="shared" si="64"/>
        <v>0.36743850131225997</v>
      </c>
      <c r="AH90" s="13">
        <f t="shared" si="65"/>
        <v>8.4791487209590587E-3</v>
      </c>
      <c r="AI90" s="13">
        <f t="shared" si="66"/>
        <v>9.7954501133788105E-3</v>
      </c>
      <c r="AJ90" s="13">
        <f t="shared" si="67"/>
        <v>2.9445216367475335E-2</v>
      </c>
      <c r="AK90" s="13">
        <f t="shared" si="68"/>
        <v>0.24598378379417407</v>
      </c>
      <c r="AL90" s="13">
        <f t="shared" si="69"/>
        <v>1.9300079142998843E-2</v>
      </c>
    </row>
    <row r="91" spans="2:38" outlineLevel="2" x14ac:dyDescent="0.25">
      <c r="B91" t="str">
        <f t="shared" si="74"/>
        <v>rapeseed</v>
      </c>
      <c r="F91" s="13"/>
      <c r="I91" s="13">
        <f t="shared" si="70"/>
        <v>10.318762922636468</v>
      </c>
      <c r="J91" s="13"/>
      <c r="K91" s="13">
        <f t="shared" si="71"/>
        <v>260.59866946797524</v>
      </c>
      <c r="M91" s="13">
        <f t="shared" si="72"/>
        <v>7.8103813840071092</v>
      </c>
      <c r="N91" s="13">
        <f t="shared" si="72"/>
        <v>7.5916907052549103</v>
      </c>
      <c r="O91" s="13">
        <f t="shared" si="72"/>
        <v>9.9953980088159842</v>
      </c>
      <c r="P91" s="13">
        <f t="shared" si="72"/>
        <v>20.402110065176174</v>
      </c>
      <c r="Q91" s="13">
        <f t="shared" si="73"/>
        <v>411.84645030067469</v>
      </c>
      <c r="R91" s="13">
        <f t="shared" si="73"/>
        <v>13.523175073987931</v>
      </c>
      <c r="U91" s="110" t="str">
        <f t="shared" si="37"/>
        <v>oat bran</v>
      </c>
      <c r="X91" s="13">
        <f t="shared" si="57"/>
        <v>0</v>
      </c>
      <c r="Y91" s="13">
        <f t="shared" si="57"/>
        <v>0</v>
      </c>
      <c r="Z91" s="13">
        <f t="shared" si="58"/>
        <v>0</v>
      </c>
      <c r="AA91" s="13">
        <f t="shared" si="59"/>
        <v>0</v>
      </c>
      <c r="AB91" s="13">
        <f t="shared" si="60"/>
        <v>0</v>
      </c>
      <c r="AC91" s="13">
        <f t="shared" si="61"/>
        <v>2.6490134698680073E-3</v>
      </c>
      <c r="AD91" s="13">
        <f t="shared" si="62"/>
        <v>0</v>
      </c>
      <c r="AE91" s="13">
        <f t="shared" si="63"/>
        <v>1.7964759181842063E-2</v>
      </c>
      <c r="AF91" s="13">
        <f t="shared" si="63"/>
        <v>0</v>
      </c>
      <c r="AG91" s="13">
        <f t="shared" si="64"/>
        <v>4.1469584641145113E-2</v>
      </c>
      <c r="AH91" s="13">
        <f t="shared" si="65"/>
        <v>9.5696769476491604E-4</v>
      </c>
      <c r="AI91" s="13">
        <f t="shared" si="66"/>
        <v>1.1055271729123049E-3</v>
      </c>
      <c r="AJ91" s="13">
        <f t="shared" si="67"/>
        <v>3.3232252147418258E-3</v>
      </c>
      <c r="AK91" s="13">
        <f t="shared" si="68"/>
        <v>2.77620480868788E-2</v>
      </c>
      <c r="AL91" s="13">
        <f t="shared" si="69"/>
        <v>2.178231902054312E-3</v>
      </c>
    </row>
    <row r="92" spans="2:38" outlineLevel="2" x14ac:dyDescent="0.25">
      <c r="B92" t="str">
        <f t="shared" si="74"/>
        <v>linseed</v>
      </c>
      <c r="C92" s="93"/>
      <c r="F92" s="13"/>
      <c r="I92" s="13">
        <f t="shared" si="70"/>
        <v>7.6117261624046575E-3</v>
      </c>
      <c r="J92" s="13"/>
      <c r="K92" s="13">
        <f t="shared" si="71"/>
        <v>0.19223289895785448</v>
      </c>
      <c r="M92" s="13">
        <f t="shared" si="72"/>
        <v>5.7613964740470527E-3</v>
      </c>
      <c r="N92" s="13">
        <f t="shared" si="72"/>
        <v>5.6000773727737357E-3</v>
      </c>
      <c r="O92" s="13">
        <f t="shared" si="72"/>
        <v>7.3731931916420895E-3</v>
      </c>
      <c r="P92" s="13">
        <f t="shared" si="72"/>
        <v>1.5049795805530782E-2</v>
      </c>
      <c r="Q92" s="13">
        <f t="shared" si="73"/>
        <v>0.30380215381924586</v>
      </c>
      <c r="R92" s="13">
        <f t="shared" si="73"/>
        <v>9.9754889497114668E-3</v>
      </c>
      <c r="T92" s="6"/>
      <c r="U92" s="110" t="str">
        <f t="shared" si="37"/>
        <v>rye bran</v>
      </c>
      <c r="X92" s="13">
        <f t="shared" si="57"/>
        <v>0</v>
      </c>
      <c r="Y92" s="13">
        <f t="shared" si="57"/>
        <v>0</v>
      </c>
      <c r="Z92" s="13">
        <f t="shared" si="58"/>
        <v>0</v>
      </c>
      <c r="AA92" s="13">
        <f t="shared" si="59"/>
        <v>0</v>
      </c>
      <c r="AB92" s="13">
        <f t="shared" si="60"/>
        <v>0</v>
      </c>
      <c r="AC92" s="13">
        <f t="shared" si="61"/>
        <v>8.1695862566661028E-3</v>
      </c>
      <c r="AD92" s="13">
        <f t="shared" si="62"/>
        <v>0</v>
      </c>
      <c r="AE92" s="13">
        <f t="shared" si="63"/>
        <v>5.5403512056737859E-2</v>
      </c>
      <c r="AF92" s="13">
        <f t="shared" si="63"/>
        <v>0</v>
      </c>
      <c r="AG92" s="13">
        <f t="shared" si="64"/>
        <v>0.12789264856808435</v>
      </c>
      <c r="AH92" s="13">
        <f t="shared" si="65"/>
        <v>2.9512987442885481E-3</v>
      </c>
      <c r="AI92" s="13">
        <f t="shared" si="66"/>
        <v>3.4094577852959427E-3</v>
      </c>
      <c r="AJ92" s="13">
        <f t="shared" si="67"/>
        <v>1.0248862586385358E-2</v>
      </c>
      <c r="AK92" s="13">
        <f t="shared" si="68"/>
        <v>8.5618457243544915E-2</v>
      </c>
      <c r="AL92" s="13">
        <f t="shared" si="69"/>
        <v>6.7176907982054394E-3</v>
      </c>
    </row>
    <row r="93" spans="2:38" outlineLevel="2" x14ac:dyDescent="0.25">
      <c r="B93" t="str">
        <f t="shared" si="74"/>
        <v>vegetable oils</v>
      </c>
      <c r="F93" s="13"/>
      <c r="I93" s="13">
        <f t="shared" si="70"/>
        <v>0.19651146915822082</v>
      </c>
      <c r="J93" s="13"/>
      <c r="K93" s="13">
        <f t="shared" si="71"/>
        <v>4.962865004436499</v>
      </c>
      <c r="M93" s="13">
        <f t="shared" si="72"/>
        <v>0.14874162067337257</v>
      </c>
      <c r="N93" s="13">
        <f t="shared" si="72"/>
        <v>0.14457685529451814</v>
      </c>
      <c r="O93" s="13">
        <f t="shared" si="72"/>
        <v>0.19035327802954535</v>
      </c>
      <c r="P93" s="13">
        <f t="shared" si="72"/>
        <v>0.38853965857092504</v>
      </c>
      <c r="Q93" s="13">
        <f t="shared" si="73"/>
        <v>7.8432416388441766</v>
      </c>
      <c r="R93" s="13">
        <f t="shared" si="73"/>
        <v>0.25753658858112555</v>
      </c>
      <c r="U93" s="110" t="str">
        <f t="shared" si="37"/>
        <v>wheat distillers grain, dry</v>
      </c>
      <c r="X93" s="13">
        <f t="shared" si="57"/>
        <v>0</v>
      </c>
      <c r="Y93" s="13">
        <f t="shared" si="57"/>
        <v>0</v>
      </c>
      <c r="Z93" s="13">
        <f t="shared" si="58"/>
        <v>0</v>
      </c>
      <c r="AA93" s="13">
        <f t="shared" si="59"/>
        <v>0</v>
      </c>
      <c r="AB93" s="13">
        <f t="shared" si="60"/>
        <v>0</v>
      </c>
      <c r="AC93" s="13">
        <f t="shared" si="61"/>
        <v>0.20947754779055638</v>
      </c>
      <c r="AD93" s="13">
        <f t="shared" si="62"/>
        <v>0</v>
      </c>
      <c r="AE93" s="13">
        <f t="shared" si="63"/>
        <v>1.4206094996744831</v>
      </c>
      <c r="AF93" s="13">
        <f t="shared" si="63"/>
        <v>0</v>
      </c>
      <c r="AG93" s="13">
        <f t="shared" si="64"/>
        <v>3.2793139775740143</v>
      </c>
      <c r="AH93" s="13">
        <f t="shared" si="65"/>
        <v>7.5674679760735511E-2</v>
      </c>
      <c r="AI93" s="13">
        <f t="shared" si="66"/>
        <v>8.7422402276057576E-2</v>
      </c>
      <c r="AJ93" s="13">
        <f t="shared" si="67"/>
        <v>0.2627925741632976</v>
      </c>
      <c r="AK93" s="13">
        <f t="shared" si="68"/>
        <v>2.1953552977488813</v>
      </c>
      <c r="AL93" s="13">
        <f t="shared" si="69"/>
        <v>0.17224928546106344</v>
      </c>
    </row>
    <row r="94" spans="2:38" outlineLevel="2" x14ac:dyDescent="0.25">
      <c r="B94" t="str">
        <f t="shared" si="74"/>
        <v>soybeans</v>
      </c>
      <c r="C94" s="110"/>
      <c r="F94" s="13"/>
      <c r="I94" s="13">
        <f t="shared" si="70"/>
        <v>0.19203699419331838</v>
      </c>
      <c r="J94" s="13"/>
      <c r="K94" s="13">
        <f t="shared" si="71"/>
        <v>4.8498628712192149</v>
      </c>
      <c r="M94" s="13">
        <f t="shared" si="72"/>
        <v>0.14535484299167828</v>
      </c>
      <c r="N94" s="13">
        <f t="shared" si="72"/>
        <v>0.1412849073879113</v>
      </c>
      <c r="O94" s="13">
        <f t="shared" si="72"/>
        <v>0.18601902221903824</v>
      </c>
      <c r="P94" s="13">
        <f t="shared" si="72"/>
        <v>0.37969279084053531</v>
      </c>
      <c r="Q94" s="13">
        <f t="shared" si="73"/>
        <v>7.6646546662515878</v>
      </c>
      <c r="R94" s="13">
        <f t="shared" si="73"/>
        <v>0.25167259996464014</v>
      </c>
      <c r="U94" s="110" t="str">
        <f t="shared" si="37"/>
        <v>barley brewers grain</v>
      </c>
      <c r="X94" s="13">
        <f t="shared" si="57"/>
        <v>0</v>
      </c>
      <c r="Y94" s="13">
        <f t="shared" si="57"/>
        <v>0</v>
      </c>
      <c r="Z94" s="13">
        <f t="shared" si="58"/>
        <v>0</v>
      </c>
      <c r="AA94" s="13">
        <f t="shared" si="59"/>
        <v>0</v>
      </c>
      <c r="AB94" s="13">
        <f t="shared" si="60"/>
        <v>0</v>
      </c>
      <c r="AC94" s="13">
        <f t="shared" si="61"/>
        <v>0</v>
      </c>
      <c r="AD94" s="13">
        <f t="shared" si="62"/>
        <v>0</v>
      </c>
      <c r="AE94" s="13">
        <f t="shared" si="63"/>
        <v>0</v>
      </c>
      <c r="AF94" s="13">
        <f t="shared" si="63"/>
        <v>0</v>
      </c>
      <c r="AG94" s="13">
        <f t="shared" si="64"/>
        <v>0</v>
      </c>
      <c r="AH94" s="13">
        <f t="shared" si="65"/>
        <v>0</v>
      </c>
      <c r="AI94" s="13">
        <f t="shared" si="66"/>
        <v>0</v>
      </c>
      <c r="AJ94" s="13">
        <f t="shared" si="67"/>
        <v>0</v>
      </c>
      <c r="AK94" s="13">
        <f t="shared" si="68"/>
        <v>0</v>
      </c>
      <c r="AL94" s="13">
        <f t="shared" si="69"/>
        <v>0</v>
      </c>
    </row>
    <row r="95" spans="2:38" outlineLevel="2" x14ac:dyDescent="0.25">
      <c r="B95" t="str">
        <f t="shared" si="74"/>
        <v>soybean meal</v>
      </c>
      <c r="F95" s="13"/>
      <c r="I95" s="13">
        <f t="shared" si="70"/>
        <v>1.7541866891752473</v>
      </c>
      <c r="J95" s="13"/>
      <c r="K95" s="13">
        <f t="shared" si="71"/>
        <v>44.301697851267441</v>
      </c>
      <c r="M95" s="13">
        <f t="shared" si="72"/>
        <v>1.3277625587415678</v>
      </c>
      <c r="N95" s="13">
        <f t="shared" si="72"/>
        <v>1.290585207096804</v>
      </c>
      <c r="O95" s="13">
        <f t="shared" si="72"/>
        <v>1.6992147480789144</v>
      </c>
      <c r="P95" s="13">
        <f t="shared" si="72"/>
        <v>3.4683527643521224</v>
      </c>
      <c r="Q95" s="13">
        <f t="shared" si="73"/>
        <v>70.013776507710432</v>
      </c>
      <c r="R95" s="13">
        <f t="shared" si="73"/>
        <v>2.2989358208953838</v>
      </c>
      <c r="U95" s="110" t="str">
        <f t="shared" si="37"/>
        <v>maize gluten meal</v>
      </c>
      <c r="X95" s="13">
        <f t="shared" si="57"/>
        <v>0</v>
      </c>
      <c r="Y95" s="13">
        <f t="shared" si="57"/>
        <v>0</v>
      </c>
      <c r="Z95" s="13">
        <f t="shared" si="58"/>
        <v>0</v>
      </c>
      <c r="AA95" s="13">
        <f t="shared" si="59"/>
        <v>0</v>
      </c>
      <c r="AB95" s="13">
        <f t="shared" si="60"/>
        <v>0</v>
      </c>
      <c r="AC95" s="13">
        <f t="shared" si="61"/>
        <v>6.3297538628935548E-3</v>
      </c>
      <c r="AD95" s="13">
        <f t="shared" si="62"/>
        <v>0</v>
      </c>
      <c r="AE95" s="13">
        <f t="shared" si="63"/>
        <v>4.2926359235494246E-2</v>
      </c>
      <c r="AF95" s="13">
        <f t="shared" si="63"/>
        <v>0</v>
      </c>
      <c r="AG95" s="13">
        <f t="shared" si="64"/>
        <v>9.909057336275405E-2</v>
      </c>
      <c r="AH95" s="13">
        <f t="shared" si="65"/>
        <v>2.2866512501744235E-3</v>
      </c>
      <c r="AI95" s="13">
        <f t="shared" si="66"/>
        <v>2.6416305439262745E-3</v>
      </c>
      <c r="AJ95" s="13">
        <f t="shared" si="67"/>
        <v>7.940766583314298E-3</v>
      </c>
      <c r="AK95" s="13">
        <f t="shared" si="68"/>
        <v>6.6336745025503241E-2</v>
      </c>
      <c r="AL95" s="13">
        <f t="shared" si="69"/>
        <v>5.2048326492629164E-3</v>
      </c>
    </row>
    <row r="96" spans="2:38" outlineLevel="2" x14ac:dyDescent="0.25">
      <c r="B96" t="str">
        <f t="shared" si="74"/>
        <v>soybean protein concentrate</v>
      </c>
      <c r="F96" s="13"/>
      <c r="I96" s="13">
        <f t="shared" si="70"/>
        <v>0</v>
      </c>
      <c r="J96" s="13"/>
      <c r="K96" s="13">
        <f t="shared" si="71"/>
        <v>0</v>
      </c>
      <c r="M96" s="13">
        <f t="shared" si="72"/>
        <v>0</v>
      </c>
      <c r="N96" s="13">
        <f t="shared" si="72"/>
        <v>0</v>
      </c>
      <c r="O96" s="13">
        <f t="shared" si="72"/>
        <v>0</v>
      </c>
      <c r="P96" s="13">
        <f t="shared" si="72"/>
        <v>0</v>
      </c>
      <c r="Q96" s="13">
        <f t="shared" si="73"/>
        <v>0</v>
      </c>
      <c r="R96" s="13">
        <f t="shared" si="73"/>
        <v>0</v>
      </c>
      <c r="U96" s="110" t="str">
        <f t="shared" si="37"/>
        <v>sugar beet molasses</v>
      </c>
      <c r="X96" s="13">
        <f t="shared" si="57"/>
        <v>0</v>
      </c>
      <c r="Y96" s="13">
        <f t="shared" si="57"/>
        <v>0</v>
      </c>
      <c r="Z96" s="13">
        <f t="shared" si="58"/>
        <v>0</v>
      </c>
      <c r="AA96" s="13">
        <f t="shared" si="59"/>
        <v>0</v>
      </c>
      <c r="AB96" s="13">
        <f t="shared" si="60"/>
        <v>0</v>
      </c>
      <c r="AC96" s="13">
        <f t="shared" si="61"/>
        <v>7.0193131657187727E-2</v>
      </c>
      <c r="AD96" s="13">
        <f t="shared" si="62"/>
        <v>0</v>
      </c>
      <c r="AE96" s="13">
        <f t="shared" si="63"/>
        <v>0.47602729121024218</v>
      </c>
      <c r="AF96" s="13">
        <f t="shared" si="63"/>
        <v>0</v>
      </c>
      <c r="AG96" s="13">
        <f t="shared" si="64"/>
        <v>1.0988543650666409</v>
      </c>
      <c r="AH96" s="13">
        <f t="shared" si="65"/>
        <v>2.535757562367404E-2</v>
      </c>
      <c r="AI96" s="13">
        <f t="shared" si="66"/>
        <v>2.929408071401712E-2</v>
      </c>
      <c r="AJ96" s="13">
        <f t="shared" si="67"/>
        <v>8.8058285727207697E-2</v>
      </c>
      <c r="AK96" s="13">
        <f t="shared" si="68"/>
        <v>0.73563427238161927</v>
      </c>
      <c r="AL96" s="13">
        <f t="shared" si="69"/>
        <v>5.7718437607039867E-2</v>
      </c>
    </row>
    <row r="97" spans="2:38" outlineLevel="2" x14ac:dyDescent="0.25">
      <c r="B97" t="str">
        <f t="shared" si="74"/>
        <v>rapeseed meal</v>
      </c>
      <c r="F97" s="13"/>
      <c r="I97" s="13">
        <f t="shared" si="70"/>
        <v>13.548693710422512</v>
      </c>
      <c r="J97" s="13"/>
      <c r="K97" s="13">
        <f t="shared" si="71"/>
        <v>342.17004309883987</v>
      </c>
      <c r="M97" s="13">
        <f t="shared" si="72"/>
        <v>10.255150343783729</v>
      </c>
      <c r="N97" s="13">
        <f t="shared" si="72"/>
        <v>9.9680061341577861</v>
      </c>
      <c r="O97" s="13">
        <f t="shared" si="72"/>
        <v>13.124110627460128</v>
      </c>
      <c r="P97" s="13">
        <f t="shared" si="72"/>
        <v>26.788282897071714</v>
      </c>
      <c r="Q97" s="13">
        <f t="shared" si="73"/>
        <v>540.76069512244305</v>
      </c>
      <c r="R97" s="13">
        <f t="shared" si="73"/>
        <v>17.756135928653478</v>
      </c>
      <c r="U97" s="110" t="str">
        <f t="shared" si="37"/>
        <v>sugar beet pulp</v>
      </c>
      <c r="X97" s="13">
        <f t="shared" si="57"/>
        <v>0</v>
      </c>
      <c r="Y97" s="13">
        <f t="shared" si="57"/>
        <v>0</v>
      </c>
      <c r="Z97" s="13">
        <f t="shared" si="58"/>
        <v>0</v>
      </c>
      <c r="AA97" s="13">
        <f t="shared" si="59"/>
        <v>0</v>
      </c>
      <c r="AB97" s="13">
        <f t="shared" si="60"/>
        <v>0</v>
      </c>
      <c r="AC97" s="13">
        <f t="shared" si="61"/>
        <v>0.13544319950020575</v>
      </c>
      <c r="AD97" s="13">
        <f t="shared" si="62"/>
        <v>0</v>
      </c>
      <c r="AE97" s="13">
        <f t="shared" si="63"/>
        <v>0.91853231005300495</v>
      </c>
      <c r="AF97" s="13">
        <f t="shared" si="63"/>
        <v>0</v>
      </c>
      <c r="AG97" s="13">
        <f t="shared" si="64"/>
        <v>2.1203264119382346</v>
      </c>
      <c r="AH97" s="13">
        <f t="shared" si="65"/>
        <v>4.8929447838464507E-2</v>
      </c>
      <c r="AI97" s="13">
        <f t="shared" si="66"/>
        <v>5.6525245770502136E-2</v>
      </c>
      <c r="AJ97" s="13">
        <f t="shared" si="67"/>
        <v>0.16991542733333806</v>
      </c>
      <c r="AK97" s="13">
        <f t="shared" si="68"/>
        <v>1.4194645139923689</v>
      </c>
      <c r="AL97" s="13">
        <f t="shared" si="69"/>
        <v>0.11137229063707067</v>
      </c>
    </row>
    <row r="98" spans="2:38" outlineLevel="2" x14ac:dyDescent="0.25">
      <c r="B98" t="str">
        <f t="shared" si="74"/>
        <v>sunflower seed meal</v>
      </c>
      <c r="C98" s="110"/>
      <c r="F98" s="13"/>
      <c r="I98" s="13">
        <f t="shared" si="70"/>
        <v>0.18716208939756701</v>
      </c>
      <c r="J98" s="13"/>
      <c r="K98" s="13">
        <f t="shared" si="71"/>
        <v>4.7267479481339114</v>
      </c>
      <c r="M98" s="13">
        <f t="shared" si="72"/>
        <v>0.14166497571291584</v>
      </c>
      <c r="N98" s="13">
        <f t="shared" si="72"/>
        <v>0.13769835639295419</v>
      </c>
      <c r="O98" s="13">
        <f t="shared" si="72"/>
        <v>0.18129688507392289</v>
      </c>
      <c r="P98" s="13">
        <f t="shared" si="72"/>
        <v>0.37005419899131364</v>
      </c>
      <c r="Q98" s="13">
        <f t="shared" si="73"/>
        <v>7.4700855836264219</v>
      </c>
      <c r="R98" s="13">
        <f t="shared" si="73"/>
        <v>0.24528383112517485</v>
      </c>
      <c r="U98" s="110" t="str">
        <f t="shared" si="37"/>
        <v>whey powder</v>
      </c>
      <c r="X98" s="13">
        <f t="shared" si="57"/>
        <v>0</v>
      </c>
      <c r="Y98" s="13">
        <f t="shared" si="57"/>
        <v>0</v>
      </c>
      <c r="Z98" s="13">
        <f t="shared" si="58"/>
        <v>0</v>
      </c>
      <c r="AA98" s="13">
        <f t="shared" si="59"/>
        <v>0</v>
      </c>
      <c r="AB98" s="13">
        <f t="shared" si="60"/>
        <v>0</v>
      </c>
      <c r="AC98" s="13">
        <f t="shared" si="61"/>
        <v>0</v>
      </c>
      <c r="AD98" s="13">
        <f t="shared" si="62"/>
        <v>0</v>
      </c>
      <c r="AE98" s="13">
        <f t="shared" si="63"/>
        <v>0</v>
      </c>
      <c r="AF98" s="13">
        <f t="shared" si="63"/>
        <v>0</v>
      </c>
      <c r="AG98" s="13">
        <f t="shared" si="64"/>
        <v>0</v>
      </c>
      <c r="AH98" s="13">
        <f t="shared" si="65"/>
        <v>0</v>
      </c>
      <c r="AI98" s="13">
        <f t="shared" si="66"/>
        <v>0</v>
      </c>
      <c r="AJ98" s="13">
        <f t="shared" si="67"/>
        <v>0</v>
      </c>
      <c r="AK98" s="13">
        <f t="shared" si="68"/>
        <v>0</v>
      </c>
      <c r="AL98" s="13">
        <f t="shared" si="69"/>
        <v>0</v>
      </c>
    </row>
    <row r="99" spans="2:38" outlineLevel="2" x14ac:dyDescent="0.25">
      <c r="B99" t="str">
        <f t="shared" si="74"/>
        <v>palm kernel expeller</v>
      </c>
      <c r="F99" s="13"/>
      <c r="I99" s="13">
        <f t="shared" si="70"/>
        <v>1.2161641259968488</v>
      </c>
      <c r="J99" s="13"/>
      <c r="K99" s="13">
        <f t="shared" si="71"/>
        <v>30.714026038354344</v>
      </c>
      <c r="M99" s="13">
        <f t="shared" si="72"/>
        <v>0.92052755943695241</v>
      </c>
      <c r="N99" s="13">
        <f t="shared" si="72"/>
        <v>0.89475278777271783</v>
      </c>
      <c r="O99" s="13">
        <f t="shared" si="72"/>
        <v>1.1780525024676538</v>
      </c>
      <c r="P99" s="13">
        <f t="shared" si="72"/>
        <v>2.4045822684301856</v>
      </c>
      <c r="Q99" s="13">
        <f t="shared" si="73"/>
        <v>48.540012211740056</v>
      </c>
      <c r="R99" s="13">
        <f t="shared" si="73"/>
        <v>1.5938345049560272</v>
      </c>
      <c r="U99" s="110" t="str">
        <f t="shared" si="37"/>
        <v>potatoe protein</v>
      </c>
      <c r="X99" s="13">
        <f t="shared" si="57"/>
        <v>0</v>
      </c>
      <c r="Y99" s="13">
        <f t="shared" si="57"/>
        <v>0</v>
      </c>
      <c r="Z99" s="13">
        <f t="shared" si="58"/>
        <v>0</v>
      </c>
      <c r="AA99" s="13">
        <f t="shared" si="59"/>
        <v>0</v>
      </c>
      <c r="AB99" s="13">
        <f t="shared" si="60"/>
        <v>0</v>
      </c>
      <c r="AC99" s="13">
        <f t="shared" si="61"/>
        <v>6.2009373017834091E-4</v>
      </c>
      <c r="AD99" s="13">
        <f t="shared" si="62"/>
        <v>0</v>
      </c>
      <c r="AE99" s="13">
        <f t="shared" si="63"/>
        <v>4.2052766660258274E-3</v>
      </c>
      <c r="AF99" s="13">
        <f t="shared" si="63"/>
        <v>0</v>
      </c>
      <c r="AG99" s="13">
        <f t="shared" si="64"/>
        <v>9.7073985170620554E-3</v>
      </c>
      <c r="AH99" s="13">
        <f t="shared" si="65"/>
        <v>2.240115704419248E-4</v>
      </c>
      <c r="AI99" s="13">
        <f t="shared" si="66"/>
        <v>2.5878708291312121E-4</v>
      </c>
      <c r="AJ99" s="13">
        <f t="shared" si="67"/>
        <v>7.7791643684418715E-4</v>
      </c>
      <c r="AK99" s="13">
        <f t="shared" si="68"/>
        <v>6.4986728649744927E-3</v>
      </c>
      <c r="AL99" s="13">
        <f t="shared" si="69"/>
        <v>5.0989093136080688E-4</v>
      </c>
    </row>
    <row r="100" spans="2:38" outlineLevel="2" x14ac:dyDescent="0.25">
      <c r="B100" t="str">
        <f t="shared" si="74"/>
        <v>luzern meal</v>
      </c>
      <c r="C100" s="93"/>
      <c r="F100" s="13"/>
      <c r="I100" s="13">
        <f t="shared" si="70"/>
        <v>0.36994377306033582</v>
      </c>
      <c r="J100" s="13"/>
      <c r="K100" s="13">
        <f t="shared" si="71"/>
        <v>9.3428694660671532</v>
      </c>
      <c r="M100" s="13">
        <f t="shared" si="72"/>
        <v>0.28001437574471844</v>
      </c>
      <c r="N100" s="13">
        <f t="shared" si="72"/>
        <v>0.27217397322386633</v>
      </c>
      <c r="O100" s="13">
        <f t="shared" si="72"/>
        <v>0.35835063566673864</v>
      </c>
      <c r="P100" s="13">
        <f t="shared" si="72"/>
        <v>0.73144752258491552</v>
      </c>
      <c r="Q100" s="13">
        <f t="shared" si="73"/>
        <v>14.76533872209648</v>
      </c>
      <c r="R100" s="13">
        <f t="shared" si="73"/>
        <v>0.48482695533704057</v>
      </c>
      <c r="U100" s="110" t="str">
        <f t="shared" si="37"/>
        <v>fish meal</v>
      </c>
      <c r="X100" s="13">
        <f t="shared" si="57"/>
        <v>0</v>
      </c>
      <c r="Y100" s="13">
        <f t="shared" si="57"/>
        <v>0</v>
      </c>
      <c r="Z100" s="13">
        <f t="shared" si="58"/>
        <v>0</v>
      </c>
      <c r="AA100" s="13">
        <f t="shared" si="59"/>
        <v>0</v>
      </c>
      <c r="AB100" s="13">
        <f t="shared" si="60"/>
        <v>0</v>
      </c>
      <c r="AC100" s="13">
        <f t="shared" si="61"/>
        <v>0</v>
      </c>
      <c r="AD100" s="13">
        <f t="shared" si="62"/>
        <v>0</v>
      </c>
      <c r="AE100" s="13">
        <f t="shared" si="63"/>
        <v>0</v>
      </c>
      <c r="AF100" s="13">
        <f t="shared" si="63"/>
        <v>0</v>
      </c>
      <c r="AG100" s="13">
        <f t="shared" si="64"/>
        <v>0</v>
      </c>
      <c r="AH100" s="13">
        <f t="shared" si="65"/>
        <v>0</v>
      </c>
      <c r="AI100" s="13">
        <f t="shared" si="66"/>
        <v>0</v>
      </c>
      <c r="AJ100" s="13">
        <f t="shared" si="67"/>
        <v>0</v>
      </c>
      <c r="AK100" s="13">
        <f t="shared" si="68"/>
        <v>0</v>
      </c>
      <c r="AL100" s="13">
        <f t="shared" si="69"/>
        <v>0</v>
      </c>
    </row>
    <row r="101" spans="2:38" outlineLevel="2" x14ac:dyDescent="0.25">
      <c r="B101" t="str">
        <f t="shared" si="74"/>
        <v>wheat bran</v>
      </c>
      <c r="C101" s="160"/>
      <c r="F101" s="13"/>
      <c r="I101" s="13">
        <f t="shared" si="70"/>
        <v>4.0305870989275583</v>
      </c>
      <c r="J101" s="13"/>
      <c r="K101" s="13">
        <f t="shared" si="71"/>
        <v>101.7918177818681</v>
      </c>
      <c r="M101" s="13">
        <f t="shared" si="72"/>
        <v>3.0507942357144198</v>
      </c>
      <c r="N101" s="13">
        <f t="shared" si="72"/>
        <v>2.9653719971144161</v>
      </c>
      <c r="O101" s="13">
        <f t="shared" si="72"/>
        <v>3.9042783098156884</v>
      </c>
      <c r="P101" s="13">
        <f t="shared" si="72"/>
        <v>7.9692190077556866</v>
      </c>
      <c r="Q101" s="13">
        <f t="shared" si="73"/>
        <v>160.8703486809909</v>
      </c>
      <c r="R101" s="13">
        <f t="shared" si="73"/>
        <v>5.2822548011237753</v>
      </c>
      <c r="U101" s="110" t="str">
        <f t="shared" si="37"/>
        <v>minerals</v>
      </c>
      <c r="X101" s="13">
        <f t="shared" si="57"/>
        <v>0.85909167246946194</v>
      </c>
      <c r="Y101" s="13">
        <f t="shared" si="57"/>
        <v>1.0659065118787974</v>
      </c>
      <c r="Z101" s="13">
        <f t="shared" si="58"/>
        <v>0</v>
      </c>
      <c r="AA101" s="13">
        <f t="shared" si="59"/>
        <v>0.71937677297698155</v>
      </c>
      <c r="AB101" s="13">
        <f t="shared" si="60"/>
        <v>0.70094215439405494</v>
      </c>
      <c r="AC101" s="13">
        <f t="shared" si="61"/>
        <v>0.59452761799360676</v>
      </c>
      <c r="AD101" s="13">
        <f t="shared" si="62"/>
        <v>0.57755060787201484</v>
      </c>
      <c r="AE101" s="13">
        <f t="shared" si="63"/>
        <v>0.66022570674046432</v>
      </c>
      <c r="AF101" s="13">
        <f t="shared" si="63"/>
        <v>1.0659065118787974</v>
      </c>
      <c r="AG101" s="13">
        <f t="shared" si="64"/>
        <v>0</v>
      </c>
      <c r="AH101" s="13">
        <f t="shared" si="65"/>
        <v>0.71223380261627178</v>
      </c>
      <c r="AI101" s="13">
        <f t="shared" si="66"/>
        <v>0.72908796527420217</v>
      </c>
      <c r="AJ101" s="13">
        <f t="shared" si="67"/>
        <v>0.66953698870828937</v>
      </c>
      <c r="AK101" s="13">
        <f t="shared" si="68"/>
        <v>0.83716818155279793</v>
      </c>
      <c r="AL101" s="13">
        <f t="shared" si="69"/>
        <v>0.66740688157168271</v>
      </c>
    </row>
    <row r="102" spans="2:38" outlineLevel="2" x14ac:dyDescent="0.25">
      <c r="B102" t="str">
        <f t="shared" si="74"/>
        <v>wheat bran, fine</v>
      </c>
      <c r="F102" s="13"/>
      <c r="I102" s="13">
        <f t="shared" si="70"/>
        <v>1.056592372294736E-2</v>
      </c>
      <c r="J102" s="13"/>
      <c r="K102" s="13">
        <f t="shared" si="71"/>
        <v>0.26684067504447334</v>
      </c>
      <c r="M102" s="13">
        <f t="shared" si="72"/>
        <v>7.9974600220257888E-3</v>
      </c>
      <c r="N102" s="13">
        <f t="shared" si="72"/>
        <v>7.7735311414090669E-3</v>
      </c>
      <c r="O102" s="13">
        <f t="shared" si="72"/>
        <v>1.0234813391241849E-2</v>
      </c>
      <c r="P102" s="13">
        <f t="shared" si="72"/>
        <v>2.0890792854920067E-2</v>
      </c>
      <c r="Q102" s="13">
        <f t="shared" si="73"/>
        <v>0.42171122760243929</v>
      </c>
      <c r="R102" s="13">
        <f t="shared" si="73"/>
        <v>1.3847089752432463E-2</v>
      </c>
    </row>
    <row r="103" spans="2:38" outlineLevel="1" x14ac:dyDescent="0.25">
      <c r="B103" t="str">
        <f t="shared" si="74"/>
        <v>oat hulls</v>
      </c>
      <c r="F103" s="13"/>
      <c r="I103" s="13">
        <f t="shared" si="70"/>
        <v>0.48544502467622502</v>
      </c>
      <c r="J103" s="13"/>
      <c r="K103" s="13">
        <f t="shared" si="71"/>
        <v>12.25983467969337</v>
      </c>
      <c r="M103" s="13">
        <f t="shared" si="72"/>
        <v>0.36743850131225997</v>
      </c>
      <c r="N103" s="13">
        <f t="shared" si="72"/>
        <v>0.35715022327551665</v>
      </c>
      <c r="O103" s="13">
        <f t="shared" si="72"/>
        <v>0.47023235919045736</v>
      </c>
      <c r="P103" s="13">
        <f t="shared" si="72"/>
        <v>0.95981494083071583</v>
      </c>
      <c r="Q103" s="13">
        <f t="shared" si="73"/>
        <v>19.375269276750132</v>
      </c>
      <c r="R103" s="13">
        <f t="shared" si="73"/>
        <v>0.63619622882232796</v>
      </c>
      <c r="X103" s="2">
        <f>SUM(X64:X101)</f>
        <v>100.00000000000001</v>
      </c>
      <c r="Y103" s="2">
        <f>SUM(Y64:Y101)</f>
        <v>99.999999999999986</v>
      </c>
      <c r="Z103" s="2">
        <f t="shared" ref="Z103:AC103" si="75">SUM(Z64:Z101)</f>
        <v>100</v>
      </c>
      <c r="AA103" s="2">
        <f t="shared" si="75"/>
        <v>100</v>
      </c>
      <c r="AB103" s="2">
        <f t="shared" si="75"/>
        <v>100</v>
      </c>
      <c r="AC103" s="2">
        <f t="shared" si="75"/>
        <v>99.999999999999986</v>
      </c>
      <c r="AD103" s="2">
        <f>SUM(AD64:AD101)</f>
        <v>100.00000000000001</v>
      </c>
      <c r="AE103" s="2">
        <f>SUM(AE64:AE101)</f>
        <v>99.999999999999986</v>
      </c>
      <c r="AF103" s="2">
        <f>SUM(AF64:AF101)</f>
        <v>99.999999999999986</v>
      </c>
      <c r="AG103" s="2">
        <f t="shared" ref="AG103:AL103" si="76">SUM(AG64:AG101)</f>
        <v>100</v>
      </c>
      <c r="AH103" s="2">
        <f t="shared" si="76"/>
        <v>99.999999999999915</v>
      </c>
      <c r="AI103" s="2">
        <f t="shared" si="76"/>
        <v>100.00000000000001</v>
      </c>
      <c r="AJ103" s="2">
        <f t="shared" si="76"/>
        <v>99.999999999999972</v>
      </c>
      <c r="AK103" s="2">
        <f t="shared" si="76"/>
        <v>100.00000000000003</v>
      </c>
      <c r="AL103" s="2">
        <f t="shared" si="76"/>
        <v>99.999999999999986</v>
      </c>
    </row>
    <row r="104" spans="2:38" outlineLevel="1" x14ac:dyDescent="0.25">
      <c r="B104" t="str">
        <f t="shared" si="74"/>
        <v>oat bran</v>
      </c>
      <c r="D104" s="165"/>
      <c r="F104" s="13"/>
      <c r="I104" s="13">
        <f t="shared" si="70"/>
        <v>5.4787953541987171E-2</v>
      </c>
      <c r="J104" s="13"/>
      <c r="K104" s="13">
        <f t="shared" si="71"/>
        <v>1.3836608034276965</v>
      </c>
      <c r="M104" s="13">
        <f t="shared" si="72"/>
        <v>4.1469584641145113E-2</v>
      </c>
      <c r="N104" s="13">
        <f t="shared" si="72"/>
        <v>4.030843627119305E-2</v>
      </c>
      <c r="O104" s="13">
        <f t="shared" si="72"/>
        <v>5.307103243348487E-2</v>
      </c>
      <c r="P104" s="13">
        <f t="shared" si="72"/>
        <v>0.10832595600750396</v>
      </c>
      <c r="Q104" s="13">
        <f t="shared" si="73"/>
        <v>2.1867179578286584</v>
      </c>
      <c r="R104" s="13">
        <f t="shared" si="73"/>
        <v>7.1801929480177093E-2</v>
      </c>
    </row>
    <row r="105" spans="2:38" x14ac:dyDescent="0.25">
      <c r="B105" t="str">
        <f t="shared" si="74"/>
        <v>rye bran</v>
      </c>
      <c r="F105" s="13"/>
      <c r="I105" s="13">
        <f t="shared" si="70"/>
        <v>0.16896664263084388</v>
      </c>
      <c r="J105" s="13"/>
      <c r="K105" s="13">
        <f t="shared" si="71"/>
        <v>4.2672249168041159</v>
      </c>
      <c r="M105" s="13">
        <f t="shared" si="72"/>
        <v>0.12789264856808435</v>
      </c>
      <c r="N105" s="13">
        <f t="shared" si="72"/>
        <v>0.124311654408178</v>
      </c>
      <c r="O105" s="13">
        <f t="shared" si="72"/>
        <v>0.16367163932061185</v>
      </c>
      <c r="P105" s="13">
        <f t="shared" si="72"/>
        <v>0.3340784225922479</v>
      </c>
      <c r="Q105" s="13">
        <f t="shared" si="73"/>
        <v>6.7438618862032884</v>
      </c>
      <c r="R105" s="13">
        <f t="shared" si="73"/>
        <v>0.22143792885756514</v>
      </c>
      <c r="U105" s="6"/>
      <c r="V105" s="6"/>
      <c r="W105" s="184" t="s">
        <v>504</v>
      </c>
      <c r="X105" s="72">
        <f>SUM(X64:X69)</f>
        <v>99.140908327530553</v>
      </c>
      <c r="Y105" s="72">
        <f>SUM(Y64:Y69)</f>
        <v>98.934093488121192</v>
      </c>
      <c r="Z105" s="72">
        <f t="shared" ref="Z105:AE105" si="77">SUM(Z64:Z69)</f>
        <v>100</v>
      </c>
      <c r="AA105" s="72">
        <f t="shared" si="77"/>
        <v>99.280623227023014</v>
      </c>
      <c r="AB105" s="72">
        <f t="shared" si="77"/>
        <v>99.299057845605944</v>
      </c>
      <c r="AC105" s="72">
        <f t="shared" si="77"/>
        <v>60.138713626619086</v>
      </c>
      <c r="AD105" s="72">
        <f t="shared" si="77"/>
        <v>69.161685292673766</v>
      </c>
      <c r="AE105" s="72">
        <f t="shared" si="77"/>
        <v>61.181494947984113</v>
      </c>
      <c r="AF105" s="72">
        <f t="shared" ref="AF105" si="78">SUM(AF64:AF69)</f>
        <v>98.934093488121192</v>
      </c>
      <c r="AG105" s="72">
        <f t="shared" ref="AG105:AL105" si="79">SUM(AG64:AG69)</f>
        <v>0</v>
      </c>
      <c r="AH105" s="72">
        <f t="shared" si="79"/>
        <v>93.611262790531981</v>
      </c>
      <c r="AI105" s="72">
        <f t="shared" si="79"/>
        <v>93.643850586069149</v>
      </c>
      <c r="AJ105" s="72">
        <f t="shared" si="79"/>
        <v>65.065884609325579</v>
      </c>
      <c r="AK105" s="72">
        <f t="shared" si="79"/>
        <v>59.012435259628177</v>
      </c>
      <c r="AL105" s="72">
        <f t="shared" si="79"/>
        <v>69.895702506416228</v>
      </c>
    </row>
    <row r="106" spans="2:38" x14ac:dyDescent="0.25">
      <c r="B106" t="str">
        <f t="shared" si="74"/>
        <v>wheat distillers grain, dry</v>
      </c>
      <c r="F106" s="13"/>
      <c r="I106" s="13">
        <f t="shared" si="70"/>
        <v>4.3324982250883979</v>
      </c>
      <c r="J106" s="13"/>
      <c r="K106" s="13">
        <f t="shared" si="71"/>
        <v>109.41653388058727</v>
      </c>
      <c r="M106" s="13">
        <f t="shared" si="72"/>
        <v>3.2793139775740143</v>
      </c>
      <c r="N106" s="13">
        <f t="shared" si="72"/>
        <v>3.1874931862019422</v>
      </c>
      <c r="O106" s="13">
        <f t="shared" si="72"/>
        <v>4.1967282761432809</v>
      </c>
      <c r="P106" s="13">
        <f t="shared" si="72"/>
        <v>8.5661533565740164</v>
      </c>
      <c r="Q106" s="13">
        <f t="shared" si="73"/>
        <v>172.92034212960976</v>
      </c>
      <c r="R106" s="13">
        <f t="shared" si="73"/>
        <v>5.677922096367217</v>
      </c>
      <c r="W106" s="184" t="s">
        <v>605</v>
      </c>
      <c r="X106" s="72">
        <f>X69/X105*100</f>
        <v>58.5540143307718</v>
      </c>
      <c r="Y106" s="72">
        <f>Y69/Y105*100</f>
        <v>50.591742560743761</v>
      </c>
      <c r="Z106" s="72">
        <f t="shared" ref="Z106:AE106" si="80">Z69/Z105*100</f>
        <v>100</v>
      </c>
      <c r="AA106" s="72">
        <f t="shared" si="80"/>
        <v>30.646316743875307</v>
      </c>
      <c r="AB106" s="72">
        <f t="shared" si="80"/>
        <v>30.495841704076714</v>
      </c>
      <c r="AC106" s="72">
        <f t="shared" si="80"/>
        <v>0</v>
      </c>
      <c r="AD106" s="72">
        <f t="shared" si="80"/>
        <v>0</v>
      </c>
      <c r="AE106" s="72">
        <f t="shared" si="80"/>
        <v>10.800572974693617</v>
      </c>
      <c r="AF106" s="72">
        <f t="shared" ref="AF106" si="81">AF69/AF105*100</f>
        <v>50.591742560743761</v>
      </c>
      <c r="AG106" s="72"/>
      <c r="AH106" s="72">
        <f>AH69/AH105*100</f>
        <v>40.578239918843529</v>
      </c>
      <c r="AI106" s="72">
        <f>AI69/AI105*100</f>
        <v>41.235797089451033</v>
      </c>
      <c r="AJ106" s="72">
        <f>AJ69/AJ105*100</f>
        <v>0</v>
      </c>
      <c r="AK106" s="72">
        <f>AK69/AK105*100</f>
        <v>10.949399767651991</v>
      </c>
      <c r="AL106" s="72">
        <f>AL69/AL105*100</f>
        <v>0</v>
      </c>
    </row>
    <row r="107" spans="2:38" x14ac:dyDescent="0.25">
      <c r="B107" t="str">
        <f t="shared" si="74"/>
        <v>barley brewers grain</v>
      </c>
      <c r="F107" s="13"/>
      <c r="I107" s="13">
        <f t="shared" si="70"/>
        <v>0</v>
      </c>
      <c r="J107" s="13"/>
      <c r="K107" s="13">
        <f t="shared" si="71"/>
        <v>0</v>
      </c>
      <c r="M107" s="13">
        <f t="shared" si="72"/>
        <v>0</v>
      </c>
      <c r="N107" s="13">
        <f t="shared" si="72"/>
        <v>0</v>
      </c>
      <c r="O107" s="13">
        <f t="shared" si="72"/>
        <v>0</v>
      </c>
      <c r="P107" s="13">
        <f t="shared" si="72"/>
        <v>0</v>
      </c>
      <c r="Q107" s="13">
        <f t="shared" si="73"/>
        <v>0</v>
      </c>
      <c r="R107" s="13">
        <f t="shared" si="73"/>
        <v>0</v>
      </c>
    </row>
    <row r="108" spans="2:38" x14ac:dyDescent="0.25">
      <c r="B108" t="str">
        <f t="shared" si="74"/>
        <v>maize gluten meal</v>
      </c>
      <c r="F108" s="13"/>
      <c r="I108" s="13">
        <f t="shared" si="70"/>
        <v>0.13091449496846297</v>
      </c>
      <c r="J108" s="13"/>
      <c r="K108" s="13">
        <f t="shared" si="71"/>
        <v>3.3062241528984204</v>
      </c>
      <c r="M108" s="13">
        <f t="shared" si="72"/>
        <v>9.909057336275405E-2</v>
      </c>
      <c r="N108" s="13">
        <f t="shared" si="72"/>
        <v>9.6316037308596933E-2</v>
      </c>
      <c r="O108" s="13">
        <f t="shared" si="72"/>
        <v>0.12681195334591416</v>
      </c>
      <c r="P108" s="13">
        <f t="shared" si="72"/>
        <v>0.25884226195508947</v>
      </c>
      <c r="Q108" s="13">
        <f t="shared" si="73"/>
        <v>5.2251098750790144</v>
      </c>
      <c r="R108" s="13">
        <f t="shared" si="73"/>
        <v>0.17156898055071318</v>
      </c>
    </row>
    <row r="109" spans="2:38" x14ac:dyDescent="0.25">
      <c r="B109" t="str">
        <f t="shared" si="74"/>
        <v>sugar beet molasses</v>
      </c>
      <c r="F109" s="13"/>
      <c r="I109" s="13">
        <f t="shared" si="70"/>
        <v>1.4517623560412518</v>
      </c>
      <c r="J109" s="13"/>
      <c r="K109" s="13">
        <f t="shared" si="71"/>
        <v>36.664020794401559</v>
      </c>
      <c r="M109" s="13">
        <f t="shared" si="72"/>
        <v>1.0988543650666409</v>
      </c>
      <c r="N109" s="13">
        <f t="shared" si="72"/>
        <v>1.0680864428447749</v>
      </c>
      <c r="O109" s="13">
        <f t="shared" si="72"/>
        <v>1.4062676574355435</v>
      </c>
      <c r="P109" s="13">
        <f t="shared" si="72"/>
        <v>2.8704037100665714</v>
      </c>
      <c r="Q109" s="13">
        <f t="shared" si="73"/>
        <v>57.943299744206961</v>
      </c>
      <c r="R109" s="13">
        <f t="shared" si="73"/>
        <v>1.9025959462158974</v>
      </c>
    </row>
    <row r="110" spans="2:38" x14ac:dyDescent="0.25">
      <c r="B110" t="str">
        <f t="shared" si="74"/>
        <v>sugar beet pulp</v>
      </c>
      <c r="F110" s="13"/>
      <c r="I110" s="13">
        <f t="shared" si="70"/>
        <v>2.8012902939920203</v>
      </c>
      <c r="J110" s="13"/>
      <c r="K110" s="13">
        <f t="shared" si="71"/>
        <v>70.746128085415293</v>
      </c>
      <c r="M110" s="13">
        <f t="shared" si="72"/>
        <v>2.1203264119382346</v>
      </c>
      <c r="N110" s="13">
        <f t="shared" si="72"/>
        <v>2.0609572724039644</v>
      </c>
      <c r="O110" s="13">
        <f t="shared" si="72"/>
        <v>2.7135046746019542</v>
      </c>
      <c r="P110" s="13">
        <f t="shared" si="72"/>
        <v>5.5386709948688679</v>
      </c>
      <c r="Q110" s="13">
        <f t="shared" si="73"/>
        <v>111.80617991633959</v>
      </c>
      <c r="R110" s="13">
        <f t="shared" si="73"/>
        <v>3.6712093651860145</v>
      </c>
    </row>
    <row r="111" spans="2:38" x14ac:dyDescent="0.25">
      <c r="B111" t="str">
        <f t="shared" si="74"/>
        <v>whey powder</v>
      </c>
      <c r="F111" s="13"/>
      <c r="I111" s="13">
        <f t="shared" si="70"/>
        <v>0</v>
      </c>
      <c r="J111" s="13"/>
      <c r="K111" s="13">
        <f t="shared" si="71"/>
        <v>0</v>
      </c>
      <c r="M111" s="13">
        <f t="shared" si="72"/>
        <v>0</v>
      </c>
      <c r="N111" s="13">
        <f t="shared" si="72"/>
        <v>0</v>
      </c>
      <c r="O111" s="13">
        <f t="shared" si="72"/>
        <v>0</v>
      </c>
      <c r="P111" s="13">
        <f t="shared" si="72"/>
        <v>0</v>
      </c>
      <c r="Q111" s="13">
        <f t="shared" si="73"/>
        <v>0</v>
      </c>
      <c r="R111" s="13">
        <f t="shared" si="73"/>
        <v>0</v>
      </c>
    </row>
    <row r="112" spans="2:38" x14ac:dyDescent="0.25">
      <c r="B112" t="str">
        <f t="shared" si="74"/>
        <v>potatoe protein</v>
      </c>
      <c r="F112" s="13"/>
      <c r="I112" s="13">
        <f t="shared" si="70"/>
        <v>1.282502594536874E-2</v>
      </c>
      <c r="J112" s="13"/>
      <c r="K112" s="13">
        <f t="shared" si="71"/>
        <v>0.32389393208400408</v>
      </c>
      <c r="M112" s="13">
        <f t="shared" si="72"/>
        <v>9.7073985170620554E-3</v>
      </c>
      <c r="N112" s="13">
        <f t="shared" si="72"/>
        <v>9.4355913585843186E-3</v>
      </c>
      <c r="O112" s="13">
        <f t="shared" si="72"/>
        <v>1.2423120848734343E-2</v>
      </c>
      <c r="P112" s="13">
        <f t="shared" si="72"/>
        <v>2.5357457370413061E-2</v>
      </c>
      <c r="Q112" s="13">
        <f t="shared" si="73"/>
        <v>0.51187738784336978</v>
      </c>
      <c r="R112" s="13">
        <f t="shared" si="73"/>
        <v>1.6807738726818816E-2</v>
      </c>
    </row>
    <row r="113" spans="2:18" x14ac:dyDescent="0.25">
      <c r="B113" t="str">
        <f t="shared" si="74"/>
        <v>fish meal</v>
      </c>
      <c r="F113" s="13"/>
      <c r="I113" s="13">
        <f t="shared" si="70"/>
        <v>0</v>
      </c>
      <c r="J113" s="13"/>
      <c r="K113" s="13">
        <f t="shared" si="71"/>
        <v>0</v>
      </c>
      <c r="M113" s="13">
        <f t="shared" si="72"/>
        <v>0</v>
      </c>
      <c r="N113" s="13">
        <f t="shared" si="72"/>
        <v>0</v>
      </c>
      <c r="O113" s="13">
        <f t="shared" si="72"/>
        <v>0</v>
      </c>
      <c r="P113" s="13">
        <f t="shared" si="72"/>
        <v>0</v>
      </c>
      <c r="Q113" s="13">
        <f t="shared" si="73"/>
        <v>0</v>
      </c>
      <c r="R113" s="13">
        <f t="shared" si="73"/>
        <v>0</v>
      </c>
    </row>
    <row r="114" spans="2:18" x14ac:dyDescent="0.25">
      <c r="B114" s="6" t="str">
        <f t="shared" si="74"/>
        <v>minerals</v>
      </c>
      <c r="D114" s="72">
        <f>SUMPRODUCT(D19:F19,D24:F24)/SUM(D24:F24)*C19</f>
        <v>34</v>
      </c>
      <c r="E114" s="6">
        <f>SUMPRODUCT(J19:L19,D24:F24)/SUM(D24:F24)*C19</f>
        <v>33</v>
      </c>
      <c r="F114" s="72"/>
      <c r="G114" s="72">
        <f>SUMPRODUCT(V19:X19,D24:F24)/SUM(D24:F24)*C19</f>
        <v>26</v>
      </c>
      <c r="H114" s="72">
        <f>SUMPRODUCT(S19:U19,D24:F24)/SUM(D24:F24)*C19</f>
        <v>25.755861925323035</v>
      </c>
      <c r="I114" s="72">
        <f>(G19*D24+I19*F24)/(D24+F24)*C19</f>
        <v>12.296257412267911</v>
      </c>
      <c r="J114" s="72">
        <f>H19*C19</f>
        <v>12</v>
      </c>
      <c r="K114" s="72">
        <f>Y19*C19</f>
        <v>50.85113708373455</v>
      </c>
      <c r="L114" s="165">
        <f>E114</f>
        <v>33</v>
      </c>
      <c r="M114" s="72"/>
      <c r="N114" s="72">
        <f>AB19*C19</f>
        <v>30</v>
      </c>
      <c r="O114" s="72">
        <f>SUMPRODUCT(P19:R19,D23:F23)/SUM(D23:F23)*C19</f>
        <v>35</v>
      </c>
      <c r="P114" s="72">
        <f>(M19*D23+O19*F23)/(D23+F23)*C19</f>
        <v>21.824652166959858</v>
      </c>
      <c r="Q114" s="72">
        <f>Z19*C19</f>
        <v>65.940765270466045</v>
      </c>
      <c r="R114" s="72">
        <f>N19*C19</f>
        <v>22</v>
      </c>
    </row>
    <row r="117" spans="2:18" x14ac:dyDescent="0.25">
      <c r="B117" s="6" t="s">
        <v>300</v>
      </c>
      <c r="C117" s="6"/>
      <c r="D117" s="12">
        <f>SUM(D67:D72,D74:D78,D80:D81,D83:D114)</f>
        <v>3957.6684409321397</v>
      </c>
      <c r="E117" s="12">
        <f>SUM(E67:E72,E74:E78,E80:E81,E83:E114)</f>
        <v>3095.9563181421281</v>
      </c>
      <c r="F117" s="12">
        <f>SUM(F67:F72,F74:F78,F80:F81,F83:F114)</f>
        <v>100</v>
      </c>
      <c r="G117" s="12">
        <f>SUM(G67:G72,G74:G78,G80:G81,G83:G114)</f>
        <v>3614.2395719012102</v>
      </c>
      <c r="H117" s="12">
        <f t="shared" ref="H117:L117" si="82">SUM(H67:H72,H74:H78,H80:H81,H83:H114)</f>
        <v>3674.463258325256</v>
      </c>
      <c r="I117" s="12">
        <f t="shared" si="82"/>
        <v>2068.2399000680466</v>
      </c>
      <c r="J117" s="12">
        <f>SUM(J67:J72,J74:J78,J80:J81,J83:J114)</f>
        <v>2077.7399999999998</v>
      </c>
      <c r="K117" s="12">
        <f t="shared" si="82"/>
        <v>7702.0837820427678</v>
      </c>
      <c r="L117" s="12">
        <f t="shared" si="82"/>
        <v>3095.9563181421281</v>
      </c>
      <c r="M117" s="12">
        <f t="shared" ref="M117:R117" si="83">SUM(M67:M72,M74:M78,M80:M81,M83:M114)</f>
        <v>100</v>
      </c>
      <c r="N117" s="12">
        <f t="shared" si="83"/>
        <v>4212.1000000000022</v>
      </c>
      <c r="O117" s="12">
        <f t="shared" si="83"/>
        <v>4800.5181359476801</v>
      </c>
      <c r="P117" s="12">
        <f t="shared" si="83"/>
        <v>3259.6633994882459</v>
      </c>
      <c r="Q117" s="12">
        <f t="shared" si="83"/>
        <v>7876.6449470353336</v>
      </c>
      <c r="R117" s="12">
        <f t="shared" si="83"/>
        <v>3296.3399999999992</v>
      </c>
    </row>
    <row r="119" spans="2:18" x14ac:dyDescent="0.25">
      <c r="D119" s="295" t="s">
        <v>634</v>
      </c>
    </row>
    <row r="120" spans="2:18" x14ac:dyDescent="0.25">
      <c r="D120" s="295" t="s">
        <v>635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40:S57 S26:S39" formulaRange="1"/>
    <ignoredError sqref="V40:V57 V26:V39 F29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211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</row>
    <row r="2" spans="1:10" x14ac:dyDescent="0.25">
      <c r="A2" t="s">
        <v>199</v>
      </c>
      <c r="B2" t="s">
        <v>200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199</v>
      </c>
      <c r="B3" t="s">
        <v>200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199</v>
      </c>
      <c r="B4" t="s">
        <v>200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199</v>
      </c>
      <c r="B5" t="s">
        <v>200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199</v>
      </c>
      <c r="B6" t="s">
        <v>200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199</v>
      </c>
      <c r="B7" t="s">
        <v>200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199</v>
      </c>
      <c r="B8" t="s">
        <v>208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199</v>
      </c>
      <c r="B9" t="s">
        <v>208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199</v>
      </c>
      <c r="B10" t="s">
        <v>208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199</v>
      </c>
      <c r="B11" t="s">
        <v>208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199</v>
      </c>
      <c r="B12" t="s">
        <v>208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199</v>
      </c>
      <c r="B13" t="s">
        <v>208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199</v>
      </c>
      <c r="B14" t="s">
        <v>213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199</v>
      </c>
      <c r="B15" t="s">
        <v>213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199</v>
      </c>
      <c r="B16" t="s">
        <v>213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199</v>
      </c>
      <c r="B17" t="s">
        <v>213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199</v>
      </c>
      <c r="B18" t="s">
        <v>213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199</v>
      </c>
      <c r="B19" t="s">
        <v>213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199</v>
      </c>
      <c r="B20" t="s">
        <v>216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199</v>
      </c>
      <c r="B21" t="s">
        <v>216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199</v>
      </c>
      <c r="B22" t="s">
        <v>216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199</v>
      </c>
      <c r="B23" t="s">
        <v>216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199</v>
      </c>
      <c r="B24" t="s">
        <v>216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199</v>
      </c>
      <c r="B25" t="s">
        <v>216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199</v>
      </c>
      <c r="B26" t="s">
        <v>217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199</v>
      </c>
      <c r="B27" t="s">
        <v>217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199</v>
      </c>
      <c r="B28" t="s">
        <v>217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199</v>
      </c>
      <c r="B29" t="s">
        <v>217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199</v>
      </c>
      <c r="B30" t="s">
        <v>217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199</v>
      </c>
      <c r="B31" t="s">
        <v>217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199</v>
      </c>
      <c r="B32" t="s">
        <v>219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199</v>
      </c>
      <c r="B33" t="s">
        <v>219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199</v>
      </c>
      <c r="B34" t="s">
        <v>219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199</v>
      </c>
      <c r="B35" t="s">
        <v>219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199</v>
      </c>
      <c r="B36" t="s">
        <v>219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199</v>
      </c>
      <c r="B37" t="s">
        <v>219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199</v>
      </c>
      <c r="B38" t="s">
        <v>220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199</v>
      </c>
      <c r="B39" t="s">
        <v>220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199</v>
      </c>
      <c r="B40" t="s">
        <v>220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199</v>
      </c>
      <c r="B41" t="s">
        <v>220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199</v>
      </c>
      <c r="B42" t="s">
        <v>220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199</v>
      </c>
      <c r="B43" t="s">
        <v>220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199</v>
      </c>
      <c r="B44" t="s">
        <v>222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199</v>
      </c>
      <c r="B45" t="s">
        <v>222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199</v>
      </c>
      <c r="B46" t="s">
        <v>222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199</v>
      </c>
      <c r="B47" t="s">
        <v>222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199</v>
      </c>
      <c r="B48" t="s">
        <v>222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199</v>
      </c>
      <c r="B49" t="s">
        <v>222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199</v>
      </c>
      <c r="B50" t="s">
        <v>223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199</v>
      </c>
      <c r="B51" t="s">
        <v>223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199</v>
      </c>
      <c r="B52" t="s">
        <v>223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199</v>
      </c>
      <c r="B53" t="s">
        <v>223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199</v>
      </c>
      <c r="B54" t="s">
        <v>223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199</v>
      </c>
      <c r="B55" t="s">
        <v>223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199</v>
      </c>
      <c r="B56" t="s">
        <v>224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199</v>
      </c>
      <c r="B57" t="s">
        <v>224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199</v>
      </c>
      <c r="B58" t="s">
        <v>224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199</v>
      </c>
      <c r="B59" t="s">
        <v>224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199</v>
      </c>
      <c r="B60" t="s">
        <v>224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199</v>
      </c>
      <c r="B61" t="s">
        <v>224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207</v>
      </c>
      <c r="B62" t="s">
        <v>200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207</v>
      </c>
      <c r="B63" t="s">
        <v>200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207</v>
      </c>
      <c r="B64" t="s">
        <v>200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207</v>
      </c>
      <c r="B65" t="s">
        <v>200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207</v>
      </c>
      <c r="B66" t="s">
        <v>200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207</v>
      </c>
      <c r="B67" t="s">
        <v>200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207</v>
      </c>
      <c r="B68" t="s">
        <v>208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207</v>
      </c>
      <c r="B69" t="s">
        <v>208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207</v>
      </c>
      <c r="B70" t="s">
        <v>208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207</v>
      </c>
      <c r="B71" t="s">
        <v>208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207</v>
      </c>
      <c r="B72" t="s">
        <v>208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207</v>
      </c>
      <c r="B73" t="s">
        <v>208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207</v>
      </c>
      <c r="B74" t="s">
        <v>213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207</v>
      </c>
      <c r="B75" t="s">
        <v>213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207</v>
      </c>
      <c r="B76" t="s">
        <v>213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207</v>
      </c>
      <c r="B77" t="s">
        <v>213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207</v>
      </c>
      <c r="B78" t="s">
        <v>213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207</v>
      </c>
      <c r="B79" t="s">
        <v>213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207</v>
      </c>
      <c r="B80" t="s">
        <v>216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207</v>
      </c>
      <c r="B81" t="s">
        <v>216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207</v>
      </c>
      <c r="B82" t="s">
        <v>216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207</v>
      </c>
      <c r="B83" t="s">
        <v>216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207</v>
      </c>
      <c r="B84" t="s">
        <v>216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207</v>
      </c>
      <c r="B85" t="s">
        <v>216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207</v>
      </c>
      <c r="B86" t="s">
        <v>217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207</v>
      </c>
      <c r="B87" t="s">
        <v>217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207</v>
      </c>
      <c r="B88" t="s">
        <v>217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207</v>
      </c>
      <c r="B89" t="s">
        <v>217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207</v>
      </c>
      <c r="B90" t="s">
        <v>217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207</v>
      </c>
      <c r="B91" t="s">
        <v>217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207</v>
      </c>
      <c r="B92" t="s">
        <v>219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207</v>
      </c>
      <c r="B93" t="s">
        <v>219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207</v>
      </c>
      <c r="B94" t="s">
        <v>219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207</v>
      </c>
      <c r="B95" t="s">
        <v>219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207</v>
      </c>
      <c r="B96" t="s">
        <v>219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207</v>
      </c>
      <c r="B97" t="s">
        <v>219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207</v>
      </c>
      <c r="B98" t="s">
        <v>220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207</v>
      </c>
      <c r="B99" t="s">
        <v>220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207</v>
      </c>
      <c r="B100" t="s">
        <v>220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207</v>
      </c>
      <c r="B101" t="s">
        <v>220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207</v>
      </c>
      <c r="B102" t="s">
        <v>220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207</v>
      </c>
      <c r="B103" t="s">
        <v>220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207</v>
      </c>
      <c r="B104" t="s">
        <v>222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207</v>
      </c>
      <c r="B105" t="s">
        <v>222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207</v>
      </c>
      <c r="B106" t="s">
        <v>222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207</v>
      </c>
      <c r="B107" t="s">
        <v>222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207</v>
      </c>
      <c r="B108" t="s">
        <v>222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207</v>
      </c>
      <c r="B109" t="s">
        <v>222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207</v>
      </c>
      <c r="B110" t="s">
        <v>223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207</v>
      </c>
      <c r="B111" t="s">
        <v>223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207</v>
      </c>
      <c r="B112" t="s">
        <v>223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207</v>
      </c>
      <c r="B113" t="s">
        <v>223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207</v>
      </c>
      <c r="B114" t="s">
        <v>223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207</v>
      </c>
      <c r="B115" t="s">
        <v>223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207</v>
      </c>
      <c r="B116" t="s">
        <v>224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207</v>
      </c>
      <c r="B117" t="s">
        <v>224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207</v>
      </c>
      <c r="B118" t="s">
        <v>224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207</v>
      </c>
      <c r="B119" t="s">
        <v>224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207</v>
      </c>
      <c r="B120" t="s">
        <v>224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207</v>
      </c>
      <c r="B121" t="s">
        <v>224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209</v>
      </c>
      <c r="B122" t="s">
        <v>200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209</v>
      </c>
      <c r="B123" t="s">
        <v>200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209</v>
      </c>
      <c r="B124" t="s">
        <v>200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209</v>
      </c>
      <c r="B125" t="s">
        <v>200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209</v>
      </c>
      <c r="B126" t="s">
        <v>200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209</v>
      </c>
      <c r="B127" t="s">
        <v>200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209</v>
      </c>
      <c r="B128" t="s">
        <v>208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209</v>
      </c>
      <c r="B129" t="s">
        <v>208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209</v>
      </c>
      <c r="B130" t="s">
        <v>208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209</v>
      </c>
      <c r="B131" t="s">
        <v>208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209</v>
      </c>
      <c r="B132" t="s">
        <v>208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209</v>
      </c>
      <c r="B133" t="s">
        <v>208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209</v>
      </c>
      <c r="B134" t="s">
        <v>213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209</v>
      </c>
      <c r="B135" t="s">
        <v>213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209</v>
      </c>
      <c r="B136" t="s">
        <v>213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209</v>
      </c>
      <c r="B137" t="s">
        <v>213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209</v>
      </c>
      <c r="B138" t="s">
        <v>213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209</v>
      </c>
      <c r="B139" t="s">
        <v>213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209</v>
      </c>
      <c r="B140" t="s">
        <v>216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209</v>
      </c>
      <c r="B141" t="s">
        <v>216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209</v>
      </c>
      <c r="B142" t="s">
        <v>216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209</v>
      </c>
      <c r="B143" t="s">
        <v>216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209</v>
      </c>
      <c r="B144" t="s">
        <v>216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209</v>
      </c>
      <c r="B145" t="s">
        <v>216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209</v>
      </c>
      <c r="B146" t="s">
        <v>217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209</v>
      </c>
      <c r="B147" t="s">
        <v>217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209</v>
      </c>
      <c r="B148" t="s">
        <v>217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209</v>
      </c>
      <c r="B149" t="s">
        <v>217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209</v>
      </c>
      <c r="B150" t="s">
        <v>217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209</v>
      </c>
      <c r="B151" t="s">
        <v>217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209</v>
      </c>
      <c r="B152" t="s">
        <v>219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209</v>
      </c>
      <c r="B153" t="s">
        <v>219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209</v>
      </c>
      <c r="B154" t="s">
        <v>219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209</v>
      </c>
      <c r="B155" t="s">
        <v>219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209</v>
      </c>
      <c r="B156" t="s">
        <v>219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209</v>
      </c>
      <c r="B157" t="s">
        <v>219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209</v>
      </c>
      <c r="B158" t="s">
        <v>220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209</v>
      </c>
      <c r="B159" t="s">
        <v>220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209</v>
      </c>
      <c r="B160" t="s">
        <v>220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209</v>
      </c>
      <c r="B161" t="s">
        <v>220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209</v>
      </c>
      <c r="B162" t="s">
        <v>220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209</v>
      </c>
      <c r="B163" t="s">
        <v>220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209</v>
      </c>
      <c r="B164" t="s">
        <v>222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209</v>
      </c>
      <c r="B165" t="s">
        <v>222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209</v>
      </c>
      <c r="B166" t="s">
        <v>222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209</v>
      </c>
      <c r="B167" t="s">
        <v>222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209</v>
      </c>
      <c r="B168" t="s">
        <v>222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209</v>
      </c>
      <c r="B169" t="s">
        <v>222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209</v>
      </c>
      <c r="B170" t="s">
        <v>223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209</v>
      </c>
      <c r="B171" t="s">
        <v>223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209</v>
      </c>
      <c r="B172" t="s">
        <v>223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209</v>
      </c>
      <c r="B173" t="s">
        <v>223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209</v>
      </c>
      <c r="B174" t="s">
        <v>223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209</v>
      </c>
      <c r="B175" t="s">
        <v>223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209</v>
      </c>
      <c r="B176" t="s">
        <v>224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209</v>
      </c>
      <c r="B177" t="s">
        <v>224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209</v>
      </c>
      <c r="B178" t="s">
        <v>224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209</v>
      </c>
      <c r="B179" t="s">
        <v>224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209</v>
      </c>
      <c r="B180" t="s">
        <v>224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209</v>
      </c>
      <c r="B181" t="s">
        <v>224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210</v>
      </c>
      <c r="B182" t="s">
        <v>200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210</v>
      </c>
      <c r="B183" t="s">
        <v>200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210</v>
      </c>
      <c r="B184" t="s">
        <v>200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210</v>
      </c>
      <c r="B185" t="s">
        <v>200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210</v>
      </c>
      <c r="B186" t="s">
        <v>200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210</v>
      </c>
      <c r="B187" t="s">
        <v>200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210</v>
      </c>
      <c r="B188" t="s">
        <v>208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210</v>
      </c>
      <c r="B189" t="s">
        <v>208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210</v>
      </c>
      <c r="B190" t="s">
        <v>208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210</v>
      </c>
      <c r="B191" t="s">
        <v>208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210</v>
      </c>
      <c r="B192" t="s">
        <v>208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210</v>
      </c>
      <c r="B193" t="s">
        <v>208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210</v>
      </c>
      <c r="B194" t="s">
        <v>213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210</v>
      </c>
      <c r="B195" t="s">
        <v>213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210</v>
      </c>
      <c r="B196" t="s">
        <v>213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210</v>
      </c>
      <c r="B197" t="s">
        <v>213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210</v>
      </c>
      <c r="B198" t="s">
        <v>213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210</v>
      </c>
      <c r="B199" t="s">
        <v>213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210</v>
      </c>
      <c r="B200" t="s">
        <v>216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210</v>
      </c>
      <c r="B201" t="s">
        <v>216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210</v>
      </c>
      <c r="B202" t="s">
        <v>216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210</v>
      </c>
      <c r="B203" t="s">
        <v>216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210</v>
      </c>
      <c r="B204" t="s">
        <v>216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210</v>
      </c>
      <c r="B205" t="s">
        <v>216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210</v>
      </c>
      <c r="B206" t="s">
        <v>217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210</v>
      </c>
      <c r="B207" t="s">
        <v>217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210</v>
      </c>
      <c r="B208" t="s">
        <v>217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210</v>
      </c>
      <c r="B209" t="s">
        <v>217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210</v>
      </c>
      <c r="B210" t="s">
        <v>217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210</v>
      </c>
      <c r="B211" t="s">
        <v>217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210</v>
      </c>
      <c r="B212" t="s">
        <v>219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210</v>
      </c>
      <c r="B213" t="s">
        <v>219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210</v>
      </c>
      <c r="B214" t="s">
        <v>219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210</v>
      </c>
      <c r="B215" t="s">
        <v>219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210</v>
      </c>
      <c r="B216" t="s">
        <v>219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210</v>
      </c>
      <c r="B217" t="s">
        <v>219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210</v>
      </c>
      <c r="B218" t="s">
        <v>220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210</v>
      </c>
      <c r="B219" t="s">
        <v>220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210</v>
      </c>
      <c r="B220" t="s">
        <v>220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210</v>
      </c>
      <c r="B221" t="s">
        <v>220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210</v>
      </c>
      <c r="B222" t="s">
        <v>220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210</v>
      </c>
      <c r="B223" t="s">
        <v>220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210</v>
      </c>
      <c r="B224" t="s">
        <v>222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210</v>
      </c>
      <c r="B225" t="s">
        <v>222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210</v>
      </c>
      <c r="B226" t="s">
        <v>222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210</v>
      </c>
      <c r="B227" t="s">
        <v>222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210</v>
      </c>
      <c r="B228" t="s">
        <v>222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210</v>
      </c>
      <c r="B229" t="s">
        <v>222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210</v>
      </c>
      <c r="B230" t="s">
        <v>223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210</v>
      </c>
      <c r="B231" t="s">
        <v>223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210</v>
      </c>
      <c r="B232" t="s">
        <v>223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210</v>
      </c>
      <c r="B233" t="s">
        <v>223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210</v>
      </c>
      <c r="B234" t="s">
        <v>223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210</v>
      </c>
      <c r="B235" t="s">
        <v>223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210</v>
      </c>
      <c r="B236" t="s">
        <v>224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210</v>
      </c>
      <c r="B237" t="s">
        <v>224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210</v>
      </c>
      <c r="B238" t="s">
        <v>224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210</v>
      </c>
      <c r="B239" t="s">
        <v>224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210</v>
      </c>
      <c r="B240" t="s">
        <v>224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210</v>
      </c>
      <c r="B241" t="s">
        <v>224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212</v>
      </c>
      <c r="B242" t="s">
        <v>200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212</v>
      </c>
      <c r="B243" t="s">
        <v>200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212</v>
      </c>
      <c r="B244" t="s">
        <v>200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212</v>
      </c>
      <c r="B245" t="s">
        <v>200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212</v>
      </c>
      <c r="B246" t="s">
        <v>200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212</v>
      </c>
      <c r="B247" t="s">
        <v>200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212</v>
      </c>
      <c r="B248" t="s">
        <v>208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212</v>
      </c>
      <c r="B249" t="s">
        <v>208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212</v>
      </c>
      <c r="B250" t="s">
        <v>208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212</v>
      </c>
      <c r="B251" t="s">
        <v>208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212</v>
      </c>
      <c r="B252" t="s">
        <v>208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212</v>
      </c>
      <c r="B253" t="s">
        <v>208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212</v>
      </c>
      <c r="B254" t="s">
        <v>213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212</v>
      </c>
      <c r="B255" t="s">
        <v>213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212</v>
      </c>
      <c r="B256" t="s">
        <v>213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212</v>
      </c>
      <c r="B257" t="s">
        <v>213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212</v>
      </c>
      <c r="B258" t="s">
        <v>213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212</v>
      </c>
      <c r="B259" t="s">
        <v>213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212</v>
      </c>
      <c r="B260" t="s">
        <v>216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212</v>
      </c>
      <c r="B261" t="s">
        <v>216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212</v>
      </c>
      <c r="B262" t="s">
        <v>216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212</v>
      </c>
      <c r="B263" t="s">
        <v>216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212</v>
      </c>
      <c r="B264" t="s">
        <v>216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212</v>
      </c>
      <c r="B265" t="s">
        <v>216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212</v>
      </c>
      <c r="B266" t="s">
        <v>217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212</v>
      </c>
      <c r="B267" t="s">
        <v>217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212</v>
      </c>
      <c r="B268" t="s">
        <v>217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212</v>
      </c>
      <c r="B269" t="s">
        <v>217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212</v>
      </c>
      <c r="B270" t="s">
        <v>217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212</v>
      </c>
      <c r="B271" t="s">
        <v>217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212</v>
      </c>
      <c r="B272" t="s">
        <v>219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212</v>
      </c>
      <c r="B273" t="s">
        <v>219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212</v>
      </c>
      <c r="B274" t="s">
        <v>219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212</v>
      </c>
      <c r="B275" t="s">
        <v>219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212</v>
      </c>
      <c r="B276" t="s">
        <v>219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212</v>
      </c>
      <c r="B277" t="s">
        <v>219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212</v>
      </c>
      <c r="B278" t="s">
        <v>220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212</v>
      </c>
      <c r="B279" t="s">
        <v>220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212</v>
      </c>
      <c r="B280" t="s">
        <v>220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212</v>
      </c>
      <c r="B281" t="s">
        <v>220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212</v>
      </c>
      <c r="B282" t="s">
        <v>220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212</v>
      </c>
      <c r="B283" t="s">
        <v>220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212</v>
      </c>
      <c r="B284" t="s">
        <v>222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212</v>
      </c>
      <c r="B285" t="s">
        <v>222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212</v>
      </c>
      <c r="B286" t="s">
        <v>222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212</v>
      </c>
      <c r="B287" t="s">
        <v>222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212</v>
      </c>
      <c r="B288" t="s">
        <v>222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212</v>
      </c>
      <c r="B289" t="s">
        <v>222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212</v>
      </c>
      <c r="B290" t="s">
        <v>223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212</v>
      </c>
      <c r="B291" t="s">
        <v>223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212</v>
      </c>
      <c r="B292" t="s">
        <v>223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212</v>
      </c>
      <c r="B293" t="s">
        <v>223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212</v>
      </c>
      <c r="B294" t="s">
        <v>223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212</v>
      </c>
      <c r="B295" t="s">
        <v>223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212</v>
      </c>
      <c r="B296" t="s">
        <v>224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212</v>
      </c>
      <c r="B297" t="s">
        <v>224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212</v>
      </c>
      <c r="B298" t="s">
        <v>224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212</v>
      </c>
      <c r="B299" t="s">
        <v>224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212</v>
      </c>
      <c r="B300" t="s">
        <v>224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212</v>
      </c>
      <c r="B301" t="s">
        <v>224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214</v>
      </c>
      <c r="B302" t="s">
        <v>200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214</v>
      </c>
      <c r="B303" t="s">
        <v>200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214</v>
      </c>
      <c r="B304" t="s">
        <v>200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214</v>
      </c>
      <c r="B305" t="s">
        <v>200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214</v>
      </c>
      <c r="B306" t="s">
        <v>200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214</v>
      </c>
      <c r="B307" t="s">
        <v>200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214</v>
      </c>
      <c r="B308" t="s">
        <v>208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214</v>
      </c>
      <c r="B309" t="s">
        <v>208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214</v>
      </c>
      <c r="B310" t="s">
        <v>208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214</v>
      </c>
      <c r="B311" t="s">
        <v>208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214</v>
      </c>
      <c r="B312" t="s">
        <v>208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214</v>
      </c>
      <c r="B313" t="s">
        <v>208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214</v>
      </c>
      <c r="B314" t="s">
        <v>213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214</v>
      </c>
      <c r="B315" t="s">
        <v>213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214</v>
      </c>
      <c r="B316" t="s">
        <v>213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214</v>
      </c>
      <c r="B317" t="s">
        <v>213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214</v>
      </c>
      <c r="B318" t="s">
        <v>213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214</v>
      </c>
      <c r="B319" t="s">
        <v>213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214</v>
      </c>
      <c r="B320" t="s">
        <v>216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214</v>
      </c>
      <c r="B321" t="s">
        <v>216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214</v>
      </c>
      <c r="B322" t="s">
        <v>216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214</v>
      </c>
      <c r="B323" t="s">
        <v>216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214</v>
      </c>
      <c r="B324" t="s">
        <v>216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214</v>
      </c>
      <c r="B325" t="s">
        <v>216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214</v>
      </c>
      <c r="B326" t="s">
        <v>217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214</v>
      </c>
      <c r="B327" t="s">
        <v>217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214</v>
      </c>
      <c r="B328" t="s">
        <v>217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214</v>
      </c>
      <c r="B329" t="s">
        <v>217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214</v>
      </c>
      <c r="B330" t="s">
        <v>217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214</v>
      </c>
      <c r="B331" t="s">
        <v>217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214</v>
      </c>
      <c r="B332" t="s">
        <v>219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214</v>
      </c>
      <c r="B333" t="s">
        <v>219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214</v>
      </c>
      <c r="B334" t="s">
        <v>219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214</v>
      </c>
      <c r="B335" t="s">
        <v>219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214</v>
      </c>
      <c r="B336" t="s">
        <v>219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214</v>
      </c>
      <c r="B337" t="s">
        <v>219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214</v>
      </c>
      <c r="B338" t="s">
        <v>220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214</v>
      </c>
      <c r="B339" t="s">
        <v>220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214</v>
      </c>
      <c r="B340" t="s">
        <v>220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214</v>
      </c>
      <c r="B341" t="s">
        <v>220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214</v>
      </c>
      <c r="B342" t="s">
        <v>220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214</v>
      </c>
      <c r="B343" t="s">
        <v>220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214</v>
      </c>
      <c r="B344" t="s">
        <v>222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214</v>
      </c>
      <c r="B345" t="s">
        <v>222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214</v>
      </c>
      <c r="B346" t="s">
        <v>222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214</v>
      </c>
      <c r="B347" t="s">
        <v>222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214</v>
      </c>
      <c r="B348" t="s">
        <v>222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214</v>
      </c>
      <c r="B349" t="s">
        <v>222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214</v>
      </c>
      <c r="B350" t="s">
        <v>223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214</v>
      </c>
      <c r="B351" t="s">
        <v>223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214</v>
      </c>
      <c r="B352" t="s">
        <v>223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214</v>
      </c>
      <c r="B353" t="s">
        <v>223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214</v>
      </c>
      <c r="B354" t="s">
        <v>223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214</v>
      </c>
      <c r="B355" t="s">
        <v>223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214</v>
      </c>
      <c r="B356" t="s">
        <v>224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214</v>
      </c>
      <c r="B357" t="s">
        <v>224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214</v>
      </c>
      <c r="B358" t="s">
        <v>224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214</v>
      </c>
      <c r="B359" t="s">
        <v>224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214</v>
      </c>
      <c r="B360" t="s">
        <v>224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214</v>
      </c>
      <c r="B361" t="s">
        <v>224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117</v>
      </c>
      <c r="B362" t="s">
        <v>200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117</v>
      </c>
      <c r="B363" t="s">
        <v>200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117</v>
      </c>
      <c r="B364" t="s">
        <v>200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117</v>
      </c>
      <c r="B365" t="s">
        <v>200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117</v>
      </c>
      <c r="B366" t="s">
        <v>200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117</v>
      </c>
      <c r="B367" t="s">
        <v>200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117</v>
      </c>
      <c r="B368" t="s">
        <v>208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117</v>
      </c>
      <c r="B369" t="s">
        <v>208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117</v>
      </c>
      <c r="B370" t="s">
        <v>208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117</v>
      </c>
      <c r="B371" t="s">
        <v>208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117</v>
      </c>
      <c r="B372" t="s">
        <v>208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117</v>
      </c>
      <c r="B373" t="s">
        <v>208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117</v>
      </c>
      <c r="B374" t="s">
        <v>213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117</v>
      </c>
      <c r="B375" t="s">
        <v>213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117</v>
      </c>
      <c r="B376" t="s">
        <v>213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117</v>
      </c>
      <c r="B377" t="s">
        <v>213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117</v>
      </c>
      <c r="B378" t="s">
        <v>213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117</v>
      </c>
      <c r="B379" t="s">
        <v>213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117</v>
      </c>
      <c r="B380" t="s">
        <v>216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117</v>
      </c>
      <c r="B381" t="s">
        <v>216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117</v>
      </c>
      <c r="B382" t="s">
        <v>216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117</v>
      </c>
      <c r="B383" t="s">
        <v>216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117</v>
      </c>
      <c r="B384" t="s">
        <v>216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117</v>
      </c>
      <c r="B385" t="s">
        <v>216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117</v>
      </c>
      <c r="B386" t="s">
        <v>217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117</v>
      </c>
      <c r="B387" t="s">
        <v>217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117</v>
      </c>
      <c r="B388" t="s">
        <v>217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117</v>
      </c>
      <c r="B389" t="s">
        <v>217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117</v>
      </c>
      <c r="B390" t="s">
        <v>217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117</v>
      </c>
      <c r="B391" t="s">
        <v>217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117</v>
      </c>
      <c r="B392" t="s">
        <v>219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117</v>
      </c>
      <c r="B393" t="s">
        <v>219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117</v>
      </c>
      <c r="B394" t="s">
        <v>219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117</v>
      </c>
      <c r="B395" t="s">
        <v>219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117</v>
      </c>
      <c r="B396" t="s">
        <v>219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117</v>
      </c>
      <c r="B397" t="s">
        <v>219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117</v>
      </c>
      <c r="B398" t="s">
        <v>220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117</v>
      </c>
      <c r="B399" t="s">
        <v>220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117</v>
      </c>
      <c r="B400" t="s">
        <v>220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117</v>
      </c>
      <c r="B401" t="s">
        <v>220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117</v>
      </c>
      <c r="B402" t="s">
        <v>220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117</v>
      </c>
      <c r="B403" t="s">
        <v>220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117</v>
      </c>
      <c r="B404" t="s">
        <v>222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117</v>
      </c>
      <c r="B405" t="s">
        <v>222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117</v>
      </c>
      <c r="B406" t="s">
        <v>222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117</v>
      </c>
      <c r="B407" t="s">
        <v>222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117</v>
      </c>
      <c r="B408" t="s">
        <v>222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117</v>
      </c>
      <c r="B409" t="s">
        <v>222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117</v>
      </c>
      <c r="B410" t="s">
        <v>223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117</v>
      </c>
      <c r="B411" t="s">
        <v>223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117</v>
      </c>
      <c r="B412" t="s">
        <v>223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117</v>
      </c>
      <c r="B413" t="s">
        <v>223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117</v>
      </c>
      <c r="B414" t="s">
        <v>223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117</v>
      </c>
      <c r="B415" t="s">
        <v>223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117</v>
      </c>
      <c r="B416" t="s">
        <v>224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117</v>
      </c>
      <c r="B417" t="s">
        <v>224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117</v>
      </c>
      <c r="B418" t="s">
        <v>224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117</v>
      </c>
      <c r="B419" t="s">
        <v>224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117</v>
      </c>
      <c r="B420" t="s">
        <v>224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117</v>
      </c>
      <c r="B421" t="s">
        <v>224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189</v>
      </c>
      <c r="B1" s="6" t="s">
        <v>190</v>
      </c>
      <c r="C1" s="6" t="s">
        <v>191</v>
      </c>
      <c r="D1" s="6" t="s">
        <v>192</v>
      </c>
      <c r="E1" s="6" t="s">
        <v>193</v>
      </c>
      <c r="F1" s="6" t="s">
        <v>194</v>
      </c>
      <c r="G1" s="6" t="s">
        <v>195</v>
      </c>
      <c r="H1" s="6" t="s">
        <v>196</v>
      </c>
      <c r="I1" s="6" t="s">
        <v>197</v>
      </c>
      <c r="J1" s="6" t="s">
        <v>198</v>
      </c>
    </row>
    <row r="2" spans="1:10" x14ac:dyDescent="0.25">
      <c r="A2" t="s">
        <v>199</v>
      </c>
      <c r="B2" t="s">
        <v>200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199</v>
      </c>
      <c r="B3" t="s">
        <v>208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199</v>
      </c>
      <c r="B4" t="s">
        <v>213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199</v>
      </c>
      <c r="B5" t="s">
        <v>216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199</v>
      </c>
      <c r="B6" t="s">
        <v>217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199</v>
      </c>
      <c r="B7" t="s">
        <v>219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199</v>
      </c>
      <c r="B8" t="s">
        <v>220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199</v>
      </c>
      <c r="B9" t="s">
        <v>222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199</v>
      </c>
      <c r="B10" t="s">
        <v>223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199</v>
      </c>
      <c r="B11" t="s">
        <v>224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209</v>
      </c>
      <c r="B12" t="s">
        <v>200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209</v>
      </c>
      <c r="B13" t="s">
        <v>208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209</v>
      </c>
      <c r="B14" t="s">
        <v>213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209</v>
      </c>
      <c r="B15" t="s">
        <v>216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209</v>
      </c>
      <c r="B16" t="s">
        <v>217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209</v>
      </c>
      <c r="B17" t="s">
        <v>219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209</v>
      </c>
      <c r="B18" t="s">
        <v>220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209</v>
      </c>
      <c r="B19" t="s">
        <v>222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209</v>
      </c>
      <c r="B20" t="s">
        <v>223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209</v>
      </c>
      <c r="B21" t="s">
        <v>224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207</v>
      </c>
      <c r="B22" t="s">
        <v>200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207</v>
      </c>
      <c r="B23" t="s">
        <v>208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207</v>
      </c>
      <c r="B24" t="s">
        <v>213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207</v>
      </c>
      <c r="B25" t="s">
        <v>216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207</v>
      </c>
      <c r="B26" t="s">
        <v>217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207</v>
      </c>
      <c r="B27" t="s">
        <v>219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207</v>
      </c>
      <c r="B28" t="s">
        <v>220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207</v>
      </c>
      <c r="B29" t="s">
        <v>222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207</v>
      </c>
      <c r="B30" t="s">
        <v>223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207</v>
      </c>
      <c r="B31" t="s">
        <v>224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210</v>
      </c>
      <c r="B32" t="s">
        <v>200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210</v>
      </c>
      <c r="B33" t="s">
        <v>208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210</v>
      </c>
      <c r="B34" t="s">
        <v>213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210</v>
      </c>
      <c r="B35" t="s">
        <v>216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210</v>
      </c>
      <c r="B36" t="s">
        <v>217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210</v>
      </c>
      <c r="B37" t="s">
        <v>219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210</v>
      </c>
      <c r="B38" t="s">
        <v>220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210</v>
      </c>
      <c r="B39" t="s">
        <v>222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210</v>
      </c>
      <c r="B40" t="s">
        <v>223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210</v>
      </c>
      <c r="B41" t="s">
        <v>224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212</v>
      </c>
      <c r="B42" t="s">
        <v>200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212</v>
      </c>
      <c r="B43" t="s">
        <v>208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212</v>
      </c>
      <c r="B44" t="s">
        <v>213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212</v>
      </c>
      <c r="B45" t="s">
        <v>216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212</v>
      </c>
      <c r="B46" t="s">
        <v>217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212</v>
      </c>
      <c r="B47" t="s">
        <v>219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212</v>
      </c>
      <c r="B48" t="s">
        <v>220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212</v>
      </c>
      <c r="B49" t="s">
        <v>222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212</v>
      </c>
      <c r="B50" t="s">
        <v>223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212</v>
      </c>
      <c r="B51" t="s">
        <v>224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214</v>
      </c>
      <c r="B52" t="s">
        <v>200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214</v>
      </c>
      <c r="B53" t="s">
        <v>208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214</v>
      </c>
      <c r="B54" t="s">
        <v>213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214</v>
      </c>
      <c r="B55" t="s">
        <v>216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214</v>
      </c>
      <c r="B56" t="s">
        <v>217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214</v>
      </c>
      <c r="B57" t="s">
        <v>219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214</v>
      </c>
      <c r="B58" t="s">
        <v>220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214</v>
      </c>
      <c r="B59" t="s">
        <v>222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214</v>
      </c>
      <c r="B60" t="s">
        <v>223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214</v>
      </c>
      <c r="B61" t="s">
        <v>224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625</v>
      </c>
      <c r="B62" t="s">
        <v>200</v>
      </c>
      <c r="C62">
        <v>2019</v>
      </c>
    </row>
    <row r="63" spans="1:10" x14ac:dyDescent="0.25">
      <c r="A63" t="s">
        <v>625</v>
      </c>
      <c r="B63" t="s">
        <v>208</v>
      </c>
      <c r="C63">
        <v>2019</v>
      </c>
    </row>
    <row r="64" spans="1:10" x14ac:dyDescent="0.25">
      <c r="A64" t="s">
        <v>625</v>
      </c>
      <c r="B64" t="s">
        <v>213</v>
      </c>
      <c r="C64">
        <v>2019</v>
      </c>
    </row>
    <row r="65" spans="1:10" x14ac:dyDescent="0.25">
      <c r="A65" t="s">
        <v>625</v>
      </c>
      <c r="B65" t="s">
        <v>216</v>
      </c>
      <c r="C65">
        <v>2019</v>
      </c>
    </row>
    <row r="66" spans="1:10" x14ac:dyDescent="0.25">
      <c r="A66" t="s">
        <v>625</v>
      </c>
      <c r="B66" t="s">
        <v>217</v>
      </c>
      <c r="C66">
        <v>2019</v>
      </c>
    </row>
    <row r="67" spans="1:10" x14ac:dyDescent="0.25">
      <c r="A67" t="s">
        <v>625</v>
      </c>
      <c r="B67" t="s">
        <v>219</v>
      </c>
      <c r="C67">
        <v>2019</v>
      </c>
    </row>
    <row r="68" spans="1:10" x14ac:dyDescent="0.25">
      <c r="A68" t="s">
        <v>625</v>
      </c>
      <c r="B68" t="s">
        <v>220</v>
      </c>
      <c r="C68">
        <v>2019</v>
      </c>
    </row>
    <row r="69" spans="1:10" x14ac:dyDescent="0.25">
      <c r="A69" t="s">
        <v>625</v>
      </c>
      <c r="B69" t="s">
        <v>222</v>
      </c>
      <c r="C69">
        <v>2019</v>
      </c>
    </row>
    <row r="70" spans="1:10" x14ac:dyDescent="0.25">
      <c r="A70" t="s">
        <v>625</v>
      </c>
      <c r="B70" t="s">
        <v>223</v>
      </c>
      <c r="C70">
        <v>2019</v>
      </c>
    </row>
    <row r="71" spans="1:10" x14ac:dyDescent="0.25">
      <c r="A71" t="s">
        <v>625</v>
      </c>
      <c r="B71" t="s">
        <v>224</v>
      </c>
      <c r="C71">
        <v>2019</v>
      </c>
    </row>
    <row r="72" spans="1:10" x14ac:dyDescent="0.25">
      <c r="A72" t="s">
        <v>117</v>
      </c>
      <c r="B72" t="s">
        <v>200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117</v>
      </c>
      <c r="B73" t="s">
        <v>208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117</v>
      </c>
      <c r="B74" t="s">
        <v>213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117</v>
      </c>
      <c r="B75" t="s">
        <v>216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117</v>
      </c>
      <c r="B76" t="s">
        <v>217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117</v>
      </c>
      <c r="B77" t="s">
        <v>219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117</v>
      </c>
      <c r="B78" t="s">
        <v>220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117</v>
      </c>
      <c r="B79" t="s">
        <v>222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117</v>
      </c>
      <c r="B80" t="s">
        <v>223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117</v>
      </c>
      <c r="B81" t="s">
        <v>224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199</v>
      </c>
      <c r="B82" t="s">
        <v>217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199</v>
      </c>
      <c r="B83" t="s">
        <v>223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199</v>
      </c>
      <c r="B84" t="s">
        <v>216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199</v>
      </c>
      <c r="B85" t="s">
        <v>213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199</v>
      </c>
      <c r="B86" t="s">
        <v>222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199</v>
      </c>
      <c r="B87" t="s">
        <v>224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199</v>
      </c>
      <c r="B88" t="s">
        <v>219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199</v>
      </c>
      <c r="B89" t="s">
        <v>220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199</v>
      </c>
      <c r="B90" t="s">
        <v>208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199</v>
      </c>
      <c r="B91" t="s">
        <v>200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209</v>
      </c>
      <c r="B92" t="s">
        <v>217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209</v>
      </c>
      <c r="B93" t="s">
        <v>223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209</v>
      </c>
      <c r="B94" t="s">
        <v>216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209</v>
      </c>
      <c r="B95" t="s">
        <v>213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209</v>
      </c>
      <c r="B96" t="s">
        <v>222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209</v>
      </c>
      <c r="B97" t="s">
        <v>224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209</v>
      </c>
      <c r="B98" t="s">
        <v>219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209</v>
      </c>
      <c r="B99" t="s">
        <v>220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209</v>
      </c>
      <c r="B100" t="s">
        <v>208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209</v>
      </c>
      <c r="B101" t="s">
        <v>200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207</v>
      </c>
      <c r="B102" t="s">
        <v>217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207</v>
      </c>
      <c r="B103" t="s">
        <v>223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207</v>
      </c>
      <c r="B104" t="s">
        <v>216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207</v>
      </c>
      <c r="B105" t="s">
        <v>213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207</v>
      </c>
      <c r="B106" t="s">
        <v>222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207</v>
      </c>
      <c r="B107" t="s">
        <v>224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207</v>
      </c>
      <c r="B108" t="s">
        <v>219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207</v>
      </c>
      <c r="B109" t="s">
        <v>220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207</v>
      </c>
      <c r="B110" t="s">
        <v>208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207</v>
      </c>
      <c r="B111" t="s">
        <v>200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210</v>
      </c>
      <c r="B112" t="s">
        <v>217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210</v>
      </c>
      <c r="B113" t="s">
        <v>223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210</v>
      </c>
      <c r="B114" t="s">
        <v>216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210</v>
      </c>
      <c r="B115" t="s">
        <v>213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210</v>
      </c>
      <c r="B116" t="s">
        <v>222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210</v>
      </c>
      <c r="B117" t="s">
        <v>224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210</v>
      </c>
      <c r="B118" t="s">
        <v>219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210</v>
      </c>
      <c r="B119" t="s">
        <v>220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210</v>
      </c>
      <c r="B120" t="s">
        <v>208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210</v>
      </c>
      <c r="B121" t="s">
        <v>200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212</v>
      </c>
      <c r="B122" t="s">
        <v>217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212</v>
      </c>
      <c r="B123" t="s">
        <v>223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212</v>
      </c>
      <c r="B124" t="s">
        <v>216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212</v>
      </c>
      <c r="B125" t="s">
        <v>213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212</v>
      </c>
      <c r="B126" t="s">
        <v>222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212</v>
      </c>
      <c r="B127" t="s">
        <v>224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212</v>
      </c>
      <c r="B128" t="s">
        <v>219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212</v>
      </c>
      <c r="B129" t="s">
        <v>220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212</v>
      </c>
      <c r="B130" t="s">
        <v>208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212</v>
      </c>
      <c r="B131" t="s">
        <v>200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214</v>
      </c>
      <c r="B132" t="s">
        <v>217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214</v>
      </c>
      <c r="B133" t="s">
        <v>223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214</v>
      </c>
      <c r="B134" t="s">
        <v>216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214</v>
      </c>
      <c r="B135" t="s">
        <v>213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214</v>
      </c>
      <c r="B136" t="s">
        <v>222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214</v>
      </c>
      <c r="B137" t="s">
        <v>224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214</v>
      </c>
      <c r="B138" t="s">
        <v>219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214</v>
      </c>
      <c r="B139" t="s">
        <v>220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214</v>
      </c>
      <c r="B140" t="s">
        <v>208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214</v>
      </c>
      <c r="B141" t="s">
        <v>200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625</v>
      </c>
      <c r="B142" t="s">
        <v>217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625</v>
      </c>
      <c r="B143" t="s">
        <v>223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625</v>
      </c>
      <c r="B144" t="s">
        <v>216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625</v>
      </c>
      <c r="B145" t="s">
        <v>213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625</v>
      </c>
      <c r="B146" t="s">
        <v>222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625</v>
      </c>
      <c r="B147" t="s">
        <v>224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625</v>
      </c>
      <c r="B148" t="s">
        <v>219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625</v>
      </c>
      <c r="B149" t="s">
        <v>220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625</v>
      </c>
      <c r="B150" t="s">
        <v>208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625</v>
      </c>
      <c r="B151" t="s">
        <v>200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117</v>
      </c>
      <c r="B152" t="s">
        <v>217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117</v>
      </c>
      <c r="B153" t="s">
        <v>223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117</v>
      </c>
      <c r="B154" t="s">
        <v>216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117</v>
      </c>
      <c r="B155" t="s">
        <v>213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117</v>
      </c>
      <c r="B156" t="s">
        <v>222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117</v>
      </c>
      <c r="B157" t="s">
        <v>224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117</v>
      </c>
      <c r="B158" t="s">
        <v>219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117</v>
      </c>
      <c r="B159" t="s">
        <v>220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117</v>
      </c>
      <c r="B160" t="s">
        <v>208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117</v>
      </c>
      <c r="B161" t="s">
        <v>200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199</v>
      </c>
      <c r="B162" t="s">
        <v>217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199</v>
      </c>
      <c r="B163" t="s">
        <v>223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199</v>
      </c>
      <c r="B164" t="s">
        <v>216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199</v>
      </c>
      <c r="B165" t="s">
        <v>213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199</v>
      </c>
      <c r="B166" t="s">
        <v>222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199</v>
      </c>
      <c r="B167" t="s">
        <v>224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199</v>
      </c>
      <c r="B168" t="s">
        <v>219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199</v>
      </c>
      <c r="B169" t="s">
        <v>220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199</v>
      </c>
      <c r="B170" t="s">
        <v>208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199</v>
      </c>
      <c r="B171" t="s">
        <v>200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209</v>
      </c>
      <c r="B172" t="s">
        <v>217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209</v>
      </c>
      <c r="B173" t="s">
        <v>223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209</v>
      </c>
      <c r="B174" t="s">
        <v>216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209</v>
      </c>
      <c r="B175" t="s">
        <v>213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209</v>
      </c>
      <c r="B176" t="s">
        <v>222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209</v>
      </c>
      <c r="B177" t="s">
        <v>224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209</v>
      </c>
      <c r="B178" t="s">
        <v>219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209</v>
      </c>
      <c r="B179" t="s">
        <v>220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209</v>
      </c>
      <c r="B180" t="s">
        <v>208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209</v>
      </c>
      <c r="B181" t="s">
        <v>200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207</v>
      </c>
      <c r="B182" t="s">
        <v>217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207</v>
      </c>
      <c r="B183" t="s">
        <v>223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207</v>
      </c>
      <c r="B184" t="s">
        <v>216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207</v>
      </c>
      <c r="B185" t="s">
        <v>213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207</v>
      </c>
      <c r="B186" t="s">
        <v>222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207</v>
      </c>
      <c r="B187" t="s">
        <v>224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207</v>
      </c>
      <c r="B188" t="s">
        <v>219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207</v>
      </c>
      <c r="B189" t="s">
        <v>220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207</v>
      </c>
      <c r="B190" t="s">
        <v>208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207</v>
      </c>
      <c r="B191" t="s">
        <v>200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210</v>
      </c>
      <c r="B192" t="s">
        <v>217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210</v>
      </c>
      <c r="B193" t="s">
        <v>223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210</v>
      </c>
      <c r="B194" t="s">
        <v>216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210</v>
      </c>
      <c r="B195" t="s">
        <v>213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210</v>
      </c>
      <c r="B196" t="s">
        <v>222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210</v>
      </c>
      <c r="B197" t="s">
        <v>224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210</v>
      </c>
      <c r="B198" t="s">
        <v>219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210</v>
      </c>
      <c r="B199" t="s">
        <v>220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210</v>
      </c>
      <c r="B200" t="s">
        <v>208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210</v>
      </c>
      <c r="B201" t="s">
        <v>200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212</v>
      </c>
      <c r="B202" t="s">
        <v>217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212</v>
      </c>
      <c r="B203" t="s">
        <v>223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212</v>
      </c>
      <c r="B204" t="s">
        <v>216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212</v>
      </c>
      <c r="B205" t="s">
        <v>213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212</v>
      </c>
      <c r="B206" t="s">
        <v>222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212</v>
      </c>
      <c r="B207" t="s">
        <v>224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212</v>
      </c>
      <c r="B208" t="s">
        <v>219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212</v>
      </c>
      <c r="B209" t="s">
        <v>220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212</v>
      </c>
      <c r="B210" t="s">
        <v>208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212</v>
      </c>
      <c r="B211" t="s">
        <v>200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214</v>
      </c>
      <c r="B212" t="s">
        <v>217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214</v>
      </c>
      <c r="B213" t="s">
        <v>223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214</v>
      </c>
      <c r="B214" t="s">
        <v>216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214</v>
      </c>
      <c r="B215" t="s">
        <v>213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214</v>
      </c>
      <c r="B216" t="s">
        <v>222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214</v>
      </c>
      <c r="B217" t="s">
        <v>224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214</v>
      </c>
      <c r="B218" t="s">
        <v>219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214</v>
      </c>
      <c r="B219" t="s">
        <v>220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214</v>
      </c>
      <c r="B220" t="s">
        <v>208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214</v>
      </c>
      <c r="B221" t="s">
        <v>200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625</v>
      </c>
      <c r="B222" t="s">
        <v>217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625</v>
      </c>
      <c r="B223" t="s">
        <v>223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625</v>
      </c>
      <c r="B224" t="s">
        <v>216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625</v>
      </c>
      <c r="B225" t="s">
        <v>213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625</v>
      </c>
      <c r="B226" t="s">
        <v>222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625</v>
      </c>
      <c r="B227" t="s">
        <v>224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625</v>
      </c>
      <c r="B228" t="s">
        <v>219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625</v>
      </c>
      <c r="B229" t="s">
        <v>220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625</v>
      </c>
      <c r="B230" t="s">
        <v>208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625</v>
      </c>
      <c r="B231" t="s">
        <v>200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117</v>
      </c>
      <c r="B232" t="s">
        <v>217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117</v>
      </c>
      <c r="B233" t="s">
        <v>223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117</v>
      </c>
      <c r="B234" t="s">
        <v>216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117</v>
      </c>
      <c r="B235" t="s">
        <v>213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117</v>
      </c>
      <c r="B236" t="s">
        <v>222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117</v>
      </c>
      <c r="B237" t="s">
        <v>224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117</v>
      </c>
      <c r="B238" t="s">
        <v>219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117</v>
      </c>
      <c r="B239" t="s">
        <v>220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117</v>
      </c>
      <c r="B240" t="s">
        <v>208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117</v>
      </c>
      <c r="B241" t="s">
        <v>200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E14" sqref="E14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225</v>
      </c>
    </row>
    <row r="3" spans="1:24" x14ac:dyDescent="0.25">
      <c r="B3" s="6" t="s">
        <v>193</v>
      </c>
      <c r="H3" s="6" t="s">
        <v>226</v>
      </c>
      <c r="N3" s="6" t="s">
        <v>227</v>
      </c>
      <c r="T3" s="6" t="s">
        <v>228</v>
      </c>
    </row>
    <row r="4" spans="1:24" ht="30" customHeight="1" x14ac:dyDescent="0.25">
      <c r="B4" s="70" t="s">
        <v>205</v>
      </c>
      <c r="C4" s="70" t="s">
        <v>215</v>
      </c>
      <c r="D4" s="70" t="s">
        <v>218</v>
      </c>
      <c r="E4" s="70" t="s">
        <v>229</v>
      </c>
      <c r="F4" s="70" t="s">
        <v>230</v>
      </c>
      <c r="G4" s="70"/>
      <c r="H4" s="70" t="s">
        <v>205</v>
      </c>
      <c r="I4" s="70" t="s">
        <v>215</v>
      </c>
      <c r="J4" s="70" t="s">
        <v>218</v>
      </c>
      <c r="K4" s="70" t="s">
        <v>229</v>
      </c>
      <c r="L4" s="70" t="s">
        <v>230</v>
      </c>
      <c r="M4" s="71"/>
      <c r="N4" s="70" t="s">
        <v>205</v>
      </c>
      <c r="O4" s="70" t="s">
        <v>215</v>
      </c>
      <c r="P4" s="70" t="s">
        <v>218</v>
      </c>
      <c r="Q4" s="70" t="s">
        <v>229</v>
      </c>
      <c r="R4" s="70" t="s">
        <v>230</v>
      </c>
      <c r="S4" s="70"/>
      <c r="T4" s="70" t="s">
        <v>205</v>
      </c>
      <c r="U4" s="70" t="s">
        <v>215</v>
      </c>
      <c r="V4" s="70" t="s">
        <v>218</v>
      </c>
      <c r="W4" s="70" t="s">
        <v>229</v>
      </c>
      <c r="X4" s="70" t="s">
        <v>230</v>
      </c>
    </row>
    <row r="5" spans="1:24" x14ac:dyDescent="0.25">
      <c r="A5" s="6" t="s">
        <v>231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199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207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209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85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 t="shared" ref="T8:X12" si="6">N8/SUM(N$8:N$10,N$14)*100</f>
        <v>11.454228363490014</v>
      </c>
      <c r="U8" s="2">
        <f t="shared" si="6"/>
        <v>31.202414345822476</v>
      </c>
      <c r="V8" s="2">
        <f t="shared" si="6"/>
        <v>31.077545863746558</v>
      </c>
      <c r="W8" s="75">
        <f t="shared" si="6"/>
        <v>31.120705513174268</v>
      </c>
      <c r="X8" s="2">
        <f t="shared" si="6"/>
        <v>22.538124807134764</v>
      </c>
    </row>
    <row r="9" spans="1:24" x14ac:dyDescent="0.25">
      <c r="A9" s="6" t="s">
        <v>210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 t="shared" si="6"/>
        <v>15.99505866438605</v>
      </c>
      <c r="U9" s="2">
        <f t="shared" si="6"/>
        <v>6.5060859547184924</v>
      </c>
      <c r="V9" s="2">
        <f t="shared" si="6"/>
        <v>8.5231989363777974</v>
      </c>
      <c r="W9" s="75">
        <f t="shared" si="6"/>
        <v>7.8260022723583829</v>
      </c>
      <c r="X9" s="2">
        <f t="shared" si="6"/>
        <v>11.391032513572224</v>
      </c>
    </row>
    <row r="10" spans="1:24" x14ac:dyDescent="0.25">
      <c r="A10" s="6" t="s">
        <v>211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88">
        <f>GETPIVOTDATA("Sum of Ålder*Antal",'G&amp;D sammanställning'!$B$21,"Djur2",$A10,"Ras2",H$4)/GETPIVOTDATA("Sum of Antal djur",'G&amp;D sammanställning'!$B$21,"Djur2",$A10,"Ras2",H$4)</f>
        <v>21.274161929371228</v>
      </c>
      <c r="I10" s="287">
        <f>GETPIVOTDATA("Sum of Ålder*Antal",'G&amp;D sammanställning'!$B$21,"Djur2",$A10,"Ras2",I$4)/GETPIVOTDATA("Sum of Antal djur",'G&amp;D sammanställning'!$B$21,"Djur2",$A10,"Ras2",I$4)</f>
        <v>19.408367537313431</v>
      </c>
      <c r="J10" s="287">
        <f>GETPIVOTDATA("Sum of Ålder*Antal",'G&amp;D sammanställning'!$B$21,"Djur2",$A10,"Ras2",J$4)/GETPIVOTDATA("Sum of Antal djur",'G&amp;D sammanställning'!$B$21,"Djur2",$A10,"Ras2",J$4)</f>
        <v>19.153458489018501</v>
      </c>
      <c r="K10" s="288">
        <f t="shared" si="1"/>
        <v>19.243860274657415</v>
      </c>
      <c r="L10" s="287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 t="shared" si="6"/>
        <v>64.896953029362933</v>
      </c>
      <c r="U10" s="72">
        <f t="shared" si="6"/>
        <v>60.408735724303739</v>
      </c>
      <c r="V10" s="72">
        <f t="shared" si="6"/>
        <v>58.065305609482643</v>
      </c>
      <c r="W10" s="73">
        <f t="shared" si="6"/>
        <v>58.875290807769296</v>
      </c>
      <c r="X10" s="72">
        <f t="shared" si="6"/>
        <v>61.50318402972168</v>
      </c>
    </row>
    <row r="11" spans="1:24" x14ac:dyDescent="0.25">
      <c r="A11" t="s">
        <v>212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 t="shared" si="6"/>
        <v>56.594782530925272</v>
      </c>
      <c r="U11" s="2">
        <f t="shared" si="6"/>
        <v>53.836280304548175</v>
      </c>
      <c r="V11" s="2">
        <f t="shared" si="6"/>
        <v>51.739134748629958</v>
      </c>
      <c r="W11" s="2">
        <f t="shared" si="6"/>
        <v>52.463993940377641</v>
      </c>
      <c r="X11" s="2">
        <f t="shared" si="6"/>
        <v>54.266697403134387</v>
      </c>
    </row>
    <row r="12" spans="1:24" x14ac:dyDescent="0.25">
      <c r="A12" t="s">
        <v>214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 t="shared" si="6"/>
        <v>8.3021704984376647</v>
      </c>
      <c r="U12" s="2">
        <f t="shared" si="6"/>
        <v>6.5724554197555598</v>
      </c>
      <c r="V12" s="2">
        <f t="shared" si="6"/>
        <v>6.3261708608526837</v>
      </c>
      <c r="W12" s="2">
        <f t="shared" si="6"/>
        <v>6.4112968673916564</v>
      </c>
      <c r="X12" s="2">
        <f t="shared" si="6"/>
        <v>7.236486626587288</v>
      </c>
    </row>
    <row r="13" spans="1:24" x14ac:dyDescent="0.25">
      <c r="A13" s="6" t="s">
        <v>625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117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85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89">
        <f t="shared" si="1"/>
        <v>9.9010035771065183</v>
      </c>
      <c r="L14" s="290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7">I10/I11</f>
        <v>1.0735240278145448</v>
      </c>
      <c r="J16">
        <f t="shared" si="7"/>
        <v>1.0696689526750012</v>
      </c>
      <c r="K16">
        <f t="shared" si="7"/>
        <v>1.0710442357315111</v>
      </c>
      <c r="L16">
        <f t="shared" si="7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6" t="s">
        <v>191</v>
      </c>
      <c r="C19" t="s">
        <v>624</v>
      </c>
      <c r="G19" t="s">
        <v>628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629</v>
      </c>
      <c r="H20" s="26">
        <f t="shared" ref="H20:J20" si="8">1/((H5+H19-H18)/12)</f>
        <v>0.34298028751025533</v>
      </c>
      <c r="I20" s="26">
        <f t="shared" si="8"/>
        <v>0.21028778221448519</v>
      </c>
      <c r="J20" s="26">
        <f t="shared" si="8"/>
        <v>0.23410857533194687</v>
      </c>
      <c r="K20" s="26">
        <f>1/((K5+K19-K18)/12)</f>
        <v>0.22488460892016862</v>
      </c>
    </row>
    <row r="21" spans="2:11" x14ac:dyDescent="0.25">
      <c r="B21" s="286" t="s">
        <v>201</v>
      </c>
      <c r="C21" t="s">
        <v>202</v>
      </c>
      <c r="D21" t="s">
        <v>203</v>
      </c>
      <c r="E21" t="s">
        <v>204</v>
      </c>
    </row>
    <row r="22" spans="2:11" x14ac:dyDescent="0.25">
      <c r="B22" s="66" t="s">
        <v>205</v>
      </c>
      <c r="C22" s="12"/>
      <c r="D22" s="12"/>
      <c r="E22" s="12"/>
    </row>
    <row r="23" spans="2:11" x14ac:dyDescent="0.25">
      <c r="B23" s="68" t="s">
        <v>206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199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207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209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209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210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210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211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212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214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117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117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625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625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215</v>
      </c>
      <c r="C37" s="12"/>
      <c r="D37" s="12"/>
      <c r="E37" s="12"/>
      <c r="F37" s="67"/>
    </row>
    <row r="38" spans="1:6" x14ac:dyDescent="0.25">
      <c r="A38" s="67"/>
      <c r="B38" s="68" t="s">
        <v>206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199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207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209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209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210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210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211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212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214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117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117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625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625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218</v>
      </c>
      <c r="C52" s="12"/>
      <c r="D52" s="12"/>
      <c r="E52" s="12"/>
      <c r="F52" s="67"/>
    </row>
    <row r="53" spans="1:6" x14ac:dyDescent="0.25">
      <c r="A53" s="67"/>
      <c r="B53" s="68" t="s">
        <v>206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199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207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209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209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210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210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211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212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214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117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117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625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625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221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40" workbookViewId="0">
      <selection activeCell="D46" sqref="D41:D46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232</v>
      </c>
    </row>
    <row r="2" spans="1:19" x14ac:dyDescent="0.25">
      <c r="A2" s="27"/>
      <c r="B2" s="27"/>
    </row>
    <row r="4" spans="1:19" x14ac:dyDescent="0.25">
      <c r="C4" s="6" t="s">
        <v>192</v>
      </c>
      <c r="D4" s="6" t="s">
        <v>233</v>
      </c>
      <c r="E4" s="6" t="s">
        <v>193</v>
      </c>
      <c r="F4" s="6" t="s">
        <v>234</v>
      </c>
      <c r="G4" s="6" t="s">
        <v>235</v>
      </c>
      <c r="H4" s="6" t="s">
        <v>226</v>
      </c>
      <c r="I4" s="6" t="s">
        <v>236</v>
      </c>
      <c r="N4" t="s">
        <v>192</v>
      </c>
      <c r="P4" t="s">
        <v>193</v>
      </c>
      <c r="R4" t="s">
        <v>226</v>
      </c>
    </row>
    <row r="5" spans="1:19" x14ac:dyDescent="0.25">
      <c r="A5" s="77" t="s">
        <v>237</v>
      </c>
      <c r="B5" s="78" t="s">
        <v>238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239</v>
      </c>
      <c r="L5" s="13">
        <f>SUMPRODUCT(C5:C6,H5:H6)/SUM(C5:C6)/12</f>
        <v>5.0579254131664273</v>
      </c>
      <c r="M5" t="s">
        <v>240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177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72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241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242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180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181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182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243</v>
      </c>
      <c r="B11" s="81" t="s">
        <v>238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177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241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180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181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182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244</v>
      </c>
      <c r="B17" s="81" t="s">
        <v>238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177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241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180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181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182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245</v>
      </c>
      <c r="B23" s="81" t="s">
        <v>238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177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241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180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181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182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246</v>
      </c>
      <c r="B29" s="81" t="s">
        <v>238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177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241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180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181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182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247</v>
      </c>
      <c r="B35" s="81" t="s">
        <v>238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177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241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180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181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182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192</v>
      </c>
      <c r="P40" t="s">
        <v>193</v>
      </c>
      <c r="R40" t="s">
        <v>226</v>
      </c>
    </row>
    <row r="41" spans="1:19" x14ac:dyDescent="0.25">
      <c r="A41" s="83" t="s">
        <v>248</v>
      </c>
      <c r="B41" s="84" t="s">
        <v>238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239</v>
      </c>
      <c r="L41" s="13">
        <f>SUMPRODUCT(C41:C42,H41:H42)/SUM(C41:C42)/12</f>
        <v>6.4128831355158482</v>
      </c>
      <c r="M41" t="s">
        <v>240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177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72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241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242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180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181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182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249</v>
      </c>
      <c r="B47" s="87" t="s">
        <v>238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239</v>
      </c>
      <c r="L47" s="13">
        <f>SUMPRODUCT(C47:C48,H47:H48)/SUM(C47:C48)/12</f>
        <v>6.4392738490745138</v>
      </c>
      <c r="M47" t="s">
        <v>240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177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72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241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242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180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181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182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250</v>
      </c>
      <c r="B53" s="91" t="s">
        <v>238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177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241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180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181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182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251</v>
      </c>
      <c r="B59" s="91" t="s">
        <v>238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177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241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180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181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182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252</v>
      </c>
      <c r="B65" s="91" t="s">
        <v>238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177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241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180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181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182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253</v>
      </c>
      <c r="B71" s="91" t="s">
        <v>238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177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241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180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181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182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247</v>
      </c>
      <c r="B77" s="91" t="s">
        <v>238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177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241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180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181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182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192</v>
      </c>
      <c r="P82" t="s">
        <v>193</v>
      </c>
      <c r="R82" t="s">
        <v>226</v>
      </c>
    </row>
    <row r="83" spans="1:19" x14ac:dyDescent="0.25">
      <c r="A83" s="87" t="s">
        <v>254</v>
      </c>
      <c r="B83" s="87" t="s">
        <v>238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239</v>
      </c>
      <c r="L83" s="13">
        <f>SUMPRODUCT(C83:C84,H83:H84)/SUM(C83:C84)/12</f>
        <v>6.3976205997392439</v>
      </c>
      <c r="M83" t="s">
        <v>240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177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72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241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242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180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181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182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255</v>
      </c>
      <c r="B89" s="91" t="s">
        <v>238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177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241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180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181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182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256</v>
      </c>
      <c r="B95" s="91" t="s">
        <v>238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177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241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180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181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182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257</v>
      </c>
      <c r="B101" s="91" t="s">
        <v>238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177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241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180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181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182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258</v>
      </c>
      <c r="B107" s="91" t="s">
        <v>238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177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241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180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181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182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259</v>
      </c>
      <c r="B113" s="91" t="s">
        <v>238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177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241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180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181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182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260</v>
      </c>
      <c r="B119" s="91" t="s">
        <v>238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177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241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180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181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182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247</v>
      </c>
      <c r="B125" s="91" t="s">
        <v>238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177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241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180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181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182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261</v>
      </c>
      <c r="G1" t="s">
        <v>262</v>
      </c>
    </row>
    <row r="2" spans="2:15" x14ac:dyDescent="0.25">
      <c r="C2" t="s">
        <v>263</v>
      </c>
      <c r="D2" t="s">
        <v>281</v>
      </c>
      <c r="E2" t="s">
        <v>264</v>
      </c>
      <c r="G2" t="s">
        <v>265</v>
      </c>
      <c r="H2" t="s">
        <v>266</v>
      </c>
      <c r="I2" t="s">
        <v>267</v>
      </c>
      <c r="J2" t="s">
        <v>268</v>
      </c>
      <c r="K2" t="s">
        <v>265</v>
      </c>
      <c r="L2" t="s">
        <v>266</v>
      </c>
      <c r="M2" t="s">
        <v>267</v>
      </c>
      <c r="O2" t="s">
        <v>269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278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276</v>
      </c>
    </row>
    <row r="12" spans="2:15" x14ac:dyDescent="0.25">
      <c r="B12" s="6" t="s">
        <v>275</v>
      </c>
      <c r="L12" t="s">
        <v>277</v>
      </c>
      <c r="N12" t="s">
        <v>274</v>
      </c>
    </row>
    <row r="13" spans="2:15" x14ac:dyDescent="0.25">
      <c r="B13" t="s">
        <v>191</v>
      </c>
      <c r="C13" t="s">
        <v>270</v>
      </c>
      <c r="D13" t="s">
        <v>271</v>
      </c>
      <c r="E13" t="s">
        <v>272</v>
      </c>
      <c r="F13" t="s">
        <v>282</v>
      </c>
      <c r="G13" t="s">
        <v>173</v>
      </c>
      <c r="H13" t="s">
        <v>273</v>
      </c>
      <c r="I13" t="s">
        <v>274</v>
      </c>
      <c r="K13" t="s">
        <v>191</v>
      </c>
      <c r="L13" t="s">
        <v>59</v>
      </c>
      <c r="M13" t="s">
        <v>60</v>
      </c>
      <c r="N13" t="s">
        <v>59</v>
      </c>
      <c r="O13" t="s">
        <v>60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327</v>
      </c>
      <c r="R1" s="4" t="s">
        <v>328</v>
      </c>
    </row>
    <row r="2" spans="6:44" x14ac:dyDescent="0.25">
      <c r="G2" t="s">
        <v>325</v>
      </c>
    </row>
    <row r="3" spans="6:44" x14ac:dyDescent="0.25">
      <c r="F3" t="s">
        <v>326</v>
      </c>
      <c r="G3" t="s">
        <v>322</v>
      </c>
      <c r="H3" t="s">
        <v>323</v>
      </c>
      <c r="I3" t="s">
        <v>324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329</v>
      </c>
      <c r="S4" s="118"/>
      <c r="T4" s="118"/>
      <c r="U4" s="118"/>
      <c r="V4" s="118"/>
      <c r="W4" s="118"/>
      <c r="X4" s="112"/>
      <c r="Y4" s="112"/>
      <c r="AB4" t="s">
        <v>326</v>
      </c>
      <c r="AC4" t="s">
        <v>362</v>
      </c>
      <c r="AD4" t="s">
        <v>332</v>
      </c>
      <c r="AE4" t="s">
        <v>333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331</v>
      </c>
      <c r="S5" s="119" t="s">
        <v>330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122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365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  <c r="AH7" s="281"/>
      <c r="AI7" s="281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s="275" t="s">
        <v>363</v>
      </c>
      <c r="Y8" s="10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  <c r="AH8" s="136"/>
      <c r="AI8" s="136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s="14" t="s">
        <v>326</v>
      </c>
      <c r="Y9" s="279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  <c r="AH9" s="136"/>
      <c r="AI9" s="136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s="277" t="s">
        <v>332</v>
      </c>
      <c r="Y10" s="28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  <c r="AH10" s="136"/>
      <c r="AI10" s="136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  <c r="AH11" s="136"/>
      <c r="AI11" s="136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X12" s="275" t="s">
        <v>363</v>
      </c>
      <c r="Y12" s="10">
        <v>0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  <c r="AH12" s="136"/>
      <c r="AI12" s="136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362</v>
      </c>
      <c r="Y13" s="276">
        <v>0.46328995179259302</v>
      </c>
      <c r="AB13" s="134">
        <v>50</v>
      </c>
      <c r="AC13" s="134">
        <f t="shared" si="1"/>
        <v>18.803015465431965</v>
      </c>
      <c r="AD13" s="134">
        <v>250</v>
      </c>
      <c r="AE13" s="128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40" t="s">
        <v>367</v>
      </c>
      <c r="S14" s="118"/>
      <c r="T14" s="118"/>
      <c r="U14" s="118"/>
      <c r="V14" s="118"/>
      <c r="X14" s="277" t="s">
        <v>332</v>
      </c>
      <c r="Y14" s="278">
        <f>0.0125625963867342*1000</f>
        <v>12.562596386734201</v>
      </c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9" t="s">
        <v>331</v>
      </c>
      <c r="S15" s="119" t="s">
        <v>364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  <c r="AH15" s="282"/>
      <c r="AI15" s="282"/>
      <c r="AJ15" s="282"/>
      <c r="AK15" s="282"/>
      <c r="AL15" s="282"/>
      <c r="AM15" s="282"/>
      <c r="AN15" s="15"/>
      <c r="AO15" s="15"/>
      <c r="AP15" s="15"/>
      <c r="AQ15" s="15"/>
      <c r="AR15" s="15"/>
    </row>
    <row r="16" spans="6:44" x14ac:dyDescent="0.25">
      <c r="R16" s="120" t="s">
        <v>122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  <c r="AH16" s="136"/>
      <c r="AI16" s="136"/>
      <c r="AJ16" s="136"/>
      <c r="AK16" s="136"/>
      <c r="AL16" s="136"/>
      <c r="AM16" s="136"/>
      <c r="AN16" s="15"/>
      <c r="AO16" s="15"/>
      <c r="AP16" s="15"/>
      <c r="AQ16" s="15"/>
      <c r="AR16" s="15"/>
    </row>
    <row r="17" spans="18:44" x14ac:dyDescent="0.25">
      <c r="R17" s="114">
        <v>30</v>
      </c>
      <c r="S17" s="142">
        <f>($Y$12+$R17^0.75*$Y$13+S$16*$Y$14)/S7</f>
        <v>0.98978888297456324</v>
      </c>
      <c r="T17" s="143">
        <f t="shared" ref="T17:V17" si="2">($Y$12+$R17^0.75*$Y$13+T$16*$Y$14)/T7</f>
        <v>1.1349227993163662</v>
      </c>
      <c r="U17" s="143">
        <f t="shared" si="2"/>
        <v>1.1109119537467711</v>
      </c>
      <c r="V17" s="144">
        <f t="shared" si="2"/>
        <v>1.0572188391189474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  <c r="AH17" s="136"/>
      <c r="AI17" s="136"/>
      <c r="AJ17" s="136"/>
      <c r="AK17" s="136"/>
      <c r="AL17" s="136"/>
      <c r="AM17" s="136"/>
      <c r="AN17" s="15"/>
      <c r="AO17" s="15"/>
      <c r="AP17" s="15"/>
      <c r="AQ17" s="15"/>
      <c r="AR17" s="15"/>
    </row>
    <row r="18" spans="18:44" x14ac:dyDescent="0.25">
      <c r="R18" s="116">
        <v>40</v>
      </c>
      <c r="S18" s="145">
        <f t="shared" ref="S18:V18" si="3">($Y$12+$R18^0.75*$Y$13+S$16*$Y$14)/S8</f>
        <v>1.0526883931215636</v>
      </c>
      <c r="T18" s="146">
        <f t="shared" si="3"/>
        <v>1.1062597735299469</v>
      </c>
      <c r="U18" s="146">
        <f t="shared" si="3"/>
        <v>1.0920093556174435</v>
      </c>
      <c r="V18" s="147">
        <f t="shared" si="3"/>
        <v>1.0490218493992181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  <c r="AH18" s="136"/>
      <c r="AI18" s="136"/>
      <c r="AJ18" s="136"/>
      <c r="AK18" s="136"/>
      <c r="AL18" s="136"/>
      <c r="AM18" s="136"/>
      <c r="AN18" s="15"/>
      <c r="AO18" s="15"/>
      <c r="AP18" s="15"/>
      <c r="AQ18" s="15"/>
      <c r="AR18" s="15"/>
    </row>
    <row r="19" spans="18:44" x14ac:dyDescent="0.25">
      <c r="R19" s="116">
        <v>50</v>
      </c>
      <c r="S19" s="145">
        <f>($Y$12+$R19^0.75*$Y$13+S$16*$Y$14)/S9</f>
        <v>1.0248527210041596</v>
      </c>
      <c r="T19" s="146">
        <f t="shared" ref="T19:V19" si="4">($Y$12+$R19^0.75*$Y$13+T$16*$Y$14)/T9</f>
        <v>1.0774452022926277</v>
      </c>
      <c r="U19" s="146">
        <f t="shared" si="4"/>
        <v>1.0708961658501754</v>
      </c>
      <c r="V19" s="147">
        <f t="shared" si="4"/>
        <v>1.0130402150128361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6">
        <v>60</v>
      </c>
      <c r="S20" s="145">
        <f t="shared" ref="S20:V20" si="5">($Y$12+$R20^0.75*$Y$13+S$16*$Y$14)/S10</f>
        <v>0.99877190826154594</v>
      </c>
      <c r="T20" s="146">
        <f t="shared" si="5"/>
        <v>1.0502694543439208</v>
      </c>
      <c r="U20" s="146">
        <f t="shared" si="5"/>
        <v>1.0496140178053264</v>
      </c>
      <c r="V20" s="147">
        <f t="shared" si="5"/>
        <v>0.9804484986673766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  <c r="AH20" s="282"/>
      <c r="AI20" s="282"/>
      <c r="AJ20" s="282"/>
      <c r="AK20" s="282"/>
      <c r="AL20" s="282"/>
      <c r="AM20" s="282"/>
      <c r="AN20" s="282"/>
      <c r="AO20" s="282"/>
      <c r="AP20" s="282"/>
      <c r="AQ20" s="15"/>
      <c r="AR20" s="15"/>
    </row>
    <row r="21" spans="18:44" x14ac:dyDescent="0.25">
      <c r="R21" s="116">
        <v>70</v>
      </c>
      <c r="S21" s="145">
        <f>($Y$12+$R21^0.75*$Y$13+S$16*$Y$14)/S11</f>
        <v>0.97494153004629269</v>
      </c>
      <c r="T21" s="146">
        <f t="shared" ref="T21:V21" si="6">($Y$12+$R21^0.75*$Y$13+T$16*$Y$14)/T11</f>
        <v>1.0251769065868512</v>
      </c>
      <c r="U21" s="146">
        <f t="shared" si="6"/>
        <v>0.99960718793711234</v>
      </c>
      <c r="V21" s="147">
        <f t="shared" si="6"/>
        <v>0.95097695929066273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  <c r="AH21" s="136"/>
      <c r="AI21" s="136"/>
      <c r="AJ21" s="136"/>
      <c r="AK21" s="136"/>
      <c r="AL21" s="136"/>
      <c r="AM21" s="136"/>
      <c r="AN21" s="136"/>
      <c r="AO21" s="136"/>
      <c r="AP21" s="136"/>
      <c r="AQ21" s="15"/>
      <c r="AR21" s="15"/>
    </row>
    <row r="22" spans="18:44" x14ac:dyDescent="0.25">
      <c r="R22" s="117">
        <v>80</v>
      </c>
      <c r="S22" s="148">
        <f t="shared" ref="S22:V22" si="7">($Y$12+$R22^0.75*$Y$13+S$16*$Y$14)/S12</f>
        <v>0.95329434970550908</v>
      </c>
      <c r="T22" s="149">
        <f t="shared" si="7"/>
        <v>0.97084222767844797</v>
      </c>
      <c r="U22" s="149">
        <f t="shared" si="7"/>
        <v>0.9576474225404471</v>
      </c>
      <c r="V22" s="150">
        <f t="shared" si="7"/>
        <v>0.89126510474663634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  <c r="AH22" s="136"/>
      <c r="AI22" s="136"/>
      <c r="AJ22" s="136"/>
      <c r="AK22" s="136"/>
      <c r="AL22" s="136"/>
      <c r="AM22" s="136"/>
      <c r="AN22" s="136"/>
      <c r="AO22" s="136"/>
      <c r="AP22" s="136"/>
      <c r="AQ22" s="15"/>
      <c r="AR22" s="15"/>
    </row>
    <row r="23" spans="18:44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  <c r="AH23" s="136"/>
      <c r="AI23" s="136"/>
      <c r="AJ23" s="136"/>
      <c r="AK23" s="136"/>
      <c r="AL23" s="136"/>
      <c r="AM23" s="136"/>
      <c r="AN23" s="136"/>
      <c r="AO23" s="136"/>
      <c r="AP23" s="136"/>
      <c r="AQ23" s="15"/>
      <c r="AR23" s="15"/>
    </row>
    <row r="24" spans="18:44" ht="15.75" x14ac:dyDescent="0.25">
      <c r="R24" s="140" t="s">
        <v>366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9" t="s">
        <v>331</v>
      </c>
      <c r="S25" s="119" t="s">
        <v>364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20" t="s">
        <v>122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4">
        <v>30</v>
      </c>
      <c r="S27" s="142">
        <f>(0.475*$R27^0.75 + S$26*$X$27)/S7</f>
        <v>1.0148066401910558</v>
      </c>
      <c r="T27" s="143">
        <f t="shared" ref="T27:V27" si="8">(0.475*$R27^0.75 + T$26*$X$27)/T7</f>
        <v>1.1361049801432919</v>
      </c>
      <c r="U27" s="143">
        <f t="shared" si="8"/>
        <v>1.0989854401042123</v>
      </c>
      <c r="V27" s="144">
        <f t="shared" si="8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44" x14ac:dyDescent="0.25">
      <c r="R28" s="116">
        <v>40</v>
      </c>
      <c r="S28" s="145">
        <f t="shared" ref="S28:V28" si="9">(0.475*$R28^0.75 + S$26*$X$27)/S8</f>
        <v>1.0792959890409974</v>
      </c>
      <c r="T28" s="146">
        <f t="shared" si="9"/>
        <v>1.1110602024512612</v>
      </c>
      <c r="U28" s="146">
        <f t="shared" si="9"/>
        <v>1.0844057538629586</v>
      </c>
      <c r="V28" s="147">
        <f t="shared" si="9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44" x14ac:dyDescent="0.25">
      <c r="R29" s="116">
        <v>50</v>
      </c>
      <c r="S29" s="145">
        <f t="shared" ref="S29:V29" si="10">(0.475*$R29^0.75 + S$26*$X$27)/S9</f>
        <v>1.0507567465976686</v>
      </c>
      <c r="T29" s="146">
        <f t="shared" si="10"/>
        <v>1.0846756678254712</v>
      </c>
      <c r="U29" s="146">
        <f t="shared" si="10"/>
        <v>1.0665308818628703</v>
      </c>
      <c r="V29" s="147">
        <f t="shared" si="10"/>
        <v>0.99673487362286584</v>
      </c>
    </row>
    <row r="30" spans="18:44" x14ac:dyDescent="0.25">
      <c r="R30" s="116">
        <v>60</v>
      </c>
      <c r="S30" s="145">
        <f t="shared" ref="S30:V30" si="11">(0.475*$R30^0.75 + S$26*$X$27)/S10</f>
        <v>1.0240167190947895</v>
      </c>
      <c r="T30" s="146">
        <f t="shared" si="11"/>
        <v>1.0592133752758317</v>
      </c>
      <c r="U30" s="146">
        <f t="shared" si="11"/>
        <v>1.0477527219966383</v>
      </c>
      <c r="V30" s="147">
        <f t="shared" si="11"/>
        <v>0.966963790910778</v>
      </c>
    </row>
    <row r="31" spans="18:44" x14ac:dyDescent="0.25">
      <c r="R31" s="116">
        <v>70</v>
      </c>
      <c r="S31" s="145">
        <f t="shared" ref="S31:V31" si="12">(0.475*$R31^0.75 + S$26*$X$27)/S11</f>
        <v>0.99958400776909073</v>
      </c>
      <c r="T31" s="146">
        <f t="shared" si="12"/>
        <v>1.0353725778103244</v>
      </c>
      <c r="U31" s="146">
        <f t="shared" si="12"/>
        <v>0.99972663367683112</v>
      </c>
      <c r="V31" s="147">
        <f t="shared" si="12"/>
        <v>0.9398086435737818</v>
      </c>
    </row>
    <row r="32" spans="18:44" x14ac:dyDescent="0.25">
      <c r="R32" s="117">
        <v>80</v>
      </c>
      <c r="S32" s="148">
        <f t="shared" ref="S32:V32" si="13">(0.475*$R32^0.75 + S$26*$X$27)/S12</f>
        <v>0.9773896765040011</v>
      </c>
      <c r="T32" s="149">
        <f t="shared" si="13"/>
        <v>0.98162911215950088</v>
      </c>
      <c r="U32" s="149">
        <f t="shared" si="13"/>
        <v>0.95928542536164174</v>
      </c>
      <c r="V32" s="150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334</v>
      </c>
    </row>
    <row r="2" spans="1:9" ht="15.75" thickBot="1" x14ac:dyDescent="0.3"/>
    <row r="3" spans="1:9" x14ac:dyDescent="0.25">
      <c r="A3" s="139" t="s">
        <v>335</v>
      </c>
      <c r="B3" s="139"/>
    </row>
    <row r="4" spans="1:9" x14ac:dyDescent="0.25">
      <c r="A4" s="136" t="s">
        <v>336</v>
      </c>
      <c r="B4" s="136">
        <v>0.99434308508956182</v>
      </c>
    </row>
    <row r="5" spans="1:9" x14ac:dyDescent="0.25">
      <c r="A5" s="136" t="s">
        <v>337</v>
      </c>
      <c r="B5" s="136">
        <v>0.98871817086542757</v>
      </c>
    </row>
    <row r="6" spans="1:9" x14ac:dyDescent="0.25">
      <c r="A6" s="136" t="s">
        <v>338</v>
      </c>
      <c r="B6" s="141">
        <v>0.9876437109478492</v>
      </c>
    </row>
    <row r="7" spans="1:9" x14ac:dyDescent="0.25">
      <c r="A7" s="136" t="s">
        <v>339</v>
      </c>
      <c r="B7" s="136">
        <v>0.64295634155271764</v>
      </c>
    </row>
    <row r="8" spans="1:9" ht="15.75" thickBot="1" x14ac:dyDescent="0.3">
      <c r="A8" s="137" t="s">
        <v>340</v>
      </c>
      <c r="B8" s="137">
        <v>24</v>
      </c>
    </row>
    <row r="10" spans="1:9" ht="15.75" thickBot="1" x14ac:dyDescent="0.3">
      <c r="A10" t="s">
        <v>341</v>
      </c>
    </row>
    <row r="11" spans="1:9" x14ac:dyDescent="0.25">
      <c r="A11" s="138"/>
      <c r="B11" s="138" t="s">
        <v>345</v>
      </c>
      <c r="C11" s="138" t="s">
        <v>346</v>
      </c>
      <c r="D11" s="138" t="s">
        <v>347</v>
      </c>
      <c r="E11" s="138" t="s">
        <v>348</v>
      </c>
      <c r="F11" s="138" t="s">
        <v>349</v>
      </c>
    </row>
    <row r="12" spans="1:9" x14ac:dyDescent="0.25">
      <c r="A12" s="136" t="s">
        <v>342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343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300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350</v>
      </c>
      <c r="C16" s="138" t="s">
        <v>339</v>
      </c>
      <c r="D16" s="138" t="s">
        <v>351</v>
      </c>
      <c r="E16" s="138" t="s">
        <v>352</v>
      </c>
      <c r="F16" s="138" t="s">
        <v>353</v>
      </c>
      <c r="G16" s="138" t="s">
        <v>354</v>
      </c>
      <c r="H16" s="138" t="s">
        <v>355</v>
      </c>
      <c r="I16" s="138" t="s">
        <v>356</v>
      </c>
    </row>
    <row r="17" spans="1:9" x14ac:dyDescent="0.25">
      <c r="A17" s="136" t="s">
        <v>344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326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332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357</v>
      </c>
    </row>
    <row r="24" spans="1:9" ht="15.75" thickBot="1" x14ac:dyDescent="0.3"/>
    <row r="25" spans="1:9" x14ac:dyDescent="0.25">
      <c r="A25" s="138" t="s">
        <v>358</v>
      </c>
      <c r="B25" s="138" t="s">
        <v>359</v>
      </c>
      <c r="C25" s="138" t="s">
        <v>360</v>
      </c>
      <c r="D25" s="138" t="s">
        <v>361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334</v>
      </c>
    </row>
    <row r="2" spans="1:9" ht="15.75" thickBot="1" x14ac:dyDescent="0.3"/>
    <row r="3" spans="1:9" x14ac:dyDescent="0.25">
      <c r="A3" s="139" t="s">
        <v>335</v>
      </c>
      <c r="B3" s="139"/>
    </row>
    <row r="4" spans="1:9" x14ac:dyDescent="0.25">
      <c r="A4" s="136" t="s">
        <v>336</v>
      </c>
      <c r="B4" s="136">
        <v>0.99923601209082613</v>
      </c>
    </row>
    <row r="5" spans="1:9" x14ac:dyDescent="0.25">
      <c r="A5" s="136" t="s">
        <v>337</v>
      </c>
      <c r="B5" s="136">
        <v>0.99847260785917769</v>
      </c>
    </row>
    <row r="6" spans="1:9" x14ac:dyDescent="0.25">
      <c r="A6" s="136" t="s">
        <v>338</v>
      </c>
      <c r="B6" s="141">
        <v>0.95294863548914033</v>
      </c>
    </row>
    <row r="7" spans="1:9" x14ac:dyDescent="0.25">
      <c r="A7" s="136" t="s">
        <v>339</v>
      </c>
      <c r="B7" s="136">
        <v>0.63937706804773409</v>
      </c>
    </row>
    <row r="8" spans="1:9" ht="15.75" thickBot="1" x14ac:dyDescent="0.3">
      <c r="A8" s="137" t="s">
        <v>340</v>
      </c>
      <c r="B8" s="137">
        <v>24</v>
      </c>
    </row>
    <row r="10" spans="1:9" ht="15.75" thickBot="1" x14ac:dyDescent="0.3">
      <c r="A10" t="s">
        <v>341</v>
      </c>
    </row>
    <row r="11" spans="1:9" x14ac:dyDescent="0.25">
      <c r="A11" s="138"/>
      <c r="B11" s="138" t="s">
        <v>345</v>
      </c>
      <c r="C11" s="138" t="s">
        <v>346</v>
      </c>
      <c r="D11" s="138" t="s">
        <v>347</v>
      </c>
      <c r="E11" s="138" t="s">
        <v>348</v>
      </c>
      <c r="F11" s="138" t="s">
        <v>349</v>
      </c>
    </row>
    <row r="12" spans="1:9" x14ac:dyDescent="0.25">
      <c r="A12" s="136" t="s">
        <v>342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343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300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350</v>
      </c>
      <c r="C16" s="138" t="s">
        <v>339</v>
      </c>
      <c r="D16" s="138" t="s">
        <v>351</v>
      </c>
      <c r="E16" s="138" t="s">
        <v>352</v>
      </c>
      <c r="F16" s="138" t="s">
        <v>353</v>
      </c>
      <c r="G16" s="138" t="s">
        <v>354</v>
      </c>
      <c r="H16" s="138" t="s">
        <v>355</v>
      </c>
      <c r="I16" s="138" t="s">
        <v>356</v>
      </c>
    </row>
    <row r="17" spans="1:9" x14ac:dyDescent="0.25">
      <c r="A17" s="136" t="s">
        <v>344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326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332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357</v>
      </c>
    </row>
    <row r="24" spans="1:9" ht="15.75" thickBot="1" x14ac:dyDescent="0.3"/>
    <row r="25" spans="1:9" x14ac:dyDescent="0.25">
      <c r="A25" s="138" t="s">
        <v>358</v>
      </c>
      <c r="B25" s="138" t="s">
        <v>359</v>
      </c>
      <c r="C25" s="138" t="s">
        <v>360</v>
      </c>
      <c r="D25" s="138" t="s">
        <v>361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2024-12-19T09:28:03Z</dcterms:modified>
</cp:coreProperties>
</file>