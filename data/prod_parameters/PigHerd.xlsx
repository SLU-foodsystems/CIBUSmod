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28800" windowHeight="9000"/>
  </bookViews>
  <sheets>
    <sheet name="default" sheetId="1" r:id="rId1"/>
    <sheet name="Kontroll" sheetId="2" r:id="rId2"/>
    <sheet name="Slaktstat" sheetId="3" r:id="rId3"/>
    <sheet name="Sheet2" sheetId="7" r:id="rId4"/>
    <sheet name="Energi rek" sheetId="5" r:id="rId5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2" i="1" l="1"/>
  <c r="E51" i="1"/>
  <c r="S20" i="5" l="1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<sst xmlns="http://schemas.openxmlformats.org/spreadsheetml/2006/main" count="325" uniqueCount="164">
  <si>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</si>
  <si>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</si>
  <si>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</si>
  <si>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</si>
  <si>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</si>
  <si>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</si>
  <si>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</si>
  <si>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</si>
  <si>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</si>
  <si>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</si>
  <si>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</si>
  <si>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</si>
  <si>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</si>
  <si>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</si>
  <si>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</si>
  <si>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</si>
  <si>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</si>
  <si>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</si>
  <si>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</si>
  <si>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</si>
  <si>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</si>
  <si>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</si>
  <si>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</si>
  <si>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</si>
  <si>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</si>
  <si>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</si>
  <si>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</si>
  <si>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</si>
  <si>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</si>
  <si>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</si>
  <si>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</si>
  <si>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Zira et al 2027</t>
  </si>
  <si>
    <t>Zira et al 2028</t>
  </si>
  <si>
    <t>Zira et al 2029</t>
  </si>
  <si>
    <t>Zira et al 2030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</si>
  <si>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</si>
  <si>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</si>
  <si>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</si>
  <si>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</si>
  <si>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</si>
  <si>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</si>
  <si>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</si>
  <si>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</si>
  <si>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</si>
  <si>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</si>
  <si>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</si>
  <si>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</si>
  <si>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</si>
  <si>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</si>
  <si>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</si>
  <si>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</si>
  <si>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</si>
  <si>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</si>
  <si>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</si>
  <si>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</si>
  <si>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</si>
  <si>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</si>
  <si>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</si>
  <si>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</si>
  <si>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</si>
  <si>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</si>
  <si>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</si>
  <si>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</si>
  <si>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</si>
  <si>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</si>
  <si>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</si>
  <si>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</si>
  <si>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</si>
  <si>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</si>
  <si>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</si>
  <si>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</si>
  <si>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</si>
  <si>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</si>
  <si>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</si>
  <si>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</si>
  <si>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</si>
  <si>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</si>
  <si>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</si>
  <si>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</si>
  <si>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</si>
  <si>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</si>
  <si>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</si>
  <si>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</si>
  <si>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</si>
  <si>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</si>
  <si>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</si>
  <si>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</si>
  <si>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</si>
  <si>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</si>
  <si>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</si>
  <si>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</si>
  <si>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</si>
  <si>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</si>
  <si>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</si>
  <si>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</si>
  <si>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</si>
  <si>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</si>
  <si>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</si>
  <si>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</si>
  <si>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</si>
  <si>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</si>
  <si>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</si>
  <si>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</si>
  <si>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</si>
  <si>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</si>
  <si>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</si>
  <si>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</si>
  <si>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</si>
  <si>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</si>
  <si>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</si>
  <si>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</si>
  <si>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</si>
  <si>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</si>
  <si>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</si>
  <si>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</si>
  <si>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</si>
  <si>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</si>
  <si>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</si>
  <si>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</si>
  <si>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</si>
  <si>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</si>
  <si>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</si>
  <si>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</si>
  <si>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</si>
  <si>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</si>
  <si>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</si>
  <si>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</si>
  <si>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</si>
  <si>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</si>
  <si>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</si>
  <si>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</si>
  <si>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</si>
  <si>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</si>
  <si>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</si>
  <si>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</si>
  <si>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</si>
  <si>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</si>
  <si>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</si>
  <si>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</si>
  <si>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</si>
  <si>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</si>
  <si>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</si>
  <si>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</si>
  <si>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</si>
  <si>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</si>
  <si>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</si>
  <si>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</si>
  <si>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</si>
  <si>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</si>
  <si>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</si>
  <si>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</si>
  <si>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</si>
  <si>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</si>
  <si>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</si>
  <si>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</si>
  <si>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</si>
  <si>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</si>
  <si>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</si>
  <si>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RISE LCA</t>
  </si>
  <si>
    <t>Tabell 3: 420 MJ / (31.5kg@delivery - 10kg@weaning)</t>
  </si>
  <si>
    <t>org/conv ratio from Zira et al 2020</t>
  </si>
  <si>
    <t>branchstandard</t>
  </si>
  <si>
    <t>dif org/conv?</t>
  </si>
  <si>
    <t>Fallback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</si>
</sst>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16" fillId="0" borderId="0" xfId="0" applyFont="1"/>
    <xf numFmtId="1" fontId="16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"/>
  <sheetViews>
    <sheetView tabSelected="1" topLeftCell="A37" workbookViewId="0">
      <selection activeCell="F44" sqref="F44"/>
    </sheetView>
  </sheetViews>
  <sheetFormatPr defaultRowHeight="15" x14ac:dyDescent="0.25"/>
  <cols>
    <col min="1" max="1" width="14.28515625" bestFit="1" customWidth="1"/>
    <col min="2" max="2" width="12.7109375" bestFit="1" customWidth="1"/>
    <col min="4" max="4" width="24.5703125" bestFit="1" customWidth="1"/>
    <col min="7" max="7" width="28.7109375" customWidth="1"/>
    <col min="8" max="8" width="31.42578125" bestFit="1" customWidth="1"/>
  </cols>
  <sheetData>
    <row r="1" spans="1:8" x14ac:dyDescent="0.25">
      <c r="A1" t="s">
        <v>53</v>
      </c>
      <c r="B1" t="s">
        <v>21</v>
      </c>
      <c r="C1" t="s">
        <v>73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8" x14ac:dyDescent="0.25">
      <c r="A2" s="14" t="s">
        <v>77</v>
      </c>
      <c r="B2" s="8"/>
      <c r="C2" s="8"/>
      <c r="D2" s="8"/>
      <c r="E2" s="8"/>
      <c r="F2" s="8"/>
      <c r="G2" s="8"/>
      <c r="H2" s="8"/>
    </row>
    <row r="3" spans="1:8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35</v>
      </c>
      <c r="H3" t="s">
        <v>51</v>
      </c>
    </row>
    <row r="4" spans="1:8" x14ac:dyDescent="0.25">
      <c r="A4" t="s">
        <v>28</v>
      </c>
      <c r="D4" t="s">
        <v>2</v>
      </c>
      <c r="E4" s="3">
        <f>2.1/2.3*E3</f>
        <v>2.0397391304347829</v>
      </c>
      <c r="F4" t="s">
        <v>35</v>
      </c>
      <c r="H4" t="s">
        <v>160</v>
      </c>
    </row>
    <row r="5" spans="1:8" x14ac:dyDescent="0.25">
      <c r="A5" t="s">
        <v>27</v>
      </c>
      <c r="D5" t="s">
        <v>19</v>
      </c>
      <c r="E5" s="3">
        <f>AVERAGE(14,14.5,14.6,14.8,15)</f>
        <v>14.580000000000002</v>
      </c>
      <c r="F5" t="s">
        <v>35</v>
      </c>
      <c r="H5" t="s">
        <v>51</v>
      </c>
    </row>
    <row r="6" spans="1:8" x14ac:dyDescent="0.25">
      <c r="A6" t="s">
        <v>28</v>
      </c>
      <c r="D6" t="s">
        <v>19</v>
      </c>
      <c r="E6" s="3">
        <f>12.4/14.6*E5</f>
        <v>12.383013698630139</v>
      </c>
      <c r="F6" t="s">
        <v>35</v>
      </c>
      <c r="H6" t="s">
        <v>160</v>
      </c>
    </row>
    <row r="7" spans="1:8" x14ac:dyDescent="0.25">
      <c r="A7" t="s">
        <v>27</v>
      </c>
      <c r="D7" t="s">
        <v>20</v>
      </c>
      <c r="E7" s="3">
        <f>AVERAGE(1.2,1.2,1.3,1.3,1.3)</f>
        <v>1.26</v>
      </c>
      <c r="F7" t="s">
        <v>35</v>
      </c>
      <c r="H7" t="s">
        <v>51</v>
      </c>
    </row>
    <row r="8" spans="1:8" x14ac:dyDescent="0.25">
      <c r="A8" t="s">
        <v>28</v>
      </c>
      <c r="D8" t="s">
        <v>20</v>
      </c>
      <c r="E8" s="3">
        <f>E7/E5*E6</f>
        <v>1.0701369863013699</v>
      </c>
      <c r="F8" t="s">
        <v>35</v>
      </c>
      <c r="G8" t="s">
        <v>156</v>
      </c>
    </row>
    <row r="9" spans="1:8" x14ac:dyDescent="0.25">
      <c r="A9" t="s">
        <v>27</v>
      </c>
      <c r="D9" t="s">
        <v>42</v>
      </c>
      <c r="E9" s="3">
        <v>354</v>
      </c>
      <c r="F9" t="s">
        <v>41</v>
      </c>
      <c r="H9" t="s">
        <v>30</v>
      </c>
    </row>
    <row r="10" spans="1:8" x14ac:dyDescent="0.25">
      <c r="A10" t="s">
        <v>28</v>
      </c>
      <c r="D10" t="s">
        <v>42</v>
      </c>
      <c r="E10" s="3">
        <v>367</v>
      </c>
      <c r="F10" t="s">
        <v>41</v>
      </c>
      <c r="H10" t="s">
        <v>30</v>
      </c>
    </row>
    <row r="11" spans="1:8" x14ac:dyDescent="0.25">
      <c r="A11" t="s">
        <v>27</v>
      </c>
      <c r="D11" t="s">
        <v>43</v>
      </c>
      <c r="E11">
        <v>50</v>
      </c>
      <c r="F11" t="s">
        <v>23</v>
      </c>
      <c r="G11" t="s">
        <v>26</v>
      </c>
      <c r="H11" t="s">
        <v>30</v>
      </c>
    </row>
    <row r="12" spans="1:8" x14ac:dyDescent="0.25">
      <c r="A12" t="s">
        <v>28</v>
      </c>
      <c r="D12" t="s">
        <v>43</v>
      </c>
      <c r="E12">
        <v>40</v>
      </c>
      <c r="F12" t="s">
        <v>23</v>
      </c>
      <c r="G12" t="s">
        <v>26</v>
      </c>
      <c r="H12" t="s">
        <v>30</v>
      </c>
    </row>
    <row r="13" spans="1:8" x14ac:dyDescent="0.25">
      <c r="D13" t="s">
        <v>157</v>
      </c>
      <c r="E13" s="13">
        <v>115</v>
      </c>
      <c r="F13" t="s">
        <v>41</v>
      </c>
    </row>
    <row r="14" spans="1:8" x14ac:dyDescent="0.25">
      <c r="D14" t="s">
        <v>52</v>
      </c>
      <c r="E14">
        <v>1.0999999999999999E-2</v>
      </c>
      <c r="F14" t="s">
        <v>35</v>
      </c>
      <c r="G14" t="s">
        <v>17</v>
      </c>
      <c r="H14" t="s">
        <v>18</v>
      </c>
    </row>
    <row r="16" spans="1:8" x14ac:dyDescent="0.25">
      <c r="A16" s="14" t="s">
        <v>84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80</v>
      </c>
      <c r="E17">
        <v>1.5</v>
      </c>
      <c r="F17" t="s">
        <v>81</v>
      </c>
      <c r="H17" s="15" t="s">
        <v>82</v>
      </c>
    </row>
    <row r="18" spans="1:13" x14ac:dyDescent="0.25">
      <c r="D18" t="s">
        <v>104</v>
      </c>
      <c r="E18">
        <v>10</v>
      </c>
      <c r="F18" t="s">
        <v>81</v>
      </c>
      <c r="G18" t="s">
        <v>161</v>
      </c>
      <c r="H18" s="15"/>
    </row>
    <row r="19" spans="1:13" x14ac:dyDescent="0.25">
      <c r="D19" t="s">
        <v>87</v>
      </c>
      <c r="E19">
        <v>30</v>
      </c>
      <c r="F19" t="s">
        <v>81</v>
      </c>
      <c r="G19" t="s">
        <v>161</v>
      </c>
      <c r="H19" t="s">
        <v>51</v>
      </c>
    </row>
    <row r="20" spans="1:13" x14ac:dyDescent="0.25">
      <c r="B20" t="s">
        <v>13</v>
      </c>
      <c r="D20" t="s">
        <v>83</v>
      </c>
      <c r="E20" s="13">
        <f>E45/0.75</f>
        <v>240.64979221760481</v>
      </c>
      <c r="F20" t="s">
        <v>81</v>
      </c>
      <c r="G20" t="s">
        <v>85</v>
      </c>
      <c r="H20" s="15"/>
    </row>
    <row r="21" spans="1:13" x14ac:dyDescent="0.25">
      <c r="B21" t="s">
        <v>14</v>
      </c>
      <c r="D21" t="s">
        <v>83</v>
      </c>
      <c r="E21" s="13">
        <f t="shared" ref="E21:E22" si="0">E46/0.75</f>
        <v>205.63847429519072</v>
      </c>
      <c r="F21" t="s">
        <v>81</v>
      </c>
      <c r="G21" t="s">
        <v>85</v>
      </c>
      <c r="H21" s="15"/>
    </row>
    <row r="22" spans="1:13" x14ac:dyDescent="0.25">
      <c r="D22" t="s">
        <v>86</v>
      </c>
      <c r="E22" s="13">
        <f t="shared" si="0"/>
        <v>122.41258802745277</v>
      </c>
      <c r="F22" t="s">
        <v>81</v>
      </c>
      <c r="G22" t="s">
        <v>85</v>
      </c>
      <c r="H22" s="15"/>
    </row>
    <row r="23" spans="1:13" x14ac:dyDescent="0.25">
      <c r="A23" s="14" t="s">
        <v>78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37</v>
      </c>
      <c r="E24">
        <v>33</v>
      </c>
      <c r="F24" t="s">
        <v>41</v>
      </c>
      <c r="H24" t="s">
        <v>30</v>
      </c>
    </row>
    <row r="25" spans="1:13" x14ac:dyDescent="0.25">
      <c r="A25" t="s">
        <v>28</v>
      </c>
      <c r="D25" t="s">
        <v>37</v>
      </c>
      <c r="E25">
        <v>42</v>
      </c>
      <c r="F25" t="s">
        <v>41</v>
      </c>
      <c r="H25" t="s">
        <v>30</v>
      </c>
    </row>
    <row r="26" spans="1:13" x14ac:dyDescent="0.25">
      <c r="A26" t="s">
        <v>27</v>
      </c>
      <c r="D26" t="s">
        <v>38</v>
      </c>
      <c r="E26">
        <v>42</v>
      </c>
      <c r="F26" t="s">
        <v>41</v>
      </c>
      <c r="H26" t="s">
        <v>30</v>
      </c>
    </row>
    <row r="27" spans="1:13" x14ac:dyDescent="0.25">
      <c r="A27" t="s">
        <v>28</v>
      </c>
      <c r="D27" t="s">
        <v>38</v>
      </c>
      <c r="E27">
        <v>38.5</v>
      </c>
      <c r="F27" t="s">
        <v>41</v>
      </c>
      <c r="H27" t="s">
        <v>30</v>
      </c>
    </row>
    <row r="28" spans="1:13" x14ac:dyDescent="0.25">
      <c r="A28" t="s">
        <v>27</v>
      </c>
      <c r="D28" t="s">
        <v>39</v>
      </c>
      <c r="E28">
        <v>37</v>
      </c>
      <c r="F28" t="s">
        <v>41</v>
      </c>
      <c r="H28" t="s">
        <v>30</v>
      </c>
    </row>
    <row r="29" spans="1:13" x14ac:dyDescent="0.25">
      <c r="A29" t="s">
        <v>28</v>
      </c>
      <c r="D29" t="s">
        <v>39</v>
      </c>
      <c r="E29">
        <v>38</v>
      </c>
      <c r="F29" t="s">
        <v>41</v>
      </c>
      <c r="H29" t="s">
        <v>30</v>
      </c>
    </row>
    <row r="30" spans="1:13" x14ac:dyDescent="0.25">
      <c r="A30" t="s">
        <v>27</v>
      </c>
      <c r="D30" t="s">
        <v>40</v>
      </c>
      <c r="E30">
        <v>67</v>
      </c>
      <c r="F30" t="s">
        <v>41</v>
      </c>
      <c r="H30" t="s">
        <v>30</v>
      </c>
    </row>
    <row r="31" spans="1:13" x14ac:dyDescent="0.25">
      <c r="A31" t="s">
        <v>28</v>
      </c>
      <c r="D31" t="s">
        <v>40</v>
      </c>
      <c r="E31">
        <v>68</v>
      </c>
      <c r="F31" t="s">
        <v>41</v>
      </c>
      <c r="H31" t="s">
        <v>30</v>
      </c>
      <c r="M31" s="6"/>
    </row>
    <row r="33" spans="1:14" x14ac:dyDescent="0.25">
      <c r="A33" s="14" t="s">
        <v>76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51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160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51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160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31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32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33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34</v>
      </c>
    </row>
    <row r="44" spans="1:14" x14ac:dyDescent="0.25">
      <c r="A44" s="14" t="s">
        <v>79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70</v>
      </c>
      <c r="E45" s="13">
        <v>180.4873441632036</v>
      </c>
      <c r="F45" t="s">
        <v>71</v>
      </c>
      <c r="H45" t="s">
        <v>72</v>
      </c>
    </row>
    <row r="46" spans="1:14" x14ac:dyDescent="0.25">
      <c r="B46" t="s">
        <v>14</v>
      </c>
      <c r="D46" t="s">
        <v>70</v>
      </c>
      <c r="E46" s="13">
        <v>154.22885572139305</v>
      </c>
      <c r="F46" t="s">
        <v>71</v>
      </c>
      <c r="H46" t="s">
        <v>72</v>
      </c>
    </row>
    <row r="47" spans="1:14" x14ac:dyDescent="0.25">
      <c r="B47" t="s">
        <v>25</v>
      </c>
      <c r="D47" t="s">
        <v>70</v>
      </c>
      <c r="E47" s="13">
        <v>91.809441020589574</v>
      </c>
      <c r="F47" t="s">
        <v>71</v>
      </c>
      <c r="H47" t="s">
        <v>72</v>
      </c>
    </row>
    <row r="48" spans="1:14" x14ac:dyDescent="0.25">
      <c r="D48" s="100" t="s">
        <v>70</v>
      </c>
      <c r="E48" s="101">
        <v>0</v>
      </c>
      <c r="F48" s="100"/>
      <c r="G48" s="100" t="s">
        <v>163</v>
      </c>
    </row>
    <row r="49" spans="1:8" x14ac:dyDescent="0.25">
      <c r="A49" s="14" t="s">
        <v>108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107</v>
      </c>
      <c r="E50" s="3">
        <v>19.5</v>
      </c>
      <c r="F50" t="s">
        <v>106</v>
      </c>
      <c r="G50" t="s">
        <v>159</v>
      </c>
      <c r="H50" t="s">
        <v>158</v>
      </c>
    </row>
    <row r="51" spans="1:8" x14ac:dyDescent="0.25">
      <c r="B51" t="s">
        <v>24</v>
      </c>
      <c r="D51" t="s">
        <v>107</v>
      </c>
      <c r="E51" s="3">
        <f>AVERAGE(26.4,25.7,25.4,25.8,25.3)</f>
        <v>25.72</v>
      </c>
      <c r="F51" t="s">
        <v>106</v>
      </c>
      <c r="G51" s="87" t="s">
        <v>162</v>
      </c>
      <c r="H51" t="s">
        <v>51</v>
      </c>
    </row>
    <row r="52" spans="1:8" x14ac:dyDescent="0.25">
      <c r="B52" t="s">
        <v>25</v>
      </c>
      <c r="D52" t="s">
        <v>107</v>
      </c>
      <c r="E52" s="3">
        <f>AVERAGE(26.4,25.7,25.4,25.8,25.3)</f>
        <v>25.72</v>
      </c>
      <c r="F52" t="s">
        <v>106</v>
      </c>
      <c r="G52" s="87" t="s">
        <v>162</v>
      </c>
      <c r="H52" t="s">
        <v>51</v>
      </c>
    </row>
    <row r="53" spans="1:8" x14ac:dyDescent="0.25">
      <c r="E53" s="13"/>
    </row>
    <row r="54" spans="1:8" x14ac:dyDescent="0.25">
      <c r="A54" s="14" t="s">
        <v>105</v>
      </c>
      <c r="B54" s="8"/>
      <c r="C54" s="8"/>
      <c r="D54" s="8"/>
      <c r="E54" s="8"/>
      <c r="F54" s="8"/>
      <c r="G54" s="8"/>
      <c r="H54" s="8"/>
    </row>
    <row r="55" spans="1:8" x14ac:dyDescent="0.25">
      <c r="C55" t="s">
        <v>74</v>
      </c>
      <c r="D55" t="s">
        <v>75</v>
      </c>
      <c r="E55">
        <v>100</v>
      </c>
      <c r="F55" t="s">
        <v>23</v>
      </c>
    </row>
    <row r="57" spans="1:8" x14ac:dyDescent="0.25">
      <c r="D57" s="100" t="s">
        <v>75</v>
      </c>
      <c r="E57" s="100">
        <v>0</v>
      </c>
      <c r="F57" s="100"/>
      <c r="G57" s="100" t="s">
        <v>163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49</v>
      </c>
    </row>
    <row r="5" spans="1:11" x14ac:dyDescent="0.25">
      <c r="A5" t="s">
        <v>36</v>
      </c>
      <c r="B5" s="2">
        <v>33623.920935000002</v>
      </c>
      <c r="C5" s="2"/>
      <c r="H5" t="s">
        <v>12</v>
      </c>
      <c r="J5">
        <v>14.6</v>
      </c>
      <c r="K5" t="s">
        <v>49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48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50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44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45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46</v>
      </c>
      <c r="E15" s="3">
        <v>20.3</v>
      </c>
    </row>
    <row r="16" spans="1:11" x14ac:dyDescent="0.25">
      <c r="D16" t="s">
        <v>47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68</v>
      </c>
      <c r="C3" s="4" t="s">
        <v>54</v>
      </c>
      <c r="D3" s="4"/>
      <c r="E3" s="4"/>
      <c r="F3" s="4"/>
      <c r="G3" s="4"/>
      <c r="H3" s="4"/>
      <c r="I3" s="4" t="s">
        <v>55</v>
      </c>
      <c r="J3" s="4"/>
      <c r="K3" s="4"/>
      <c r="L3" s="4"/>
      <c r="M3" s="4"/>
      <c r="N3" s="4"/>
      <c r="O3" s="4" t="s">
        <v>69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56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57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58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59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60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61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62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63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64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46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47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45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66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67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65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120</v>
      </c>
    </row>
    <row r="2" spans="1:9" ht="15.75" thickBot="1" x14ac:dyDescent="0.3"/>
    <row r="3" spans="1:9" x14ac:dyDescent="0.25">
      <c r="A3" s="83" t="s">
        <v>121</v>
      </c>
      <c r="B3" s="83"/>
    </row>
    <row r="4" spans="1:9" x14ac:dyDescent="0.25">
      <c r="A4" s="80" t="s">
        <v>122</v>
      </c>
      <c r="B4" s="80">
        <v>0.99999493252819649</v>
      </c>
    </row>
    <row r="5" spans="1:9" x14ac:dyDescent="0.25">
      <c r="A5" s="80" t="s">
        <v>123</v>
      </c>
      <c r="B5" s="80">
        <v>0.99998986508207222</v>
      </c>
    </row>
    <row r="6" spans="1:9" x14ac:dyDescent="0.25">
      <c r="A6" s="80" t="s">
        <v>124</v>
      </c>
      <c r="B6" s="80">
        <v>0.85713127437951109</v>
      </c>
    </row>
    <row r="7" spans="1:9" x14ac:dyDescent="0.25">
      <c r="A7" s="80" t="s">
        <v>125</v>
      </c>
      <c r="B7" s="80">
        <v>0.25677629550654923</v>
      </c>
    </row>
    <row r="8" spans="1:9" ht="15.75" thickBot="1" x14ac:dyDescent="0.3">
      <c r="A8" s="81" t="s">
        <v>126</v>
      </c>
      <c r="B8" s="81">
        <v>9</v>
      </c>
    </row>
    <row r="10" spans="1:9" ht="15.75" thickBot="1" x14ac:dyDescent="0.3">
      <c r="A10" t="s">
        <v>127</v>
      </c>
    </row>
    <row r="11" spans="1:9" x14ac:dyDescent="0.25">
      <c r="A11" s="82"/>
      <c r="B11" s="82" t="s">
        <v>132</v>
      </c>
      <c r="C11" s="82" t="s">
        <v>133</v>
      </c>
      <c r="D11" s="82" t="s">
        <v>134</v>
      </c>
      <c r="E11" s="82" t="s">
        <v>135</v>
      </c>
      <c r="F11" s="82" t="s">
        <v>136</v>
      </c>
    </row>
    <row r="12" spans="1:9" x14ac:dyDescent="0.25">
      <c r="A12" s="80" t="s">
        <v>128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129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130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137</v>
      </c>
      <c r="C16" s="82" t="s">
        <v>125</v>
      </c>
      <c r="D16" s="82" t="s">
        <v>138</v>
      </c>
      <c r="E16" s="82" t="s">
        <v>139</v>
      </c>
      <c r="F16" s="82" t="s">
        <v>140</v>
      </c>
      <c r="G16" s="82" t="s">
        <v>141</v>
      </c>
      <c r="H16" s="82" t="s">
        <v>142</v>
      </c>
      <c r="I16" s="82" t="s">
        <v>143</v>
      </c>
    </row>
    <row r="17" spans="1:9" x14ac:dyDescent="0.25">
      <c r="A17" s="80" t="s">
        <v>131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117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118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144</v>
      </c>
      <c r="F23" t="s">
        <v>149</v>
      </c>
    </row>
    <row r="24" spans="1:9" ht="15.75" thickBot="1" x14ac:dyDescent="0.3"/>
    <row r="25" spans="1:9" x14ac:dyDescent="0.25">
      <c r="A25" s="82" t="s">
        <v>145</v>
      </c>
      <c r="B25" s="82" t="s">
        <v>146</v>
      </c>
      <c r="C25" s="82" t="s">
        <v>147</v>
      </c>
      <c r="D25" s="82" t="s">
        <v>148</v>
      </c>
      <c r="F25" s="82" t="s">
        <v>150</v>
      </c>
      <c r="G25" s="82" t="s">
        <v>113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H24" sqref="H24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109</v>
      </c>
      <c r="O2" t="s">
        <v>110</v>
      </c>
    </row>
    <row r="3" spans="2:17" ht="15.75" x14ac:dyDescent="0.25">
      <c r="B3" s="25" t="s">
        <v>88</v>
      </c>
      <c r="C3" s="25"/>
      <c r="D3" s="25"/>
      <c r="E3" s="25"/>
      <c r="O3" t="s">
        <v>111</v>
      </c>
    </row>
    <row r="4" spans="2:17" ht="30" x14ac:dyDescent="0.25">
      <c r="B4" s="16" t="s">
        <v>89</v>
      </c>
      <c r="C4" s="16" t="s">
        <v>90</v>
      </c>
      <c r="D4" s="17" t="s">
        <v>91</v>
      </c>
      <c r="E4" s="18"/>
      <c r="O4" s="77" t="s">
        <v>101</v>
      </c>
      <c r="P4" s="77" t="s">
        <v>112</v>
      </c>
      <c r="Q4" s="77" t="s">
        <v>113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93</v>
      </c>
      <c r="D15" s="30" t="s">
        <v>94</v>
      </c>
      <c r="E15" s="18"/>
    </row>
    <row r="16" spans="2:17" x14ac:dyDescent="0.25">
      <c r="B16" s="24" t="s">
        <v>92</v>
      </c>
      <c r="C16" s="24"/>
      <c r="D16" s="24"/>
      <c r="E16" s="24"/>
      <c r="O16" t="s">
        <v>110</v>
      </c>
    </row>
    <row r="17" spans="2:20" ht="15.75" x14ac:dyDescent="0.25">
      <c r="B17" s="23"/>
      <c r="C17" s="23"/>
      <c r="D17" s="23"/>
      <c r="E17" s="23"/>
      <c r="O17" t="s">
        <v>116</v>
      </c>
    </row>
    <row r="18" spans="2:20" ht="30" x14ac:dyDescent="0.25">
      <c r="O18" s="79" t="s">
        <v>117</v>
      </c>
      <c r="P18" s="79" t="s">
        <v>118</v>
      </c>
      <c r="Q18" s="79" t="s">
        <v>112</v>
      </c>
      <c r="R18" s="79" t="s">
        <v>113</v>
      </c>
      <c r="S18" s="79" t="s">
        <v>119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109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95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94" t="s">
        <v>101</v>
      </c>
      <c r="D23" s="96" t="s">
        <v>90</v>
      </c>
      <c r="E23" s="89" t="s">
        <v>91</v>
      </c>
      <c r="F23" s="91" t="s">
        <v>96</v>
      </c>
      <c r="G23" s="93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95"/>
      <c r="D24" s="97"/>
      <c r="E24" s="90"/>
      <c r="F24" s="92"/>
      <c r="G24" s="93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99" t="s">
        <v>9</v>
      </c>
      <c r="C25" s="99"/>
      <c r="D25" s="99"/>
      <c r="E25" s="99"/>
      <c r="F25" s="99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88" t="s">
        <v>97</v>
      </c>
      <c r="C26" s="88"/>
      <c r="D26" s="88"/>
      <c r="E26" s="88"/>
      <c r="F26" s="88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151</v>
      </c>
      <c r="P29" s="84" t="s">
        <v>153</v>
      </c>
      <c r="Q29" s="84">
        <v>5.46</v>
      </c>
      <c r="R29" s="85" t="s">
        <v>152</v>
      </c>
      <c r="S29" s="84" t="s">
        <v>154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155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98" t="s">
        <v>8</v>
      </c>
      <c r="C34" s="98"/>
      <c r="D34" s="98"/>
      <c r="E34" s="98"/>
      <c r="F34" s="98"/>
      <c r="G34" s="42"/>
      <c r="H34" s="18"/>
      <c r="R34" s="13"/>
    </row>
    <row r="35" spans="2:18" ht="15" customHeight="1" x14ac:dyDescent="0.25">
      <c r="B35" s="88" t="s">
        <v>98</v>
      </c>
      <c r="C35" s="88"/>
      <c r="D35" s="88"/>
      <c r="E35" s="88"/>
      <c r="F35" s="88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102</v>
      </c>
      <c r="C42" s="36"/>
      <c r="D42" s="37" t="s">
        <v>93</v>
      </c>
      <c r="E42" s="38" t="s">
        <v>103</v>
      </c>
      <c r="F42" s="36"/>
      <c r="G42" s="43"/>
      <c r="H42" s="18"/>
    </row>
    <row r="43" spans="2:18" ht="15" customHeight="1" x14ac:dyDescent="0.25">
      <c r="B43" s="46" t="s">
        <v>100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99</v>
      </c>
    </row>
    <row r="46" spans="2:18" x14ac:dyDescent="0.25">
      <c r="B46" t="s">
        <v>109</v>
      </c>
    </row>
    <row r="47" spans="2:18" ht="15" customHeight="1" x14ac:dyDescent="0.25">
      <c r="B47" s="67" t="s">
        <v>114</v>
      </c>
      <c r="C47" s="67"/>
      <c r="D47" s="67"/>
      <c r="E47" s="67"/>
    </row>
    <row r="48" spans="2:18" x14ac:dyDescent="0.25">
      <c r="B48" s="16" t="s">
        <v>89</v>
      </c>
      <c r="C48" s="16" t="s">
        <v>90</v>
      </c>
      <c r="D48" s="16" t="s">
        <v>91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115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Kontroll</vt:lpstr>
      <vt:lpstr>Slaktstat</vt:lpstr>
      <vt:lpstr>Sheet2</vt:lpstr>
      <vt:lpstr>Energi rek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2023-04-21T13:24:26Z</dcterms:modified>
</cp:coreProperties>
</file>