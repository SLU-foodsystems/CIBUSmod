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default" sheetId="1" r:id="rId1"/>
    <sheet name="Feed rations" sheetId="3" r:id="rId2"/>
    <sheet name="ME req young horses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9" i="3" l="1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 s="1"/>
  <c r="G10" i="3"/>
  <c r="F10" i="3"/>
  <c r="G9" i="3"/>
  <c r="F9" i="3" s="1"/>
  <c r="G8" i="3"/>
  <c r="F8" i="3"/>
  <c r="F5" i="3"/>
  <c r="F6" i="3"/>
  <c r="F7" i="3"/>
  <c r="F4" i="3"/>
  <c r="G7" i="3"/>
  <c r="G6" i="3"/>
  <c r="G5" i="3"/>
  <c r="G4" i="3"/>
  <c r="E5" i="3" l="1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4" i="3"/>
  <c r="H23" i="3"/>
  <c r="H25" i="3" s="1"/>
  <c r="H24" i="3"/>
  <c r="K26" i="3" l="1"/>
  <c r="N26" i="3"/>
  <c r="O26" i="3"/>
  <c r="P26" i="3"/>
  <c r="Q26" i="3"/>
  <c r="R26" i="3"/>
  <c r="S26" i="3"/>
  <c r="T26" i="3"/>
  <c r="U26" i="3"/>
  <c r="V26" i="3"/>
  <c r="W26" i="3"/>
  <c r="X26" i="3"/>
  <c r="L26" i="3"/>
  <c r="M26" i="3"/>
  <c r="J26" i="3"/>
  <c r="I26" i="3"/>
  <c r="M25" i="3"/>
  <c r="H26" i="3" l="1"/>
  <c r="N25" i="3"/>
  <c r="U25" i="3"/>
  <c r="I25" i="3"/>
  <c r="V25" i="3"/>
  <c r="L25" i="3"/>
  <c r="Q25" i="3"/>
  <c r="T25" i="3"/>
  <c r="P25" i="3"/>
  <c r="J25" i="3"/>
  <c r="R25" i="3"/>
  <c r="K25" i="3"/>
  <c r="X25" i="3"/>
  <c r="W25" i="3"/>
  <c r="S25" i="3"/>
  <c r="O25" i="3"/>
  <c r="F23" i="1" l="1"/>
  <c r="F24" i="1" l="1"/>
  <c r="U30" i="2"/>
  <c r="T30" i="2"/>
  <c r="S30" i="2"/>
  <c r="T15" i="2"/>
  <c r="U15" i="2"/>
  <c r="S15" i="2"/>
  <c r="U28" i="2"/>
  <c r="R28" i="2"/>
  <c r="Q28" i="2"/>
  <c r="T28" i="2" s="1"/>
  <c r="P28" i="2"/>
  <c r="S28" i="2" s="1"/>
  <c r="S27" i="2"/>
  <c r="R27" i="2"/>
  <c r="U27" i="2" s="1"/>
  <c r="Q27" i="2"/>
  <c r="T27" i="2" s="1"/>
  <c r="P27" i="2"/>
  <c r="U26" i="2"/>
  <c r="S26" i="2"/>
  <c r="R26" i="2"/>
  <c r="Q26" i="2"/>
  <c r="T26" i="2" s="1"/>
  <c r="P26" i="2"/>
  <c r="U25" i="2"/>
  <c r="S25" i="2"/>
  <c r="R25" i="2"/>
  <c r="Q25" i="2"/>
  <c r="T25" i="2" s="1"/>
  <c r="P25" i="2"/>
  <c r="U24" i="2"/>
  <c r="S24" i="2"/>
  <c r="R24" i="2"/>
  <c r="Q24" i="2"/>
  <c r="T24" i="2" s="1"/>
  <c r="P24" i="2"/>
  <c r="S23" i="2"/>
  <c r="R23" i="2"/>
  <c r="U23" i="2" s="1"/>
  <c r="Q23" i="2"/>
  <c r="T23" i="2" s="1"/>
  <c r="P23" i="2"/>
  <c r="U22" i="2"/>
  <c r="R22" i="2"/>
  <c r="Q22" i="2"/>
  <c r="T22" i="2" s="1"/>
  <c r="P22" i="2"/>
  <c r="S22" i="2" s="1"/>
  <c r="S21" i="2"/>
  <c r="S29" i="2" s="1"/>
  <c r="R21" i="2"/>
  <c r="U21" i="2" s="1"/>
  <c r="U29" i="2" s="1"/>
  <c r="Q21" i="2"/>
  <c r="T21" i="2" s="1"/>
  <c r="T29" i="2" s="1"/>
  <c r="P21" i="2"/>
  <c r="O28" i="2"/>
  <c r="O27" i="2"/>
  <c r="O26" i="2"/>
  <c r="O25" i="2"/>
  <c r="O24" i="2"/>
  <c r="O23" i="2"/>
  <c r="O22" i="2"/>
  <c r="O21" i="2"/>
  <c r="O6" i="2" l="1"/>
  <c r="T6" i="2" s="1"/>
  <c r="O7" i="2"/>
  <c r="O8" i="2"/>
  <c r="O9" i="2"/>
  <c r="U9" i="2" s="1"/>
  <c r="O10" i="2"/>
  <c r="O11" i="2"/>
  <c r="O12" i="2"/>
  <c r="O13" i="2"/>
  <c r="T13" i="2" s="1"/>
  <c r="S10" i="2"/>
  <c r="U6" i="2"/>
  <c r="T7" i="2"/>
  <c r="U7" i="2"/>
  <c r="T8" i="2"/>
  <c r="U8" i="2"/>
  <c r="T9" i="2"/>
  <c r="T11" i="2"/>
  <c r="U11" i="2"/>
  <c r="T12" i="2"/>
  <c r="U12" i="2"/>
  <c r="U13" i="2"/>
  <c r="S7" i="2"/>
  <c r="S8" i="2"/>
  <c r="S9" i="2"/>
  <c r="S11" i="2"/>
  <c r="S12" i="2"/>
  <c r="S13" i="2"/>
  <c r="S6" i="2"/>
  <c r="P7" i="2"/>
  <c r="Q7" i="2"/>
  <c r="R7" i="2"/>
  <c r="P8" i="2"/>
  <c r="Q8" i="2"/>
  <c r="R8" i="2"/>
  <c r="P9" i="2"/>
  <c r="Q9" i="2"/>
  <c r="R9" i="2"/>
  <c r="P10" i="2"/>
  <c r="Q10" i="2"/>
  <c r="R10" i="2"/>
  <c r="P11" i="2"/>
  <c r="Q11" i="2"/>
  <c r="R11" i="2"/>
  <c r="P12" i="2"/>
  <c r="Q12" i="2"/>
  <c r="R12" i="2"/>
  <c r="P13" i="2"/>
  <c r="Q13" i="2"/>
  <c r="R13" i="2"/>
  <c r="Q6" i="2"/>
  <c r="R6" i="2"/>
  <c r="P6" i="2"/>
  <c r="F18" i="1"/>
  <c r="F17" i="1"/>
  <c r="U10" i="2" l="1"/>
  <c r="U14" i="2" s="1"/>
  <c r="T10" i="2"/>
  <c r="T14" i="2" s="1"/>
  <c r="S14" i="2"/>
</calcChain>
</file>

<file path=xl/sharedStrings.xml><?xml version="1.0" encoding="utf-8"?>
<sst xmlns="http://schemas.openxmlformats.org/spreadsheetml/2006/main" count="245" uniqueCount="86">
  <si>
    <t>f_breed</t>
  </si>
  <si>
    <t>f_prod_system</t>
  </si>
  <si>
    <t>f_animal</t>
  </si>
  <si>
    <t>ponies and Icelandic horses</t>
  </si>
  <si>
    <t>broodmares</t>
  </si>
  <si>
    <t>young horses</t>
  </si>
  <si>
    <t>cold blooded horses</t>
  </si>
  <si>
    <t>riding horses</t>
  </si>
  <si>
    <t>trotters and racehorses</t>
  </si>
  <si>
    <t>low-performing horses</t>
  </si>
  <si>
    <t>medium-performing horses</t>
  </si>
  <si>
    <t>parameter</t>
  </si>
  <si>
    <t>value</t>
  </si>
  <si>
    <t>unit</t>
  </si>
  <si>
    <t>description</t>
  </si>
  <si>
    <t>source</t>
  </si>
  <si>
    <t>share_of_horses</t>
  </si>
  <si>
    <t>%</t>
  </si>
  <si>
    <t>slaughter_weight</t>
  </si>
  <si>
    <t>kg CW</t>
  </si>
  <si>
    <t>live_weight</t>
  </si>
  <si>
    <t>kg</t>
  </si>
  <si>
    <t>Live and slaughter weight</t>
  </si>
  <si>
    <t>Feed requirements</t>
  </si>
  <si>
    <t>energy_adjustment_factor</t>
  </si>
  <si>
    <t>gestation_energy_factor</t>
  </si>
  <si>
    <t>lactation_energy_factor</t>
  </si>
  <si>
    <t>Tabell 9</t>
  </si>
  <si>
    <t>3 months lactation</t>
  </si>
  <si>
    <t>foals_per_year</t>
  </si>
  <si>
    <t>Seems to be common with one foal per year but some room for a missed year</t>
  </si>
  <si>
    <t>MJ ME per day/kg LW^0.75</t>
  </si>
  <si>
    <t>Tabell 5b. Grundenergibehov (underhåll+tillväxt)* (MJ/dag) för unghästar med hög tillväxttakt (L=lättfödd, N=normalfödd, S= svårfödd). Vid hög tillväxttakt blir den dagliga tillväxten 40 % högre än vid låg från 7 mån</t>
  </si>
  <si>
    <t>Uppskattad vuxenvikt</t>
  </si>
  <si>
    <t>3-6 mån</t>
  </si>
  <si>
    <t>7-12 mån</t>
  </si>
  <si>
    <t>13-18 mån</t>
  </si>
  <si>
    <t>19-36 mån</t>
  </si>
  <si>
    <t>L</t>
  </si>
  <si>
    <t>N</t>
  </si>
  <si>
    <t>S</t>
  </si>
  <si>
    <t>LW^0.75</t>
  </si>
  <si>
    <t>Adult live weight</t>
  </si>
  <si>
    <t>maintenance_energy_factor</t>
  </si>
  <si>
    <t>Feed rations</t>
  </si>
  <si>
    <t>share_in_ration</t>
  </si>
  <si>
    <t>Fallback</t>
  </si>
  <si>
    <t>f_feed</t>
  </si>
  <si>
    <t>% of DM</t>
  </si>
  <si>
    <t>hay</t>
  </si>
  <si>
    <t>grazing</t>
  </si>
  <si>
    <t>Tabell 5a. Grundenergibehov (underhåll+tillväxt)* (MJ/dag) för unghästar med låg tillväxttakt (L=lättfödd, N=normalfödd, S= svårfödd)</t>
  </si>
  <si>
    <t>MEAN</t>
  </si>
  <si>
    <t>SD</t>
  </si>
  <si>
    <t>calculated from Tabell 5b</t>
  </si>
  <si>
    <t>Tabell 13. 11 mont gestation. Assume linear growth from month 1 (+0%) to 8 (+15%)</t>
  </si>
  <si>
    <t>No activity adjustment</t>
  </si>
  <si>
    <t>Assumes lower activity than "lätt träning" but some</t>
  </si>
  <si>
    <t>breed</t>
  </si>
  <si>
    <t>animal</t>
  </si>
  <si>
    <t>Roughage</t>
  </si>
  <si>
    <t>Concentrates</t>
  </si>
  <si>
    <t>TOTAL</t>
  </si>
  <si>
    <t>From feed industry statistics (2011)</t>
  </si>
  <si>
    <t>Havre</t>
  </si>
  <si>
    <t>Kli av skalad havre</t>
  </si>
  <si>
    <t>Havreskal med kli</t>
  </si>
  <si>
    <t>Korn</t>
  </si>
  <si>
    <t>Vete</t>
  </si>
  <si>
    <t>Vetefodermjöl</t>
  </si>
  <si>
    <t>Vetekli</t>
  </si>
  <si>
    <t>Vegetabilisk olja</t>
  </si>
  <si>
    <t>(socker)betmassa</t>
  </si>
  <si>
    <t>(socker)betmelass</t>
  </si>
  <si>
    <t>Melasserad pressmassa</t>
  </si>
  <si>
    <t>Potatisprotein</t>
  </si>
  <si>
    <t>Lussernmjöl</t>
  </si>
  <si>
    <t>Grönmjöl</t>
  </si>
  <si>
    <t>Kalciumkarbonat</t>
  </si>
  <si>
    <t>Koksalt</t>
  </si>
  <si>
    <t>SE</t>
  </si>
  <si>
    <t>INF</t>
  </si>
  <si>
    <t>% av totalen</t>
  </si>
  <si>
    <t>% imported</t>
  </si>
  <si>
    <t>% of TOTAL</t>
  </si>
  <si>
    <t>Need to add the concentrates!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</si>
</sst>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Times New Roman"/>
      <family val="1"/>
      <charset val="204"/>
    </font>
    <font>
      <b/>
      <sz val="12"/>
      <color indexed="8"/>
      <name val="Arial"/>
      <family val="2"/>
    </font>
    <font>
      <sz val="12"/>
      <color indexed="8"/>
      <name val="Arial"/>
      <family val="2"/>
    </font>
    <font>
      <i/>
      <sz val="12"/>
      <color indexed="8"/>
      <name val="Times New Roman"/>
      <family val="1"/>
      <charset val="204"/>
    </font>
    <font>
      <b/>
      <sz val="12"/>
      <color indexed="8"/>
      <name val="Times New Roman"/>
      <family val="2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1" fontId="0" fillId="0" borderId="0" xfId="0" applyNumberFormat="1"/>
    <xf numFmtId="1" fontId="1" fillId="0" borderId="0" xfId="0" applyNumberFormat="1" applyFont="1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3" fillId="2" borderId="0" xfId="0" applyFont="1" applyFill="1"/>
    <xf numFmtId="164" fontId="0" fillId="0" borderId="0" xfId="0" applyNumberFormat="1"/>
    <xf numFmtId="2" fontId="0" fillId="0" borderId="0" xfId="0" applyNumberFormat="1"/>
    <xf numFmtId="165" fontId="1" fillId="0" borderId="0" xfId="0" applyNumberFormat="1" applyFont="1"/>
    <xf numFmtId="0" fontId="4" fillId="0" borderId="1" xfId="0" applyFont="1" applyBorder="1" applyAlignment="1">
      <alignment horizontal="left" wrapText="1"/>
    </xf>
    <xf numFmtId="0" fontId="8" fillId="0" borderId="1" xfId="0" applyFont="1" applyBorder="1" applyAlignment="1">
      <alignment horizontal="left" vertical="top" wrapText="1"/>
    </xf>
    <xf numFmtId="0" fontId="4" fillId="0" borderId="0" xfId="0" applyFont="1" applyAlignment="1">
      <alignment horizontal="left" wrapText="1"/>
    </xf>
    <xf numFmtId="0" fontId="8" fillId="0" borderId="2" xfId="0" applyFont="1" applyBorder="1" applyAlignment="1">
      <alignment horizontal="left" vertical="top" wrapText="1" indent="2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left" vertical="top" wrapText="1" indent="1"/>
    </xf>
    <xf numFmtId="1" fontId="5" fillId="0" borderId="1" xfId="0" applyNumberFormat="1" applyFont="1" applyBorder="1" applyAlignment="1">
      <alignment horizontal="center" vertical="top" shrinkToFit="1"/>
    </xf>
    <xf numFmtId="1" fontId="6" fillId="0" borderId="1" xfId="0" applyNumberFormat="1" applyFont="1" applyBorder="1" applyAlignment="1">
      <alignment horizontal="left" vertical="top" shrinkToFit="1"/>
    </xf>
    <xf numFmtId="1" fontId="6" fillId="0" borderId="1" xfId="0" applyNumberFormat="1" applyFont="1" applyBorder="1" applyAlignment="1">
      <alignment horizontal="left" vertical="top" indent="1" shrinkToFit="1"/>
    </xf>
    <xf numFmtId="1" fontId="5" fillId="0" borderId="0" xfId="0" applyNumberFormat="1" applyFont="1" applyAlignment="1">
      <alignment horizontal="center" vertical="top" shrinkToFit="1"/>
    </xf>
    <xf numFmtId="1" fontId="6" fillId="0" borderId="0" xfId="0" applyNumberFormat="1" applyFont="1" applyAlignment="1">
      <alignment horizontal="left" vertical="top" shrinkToFit="1"/>
    </xf>
    <xf numFmtId="1" fontId="6" fillId="0" borderId="0" xfId="0" applyNumberFormat="1" applyFont="1" applyAlignment="1">
      <alignment horizontal="left" vertical="top" indent="1" shrinkToFit="1"/>
    </xf>
    <xf numFmtId="1" fontId="5" fillId="0" borderId="2" xfId="0" applyNumberFormat="1" applyFont="1" applyBorder="1" applyAlignment="1">
      <alignment horizontal="center" vertical="top" shrinkToFit="1"/>
    </xf>
    <xf numFmtId="1" fontId="6" fillId="0" borderId="2" xfId="0" applyNumberFormat="1" applyFont="1" applyBorder="1" applyAlignment="1">
      <alignment horizontal="left" vertical="top" shrinkToFit="1"/>
    </xf>
    <xf numFmtId="1" fontId="6" fillId="0" borderId="2" xfId="0" applyNumberFormat="1" applyFont="1" applyBorder="1" applyAlignment="1">
      <alignment horizontal="left" vertical="top" indent="1" shrinkToFit="1"/>
    </xf>
    <xf numFmtId="0" fontId="8" fillId="0" borderId="0" xfId="0" applyFont="1" applyFill="1" applyBorder="1" applyAlignment="1">
      <alignment horizontal="left" vertical="top" wrapText="1" indent="2"/>
    </xf>
    <xf numFmtId="164" fontId="2" fillId="0" borderId="0" xfId="0" applyNumberFormat="1" applyFont="1"/>
    <xf numFmtId="2" fontId="9" fillId="0" borderId="0" xfId="0" applyNumberFormat="1" applyFont="1"/>
    <xf numFmtId="0" fontId="10" fillId="0" borderId="0" xfId="0" applyFont="1"/>
    <xf numFmtId="0" fontId="8" fillId="0" borderId="2" xfId="0" applyFont="1" applyBorder="1" applyAlignment="1">
      <alignment horizontal="right" vertical="top" wrapText="1" indent="1"/>
    </xf>
    <xf numFmtId="1" fontId="6" fillId="0" borderId="1" xfId="0" applyNumberFormat="1" applyFont="1" applyBorder="1" applyAlignment="1">
      <alignment horizontal="right" vertical="top" indent="2" shrinkToFit="1"/>
    </xf>
    <xf numFmtId="1" fontId="6" fillId="0" borderId="0" xfId="0" applyNumberFormat="1" applyFont="1" applyAlignment="1">
      <alignment horizontal="right" vertical="top" indent="2" shrinkToFit="1"/>
    </xf>
    <xf numFmtId="1" fontId="6" fillId="0" borderId="2" xfId="0" applyNumberFormat="1" applyFont="1" applyBorder="1" applyAlignment="1">
      <alignment horizontal="right" vertical="top" indent="2" shrinkToFit="1"/>
    </xf>
    <xf numFmtId="0" fontId="3" fillId="0" borderId="0" xfId="0" applyFont="1"/>
    <xf numFmtId="9" fontId="0" fillId="0" borderId="0" xfId="1" applyFont="1"/>
    <xf numFmtId="0" fontId="7" fillId="0" borderId="0" xfId="0" applyFont="1" applyAlignment="1">
      <alignment horizontal="left" vertical="center" wrapText="1" indent="1"/>
    </xf>
    <xf numFmtId="0" fontId="8" fillId="0" borderId="1" xfId="0" applyFont="1" applyBorder="1" applyAlignment="1">
      <alignment horizontal="left" vertical="top" wrapText="1" indent="1"/>
    </xf>
    <xf numFmtId="0" fontId="8" fillId="0" borderId="2" xfId="0" applyFont="1" applyBorder="1" applyAlignment="1">
      <alignment horizontal="left" vertical="top" wrapText="1" indent="1"/>
    </xf>
    <xf numFmtId="0" fontId="8" fillId="0" borderId="1" xfId="0" applyFont="1" applyBorder="1" applyAlignment="1">
      <alignment horizontal="left" vertical="top" wrapText="1" indent="4"/>
    </xf>
    <xf numFmtId="0" fontId="7" fillId="0" borderId="0" xfId="0" applyFont="1" applyAlignment="1">
      <alignment horizontal="left" wrapText="1" indent="1"/>
    </xf>
    <xf numFmtId="9" fontId="0" fillId="0" borderId="0" xfId="0" applyNumberFormat="1"/>
    <xf numFmtId="0" fontId="0" fillId="0" borderId="0" xfId="0"/>
    <xf numFmtId="1" fontId="0" fillId="0" borderId="0" xfId="0" applyNumberFormat="1"/>
    <xf numFmtId="9" fontId="0" fillId="0" borderId="0" xfId="1" applyFont="1"/>
    <xf numFmtId="9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600526191073828"/>
          <c:y val="5.4320987654320987E-2"/>
          <c:w val="0.71268022894524086"/>
          <c:h val="0.83173636628754744"/>
        </c:manualLayout>
      </c:layout>
      <c:scatterChart>
        <c:scatterStyle val="lineMarker"/>
        <c:varyColors val="0"/>
        <c:ser>
          <c:idx val="0"/>
          <c:order val="0"/>
          <c:tx>
            <c:strRef>
              <c:f>'ME req young horses'!$S$5</c:f>
              <c:strCache>
                <c:ptCount val="1"/>
                <c:pt idx="0">
                  <c:v>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horses'!$O$21:$O$28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horses'!$S$21:$S$28</c:f>
              <c:numCache>
                <c:formatCode>0.000</c:formatCode>
                <c:ptCount val="8"/>
                <c:pt idx="0">
                  <c:v>0.5454928963790453</c:v>
                </c:pt>
                <c:pt idx="1">
                  <c:v>0.55468895623024339</c:v>
                </c:pt>
                <c:pt idx="2">
                  <c:v>0.55490552670504234</c:v>
                </c:pt>
                <c:pt idx="3">
                  <c:v>0.5562219094030727</c:v>
                </c:pt>
                <c:pt idx="4">
                  <c:v>0.55325884126685776</c:v>
                </c:pt>
                <c:pt idx="5">
                  <c:v>0.55266424042877405</c:v>
                </c:pt>
                <c:pt idx="6">
                  <c:v>0.55662038473355446</c:v>
                </c:pt>
                <c:pt idx="7">
                  <c:v>0.55343516677583804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A6-4EE6-98ED-B52090D957FC}"/>
            </c:ext>
          </c:extLst>
        </c:ser>
        <c:ser>
          <c:idx val="1"/>
          <c:order val="1"/>
          <c:tx>
            <c:strRef>
              <c:f>'ME req young horses'!$T$5</c:f>
              <c:strCache>
                <c:ptCount val="1"/>
                <c:pt idx="0">
                  <c:v>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horses'!$O$21:$O$28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horses'!$T$21:$T$28</c:f>
              <c:numCache>
                <c:formatCode>0.000</c:formatCode>
                <c:ptCount val="8"/>
                <c:pt idx="0">
                  <c:v>0.57711567298072908</c:v>
                </c:pt>
                <c:pt idx="1">
                  <c:v>0.58289347942839131</c:v>
                </c:pt>
                <c:pt idx="2">
                  <c:v>0.58265080304029448</c:v>
                </c:pt>
                <c:pt idx="3">
                  <c:v>0.58417275912181998</c:v>
                </c:pt>
                <c:pt idx="4">
                  <c:v>0.58163108953695297</c:v>
                </c:pt>
                <c:pt idx="5">
                  <c:v>0.57947258044957284</c:v>
                </c:pt>
                <c:pt idx="6">
                  <c:v>0.58601288029704246</c:v>
                </c:pt>
                <c:pt idx="7">
                  <c:v>0.58002664626056299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A6-4EE6-98ED-B52090D957FC}"/>
            </c:ext>
          </c:extLst>
        </c:ser>
        <c:ser>
          <c:idx val="2"/>
          <c:order val="2"/>
          <c:tx>
            <c:strRef>
              <c:f>'ME req young horses'!$U$5</c:f>
              <c:strCache>
                <c:ptCount val="1"/>
                <c:pt idx="0">
                  <c:v>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horses'!$O$21:$O$28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horses'!$U$21:$U$28</c:f>
              <c:numCache>
                <c:formatCode>0.000</c:formatCode>
                <c:ptCount val="8"/>
                <c:pt idx="0">
                  <c:v>0.60873844958241285</c:v>
                </c:pt>
                <c:pt idx="1">
                  <c:v>0.61109800262653935</c:v>
                </c:pt>
                <c:pt idx="2">
                  <c:v>0.61039607937554663</c:v>
                </c:pt>
                <c:pt idx="3">
                  <c:v>0.61212360884056738</c:v>
                </c:pt>
                <c:pt idx="4">
                  <c:v>0.6100033378070483</c:v>
                </c:pt>
                <c:pt idx="5">
                  <c:v>0.60834310047197149</c:v>
                </c:pt>
                <c:pt idx="6">
                  <c:v>0.61356834488781253</c:v>
                </c:pt>
                <c:pt idx="7">
                  <c:v>0.60994206068087853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A6-4EE6-98ED-B52090D95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5639632"/>
        <c:axId val="815649200"/>
      </c:scatterChart>
      <c:valAx>
        <c:axId val="815639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649200"/>
        <c:crosses val="autoZero"/>
        <c:crossBetween val="midCat"/>
      </c:valAx>
      <c:valAx>
        <c:axId val="81564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6396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88173121816893341"/>
          <c:y val="5.343248760571595E-2"/>
          <c:w val="8.4253046374238888E-2"/>
          <c:h val="0.257714017450752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600526191073828"/>
          <c:y val="5.4320987654320987E-2"/>
          <c:w val="0.71268022894524086"/>
          <c:h val="0.83173636628754744"/>
        </c:manualLayout>
      </c:layout>
      <c:scatterChart>
        <c:scatterStyle val="lineMarker"/>
        <c:varyColors val="0"/>
        <c:ser>
          <c:idx val="0"/>
          <c:order val="0"/>
          <c:tx>
            <c:strRef>
              <c:f>'ME req young horses'!$S$5</c:f>
              <c:strCache>
                <c:ptCount val="1"/>
                <c:pt idx="0">
                  <c:v>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horses'!$O$6:$O$13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horses'!$S$6:$S$13</c:f>
              <c:numCache>
                <c:formatCode>0.000</c:formatCode>
                <c:ptCount val="8"/>
                <c:pt idx="0">
                  <c:v>0.60873844958241285</c:v>
                </c:pt>
                <c:pt idx="1">
                  <c:v>0.60639724876018131</c:v>
                </c:pt>
                <c:pt idx="2">
                  <c:v>0.60692791983364014</c:v>
                </c:pt>
                <c:pt idx="3">
                  <c:v>0.60653343889681788</c:v>
                </c:pt>
                <c:pt idx="4">
                  <c:v>0.6100033378070483</c:v>
                </c:pt>
                <c:pt idx="5">
                  <c:v>0.60628092047037152</c:v>
                </c:pt>
                <c:pt idx="6">
                  <c:v>0.60622022099694051</c:v>
                </c:pt>
                <c:pt idx="7">
                  <c:v>0.60661812574528795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53-4230-BB93-7C29A99186A4}"/>
            </c:ext>
          </c:extLst>
        </c:ser>
        <c:ser>
          <c:idx val="1"/>
          <c:order val="1"/>
          <c:tx>
            <c:strRef>
              <c:f>'ME req young horses'!$T$5</c:f>
              <c:strCache>
                <c:ptCount val="1"/>
                <c:pt idx="0">
                  <c:v>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horses'!$O$6:$O$13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horses'!$T$6:$T$13</c:f>
              <c:numCache>
                <c:formatCode>0.000</c:formatCode>
                <c:ptCount val="8"/>
                <c:pt idx="0">
                  <c:v>0.64036122618409663</c:v>
                </c:pt>
                <c:pt idx="1">
                  <c:v>0.63930252582468727</c:v>
                </c:pt>
                <c:pt idx="2">
                  <c:v>0.63467319616889217</c:v>
                </c:pt>
                <c:pt idx="3">
                  <c:v>0.63727937358744002</c:v>
                </c:pt>
                <c:pt idx="4">
                  <c:v>0.63837558607714351</c:v>
                </c:pt>
                <c:pt idx="5">
                  <c:v>0.63721362049437014</c:v>
                </c:pt>
                <c:pt idx="6">
                  <c:v>0.6356127165604285</c:v>
                </c:pt>
                <c:pt idx="7">
                  <c:v>0.63819550763339883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53-4230-BB93-7C29A99186A4}"/>
            </c:ext>
          </c:extLst>
        </c:ser>
        <c:ser>
          <c:idx val="2"/>
          <c:order val="2"/>
          <c:tx>
            <c:strRef>
              <c:f>'ME req young horses'!$U$5</c:f>
              <c:strCache>
                <c:ptCount val="1"/>
                <c:pt idx="0">
                  <c:v>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horses'!$O$6:$O$13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horses'!$U$6:$U$13</c:f>
              <c:numCache>
                <c:formatCode>0.000</c:formatCode>
                <c:ptCount val="8"/>
                <c:pt idx="0">
                  <c:v>0.67198400278578041</c:v>
                </c:pt>
                <c:pt idx="1">
                  <c:v>0.66280629515647727</c:v>
                </c:pt>
                <c:pt idx="2">
                  <c:v>0.66935479158795741</c:v>
                </c:pt>
                <c:pt idx="3">
                  <c:v>0.67082039324993692</c:v>
                </c:pt>
                <c:pt idx="4">
                  <c:v>0.67384089641476264</c:v>
                </c:pt>
                <c:pt idx="5">
                  <c:v>0.66814632051836864</c:v>
                </c:pt>
                <c:pt idx="6">
                  <c:v>0.66684224309663453</c:v>
                </c:pt>
                <c:pt idx="7">
                  <c:v>0.66644895458591913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353-4230-BB93-7C29A9918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5639632"/>
        <c:axId val="815649200"/>
      </c:scatterChart>
      <c:valAx>
        <c:axId val="815639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649200"/>
        <c:crosses val="autoZero"/>
        <c:crossBetween val="midCat"/>
      </c:valAx>
      <c:valAx>
        <c:axId val="81564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6396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88173121816893341"/>
          <c:y val="5.343248760571595E-2"/>
          <c:w val="8.4253046374238888E-2"/>
          <c:h val="0.257714017450752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0</xdr:colOff>
      <xdr:row>20</xdr:row>
      <xdr:rowOff>0</xdr:rowOff>
    </xdr:from>
    <xdr:to>
      <xdr:col>26</xdr:col>
      <xdr:colOff>266701</xdr:colOff>
      <xdr:row>31</xdr:row>
      <xdr:rowOff>9524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0</xdr:colOff>
      <xdr:row>5</xdr:row>
      <xdr:rowOff>0</xdr:rowOff>
    </xdr:from>
    <xdr:to>
      <xdr:col>26</xdr:col>
      <xdr:colOff>266701</xdr:colOff>
      <xdr:row>16</xdr:row>
      <xdr:rowOff>9524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abSelected="1" zoomScale="80" zoomScaleNormal="80" workbookViewId="0">
      <pane ySplit="1" topLeftCell="A18" activePane="bottomLeft" state="frozen"/>
      <selection pane="bottomLeft" activeCell="C44" sqref="C44"/>
    </sheetView>
  </sheetViews>
  <sheetFormatPr defaultRowHeight="15" x14ac:dyDescent="0.25"/>
  <cols>
    <col min="1" max="1" width="25.85546875" bestFit="1" customWidth="1"/>
    <col min="2" max="2" width="14.28515625" bestFit="1" customWidth="1"/>
    <col min="3" max="3" width="28.5703125" bestFit="1" customWidth="1"/>
    <col min="4" max="4" width="28.5703125" customWidth="1"/>
    <col min="5" max="5" width="28.85546875" bestFit="1" customWidth="1"/>
    <col min="7" max="7" width="11.28515625" customWidth="1"/>
    <col min="8" max="8" width="3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47</v>
      </c>
      <c r="E1" s="1" t="s">
        <v>11</v>
      </c>
      <c r="F1" s="1" t="s">
        <v>12</v>
      </c>
      <c r="G1" s="1" t="s">
        <v>13</v>
      </c>
      <c r="H1" s="1" t="s">
        <v>14</v>
      </c>
      <c r="I1" s="1" t="s">
        <v>15</v>
      </c>
    </row>
    <row r="2" spans="1:9" x14ac:dyDescent="0.25">
      <c r="A2" s="6"/>
      <c r="B2" s="6"/>
      <c r="C2" s="6"/>
      <c r="D2" s="6"/>
      <c r="E2" s="6"/>
      <c r="F2" s="6"/>
      <c r="G2" s="6"/>
      <c r="H2" s="6"/>
      <c r="I2" s="6"/>
    </row>
    <row r="3" spans="1:9" x14ac:dyDescent="0.25">
      <c r="C3" t="s">
        <v>9</v>
      </c>
      <c r="E3" t="s">
        <v>16</v>
      </c>
      <c r="F3" s="2">
        <v>60.549226441631497</v>
      </c>
      <c r="G3" t="s">
        <v>17</v>
      </c>
    </row>
    <row r="4" spans="1:9" x14ac:dyDescent="0.25">
      <c r="C4" t="s">
        <v>10</v>
      </c>
      <c r="E4" t="s">
        <v>16</v>
      </c>
      <c r="F4" s="2">
        <v>27.5045007032349</v>
      </c>
      <c r="G4" t="s">
        <v>17</v>
      </c>
    </row>
    <row r="5" spans="1:9" x14ac:dyDescent="0.25">
      <c r="C5" t="s">
        <v>4</v>
      </c>
      <c r="E5" t="s">
        <v>16</v>
      </c>
      <c r="F5" s="2">
        <v>3.7389592123769302</v>
      </c>
      <c r="G5" t="s">
        <v>17</v>
      </c>
    </row>
    <row r="6" spans="1:9" x14ac:dyDescent="0.25">
      <c r="C6" t="s">
        <v>5</v>
      </c>
      <c r="E6" t="s">
        <v>16</v>
      </c>
      <c r="F6" s="2">
        <v>8.2073136427566808</v>
      </c>
      <c r="G6" t="s">
        <v>17</v>
      </c>
    </row>
    <row r="7" spans="1:9" x14ac:dyDescent="0.25">
      <c r="E7" t="s">
        <v>29</v>
      </c>
      <c r="F7" s="10">
        <v>0.9</v>
      </c>
      <c r="H7" t="s">
        <v>30</v>
      </c>
    </row>
    <row r="8" spans="1:9" x14ac:dyDescent="0.25">
      <c r="A8" s="7" t="s">
        <v>22</v>
      </c>
      <c r="B8" s="5"/>
      <c r="C8" s="5"/>
      <c r="D8" s="5"/>
      <c r="E8" s="5"/>
      <c r="F8" s="5"/>
      <c r="G8" s="5"/>
      <c r="H8" s="5"/>
      <c r="I8" s="5"/>
    </row>
    <row r="9" spans="1:9" x14ac:dyDescent="0.25">
      <c r="A9" t="s">
        <v>3</v>
      </c>
      <c r="E9" t="s">
        <v>20</v>
      </c>
      <c r="F9" s="2">
        <v>394.61241132208016</v>
      </c>
      <c r="G9" t="s">
        <v>21</v>
      </c>
      <c r="H9" t="s">
        <v>42</v>
      </c>
    </row>
    <row r="10" spans="1:9" x14ac:dyDescent="0.25">
      <c r="A10" t="s">
        <v>6</v>
      </c>
      <c r="E10" t="s">
        <v>20</v>
      </c>
      <c r="F10" s="2">
        <v>585.45178524024413</v>
      </c>
      <c r="G10" t="s">
        <v>21</v>
      </c>
      <c r="H10" t="s">
        <v>42</v>
      </c>
    </row>
    <row r="11" spans="1:9" x14ac:dyDescent="0.25">
      <c r="A11" t="s">
        <v>7</v>
      </c>
      <c r="E11" t="s">
        <v>20</v>
      </c>
      <c r="F11" s="2">
        <v>567.18533165122039</v>
      </c>
      <c r="G11" t="s">
        <v>21</v>
      </c>
      <c r="H11" t="s">
        <v>42</v>
      </c>
    </row>
    <row r="12" spans="1:9" x14ac:dyDescent="0.25">
      <c r="A12" t="s">
        <v>8</v>
      </c>
      <c r="E12" t="s">
        <v>20</v>
      </c>
      <c r="F12" s="2">
        <v>496.52359083562101</v>
      </c>
      <c r="G12" t="s">
        <v>21</v>
      </c>
      <c r="H12" t="s">
        <v>42</v>
      </c>
    </row>
    <row r="13" spans="1:9" x14ac:dyDescent="0.25">
      <c r="E13" s="4" t="s">
        <v>18</v>
      </c>
      <c r="F13" s="3">
        <v>0</v>
      </c>
      <c r="G13" t="s">
        <v>19</v>
      </c>
    </row>
    <row r="14" spans="1:9" x14ac:dyDescent="0.25">
      <c r="A14" s="7" t="s">
        <v>23</v>
      </c>
      <c r="B14" s="5"/>
      <c r="C14" s="5"/>
      <c r="D14" s="5"/>
      <c r="E14" s="5"/>
      <c r="F14" s="5"/>
      <c r="G14" s="5"/>
      <c r="H14" s="5"/>
      <c r="I14" s="5"/>
    </row>
    <row r="15" spans="1:9" x14ac:dyDescent="0.25">
      <c r="A15" t="s">
        <v>3</v>
      </c>
      <c r="E15" t="s">
        <v>43</v>
      </c>
      <c r="F15" s="8">
        <v>0.5</v>
      </c>
      <c r="G15" t="s">
        <v>31</v>
      </c>
    </row>
    <row r="16" spans="1:9" x14ac:dyDescent="0.25">
      <c r="A16" t="s">
        <v>6</v>
      </c>
      <c r="E16" t="s">
        <v>43</v>
      </c>
      <c r="F16" s="8">
        <v>0.5</v>
      </c>
      <c r="G16" t="s">
        <v>31</v>
      </c>
    </row>
    <row r="17" spans="1:9" x14ac:dyDescent="0.25">
      <c r="A17" t="s">
        <v>7</v>
      </c>
      <c r="E17" t="s">
        <v>43</v>
      </c>
      <c r="F17" s="8">
        <f>0.5*1.05</f>
        <v>0.52500000000000002</v>
      </c>
      <c r="G17" t="s">
        <v>31</v>
      </c>
    </row>
    <row r="18" spans="1:9" x14ac:dyDescent="0.25">
      <c r="A18" t="s">
        <v>8</v>
      </c>
      <c r="E18" t="s">
        <v>43</v>
      </c>
      <c r="F18" s="8">
        <f>0.5*1.1</f>
        <v>0.55000000000000004</v>
      </c>
      <c r="G18" t="s">
        <v>31</v>
      </c>
    </row>
    <row r="19" spans="1:9" x14ac:dyDescent="0.25">
      <c r="A19" t="s">
        <v>3</v>
      </c>
      <c r="C19" t="s">
        <v>5</v>
      </c>
      <c r="E19" t="s">
        <v>43</v>
      </c>
      <c r="F19" s="8">
        <v>0.60721495776158751</v>
      </c>
      <c r="G19" t="s">
        <v>31</v>
      </c>
      <c r="H19" t="s">
        <v>54</v>
      </c>
    </row>
    <row r="20" spans="1:9" x14ac:dyDescent="0.25">
      <c r="A20" t="s">
        <v>6</v>
      </c>
      <c r="C20" t="s">
        <v>5</v>
      </c>
      <c r="E20" t="s">
        <v>43</v>
      </c>
      <c r="F20" s="8">
        <v>0.60721495776158751</v>
      </c>
      <c r="G20" t="s">
        <v>31</v>
      </c>
      <c r="H20" t="s">
        <v>54</v>
      </c>
    </row>
    <row r="21" spans="1:9" x14ac:dyDescent="0.25">
      <c r="A21" t="s">
        <v>7</v>
      </c>
      <c r="C21" t="s">
        <v>5</v>
      </c>
      <c r="E21" t="s">
        <v>43</v>
      </c>
      <c r="F21" s="8">
        <v>0.63762671906630719</v>
      </c>
      <c r="G21" t="s">
        <v>31</v>
      </c>
      <c r="H21" t="s">
        <v>54</v>
      </c>
    </row>
    <row r="22" spans="1:9" x14ac:dyDescent="0.25">
      <c r="A22" t="s">
        <v>8</v>
      </c>
      <c r="C22" t="s">
        <v>5</v>
      </c>
      <c r="E22" t="s">
        <v>43</v>
      </c>
      <c r="F22" s="8">
        <v>0.66878048717447958</v>
      </c>
      <c r="G22" t="s">
        <v>31</v>
      </c>
      <c r="H22" t="s">
        <v>54</v>
      </c>
    </row>
    <row r="23" spans="1:9" x14ac:dyDescent="0.25">
      <c r="E23" t="s">
        <v>25</v>
      </c>
      <c r="F23" s="9">
        <f>( (0.15/2)*8 + 0.15 + 0.25 + 0.3 ) / 12</f>
        <v>0.10833333333333334</v>
      </c>
      <c r="H23" t="s">
        <v>55</v>
      </c>
    </row>
    <row r="24" spans="1:9" x14ac:dyDescent="0.25">
      <c r="E24" t="s">
        <v>26</v>
      </c>
      <c r="F24" s="9">
        <f xml:space="preserve"> (1*3 + 0.7*1)/12</f>
        <v>0.30833333333333335</v>
      </c>
      <c r="H24" t="s">
        <v>28</v>
      </c>
    </row>
    <row r="25" spans="1:9" x14ac:dyDescent="0.25">
      <c r="C25" t="s">
        <v>9</v>
      </c>
      <c r="E25" t="s">
        <v>24</v>
      </c>
      <c r="F25">
        <v>0.25</v>
      </c>
      <c r="H25" t="s">
        <v>27</v>
      </c>
    </row>
    <row r="26" spans="1:9" x14ac:dyDescent="0.25">
      <c r="C26" t="s">
        <v>10</v>
      </c>
      <c r="E26" t="s">
        <v>24</v>
      </c>
      <c r="F26" s="9">
        <v>0.75</v>
      </c>
      <c r="H26" t="s">
        <v>27</v>
      </c>
    </row>
    <row r="27" spans="1:9" x14ac:dyDescent="0.25">
      <c r="C27" t="s">
        <v>4</v>
      </c>
      <c r="E27" t="s">
        <v>24</v>
      </c>
      <c r="F27" s="9">
        <v>0.15</v>
      </c>
      <c r="H27" s="4" t="s">
        <v>57</v>
      </c>
    </row>
    <row r="28" spans="1:9" x14ac:dyDescent="0.25">
      <c r="C28" t="s">
        <v>5</v>
      </c>
      <c r="E28" t="s">
        <v>24</v>
      </c>
      <c r="F28" s="28">
        <v>0</v>
      </c>
      <c r="H28" s="4" t="s">
        <v>56</v>
      </c>
    </row>
    <row r="30" spans="1:9" x14ac:dyDescent="0.25">
      <c r="A30" s="7" t="s">
        <v>44</v>
      </c>
      <c r="B30" s="7"/>
      <c r="C30" s="7"/>
      <c r="D30" s="7"/>
      <c r="E30" s="5"/>
      <c r="F30" s="5"/>
      <c r="G30" s="5" t="s">
        <v>48</v>
      </c>
      <c r="H30" s="5"/>
      <c r="I30" s="5"/>
    </row>
    <row r="31" spans="1:9" x14ac:dyDescent="0.25">
      <c r="E31" s="29" t="s">
        <v>45</v>
      </c>
      <c r="F31" s="29">
        <v>0</v>
      </c>
      <c r="G31" s="29"/>
      <c r="H31" s="29" t="s">
        <v>46</v>
      </c>
    </row>
    <row r="32" spans="1:9" x14ac:dyDescent="0.25">
      <c r="C32" t="s">
        <v>9</v>
      </c>
      <c r="D32" t="s">
        <v>49</v>
      </c>
      <c r="E32" t="s">
        <v>45</v>
      </c>
      <c r="F32" s="2">
        <v>67</v>
      </c>
      <c r="G32" s="29"/>
      <c r="H32" s="29"/>
    </row>
    <row r="33" spans="1:6" x14ac:dyDescent="0.25">
      <c r="C33" s="42" t="s">
        <v>9</v>
      </c>
      <c r="D33" t="s">
        <v>50</v>
      </c>
      <c r="E33" t="s">
        <v>45</v>
      </c>
      <c r="F33">
        <v>33</v>
      </c>
    </row>
    <row r="34" spans="1:6" x14ac:dyDescent="0.25">
      <c r="C34" t="s">
        <v>10</v>
      </c>
      <c r="D34" s="42" t="s">
        <v>49</v>
      </c>
      <c r="E34" s="42" t="s">
        <v>45</v>
      </c>
      <c r="F34" s="43">
        <v>83</v>
      </c>
    </row>
    <row r="35" spans="1:6" x14ac:dyDescent="0.25">
      <c r="C35" s="42" t="s">
        <v>10</v>
      </c>
      <c r="D35" s="42" t="s">
        <v>50</v>
      </c>
      <c r="E35" s="42" t="s">
        <v>45</v>
      </c>
      <c r="F35" s="42">
        <v>17</v>
      </c>
    </row>
    <row r="36" spans="1:6" x14ac:dyDescent="0.25">
      <c r="C36" t="s">
        <v>4</v>
      </c>
      <c r="D36" s="42" t="s">
        <v>49</v>
      </c>
      <c r="E36" s="42" t="s">
        <v>45</v>
      </c>
      <c r="F36" s="43">
        <v>67</v>
      </c>
    </row>
    <row r="37" spans="1:6" x14ac:dyDescent="0.25">
      <c r="C37" s="42" t="s">
        <v>4</v>
      </c>
      <c r="D37" s="42" t="s">
        <v>50</v>
      </c>
      <c r="E37" s="42" t="s">
        <v>45</v>
      </c>
      <c r="F37" s="42">
        <v>33</v>
      </c>
    </row>
    <row r="38" spans="1:6" x14ac:dyDescent="0.25">
      <c r="C38" t="s">
        <v>5</v>
      </c>
      <c r="D38" s="42" t="s">
        <v>49</v>
      </c>
      <c r="E38" s="42" t="s">
        <v>45</v>
      </c>
      <c r="F38" s="43">
        <v>67</v>
      </c>
    </row>
    <row r="39" spans="1:6" x14ac:dyDescent="0.25">
      <c r="C39" s="42" t="s">
        <v>5</v>
      </c>
      <c r="D39" s="42" t="s">
        <v>50</v>
      </c>
      <c r="E39" s="42" t="s">
        <v>45</v>
      </c>
      <c r="F39" s="42">
        <v>33</v>
      </c>
    </row>
    <row r="41" spans="1:6" x14ac:dyDescent="0.25">
      <c r="A41" s="4" t="s">
        <v>85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X62"/>
  <sheetViews>
    <sheetView topLeftCell="B1" workbookViewId="0">
      <selection activeCell="D7" sqref="D4:D7"/>
    </sheetView>
  </sheetViews>
  <sheetFormatPr defaultRowHeight="15" x14ac:dyDescent="0.25"/>
  <cols>
    <col min="3" max="3" width="25.85546875" bestFit="1" customWidth="1"/>
    <col min="4" max="4" width="26" bestFit="1" customWidth="1"/>
    <col min="5" max="5" width="10.140625" customWidth="1"/>
  </cols>
  <sheetData>
    <row r="1" spans="3:8" x14ac:dyDescent="0.25">
      <c r="E1" s="1" t="s">
        <v>48</v>
      </c>
    </row>
    <row r="2" spans="3:8" x14ac:dyDescent="0.25">
      <c r="E2" s="1" t="s">
        <v>60</v>
      </c>
      <c r="H2" s="1" t="s">
        <v>61</v>
      </c>
    </row>
    <row r="3" spans="3:8" x14ac:dyDescent="0.25">
      <c r="C3" s="1" t="s">
        <v>58</v>
      </c>
      <c r="D3" s="1" t="s">
        <v>59</v>
      </c>
      <c r="E3" t="s">
        <v>62</v>
      </c>
      <c r="F3" t="s">
        <v>49</v>
      </c>
      <c r="G3" t="s">
        <v>50</v>
      </c>
      <c r="H3" t="s">
        <v>62</v>
      </c>
    </row>
    <row r="4" spans="3:8" x14ac:dyDescent="0.25">
      <c r="C4" t="s">
        <v>3</v>
      </c>
      <c r="D4" t="s">
        <v>9</v>
      </c>
      <c r="E4" s="41">
        <f>1-H4</f>
        <v>0.99</v>
      </c>
      <c r="F4" s="41">
        <f>1-G4</f>
        <v>0.66666666666666674</v>
      </c>
      <c r="G4" s="44">
        <f>(3+2*0.5)/12</f>
        <v>0.33333333333333331</v>
      </c>
      <c r="H4" s="41">
        <v>0.01</v>
      </c>
    </row>
    <row r="5" spans="3:8" x14ac:dyDescent="0.25">
      <c r="D5" t="s">
        <v>10</v>
      </c>
      <c r="E5" s="41">
        <f t="shared" ref="E5:E19" si="0">1-H5</f>
        <v>0.98</v>
      </c>
      <c r="F5" s="45">
        <f t="shared" ref="F5:F19" si="1">1-G5</f>
        <v>0.83333333333333337</v>
      </c>
      <c r="G5" s="44">
        <f>(3*0.5+2*0.25)/12</f>
        <v>0.16666666666666666</v>
      </c>
      <c r="H5" s="41">
        <v>0.02</v>
      </c>
    </row>
    <row r="6" spans="3:8" x14ac:dyDescent="0.25">
      <c r="D6" t="s">
        <v>4</v>
      </c>
      <c r="E6" s="41">
        <f t="shared" si="0"/>
        <v>0.92999999999999994</v>
      </c>
      <c r="F6" s="45">
        <f t="shared" si="1"/>
        <v>0.66666666666666674</v>
      </c>
      <c r="G6" s="44">
        <f>(3+2*0.5)/12</f>
        <v>0.33333333333333331</v>
      </c>
      <c r="H6" s="41">
        <v>7.0000000000000007E-2</v>
      </c>
    </row>
    <row r="7" spans="3:8" x14ac:dyDescent="0.25">
      <c r="D7" t="s">
        <v>5</v>
      </c>
      <c r="E7" s="41">
        <f t="shared" si="0"/>
        <v>0.92</v>
      </c>
      <c r="F7" s="45">
        <f t="shared" si="1"/>
        <v>0.66666666666666674</v>
      </c>
      <c r="G7" s="44">
        <f>(3+2*0.5)/12</f>
        <v>0.33333333333333331</v>
      </c>
      <c r="H7" s="41">
        <v>0.08</v>
      </c>
    </row>
    <row r="8" spans="3:8" x14ac:dyDescent="0.25">
      <c r="C8" t="s">
        <v>6</v>
      </c>
      <c r="D8" t="s">
        <v>9</v>
      </c>
      <c r="E8" s="41">
        <f t="shared" si="0"/>
        <v>0.99</v>
      </c>
      <c r="F8" s="45">
        <f>1-G8</f>
        <v>0.66666666666666674</v>
      </c>
      <c r="G8" s="44">
        <f>(3+2*0.5)/12</f>
        <v>0.33333333333333331</v>
      </c>
      <c r="H8" s="41">
        <v>0.01</v>
      </c>
    </row>
    <row r="9" spans="3:8" x14ac:dyDescent="0.25">
      <c r="D9" t="s">
        <v>10</v>
      </c>
      <c r="E9" s="41">
        <f t="shared" si="0"/>
        <v>0.98</v>
      </c>
      <c r="F9" s="45">
        <f t="shared" si="1"/>
        <v>0.83333333333333337</v>
      </c>
      <c r="G9" s="44">
        <f>(3*0.5+2*0.25)/12</f>
        <v>0.16666666666666666</v>
      </c>
      <c r="H9" s="41">
        <v>0.02</v>
      </c>
    </row>
    <row r="10" spans="3:8" x14ac:dyDescent="0.25">
      <c r="D10" t="s">
        <v>4</v>
      </c>
      <c r="E10" s="41">
        <f t="shared" si="0"/>
        <v>0.92999999999999994</v>
      </c>
      <c r="F10" s="45">
        <f t="shared" si="1"/>
        <v>0.66666666666666674</v>
      </c>
      <c r="G10" s="44">
        <f>(3+2*0.5)/12</f>
        <v>0.33333333333333331</v>
      </c>
      <c r="H10" s="41">
        <v>7.0000000000000007E-2</v>
      </c>
    </row>
    <row r="11" spans="3:8" x14ac:dyDescent="0.25">
      <c r="D11" t="s">
        <v>5</v>
      </c>
      <c r="E11" s="41">
        <f t="shared" si="0"/>
        <v>0.97</v>
      </c>
      <c r="F11" s="45">
        <f t="shared" si="1"/>
        <v>0.66666666666666674</v>
      </c>
      <c r="G11" s="44">
        <f>(3+2*0.5)/12</f>
        <v>0.33333333333333331</v>
      </c>
      <c r="H11" s="41">
        <v>0.03</v>
      </c>
    </row>
    <row r="12" spans="3:8" x14ac:dyDescent="0.25">
      <c r="C12" t="s">
        <v>7</v>
      </c>
      <c r="D12" t="s">
        <v>9</v>
      </c>
      <c r="E12" s="41">
        <f t="shared" si="0"/>
        <v>0.99</v>
      </c>
      <c r="F12" s="45">
        <f>1-G12</f>
        <v>0.66666666666666674</v>
      </c>
      <c r="G12" s="44">
        <f>(3+2*0.5)/12</f>
        <v>0.33333333333333331</v>
      </c>
      <c r="H12" s="41">
        <v>0.01</v>
      </c>
    </row>
    <row r="13" spans="3:8" x14ac:dyDescent="0.25">
      <c r="D13" t="s">
        <v>10</v>
      </c>
      <c r="E13" s="41">
        <f t="shared" si="0"/>
        <v>0.96</v>
      </c>
      <c r="F13" s="45">
        <f t="shared" si="1"/>
        <v>0.83333333333333337</v>
      </c>
      <c r="G13" s="44">
        <f>(3*0.5+2*0.25)/12</f>
        <v>0.16666666666666666</v>
      </c>
      <c r="H13" s="41">
        <v>0.04</v>
      </c>
    </row>
    <row r="14" spans="3:8" x14ac:dyDescent="0.25">
      <c r="D14" t="s">
        <v>4</v>
      </c>
      <c r="E14" s="41">
        <f t="shared" si="0"/>
        <v>0.92999999999999994</v>
      </c>
      <c r="F14" s="45">
        <f t="shared" si="1"/>
        <v>0.66666666666666674</v>
      </c>
      <c r="G14" s="44">
        <f>(3+2*0.5)/12</f>
        <v>0.33333333333333331</v>
      </c>
      <c r="H14" s="41">
        <v>7.0000000000000007E-2</v>
      </c>
    </row>
    <row r="15" spans="3:8" x14ac:dyDescent="0.25">
      <c r="D15" t="s">
        <v>5</v>
      </c>
      <c r="E15" s="41">
        <f t="shared" si="0"/>
        <v>0.95</v>
      </c>
      <c r="F15" s="45">
        <f t="shared" si="1"/>
        <v>0.66666666666666674</v>
      </c>
      <c r="G15" s="44">
        <f>(3+2*0.5)/12</f>
        <v>0.33333333333333331</v>
      </c>
      <c r="H15" s="41">
        <v>0.05</v>
      </c>
    </row>
    <row r="16" spans="3:8" x14ac:dyDescent="0.25">
      <c r="C16" t="s">
        <v>8</v>
      </c>
      <c r="D16" t="s">
        <v>9</v>
      </c>
      <c r="E16" s="41">
        <f t="shared" si="0"/>
        <v>0.94</v>
      </c>
      <c r="F16" s="45">
        <f>1-G16</f>
        <v>0.66666666666666674</v>
      </c>
      <c r="G16" s="44">
        <f>(3+2*0.5)/12</f>
        <v>0.33333333333333331</v>
      </c>
      <c r="H16" s="41">
        <v>0.06</v>
      </c>
    </row>
    <row r="17" spans="4:24" x14ac:dyDescent="0.25">
      <c r="D17" t="s">
        <v>10</v>
      </c>
      <c r="E17" s="41">
        <f t="shared" si="0"/>
        <v>0.89</v>
      </c>
      <c r="F17" s="45">
        <f t="shared" si="1"/>
        <v>0.83333333333333337</v>
      </c>
      <c r="G17" s="44">
        <f>(3*0.5+2*0.25)/12</f>
        <v>0.16666666666666666</v>
      </c>
      <c r="H17" s="41">
        <v>0.11</v>
      </c>
    </row>
    <row r="18" spans="4:24" x14ac:dyDescent="0.25">
      <c r="D18" t="s">
        <v>4</v>
      </c>
      <c r="E18" s="41">
        <f t="shared" si="0"/>
        <v>0.9</v>
      </c>
      <c r="F18" s="45">
        <f t="shared" si="1"/>
        <v>0.66666666666666674</v>
      </c>
      <c r="G18" s="44">
        <f>(3+2*0.5)/12</f>
        <v>0.33333333333333331</v>
      </c>
      <c r="H18" s="41">
        <v>0.1</v>
      </c>
    </row>
    <row r="19" spans="4:24" x14ac:dyDescent="0.25">
      <c r="D19" t="s">
        <v>5</v>
      </c>
      <c r="E19" s="41">
        <f t="shared" si="0"/>
        <v>0.88</v>
      </c>
      <c r="F19" s="45">
        <f t="shared" si="1"/>
        <v>0.66666666666666674</v>
      </c>
      <c r="G19" s="44">
        <f>(3+2*0.5)/12</f>
        <v>0.33333333333333331</v>
      </c>
      <c r="H19" s="41">
        <v>0.12</v>
      </c>
    </row>
    <row r="21" spans="4:24" x14ac:dyDescent="0.25">
      <c r="G21" s="34" t="s">
        <v>63</v>
      </c>
    </row>
    <row r="22" spans="4:24" x14ac:dyDescent="0.25">
      <c r="H22" t="s">
        <v>62</v>
      </c>
      <c r="I22" t="s">
        <v>64</v>
      </c>
      <c r="J22" t="s">
        <v>67</v>
      </c>
      <c r="K22" t="s">
        <v>68</v>
      </c>
      <c r="L22" t="s">
        <v>65</v>
      </c>
      <c r="M22" t="s">
        <v>66</v>
      </c>
      <c r="N22" t="s">
        <v>69</v>
      </c>
      <c r="O22" t="s">
        <v>70</v>
      </c>
      <c r="P22" t="s">
        <v>71</v>
      </c>
      <c r="Q22" t="s">
        <v>72</v>
      </c>
      <c r="R22" t="s">
        <v>73</v>
      </c>
      <c r="S22" t="s">
        <v>74</v>
      </c>
      <c r="T22" t="s">
        <v>75</v>
      </c>
      <c r="U22" t="s">
        <v>76</v>
      </c>
      <c r="V22" t="s">
        <v>77</v>
      </c>
      <c r="W22" t="s">
        <v>78</v>
      </c>
      <c r="X22" t="s">
        <v>79</v>
      </c>
    </row>
    <row r="23" spans="4:24" x14ac:dyDescent="0.25">
      <c r="G23" t="s">
        <v>80</v>
      </c>
      <c r="H23">
        <f>SUM(I23:X23)</f>
        <v>37089.040000000001</v>
      </c>
      <c r="I23">
        <v>8697.39</v>
      </c>
      <c r="J23">
        <v>2726.58</v>
      </c>
      <c r="K23">
        <v>4044.63</v>
      </c>
      <c r="L23">
        <v>637.71</v>
      </c>
      <c r="M23">
        <v>3923.7</v>
      </c>
      <c r="N23">
        <v>968.31</v>
      </c>
      <c r="O23">
        <v>5403.57</v>
      </c>
      <c r="P23">
        <v>472</v>
      </c>
      <c r="Q23">
        <v>789.30000000000007</v>
      </c>
      <c r="R23">
        <v>1494</v>
      </c>
      <c r="S23">
        <v>1555.9499999999998</v>
      </c>
      <c r="T23">
        <v>607.5</v>
      </c>
      <c r="U23">
        <v>2255.4</v>
      </c>
      <c r="V23">
        <v>1607</v>
      </c>
      <c r="W23">
        <v>1251</v>
      </c>
      <c r="X23">
        <v>655</v>
      </c>
    </row>
    <row r="24" spans="4:24" x14ac:dyDescent="0.25">
      <c r="G24" t="s">
        <v>81</v>
      </c>
      <c r="H24">
        <f>SUM(I24:X24)</f>
        <v>3742.5450000000001</v>
      </c>
      <c r="I24">
        <v>142.68</v>
      </c>
      <c r="J24">
        <v>261.87</v>
      </c>
      <c r="K24">
        <v>90.48</v>
      </c>
      <c r="L24">
        <v>0</v>
      </c>
      <c r="M24">
        <v>0</v>
      </c>
      <c r="N24">
        <v>26.97</v>
      </c>
      <c r="O24">
        <v>0.87</v>
      </c>
      <c r="P24">
        <v>158</v>
      </c>
      <c r="Q24">
        <v>1229.4000000000001</v>
      </c>
      <c r="R24">
        <v>55.5</v>
      </c>
      <c r="S24">
        <v>711.97499999999991</v>
      </c>
      <c r="T24">
        <v>13.5</v>
      </c>
      <c r="U24">
        <v>591.30000000000007</v>
      </c>
      <c r="V24">
        <v>367</v>
      </c>
      <c r="W24">
        <v>0</v>
      </c>
      <c r="X24">
        <v>93</v>
      </c>
    </row>
    <row r="25" spans="4:24" x14ac:dyDescent="0.25">
      <c r="G25" t="s">
        <v>84</v>
      </c>
      <c r="H25" s="35">
        <f t="shared" ref="H25:X25" si="2">SUM(H23:H24)/SUM($H23:$H24)</f>
        <v>1</v>
      </c>
      <c r="I25" s="35">
        <f t="shared" si="2"/>
        <v>0.21650077997217104</v>
      </c>
      <c r="J25" s="35">
        <f t="shared" si="2"/>
        <v>7.318966432481129E-2</v>
      </c>
      <c r="K25" s="35">
        <f t="shared" si="2"/>
        <v>0.10127233610941137</v>
      </c>
      <c r="L25" s="35">
        <f t="shared" si="2"/>
        <v>1.5618056462907332E-2</v>
      </c>
      <c r="M25" s="35">
        <f t="shared" si="2"/>
        <v>9.609472666809285E-2</v>
      </c>
      <c r="N25" s="35">
        <f t="shared" si="2"/>
        <v>2.4375247740199162E-2</v>
      </c>
      <c r="O25" s="35">
        <f t="shared" si="2"/>
        <v>0.13235929979206049</v>
      </c>
      <c r="P25" s="35">
        <f t="shared" si="2"/>
        <v>1.5429232051609067E-2</v>
      </c>
      <c r="Q25" s="35">
        <f t="shared" si="2"/>
        <v>4.9439667845370204E-2</v>
      </c>
      <c r="R25" s="35">
        <f t="shared" si="2"/>
        <v>3.7948563593600396E-2</v>
      </c>
      <c r="S25" s="35">
        <f t="shared" si="2"/>
        <v>5.5543398572453155E-2</v>
      </c>
      <c r="T25" s="35">
        <f t="shared" si="2"/>
        <v>1.5208814450871794E-2</v>
      </c>
      <c r="U25" s="35">
        <f t="shared" si="2"/>
        <v>6.9718087113199267E-2</v>
      </c>
      <c r="V25" s="35">
        <f t="shared" si="2"/>
        <v>4.8344927095041741E-2</v>
      </c>
      <c r="W25" s="35">
        <f t="shared" si="2"/>
        <v>3.0638046502480861E-2</v>
      </c>
      <c r="X25" s="35">
        <f t="shared" si="2"/>
        <v>1.8319151705719971E-2</v>
      </c>
    </row>
    <row r="26" spans="4:24" x14ac:dyDescent="0.25">
      <c r="G26" t="s">
        <v>83</v>
      </c>
      <c r="H26" s="35">
        <f>H24/SUM(H23:H24)</f>
        <v>9.165808772791946E-2</v>
      </c>
      <c r="I26" s="35">
        <f>I24/SUM(I23:I24)</f>
        <v>1.6140143686645018E-2</v>
      </c>
      <c r="J26" s="35">
        <f>J24/SUM(J23:J24)</f>
        <v>8.7627365356623008E-2</v>
      </c>
      <c r="K26" s="35">
        <f>K24/SUM(K23:K24)</f>
        <v>2.1880917315379764E-2</v>
      </c>
      <c r="L26" s="35">
        <f t="shared" ref="L26:M26" si="3">L24/SUM(L23:L24)</f>
        <v>0</v>
      </c>
      <c r="M26" s="35">
        <f t="shared" si="3"/>
        <v>0</v>
      </c>
      <c r="N26" s="35">
        <f t="shared" ref="N26:X26" si="4">N24/SUM(N23:N24)</f>
        <v>2.7097902097902096E-2</v>
      </c>
      <c r="O26" s="35">
        <f t="shared" si="4"/>
        <v>1.6097875080489378E-4</v>
      </c>
      <c r="P26" s="35">
        <f t="shared" si="4"/>
        <v>0.25079365079365079</v>
      </c>
      <c r="Q26" s="35">
        <f t="shared" si="4"/>
        <v>0.60900579580918413</v>
      </c>
      <c r="R26" s="35">
        <f t="shared" si="4"/>
        <v>3.5818005808325268E-2</v>
      </c>
      <c r="S26" s="35">
        <f t="shared" si="4"/>
        <v>0.31393233903237538</v>
      </c>
      <c r="T26" s="35">
        <f t="shared" si="4"/>
        <v>2.1739130434782608E-2</v>
      </c>
      <c r="U26" s="35">
        <f t="shared" si="4"/>
        <v>0.207714195384129</v>
      </c>
      <c r="V26" s="35">
        <f t="shared" si="4"/>
        <v>0.18591691995947315</v>
      </c>
      <c r="W26" s="35">
        <f t="shared" si="4"/>
        <v>0</v>
      </c>
      <c r="X26" s="35">
        <f t="shared" si="4"/>
        <v>0.12433155080213903</v>
      </c>
    </row>
    <row r="46" spans="5:10" x14ac:dyDescent="0.25">
      <c r="F46" t="s">
        <v>80</v>
      </c>
      <c r="G46" t="s">
        <v>81</v>
      </c>
      <c r="H46" t="s">
        <v>82</v>
      </c>
      <c r="J46" t="s">
        <v>83</v>
      </c>
    </row>
    <row r="47" spans="5:10" x14ac:dyDescent="0.25">
      <c r="E47" t="s">
        <v>64</v>
      </c>
      <c r="F47">
        <v>8697.39</v>
      </c>
      <c r="G47">
        <v>142.68</v>
      </c>
      <c r="H47">
        <v>0.21650077997217101</v>
      </c>
      <c r="J47">
        <v>1.6140143686645018E-2</v>
      </c>
    </row>
    <row r="48" spans="5:10" x14ac:dyDescent="0.25">
      <c r="E48" t="s">
        <v>65</v>
      </c>
      <c r="F48">
        <v>637.71</v>
      </c>
      <c r="G48">
        <v>0</v>
      </c>
      <c r="H48">
        <v>1.5618056462907329E-2</v>
      </c>
      <c r="J48">
        <v>0</v>
      </c>
    </row>
    <row r="49" spans="5:10" x14ac:dyDescent="0.25">
      <c r="E49" t="s">
        <v>66</v>
      </c>
      <c r="F49">
        <v>3923.7</v>
      </c>
      <c r="G49">
        <v>0</v>
      </c>
      <c r="H49">
        <v>9.6094726668092836E-2</v>
      </c>
      <c r="J49">
        <v>0</v>
      </c>
    </row>
    <row r="50" spans="5:10" x14ac:dyDescent="0.25">
      <c r="E50" t="s">
        <v>67</v>
      </c>
      <c r="F50">
        <v>2726.58</v>
      </c>
      <c r="G50">
        <v>261.87</v>
      </c>
      <c r="H50">
        <v>7.3189664324811277E-2</v>
      </c>
      <c r="J50">
        <v>8.7627365356623008E-2</v>
      </c>
    </row>
    <row r="51" spans="5:10" x14ac:dyDescent="0.25">
      <c r="E51" t="s">
        <v>68</v>
      </c>
      <c r="F51">
        <v>4044.63</v>
      </c>
      <c r="G51">
        <v>90.48</v>
      </c>
      <c r="H51">
        <v>0.10127233610941136</v>
      </c>
      <c r="J51">
        <v>2.1880917315379764E-2</v>
      </c>
    </row>
    <row r="52" spans="5:10" x14ac:dyDescent="0.25">
      <c r="E52" t="s">
        <v>69</v>
      </c>
      <c r="F52">
        <v>968.31</v>
      </c>
      <c r="G52">
        <v>26.97</v>
      </c>
      <c r="H52">
        <v>2.4375247740199158E-2</v>
      </c>
      <c r="J52">
        <v>2.7097902097902096E-2</v>
      </c>
    </row>
    <row r="53" spans="5:10" x14ac:dyDescent="0.25">
      <c r="E53" t="s">
        <v>70</v>
      </c>
      <c r="F53">
        <v>5403.57</v>
      </c>
      <c r="G53">
        <v>0.87</v>
      </c>
      <c r="H53">
        <v>0.13235929979206046</v>
      </c>
      <c r="J53">
        <v>1.6097875080489378E-4</v>
      </c>
    </row>
    <row r="54" spans="5:10" x14ac:dyDescent="0.25">
      <c r="E54" t="s">
        <v>71</v>
      </c>
      <c r="F54">
        <v>472</v>
      </c>
      <c r="G54">
        <v>158</v>
      </c>
      <c r="H54">
        <v>1.5429232051609065E-2</v>
      </c>
      <c r="J54">
        <v>0.25079365079365079</v>
      </c>
    </row>
    <row r="55" spans="5:10" x14ac:dyDescent="0.25">
      <c r="E55" t="s">
        <v>72</v>
      </c>
      <c r="F55">
        <v>789.30000000000007</v>
      </c>
      <c r="G55">
        <v>1229.4000000000001</v>
      </c>
      <c r="H55">
        <v>4.9439667845370197E-2</v>
      </c>
      <c r="J55">
        <v>0.60900579580918413</v>
      </c>
    </row>
    <row r="56" spans="5:10" x14ac:dyDescent="0.25">
      <c r="E56" t="s">
        <v>73</v>
      </c>
      <c r="F56">
        <v>1494</v>
      </c>
      <c r="G56">
        <v>55.5</v>
      </c>
      <c r="H56">
        <v>3.7948563593600389E-2</v>
      </c>
      <c r="J56">
        <v>3.5818005808325268E-2</v>
      </c>
    </row>
    <row r="57" spans="5:10" x14ac:dyDescent="0.25">
      <c r="E57" t="s">
        <v>74</v>
      </c>
      <c r="F57">
        <v>1555.9499999999998</v>
      </c>
      <c r="G57">
        <v>711.97499999999991</v>
      </c>
      <c r="H57">
        <v>5.5543398572453148E-2</v>
      </c>
      <c r="J57">
        <v>0.31393233903237538</v>
      </c>
    </row>
    <row r="58" spans="5:10" x14ac:dyDescent="0.25">
      <c r="E58" t="s">
        <v>75</v>
      </c>
      <c r="F58">
        <v>607.5</v>
      </c>
      <c r="G58">
        <v>13.5</v>
      </c>
      <c r="H58">
        <v>1.5208814450871792E-2</v>
      </c>
      <c r="J58">
        <v>2.1739130434782608E-2</v>
      </c>
    </row>
    <row r="59" spans="5:10" x14ac:dyDescent="0.25">
      <c r="E59" t="s">
        <v>76</v>
      </c>
      <c r="F59">
        <v>2255.4</v>
      </c>
      <c r="G59">
        <v>591.30000000000007</v>
      </c>
      <c r="H59">
        <v>6.9718087113199254E-2</v>
      </c>
      <c r="J59">
        <v>0.207714195384129</v>
      </c>
    </row>
    <row r="60" spans="5:10" x14ac:dyDescent="0.25">
      <c r="E60" t="s">
        <v>77</v>
      </c>
      <c r="F60">
        <v>1607</v>
      </c>
      <c r="G60">
        <v>367</v>
      </c>
      <c r="H60">
        <v>4.8344927095041734E-2</v>
      </c>
      <c r="J60">
        <v>0.18591691995947315</v>
      </c>
    </row>
    <row r="61" spans="5:10" x14ac:dyDescent="0.25">
      <c r="E61" t="s">
        <v>78</v>
      </c>
      <c r="F61">
        <v>1251</v>
      </c>
      <c r="G61">
        <v>0</v>
      </c>
      <c r="H61">
        <v>3.0638046502480858E-2</v>
      </c>
      <c r="J61">
        <v>0</v>
      </c>
    </row>
    <row r="62" spans="5:10" x14ac:dyDescent="0.25">
      <c r="E62" t="s">
        <v>79</v>
      </c>
      <c r="F62">
        <v>655</v>
      </c>
      <c r="G62">
        <v>93</v>
      </c>
      <c r="H62">
        <v>1.8319151705719967E-2</v>
      </c>
      <c r="J62">
        <v>0.12433155080213903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U30"/>
  <sheetViews>
    <sheetView topLeftCell="K5" workbookViewId="0">
      <selection activeCell="Q26" sqref="Q26"/>
    </sheetView>
  </sheetViews>
  <sheetFormatPr defaultRowHeight="15" x14ac:dyDescent="0.25"/>
  <sheetData>
    <row r="3" spans="2:21" ht="15.75" x14ac:dyDescent="0.25">
      <c r="B3" s="36" t="s">
        <v>32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</row>
    <row r="4" spans="2:21" ht="15.75" x14ac:dyDescent="0.25">
      <c r="B4" s="37" t="s">
        <v>33</v>
      </c>
      <c r="C4" s="11"/>
      <c r="D4" s="12" t="s">
        <v>34</v>
      </c>
      <c r="E4" s="11"/>
      <c r="F4" s="39" t="s">
        <v>35</v>
      </c>
      <c r="G4" s="39"/>
      <c r="H4" s="11"/>
      <c r="I4" s="39" t="s">
        <v>36</v>
      </c>
      <c r="J4" s="39"/>
      <c r="K4" s="39"/>
      <c r="L4" s="39" t="s">
        <v>37</v>
      </c>
      <c r="M4" s="39"/>
      <c r="N4" s="39"/>
      <c r="O4" s="13"/>
    </row>
    <row r="5" spans="2:21" ht="31.5" x14ac:dyDescent="0.25">
      <c r="B5" s="38"/>
      <c r="C5" s="14" t="s">
        <v>38</v>
      </c>
      <c r="D5" s="15" t="s">
        <v>39</v>
      </c>
      <c r="E5" s="15" t="s">
        <v>40</v>
      </c>
      <c r="F5" s="14" t="s">
        <v>38</v>
      </c>
      <c r="G5" s="15" t="s">
        <v>39</v>
      </c>
      <c r="H5" s="16" t="s">
        <v>40</v>
      </c>
      <c r="I5" s="14" t="s">
        <v>38</v>
      </c>
      <c r="J5" s="14" t="s">
        <v>39</v>
      </c>
      <c r="K5" s="14" t="s">
        <v>40</v>
      </c>
      <c r="L5" s="14" t="s">
        <v>38</v>
      </c>
      <c r="M5" s="14" t="s">
        <v>39</v>
      </c>
      <c r="N5" s="14" t="s">
        <v>40</v>
      </c>
      <c r="O5" s="26" t="s">
        <v>41</v>
      </c>
      <c r="P5" s="26" t="s">
        <v>38</v>
      </c>
      <c r="Q5" s="26" t="s">
        <v>39</v>
      </c>
      <c r="R5" s="26" t="s">
        <v>40</v>
      </c>
      <c r="S5" s="26" t="s">
        <v>38</v>
      </c>
      <c r="T5" s="26" t="s">
        <v>39</v>
      </c>
      <c r="U5" s="26" t="s">
        <v>40</v>
      </c>
    </row>
    <row r="6" spans="2:21" ht="15.75" x14ac:dyDescent="0.25">
      <c r="B6" s="17">
        <v>100</v>
      </c>
      <c r="C6" s="18">
        <v>17</v>
      </c>
      <c r="D6" s="19">
        <v>18</v>
      </c>
      <c r="E6" s="18">
        <v>19</v>
      </c>
      <c r="F6" s="19">
        <v>20</v>
      </c>
      <c r="G6" s="19">
        <v>21</v>
      </c>
      <c r="H6" s="18">
        <v>22</v>
      </c>
      <c r="I6" s="19">
        <v>21</v>
      </c>
      <c r="J6" s="19">
        <v>22</v>
      </c>
      <c r="K6" s="19">
        <v>23</v>
      </c>
      <c r="L6" s="19">
        <v>19</v>
      </c>
      <c r="M6" s="19">
        <v>20</v>
      </c>
      <c r="N6" s="19">
        <v>21</v>
      </c>
      <c r="O6" s="2">
        <f>B6^0.75</f>
        <v>31.622776601683803</v>
      </c>
      <c r="P6" s="2">
        <f>AVERAGE(C6,F6,I6,L6)</f>
        <v>19.25</v>
      </c>
      <c r="Q6" s="2">
        <f t="shared" ref="Q6:R6" si="0">AVERAGE(D6,G6,J6,M6)</f>
        <v>20.25</v>
      </c>
      <c r="R6" s="2">
        <f t="shared" si="0"/>
        <v>21.25</v>
      </c>
      <c r="S6" s="8">
        <f>P6/$O6</f>
        <v>0.60873844958241285</v>
      </c>
      <c r="T6" s="8">
        <f t="shared" ref="T6:U13" si="1">Q6/$O6</f>
        <v>0.64036122618409663</v>
      </c>
      <c r="U6" s="8">
        <f t="shared" si="1"/>
        <v>0.67198400278578041</v>
      </c>
    </row>
    <row r="7" spans="2:21" ht="15.75" x14ac:dyDescent="0.25">
      <c r="B7" s="20">
        <v>200</v>
      </c>
      <c r="C7" s="21">
        <v>29</v>
      </c>
      <c r="D7" s="22">
        <v>30</v>
      </c>
      <c r="E7" s="21">
        <v>32</v>
      </c>
      <c r="F7" s="22">
        <v>33</v>
      </c>
      <c r="G7" s="22">
        <v>35</v>
      </c>
      <c r="H7" s="21">
        <v>36</v>
      </c>
      <c r="I7" s="22">
        <v>34</v>
      </c>
      <c r="J7" s="22">
        <v>36</v>
      </c>
      <c r="K7" s="22">
        <v>37</v>
      </c>
      <c r="L7" s="22">
        <v>33</v>
      </c>
      <c r="M7" s="22">
        <v>35</v>
      </c>
      <c r="N7" s="22">
        <v>36</v>
      </c>
      <c r="O7" s="2">
        <f t="shared" ref="O7:O13" si="2">B7^0.75</f>
        <v>53.182958969449857</v>
      </c>
      <c r="P7" s="2">
        <f t="shared" ref="P7:P13" si="3">AVERAGE(C7,F7,I7,L7)</f>
        <v>32.25</v>
      </c>
      <c r="Q7" s="2">
        <f t="shared" ref="Q7:Q13" si="4">AVERAGE(D7,G7,J7,M7)</f>
        <v>34</v>
      </c>
      <c r="R7" s="2">
        <f t="shared" ref="R7:R13" si="5">AVERAGE(E7,H7,K7,N7)</f>
        <v>35.25</v>
      </c>
      <c r="S7" s="8">
        <f t="shared" ref="S7:S13" si="6">P7/$O7</f>
        <v>0.60639724876018131</v>
      </c>
      <c r="T7" s="8">
        <f t="shared" si="1"/>
        <v>0.63930252582468727</v>
      </c>
      <c r="U7" s="8">
        <f t="shared" si="1"/>
        <v>0.66280629515647727</v>
      </c>
    </row>
    <row r="8" spans="2:21" ht="15.75" x14ac:dyDescent="0.25">
      <c r="B8" s="20">
        <v>300</v>
      </c>
      <c r="C8" s="21">
        <v>39</v>
      </c>
      <c r="D8" s="22">
        <v>41</v>
      </c>
      <c r="E8" s="21">
        <v>43</v>
      </c>
      <c r="F8" s="22">
        <v>45</v>
      </c>
      <c r="G8" s="22">
        <v>47</v>
      </c>
      <c r="H8" s="21">
        <v>50</v>
      </c>
      <c r="I8" s="22">
        <v>47</v>
      </c>
      <c r="J8" s="22">
        <v>49</v>
      </c>
      <c r="K8" s="22">
        <v>52</v>
      </c>
      <c r="L8" s="22">
        <v>44</v>
      </c>
      <c r="M8" s="22">
        <v>46</v>
      </c>
      <c r="N8" s="22">
        <v>48</v>
      </c>
      <c r="O8" s="2">
        <f t="shared" si="2"/>
        <v>72.084342424042617</v>
      </c>
      <c r="P8" s="2">
        <f t="shared" si="3"/>
        <v>43.75</v>
      </c>
      <c r="Q8" s="2">
        <f t="shared" si="4"/>
        <v>45.75</v>
      </c>
      <c r="R8" s="2">
        <f t="shared" si="5"/>
        <v>48.25</v>
      </c>
      <c r="S8" s="8">
        <f t="shared" si="6"/>
        <v>0.60692791983364014</v>
      </c>
      <c r="T8" s="8">
        <f t="shared" si="1"/>
        <v>0.63467319616889217</v>
      </c>
      <c r="U8" s="8">
        <f t="shared" si="1"/>
        <v>0.66935479158795741</v>
      </c>
    </row>
    <row r="9" spans="2:21" ht="15.75" x14ac:dyDescent="0.25">
      <c r="B9" s="20">
        <v>400</v>
      </c>
      <c r="C9" s="21">
        <v>49</v>
      </c>
      <c r="D9" s="22">
        <v>51</v>
      </c>
      <c r="E9" s="21">
        <v>54</v>
      </c>
      <c r="F9" s="22">
        <v>55</v>
      </c>
      <c r="G9" s="22">
        <v>58</v>
      </c>
      <c r="H9" s="21">
        <v>61</v>
      </c>
      <c r="I9" s="22">
        <v>58</v>
      </c>
      <c r="J9" s="22">
        <v>61</v>
      </c>
      <c r="K9" s="22">
        <v>64</v>
      </c>
      <c r="L9" s="22">
        <v>55</v>
      </c>
      <c r="M9" s="22">
        <v>58</v>
      </c>
      <c r="N9" s="22">
        <v>61</v>
      </c>
      <c r="O9" s="2">
        <f t="shared" si="2"/>
        <v>89.442719099991592</v>
      </c>
      <c r="P9" s="2">
        <f t="shared" si="3"/>
        <v>54.25</v>
      </c>
      <c r="Q9" s="2">
        <f t="shared" si="4"/>
        <v>57</v>
      </c>
      <c r="R9" s="2">
        <f t="shared" si="5"/>
        <v>60</v>
      </c>
      <c r="S9" s="8">
        <f t="shared" si="6"/>
        <v>0.60653343889681788</v>
      </c>
      <c r="T9" s="8">
        <f t="shared" si="1"/>
        <v>0.63727937358744002</v>
      </c>
      <c r="U9" s="8">
        <f t="shared" si="1"/>
        <v>0.67082039324993692</v>
      </c>
    </row>
    <row r="10" spans="2:21" ht="15.75" x14ac:dyDescent="0.25">
      <c r="B10" s="20">
        <v>500</v>
      </c>
      <c r="C10" s="21">
        <v>58</v>
      </c>
      <c r="D10" s="22">
        <v>61</v>
      </c>
      <c r="E10" s="21">
        <v>64</v>
      </c>
      <c r="F10" s="22">
        <v>66</v>
      </c>
      <c r="G10" s="22">
        <v>69</v>
      </c>
      <c r="H10" s="21">
        <v>73</v>
      </c>
      <c r="I10" s="22">
        <v>69</v>
      </c>
      <c r="J10" s="22">
        <v>72</v>
      </c>
      <c r="K10" s="22">
        <v>76</v>
      </c>
      <c r="L10" s="22">
        <v>65</v>
      </c>
      <c r="M10" s="22">
        <v>68</v>
      </c>
      <c r="N10" s="22">
        <v>72</v>
      </c>
      <c r="O10" s="2">
        <f t="shared" si="2"/>
        <v>105.73712634405643</v>
      </c>
      <c r="P10" s="2">
        <f t="shared" si="3"/>
        <v>64.5</v>
      </c>
      <c r="Q10" s="2">
        <f t="shared" si="4"/>
        <v>67.5</v>
      </c>
      <c r="R10" s="2">
        <f t="shared" si="5"/>
        <v>71.25</v>
      </c>
      <c r="S10" s="8">
        <f t="shared" si="6"/>
        <v>0.6100033378070483</v>
      </c>
      <c r="T10" s="8">
        <f t="shared" si="1"/>
        <v>0.63837558607714351</v>
      </c>
      <c r="U10" s="8">
        <f t="shared" si="1"/>
        <v>0.67384089641476264</v>
      </c>
    </row>
    <row r="11" spans="2:21" ht="15.75" x14ac:dyDescent="0.25">
      <c r="B11" s="20">
        <v>600</v>
      </c>
      <c r="C11" s="21">
        <v>66</v>
      </c>
      <c r="D11" s="22">
        <v>69</v>
      </c>
      <c r="E11" s="21">
        <v>73</v>
      </c>
      <c r="F11" s="22">
        <v>75</v>
      </c>
      <c r="G11" s="22">
        <v>79</v>
      </c>
      <c r="H11" s="21">
        <v>83</v>
      </c>
      <c r="I11" s="22">
        <v>79</v>
      </c>
      <c r="J11" s="22">
        <v>83</v>
      </c>
      <c r="K11" s="22">
        <v>87</v>
      </c>
      <c r="L11" s="22">
        <v>74</v>
      </c>
      <c r="M11" s="22">
        <v>78</v>
      </c>
      <c r="N11" s="22">
        <v>81</v>
      </c>
      <c r="O11" s="2">
        <f t="shared" si="2"/>
        <v>121.23093028059735</v>
      </c>
      <c r="P11" s="2">
        <f t="shared" si="3"/>
        <v>73.5</v>
      </c>
      <c r="Q11" s="2">
        <f t="shared" si="4"/>
        <v>77.25</v>
      </c>
      <c r="R11" s="2">
        <f t="shared" si="5"/>
        <v>81</v>
      </c>
      <c r="S11" s="8">
        <f t="shared" si="6"/>
        <v>0.60628092047037152</v>
      </c>
      <c r="T11" s="8">
        <f t="shared" si="1"/>
        <v>0.63721362049437014</v>
      </c>
      <c r="U11" s="8">
        <f t="shared" si="1"/>
        <v>0.66814632051836864</v>
      </c>
    </row>
    <row r="12" spans="2:21" ht="15.75" x14ac:dyDescent="0.25">
      <c r="B12" s="20">
        <v>700</v>
      </c>
      <c r="C12" s="21">
        <v>75</v>
      </c>
      <c r="D12" s="22">
        <v>79</v>
      </c>
      <c r="E12" s="21">
        <v>83</v>
      </c>
      <c r="F12" s="22">
        <v>84</v>
      </c>
      <c r="G12" s="22">
        <v>88</v>
      </c>
      <c r="H12" s="21">
        <v>92</v>
      </c>
      <c r="I12" s="22">
        <v>88</v>
      </c>
      <c r="J12" s="22">
        <v>92</v>
      </c>
      <c r="K12" s="22">
        <v>97</v>
      </c>
      <c r="L12" s="22">
        <v>83</v>
      </c>
      <c r="M12" s="22">
        <v>87</v>
      </c>
      <c r="N12" s="22">
        <v>91</v>
      </c>
      <c r="O12" s="2">
        <f t="shared" si="2"/>
        <v>136.0891589269774</v>
      </c>
      <c r="P12" s="2">
        <f t="shared" si="3"/>
        <v>82.5</v>
      </c>
      <c r="Q12" s="2">
        <f t="shared" si="4"/>
        <v>86.5</v>
      </c>
      <c r="R12" s="2">
        <f t="shared" si="5"/>
        <v>90.75</v>
      </c>
      <c r="S12" s="8">
        <f t="shared" si="6"/>
        <v>0.60622022099694051</v>
      </c>
      <c r="T12" s="8">
        <f t="shared" si="1"/>
        <v>0.6356127165604285</v>
      </c>
      <c r="U12" s="8">
        <f t="shared" si="1"/>
        <v>0.66684224309663453</v>
      </c>
    </row>
    <row r="13" spans="2:21" ht="15.75" x14ac:dyDescent="0.25">
      <c r="B13" s="23">
        <v>800</v>
      </c>
      <c r="C13" s="24">
        <v>82</v>
      </c>
      <c r="D13" s="25">
        <v>86</v>
      </c>
      <c r="E13" s="24">
        <v>90</v>
      </c>
      <c r="F13" s="25">
        <v>93</v>
      </c>
      <c r="G13" s="25">
        <v>98</v>
      </c>
      <c r="H13" s="24">
        <v>102</v>
      </c>
      <c r="I13" s="25">
        <v>98</v>
      </c>
      <c r="J13" s="25">
        <v>103</v>
      </c>
      <c r="K13" s="25">
        <v>108</v>
      </c>
      <c r="L13" s="25">
        <v>92</v>
      </c>
      <c r="M13" s="25">
        <v>97</v>
      </c>
      <c r="N13" s="25">
        <v>101</v>
      </c>
      <c r="O13" s="2">
        <f t="shared" si="2"/>
        <v>150.42412372345569</v>
      </c>
      <c r="P13" s="2">
        <f t="shared" si="3"/>
        <v>91.25</v>
      </c>
      <c r="Q13" s="2">
        <f t="shared" si="4"/>
        <v>96</v>
      </c>
      <c r="R13" s="2">
        <f t="shared" si="5"/>
        <v>100.25</v>
      </c>
      <c r="S13" s="8">
        <f t="shared" si="6"/>
        <v>0.60661812574528795</v>
      </c>
      <c r="T13" s="8">
        <f t="shared" si="1"/>
        <v>0.63819550763339883</v>
      </c>
      <c r="U13" s="8">
        <f t="shared" si="1"/>
        <v>0.66644895458591913</v>
      </c>
    </row>
    <row r="14" spans="2:21" x14ac:dyDescent="0.25">
      <c r="P14" s="9"/>
      <c r="Q14" s="9"/>
      <c r="R14" s="1" t="s">
        <v>52</v>
      </c>
      <c r="S14" s="27">
        <f>AVERAGE(S6:S13)</f>
        <v>0.60721495776158751</v>
      </c>
      <c r="T14" s="27">
        <f t="shared" ref="T14:U14" si="7">AVERAGE(T6:T13)</f>
        <v>0.63762671906630719</v>
      </c>
      <c r="U14" s="27">
        <f t="shared" si="7"/>
        <v>0.66878048717447958</v>
      </c>
    </row>
    <row r="15" spans="2:21" x14ac:dyDescent="0.25">
      <c r="R15" t="s">
        <v>53</v>
      </c>
      <c r="S15" s="8">
        <f>_xlfn.STDEV.P(S6:S13)</f>
        <v>1.3004678340959768E-3</v>
      </c>
      <c r="T15" s="8">
        <f t="shared" ref="T15:U15" si="8">_xlfn.STDEV.P(T6:T13)</f>
        <v>1.7407247992471731E-3</v>
      </c>
      <c r="U15" s="8">
        <f t="shared" si="8"/>
        <v>3.2719884672688794E-3</v>
      </c>
    </row>
    <row r="17" spans="2:21" x14ac:dyDescent="0.25">
      <c r="B17" s="40" t="s">
        <v>51</v>
      </c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</row>
    <row r="18" spans="2:21" x14ac:dyDescent="0.25"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</row>
    <row r="19" spans="2:21" ht="15.75" x14ac:dyDescent="0.25">
      <c r="B19" s="37" t="s">
        <v>33</v>
      </c>
      <c r="C19" s="11"/>
      <c r="D19" s="12" t="s">
        <v>34</v>
      </c>
      <c r="E19" s="11"/>
      <c r="F19" s="39" t="s">
        <v>35</v>
      </c>
      <c r="G19" s="39"/>
      <c r="H19" s="11"/>
      <c r="I19" s="39" t="s">
        <v>36</v>
      </c>
      <c r="J19" s="39"/>
      <c r="K19" s="39"/>
      <c r="L19" s="39" t="s">
        <v>37</v>
      </c>
      <c r="M19" s="39"/>
      <c r="N19" s="39"/>
      <c r="O19" s="13"/>
    </row>
    <row r="20" spans="2:21" ht="31.5" x14ac:dyDescent="0.25">
      <c r="B20" s="38"/>
      <c r="C20" s="14" t="s">
        <v>38</v>
      </c>
      <c r="D20" s="15" t="s">
        <v>39</v>
      </c>
      <c r="E20" s="15" t="s">
        <v>40</v>
      </c>
      <c r="F20" s="14" t="s">
        <v>38</v>
      </c>
      <c r="G20" s="15" t="s">
        <v>39</v>
      </c>
      <c r="H20" s="15" t="s">
        <v>40</v>
      </c>
      <c r="I20" s="14" t="s">
        <v>38</v>
      </c>
      <c r="J20" s="14" t="s">
        <v>39</v>
      </c>
      <c r="K20" s="30" t="s">
        <v>40</v>
      </c>
      <c r="L20" s="14" t="s">
        <v>38</v>
      </c>
      <c r="M20" s="14" t="s">
        <v>39</v>
      </c>
      <c r="N20" s="30" t="s">
        <v>40</v>
      </c>
      <c r="O20" s="26" t="s">
        <v>41</v>
      </c>
      <c r="P20" s="26" t="s">
        <v>38</v>
      </c>
      <c r="Q20" s="26" t="s">
        <v>39</v>
      </c>
      <c r="R20" s="26" t="s">
        <v>40</v>
      </c>
      <c r="S20" s="26" t="s">
        <v>38</v>
      </c>
      <c r="T20" s="26" t="s">
        <v>39</v>
      </c>
      <c r="U20" s="26" t="s">
        <v>40</v>
      </c>
    </row>
    <row r="21" spans="2:21" ht="15.75" x14ac:dyDescent="0.25">
      <c r="B21" s="17">
        <v>100</v>
      </c>
      <c r="C21" s="18">
        <v>17</v>
      </c>
      <c r="D21" s="19">
        <v>18</v>
      </c>
      <c r="E21" s="18">
        <v>19</v>
      </c>
      <c r="F21" s="19">
        <v>16</v>
      </c>
      <c r="G21" s="19">
        <v>17</v>
      </c>
      <c r="H21" s="18">
        <v>18</v>
      </c>
      <c r="I21" s="19">
        <v>18</v>
      </c>
      <c r="J21" s="19">
        <v>19</v>
      </c>
      <c r="K21" s="31">
        <v>20</v>
      </c>
      <c r="L21" s="19">
        <v>18</v>
      </c>
      <c r="M21" s="19">
        <v>19</v>
      </c>
      <c r="N21" s="31">
        <v>20</v>
      </c>
      <c r="O21" s="2">
        <f>B21^0.75</f>
        <v>31.622776601683803</v>
      </c>
      <c r="P21" s="2">
        <f>AVERAGE(C21,F21,I21,L21)</f>
        <v>17.25</v>
      </c>
      <c r="Q21" s="2">
        <f t="shared" ref="Q21:Q28" si="9">AVERAGE(D21,G21,J21,M21)</f>
        <v>18.25</v>
      </c>
      <c r="R21" s="2">
        <f t="shared" ref="R21:R28" si="10">AVERAGE(E21,H21,K21,N21)</f>
        <v>19.25</v>
      </c>
      <c r="S21" s="8">
        <f>P21/$O21</f>
        <v>0.5454928963790453</v>
      </c>
      <c r="T21" s="8">
        <f t="shared" ref="T21:T28" si="11">Q21/$O21</f>
        <v>0.57711567298072908</v>
      </c>
      <c r="U21" s="8">
        <f t="shared" ref="U21:U28" si="12">R21/$O21</f>
        <v>0.60873844958241285</v>
      </c>
    </row>
    <row r="22" spans="2:21" ht="15.75" x14ac:dyDescent="0.25">
      <c r="B22" s="20">
        <v>200</v>
      </c>
      <c r="C22" s="21">
        <v>29</v>
      </c>
      <c r="D22" s="22">
        <v>30</v>
      </c>
      <c r="E22" s="21">
        <v>32</v>
      </c>
      <c r="F22" s="22">
        <v>28</v>
      </c>
      <c r="G22" s="22">
        <v>29</v>
      </c>
      <c r="H22" s="21">
        <v>31</v>
      </c>
      <c r="I22" s="22">
        <v>30</v>
      </c>
      <c r="J22" s="22">
        <v>32</v>
      </c>
      <c r="K22" s="32">
        <v>33</v>
      </c>
      <c r="L22" s="22">
        <v>31</v>
      </c>
      <c r="M22" s="22">
        <v>33</v>
      </c>
      <c r="N22" s="32">
        <v>34</v>
      </c>
      <c r="O22" s="2">
        <f t="shared" ref="O22:O28" si="13">B22^0.75</f>
        <v>53.182958969449857</v>
      </c>
      <c r="P22" s="2">
        <f t="shared" ref="P22:P28" si="14">AVERAGE(C22,F22,I22,L22)</f>
        <v>29.5</v>
      </c>
      <c r="Q22" s="2">
        <f t="shared" si="9"/>
        <v>31</v>
      </c>
      <c r="R22" s="2">
        <f t="shared" si="10"/>
        <v>32.5</v>
      </c>
      <c r="S22" s="8">
        <f t="shared" ref="S22:S28" si="15">P22/$O22</f>
        <v>0.55468895623024339</v>
      </c>
      <c r="T22" s="8">
        <f t="shared" si="11"/>
        <v>0.58289347942839131</v>
      </c>
      <c r="U22" s="8">
        <f t="shared" si="12"/>
        <v>0.61109800262653935</v>
      </c>
    </row>
    <row r="23" spans="2:21" ht="15.75" x14ac:dyDescent="0.25">
      <c r="B23" s="20">
        <v>300</v>
      </c>
      <c r="C23" s="21">
        <v>39</v>
      </c>
      <c r="D23" s="22">
        <v>41</v>
      </c>
      <c r="E23" s="21">
        <v>43</v>
      </c>
      <c r="F23" s="22">
        <v>38</v>
      </c>
      <c r="G23" s="22">
        <v>40</v>
      </c>
      <c r="H23" s="21">
        <v>42</v>
      </c>
      <c r="I23" s="22">
        <v>41</v>
      </c>
      <c r="J23" s="22">
        <v>43</v>
      </c>
      <c r="K23" s="32">
        <v>45</v>
      </c>
      <c r="L23" s="22">
        <v>42</v>
      </c>
      <c r="M23" s="22">
        <v>44</v>
      </c>
      <c r="N23" s="32">
        <v>46</v>
      </c>
      <c r="O23" s="2">
        <f t="shared" si="13"/>
        <v>72.084342424042617</v>
      </c>
      <c r="P23" s="2">
        <f t="shared" si="14"/>
        <v>40</v>
      </c>
      <c r="Q23" s="2">
        <f t="shared" si="9"/>
        <v>42</v>
      </c>
      <c r="R23" s="2">
        <f t="shared" si="10"/>
        <v>44</v>
      </c>
      <c r="S23" s="8">
        <f t="shared" si="15"/>
        <v>0.55490552670504234</v>
      </c>
      <c r="T23" s="8">
        <f t="shared" si="11"/>
        <v>0.58265080304029448</v>
      </c>
      <c r="U23" s="8">
        <f t="shared" si="12"/>
        <v>0.61039607937554663</v>
      </c>
    </row>
    <row r="24" spans="2:21" ht="15.75" x14ac:dyDescent="0.25">
      <c r="B24" s="20">
        <v>400</v>
      </c>
      <c r="C24" s="21">
        <v>49</v>
      </c>
      <c r="D24" s="22">
        <v>51</v>
      </c>
      <c r="E24" s="21">
        <v>54</v>
      </c>
      <c r="F24" s="22">
        <v>47</v>
      </c>
      <c r="G24" s="22">
        <v>49</v>
      </c>
      <c r="H24" s="21">
        <v>52</v>
      </c>
      <c r="I24" s="22">
        <v>51</v>
      </c>
      <c r="J24" s="22">
        <v>54</v>
      </c>
      <c r="K24" s="32">
        <v>56</v>
      </c>
      <c r="L24" s="22">
        <v>52</v>
      </c>
      <c r="M24" s="22">
        <v>55</v>
      </c>
      <c r="N24" s="32">
        <v>57</v>
      </c>
      <c r="O24" s="2">
        <f t="shared" si="13"/>
        <v>89.442719099991592</v>
      </c>
      <c r="P24" s="2">
        <f t="shared" si="14"/>
        <v>49.75</v>
      </c>
      <c r="Q24" s="2">
        <f t="shared" si="9"/>
        <v>52.25</v>
      </c>
      <c r="R24" s="2">
        <f t="shared" si="10"/>
        <v>54.75</v>
      </c>
      <c r="S24" s="8">
        <f t="shared" si="15"/>
        <v>0.5562219094030727</v>
      </c>
      <c r="T24" s="8">
        <f t="shared" si="11"/>
        <v>0.58417275912181998</v>
      </c>
      <c r="U24" s="8">
        <f t="shared" si="12"/>
        <v>0.61212360884056738</v>
      </c>
    </row>
    <row r="25" spans="2:21" ht="15.75" x14ac:dyDescent="0.25">
      <c r="B25" s="20">
        <v>500</v>
      </c>
      <c r="C25" s="21">
        <v>58</v>
      </c>
      <c r="D25" s="22">
        <v>61</v>
      </c>
      <c r="E25" s="21">
        <v>64</v>
      </c>
      <c r="F25" s="22">
        <v>55</v>
      </c>
      <c r="G25" s="22">
        <v>58</v>
      </c>
      <c r="H25" s="21">
        <v>61</v>
      </c>
      <c r="I25" s="22">
        <v>60</v>
      </c>
      <c r="J25" s="22">
        <v>63</v>
      </c>
      <c r="K25" s="32">
        <v>66</v>
      </c>
      <c r="L25" s="22">
        <v>61</v>
      </c>
      <c r="M25" s="22">
        <v>64</v>
      </c>
      <c r="N25" s="32">
        <v>67</v>
      </c>
      <c r="O25" s="2">
        <f t="shared" si="13"/>
        <v>105.73712634405643</v>
      </c>
      <c r="P25" s="2">
        <f t="shared" si="14"/>
        <v>58.5</v>
      </c>
      <c r="Q25" s="2">
        <f t="shared" si="9"/>
        <v>61.5</v>
      </c>
      <c r="R25" s="2">
        <f t="shared" si="10"/>
        <v>64.5</v>
      </c>
      <c r="S25" s="8">
        <f t="shared" si="15"/>
        <v>0.55325884126685776</v>
      </c>
      <c r="T25" s="8">
        <f t="shared" si="11"/>
        <v>0.58163108953695297</v>
      </c>
      <c r="U25" s="8">
        <f t="shared" si="12"/>
        <v>0.6100033378070483</v>
      </c>
    </row>
    <row r="26" spans="2:21" ht="15.75" x14ac:dyDescent="0.25">
      <c r="B26" s="20">
        <v>600</v>
      </c>
      <c r="C26" s="21">
        <v>66</v>
      </c>
      <c r="D26" s="22">
        <v>69</v>
      </c>
      <c r="E26" s="21">
        <v>73</v>
      </c>
      <c r="F26" s="22">
        <v>63</v>
      </c>
      <c r="G26" s="22">
        <v>66</v>
      </c>
      <c r="H26" s="21">
        <v>69</v>
      </c>
      <c r="I26" s="22">
        <v>69</v>
      </c>
      <c r="J26" s="22">
        <v>72</v>
      </c>
      <c r="K26" s="32">
        <v>76</v>
      </c>
      <c r="L26" s="22">
        <v>70</v>
      </c>
      <c r="M26" s="22">
        <v>74</v>
      </c>
      <c r="N26" s="32">
        <v>77</v>
      </c>
      <c r="O26" s="2">
        <f t="shared" si="13"/>
        <v>121.23093028059735</v>
      </c>
      <c r="P26" s="2">
        <f t="shared" si="14"/>
        <v>67</v>
      </c>
      <c r="Q26" s="2">
        <f t="shared" si="9"/>
        <v>70.25</v>
      </c>
      <c r="R26" s="2">
        <f t="shared" si="10"/>
        <v>73.75</v>
      </c>
      <c r="S26" s="8">
        <f t="shared" si="15"/>
        <v>0.55266424042877405</v>
      </c>
      <c r="T26" s="8">
        <f t="shared" si="11"/>
        <v>0.57947258044957284</v>
      </c>
      <c r="U26" s="8">
        <f t="shared" si="12"/>
        <v>0.60834310047197149</v>
      </c>
    </row>
    <row r="27" spans="2:21" ht="15.75" x14ac:dyDescent="0.25">
      <c r="B27" s="20">
        <v>700</v>
      </c>
      <c r="C27" s="21">
        <v>75</v>
      </c>
      <c r="D27" s="22">
        <v>79</v>
      </c>
      <c r="E27" s="21">
        <v>83</v>
      </c>
      <c r="F27" s="22">
        <v>71</v>
      </c>
      <c r="G27" s="22">
        <v>75</v>
      </c>
      <c r="H27" s="21">
        <v>78</v>
      </c>
      <c r="I27" s="22">
        <v>78</v>
      </c>
      <c r="J27" s="22">
        <v>82</v>
      </c>
      <c r="K27" s="32">
        <v>86</v>
      </c>
      <c r="L27" s="22">
        <v>79</v>
      </c>
      <c r="M27" s="22">
        <v>83</v>
      </c>
      <c r="N27" s="32">
        <v>87</v>
      </c>
      <c r="O27" s="2">
        <f t="shared" si="13"/>
        <v>136.0891589269774</v>
      </c>
      <c r="P27" s="2">
        <f t="shared" si="14"/>
        <v>75.75</v>
      </c>
      <c r="Q27" s="2">
        <f t="shared" si="9"/>
        <v>79.75</v>
      </c>
      <c r="R27" s="2">
        <f t="shared" si="10"/>
        <v>83.5</v>
      </c>
      <c r="S27" s="8">
        <f t="shared" si="15"/>
        <v>0.55662038473355446</v>
      </c>
      <c r="T27" s="8">
        <f t="shared" si="11"/>
        <v>0.58601288029704246</v>
      </c>
      <c r="U27" s="8">
        <f t="shared" si="12"/>
        <v>0.61356834488781253</v>
      </c>
    </row>
    <row r="28" spans="2:21" ht="15.75" x14ac:dyDescent="0.25">
      <c r="B28" s="23">
        <v>800</v>
      </c>
      <c r="C28" s="24">
        <v>82</v>
      </c>
      <c r="D28" s="25">
        <v>86</v>
      </c>
      <c r="E28" s="24">
        <v>90</v>
      </c>
      <c r="F28" s="25">
        <v>78</v>
      </c>
      <c r="G28" s="25">
        <v>82</v>
      </c>
      <c r="H28" s="24">
        <v>86</v>
      </c>
      <c r="I28" s="25">
        <v>86</v>
      </c>
      <c r="J28" s="25">
        <v>90</v>
      </c>
      <c r="K28" s="33">
        <v>95</v>
      </c>
      <c r="L28" s="25">
        <v>87</v>
      </c>
      <c r="M28" s="25">
        <v>91</v>
      </c>
      <c r="N28" s="33">
        <v>96</v>
      </c>
      <c r="O28" s="2">
        <f t="shared" si="13"/>
        <v>150.42412372345569</v>
      </c>
      <c r="P28" s="2">
        <f t="shared" si="14"/>
        <v>83.25</v>
      </c>
      <c r="Q28" s="2">
        <f t="shared" si="9"/>
        <v>87.25</v>
      </c>
      <c r="R28" s="2">
        <f t="shared" si="10"/>
        <v>91.75</v>
      </c>
      <c r="S28" s="8">
        <f t="shared" si="15"/>
        <v>0.55343516677583804</v>
      </c>
      <c r="T28" s="8">
        <f t="shared" si="11"/>
        <v>0.58002664626056299</v>
      </c>
      <c r="U28" s="8">
        <f t="shared" si="12"/>
        <v>0.60994206068087853</v>
      </c>
    </row>
    <row r="29" spans="2:21" x14ac:dyDescent="0.25">
      <c r="P29" s="9"/>
      <c r="Q29" s="9"/>
      <c r="R29" s="1" t="s">
        <v>52</v>
      </c>
      <c r="S29" s="27">
        <f>AVERAGE(S21:S28)</f>
        <v>0.55341099024030349</v>
      </c>
      <c r="T29" s="27">
        <f t="shared" ref="T29:U29" si="16">AVERAGE(T21:T28)</f>
        <v>0.58174698888942067</v>
      </c>
      <c r="U29" s="27">
        <f t="shared" si="16"/>
        <v>0.6105266230340971</v>
      </c>
    </row>
    <row r="30" spans="2:21" x14ac:dyDescent="0.25">
      <c r="R30" t="s">
        <v>53</v>
      </c>
      <c r="S30" s="8">
        <f>_xlfn.STDEV.P(S21:S28)</f>
        <v>3.2662267098387964E-3</v>
      </c>
      <c r="T30" s="8">
        <f t="shared" ref="T30:U30" si="17">_xlfn.STDEV.P(T21:T28)</f>
        <v>2.6412247044506464E-3</v>
      </c>
      <c r="U30" s="8">
        <f t="shared" si="17"/>
        <v>1.6096128196383399E-3</v>
      </c>
    </row>
  </sheetData>
  <mergeCells count="10">
    <mergeCell ref="B17:O18"/>
    <mergeCell ref="B19:B20"/>
    <mergeCell ref="F19:G19"/>
    <mergeCell ref="I19:K19"/>
    <mergeCell ref="L19:N19"/>
    <mergeCell ref="B3:O3"/>
    <mergeCell ref="B4:B5"/>
    <mergeCell ref="F4:G4"/>
    <mergeCell ref="I4:K4"/>
    <mergeCell ref="L4:N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Feed rations</vt:lpstr>
      <vt:lpstr>ME req young horses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2023-06-14T09:57:20Z</dcterms:modified>
</cp:coreProperties>
</file>