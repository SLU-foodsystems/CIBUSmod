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E188A810-5637-42F6-A848-62370C2E422E}" xr6:coauthVersionLast="47" xr6:coauthVersionMax="47" xr10:uidLastSave="{00000000-0000-0000-0000-000000000000}"/>
  <bookViews>
    <workbookView xWindow="810" yWindow="720" windowWidth="25620" windowHeight="14280" xr2:uid="{00000000-000D-0000-FFFF-FFFF00000000}"/>
  </bookViews>
  <sheets>
    <sheet name="default" sheetId="1" r:id="rId1"/>
    <sheet name="referenc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1" i="1" l="1"/>
  <c r="Q22" i="1"/>
  <c r="Q21" i="1"/>
  <c r="Q17" i="1"/>
  <c r="R17" i="1"/>
  <c r="Q11" i="1"/>
  <c r="Q13" i="1" s="1"/>
  <c r="K10" i="1"/>
  <c r="K12" i="1"/>
  <c r="K11" i="1"/>
  <c r="K8" i="1"/>
  <c r="K9" i="1"/>
  <c r="K24" i="1"/>
  <c r="K156" i="1"/>
  <c r="K94" i="1"/>
  <c r="K95" i="1"/>
  <c r="K93" i="1"/>
  <c r="K30" i="1" l="1"/>
  <c r="R18" i="1" s="1"/>
  <c r="U18" i="1" s="1"/>
  <c r="U17" i="1"/>
  <c r="R23" i="1"/>
  <c r="R21" i="1"/>
  <c r="U21" i="1" s="1"/>
  <c r="R22" i="1"/>
  <c r="U22" i="1" s="1"/>
  <c r="K215" i="1"/>
  <c r="K214" i="1"/>
  <c r="K212" i="1"/>
  <c r="K213" i="1"/>
  <c r="K210" i="1"/>
  <c r="K211" i="1"/>
  <c r="K209" i="1"/>
  <c r="K208" i="1"/>
  <c r="K203" i="1" l="1"/>
  <c r="K202" i="1"/>
  <c r="K201" i="1"/>
  <c r="K200" i="1"/>
  <c r="K197" i="1"/>
  <c r="K196" i="1"/>
  <c r="K193" i="1" l="1"/>
  <c r="K160" i="1" l="1"/>
  <c r="K117" i="1"/>
  <c r="K118" i="1"/>
  <c r="K119" i="1"/>
  <c r="K111" i="1"/>
  <c r="K110" i="1"/>
  <c r="K112" i="1"/>
  <c r="K105" i="1"/>
  <c r="K98" i="1" s="1"/>
  <c r="K104" i="1"/>
  <c r="K97" i="1" s="1"/>
  <c r="K103" i="1"/>
  <c r="K96" i="1" s="1"/>
  <c r="K122" i="1"/>
  <c r="K123" i="1"/>
  <c r="K121" i="1"/>
  <c r="K172" i="1" l="1"/>
  <c r="K141" i="1" l="1"/>
  <c r="K167" i="1"/>
  <c r="K166" i="1"/>
  <c r="K165" i="1"/>
  <c r="K174" i="1" l="1"/>
  <c r="K133" i="1" l="1"/>
  <c r="K132" i="1"/>
  <c r="K131" i="1"/>
  <c r="K84" i="1"/>
  <c r="K83" i="1"/>
  <c r="K82" i="1"/>
  <c r="K77" i="1"/>
  <c r="K76" i="1"/>
  <c r="K75" i="1"/>
  <c r="K88" i="1"/>
  <c r="K89" i="1" l="1"/>
  <c r="K124" i="1"/>
  <c r="K90" i="1"/>
  <c r="K125" i="1"/>
  <c r="K91" i="1"/>
  <c r="K126" i="1"/>
  <c r="K155" i="1"/>
  <c r="K86" i="1" l="1"/>
  <c r="K87" i="1"/>
</calcChain>
</file>

<file path=xl/sharedStrings.xml><?xml version="1.0" encoding="utf-8"?>
<sst xmlns="http://schemas.openxmlformats.org/spreadsheetml/2006/main" count="736" uniqueCount="224">
  <si>
    <t>parameter</t>
  </si>
  <si>
    <t>value</t>
  </si>
  <si>
    <t>unit</t>
  </si>
  <si>
    <t>description</t>
  </si>
  <si>
    <t>source</t>
  </si>
  <si>
    <t>treatment_share</t>
  </si>
  <si>
    <t>%</t>
  </si>
  <si>
    <t>fallback</t>
  </si>
  <si>
    <t>anaerobic digestion</t>
  </si>
  <si>
    <t>composting</t>
  </si>
  <si>
    <t>incineration</t>
  </si>
  <si>
    <t>landfill</t>
  </si>
  <si>
    <t>WASTE TREATMENT SHARES</t>
  </si>
  <si>
    <t>Livsmedelsavfall i Sverige 2022</t>
  </si>
  <si>
    <t>&gt;40% rötning &lt;50% rötning+kompostering</t>
  </si>
  <si>
    <t>Ley, biogas feedstock</t>
  </si>
  <si>
    <t>Non-waste feedstocks</t>
  </si>
  <si>
    <t>WASTE COMPOSITION</t>
  </si>
  <si>
    <t>kg C/kg VS</t>
  </si>
  <si>
    <t>kg DM/kg</t>
  </si>
  <si>
    <t>kg VS/kg DM</t>
  </si>
  <si>
    <t>kg N/kg DM</t>
  </si>
  <si>
    <t>kg P/kg DM</t>
  </si>
  <si>
    <t>kg K/kg DM</t>
  </si>
  <si>
    <t>ANAEROBIC DIGESTION</t>
  </si>
  <si>
    <t>biogas_CH4_frac</t>
  </si>
  <si>
    <t>Källsorterat matavfall - hushåll</t>
  </si>
  <si>
    <t>Assumed same as retail</t>
  </si>
  <si>
    <t>Avfall Sverige. (2009). Substrathandbok för biogasproduktion. RAPPORT U2009:14. BILAGA 1 – SUBSTRATLISTA</t>
  </si>
  <si>
    <t>Nm3 CH4/kg VS</t>
  </si>
  <si>
    <t>biogas_CH4_yield</t>
  </si>
  <si>
    <t>manure</t>
  </si>
  <si>
    <t>f_MMS</t>
  </si>
  <si>
    <t>Avfall Sverige (2009)</t>
  </si>
  <si>
    <t>biogas_flare_frac</t>
  </si>
  <si>
    <t>biogas_flare_slip</t>
  </si>
  <si>
    <t>biogas_CH4_slip</t>
  </si>
  <si>
    <t>% of CH4 prod</t>
  </si>
  <si>
    <t>% of CH4 to flare</t>
  </si>
  <si>
    <t>kWh/Nm3 CH4</t>
  </si>
  <si>
    <t>Samrötningsanläggningar med förbehandling av matavfall</t>
  </si>
  <si>
    <t>HBK Biogasredovisning, ver 4.2</t>
  </si>
  <si>
    <t>HBK Biogasredovisning, ver 4.2. https://www.energigas.se/publikationer/hallbarhetskriterier-for-biodrivmedel-och-biobranslen/excel-verktyg-for-hbk-redovisning-och-berakning-av-vaxthusgasutslapp-for-biogas-och-biogasol/</t>
  </si>
  <si>
    <t>crop feedstock</t>
  </si>
  <si>
    <t>Lindfors &amp; Feiz (2023)</t>
  </si>
  <si>
    <t>Lindfors, A. &amp; Feiz, R. (2023). The current Nordic biogas and biofertilizer potential: An inventory of established feedstock and current technology. Biogas Solutions Research Center, Linköping University. https://doi.org/10.3384/9789180752558</t>
  </si>
  <si>
    <t>Share of B0 yielded as biogas</t>
  </si>
  <si>
    <t>see FeedMgmt</t>
  </si>
  <si>
    <t>Note: This report states that N, P and K contents are given as "kg/ton DM" but should be "kg/ton wet weight" according to pers. comm. with Lindfors</t>
  </si>
  <si>
    <t>digestate_B0</t>
  </si>
  <si>
    <t>digestate_TAN_share</t>
  </si>
  <si>
    <t>% of total N</t>
  </si>
  <si>
    <t>Nilsson, J., Ernfors, M., Prade, T., &amp; Hansson, P. A. (2024). Cover crop cultivation strategies in a Scandinavian context for climate change mitigation and biogas production–Insights from a life cycle perspective. Science of The Total Environment, 170629.</t>
  </si>
  <si>
    <t>Nilsson et al (2024)</t>
  </si>
  <si>
    <t>vol. %</t>
  </si>
  <si>
    <t>GENERAL</t>
  </si>
  <si>
    <t>CH4_density</t>
  </si>
  <si>
    <t>kg/Nm3</t>
  </si>
  <si>
    <t>CO2_density</t>
  </si>
  <si>
    <t>digestate_MCF</t>
  </si>
  <si>
    <t>% of B0</t>
  </si>
  <si>
    <t>Same for "Nötflytgödsel" and "Svinflytgödsel"</t>
  </si>
  <si>
    <t>"Vall"</t>
  </si>
  <si>
    <t>f_element</t>
  </si>
  <si>
    <t>f_compound</t>
  </si>
  <si>
    <t>N</t>
  </si>
  <si>
    <t>digestate_loss_storage</t>
  </si>
  <si>
    <t>NH3-N</t>
  </si>
  <si>
    <t>NOx-N</t>
  </si>
  <si>
    <t>N2O-N</t>
  </si>
  <si>
    <t>N2</t>
  </si>
  <si>
    <t>% of TAN</t>
  </si>
  <si>
    <t>P</t>
  </si>
  <si>
    <t>K</t>
  </si>
  <si>
    <t>% of P</t>
  </si>
  <si>
    <t>% of K</t>
  </si>
  <si>
    <t>Biogas stat. Tabell 6</t>
  </si>
  <si>
    <t>f_energy_source</t>
  </si>
  <si>
    <t>Electricity</t>
  </si>
  <si>
    <t>District heating</t>
  </si>
  <si>
    <t>biogas_energy_use</t>
  </si>
  <si>
    <t>biogas_use_share</t>
  </si>
  <si>
    <t>biogas_use_CH4_slip</t>
  </si>
  <si>
    <t>biogas_use_energy_use</t>
  </si>
  <si>
    <t>Biomethane</t>
  </si>
  <si>
    <t>Biogas yield</t>
  </si>
  <si>
    <t>Reactor energy use</t>
  </si>
  <si>
    <t>Use of produced biogas</t>
  </si>
  <si>
    <t>Biogas methane fractions</t>
  </si>
  <si>
    <t>Digestate characteristics and losses</t>
  </si>
  <si>
    <t>share of energy</t>
  </si>
  <si>
    <t>50 MJ/kg</t>
  </si>
  <si>
    <t>kWh/kg</t>
  </si>
  <si>
    <t>Fallback</t>
  </si>
  <si>
    <t>Use phase CH4 slip and energy use</t>
  </si>
  <si>
    <t>f_energy_prod</t>
  </si>
  <si>
    <t>CH4_specific_energy</t>
  </si>
  <si>
    <t>kWh/kWh</t>
  </si>
  <si>
    <t>kWh/kg CH4</t>
  </si>
  <si>
    <t>Recalculated from 0.9 MJ/Nm3 raw biogas assuming 60%(vol) CH4 in biogas and 0.718 kg/Nm3 CH4</t>
  </si>
  <si>
    <t>% of CH4</t>
  </si>
  <si>
    <t>f_feedstock_type</t>
  </si>
  <si>
    <t>animal carcasses</t>
  </si>
  <si>
    <t>f_feedstock</t>
  </si>
  <si>
    <t>f_feedstock_group</t>
  </si>
  <si>
    <t>f_treatment</t>
  </si>
  <si>
    <t>feedstock_C</t>
  </si>
  <si>
    <t>feedstock_DM</t>
  </si>
  <si>
    <t>feedstock_VS</t>
  </si>
  <si>
    <t>feedstock_B0</t>
  </si>
  <si>
    <t>feedstock_N</t>
  </si>
  <si>
    <t>feedstock_P</t>
  </si>
  <si>
    <t>feedstock_K</t>
  </si>
  <si>
    <t>food waste, household</t>
  </si>
  <si>
    <t>food waste, retail</t>
  </si>
  <si>
    <t>food waste, processing</t>
  </si>
  <si>
    <t>Energigas Sverige (2023), Tabell 6</t>
  </si>
  <si>
    <t>Energigas Sverige (2023) Produktion av biogas och rötrester och dess användning år 2022</t>
  </si>
  <si>
    <t>NIR 2022, Table 5.18</t>
  </si>
  <si>
    <t>Swedish IIR 2023 Table 5-12</t>
  </si>
  <si>
    <t>Assumed same as anaerobically digested manure</t>
  </si>
  <si>
    <t>Slaughterhouse waste</t>
  </si>
  <si>
    <t>slaughterhouse by-products</t>
  </si>
  <si>
    <t>Dairy waste</t>
  </si>
  <si>
    <t>Brewaries spent grain</t>
  </si>
  <si>
    <t>cereal by-products</t>
  </si>
  <si>
    <t>dairy by-products</t>
  </si>
  <si>
    <t>by-product waste</t>
  </si>
  <si>
    <t>other by-products</t>
  </si>
  <si>
    <t>Food waste, grocery stores</t>
  </si>
  <si>
    <t>INCINERATION</t>
  </si>
  <si>
    <t>2.5 kWh/kg wet weight</t>
  </si>
  <si>
    <t>kWh/kg VS</t>
  </si>
  <si>
    <t>incineration_efficiency</t>
  </si>
  <si>
    <t>incineration_heating_value</t>
  </si>
  <si>
    <t>incineration_emissions</t>
  </si>
  <si>
    <t>kg/kWh</t>
  </si>
  <si>
    <t>N2O</t>
  </si>
  <si>
    <t>NOx</t>
  </si>
  <si>
    <t>NH3</t>
  </si>
  <si>
    <t>Miljöfaktaboken 2011, Tabell 17</t>
  </si>
  <si>
    <t>Miljöfaktaboken 2011, s. 43</t>
  </si>
  <si>
    <t>VS</t>
  </si>
  <si>
    <t>CH4bio</t>
  </si>
  <si>
    <t>LANDFILL</t>
  </si>
  <si>
    <t>kg/kg VS</t>
  </si>
  <si>
    <t>landfill_emissions</t>
  </si>
  <si>
    <t>NO3</t>
  </si>
  <si>
    <t>PO4</t>
  </si>
  <si>
    <t>Ecoinvent. treatment of municipal solid waste, sanitary landfill (SE).https://ecoquery.ecoinvent.org/3.11/cutoff/dataset/92891/documentation</t>
  </si>
  <si>
    <t>Emissions from ecoinvent</t>
  </si>
  <si>
    <t>landfill of municipal solid waste</t>
  </si>
  <si>
    <t>assuming 0.43 kg VS/kg</t>
  </si>
  <si>
    <t>0.54 kgDM/kg (ecoinvent) * 0.8 kgVS/kgDM</t>
  </si>
  <si>
    <t>NH4</t>
  </si>
  <si>
    <t>Live weight of animals lost before slughter</t>
  </si>
  <si>
    <t>wastewater sludge</t>
  </si>
  <si>
    <t>This is fraction returned. 87% digested but not all returned</t>
  </si>
  <si>
    <t>WASTEWATER TREATMENT</t>
  </si>
  <si>
    <t>wastewater_share_connected</t>
  </si>
  <si>
    <t>kg COD/pers/year</t>
  </si>
  <si>
    <t>wastewater_emissions</t>
  </si>
  <si>
    <t>kg/kg N</t>
  </si>
  <si>
    <t>Används av svenskt vatten beräkningsmall: www.svensktvatten.se/globalassets/dokument/klimat-och-hallbarhet/klimatberakningsverktyg-drift/sv-klimatberakningsmodell-for-va-anlaggningarn---anvandarmanual-april-25_eng.pdf</t>
  </si>
  <si>
    <t>Andrews &amp; de Haas, 2022</t>
  </si>
  <si>
    <t>COD</t>
  </si>
  <si>
    <t>CH4</t>
  </si>
  <si>
    <t>kg/kg COD</t>
  </si>
  <si>
    <t>wastewater_energy_use</t>
  </si>
  <si>
    <t>kWh/kg N</t>
  </si>
  <si>
    <t>beräknat som medel för uppsala reningsverk 2020-2022</t>
  </si>
  <si>
    <t>Uppsala vatten 2023</t>
  </si>
  <si>
    <t>% of incomming</t>
  </si>
  <si>
    <t>13% to 34%</t>
  </si>
  <si>
    <t>Svenskt Vatten (2022), Tabell 3.1</t>
  </si>
  <si>
    <t>???</t>
  </si>
  <si>
    <t>1.0% to 3.2%</t>
  </si>
  <si>
    <t>Svenskt Vatten (2022), Tabell 9.1</t>
  </si>
  <si>
    <t>Svenskt Vatten (2022) Återvinning av näringsämnen från avlopp. Rapport Nr 2022-6. https://vattenbokhandeln.svensktvatten.se/wp-content/uploads/2022/11/svu-rapport-2022-06.pdf</t>
  </si>
  <si>
    <t>Svenskt Vatten (2025) Karakterisering  av kommunalt  avlopps vatten för process modellering och  design. Rapport Nr 2025-10. https://vattenbokhandeln.svensktvatten.se/wp-content/uploads/2025/07/2025-10-SVU-rapport-Karakterisering-av-kommunalt-avloppsvatten-for-processmodellering-och-design.pdf</t>
  </si>
  <si>
    <t>Jönsson et al. (2005) Composition of urine, faeces, greywater and biowaste. Urban Water Report 2005:6. https://slunik.slu.se/kursfiler/TN0320/20107.1718/URWARE-Indata_2005-6_Jonsson.pdf</t>
  </si>
  <si>
    <t>Jönsson et al. (2005)</t>
  </si>
  <si>
    <t>The factors for 'wastewater_incomming_toilet' are used if these are not available from the food composition calculated in the DemandAndConversions module</t>
  </si>
  <si>
    <t>kg N/pers/year</t>
  </si>
  <si>
    <t>kg VS/pers/year</t>
  </si>
  <si>
    <t>kg P/pers/year</t>
  </si>
  <si>
    <t>kg K/pers/year</t>
  </si>
  <si>
    <t>VS in sludge per person</t>
  </si>
  <si>
    <t>sludge</t>
  </si>
  <si>
    <t>persons</t>
  </si>
  <si>
    <t>pe</t>
  </si>
  <si>
    <t>kt DM</t>
  </si>
  <si>
    <t>kg DM/pe</t>
  </si>
  <si>
    <t>sludge VS</t>
  </si>
  <si>
    <t>kg VS/pe</t>
  </si>
  <si>
    <t>SOU 2020:3, Tabell 3.4</t>
  </si>
  <si>
    <t>calc.</t>
  </si>
  <si>
    <t>calc. from incomming + VS in sludge per person</t>
  </si>
  <si>
    <t>ton N</t>
  </si>
  <si>
    <t>ton P</t>
  </si>
  <si>
    <t>Sludge control</t>
  </si>
  <si>
    <t>SCB 2022</t>
  </si>
  <si>
    <t>c_N</t>
  </si>
  <si>
    <t>c_P</t>
  </si>
  <si>
    <t>ton DM</t>
  </si>
  <si>
    <t>mil.</t>
  </si>
  <si>
    <t>mg/kg DM</t>
  </si>
  <si>
    <t>ton K</t>
  </si>
  <si>
    <t>SCB (2022)</t>
  </si>
  <si>
    <t>SCB (2022) Statistikdatabasen. Anslutning (pe) efter region/storleksklass, reningsmetoder och vartannat år. https://www.statistikdatabasen.scb.se/pxweb/sv/ssd/START__MI__MI0106/MI0106T04</t>
  </si>
  <si>
    <t>Set to give nr connected in stat.</t>
  </si>
  <si>
    <t>% dif</t>
  </si>
  <si>
    <t>kg/kg P</t>
  </si>
  <si>
    <t>N released to water?</t>
  </si>
  <si>
    <t>P released to water?</t>
  </si>
  <si>
    <t>wastewater_incoming_toilet</t>
  </si>
  <si>
    <t>wastewater_incoming_grey</t>
  </si>
  <si>
    <t>wastewater_recovery_sludge</t>
  </si>
  <si>
    <t>Wastewater Sludge</t>
  </si>
  <si>
    <t>Share digestate returned to soils, remaining to landfill</t>
  </si>
  <si>
    <t>Too high?</t>
  </si>
  <si>
    <t>Energigas Sverige (2023), Tabell 14</t>
  </si>
  <si>
    <t>digestate</t>
  </si>
  <si>
    <t>digestate_share_as_fertiliser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</si>
</sst>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"/>
    <numFmt numFmtId="168" formatCode="0.0%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u/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9" fontId="9" fillId="0" borderId="0" applyFont="0" applyFill="0" applyBorder="0" applyAlignment="0" applyProtection="0"/>
  </cellStyleXfs>
  <cellXfs count="50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/>
    <xf numFmtId="0" fontId="6" fillId="0" borderId="0" xfId="0" applyFont="1"/>
    <xf numFmtId="0" fontId="1" fillId="0" borderId="0" xfId="0" applyFont="1"/>
    <xf numFmtId="164" fontId="0" fillId="0" borderId="0" xfId="0" applyNumberFormat="1"/>
    <xf numFmtId="164" fontId="6" fillId="0" borderId="0" xfId="0" applyNumberFormat="1" applyFont="1"/>
    <xf numFmtId="2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0" fontId="7" fillId="0" borderId="0" xfId="0" applyFont="1"/>
    <xf numFmtId="2" fontId="6" fillId="0" borderId="0" xfId="0" applyNumberFormat="1" applyFont="1"/>
    <xf numFmtId="2" fontId="0" fillId="0" borderId="0" xfId="0" applyNumberFormat="1"/>
    <xf numFmtId="0" fontId="3" fillId="3" borderId="0" xfId="0" applyFont="1" applyFill="1"/>
    <xf numFmtId="0" fontId="3" fillId="4" borderId="0" xfId="0" applyFont="1" applyFill="1"/>
    <xf numFmtId="165" fontId="1" fillId="0" borderId="0" xfId="0" applyNumberFormat="1" applyFont="1"/>
    <xf numFmtId="11" fontId="1" fillId="0" borderId="0" xfId="0" applyNumberFormat="1" applyFont="1"/>
    <xf numFmtId="0" fontId="3" fillId="5" borderId="0" xfId="0" applyFont="1" applyFill="1"/>
    <xf numFmtId="0" fontId="0" fillId="5" borderId="0" xfId="0" applyFill="1"/>
    <xf numFmtId="166" fontId="0" fillId="0" borderId="0" xfId="0" applyNumberFormat="1"/>
    <xf numFmtId="167" fontId="0" fillId="0" borderId="0" xfId="0" applyNumberFormat="1"/>
    <xf numFmtId="1" fontId="0" fillId="0" borderId="0" xfId="0" applyNumberFormat="1"/>
    <xf numFmtId="165" fontId="0" fillId="0" borderId="0" xfId="0" applyNumberFormat="1"/>
    <xf numFmtId="0" fontId="8" fillId="0" borderId="0" xfId="1"/>
    <xf numFmtId="0" fontId="11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165" fontId="0" fillId="0" borderId="7" xfId="0" applyNumberFormat="1" applyBorder="1"/>
    <xf numFmtId="0" fontId="0" fillId="0" borderId="7" xfId="0" applyBorder="1"/>
    <xf numFmtId="0" fontId="0" fillId="0" borderId="8" xfId="0" applyBorder="1"/>
    <xf numFmtId="0" fontId="3" fillId="6" borderId="1" xfId="0" applyFont="1" applyFill="1" applyBorder="1"/>
    <xf numFmtId="0" fontId="0" fillId="6" borderId="2" xfId="0" applyFill="1" applyBorder="1"/>
    <xf numFmtId="0" fontId="0" fillId="6" borderId="3" xfId="0" applyFill="1" applyBorder="1"/>
    <xf numFmtId="3" fontId="0" fillId="0" borderId="0" xfId="0" applyNumberFormat="1"/>
    <xf numFmtId="0" fontId="10" fillId="0" borderId="0" xfId="0" applyFont="1"/>
    <xf numFmtId="0" fontId="10" fillId="0" borderId="7" xfId="0" applyFont="1" applyBorder="1"/>
    <xf numFmtId="168" fontId="0" fillId="0" borderId="7" xfId="2" applyNumberFormat="1" applyFont="1" applyBorder="1"/>
    <xf numFmtId="0" fontId="2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7" xfId="0" applyNumberFormat="1" applyBorder="1" applyAlignment="1">
      <alignment horizontal="center"/>
    </xf>
    <xf numFmtId="168" fontId="0" fillId="0" borderId="0" xfId="2" applyNumberFormat="1" applyFont="1" applyBorder="1" applyAlignment="1">
      <alignment horizontal="center"/>
    </xf>
    <xf numFmtId="3" fontId="1" fillId="0" borderId="7" xfId="0" applyNumberFormat="1" applyFont="1" applyBorder="1" applyAlignment="1">
      <alignment horizontal="center"/>
    </xf>
    <xf numFmtId="164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5"/>
  <sheetViews>
    <sheetView tabSelected="1" zoomScale="80" zoomScaleNormal="80" workbookViewId="0">
      <pane ySplit="1" topLeftCell="A176" activePane="bottomLeft" state="frozen"/>
      <selection pane="bottomLeft" activeCell="I188" sqref="I188"/>
    </sheetView>
  </sheetViews>
  <sheetFormatPr defaultRowHeight="15" x14ac:dyDescent="0.25"/>
  <cols>
    <col min="1" max="1" width="15.42578125" customWidth="1"/>
    <col min="2" max="2" width="17.85546875" bestFit="1" customWidth="1"/>
    <col min="3" max="3" width="22" bestFit="1" customWidth="1"/>
    <col min="4" max="4" width="14" customWidth="1"/>
    <col min="5" max="5" width="21.28515625" bestFit="1" customWidth="1"/>
    <col min="6" max="9" width="21.28515625" customWidth="1"/>
    <col min="10" max="10" width="37.7109375" bestFit="1" customWidth="1"/>
    <col min="11" max="11" width="13" bestFit="1" customWidth="1"/>
    <col min="12" max="12" width="16.7109375" bestFit="1" customWidth="1"/>
    <col min="13" max="13" width="32.42578125" customWidth="1"/>
    <col min="14" max="14" width="20.7109375" customWidth="1"/>
    <col min="16" max="16" width="10.5703125" customWidth="1"/>
  </cols>
  <sheetData>
    <row r="1" spans="1:22" x14ac:dyDescent="0.25">
      <c r="A1" s="1" t="s">
        <v>103</v>
      </c>
      <c r="B1" s="1" t="s">
        <v>104</v>
      </c>
      <c r="C1" s="1" t="s">
        <v>101</v>
      </c>
      <c r="D1" s="1" t="s">
        <v>32</v>
      </c>
      <c r="E1" s="1" t="s">
        <v>105</v>
      </c>
      <c r="F1" s="1" t="s">
        <v>63</v>
      </c>
      <c r="G1" s="1" t="s">
        <v>64</v>
      </c>
      <c r="H1" s="1" t="s">
        <v>95</v>
      </c>
      <c r="I1" s="1" t="s">
        <v>77</v>
      </c>
      <c r="J1" s="1" t="s">
        <v>0</v>
      </c>
      <c r="K1" s="1" t="s">
        <v>1</v>
      </c>
      <c r="L1" s="1" t="s">
        <v>2</v>
      </c>
      <c r="M1" s="1" t="s">
        <v>3</v>
      </c>
      <c r="N1" s="1" t="s">
        <v>4</v>
      </c>
    </row>
    <row r="3" spans="1:22" x14ac:dyDescent="0.25">
      <c r="A3" s="2" t="s">
        <v>158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22" x14ac:dyDescent="0.25">
      <c r="K4" s="26"/>
      <c r="N4" s="27"/>
    </row>
    <row r="5" spans="1:22" x14ac:dyDescent="0.25">
      <c r="J5" t="s">
        <v>159</v>
      </c>
      <c r="K5" s="25">
        <v>82.5</v>
      </c>
      <c r="L5" t="s">
        <v>6</v>
      </c>
      <c r="M5" t="s">
        <v>210</v>
      </c>
      <c r="N5" t="s">
        <v>208</v>
      </c>
    </row>
    <row r="6" spans="1:22" x14ac:dyDescent="0.25">
      <c r="K6" s="25"/>
    </row>
    <row r="7" spans="1:22" x14ac:dyDescent="0.25">
      <c r="A7" s="28" t="s">
        <v>182</v>
      </c>
      <c r="K7" s="25"/>
    </row>
    <row r="8" spans="1:22" x14ac:dyDescent="0.25">
      <c r="F8" t="s">
        <v>142</v>
      </c>
      <c r="J8" t="s">
        <v>215</v>
      </c>
      <c r="K8" s="25">
        <f>3+17</f>
        <v>20</v>
      </c>
      <c r="L8" t="s">
        <v>184</v>
      </c>
      <c r="N8" t="s">
        <v>181</v>
      </c>
      <c r="P8" s="35" t="s">
        <v>187</v>
      </c>
      <c r="Q8" s="36"/>
      <c r="R8" s="36"/>
      <c r="S8" s="36"/>
      <c r="T8" s="36"/>
      <c r="U8" s="36"/>
      <c r="V8" s="37"/>
    </row>
    <row r="9" spans="1:22" x14ac:dyDescent="0.25">
      <c r="F9" t="s">
        <v>165</v>
      </c>
      <c r="J9" t="s">
        <v>215</v>
      </c>
      <c r="K9" s="25">
        <f>3+23</f>
        <v>26</v>
      </c>
      <c r="L9" t="s">
        <v>160</v>
      </c>
      <c r="N9" t="s">
        <v>181</v>
      </c>
      <c r="P9" s="29" t="s">
        <v>189</v>
      </c>
      <c r="Q9" s="16">
        <v>8.6331450000000007</v>
      </c>
      <c r="R9" s="39" t="s">
        <v>190</v>
      </c>
      <c r="T9" t="s">
        <v>195</v>
      </c>
      <c r="V9" s="30"/>
    </row>
    <row r="10" spans="1:22" x14ac:dyDescent="0.25">
      <c r="F10" t="s">
        <v>65</v>
      </c>
      <c r="J10" t="s">
        <v>215</v>
      </c>
      <c r="K10" s="26">
        <f>4+0.5</f>
        <v>4.5</v>
      </c>
      <c r="L10" t="s">
        <v>183</v>
      </c>
      <c r="N10" t="s">
        <v>181</v>
      </c>
      <c r="P10" s="29" t="s">
        <v>188</v>
      </c>
      <c r="Q10">
        <v>204.3</v>
      </c>
      <c r="R10" s="39" t="s">
        <v>191</v>
      </c>
      <c r="T10" t="s">
        <v>195</v>
      </c>
      <c r="V10" s="30"/>
    </row>
    <row r="11" spans="1:22" x14ac:dyDescent="0.25">
      <c r="F11" t="s">
        <v>72</v>
      </c>
      <c r="J11" t="s">
        <v>215</v>
      </c>
      <c r="K11" s="16">
        <f>0.33+0.18</f>
        <v>0.51</v>
      </c>
      <c r="L11" t="s">
        <v>185</v>
      </c>
      <c r="N11" t="s">
        <v>181</v>
      </c>
      <c r="P11" s="29"/>
      <c r="Q11" s="26">
        <f>Q10/Q9</f>
        <v>23.664608899769433</v>
      </c>
      <c r="R11" s="39" t="s">
        <v>192</v>
      </c>
      <c r="T11" t="s">
        <v>196</v>
      </c>
      <c r="V11" s="30"/>
    </row>
    <row r="12" spans="1:22" x14ac:dyDescent="0.25">
      <c r="F12" t="s">
        <v>73</v>
      </c>
      <c r="J12" t="s">
        <v>215</v>
      </c>
      <c r="K12" s="16">
        <f>0.88+0.33</f>
        <v>1.21</v>
      </c>
      <c r="L12" t="s">
        <v>186</v>
      </c>
      <c r="N12" t="s">
        <v>181</v>
      </c>
      <c r="P12" s="29" t="s">
        <v>193</v>
      </c>
      <c r="Q12">
        <v>0.7</v>
      </c>
      <c r="R12" s="39" t="s">
        <v>20</v>
      </c>
      <c r="T12" t="s">
        <v>44</v>
      </c>
      <c r="V12" s="30"/>
    </row>
    <row r="13" spans="1:22" x14ac:dyDescent="0.25">
      <c r="K13" s="25"/>
      <c r="P13" s="31"/>
      <c r="Q13" s="32">
        <f>Q11*Q12</f>
        <v>16.565226229838604</v>
      </c>
      <c r="R13" s="40" t="s">
        <v>194</v>
      </c>
      <c r="S13" s="33"/>
      <c r="T13" s="33" t="s">
        <v>196</v>
      </c>
      <c r="U13" s="33"/>
      <c r="V13" s="34"/>
    </row>
    <row r="14" spans="1:22" x14ac:dyDescent="0.25">
      <c r="F14" t="s">
        <v>142</v>
      </c>
      <c r="J14" t="s">
        <v>216</v>
      </c>
      <c r="K14" s="25">
        <v>15</v>
      </c>
      <c r="L14" t="s">
        <v>184</v>
      </c>
      <c r="N14" t="s">
        <v>181</v>
      </c>
    </row>
    <row r="15" spans="1:22" x14ac:dyDescent="0.25">
      <c r="F15" t="s">
        <v>165</v>
      </c>
      <c r="J15" t="s">
        <v>216</v>
      </c>
      <c r="K15" s="25">
        <v>23</v>
      </c>
      <c r="L15" t="s">
        <v>160</v>
      </c>
      <c r="N15" t="s">
        <v>181</v>
      </c>
      <c r="P15" s="35" t="s">
        <v>200</v>
      </c>
      <c r="Q15" s="36"/>
      <c r="R15" s="36"/>
      <c r="S15" s="36"/>
      <c r="T15" s="36"/>
      <c r="U15" s="36"/>
      <c r="V15" s="37"/>
    </row>
    <row r="16" spans="1:22" x14ac:dyDescent="0.25">
      <c r="F16" t="s">
        <v>65</v>
      </c>
      <c r="J16" t="s">
        <v>216</v>
      </c>
      <c r="K16" s="26">
        <v>0.6</v>
      </c>
      <c r="L16" t="s">
        <v>183</v>
      </c>
      <c r="N16" t="s">
        <v>181</v>
      </c>
      <c r="P16" s="29"/>
      <c r="Q16" s="42" t="s">
        <v>201</v>
      </c>
      <c r="R16" s="42" t="s">
        <v>196</v>
      </c>
      <c r="S16" s="1"/>
      <c r="T16" s="1"/>
      <c r="U16" s="42" t="s">
        <v>211</v>
      </c>
      <c r="V16" s="30"/>
    </row>
    <row r="17" spans="6:22" x14ac:dyDescent="0.25">
      <c r="F17" t="s">
        <v>72</v>
      </c>
      <c r="J17" t="s">
        <v>216</v>
      </c>
      <c r="K17" s="16">
        <v>0.25</v>
      </c>
      <c r="L17" t="s">
        <v>185</v>
      </c>
      <c r="N17" t="s">
        <v>181</v>
      </c>
      <c r="P17" s="29" t="s">
        <v>190</v>
      </c>
      <c r="Q17" s="43">
        <f>(661848+480002+1158543+1002205+5055019)/1000000</f>
        <v>8.3576169999999994</v>
      </c>
      <c r="R17" s="43">
        <f>10.157655*(K5/100)</f>
        <v>8.3800653749999992</v>
      </c>
      <c r="S17" s="39" t="s">
        <v>205</v>
      </c>
      <c r="U17" s="47">
        <f>(R17-Q17)/Q17</f>
        <v>2.6859779528063733E-3</v>
      </c>
      <c r="V17" s="30"/>
    </row>
    <row r="18" spans="6:22" x14ac:dyDescent="0.25">
      <c r="F18" t="s">
        <v>73</v>
      </c>
      <c r="J18" t="s">
        <v>216</v>
      </c>
      <c r="K18" s="16">
        <v>0.28999999999999998</v>
      </c>
      <c r="L18" t="s">
        <v>186</v>
      </c>
      <c r="N18" t="s">
        <v>181</v>
      </c>
      <c r="P18" s="29" t="s">
        <v>188</v>
      </c>
      <c r="Q18" s="44">
        <v>197778</v>
      </c>
      <c r="R18" s="44">
        <f>(K8+K14)*(K30/100)*R17*1000/Q12</f>
        <v>198310.96965387464</v>
      </c>
      <c r="S18" s="39" t="s">
        <v>204</v>
      </c>
      <c r="U18" s="47">
        <f t="shared" ref="U18:U22" si="0">(R18-Q18)/Q18</f>
        <v>2.6947873569084313E-3</v>
      </c>
      <c r="V18" s="30"/>
    </row>
    <row r="19" spans="6:22" x14ac:dyDescent="0.25">
      <c r="K19" s="26"/>
      <c r="N19" s="27"/>
      <c r="P19" s="29" t="s">
        <v>202</v>
      </c>
      <c r="Q19" s="44">
        <v>47624.39</v>
      </c>
      <c r="R19" s="45"/>
      <c r="S19" s="39" t="s">
        <v>206</v>
      </c>
      <c r="U19" s="47"/>
      <c r="V19" s="30"/>
    </row>
    <row r="20" spans="6:22" x14ac:dyDescent="0.25">
      <c r="J20" s="3" t="s">
        <v>161</v>
      </c>
      <c r="K20" s="3">
        <v>0</v>
      </c>
      <c r="P20" s="29" t="s">
        <v>203</v>
      </c>
      <c r="Q20" s="44">
        <v>26638.48</v>
      </c>
      <c r="R20" s="45"/>
      <c r="S20" s="39" t="s">
        <v>206</v>
      </c>
      <c r="U20" s="47"/>
      <c r="V20" s="30"/>
    </row>
    <row r="21" spans="6:22" x14ac:dyDescent="0.25">
      <c r="F21" t="s">
        <v>65</v>
      </c>
      <c r="G21" t="s">
        <v>69</v>
      </c>
      <c r="J21" t="s">
        <v>161</v>
      </c>
      <c r="K21">
        <v>1.0999999999999999E-2</v>
      </c>
      <c r="L21" t="s">
        <v>162</v>
      </c>
      <c r="M21" t="s">
        <v>163</v>
      </c>
      <c r="N21" t="s">
        <v>164</v>
      </c>
      <c r="P21" s="29" t="s">
        <v>65</v>
      </c>
      <c r="Q21" s="44">
        <f>Q18*Q19/1000000</f>
        <v>9419.0566054200008</v>
      </c>
      <c r="R21" s="44">
        <f>(K10+K16)*(K31/100)*R17*1000</f>
        <v>9402.4333507499978</v>
      </c>
      <c r="S21" s="39" t="s">
        <v>198</v>
      </c>
      <c r="U21" s="47">
        <f t="shared" si="0"/>
        <v>-1.7648534631841473E-3</v>
      </c>
      <c r="V21" s="30"/>
    </row>
    <row r="22" spans="6:22" x14ac:dyDescent="0.25">
      <c r="F22" t="s">
        <v>65</v>
      </c>
      <c r="G22" t="s">
        <v>65</v>
      </c>
      <c r="L22" t="s">
        <v>162</v>
      </c>
      <c r="M22" s="7" t="s">
        <v>213</v>
      </c>
      <c r="P22" s="29" t="s">
        <v>72</v>
      </c>
      <c r="Q22" s="44">
        <f>Q18*Q20/1000000</f>
        <v>5268.5052974399996</v>
      </c>
      <c r="R22" s="44">
        <f>(K11+K17)*(K32/100)*R17*1000</f>
        <v>5731.9647165000006</v>
      </c>
      <c r="S22" s="39" t="s">
        <v>199</v>
      </c>
      <c r="U22" s="47">
        <f t="shared" si="0"/>
        <v>8.7967913648145879E-2</v>
      </c>
      <c r="V22" s="30"/>
    </row>
    <row r="23" spans="6:22" x14ac:dyDescent="0.25">
      <c r="F23" t="s">
        <v>72</v>
      </c>
      <c r="G23" t="s">
        <v>72</v>
      </c>
      <c r="L23" t="s">
        <v>212</v>
      </c>
      <c r="M23" s="7" t="s">
        <v>214</v>
      </c>
      <c r="P23" s="31" t="s">
        <v>73</v>
      </c>
      <c r="Q23" s="46"/>
      <c r="R23" s="48">
        <f>(K12+K18)*(K33/100)*R17*1000</f>
        <v>188.55147093749997</v>
      </c>
      <c r="S23" s="40" t="s">
        <v>207</v>
      </c>
      <c r="T23" s="33"/>
      <c r="U23" s="41"/>
      <c r="V23" s="34"/>
    </row>
    <row r="24" spans="6:22" x14ac:dyDescent="0.25">
      <c r="F24" t="s">
        <v>165</v>
      </c>
      <c r="G24" t="s">
        <v>166</v>
      </c>
      <c r="J24" t="s">
        <v>161</v>
      </c>
      <c r="K24">
        <f>0.0027</f>
        <v>2.7000000000000001E-3</v>
      </c>
      <c r="L24" t="s">
        <v>167</v>
      </c>
    </row>
    <row r="25" spans="6:22" x14ac:dyDescent="0.25">
      <c r="S25" s="16"/>
    </row>
    <row r="26" spans="6:22" x14ac:dyDescent="0.25">
      <c r="J26" s="3" t="s">
        <v>168</v>
      </c>
      <c r="K26" s="3">
        <v>0</v>
      </c>
      <c r="R26" s="16"/>
      <c r="S26" s="16"/>
    </row>
    <row r="27" spans="6:22" x14ac:dyDescent="0.25">
      <c r="F27" t="s">
        <v>65</v>
      </c>
      <c r="I27" t="s">
        <v>78</v>
      </c>
      <c r="J27" t="s">
        <v>168</v>
      </c>
      <c r="K27">
        <v>0.83399999999999996</v>
      </c>
      <c r="L27" t="s">
        <v>169</v>
      </c>
      <c r="M27" t="s">
        <v>170</v>
      </c>
      <c r="N27" t="s">
        <v>171</v>
      </c>
      <c r="R27" s="16"/>
      <c r="S27" s="16"/>
    </row>
    <row r="28" spans="6:22" x14ac:dyDescent="0.25">
      <c r="F28" t="s">
        <v>65</v>
      </c>
      <c r="I28" t="s">
        <v>79</v>
      </c>
      <c r="J28" t="s">
        <v>168</v>
      </c>
      <c r="K28">
        <v>0.50600000000000001</v>
      </c>
      <c r="L28" t="s">
        <v>169</v>
      </c>
      <c r="M28" t="s">
        <v>170</v>
      </c>
      <c r="N28" t="s">
        <v>171</v>
      </c>
      <c r="R28" s="16"/>
      <c r="S28" s="16"/>
    </row>
    <row r="29" spans="6:22" x14ac:dyDescent="0.25">
      <c r="R29" s="16"/>
      <c r="S29" s="16"/>
    </row>
    <row r="30" spans="6:22" x14ac:dyDescent="0.25">
      <c r="F30" t="s">
        <v>142</v>
      </c>
      <c r="J30" t="s">
        <v>217</v>
      </c>
      <c r="K30" s="25">
        <f>Q13/(K8+K14)*100</f>
        <v>47.329217799538867</v>
      </c>
      <c r="L30" t="s">
        <v>172</v>
      </c>
      <c r="M30" t="s">
        <v>197</v>
      </c>
      <c r="R30" s="16"/>
    </row>
    <row r="31" spans="6:22" x14ac:dyDescent="0.25">
      <c r="F31" t="s">
        <v>65</v>
      </c>
      <c r="J31" t="s">
        <v>217</v>
      </c>
      <c r="K31">
        <v>22</v>
      </c>
      <c r="L31" t="s">
        <v>172</v>
      </c>
      <c r="M31" t="s">
        <v>173</v>
      </c>
      <c r="N31" t="s">
        <v>174</v>
      </c>
      <c r="R31" s="16"/>
      <c r="S31" s="38"/>
    </row>
    <row r="32" spans="6:22" x14ac:dyDescent="0.25">
      <c r="F32" t="s">
        <v>72</v>
      </c>
      <c r="J32" t="s">
        <v>217</v>
      </c>
      <c r="K32" s="7">
        <v>90</v>
      </c>
      <c r="L32" t="s">
        <v>172</v>
      </c>
      <c r="M32" s="7" t="s">
        <v>175</v>
      </c>
      <c r="S32" s="38"/>
    </row>
    <row r="33" spans="1:19" x14ac:dyDescent="0.25">
      <c r="F33" t="s">
        <v>73</v>
      </c>
      <c r="J33" t="s">
        <v>217</v>
      </c>
      <c r="K33">
        <v>1.5</v>
      </c>
      <c r="L33" t="s">
        <v>172</v>
      </c>
      <c r="M33" t="s">
        <v>176</v>
      </c>
      <c r="N33" t="s">
        <v>177</v>
      </c>
      <c r="S33" s="38"/>
    </row>
    <row r="34" spans="1:19" x14ac:dyDescent="0.25">
      <c r="S34" s="38"/>
    </row>
    <row r="35" spans="1:19" x14ac:dyDescent="0.25">
      <c r="A35" s="2" t="s">
        <v>12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S35" s="38"/>
    </row>
    <row r="36" spans="1:19" x14ac:dyDescent="0.25">
      <c r="S36" s="38"/>
    </row>
    <row r="37" spans="1:19" x14ac:dyDescent="0.25">
      <c r="J37" s="3" t="s">
        <v>5</v>
      </c>
      <c r="K37" s="3">
        <v>0</v>
      </c>
      <c r="L37" s="3" t="s">
        <v>6</v>
      </c>
      <c r="M37" s="3" t="s">
        <v>7</v>
      </c>
      <c r="S37" s="38"/>
    </row>
    <row r="39" spans="1:19" x14ac:dyDescent="0.25">
      <c r="C39" t="s">
        <v>113</v>
      </c>
      <c r="E39" t="s">
        <v>8</v>
      </c>
      <c r="J39" t="s">
        <v>5</v>
      </c>
      <c r="K39">
        <v>40</v>
      </c>
      <c r="L39" t="s">
        <v>6</v>
      </c>
      <c r="M39" t="s">
        <v>14</v>
      </c>
      <c r="N39" t="s">
        <v>13</v>
      </c>
    </row>
    <row r="40" spans="1:19" x14ac:dyDescent="0.25">
      <c r="C40" t="s">
        <v>113</v>
      </c>
      <c r="E40" t="s">
        <v>9</v>
      </c>
      <c r="J40" t="s">
        <v>5</v>
      </c>
      <c r="K40">
        <v>5</v>
      </c>
      <c r="L40" t="s">
        <v>6</v>
      </c>
    </row>
    <row r="41" spans="1:19" x14ac:dyDescent="0.25">
      <c r="C41" t="s">
        <v>113</v>
      </c>
      <c r="E41" t="s">
        <v>10</v>
      </c>
      <c r="J41" t="s">
        <v>5</v>
      </c>
      <c r="K41">
        <v>50</v>
      </c>
      <c r="L41" t="s">
        <v>6</v>
      </c>
    </row>
    <row r="42" spans="1:19" x14ac:dyDescent="0.25">
      <c r="C42" t="s">
        <v>113</v>
      </c>
      <c r="E42" t="s">
        <v>11</v>
      </c>
      <c r="J42" t="s">
        <v>5</v>
      </c>
      <c r="K42">
        <v>5</v>
      </c>
      <c r="L42" t="s">
        <v>6</v>
      </c>
    </row>
    <row r="44" spans="1:19" x14ac:dyDescent="0.25">
      <c r="C44" t="s">
        <v>114</v>
      </c>
      <c r="E44" t="s">
        <v>8</v>
      </c>
      <c r="J44" t="s">
        <v>5</v>
      </c>
      <c r="K44">
        <v>40</v>
      </c>
      <c r="L44" t="s">
        <v>6</v>
      </c>
      <c r="M44" t="s">
        <v>14</v>
      </c>
      <c r="N44" t="s">
        <v>13</v>
      </c>
    </row>
    <row r="45" spans="1:19" x14ac:dyDescent="0.25">
      <c r="C45" t="s">
        <v>114</v>
      </c>
      <c r="E45" t="s">
        <v>9</v>
      </c>
      <c r="J45" t="s">
        <v>5</v>
      </c>
      <c r="K45">
        <v>5</v>
      </c>
      <c r="L45" t="s">
        <v>6</v>
      </c>
    </row>
    <row r="46" spans="1:19" x14ac:dyDescent="0.25">
      <c r="C46" t="s">
        <v>114</v>
      </c>
      <c r="E46" t="s">
        <v>10</v>
      </c>
      <c r="J46" t="s">
        <v>5</v>
      </c>
      <c r="K46">
        <v>50</v>
      </c>
      <c r="L46" t="s">
        <v>6</v>
      </c>
    </row>
    <row r="47" spans="1:19" x14ac:dyDescent="0.25">
      <c r="C47" t="s">
        <v>114</v>
      </c>
      <c r="E47" t="s">
        <v>11</v>
      </c>
      <c r="J47" t="s">
        <v>5</v>
      </c>
      <c r="K47">
        <v>5</v>
      </c>
      <c r="L47" t="s">
        <v>6</v>
      </c>
    </row>
    <row r="49" spans="1:14" x14ac:dyDescent="0.25">
      <c r="C49" t="s">
        <v>115</v>
      </c>
      <c r="E49" t="s">
        <v>8</v>
      </c>
      <c r="J49" t="s">
        <v>5</v>
      </c>
      <c r="K49">
        <v>40</v>
      </c>
      <c r="L49" t="s">
        <v>6</v>
      </c>
      <c r="M49" t="s">
        <v>14</v>
      </c>
      <c r="N49" t="s">
        <v>13</v>
      </c>
    </row>
    <row r="50" spans="1:14" x14ac:dyDescent="0.25">
      <c r="C50" t="s">
        <v>115</v>
      </c>
      <c r="E50" t="s">
        <v>9</v>
      </c>
      <c r="J50" t="s">
        <v>5</v>
      </c>
      <c r="K50">
        <v>5</v>
      </c>
      <c r="L50" t="s">
        <v>6</v>
      </c>
    </row>
    <row r="51" spans="1:14" x14ac:dyDescent="0.25">
      <c r="C51" t="s">
        <v>115</v>
      </c>
      <c r="E51" t="s">
        <v>10</v>
      </c>
      <c r="J51" t="s">
        <v>5</v>
      </c>
      <c r="K51">
        <v>50</v>
      </c>
      <c r="L51" t="s">
        <v>6</v>
      </c>
    </row>
    <row r="52" spans="1:14" x14ac:dyDescent="0.25">
      <c r="C52" t="s">
        <v>115</v>
      </c>
      <c r="E52" t="s">
        <v>11</v>
      </c>
      <c r="J52" t="s">
        <v>5</v>
      </c>
      <c r="K52">
        <v>5</v>
      </c>
      <c r="L52" t="s">
        <v>6</v>
      </c>
    </row>
    <row r="54" spans="1:14" x14ac:dyDescent="0.25">
      <c r="C54" s="7" t="s">
        <v>102</v>
      </c>
      <c r="D54" s="7"/>
      <c r="E54" s="7" t="s">
        <v>10</v>
      </c>
      <c r="F54" s="7"/>
      <c r="G54" s="7"/>
      <c r="H54" s="7"/>
      <c r="I54" s="7"/>
      <c r="J54" s="7" t="s">
        <v>5</v>
      </c>
      <c r="K54" s="7">
        <v>100</v>
      </c>
      <c r="L54" s="7" t="s">
        <v>6</v>
      </c>
      <c r="M54" t="s">
        <v>155</v>
      </c>
    </row>
    <row r="56" spans="1:14" x14ac:dyDescent="0.25">
      <c r="C56" t="s">
        <v>31</v>
      </c>
      <c r="E56" t="s">
        <v>8</v>
      </c>
      <c r="J56" t="s">
        <v>5</v>
      </c>
      <c r="K56">
        <v>100</v>
      </c>
      <c r="L56" t="s">
        <v>6</v>
      </c>
    </row>
    <row r="58" spans="1:14" x14ac:dyDescent="0.25">
      <c r="C58" s="7" t="s">
        <v>127</v>
      </c>
      <c r="D58" s="7"/>
      <c r="E58" s="7" t="s">
        <v>8</v>
      </c>
      <c r="F58" s="7"/>
      <c r="G58" s="7"/>
      <c r="H58" s="7"/>
      <c r="I58" s="7"/>
      <c r="J58" s="7" t="s">
        <v>5</v>
      </c>
      <c r="K58" s="7">
        <v>100</v>
      </c>
      <c r="L58" s="7" t="s">
        <v>6</v>
      </c>
    </row>
    <row r="60" spans="1:14" x14ac:dyDescent="0.25">
      <c r="A60" s="5"/>
      <c r="B60" s="5"/>
      <c r="C60" t="s">
        <v>156</v>
      </c>
      <c r="D60" s="5"/>
      <c r="E60" t="s">
        <v>8</v>
      </c>
      <c r="F60" s="5"/>
      <c r="G60" s="5"/>
      <c r="H60" s="5"/>
      <c r="I60" s="5"/>
      <c r="J60" t="s">
        <v>5</v>
      </c>
      <c r="K60" s="7">
        <v>87</v>
      </c>
      <c r="L60" t="s">
        <v>6</v>
      </c>
      <c r="M60" s="7" t="s">
        <v>157</v>
      </c>
    </row>
    <row r="61" spans="1:14" x14ac:dyDescent="0.25">
      <c r="C61" t="s">
        <v>156</v>
      </c>
      <c r="E61" t="s">
        <v>11</v>
      </c>
      <c r="J61" t="s">
        <v>5</v>
      </c>
      <c r="K61" s="7">
        <f>100-K60</f>
        <v>13</v>
      </c>
      <c r="L61" t="s">
        <v>6</v>
      </c>
    </row>
    <row r="62" spans="1:14" x14ac:dyDescent="0.25">
      <c r="C62" t="s">
        <v>222</v>
      </c>
      <c r="E62" t="s">
        <v>11</v>
      </c>
      <c r="J62" t="s">
        <v>5</v>
      </c>
      <c r="K62" s="7">
        <v>100</v>
      </c>
      <c r="L62" t="s">
        <v>6</v>
      </c>
    </row>
    <row r="64" spans="1:14" x14ac:dyDescent="0.25">
      <c r="A64" s="5" t="s">
        <v>16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</row>
    <row r="66" spans="1:15" x14ac:dyDescent="0.25">
      <c r="A66" s="4" t="s">
        <v>15</v>
      </c>
      <c r="B66" s="4"/>
      <c r="C66" t="s">
        <v>43</v>
      </c>
      <c r="E66" t="s">
        <v>8</v>
      </c>
      <c r="J66" t="s">
        <v>5</v>
      </c>
      <c r="K66">
        <v>100</v>
      </c>
      <c r="L66" t="s">
        <v>6</v>
      </c>
    </row>
    <row r="67" spans="1:15" x14ac:dyDescent="0.25">
      <c r="A67" s="4"/>
      <c r="B67" s="4"/>
    </row>
    <row r="68" spans="1:15" x14ac:dyDescent="0.25">
      <c r="A68" s="2" t="s">
        <v>17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70" spans="1:15" x14ac:dyDescent="0.25">
      <c r="J70" s="3" t="s">
        <v>106</v>
      </c>
      <c r="K70" s="3">
        <v>0.5</v>
      </c>
      <c r="L70" s="3" t="s">
        <v>18</v>
      </c>
      <c r="M70" s="3" t="s">
        <v>7</v>
      </c>
    </row>
    <row r="72" spans="1:15" x14ac:dyDescent="0.25">
      <c r="A72" s="4"/>
      <c r="B72" s="4"/>
      <c r="C72" t="s">
        <v>113</v>
      </c>
      <c r="J72" t="s">
        <v>107</v>
      </c>
      <c r="K72">
        <v>0.33</v>
      </c>
      <c r="L72" t="s">
        <v>19</v>
      </c>
      <c r="M72" t="s">
        <v>26</v>
      </c>
      <c r="N72" t="s">
        <v>33</v>
      </c>
    </row>
    <row r="73" spans="1:15" x14ac:dyDescent="0.25">
      <c r="A73" s="4"/>
      <c r="B73" s="4"/>
      <c r="C73" t="s">
        <v>113</v>
      </c>
      <c r="J73" t="s">
        <v>108</v>
      </c>
      <c r="K73">
        <v>0.85</v>
      </c>
      <c r="L73" t="s">
        <v>20</v>
      </c>
      <c r="N73" t="s">
        <v>33</v>
      </c>
      <c r="O73" t="s">
        <v>48</v>
      </c>
    </row>
    <row r="74" spans="1:15" x14ac:dyDescent="0.25">
      <c r="C74" t="s">
        <v>113</v>
      </c>
      <c r="J74" t="s">
        <v>109</v>
      </c>
      <c r="K74">
        <v>0.46100000000000002</v>
      </c>
      <c r="L74" t="s">
        <v>29</v>
      </c>
      <c r="N74" t="s">
        <v>33</v>
      </c>
    </row>
    <row r="75" spans="1:15" x14ac:dyDescent="0.25">
      <c r="A75" s="4"/>
      <c r="B75" s="4"/>
      <c r="C75" t="s">
        <v>113</v>
      </c>
      <c r="J75" t="s">
        <v>110</v>
      </c>
      <c r="K75" s="8">
        <f>8.3/1000/0.33</f>
        <v>2.515151515151515E-2</v>
      </c>
      <c r="L75" t="s">
        <v>21</v>
      </c>
      <c r="N75" t="s">
        <v>44</v>
      </c>
    </row>
    <row r="76" spans="1:15" x14ac:dyDescent="0.25">
      <c r="A76" s="4"/>
      <c r="B76" s="4"/>
      <c r="C76" t="s">
        <v>113</v>
      </c>
      <c r="J76" t="s">
        <v>111</v>
      </c>
      <c r="K76" s="8">
        <f>1/1000/0.33</f>
        <v>3.0303030303030303E-3</v>
      </c>
      <c r="L76" t="s">
        <v>22</v>
      </c>
      <c r="N76" t="s">
        <v>44</v>
      </c>
    </row>
    <row r="77" spans="1:15" x14ac:dyDescent="0.25">
      <c r="A77" s="4"/>
      <c r="B77" s="4"/>
      <c r="C77" t="s">
        <v>113</v>
      </c>
      <c r="J77" t="s">
        <v>112</v>
      </c>
      <c r="K77" s="8">
        <f>2.6/1000/0.33</f>
        <v>7.8787878787878775E-3</v>
      </c>
      <c r="L77" t="s">
        <v>23</v>
      </c>
      <c r="N77" t="s">
        <v>44</v>
      </c>
    </row>
    <row r="79" spans="1:15" x14ac:dyDescent="0.25">
      <c r="A79" s="4"/>
      <c r="B79" s="4"/>
      <c r="C79" t="s">
        <v>114</v>
      </c>
      <c r="J79" t="s">
        <v>107</v>
      </c>
      <c r="K79">
        <v>0.15</v>
      </c>
      <c r="L79" t="s">
        <v>19</v>
      </c>
      <c r="M79" t="s">
        <v>129</v>
      </c>
      <c r="N79" t="s">
        <v>44</v>
      </c>
    </row>
    <row r="80" spans="1:15" x14ac:dyDescent="0.25">
      <c r="A80" s="4"/>
      <c r="B80" s="4"/>
      <c r="C80" t="s">
        <v>114</v>
      </c>
      <c r="J80" t="s">
        <v>108</v>
      </c>
      <c r="K80" s="10">
        <v>0.9</v>
      </c>
      <c r="L80" t="s">
        <v>20</v>
      </c>
      <c r="M80" s="7"/>
      <c r="N80" t="s">
        <v>44</v>
      </c>
    </row>
    <row r="81" spans="1:14" x14ac:dyDescent="0.25">
      <c r="C81" t="s">
        <v>114</v>
      </c>
      <c r="J81" t="s">
        <v>109</v>
      </c>
      <c r="K81" s="8">
        <v>0.55000000000000004</v>
      </c>
      <c r="L81" t="s">
        <v>29</v>
      </c>
      <c r="N81" t="s">
        <v>44</v>
      </c>
    </row>
    <row r="82" spans="1:14" x14ac:dyDescent="0.25">
      <c r="A82" s="4"/>
      <c r="B82" s="4"/>
      <c r="C82" t="s">
        <v>114</v>
      </c>
      <c r="J82" t="s">
        <v>110</v>
      </c>
      <c r="K82" s="8">
        <f>3.8/1000/0.15</f>
        <v>2.5333333333333333E-2</v>
      </c>
      <c r="L82" t="s">
        <v>21</v>
      </c>
      <c r="N82" t="s">
        <v>44</v>
      </c>
    </row>
    <row r="83" spans="1:14" x14ac:dyDescent="0.25">
      <c r="A83" s="4"/>
      <c r="B83" s="4"/>
      <c r="C83" t="s">
        <v>114</v>
      </c>
      <c r="J83" t="s">
        <v>111</v>
      </c>
      <c r="K83" s="8">
        <f>0.5/1000/0.15</f>
        <v>3.3333333333333335E-3</v>
      </c>
      <c r="L83" t="s">
        <v>22</v>
      </c>
      <c r="N83" t="s">
        <v>44</v>
      </c>
    </row>
    <row r="84" spans="1:14" x14ac:dyDescent="0.25">
      <c r="A84" s="4"/>
      <c r="B84" s="4"/>
      <c r="C84" t="s">
        <v>114</v>
      </c>
      <c r="J84" t="s">
        <v>112</v>
      </c>
      <c r="K84" s="8">
        <f>1.2/1000/0.15</f>
        <v>8.0000000000000002E-3</v>
      </c>
      <c r="L84" t="s">
        <v>23</v>
      </c>
      <c r="N84" t="s">
        <v>44</v>
      </c>
    </row>
    <row r="86" spans="1:14" x14ac:dyDescent="0.25">
      <c r="A86" s="4"/>
      <c r="B86" s="4"/>
      <c r="C86" t="s">
        <v>115</v>
      </c>
      <c r="J86" t="s">
        <v>107</v>
      </c>
      <c r="K86" s="6">
        <f t="shared" ref="K86:K91" si="1">K79</f>
        <v>0.15</v>
      </c>
      <c r="L86" t="s">
        <v>19</v>
      </c>
      <c r="M86" s="4" t="s">
        <v>27</v>
      </c>
    </row>
    <row r="87" spans="1:14" x14ac:dyDescent="0.25">
      <c r="A87" s="4"/>
      <c r="B87" s="4"/>
      <c r="C87" t="s">
        <v>115</v>
      </c>
      <c r="J87" t="s">
        <v>108</v>
      </c>
      <c r="K87" s="15">
        <f t="shared" si="1"/>
        <v>0.9</v>
      </c>
      <c r="L87" t="s">
        <v>20</v>
      </c>
    </row>
    <row r="88" spans="1:14" x14ac:dyDescent="0.25">
      <c r="A88" s="4"/>
      <c r="B88" s="4"/>
      <c r="C88" t="s">
        <v>115</v>
      </c>
      <c r="J88" t="s">
        <v>109</v>
      </c>
      <c r="K88" s="9">
        <f t="shared" si="1"/>
        <v>0.55000000000000004</v>
      </c>
      <c r="L88" t="s">
        <v>29</v>
      </c>
    </row>
    <row r="89" spans="1:14" x14ac:dyDescent="0.25">
      <c r="A89" s="4"/>
      <c r="B89" s="4"/>
      <c r="C89" t="s">
        <v>115</v>
      </c>
      <c r="J89" t="s">
        <v>110</v>
      </c>
      <c r="K89" s="9">
        <f t="shared" si="1"/>
        <v>2.5333333333333333E-2</v>
      </c>
      <c r="L89" t="s">
        <v>21</v>
      </c>
    </row>
    <row r="90" spans="1:14" x14ac:dyDescent="0.25">
      <c r="A90" s="4"/>
      <c r="B90" s="4"/>
      <c r="C90" t="s">
        <v>115</v>
      </c>
      <c r="J90" t="s">
        <v>111</v>
      </c>
      <c r="K90" s="9">
        <f t="shared" si="1"/>
        <v>3.3333333333333335E-3</v>
      </c>
      <c r="L90" t="s">
        <v>22</v>
      </c>
    </row>
    <row r="91" spans="1:14" x14ac:dyDescent="0.25">
      <c r="A91" s="4"/>
      <c r="B91" s="4"/>
      <c r="C91" t="s">
        <v>115</v>
      </c>
      <c r="J91" t="s">
        <v>112</v>
      </c>
      <c r="K91" s="9">
        <f t="shared" si="1"/>
        <v>8.0000000000000002E-3</v>
      </c>
      <c r="L91" t="s">
        <v>23</v>
      </c>
    </row>
    <row r="93" spans="1:14" x14ac:dyDescent="0.25">
      <c r="C93" t="s">
        <v>102</v>
      </c>
      <c r="J93" t="s">
        <v>107</v>
      </c>
      <c r="K93" s="6">
        <f>K100</f>
        <v>0.16</v>
      </c>
      <c r="L93" t="s">
        <v>19</v>
      </c>
      <c r="M93" t="s">
        <v>121</v>
      </c>
      <c r="N93" t="s">
        <v>44</v>
      </c>
    </row>
    <row r="94" spans="1:14" x14ac:dyDescent="0.25">
      <c r="C94" t="s">
        <v>102</v>
      </c>
      <c r="J94" t="s">
        <v>108</v>
      </c>
      <c r="K94" s="6">
        <f t="shared" ref="K94:K98" si="2">K101</f>
        <v>0.9</v>
      </c>
      <c r="L94" t="s">
        <v>20</v>
      </c>
      <c r="N94" t="s">
        <v>44</v>
      </c>
    </row>
    <row r="95" spans="1:14" x14ac:dyDescent="0.25">
      <c r="C95" t="s">
        <v>102</v>
      </c>
      <c r="J95" t="s">
        <v>109</v>
      </c>
      <c r="K95" s="6">
        <f t="shared" si="2"/>
        <v>0.434</v>
      </c>
      <c r="L95" t="s">
        <v>29</v>
      </c>
      <c r="N95" t="s">
        <v>44</v>
      </c>
    </row>
    <row r="96" spans="1:14" x14ac:dyDescent="0.25">
      <c r="C96" t="s">
        <v>102</v>
      </c>
      <c r="J96" t="s">
        <v>110</v>
      </c>
      <c r="K96" s="6">
        <f t="shared" si="2"/>
        <v>2.375E-2</v>
      </c>
      <c r="L96" t="s">
        <v>21</v>
      </c>
      <c r="N96" t="s">
        <v>44</v>
      </c>
    </row>
    <row r="97" spans="2:14" x14ac:dyDescent="0.25">
      <c r="C97" t="s">
        <v>102</v>
      </c>
      <c r="J97" t="s">
        <v>111</v>
      </c>
      <c r="K97" s="6">
        <f t="shared" si="2"/>
        <v>2.5000000000000001E-3</v>
      </c>
      <c r="L97" t="s">
        <v>22</v>
      </c>
      <c r="N97" t="s">
        <v>44</v>
      </c>
    </row>
    <row r="98" spans="2:14" x14ac:dyDescent="0.25">
      <c r="C98" t="s">
        <v>102</v>
      </c>
      <c r="J98" t="s">
        <v>112</v>
      </c>
      <c r="K98" s="6">
        <f t="shared" si="2"/>
        <v>4.3749999999999995E-3</v>
      </c>
      <c r="L98" t="s">
        <v>23</v>
      </c>
      <c r="N98" t="s">
        <v>44</v>
      </c>
    </row>
    <row r="100" spans="2:14" x14ac:dyDescent="0.25">
      <c r="B100" t="s">
        <v>122</v>
      </c>
      <c r="C100" t="s">
        <v>127</v>
      </c>
      <c r="J100" t="s">
        <v>107</v>
      </c>
      <c r="K100">
        <v>0.16</v>
      </c>
      <c r="L100" t="s">
        <v>19</v>
      </c>
      <c r="M100" t="s">
        <v>121</v>
      </c>
      <c r="N100" t="s">
        <v>44</v>
      </c>
    </row>
    <row r="101" spans="2:14" x14ac:dyDescent="0.25">
      <c r="B101" t="s">
        <v>122</v>
      </c>
      <c r="C101" t="s">
        <v>127</v>
      </c>
      <c r="J101" t="s">
        <v>108</v>
      </c>
      <c r="K101" s="16">
        <v>0.9</v>
      </c>
      <c r="L101" t="s">
        <v>20</v>
      </c>
      <c r="N101" t="s">
        <v>44</v>
      </c>
    </row>
    <row r="102" spans="2:14" x14ac:dyDescent="0.25">
      <c r="B102" t="s">
        <v>122</v>
      </c>
      <c r="C102" t="s">
        <v>127</v>
      </c>
      <c r="J102" t="s">
        <v>109</v>
      </c>
      <c r="K102">
        <v>0.434</v>
      </c>
      <c r="L102" t="s">
        <v>29</v>
      </c>
      <c r="N102" t="s">
        <v>44</v>
      </c>
    </row>
    <row r="103" spans="2:14" x14ac:dyDescent="0.25">
      <c r="B103" t="s">
        <v>122</v>
      </c>
      <c r="C103" t="s">
        <v>127</v>
      </c>
      <c r="J103" t="s">
        <v>110</v>
      </c>
      <c r="K103" s="8">
        <f>3.8/1000/0.16</f>
        <v>2.375E-2</v>
      </c>
      <c r="L103" t="s">
        <v>21</v>
      </c>
      <c r="N103" t="s">
        <v>44</v>
      </c>
    </row>
    <row r="104" spans="2:14" x14ac:dyDescent="0.25">
      <c r="B104" t="s">
        <v>122</v>
      </c>
      <c r="C104" t="s">
        <v>127</v>
      </c>
      <c r="J104" t="s">
        <v>111</v>
      </c>
      <c r="K104" s="8">
        <f>0.4/1000/0.16</f>
        <v>2.5000000000000001E-3</v>
      </c>
      <c r="L104" t="s">
        <v>22</v>
      </c>
      <c r="N104" t="s">
        <v>44</v>
      </c>
    </row>
    <row r="105" spans="2:14" x14ac:dyDescent="0.25">
      <c r="B105" t="s">
        <v>122</v>
      </c>
      <c r="C105" t="s">
        <v>127</v>
      </c>
      <c r="J105" t="s">
        <v>112</v>
      </c>
      <c r="K105" s="8">
        <f>0.7/1000/0.16</f>
        <v>4.3749999999999995E-3</v>
      </c>
      <c r="L105" t="s">
        <v>23</v>
      </c>
      <c r="N105" t="s">
        <v>44</v>
      </c>
    </row>
    <row r="107" spans="2:14" x14ac:dyDescent="0.25">
      <c r="B107" t="s">
        <v>126</v>
      </c>
      <c r="C107" t="s">
        <v>127</v>
      </c>
      <c r="J107" t="s">
        <v>107</v>
      </c>
      <c r="K107">
        <v>0.06</v>
      </c>
      <c r="L107" t="s">
        <v>19</v>
      </c>
      <c r="M107" t="s">
        <v>123</v>
      </c>
      <c r="N107" t="s">
        <v>44</v>
      </c>
    </row>
    <row r="108" spans="2:14" x14ac:dyDescent="0.25">
      <c r="B108" t="s">
        <v>126</v>
      </c>
      <c r="C108" t="s">
        <v>127</v>
      </c>
      <c r="J108" t="s">
        <v>108</v>
      </c>
      <c r="K108" s="16">
        <v>0.95</v>
      </c>
      <c r="L108" t="s">
        <v>20</v>
      </c>
      <c r="N108" t="s">
        <v>44</v>
      </c>
    </row>
    <row r="109" spans="2:14" x14ac:dyDescent="0.25">
      <c r="B109" t="s">
        <v>126</v>
      </c>
      <c r="C109" t="s">
        <v>127</v>
      </c>
      <c r="J109" t="s">
        <v>109</v>
      </c>
      <c r="K109" s="8">
        <v>0.52</v>
      </c>
      <c r="L109" t="s">
        <v>29</v>
      </c>
      <c r="N109" t="s">
        <v>44</v>
      </c>
    </row>
    <row r="110" spans="2:14" x14ac:dyDescent="0.25">
      <c r="B110" t="s">
        <v>126</v>
      </c>
      <c r="C110" t="s">
        <v>127</v>
      </c>
      <c r="J110" t="s">
        <v>110</v>
      </c>
      <c r="K110" s="8">
        <f>3.5/1000/0.06</f>
        <v>5.8333333333333334E-2</v>
      </c>
      <c r="L110" t="s">
        <v>21</v>
      </c>
      <c r="N110" t="s">
        <v>44</v>
      </c>
    </row>
    <row r="111" spans="2:14" x14ac:dyDescent="0.25">
      <c r="B111" t="s">
        <v>126</v>
      </c>
      <c r="C111" t="s">
        <v>127</v>
      </c>
      <c r="J111" t="s">
        <v>111</v>
      </c>
      <c r="K111" s="8">
        <f>0.3/1000/0.06</f>
        <v>5.0000000000000001E-3</v>
      </c>
      <c r="L111" t="s">
        <v>22</v>
      </c>
      <c r="N111" t="s">
        <v>44</v>
      </c>
    </row>
    <row r="112" spans="2:14" x14ac:dyDescent="0.25">
      <c r="B112" t="s">
        <v>126</v>
      </c>
      <c r="C112" t="s">
        <v>127</v>
      </c>
      <c r="J112" t="s">
        <v>112</v>
      </c>
      <c r="K112" s="8">
        <f>0.6/1000/0.06</f>
        <v>0.01</v>
      </c>
      <c r="L112" t="s">
        <v>23</v>
      </c>
      <c r="N112" t="s">
        <v>44</v>
      </c>
    </row>
    <row r="114" spans="1:14" x14ac:dyDescent="0.25">
      <c r="B114" t="s">
        <v>125</v>
      </c>
      <c r="C114" t="s">
        <v>127</v>
      </c>
      <c r="J114" t="s">
        <v>107</v>
      </c>
      <c r="K114">
        <v>7.0000000000000007E-2</v>
      </c>
      <c r="L114" t="s">
        <v>19</v>
      </c>
      <c r="M114" t="s">
        <v>124</v>
      </c>
      <c r="N114" t="s">
        <v>44</v>
      </c>
    </row>
    <row r="115" spans="1:14" x14ac:dyDescent="0.25">
      <c r="B115" t="s">
        <v>125</v>
      </c>
      <c r="C115" t="s">
        <v>127</v>
      </c>
      <c r="J115" t="s">
        <v>108</v>
      </c>
      <c r="K115" s="16">
        <v>0.97</v>
      </c>
      <c r="L115" t="s">
        <v>20</v>
      </c>
      <c r="N115" t="s">
        <v>44</v>
      </c>
    </row>
    <row r="116" spans="1:14" x14ac:dyDescent="0.25">
      <c r="B116" t="s">
        <v>125</v>
      </c>
      <c r="C116" t="s">
        <v>127</v>
      </c>
      <c r="J116" t="s">
        <v>109</v>
      </c>
      <c r="K116">
        <v>0.32300000000000001</v>
      </c>
      <c r="L116" t="s">
        <v>29</v>
      </c>
      <c r="N116" t="s">
        <v>44</v>
      </c>
    </row>
    <row r="117" spans="1:14" x14ac:dyDescent="0.25">
      <c r="B117" t="s">
        <v>125</v>
      </c>
      <c r="C117" t="s">
        <v>127</v>
      </c>
      <c r="J117" t="s">
        <v>110</v>
      </c>
      <c r="K117" s="8">
        <f>3.7/1000/0.07</f>
        <v>5.2857142857142853E-2</v>
      </c>
      <c r="L117" t="s">
        <v>21</v>
      </c>
      <c r="N117" t="s">
        <v>44</v>
      </c>
    </row>
    <row r="118" spans="1:14" x14ac:dyDescent="0.25">
      <c r="B118" t="s">
        <v>125</v>
      </c>
      <c r="C118" t="s">
        <v>127</v>
      </c>
      <c r="J118" t="s">
        <v>111</v>
      </c>
      <c r="K118" s="8">
        <f>0.3/1000/0.07</f>
        <v>4.2857142857142851E-3</v>
      </c>
      <c r="L118" t="s">
        <v>22</v>
      </c>
      <c r="N118" t="s">
        <v>44</v>
      </c>
    </row>
    <row r="119" spans="1:14" x14ac:dyDescent="0.25">
      <c r="B119" t="s">
        <v>125</v>
      </c>
      <c r="C119" t="s">
        <v>127</v>
      </c>
      <c r="J119" t="s">
        <v>112</v>
      </c>
      <c r="K119" s="8">
        <f>0.5/1000/0.07</f>
        <v>7.1428571428571426E-3</v>
      </c>
      <c r="L119" t="s">
        <v>23</v>
      </c>
      <c r="N119" t="s">
        <v>44</v>
      </c>
    </row>
    <row r="121" spans="1:14" x14ac:dyDescent="0.25">
      <c r="B121" t="s">
        <v>128</v>
      </c>
      <c r="C121" t="s">
        <v>127</v>
      </c>
      <c r="J121" t="s">
        <v>107</v>
      </c>
      <c r="K121" s="6">
        <f>K79</f>
        <v>0.15</v>
      </c>
      <c r="L121" t="s">
        <v>19</v>
      </c>
      <c r="M121" s="4" t="s">
        <v>27</v>
      </c>
    </row>
    <row r="122" spans="1:14" x14ac:dyDescent="0.25">
      <c r="B122" t="s">
        <v>128</v>
      </c>
      <c r="C122" t="s">
        <v>127</v>
      </c>
      <c r="J122" t="s">
        <v>108</v>
      </c>
      <c r="K122" s="6">
        <f t="shared" ref="K122:K126" si="3">K80</f>
        <v>0.9</v>
      </c>
      <c r="L122" t="s">
        <v>20</v>
      </c>
    </row>
    <row r="123" spans="1:14" x14ac:dyDescent="0.25">
      <c r="B123" t="s">
        <v>128</v>
      </c>
      <c r="C123" t="s">
        <v>127</v>
      </c>
      <c r="J123" t="s">
        <v>109</v>
      </c>
      <c r="K123" s="9">
        <f t="shared" si="3"/>
        <v>0.55000000000000004</v>
      </c>
      <c r="L123" t="s">
        <v>29</v>
      </c>
    </row>
    <row r="124" spans="1:14" x14ac:dyDescent="0.25">
      <c r="B124" t="s">
        <v>128</v>
      </c>
      <c r="C124" t="s">
        <v>127</v>
      </c>
      <c r="J124" t="s">
        <v>110</v>
      </c>
      <c r="K124" s="9">
        <f t="shared" si="3"/>
        <v>2.5333333333333333E-2</v>
      </c>
      <c r="L124" t="s">
        <v>21</v>
      </c>
    </row>
    <row r="125" spans="1:14" x14ac:dyDescent="0.25">
      <c r="B125" t="s">
        <v>128</v>
      </c>
      <c r="C125" t="s">
        <v>127</v>
      </c>
      <c r="J125" t="s">
        <v>111</v>
      </c>
      <c r="K125" s="9">
        <f t="shared" si="3"/>
        <v>3.3333333333333335E-3</v>
      </c>
      <c r="L125" t="s">
        <v>22</v>
      </c>
    </row>
    <row r="126" spans="1:14" x14ac:dyDescent="0.25">
      <c r="B126" t="s">
        <v>128</v>
      </c>
      <c r="C126" t="s">
        <v>127</v>
      </c>
      <c r="J126" t="s">
        <v>112</v>
      </c>
      <c r="K126" s="9">
        <f t="shared" si="3"/>
        <v>8.0000000000000002E-3</v>
      </c>
      <c r="L126" t="s">
        <v>23</v>
      </c>
    </row>
    <row r="128" spans="1:14" x14ac:dyDescent="0.25">
      <c r="A128" s="4" t="s">
        <v>15</v>
      </c>
      <c r="B128" s="4"/>
      <c r="C128" t="s">
        <v>43</v>
      </c>
      <c r="J128" t="s">
        <v>107</v>
      </c>
      <c r="K128">
        <v>1</v>
      </c>
      <c r="L128" t="s">
        <v>19</v>
      </c>
    </row>
    <row r="129" spans="1:14" x14ac:dyDescent="0.25">
      <c r="A129" s="4" t="s">
        <v>15</v>
      </c>
      <c r="B129" s="4"/>
      <c r="C129" t="s">
        <v>43</v>
      </c>
      <c r="J129" t="s">
        <v>108</v>
      </c>
      <c r="K129">
        <v>0.88</v>
      </c>
      <c r="L129" t="s">
        <v>20</v>
      </c>
      <c r="N129" t="s">
        <v>33</v>
      </c>
    </row>
    <row r="130" spans="1:14" x14ac:dyDescent="0.25">
      <c r="A130" s="4" t="s">
        <v>15</v>
      </c>
      <c r="B130" s="4"/>
      <c r="C130" t="s">
        <v>43</v>
      </c>
      <c r="J130" t="s">
        <v>109</v>
      </c>
      <c r="K130" s="8">
        <v>0.3</v>
      </c>
      <c r="L130" t="s">
        <v>29</v>
      </c>
      <c r="N130" t="s">
        <v>33</v>
      </c>
    </row>
    <row r="131" spans="1:14" x14ac:dyDescent="0.25">
      <c r="A131" s="4" t="s">
        <v>15</v>
      </c>
      <c r="B131" s="4"/>
      <c r="C131" t="s">
        <v>43</v>
      </c>
      <c r="J131" t="s">
        <v>110</v>
      </c>
      <c r="K131" s="4">
        <f>2.1/100</f>
        <v>2.1000000000000001E-2</v>
      </c>
      <c r="L131" t="s">
        <v>21</v>
      </c>
      <c r="N131" t="s">
        <v>47</v>
      </c>
    </row>
    <row r="132" spans="1:14" x14ac:dyDescent="0.25">
      <c r="A132" s="4" t="s">
        <v>15</v>
      </c>
      <c r="B132" s="4"/>
      <c r="C132" t="s">
        <v>43</v>
      </c>
      <c r="J132" t="s">
        <v>111</v>
      </c>
      <c r="K132" s="11">
        <f>0.27/100</f>
        <v>2.7000000000000001E-3</v>
      </c>
      <c r="L132" t="s">
        <v>22</v>
      </c>
      <c r="N132" t="s">
        <v>47</v>
      </c>
    </row>
    <row r="133" spans="1:14" x14ac:dyDescent="0.25">
      <c r="A133" s="4" t="s">
        <v>15</v>
      </c>
      <c r="B133" s="4"/>
      <c r="C133" t="s">
        <v>43</v>
      </c>
      <c r="J133" t="s">
        <v>112</v>
      </c>
      <c r="K133" s="11">
        <f>2.34/100</f>
        <v>2.3399999999999997E-2</v>
      </c>
      <c r="L133" t="s">
        <v>23</v>
      </c>
      <c r="N133" t="s">
        <v>47</v>
      </c>
    </row>
    <row r="134" spans="1:14" x14ac:dyDescent="0.25">
      <c r="A134" s="4"/>
      <c r="B134" s="4"/>
      <c r="K134" s="11"/>
    </row>
    <row r="135" spans="1:14" x14ac:dyDescent="0.25">
      <c r="A135" s="4"/>
      <c r="B135" s="4"/>
      <c r="C135" t="s">
        <v>156</v>
      </c>
      <c r="J135" t="s">
        <v>109</v>
      </c>
      <c r="K135" s="11">
        <v>0.34300000000000003</v>
      </c>
      <c r="L135" t="s">
        <v>29</v>
      </c>
      <c r="M135" t="s">
        <v>218</v>
      </c>
      <c r="N135" t="s">
        <v>44</v>
      </c>
    </row>
    <row r="136" spans="1:14" x14ac:dyDescent="0.25">
      <c r="A136" s="4"/>
      <c r="B136" s="4"/>
      <c r="K136" s="11"/>
    </row>
    <row r="137" spans="1:14" x14ac:dyDescent="0.25">
      <c r="A137" s="2" t="s">
        <v>55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</row>
    <row r="139" spans="1:14" x14ac:dyDescent="0.25">
      <c r="A139" s="4"/>
      <c r="B139" s="4"/>
      <c r="J139" t="s">
        <v>56</v>
      </c>
      <c r="K139" s="11">
        <v>0.71750000000000003</v>
      </c>
      <c r="L139" t="s">
        <v>57</v>
      </c>
      <c r="N139" t="s">
        <v>41</v>
      </c>
    </row>
    <row r="140" spans="1:14" x14ac:dyDescent="0.25">
      <c r="A140" s="4"/>
      <c r="B140" s="4"/>
      <c r="J140" t="s">
        <v>58</v>
      </c>
      <c r="K140" s="11">
        <v>1.9496</v>
      </c>
      <c r="L140" t="s">
        <v>57</v>
      </c>
      <c r="N140" t="s">
        <v>41</v>
      </c>
    </row>
    <row r="141" spans="1:14" x14ac:dyDescent="0.25">
      <c r="A141" s="4"/>
      <c r="B141" s="4"/>
      <c r="J141" t="s">
        <v>96</v>
      </c>
      <c r="K141" s="13">
        <f>50*(1/3.6)</f>
        <v>13.888888888888889</v>
      </c>
      <c r="L141" t="s">
        <v>92</v>
      </c>
      <c r="M141" t="s">
        <v>91</v>
      </c>
      <c r="N141" t="s">
        <v>41</v>
      </c>
    </row>
    <row r="143" spans="1:14" x14ac:dyDescent="0.25">
      <c r="A143" s="18" t="s">
        <v>24</v>
      </c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</row>
    <row r="144" spans="1:14" x14ac:dyDescent="0.25">
      <c r="A144" s="5" t="s">
        <v>85</v>
      </c>
    </row>
    <row r="145" spans="1:14" x14ac:dyDescent="0.25">
      <c r="J145" t="s">
        <v>30</v>
      </c>
      <c r="K145" s="4">
        <v>90</v>
      </c>
      <c r="L145" s="4" t="s">
        <v>6</v>
      </c>
      <c r="M145" s="4" t="s">
        <v>46</v>
      </c>
      <c r="N145" t="s">
        <v>44</v>
      </c>
    </row>
    <row r="146" spans="1:14" x14ac:dyDescent="0.25">
      <c r="J146" t="s">
        <v>36</v>
      </c>
      <c r="K146" s="4">
        <v>0.22</v>
      </c>
      <c r="L146" s="4" t="s">
        <v>37</v>
      </c>
      <c r="M146" s="7"/>
      <c r="N146" t="s">
        <v>53</v>
      </c>
    </row>
    <row r="147" spans="1:14" x14ac:dyDescent="0.25">
      <c r="J147" t="s">
        <v>34</v>
      </c>
      <c r="K147" s="4">
        <v>3.4</v>
      </c>
      <c r="L147" s="4" t="s">
        <v>37</v>
      </c>
      <c r="M147" s="7"/>
      <c r="N147" t="s">
        <v>76</v>
      </c>
    </row>
    <row r="148" spans="1:14" x14ac:dyDescent="0.25">
      <c r="J148" t="s">
        <v>35</v>
      </c>
      <c r="K148" s="4">
        <v>5</v>
      </c>
      <c r="L148" s="4" t="s">
        <v>38</v>
      </c>
      <c r="M148" s="7"/>
      <c r="N148" t="s">
        <v>53</v>
      </c>
    </row>
    <row r="149" spans="1:14" x14ac:dyDescent="0.25">
      <c r="A149" s="5" t="s">
        <v>86</v>
      </c>
      <c r="K149" s="4"/>
      <c r="L149" s="4"/>
      <c r="M149" s="7"/>
    </row>
    <row r="150" spans="1:14" x14ac:dyDescent="0.25">
      <c r="I150" t="s">
        <v>78</v>
      </c>
      <c r="J150" t="s">
        <v>80</v>
      </c>
      <c r="K150" s="4">
        <v>0.61</v>
      </c>
      <c r="L150" s="4" t="s">
        <v>39</v>
      </c>
      <c r="M150" s="4" t="s">
        <v>40</v>
      </c>
      <c r="N150" t="s">
        <v>41</v>
      </c>
    </row>
    <row r="151" spans="1:14" x14ac:dyDescent="0.25">
      <c r="I151" t="s">
        <v>79</v>
      </c>
      <c r="J151" t="s">
        <v>80</v>
      </c>
      <c r="K151" s="4">
        <v>0.99</v>
      </c>
      <c r="L151" s="4" t="s">
        <v>39</v>
      </c>
      <c r="M151" s="7"/>
      <c r="N151" t="s">
        <v>41</v>
      </c>
    </row>
    <row r="152" spans="1:14" x14ac:dyDescent="0.25">
      <c r="A152" s="5" t="s">
        <v>88</v>
      </c>
    </row>
    <row r="153" spans="1:14" x14ac:dyDescent="0.25">
      <c r="C153" t="s">
        <v>113</v>
      </c>
      <c r="J153" t="s">
        <v>25</v>
      </c>
      <c r="K153">
        <v>63</v>
      </c>
      <c r="L153" t="s">
        <v>54</v>
      </c>
      <c r="N153" t="s">
        <v>33</v>
      </c>
    </row>
    <row r="154" spans="1:14" x14ac:dyDescent="0.25">
      <c r="C154" t="s">
        <v>114</v>
      </c>
      <c r="J154" t="s">
        <v>25</v>
      </c>
      <c r="K154">
        <v>59</v>
      </c>
      <c r="L154" t="s">
        <v>54</v>
      </c>
      <c r="N154" t="s">
        <v>33</v>
      </c>
    </row>
    <row r="155" spans="1:14" x14ac:dyDescent="0.25">
      <c r="C155" t="s">
        <v>115</v>
      </c>
      <c r="J155" t="s">
        <v>25</v>
      </c>
      <c r="K155" s="6">
        <f>K154</f>
        <v>59</v>
      </c>
      <c r="L155" t="s">
        <v>54</v>
      </c>
      <c r="M155" s="7" t="s">
        <v>27</v>
      </c>
    </row>
    <row r="156" spans="1:14" x14ac:dyDescent="0.25">
      <c r="C156" t="s">
        <v>102</v>
      </c>
      <c r="J156" t="s">
        <v>25</v>
      </c>
      <c r="K156" s="6">
        <f>K157</f>
        <v>65</v>
      </c>
      <c r="L156" t="s">
        <v>54</v>
      </c>
      <c r="M156" s="7"/>
    </row>
    <row r="157" spans="1:14" x14ac:dyDescent="0.25">
      <c r="B157" t="s">
        <v>122</v>
      </c>
      <c r="C157" t="s">
        <v>127</v>
      </c>
      <c r="J157" t="s">
        <v>25</v>
      </c>
      <c r="K157" s="4">
        <v>65</v>
      </c>
      <c r="L157" t="s">
        <v>54</v>
      </c>
      <c r="M157" s="7"/>
      <c r="N157" t="s">
        <v>44</v>
      </c>
    </row>
    <row r="158" spans="1:14" x14ac:dyDescent="0.25">
      <c r="B158" t="s">
        <v>126</v>
      </c>
      <c r="C158" t="s">
        <v>127</v>
      </c>
      <c r="J158" t="s">
        <v>25</v>
      </c>
      <c r="K158" s="4">
        <v>65</v>
      </c>
      <c r="L158" t="s">
        <v>54</v>
      </c>
      <c r="M158" s="7"/>
      <c r="N158" t="s">
        <v>44</v>
      </c>
    </row>
    <row r="159" spans="1:14" x14ac:dyDescent="0.25">
      <c r="B159" t="s">
        <v>125</v>
      </c>
      <c r="C159" t="s">
        <v>127</v>
      </c>
      <c r="J159" t="s">
        <v>25</v>
      </c>
      <c r="K159" s="4">
        <v>65</v>
      </c>
      <c r="L159" t="s">
        <v>54</v>
      </c>
      <c r="M159" s="7"/>
      <c r="N159" t="s">
        <v>44</v>
      </c>
    </row>
    <row r="160" spans="1:14" x14ac:dyDescent="0.25">
      <c r="B160" t="s">
        <v>128</v>
      </c>
      <c r="C160" t="s">
        <v>127</v>
      </c>
      <c r="J160" t="s">
        <v>25</v>
      </c>
      <c r="K160" s="6">
        <f>K154</f>
        <v>59</v>
      </c>
      <c r="L160" t="s">
        <v>54</v>
      </c>
      <c r="M160" s="7" t="s">
        <v>27</v>
      </c>
    </row>
    <row r="161" spans="1:14" x14ac:dyDescent="0.25">
      <c r="A161" s="4" t="s">
        <v>15</v>
      </c>
      <c r="B161" s="4"/>
      <c r="C161" t="s">
        <v>43</v>
      </c>
      <c r="J161" t="s">
        <v>25</v>
      </c>
      <c r="K161">
        <v>56</v>
      </c>
      <c r="L161" t="s">
        <v>54</v>
      </c>
      <c r="M161" t="s">
        <v>62</v>
      </c>
      <c r="N161" t="s">
        <v>33</v>
      </c>
    </row>
    <row r="162" spans="1:14" x14ac:dyDescent="0.25">
      <c r="C162" t="s">
        <v>31</v>
      </c>
      <c r="J162" t="s">
        <v>25</v>
      </c>
      <c r="K162" s="4">
        <v>65</v>
      </c>
      <c r="L162" t="s">
        <v>54</v>
      </c>
      <c r="M162" t="s">
        <v>61</v>
      </c>
      <c r="N162" t="s">
        <v>33</v>
      </c>
    </row>
    <row r="163" spans="1:14" x14ac:dyDescent="0.25">
      <c r="C163" t="s">
        <v>156</v>
      </c>
      <c r="J163" t="s">
        <v>25</v>
      </c>
      <c r="K163" s="4">
        <v>65</v>
      </c>
      <c r="L163" t="s">
        <v>54</v>
      </c>
      <c r="N163" t="s">
        <v>44</v>
      </c>
    </row>
    <row r="164" spans="1:14" x14ac:dyDescent="0.25">
      <c r="A164" s="5" t="s">
        <v>87</v>
      </c>
      <c r="K164" s="4"/>
      <c r="L164" s="4"/>
      <c r="M164" s="7"/>
    </row>
    <row r="165" spans="1:14" x14ac:dyDescent="0.25">
      <c r="H165" t="s">
        <v>84</v>
      </c>
      <c r="J165" t="s">
        <v>81</v>
      </c>
      <c r="K165" s="13">
        <f>1041/(50+3+1041)*100</f>
        <v>95.155393053016454</v>
      </c>
      <c r="L165" s="4" t="s">
        <v>6</v>
      </c>
      <c r="M165" s="4" t="s">
        <v>90</v>
      </c>
      <c r="N165" t="s">
        <v>116</v>
      </c>
    </row>
    <row r="166" spans="1:14" x14ac:dyDescent="0.25">
      <c r="H166" t="s">
        <v>79</v>
      </c>
      <c r="J166" t="s">
        <v>81</v>
      </c>
      <c r="K166" s="12">
        <f>50/(50+3+1041)*100</f>
        <v>4.5703839122486292</v>
      </c>
      <c r="L166" s="4" t="s">
        <v>6</v>
      </c>
      <c r="M166" s="4"/>
      <c r="N166" t="s">
        <v>116</v>
      </c>
    </row>
    <row r="167" spans="1:14" x14ac:dyDescent="0.25">
      <c r="H167" t="s">
        <v>78</v>
      </c>
      <c r="J167" t="s">
        <v>81</v>
      </c>
      <c r="K167" s="12">
        <f>3/(50+3+1041)*100</f>
        <v>0.27422303473491771</v>
      </c>
      <c r="L167" s="4" t="s">
        <v>6</v>
      </c>
      <c r="M167" s="4"/>
      <c r="N167" t="s">
        <v>116</v>
      </c>
    </row>
    <row r="168" spans="1:14" x14ac:dyDescent="0.25">
      <c r="A168" s="5" t="s">
        <v>94</v>
      </c>
      <c r="K168" s="4"/>
      <c r="L168" s="4"/>
      <c r="M168" s="4"/>
    </row>
    <row r="169" spans="1:14" x14ac:dyDescent="0.25">
      <c r="A169" s="14"/>
      <c r="B169" s="3"/>
      <c r="C169" s="3"/>
      <c r="D169" s="3"/>
      <c r="E169" s="3"/>
      <c r="F169" s="3"/>
      <c r="G169" s="3"/>
      <c r="H169" s="3"/>
      <c r="I169" s="3"/>
      <c r="J169" s="3" t="s">
        <v>82</v>
      </c>
      <c r="K169" s="3">
        <v>0</v>
      </c>
      <c r="L169" s="3" t="s">
        <v>6</v>
      </c>
      <c r="M169" s="3" t="s">
        <v>93</v>
      </c>
    </row>
    <row r="170" spans="1:14" x14ac:dyDescent="0.25">
      <c r="A170" s="14"/>
      <c r="B170" s="3"/>
      <c r="C170" s="3"/>
      <c r="D170" s="3"/>
      <c r="E170" s="3"/>
      <c r="F170" s="3"/>
      <c r="G170" s="3"/>
      <c r="H170" s="3"/>
      <c r="I170" s="3"/>
      <c r="J170" s="3" t="s">
        <v>83</v>
      </c>
      <c r="K170" s="3">
        <v>0</v>
      </c>
      <c r="L170" s="3" t="s">
        <v>97</v>
      </c>
      <c r="M170" s="3" t="s">
        <v>93</v>
      </c>
    </row>
    <row r="171" spans="1:14" x14ac:dyDescent="0.25">
      <c r="H171" t="s">
        <v>84</v>
      </c>
      <c r="J171" t="s">
        <v>82</v>
      </c>
      <c r="K171" s="4">
        <v>0.5</v>
      </c>
      <c r="L171" s="4" t="s">
        <v>100</v>
      </c>
      <c r="M171" s="7"/>
      <c r="N171" t="s">
        <v>53</v>
      </c>
    </row>
    <row r="172" spans="1:14" x14ac:dyDescent="0.25">
      <c r="H172" t="s">
        <v>84</v>
      </c>
      <c r="I172" t="s">
        <v>78</v>
      </c>
      <c r="J172" t="s">
        <v>83</v>
      </c>
      <c r="K172" s="10">
        <f>0.9 * (1/3.6) / 0.6 / 0.718</f>
        <v>0.5803156917363046</v>
      </c>
      <c r="L172" s="4" t="s">
        <v>98</v>
      </c>
      <c r="M172" s="4" t="s">
        <v>99</v>
      </c>
      <c r="N172" t="s">
        <v>53</v>
      </c>
    </row>
    <row r="173" spans="1:14" x14ac:dyDescent="0.25">
      <c r="A173" s="5" t="s">
        <v>89</v>
      </c>
      <c r="K173" s="4"/>
      <c r="L173" s="4"/>
      <c r="M173" s="7"/>
    </row>
    <row r="174" spans="1:14" x14ac:dyDescent="0.25">
      <c r="J174" t="s">
        <v>49</v>
      </c>
      <c r="K174" s="49">
        <f>238/0.74/1000</f>
        <v>0.32162162162162161</v>
      </c>
      <c r="L174" s="4" t="s">
        <v>29</v>
      </c>
      <c r="M174" s="7" t="s">
        <v>220</v>
      </c>
      <c r="N174" t="s">
        <v>53</v>
      </c>
    </row>
    <row r="175" spans="1:14" x14ac:dyDescent="0.25">
      <c r="J175" t="s">
        <v>59</v>
      </c>
      <c r="K175" s="12">
        <v>1.5</v>
      </c>
      <c r="L175" s="4" t="s">
        <v>60</v>
      </c>
      <c r="M175" s="7"/>
      <c r="N175" t="s">
        <v>53</v>
      </c>
    </row>
    <row r="176" spans="1:14" x14ac:dyDescent="0.25">
      <c r="J176" t="s">
        <v>50</v>
      </c>
      <c r="K176" s="13">
        <v>60</v>
      </c>
      <c r="L176" s="4" t="s">
        <v>51</v>
      </c>
      <c r="M176" s="7"/>
      <c r="N176" t="s">
        <v>53</v>
      </c>
    </row>
    <row r="178" spans="1:14" x14ac:dyDescent="0.25">
      <c r="J178" s="3" t="s">
        <v>66</v>
      </c>
      <c r="K178" s="3">
        <v>0</v>
      </c>
      <c r="L178" s="3"/>
      <c r="M178" s="3" t="s">
        <v>93</v>
      </c>
    </row>
    <row r="179" spans="1:14" x14ac:dyDescent="0.25">
      <c r="F179" t="s">
        <v>65</v>
      </c>
      <c r="G179" t="s">
        <v>67</v>
      </c>
      <c r="J179" t="s">
        <v>66</v>
      </c>
      <c r="K179">
        <v>2.75</v>
      </c>
      <c r="L179" t="s">
        <v>51</v>
      </c>
      <c r="M179" t="s">
        <v>120</v>
      </c>
      <c r="N179" t="s">
        <v>119</v>
      </c>
    </row>
    <row r="180" spans="1:14" x14ac:dyDescent="0.25">
      <c r="F180" t="s">
        <v>65</v>
      </c>
      <c r="G180" t="s">
        <v>68</v>
      </c>
      <c r="J180" t="s">
        <v>66</v>
      </c>
      <c r="K180">
        <v>0</v>
      </c>
      <c r="L180" t="s">
        <v>71</v>
      </c>
    </row>
    <row r="181" spans="1:14" x14ac:dyDescent="0.25">
      <c r="F181" t="s">
        <v>65</v>
      </c>
      <c r="G181" t="s">
        <v>69</v>
      </c>
      <c r="J181" t="s">
        <v>66</v>
      </c>
      <c r="K181">
        <v>0</v>
      </c>
      <c r="L181" t="s">
        <v>51</v>
      </c>
    </row>
    <row r="182" spans="1:14" x14ac:dyDescent="0.25">
      <c r="F182" t="s">
        <v>65</v>
      </c>
      <c r="G182" t="s">
        <v>70</v>
      </c>
      <c r="J182" t="s">
        <v>66</v>
      </c>
      <c r="K182">
        <v>0</v>
      </c>
      <c r="L182" t="s">
        <v>71</v>
      </c>
      <c r="N182" t="s">
        <v>118</v>
      </c>
    </row>
    <row r="184" spans="1:14" x14ac:dyDescent="0.25">
      <c r="F184" t="s">
        <v>72</v>
      </c>
      <c r="G184" t="s">
        <v>72</v>
      </c>
      <c r="J184" t="s">
        <v>66</v>
      </c>
      <c r="K184">
        <v>0</v>
      </c>
      <c r="L184" t="s">
        <v>74</v>
      </c>
    </row>
    <row r="185" spans="1:14" x14ac:dyDescent="0.25">
      <c r="F185" t="s">
        <v>73</v>
      </c>
      <c r="G185" t="s">
        <v>73</v>
      </c>
      <c r="J185" t="s">
        <v>66</v>
      </c>
      <c r="K185">
        <v>0</v>
      </c>
      <c r="L185" t="s">
        <v>75</v>
      </c>
    </row>
    <row r="187" spans="1:14" x14ac:dyDescent="0.25">
      <c r="A187" s="28" t="s">
        <v>219</v>
      </c>
    </row>
    <row r="188" spans="1:14" x14ac:dyDescent="0.25">
      <c r="J188" t="s">
        <v>223</v>
      </c>
      <c r="K188">
        <v>100</v>
      </c>
      <c r="L188" t="s">
        <v>6</v>
      </c>
      <c r="N188" t="s">
        <v>221</v>
      </c>
    </row>
    <row r="189" spans="1:14" x14ac:dyDescent="0.25">
      <c r="C189" t="s">
        <v>156</v>
      </c>
      <c r="J189" t="s">
        <v>223</v>
      </c>
      <c r="K189">
        <v>47</v>
      </c>
      <c r="L189" t="s">
        <v>6</v>
      </c>
      <c r="N189" t="s">
        <v>221</v>
      </c>
    </row>
    <row r="191" spans="1:14" x14ac:dyDescent="0.25">
      <c r="A191" s="17" t="s">
        <v>130</v>
      </c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</row>
    <row r="193" spans="1:14" x14ac:dyDescent="0.25">
      <c r="J193" t="s">
        <v>134</v>
      </c>
      <c r="K193" s="19">
        <f>2.5/0.33/0.85</f>
        <v>8.9126559714795004</v>
      </c>
      <c r="L193" t="s">
        <v>132</v>
      </c>
      <c r="M193" t="s">
        <v>131</v>
      </c>
    </row>
    <row r="195" spans="1:14" x14ac:dyDescent="0.25">
      <c r="J195" s="3" t="s">
        <v>133</v>
      </c>
      <c r="K195" s="3">
        <v>0</v>
      </c>
      <c r="L195" s="3" t="s">
        <v>97</v>
      </c>
      <c r="M195" s="3" t="s">
        <v>93</v>
      </c>
    </row>
    <row r="196" spans="1:14" x14ac:dyDescent="0.25">
      <c r="H196" t="s">
        <v>78</v>
      </c>
      <c r="J196" t="s">
        <v>133</v>
      </c>
      <c r="K196" s="8">
        <f>0.94*0.184</f>
        <v>0.17295999999999997</v>
      </c>
      <c r="L196" t="s">
        <v>97</v>
      </c>
      <c r="N196" t="s">
        <v>141</v>
      </c>
    </row>
    <row r="197" spans="1:14" x14ac:dyDescent="0.25">
      <c r="H197" t="s">
        <v>79</v>
      </c>
      <c r="J197" t="s">
        <v>133</v>
      </c>
      <c r="K197" s="8">
        <f>0.94*0.816</f>
        <v>0.76703999999999994</v>
      </c>
      <c r="L197" t="s">
        <v>97</v>
      </c>
      <c r="N197" t="s">
        <v>141</v>
      </c>
    </row>
    <row r="199" spans="1:14" x14ac:dyDescent="0.25">
      <c r="J199" s="3" t="s">
        <v>135</v>
      </c>
      <c r="K199" s="3">
        <v>0</v>
      </c>
      <c r="L199" s="3" t="s">
        <v>136</v>
      </c>
      <c r="M199" s="3" t="s">
        <v>93</v>
      </c>
    </row>
    <row r="200" spans="1:14" x14ac:dyDescent="0.25">
      <c r="F200" t="s">
        <v>142</v>
      </c>
      <c r="G200" t="s">
        <v>143</v>
      </c>
      <c r="J200" t="s">
        <v>135</v>
      </c>
      <c r="K200" s="20">
        <f>(0.00234-0.000502)/1000/(1/3.6)</f>
        <v>6.6168000000000008E-6</v>
      </c>
      <c r="L200" t="s">
        <v>136</v>
      </c>
      <c r="N200" t="s">
        <v>140</v>
      </c>
    </row>
    <row r="201" spans="1:14" x14ac:dyDescent="0.25">
      <c r="F201" t="s">
        <v>65</v>
      </c>
      <c r="G201" t="s">
        <v>137</v>
      </c>
      <c r="J201" t="s">
        <v>135</v>
      </c>
      <c r="K201" s="20">
        <f>(0.000364 -0.00000236)/1000/(1/3.6)</f>
        <v>1.3019039999999999E-6</v>
      </c>
      <c r="L201" t="s">
        <v>136</v>
      </c>
      <c r="N201" t="s">
        <v>140</v>
      </c>
    </row>
    <row r="202" spans="1:14" x14ac:dyDescent="0.25">
      <c r="F202" t="s">
        <v>65</v>
      </c>
      <c r="G202" t="s">
        <v>138</v>
      </c>
      <c r="J202" t="s">
        <v>135</v>
      </c>
      <c r="K202" s="20">
        <f>(0.0376-0.00437)/1000/(1/3.6)</f>
        <v>1.1962800000000001E-4</v>
      </c>
      <c r="L202" t="s">
        <v>136</v>
      </c>
      <c r="N202" t="s">
        <v>140</v>
      </c>
    </row>
    <row r="203" spans="1:14" x14ac:dyDescent="0.25">
      <c r="F203" t="s">
        <v>65</v>
      </c>
      <c r="G203" t="s">
        <v>139</v>
      </c>
      <c r="J203" t="s">
        <v>135</v>
      </c>
      <c r="K203" s="20">
        <f>(0.00171-0.00000236)/1000/(1/3.6)</f>
        <v>6.1475039999999993E-6</v>
      </c>
      <c r="L203" t="s">
        <v>136</v>
      </c>
      <c r="N203" t="s">
        <v>140</v>
      </c>
    </row>
    <row r="205" spans="1:14" x14ac:dyDescent="0.25">
      <c r="A205" s="21" t="s">
        <v>144</v>
      </c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</row>
    <row r="207" spans="1:14" x14ac:dyDescent="0.25">
      <c r="J207" s="3" t="s">
        <v>146</v>
      </c>
      <c r="K207" s="3">
        <v>0</v>
      </c>
      <c r="L207" s="3" t="s">
        <v>145</v>
      </c>
    </row>
    <row r="208" spans="1:14" x14ac:dyDescent="0.25">
      <c r="F208" t="s">
        <v>142</v>
      </c>
      <c r="G208" t="s">
        <v>143</v>
      </c>
      <c r="J208" t="s">
        <v>146</v>
      </c>
      <c r="K208" s="16">
        <f>(0.00144+0.0129)/0.43</f>
        <v>3.3348837209302325E-2</v>
      </c>
      <c r="L208" t="s">
        <v>145</v>
      </c>
      <c r="M208" t="s">
        <v>150</v>
      </c>
      <c r="N208" t="s">
        <v>149</v>
      </c>
    </row>
    <row r="209" spans="6:13" x14ac:dyDescent="0.25">
      <c r="F209" t="s">
        <v>65</v>
      </c>
      <c r="G209" t="s">
        <v>137</v>
      </c>
      <c r="J209" t="s">
        <v>146</v>
      </c>
      <c r="K209" s="25">
        <f>(0)/0.43</f>
        <v>0</v>
      </c>
      <c r="L209" t="s">
        <v>145</v>
      </c>
      <c r="M209" t="s">
        <v>151</v>
      </c>
    </row>
    <row r="210" spans="6:13" x14ac:dyDescent="0.25">
      <c r="F210" t="s">
        <v>65</v>
      </c>
      <c r="G210" t="s">
        <v>138</v>
      </c>
      <c r="J210" t="s">
        <v>146</v>
      </c>
      <c r="K210" s="23">
        <f>(0.00000208)/0.43</f>
        <v>4.8372093023255818E-6</v>
      </c>
      <c r="L210" t="s">
        <v>145</v>
      </c>
      <c r="M210" t="s">
        <v>152</v>
      </c>
    </row>
    <row r="211" spans="6:13" x14ac:dyDescent="0.25">
      <c r="F211" t="s">
        <v>65</v>
      </c>
      <c r="G211" t="s">
        <v>139</v>
      </c>
      <c r="J211" t="s">
        <v>146</v>
      </c>
      <c r="K211" s="25">
        <f t="shared" ref="K211" si="4">(0)/0.43</f>
        <v>0</v>
      </c>
      <c r="L211" t="s">
        <v>145</v>
      </c>
      <c r="M211" t="s">
        <v>153</v>
      </c>
    </row>
    <row r="212" spans="6:13" x14ac:dyDescent="0.25">
      <c r="F212" t="s">
        <v>65</v>
      </c>
      <c r="G212" t="s">
        <v>154</v>
      </c>
      <c r="J212" t="s">
        <v>146</v>
      </c>
      <c r="K212" s="8">
        <f>(0.00152)/0.43</f>
        <v>3.534883720930233E-3</v>
      </c>
      <c r="L212" t="s">
        <v>145</v>
      </c>
    </row>
    <row r="213" spans="6:13" x14ac:dyDescent="0.25">
      <c r="F213" t="s">
        <v>65</v>
      </c>
      <c r="G213" t="s">
        <v>147</v>
      </c>
      <c r="J213" t="s">
        <v>146</v>
      </c>
      <c r="K213" s="24">
        <f>(0.00016)/0.43</f>
        <v>3.7209302325581399E-4</v>
      </c>
      <c r="L213" t="s">
        <v>145</v>
      </c>
    </row>
    <row r="214" spans="6:13" x14ac:dyDescent="0.25">
      <c r="F214" t="s">
        <v>72</v>
      </c>
      <c r="G214" t="s">
        <v>148</v>
      </c>
      <c r="J214" t="s">
        <v>146</v>
      </c>
      <c r="K214" s="8">
        <f>(0.000218)/0.43</f>
        <v>5.0697674418604657E-4</v>
      </c>
      <c r="L214" t="s">
        <v>145</v>
      </c>
    </row>
    <row r="215" spans="6:13" x14ac:dyDescent="0.25">
      <c r="F215" t="s">
        <v>73</v>
      </c>
      <c r="G215" t="s">
        <v>73</v>
      </c>
      <c r="J215" t="s">
        <v>146</v>
      </c>
      <c r="K215" s="16">
        <f>(0.00343)/0.43</f>
        <v>7.9767441860465107E-3</v>
      </c>
      <c r="L215" t="s">
        <v>145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A10"/>
  <sheetViews>
    <sheetView workbookViewId="0">
      <selection activeCell="E9" sqref="E9"/>
    </sheetView>
  </sheetViews>
  <sheetFormatPr defaultRowHeight="15" x14ac:dyDescent="0.25"/>
  <sheetData>
    <row r="2" spans="1:1" x14ac:dyDescent="0.25">
      <c r="A2" t="s">
        <v>28</v>
      </c>
    </row>
    <row r="3" spans="1:1" x14ac:dyDescent="0.25">
      <c r="A3" t="s">
        <v>117</v>
      </c>
    </row>
    <row r="4" spans="1:1" x14ac:dyDescent="0.25">
      <c r="A4" t="s">
        <v>42</v>
      </c>
    </row>
    <row r="5" spans="1:1" x14ac:dyDescent="0.25">
      <c r="A5" t="s">
        <v>45</v>
      </c>
    </row>
    <row r="6" spans="1:1" x14ac:dyDescent="0.25">
      <c r="A6" t="s">
        <v>52</v>
      </c>
    </row>
    <row r="7" spans="1:1" x14ac:dyDescent="0.25">
      <c r="A7" t="s">
        <v>178</v>
      </c>
    </row>
    <row r="8" spans="1:1" x14ac:dyDescent="0.25">
      <c r="A8" t="s">
        <v>179</v>
      </c>
    </row>
    <row r="9" spans="1:1" x14ac:dyDescent="0.25">
      <c r="A9" t="s">
        <v>180</v>
      </c>
    </row>
    <row r="10" spans="1:1" x14ac:dyDescent="0.25">
      <c r="A10" t="s">
        <v>209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Johan Karlsson</cp:lastModifiedBy>
  <dcterms:created xsi:type="dcterms:W3CDTF">2024-04-29T08:57:31Z</dcterms:created>
  <dcterms:modified xsi:type="dcterms:W3CDTF">2026-02-19T16:49:01Z</dcterms:modified>
</cp:coreProperties>
</file>