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nka0003\Documents\#1 Projekt\MISTRA Food Futures WP5\CIBUSmod Food Systems Model\CIBUSmod\data\default\"/>
    </mc:Choice>
  </mc:AlternateContent>
  <bookViews>
    <workbookView xWindow="0" yWindow="0" windowWidth="19020" windowHeight="6705"/>
  </bookViews>
  <sheets>
    <sheet name="default" sheetId="1" r:id="rId1"/>
    <sheet name="references" sheetId="2" r:id="rId2"/>
  </sheets>
  <calcPr calcId="162913"/>
</workbook>
</file>

<file path=xl/calcChain.xml><?xml version="1.0" encoding="utf-8"?>
<calcChain xmlns="http://schemas.openxmlformats.org/spreadsheetml/2006/main">
  <c r="J171" i="1" l="1"/>
  <c r="J170" i="1"/>
  <c r="J169" i="1"/>
  <c r="J106" i="1"/>
  <c r="J105" i="1"/>
  <c r="J109" i="1"/>
  <c r="J108" i="1"/>
  <c r="J112" i="1"/>
  <c r="J111" i="1"/>
  <c r="J115" i="1"/>
  <c r="J114" i="1"/>
  <c r="J123" i="1" l="1"/>
  <c r="N4" i="1" l="1"/>
  <c r="N5" i="1"/>
  <c r="N6" i="1"/>
  <c r="N7" i="1"/>
  <c r="N8" i="1"/>
  <c r="N9" i="1"/>
  <c r="N10" i="1"/>
  <c r="N11" i="1"/>
  <c r="N12" i="1"/>
  <c r="N13" i="1"/>
  <c r="N14" i="1"/>
  <c r="N15" i="1"/>
  <c r="N3" i="1"/>
</calcChain>
</file>

<file path=xl/sharedStrings.xml><?xml version="1.0" encoding="utf-8"?>
<sst xmlns="http://schemas.openxmlformats.org/spreadsheetml/2006/main" count="1414" uniqueCount="148">
  <si>
    <t>value</t>
  </si>
  <si>
    <t>cattle</t>
  </si>
  <si>
    <t>dairy</t>
  </si>
  <si>
    <t>cows</t>
  </si>
  <si>
    <t>manure_excr_VS</t>
  </si>
  <si>
    <t>kg VS DM/head/day</t>
  </si>
  <si>
    <t>NIR 2022 Table 5.15</t>
  </si>
  <si>
    <t>manure_excr_N</t>
  </si>
  <si>
    <t>kg N/head/year</t>
  </si>
  <si>
    <t>beef</t>
  </si>
  <si>
    <t>NIR 2022 Table 5.16</t>
  </si>
  <si>
    <t>NIR 2022 Table 5.17</t>
  </si>
  <si>
    <t>heifers</t>
  </si>
  <si>
    <t>calves</t>
  </si>
  <si>
    <t>Avg &lt;6 and &gt;6 months not accounting for age distribution</t>
  </si>
  <si>
    <t>steers</t>
  </si>
  <si>
    <t>bulls</t>
  </si>
  <si>
    <t>breeding bulls</t>
  </si>
  <si>
    <t>Assume same as bulls</t>
  </si>
  <si>
    <t>grazing</t>
  </si>
  <si>
    <t>mms_share</t>
  </si>
  <si>
    <t>%</t>
  </si>
  <si>
    <t>Einarsson et al 2022. The nitrogen footprint of Swedish food consumption.</t>
  </si>
  <si>
    <t>SHOULD SEPARATE BULLS AND STEERS</t>
  </si>
  <si>
    <t>liquid</t>
  </si>
  <si>
    <t>solid</t>
  </si>
  <si>
    <t>deep litter</t>
  </si>
  <si>
    <t>NH3-N</t>
  </si>
  <si>
    <t>loss_stable</t>
  </si>
  <si>
    <t>loss_storage</t>
  </si>
  <si>
    <t>NOx-N</t>
  </si>
  <si>
    <t>N2O-N</t>
  </si>
  <si>
    <t>N2</t>
  </si>
  <si>
    <t>TAN_share</t>
  </si>
  <si>
    <t>f_species</t>
  </si>
  <si>
    <t>f_breed</t>
  </si>
  <si>
    <t>f_animal</t>
  </si>
  <si>
    <t>f_MMS</t>
  </si>
  <si>
    <t>f_compound</t>
  </si>
  <si>
    <t>parameter</t>
  </si>
  <si>
    <t>unit</t>
  </si>
  <si>
    <t>description</t>
  </si>
  <si>
    <t>source</t>
  </si>
  <si>
    <t>pigs</t>
  </si>
  <si>
    <t>growing pigs</t>
  </si>
  <si>
    <t>finishing pigs</t>
  </si>
  <si>
    <t>pigs for meat</t>
  </si>
  <si>
    <t>other swine</t>
  </si>
  <si>
    <t>Nitrogen</t>
  </si>
  <si>
    <t>Volatile solids (VS)</t>
  </si>
  <si>
    <t>sows</t>
  </si>
  <si>
    <t>boars</t>
  </si>
  <si>
    <t>piglets</t>
  </si>
  <si>
    <t>gilts</t>
  </si>
  <si>
    <t>Assume same as 'pigs for meat production'</t>
  </si>
  <si>
    <t>pigs for meat production</t>
  </si>
  <si>
    <t>Definition mismatch? 20kg vs 30kg</t>
  </si>
  <si>
    <t>General</t>
  </si>
  <si>
    <t>conventional</t>
  </si>
  <si>
    <t>organic</t>
  </si>
  <si>
    <t>SEP. ORG VS CONV</t>
  </si>
  <si>
    <t>f_prod_system</t>
  </si>
  <si>
    <t>f_element</t>
  </si>
  <si>
    <t>fallback OK?</t>
  </si>
  <si>
    <t>poultry</t>
  </si>
  <si>
    <t>broiler</t>
  </si>
  <si>
    <t>broilers</t>
  </si>
  <si>
    <t>Assume same as laying hens for the parent animals</t>
  </si>
  <si>
    <t>Assume same as laying hens for parent animals</t>
  </si>
  <si>
    <t>horses</t>
  </si>
  <si>
    <t>Same as cattle??</t>
  </si>
  <si>
    <t>Same as cattle?? 17% is approx. avg. for cattle</t>
  </si>
  <si>
    <t>Swedish IIR 2019 Table 5-10</t>
  </si>
  <si>
    <t>% of total N</t>
  </si>
  <si>
    <t>assume same as laying hens for parent animals</t>
  </si>
  <si>
    <t>% of TAN</t>
  </si>
  <si>
    <t>Table 3.9. EMEP/EEA air pollutant emission inventory Guidebook 2019</t>
  </si>
  <si>
    <t>Assume same as sows</t>
  </si>
  <si>
    <t>methane_B0</t>
  </si>
  <si>
    <t>m3 CH4/kg VS</t>
  </si>
  <si>
    <t>Fallback</t>
  </si>
  <si>
    <t>kg CH4/animal/yr</t>
  </si>
  <si>
    <t>methane_per_head</t>
  </si>
  <si>
    <t>sheep</t>
  </si>
  <si>
    <t>layer</t>
  </si>
  <si>
    <t>methane_MCF</t>
  </si>
  <si>
    <t>% of B0</t>
  </si>
  <si>
    <t>NIR 2022 Table 5.18</t>
  </si>
  <si>
    <t>Swedish IIR 2023 Table 5-4</t>
  </si>
  <si>
    <t>Swedish IIR 2023 Table 5-5</t>
  </si>
  <si>
    <t>Swedish IIR 2023 Table 5-6</t>
  </si>
  <si>
    <t>Swedish IIR 2023 Table 5-7</t>
  </si>
  <si>
    <t>UE_of_GE</t>
  </si>
  <si>
    <t>IPCC 2006 Vol. 4 Eq. 10.24</t>
  </si>
  <si>
    <t>MJ UE/MJ GE</t>
  </si>
  <si>
    <t>Urinary energy expressed as fraction of GE</t>
  </si>
  <si>
    <t>IPCC 2006 Vol.4 Table 10A-9</t>
  </si>
  <si>
    <t>Not used</t>
  </si>
  <si>
    <t>manure_VS_C</t>
  </si>
  <si>
    <t>Rundgren 2021</t>
  </si>
  <si>
    <t>C_loss</t>
  </si>
  <si>
    <t>Fraction of carbon in excreted manure volatile solids</t>
  </si>
  <si>
    <t>Fraction of carbon in excreted manure lost before application to soil</t>
  </si>
  <si>
    <t>N_in_LW</t>
  </si>
  <si>
    <t>Statistics Netherlands (2012). Standardised calculation methods for animal manure and nutrients - Standard data 1990–2008. The Hague, Netherlands.  https://www.cbs.nl/-/media/imported/documents/2012/26/2012-c173-pub.pdf</t>
  </si>
  <si>
    <t>Excretion</t>
  </si>
  <si>
    <t>Losses</t>
  </si>
  <si>
    <t>P_in_LW</t>
  </si>
  <si>
    <t>K_in_LW</t>
  </si>
  <si>
    <t>g N/kg live weight</t>
  </si>
  <si>
    <t>g P/kg live weight</t>
  </si>
  <si>
    <t>g K/kg live weight</t>
  </si>
  <si>
    <t>dairy and suckler</t>
  </si>
  <si>
    <t>26 months</t>
  </si>
  <si>
    <t>fattening calves 8 months</t>
  </si>
  <si>
    <t>stud bulls &gt;24 months</t>
  </si>
  <si>
    <t>Beef bulls, finishing weight</t>
  </si>
  <si>
    <t>lambs</t>
  </si>
  <si>
    <t>Breeding sows</t>
  </si>
  <si>
    <t>Gilts</t>
  </si>
  <si>
    <t>Stud boars</t>
  </si>
  <si>
    <t>Piglet losses, 1-75 days</t>
  </si>
  <si>
    <t>Fattening pig, ca. 26 weeks</t>
  </si>
  <si>
    <t>fallback</t>
  </si>
  <si>
    <t>Horses and ponies, adult animal</t>
  </si>
  <si>
    <t>Statistics Netherlands 2012, Table 3.8</t>
  </si>
  <si>
    <t>Sheep, ewes</t>
  </si>
  <si>
    <t>Sheep, slaughter lambs</t>
  </si>
  <si>
    <t>manure_excr_P</t>
  </si>
  <si>
    <t>manure_excr_K</t>
  </si>
  <si>
    <t>Statistics Netherlands 2012, Table 5.4</t>
  </si>
  <si>
    <t>kg P/head/year</t>
  </si>
  <si>
    <t>kg K/head/year</t>
  </si>
  <si>
    <t>N excr. * P:N ratio</t>
  </si>
  <si>
    <t>N excr. * K:N ratio</t>
  </si>
  <si>
    <t>Statistics Netherlands 2012, Table 5.6</t>
  </si>
  <si>
    <t>Statistics Netherlands 2012, Table 5.8</t>
  </si>
  <si>
    <t>Statistics Netherlands 2012, Table 3.43</t>
  </si>
  <si>
    <t>N_in_prod</t>
  </si>
  <si>
    <t>g N/kg product</t>
  </si>
  <si>
    <t>g P/kg product</t>
  </si>
  <si>
    <t>g K/kg product</t>
  </si>
  <si>
    <t>f_animal_prod</t>
  </si>
  <si>
    <t>P_in_prod</t>
  </si>
  <si>
    <t>K_in_prod</t>
  </si>
  <si>
    <t>1.035 kg/L</t>
  </si>
  <si>
    <t>Statistics Netherlands 2012, Table 3.9</t>
  </si>
  <si>
    <t>milk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</si>
</sst>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00"/>
    <numFmt numFmtId="169" formatCode="0.0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7030A0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/>
        <bgColor indexed="64"/>
      </patternFill>
    </fill>
    <fill>
      <patternFill patternType="solid">
        <fgColor rgb="FFFFABAB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21">
    <xf numFmtId="0" fontId="0" fillId="0" borderId="0" xfId="0"/>
    <xf numFmtId="0" fontId="14" fillId="0" borderId="0" xfId="0" applyFont="1"/>
    <xf numFmtId="0" fontId="18" fillId="33" borderId="0" xfId="0" applyFont="1" applyFill="1"/>
    <xf numFmtId="0" fontId="0" fillId="33" borderId="0" xfId="0" applyFill="1"/>
    <xf numFmtId="0" fontId="16" fillId="0" borderId="0" xfId="0" applyFont="1"/>
    <xf numFmtId="0" fontId="19" fillId="0" borderId="0" xfId="0" applyFont="1"/>
    <xf numFmtId="0" fontId="20" fillId="0" borderId="0" xfId="0" applyFont="1"/>
    <xf numFmtId="164" fontId="0" fillId="0" borderId="0" xfId="0" applyNumberFormat="1"/>
    <xf numFmtId="0" fontId="0" fillId="34" borderId="0" xfId="0" applyFill="1"/>
    <xf numFmtId="0" fontId="14" fillId="34" borderId="0" xfId="0" applyFont="1" applyFill="1"/>
    <xf numFmtId="2" fontId="14" fillId="34" borderId="0" xfId="0" applyNumberFormat="1" applyFont="1" applyFill="1"/>
    <xf numFmtId="0" fontId="18" fillId="34" borderId="0" xfId="0" applyFont="1" applyFill="1"/>
    <xf numFmtId="0" fontId="0" fillId="0" borderId="0" xfId="0" applyFill="1"/>
    <xf numFmtId="0" fontId="16" fillId="0" borderId="0" xfId="0" applyFont="1" applyFill="1"/>
    <xf numFmtId="0" fontId="16" fillId="35" borderId="0" xfId="0" applyFont="1" applyFill="1"/>
    <xf numFmtId="0" fontId="0" fillId="35" borderId="0" xfId="0" applyFill="1"/>
    <xf numFmtId="0" fontId="19" fillId="35" borderId="0" xfId="0" applyFont="1" applyFill="1"/>
    <xf numFmtId="169" fontId="0" fillId="0" borderId="0" xfId="0" applyNumberFormat="1"/>
    <xf numFmtId="0" fontId="20" fillId="0" borderId="0" xfId="0" applyFont="1" applyFill="1"/>
    <xf numFmtId="2" fontId="0" fillId="0" borderId="0" xfId="0" applyNumberFormat="1"/>
    <xf numFmtId="1" fontId="20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colors>
    <mruColors>
      <color rgb="FFFFABA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79"/>
  <sheetViews>
    <sheetView tabSelected="1" zoomScale="80" zoomScaleNormal="80" workbookViewId="0">
      <pane ySplit="1" topLeftCell="A77" activePane="bottomLeft" state="frozen"/>
      <selection pane="bottomLeft" activeCell="E106" sqref="E106"/>
    </sheetView>
  </sheetViews>
  <sheetFormatPr defaultRowHeight="15" x14ac:dyDescent="0.25"/>
  <cols>
    <col min="2" max="2" width="14.28515625" bestFit="1" customWidth="1"/>
    <col min="4" max="4" width="13.85546875" bestFit="1" customWidth="1"/>
    <col min="5" max="5" width="13.85546875" customWidth="1"/>
    <col min="6" max="6" width="10.42578125" bestFit="1" customWidth="1"/>
    <col min="7" max="7" width="10.42578125" customWidth="1"/>
    <col min="8" max="8" width="12.140625" customWidth="1"/>
    <col min="9" max="9" width="20.7109375" bestFit="1" customWidth="1"/>
    <col min="11" max="11" width="18.7109375" customWidth="1"/>
    <col min="12" max="12" width="63.140625" customWidth="1"/>
    <col min="13" max="13" width="68.140625" bestFit="1" customWidth="1"/>
  </cols>
  <sheetData>
    <row r="1" spans="1:14" x14ac:dyDescent="0.25">
      <c r="A1" s="4" t="s">
        <v>34</v>
      </c>
      <c r="B1" s="4" t="s">
        <v>61</v>
      </c>
      <c r="C1" s="4" t="s">
        <v>35</v>
      </c>
      <c r="D1" s="4" t="s">
        <v>36</v>
      </c>
      <c r="E1" s="4" t="s">
        <v>142</v>
      </c>
      <c r="F1" s="4" t="s">
        <v>37</v>
      </c>
      <c r="G1" s="4" t="s">
        <v>62</v>
      </c>
      <c r="H1" s="4" t="s">
        <v>38</v>
      </c>
      <c r="I1" s="4" t="s">
        <v>39</v>
      </c>
      <c r="J1" s="4" t="s">
        <v>0</v>
      </c>
      <c r="K1" s="4" t="s">
        <v>40</v>
      </c>
      <c r="L1" s="4" t="s">
        <v>41</v>
      </c>
      <c r="M1" s="4" t="s">
        <v>42</v>
      </c>
    </row>
    <row r="2" spans="1:14" x14ac:dyDescent="0.25">
      <c r="A2" s="2" t="s">
        <v>57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</row>
    <row r="3" spans="1:14" x14ac:dyDescent="0.25">
      <c r="A3" t="s">
        <v>1</v>
      </c>
      <c r="C3" t="s">
        <v>2</v>
      </c>
      <c r="D3" t="s">
        <v>3</v>
      </c>
      <c r="F3" t="s">
        <v>19</v>
      </c>
      <c r="I3" t="s">
        <v>20</v>
      </c>
      <c r="J3">
        <v>25.3</v>
      </c>
      <c r="K3" t="s">
        <v>21</v>
      </c>
      <c r="M3" t="s">
        <v>88</v>
      </c>
      <c r="N3">
        <f>J3+J16+J31+J46</f>
        <v>95.1</v>
      </c>
    </row>
    <row r="4" spans="1:14" x14ac:dyDescent="0.25">
      <c r="A4" t="s">
        <v>1</v>
      </c>
      <c r="C4" t="s">
        <v>9</v>
      </c>
      <c r="D4" t="s">
        <v>3</v>
      </c>
      <c r="F4" t="s">
        <v>19</v>
      </c>
      <c r="I4" t="s">
        <v>20</v>
      </c>
      <c r="J4">
        <v>57.4</v>
      </c>
      <c r="K4" t="s">
        <v>21</v>
      </c>
      <c r="M4" t="s">
        <v>88</v>
      </c>
      <c r="N4">
        <f t="shared" ref="N4:N15" si="0">J4+J17+J32+J47</f>
        <v>98.6</v>
      </c>
    </row>
    <row r="5" spans="1:14" x14ac:dyDescent="0.25">
      <c r="A5" t="s">
        <v>1</v>
      </c>
      <c r="D5" t="s">
        <v>12</v>
      </c>
      <c r="F5" t="s">
        <v>19</v>
      </c>
      <c r="I5" t="s">
        <v>20</v>
      </c>
      <c r="J5">
        <v>52.7</v>
      </c>
      <c r="K5" t="s">
        <v>21</v>
      </c>
      <c r="M5" t="s">
        <v>88</v>
      </c>
      <c r="N5">
        <f t="shared" si="0"/>
        <v>97.9</v>
      </c>
    </row>
    <row r="6" spans="1:14" x14ac:dyDescent="0.25">
      <c r="A6" t="s">
        <v>1</v>
      </c>
      <c r="D6" t="s">
        <v>13</v>
      </c>
      <c r="F6" t="s">
        <v>19</v>
      </c>
      <c r="I6" t="s">
        <v>20</v>
      </c>
      <c r="J6">
        <v>35.700000000000003</v>
      </c>
      <c r="K6" t="s">
        <v>21</v>
      </c>
      <c r="M6" t="s">
        <v>88</v>
      </c>
      <c r="N6">
        <f t="shared" si="0"/>
        <v>97.9</v>
      </c>
    </row>
    <row r="7" spans="1:14" x14ac:dyDescent="0.25">
      <c r="A7" t="s">
        <v>1</v>
      </c>
      <c r="D7" t="s">
        <v>15</v>
      </c>
      <c r="F7" t="s">
        <v>19</v>
      </c>
      <c r="I7" t="s">
        <v>20</v>
      </c>
      <c r="J7">
        <v>23.9</v>
      </c>
      <c r="K7" t="s">
        <v>21</v>
      </c>
      <c r="L7" s="1" t="s">
        <v>23</v>
      </c>
      <c r="M7" t="s">
        <v>88</v>
      </c>
      <c r="N7">
        <f t="shared" si="0"/>
        <v>96.6</v>
      </c>
    </row>
    <row r="8" spans="1:14" x14ac:dyDescent="0.25">
      <c r="A8" t="s">
        <v>1</v>
      </c>
      <c r="D8" t="s">
        <v>16</v>
      </c>
      <c r="F8" t="s">
        <v>19</v>
      </c>
      <c r="I8" t="s">
        <v>20</v>
      </c>
      <c r="J8">
        <v>23.9</v>
      </c>
      <c r="K8" t="s">
        <v>21</v>
      </c>
      <c r="L8" s="1" t="s">
        <v>23</v>
      </c>
      <c r="M8" t="s">
        <v>88</v>
      </c>
      <c r="N8">
        <f t="shared" si="0"/>
        <v>96.6</v>
      </c>
    </row>
    <row r="9" spans="1:14" x14ac:dyDescent="0.25">
      <c r="A9" t="s">
        <v>1</v>
      </c>
      <c r="D9" t="s">
        <v>17</v>
      </c>
      <c r="F9" t="s">
        <v>19</v>
      </c>
      <c r="I9" t="s">
        <v>20</v>
      </c>
      <c r="J9">
        <v>23.9</v>
      </c>
      <c r="K9" t="s">
        <v>21</v>
      </c>
      <c r="L9" t="s">
        <v>18</v>
      </c>
      <c r="M9" t="s">
        <v>88</v>
      </c>
      <c r="N9">
        <f t="shared" si="0"/>
        <v>96.6</v>
      </c>
    </row>
    <row r="10" spans="1:14" x14ac:dyDescent="0.25">
      <c r="A10" s="5" t="s">
        <v>69</v>
      </c>
      <c r="B10" s="5"/>
      <c r="C10" s="5"/>
      <c r="D10" s="5"/>
      <c r="E10" s="5"/>
      <c r="F10" s="5" t="s">
        <v>19</v>
      </c>
      <c r="G10" s="5"/>
      <c r="H10" s="5"/>
      <c r="I10" s="5" t="s">
        <v>20</v>
      </c>
      <c r="J10" s="5">
        <v>50</v>
      </c>
      <c r="K10" s="5" t="s">
        <v>21</v>
      </c>
      <c r="L10" s="1"/>
      <c r="M10" t="s">
        <v>88</v>
      </c>
      <c r="N10">
        <f t="shared" si="0"/>
        <v>85</v>
      </c>
    </row>
    <row r="11" spans="1:14" x14ac:dyDescent="0.25">
      <c r="A11" s="5" t="s">
        <v>83</v>
      </c>
      <c r="B11" s="5"/>
      <c r="C11" s="5"/>
      <c r="D11" s="5"/>
      <c r="E11" s="5"/>
      <c r="F11" s="5" t="s">
        <v>19</v>
      </c>
      <c r="G11" s="5"/>
      <c r="H11" s="5"/>
      <c r="I11" s="5" t="s">
        <v>20</v>
      </c>
      <c r="J11" s="5">
        <v>50</v>
      </c>
      <c r="K11" s="5" t="s">
        <v>21</v>
      </c>
      <c r="L11" s="1"/>
      <c r="M11" t="s">
        <v>88</v>
      </c>
      <c r="N11">
        <f t="shared" si="0"/>
        <v>100</v>
      </c>
    </row>
    <row r="12" spans="1:14" x14ac:dyDescent="0.25">
      <c r="A12" t="s">
        <v>43</v>
      </c>
      <c r="B12" t="s">
        <v>58</v>
      </c>
      <c r="F12" t="s">
        <v>19</v>
      </c>
      <c r="I12" t="s">
        <v>20</v>
      </c>
      <c r="J12">
        <v>0</v>
      </c>
      <c r="K12" t="s">
        <v>21</v>
      </c>
      <c r="L12" s="1" t="s">
        <v>60</v>
      </c>
      <c r="N12">
        <f t="shared" si="0"/>
        <v>89</v>
      </c>
    </row>
    <row r="13" spans="1:14" x14ac:dyDescent="0.25">
      <c r="A13" t="s">
        <v>43</v>
      </c>
      <c r="B13" t="s">
        <v>59</v>
      </c>
      <c r="F13" t="s">
        <v>19</v>
      </c>
      <c r="I13" t="s">
        <v>20</v>
      </c>
      <c r="J13">
        <v>0</v>
      </c>
      <c r="K13" t="s">
        <v>21</v>
      </c>
      <c r="L13" s="1" t="s">
        <v>60</v>
      </c>
      <c r="N13">
        <f t="shared" si="0"/>
        <v>81.099999999999994</v>
      </c>
    </row>
    <row r="14" spans="1:14" x14ac:dyDescent="0.25">
      <c r="A14" t="s">
        <v>64</v>
      </c>
      <c r="C14" t="s">
        <v>84</v>
      </c>
      <c r="F14" t="s">
        <v>19</v>
      </c>
      <c r="I14" t="s">
        <v>20</v>
      </c>
      <c r="J14">
        <v>0</v>
      </c>
      <c r="K14" t="s">
        <v>21</v>
      </c>
      <c r="L14" s="1"/>
      <c r="N14">
        <f t="shared" si="0"/>
        <v>81.099999999999994</v>
      </c>
    </row>
    <row r="15" spans="1:14" x14ac:dyDescent="0.25">
      <c r="A15" t="s">
        <v>64</v>
      </c>
      <c r="C15" t="s">
        <v>65</v>
      </c>
      <c r="F15" t="s">
        <v>19</v>
      </c>
      <c r="I15" t="s">
        <v>20</v>
      </c>
      <c r="J15">
        <v>0</v>
      </c>
      <c r="K15" t="s">
        <v>21</v>
      </c>
      <c r="N15">
        <f t="shared" si="0"/>
        <v>100.00000000000001</v>
      </c>
    </row>
    <row r="16" spans="1:14" x14ac:dyDescent="0.25">
      <c r="A16" t="s">
        <v>1</v>
      </c>
      <c r="C16" t="s">
        <v>2</v>
      </c>
      <c r="D16" t="s">
        <v>3</v>
      </c>
      <c r="F16" t="s">
        <v>24</v>
      </c>
      <c r="I16" t="s">
        <v>20</v>
      </c>
      <c r="J16">
        <v>63.7</v>
      </c>
      <c r="K16" t="s">
        <v>21</v>
      </c>
      <c r="M16" t="s">
        <v>89</v>
      </c>
    </row>
    <row r="17" spans="1:13" x14ac:dyDescent="0.25">
      <c r="A17" t="s">
        <v>1</v>
      </c>
      <c r="C17" t="s">
        <v>9</v>
      </c>
      <c r="D17" t="s">
        <v>3</v>
      </c>
      <c r="F17" t="s">
        <v>24</v>
      </c>
      <c r="I17" t="s">
        <v>20</v>
      </c>
      <c r="J17">
        <v>9.6999999999999993</v>
      </c>
      <c r="K17" t="s">
        <v>21</v>
      </c>
      <c r="M17" t="s">
        <v>89</v>
      </c>
    </row>
    <row r="18" spans="1:13" x14ac:dyDescent="0.25">
      <c r="A18" t="s">
        <v>1</v>
      </c>
      <c r="D18" t="s">
        <v>12</v>
      </c>
      <c r="F18" t="s">
        <v>24</v>
      </c>
      <c r="I18" t="s">
        <v>20</v>
      </c>
      <c r="J18">
        <v>24</v>
      </c>
      <c r="K18" t="s">
        <v>21</v>
      </c>
      <c r="M18" t="s">
        <v>89</v>
      </c>
    </row>
    <row r="19" spans="1:13" x14ac:dyDescent="0.25">
      <c r="A19" t="s">
        <v>1</v>
      </c>
      <c r="D19" t="s">
        <v>13</v>
      </c>
      <c r="F19" t="s">
        <v>24</v>
      </c>
      <c r="I19" t="s">
        <v>20</v>
      </c>
      <c r="J19">
        <v>16.8</v>
      </c>
      <c r="K19" t="s">
        <v>21</v>
      </c>
      <c r="M19" t="s">
        <v>89</v>
      </c>
    </row>
    <row r="20" spans="1:13" x14ac:dyDescent="0.25">
      <c r="A20" t="s">
        <v>1</v>
      </c>
      <c r="D20" t="s">
        <v>15</v>
      </c>
      <c r="F20" t="s">
        <v>24</v>
      </c>
      <c r="I20" t="s">
        <v>20</v>
      </c>
      <c r="J20">
        <v>36.5</v>
      </c>
      <c r="K20" t="s">
        <v>21</v>
      </c>
      <c r="L20" s="1" t="s">
        <v>23</v>
      </c>
      <c r="M20" t="s">
        <v>89</v>
      </c>
    </row>
    <row r="21" spans="1:13" x14ac:dyDescent="0.25">
      <c r="A21" t="s">
        <v>1</v>
      </c>
      <c r="D21" t="s">
        <v>16</v>
      </c>
      <c r="F21" t="s">
        <v>24</v>
      </c>
      <c r="I21" t="s">
        <v>20</v>
      </c>
      <c r="J21">
        <v>36.5</v>
      </c>
      <c r="K21" t="s">
        <v>21</v>
      </c>
      <c r="L21" s="1" t="s">
        <v>23</v>
      </c>
      <c r="M21" t="s">
        <v>89</v>
      </c>
    </row>
    <row r="22" spans="1:13" x14ac:dyDescent="0.25">
      <c r="A22" t="s">
        <v>1</v>
      </c>
      <c r="D22" t="s">
        <v>17</v>
      </c>
      <c r="F22" t="s">
        <v>24</v>
      </c>
      <c r="I22" t="s">
        <v>20</v>
      </c>
      <c r="J22">
        <v>36.5</v>
      </c>
      <c r="K22" t="s">
        <v>21</v>
      </c>
      <c r="L22" t="s">
        <v>18</v>
      </c>
      <c r="M22" t="s">
        <v>89</v>
      </c>
    </row>
    <row r="23" spans="1:13" x14ac:dyDescent="0.25">
      <c r="A23" t="s">
        <v>69</v>
      </c>
      <c r="F23" t="s">
        <v>24</v>
      </c>
      <c r="I23" t="s">
        <v>20</v>
      </c>
      <c r="J23">
        <v>0</v>
      </c>
      <c r="K23" t="s">
        <v>21</v>
      </c>
      <c r="M23" t="s">
        <v>89</v>
      </c>
    </row>
    <row r="24" spans="1:13" x14ac:dyDescent="0.25">
      <c r="A24" t="s">
        <v>83</v>
      </c>
      <c r="F24" t="s">
        <v>24</v>
      </c>
      <c r="I24" t="s">
        <v>20</v>
      </c>
      <c r="J24">
        <v>0</v>
      </c>
      <c r="K24" t="s">
        <v>21</v>
      </c>
      <c r="M24" t="s">
        <v>89</v>
      </c>
    </row>
    <row r="25" spans="1:13" x14ac:dyDescent="0.25">
      <c r="A25" t="s">
        <v>43</v>
      </c>
      <c r="F25" t="s">
        <v>24</v>
      </c>
      <c r="I25" t="s">
        <v>20</v>
      </c>
      <c r="J25">
        <v>45.4</v>
      </c>
      <c r="K25" t="s">
        <v>21</v>
      </c>
      <c r="L25" t="s">
        <v>47</v>
      </c>
      <c r="M25" t="s">
        <v>89</v>
      </c>
    </row>
    <row r="26" spans="1:13" x14ac:dyDescent="0.25">
      <c r="A26" t="s">
        <v>43</v>
      </c>
      <c r="D26" t="s">
        <v>44</v>
      </c>
      <c r="F26" t="s">
        <v>24</v>
      </c>
      <c r="I26" t="s">
        <v>20</v>
      </c>
      <c r="J26">
        <v>77.8</v>
      </c>
      <c r="K26" t="s">
        <v>21</v>
      </c>
      <c r="L26" t="s">
        <v>46</v>
      </c>
      <c r="M26" t="s">
        <v>89</v>
      </c>
    </row>
    <row r="27" spans="1:13" x14ac:dyDescent="0.25">
      <c r="A27" t="s">
        <v>43</v>
      </c>
      <c r="D27" t="s">
        <v>45</v>
      </c>
      <c r="F27" t="s">
        <v>24</v>
      </c>
      <c r="I27" t="s">
        <v>20</v>
      </c>
      <c r="J27">
        <v>77.8</v>
      </c>
      <c r="K27" t="s">
        <v>21</v>
      </c>
      <c r="L27" t="s">
        <v>46</v>
      </c>
      <c r="M27" t="s">
        <v>89</v>
      </c>
    </row>
    <row r="28" spans="1:13" x14ac:dyDescent="0.25">
      <c r="A28" t="s">
        <v>64</v>
      </c>
      <c r="C28" t="s">
        <v>84</v>
      </c>
      <c r="F28" t="s">
        <v>24</v>
      </c>
      <c r="I28" t="s">
        <v>20</v>
      </c>
      <c r="J28">
        <v>6.9</v>
      </c>
      <c r="K28" t="s">
        <v>21</v>
      </c>
      <c r="M28" t="s">
        <v>89</v>
      </c>
    </row>
    <row r="29" spans="1:13" x14ac:dyDescent="0.25">
      <c r="A29" t="s">
        <v>64</v>
      </c>
      <c r="C29" t="s">
        <v>65</v>
      </c>
      <c r="D29" t="s">
        <v>66</v>
      </c>
      <c r="F29" t="s">
        <v>24</v>
      </c>
      <c r="I29" t="s">
        <v>20</v>
      </c>
      <c r="J29">
        <v>0</v>
      </c>
      <c r="K29" t="s">
        <v>21</v>
      </c>
      <c r="M29" t="s">
        <v>89</v>
      </c>
    </row>
    <row r="30" spans="1:13" x14ac:dyDescent="0.25">
      <c r="A30" t="s">
        <v>64</v>
      </c>
      <c r="C30" t="s">
        <v>65</v>
      </c>
      <c r="F30" t="s">
        <v>24</v>
      </c>
      <c r="I30" t="s">
        <v>20</v>
      </c>
      <c r="J30">
        <v>6.9</v>
      </c>
      <c r="K30" t="s">
        <v>21</v>
      </c>
      <c r="L30" t="s">
        <v>68</v>
      </c>
      <c r="M30" t="s">
        <v>89</v>
      </c>
    </row>
    <row r="31" spans="1:13" x14ac:dyDescent="0.25">
      <c r="A31" t="s">
        <v>1</v>
      </c>
      <c r="C31" t="s">
        <v>2</v>
      </c>
      <c r="D31" t="s">
        <v>3</v>
      </c>
      <c r="F31" t="s">
        <v>25</v>
      </c>
      <c r="I31" t="s">
        <v>20</v>
      </c>
      <c r="J31">
        <v>5.0999999999999996</v>
      </c>
      <c r="K31" t="s">
        <v>21</v>
      </c>
      <c r="M31" t="s">
        <v>90</v>
      </c>
    </row>
    <row r="32" spans="1:13" x14ac:dyDescent="0.25">
      <c r="A32" t="s">
        <v>1</v>
      </c>
      <c r="C32" t="s">
        <v>9</v>
      </c>
      <c r="D32" t="s">
        <v>3</v>
      </c>
      <c r="F32" t="s">
        <v>25</v>
      </c>
      <c r="I32" t="s">
        <v>20</v>
      </c>
      <c r="J32">
        <v>10.3</v>
      </c>
      <c r="K32" t="s">
        <v>21</v>
      </c>
      <c r="M32" t="s">
        <v>90</v>
      </c>
    </row>
    <row r="33" spans="1:13" x14ac:dyDescent="0.25">
      <c r="A33" t="s">
        <v>1</v>
      </c>
      <c r="D33" t="s">
        <v>12</v>
      </c>
      <c r="F33" t="s">
        <v>25</v>
      </c>
      <c r="I33" t="s">
        <v>20</v>
      </c>
      <c r="J33">
        <v>7.9</v>
      </c>
      <c r="K33" t="s">
        <v>21</v>
      </c>
      <c r="M33" t="s">
        <v>90</v>
      </c>
    </row>
    <row r="34" spans="1:13" x14ac:dyDescent="0.25">
      <c r="A34" t="s">
        <v>1</v>
      </c>
      <c r="D34" t="s">
        <v>13</v>
      </c>
      <c r="F34" t="s">
        <v>25</v>
      </c>
      <c r="I34" t="s">
        <v>20</v>
      </c>
      <c r="J34">
        <v>11.9</v>
      </c>
      <c r="K34" t="s">
        <v>21</v>
      </c>
      <c r="M34" t="s">
        <v>90</v>
      </c>
    </row>
    <row r="35" spans="1:13" x14ac:dyDescent="0.25">
      <c r="A35" t="s">
        <v>1</v>
      </c>
      <c r="D35" t="s">
        <v>15</v>
      </c>
      <c r="F35" t="s">
        <v>25</v>
      </c>
      <c r="I35" t="s">
        <v>20</v>
      </c>
      <c r="J35">
        <v>10.6</v>
      </c>
      <c r="K35" t="s">
        <v>21</v>
      </c>
      <c r="L35" s="1" t="s">
        <v>23</v>
      </c>
      <c r="M35" t="s">
        <v>90</v>
      </c>
    </row>
    <row r="36" spans="1:13" x14ac:dyDescent="0.25">
      <c r="A36" t="s">
        <v>1</v>
      </c>
      <c r="D36" t="s">
        <v>16</v>
      </c>
      <c r="F36" t="s">
        <v>25</v>
      </c>
      <c r="I36" t="s">
        <v>20</v>
      </c>
      <c r="J36">
        <v>10.6</v>
      </c>
      <c r="K36" t="s">
        <v>21</v>
      </c>
      <c r="L36" s="1" t="s">
        <v>23</v>
      </c>
      <c r="M36" t="s">
        <v>90</v>
      </c>
    </row>
    <row r="37" spans="1:13" x14ac:dyDescent="0.25">
      <c r="A37" t="s">
        <v>1</v>
      </c>
      <c r="D37" t="s">
        <v>17</v>
      </c>
      <c r="F37" t="s">
        <v>25</v>
      </c>
      <c r="I37" t="s">
        <v>20</v>
      </c>
      <c r="J37">
        <v>10.6</v>
      </c>
      <c r="K37" t="s">
        <v>21</v>
      </c>
      <c r="L37" t="s">
        <v>18</v>
      </c>
      <c r="M37" t="s">
        <v>90</v>
      </c>
    </row>
    <row r="38" spans="1:13" x14ac:dyDescent="0.25">
      <c r="A38" t="s">
        <v>69</v>
      </c>
      <c r="F38" t="s">
        <v>25</v>
      </c>
      <c r="I38" t="s">
        <v>20</v>
      </c>
      <c r="J38">
        <v>33</v>
      </c>
      <c r="K38" t="s">
        <v>21</v>
      </c>
      <c r="M38" t="s">
        <v>90</v>
      </c>
    </row>
    <row r="39" spans="1:13" x14ac:dyDescent="0.25">
      <c r="A39" t="s">
        <v>83</v>
      </c>
      <c r="F39" t="s">
        <v>25</v>
      </c>
      <c r="I39" t="s">
        <v>20</v>
      </c>
      <c r="J39">
        <v>50</v>
      </c>
      <c r="K39" t="s">
        <v>21</v>
      </c>
      <c r="M39" t="s">
        <v>90</v>
      </c>
    </row>
    <row r="40" spans="1:13" x14ac:dyDescent="0.25">
      <c r="A40" t="s">
        <v>43</v>
      </c>
      <c r="F40" t="s">
        <v>25</v>
      </c>
      <c r="I40" t="s">
        <v>20</v>
      </c>
      <c r="J40">
        <v>23.8</v>
      </c>
      <c r="K40" t="s">
        <v>21</v>
      </c>
      <c r="L40" t="s">
        <v>47</v>
      </c>
      <c r="M40" t="s">
        <v>90</v>
      </c>
    </row>
    <row r="41" spans="1:13" x14ac:dyDescent="0.25">
      <c r="A41" t="s">
        <v>43</v>
      </c>
      <c r="D41" t="s">
        <v>44</v>
      </c>
      <c r="F41" t="s">
        <v>25</v>
      </c>
      <c r="I41" t="s">
        <v>20</v>
      </c>
      <c r="J41">
        <v>2.2999999999999998</v>
      </c>
      <c r="K41" t="s">
        <v>21</v>
      </c>
      <c r="L41" t="s">
        <v>46</v>
      </c>
      <c r="M41" t="s">
        <v>90</v>
      </c>
    </row>
    <row r="42" spans="1:13" x14ac:dyDescent="0.25">
      <c r="A42" t="s">
        <v>43</v>
      </c>
      <c r="D42" t="s">
        <v>45</v>
      </c>
      <c r="F42" t="s">
        <v>25</v>
      </c>
      <c r="I42" t="s">
        <v>20</v>
      </c>
      <c r="J42">
        <v>2.2999999999999998</v>
      </c>
      <c r="K42" t="s">
        <v>21</v>
      </c>
      <c r="L42" t="s">
        <v>46</v>
      </c>
      <c r="M42" t="s">
        <v>90</v>
      </c>
    </row>
    <row r="43" spans="1:13" x14ac:dyDescent="0.25">
      <c r="A43" t="s">
        <v>64</v>
      </c>
      <c r="C43" t="s">
        <v>84</v>
      </c>
      <c r="F43" t="s">
        <v>25</v>
      </c>
      <c r="I43" t="s">
        <v>20</v>
      </c>
      <c r="J43">
        <v>89.9</v>
      </c>
      <c r="K43" t="s">
        <v>21</v>
      </c>
      <c r="M43" t="s">
        <v>90</v>
      </c>
    </row>
    <row r="44" spans="1:13" x14ac:dyDescent="0.25">
      <c r="A44" t="s">
        <v>64</v>
      </c>
      <c r="C44" t="s">
        <v>65</v>
      </c>
      <c r="D44" t="s">
        <v>66</v>
      </c>
      <c r="F44" t="s">
        <v>25</v>
      </c>
      <c r="I44" t="s">
        <v>20</v>
      </c>
      <c r="J44">
        <v>0</v>
      </c>
      <c r="K44" t="s">
        <v>21</v>
      </c>
      <c r="M44" t="s">
        <v>90</v>
      </c>
    </row>
    <row r="45" spans="1:13" x14ac:dyDescent="0.25">
      <c r="A45" t="s">
        <v>64</v>
      </c>
      <c r="C45" t="s">
        <v>65</v>
      </c>
      <c r="F45" t="s">
        <v>25</v>
      </c>
      <c r="I45" t="s">
        <v>20</v>
      </c>
      <c r="J45">
        <v>89.9</v>
      </c>
      <c r="K45" t="s">
        <v>21</v>
      </c>
      <c r="L45" t="s">
        <v>68</v>
      </c>
      <c r="M45" t="s">
        <v>90</v>
      </c>
    </row>
    <row r="46" spans="1:13" x14ac:dyDescent="0.25">
      <c r="A46" t="s">
        <v>1</v>
      </c>
      <c r="C46" t="s">
        <v>2</v>
      </c>
      <c r="D46" t="s">
        <v>3</v>
      </c>
      <c r="F46" t="s">
        <v>26</v>
      </c>
      <c r="I46" t="s">
        <v>20</v>
      </c>
      <c r="J46">
        <v>1</v>
      </c>
      <c r="K46" t="s">
        <v>21</v>
      </c>
      <c r="M46" t="s">
        <v>91</v>
      </c>
    </row>
    <row r="47" spans="1:13" x14ac:dyDescent="0.25">
      <c r="A47" t="s">
        <v>1</v>
      </c>
      <c r="C47" t="s">
        <v>9</v>
      </c>
      <c r="D47" t="s">
        <v>3</v>
      </c>
      <c r="F47" t="s">
        <v>26</v>
      </c>
      <c r="I47" t="s">
        <v>20</v>
      </c>
      <c r="J47">
        <v>21.2</v>
      </c>
      <c r="K47" t="s">
        <v>21</v>
      </c>
      <c r="M47" t="s">
        <v>91</v>
      </c>
    </row>
    <row r="48" spans="1:13" x14ac:dyDescent="0.25">
      <c r="A48" t="s">
        <v>1</v>
      </c>
      <c r="D48" t="s">
        <v>12</v>
      </c>
      <c r="F48" t="s">
        <v>26</v>
      </c>
      <c r="I48" t="s">
        <v>20</v>
      </c>
      <c r="J48">
        <v>13.3</v>
      </c>
      <c r="K48" t="s">
        <v>21</v>
      </c>
      <c r="M48" t="s">
        <v>91</v>
      </c>
    </row>
    <row r="49" spans="1:13" x14ac:dyDescent="0.25">
      <c r="A49" t="s">
        <v>1</v>
      </c>
      <c r="D49" t="s">
        <v>13</v>
      </c>
      <c r="F49" t="s">
        <v>26</v>
      </c>
      <c r="I49" t="s">
        <v>20</v>
      </c>
      <c r="J49">
        <v>33.5</v>
      </c>
      <c r="K49" t="s">
        <v>21</v>
      </c>
      <c r="M49" t="s">
        <v>91</v>
      </c>
    </row>
    <row r="50" spans="1:13" x14ac:dyDescent="0.25">
      <c r="A50" t="s">
        <v>1</v>
      </c>
      <c r="D50" t="s">
        <v>15</v>
      </c>
      <c r="F50" t="s">
        <v>26</v>
      </c>
      <c r="I50" t="s">
        <v>20</v>
      </c>
      <c r="J50">
        <v>25.6</v>
      </c>
      <c r="K50" t="s">
        <v>21</v>
      </c>
      <c r="L50" s="1" t="s">
        <v>23</v>
      </c>
      <c r="M50" t="s">
        <v>91</v>
      </c>
    </row>
    <row r="51" spans="1:13" x14ac:dyDescent="0.25">
      <c r="A51" t="s">
        <v>1</v>
      </c>
      <c r="D51" t="s">
        <v>16</v>
      </c>
      <c r="F51" t="s">
        <v>26</v>
      </c>
      <c r="I51" t="s">
        <v>20</v>
      </c>
      <c r="J51">
        <v>25.6</v>
      </c>
      <c r="K51" t="s">
        <v>21</v>
      </c>
      <c r="L51" s="1" t="s">
        <v>23</v>
      </c>
      <c r="M51" t="s">
        <v>91</v>
      </c>
    </row>
    <row r="52" spans="1:13" x14ac:dyDescent="0.25">
      <c r="A52" t="s">
        <v>1</v>
      </c>
      <c r="D52" t="s">
        <v>17</v>
      </c>
      <c r="F52" t="s">
        <v>26</v>
      </c>
      <c r="I52" t="s">
        <v>20</v>
      </c>
      <c r="J52">
        <v>25.6</v>
      </c>
      <c r="K52" t="s">
        <v>21</v>
      </c>
      <c r="L52" t="s">
        <v>18</v>
      </c>
      <c r="M52" t="s">
        <v>91</v>
      </c>
    </row>
    <row r="53" spans="1:13" x14ac:dyDescent="0.25">
      <c r="A53" t="s">
        <v>69</v>
      </c>
      <c r="F53" t="s">
        <v>26</v>
      </c>
      <c r="I53" t="s">
        <v>20</v>
      </c>
      <c r="J53">
        <v>2</v>
      </c>
      <c r="K53" t="s">
        <v>21</v>
      </c>
      <c r="M53" t="s">
        <v>91</v>
      </c>
    </row>
    <row r="54" spans="1:13" x14ac:dyDescent="0.25">
      <c r="A54" t="s">
        <v>83</v>
      </c>
      <c r="F54" t="s">
        <v>26</v>
      </c>
      <c r="I54" t="s">
        <v>20</v>
      </c>
      <c r="J54">
        <v>0</v>
      </c>
      <c r="K54" t="s">
        <v>21</v>
      </c>
      <c r="M54" t="s">
        <v>91</v>
      </c>
    </row>
    <row r="55" spans="1:13" x14ac:dyDescent="0.25">
      <c r="A55" t="s">
        <v>43</v>
      </c>
      <c r="F55" t="s">
        <v>26</v>
      </c>
      <c r="I55" t="s">
        <v>20</v>
      </c>
      <c r="J55">
        <v>19.8</v>
      </c>
      <c r="K55" t="s">
        <v>21</v>
      </c>
      <c r="L55" t="s">
        <v>47</v>
      </c>
      <c r="M55" t="s">
        <v>91</v>
      </c>
    </row>
    <row r="56" spans="1:13" x14ac:dyDescent="0.25">
      <c r="A56" t="s">
        <v>43</v>
      </c>
      <c r="D56" t="s">
        <v>44</v>
      </c>
      <c r="F56" t="s">
        <v>26</v>
      </c>
      <c r="I56" t="s">
        <v>20</v>
      </c>
      <c r="J56">
        <v>1</v>
      </c>
      <c r="K56" t="s">
        <v>21</v>
      </c>
      <c r="L56" t="s">
        <v>46</v>
      </c>
      <c r="M56" t="s">
        <v>91</v>
      </c>
    </row>
    <row r="57" spans="1:13" x14ac:dyDescent="0.25">
      <c r="A57" t="s">
        <v>43</v>
      </c>
      <c r="D57" t="s">
        <v>45</v>
      </c>
      <c r="F57" t="s">
        <v>26</v>
      </c>
      <c r="I57" t="s">
        <v>20</v>
      </c>
      <c r="J57">
        <v>1</v>
      </c>
      <c r="K57" t="s">
        <v>21</v>
      </c>
      <c r="L57" t="s">
        <v>46</v>
      </c>
      <c r="M57" t="s">
        <v>91</v>
      </c>
    </row>
    <row r="58" spans="1:13" x14ac:dyDescent="0.25">
      <c r="A58" t="s">
        <v>64</v>
      </c>
      <c r="C58" t="s">
        <v>84</v>
      </c>
      <c r="F58" t="s">
        <v>26</v>
      </c>
      <c r="I58" t="s">
        <v>20</v>
      </c>
      <c r="J58">
        <v>3.2</v>
      </c>
      <c r="K58" t="s">
        <v>21</v>
      </c>
      <c r="M58" t="s">
        <v>91</v>
      </c>
    </row>
    <row r="59" spans="1:13" x14ac:dyDescent="0.25">
      <c r="A59" t="s">
        <v>64</v>
      </c>
      <c r="C59" t="s">
        <v>65</v>
      </c>
      <c r="D59" t="s">
        <v>66</v>
      </c>
      <c r="F59" t="s">
        <v>26</v>
      </c>
      <c r="I59" t="s">
        <v>20</v>
      </c>
      <c r="J59">
        <v>100</v>
      </c>
      <c r="K59" t="s">
        <v>21</v>
      </c>
      <c r="M59" t="s">
        <v>91</v>
      </c>
    </row>
    <row r="60" spans="1:13" x14ac:dyDescent="0.25">
      <c r="A60" t="s">
        <v>64</v>
      </c>
      <c r="C60" t="s">
        <v>65</v>
      </c>
      <c r="F60" t="s">
        <v>26</v>
      </c>
      <c r="I60" t="s">
        <v>20</v>
      </c>
      <c r="J60">
        <v>3.2</v>
      </c>
      <c r="K60" t="s">
        <v>21</v>
      </c>
      <c r="L60" t="s">
        <v>68</v>
      </c>
      <c r="M60" t="s">
        <v>91</v>
      </c>
    </row>
    <row r="61" spans="1:13" x14ac:dyDescent="0.25">
      <c r="I61" s="1"/>
      <c r="J61" s="1"/>
      <c r="K61" s="1"/>
      <c r="L61" s="1"/>
    </row>
    <row r="62" spans="1:13" x14ac:dyDescent="0.25">
      <c r="A62" s="2" t="s">
        <v>49</v>
      </c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</row>
    <row r="63" spans="1:13" x14ac:dyDescent="0.25">
      <c r="A63" s="14" t="s">
        <v>105</v>
      </c>
      <c r="B63" s="15"/>
      <c r="C63" s="15"/>
      <c r="D63" s="15"/>
      <c r="E63" s="15"/>
      <c r="F63" s="15"/>
      <c r="G63" s="15"/>
      <c r="H63" s="15"/>
      <c r="I63" s="15"/>
      <c r="J63" s="15"/>
      <c r="K63" s="15"/>
      <c r="L63" s="15"/>
      <c r="M63" s="15"/>
    </row>
    <row r="64" spans="1:13" x14ac:dyDescent="0.25">
      <c r="I64" s="5" t="s">
        <v>92</v>
      </c>
      <c r="J64" s="5">
        <v>0.04</v>
      </c>
      <c r="K64" s="5" t="s">
        <v>94</v>
      </c>
      <c r="L64" s="5" t="s">
        <v>95</v>
      </c>
      <c r="M64" s="5" t="s">
        <v>93</v>
      </c>
    </row>
    <row r="65" spans="1:13" x14ac:dyDescent="0.25">
      <c r="A65" s="5" t="s">
        <v>43</v>
      </c>
      <c r="I65" s="5" t="s">
        <v>92</v>
      </c>
      <c r="J65" s="5">
        <v>0.02</v>
      </c>
      <c r="K65" s="5" t="s">
        <v>94</v>
      </c>
      <c r="M65" s="5" t="s">
        <v>93</v>
      </c>
    </row>
    <row r="66" spans="1:13" x14ac:dyDescent="0.25">
      <c r="A66" s="5"/>
      <c r="I66" s="5"/>
      <c r="J66" s="5"/>
      <c r="K66" s="5"/>
      <c r="M66" s="5"/>
    </row>
    <row r="67" spans="1:13" x14ac:dyDescent="0.25">
      <c r="A67" s="14" t="s">
        <v>106</v>
      </c>
      <c r="B67" s="15"/>
      <c r="C67" s="15"/>
      <c r="D67" s="15"/>
      <c r="E67" s="15"/>
      <c r="F67" s="16"/>
      <c r="G67" s="15"/>
      <c r="H67" s="15"/>
      <c r="I67" s="15"/>
      <c r="J67" s="15"/>
      <c r="K67" s="15"/>
      <c r="L67" s="15"/>
      <c r="M67" s="15"/>
    </row>
    <row r="68" spans="1:13" x14ac:dyDescent="0.25">
      <c r="I68" s="6" t="s">
        <v>78</v>
      </c>
      <c r="J68" s="6">
        <v>0</v>
      </c>
      <c r="K68" s="6" t="s">
        <v>79</v>
      </c>
      <c r="L68" s="6" t="s">
        <v>80</v>
      </c>
    </row>
    <row r="69" spans="1:13" x14ac:dyDescent="0.25">
      <c r="A69" t="s">
        <v>1</v>
      </c>
      <c r="C69" t="s">
        <v>2</v>
      </c>
      <c r="D69" t="s">
        <v>3</v>
      </c>
      <c r="I69" t="s">
        <v>78</v>
      </c>
      <c r="J69">
        <v>0.24</v>
      </c>
      <c r="K69" t="s">
        <v>79</v>
      </c>
      <c r="M69" t="s">
        <v>87</v>
      </c>
    </row>
    <row r="70" spans="1:13" x14ac:dyDescent="0.25">
      <c r="A70" t="s">
        <v>1</v>
      </c>
      <c r="I70" t="s">
        <v>78</v>
      </c>
      <c r="J70">
        <v>0.18</v>
      </c>
      <c r="K70" t="s">
        <v>79</v>
      </c>
      <c r="M70" t="s">
        <v>87</v>
      </c>
    </row>
    <row r="71" spans="1:13" x14ac:dyDescent="0.25">
      <c r="A71" t="s">
        <v>83</v>
      </c>
      <c r="I71" t="s">
        <v>78</v>
      </c>
      <c r="J71">
        <v>0.19</v>
      </c>
      <c r="K71" t="s">
        <v>79</v>
      </c>
      <c r="M71" t="s">
        <v>96</v>
      </c>
    </row>
    <row r="72" spans="1:13" x14ac:dyDescent="0.25">
      <c r="A72" t="s">
        <v>69</v>
      </c>
      <c r="I72" t="s">
        <v>78</v>
      </c>
      <c r="J72">
        <v>0.3</v>
      </c>
      <c r="K72" t="s">
        <v>79</v>
      </c>
      <c r="M72" t="s">
        <v>96</v>
      </c>
    </row>
    <row r="73" spans="1:13" x14ac:dyDescent="0.25">
      <c r="A73" t="s">
        <v>43</v>
      </c>
      <c r="I73" t="s">
        <v>78</v>
      </c>
      <c r="J73">
        <v>0.45</v>
      </c>
      <c r="K73" t="s">
        <v>79</v>
      </c>
      <c r="M73" t="s">
        <v>87</v>
      </c>
    </row>
    <row r="74" spans="1:13" x14ac:dyDescent="0.25">
      <c r="A74" t="s">
        <v>64</v>
      </c>
      <c r="C74" t="s">
        <v>65</v>
      </c>
      <c r="I74" t="s">
        <v>78</v>
      </c>
      <c r="J74">
        <v>0.36</v>
      </c>
      <c r="K74" t="s">
        <v>79</v>
      </c>
      <c r="M74" t="s">
        <v>96</v>
      </c>
    </row>
    <row r="75" spans="1:13" x14ac:dyDescent="0.25">
      <c r="A75" t="s">
        <v>64</v>
      </c>
      <c r="C75" t="s">
        <v>84</v>
      </c>
      <c r="I75" t="s">
        <v>78</v>
      </c>
      <c r="J75">
        <v>0.39</v>
      </c>
      <c r="K75" t="s">
        <v>79</v>
      </c>
      <c r="M75" t="s">
        <v>96</v>
      </c>
    </row>
    <row r="77" spans="1:13" x14ac:dyDescent="0.25">
      <c r="F77" s="5" t="s">
        <v>19</v>
      </c>
      <c r="I77" t="s">
        <v>85</v>
      </c>
      <c r="J77">
        <v>1</v>
      </c>
      <c r="K77" t="s">
        <v>86</v>
      </c>
      <c r="M77" t="s">
        <v>87</v>
      </c>
    </row>
    <row r="78" spans="1:13" x14ac:dyDescent="0.25">
      <c r="F78" s="5" t="s">
        <v>24</v>
      </c>
      <c r="I78" t="s">
        <v>85</v>
      </c>
      <c r="J78">
        <v>3.5</v>
      </c>
      <c r="K78" t="s">
        <v>86</v>
      </c>
      <c r="M78" t="s">
        <v>87</v>
      </c>
    </row>
    <row r="79" spans="1:13" x14ac:dyDescent="0.25">
      <c r="F79" s="5" t="s">
        <v>25</v>
      </c>
      <c r="I79" t="s">
        <v>85</v>
      </c>
      <c r="J79">
        <v>2</v>
      </c>
      <c r="K79" t="s">
        <v>86</v>
      </c>
      <c r="M79" t="s">
        <v>87</v>
      </c>
    </row>
    <row r="80" spans="1:13" x14ac:dyDescent="0.25">
      <c r="F80" s="5" t="s">
        <v>26</v>
      </c>
      <c r="I80" t="s">
        <v>85</v>
      </c>
      <c r="J80">
        <v>17</v>
      </c>
      <c r="K80" t="s">
        <v>86</v>
      </c>
      <c r="M80" t="s">
        <v>87</v>
      </c>
    </row>
    <row r="82" spans="1:13" x14ac:dyDescent="0.25">
      <c r="I82" t="s">
        <v>98</v>
      </c>
      <c r="J82">
        <v>55</v>
      </c>
      <c r="K82" t="s">
        <v>21</v>
      </c>
      <c r="L82" t="s">
        <v>101</v>
      </c>
      <c r="M82" t="s">
        <v>99</v>
      </c>
    </row>
    <row r="83" spans="1:13" x14ac:dyDescent="0.25">
      <c r="F83" s="5"/>
      <c r="I83" t="s">
        <v>100</v>
      </c>
      <c r="J83">
        <v>10</v>
      </c>
      <c r="K83" t="s">
        <v>21</v>
      </c>
      <c r="L83" t="s">
        <v>102</v>
      </c>
      <c r="M83" t="s">
        <v>99</v>
      </c>
    </row>
    <row r="84" spans="1:13" x14ac:dyDescent="0.25">
      <c r="F84" s="5" t="s">
        <v>19</v>
      </c>
      <c r="I84" t="s">
        <v>100</v>
      </c>
      <c r="J84">
        <v>0</v>
      </c>
      <c r="K84" t="s">
        <v>21</v>
      </c>
    </row>
    <row r="86" spans="1:13" x14ac:dyDescent="0.25">
      <c r="A86" s="2" t="s">
        <v>48</v>
      </c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</row>
    <row r="87" spans="1:13" s="12" customFormat="1" x14ac:dyDescent="0.25">
      <c r="A87" s="14" t="s">
        <v>105</v>
      </c>
      <c r="B87" s="15"/>
      <c r="C87" s="15"/>
      <c r="D87" s="15"/>
      <c r="E87" s="15"/>
      <c r="F87" s="15"/>
      <c r="G87" s="15"/>
      <c r="H87" s="15"/>
      <c r="I87" s="15"/>
      <c r="J87" s="15"/>
      <c r="K87" s="15"/>
      <c r="L87" s="15"/>
      <c r="M87" s="15"/>
    </row>
    <row r="88" spans="1:13" s="12" customFormat="1" x14ac:dyDescent="0.25">
      <c r="A88" s="13"/>
    </row>
    <row r="89" spans="1:13" s="12" customFormat="1" x14ac:dyDescent="0.25">
      <c r="A89" s="13"/>
    </row>
    <row r="90" spans="1:13" s="12" customFormat="1" x14ac:dyDescent="0.25">
      <c r="A90" s="13"/>
    </row>
    <row r="91" spans="1:13" x14ac:dyDescent="0.25">
      <c r="A91" s="8" t="s">
        <v>1</v>
      </c>
      <c r="B91" s="8"/>
      <c r="C91" s="8" t="s">
        <v>2</v>
      </c>
      <c r="D91" s="8" t="s">
        <v>3</v>
      </c>
      <c r="E91" s="8"/>
      <c r="F91" s="8"/>
      <c r="G91" s="8"/>
      <c r="H91" s="8"/>
      <c r="I91" s="8" t="s">
        <v>7</v>
      </c>
      <c r="J91" s="8">
        <v>137</v>
      </c>
      <c r="K91" s="8" t="s">
        <v>8</v>
      </c>
      <c r="L91" s="8"/>
      <c r="M91" s="8" t="s">
        <v>6</v>
      </c>
    </row>
    <row r="92" spans="1:13" x14ac:dyDescent="0.25">
      <c r="A92" s="8" t="s">
        <v>1</v>
      </c>
      <c r="B92" s="8"/>
      <c r="C92" s="8" t="s">
        <v>9</v>
      </c>
      <c r="D92" s="8" t="s">
        <v>3</v>
      </c>
      <c r="E92" s="8"/>
      <c r="F92" s="8"/>
      <c r="G92" s="8"/>
      <c r="H92" s="8"/>
      <c r="I92" s="8" t="s">
        <v>7</v>
      </c>
      <c r="J92" s="8">
        <v>63</v>
      </c>
      <c r="K92" s="8" t="s">
        <v>8</v>
      </c>
      <c r="L92" s="8"/>
      <c r="M92" s="8" t="s">
        <v>11</v>
      </c>
    </row>
    <row r="93" spans="1:13" x14ac:dyDescent="0.25">
      <c r="A93" s="8" t="s">
        <v>1</v>
      </c>
      <c r="B93" s="8"/>
      <c r="C93" s="8"/>
      <c r="D93" s="8" t="s">
        <v>12</v>
      </c>
      <c r="E93" s="8"/>
      <c r="F93" s="8"/>
      <c r="G93" s="8"/>
      <c r="H93" s="8"/>
      <c r="I93" s="8" t="s">
        <v>7</v>
      </c>
      <c r="J93" s="8">
        <v>47</v>
      </c>
      <c r="K93" s="8" t="s">
        <v>8</v>
      </c>
      <c r="L93" s="8"/>
      <c r="M93" s="8" t="s">
        <v>11</v>
      </c>
    </row>
    <row r="94" spans="1:13" x14ac:dyDescent="0.25">
      <c r="A94" s="8" t="s">
        <v>1</v>
      </c>
      <c r="B94" s="8"/>
      <c r="C94" s="8"/>
      <c r="D94" s="8" t="s">
        <v>13</v>
      </c>
      <c r="E94" s="8"/>
      <c r="F94" s="8"/>
      <c r="G94" s="8"/>
      <c r="H94" s="8"/>
      <c r="I94" s="8" t="s">
        <v>7</v>
      </c>
      <c r="J94" s="8">
        <v>28</v>
      </c>
      <c r="K94" s="8" t="s">
        <v>8</v>
      </c>
      <c r="L94" s="8"/>
      <c r="M94" s="8" t="s">
        <v>11</v>
      </c>
    </row>
    <row r="95" spans="1:13" x14ac:dyDescent="0.25">
      <c r="A95" s="8" t="s">
        <v>1</v>
      </c>
      <c r="B95" s="8"/>
      <c r="C95" s="8"/>
      <c r="D95" s="8" t="s">
        <v>15</v>
      </c>
      <c r="E95" s="8"/>
      <c r="F95" s="8"/>
      <c r="G95" s="8"/>
      <c r="H95" s="8"/>
      <c r="I95" s="8" t="s">
        <v>7</v>
      </c>
      <c r="J95" s="8">
        <v>47</v>
      </c>
      <c r="K95" s="8" t="s">
        <v>8</v>
      </c>
      <c r="L95" s="8"/>
      <c r="M95" s="8" t="s">
        <v>11</v>
      </c>
    </row>
    <row r="96" spans="1:13" x14ac:dyDescent="0.25">
      <c r="A96" s="8" t="s">
        <v>1</v>
      </c>
      <c r="B96" s="8"/>
      <c r="C96" s="8"/>
      <c r="D96" s="8" t="s">
        <v>16</v>
      </c>
      <c r="E96" s="8"/>
      <c r="F96" s="8"/>
      <c r="G96" s="8"/>
      <c r="H96" s="8"/>
      <c r="I96" s="8" t="s">
        <v>7</v>
      </c>
      <c r="J96" s="8">
        <v>47</v>
      </c>
      <c r="K96" s="8" t="s">
        <v>8</v>
      </c>
      <c r="L96" s="8"/>
      <c r="M96" s="8" t="s">
        <v>11</v>
      </c>
    </row>
    <row r="97" spans="1:13" x14ac:dyDescent="0.25">
      <c r="A97" s="8" t="s">
        <v>1</v>
      </c>
      <c r="B97" s="8"/>
      <c r="C97" s="8"/>
      <c r="D97" s="8" t="s">
        <v>17</v>
      </c>
      <c r="E97" s="8"/>
      <c r="F97" s="8"/>
      <c r="G97" s="8"/>
      <c r="H97" s="8"/>
      <c r="I97" s="8" t="s">
        <v>7</v>
      </c>
      <c r="J97" s="8">
        <v>47</v>
      </c>
      <c r="K97" s="8" t="s">
        <v>8</v>
      </c>
      <c r="L97" s="8" t="s">
        <v>18</v>
      </c>
      <c r="M97" s="8" t="s">
        <v>11</v>
      </c>
    </row>
    <row r="98" spans="1:13" x14ac:dyDescent="0.25">
      <c r="A98" s="8" t="s">
        <v>43</v>
      </c>
      <c r="B98" s="8"/>
      <c r="C98" s="8"/>
      <c r="D98" s="8" t="s">
        <v>50</v>
      </c>
      <c r="E98" s="8"/>
      <c r="F98" s="8"/>
      <c r="G98" s="8"/>
      <c r="H98" s="8"/>
      <c r="I98" s="8" t="s">
        <v>7</v>
      </c>
      <c r="J98" s="8">
        <v>22.5</v>
      </c>
      <c r="K98" s="8" t="s">
        <v>8</v>
      </c>
      <c r="L98" s="8"/>
      <c r="M98" s="8" t="s">
        <v>11</v>
      </c>
    </row>
    <row r="99" spans="1:13" x14ac:dyDescent="0.25">
      <c r="A99" s="8" t="s">
        <v>43</v>
      </c>
      <c r="B99" s="8"/>
      <c r="C99" s="8"/>
      <c r="D99" s="8" t="s">
        <v>51</v>
      </c>
      <c r="E99" s="8"/>
      <c r="F99" s="8"/>
      <c r="G99" s="8"/>
      <c r="H99" s="8"/>
      <c r="I99" s="8" t="s">
        <v>7</v>
      </c>
      <c r="J99" s="8">
        <v>13</v>
      </c>
      <c r="K99" s="8" t="s">
        <v>8</v>
      </c>
      <c r="L99" s="8"/>
      <c r="M99" s="8" t="s">
        <v>11</v>
      </c>
    </row>
    <row r="100" spans="1:13" x14ac:dyDescent="0.25">
      <c r="A100" s="8" t="s">
        <v>43</v>
      </c>
      <c r="B100" s="8"/>
      <c r="C100" s="8"/>
      <c r="D100" s="8" t="s">
        <v>52</v>
      </c>
      <c r="E100" s="8"/>
      <c r="F100" s="8"/>
      <c r="G100" s="8"/>
      <c r="H100" s="8"/>
      <c r="I100" s="8" t="s">
        <v>7</v>
      </c>
      <c r="J100" s="8">
        <v>1.2</v>
      </c>
      <c r="K100" s="8" t="s">
        <v>8</v>
      </c>
      <c r="L100" s="9" t="s">
        <v>56</v>
      </c>
      <c r="M100" s="8" t="s">
        <v>11</v>
      </c>
    </row>
    <row r="101" spans="1:13" x14ac:dyDescent="0.25">
      <c r="A101" s="8" t="s">
        <v>43</v>
      </c>
      <c r="B101" s="8"/>
      <c r="C101" s="8"/>
      <c r="D101" s="8" t="s">
        <v>53</v>
      </c>
      <c r="E101" s="8"/>
      <c r="F101" s="8"/>
      <c r="G101" s="8"/>
      <c r="H101" s="8"/>
      <c r="I101" s="8" t="s">
        <v>7</v>
      </c>
      <c r="J101" s="8">
        <v>9.5</v>
      </c>
      <c r="K101" s="8" t="s">
        <v>8</v>
      </c>
      <c r="L101" s="8" t="s">
        <v>54</v>
      </c>
      <c r="M101" s="8" t="s">
        <v>11</v>
      </c>
    </row>
    <row r="102" spans="1:13" x14ac:dyDescent="0.25">
      <c r="A102" s="8" t="s">
        <v>43</v>
      </c>
      <c r="B102" s="8"/>
      <c r="C102" s="8"/>
      <c r="D102" s="8" t="s">
        <v>44</v>
      </c>
      <c r="E102" s="8"/>
      <c r="F102" s="8"/>
      <c r="G102" s="8"/>
      <c r="H102" s="8"/>
      <c r="I102" s="8" t="s">
        <v>7</v>
      </c>
      <c r="J102" s="8">
        <v>9.5</v>
      </c>
      <c r="K102" s="8" t="s">
        <v>8</v>
      </c>
      <c r="L102" s="8" t="s">
        <v>55</v>
      </c>
      <c r="M102" s="8" t="s">
        <v>11</v>
      </c>
    </row>
    <row r="103" spans="1:13" x14ac:dyDescent="0.25">
      <c r="A103" s="8" t="s">
        <v>43</v>
      </c>
      <c r="B103" s="8"/>
      <c r="C103" s="8"/>
      <c r="D103" s="8" t="s">
        <v>45</v>
      </c>
      <c r="E103" s="8"/>
      <c r="F103" s="8"/>
      <c r="G103" s="8"/>
      <c r="H103" s="8"/>
      <c r="I103" s="8" t="s">
        <v>7</v>
      </c>
      <c r="J103" s="8">
        <v>9.5</v>
      </c>
      <c r="K103" s="8" t="s">
        <v>8</v>
      </c>
      <c r="L103" s="8" t="s">
        <v>55</v>
      </c>
      <c r="M103" s="8" t="s">
        <v>11</v>
      </c>
    </row>
    <row r="104" spans="1:13" x14ac:dyDescent="0.25">
      <c r="A104" t="s">
        <v>69</v>
      </c>
      <c r="I104" t="s">
        <v>7</v>
      </c>
      <c r="J104">
        <v>48</v>
      </c>
      <c r="K104" t="s">
        <v>8</v>
      </c>
      <c r="M104" t="s">
        <v>11</v>
      </c>
    </row>
    <row r="105" spans="1:13" x14ac:dyDescent="0.25">
      <c r="A105" t="s">
        <v>69</v>
      </c>
      <c r="I105" t="s">
        <v>128</v>
      </c>
      <c r="J105" s="17">
        <f>J104 * (6.4/2.29)/16</f>
        <v>8.3842794759825345</v>
      </c>
      <c r="K105" t="s">
        <v>131</v>
      </c>
      <c r="L105" t="s">
        <v>133</v>
      </c>
      <c r="M105" t="s">
        <v>137</v>
      </c>
    </row>
    <row r="106" spans="1:13" x14ac:dyDescent="0.25">
      <c r="A106" t="s">
        <v>69</v>
      </c>
      <c r="I106" t="s">
        <v>129</v>
      </c>
      <c r="J106" s="17">
        <f>J104 * (15.9/(47/39))/16</f>
        <v>39.58085106382979</v>
      </c>
      <c r="K106" t="s">
        <v>132</v>
      </c>
      <c r="L106" t="s">
        <v>134</v>
      </c>
      <c r="M106" t="s">
        <v>137</v>
      </c>
    </row>
    <row r="107" spans="1:13" x14ac:dyDescent="0.25">
      <c r="A107" t="s">
        <v>64</v>
      </c>
      <c r="C107" t="s">
        <v>84</v>
      </c>
      <c r="I107" t="s">
        <v>7</v>
      </c>
      <c r="J107" s="19">
        <v>0.6</v>
      </c>
      <c r="K107" t="s">
        <v>8</v>
      </c>
      <c r="M107" t="s">
        <v>11</v>
      </c>
    </row>
    <row r="108" spans="1:13" x14ac:dyDescent="0.25">
      <c r="A108" t="s">
        <v>64</v>
      </c>
      <c r="C108" t="s">
        <v>84</v>
      </c>
      <c r="I108" t="s">
        <v>128</v>
      </c>
      <c r="J108" s="19">
        <f>J107 * (0.39/2.29)/0.75</f>
        <v>0.13624454148471615</v>
      </c>
      <c r="K108" t="s">
        <v>131</v>
      </c>
      <c r="L108" t="s">
        <v>133</v>
      </c>
      <c r="M108" t="s">
        <v>136</v>
      </c>
    </row>
    <row r="109" spans="1:13" x14ac:dyDescent="0.25">
      <c r="A109" t="s">
        <v>64</v>
      </c>
      <c r="C109" t="s">
        <v>84</v>
      </c>
      <c r="I109" t="s">
        <v>129</v>
      </c>
      <c r="J109" s="19">
        <f>J107 * (0.33/(47/39))/0.75</f>
        <v>0.21906382978723404</v>
      </c>
      <c r="K109" t="s">
        <v>132</v>
      </c>
      <c r="L109" t="s">
        <v>134</v>
      </c>
      <c r="M109" t="s">
        <v>136</v>
      </c>
    </row>
    <row r="110" spans="1:13" x14ac:dyDescent="0.25">
      <c r="A110" t="s">
        <v>64</v>
      </c>
      <c r="C110" t="s">
        <v>65</v>
      </c>
      <c r="D110" t="s">
        <v>66</v>
      </c>
      <c r="I110" t="s">
        <v>7</v>
      </c>
      <c r="J110">
        <v>0.28999999999999998</v>
      </c>
      <c r="K110" t="s">
        <v>8</v>
      </c>
      <c r="M110" t="s">
        <v>11</v>
      </c>
    </row>
    <row r="111" spans="1:13" x14ac:dyDescent="0.25">
      <c r="A111" t="s">
        <v>64</v>
      </c>
      <c r="C111" t="s">
        <v>65</v>
      </c>
      <c r="D111" t="s">
        <v>66</v>
      </c>
      <c r="I111" t="s">
        <v>128</v>
      </c>
      <c r="J111" s="19">
        <f>J110 * (0.19/2.29)/0.53</f>
        <v>4.5398368624866105E-2</v>
      </c>
      <c r="K111" t="s">
        <v>131</v>
      </c>
      <c r="L111" t="s">
        <v>133</v>
      </c>
      <c r="M111" t="s">
        <v>130</v>
      </c>
    </row>
    <row r="112" spans="1:13" x14ac:dyDescent="0.25">
      <c r="A112" t="s">
        <v>64</v>
      </c>
      <c r="C112" t="s">
        <v>65</v>
      </c>
      <c r="D112" t="s">
        <v>66</v>
      </c>
      <c r="I112" t="s">
        <v>129</v>
      </c>
      <c r="J112" s="19">
        <f>J110 * (0.26/(47/39))/0.53</f>
        <v>0.11804897631473303</v>
      </c>
      <c r="K112" t="s">
        <v>132</v>
      </c>
      <c r="L112" t="s">
        <v>134</v>
      </c>
      <c r="M112" t="s">
        <v>130</v>
      </c>
    </row>
    <row r="113" spans="1:13" x14ac:dyDescent="0.25">
      <c r="A113" t="s">
        <v>64</v>
      </c>
      <c r="C113" t="s">
        <v>65</v>
      </c>
      <c r="I113" t="s">
        <v>7</v>
      </c>
      <c r="J113" s="19">
        <v>0.6</v>
      </c>
      <c r="K113" t="s">
        <v>8</v>
      </c>
      <c r="L113" t="s">
        <v>67</v>
      </c>
      <c r="M113" t="s">
        <v>11</v>
      </c>
    </row>
    <row r="114" spans="1:13" x14ac:dyDescent="0.25">
      <c r="A114" t="s">
        <v>64</v>
      </c>
      <c r="C114" t="s">
        <v>65</v>
      </c>
      <c r="I114" t="s">
        <v>128</v>
      </c>
      <c r="J114" s="19">
        <f>J113 * (0.55/2.29)/1.12</f>
        <v>0.12866500311915158</v>
      </c>
      <c r="K114" t="s">
        <v>131</v>
      </c>
      <c r="L114" t="s">
        <v>133</v>
      </c>
      <c r="M114" t="s">
        <v>135</v>
      </c>
    </row>
    <row r="115" spans="1:13" x14ac:dyDescent="0.25">
      <c r="A115" t="s">
        <v>64</v>
      </c>
      <c r="C115" t="s">
        <v>65</v>
      </c>
      <c r="I115" t="s">
        <v>129</v>
      </c>
      <c r="J115" s="19">
        <f>J113 * (0.44/(47/39))/1.12</f>
        <v>0.19559270516717325</v>
      </c>
      <c r="K115" t="s">
        <v>132</v>
      </c>
      <c r="L115" t="s">
        <v>134</v>
      </c>
      <c r="M115" t="s">
        <v>135</v>
      </c>
    </row>
    <row r="116" spans="1:13" x14ac:dyDescent="0.25">
      <c r="F116" s="5"/>
    </row>
    <row r="117" spans="1:13" s="12" customFormat="1" x14ac:dyDescent="0.25">
      <c r="A117" s="13"/>
      <c r="I117" s="6" t="s">
        <v>103</v>
      </c>
      <c r="J117" s="18">
        <v>0</v>
      </c>
      <c r="K117" s="18"/>
      <c r="L117" s="18" t="s">
        <v>123</v>
      </c>
    </row>
    <row r="118" spans="1:13" s="12" customFormat="1" x14ac:dyDescent="0.25">
      <c r="A118" s="13"/>
      <c r="I118" s="6" t="s">
        <v>107</v>
      </c>
      <c r="J118" s="18">
        <v>0</v>
      </c>
      <c r="K118" s="18"/>
      <c r="L118" s="18" t="s">
        <v>123</v>
      </c>
    </row>
    <row r="119" spans="1:13" s="12" customFormat="1" x14ac:dyDescent="0.25">
      <c r="A119" s="13"/>
      <c r="I119" s="6" t="s">
        <v>108</v>
      </c>
      <c r="J119" s="18">
        <v>0</v>
      </c>
      <c r="K119" s="18"/>
      <c r="L119" s="18" t="s">
        <v>123</v>
      </c>
    </row>
    <row r="120" spans="1:13" x14ac:dyDescent="0.25">
      <c r="A120" t="s">
        <v>1</v>
      </c>
      <c r="D120" t="s">
        <v>3</v>
      </c>
      <c r="F120" s="5"/>
      <c r="I120" t="s">
        <v>103</v>
      </c>
      <c r="J120">
        <v>22.5</v>
      </c>
      <c r="K120" t="s">
        <v>109</v>
      </c>
      <c r="L120" t="s">
        <v>112</v>
      </c>
      <c r="M120" t="s">
        <v>125</v>
      </c>
    </row>
    <row r="121" spans="1:13" x14ac:dyDescent="0.25">
      <c r="A121" t="s">
        <v>1</v>
      </c>
      <c r="D121" t="s">
        <v>3</v>
      </c>
      <c r="F121" s="5"/>
      <c r="I121" t="s">
        <v>107</v>
      </c>
      <c r="J121">
        <v>7.4</v>
      </c>
      <c r="K121" t="s">
        <v>110</v>
      </c>
      <c r="M121" t="s">
        <v>125</v>
      </c>
    </row>
    <row r="122" spans="1:13" x14ac:dyDescent="0.25">
      <c r="A122" t="s">
        <v>1</v>
      </c>
      <c r="D122" t="s">
        <v>3</v>
      </c>
      <c r="F122" s="5"/>
      <c r="I122" t="s">
        <v>108</v>
      </c>
      <c r="J122" s="17">
        <v>2</v>
      </c>
      <c r="K122" t="s">
        <v>111</v>
      </c>
      <c r="M122" t="s">
        <v>125</v>
      </c>
    </row>
    <row r="123" spans="1:13" x14ac:dyDescent="0.25">
      <c r="A123" t="s">
        <v>1</v>
      </c>
      <c r="D123" t="s">
        <v>12</v>
      </c>
      <c r="F123" s="5"/>
      <c r="I123" t="s">
        <v>103</v>
      </c>
      <c r="J123">
        <f>23.1</f>
        <v>23.1</v>
      </c>
      <c r="K123" t="s">
        <v>109</v>
      </c>
      <c r="L123" t="s">
        <v>113</v>
      </c>
      <c r="M123" t="s">
        <v>125</v>
      </c>
    </row>
    <row r="124" spans="1:13" x14ac:dyDescent="0.25">
      <c r="A124" t="s">
        <v>1</v>
      </c>
      <c r="D124" t="s">
        <v>12</v>
      </c>
      <c r="F124" s="5"/>
      <c r="I124" t="s">
        <v>107</v>
      </c>
      <c r="J124">
        <v>7.4</v>
      </c>
      <c r="K124" t="s">
        <v>110</v>
      </c>
      <c r="M124" t="s">
        <v>125</v>
      </c>
    </row>
    <row r="125" spans="1:13" x14ac:dyDescent="0.25">
      <c r="A125" t="s">
        <v>1</v>
      </c>
      <c r="D125" t="s">
        <v>12</v>
      </c>
      <c r="F125" s="5"/>
      <c r="I125" t="s">
        <v>108</v>
      </c>
      <c r="J125" s="17">
        <v>2</v>
      </c>
      <c r="K125" t="s">
        <v>111</v>
      </c>
      <c r="M125" t="s">
        <v>125</v>
      </c>
    </row>
    <row r="126" spans="1:13" x14ac:dyDescent="0.25">
      <c r="A126" t="s">
        <v>1</v>
      </c>
      <c r="D126" t="s">
        <v>13</v>
      </c>
      <c r="F126" s="5"/>
      <c r="I126" t="s">
        <v>103</v>
      </c>
      <c r="J126">
        <v>26.4</v>
      </c>
      <c r="K126" t="s">
        <v>109</v>
      </c>
      <c r="L126" t="s">
        <v>114</v>
      </c>
      <c r="M126" t="s">
        <v>125</v>
      </c>
    </row>
    <row r="127" spans="1:13" x14ac:dyDescent="0.25">
      <c r="A127" t="s">
        <v>1</v>
      </c>
      <c r="D127" t="s">
        <v>13</v>
      </c>
      <c r="F127" s="5"/>
      <c r="I127" t="s">
        <v>107</v>
      </c>
      <c r="J127">
        <v>6.85</v>
      </c>
      <c r="K127" t="s">
        <v>110</v>
      </c>
      <c r="M127" t="s">
        <v>125</v>
      </c>
    </row>
    <row r="128" spans="1:13" x14ac:dyDescent="0.25">
      <c r="A128" t="s">
        <v>1</v>
      </c>
      <c r="D128" t="s">
        <v>13</v>
      </c>
      <c r="F128" s="5"/>
      <c r="I128" t="s">
        <v>108</v>
      </c>
      <c r="J128">
        <v>1.69</v>
      </c>
      <c r="K128" t="s">
        <v>111</v>
      </c>
      <c r="M128" t="s">
        <v>125</v>
      </c>
    </row>
    <row r="129" spans="1:13" x14ac:dyDescent="0.25">
      <c r="A129" t="s">
        <v>1</v>
      </c>
      <c r="D129" t="s">
        <v>15</v>
      </c>
      <c r="F129" s="5"/>
      <c r="I129" t="s">
        <v>103</v>
      </c>
      <c r="J129">
        <v>27.04</v>
      </c>
      <c r="K129" t="s">
        <v>109</v>
      </c>
      <c r="L129" t="s">
        <v>116</v>
      </c>
      <c r="M129" t="s">
        <v>125</v>
      </c>
    </row>
    <row r="130" spans="1:13" x14ac:dyDescent="0.25">
      <c r="A130" t="s">
        <v>1</v>
      </c>
      <c r="D130" t="s">
        <v>15</v>
      </c>
      <c r="F130" s="5"/>
      <c r="I130" t="s">
        <v>107</v>
      </c>
      <c r="J130">
        <v>7.4</v>
      </c>
      <c r="K130" t="s">
        <v>110</v>
      </c>
      <c r="M130" t="s">
        <v>125</v>
      </c>
    </row>
    <row r="131" spans="1:13" x14ac:dyDescent="0.25">
      <c r="A131" t="s">
        <v>1</v>
      </c>
      <c r="D131" t="s">
        <v>15</v>
      </c>
      <c r="F131" s="5"/>
      <c r="I131" t="s">
        <v>108</v>
      </c>
      <c r="J131">
        <v>1.91</v>
      </c>
      <c r="K131" t="s">
        <v>111</v>
      </c>
      <c r="M131" t="s">
        <v>125</v>
      </c>
    </row>
    <row r="132" spans="1:13" x14ac:dyDescent="0.25">
      <c r="A132" t="s">
        <v>1</v>
      </c>
      <c r="D132" t="s">
        <v>16</v>
      </c>
      <c r="F132" s="5"/>
      <c r="I132" t="s">
        <v>103</v>
      </c>
      <c r="J132">
        <v>27.04</v>
      </c>
      <c r="K132" t="s">
        <v>109</v>
      </c>
      <c r="L132" t="s">
        <v>116</v>
      </c>
      <c r="M132" t="s">
        <v>125</v>
      </c>
    </row>
    <row r="133" spans="1:13" x14ac:dyDescent="0.25">
      <c r="A133" t="s">
        <v>1</v>
      </c>
      <c r="D133" t="s">
        <v>16</v>
      </c>
      <c r="F133" s="5"/>
      <c r="I133" t="s">
        <v>107</v>
      </c>
      <c r="J133">
        <v>7.4</v>
      </c>
      <c r="K133" t="s">
        <v>110</v>
      </c>
      <c r="M133" t="s">
        <v>125</v>
      </c>
    </row>
    <row r="134" spans="1:13" x14ac:dyDescent="0.25">
      <c r="A134" t="s">
        <v>1</v>
      </c>
      <c r="D134" t="s">
        <v>16</v>
      </c>
      <c r="F134" s="5"/>
      <c r="I134" t="s">
        <v>108</v>
      </c>
      <c r="J134">
        <v>1.91</v>
      </c>
      <c r="K134" t="s">
        <v>111</v>
      </c>
      <c r="M134" t="s">
        <v>125</v>
      </c>
    </row>
    <row r="135" spans="1:13" x14ac:dyDescent="0.25">
      <c r="A135" t="s">
        <v>1</v>
      </c>
      <c r="D135" t="s">
        <v>17</v>
      </c>
      <c r="F135" s="5"/>
      <c r="I135" t="s">
        <v>103</v>
      </c>
      <c r="J135">
        <v>25.28</v>
      </c>
      <c r="K135" t="s">
        <v>109</v>
      </c>
      <c r="L135" t="s">
        <v>115</v>
      </c>
      <c r="M135" t="s">
        <v>125</v>
      </c>
    </row>
    <row r="136" spans="1:13" x14ac:dyDescent="0.25">
      <c r="A136" t="s">
        <v>1</v>
      </c>
      <c r="D136" t="s">
        <v>17</v>
      </c>
      <c r="F136" s="5"/>
      <c r="I136" t="s">
        <v>107</v>
      </c>
      <c r="J136">
        <v>7.4</v>
      </c>
      <c r="K136" t="s">
        <v>110</v>
      </c>
      <c r="M136" t="s">
        <v>125</v>
      </c>
    </row>
    <row r="137" spans="1:13" x14ac:dyDescent="0.25">
      <c r="A137" t="s">
        <v>1</v>
      </c>
      <c r="D137" t="s">
        <v>17</v>
      </c>
      <c r="F137" s="5"/>
      <c r="I137" t="s">
        <v>108</v>
      </c>
      <c r="J137" s="17">
        <v>2</v>
      </c>
      <c r="K137" t="s">
        <v>111</v>
      </c>
      <c r="M137" t="s">
        <v>125</v>
      </c>
    </row>
    <row r="138" spans="1:13" x14ac:dyDescent="0.25">
      <c r="F138" s="5"/>
    </row>
    <row r="139" spans="1:13" x14ac:dyDescent="0.25">
      <c r="A139" t="s">
        <v>83</v>
      </c>
      <c r="F139" s="5"/>
      <c r="I139" t="s">
        <v>103</v>
      </c>
      <c r="J139" s="5">
        <v>25</v>
      </c>
      <c r="K139" t="s">
        <v>109</v>
      </c>
      <c r="L139" t="s">
        <v>126</v>
      </c>
      <c r="M139" t="s">
        <v>125</v>
      </c>
    </row>
    <row r="140" spans="1:13" x14ac:dyDescent="0.25">
      <c r="A140" t="s">
        <v>83</v>
      </c>
      <c r="F140" s="5"/>
      <c r="I140" t="s">
        <v>107</v>
      </c>
      <c r="J140" s="5">
        <v>7.8</v>
      </c>
      <c r="K140" t="s">
        <v>110</v>
      </c>
      <c r="M140" t="s">
        <v>125</v>
      </c>
    </row>
    <row r="141" spans="1:13" x14ac:dyDescent="0.25">
      <c r="A141" t="s">
        <v>83</v>
      </c>
      <c r="F141" s="5"/>
      <c r="I141" t="s">
        <v>108</v>
      </c>
      <c r="J141" s="5">
        <v>1.7</v>
      </c>
      <c r="K141" t="s">
        <v>111</v>
      </c>
      <c r="M141" t="s">
        <v>125</v>
      </c>
    </row>
    <row r="142" spans="1:13" x14ac:dyDescent="0.25">
      <c r="A142" t="s">
        <v>83</v>
      </c>
      <c r="D142" t="s">
        <v>117</v>
      </c>
      <c r="F142" s="5"/>
      <c r="I142" t="s">
        <v>103</v>
      </c>
      <c r="J142" s="5">
        <v>26.2</v>
      </c>
      <c r="K142" t="s">
        <v>109</v>
      </c>
      <c r="L142" t="s">
        <v>127</v>
      </c>
      <c r="M142" t="s">
        <v>125</v>
      </c>
    </row>
    <row r="143" spans="1:13" x14ac:dyDescent="0.25">
      <c r="A143" t="s">
        <v>83</v>
      </c>
      <c r="D143" t="s">
        <v>117</v>
      </c>
      <c r="F143" s="5"/>
      <c r="I143" t="s">
        <v>107</v>
      </c>
      <c r="J143" s="5">
        <v>5.2</v>
      </c>
      <c r="K143" t="s">
        <v>110</v>
      </c>
      <c r="M143" t="s">
        <v>125</v>
      </c>
    </row>
    <row r="144" spans="1:13" x14ac:dyDescent="0.25">
      <c r="A144" t="s">
        <v>83</v>
      </c>
      <c r="D144" t="s">
        <v>117</v>
      </c>
      <c r="F144" s="5"/>
      <c r="I144" t="s">
        <v>108</v>
      </c>
      <c r="J144" s="5">
        <v>1.7</v>
      </c>
      <c r="K144" t="s">
        <v>111</v>
      </c>
      <c r="M144" t="s">
        <v>125</v>
      </c>
    </row>
    <row r="145" spans="1:13" x14ac:dyDescent="0.25">
      <c r="F145" s="5"/>
      <c r="J145" s="5"/>
    </row>
    <row r="146" spans="1:13" x14ac:dyDescent="0.25">
      <c r="A146" t="s">
        <v>69</v>
      </c>
      <c r="F146" s="5"/>
      <c r="I146" t="s">
        <v>103</v>
      </c>
      <c r="J146" s="5">
        <v>29.9</v>
      </c>
      <c r="K146" t="s">
        <v>109</v>
      </c>
      <c r="L146" t="s">
        <v>124</v>
      </c>
      <c r="M146" t="s">
        <v>125</v>
      </c>
    </row>
    <row r="147" spans="1:13" x14ac:dyDescent="0.25">
      <c r="A147" t="s">
        <v>69</v>
      </c>
      <c r="F147" s="5"/>
      <c r="I147" t="s">
        <v>107</v>
      </c>
      <c r="J147" s="5">
        <v>7.5</v>
      </c>
      <c r="K147" t="s">
        <v>110</v>
      </c>
      <c r="M147" t="s">
        <v>125</v>
      </c>
    </row>
    <row r="148" spans="1:13" x14ac:dyDescent="0.25">
      <c r="A148" t="s">
        <v>69</v>
      </c>
      <c r="F148" s="5"/>
      <c r="I148" t="s">
        <v>108</v>
      </c>
      <c r="J148" s="5">
        <v>2</v>
      </c>
      <c r="K148" t="s">
        <v>111</v>
      </c>
      <c r="M148" t="s">
        <v>125</v>
      </c>
    </row>
    <row r="149" spans="1:13" x14ac:dyDescent="0.25">
      <c r="F149" s="5"/>
      <c r="J149" s="17"/>
    </row>
    <row r="150" spans="1:13" x14ac:dyDescent="0.25">
      <c r="A150" t="s">
        <v>43</v>
      </c>
      <c r="D150" t="s">
        <v>50</v>
      </c>
      <c r="F150" s="5"/>
      <c r="I150" t="s">
        <v>103</v>
      </c>
      <c r="J150">
        <v>25</v>
      </c>
      <c r="K150" t="s">
        <v>109</v>
      </c>
      <c r="L150" t="s">
        <v>118</v>
      </c>
      <c r="M150" t="s">
        <v>125</v>
      </c>
    </row>
    <row r="151" spans="1:13" x14ac:dyDescent="0.25">
      <c r="A151" t="s">
        <v>43</v>
      </c>
      <c r="D151" t="s">
        <v>50</v>
      </c>
      <c r="F151" s="5"/>
      <c r="I151" t="s">
        <v>107</v>
      </c>
      <c r="J151">
        <v>5.35</v>
      </c>
      <c r="K151" t="s">
        <v>110</v>
      </c>
      <c r="M151" t="s">
        <v>125</v>
      </c>
    </row>
    <row r="152" spans="1:13" x14ac:dyDescent="0.25">
      <c r="A152" t="s">
        <v>43</v>
      </c>
      <c r="D152" t="s">
        <v>50</v>
      </c>
      <c r="F152" s="5"/>
      <c r="I152" t="s">
        <v>108</v>
      </c>
      <c r="J152" s="17">
        <v>2.08</v>
      </c>
      <c r="K152" t="s">
        <v>111</v>
      </c>
      <c r="M152" t="s">
        <v>125</v>
      </c>
    </row>
    <row r="153" spans="1:13" x14ac:dyDescent="0.25">
      <c r="A153" t="s">
        <v>43</v>
      </c>
      <c r="D153" t="s">
        <v>53</v>
      </c>
      <c r="I153" t="s">
        <v>103</v>
      </c>
      <c r="J153" s="17">
        <v>24.9</v>
      </c>
      <c r="K153" t="s">
        <v>109</v>
      </c>
      <c r="L153" t="s">
        <v>119</v>
      </c>
      <c r="M153" t="s">
        <v>125</v>
      </c>
    </row>
    <row r="154" spans="1:13" x14ac:dyDescent="0.25">
      <c r="A154" t="s">
        <v>43</v>
      </c>
      <c r="D154" t="s">
        <v>53</v>
      </c>
      <c r="I154" t="s">
        <v>107</v>
      </c>
      <c r="J154" s="17">
        <v>5.35</v>
      </c>
      <c r="K154" t="s">
        <v>110</v>
      </c>
      <c r="M154" t="s">
        <v>125</v>
      </c>
    </row>
    <row r="155" spans="1:13" x14ac:dyDescent="0.25">
      <c r="A155" t="s">
        <v>43</v>
      </c>
      <c r="D155" t="s">
        <v>53</v>
      </c>
      <c r="I155" t="s">
        <v>108</v>
      </c>
      <c r="J155" s="17">
        <v>2.25</v>
      </c>
      <c r="K155" t="s">
        <v>111</v>
      </c>
      <c r="M155" t="s">
        <v>125</v>
      </c>
    </row>
    <row r="156" spans="1:13" x14ac:dyDescent="0.25">
      <c r="A156" t="s">
        <v>43</v>
      </c>
      <c r="D156" t="s">
        <v>51</v>
      </c>
      <c r="I156" t="s">
        <v>103</v>
      </c>
      <c r="J156" s="17">
        <v>25</v>
      </c>
      <c r="K156" t="s">
        <v>109</v>
      </c>
      <c r="L156" t="s">
        <v>120</v>
      </c>
      <c r="M156" t="s">
        <v>125</v>
      </c>
    </row>
    <row r="157" spans="1:13" x14ac:dyDescent="0.25">
      <c r="A157" t="s">
        <v>43</v>
      </c>
      <c r="D157" t="s">
        <v>51</v>
      </c>
      <c r="I157" t="s">
        <v>107</v>
      </c>
      <c r="J157" s="17">
        <v>5.35</v>
      </c>
      <c r="K157" t="s">
        <v>110</v>
      </c>
      <c r="M157" t="s">
        <v>125</v>
      </c>
    </row>
    <row r="158" spans="1:13" x14ac:dyDescent="0.25">
      <c r="A158" t="s">
        <v>43</v>
      </c>
      <c r="D158" t="s">
        <v>51</v>
      </c>
      <c r="I158" t="s">
        <v>108</v>
      </c>
      <c r="J158" s="17">
        <v>2.04</v>
      </c>
      <c r="K158" t="s">
        <v>111</v>
      </c>
      <c r="M158" t="s">
        <v>125</v>
      </c>
    </row>
    <row r="159" spans="1:13" x14ac:dyDescent="0.25">
      <c r="A159" t="s">
        <v>43</v>
      </c>
      <c r="D159" t="s">
        <v>52</v>
      </c>
      <c r="F159" s="5"/>
      <c r="I159" t="s">
        <v>103</v>
      </c>
      <c r="J159" s="17">
        <v>23.1</v>
      </c>
      <c r="K159" t="s">
        <v>109</v>
      </c>
      <c r="L159" t="s">
        <v>121</v>
      </c>
      <c r="M159" t="s">
        <v>125</v>
      </c>
    </row>
    <row r="160" spans="1:13" x14ac:dyDescent="0.25">
      <c r="A160" t="s">
        <v>43</v>
      </c>
      <c r="D160" t="s">
        <v>52</v>
      </c>
      <c r="F160" s="5"/>
      <c r="I160" t="s">
        <v>107</v>
      </c>
      <c r="J160" s="17">
        <v>5.36</v>
      </c>
      <c r="K160" t="s">
        <v>110</v>
      </c>
      <c r="M160" t="s">
        <v>125</v>
      </c>
    </row>
    <row r="161" spans="1:13" x14ac:dyDescent="0.25">
      <c r="A161" t="s">
        <v>43</v>
      </c>
      <c r="D161" t="s">
        <v>52</v>
      </c>
      <c r="F161" s="5"/>
      <c r="I161" t="s">
        <v>108</v>
      </c>
      <c r="J161" s="17">
        <v>2.64</v>
      </c>
      <c r="K161" t="s">
        <v>111</v>
      </c>
      <c r="M161" t="s">
        <v>125</v>
      </c>
    </row>
    <row r="162" spans="1:13" x14ac:dyDescent="0.25">
      <c r="A162" t="s">
        <v>43</v>
      </c>
      <c r="F162" s="5"/>
      <c r="I162" t="s">
        <v>103</v>
      </c>
      <c r="J162" s="17">
        <v>25</v>
      </c>
      <c r="K162" t="s">
        <v>109</v>
      </c>
      <c r="L162" t="s">
        <v>122</v>
      </c>
      <c r="M162" t="s">
        <v>125</v>
      </c>
    </row>
    <row r="163" spans="1:13" x14ac:dyDescent="0.25">
      <c r="A163" t="s">
        <v>43</v>
      </c>
      <c r="F163" s="5"/>
      <c r="I163" t="s">
        <v>107</v>
      </c>
      <c r="J163" s="17">
        <v>5.36</v>
      </c>
      <c r="K163" t="s">
        <v>110</v>
      </c>
      <c r="M163" t="s">
        <v>125</v>
      </c>
    </row>
    <row r="164" spans="1:13" x14ac:dyDescent="0.25">
      <c r="A164" t="s">
        <v>43</v>
      </c>
      <c r="F164" s="5"/>
      <c r="I164" t="s">
        <v>108</v>
      </c>
      <c r="J164" s="17">
        <v>2.2799999999999998</v>
      </c>
      <c r="K164" t="s">
        <v>111</v>
      </c>
      <c r="M164" t="s">
        <v>125</v>
      </c>
    </row>
    <row r="165" spans="1:13" x14ac:dyDescent="0.25">
      <c r="F165" s="5"/>
      <c r="J165" s="17"/>
    </row>
    <row r="166" spans="1:13" x14ac:dyDescent="0.25">
      <c r="F166" s="5"/>
      <c r="I166" s="6" t="s">
        <v>138</v>
      </c>
      <c r="J166" s="20">
        <v>0</v>
      </c>
      <c r="K166" s="6" t="s">
        <v>123</v>
      </c>
    </row>
    <row r="167" spans="1:13" x14ac:dyDescent="0.25">
      <c r="F167" s="5"/>
      <c r="I167" s="6" t="s">
        <v>143</v>
      </c>
      <c r="J167" s="20">
        <v>0</v>
      </c>
      <c r="K167" s="6" t="s">
        <v>123</v>
      </c>
    </row>
    <row r="168" spans="1:13" x14ac:dyDescent="0.25">
      <c r="F168" s="5"/>
      <c r="I168" s="6" t="s">
        <v>144</v>
      </c>
      <c r="J168" s="20">
        <v>0</v>
      </c>
      <c r="K168" s="6" t="s">
        <v>123</v>
      </c>
    </row>
    <row r="169" spans="1:13" x14ac:dyDescent="0.25">
      <c r="E169" t="s">
        <v>147</v>
      </c>
      <c r="F169" s="5"/>
      <c r="I169" t="s">
        <v>138</v>
      </c>
      <c r="J169" s="19">
        <f>5.49/1.035</f>
        <v>5.304347826086957</v>
      </c>
      <c r="K169" t="s">
        <v>139</v>
      </c>
      <c r="L169" t="s">
        <v>145</v>
      </c>
      <c r="M169" t="s">
        <v>146</v>
      </c>
    </row>
    <row r="170" spans="1:13" x14ac:dyDescent="0.25">
      <c r="E170" t="s">
        <v>147</v>
      </c>
      <c r="F170" s="5"/>
      <c r="I170" t="s">
        <v>143</v>
      </c>
      <c r="J170" s="19">
        <f>0.97/1.035</f>
        <v>0.9371980676328503</v>
      </c>
      <c r="K170" t="s">
        <v>140</v>
      </c>
      <c r="M170" t="s">
        <v>146</v>
      </c>
    </row>
    <row r="171" spans="1:13" x14ac:dyDescent="0.25">
      <c r="E171" t="s">
        <v>147</v>
      </c>
      <c r="F171" s="5"/>
      <c r="I171" t="s">
        <v>144</v>
      </c>
      <c r="J171" s="19">
        <f>1.6/1.035</f>
        <v>1.5458937198067635</v>
      </c>
      <c r="K171" t="s">
        <v>141</v>
      </c>
      <c r="M171" t="s">
        <v>146</v>
      </c>
    </row>
    <row r="172" spans="1:13" x14ac:dyDescent="0.25">
      <c r="F172" s="5"/>
    </row>
    <row r="173" spans="1:13" x14ac:dyDescent="0.25">
      <c r="A173" s="14" t="s">
        <v>106</v>
      </c>
      <c r="B173" s="15"/>
      <c r="C173" s="15"/>
      <c r="D173" s="15"/>
      <c r="E173" s="15"/>
      <c r="F173" s="16"/>
      <c r="G173" s="15"/>
      <c r="H173" s="15"/>
      <c r="I173" s="15"/>
      <c r="J173" s="15"/>
      <c r="K173" s="15"/>
      <c r="L173" s="15"/>
      <c r="M173" s="15"/>
    </row>
    <row r="174" spans="1:13" x14ac:dyDescent="0.25">
      <c r="I174" s="1" t="s">
        <v>28</v>
      </c>
      <c r="J174" s="1">
        <v>0</v>
      </c>
      <c r="K174" s="1"/>
      <c r="L174" s="1" t="s">
        <v>63</v>
      </c>
    </row>
    <row r="175" spans="1:13" x14ac:dyDescent="0.25">
      <c r="I175" s="1" t="s">
        <v>29</v>
      </c>
      <c r="J175" s="1">
        <v>0</v>
      </c>
      <c r="K175" s="1"/>
      <c r="L175" s="1" t="s">
        <v>63</v>
      </c>
    </row>
    <row r="176" spans="1:13" x14ac:dyDescent="0.25">
      <c r="I176" s="1" t="s">
        <v>33</v>
      </c>
      <c r="J176" s="1">
        <v>0</v>
      </c>
      <c r="K176" s="1"/>
      <c r="L176" s="1" t="s">
        <v>63</v>
      </c>
    </row>
    <row r="177" spans="1:13" x14ac:dyDescent="0.25">
      <c r="A177" t="s">
        <v>1</v>
      </c>
      <c r="F177" t="s">
        <v>24</v>
      </c>
      <c r="H177" t="s">
        <v>27</v>
      </c>
      <c r="I177" t="s">
        <v>28</v>
      </c>
      <c r="J177">
        <v>4</v>
      </c>
      <c r="K177" t="s">
        <v>73</v>
      </c>
      <c r="M177" t="s">
        <v>22</v>
      </c>
    </row>
    <row r="178" spans="1:13" x14ac:dyDescent="0.25">
      <c r="A178" t="s">
        <v>1</v>
      </c>
      <c r="F178" t="s">
        <v>25</v>
      </c>
      <c r="H178" t="s">
        <v>27</v>
      </c>
      <c r="I178" t="s">
        <v>28</v>
      </c>
      <c r="J178">
        <v>4</v>
      </c>
      <c r="K178" t="s">
        <v>73</v>
      </c>
      <c r="M178" t="s">
        <v>22</v>
      </c>
    </row>
    <row r="179" spans="1:13" x14ac:dyDescent="0.25">
      <c r="A179" t="s">
        <v>1</v>
      </c>
      <c r="F179" t="s">
        <v>26</v>
      </c>
      <c r="H179" t="s">
        <v>27</v>
      </c>
      <c r="I179" t="s">
        <v>28</v>
      </c>
      <c r="J179">
        <v>20</v>
      </c>
      <c r="K179" t="s">
        <v>73</v>
      </c>
      <c r="M179" t="s">
        <v>22</v>
      </c>
    </row>
    <row r="180" spans="1:13" x14ac:dyDescent="0.25">
      <c r="A180" t="s">
        <v>43</v>
      </c>
      <c r="F180" t="s">
        <v>24</v>
      </c>
      <c r="H180" t="s">
        <v>27</v>
      </c>
      <c r="I180" t="s">
        <v>28</v>
      </c>
      <c r="J180">
        <v>10</v>
      </c>
      <c r="K180" t="s">
        <v>73</v>
      </c>
      <c r="M180" t="s">
        <v>22</v>
      </c>
    </row>
    <row r="181" spans="1:13" x14ac:dyDescent="0.25">
      <c r="A181" t="s">
        <v>43</v>
      </c>
      <c r="F181" t="s">
        <v>25</v>
      </c>
      <c r="H181" t="s">
        <v>27</v>
      </c>
      <c r="I181" t="s">
        <v>28</v>
      </c>
      <c r="J181">
        <v>14</v>
      </c>
      <c r="K181" t="s">
        <v>73</v>
      </c>
      <c r="M181" t="s">
        <v>22</v>
      </c>
    </row>
    <row r="182" spans="1:13" x14ac:dyDescent="0.25">
      <c r="A182" t="s">
        <v>43</v>
      </c>
      <c r="F182" t="s">
        <v>26</v>
      </c>
      <c r="H182" t="s">
        <v>27</v>
      </c>
      <c r="I182" t="s">
        <v>28</v>
      </c>
      <c r="J182">
        <v>25</v>
      </c>
      <c r="K182" t="s">
        <v>73</v>
      </c>
      <c r="M182" t="s">
        <v>22</v>
      </c>
    </row>
    <row r="183" spans="1:13" x14ac:dyDescent="0.25">
      <c r="A183" t="s">
        <v>64</v>
      </c>
      <c r="C183" t="s">
        <v>84</v>
      </c>
      <c r="F183" t="s">
        <v>24</v>
      </c>
      <c r="H183" t="s">
        <v>27</v>
      </c>
      <c r="I183" t="s">
        <v>28</v>
      </c>
      <c r="J183">
        <v>10</v>
      </c>
      <c r="K183" t="s">
        <v>73</v>
      </c>
      <c r="M183" t="s">
        <v>22</v>
      </c>
    </row>
    <row r="184" spans="1:13" x14ac:dyDescent="0.25">
      <c r="A184" t="s">
        <v>64</v>
      </c>
      <c r="C184" t="s">
        <v>84</v>
      </c>
      <c r="F184" t="s">
        <v>25</v>
      </c>
      <c r="H184" t="s">
        <v>27</v>
      </c>
      <c r="I184" t="s">
        <v>28</v>
      </c>
      <c r="J184">
        <v>10</v>
      </c>
      <c r="K184" t="s">
        <v>73</v>
      </c>
      <c r="M184" t="s">
        <v>22</v>
      </c>
    </row>
    <row r="185" spans="1:13" x14ac:dyDescent="0.25">
      <c r="A185" t="s">
        <v>64</v>
      </c>
      <c r="C185" t="s">
        <v>84</v>
      </c>
      <c r="F185" t="s">
        <v>26</v>
      </c>
      <c r="H185" t="s">
        <v>27</v>
      </c>
      <c r="I185" t="s">
        <v>28</v>
      </c>
      <c r="J185">
        <v>35</v>
      </c>
      <c r="K185" t="s">
        <v>73</v>
      </c>
      <c r="M185" t="s">
        <v>22</v>
      </c>
    </row>
    <row r="186" spans="1:13" x14ac:dyDescent="0.25">
      <c r="A186" t="s">
        <v>64</v>
      </c>
      <c r="C186" t="s">
        <v>65</v>
      </c>
      <c r="D186" t="s">
        <v>66</v>
      </c>
      <c r="F186" t="s">
        <v>26</v>
      </c>
      <c r="H186" t="s">
        <v>27</v>
      </c>
      <c r="I186" t="s">
        <v>28</v>
      </c>
      <c r="J186">
        <v>10</v>
      </c>
      <c r="K186" t="s">
        <v>73</v>
      </c>
      <c r="M186" t="s">
        <v>22</v>
      </c>
    </row>
    <row r="187" spans="1:13" x14ac:dyDescent="0.25">
      <c r="A187" t="s">
        <v>64</v>
      </c>
      <c r="C187" t="s">
        <v>65</v>
      </c>
      <c r="F187" t="s">
        <v>24</v>
      </c>
      <c r="H187" t="s">
        <v>27</v>
      </c>
      <c r="I187" t="s">
        <v>28</v>
      </c>
      <c r="J187">
        <v>10</v>
      </c>
      <c r="K187" t="s">
        <v>73</v>
      </c>
      <c r="L187" t="s">
        <v>74</v>
      </c>
      <c r="M187" t="s">
        <v>22</v>
      </c>
    </row>
    <row r="188" spans="1:13" x14ac:dyDescent="0.25">
      <c r="A188" t="s">
        <v>64</v>
      </c>
      <c r="C188" t="s">
        <v>65</v>
      </c>
      <c r="F188" t="s">
        <v>25</v>
      </c>
      <c r="H188" t="s">
        <v>27</v>
      </c>
      <c r="I188" t="s">
        <v>28</v>
      </c>
      <c r="J188">
        <v>10</v>
      </c>
      <c r="K188" t="s">
        <v>73</v>
      </c>
      <c r="L188" t="s">
        <v>74</v>
      </c>
      <c r="M188" t="s">
        <v>22</v>
      </c>
    </row>
    <row r="189" spans="1:13" x14ac:dyDescent="0.25">
      <c r="A189" t="s">
        <v>64</v>
      </c>
      <c r="C189" t="s">
        <v>65</v>
      </c>
      <c r="F189" t="s">
        <v>26</v>
      </c>
      <c r="H189" t="s">
        <v>27</v>
      </c>
      <c r="I189" t="s">
        <v>28</v>
      </c>
      <c r="J189">
        <v>35</v>
      </c>
      <c r="K189" t="s">
        <v>73</v>
      </c>
      <c r="L189" t="s">
        <v>74</v>
      </c>
      <c r="M189" t="s">
        <v>22</v>
      </c>
    </row>
    <row r="190" spans="1:13" x14ac:dyDescent="0.25">
      <c r="A190" s="1" t="s">
        <v>69</v>
      </c>
      <c r="B190" s="1"/>
      <c r="C190" s="1"/>
      <c r="D190" s="1"/>
      <c r="E190" s="1"/>
      <c r="F190" s="1" t="s">
        <v>24</v>
      </c>
      <c r="G190" s="1"/>
      <c r="H190" s="1" t="s">
        <v>27</v>
      </c>
      <c r="I190" s="1" t="s">
        <v>28</v>
      </c>
      <c r="J190" s="1">
        <v>4</v>
      </c>
      <c r="K190" s="1" t="s">
        <v>73</v>
      </c>
      <c r="L190" s="1" t="s">
        <v>70</v>
      </c>
    </row>
    <row r="191" spans="1:13" x14ac:dyDescent="0.25">
      <c r="A191" s="1" t="s">
        <v>69</v>
      </c>
      <c r="B191" s="1"/>
      <c r="C191" s="1"/>
      <c r="D191" s="1"/>
      <c r="E191" s="1"/>
      <c r="F191" s="1" t="s">
        <v>25</v>
      </c>
      <c r="G191" s="1"/>
      <c r="H191" s="1" t="s">
        <v>27</v>
      </c>
      <c r="I191" s="1" t="s">
        <v>28</v>
      </c>
      <c r="J191" s="1">
        <v>4</v>
      </c>
      <c r="K191" s="1" t="s">
        <v>73</v>
      </c>
      <c r="L191" s="1" t="s">
        <v>70</v>
      </c>
    </row>
    <row r="192" spans="1:13" x14ac:dyDescent="0.25">
      <c r="A192" s="1" t="s">
        <v>69</v>
      </c>
      <c r="B192" s="1"/>
      <c r="C192" s="1"/>
      <c r="D192" s="1"/>
      <c r="E192" s="1"/>
      <c r="F192" s="1" t="s">
        <v>26</v>
      </c>
      <c r="G192" s="1"/>
      <c r="H192" s="1" t="s">
        <v>27</v>
      </c>
      <c r="I192" s="1" t="s">
        <v>28</v>
      </c>
      <c r="J192" s="1">
        <v>20</v>
      </c>
      <c r="K192" s="1" t="s">
        <v>73</v>
      </c>
      <c r="L192" s="1" t="s">
        <v>70</v>
      </c>
    </row>
    <row r="193" spans="1:13" x14ac:dyDescent="0.25">
      <c r="A193" t="s">
        <v>1</v>
      </c>
      <c r="F193" t="s">
        <v>24</v>
      </c>
      <c r="H193" t="s">
        <v>27</v>
      </c>
      <c r="I193" t="s">
        <v>29</v>
      </c>
      <c r="J193">
        <v>3</v>
      </c>
      <c r="K193" t="s">
        <v>73</v>
      </c>
      <c r="M193" t="s">
        <v>22</v>
      </c>
    </row>
    <row r="194" spans="1:13" x14ac:dyDescent="0.25">
      <c r="A194" t="s">
        <v>1</v>
      </c>
      <c r="C194" t="s">
        <v>2</v>
      </c>
      <c r="D194" t="s">
        <v>3</v>
      </c>
      <c r="F194" t="s">
        <v>25</v>
      </c>
      <c r="H194" t="s">
        <v>27</v>
      </c>
      <c r="I194" t="s">
        <v>29</v>
      </c>
      <c r="J194">
        <v>18</v>
      </c>
      <c r="K194" t="s">
        <v>73</v>
      </c>
      <c r="M194" t="s">
        <v>22</v>
      </c>
    </row>
    <row r="195" spans="1:13" x14ac:dyDescent="0.25">
      <c r="A195" t="s">
        <v>1</v>
      </c>
      <c r="C195" t="s">
        <v>9</v>
      </c>
      <c r="D195" t="s">
        <v>3</v>
      </c>
      <c r="F195" t="s">
        <v>25</v>
      </c>
      <c r="H195" t="s">
        <v>27</v>
      </c>
      <c r="I195" t="s">
        <v>29</v>
      </c>
      <c r="J195">
        <v>17</v>
      </c>
      <c r="K195" t="s">
        <v>73</v>
      </c>
      <c r="M195" t="s">
        <v>22</v>
      </c>
    </row>
    <row r="196" spans="1:13" x14ac:dyDescent="0.25">
      <c r="A196" t="s">
        <v>1</v>
      </c>
      <c r="D196" t="s">
        <v>12</v>
      </c>
      <c r="F196" t="s">
        <v>25</v>
      </c>
      <c r="H196" t="s">
        <v>27</v>
      </c>
      <c r="I196" t="s">
        <v>29</v>
      </c>
      <c r="J196">
        <v>18</v>
      </c>
      <c r="K196" t="s">
        <v>73</v>
      </c>
      <c r="M196" t="s">
        <v>22</v>
      </c>
    </row>
    <row r="197" spans="1:13" x14ac:dyDescent="0.25">
      <c r="A197" t="s">
        <v>1</v>
      </c>
      <c r="D197" t="s">
        <v>13</v>
      </c>
      <c r="F197" t="s">
        <v>25</v>
      </c>
      <c r="H197" t="s">
        <v>27</v>
      </c>
      <c r="I197" t="s">
        <v>29</v>
      </c>
      <c r="J197">
        <v>18</v>
      </c>
      <c r="K197" t="s">
        <v>73</v>
      </c>
      <c r="M197" t="s">
        <v>22</v>
      </c>
    </row>
    <row r="198" spans="1:13" x14ac:dyDescent="0.25">
      <c r="A198" t="s">
        <v>1</v>
      </c>
      <c r="D198" t="s">
        <v>15</v>
      </c>
      <c r="F198" t="s">
        <v>25</v>
      </c>
      <c r="H198" t="s">
        <v>27</v>
      </c>
      <c r="I198" t="s">
        <v>29</v>
      </c>
      <c r="J198">
        <v>17</v>
      </c>
      <c r="K198" t="s">
        <v>73</v>
      </c>
      <c r="M198" t="s">
        <v>22</v>
      </c>
    </row>
    <row r="199" spans="1:13" x14ac:dyDescent="0.25">
      <c r="A199" t="s">
        <v>1</v>
      </c>
      <c r="D199" t="s">
        <v>16</v>
      </c>
      <c r="F199" t="s">
        <v>25</v>
      </c>
      <c r="H199" t="s">
        <v>27</v>
      </c>
      <c r="I199" t="s">
        <v>29</v>
      </c>
      <c r="J199">
        <v>17</v>
      </c>
      <c r="K199" t="s">
        <v>73</v>
      </c>
      <c r="M199" t="s">
        <v>22</v>
      </c>
    </row>
    <row r="200" spans="1:13" x14ac:dyDescent="0.25">
      <c r="A200" t="s">
        <v>1</v>
      </c>
      <c r="D200" t="s">
        <v>17</v>
      </c>
      <c r="F200" t="s">
        <v>25</v>
      </c>
      <c r="H200" t="s">
        <v>27</v>
      </c>
      <c r="I200" t="s">
        <v>29</v>
      </c>
      <c r="J200">
        <v>17</v>
      </c>
      <c r="K200" t="s">
        <v>73</v>
      </c>
      <c r="L200" t="s">
        <v>18</v>
      </c>
      <c r="M200" t="s">
        <v>22</v>
      </c>
    </row>
    <row r="201" spans="1:13" x14ac:dyDescent="0.25">
      <c r="A201" t="s">
        <v>1</v>
      </c>
      <c r="F201" t="s">
        <v>26</v>
      </c>
      <c r="H201" t="s">
        <v>27</v>
      </c>
      <c r="I201" t="s">
        <v>29</v>
      </c>
      <c r="J201">
        <v>30</v>
      </c>
      <c r="K201" t="s">
        <v>73</v>
      </c>
      <c r="M201" t="s">
        <v>22</v>
      </c>
    </row>
    <row r="202" spans="1:13" x14ac:dyDescent="0.25">
      <c r="A202" s="1" t="s">
        <v>69</v>
      </c>
      <c r="B202" s="1"/>
      <c r="C202" s="1"/>
      <c r="D202" s="1"/>
      <c r="E202" s="1"/>
      <c r="F202" s="1" t="s">
        <v>24</v>
      </c>
      <c r="G202" s="1"/>
      <c r="H202" s="1" t="s">
        <v>27</v>
      </c>
      <c r="I202" s="1" t="s">
        <v>29</v>
      </c>
      <c r="J202" s="1">
        <v>3</v>
      </c>
      <c r="K202" s="1" t="s">
        <v>73</v>
      </c>
      <c r="L202" s="1" t="s">
        <v>70</v>
      </c>
    </row>
    <row r="203" spans="1:13" x14ac:dyDescent="0.25">
      <c r="A203" s="1" t="s">
        <v>69</v>
      </c>
      <c r="B203" s="1"/>
      <c r="C203" s="1"/>
      <c r="D203" s="1"/>
      <c r="E203" s="1"/>
      <c r="F203" s="1" t="s">
        <v>25</v>
      </c>
      <c r="G203" s="1"/>
      <c r="H203" s="1" t="s">
        <v>27</v>
      </c>
      <c r="I203" s="1" t="s">
        <v>29</v>
      </c>
      <c r="J203" s="1">
        <v>17</v>
      </c>
      <c r="K203" s="1" t="s">
        <v>73</v>
      </c>
      <c r="L203" s="1" t="s">
        <v>71</v>
      </c>
    </row>
    <row r="204" spans="1:13" x14ac:dyDescent="0.25">
      <c r="A204" s="1" t="s">
        <v>69</v>
      </c>
      <c r="B204" s="1"/>
      <c r="C204" s="1"/>
      <c r="D204" s="1"/>
      <c r="E204" s="1"/>
      <c r="F204" s="1" t="s">
        <v>26</v>
      </c>
      <c r="G204" s="1"/>
      <c r="H204" s="1" t="s">
        <v>27</v>
      </c>
      <c r="I204" s="1" t="s">
        <v>29</v>
      </c>
      <c r="J204" s="1">
        <v>30</v>
      </c>
      <c r="K204" s="1" t="s">
        <v>73</v>
      </c>
      <c r="L204" s="1" t="s">
        <v>70</v>
      </c>
    </row>
    <row r="205" spans="1:13" x14ac:dyDescent="0.25">
      <c r="A205" t="s">
        <v>43</v>
      </c>
      <c r="F205" t="s">
        <v>24</v>
      </c>
      <c r="H205" t="s">
        <v>27</v>
      </c>
      <c r="I205" t="s">
        <v>29</v>
      </c>
      <c r="J205">
        <v>4</v>
      </c>
      <c r="K205" t="s">
        <v>73</v>
      </c>
      <c r="M205" t="s">
        <v>22</v>
      </c>
    </row>
    <row r="206" spans="1:13" x14ac:dyDescent="0.25">
      <c r="A206" t="s">
        <v>43</v>
      </c>
      <c r="F206" t="s">
        <v>25</v>
      </c>
      <c r="H206" t="s">
        <v>27</v>
      </c>
      <c r="I206" t="s">
        <v>29</v>
      </c>
      <c r="J206">
        <v>18</v>
      </c>
      <c r="K206" t="s">
        <v>73</v>
      </c>
      <c r="M206" t="s">
        <v>22</v>
      </c>
    </row>
    <row r="207" spans="1:13" x14ac:dyDescent="0.25">
      <c r="A207" t="s">
        <v>43</v>
      </c>
      <c r="F207" t="s">
        <v>26</v>
      </c>
      <c r="H207" t="s">
        <v>27</v>
      </c>
      <c r="I207" t="s">
        <v>29</v>
      </c>
      <c r="J207">
        <v>30</v>
      </c>
      <c r="K207" t="s">
        <v>73</v>
      </c>
      <c r="M207" t="s">
        <v>22</v>
      </c>
    </row>
    <row r="208" spans="1:13" x14ac:dyDescent="0.25">
      <c r="A208" t="s">
        <v>64</v>
      </c>
      <c r="C208" t="s">
        <v>84</v>
      </c>
      <c r="F208" t="s">
        <v>24</v>
      </c>
      <c r="H208" t="s">
        <v>27</v>
      </c>
      <c r="I208" t="s">
        <v>29</v>
      </c>
      <c r="J208">
        <v>4</v>
      </c>
      <c r="K208" t="s">
        <v>73</v>
      </c>
      <c r="M208" t="s">
        <v>22</v>
      </c>
    </row>
    <row r="209" spans="1:13" x14ac:dyDescent="0.25">
      <c r="A209" t="s">
        <v>64</v>
      </c>
      <c r="C209" t="s">
        <v>84</v>
      </c>
      <c r="F209" t="s">
        <v>25</v>
      </c>
      <c r="H209" t="s">
        <v>27</v>
      </c>
      <c r="I209" t="s">
        <v>29</v>
      </c>
      <c r="J209">
        <v>12</v>
      </c>
      <c r="K209" t="s">
        <v>73</v>
      </c>
      <c r="M209" t="s">
        <v>22</v>
      </c>
    </row>
    <row r="210" spans="1:13" x14ac:dyDescent="0.25">
      <c r="A210" t="s">
        <v>64</v>
      </c>
      <c r="C210" t="s">
        <v>84</v>
      </c>
      <c r="F210" t="s">
        <v>26</v>
      </c>
      <c r="H210" t="s">
        <v>27</v>
      </c>
      <c r="I210" t="s">
        <v>29</v>
      </c>
      <c r="J210">
        <v>20</v>
      </c>
      <c r="K210" t="s">
        <v>73</v>
      </c>
      <c r="M210" t="s">
        <v>22</v>
      </c>
    </row>
    <row r="211" spans="1:13" x14ac:dyDescent="0.25">
      <c r="A211" t="s">
        <v>64</v>
      </c>
      <c r="C211" t="s">
        <v>65</v>
      </c>
      <c r="D211" t="s">
        <v>66</v>
      </c>
      <c r="F211" t="s">
        <v>25</v>
      </c>
      <c r="H211" t="s">
        <v>27</v>
      </c>
      <c r="I211" t="s">
        <v>29</v>
      </c>
      <c r="J211">
        <v>5</v>
      </c>
      <c r="K211" t="s">
        <v>73</v>
      </c>
      <c r="M211" t="s">
        <v>22</v>
      </c>
    </row>
    <row r="212" spans="1:13" x14ac:dyDescent="0.25">
      <c r="A212" t="s">
        <v>64</v>
      </c>
      <c r="C212" t="s">
        <v>65</v>
      </c>
      <c r="D212" t="s">
        <v>66</v>
      </c>
      <c r="F212" t="s">
        <v>26</v>
      </c>
      <c r="H212" t="s">
        <v>27</v>
      </c>
      <c r="I212" t="s">
        <v>29</v>
      </c>
      <c r="J212">
        <v>5</v>
      </c>
      <c r="K212" t="s">
        <v>73</v>
      </c>
      <c r="M212" t="s">
        <v>22</v>
      </c>
    </row>
    <row r="213" spans="1:13" x14ac:dyDescent="0.25">
      <c r="A213" t="s">
        <v>64</v>
      </c>
      <c r="C213" t="s">
        <v>65</v>
      </c>
      <c r="F213" t="s">
        <v>24</v>
      </c>
      <c r="H213" t="s">
        <v>27</v>
      </c>
      <c r="I213" t="s">
        <v>29</v>
      </c>
      <c r="J213">
        <v>4</v>
      </c>
      <c r="K213" t="s">
        <v>73</v>
      </c>
      <c r="L213" t="s">
        <v>74</v>
      </c>
      <c r="M213" t="s">
        <v>22</v>
      </c>
    </row>
    <row r="214" spans="1:13" x14ac:dyDescent="0.25">
      <c r="A214" t="s">
        <v>64</v>
      </c>
      <c r="C214" t="s">
        <v>65</v>
      </c>
      <c r="F214" t="s">
        <v>25</v>
      </c>
      <c r="H214" t="s">
        <v>27</v>
      </c>
      <c r="I214" t="s">
        <v>29</v>
      </c>
      <c r="J214">
        <v>12</v>
      </c>
      <c r="K214" t="s">
        <v>73</v>
      </c>
      <c r="L214" t="s">
        <v>74</v>
      </c>
      <c r="M214" t="s">
        <v>22</v>
      </c>
    </row>
    <row r="215" spans="1:13" x14ac:dyDescent="0.25">
      <c r="A215" t="s">
        <v>64</v>
      </c>
      <c r="C215" t="s">
        <v>65</v>
      </c>
      <c r="F215" t="s">
        <v>26</v>
      </c>
      <c r="H215" t="s">
        <v>27</v>
      </c>
      <c r="I215" t="s">
        <v>29</v>
      </c>
      <c r="J215">
        <v>20</v>
      </c>
      <c r="K215" t="s">
        <v>73</v>
      </c>
      <c r="L215" t="s">
        <v>74</v>
      </c>
      <c r="M215" t="s">
        <v>22</v>
      </c>
    </row>
    <row r="216" spans="1:13" x14ac:dyDescent="0.25">
      <c r="F216" t="s">
        <v>24</v>
      </c>
      <c r="H216" t="s">
        <v>30</v>
      </c>
      <c r="I216" t="s">
        <v>29</v>
      </c>
      <c r="J216">
        <v>0.01</v>
      </c>
      <c r="K216" t="s">
        <v>75</v>
      </c>
      <c r="M216" t="s">
        <v>22</v>
      </c>
    </row>
    <row r="217" spans="1:13" x14ac:dyDescent="0.25">
      <c r="F217" t="s">
        <v>25</v>
      </c>
      <c r="H217" t="s">
        <v>30</v>
      </c>
      <c r="I217" t="s">
        <v>29</v>
      </c>
      <c r="J217">
        <v>1</v>
      </c>
      <c r="K217" t="s">
        <v>75</v>
      </c>
      <c r="M217" t="s">
        <v>22</v>
      </c>
    </row>
    <row r="218" spans="1:13" x14ac:dyDescent="0.25">
      <c r="F218" t="s">
        <v>26</v>
      </c>
      <c r="H218" t="s">
        <v>30</v>
      </c>
      <c r="I218" t="s">
        <v>29</v>
      </c>
      <c r="J218">
        <v>1</v>
      </c>
      <c r="K218" t="s">
        <v>75</v>
      </c>
      <c r="M218" t="s">
        <v>22</v>
      </c>
    </row>
    <row r="219" spans="1:13" x14ac:dyDescent="0.25">
      <c r="F219" t="s">
        <v>24</v>
      </c>
      <c r="H219" t="s">
        <v>31</v>
      </c>
      <c r="I219" t="s">
        <v>29</v>
      </c>
      <c r="J219">
        <v>0.5</v>
      </c>
      <c r="K219" t="s">
        <v>73</v>
      </c>
      <c r="M219" t="s">
        <v>22</v>
      </c>
    </row>
    <row r="220" spans="1:13" x14ac:dyDescent="0.25">
      <c r="F220" t="s">
        <v>25</v>
      </c>
      <c r="H220" t="s">
        <v>31</v>
      </c>
      <c r="I220" t="s">
        <v>29</v>
      </c>
      <c r="J220">
        <v>0.5</v>
      </c>
      <c r="K220" t="s">
        <v>73</v>
      </c>
      <c r="M220" t="s">
        <v>22</v>
      </c>
    </row>
    <row r="221" spans="1:13" x14ac:dyDescent="0.25">
      <c r="F221" t="s">
        <v>26</v>
      </c>
      <c r="H221" t="s">
        <v>31</v>
      </c>
      <c r="I221" t="s">
        <v>29</v>
      </c>
      <c r="J221">
        <v>1</v>
      </c>
      <c r="K221" t="s">
        <v>73</v>
      </c>
      <c r="M221" t="s">
        <v>22</v>
      </c>
    </row>
    <row r="222" spans="1:13" x14ac:dyDescent="0.25">
      <c r="F222" t="s">
        <v>24</v>
      </c>
      <c r="H222" t="s">
        <v>32</v>
      </c>
      <c r="I222" t="s">
        <v>29</v>
      </c>
      <c r="J222">
        <v>0.3</v>
      </c>
      <c r="K222" t="s">
        <v>75</v>
      </c>
      <c r="M222" t="s">
        <v>22</v>
      </c>
    </row>
    <row r="223" spans="1:13" x14ac:dyDescent="0.25">
      <c r="F223" t="s">
        <v>25</v>
      </c>
      <c r="H223" t="s">
        <v>32</v>
      </c>
      <c r="I223" t="s">
        <v>29</v>
      </c>
      <c r="J223">
        <v>30</v>
      </c>
      <c r="K223" t="s">
        <v>75</v>
      </c>
      <c r="M223" t="s">
        <v>22</v>
      </c>
    </row>
    <row r="224" spans="1:13" x14ac:dyDescent="0.25">
      <c r="F224" t="s">
        <v>26</v>
      </c>
      <c r="H224" t="s">
        <v>32</v>
      </c>
      <c r="I224" t="s">
        <v>29</v>
      </c>
      <c r="J224">
        <v>30</v>
      </c>
      <c r="K224" t="s">
        <v>75</v>
      </c>
      <c r="M224" t="s">
        <v>22</v>
      </c>
    </row>
    <row r="225" spans="1:13" x14ac:dyDescent="0.25">
      <c r="A225" t="s">
        <v>1</v>
      </c>
      <c r="F225" t="s">
        <v>24</v>
      </c>
      <c r="I225" t="s">
        <v>33</v>
      </c>
      <c r="J225">
        <v>60</v>
      </c>
      <c r="K225" t="s">
        <v>73</v>
      </c>
      <c r="M225" t="s">
        <v>72</v>
      </c>
    </row>
    <row r="226" spans="1:13" x14ac:dyDescent="0.25">
      <c r="A226" t="s">
        <v>1</v>
      </c>
      <c r="C226" t="s">
        <v>2</v>
      </c>
      <c r="D226" t="s">
        <v>3</v>
      </c>
      <c r="F226" t="s">
        <v>25</v>
      </c>
      <c r="I226" t="s">
        <v>33</v>
      </c>
      <c r="J226">
        <v>51</v>
      </c>
      <c r="K226" t="s">
        <v>73</v>
      </c>
      <c r="M226" t="s">
        <v>72</v>
      </c>
    </row>
    <row r="227" spans="1:13" x14ac:dyDescent="0.25">
      <c r="A227" t="s">
        <v>1</v>
      </c>
      <c r="C227" t="s">
        <v>9</v>
      </c>
      <c r="D227" t="s">
        <v>3</v>
      </c>
      <c r="F227" t="s">
        <v>25</v>
      </c>
      <c r="I227" t="s">
        <v>33</v>
      </c>
      <c r="J227">
        <v>52</v>
      </c>
      <c r="K227" t="s">
        <v>73</v>
      </c>
      <c r="M227" t="s">
        <v>72</v>
      </c>
    </row>
    <row r="228" spans="1:13" x14ac:dyDescent="0.25">
      <c r="A228" t="s">
        <v>1</v>
      </c>
      <c r="D228" t="s">
        <v>12</v>
      </c>
      <c r="F228" t="s">
        <v>25</v>
      </c>
      <c r="I228" t="s">
        <v>33</v>
      </c>
      <c r="J228">
        <v>51</v>
      </c>
      <c r="K228" t="s">
        <v>73</v>
      </c>
      <c r="M228" t="s">
        <v>72</v>
      </c>
    </row>
    <row r="229" spans="1:13" x14ac:dyDescent="0.25">
      <c r="A229" t="s">
        <v>1</v>
      </c>
      <c r="D229" t="s">
        <v>13</v>
      </c>
      <c r="F229" t="s">
        <v>25</v>
      </c>
      <c r="I229" t="s">
        <v>33</v>
      </c>
      <c r="J229">
        <v>51</v>
      </c>
      <c r="K229" t="s">
        <v>73</v>
      </c>
      <c r="M229" t="s">
        <v>72</v>
      </c>
    </row>
    <row r="230" spans="1:13" x14ac:dyDescent="0.25">
      <c r="A230" t="s">
        <v>1</v>
      </c>
      <c r="D230" t="s">
        <v>15</v>
      </c>
      <c r="F230" t="s">
        <v>25</v>
      </c>
      <c r="I230" t="s">
        <v>33</v>
      </c>
      <c r="J230">
        <v>52</v>
      </c>
      <c r="K230" t="s">
        <v>73</v>
      </c>
      <c r="M230" t="s">
        <v>72</v>
      </c>
    </row>
    <row r="231" spans="1:13" x14ac:dyDescent="0.25">
      <c r="A231" t="s">
        <v>1</v>
      </c>
      <c r="D231" t="s">
        <v>16</v>
      </c>
      <c r="F231" t="s">
        <v>25</v>
      </c>
      <c r="I231" t="s">
        <v>33</v>
      </c>
      <c r="J231">
        <v>52</v>
      </c>
      <c r="K231" t="s">
        <v>73</v>
      </c>
      <c r="M231" t="s">
        <v>72</v>
      </c>
    </row>
    <row r="232" spans="1:13" x14ac:dyDescent="0.25">
      <c r="A232" t="s">
        <v>1</v>
      </c>
      <c r="D232" t="s">
        <v>17</v>
      </c>
      <c r="F232" t="s">
        <v>25</v>
      </c>
      <c r="I232" t="s">
        <v>33</v>
      </c>
      <c r="J232">
        <v>52</v>
      </c>
      <c r="K232" t="s">
        <v>73</v>
      </c>
      <c r="L232" t="s">
        <v>18</v>
      </c>
    </row>
    <row r="233" spans="1:13" x14ac:dyDescent="0.25">
      <c r="A233" t="s">
        <v>1</v>
      </c>
      <c r="F233" t="s">
        <v>26</v>
      </c>
      <c r="I233" t="s">
        <v>33</v>
      </c>
      <c r="J233">
        <v>10</v>
      </c>
      <c r="K233" t="s">
        <v>73</v>
      </c>
      <c r="M233" t="s">
        <v>72</v>
      </c>
    </row>
    <row r="234" spans="1:13" x14ac:dyDescent="0.25">
      <c r="A234" s="1" t="s">
        <v>1</v>
      </c>
      <c r="F234" s="5" t="s">
        <v>19</v>
      </c>
      <c r="G234" s="5"/>
      <c r="H234" s="5"/>
      <c r="I234" s="5" t="s">
        <v>33</v>
      </c>
      <c r="J234" s="5">
        <v>60</v>
      </c>
      <c r="K234" s="5" t="s">
        <v>73</v>
      </c>
      <c r="L234" s="1"/>
      <c r="M234" t="s">
        <v>76</v>
      </c>
    </row>
    <row r="235" spans="1:13" x14ac:dyDescent="0.25">
      <c r="A235" s="5" t="s">
        <v>69</v>
      </c>
      <c r="B235" s="5"/>
      <c r="C235" s="5"/>
      <c r="D235" s="5"/>
      <c r="E235" s="5"/>
      <c r="F235" s="5" t="s">
        <v>24</v>
      </c>
      <c r="G235" s="5"/>
      <c r="H235" s="5"/>
      <c r="I235" s="5" t="s">
        <v>33</v>
      </c>
      <c r="J235" s="5">
        <v>24</v>
      </c>
      <c r="K235" t="s">
        <v>73</v>
      </c>
      <c r="L235" s="1"/>
      <c r="M235" t="s">
        <v>72</v>
      </c>
    </row>
    <row r="236" spans="1:13" x14ac:dyDescent="0.25">
      <c r="A236" s="5" t="s">
        <v>69</v>
      </c>
      <c r="B236" s="5"/>
      <c r="C236" s="5"/>
      <c r="D236" s="5"/>
      <c r="E236" s="5"/>
      <c r="F236" s="5" t="s">
        <v>25</v>
      </c>
      <c r="G236" s="5"/>
      <c r="H236" s="5"/>
      <c r="I236" s="5" t="s">
        <v>33</v>
      </c>
      <c r="J236" s="5">
        <v>25</v>
      </c>
      <c r="K236" t="s">
        <v>73</v>
      </c>
      <c r="L236" s="1"/>
      <c r="M236" t="s">
        <v>72</v>
      </c>
    </row>
    <row r="237" spans="1:13" x14ac:dyDescent="0.25">
      <c r="A237" s="5" t="s">
        <v>69</v>
      </c>
      <c r="B237" s="5"/>
      <c r="C237" s="5"/>
      <c r="D237" s="5"/>
      <c r="E237" s="5"/>
      <c r="F237" s="5" t="s">
        <v>26</v>
      </c>
      <c r="G237" s="5"/>
      <c r="H237" s="5"/>
      <c r="I237" s="5" t="s">
        <v>33</v>
      </c>
      <c r="J237" s="5">
        <v>10</v>
      </c>
      <c r="K237" t="s">
        <v>73</v>
      </c>
      <c r="L237" s="1"/>
      <c r="M237" t="s">
        <v>72</v>
      </c>
    </row>
    <row r="238" spans="1:13" x14ac:dyDescent="0.25">
      <c r="A238" s="5" t="s">
        <v>69</v>
      </c>
      <c r="B238" s="5"/>
      <c r="C238" s="5"/>
      <c r="D238" s="5"/>
      <c r="E238" s="5"/>
      <c r="F238" s="5" t="s">
        <v>19</v>
      </c>
      <c r="G238" s="5"/>
      <c r="H238" s="5"/>
      <c r="I238" s="5" t="s">
        <v>33</v>
      </c>
      <c r="J238" s="5">
        <v>60</v>
      </c>
      <c r="K238" s="5" t="s">
        <v>73</v>
      </c>
      <c r="L238" s="1"/>
      <c r="M238" t="s">
        <v>76</v>
      </c>
    </row>
    <row r="239" spans="1:13" x14ac:dyDescent="0.25">
      <c r="A239" s="5" t="s">
        <v>64</v>
      </c>
      <c r="B239" s="5"/>
      <c r="C239" s="5" t="s">
        <v>84</v>
      </c>
      <c r="D239" s="5"/>
      <c r="E239" s="5"/>
      <c r="F239" s="5" t="s">
        <v>24</v>
      </c>
      <c r="G239" s="5"/>
      <c r="H239" s="5"/>
      <c r="I239" s="5" t="s">
        <v>33</v>
      </c>
      <c r="J239" s="5">
        <v>75</v>
      </c>
      <c r="K239" s="5" t="s">
        <v>73</v>
      </c>
      <c r="L239" s="1"/>
    </row>
    <row r="240" spans="1:13" x14ac:dyDescent="0.25">
      <c r="A240" s="5" t="s">
        <v>64</v>
      </c>
      <c r="B240" s="5"/>
      <c r="C240" s="5" t="s">
        <v>84</v>
      </c>
      <c r="D240" s="5"/>
      <c r="E240" s="5"/>
      <c r="F240" s="5" t="s">
        <v>25</v>
      </c>
      <c r="G240" s="5"/>
      <c r="H240" s="5"/>
      <c r="I240" s="5" t="s">
        <v>33</v>
      </c>
      <c r="J240" s="5">
        <v>60</v>
      </c>
      <c r="K240" s="5" t="s">
        <v>73</v>
      </c>
      <c r="L240" s="1"/>
    </row>
    <row r="241" spans="1:13" x14ac:dyDescent="0.25">
      <c r="A241" s="5" t="s">
        <v>64</v>
      </c>
      <c r="B241" s="5"/>
      <c r="C241" s="5" t="s">
        <v>84</v>
      </c>
      <c r="D241" s="5"/>
      <c r="E241" s="5"/>
      <c r="F241" s="5" t="s">
        <v>26</v>
      </c>
      <c r="G241" s="5"/>
      <c r="H241" s="5"/>
      <c r="I241" s="5" t="s">
        <v>33</v>
      </c>
      <c r="J241" s="5">
        <v>40</v>
      </c>
      <c r="K241" s="5" t="s">
        <v>73</v>
      </c>
      <c r="L241" s="1"/>
    </row>
    <row r="242" spans="1:13" x14ac:dyDescent="0.25">
      <c r="A242" t="s">
        <v>64</v>
      </c>
      <c r="C242" t="s">
        <v>65</v>
      </c>
      <c r="D242" t="s">
        <v>66</v>
      </c>
      <c r="I242" s="5" t="s">
        <v>33</v>
      </c>
      <c r="J242">
        <v>40</v>
      </c>
      <c r="K242" s="5" t="s">
        <v>73</v>
      </c>
      <c r="M242" t="s">
        <v>72</v>
      </c>
    </row>
    <row r="243" spans="1:13" x14ac:dyDescent="0.25">
      <c r="A243" s="5" t="s">
        <v>64</v>
      </c>
      <c r="B243" s="5"/>
      <c r="C243" s="5" t="s">
        <v>65</v>
      </c>
      <c r="F243" s="5" t="s">
        <v>24</v>
      </c>
      <c r="I243" s="5" t="s">
        <v>33</v>
      </c>
      <c r="J243" s="5">
        <v>75</v>
      </c>
      <c r="K243" s="5" t="s">
        <v>73</v>
      </c>
      <c r="L243" t="s">
        <v>74</v>
      </c>
    </row>
    <row r="244" spans="1:13" x14ac:dyDescent="0.25">
      <c r="A244" s="5" t="s">
        <v>64</v>
      </c>
      <c r="B244" s="5"/>
      <c r="C244" s="5" t="s">
        <v>65</v>
      </c>
      <c r="F244" s="5" t="s">
        <v>25</v>
      </c>
      <c r="I244" s="5" t="s">
        <v>33</v>
      </c>
      <c r="J244" s="5">
        <v>60</v>
      </c>
      <c r="K244" s="5" t="s">
        <v>73</v>
      </c>
      <c r="L244" t="s">
        <v>74</v>
      </c>
    </row>
    <row r="245" spans="1:13" x14ac:dyDescent="0.25">
      <c r="A245" s="5" t="s">
        <v>64</v>
      </c>
      <c r="B245" s="5"/>
      <c r="C245" s="5" t="s">
        <v>65</v>
      </c>
      <c r="D245" s="1"/>
      <c r="E245" s="1"/>
      <c r="F245" s="5" t="s">
        <v>26</v>
      </c>
      <c r="G245" s="1"/>
      <c r="H245" s="1"/>
      <c r="I245" s="5" t="s">
        <v>33</v>
      </c>
      <c r="J245" s="5">
        <v>40</v>
      </c>
      <c r="K245" s="5" t="s">
        <v>73</v>
      </c>
      <c r="L245" t="s">
        <v>74</v>
      </c>
    </row>
    <row r="246" spans="1:13" x14ac:dyDescent="0.25">
      <c r="A246" t="s">
        <v>43</v>
      </c>
      <c r="F246" t="s">
        <v>24</v>
      </c>
      <c r="I246" t="s">
        <v>33</v>
      </c>
      <c r="J246">
        <v>70</v>
      </c>
      <c r="K246" t="s">
        <v>73</v>
      </c>
      <c r="M246" t="s">
        <v>72</v>
      </c>
    </row>
    <row r="247" spans="1:13" x14ac:dyDescent="0.25">
      <c r="A247" t="s">
        <v>43</v>
      </c>
      <c r="F247" t="s">
        <v>25</v>
      </c>
      <c r="I247" t="s">
        <v>33</v>
      </c>
      <c r="J247">
        <v>51</v>
      </c>
      <c r="K247" t="s">
        <v>73</v>
      </c>
      <c r="M247" t="s">
        <v>72</v>
      </c>
    </row>
    <row r="248" spans="1:13" x14ac:dyDescent="0.25">
      <c r="A248" t="s">
        <v>43</v>
      </c>
      <c r="F248" t="s">
        <v>26</v>
      </c>
      <c r="I248" t="s">
        <v>33</v>
      </c>
      <c r="J248">
        <v>10</v>
      </c>
      <c r="K248" t="s">
        <v>73</v>
      </c>
      <c r="M248" t="s">
        <v>72</v>
      </c>
    </row>
    <row r="251" spans="1:13" x14ac:dyDescent="0.25">
      <c r="A251" s="11" t="s">
        <v>97</v>
      </c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</row>
    <row r="252" spans="1:13" x14ac:dyDescent="0.25">
      <c r="A252" s="8"/>
      <c r="B252" s="8"/>
      <c r="C252" s="8"/>
      <c r="D252" s="8"/>
      <c r="E252" s="8"/>
      <c r="F252" s="8"/>
      <c r="G252" s="8"/>
      <c r="H252" s="8"/>
      <c r="I252" s="9" t="s">
        <v>4</v>
      </c>
      <c r="J252" s="9">
        <v>0</v>
      </c>
      <c r="K252" s="9" t="s">
        <v>5</v>
      </c>
      <c r="L252" s="9" t="s">
        <v>80</v>
      </c>
      <c r="M252" s="8"/>
    </row>
    <row r="253" spans="1:13" x14ac:dyDescent="0.25">
      <c r="A253" s="9" t="s">
        <v>1</v>
      </c>
      <c r="B253" s="9"/>
      <c r="C253" s="9" t="s">
        <v>2</v>
      </c>
      <c r="D253" s="9" t="s">
        <v>3</v>
      </c>
      <c r="E253" s="9"/>
      <c r="F253" s="9"/>
      <c r="G253" s="9"/>
      <c r="H253" s="9"/>
      <c r="I253" s="9" t="s">
        <v>4</v>
      </c>
      <c r="J253" s="9">
        <v>5.39</v>
      </c>
      <c r="K253" s="9" t="s">
        <v>5</v>
      </c>
      <c r="L253" s="9"/>
      <c r="M253" s="9" t="s">
        <v>6</v>
      </c>
    </row>
    <row r="254" spans="1:13" x14ac:dyDescent="0.25">
      <c r="A254" s="9" t="s">
        <v>1</v>
      </c>
      <c r="B254" s="9"/>
      <c r="C254" s="9" t="s">
        <v>9</v>
      </c>
      <c r="D254" s="9" t="s">
        <v>3</v>
      </c>
      <c r="E254" s="9"/>
      <c r="F254" s="9"/>
      <c r="G254" s="9"/>
      <c r="H254" s="9"/>
      <c r="I254" s="9" t="s">
        <v>4</v>
      </c>
      <c r="J254" s="10">
        <v>2.2999999999999998</v>
      </c>
      <c r="K254" s="9" t="s">
        <v>5</v>
      </c>
      <c r="L254" s="9"/>
      <c r="M254" s="9" t="s">
        <v>10</v>
      </c>
    </row>
    <row r="255" spans="1:13" x14ac:dyDescent="0.25">
      <c r="A255" s="9" t="s">
        <v>1</v>
      </c>
      <c r="B255" s="9"/>
      <c r="C255" s="9" t="s">
        <v>9</v>
      </c>
      <c r="D255" s="9" t="s">
        <v>3</v>
      </c>
      <c r="E255" s="9"/>
      <c r="F255" s="9" t="s">
        <v>19</v>
      </c>
      <c r="G255" s="9"/>
      <c r="H255" s="9"/>
      <c r="I255" s="9" t="s">
        <v>4</v>
      </c>
      <c r="J255" s="10">
        <v>3.17</v>
      </c>
      <c r="K255" s="9" t="s">
        <v>5</v>
      </c>
      <c r="L255" s="9"/>
      <c r="M255" s="9" t="s">
        <v>10</v>
      </c>
    </row>
    <row r="256" spans="1:13" x14ac:dyDescent="0.25">
      <c r="A256" s="9" t="s">
        <v>1</v>
      </c>
      <c r="B256" s="9"/>
      <c r="C256" s="9"/>
      <c r="D256" s="9" t="s">
        <v>12</v>
      </c>
      <c r="E256" s="9"/>
      <c r="F256" s="9"/>
      <c r="G256" s="9"/>
      <c r="H256" s="9"/>
      <c r="I256" s="9" t="s">
        <v>4</v>
      </c>
      <c r="J256" s="9">
        <v>2.2599999999999998</v>
      </c>
      <c r="K256" s="9" t="s">
        <v>5</v>
      </c>
      <c r="L256" s="9"/>
      <c r="M256" s="9" t="s">
        <v>10</v>
      </c>
    </row>
    <row r="257" spans="1:13" x14ac:dyDescent="0.25">
      <c r="A257" s="9" t="s">
        <v>1</v>
      </c>
      <c r="B257" s="9"/>
      <c r="C257" s="9"/>
      <c r="D257" s="9" t="s">
        <v>13</v>
      </c>
      <c r="E257" s="9"/>
      <c r="F257" s="9"/>
      <c r="G257" s="9"/>
      <c r="H257" s="9"/>
      <c r="I257" s="9" t="s">
        <v>4</v>
      </c>
      <c r="J257" s="9">
        <v>0.79</v>
      </c>
      <c r="K257" s="9" t="s">
        <v>5</v>
      </c>
      <c r="L257" s="9" t="s">
        <v>14</v>
      </c>
      <c r="M257" s="9" t="s">
        <v>10</v>
      </c>
    </row>
    <row r="258" spans="1:13" x14ac:dyDescent="0.25">
      <c r="A258" s="9" t="s">
        <v>1</v>
      </c>
      <c r="B258" s="9"/>
      <c r="C258" s="9"/>
      <c r="D258" s="9" t="s">
        <v>16</v>
      </c>
      <c r="E258" s="9"/>
      <c r="F258" s="9"/>
      <c r="G258" s="9"/>
      <c r="H258" s="9"/>
      <c r="I258" s="9" t="s">
        <v>4</v>
      </c>
      <c r="J258" s="9">
        <v>2.2599999999999998</v>
      </c>
      <c r="K258" s="9" t="s">
        <v>5</v>
      </c>
      <c r="L258" s="9"/>
      <c r="M258" s="9" t="s">
        <v>10</v>
      </c>
    </row>
    <row r="259" spans="1:13" x14ac:dyDescent="0.25">
      <c r="A259" s="9" t="s">
        <v>1</v>
      </c>
      <c r="B259" s="9"/>
      <c r="C259" s="9"/>
      <c r="D259" s="9" t="s">
        <v>15</v>
      </c>
      <c r="E259" s="9"/>
      <c r="F259" s="9"/>
      <c r="G259" s="9"/>
      <c r="H259" s="9"/>
      <c r="I259" s="9" t="s">
        <v>4</v>
      </c>
      <c r="J259" s="9">
        <v>2.2599999999999998</v>
      </c>
      <c r="K259" s="9" t="s">
        <v>5</v>
      </c>
      <c r="L259" s="9"/>
      <c r="M259" s="9" t="s">
        <v>10</v>
      </c>
    </row>
    <row r="260" spans="1:13" x14ac:dyDescent="0.25">
      <c r="A260" s="9" t="s">
        <v>1</v>
      </c>
      <c r="B260" s="9"/>
      <c r="C260" s="9"/>
      <c r="D260" s="9" t="s">
        <v>17</v>
      </c>
      <c r="E260" s="9"/>
      <c r="F260" s="9"/>
      <c r="G260" s="9"/>
      <c r="H260" s="9"/>
      <c r="I260" s="9" t="s">
        <v>4</v>
      </c>
      <c r="J260" s="9">
        <v>2.2599999999999998</v>
      </c>
      <c r="K260" s="9" t="s">
        <v>5</v>
      </c>
      <c r="L260" s="9" t="s">
        <v>18</v>
      </c>
      <c r="M260" s="9" t="s">
        <v>10</v>
      </c>
    </row>
    <row r="261" spans="1:13" x14ac:dyDescent="0.25">
      <c r="A261" s="9" t="s">
        <v>83</v>
      </c>
      <c r="B261" s="9"/>
      <c r="C261" s="9"/>
      <c r="D261" s="9"/>
      <c r="E261" s="9"/>
      <c r="F261" s="9"/>
      <c r="G261" s="9"/>
      <c r="H261" s="9"/>
      <c r="I261" s="9" t="s">
        <v>4</v>
      </c>
      <c r="J261" s="9">
        <v>0.4</v>
      </c>
      <c r="K261" s="9" t="s">
        <v>5</v>
      </c>
      <c r="L261" s="9"/>
      <c r="M261" s="9" t="s">
        <v>96</v>
      </c>
    </row>
    <row r="262" spans="1:13" x14ac:dyDescent="0.25">
      <c r="A262" s="9" t="s">
        <v>69</v>
      </c>
      <c r="B262" s="9"/>
      <c r="C262" s="9"/>
      <c r="D262" s="9"/>
      <c r="E262" s="9"/>
      <c r="F262" s="9"/>
      <c r="G262" s="9"/>
      <c r="H262" s="9"/>
      <c r="I262" s="9" t="s">
        <v>4</v>
      </c>
      <c r="J262" s="9">
        <v>2.13</v>
      </c>
      <c r="K262" s="9" t="s">
        <v>5</v>
      </c>
      <c r="L262" s="9"/>
      <c r="M262" s="9" t="s">
        <v>96</v>
      </c>
    </row>
    <row r="263" spans="1:13" x14ac:dyDescent="0.25">
      <c r="A263" s="9" t="s">
        <v>43</v>
      </c>
      <c r="B263" s="9"/>
      <c r="C263" s="9"/>
      <c r="D263" s="9" t="s">
        <v>50</v>
      </c>
      <c r="E263" s="9"/>
      <c r="F263" s="9"/>
      <c r="G263" s="9"/>
      <c r="H263" s="9"/>
      <c r="I263" s="9" t="s">
        <v>4</v>
      </c>
      <c r="J263" s="9">
        <v>0.69</v>
      </c>
      <c r="K263" s="9" t="s">
        <v>5</v>
      </c>
      <c r="L263" s="9"/>
      <c r="M263" s="9" t="s">
        <v>10</v>
      </c>
    </row>
    <row r="264" spans="1:13" x14ac:dyDescent="0.25">
      <c r="A264" s="9" t="s">
        <v>43</v>
      </c>
      <c r="B264" s="9"/>
      <c r="C264" s="9"/>
      <c r="D264" s="9" t="s">
        <v>51</v>
      </c>
      <c r="E264" s="9"/>
      <c r="F264" s="9"/>
      <c r="G264" s="9"/>
      <c r="H264" s="9"/>
      <c r="I264" s="9" t="s">
        <v>4</v>
      </c>
      <c r="J264" s="9">
        <v>0.45</v>
      </c>
      <c r="K264" s="9" t="s">
        <v>5</v>
      </c>
      <c r="L264" s="9"/>
      <c r="M264" s="9" t="s">
        <v>10</v>
      </c>
    </row>
    <row r="265" spans="1:13" x14ac:dyDescent="0.25">
      <c r="A265" s="9" t="s">
        <v>43</v>
      </c>
      <c r="B265" s="9"/>
      <c r="C265" s="9"/>
      <c r="D265" s="9" t="s">
        <v>52</v>
      </c>
      <c r="E265" s="9"/>
      <c r="F265" s="9"/>
      <c r="G265" s="9"/>
      <c r="H265" s="9"/>
      <c r="I265" s="9" t="s">
        <v>4</v>
      </c>
      <c r="J265" s="9">
        <v>4.3999999999999997E-2</v>
      </c>
      <c r="K265" s="9" t="s">
        <v>5</v>
      </c>
      <c r="L265" s="9"/>
      <c r="M265" s="9" t="s">
        <v>10</v>
      </c>
    </row>
    <row r="266" spans="1:13" x14ac:dyDescent="0.25">
      <c r="A266" s="9" t="s">
        <v>43</v>
      </c>
      <c r="B266" s="9"/>
      <c r="C266" s="9"/>
      <c r="D266" s="9" t="s">
        <v>53</v>
      </c>
      <c r="E266" s="9"/>
      <c r="F266" s="9"/>
      <c r="G266" s="9"/>
      <c r="H266" s="9"/>
      <c r="I266" s="9" t="s">
        <v>4</v>
      </c>
      <c r="J266" s="9">
        <v>0.69</v>
      </c>
      <c r="K266" s="9" t="s">
        <v>5</v>
      </c>
      <c r="L266" s="9" t="s">
        <v>77</v>
      </c>
      <c r="M266" s="9" t="s">
        <v>10</v>
      </c>
    </row>
    <row r="267" spans="1:13" x14ac:dyDescent="0.25">
      <c r="A267" s="9" t="s">
        <v>43</v>
      </c>
      <c r="B267" s="9"/>
      <c r="C267" s="9"/>
      <c r="D267" s="9" t="s">
        <v>44</v>
      </c>
      <c r="E267" s="9"/>
      <c r="F267" s="9"/>
      <c r="G267" s="9"/>
      <c r="H267" s="9"/>
      <c r="I267" s="9" t="s">
        <v>4</v>
      </c>
      <c r="J267" s="9">
        <v>0.37</v>
      </c>
      <c r="K267" s="9" t="s">
        <v>5</v>
      </c>
      <c r="L267" s="9"/>
      <c r="M267" s="9" t="s">
        <v>10</v>
      </c>
    </row>
    <row r="268" spans="1:13" x14ac:dyDescent="0.25">
      <c r="A268" s="9" t="s">
        <v>43</v>
      </c>
      <c r="B268" s="9"/>
      <c r="C268" s="9"/>
      <c r="D268" s="9" t="s">
        <v>45</v>
      </c>
      <c r="E268" s="9"/>
      <c r="F268" s="9"/>
      <c r="G268" s="9"/>
      <c r="H268" s="9"/>
      <c r="I268" s="9" t="s">
        <v>4</v>
      </c>
      <c r="J268" s="9">
        <v>0.37</v>
      </c>
      <c r="K268" s="9" t="s">
        <v>5</v>
      </c>
      <c r="L268" s="9"/>
      <c r="M268" s="9" t="s">
        <v>10</v>
      </c>
    </row>
    <row r="269" spans="1:13" x14ac:dyDescent="0.25">
      <c r="A269" s="9" t="s">
        <v>64</v>
      </c>
      <c r="B269" s="9"/>
      <c r="C269" s="9"/>
      <c r="D269" s="9" t="s">
        <v>65</v>
      </c>
      <c r="E269" s="9"/>
      <c r="F269" s="9"/>
      <c r="G269" s="9"/>
      <c r="H269" s="9"/>
      <c r="I269" s="9" t="s">
        <v>4</v>
      </c>
      <c r="J269" s="9">
        <v>0.01</v>
      </c>
      <c r="K269" s="9" t="s">
        <v>5</v>
      </c>
      <c r="L269" s="9"/>
      <c r="M269" s="9" t="s">
        <v>96</v>
      </c>
    </row>
    <row r="270" spans="1:13" x14ac:dyDescent="0.25">
      <c r="A270" s="9" t="s">
        <v>64</v>
      </c>
      <c r="B270" s="9"/>
      <c r="C270" s="9"/>
      <c r="D270" s="9" t="s">
        <v>84</v>
      </c>
      <c r="E270" s="9"/>
      <c r="F270" s="9"/>
      <c r="G270" s="9"/>
      <c r="H270" s="9"/>
      <c r="I270" s="9" t="s">
        <v>4</v>
      </c>
      <c r="J270" s="9">
        <v>0.02</v>
      </c>
      <c r="K270" s="9" t="s">
        <v>5</v>
      </c>
      <c r="L270" s="9"/>
      <c r="M270" s="9" t="s">
        <v>96</v>
      </c>
    </row>
    <row r="271" spans="1:13" x14ac:dyDescent="0.25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</row>
    <row r="272" spans="1:13" x14ac:dyDescent="0.25">
      <c r="A272" s="9"/>
      <c r="B272" s="9"/>
      <c r="C272" s="9"/>
      <c r="D272" s="9"/>
      <c r="E272" s="9"/>
      <c r="F272" s="9"/>
      <c r="G272" s="9"/>
      <c r="H272" s="9"/>
      <c r="I272" s="9" t="s">
        <v>82</v>
      </c>
      <c r="J272" s="9">
        <v>0</v>
      </c>
      <c r="K272" s="9" t="s">
        <v>81</v>
      </c>
      <c r="L272" s="9" t="s">
        <v>80</v>
      </c>
      <c r="M272" s="9"/>
    </row>
    <row r="273" spans="1:13" x14ac:dyDescent="0.25">
      <c r="A273" s="9" t="s">
        <v>69</v>
      </c>
      <c r="B273" s="9"/>
      <c r="C273" s="9"/>
      <c r="D273" s="9"/>
      <c r="E273" s="9"/>
      <c r="F273" s="9"/>
      <c r="G273" s="9"/>
      <c r="H273" s="9"/>
      <c r="I273" s="9" t="s">
        <v>82</v>
      </c>
      <c r="J273" s="9">
        <v>1.56</v>
      </c>
      <c r="K273" s="9" t="s">
        <v>81</v>
      </c>
      <c r="L273" s="9"/>
      <c r="M273" s="9" t="s">
        <v>87</v>
      </c>
    </row>
    <row r="274" spans="1:13" x14ac:dyDescent="0.25">
      <c r="A274" s="9" t="s">
        <v>83</v>
      </c>
      <c r="B274" s="9"/>
      <c r="C274" s="9"/>
      <c r="D274" s="9"/>
      <c r="E274" s="9"/>
      <c r="F274" s="9"/>
      <c r="G274" s="9"/>
      <c r="H274" s="9"/>
      <c r="I274" s="9" t="s">
        <v>82</v>
      </c>
      <c r="J274" s="9">
        <v>0.19</v>
      </c>
      <c r="K274" s="9" t="s">
        <v>81</v>
      </c>
      <c r="L274" s="9"/>
      <c r="M274" s="9" t="s">
        <v>87</v>
      </c>
    </row>
    <row r="275" spans="1:13" x14ac:dyDescent="0.25">
      <c r="A275" s="9" t="s">
        <v>64</v>
      </c>
      <c r="B275" s="9"/>
      <c r="C275" s="9" t="s">
        <v>65</v>
      </c>
      <c r="D275" s="9"/>
      <c r="E275" s="9"/>
      <c r="F275" s="9"/>
      <c r="G275" s="9"/>
      <c r="H275" s="9"/>
      <c r="I275" s="9" t="s">
        <v>82</v>
      </c>
      <c r="J275" s="9">
        <v>0.02</v>
      </c>
      <c r="K275" s="9" t="s">
        <v>81</v>
      </c>
      <c r="L275" s="9"/>
      <c r="M275" s="9" t="s">
        <v>87</v>
      </c>
    </row>
    <row r="276" spans="1:13" x14ac:dyDescent="0.25">
      <c r="A276" s="9" t="s">
        <v>64</v>
      </c>
      <c r="B276" s="9"/>
      <c r="C276" s="9" t="s">
        <v>84</v>
      </c>
      <c r="D276" s="9"/>
      <c r="E276" s="9"/>
      <c r="F276" s="9"/>
      <c r="G276" s="9"/>
      <c r="H276" s="9"/>
      <c r="I276" s="9" t="s">
        <v>82</v>
      </c>
      <c r="J276" s="9">
        <v>0.03</v>
      </c>
      <c r="K276" s="9" t="s">
        <v>81</v>
      </c>
      <c r="L276" s="9"/>
      <c r="M276" s="9" t="s">
        <v>87</v>
      </c>
    </row>
    <row r="279" spans="1:13" x14ac:dyDescent="0.25">
      <c r="J279" s="7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D6" sqref="D6"/>
    </sheetView>
  </sheetViews>
  <sheetFormatPr defaultRowHeight="15" x14ac:dyDescent="0.25"/>
  <sheetData>
    <row r="1" spans="1:1" x14ac:dyDescent="0.25">
      <c r="A1" t="s">
        <v>104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default</vt:lpstr>
      <vt:lpstr>references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Karlsson</dc:creator>
  <cp:lastModifiedBy>Johan Karlsson</cp:lastModifiedBy>
  <dcterms:created xsi:type="dcterms:W3CDTF">2023-01-11T08:41:16Z</dcterms:created>
  <dcterms:modified xsi:type="dcterms:W3CDTF">2023-11-07T13:17:26Z</dcterms:modified>
</cp:coreProperties>
</file>