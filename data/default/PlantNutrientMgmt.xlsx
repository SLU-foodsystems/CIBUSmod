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07" i="1" l="1"/>
  <c r="Q706" i="1"/>
  <c r="Q705" i="1"/>
  <c r="Q704" i="1"/>
  <c r="Q703" i="1"/>
  <c r="Q483" i="1"/>
  <c r="Q482" i="1"/>
  <c r="Q481" i="1"/>
  <c r="Q480" i="1"/>
  <c r="Q479" i="1"/>
  <c r="Q199" i="1"/>
  <c r="Q198" i="1"/>
  <c r="Q197" i="1"/>
  <c r="Q196" i="1"/>
  <c r="Q195" i="1"/>
  <c r="Q609" i="1"/>
  <c r="Q610" i="1"/>
  <c r="Q611" i="1"/>
  <c r="Q612" i="1"/>
  <c r="Q613" i="1"/>
  <c r="Q614" i="1"/>
  <c r="Q615" i="1"/>
  <c r="Q608" i="1"/>
  <c r="Q186" i="1"/>
  <c r="Q185" i="1"/>
  <c r="Q340" i="1"/>
  <c r="Q374" i="1"/>
  <c r="Q375" i="1"/>
  <c r="Q376" i="1"/>
  <c r="Q377" i="1"/>
  <c r="Q378" i="1"/>
  <c r="Q373" i="1"/>
  <c r="Q699" i="1" l="1"/>
  <c r="Q475" i="1"/>
  <c r="Q474" i="1"/>
  <c r="Q698" i="1"/>
  <c r="Q683" i="1" l="1"/>
  <c r="Q682" i="1"/>
  <c r="Q675" i="1"/>
  <c r="Q677" i="1" s="1"/>
  <c r="Q674" i="1"/>
  <c r="Q676" i="1" s="1"/>
  <c r="Q669" i="1"/>
  <c r="Q668" i="1"/>
  <c r="Q654" i="1"/>
  <c r="Q653" i="1"/>
  <c r="Q652" i="1"/>
  <c r="Q651" i="1"/>
  <c r="Q650" i="1"/>
  <c r="Q649" i="1"/>
  <c r="Q643" i="1"/>
  <c r="Q642" i="1"/>
  <c r="Q641" i="1"/>
  <c r="Q640" i="1"/>
  <c r="Q639" i="1"/>
  <c r="Q638" i="1"/>
  <c r="Q637" i="1"/>
  <c r="Q636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425" i="1" l="1"/>
  <c r="Q426" i="1"/>
  <c r="Q424" i="1"/>
  <c r="Q301" i="1"/>
  <c r="Q302" i="1"/>
  <c r="Q303" i="1"/>
  <c r="Q304" i="1"/>
  <c r="Q305" i="1"/>
  <c r="Q306" i="1"/>
  <c r="Q307" i="1"/>
  <c r="Q300" i="1"/>
  <c r="Q111" i="1"/>
  <c r="Q110" i="1"/>
  <c r="S109" i="1"/>
  <c r="Q109" i="1"/>
  <c r="Q341" i="1" l="1"/>
  <c r="Q342" i="1"/>
  <c r="Q343" i="1"/>
  <c r="Q344" i="1"/>
  <c r="Q345" i="1"/>
  <c r="Q346" i="1"/>
  <c r="Q347" i="1"/>
  <c r="Q332" i="1"/>
  <c r="Q333" i="1"/>
  <c r="Q334" i="1"/>
  <c r="Q335" i="1"/>
  <c r="Q336" i="1"/>
  <c r="Q337" i="1"/>
  <c r="Q338" i="1"/>
  <c r="Q339" i="1"/>
  <c r="Q284" i="1"/>
  <c r="S162" i="1"/>
  <c r="Q164" i="1"/>
  <c r="Q163" i="1"/>
  <c r="Q162" i="1"/>
  <c r="Q159" i="1"/>
  <c r="S159" i="1"/>
  <c r="Q160" i="1"/>
  <c r="Q161" i="1"/>
  <c r="Q451" i="1" l="1"/>
  <c r="Q453" i="1" s="1"/>
  <c r="Q450" i="1"/>
  <c r="Q452" i="1" s="1"/>
  <c r="Q445" i="1"/>
  <c r="Q444" i="1"/>
  <c r="Q459" i="1" l="1"/>
  <c r="Q458" i="1"/>
  <c r="Q428" i="1"/>
  <c r="Q429" i="1"/>
  <c r="Q427" i="1"/>
  <c r="Q408" i="1"/>
  <c r="Q409" i="1"/>
  <c r="Q410" i="1"/>
  <c r="Q411" i="1"/>
  <c r="Q412" i="1"/>
  <c r="Q413" i="1"/>
  <c r="Q414" i="1"/>
  <c r="Q415" i="1"/>
  <c r="Q416" i="1"/>
  <c r="Q417" i="1"/>
  <c r="Q418" i="1"/>
  <c r="Q407" i="1"/>
  <c r="Q325" i="1"/>
  <c r="Q326" i="1"/>
  <c r="Q327" i="1"/>
  <c r="Q328" i="1"/>
  <c r="Q329" i="1"/>
  <c r="Q330" i="1"/>
  <c r="Q331" i="1"/>
  <c r="Q317" i="1"/>
  <c r="Q318" i="1"/>
  <c r="Q319" i="1"/>
  <c r="Q320" i="1"/>
  <c r="Q321" i="1"/>
  <c r="Q322" i="1"/>
  <c r="Q323" i="1"/>
  <c r="Q324" i="1"/>
  <c r="Q316" i="1"/>
  <c r="Q315" i="1"/>
  <c r="Q314" i="1"/>
  <c r="Q313" i="1"/>
  <c r="Q312" i="1"/>
  <c r="Q311" i="1"/>
  <c r="Q310" i="1"/>
  <c r="Q309" i="1"/>
  <c r="Q308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67" i="1"/>
  <c r="Q268" i="1"/>
  <c r="Q269" i="1"/>
  <c r="Q270" i="1"/>
  <c r="Q271" i="1"/>
  <c r="Q272" i="1"/>
  <c r="Q273" i="1"/>
  <c r="Q259" i="1"/>
  <c r="Q260" i="1"/>
  <c r="Q261" i="1"/>
  <c r="Q262" i="1"/>
  <c r="Q263" i="1"/>
  <c r="Q264" i="1"/>
  <c r="Q265" i="1"/>
  <c r="Q266" i="1"/>
  <c r="Q258" i="1"/>
  <c r="Q251" i="1"/>
  <c r="Q252" i="1"/>
  <c r="Q253" i="1"/>
  <c r="Q254" i="1"/>
  <c r="Q255" i="1"/>
  <c r="Q256" i="1"/>
  <c r="Q257" i="1"/>
  <c r="Q250" i="1"/>
  <c r="Q754" i="1" l="1"/>
  <c r="Q752" i="1" l="1"/>
  <c r="Q753" i="1"/>
  <c r="Q751" i="1"/>
  <c r="Q718" i="1"/>
  <c r="Q717" i="1"/>
  <c r="Q716" i="1"/>
  <c r="Q184" i="1" l="1"/>
  <c r="Q183" i="1"/>
  <c r="Q172" i="1"/>
  <c r="Q171" i="1"/>
  <c r="Q192" i="1"/>
  <c r="Q180" i="1" l="1"/>
  <c r="S145" i="1"/>
  <c r="S85" i="1" l="1"/>
  <c r="S88" i="1" s="1"/>
  <c r="S91" i="1" s="1"/>
  <c r="Q87" i="1"/>
  <c r="Q90" i="1" s="1"/>
  <c r="Q93" i="1" s="1"/>
  <c r="Q86" i="1"/>
  <c r="Q89" i="1" s="1"/>
  <c r="Q92" i="1" s="1"/>
  <c r="Q85" i="1"/>
  <c r="Q88" i="1" s="1"/>
  <c r="Q91" i="1" s="1"/>
  <c r="S100" i="1" l="1"/>
  <c r="Q102" i="1"/>
  <c r="Q101" i="1"/>
  <c r="Q100" i="1"/>
  <c r="S79" i="1"/>
  <c r="Q81" i="1"/>
  <c r="Q80" i="1"/>
  <c r="Q79" i="1"/>
  <c r="Q78" i="1"/>
  <c r="Q77" i="1"/>
  <c r="S76" i="1"/>
  <c r="Q76" i="1"/>
  <c r="S53" i="1"/>
  <c r="Q55" i="1"/>
  <c r="Q54" i="1"/>
  <c r="Q53" i="1"/>
  <c r="S61" i="1"/>
  <c r="S122" i="1" s="1"/>
  <c r="Q63" i="1"/>
  <c r="Q127" i="1" s="1"/>
  <c r="Q62" i="1"/>
  <c r="Q123" i="1" s="1"/>
  <c r="Q61" i="1"/>
  <c r="Q114" i="1" s="1"/>
  <c r="S120" i="1"/>
  <c r="S112" i="1"/>
  <c r="S41" i="1"/>
  <c r="Q42" i="1"/>
  <c r="Q43" i="1"/>
  <c r="Q44" i="1"/>
  <c r="Q41" i="1"/>
  <c r="S114" i="1" l="1"/>
  <c r="Q118" i="1"/>
  <c r="Q119" i="1"/>
  <c r="S125" i="1"/>
  <c r="Q116" i="1"/>
  <c r="S117" i="1"/>
  <c r="Q126" i="1"/>
  <c r="Q124" i="1"/>
  <c r="Q122" i="1"/>
  <c r="Q115" i="1"/>
  <c r="Q125" i="1"/>
  <c r="Q117" i="1"/>
  <c r="Q182" i="1"/>
  <c r="Q181" i="1"/>
  <c r="Q146" i="1"/>
  <c r="Q147" i="1"/>
  <c r="Q145" i="1"/>
  <c r="Q113" i="1"/>
  <c r="Q112" i="1"/>
  <c r="Q121" i="1"/>
  <c r="Q120" i="1"/>
</calcChain>
</file>

<file path=xl/sharedStrings.xml><?xml version="1.0" encoding="utf-8"?>
<sst xmlns="http://schemas.openxmlformats.org/spreadsheetml/2006/main" count="2484" uniqueCount="315">
  <si>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</si>
  <si>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</si>
  <si>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</si>
  <si>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</si>
  <si>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</si>
  <si>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</si>
  <si>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</si>
  <si>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</si>
  <si>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</si>
  <si>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</si>
  <si>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</si>
  <si>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</si>
  <si>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</si>
  <si>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</si>
  <si>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</si>
  <si>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</si>
  <si>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</si>
  <si>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</si>
  <si>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</si>
  <si>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</si>
  <si>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</si>
  <si>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</si>
  <si>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</si>
  <si>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</si>
  <si>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</si>
  <si>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</si>
  <si>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</si>
  <si>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</si>
  <si>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</si>
  <si>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</si>
  <si>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</si>
  <si>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</si>
  <si>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</si>
  <si>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</si>
  <si>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</si>
  <si>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</si>
  <si>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</si>
  <si>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</si>
  <si>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</si>
  <si>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</si>
  <si>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</si>
  <si>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</si>
  <si>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</si>
  <si>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</si>
  <si>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</si>
  <si>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</si>
  <si>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</si>
  <si>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</si>
  <si>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</si>
  <si>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</si>
  <si>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</si>
  <si>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</si>
  <si>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</si>
  <si>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</si>
  <si>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</si>
  <si>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</si>
  <si>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</si>
  <si>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</si>
  <si>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</si>
  <si>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</si>
  <si>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</si>
  <si>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</si>
  <si>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</si>
  <si>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</si>
  <si>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</si>
  <si>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</si>
  <si>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</si>
  <si>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</si>
  <si>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</si>
  <si>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</si>
  <si>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</si>
  <si>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</si>
  <si>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</si>
  <si>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</si>
  <si>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</si>
  <si>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</si>
  <si>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</si>
  <si>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</si>
  <si>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</si>
  <si>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</si>
  <si>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</si>
  <si>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</si>
  <si>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</si>
  <si>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</si>
  <si>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</si>
  <si>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</si>
  <si>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</si>
  <si>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</si>
  <si>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</si>
  <si>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</si>
  <si>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</si>
  <si>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</si>
  <si>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</si>
  <si>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</si>
  <si>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</si>
  <si>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</si>
  <si>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</si>
  <si>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</si>
  <si>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</si>
  <si>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</si>
  <si>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</si>
  <si>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</si>
  <si>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</si>
  <si>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</si>
  <si>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</si>
  <si>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</si>
  <si>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</si>
  <si>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</si>
  <si>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</si>
  <si>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</si>
  <si>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</si>
  <si>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</si>
  <si>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</si>
  <si>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</si>
  <si>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</si>
  <si>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</si>
  <si>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</si>
  <si>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</si>
  <si>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</si>
  <si>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</si>
  <si>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</si>
  <si>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</si>
  <si>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</si>
  <si>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</si>
  <si>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</si>
  <si>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</si>
  <si>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</si>
  <si>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</si>
  <si>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</si>
  <si>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</si>
  <si>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</si>
  <si>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</si>
  <si>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</si>
  <si>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</si>
  <si>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</si>
  <si>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</si>
  <si>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</si>
  <si>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</si>
  <si>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</si>
  <si>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</si>
  <si>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</si>
  <si>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</si>
  <si>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</si>
  <si>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</si>
  <si>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</si>
  <si>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</si>
  <si>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</si>
  <si>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</si>
  <si>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</si>
  <si>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</si>
  <si>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</si>
  <si>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</si>
  <si>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</si>
  <si>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</si>
  <si>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</si>
  <si>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</si>
  <si>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</si>
  <si>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</si>
  <si>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</si>
  <si>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</si>
  <si>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</si>
  <si>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</si>
  <si>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</si>
  <si>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</si>
  <si>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</si>
  <si>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</si>
  <si>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</si>
  <si>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</si>
  <si>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</si>
  <si>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</si>
  <si>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</si>
  <si>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</si>
  <si>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</si>
  <si>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</si>
  <si>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</si>
  <si>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</si>
  <si>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</si>
  <si>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</si>
  <si>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</si>
  <si>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</si>
  <si>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</si>
  <si>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</si>
  <si>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</si>
  <si>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</si>
  <si>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</si>
  <si>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</si>
  <si>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</si>
  <si>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</si>
  <si>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</si>
  <si>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</si>
  <si>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</si>
  <si>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</si>
  <si>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</si>
  <si>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</si>
  <si>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</si>
  <si>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</si>
  <si>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</si>
  <si>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</si>
  <si>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</si>
  <si>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</si>
  <si>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</si>
  <si>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</si>
  <si>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</si>
  <si>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</si>
  <si>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</si>
  <si>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</si>
  <si>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</si>
  <si>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</si>
  <si>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</si>
  <si>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</si>
  <si>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</si>
  <si>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</si>
  <si>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</si>
  <si>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</si>
  <si>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</si>
  <si>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</si>
  <si>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</si>
  <si>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</si>
  <si>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</si>
  <si>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</si>
  <si>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</si>
  <si>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</si>
  <si>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</si>
  <si>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</si>
  <si>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</si>
  <si>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</si>
  <si>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</si>
  <si>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</si>
  <si>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</si>
  <si>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</si>
  <si>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</si>
  <si>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</si>
  <si>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</si>
  <si>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</si>
  <si>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</si>
  <si>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</si>
  <si>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</si>
  <si>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</si>
  <si>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</si>
  <si>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</si>
  <si>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</si>
  <si>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</si>
  <si>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</si>
  <si>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</si>
  <si>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</si>
  <si>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</si>
  <si>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</si>
  <si>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</si>
  <si>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</si>
  <si>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</si>
  <si>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</si>
  <si>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</si>
  <si>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</si>
  <si>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</si>
  <si>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</si>
  <si>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Share of non-plant available N that becomes available long-term. ~40% for "cattle slurry" and "solid manure"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</si>
  <si>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</si>
  <si>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</si>
  <si>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</si>
  <si>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</si>
  <si>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</si>
  <si>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</si>
  <si>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</si>
  <si>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</si>
  <si>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</si>
  <si>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</si>
  <si>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</si>
  <si>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</si>
  <si>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</si>
  <si>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</si>
  <si>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</si>
  <si>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</si>
  <si>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</si>
  <si>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</si>
  <si>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</si>
  <si>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</si>
  <si>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Lentils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</si>
  <si>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</si>
  <si>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</si>
  <si>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</si>
  <si>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</si>
  <si>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</si>
  <si>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</si>
  <si>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</si>
  <si>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</si>
  <si>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</si>
  <si>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</si>
  <si>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</si>
  <si>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</si>
  <si>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</si>
  <si>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</si>
  <si>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</si>
  <si>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</si>
  <si>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</si>
  <si>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</si>
  <si>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</si>
  <si>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</si>
  <si>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</si>
  <si>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</si>
  <si>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</si>
  <si>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</si>
  <si>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</si>
  <si>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</si>
  <si>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clover ley (40% clover) and three harvest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</si>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</sst>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7" fillId="0" borderId="0" xfId="0" applyFont="1"/>
    <xf numFmtId="165" fontId="5" fillId="0" borderId="0" xfId="0" applyNumberFormat="1" applyFont="1"/>
    <xf numFmtId="0" fontId="0" fillId="3" borderId="0" xfId="0" applyFill="1"/>
    <xf numFmtId="0" fontId="8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9" fillId="0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2" fillId="0" borderId="0" xfId="0" applyFont="1"/>
    <xf numFmtId="0" fontId="13" fillId="0" borderId="0" xfId="1"/>
    <xf numFmtId="165" fontId="4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4"/>
  <sheetViews>
    <sheetView tabSelected="1" topLeftCell="E1" zoomScale="80" zoomScaleNormal="80" workbookViewId="0">
      <pane ySplit="1" topLeftCell="A481" activePane="bottomLeft" state="frozen"/>
      <selection pane="bottomLeft" activeCell="P490" sqref="P490"/>
    </sheetView>
  </sheetViews>
  <sheetFormatPr defaultRowHeight="15" x14ac:dyDescent="0.25"/>
  <cols>
    <col min="1" max="3" width="21" customWidth="1"/>
    <col min="4" max="4" width="31.28515625" bestFit="1" customWidth="1"/>
    <col min="5" max="5" width="14.5703125" bestFit="1" customWidth="1"/>
    <col min="6" max="6" width="6" bestFit="1" customWidth="1"/>
    <col min="7" max="7" width="28.42578125" bestFit="1" customWidth="1"/>
    <col min="8" max="8" width="28.42578125" customWidth="1"/>
    <col min="9" max="14" width="11.140625" customWidth="1"/>
    <col min="15" max="15" width="12.140625" bestFit="1" customWidth="1"/>
    <col min="16" max="16" width="23.7109375" customWidth="1"/>
    <col min="17" max="17" width="11" customWidth="1"/>
    <col min="18" max="18" width="9.5703125" bestFit="1" customWidth="1"/>
    <col min="19" max="19" width="35.42578125" customWidth="1"/>
    <col min="20" max="20" width="27.42578125" customWidth="1"/>
  </cols>
  <sheetData>
    <row r="1" spans="1:20" x14ac:dyDescent="0.25">
      <c r="A1" s="1" t="s">
        <v>0</v>
      </c>
      <c r="B1" s="1" t="s">
        <v>231</v>
      </c>
      <c r="C1" s="1" t="s">
        <v>182</v>
      </c>
      <c r="D1" s="1" t="s">
        <v>176</v>
      </c>
      <c r="E1" s="1" t="s">
        <v>84</v>
      </c>
      <c r="F1" s="1" t="s">
        <v>8</v>
      </c>
      <c r="G1" s="1" t="s">
        <v>147</v>
      </c>
      <c r="H1" s="1" t="s">
        <v>264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197</v>
      </c>
      <c r="N1" s="1" t="s">
        <v>281</v>
      </c>
      <c r="O1" s="1" t="s">
        <v>119</v>
      </c>
      <c r="P1" s="1" t="s">
        <v>1</v>
      </c>
      <c r="Q1" s="1" t="s">
        <v>2</v>
      </c>
      <c r="R1" s="1" t="s">
        <v>3</v>
      </c>
      <c r="S1" s="1" t="s">
        <v>4</v>
      </c>
      <c r="T1" s="1" t="s">
        <v>5</v>
      </c>
    </row>
    <row r="3" spans="1:20" x14ac:dyDescent="0.25">
      <c r="A3" s="2" t="s">
        <v>112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5">
      <c r="E4" t="s">
        <v>104</v>
      </c>
      <c r="P4" t="s">
        <v>109</v>
      </c>
      <c r="Q4">
        <v>91</v>
      </c>
      <c r="R4" t="s">
        <v>103</v>
      </c>
      <c r="S4" t="s">
        <v>110</v>
      </c>
      <c r="T4" t="s">
        <v>111</v>
      </c>
    </row>
    <row r="5" spans="1:20" x14ac:dyDescent="0.25">
      <c r="P5" t="s">
        <v>106</v>
      </c>
      <c r="Q5">
        <v>22</v>
      </c>
      <c r="R5" t="s">
        <v>105</v>
      </c>
      <c r="S5" t="s">
        <v>108</v>
      </c>
      <c r="T5" t="s">
        <v>107</v>
      </c>
    </row>
    <row r="7" spans="1:20" x14ac:dyDescent="0.25">
      <c r="A7" s="2" t="s">
        <v>150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5">
      <c r="E8" t="s">
        <v>104</v>
      </c>
      <c r="P8" s="6" t="s">
        <v>146</v>
      </c>
      <c r="Q8" s="6">
        <v>0</v>
      </c>
      <c r="R8" s="6" t="s">
        <v>116</v>
      </c>
      <c r="S8" s="6" t="s">
        <v>151</v>
      </c>
    </row>
    <row r="9" spans="1:20" x14ac:dyDescent="0.25">
      <c r="E9" t="s">
        <v>149</v>
      </c>
      <c r="G9" t="s">
        <v>114</v>
      </c>
      <c r="P9" t="s">
        <v>146</v>
      </c>
      <c r="Q9">
        <v>59</v>
      </c>
      <c r="R9" t="s">
        <v>116</v>
      </c>
      <c r="S9" s="6" t="s">
        <v>118</v>
      </c>
      <c r="T9" t="s">
        <v>117</v>
      </c>
    </row>
    <row r="10" spans="1:20" x14ac:dyDescent="0.25">
      <c r="E10" t="s">
        <v>149</v>
      </c>
      <c r="G10" t="s">
        <v>115</v>
      </c>
      <c r="P10" t="s">
        <v>146</v>
      </c>
      <c r="Q10">
        <v>7</v>
      </c>
      <c r="R10" t="s">
        <v>116</v>
      </c>
      <c r="T10" t="s">
        <v>117</v>
      </c>
    </row>
    <row r="11" spans="1:20" x14ac:dyDescent="0.25">
      <c r="E11" t="s">
        <v>149</v>
      </c>
      <c r="G11" t="s">
        <v>216</v>
      </c>
      <c r="P11" t="s">
        <v>146</v>
      </c>
      <c r="Q11">
        <v>34</v>
      </c>
      <c r="R11" t="s">
        <v>116</v>
      </c>
      <c r="T11" t="s">
        <v>117</v>
      </c>
    </row>
    <row r="13" spans="1:20" x14ac:dyDescent="0.25">
      <c r="E13" t="s">
        <v>104</v>
      </c>
      <c r="P13" s="6" t="s">
        <v>219</v>
      </c>
      <c r="Q13" s="6">
        <v>0</v>
      </c>
      <c r="R13" s="6" t="s">
        <v>218</v>
      </c>
    </row>
    <row r="14" spans="1:20" x14ac:dyDescent="0.25">
      <c r="E14" t="s">
        <v>149</v>
      </c>
      <c r="G14" t="s">
        <v>217</v>
      </c>
      <c r="P14" t="s">
        <v>219</v>
      </c>
      <c r="Q14">
        <v>100</v>
      </c>
      <c r="R14" t="s">
        <v>218</v>
      </c>
      <c r="T14" t="s">
        <v>215</v>
      </c>
    </row>
    <row r="16" spans="1:20" x14ac:dyDescent="0.25">
      <c r="E16" t="s">
        <v>104</v>
      </c>
      <c r="P16" s="6" t="s">
        <v>220</v>
      </c>
      <c r="Q16" s="6">
        <v>0</v>
      </c>
      <c r="R16" s="6" t="s">
        <v>221</v>
      </c>
    </row>
    <row r="17" spans="1:20" x14ac:dyDescent="0.25">
      <c r="E17" t="s">
        <v>149</v>
      </c>
      <c r="G17" t="s">
        <v>222</v>
      </c>
      <c r="P17" s="6" t="s">
        <v>220</v>
      </c>
      <c r="Q17" s="6">
        <v>100</v>
      </c>
      <c r="R17" s="6" t="s">
        <v>221</v>
      </c>
    </row>
    <row r="18" spans="1:20" x14ac:dyDescent="0.25">
      <c r="P18" s="6"/>
      <c r="Q18" s="6"/>
      <c r="R18" s="6"/>
    </row>
    <row r="19" spans="1:20" x14ac:dyDescent="0.25">
      <c r="A19" s="2" t="s">
        <v>312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1" spans="1:20" x14ac:dyDescent="0.25">
      <c r="P21" t="s">
        <v>311</v>
      </c>
      <c r="Q21">
        <v>66</v>
      </c>
      <c r="R21" t="s">
        <v>103</v>
      </c>
      <c r="S21" t="s">
        <v>309</v>
      </c>
      <c r="T21" t="s">
        <v>310</v>
      </c>
    </row>
    <row r="23" spans="1:20" ht="21.75" customHeight="1" x14ac:dyDescent="0.25">
      <c r="A23" s="15" t="s">
        <v>295</v>
      </c>
      <c r="B23" s="15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</row>
    <row r="24" spans="1:20" x14ac:dyDescent="0.25">
      <c r="A24" s="18" t="s">
        <v>301</v>
      </c>
      <c r="B24" s="18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7"/>
      <c r="T24" s="17"/>
    </row>
    <row r="25" spans="1:20" x14ac:dyDescent="0.25">
      <c r="A25" s="18" t="s">
        <v>302</v>
      </c>
      <c r="B25" s="18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7"/>
      <c r="T25" s="17"/>
    </row>
    <row r="26" spans="1:20" ht="17.25" customHeight="1" x14ac:dyDescent="0.25">
      <c r="A26" s="15" t="s">
        <v>297</v>
      </c>
      <c r="B26" s="15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</row>
    <row r="27" spans="1:20" x14ac:dyDescent="0.25">
      <c r="A27" s="2" t="s">
        <v>296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3"/>
      <c r="T27" s="3"/>
    </row>
    <row r="28" spans="1:20" x14ac:dyDescent="0.25">
      <c r="A28" s="18" t="s">
        <v>193</v>
      </c>
      <c r="B28" s="18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T28" s="17"/>
    </row>
    <row r="29" spans="1:20" x14ac:dyDescent="0.25">
      <c r="A29" s="18" t="s">
        <v>194</v>
      </c>
      <c r="B29" s="18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7"/>
    </row>
    <row r="30" spans="1:20" x14ac:dyDescent="0.25">
      <c r="P30" s="5" t="s">
        <v>10</v>
      </c>
      <c r="Q30" s="5">
        <v>0</v>
      </c>
      <c r="R30" s="5"/>
      <c r="S30" s="5" t="s">
        <v>13</v>
      </c>
    </row>
    <row r="31" spans="1:20" x14ac:dyDescent="0.25">
      <c r="P31" s="5" t="s">
        <v>11</v>
      </c>
      <c r="Q31" s="5">
        <v>0</v>
      </c>
      <c r="R31" s="5"/>
      <c r="S31" s="5" t="s">
        <v>13</v>
      </c>
    </row>
    <row r="32" spans="1:20" x14ac:dyDescent="0.25">
      <c r="P32" s="5" t="s">
        <v>12</v>
      </c>
      <c r="Q32" s="5">
        <v>0</v>
      </c>
      <c r="R32" s="5"/>
      <c r="S32" s="5" t="s">
        <v>13</v>
      </c>
    </row>
    <row r="33" spans="1:19" x14ac:dyDescent="0.25">
      <c r="A33" t="s">
        <v>7</v>
      </c>
      <c r="P33" t="s">
        <v>10</v>
      </c>
      <c r="Q33">
        <v>-0.80359999999999998</v>
      </c>
      <c r="S33" t="s">
        <v>95</v>
      </c>
    </row>
    <row r="34" spans="1:19" x14ac:dyDescent="0.25">
      <c r="A34" t="s">
        <v>7</v>
      </c>
      <c r="P34" t="s">
        <v>11</v>
      </c>
      <c r="Q34">
        <v>24.088999999999999</v>
      </c>
    </row>
    <row r="35" spans="1:19" x14ac:dyDescent="0.25">
      <c r="A35" t="s">
        <v>7</v>
      </c>
      <c r="P35" t="s">
        <v>12</v>
      </c>
      <c r="Q35">
        <v>50.213999999999999</v>
      </c>
    </row>
    <row r="36" spans="1:19" x14ac:dyDescent="0.25">
      <c r="A36" t="s">
        <v>7</v>
      </c>
      <c r="F36" t="s">
        <v>9</v>
      </c>
      <c r="P36" t="s">
        <v>12</v>
      </c>
      <c r="Q36">
        <v>55.213999999999999</v>
      </c>
    </row>
    <row r="37" spans="1:19" x14ac:dyDescent="0.25">
      <c r="A37" t="s">
        <v>7</v>
      </c>
      <c r="D37" t="s">
        <v>90</v>
      </c>
      <c r="P37" t="s">
        <v>10</v>
      </c>
      <c r="Q37">
        <v>-0.71430000000000005</v>
      </c>
      <c r="S37" t="s">
        <v>94</v>
      </c>
    </row>
    <row r="38" spans="1:19" x14ac:dyDescent="0.25">
      <c r="A38" t="s">
        <v>7</v>
      </c>
      <c r="D38" t="s">
        <v>90</v>
      </c>
      <c r="P38" t="s">
        <v>11</v>
      </c>
      <c r="Q38">
        <v>23.143000000000001</v>
      </c>
    </row>
    <row r="39" spans="1:19" x14ac:dyDescent="0.25">
      <c r="A39" t="s">
        <v>7</v>
      </c>
      <c r="D39" t="s">
        <v>90</v>
      </c>
      <c r="P39" t="s">
        <v>12</v>
      </c>
      <c r="Q39">
        <v>42.570999999999998</v>
      </c>
    </row>
    <row r="40" spans="1:19" x14ac:dyDescent="0.25">
      <c r="A40" t="s">
        <v>7</v>
      </c>
      <c r="D40" t="s">
        <v>90</v>
      </c>
      <c r="F40" t="s">
        <v>9</v>
      </c>
      <c r="P40" t="s">
        <v>12</v>
      </c>
      <c r="Q40">
        <v>47.570999999999998</v>
      </c>
    </row>
    <row r="41" spans="1:19" x14ac:dyDescent="0.25">
      <c r="A41" t="s">
        <v>7</v>
      </c>
      <c r="D41" t="s">
        <v>89</v>
      </c>
      <c r="P41" t="s">
        <v>10</v>
      </c>
      <c r="Q41" s="8">
        <f>Q37</f>
        <v>-0.71430000000000005</v>
      </c>
      <c r="S41" s="8" t="str">
        <f>S37</f>
        <v>Höstvete foder/bröd, södra götaland</v>
      </c>
    </row>
    <row r="42" spans="1:19" x14ac:dyDescent="0.25">
      <c r="A42" t="s">
        <v>7</v>
      </c>
      <c r="D42" t="s">
        <v>89</v>
      </c>
      <c r="P42" t="s">
        <v>11</v>
      </c>
      <c r="Q42" s="8">
        <f t="shared" ref="Q42:Q44" si="0">Q38</f>
        <v>23.143000000000001</v>
      </c>
    </row>
    <row r="43" spans="1:19" x14ac:dyDescent="0.25">
      <c r="A43" t="s">
        <v>7</v>
      </c>
      <c r="D43" t="s">
        <v>89</v>
      </c>
      <c r="P43" t="s">
        <v>12</v>
      </c>
      <c r="Q43" s="8">
        <f t="shared" si="0"/>
        <v>42.570999999999998</v>
      </c>
    </row>
    <row r="44" spans="1:19" x14ac:dyDescent="0.25">
      <c r="A44" t="s">
        <v>7</v>
      </c>
      <c r="D44" t="s">
        <v>89</v>
      </c>
      <c r="F44" t="s">
        <v>9</v>
      </c>
      <c r="P44" t="s">
        <v>12</v>
      </c>
      <c r="Q44" s="8">
        <f t="shared" si="0"/>
        <v>47.570999999999998</v>
      </c>
    </row>
    <row r="45" spans="1:19" x14ac:dyDescent="0.25">
      <c r="A45" t="s">
        <v>14</v>
      </c>
      <c r="P45" t="s">
        <v>11</v>
      </c>
      <c r="Q45">
        <v>20</v>
      </c>
    </row>
    <row r="46" spans="1:19" x14ac:dyDescent="0.25">
      <c r="A46" t="s">
        <v>14</v>
      </c>
      <c r="P46" t="s">
        <v>12</v>
      </c>
      <c r="Q46">
        <v>70</v>
      </c>
    </row>
    <row r="47" spans="1:19" x14ac:dyDescent="0.25">
      <c r="A47" t="s">
        <v>25</v>
      </c>
      <c r="P47" t="s">
        <v>10</v>
      </c>
      <c r="Q47">
        <v>-1.7857000000000001</v>
      </c>
      <c r="S47" t="s">
        <v>24</v>
      </c>
    </row>
    <row r="48" spans="1:19" x14ac:dyDescent="0.25">
      <c r="A48" t="s">
        <v>25</v>
      </c>
      <c r="P48" t="s">
        <v>11</v>
      </c>
      <c r="Q48">
        <v>30.786000000000001</v>
      </c>
    </row>
    <row r="49" spans="1:19" x14ac:dyDescent="0.25">
      <c r="A49" t="s">
        <v>25</v>
      </c>
      <c r="P49" t="s">
        <v>12</v>
      </c>
      <c r="Q49">
        <v>25</v>
      </c>
    </row>
    <row r="50" spans="1:19" x14ac:dyDescent="0.25">
      <c r="A50" t="s">
        <v>25</v>
      </c>
      <c r="D50" t="s">
        <v>90</v>
      </c>
      <c r="P50" t="s">
        <v>10</v>
      </c>
      <c r="Q50">
        <v>-1.25</v>
      </c>
      <c r="S50" t="s">
        <v>97</v>
      </c>
    </row>
    <row r="51" spans="1:19" x14ac:dyDescent="0.25">
      <c r="A51" t="s">
        <v>25</v>
      </c>
      <c r="D51" t="s">
        <v>90</v>
      </c>
      <c r="P51" t="s">
        <v>11</v>
      </c>
      <c r="Q51">
        <v>27.75</v>
      </c>
    </row>
    <row r="52" spans="1:19" x14ac:dyDescent="0.25">
      <c r="A52" t="s">
        <v>25</v>
      </c>
      <c r="D52" t="s">
        <v>90</v>
      </c>
      <c r="P52" t="s">
        <v>12</v>
      </c>
      <c r="Q52">
        <v>18.25</v>
      </c>
    </row>
    <row r="53" spans="1:19" x14ac:dyDescent="0.25">
      <c r="A53" t="s">
        <v>25</v>
      </c>
      <c r="D53" t="s">
        <v>89</v>
      </c>
      <c r="P53" t="s">
        <v>10</v>
      </c>
      <c r="Q53" s="8">
        <f>Q50</f>
        <v>-1.25</v>
      </c>
      <c r="R53" s="8"/>
      <c r="S53" s="8" t="str">
        <f>S50</f>
        <v>Råg, södra götaland</v>
      </c>
    </row>
    <row r="54" spans="1:19" x14ac:dyDescent="0.25">
      <c r="A54" t="s">
        <v>25</v>
      </c>
      <c r="D54" t="s">
        <v>89</v>
      </c>
      <c r="P54" t="s">
        <v>11</v>
      </c>
      <c r="Q54" s="8">
        <f>Q51</f>
        <v>27.75</v>
      </c>
      <c r="R54" s="8"/>
      <c r="S54" s="8"/>
    </row>
    <row r="55" spans="1:19" x14ac:dyDescent="0.25">
      <c r="A55" t="s">
        <v>25</v>
      </c>
      <c r="D55" t="s">
        <v>89</v>
      </c>
      <c r="P55" t="s">
        <v>12</v>
      </c>
      <c r="Q55" s="8">
        <f>Q52</f>
        <v>18.25</v>
      </c>
      <c r="R55" s="8"/>
      <c r="S55" s="8"/>
    </row>
    <row r="56" spans="1:19" x14ac:dyDescent="0.25">
      <c r="A56" t="s">
        <v>21</v>
      </c>
      <c r="P56" t="s">
        <v>11</v>
      </c>
      <c r="Q56">
        <v>16.856999999999999</v>
      </c>
      <c r="S56" t="s">
        <v>20</v>
      </c>
    </row>
    <row r="57" spans="1:19" x14ac:dyDescent="0.25">
      <c r="A57" t="s">
        <v>21</v>
      </c>
      <c r="P57" t="s">
        <v>12</v>
      </c>
      <c r="Q57">
        <v>59.143000000000001</v>
      </c>
    </row>
    <row r="58" spans="1:19" x14ac:dyDescent="0.25">
      <c r="A58" t="s">
        <v>21</v>
      </c>
      <c r="D58" t="s">
        <v>90</v>
      </c>
      <c r="P58" t="s">
        <v>10</v>
      </c>
      <c r="Q58">
        <v>-0.71430000000000005</v>
      </c>
      <c r="S58" t="s">
        <v>96</v>
      </c>
    </row>
    <row r="59" spans="1:19" x14ac:dyDescent="0.25">
      <c r="A59" t="s">
        <v>21</v>
      </c>
      <c r="D59" t="s">
        <v>90</v>
      </c>
      <c r="P59" t="s">
        <v>11</v>
      </c>
      <c r="Q59">
        <v>23.143000000000001</v>
      </c>
    </row>
    <row r="60" spans="1:19" x14ac:dyDescent="0.25">
      <c r="A60" t="s">
        <v>21</v>
      </c>
      <c r="D60" t="s">
        <v>90</v>
      </c>
      <c r="P60" t="s">
        <v>12</v>
      </c>
      <c r="Q60">
        <v>37.570999999999998</v>
      </c>
    </row>
    <row r="61" spans="1:19" x14ac:dyDescent="0.25">
      <c r="A61" t="s">
        <v>21</v>
      </c>
      <c r="D61" t="s">
        <v>89</v>
      </c>
      <c r="P61" t="s">
        <v>10</v>
      </c>
      <c r="Q61" s="8">
        <f>Q58</f>
        <v>-0.71430000000000005</v>
      </c>
      <c r="S61" s="8" t="str">
        <f>S58</f>
        <v>Rågvete/höstkorn, södra götaland</v>
      </c>
    </row>
    <row r="62" spans="1:19" x14ac:dyDescent="0.25">
      <c r="A62" t="s">
        <v>21</v>
      </c>
      <c r="D62" t="s">
        <v>89</v>
      </c>
      <c r="P62" t="s">
        <v>11</v>
      </c>
      <c r="Q62" s="8">
        <f>Q59</f>
        <v>23.143000000000001</v>
      </c>
    </row>
    <row r="63" spans="1:19" x14ac:dyDescent="0.25">
      <c r="A63" t="s">
        <v>21</v>
      </c>
      <c r="D63" t="s">
        <v>89</v>
      </c>
      <c r="P63" t="s">
        <v>12</v>
      </c>
      <c r="Q63" s="8">
        <f>Q60</f>
        <v>37.570999999999998</v>
      </c>
    </row>
    <row r="64" spans="1:19" x14ac:dyDescent="0.25">
      <c r="A64" t="s">
        <v>15</v>
      </c>
      <c r="P64" t="s">
        <v>10</v>
      </c>
      <c r="Q64">
        <v>-1.0713999999999999</v>
      </c>
      <c r="S64" t="s">
        <v>16</v>
      </c>
    </row>
    <row r="65" spans="1:19" x14ac:dyDescent="0.25">
      <c r="A65" t="s">
        <v>15</v>
      </c>
      <c r="P65" t="s">
        <v>11</v>
      </c>
      <c r="Q65">
        <v>23.928999999999998</v>
      </c>
    </row>
    <row r="66" spans="1:19" x14ac:dyDescent="0.25">
      <c r="A66" t="s">
        <v>15</v>
      </c>
      <c r="P66" t="s">
        <v>12</v>
      </c>
      <c r="Q66">
        <v>32</v>
      </c>
    </row>
    <row r="67" spans="1:19" x14ac:dyDescent="0.25">
      <c r="A67" t="s">
        <v>15</v>
      </c>
      <c r="F67" t="s">
        <v>9</v>
      </c>
      <c r="P67" t="s">
        <v>10</v>
      </c>
      <c r="Q67" s="7">
        <v>1E-13</v>
      </c>
      <c r="S67" t="s">
        <v>17</v>
      </c>
    </row>
    <row r="68" spans="1:19" x14ac:dyDescent="0.25">
      <c r="A68" t="s">
        <v>15</v>
      </c>
      <c r="F68" t="s">
        <v>9</v>
      </c>
      <c r="P68" t="s">
        <v>11</v>
      </c>
      <c r="Q68">
        <v>15</v>
      </c>
    </row>
    <row r="69" spans="1:19" x14ac:dyDescent="0.25">
      <c r="A69" t="s">
        <v>15</v>
      </c>
      <c r="F69" t="s">
        <v>9</v>
      </c>
      <c r="P69" t="s">
        <v>12</v>
      </c>
      <c r="Q69">
        <v>45</v>
      </c>
    </row>
    <row r="70" spans="1:19" x14ac:dyDescent="0.25">
      <c r="A70" t="s">
        <v>15</v>
      </c>
      <c r="D70" t="s">
        <v>90</v>
      </c>
      <c r="P70" t="s">
        <v>10</v>
      </c>
      <c r="Q70">
        <v>-1.25</v>
      </c>
      <c r="S70" t="s">
        <v>98</v>
      </c>
    </row>
    <row r="71" spans="1:19" x14ac:dyDescent="0.25">
      <c r="A71" t="s">
        <v>15</v>
      </c>
      <c r="D71" t="s">
        <v>90</v>
      </c>
      <c r="P71" t="s">
        <v>11</v>
      </c>
      <c r="Q71">
        <v>25.25</v>
      </c>
    </row>
    <row r="72" spans="1:19" x14ac:dyDescent="0.25">
      <c r="A72" t="s">
        <v>15</v>
      </c>
      <c r="D72" t="s">
        <v>90</v>
      </c>
      <c r="P72" t="s">
        <v>12</v>
      </c>
      <c r="Q72">
        <v>19.75</v>
      </c>
    </row>
    <row r="73" spans="1:19" x14ac:dyDescent="0.25">
      <c r="A73" t="s">
        <v>15</v>
      </c>
      <c r="D73" t="s">
        <v>90</v>
      </c>
      <c r="F73" t="s">
        <v>9</v>
      </c>
      <c r="P73" t="s">
        <v>10</v>
      </c>
      <c r="Q73" s="7">
        <v>-2E-12</v>
      </c>
      <c r="S73" t="s">
        <v>99</v>
      </c>
    </row>
    <row r="74" spans="1:19" x14ac:dyDescent="0.25">
      <c r="A74" t="s">
        <v>15</v>
      </c>
      <c r="D74" t="s">
        <v>90</v>
      </c>
      <c r="F74" t="s">
        <v>9</v>
      </c>
      <c r="P74" t="s">
        <v>11</v>
      </c>
      <c r="Q74">
        <v>15</v>
      </c>
    </row>
    <row r="75" spans="1:19" x14ac:dyDescent="0.25">
      <c r="A75" t="s">
        <v>15</v>
      </c>
      <c r="D75" t="s">
        <v>90</v>
      </c>
      <c r="F75" t="s">
        <v>9</v>
      </c>
      <c r="P75" t="s">
        <v>12</v>
      </c>
      <c r="Q75">
        <v>45</v>
      </c>
    </row>
    <row r="76" spans="1:19" x14ac:dyDescent="0.25">
      <c r="A76" t="s">
        <v>15</v>
      </c>
      <c r="D76" t="s">
        <v>89</v>
      </c>
      <c r="P76" t="s">
        <v>10</v>
      </c>
      <c r="Q76" s="8">
        <f t="shared" ref="Q76:Q81" si="1">Q70</f>
        <v>-1.25</v>
      </c>
      <c r="S76" s="8" t="str">
        <f>S70</f>
        <v>Korn foder, södra götaland</v>
      </c>
    </row>
    <row r="77" spans="1:19" x14ac:dyDescent="0.25">
      <c r="A77" t="s">
        <v>15</v>
      </c>
      <c r="D77" t="s">
        <v>89</v>
      </c>
      <c r="P77" t="s">
        <v>11</v>
      </c>
      <c r="Q77" s="8">
        <f t="shared" si="1"/>
        <v>25.25</v>
      </c>
    </row>
    <row r="78" spans="1:19" x14ac:dyDescent="0.25">
      <c r="A78" t="s">
        <v>15</v>
      </c>
      <c r="D78" t="s">
        <v>89</v>
      </c>
      <c r="P78" t="s">
        <v>12</v>
      </c>
      <c r="Q78" s="8">
        <f t="shared" si="1"/>
        <v>19.75</v>
      </c>
    </row>
    <row r="79" spans="1:19" x14ac:dyDescent="0.25">
      <c r="A79" t="s">
        <v>15</v>
      </c>
      <c r="D79" t="s">
        <v>89</v>
      </c>
      <c r="F79" t="s">
        <v>9</v>
      </c>
      <c r="P79" t="s">
        <v>10</v>
      </c>
      <c r="Q79" s="8">
        <f t="shared" si="1"/>
        <v>-2E-12</v>
      </c>
      <c r="S79" s="8" t="str">
        <f>S73</f>
        <v>Korn, malt södra götaland</v>
      </c>
    </row>
    <row r="80" spans="1:19" x14ac:dyDescent="0.25">
      <c r="A80" t="s">
        <v>15</v>
      </c>
      <c r="D80" t="s">
        <v>89</v>
      </c>
      <c r="F80" t="s">
        <v>9</v>
      </c>
      <c r="P80" t="s">
        <v>11</v>
      </c>
      <c r="Q80" s="8">
        <f t="shared" si="1"/>
        <v>15</v>
      </c>
    </row>
    <row r="81" spans="1:19" x14ac:dyDescent="0.25">
      <c r="A81" t="s">
        <v>15</v>
      </c>
      <c r="D81" t="s">
        <v>89</v>
      </c>
      <c r="F81" t="s">
        <v>9</v>
      </c>
      <c r="P81" t="s">
        <v>12</v>
      </c>
      <c r="Q81" s="8">
        <f t="shared" si="1"/>
        <v>45</v>
      </c>
    </row>
    <row r="82" spans="1:19" x14ac:dyDescent="0.25">
      <c r="A82" t="s">
        <v>15</v>
      </c>
      <c r="D82" t="s">
        <v>91</v>
      </c>
      <c r="P82" t="s">
        <v>10</v>
      </c>
      <c r="Q82" s="4">
        <v>0</v>
      </c>
      <c r="S82" t="s">
        <v>101</v>
      </c>
    </row>
    <row r="83" spans="1:19" x14ac:dyDescent="0.25">
      <c r="A83" t="s">
        <v>15</v>
      </c>
      <c r="D83" t="s">
        <v>91</v>
      </c>
      <c r="P83" t="s">
        <v>11</v>
      </c>
      <c r="Q83" s="4">
        <v>20</v>
      </c>
    </row>
    <row r="84" spans="1:19" x14ac:dyDescent="0.25">
      <c r="A84" t="s">
        <v>15</v>
      </c>
      <c r="D84" t="s">
        <v>91</v>
      </c>
      <c r="P84" t="s">
        <v>12</v>
      </c>
      <c r="Q84" s="4">
        <v>35</v>
      </c>
    </row>
    <row r="85" spans="1:19" x14ac:dyDescent="0.25">
      <c r="A85" t="s">
        <v>15</v>
      </c>
      <c r="D85" t="s">
        <v>91</v>
      </c>
      <c r="F85" t="s">
        <v>9</v>
      </c>
      <c r="P85" t="s">
        <v>10</v>
      </c>
      <c r="Q85" s="8">
        <f t="shared" ref="Q85:Q93" si="2">Q82</f>
        <v>0</v>
      </c>
      <c r="S85" s="8" t="str">
        <f>S82</f>
        <v>Korn, norrland</v>
      </c>
    </row>
    <row r="86" spans="1:19" x14ac:dyDescent="0.25">
      <c r="A86" t="s">
        <v>15</v>
      </c>
      <c r="D86" t="s">
        <v>91</v>
      </c>
      <c r="F86" t="s">
        <v>9</v>
      </c>
      <c r="P86" t="s">
        <v>11</v>
      </c>
      <c r="Q86" s="8">
        <f t="shared" si="2"/>
        <v>20</v>
      </c>
    </row>
    <row r="87" spans="1:19" x14ac:dyDescent="0.25">
      <c r="A87" t="s">
        <v>15</v>
      </c>
      <c r="D87" t="s">
        <v>91</v>
      </c>
      <c r="F87" t="s">
        <v>9</v>
      </c>
      <c r="P87" t="s">
        <v>12</v>
      </c>
      <c r="Q87" s="8">
        <f t="shared" si="2"/>
        <v>35</v>
      </c>
    </row>
    <row r="88" spans="1:19" x14ac:dyDescent="0.25">
      <c r="A88" t="s">
        <v>15</v>
      </c>
      <c r="D88" t="s">
        <v>92</v>
      </c>
      <c r="P88" t="s">
        <v>10</v>
      </c>
      <c r="Q88" s="8">
        <f t="shared" si="2"/>
        <v>0</v>
      </c>
      <c r="S88" s="8" t="str">
        <f>S85</f>
        <v>Korn, norrland</v>
      </c>
    </row>
    <row r="89" spans="1:19" x14ac:dyDescent="0.25">
      <c r="A89" t="s">
        <v>15</v>
      </c>
      <c r="D89" t="s">
        <v>92</v>
      </c>
      <c r="P89" t="s">
        <v>11</v>
      </c>
      <c r="Q89" s="8">
        <f t="shared" si="2"/>
        <v>20</v>
      </c>
    </row>
    <row r="90" spans="1:19" x14ac:dyDescent="0.25">
      <c r="A90" t="s">
        <v>15</v>
      </c>
      <c r="D90" t="s">
        <v>92</v>
      </c>
      <c r="P90" t="s">
        <v>12</v>
      </c>
      <c r="Q90" s="8">
        <f t="shared" si="2"/>
        <v>35</v>
      </c>
    </row>
    <row r="91" spans="1:19" x14ac:dyDescent="0.25">
      <c r="A91" t="s">
        <v>15</v>
      </c>
      <c r="D91" t="s">
        <v>92</v>
      </c>
      <c r="F91" t="s">
        <v>9</v>
      </c>
      <c r="P91" t="s">
        <v>10</v>
      </c>
      <c r="Q91" s="8">
        <f t="shared" si="2"/>
        <v>0</v>
      </c>
      <c r="S91" s="8" t="str">
        <f>S88</f>
        <v>Korn, norrland</v>
      </c>
    </row>
    <row r="92" spans="1:19" x14ac:dyDescent="0.25">
      <c r="A92" t="s">
        <v>15</v>
      </c>
      <c r="D92" t="s">
        <v>92</v>
      </c>
      <c r="F92" t="s">
        <v>9</v>
      </c>
      <c r="P92" t="s">
        <v>11</v>
      </c>
      <c r="Q92" s="8">
        <f t="shared" si="2"/>
        <v>20</v>
      </c>
    </row>
    <row r="93" spans="1:19" x14ac:dyDescent="0.25">
      <c r="A93" t="s">
        <v>15</v>
      </c>
      <c r="D93" t="s">
        <v>92</v>
      </c>
      <c r="F93" t="s">
        <v>9</v>
      </c>
      <c r="P93" t="s">
        <v>12</v>
      </c>
      <c r="Q93" s="8">
        <f t="shared" si="2"/>
        <v>35</v>
      </c>
    </row>
    <row r="94" spans="1:19" x14ac:dyDescent="0.25">
      <c r="A94" t="s">
        <v>19</v>
      </c>
      <c r="P94" t="s">
        <v>10</v>
      </c>
      <c r="Q94">
        <v>-1.0713999999999999</v>
      </c>
      <c r="S94" t="s">
        <v>18</v>
      </c>
    </row>
    <row r="95" spans="1:19" x14ac:dyDescent="0.25">
      <c r="A95" t="s">
        <v>19</v>
      </c>
      <c r="P95" t="s">
        <v>11</v>
      </c>
      <c r="Q95">
        <v>23.928999999999998</v>
      </c>
    </row>
    <row r="96" spans="1:19" x14ac:dyDescent="0.25">
      <c r="A96" t="s">
        <v>19</v>
      </c>
      <c r="P96" t="s">
        <v>12</v>
      </c>
      <c r="Q96">
        <v>22</v>
      </c>
    </row>
    <row r="97" spans="1:19" x14ac:dyDescent="0.25">
      <c r="A97" t="s">
        <v>19</v>
      </c>
      <c r="D97" t="s">
        <v>90</v>
      </c>
      <c r="P97" t="s">
        <v>10</v>
      </c>
      <c r="Q97">
        <v>-1.25</v>
      </c>
      <c r="S97" t="s">
        <v>100</v>
      </c>
    </row>
    <row r="98" spans="1:19" x14ac:dyDescent="0.25">
      <c r="A98" t="s">
        <v>19</v>
      </c>
      <c r="D98" t="s">
        <v>90</v>
      </c>
      <c r="P98" t="s">
        <v>11</v>
      </c>
      <c r="Q98">
        <v>25.25</v>
      </c>
    </row>
    <row r="99" spans="1:19" x14ac:dyDescent="0.25">
      <c r="A99" t="s">
        <v>19</v>
      </c>
      <c r="D99" t="s">
        <v>90</v>
      </c>
      <c r="P99" t="s">
        <v>12</v>
      </c>
      <c r="Q99">
        <v>9.75</v>
      </c>
    </row>
    <row r="100" spans="1:19" x14ac:dyDescent="0.25">
      <c r="A100" t="s">
        <v>19</v>
      </c>
      <c r="D100" t="s">
        <v>89</v>
      </c>
      <c r="P100" t="s">
        <v>10</v>
      </c>
      <c r="Q100" s="8">
        <f>Q97</f>
        <v>-1.25</v>
      </c>
      <c r="S100" s="8" t="str">
        <f>S97</f>
        <v>Havre södra götaland</v>
      </c>
    </row>
    <row r="101" spans="1:19" x14ac:dyDescent="0.25">
      <c r="A101" t="s">
        <v>19</v>
      </c>
      <c r="D101" t="s">
        <v>89</v>
      </c>
      <c r="P101" t="s">
        <v>11</v>
      </c>
      <c r="Q101" s="8">
        <f>Q98</f>
        <v>25.25</v>
      </c>
    </row>
    <row r="102" spans="1:19" x14ac:dyDescent="0.25">
      <c r="A102" t="s">
        <v>19</v>
      </c>
      <c r="D102" t="s">
        <v>89</v>
      </c>
      <c r="P102" t="s">
        <v>12</v>
      </c>
      <c r="Q102" s="8">
        <f>Q99</f>
        <v>9.75</v>
      </c>
    </row>
    <row r="103" spans="1:19" s="4" customFormat="1" x14ac:dyDescent="0.25">
      <c r="A103" s="4" t="s">
        <v>267</v>
      </c>
      <c r="P103" s="4" t="s">
        <v>10</v>
      </c>
      <c r="Q103" s="4">
        <v>-1.0713999999999999</v>
      </c>
      <c r="S103" s="4" t="s">
        <v>18</v>
      </c>
    </row>
    <row r="104" spans="1:19" s="4" customFormat="1" x14ac:dyDescent="0.25">
      <c r="A104" s="4" t="s">
        <v>267</v>
      </c>
      <c r="P104" s="4" t="s">
        <v>11</v>
      </c>
      <c r="Q104" s="4">
        <v>23.928999999999998</v>
      </c>
    </row>
    <row r="105" spans="1:19" s="4" customFormat="1" x14ac:dyDescent="0.25">
      <c r="A105" s="4" t="s">
        <v>267</v>
      </c>
      <c r="P105" s="4" t="s">
        <v>12</v>
      </c>
      <c r="Q105" s="4">
        <v>22</v>
      </c>
    </row>
    <row r="106" spans="1:19" s="4" customFormat="1" x14ac:dyDescent="0.25">
      <c r="A106" s="4" t="s">
        <v>267</v>
      </c>
      <c r="D106" s="4" t="s">
        <v>90</v>
      </c>
      <c r="P106" s="4" t="s">
        <v>10</v>
      </c>
      <c r="Q106" s="4">
        <v>-1.25</v>
      </c>
      <c r="S106" s="4" t="s">
        <v>100</v>
      </c>
    </row>
    <row r="107" spans="1:19" s="4" customFormat="1" x14ac:dyDescent="0.25">
      <c r="A107" s="4" t="s">
        <v>267</v>
      </c>
      <c r="D107" s="4" t="s">
        <v>90</v>
      </c>
      <c r="P107" s="4" t="s">
        <v>11</v>
      </c>
      <c r="Q107" s="4">
        <v>25.25</v>
      </c>
    </row>
    <row r="108" spans="1:19" s="4" customFormat="1" x14ac:dyDescent="0.25">
      <c r="A108" s="4" t="s">
        <v>267</v>
      </c>
      <c r="D108" s="4" t="s">
        <v>90</v>
      </c>
      <c r="P108" s="4" t="s">
        <v>12</v>
      </c>
      <c r="Q108" s="4">
        <v>9.75</v>
      </c>
    </row>
    <row r="109" spans="1:19" s="4" customFormat="1" x14ac:dyDescent="0.25">
      <c r="A109" s="4" t="s">
        <v>267</v>
      </c>
      <c r="D109" s="4" t="s">
        <v>89</v>
      </c>
      <c r="P109" s="4" t="s">
        <v>10</v>
      </c>
      <c r="Q109" s="4">
        <f>Q106</f>
        <v>-1.25</v>
      </c>
      <c r="S109" s="4" t="str">
        <f>S106</f>
        <v>Havre södra götaland</v>
      </c>
    </row>
    <row r="110" spans="1:19" s="4" customFormat="1" x14ac:dyDescent="0.25">
      <c r="A110" s="4" t="s">
        <v>267</v>
      </c>
      <c r="D110" s="4" t="s">
        <v>89</v>
      </c>
      <c r="P110" s="4" t="s">
        <v>11</v>
      </c>
      <c r="Q110" s="4">
        <f>Q107</f>
        <v>25.25</v>
      </c>
    </row>
    <row r="111" spans="1:19" s="4" customFormat="1" x14ac:dyDescent="0.25">
      <c r="A111" s="4" t="s">
        <v>267</v>
      </c>
      <c r="D111" s="4" t="s">
        <v>89</v>
      </c>
      <c r="P111" s="4" t="s">
        <v>12</v>
      </c>
      <c r="Q111" s="4">
        <f>Q108</f>
        <v>9.75</v>
      </c>
    </row>
    <row r="112" spans="1:19" x14ac:dyDescent="0.25">
      <c r="A112" t="s">
        <v>23</v>
      </c>
      <c r="P112" t="s">
        <v>11</v>
      </c>
      <c r="Q112" s="8">
        <f>Q56</f>
        <v>16.856999999999999</v>
      </c>
      <c r="S112" s="8" t="str">
        <f>S56</f>
        <v>Rågvete/höstkorn, norra  götaland och svealand</v>
      </c>
    </row>
    <row r="113" spans="1:19" x14ac:dyDescent="0.25">
      <c r="A113" t="s">
        <v>23</v>
      </c>
      <c r="P113" t="s">
        <v>12</v>
      </c>
      <c r="Q113" s="8">
        <f>Q57</f>
        <v>59.143000000000001</v>
      </c>
    </row>
    <row r="114" spans="1:19" x14ac:dyDescent="0.25">
      <c r="A114" t="s">
        <v>23</v>
      </c>
      <c r="D114" t="s">
        <v>90</v>
      </c>
      <c r="P114" t="s">
        <v>10</v>
      </c>
      <c r="Q114" s="8">
        <f>Q61</f>
        <v>-0.71430000000000005</v>
      </c>
      <c r="S114" s="8" t="str">
        <f>S61</f>
        <v>Rågvete/höstkorn, södra götaland</v>
      </c>
    </row>
    <row r="115" spans="1:19" x14ac:dyDescent="0.25">
      <c r="A115" t="s">
        <v>23</v>
      </c>
      <c r="D115" t="s">
        <v>90</v>
      </c>
      <c r="P115" t="s">
        <v>11</v>
      </c>
      <c r="Q115" s="8">
        <f>Q62</f>
        <v>23.143000000000001</v>
      </c>
    </row>
    <row r="116" spans="1:19" x14ac:dyDescent="0.25">
      <c r="A116" t="s">
        <v>23</v>
      </c>
      <c r="D116" t="s">
        <v>90</v>
      </c>
      <c r="P116" t="s">
        <v>12</v>
      </c>
      <c r="Q116" s="8">
        <f>Q63</f>
        <v>37.570999999999998</v>
      </c>
    </row>
    <row r="117" spans="1:19" x14ac:dyDescent="0.25">
      <c r="A117" t="s">
        <v>23</v>
      </c>
      <c r="D117" t="s">
        <v>89</v>
      </c>
      <c r="P117" t="s">
        <v>10</v>
      </c>
      <c r="Q117" s="8">
        <f>Q61</f>
        <v>-0.71430000000000005</v>
      </c>
      <c r="S117" s="8" t="str">
        <f>S61</f>
        <v>Rågvete/höstkorn, södra götaland</v>
      </c>
    </row>
    <row r="118" spans="1:19" x14ac:dyDescent="0.25">
      <c r="A118" t="s">
        <v>23</v>
      </c>
      <c r="D118" t="s">
        <v>89</v>
      </c>
      <c r="P118" t="s">
        <v>11</v>
      </c>
      <c r="Q118" s="8">
        <f>Q62</f>
        <v>23.143000000000001</v>
      </c>
    </row>
    <row r="119" spans="1:19" x14ac:dyDescent="0.25">
      <c r="A119" t="s">
        <v>23</v>
      </c>
      <c r="D119" t="s">
        <v>89</v>
      </c>
      <c r="P119" t="s">
        <v>12</v>
      </c>
      <c r="Q119" s="8">
        <f>Q63</f>
        <v>37.570999999999998</v>
      </c>
    </row>
    <row r="120" spans="1:19" x14ac:dyDescent="0.25">
      <c r="A120" t="s">
        <v>22</v>
      </c>
      <c r="P120" t="s">
        <v>11</v>
      </c>
      <c r="Q120" s="8">
        <f>Q56</f>
        <v>16.856999999999999</v>
      </c>
      <c r="S120" s="8" t="str">
        <f>S56</f>
        <v>Rågvete/höstkorn, norra  götaland och svealand</v>
      </c>
    </row>
    <row r="121" spans="1:19" x14ac:dyDescent="0.25">
      <c r="A121" t="s">
        <v>22</v>
      </c>
      <c r="P121" t="s">
        <v>12</v>
      </c>
      <c r="Q121" s="8">
        <f>Q57</f>
        <v>59.143000000000001</v>
      </c>
      <c r="S121" s="8"/>
    </row>
    <row r="122" spans="1:19" x14ac:dyDescent="0.25">
      <c r="A122" t="s">
        <v>22</v>
      </c>
      <c r="D122" t="s">
        <v>90</v>
      </c>
      <c r="P122" t="s">
        <v>10</v>
      </c>
      <c r="Q122" s="8">
        <f>Q61</f>
        <v>-0.71430000000000005</v>
      </c>
      <c r="S122" s="8" t="str">
        <f>S61</f>
        <v>Rågvete/höstkorn, södra götaland</v>
      </c>
    </row>
    <row r="123" spans="1:19" x14ac:dyDescent="0.25">
      <c r="A123" t="s">
        <v>22</v>
      </c>
      <c r="D123" t="s">
        <v>90</v>
      </c>
      <c r="P123" t="s">
        <v>11</v>
      </c>
      <c r="Q123" s="8">
        <f>Q62</f>
        <v>23.143000000000001</v>
      </c>
      <c r="S123" s="8"/>
    </row>
    <row r="124" spans="1:19" x14ac:dyDescent="0.25">
      <c r="A124" t="s">
        <v>22</v>
      </c>
      <c r="D124" t="s">
        <v>90</v>
      </c>
      <c r="P124" t="s">
        <v>12</v>
      </c>
      <c r="Q124" s="8">
        <f>Q63</f>
        <v>37.570999999999998</v>
      </c>
      <c r="S124" s="8"/>
    </row>
    <row r="125" spans="1:19" x14ac:dyDescent="0.25">
      <c r="A125" t="s">
        <v>22</v>
      </c>
      <c r="D125" t="s">
        <v>89</v>
      </c>
      <c r="P125" t="s">
        <v>10</v>
      </c>
      <c r="Q125" s="8">
        <f>Q61</f>
        <v>-0.71430000000000005</v>
      </c>
      <c r="S125" s="8" t="str">
        <f>S61</f>
        <v>Rågvete/höstkorn, södra götaland</v>
      </c>
    </row>
    <row r="126" spans="1:19" x14ac:dyDescent="0.25">
      <c r="A126" t="s">
        <v>22</v>
      </c>
      <c r="D126" t="s">
        <v>89</v>
      </c>
      <c r="P126" t="s">
        <v>11</v>
      </c>
      <c r="Q126" s="8">
        <f>Q62</f>
        <v>23.143000000000001</v>
      </c>
      <c r="S126" s="8"/>
    </row>
    <row r="127" spans="1:19" x14ac:dyDescent="0.25">
      <c r="A127" t="s">
        <v>22</v>
      </c>
      <c r="D127" t="s">
        <v>89</v>
      </c>
      <c r="P127" t="s">
        <v>12</v>
      </c>
      <c r="Q127" s="8">
        <f>Q63</f>
        <v>37.570999999999998</v>
      </c>
      <c r="S127" s="8"/>
    </row>
    <row r="128" spans="1:19" x14ac:dyDescent="0.25">
      <c r="A128" s="6" t="s">
        <v>27</v>
      </c>
      <c r="B128" s="6"/>
      <c r="C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S128" s="6"/>
    </row>
    <row r="129" spans="1:20" x14ac:dyDescent="0.25">
      <c r="A129" t="s">
        <v>26</v>
      </c>
      <c r="P129" t="s">
        <v>12</v>
      </c>
      <c r="Q129">
        <v>50</v>
      </c>
      <c r="S129" t="s">
        <v>74</v>
      </c>
    </row>
    <row r="130" spans="1:20" x14ac:dyDescent="0.25">
      <c r="A130" t="s">
        <v>28</v>
      </c>
      <c r="P130" t="s">
        <v>12</v>
      </c>
      <c r="Q130">
        <v>0</v>
      </c>
      <c r="S130" t="s">
        <v>73</v>
      </c>
    </row>
    <row r="131" spans="1:20" x14ac:dyDescent="0.25">
      <c r="A131" t="s">
        <v>29</v>
      </c>
      <c r="P131" t="s">
        <v>12</v>
      </c>
      <c r="Q131">
        <v>0</v>
      </c>
      <c r="S131" t="s">
        <v>73</v>
      </c>
    </row>
    <row r="132" spans="1:20" s="4" customFormat="1" x14ac:dyDescent="0.25">
      <c r="A132" s="4" t="s">
        <v>268</v>
      </c>
      <c r="P132" s="4" t="s">
        <v>12</v>
      </c>
      <c r="Q132" s="4">
        <v>0</v>
      </c>
      <c r="S132" s="4" t="s">
        <v>269</v>
      </c>
    </row>
    <row r="133" spans="1:20" x14ac:dyDescent="0.25">
      <c r="A133" t="s">
        <v>30</v>
      </c>
      <c r="P133" t="s">
        <v>12</v>
      </c>
      <c r="Q133">
        <v>0</v>
      </c>
      <c r="S133" t="s">
        <v>73</v>
      </c>
    </row>
    <row r="134" spans="1:20" x14ac:dyDescent="0.25">
      <c r="A134" t="s">
        <v>31</v>
      </c>
      <c r="P134" t="s">
        <v>12</v>
      </c>
      <c r="Q134">
        <v>30</v>
      </c>
      <c r="T134" t="s">
        <v>75</v>
      </c>
    </row>
    <row r="135" spans="1:20" s="4" customFormat="1" x14ac:dyDescent="0.25">
      <c r="A135" s="4" t="s">
        <v>270</v>
      </c>
      <c r="P135" s="4" t="s">
        <v>12</v>
      </c>
      <c r="Q135" s="4">
        <v>30</v>
      </c>
      <c r="S135" s="4" t="s">
        <v>271</v>
      </c>
    </row>
    <row r="136" spans="1:20" s="4" customFormat="1" x14ac:dyDescent="0.25">
      <c r="A136" s="4" t="s">
        <v>272</v>
      </c>
      <c r="P136" s="4" t="s">
        <v>12</v>
      </c>
      <c r="Q136" s="4">
        <v>30</v>
      </c>
      <c r="S136" s="4" t="s">
        <v>271</v>
      </c>
    </row>
    <row r="137" spans="1:20" s="4" customFormat="1" x14ac:dyDescent="0.25">
      <c r="A137" s="4" t="s">
        <v>273</v>
      </c>
      <c r="P137" s="4" t="s">
        <v>12</v>
      </c>
      <c r="Q137" s="4">
        <v>75</v>
      </c>
      <c r="T137" s="4" t="s">
        <v>274</v>
      </c>
    </row>
    <row r="138" spans="1:20" x14ac:dyDescent="0.25">
      <c r="A138" t="s">
        <v>32</v>
      </c>
      <c r="P138" t="s">
        <v>11</v>
      </c>
      <c r="Q138">
        <v>20</v>
      </c>
    </row>
    <row r="139" spans="1:20" x14ac:dyDescent="0.25">
      <c r="A139" t="s">
        <v>32</v>
      </c>
      <c r="P139" t="s">
        <v>12</v>
      </c>
      <c r="Q139">
        <v>65</v>
      </c>
    </row>
    <row r="140" spans="1:20" x14ac:dyDescent="0.25">
      <c r="A140" t="s">
        <v>33</v>
      </c>
      <c r="P140" t="s">
        <v>11</v>
      </c>
      <c r="Q140">
        <v>20</v>
      </c>
    </row>
    <row r="141" spans="1:20" x14ac:dyDescent="0.25">
      <c r="A141" t="s">
        <v>33</v>
      </c>
      <c r="P141" t="s">
        <v>12</v>
      </c>
      <c r="Q141">
        <v>70</v>
      </c>
    </row>
    <row r="142" spans="1:20" x14ac:dyDescent="0.25">
      <c r="A142" t="s">
        <v>34</v>
      </c>
      <c r="P142" t="s">
        <v>10</v>
      </c>
      <c r="Q142">
        <v>-2.5000000000000001E-2</v>
      </c>
      <c r="S142" t="s">
        <v>102</v>
      </c>
    </row>
    <row r="143" spans="1:20" x14ac:dyDescent="0.25">
      <c r="A143" t="s">
        <v>34</v>
      </c>
      <c r="P143" t="s">
        <v>11</v>
      </c>
      <c r="Q143">
        <v>4.95</v>
      </c>
    </row>
    <row r="144" spans="1:20" x14ac:dyDescent="0.25">
      <c r="A144" t="s">
        <v>34</v>
      </c>
      <c r="P144" t="s">
        <v>12</v>
      </c>
      <c r="Q144">
        <v>-31.5</v>
      </c>
    </row>
    <row r="145" spans="1:20" x14ac:dyDescent="0.25">
      <c r="A145" t="s">
        <v>35</v>
      </c>
      <c r="P145" t="s">
        <v>10</v>
      </c>
      <c r="Q145" s="8">
        <f>Q142</f>
        <v>-2.5000000000000001E-2</v>
      </c>
      <c r="S145" s="8" t="str">
        <f>S142</f>
        <v>Potatis</v>
      </c>
    </row>
    <row r="146" spans="1:20" x14ac:dyDescent="0.25">
      <c r="A146" t="s">
        <v>35</v>
      </c>
      <c r="P146" t="s">
        <v>11</v>
      </c>
      <c r="Q146" s="8">
        <f t="shared" ref="Q146:Q147" si="3">Q143</f>
        <v>4.95</v>
      </c>
    </row>
    <row r="147" spans="1:20" x14ac:dyDescent="0.25">
      <c r="A147" t="s">
        <v>35</v>
      </c>
      <c r="P147" t="s">
        <v>12</v>
      </c>
      <c r="Q147" s="8">
        <f t="shared" si="3"/>
        <v>-31.5</v>
      </c>
    </row>
    <row r="148" spans="1:20" x14ac:dyDescent="0.25">
      <c r="A148" t="s">
        <v>36</v>
      </c>
      <c r="P148" t="s">
        <v>12</v>
      </c>
      <c r="Q148">
        <v>110</v>
      </c>
      <c r="S148" t="s">
        <v>76</v>
      </c>
    </row>
    <row r="149" spans="1:20" x14ac:dyDescent="0.25">
      <c r="A149" s="4" t="s">
        <v>37</v>
      </c>
      <c r="B149" s="6"/>
      <c r="C149" s="6"/>
      <c r="G149" s="6"/>
      <c r="H149" s="6"/>
      <c r="I149" s="6"/>
      <c r="J149" s="6"/>
      <c r="K149" s="6"/>
      <c r="L149" s="6"/>
      <c r="M149" s="6"/>
      <c r="N149" s="6"/>
      <c r="O149" s="6"/>
      <c r="P149" t="s">
        <v>12</v>
      </c>
      <c r="Q149">
        <v>75</v>
      </c>
      <c r="S149" t="s">
        <v>256</v>
      </c>
      <c r="T149" t="s">
        <v>257</v>
      </c>
    </row>
    <row r="150" spans="1:20" x14ac:dyDescent="0.25">
      <c r="A150" s="9" t="s">
        <v>38</v>
      </c>
      <c r="B150" s="9"/>
      <c r="C150" s="9"/>
      <c r="E150" t="s">
        <v>149</v>
      </c>
      <c r="G150" s="9"/>
      <c r="H150" s="9"/>
      <c r="I150" s="9"/>
      <c r="J150" s="9"/>
      <c r="K150" s="9"/>
      <c r="L150" s="9"/>
      <c r="M150" s="9"/>
      <c r="N150" s="9"/>
      <c r="O150" s="9"/>
      <c r="P150" t="s">
        <v>11</v>
      </c>
      <c r="Q150">
        <v>18.5</v>
      </c>
      <c r="S150" t="s">
        <v>313</v>
      </c>
    </row>
    <row r="151" spans="1:20" x14ac:dyDescent="0.25">
      <c r="A151" s="9" t="s">
        <v>38</v>
      </c>
      <c r="B151" s="9"/>
      <c r="C151" s="9"/>
      <c r="E151" t="s">
        <v>149</v>
      </c>
      <c r="G151" s="9"/>
      <c r="H151" s="9"/>
      <c r="I151" s="9"/>
      <c r="J151" s="9"/>
      <c r="K151" s="9"/>
      <c r="L151" s="9"/>
      <c r="M151" s="9"/>
      <c r="N151" s="9"/>
      <c r="O151" s="9"/>
      <c r="P151" t="s">
        <v>12</v>
      </c>
      <c r="Q151">
        <v>20.5</v>
      </c>
    </row>
    <row r="152" spans="1:20" x14ac:dyDescent="0.25">
      <c r="A152" s="9" t="s">
        <v>38</v>
      </c>
      <c r="B152" s="9"/>
      <c r="C152" s="9"/>
      <c r="E152" t="s">
        <v>104</v>
      </c>
      <c r="G152" s="9"/>
      <c r="H152" s="9"/>
      <c r="I152" s="9"/>
      <c r="J152" s="9"/>
      <c r="K152" s="9"/>
      <c r="L152" s="9"/>
      <c r="M152" s="9"/>
      <c r="N152" s="9"/>
      <c r="O152" s="9"/>
      <c r="P152" t="s">
        <v>11</v>
      </c>
      <c r="Q152">
        <v>9</v>
      </c>
      <c r="S152" t="s">
        <v>303</v>
      </c>
    </row>
    <row r="153" spans="1:20" x14ac:dyDescent="0.25">
      <c r="A153" s="9" t="s">
        <v>38</v>
      </c>
      <c r="B153" s="9"/>
      <c r="C153" s="9"/>
      <c r="E153" t="s">
        <v>104</v>
      </c>
      <c r="G153" s="9"/>
      <c r="H153" s="9"/>
      <c r="I153" s="9"/>
      <c r="J153" s="9"/>
      <c r="K153" s="9"/>
      <c r="L153" s="9"/>
      <c r="M153" s="9"/>
      <c r="N153" s="9"/>
      <c r="O153" s="9"/>
      <c r="P153" t="s">
        <v>12</v>
      </c>
      <c r="Q153">
        <v>13</v>
      </c>
    </row>
    <row r="154" spans="1:20" x14ac:dyDescent="0.25">
      <c r="A154" s="9" t="s">
        <v>39</v>
      </c>
      <c r="B154" s="9"/>
      <c r="C154" s="10"/>
      <c r="G154" s="10"/>
      <c r="H154" s="10"/>
      <c r="I154" s="10"/>
      <c r="J154" s="10"/>
      <c r="K154" s="10"/>
      <c r="L154" s="10"/>
      <c r="M154" s="10"/>
      <c r="N154" s="10"/>
      <c r="O154" s="10"/>
      <c r="P154" t="s">
        <v>12</v>
      </c>
      <c r="Q154" s="4">
        <v>11</v>
      </c>
      <c r="R154" s="4"/>
      <c r="S154" s="4" t="s">
        <v>187</v>
      </c>
    </row>
    <row r="155" spans="1:20" x14ac:dyDescent="0.25">
      <c r="A155" s="4" t="s">
        <v>71</v>
      </c>
      <c r="B155" s="4"/>
      <c r="C155" s="4"/>
      <c r="G155" s="4"/>
      <c r="H155" s="4"/>
      <c r="I155" s="4"/>
      <c r="J155" s="4"/>
      <c r="K155" s="4"/>
      <c r="L155" s="4"/>
      <c r="M155" s="4"/>
      <c r="N155" s="4"/>
      <c r="O155" s="4"/>
      <c r="P155" t="s">
        <v>12</v>
      </c>
      <c r="Q155">
        <v>0</v>
      </c>
      <c r="S155" t="s">
        <v>72</v>
      </c>
    </row>
    <row r="156" spans="1:20" x14ac:dyDescent="0.25">
      <c r="A156" s="4" t="s">
        <v>40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 t="s">
        <v>10</v>
      </c>
      <c r="Q156" s="4">
        <v>-1.7857000000000001</v>
      </c>
      <c r="S156" s="6"/>
    </row>
    <row r="157" spans="1:20" x14ac:dyDescent="0.25">
      <c r="A157" s="4" t="s">
        <v>40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 t="s">
        <v>11</v>
      </c>
      <c r="Q157" s="4">
        <v>43.570999999999998</v>
      </c>
      <c r="S157" s="6"/>
    </row>
    <row r="158" spans="1:20" x14ac:dyDescent="0.25">
      <c r="A158" s="4" t="s">
        <v>40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 t="s">
        <v>12</v>
      </c>
      <c r="Q158" s="4">
        <v>-112.5</v>
      </c>
      <c r="S158" s="6"/>
    </row>
    <row r="159" spans="1:20" x14ac:dyDescent="0.25">
      <c r="A159" s="9" t="s">
        <v>41</v>
      </c>
      <c r="B159" s="10"/>
      <c r="C159" s="10"/>
      <c r="G159" s="10"/>
      <c r="H159" s="10"/>
      <c r="I159" s="10"/>
      <c r="J159" s="10"/>
      <c r="K159" s="10"/>
      <c r="L159" s="10"/>
      <c r="M159" s="10"/>
      <c r="N159" s="10"/>
      <c r="O159" s="10"/>
      <c r="P159" t="s">
        <v>10</v>
      </c>
      <c r="Q159" s="24">
        <f>Q64</f>
        <v>-1.0713999999999999</v>
      </c>
      <c r="R159" s="24"/>
      <c r="S159" s="24" t="str">
        <f>S64</f>
        <v>Korn, foder, norra götaland och svealand</v>
      </c>
    </row>
    <row r="160" spans="1:20" x14ac:dyDescent="0.25">
      <c r="A160" s="9" t="s">
        <v>41</v>
      </c>
      <c r="B160" s="10"/>
      <c r="C160" s="10"/>
      <c r="G160" s="10"/>
      <c r="H160" s="10"/>
      <c r="I160" s="10"/>
      <c r="J160" s="10"/>
      <c r="K160" s="10"/>
      <c r="L160" s="10"/>
      <c r="M160" s="10"/>
      <c r="N160" s="10"/>
      <c r="O160" s="10"/>
      <c r="P160" t="s">
        <v>11</v>
      </c>
      <c r="Q160" s="24">
        <f>Q65</f>
        <v>23.928999999999998</v>
      </c>
      <c r="R160" s="24"/>
      <c r="S160" s="24"/>
    </row>
    <row r="161" spans="1:20" x14ac:dyDescent="0.25">
      <c r="A161" s="9" t="s">
        <v>41</v>
      </c>
      <c r="B161" s="10"/>
      <c r="C161" s="10"/>
      <c r="G161" s="10"/>
      <c r="H161" s="10"/>
      <c r="I161" s="10"/>
      <c r="J161" s="10"/>
      <c r="K161" s="10"/>
      <c r="L161" s="10"/>
      <c r="M161" s="10"/>
      <c r="N161" s="10"/>
      <c r="O161" s="10"/>
      <c r="P161" t="s">
        <v>12</v>
      </c>
      <c r="Q161" s="24">
        <f>Q66</f>
        <v>32</v>
      </c>
      <c r="R161" s="24"/>
      <c r="S161" s="24"/>
    </row>
    <row r="162" spans="1:20" x14ac:dyDescent="0.25">
      <c r="A162" s="9" t="s">
        <v>42</v>
      </c>
      <c r="B162" s="10"/>
      <c r="C162" s="10"/>
      <c r="G162" s="10"/>
      <c r="H162" s="10"/>
      <c r="I162" s="10"/>
      <c r="J162" s="10"/>
      <c r="K162" s="10"/>
      <c r="L162" s="10"/>
      <c r="M162" s="10"/>
      <c r="N162" s="10"/>
      <c r="O162" s="10"/>
      <c r="P162" t="s">
        <v>10</v>
      </c>
      <c r="Q162" s="24">
        <f>Q64</f>
        <v>-1.0713999999999999</v>
      </c>
      <c r="R162" s="24"/>
      <c r="S162" s="24" t="str">
        <f>S64</f>
        <v>Korn, foder, norra götaland och svealand</v>
      </c>
    </row>
    <row r="163" spans="1:20" x14ac:dyDescent="0.25">
      <c r="A163" s="9" t="s">
        <v>42</v>
      </c>
      <c r="B163" s="10"/>
      <c r="C163" s="10"/>
      <c r="G163" s="10"/>
      <c r="H163" s="10"/>
      <c r="I163" s="10"/>
      <c r="J163" s="10"/>
      <c r="K163" s="10"/>
      <c r="L163" s="10"/>
      <c r="M163" s="10"/>
      <c r="N163" s="10"/>
      <c r="O163" s="10"/>
      <c r="P163" t="s">
        <v>11</v>
      </c>
      <c r="Q163" s="24">
        <f>Q65</f>
        <v>23.928999999999998</v>
      </c>
      <c r="R163" s="24"/>
      <c r="S163" s="24"/>
    </row>
    <row r="164" spans="1:20" x14ac:dyDescent="0.25">
      <c r="A164" s="9" t="s">
        <v>42</v>
      </c>
      <c r="B164" s="10"/>
      <c r="C164" s="10"/>
      <c r="G164" s="10"/>
      <c r="H164" s="10"/>
      <c r="I164" s="10"/>
      <c r="J164" s="10"/>
      <c r="K164" s="10"/>
      <c r="L164" s="10"/>
      <c r="M164" s="10"/>
      <c r="N164" s="10"/>
      <c r="O164" s="10"/>
      <c r="P164" t="s">
        <v>12</v>
      </c>
      <c r="Q164" s="24">
        <f>Q66</f>
        <v>32</v>
      </c>
      <c r="R164" s="24"/>
      <c r="S164" s="24"/>
    </row>
    <row r="165" spans="1:20" x14ac:dyDescent="0.25">
      <c r="A165" s="9" t="s">
        <v>43</v>
      </c>
      <c r="B165" s="9"/>
      <c r="C165" s="9"/>
      <c r="G165" s="9"/>
      <c r="H165" s="9"/>
      <c r="I165" s="9"/>
      <c r="J165" s="9"/>
      <c r="K165" s="9"/>
      <c r="L165" s="9"/>
      <c r="M165" s="9"/>
      <c r="N165" s="9"/>
      <c r="O165" s="9"/>
      <c r="P165" t="s">
        <v>12</v>
      </c>
      <c r="Q165">
        <v>0</v>
      </c>
      <c r="S165" t="s">
        <v>72</v>
      </c>
    </row>
    <row r="166" spans="1:20" x14ac:dyDescent="0.25">
      <c r="A166" s="9" t="s">
        <v>44</v>
      </c>
      <c r="B166" s="9"/>
      <c r="C166" s="9"/>
      <c r="G166" s="9"/>
      <c r="H166" s="9"/>
      <c r="I166" s="9"/>
      <c r="J166" s="9"/>
      <c r="K166" s="9"/>
      <c r="L166" s="9"/>
      <c r="M166" s="9"/>
      <c r="N166" s="9"/>
      <c r="O166" s="9"/>
      <c r="P166" t="s">
        <v>12</v>
      </c>
      <c r="Q166">
        <v>0</v>
      </c>
      <c r="S166" t="s">
        <v>72</v>
      </c>
    </row>
    <row r="167" spans="1:20" x14ac:dyDescent="0.25">
      <c r="A167" t="s">
        <v>45</v>
      </c>
      <c r="P167" t="s">
        <v>11</v>
      </c>
      <c r="Q167">
        <v>2.5</v>
      </c>
      <c r="S167" t="s">
        <v>79</v>
      </c>
      <c r="T167" t="s">
        <v>80</v>
      </c>
    </row>
    <row r="168" spans="1:20" x14ac:dyDescent="0.25">
      <c r="A168" t="s">
        <v>45</v>
      </c>
      <c r="P168" t="s">
        <v>12</v>
      </c>
      <c r="Q168">
        <v>25</v>
      </c>
    </row>
    <row r="169" spans="1:20" x14ac:dyDescent="0.25">
      <c r="A169" t="s">
        <v>46</v>
      </c>
      <c r="P169" t="s">
        <v>11</v>
      </c>
      <c r="Q169">
        <v>1.3846000000000001</v>
      </c>
      <c r="S169" t="s">
        <v>79</v>
      </c>
      <c r="T169" t="s">
        <v>80</v>
      </c>
    </row>
    <row r="170" spans="1:20" x14ac:dyDescent="0.25">
      <c r="A170" t="s">
        <v>46</v>
      </c>
      <c r="P170" t="s">
        <v>12</v>
      </c>
      <c r="Q170">
        <v>11.538</v>
      </c>
    </row>
    <row r="171" spans="1:20" x14ac:dyDescent="0.25">
      <c r="A171" s="4" t="s">
        <v>47</v>
      </c>
      <c r="B171" s="4"/>
      <c r="C171" s="4"/>
      <c r="G171" s="4"/>
      <c r="H171" s="4"/>
      <c r="I171" s="4"/>
      <c r="J171" s="4"/>
      <c r="K171" s="4"/>
      <c r="L171" s="4"/>
      <c r="M171" s="4"/>
      <c r="N171" s="4"/>
      <c r="O171" s="4"/>
      <c r="P171" t="s">
        <v>11</v>
      </c>
      <c r="Q171" s="8">
        <f>Q169</f>
        <v>1.3846000000000001</v>
      </c>
      <c r="S171" s="4" t="s">
        <v>293</v>
      </c>
    </row>
    <row r="172" spans="1:20" x14ac:dyDescent="0.25">
      <c r="A172" s="4" t="s">
        <v>47</v>
      </c>
      <c r="B172" s="4"/>
      <c r="C172" s="4"/>
      <c r="G172" s="4"/>
      <c r="H172" s="4"/>
      <c r="I172" s="4"/>
      <c r="J172" s="4"/>
      <c r="K172" s="4"/>
      <c r="L172" s="4"/>
      <c r="M172" s="4"/>
      <c r="N172" s="4"/>
      <c r="O172" s="4"/>
      <c r="P172" t="s">
        <v>12</v>
      </c>
      <c r="Q172" s="8">
        <f>Q170</f>
        <v>11.538</v>
      </c>
    </row>
    <row r="173" spans="1:20" x14ac:dyDescent="0.25">
      <c r="A173" s="4" t="s">
        <v>48</v>
      </c>
      <c r="B173" s="4"/>
      <c r="C173" s="4"/>
      <c r="G173" s="4"/>
      <c r="H173" s="4"/>
      <c r="I173" s="4"/>
      <c r="J173" s="4"/>
      <c r="K173" s="4"/>
      <c r="L173" s="4"/>
      <c r="M173" s="4"/>
      <c r="N173" s="4"/>
      <c r="O173" s="4"/>
      <c r="P173" t="s">
        <v>11</v>
      </c>
      <c r="Q173">
        <v>3.3332999999999999</v>
      </c>
      <c r="S173" t="s">
        <v>81</v>
      </c>
      <c r="T173" t="s">
        <v>80</v>
      </c>
    </row>
    <row r="174" spans="1:20" x14ac:dyDescent="0.25">
      <c r="A174" s="4" t="s">
        <v>48</v>
      </c>
      <c r="B174" s="4"/>
      <c r="C174" s="4"/>
      <c r="G174" s="4"/>
      <c r="H174" s="4"/>
      <c r="I174" s="4"/>
      <c r="J174" s="4"/>
      <c r="K174" s="4"/>
      <c r="L174" s="4"/>
      <c r="M174" s="4"/>
      <c r="N174" s="4"/>
      <c r="O174" s="4"/>
      <c r="P174" t="s">
        <v>12</v>
      </c>
      <c r="Q174">
        <v>33.332999999999998</v>
      </c>
    </row>
    <row r="175" spans="1:20" x14ac:dyDescent="0.25">
      <c r="A175" s="4" t="s">
        <v>49</v>
      </c>
      <c r="B175" s="4"/>
      <c r="C175" s="4"/>
      <c r="G175" s="4"/>
      <c r="H175" s="4"/>
      <c r="I175" s="4"/>
      <c r="J175" s="4"/>
      <c r="K175" s="4"/>
      <c r="L175" s="4"/>
      <c r="M175" s="4"/>
      <c r="N175" s="4"/>
      <c r="O175" s="4"/>
      <c r="P175" t="s">
        <v>11</v>
      </c>
      <c r="Q175">
        <v>3</v>
      </c>
      <c r="S175" t="s">
        <v>82</v>
      </c>
      <c r="T175" t="s">
        <v>80</v>
      </c>
    </row>
    <row r="176" spans="1:20" x14ac:dyDescent="0.25">
      <c r="A176" s="4" t="s">
        <v>49</v>
      </c>
      <c r="B176" s="4"/>
      <c r="C176" s="4"/>
      <c r="G176" s="4"/>
      <c r="H176" s="4"/>
      <c r="I176" s="4"/>
      <c r="J176" s="4"/>
      <c r="K176" s="4"/>
      <c r="L176" s="4"/>
      <c r="M176" s="4"/>
      <c r="N176" s="4"/>
      <c r="O176" s="4"/>
      <c r="P176" t="s">
        <v>12</v>
      </c>
      <c r="Q176">
        <v>90</v>
      </c>
    </row>
    <row r="177" spans="1:20" x14ac:dyDescent="0.25">
      <c r="A177" s="4" t="s">
        <v>50</v>
      </c>
      <c r="B177" s="4"/>
      <c r="C177" s="4"/>
      <c r="G177" s="4"/>
      <c r="H177" s="4"/>
      <c r="I177" s="4"/>
      <c r="J177" s="4"/>
      <c r="K177" s="4"/>
      <c r="L177" s="4"/>
      <c r="M177" s="4"/>
      <c r="N177" s="4"/>
      <c r="O177" s="4"/>
      <c r="P177" s="4" t="s">
        <v>10</v>
      </c>
      <c r="Q177">
        <v>1.7999999999999999E-2</v>
      </c>
      <c r="S177" t="s">
        <v>83</v>
      </c>
      <c r="T177" t="s">
        <v>80</v>
      </c>
    </row>
    <row r="178" spans="1:20" x14ac:dyDescent="0.25">
      <c r="A178" s="4" t="s">
        <v>50</v>
      </c>
      <c r="B178" s="4"/>
      <c r="C178" s="4"/>
      <c r="G178" s="4"/>
      <c r="H178" s="4"/>
      <c r="I178" s="4"/>
      <c r="J178" s="4"/>
      <c r="K178" s="4"/>
      <c r="L178" s="4"/>
      <c r="M178" s="4"/>
      <c r="N178" s="4"/>
      <c r="O178" s="4"/>
      <c r="P178" t="s">
        <v>11</v>
      </c>
      <c r="Q178">
        <v>1.2583</v>
      </c>
    </row>
    <row r="179" spans="1:20" x14ac:dyDescent="0.25">
      <c r="A179" s="4" t="s">
        <v>50</v>
      </c>
      <c r="B179" s="4"/>
      <c r="C179" s="4"/>
      <c r="G179" s="4"/>
      <c r="H179" s="4"/>
      <c r="I179" s="4"/>
      <c r="J179" s="4"/>
      <c r="K179" s="4"/>
      <c r="L179" s="4"/>
      <c r="M179" s="4"/>
      <c r="N179" s="4"/>
      <c r="O179" s="4"/>
      <c r="P179" t="s">
        <v>12</v>
      </c>
      <c r="Q179">
        <v>0</v>
      </c>
    </row>
    <row r="180" spans="1:20" x14ac:dyDescent="0.25">
      <c r="A180" s="4" t="s">
        <v>51</v>
      </c>
      <c r="B180" s="4"/>
      <c r="C180" s="4"/>
      <c r="G180" s="4"/>
      <c r="H180" s="4"/>
      <c r="I180" s="4"/>
      <c r="J180" s="4"/>
      <c r="K180" s="4"/>
      <c r="L180" s="4"/>
      <c r="M180" s="4"/>
      <c r="N180" s="4"/>
      <c r="O180" s="4"/>
      <c r="P180" s="4" t="s">
        <v>10</v>
      </c>
      <c r="Q180" s="8">
        <f>Q177</f>
        <v>1.7999999999999999E-2</v>
      </c>
      <c r="S180" s="4" t="s">
        <v>294</v>
      </c>
      <c r="T180" s="8"/>
    </row>
    <row r="181" spans="1:20" x14ac:dyDescent="0.25">
      <c r="A181" s="4" t="s">
        <v>51</v>
      </c>
      <c r="B181" s="4"/>
      <c r="C181" s="4"/>
      <c r="G181" s="4"/>
      <c r="H181" s="4"/>
      <c r="I181" s="4"/>
      <c r="J181" s="4"/>
      <c r="K181" s="4"/>
      <c r="L181" s="4"/>
      <c r="M181" s="4"/>
      <c r="N181" s="4"/>
      <c r="O181" s="4"/>
      <c r="P181" t="s">
        <v>11</v>
      </c>
      <c r="Q181" s="8">
        <f>Q178</f>
        <v>1.2583</v>
      </c>
      <c r="R181" s="8"/>
      <c r="S181" s="8"/>
      <c r="T181" s="8"/>
    </row>
    <row r="182" spans="1:20" x14ac:dyDescent="0.25">
      <c r="A182" s="4" t="s">
        <v>51</v>
      </c>
      <c r="B182" s="4"/>
      <c r="C182" s="4"/>
      <c r="G182" s="4"/>
      <c r="H182" s="4"/>
      <c r="I182" s="4"/>
      <c r="J182" s="4"/>
      <c r="K182" s="4"/>
      <c r="L182" s="4"/>
      <c r="M182" s="4"/>
      <c r="N182" s="4"/>
      <c r="O182" s="4"/>
      <c r="P182" t="s">
        <v>12</v>
      </c>
      <c r="Q182" s="8">
        <f>Q179</f>
        <v>0</v>
      </c>
      <c r="R182" s="8"/>
      <c r="S182" s="8"/>
      <c r="T182" s="8"/>
    </row>
    <row r="183" spans="1:20" x14ac:dyDescent="0.25">
      <c r="A183" s="4" t="s">
        <v>52</v>
      </c>
      <c r="B183" s="4"/>
      <c r="C183" s="4"/>
      <c r="G183" s="4"/>
      <c r="H183" s="4"/>
      <c r="I183" s="4"/>
      <c r="J183" s="4"/>
      <c r="K183" s="4"/>
      <c r="L183" s="4"/>
      <c r="M183" s="4"/>
      <c r="N183" s="4"/>
      <c r="O183" s="4"/>
      <c r="P183" t="s">
        <v>11</v>
      </c>
      <c r="Q183" s="8">
        <f>Q173</f>
        <v>3.3332999999999999</v>
      </c>
      <c r="S183" s="4" t="s">
        <v>292</v>
      </c>
    </row>
    <row r="184" spans="1:20" x14ac:dyDescent="0.25">
      <c r="A184" s="4" t="s">
        <v>52</v>
      </c>
      <c r="B184" s="4"/>
      <c r="C184" s="4"/>
      <c r="G184" s="4"/>
      <c r="H184" s="4"/>
      <c r="I184" s="4"/>
      <c r="J184" s="4"/>
      <c r="K184" s="4"/>
      <c r="L184" s="4"/>
      <c r="M184" s="4"/>
      <c r="N184" s="4"/>
      <c r="O184" s="4"/>
      <c r="P184" t="s">
        <v>12</v>
      </c>
      <c r="Q184" s="8">
        <f>Q174</f>
        <v>33.332999999999998</v>
      </c>
    </row>
    <row r="185" spans="1:20" x14ac:dyDescent="0.25">
      <c r="A185" s="4" t="s">
        <v>53</v>
      </c>
      <c r="B185" s="6"/>
      <c r="C185" s="6"/>
      <c r="G185" s="6"/>
      <c r="H185" s="6"/>
      <c r="I185" s="6"/>
      <c r="J185" s="6"/>
      <c r="K185" s="6"/>
      <c r="L185" s="6"/>
      <c r="M185" s="6"/>
      <c r="N185" s="6"/>
      <c r="O185" s="6"/>
      <c r="P185" t="s">
        <v>11</v>
      </c>
      <c r="Q185" s="8">
        <f>Q173</f>
        <v>3.3332999999999999</v>
      </c>
      <c r="S185" s="4" t="s">
        <v>292</v>
      </c>
    </row>
    <row r="186" spans="1:20" x14ac:dyDescent="0.25">
      <c r="A186" s="4" t="s">
        <v>53</v>
      </c>
      <c r="B186" s="6"/>
      <c r="C186" s="6"/>
      <c r="G186" s="6"/>
      <c r="H186" s="6"/>
      <c r="I186" s="6"/>
      <c r="J186" s="6"/>
      <c r="K186" s="6"/>
      <c r="L186" s="6"/>
      <c r="M186" s="6"/>
      <c r="N186" s="6"/>
      <c r="O186" s="6"/>
      <c r="P186" t="s">
        <v>12</v>
      </c>
      <c r="Q186" s="8">
        <f>Q174</f>
        <v>33.332999999999998</v>
      </c>
    </row>
    <row r="187" spans="1:20" x14ac:dyDescent="0.25">
      <c r="A187" s="4" t="s">
        <v>54</v>
      </c>
      <c r="B187" s="4"/>
      <c r="C187" s="4"/>
      <c r="G187" s="4"/>
      <c r="H187" s="4"/>
      <c r="I187" s="4"/>
      <c r="J187" s="4"/>
      <c r="K187" s="4"/>
      <c r="L187" s="4"/>
      <c r="M187" s="4"/>
      <c r="N187" s="4"/>
      <c r="O187" s="4"/>
      <c r="P187" t="s">
        <v>12</v>
      </c>
      <c r="Q187">
        <v>65</v>
      </c>
      <c r="T187" t="s">
        <v>77</v>
      </c>
    </row>
    <row r="188" spans="1:20" x14ac:dyDescent="0.25">
      <c r="A188" s="6" t="s">
        <v>55</v>
      </c>
      <c r="B188" s="6"/>
      <c r="C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20" x14ac:dyDescent="0.25">
      <c r="A189" s="4" t="s">
        <v>56</v>
      </c>
      <c r="B189" s="4"/>
      <c r="C189" s="4"/>
      <c r="G189" s="4"/>
      <c r="H189" s="4"/>
      <c r="I189" s="4"/>
      <c r="J189" s="4"/>
      <c r="K189" s="4"/>
      <c r="L189" s="4"/>
      <c r="M189" s="4"/>
      <c r="N189" s="4"/>
      <c r="O189" s="4"/>
      <c r="P189" t="s">
        <v>12</v>
      </c>
      <c r="Q189">
        <v>65</v>
      </c>
      <c r="S189" t="s">
        <v>291</v>
      </c>
      <c r="T189" t="s">
        <v>290</v>
      </c>
    </row>
    <row r="190" spans="1:20" x14ac:dyDescent="0.25">
      <c r="A190" s="4" t="s">
        <v>57</v>
      </c>
      <c r="B190" s="4"/>
      <c r="C190" s="4"/>
      <c r="G190" s="4"/>
      <c r="H190" s="4"/>
      <c r="I190" s="4"/>
      <c r="J190" s="4"/>
      <c r="K190" s="4"/>
      <c r="L190" s="4"/>
      <c r="M190" s="4"/>
      <c r="N190" s="4"/>
      <c r="O190" s="4"/>
      <c r="P190" t="s">
        <v>12</v>
      </c>
      <c r="Q190">
        <v>100</v>
      </c>
      <c r="T190" t="s">
        <v>78</v>
      </c>
    </row>
    <row r="191" spans="1:20" x14ac:dyDescent="0.25">
      <c r="A191" s="4" t="s">
        <v>58</v>
      </c>
      <c r="B191" s="4"/>
      <c r="C191" s="4"/>
      <c r="G191" s="4"/>
      <c r="H191" s="4"/>
      <c r="I191" s="4"/>
      <c r="J191" s="4"/>
      <c r="K191" s="4"/>
      <c r="L191" s="4"/>
      <c r="M191" s="4"/>
      <c r="N191" s="4"/>
      <c r="O191" s="4"/>
      <c r="P191" t="s">
        <v>12</v>
      </c>
      <c r="Q191">
        <v>110</v>
      </c>
    </row>
    <row r="192" spans="1:20" x14ac:dyDescent="0.25">
      <c r="A192" s="4" t="s">
        <v>59</v>
      </c>
      <c r="B192" s="4"/>
      <c r="C192" s="4"/>
      <c r="G192" s="4"/>
      <c r="H192" s="4"/>
      <c r="I192" s="4"/>
      <c r="J192" s="4"/>
      <c r="K192" s="4"/>
      <c r="L192" s="4"/>
      <c r="M192" s="4"/>
      <c r="N192" s="4"/>
      <c r="O192" s="4"/>
      <c r="P192" t="s">
        <v>12</v>
      </c>
      <c r="Q192" s="8">
        <f>Q190</f>
        <v>100</v>
      </c>
      <c r="S192" s="4" t="s">
        <v>258</v>
      </c>
    </row>
    <row r="193" spans="1:20" x14ac:dyDescent="0.25">
      <c r="A193" s="4" t="s">
        <v>60</v>
      </c>
      <c r="B193" s="6"/>
      <c r="C193" s="6"/>
      <c r="G193" s="6"/>
      <c r="H193" s="6"/>
      <c r="I193" s="6"/>
      <c r="J193" s="6"/>
      <c r="K193" s="6"/>
      <c r="L193" s="6"/>
      <c r="M193" s="6"/>
      <c r="N193" s="6"/>
      <c r="O193" s="6"/>
      <c r="P193" t="s">
        <v>11</v>
      </c>
      <c r="Q193">
        <v>4.2</v>
      </c>
      <c r="T193" t="s">
        <v>308</v>
      </c>
    </row>
    <row r="194" spans="1:20" x14ac:dyDescent="0.25">
      <c r="A194" s="4" t="s">
        <v>61</v>
      </c>
      <c r="B194" s="6"/>
      <c r="C194" s="6"/>
      <c r="G194" s="6"/>
      <c r="H194" s="6"/>
      <c r="I194" s="6"/>
      <c r="J194" s="6"/>
      <c r="K194" s="6"/>
      <c r="L194" s="6"/>
      <c r="M194" s="6"/>
      <c r="N194" s="6"/>
      <c r="O194" s="6"/>
      <c r="P194" t="s">
        <v>11</v>
      </c>
      <c r="Q194" s="4">
        <v>3.3</v>
      </c>
      <c r="T194" t="s">
        <v>308</v>
      </c>
    </row>
    <row r="195" spans="1:20" x14ac:dyDescent="0.25">
      <c r="A195" s="4" t="s">
        <v>62</v>
      </c>
      <c r="B195" s="6"/>
      <c r="C195" s="6"/>
      <c r="G195" s="6"/>
      <c r="H195" s="6"/>
      <c r="I195" s="6"/>
      <c r="J195" s="6"/>
      <c r="K195" s="6"/>
      <c r="L195" s="6"/>
      <c r="M195" s="6"/>
      <c r="N195" s="6"/>
      <c r="O195" s="6"/>
      <c r="P195" t="s">
        <v>11</v>
      </c>
      <c r="Q195" s="24">
        <f>AVERAGE(Q193:Q194)</f>
        <v>3.75</v>
      </c>
      <c r="S195" s="6" t="s">
        <v>307</v>
      </c>
    </row>
    <row r="196" spans="1:20" x14ac:dyDescent="0.25">
      <c r="A196" s="4" t="s">
        <v>63</v>
      </c>
      <c r="B196" s="6"/>
      <c r="C196" s="6"/>
      <c r="G196" s="6"/>
      <c r="H196" s="6"/>
      <c r="I196" s="6"/>
      <c r="J196" s="6"/>
      <c r="K196" s="6"/>
      <c r="L196" s="6"/>
      <c r="M196" s="6"/>
      <c r="N196" s="6"/>
      <c r="O196" s="6"/>
      <c r="P196" t="s">
        <v>11</v>
      </c>
      <c r="Q196" s="24">
        <f>AVERAGE(Q193:Q194)</f>
        <v>3.75</v>
      </c>
    </row>
    <row r="197" spans="1:20" x14ac:dyDescent="0.25">
      <c r="A197" s="4" t="s">
        <v>64</v>
      </c>
      <c r="B197" s="6"/>
      <c r="C197" s="6"/>
      <c r="G197" s="6"/>
      <c r="H197" s="6"/>
      <c r="I197" s="6"/>
      <c r="J197" s="6"/>
      <c r="K197" s="6"/>
      <c r="L197" s="6"/>
      <c r="M197" s="6"/>
      <c r="N197" s="6"/>
      <c r="O197" s="6"/>
      <c r="P197" t="s">
        <v>11</v>
      </c>
      <c r="Q197" s="24">
        <f>AVERAGE(Q193:Q194)</f>
        <v>3.75</v>
      </c>
    </row>
    <row r="198" spans="1:20" x14ac:dyDescent="0.25">
      <c r="A198" s="4" t="s">
        <v>65</v>
      </c>
      <c r="B198" s="6"/>
      <c r="C198" s="6"/>
      <c r="G198" s="6"/>
      <c r="H198" s="6"/>
      <c r="I198" s="6"/>
      <c r="J198" s="6"/>
      <c r="K198" s="6"/>
      <c r="L198" s="6"/>
      <c r="M198" s="6"/>
      <c r="N198" s="6"/>
      <c r="O198" s="6"/>
      <c r="P198" t="s">
        <v>11</v>
      </c>
      <c r="Q198" s="24">
        <f>AVERAGE(Q193:Q194)</f>
        <v>3.75</v>
      </c>
    </row>
    <row r="199" spans="1:20" x14ac:dyDescent="0.25">
      <c r="A199" s="4" t="s">
        <v>66</v>
      </c>
      <c r="B199" s="6"/>
      <c r="C199" s="6"/>
      <c r="G199" s="6"/>
      <c r="H199" s="6"/>
      <c r="I199" s="6"/>
      <c r="J199" s="6"/>
      <c r="K199" s="6"/>
      <c r="L199" s="6"/>
      <c r="M199" s="6"/>
      <c r="N199" s="6"/>
      <c r="O199" s="6"/>
      <c r="P199" t="s">
        <v>11</v>
      </c>
      <c r="Q199" s="24">
        <f>AVERAGE(Q193:Q194)</f>
        <v>3.75</v>
      </c>
    </row>
    <row r="200" spans="1:20" x14ac:dyDescent="0.25">
      <c r="A200" s="4" t="s">
        <v>67</v>
      </c>
      <c r="B200" s="4"/>
      <c r="C200" s="4"/>
      <c r="G200" s="4"/>
      <c r="H200" s="4"/>
      <c r="I200" s="4"/>
      <c r="J200" s="4"/>
      <c r="K200" s="4"/>
      <c r="L200" s="4"/>
      <c r="M200" s="4"/>
      <c r="N200" s="4"/>
      <c r="O200" s="4"/>
      <c r="P200" t="s">
        <v>12</v>
      </c>
      <c r="Q200">
        <v>0</v>
      </c>
      <c r="S200" t="s">
        <v>72</v>
      </c>
    </row>
    <row r="201" spans="1:20" x14ac:dyDescent="0.25">
      <c r="A201" s="4" t="s">
        <v>68</v>
      </c>
      <c r="B201" s="6"/>
      <c r="C201" s="6"/>
      <c r="G201" s="6"/>
      <c r="H201" s="6"/>
      <c r="I201" s="6"/>
      <c r="J201" s="6"/>
      <c r="K201" s="6"/>
      <c r="L201" s="6"/>
      <c r="M201" s="6"/>
      <c r="N201" s="6"/>
      <c r="O201" s="6"/>
      <c r="P201" t="s">
        <v>11</v>
      </c>
      <c r="Q201">
        <v>20</v>
      </c>
      <c r="S201" t="s">
        <v>304</v>
      </c>
    </row>
    <row r="202" spans="1:20" x14ac:dyDescent="0.25">
      <c r="A202" s="4" t="s">
        <v>68</v>
      </c>
      <c r="B202" s="6"/>
      <c r="C202" s="6"/>
      <c r="G202" s="6"/>
      <c r="H202" s="6"/>
      <c r="I202" s="6"/>
      <c r="J202" s="6"/>
      <c r="K202" s="6"/>
      <c r="L202" s="6"/>
      <c r="M202" s="6"/>
      <c r="N202" s="6"/>
      <c r="O202" s="6"/>
      <c r="P202" t="s">
        <v>12</v>
      </c>
      <c r="Q202">
        <v>30</v>
      </c>
    </row>
    <row r="203" spans="1:20" x14ac:dyDescent="0.25">
      <c r="A203" s="6" t="s">
        <v>69</v>
      </c>
      <c r="B203" s="6"/>
      <c r="C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1:20" x14ac:dyDescent="0.25">
      <c r="A204" s="4" t="s">
        <v>70</v>
      </c>
      <c r="B204" s="4"/>
      <c r="C204" s="4"/>
      <c r="G204" s="4"/>
      <c r="H204" s="4"/>
      <c r="I204" s="4"/>
      <c r="J204" s="4"/>
      <c r="K204" s="4"/>
      <c r="L204" s="4"/>
      <c r="M204" s="4"/>
      <c r="N204" s="4"/>
      <c r="O204" s="4"/>
      <c r="P204" t="s">
        <v>12</v>
      </c>
      <c r="Q204">
        <v>0</v>
      </c>
      <c r="S204" t="s">
        <v>72</v>
      </c>
    </row>
    <row r="205" spans="1:20" x14ac:dyDescent="0.25">
      <c r="A205" s="4"/>
      <c r="B205" s="4"/>
      <c r="C205" s="4"/>
      <c r="G205" s="4"/>
      <c r="H205" s="4"/>
      <c r="I205" s="4"/>
      <c r="J205" s="4"/>
      <c r="K205" s="4"/>
      <c r="L205" s="4"/>
      <c r="M205" s="4"/>
      <c r="N205" s="4"/>
      <c r="O205" s="4"/>
    </row>
    <row r="206" spans="1:20" x14ac:dyDescent="0.25">
      <c r="A206" s="2" t="s">
        <v>254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3"/>
      <c r="T206" s="3"/>
    </row>
    <row r="207" spans="1:20" x14ac:dyDescent="0.25">
      <c r="A207" s="4"/>
      <c r="B207" s="4"/>
      <c r="C207" s="4"/>
      <c r="G207" s="4"/>
      <c r="H207" s="4"/>
      <c r="I207" s="4"/>
      <c r="J207" s="4"/>
      <c r="K207" s="4"/>
      <c r="L207" s="4"/>
      <c r="M207" s="4"/>
      <c r="N207" s="4"/>
      <c r="O207" s="4"/>
    </row>
    <row r="208" spans="1:20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 t="s">
        <v>251</v>
      </c>
      <c r="Q208" s="5">
        <v>0</v>
      </c>
      <c r="R208" s="5" t="s">
        <v>242</v>
      </c>
      <c r="S208" s="5" t="s">
        <v>13</v>
      </c>
    </row>
    <row r="209" spans="1:20" x14ac:dyDescent="0.25">
      <c r="A209" t="s">
        <v>28</v>
      </c>
      <c r="C209" s="4"/>
      <c r="G209" s="4"/>
      <c r="H209" s="4"/>
      <c r="I209" s="4"/>
      <c r="J209" s="4"/>
      <c r="K209" s="4"/>
      <c r="L209" s="4"/>
      <c r="M209" s="4"/>
      <c r="N209" s="4"/>
      <c r="O209" s="4"/>
      <c r="P209" t="s">
        <v>251</v>
      </c>
      <c r="Q209">
        <v>35</v>
      </c>
      <c r="S209" t="s">
        <v>243</v>
      </c>
      <c r="T209" t="s">
        <v>246</v>
      </c>
    </row>
    <row r="210" spans="1:20" x14ac:dyDescent="0.25">
      <c r="A210" t="s">
        <v>29</v>
      </c>
      <c r="C210" s="4"/>
      <c r="G210" s="4"/>
      <c r="H210" s="4"/>
      <c r="I210" s="4"/>
      <c r="J210" s="4"/>
      <c r="K210" s="4"/>
      <c r="L210" s="4"/>
      <c r="M210" s="4"/>
      <c r="N210" s="4"/>
      <c r="O210" s="4"/>
      <c r="P210" t="s">
        <v>251</v>
      </c>
      <c r="Q210">
        <v>35</v>
      </c>
      <c r="S210" t="s">
        <v>247</v>
      </c>
      <c r="T210" t="s">
        <v>246</v>
      </c>
    </row>
    <row r="211" spans="1:20" x14ac:dyDescent="0.25">
      <c r="A211" t="s">
        <v>30</v>
      </c>
      <c r="B211" s="4"/>
      <c r="C211" s="4"/>
      <c r="G211" s="4"/>
      <c r="H211" s="4"/>
      <c r="I211" s="4"/>
      <c r="J211" s="4"/>
      <c r="K211" s="4"/>
      <c r="L211" s="4"/>
      <c r="M211" s="4"/>
      <c r="N211" s="4"/>
      <c r="O211" s="4"/>
      <c r="P211" t="s">
        <v>251</v>
      </c>
      <c r="Q211">
        <v>25</v>
      </c>
      <c r="S211" t="s">
        <v>244</v>
      </c>
      <c r="T211" t="s">
        <v>246</v>
      </c>
    </row>
    <row r="212" spans="1:20" x14ac:dyDescent="0.25">
      <c r="A212" t="s">
        <v>31</v>
      </c>
      <c r="B212" s="4"/>
      <c r="C212" s="4"/>
      <c r="G212" s="4"/>
      <c r="H212" s="4"/>
      <c r="I212" s="4"/>
      <c r="J212" s="4"/>
      <c r="K212" s="4"/>
      <c r="L212" s="4"/>
      <c r="M212" s="4"/>
      <c r="N212" s="4"/>
      <c r="O212" s="4"/>
      <c r="P212" t="s">
        <v>251</v>
      </c>
      <c r="Q212">
        <v>25</v>
      </c>
      <c r="S212" t="s">
        <v>248</v>
      </c>
      <c r="T212" t="s">
        <v>246</v>
      </c>
    </row>
    <row r="213" spans="1:20" x14ac:dyDescent="0.25">
      <c r="A213" t="s">
        <v>32</v>
      </c>
      <c r="B213" s="4"/>
      <c r="C213" s="4"/>
      <c r="G213" s="4"/>
      <c r="H213" s="4"/>
      <c r="I213" s="4"/>
      <c r="J213" s="4"/>
      <c r="K213" s="4"/>
      <c r="L213" s="4"/>
      <c r="M213" s="4"/>
      <c r="N213" s="4"/>
      <c r="O213" s="4"/>
      <c r="P213" t="s">
        <v>251</v>
      </c>
      <c r="Q213">
        <v>40</v>
      </c>
      <c r="S213" t="s">
        <v>249</v>
      </c>
      <c r="T213" t="s">
        <v>246</v>
      </c>
    </row>
    <row r="214" spans="1:20" x14ac:dyDescent="0.25">
      <c r="A214" t="s">
        <v>33</v>
      </c>
      <c r="B214" s="4"/>
      <c r="C214" s="4"/>
      <c r="G214" s="4"/>
      <c r="H214" s="4"/>
      <c r="I214" s="4"/>
      <c r="J214" s="4"/>
      <c r="K214" s="4"/>
      <c r="L214" s="4"/>
      <c r="M214" s="4"/>
      <c r="N214" s="4"/>
      <c r="O214" s="4"/>
      <c r="P214" t="s">
        <v>251</v>
      </c>
      <c r="Q214">
        <v>20</v>
      </c>
      <c r="S214" t="s">
        <v>250</v>
      </c>
      <c r="T214" t="s">
        <v>246</v>
      </c>
    </row>
    <row r="215" spans="1:20" x14ac:dyDescent="0.25">
      <c r="A215" t="s">
        <v>34</v>
      </c>
      <c r="B215" s="4"/>
      <c r="C215" s="4"/>
      <c r="G215" s="4"/>
      <c r="H215" s="4"/>
      <c r="I215" s="4"/>
      <c r="J215" s="4"/>
      <c r="K215" s="4"/>
      <c r="L215" s="4"/>
      <c r="M215" s="4"/>
      <c r="N215" s="4"/>
      <c r="O215" s="4"/>
      <c r="P215" t="s">
        <v>251</v>
      </c>
      <c r="Q215">
        <v>10</v>
      </c>
      <c r="S215" t="s">
        <v>102</v>
      </c>
      <c r="T215" t="s">
        <v>246</v>
      </c>
    </row>
    <row r="216" spans="1:20" x14ac:dyDescent="0.25">
      <c r="A216" t="s">
        <v>35</v>
      </c>
      <c r="B216" s="4"/>
      <c r="C216" s="4"/>
      <c r="G216" s="4"/>
      <c r="H216" s="4"/>
      <c r="I216" s="4"/>
      <c r="J216" s="4"/>
      <c r="K216" s="4"/>
      <c r="L216" s="4"/>
      <c r="M216" s="4"/>
      <c r="N216" s="4"/>
      <c r="O216" s="4"/>
      <c r="P216" t="s">
        <v>251</v>
      </c>
      <c r="Q216">
        <v>10</v>
      </c>
      <c r="S216" t="s">
        <v>102</v>
      </c>
      <c r="T216" t="s">
        <v>246</v>
      </c>
    </row>
    <row r="217" spans="1:20" x14ac:dyDescent="0.25">
      <c r="A217" t="s">
        <v>36</v>
      </c>
      <c r="B217" s="4"/>
      <c r="C217" s="4"/>
      <c r="G217" s="4"/>
      <c r="H217" s="4"/>
      <c r="I217" s="4"/>
      <c r="J217" s="4"/>
      <c r="K217" s="4"/>
      <c r="L217" s="4"/>
      <c r="M217" s="4"/>
      <c r="N217" s="4"/>
      <c r="O217" s="4"/>
      <c r="P217" t="s">
        <v>251</v>
      </c>
      <c r="Q217">
        <v>25</v>
      </c>
    </row>
    <row r="218" spans="1:20" x14ac:dyDescent="0.25">
      <c r="A218" s="4" t="s">
        <v>37</v>
      </c>
      <c r="B218" s="4"/>
      <c r="C218" s="4"/>
      <c r="G218" s="4"/>
      <c r="H218" s="4"/>
      <c r="I218" s="4"/>
      <c r="J218" s="4"/>
      <c r="K218" s="4"/>
      <c r="L218" s="4"/>
      <c r="M218" s="4"/>
      <c r="N218" s="4"/>
      <c r="O218" s="4"/>
      <c r="P218" t="s">
        <v>251</v>
      </c>
    </row>
    <row r="219" spans="1:20" x14ac:dyDescent="0.25">
      <c r="A219" s="9" t="s">
        <v>38</v>
      </c>
      <c r="B219" s="4"/>
      <c r="C219" s="4"/>
      <c r="E219" t="s">
        <v>149</v>
      </c>
      <c r="G219" s="4"/>
      <c r="H219" s="4"/>
      <c r="I219" s="4"/>
      <c r="J219" s="4"/>
      <c r="K219" s="4"/>
      <c r="L219" s="4"/>
      <c r="M219" s="4"/>
      <c r="N219" s="4"/>
      <c r="O219" s="4"/>
      <c r="P219" t="s">
        <v>251</v>
      </c>
      <c r="Q219" s="6">
        <v>20</v>
      </c>
      <c r="S219" t="s">
        <v>245</v>
      </c>
      <c r="T219" t="s">
        <v>246</v>
      </c>
    </row>
    <row r="220" spans="1:20" x14ac:dyDescent="0.25">
      <c r="A220" s="9" t="s">
        <v>38</v>
      </c>
      <c r="B220" s="4"/>
      <c r="C220" s="4"/>
      <c r="E220" t="s">
        <v>104</v>
      </c>
      <c r="G220" s="4"/>
      <c r="H220" s="4"/>
      <c r="I220" s="4"/>
      <c r="J220" s="4"/>
      <c r="K220" s="4"/>
      <c r="L220" s="4"/>
      <c r="M220" s="4"/>
      <c r="N220" s="4"/>
      <c r="O220" s="4"/>
      <c r="P220" t="s">
        <v>251</v>
      </c>
      <c r="Q220" s="6">
        <v>40</v>
      </c>
    </row>
    <row r="221" spans="1:20" x14ac:dyDescent="0.25">
      <c r="A221" s="9" t="s">
        <v>39</v>
      </c>
      <c r="B221" s="4"/>
      <c r="C221" s="4"/>
      <c r="E221" t="s">
        <v>149</v>
      </c>
      <c r="G221" s="4"/>
      <c r="H221" s="4"/>
      <c r="I221" s="4"/>
      <c r="J221" s="4"/>
      <c r="K221" s="4"/>
      <c r="L221" s="4"/>
      <c r="M221" s="4"/>
      <c r="N221" s="4"/>
      <c r="O221" s="4"/>
      <c r="P221" t="s">
        <v>251</v>
      </c>
      <c r="Q221" s="6">
        <v>10</v>
      </c>
    </row>
    <row r="222" spans="1:20" x14ac:dyDescent="0.25">
      <c r="A222" s="9" t="s">
        <v>39</v>
      </c>
      <c r="B222" s="4"/>
      <c r="C222" s="4"/>
      <c r="E222" t="s">
        <v>104</v>
      </c>
      <c r="G222" s="4"/>
      <c r="H222" s="4"/>
      <c r="I222" s="4"/>
      <c r="J222" s="4"/>
      <c r="K222" s="4"/>
      <c r="L222" s="4"/>
      <c r="M222" s="4"/>
      <c r="N222" s="4"/>
      <c r="O222" s="4"/>
      <c r="P222" t="s">
        <v>251</v>
      </c>
      <c r="Q222" s="6">
        <v>20</v>
      </c>
    </row>
    <row r="223" spans="1:20" x14ac:dyDescent="0.25">
      <c r="A223" s="4" t="s">
        <v>71</v>
      </c>
      <c r="E223" t="s">
        <v>149</v>
      </c>
      <c r="P223" t="s">
        <v>251</v>
      </c>
      <c r="Q223" s="6">
        <v>10</v>
      </c>
    </row>
    <row r="224" spans="1:20" x14ac:dyDescent="0.25">
      <c r="A224" s="4" t="s">
        <v>71</v>
      </c>
      <c r="E224" t="s">
        <v>104</v>
      </c>
      <c r="P224" t="s">
        <v>251</v>
      </c>
      <c r="Q224" s="6">
        <v>20</v>
      </c>
    </row>
    <row r="225" spans="1:20" x14ac:dyDescent="0.25">
      <c r="A225" s="4" t="s">
        <v>70</v>
      </c>
      <c r="P225" t="s">
        <v>251</v>
      </c>
      <c r="Q225" s="6">
        <v>40</v>
      </c>
    </row>
    <row r="226" spans="1:20" s="4" customFormat="1" x14ac:dyDescent="0.25">
      <c r="A226" s="4" t="s">
        <v>268</v>
      </c>
      <c r="P226" s="4" t="s">
        <v>251</v>
      </c>
      <c r="Q226" s="4">
        <v>35</v>
      </c>
      <c r="S226" s="4" t="s">
        <v>275</v>
      </c>
    </row>
    <row r="227" spans="1:20" s="4" customFormat="1" x14ac:dyDescent="0.25">
      <c r="A227" s="4" t="s">
        <v>276</v>
      </c>
      <c r="P227" s="4" t="s">
        <v>251</v>
      </c>
      <c r="Q227" s="4">
        <v>25</v>
      </c>
      <c r="S227" s="4" t="s">
        <v>277</v>
      </c>
    </row>
    <row r="228" spans="1:20" s="4" customFormat="1" x14ac:dyDescent="0.25">
      <c r="A228" s="4" t="s">
        <v>272</v>
      </c>
      <c r="P228" s="4" t="s">
        <v>251</v>
      </c>
      <c r="Q228" s="4">
        <v>25</v>
      </c>
      <c r="S228" s="4" t="s">
        <v>277</v>
      </c>
    </row>
    <row r="229" spans="1:20" x14ac:dyDescent="0.25">
      <c r="A229" s="4"/>
      <c r="Q229" s="6"/>
    </row>
    <row r="230" spans="1:20" x14ac:dyDescent="0.25">
      <c r="A230" s="2" t="s">
        <v>260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3"/>
      <c r="T230" s="3"/>
    </row>
    <row r="231" spans="1:20" x14ac:dyDescent="0.25">
      <c r="A231" s="4"/>
    </row>
    <row r="232" spans="1:20" x14ac:dyDescent="0.25">
      <c r="A232" s="4"/>
      <c r="P232" t="s">
        <v>252</v>
      </c>
      <c r="Q232" s="6">
        <v>40</v>
      </c>
      <c r="R232" t="s">
        <v>253</v>
      </c>
      <c r="S232" t="s">
        <v>255</v>
      </c>
      <c r="T232" t="s">
        <v>259</v>
      </c>
    </row>
    <row r="233" spans="1:20" x14ac:dyDescent="0.25">
      <c r="A233" s="4"/>
      <c r="P233" t="s">
        <v>261</v>
      </c>
      <c r="Q233" s="6">
        <v>40</v>
      </c>
      <c r="R233" t="s">
        <v>253</v>
      </c>
      <c r="S233" t="s">
        <v>262</v>
      </c>
    </row>
    <row r="234" spans="1:20" x14ac:dyDescent="0.25">
      <c r="A234" s="4"/>
    </row>
    <row r="235" spans="1:20" ht="19.5" customHeight="1" x14ac:dyDescent="0.25">
      <c r="A235" s="15" t="s">
        <v>298</v>
      </c>
      <c r="B235" s="15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</row>
    <row r="236" spans="1:20" x14ac:dyDescent="0.25">
      <c r="A236" s="2" t="s">
        <v>223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3"/>
      <c r="T236" s="3"/>
    </row>
    <row r="237" spans="1:20" x14ac:dyDescent="0.25">
      <c r="A237" s="19" t="s">
        <v>228</v>
      </c>
      <c r="B237" s="19"/>
    </row>
    <row r="238" spans="1:20" x14ac:dyDescent="0.25">
      <c r="A238" s="19" t="s">
        <v>229</v>
      </c>
      <c r="B238" s="19"/>
    </row>
    <row r="239" spans="1:20" x14ac:dyDescent="0.25">
      <c r="P239" s="5" t="s">
        <v>195</v>
      </c>
      <c r="Q239" s="5">
        <v>0</v>
      </c>
      <c r="R239" s="5" t="s">
        <v>236</v>
      </c>
      <c r="S239" s="5" t="s">
        <v>152</v>
      </c>
    </row>
    <row r="240" spans="1:20" x14ac:dyDescent="0.25">
      <c r="P240" s="5" t="s">
        <v>196</v>
      </c>
      <c r="Q240" s="5">
        <v>0</v>
      </c>
      <c r="R240" s="5" t="s">
        <v>105</v>
      </c>
      <c r="S240" s="5" t="s">
        <v>152</v>
      </c>
    </row>
    <row r="241" spans="1:19" x14ac:dyDescent="0.25">
      <c r="A241" s="21" t="s">
        <v>203</v>
      </c>
      <c r="B241" s="21"/>
      <c r="P241" s="5"/>
      <c r="Q241" s="5"/>
      <c r="R241" s="5"/>
      <c r="S241" s="5"/>
    </row>
    <row r="242" spans="1:19" x14ac:dyDescent="0.25">
      <c r="A242" t="s">
        <v>7</v>
      </c>
      <c r="M242" t="s">
        <v>198</v>
      </c>
      <c r="P242" t="s">
        <v>195</v>
      </c>
      <c r="Q242">
        <v>3</v>
      </c>
    </row>
    <row r="243" spans="1:19" x14ac:dyDescent="0.25">
      <c r="A243" t="s">
        <v>7</v>
      </c>
      <c r="M243" t="s">
        <v>199</v>
      </c>
      <c r="P243" t="s">
        <v>195</v>
      </c>
      <c r="Q243">
        <v>3</v>
      </c>
    </row>
    <row r="244" spans="1:19" x14ac:dyDescent="0.25">
      <c r="A244" t="s">
        <v>7</v>
      </c>
      <c r="M244" t="s">
        <v>200</v>
      </c>
      <c r="P244" t="s">
        <v>195</v>
      </c>
      <c r="Q244">
        <v>3</v>
      </c>
    </row>
    <row r="245" spans="1:19" x14ac:dyDescent="0.25">
      <c r="A245" t="s">
        <v>7</v>
      </c>
      <c r="M245" t="s">
        <v>201</v>
      </c>
      <c r="P245" t="s">
        <v>195</v>
      </c>
      <c r="Q245">
        <v>3</v>
      </c>
    </row>
    <row r="246" spans="1:19" x14ac:dyDescent="0.25">
      <c r="A246" t="s">
        <v>7</v>
      </c>
      <c r="M246" t="s">
        <v>198</v>
      </c>
      <c r="P246" t="s">
        <v>196</v>
      </c>
      <c r="Q246">
        <v>9</v>
      </c>
    </row>
    <row r="247" spans="1:19" x14ac:dyDescent="0.25">
      <c r="A247" t="s">
        <v>7</v>
      </c>
      <c r="M247" t="s">
        <v>199</v>
      </c>
      <c r="P247" t="s">
        <v>196</v>
      </c>
      <c r="Q247">
        <v>4</v>
      </c>
    </row>
    <row r="248" spans="1:19" x14ac:dyDescent="0.25">
      <c r="A248" t="s">
        <v>7</v>
      </c>
      <c r="M248" t="s">
        <v>200</v>
      </c>
      <c r="P248" t="s">
        <v>196</v>
      </c>
      <c r="Q248">
        <v>-6</v>
      </c>
    </row>
    <row r="249" spans="1:19" x14ac:dyDescent="0.25">
      <c r="A249" t="s">
        <v>7</v>
      </c>
      <c r="M249" t="s">
        <v>201</v>
      </c>
      <c r="P249" t="s">
        <v>196</v>
      </c>
      <c r="Q249">
        <v>-16</v>
      </c>
    </row>
    <row r="250" spans="1:19" x14ac:dyDescent="0.25">
      <c r="A250" t="s">
        <v>25</v>
      </c>
      <c r="M250" t="s">
        <v>198</v>
      </c>
      <c r="P250" t="s">
        <v>195</v>
      </c>
      <c r="Q250" s="20">
        <f>Q242</f>
        <v>3</v>
      </c>
    </row>
    <row r="251" spans="1:19" x14ac:dyDescent="0.25">
      <c r="A251" t="s">
        <v>25</v>
      </c>
      <c r="M251" t="s">
        <v>199</v>
      </c>
      <c r="P251" t="s">
        <v>195</v>
      </c>
      <c r="Q251" s="20">
        <f t="shared" ref="Q251:Q257" si="4">Q243</f>
        <v>3</v>
      </c>
    </row>
    <row r="252" spans="1:19" x14ac:dyDescent="0.25">
      <c r="A252" t="s">
        <v>25</v>
      </c>
      <c r="M252" t="s">
        <v>200</v>
      </c>
      <c r="P252" t="s">
        <v>195</v>
      </c>
      <c r="Q252" s="20">
        <f t="shared" si="4"/>
        <v>3</v>
      </c>
    </row>
    <row r="253" spans="1:19" x14ac:dyDescent="0.25">
      <c r="A253" t="s">
        <v>25</v>
      </c>
      <c r="M253" t="s">
        <v>201</v>
      </c>
      <c r="P253" t="s">
        <v>195</v>
      </c>
      <c r="Q253" s="20">
        <f t="shared" si="4"/>
        <v>3</v>
      </c>
    </row>
    <row r="254" spans="1:19" x14ac:dyDescent="0.25">
      <c r="A254" t="s">
        <v>25</v>
      </c>
      <c r="M254" t="s">
        <v>198</v>
      </c>
      <c r="P254" t="s">
        <v>196</v>
      </c>
      <c r="Q254" s="20">
        <f t="shared" si="4"/>
        <v>9</v>
      </c>
    </row>
    <row r="255" spans="1:19" x14ac:dyDescent="0.25">
      <c r="A255" t="s">
        <v>25</v>
      </c>
      <c r="M255" t="s">
        <v>199</v>
      </c>
      <c r="P255" t="s">
        <v>196</v>
      </c>
      <c r="Q255" s="20">
        <f t="shared" si="4"/>
        <v>4</v>
      </c>
    </row>
    <row r="256" spans="1:19" x14ac:dyDescent="0.25">
      <c r="A256" t="s">
        <v>25</v>
      </c>
      <c r="M256" t="s">
        <v>200</v>
      </c>
      <c r="P256" t="s">
        <v>196</v>
      </c>
      <c r="Q256" s="20">
        <f t="shared" si="4"/>
        <v>-6</v>
      </c>
    </row>
    <row r="257" spans="1:17" x14ac:dyDescent="0.25">
      <c r="A257" t="s">
        <v>25</v>
      </c>
      <c r="M257" t="s">
        <v>201</v>
      </c>
      <c r="P257" t="s">
        <v>196</v>
      </c>
      <c r="Q257" s="20">
        <f t="shared" si="4"/>
        <v>-16</v>
      </c>
    </row>
    <row r="258" spans="1:17" x14ac:dyDescent="0.25">
      <c r="A258" t="s">
        <v>21</v>
      </c>
      <c r="M258" t="s">
        <v>198</v>
      </c>
      <c r="P258" t="s">
        <v>195</v>
      </c>
      <c r="Q258" s="20">
        <f>Q242</f>
        <v>3</v>
      </c>
    </row>
    <row r="259" spans="1:17" x14ac:dyDescent="0.25">
      <c r="A259" t="s">
        <v>21</v>
      </c>
      <c r="M259" t="s">
        <v>199</v>
      </c>
      <c r="P259" t="s">
        <v>195</v>
      </c>
      <c r="Q259" s="20">
        <f t="shared" ref="Q259:Q265" si="5">Q243</f>
        <v>3</v>
      </c>
    </row>
    <row r="260" spans="1:17" x14ac:dyDescent="0.25">
      <c r="A260" t="s">
        <v>21</v>
      </c>
      <c r="M260" t="s">
        <v>200</v>
      </c>
      <c r="P260" t="s">
        <v>195</v>
      </c>
      <c r="Q260" s="20">
        <f t="shared" si="5"/>
        <v>3</v>
      </c>
    </row>
    <row r="261" spans="1:17" x14ac:dyDescent="0.25">
      <c r="A261" t="s">
        <v>21</v>
      </c>
      <c r="M261" t="s">
        <v>201</v>
      </c>
      <c r="P261" t="s">
        <v>195</v>
      </c>
      <c r="Q261" s="20">
        <f t="shared" si="5"/>
        <v>3</v>
      </c>
    </row>
    <row r="262" spans="1:17" x14ac:dyDescent="0.25">
      <c r="A262" t="s">
        <v>21</v>
      </c>
      <c r="M262" t="s">
        <v>198</v>
      </c>
      <c r="P262" t="s">
        <v>196</v>
      </c>
      <c r="Q262" s="20">
        <f t="shared" si="5"/>
        <v>9</v>
      </c>
    </row>
    <row r="263" spans="1:17" x14ac:dyDescent="0.25">
      <c r="A263" t="s">
        <v>21</v>
      </c>
      <c r="M263" t="s">
        <v>199</v>
      </c>
      <c r="P263" t="s">
        <v>196</v>
      </c>
      <c r="Q263" s="20">
        <f t="shared" si="5"/>
        <v>4</v>
      </c>
    </row>
    <row r="264" spans="1:17" x14ac:dyDescent="0.25">
      <c r="A264" t="s">
        <v>21</v>
      </c>
      <c r="M264" t="s">
        <v>200</v>
      </c>
      <c r="P264" t="s">
        <v>196</v>
      </c>
      <c r="Q264" s="20">
        <f t="shared" si="5"/>
        <v>-6</v>
      </c>
    </row>
    <row r="265" spans="1:17" x14ac:dyDescent="0.25">
      <c r="A265" t="s">
        <v>21</v>
      </c>
      <c r="M265" t="s">
        <v>201</v>
      </c>
      <c r="P265" t="s">
        <v>196</v>
      </c>
      <c r="Q265" s="20">
        <f t="shared" si="5"/>
        <v>-16</v>
      </c>
    </row>
    <row r="266" spans="1:17" x14ac:dyDescent="0.25">
      <c r="A266" t="s">
        <v>23</v>
      </c>
      <c r="M266" t="s">
        <v>198</v>
      </c>
      <c r="P266" t="s">
        <v>195</v>
      </c>
      <c r="Q266" s="20">
        <f>Q242</f>
        <v>3</v>
      </c>
    </row>
    <row r="267" spans="1:17" x14ac:dyDescent="0.25">
      <c r="A267" t="s">
        <v>23</v>
      </c>
      <c r="M267" t="s">
        <v>199</v>
      </c>
      <c r="P267" t="s">
        <v>195</v>
      </c>
      <c r="Q267" s="20">
        <f t="shared" ref="Q267:Q273" si="6">Q243</f>
        <v>3</v>
      </c>
    </row>
    <row r="268" spans="1:17" x14ac:dyDescent="0.25">
      <c r="A268" t="s">
        <v>23</v>
      </c>
      <c r="M268" t="s">
        <v>200</v>
      </c>
      <c r="P268" t="s">
        <v>195</v>
      </c>
      <c r="Q268" s="20">
        <f t="shared" si="6"/>
        <v>3</v>
      </c>
    </row>
    <row r="269" spans="1:17" x14ac:dyDescent="0.25">
      <c r="A269" t="s">
        <v>23</v>
      </c>
      <c r="M269" t="s">
        <v>201</v>
      </c>
      <c r="P269" t="s">
        <v>195</v>
      </c>
      <c r="Q269" s="20">
        <f t="shared" si="6"/>
        <v>3</v>
      </c>
    </row>
    <row r="270" spans="1:17" x14ac:dyDescent="0.25">
      <c r="A270" t="s">
        <v>23</v>
      </c>
      <c r="M270" t="s">
        <v>198</v>
      </c>
      <c r="P270" t="s">
        <v>196</v>
      </c>
      <c r="Q270" s="20">
        <f t="shared" si="6"/>
        <v>9</v>
      </c>
    </row>
    <row r="271" spans="1:17" x14ac:dyDescent="0.25">
      <c r="A271" t="s">
        <v>23</v>
      </c>
      <c r="M271" t="s">
        <v>199</v>
      </c>
      <c r="P271" t="s">
        <v>196</v>
      </c>
      <c r="Q271" s="20">
        <f t="shared" si="6"/>
        <v>4</v>
      </c>
    </row>
    <row r="272" spans="1:17" x14ac:dyDescent="0.25">
      <c r="A272" t="s">
        <v>23</v>
      </c>
      <c r="M272" t="s">
        <v>200</v>
      </c>
      <c r="P272" t="s">
        <v>196</v>
      </c>
      <c r="Q272" s="20">
        <f t="shared" si="6"/>
        <v>-6</v>
      </c>
    </row>
    <row r="273" spans="1:17" x14ac:dyDescent="0.25">
      <c r="A273" t="s">
        <v>23</v>
      </c>
      <c r="M273" t="s">
        <v>201</v>
      </c>
      <c r="P273" t="s">
        <v>196</v>
      </c>
      <c r="Q273" s="20">
        <f t="shared" si="6"/>
        <v>-16</v>
      </c>
    </row>
    <row r="275" spans="1:17" x14ac:dyDescent="0.25">
      <c r="A275" s="21" t="s">
        <v>204</v>
      </c>
      <c r="B275" s="21"/>
    </row>
    <row r="276" spans="1:17" x14ac:dyDescent="0.25">
      <c r="A276" t="s">
        <v>14</v>
      </c>
      <c r="M276" t="s">
        <v>198</v>
      </c>
      <c r="P276" t="s">
        <v>195</v>
      </c>
      <c r="Q276">
        <v>3</v>
      </c>
    </row>
    <row r="277" spans="1:17" x14ac:dyDescent="0.25">
      <c r="A277" t="s">
        <v>14</v>
      </c>
      <c r="M277" t="s">
        <v>199</v>
      </c>
      <c r="P277" t="s">
        <v>195</v>
      </c>
      <c r="Q277">
        <v>3</v>
      </c>
    </row>
    <row r="278" spans="1:17" x14ac:dyDescent="0.25">
      <c r="A278" t="s">
        <v>14</v>
      </c>
      <c r="M278" t="s">
        <v>200</v>
      </c>
      <c r="P278" t="s">
        <v>195</v>
      </c>
      <c r="Q278">
        <v>3</v>
      </c>
    </row>
    <row r="279" spans="1:17" x14ac:dyDescent="0.25">
      <c r="A279" t="s">
        <v>14</v>
      </c>
      <c r="M279" t="s">
        <v>201</v>
      </c>
      <c r="P279" t="s">
        <v>195</v>
      </c>
      <c r="Q279">
        <v>3</v>
      </c>
    </row>
    <row r="280" spans="1:17" x14ac:dyDescent="0.25">
      <c r="A280" t="s">
        <v>14</v>
      </c>
      <c r="M280" t="s">
        <v>198</v>
      </c>
      <c r="P280" t="s">
        <v>196</v>
      </c>
      <c r="Q280">
        <v>10</v>
      </c>
    </row>
    <row r="281" spans="1:17" x14ac:dyDescent="0.25">
      <c r="A281" t="s">
        <v>14</v>
      </c>
      <c r="M281" t="s">
        <v>199</v>
      </c>
      <c r="P281" t="s">
        <v>196</v>
      </c>
      <c r="Q281">
        <v>5</v>
      </c>
    </row>
    <row r="282" spans="1:17" x14ac:dyDescent="0.25">
      <c r="A282" t="s">
        <v>14</v>
      </c>
      <c r="M282" t="s">
        <v>200</v>
      </c>
      <c r="P282" t="s">
        <v>196</v>
      </c>
      <c r="Q282">
        <v>0</v>
      </c>
    </row>
    <row r="283" spans="1:17" x14ac:dyDescent="0.25">
      <c r="A283" t="s">
        <v>14</v>
      </c>
      <c r="M283" t="s">
        <v>201</v>
      </c>
      <c r="P283" t="s">
        <v>196</v>
      </c>
      <c r="Q283">
        <v>-10</v>
      </c>
    </row>
    <row r="284" spans="1:17" x14ac:dyDescent="0.25">
      <c r="A284" t="s">
        <v>15</v>
      </c>
      <c r="M284" t="s">
        <v>198</v>
      </c>
      <c r="P284" t="s">
        <v>195</v>
      </c>
      <c r="Q284" s="20">
        <f>Q276</f>
        <v>3</v>
      </c>
    </row>
    <row r="285" spans="1:17" x14ac:dyDescent="0.25">
      <c r="A285" t="s">
        <v>15</v>
      </c>
      <c r="M285" t="s">
        <v>199</v>
      </c>
      <c r="P285" t="s">
        <v>195</v>
      </c>
      <c r="Q285" s="20">
        <f t="shared" ref="Q285:Q291" si="7">Q277</f>
        <v>3</v>
      </c>
    </row>
    <row r="286" spans="1:17" x14ac:dyDescent="0.25">
      <c r="A286" t="s">
        <v>15</v>
      </c>
      <c r="M286" t="s">
        <v>200</v>
      </c>
      <c r="P286" t="s">
        <v>195</v>
      </c>
      <c r="Q286" s="20">
        <f t="shared" si="7"/>
        <v>3</v>
      </c>
    </row>
    <row r="287" spans="1:17" x14ac:dyDescent="0.25">
      <c r="A287" t="s">
        <v>15</v>
      </c>
      <c r="M287" t="s">
        <v>201</v>
      </c>
      <c r="P287" t="s">
        <v>195</v>
      </c>
      <c r="Q287" s="20">
        <f t="shared" si="7"/>
        <v>3</v>
      </c>
    </row>
    <row r="288" spans="1:17" x14ac:dyDescent="0.25">
      <c r="A288" t="s">
        <v>15</v>
      </c>
      <c r="M288" t="s">
        <v>198</v>
      </c>
      <c r="P288" t="s">
        <v>196</v>
      </c>
      <c r="Q288" s="20">
        <f t="shared" si="7"/>
        <v>10</v>
      </c>
    </row>
    <row r="289" spans="1:17" x14ac:dyDescent="0.25">
      <c r="A289" t="s">
        <v>15</v>
      </c>
      <c r="M289" t="s">
        <v>199</v>
      </c>
      <c r="P289" t="s">
        <v>196</v>
      </c>
      <c r="Q289" s="20">
        <f t="shared" si="7"/>
        <v>5</v>
      </c>
    </row>
    <row r="290" spans="1:17" x14ac:dyDescent="0.25">
      <c r="A290" t="s">
        <v>15</v>
      </c>
      <c r="M290" t="s">
        <v>200</v>
      </c>
      <c r="P290" t="s">
        <v>196</v>
      </c>
      <c r="Q290" s="20">
        <f t="shared" si="7"/>
        <v>0</v>
      </c>
    </row>
    <row r="291" spans="1:17" x14ac:dyDescent="0.25">
      <c r="A291" t="s">
        <v>15</v>
      </c>
      <c r="M291" t="s">
        <v>201</v>
      </c>
      <c r="P291" t="s">
        <v>196</v>
      </c>
      <c r="Q291" s="20">
        <f t="shared" si="7"/>
        <v>-10</v>
      </c>
    </row>
    <row r="292" spans="1:17" x14ac:dyDescent="0.25">
      <c r="A292" t="s">
        <v>19</v>
      </c>
      <c r="M292" t="s">
        <v>198</v>
      </c>
      <c r="P292" t="s">
        <v>195</v>
      </c>
      <c r="Q292" s="20">
        <f>Q276</f>
        <v>3</v>
      </c>
    </row>
    <row r="293" spans="1:17" x14ac:dyDescent="0.25">
      <c r="A293" t="s">
        <v>19</v>
      </c>
      <c r="M293" t="s">
        <v>199</v>
      </c>
      <c r="P293" t="s">
        <v>195</v>
      </c>
      <c r="Q293" s="20">
        <f t="shared" ref="Q293:Q299" si="8">Q277</f>
        <v>3</v>
      </c>
    </row>
    <row r="294" spans="1:17" x14ac:dyDescent="0.25">
      <c r="A294" t="s">
        <v>19</v>
      </c>
      <c r="M294" t="s">
        <v>200</v>
      </c>
      <c r="P294" t="s">
        <v>195</v>
      </c>
      <c r="Q294" s="20">
        <f t="shared" si="8"/>
        <v>3</v>
      </c>
    </row>
    <row r="295" spans="1:17" x14ac:dyDescent="0.25">
      <c r="A295" t="s">
        <v>19</v>
      </c>
      <c r="M295" t="s">
        <v>201</v>
      </c>
      <c r="P295" t="s">
        <v>195</v>
      </c>
      <c r="Q295" s="20">
        <f t="shared" si="8"/>
        <v>3</v>
      </c>
    </row>
    <row r="296" spans="1:17" x14ac:dyDescent="0.25">
      <c r="A296" t="s">
        <v>19</v>
      </c>
      <c r="M296" t="s">
        <v>198</v>
      </c>
      <c r="P296" t="s">
        <v>196</v>
      </c>
      <c r="Q296" s="20">
        <f t="shared" si="8"/>
        <v>10</v>
      </c>
    </row>
    <row r="297" spans="1:17" x14ac:dyDescent="0.25">
      <c r="A297" t="s">
        <v>19</v>
      </c>
      <c r="M297" t="s">
        <v>199</v>
      </c>
      <c r="P297" t="s">
        <v>196</v>
      </c>
      <c r="Q297" s="20">
        <f t="shared" si="8"/>
        <v>5</v>
      </c>
    </row>
    <row r="298" spans="1:17" x14ac:dyDescent="0.25">
      <c r="A298" t="s">
        <v>19</v>
      </c>
      <c r="M298" t="s">
        <v>200</v>
      </c>
      <c r="P298" t="s">
        <v>196</v>
      </c>
      <c r="Q298" s="20">
        <f t="shared" si="8"/>
        <v>0</v>
      </c>
    </row>
    <row r="299" spans="1:17" x14ac:dyDescent="0.25">
      <c r="A299" t="s">
        <v>19</v>
      </c>
      <c r="M299" t="s">
        <v>201</v>
      </c>
      <c r="P299" t="s">
        <v>196</v>
      </c>
      <c r="Q299" s="20">
        <f t="shared" si="8"/>
        <v>-10</v>
      </c>
    </row>
    <row r="300" spans="1:17" s="4" customFormat="1" x14ac:dyDescent="0.25">
      <c r="A300" s="4" t="s">
        <v>267</v>
      </c>
      <c r="M300" s="4" t="s">
        <v>198</v>
      </c>
      <c r="P300" s="4" t="s">
        <v>195</v>
      </c>
      <c r="Q300" s="20">
        <f>Q276</f>
        <v>3</v>
      </c>
    </row>
    <row r="301" spans="1:17" s="4" customFormat="1" x14ac:dyDescent="0.25">
      <c r="A301" s="4" t="s">
        <v>267</v>
      </c>
      <c r="M301" s="4" t="s">
        <v>199</v>
      </c>
      <c r="P301" s="4" t="s">
        <v>195</v>
      </c>
      <c r="Q301" s="20">
        <f t="shared" ref="Q301:Q307" si="9">Q277</f>
        <v>3</v>
      </c>
    </row>
    <row r="302" spans="1:17" s="4" customFormat="1" x14ac:dyDescent="0.25">
      <c r="A302" s="4" t="s">
        <v>267</v>
      </c>
      <c r="M302" s="4" t="s">
        <v>200</v>
      </c>
      <c r="P302" s="4" t="s">
        <v>195</v>
      </c>
      <c r="Q302" s="20">
        <f t="shared" si="9"/>
        <v>3</v>
      </c>
    </row>
    <row r="303" spans="1:17" s="4" customFormat="1" x14ac:dyDescent="0.25">
      <c r="A303" s="4" t="s">
        <v>267</v>
      </c>
      <c r="M303" s="4" t="s">
        <v>201</v>
      </c>
      <c r="P303" s="4" t="s">
        <v>195</v>
      </c>
      <c r="Q303" s="20">
        <f t="shared" si="9"/>
        <v>3</v>
      </c>
    </row>
    <row r="304" spans="1:17" s="4" customFormat="1" x14ac:dyDescent="0.25">
      <c r="A304" s="4" t="s">
        <v>267</v>
      </c>
      <c r="M304" s="4" t="s">
        <v>198</v>
      </c>
      <c r="P304" s="4" t="s">
        <v>196</v>
      </c>
      <c r="Q304" s="20">
        <f t="shared" si="9"/>
        <v>10</v>
      </c>
    </row>
    <row r="305" spans="1:17" s="4" customFormat="1" x14ac:dyDescent="0.25">
      <c r="A305" s="4" t="s">
        <v>267</v>
      </c>
      <c r="M305" s="4" t="s">
        <v>199</v>
      </c>
      <c r="P305" s="4" t="s">
        <v>196</v>
      </c>
      <c r="Q305" s="20">
        <f t="shared" si="9"/>
        <v>5</v>
      </c>
    </row>
    <row r="306" spans="1:17" s="4" customFormat="1" x14ac:dyDescent="0.25">
      <c r="A306" s="4" t="s">
        <v>267</v>
      </c>
      <c r="M306" s="4" t="s">
        <v>200</v>
      </c>
      <c r="P306" s="4" t="s">
        <v>196</v>
      </c>
      <c r="Q306" s="20">
        <f t="shared" si="9"/>
        <v>0</v>
      </c>
    </row>
    <row r="307" spans="1:17" s="4" customFormat="1" x14ac:dyDescent="0.25">
      <c r="A307" s="4" t="s">
        <v>267</v>
      </c>
      <c r="M307" s="4" t="s">
        <v>201</v>
      </c>
      <c r="P307" s="4" t="s">
        <v>196</v>
      </c>
      <c r="Q307" s="20">
        <f t="shared" si="9"/>
        <v>-10</v>
      </c>
    </row>
    <row r="308" spans="1:17" x14ac:dyDescent="0.25">
      <c r="A308" t="s">
        <v>22</v>
      </c>
      <c r="M308" t="s">
        <v>198</v>
      </c>
      <c r="P308" t="s">
        <v>195</v>
      </c>
      <c r="Q308" s="20">
        <f t="shared" ref="Q308:Q315" si="10">Q276</f>
        <v>3</v>
      </c>
    </row>
    <row r="309" spans="1:17" x14ac:dyDescent="0.25">
      <c r="A309" t="s">
        <v>22</v>
      </c>
      <c r="M309" t="s">
        <v>199</v>
      </c>
      <c r="P309" t="s">
        <v>195</v>
      </c>
      <c r="Q309" s="20">
        <f t="shared" si="10"/>
        <v>3</v>
      </c>
    </row>
    <row r="310" spans="1:17" x14ac:dyDescent="0.25">
      <c r="A310" t="s">
        <v>22</v>
      </c>
      <c r="M310" t="s">
        <v>200</v>
      </c>
      <c r="P310" t="s">
        <v>195</v>
      </c>
      <c r="Q310" s="20">
        <f t="shared" si="10"/>
        <v>3</v>
      </c>
    </row>
    <row r="311" spans="1:17" x14ac:dyDescent="0.25">
      <c r="A311" t="s">
        <v>22</v>
      </c>
      <c r="M311" t="s">
        <v>201</v>
      </c>
      <c r="P311" t="s">
        <v>195</v>
      </c>
      <c r="Q311" s="20">
        <f t="shared" si="10"/>
        <v>3</v>
      </c>
    </row>
    <row r="312" spans="1:17" x14ac:dyDescent="0.25">
      <c r="A312" t="s">
        <v>22</v>
      </c>
      <c r="M312" t="s">
        <v>198</v>
      </c>
      <c r="P312" t="s">
        <v>196</v>
      </c>
      <c r="Q312" s="20">
        <f t="shared" si="10"/>
        <v>10</v>
      </c>
    </row>
    <row r="313" spans="1:17" x14ac:dyDescent="0.25">
      <c r="A313" t="s">
        <v>22</v>
      </c>
      <c r="M313" t="s">
        <v>199</v>
      </c>
      <c r="P313" t="s">
        <v>196</v>
      </c>
      <c r="Q313" s="20">
        <f t="shared" si="10"/>
        <v>5</v>
      </c>
    </row>
    <row r="314" spans="1:17" x14ac:dyDescent="0.25">
      <c r="A314" t="s">
        <v>22</v>
      </c>
      <c r="M314" t="s">
        <v>200</v>
      </c>
      <c r="P314" t="s">
        <v>196</v>
      </c>
      <c r="Q314" s="20">
        <f t="shared" si="10"/>
        <v>0</v>
      </c>
    </row>
    <row r="315" spans="1:17" x14ac:dyDescent="0.25">
      <c r="A315" t="s">
        <v>22</v>
      </c>
      <c r="M315" t="s">
        <v>201</v>
      </c>
      <c r="P315" t="s">
        <v>196</v>
      </c>
      <c r="Q315" s="20">
        <f t="shared" si="10"/>
        <v>-10</v>
      </c>
    </row>
    <row r="316" spans="1:17" x14ac:dyDescent="0.25">
      <c r="A316" t="s">
        <v>27</v>
      </c>
      <c r="M316" t="s">
        <v>198</v>
      </c>
      <c r="P316" t="s">
        <v>195</v>
      </c>
      <c r="Q316" s="20">
        <f t="shared" ref="Q316:Q323" si="11">Q276</f>
        <v>3</v>
      </c>
    </row>
    <row r="317" spans="1:17" x14ac:dyDescent="0.25">
      <c r="A317" t="s">
        <v>27</v>
      </c>
      <c r="M317" t="s">
        <v>199</v>
      </c>
      <c r="P317" t="s">
        <v>195</v>
      </c>
      <c r="Q317" s="20">
        <f t="shared" si="11"/>
        <v>3</v>
      </c>
    </row>
    <row r="318" spans="1:17" x14ac:dyDescent="0.25">
      <c r="A318" t="s">
        <v>27</v>
      </c>
      <c r="M318" t="s">
        <v>200</v>
      </c>
      <c r="P318" t="s">
        <v>195</v>
      </c>
      <c r="Q318" s="20">
        <f t="shared" si="11"/>
        <v>3</v>
      </c>
    </row>
    <row r="319" spans="1:17" x14ac:dyDescent="0.25">
      <c r="A319" t="s">
        <v>27</v>
      </c>
      <c r="M319" t="s">
        <v>201</v>
      </c>
      <c r="P319" t="s">
        <v>195</v>
      </c>
      <c r="Q319" s="20">
        <f t="shared" si="11"/>
        <v>3</v>
      </c>
    </row>
    <row r="320" spans="1:17" x14ac:dyDescent="0.25">
      <c r="A320" t="s">
        <v>27</v>
      </c>
      <c r="M320" t="s">
        <v>198</v>
      </c>
      <c r="P320" t="s">
        <v>196</v>
      </c>
      <c r="Q320" s="20">
        <f t="shared" si="11"/>
        <v>10</v>
      </c>
    </row>
    <row r="321" spans="1:19" x14ac:dyDescent="0.25">
      <c r="A321" t="s">
        <v>27</v>
      </c>
      <c r="M321" t="s">
        <v>199</v>
      </c>
      <c r="P321" t="s">
        <v>196</v>
      </c>
      <c r="Q321" s="20">
        <f t="shared" si="11"/>
        <v>5</v>
      </c>
    </row>
    <row r="322" spans="1:19" x14ac:dyDescent="0.25">
      <c r="A322" t="s">
        <v>27</v>
      </c>
      <c r="M322" t="s">
        <v>200</v>
      </c>
      <c r="P322" t="s">
        <v>196</v>
      </c>
      <c r="Q322" s="20">
        <f t="shared" si="11"/>
        <v>0</v>
      </c>
    </row>
    <row r="323" spans="1:19" x14ac:dyDescent="0.25">
      <c r="A323" t="s">
        <v>27</v>
      </c>
      <c r="M323" t="s">
        <v>201</v>
      </c>
      <c r="P323" t="s">
        <v>196</v>
      </c>
      <c r="Q323" s="20">
        <f t="shared" si="11"/>
        <v>-10</v>
      </c>
    </row>
    <row r="324" spans="1:19" x14ac:dyDescent="0.25">
      <c r="A324" t="s">
        <v>26</v>
      </c>
      <c r="M324" t="s">
        <v>198</v>
      </c>
      <c r="P324" t="s">
        <v>195</v>
      </c>
      <c r="Q324" s="20">
        <f t="shared" ref="Q324:Q331" si="12">Q276</f>
        <v>3</v>
      </c>
    </row>
    <row r="325" spans="1:19" x14ac:dyDescent="0.25">
      <c r="A325" t="s">
        <v>26</v>
      </c>
      <c r="M325" t="s">
        <v>199</v>
      </c>
      <c r="P325" t="s">
        <v>195</v>
      </c>
      <c r="Q325" s="20">
        <f t="shared" si="12"/>
        <v>3</v>
      </c>
    </row>
    <row r="326" spans="1:19" x14ac:dyDescent="0.25">
      <c r="A326" t="s">
        <v>26</v>
      </c>
      <c r="M326" t="s">
        <v>200</v>
      </c>
      <c r="P326" t="s">
        <v>195</v>
      </c>
      <c r="Q326" s="20">
        <f t="shared" si="12"/>
        <v>3</v>
      </c>
    </row>
    <row r="327" spans="1:19" x14ac:dyDescent="0.25">
      <c r="A327" t="s">
        <v>26</v>
      </c>
      <c r="M327" t="s">
        <v>201</v>
      </c>
      <c r="P327" t="s">
        <v>195</v>
      </c>
      <c r="Q327" s="20">
        <f t="shared" si="12"/>
        <v>3</v>
      </c>
    </row>
    <row r="328" spans="1:19" x14ac:dyDescent="0.25">
      <c r="A328" t="s">
        <v>26</v>
      </c>
      <c r="M328" t="s">
        <v>198</v>
      </c>
      <c r="P328" t="s">
        <v>196</v>
      </c>
      <c r="Q328" s="20">
        <f t="shared" si="12"/>
        <v>10</v>
      </c>
    </row>
    <row r="329" spans="1:19" x14ac:dyDescent="0.25">
      <c r="A329" t="s">
        <v>26</v>
      </c>
      <c r="M329" t="s">
        <v>199</v>
      </c>
      <c r="P329" t="s">
        <v>196</v>
      </c>
      <c r="Q329" s="20">
        <f t="shared" si="12"/>
        <v>5</v>
      </c>
    </row>
    <row r="330" spans="1:19" x14ac:dyDescent="0.25">
      <c r="A330" t="s">
        <v>26</v>
      </c>
      <c r="M330" t="s">
        <v>200</v>
      </c>
      <c r="P330" t="s">
        <v>196</v>
      </c>
      <c r="Q330" s="20">
        <f t="shared" si="12"/>
        <v>0</v>
      </c>
    </row>
    <row r="331" spans="1:19" x14ac:dyDescent="0.25">
      <c r="A331" t="s">
        <v>26</v>
      </c>
      <c r="M331" t="s">
        <v>201</v>
      </c>
      <c r="P331" t="s">
        <v>196</v>
      </c>
      <c r="Q331" s="20">
        <f t="shared" si="12"/>
        <v>-10</v>
      </c>
    </row>
    <row r="332" spans="1:19" x14ac:dyDescent="0.25">
      <c r="A332" s="4" t="s">
        <v>41</v>
      </c>
      <c r="B332" s="6"/>
      <c r="M332" t="s">
        <v>198</v>
      </c>
      <c r="P332" t="s">
        <v>195</v>
      </c>
      <c r="Q332" s="20">
        <f t="shared" ref="Q332:Q339" si="13">Q276</f>
        <v>3</v>
      </c>
      <c r="S332" t="s">
        <v>306</v>
      </c>
    </row>
    <row r="333" spans="1:19" x14ac:dyDescent="0.25">
      <c r="A333" s="4" t="s">
        <v>41</v>
      </c>
      <c r="B333" s="6"/>
      <c r="M333" t="s">
        <v>199</v>
      </c>
      <c r="P333" t="s">
        <v>195</v>
      </c>
      <c r="Q333" s="20">
        <f t="shared" si="13"/>
        <v>3</v>
      </c>
    </row>
    <row r="334" spans="1:19" x14ac:dyDescent="0.25">
      <c r="A334" s="4" t="s">
        <v>41</v>
      </c>
      <c r="B334" s="6"/>
      <c r="M334" t="s">
        <v>200</v>
      </c>
      <c r="P334" t="s">
        <v>195</v>
      </c>
      <c r="Q334" s="20">
        <f t="shared" si="13"/>
        <v>3</v>
      </c>
    </row>
    <row r="335" spans="1:19" x14ac:dyDescent="0.25">
      <c r="A335" s="4" t="s">
        <v>41</v>
      </c>
      <c r="B335" s="6"/>
      <c r="M335" t="s">
        <v>201</v>
      </c>
      <c r="P335" t="s">
        <v>195</v>
      </c>
      <c r="Q335" s="20">
        <f t="shared" si="13"/>
        <v>3</v>
      </c>
    </row>
    <row r="336" spans="1:19" x14ac:dyDescent="0.25">
      <c r="A336" s="4" t="s">
        <v>41</v>
      </c>
      <c r="B336" s="6"/>
      <c r="M336" t="s">
        <v>198</v>
      </c>
      <c r="P336" t="s">
        <v>196</v>
      </c>
      <c r="Q336" s="20">
        <f t="shared" si="13"/>
        <v>10</v>
      </c>
    </row>
    <row r="337" spans="1:19" x14ac:dyDescent="0.25">
      <c r="A337" s="4" t="s">
        <v>41</v>
      </c>
      <c r="B337" s="6"/>
      <c r="M337" t="s">
        <v>199</v>
      </c>
      <c r="P337" t="s">
        <v>196</v>
      </c>
      <c r="Q337" s="20">
        <f t="shared" si="13"/>
        <v>5</v>
      </c>
    </row>
    <row r="338" spans="1:19" x14ac:dyDescent="0.25">
      <c r="A338" s="4" t="s">
        <v>41</v>
      </c>
      <c r="B338" s="6"/>
      <c r="M338" t="s">
        <v>200</v>
      </c>
      <c r="P338" t="s">
        <v>196</v>
      </c>
      <c r="Q338" s="20">
        <f t="shared" si="13"/>
        <v>0</v>
      </c>
    </row>
    <row r="339" spans="1:19" x14ac:dyDescent="0.25">
      <c r="A339" s="4" t="s">
        <v>41</v>
      </c>
      <c r="B339" s="6"/>
      <c r="M339" t="s">
        <v>201</v>
      </c>
      <c r="P339" t="s">
        <v>196</v>
      </c>
      <c r="Q339" s="20">
        <f t="shared" si="13"/>
        <v>-10</v>
      </c>
    </row>
    <row r="340" spans="1:19" x14ac:dyDescent="0.25">
      <c r="A340" s="4" t="s">
        <v>42</v>
      </c>
      <c r="B340" s="6"/>
      <c r="M340" t="s">
        <v>198</v>
      </c>
      <c r="P340" t="s">
        <v>195</v>
      </c>
      <c r="Q340" s="20">
        <f>Q276</f>
        <v>3</v>
      </c>
      <c r="S340" t="s">
        <v>306</v>
      </c>
    </row>
    <row r="341" spans="1:19" x14ac:dyDescent="0.25">
      <c r="A341" s="4" t="s">
        <v>42</v>
      </c>
      <c r="B341" s="6"/>
      <c r="M341" t="s">
        <v>199</v>
      </c>
      <c r="P341" t="s">
        <v>195</v>
      </c>
      <c r="Q341" s="20">
        <f t="shared" ref="Q341:Q347" si="14">Q277</f>
        <v>3</v>
      </c>
    </row>
    <row r="342" spans="1:19" x14ac:dyDescent="0.25">
      <c r="A342" s="4" t="s">
        <v>42</v>
      </c>
      <c r="B342" s="6"/>
      <c r="M342" t="s">
        <v>200</v>
      </c>
      <c r="P342" t="s">
        <v>195</v>
      </c>
      <c r="Q342" s="20">
        <f t="shared" si="14"/>
        <v>3</v>
      </c>
    </row>
    <row r="343" spans="1:19" x14ac:dyDescent="0.25">
      <c r="A343" s="4" t="s">
        <v>42</v>
      </c>
      <c r="B343" s="6"/>
      <c r="M343" t="s">
        <v>201</v>
      </c>
      <c r="P343" t="s">
        <v>195</v>
      </c>
      <c r="Q343" s="20">
        <f t="shared" si="14"/>
        <v>3</v>
      </c>
    </row>
    <row r="344" spans="1:19" x14ac:dyDescent="0.25">
      <c r="A344" s="4" t="s">
        <v>42</v>
      </c>
      <c r="B344" s="6"/>
      <c r="M344" t="s">
        <v>198</v>
      </c>
      <c r="P344" t="s">
        <v>196</v>
      </c>
      <c r="Q344" s="20">
        <f t="shared" si="14"/>
        <v>10</v>
      </c>
    </row>
    <row r="345" spans="1:19" x14ac:dyDescent="0.25">
      <c r="A345" s="4" t="s">
        <v>42</v>
      </c>
      <c r="B345" s="6"/>
      <c r="M345" t="s">
        <v>199</v>
      </c>
      <c r="P345" t="s">
        <v>196</v>
      </c>
      <c r="Q345" s="20">
        <f t="shared" si="14"/>
        <v>5</v>
      </c>
    </row>
    <row r="346" spans="1:19" x14ac:dyDescent="0.25">
      <c r="A346" s="4" t="s">
        <v>42</v>
      </c>
      <c r="M346" t="s">
        <v>200</v>
      </c>
      <c r="P346" t="s">
        <v>196</v>
      </c>
      <c r="Q346" s="20">
        <f t="shared" si="14"/>
        <v>0</v>
      </c>
    </row>
    <row r="347" spans="1:19" x14ac:dyDescent="0.25">
      <c r="A347" s="4" t="s">
        <v>42</v>
      </c>
      <c r="M347" t="s">
        <v>201</v>
      </c>
      <c r="P347" t="s">
        <v>196</v>
      </c>
      <c r="Q347" s="20">
        <f t="shared" si="14"/>
        <v>-10</v>
      </c>
    </row>
    <row r="348" spans="1:19" x14ac:dyDescent="0.25">
      <c r="A348" s="21" t="s">
        <v>206</v>
      </c>
      <c r="B348" s="21"/>
    </row>
    <row r="349" spans="1:19" x14ac:dyDescent="0.25">
      <c r="A349" t="s">
        <v>32</v>
      </c>
      <c r="M349" t="s">
        <v>198</v>
      </c>
      <c r="P349" t="s">
        <v>195</v>
      </c>
      <c r="Q349">
        <v>7</v>
      </c>
    </row>
    <row r="350" spans="1:19" x14ac:dyDescent="0.25">
      <c r="A350" t="s">
        <v>32</v>
      </c>
      <c r="M350" t="s">
        <v>199</v>
      </c>
      <c r="P350" t="s">
        <v>195</v>
      </c>
      <c r="Q350">
        <v>7</v>
      </c>
    </row>
    <row r="351" spans="1:19" x14ac:dyDescent="0.25">
      <c r="A351" t="s">
        <v>32</v>
      </c>
      <c r="M351" t="s">
        <v>200</v>
      </c>
      <c r="P351" t="s">
        <v>195</v>
      </c>
      <c r="Q351">
        <v>7</v>
      </c>
    </row>
    <row r="352" spans="1:19" x14ac:dyDescent="0.25">
      <c r="A352" t="s">
        <v>32</v>
      </c>
      <c r="M352" t="s">
        <v>201</v>
      </c>
      <c r="P352" t="s">
        <v>195</v>
      </c>
      <c r="Q352">
        <v>7</v>
      </c>
    </row>
    <row r="353" spans="1:17" x14ac:dyDescent="0.25">
      <c r="A353" t="s">
        <v>32</v>
      </c>
      <c r="M353" t="s">
        <v>198</v>
      </c>
      <c r="P353" t="s">
        <v>196</v>
      </c>
      <c r="Q353">
        <v>15.5</v>
      </c>
    </row>
    <row r="354" spans="1:17" x14ac:dyDescent="0.25">
      <c r="A354" t="s">
        <v>32</v>
      </c>
      <c r="M354" t="s">
        <v>199</v>
      </c>
      <c r="P354" t="s">
        <v>196</v>
      </c>
      <c r="Q354">
        <v>10.5</v>
      </c>
    </row>
    <row r="355" spans="1:17" x14ac:dyDescent="0.25">
      <c r="A355" t="s">
        <v>32</v>
      </c>
      <c r="M355" t="s">
        <v>200</v>
      </c>
      <c r="P355" t="s">
        <v>196</v>
      </c>
      <c r="Q355">
        <v>0.5</v>
      </c>
    </row>
    <row r="356" spans="1:17" x14ac:dyDescent="0.25">
      <c r="A356" t="s">
        <v>32</v>
      </c>
      <c r="M356" t="s">
        <v>201</v>
      </c>
      <c r="P356" t="s">
        <v>196</v>
      </c>
      <c r="Q356">
        <v>-9.5</v>
      </c>
    </row>
    <row r="357" spans="1:17" x14ac:dyDescent="0.25">
      <c r="A357" t="s">
        <v>33</v>
      </c>
      <c r="M357" t="s">
        <v>198</v>
      </c>
      <c r="P357" t="s">
        <v>195</v>
      </c>
      <c r="Q357">
        <v>7</v>
      </c>
    </row>
    <row r="358" spans="1:17" x14ac:dyDescent="0.25">
      <c r="A358" t="s">
        <v>33</v>
      </c>
      <c r="M358" t="s">
        <v>199</v>
      </c>
      <c r="P358" t="s">
        <v>195</v>
      </c>
      <c r="Q358">
        <v>7</v>
      </c>
    </row>
    <row r="359" spans="1:17" x14ac:dyDescent="0.25">
      <c r="A359" t="s">
        <v>33</v>
      </c>
      <c r="M359" t="s">
        <v>200</v>
      </c>
      <c r="P359" t="s">
        <v>195</v>
      </c>
      <c r="Q359">
        <v>7</v>
      </c>
    </row>
    <row r="360" spans="1:17" x14ac:dyDescent="0.25">
      <c r="A360" t="s">
        <v>33</v>
      </c>
      <c r="M360" t="s">
        <v>201</v>
      </c>
      <c r="P360" t="s">
        <v>195</v>
      </c>
      <c r="Q360">
        <v>7</v>
      </c>
    </row>
    <row r="361" spans="1:17" x14ac:dyDescent="0.25">
      <c r="A361" t="s">
        <v>33</v>
      </c>
      <c r="M361" t="s">
        <v>198</v>
      </c>
      <c r="P361" t="s">
        <v>196</v>
      </c>
      <c r="Q361">
        <v>16</v>
      </c>
    </row>
    <row r="362" spans="1:17" x14ac:dyDescent="0.25">
      <c r="A362" t="s">
        <v>33</v>
      </c>
      <c r="M362" t="s">
        <v>199</v>
      </c>
      <c r="P362" t="s">
        <v>196</v>
      </c>
      <c r="Q362">
        <v>11</v>
      </c>
    </row>
    <row r="363" spans="1:17" x14ac:dyDescent="0.25">
      <c r="A363" t="s">
        <v>33</v>
      </c>
      <c r="M363" t="s">
        <v>200</v>
      </c>
      <c r="P363" t="s">
        <v>196</v>
      </c>
      <c r="Q363">
        <v>1</v>
      </c>
    </row>
    <row r="364" spans="1:17" x14ac:dyDescent="0.25">
      <c r="A364" t="s">
        <v>33</v>
      </c>
      <c r="M364" t="s">
        <v>201</v>
      </c>
      <c r="P364" t="s">
        <v>196</v>
      </c>
      <c r="Q364">
        <v>-4</v>
      </c>
    </row>
    <row r="366" spans="1:17" x14ac:dyDescent="0.25">
      <c r="A366" s="21" t="s">
        <v>38</v>
      </c>
      <c r="B366" s="21"/>
    </row>
    <row r="367" spans="1:17" x14ac:dyDescent="0.25">
      <c r="A367" t="s">
        <v>38</v>
      </c>
      <c r="M367" t="s">
        <v>198</v>
      </c>
      <c r="P367" t="s">
        <v>195</v>
      </c>
      <c r="Q367">
        <v>3</v>
      </c>
    </row>
    <row r="368" spans="1:17" x14ac:dyDescent="0.25">
      <c r="A368" t="s">
        <v>38</v>
      </c>
      <c r="M368" t="s">
        <v>199</v>
      </c>
      <c r="P368" t="s">
        <v>195</v>
      </c>
      <c r="Q368">
        <v>3</v>
      </c>
    </row>
    <row r="369" spans="1:19" x14ac:dyDescent="0.25">
      <c r="A369" t="s">
        <v>38</v>
      </c>
      <c r="M369" t="s">
        <v>200</v>
      </c>
      <c r="P369" t="s">
        <v>195</v>
      </c>
      <c r="Q369">
        <v>3</v>
      </c>
    </row>
    <row r="370" spans="1:19" x14ac:dyDescent="0.25">
      <c r="A370" t="s">
        <v>38</v>
      </c>
      <c r="M370" t="s">
        <v>198</v>
      </c>
      <c r="P370" t="s">
        <v>196</v>
      </c>
      <c r="Q370">
        <v>7</v>
      </c>
    </row>
    <row r="371" spans="1:19" x14ac:dyDescent="0.25">
      <c r="A371" t="s">
        <v>38</v>
      </c>
      <c r="M371" t="s">
        <v>199</v>
      </c>
      <c r="P371" t="s">
        <v>196</v>
      </c>
      <c r="Q371">
        <v>-3</v>
      </c>
    </row>
    <row r="372" spans="1:19" x14ac:dyDescent="0.25">
      <c r="A372" t="s">
        <v>38</v>
      </c>
      <c r="M372" t="s">
        <v>200</v>
      </c>
      <c r="P372" t="s">
        <v>196</v>
      </c>
      <c r="Q372">
        <v>-8</v>
      </c>
    </row>
    <row r="373" spans="1:19" x14ac:dyDescent="0.25">
      <c r="A373" t="s">
        <v>68</v>
      </c>
      <c r="M373" t="s">
        <v>198</v>
      </c>
      <c r="P373" t="s">
        <v>195</v>
      </c>
      <c r="Q373" s="24">
        <f>Q367</f>
        <v>3</v>
      </c>
      <c r="S373" t="s">
        <v>305</v>
      </c>
    </row>
    <row r="374" spans="1:19" x14ac:dyDescent="0.25">
      <c r="A374" t="s">
        <v>68</v>
      </c>
      <c r="M374" t="s">
        <v>199</v>
      </c>
      <c r="P374" t="s">
        <v>195</v>
      </c>
      <c r="Q374" s="24">
        <f t="shared" ref="Q374:Q378" si="15">Q368</f>
        <v>3</v>
      </c>
    </row>
    <row r="375" spans="1:19" x14ac:dyDescent="0.25">
      <c r="A375" t="s">
        <v>68</v>
      </c>
      <c r="M375" t="s">
        <v>200</v>
      </c>
      <c r="P375" t="s">
        <v>195</v>
      </c>
      <c r="Q375" s="24">
        <f t="shared" si="15"/>
        <v>3</v>
      </c>
    </row>
    <row r="376" spans="1:19" x14ac:dyDescent="0.25">
      <c r="A376" t="s">
        <v>68</v>
      </c>
      <c r="M376" t="s">
        <v>198</v>
      </c>
      <c r="P376" t="s">
        <v>196</v>
      </c>
      <c r="Q376" s="24">
        <f t="shared" si="15"/>
        <v>7</v>
      </c>
    </row>
    <row r="377" spans="1:19" x14ac:dyDescent="0.25">
      <c r="A377" t="s">
        <v>68</v>
      </c>
      <c r="M377" t="s">
        <v>199</v>
      </c>
      <c r="P377" t="s">
        <v>196</v>
      </c>
      <c r="Q377" s="24">
        <f t="shared" si="15"/>
        <v>-3</v>
      </c>
    </row>
    <row r="378" spans="1:19" x14ac:dyDescent="0.25">
      <c r="A378" t="s">
        <v>68</v>
      </c>
      <c r="M378" t="s">
        <v>200</v>
      </c>
      <c r="P378" t="s">
        <v>196</v>
      </c>
      <c r="Q378" s="24">
        <f t="shared" si="15"/>
        <v>-8</v>
      </c>
    </row>
    <row r="380" spans="1:19" x14ac:dyDescent="0.25">
      <c r="A380" s="21" t="s">
        <v>207</v>
      </c>
      <c r="B380" s="21"/>
    </row>
    <row r="381" spans="1:19" x14ac:dyDescent="0.25">
      <c r="A381" t="s">
        <v>40</v>
      </c>
      <c r="M381" t="s">
        <v>198</v>
      </c>
      <c r="P381" t="s">
        <v>195</v>
      </c>
      <c r="Q381">
        <v>3</v>
      </c>
    </row>
    <row r="382" spans="1:19" x14ac:dyDescent="0.25">
      <c r="A382" t="s">
        <v>40</v>
      </c>
      <c r="M382" t="s">
        <v>199</v>
      </c>
      <c r="P382" t="s">
        <v>195</v>
      </c>
      <c r="Q382">
        <v>3</v>
      </c>
    </row>
    <row r="383" spans="1:19" x14ac:dyDescent="0.25">
      <c r="A383" t="s">
        <v>40</v>
      </c>
      <c r="M383" t="s">
        <v>200</v>
      </c>
      <c r="P383" t="s">
        <v>195</v>
      </c>
      <c r="Q383">
        <v>3</v>
      </c>
    </row>
    <row r="384" spans="1:19" x14ac:dyDescent="0.25">
      <c r="A384" t="s">
        <v>40</v>
      </c>
      <c r="M384" t="s">
        <v>201</v>
      </c>
      <c r="P384" t="s">
        <v>195</v>
      </c>
      <c r="Q384">
        <v>3</v>
      </c>
    </row>
    <row r="385" spans="1:17" x14ac:dyDescent="0.25">
      <c r="A385" t="s">
        <v>40</v>
      </c>
      <c r="M385" t="s">
        <v>202</v>
      </c>
      <c r="P385" t="s">
        <v>195</v>
      </c>
      <c r="Q385">
        <v>3</v>
      </c>
    </row>
    <row r="386" spans="1:17" x14ac:dyDescent="0.25">
      <c r="A386" t="s">
        <v>40</v>
      </c>
      <c r="M386" t="s">
        <v>205</v>
      </c>
      <c r="P386" t="s">
        <v>195</v>
      </c>
      <c r="Q386">
        <v>3</v>
      </c>
    </row>
    <row r="387" spans="1:17" x14ac:dyDescent="0.25">
      <c r="A387" t="s">
        <v>40</v>
      </c>
      <c r="M387" t="s">
        <v>198</v>
      </c>
      <c r="P387" t="s">
        <v>196</v>
      </c>
      <c r="Q387">
        <v>5</v>
      </c>
    </row>
    <row r="388" spans="1:17" x14ac:dyDescent="0.25">
      <c r="A388" t="s">
        <v>40</v>
      </c>
      <c r="M388" t="s">
        <v>199</v>
      </c>
      <c r="P388" t="s">
        <v>196</v>
      </c>
      <c r="Q388">
        <v>0</v>
      </c>
    </row>
    <row r="389" spans="1:17" x14ac:dyDescent="0.25">
      <c r="A389" t="s">
        <v>40</v>
      </c>
      <c r="M389" t="s">
        <v>200</v>
      </c>
      <c r="P389" t="s">
        <v>196</v>
      </c>
      <c r="Q389">
        <v>-5</v>
      </c>
    </row>
    <row r="390" spans="1:17" x14ac:dyDescent="0.25">
      <c r="A390" t="s">
        <v>40</v>
      </c>
      <c r="M390" t="s">
        <v>201</v>
      </c>
      <c r="P390" t="s">
        <v>196</v>
      </c>
      <c r="Q390">
        <v>-10</v>
      </c>
    </row>
    <row r="391" spans="1:17" x14ac:dyDescent="0.25">
      <c r="A391" t="s">
        <v>40</v>
      </c>
      <c r="M391" t="s">
        <v>202</v>
      </c>
      <c r="P391" t="s">
        <v>196</v>
      </c>
      <c r="Q391">
        <v>-15</v>
      </c>
    </row>
    <row r="392" spans="1:17" x14ac:dyDescent="0.25">
      <c r="A392" t="s">
        <v>40</v>
      </c>
      <c r="M392" t="s">
        <v>205</v>
      </c>
      <c r="P392" t="s">
        <v>196</v>
      </c>
      <c r="Q392">
        <v>-20</v>
      </c>
    </row>
    <row r="394" spans="1:17" x14ac:dyDescent="0.25">
      <c r="A394" s="21" t="s">
        <v>208</v>
      </c>
      <c r="B394" s="21"/>
    </row>
    <row r="395" spans="1:17" x14ac:dyDescent="0.25">
      <c r="A395" t="s">
        <v>34</v>
      </c>
      <c r="M395" t="s">
        <v>198</v>
      </c>
      <c r="P395" t="s">
        <v>195</v>
      </c>
      <c r="Q395">
        <v>0.5</v>
      </c>
    </row>
    <row r="396" spans="1:17" x14ac:dyDescent="0.25">
      <c r="A396" t="s">
        <v>34</v>
      </c>
      <c r="M396" t="s">
        <v>199</v>
      </c>
      <c r="P396" t="s">
        <v>195</v>
      </c>
      <c r="Q396">
        <v>0.5</v>
      </c>
    </row>
    <row r="397" spans="1:17" x14ac:dyDescent="0.25">
      <c r="A397" t="s">
        <v>34</v>
      </c>
      <c r="M397" t="s">
        <v>200</v>
      </c>
      <c r="P397" t="s">
        <v>195</v>
      </c>
      <c r="Q397">
        <v>0.5</v>
      </c>
    </row>
    <row r="398" spans="1:17" x14ac:dyDescent="0.25">
      <c r="A398" t="s">
        <v>34</v>
      </c>
      <c r="M398" t="s">
        <v>201</v>
      </c>
      <c r="P398" t="s">
        <v>195</v>
      </c>
      <c r="Q398">
        <v>0.5</v>
      </c>
    </row>
    <row r="399" spans="1:17" x14ac:dyDescent="0.25">
      <c r="A399" t="s">
        <v>34</v>
      </c>
      <c r="M399" t="s">
        <v>202</v>
      </c>
      <c r="P399" t="s">
        <v>195</v>
      </c>
      <c r="Q399">
        <v>0.5</v>
      </c>
    </row>
    <row r="400" spans="1:17" x14ac:dyDescent="0.25">
      <c r="A400" t="s">
        <v>34</v>
      </c>
      <c r="M400" t="s">
        <v>205</v>
      </c>
      <c r="P400" t="s">
        <v>195</v>
      </c>
      <c r="Q400">
        <v>0.5</v>
      </c>
    </row>
    <row r="401" spans="1:17" x14ac:dyDescent="0.25">
      <c r="A401" t="s">
        <v>34</v>
      </c>
      <c r="M401" t="s">
        <v>198</v>
      </c>
      <c r="P401" t="s">
        <v>196</v>
      </c>
      <c r="Q401">
        <v>55</v>
      </c>
    </row>
    <row r="402" spans="1:17" x14ac:dyDescent="0.25">
      <c r="A402" t="s">
        <v>34</v>
      </c>
      <c r="M402" t="s">
        <v>199</v>
      </c>
      <c r="P402" t="s">
        <v>196</v>
      </c>
      <c r="Q402">
        <v>35</v>
      </c>
    </row>
    <row r="403" spans="1:17" x14ac:dyDescent="0.25">
      <c r="A403" t="s">
        <v>34</v>
      </c>
      <c r="M403" t="s">
        <v>200</v>
      </c>
      <c r="P403" t="s">
        <v>196</v>
      </c>
      <c r="Q403">
        <v>25</v>
      </c>
    </row>
    <row r="404" spans="1:17" x14ac:dyDescent="0.25">
      <c r="A404" t="s">
        <v>34</v>
      </c>
      <c r="M404" t="s">
        <v>201</v>
      </c>
      <c r="P404" t="s">
        <v>196</v>
      </c>
      <c r="Q404">
        <v>15</v>
      </c>
    </row>
    <row r="405" spans="1:17" x14ac:dyDescent="0.25">
      <c r="A405" t="s">
        <v>34</v>
      </c>
      <c r="M405" t="s">
        <v>202</v>
      </c>
      <c r="P405" t="s">
        <v>196</v>
      </c>
      <c r="Q405">
        <v>0</v>
      </c>
    </row>
    <row r="406" spans="1:17" x14ac:dyDescent="0.25">
      <c r="A406" t="s">
        <v>34</v>
      </c>
      <c r="M406" t="s">
        <v>205</v>
      </c>
      <c r="P406" t="s">
        <v>196</v>
      </c>
      <c r="Q406">
        <v>-5</v>
      </c>
    </row>
    <row r="407" spans="1:17" x14ac:dyDescent="0.25">
      <c r="A407" t="s">
        <v>35</v>
      </c>
      <c r="M407" t="s">
        <v>198</v>
      </c>
      <c r="P407" t="s">
        <v>195</v>
      </c>
      <c r="Q407" s="20">
        <f>Q395</f>
        <v>0.5</v>
      </c>
    </row>
    <row r="408" spans="1:17" x14ac:dyDescent="0.25">
      <c r="A408" t="s">
        <v>35</v>
      </c>
      <c r="M408" t="s">
        <v>199</v>
      </c>
      <c r="P408" t="s">
        <v>195</v>
      </c>
      <c r="Q408" s="20">
        <f t="shared" ref="Q408:Q418" si="16">Q396</f>
        <v>0.5</v>
      </c>
    </row>
    <row r="409" spans="1:17" x14ac:dyDescent="0.25">
      <c r="A409" t="s">
        <v>35</v>
      </c>
      <c r="M409" t="s">
        <v>200</v>
      </c>
      <c r="P409" t="s">
        <v>195</v>
      </c>
      <c r="Q409" s="20">
        <f t="shared" si="16"/>
        <v>0.5</v>
      </c>
    </row>
    <row r="410" spans="1:17" x14ac:dyDescent="0.25">
      <c r="A410" t="s">
        <v>35</v>
      </c>
      <c r="M410" t="s">
        <v>201</v>
      </c>
      <c r="P410" t="s">
        <v>195</v>
      </c>
      <c r="Q410" s="20">
        <f t="shared" si="16"/>
        <v>0.5</v>
      </c>
    </row>
    <row r="411" spans="1:17" x14ac:dyDescent="0.25">
      <c r="A411" t="s">
        <v>35</v>
      </c>
      <c r="M411" t="s">
        <v>202</v>
      </c>
      <c r="P411" t="s">
        <v>195</v>
      </c>
      <c r="Q411" s="20">
        <f t="shared" si="16"/>
        <v>0.5</v>
      </c>
    </row>
    <row r="412" spans="1:17" x14ac:dyDescent="0.25">
      <c r="A412" t="s">
        <v>35</v>
      </c>
      <c r="M412" t="s">
        <v>205</v>
      </c>
      <c r="P412" t="s">
        <v>195</v>
      </c>
      <c r="Q412" s="20">
        <f t="shared" si="16"/>
        <v>0.5</v>
      </c>
    </row>
    <row r="413" spans="1:17" x14ac:dyDescent="0.25">
      <c r="A413" t="s">
        <v>35</v>
      </c>
      <c r="M413" t="s">
        <v>198</v>
      </c>
      <c r="P413" t="s">
        <v>196</v>
      </c>
      <c r="Q413" s="20">
        <f t="shared" si="16"/>
        <v>55</v>
      </c>
    </row>
    <row r="414" spans="1:17" x14ac:dyDescent="0.25">
      <c r="A414" t="s">
        <v>35</v>
      </c>
      <c r="M414" t="s">
        <v>199</v>
      </c>
      <c r="P414" t="s">
        <v>196</v>
      </c>
      <c r="Q414" s="20">
        <f t="shared" si="16"/>
        <v>35</v>
      </c>
    </row>
    <row r="415" spans="1:17" x14ac:dyDescent="0.25">
      <c r="A415" t="s">
        <v>35</v>
      </c>
      <c r="M415" t="s">
        <v>200</v>
      </c>
      <c r="P415" t="s">
        <v>196</v>
      </c>
      <c r="Q415" s="20">
        <f t="shared" si="16"/>
        <v>25</v>
      </c>
    </row>
    <row r="416" spans="1:17" x14ac:dyDescent="0.25">
      <c r="A416" t="s">
        <v>35</v>
      </c>
      <c r="M416" t="s">
        <v>201</v>
      </c>
      <c r="P416" t="s">
        <v>196</v>
      </c>
      <c r="Q416" s="20">
        <f t="shared" si="16"/>
        <v>15</v>
      </c>
    </row>
    <row r="417" spans="1:19" x14ac:dyDescent="0.25">
      <c r="A417" t="s">
        <v>35</v>
      </c>
      <c r="M417" t="s">
        <v>202</v>
      </c>
      <c r="P417" t="s">
        <v>196</v>
      </c>
      <c r="Q417" s="20">
        <f t="shared" si="16"/>
        <v>0</v>
      </c>
    </row>
    <row r="418" spans="1:19" x14ac:dyDescent="0.25">
      <c r="A418" t="s">
        <v>35</v>
      </c>
      <c r="M418" t="s">
        <v>205</v>
      </c>
      <c r="P418" t="s">
        <v>196</v>
      </c>
      <c r="Q418" s="20">
        <f t="shared" si="16"/>
        <v>-5</v>
      </c>
    </row>
    <row r="420" spans="1:19" x14ac:dyDescent="0.25">
      <c r="A420" s="21" t="s">
        <v>209</v>
      </c>
      <c r="B420" s="21"/>
    </row>
    <row r="421" spans="1:19" x14ac:dyDescent="0.25">
      <c r="A421" t="s">
        <v>28</v>
      </c>
      <c r="M421" t="s">
        <v>198</v>
      </c>
      <c r="P421" t="s">
        <v>196</v>
      </c>
      <c r="Q421">
        <v>20</v>
      </c>
    </row>
    <row r="422" spans="1:19" x14ac:dyDescent="0.25">
      <c r="A422" t="s">
        <v>28</v>
      </c>
      <c r="M422" t="s">
        <v>199</v>
      </c>
      <c r="P422" t="s">
        <v>196</v>
      </c>
      <c r="Q422">
        <v>15</v>
      </c>
    </row>
    <row r="423" spans="1:19" x14ac:dyDescent="0.25">
      <c r="A423" t="s">
        <v>28</v>
      </c>
      <c r="M423" t="s">
        <v>200</v>
      </c>
      <c r="P423" t="s">
        <v>196</v>
      </c>
      <c r="Q423">
        <v>10</v>
      </c>
    </row>
    <row r="424" spans="1:19" s="4" customFormat="1" x14ac:dyDescent="0.25">
      <c r="A424" s="4" t="s">
        <v>268</v>
      </c>
      <c r="M424" s="4" t="s">
        <v>198</v>
      </c>
      <c r="P424" s="4" t="s">
        <v>196</v>
      </c>
      <c r="Q424" s="20">
        <f>Q421</f>
        <v>20</v>
      </c>
      <c r="S424" s="4" t="s">
        <v>278</v>
      </c>
    </row>
    <row r="425" spans="1:19" s="4" customFormat="1" x14ac:dyDescent="0.25">
      <c r="A425" s="4" t="s">
        <v>268</v>
      </c>
      <c r="M425" s="4" t="s">
        <v>199</v>
      </c>
      <c r="P425" s="4" t="s">
        <v>196</v>
      </c>
      <c r="Q425" s="20">
        <f t="shared" ref="Q425:Q426" si="17">Q422</f>
        <v>15</v>
      </c>
    </row>
    <row r="426" spans="1:19" s="4" customFormat="1" x14ac:dyDescent="0.25">
      <c r="A426" s="4" t="s">
        <v>268</v>
      </c>
      <c r="M426" s="4" t="s">
        <v>200</v>
      </c>
      <c r="P426" s="4" t="s">
        <v>196</v>
      </c>
      <c r="Q426" s="20">
        <f t="shared" si="17"/>
        <v>10</v>
      </c>
    </row>
    <row r="427" spans="1:19" x14ac:dyDescent="0.25">
      <c r="A427" t="s">
        <v>30</v>
      </c>
      <c r="M427" t="s">
        <v>198</v>
      </c>
      <c r="P427" t="s">
        <v>196</v>
      </c>
      <c r="Q427" s="20">
        <f>Q421</f>
        <v>20</v>
      </c>
    </row>
    <row r="428" spans="1:19" x14ac:dyDescent="0.25">
      <c r="A428" t="s">
        <v>30</v>
      </c>
      <c r="M428" t="s">
        <v>199</v>
      </c>
      <c r="P428" t="s">
        <v>196</v>
      </c>
      <c r="Q428" s="20">
        <f t="shared" ref="Q428:Q429" si="18">Q422</f>
        <v>15</v>
      </c>
    </row>
    <row r="429" spans="1:19" x14ac:dyDescent="0.25">
      <c r="A429" t="s">
        <v>30</v>
      </c>
      <c r="M429" t="s">
        <v>200</v>
      </c>
      <c r="P429" t="s">
        <v>196</v>
      </c>
      <c r="Q429" s="20">
        <f t="shared" si="18"/>
        <v>10</v>
      </c>
    </row>
    <row r="430" spans="1:19" x14ac:dyDescent="0.25">
      <c r="A430" t="s">
        <v>36</v>
      </c>
      <c r="M430" t="s">
        <v>198</v>
      </c>
      <c r="P430" t="s">
        <v>196</v>
      </c>
      <c r="Q430">
        <v>60</v>
      </c>
    </row>
    <row r="431" spans="1:19" x14ac:dyDescent="0.25">
      <c r="A431" t="s">
        <v>36</v>
      </c>
      <c r="M431" t="s">
        <v>199</v>
      </c>
      <c r="P431" t="s">
        <v>196</v>
      </c>
      <c r="Q431">
        <v>45</v>
      </c>
    </row>
    <row r="432" spans="1:19" x14ac:dyDescent="0.25">
      <c r="A432" t="s">
        <v>36</v>
      </c>
      <c r="M432" t="s">
        <v>200</v>
      </c>
      <c r="P432" t="s">
        <v>196</v>
      </c>
      <c r="Q432">
        <v>35</v>
      </c>
    </row>
    <row r="433" spans="1:20" x14ac:dyDescent="0.25">
      <c r="A433" t="s">
        <v>36</v>
      </c>
      <c r="M433" t="s">
        <v>201</v>
      </c>
      <c r="P433" t="s">
        <v>196</v>
      </c>
      <c r="Q433">
        <v>25</v>
      </c>
    </row>
    <row r="434" spans="1:20" x14ac:dyDescent="0.25">
      <c r="A434" t="s">
        <v>36</v>
      </c>
      <c r="M434" t="s">
        <v>202</v>
      </c>
      <c r="P434" t="s">
        <v>196</v>
      </c>
      <c r="Q434">
        <v>10</v>
      </c>
    </row>
    <row r="435" spans="1:20" x14ac:dyDescent="0.25">
      <c r="A435" t="s">
        <v>39</v>
      </c>
      <c r="M435" t="s">
        <v>198</v>
      </c>
      <c r="P435" t="s">
        <v>196</v>
      </c>
      <c r="Q435">
        <v>15</v>
      </c>
    </row>
    <row r="436" spans="1:20" x14ac:dyDescent="0.25">
      <c r="A436" t="s">
        <v>39</v>
      </c>
      <c r="M436" t="s">
        <v>199</v>
      </c>
      <c r="P436" t="s">
        <v>196</v>
      </c>
      <c r="Q436">
        <v>5</v>
      </c>
    </row>
    <row r="437" spans="1:20" x14ac:dyDescent="0.25">
      <c r="A437" s="4" t="s">
        <v>56</v>
      </c>
      <c r="B437" s="6"/>
      <c r="M437" t="s">
        <v>198</v>
      </c>
      <c r="P437" t="s">
        <v>196</v>
      </c>
      <c r="Q437">
        <v>25</v>
      </c>
      <c r="S437" t="s">
        <v>289</v>
      </c>
      <c r="T437" t="s">
        <v>288</v>
      </c>
    </row>
    <row r="438" spans="1:20" x14ac:dyDescent="0.25">
      <c r="A438" s="4" t="s">
        <v>56</v>
      </c>
      <c r="B438" s="6"/>
      <c r="M438" t="s">
        <v>199</v>
      </c>
      <c r="P438" t="s">
        <v>196</v>
      </c>
      <c r="Q438">
        <v>25</v>
      </c>
    </row>
    <row r="439" spans="1:20" x14ac:dyDescent="0.25">
      <c r="A439" s="4" t="s">
        <v>56</v>
      </c>
      <c r="B439" s="6"/>
      <c r="M439" t="s">
        <v>200</v>
      </c>
      <c r="P439" t="s">
        <v>196</v>
      </c>
      <c r="Q439">
        <v>25</v>
      </c>
    </row>
    <row r="441" spans="1:20" x14ac:dyDescent="0.25">
      <c r="A441" s="21" t="s">
        <v>210</v>
      </c>
      <c r="B441" s="21"/>
    </row>
    <row r="442" spans="1:20" x14ac:dyDescent="0.25">
      <c r="A442" t="s">
        <v>46</v>
      </c>
      <c r="P442" t="s">
        <v>195</v>
      </c>
      <c r="Q442">
        <v>0.46200000000000002</v>
      </c>
    </row>
    <row r="443" spans="1:20" x14ac:dyDescent="0.25">
      <c r="A443" t="s">
        <v>46</v>
      </c>
      <c r="P443" t="s">
        <v>196</v>
      </c>
      <c r="Q443">
        <v>13.85</v>
      </c>
    </row>
    <row r="444" spans="1:20" x14ac:dyDescent="0.25">
      <c r="A444" s="4" t="s">
        <v>47</v>
      </c>
      <c r="B444" s="6"/>
      <c r="P444" t="s">
        <v>195</v>
      </c>
      <c r="Q444" s="20">
        <f>Q442</f>
        <v>0.46200000000000002</v>
      </c>
      <c r="S444" t="s">
        <v>240</v>
      </c>
    </row>
    <row r="445" spans="1:20" x14ac:dyDescent="0.25">
      <c r="A445" s="4" t="s">
        <v>47</v>
      </c>
      <c r="B445" s="6"/>
      <c r="P445" t="s">
        <v>196</v>
      </c>
      <c r="Q445" s="20">
        <f>Q443</f>
        <v>13.85</v>
      </c>
    </row>
    <row r="446" spans="1:20" x14ac:dyDescent="0.25">
      <c r="A446" t="s">
        <v>45</v>
      </c>
      <c r="P446" t="s">
        <v>195</v>
      </c>
      <c r="Q446">
        <v>2.5</v>
      </c>
    </row>
    <row r="447" spans="1:20" x14ac:dyDescent="0.25">
      <c r="A447" t="s">
        <v>45</v>
      </c>
      <c r="P447" t="s">
        <v>196</v>
      </c>
      <c r="Q447">
        <v>-45</v>
      </c>
    </row>
    <row r="448" spans="1:20" x14ac:dyDescent="0.25">
      <c r="A448" t="s">
        <v>48</v>
      </c>
      <c r="P448" t="s">
        <v>195</v>
      </c>
      <c r="Q448">
        <v>2.6669999999999998</v>
      </c>
      <c r="S448" t="s">
        <v>211</v>
      </c>
    </row>
    <row r="449" spans="1:19" x14ac:dyDescent="0.25">
      <c r="A449" t="s">
        <v>48</v>
      </c>
      <c r="P449" t="s">
        <v>196</v>
      </c>
      <c r="Q449">
        <v>-33.33</v>
      </c>
    </row>
    <row r="450" spans="1:19" x14ac:dyDescent="0.25">
      <c r="A450" s="4" t="s">
        <v>52</v>
      </c>
      <c r="B450" s="6"/>
      <c r="P450" t="s">
        <v>195</v>
      </c>
      <c r="Q450" s="20">
        <f>Q448</f>
        <v>2.6669999999999998</v>
      </c>
      <c r="S450" t="s">
        <v>241</v>
      </c>
    </row>
    <row r="451" spans="1:19" x14ac:dyDescent="0.25">
      <c r="A451" s="4" t="s">
        <v>52</v>
      </c>
      <c r="B451" s="6"/>
      <c r="P451" t="s">
        <v>196</v>
      </c>
      <c r="Q451" s="20">
        <f>Q449</f>
        <v>-33.33</v>
      </c>
    </row>
    <row r="452" spans="1:19" x14ac:dyDescent="0.25">
      <c r="A452" s="4" t="s">
        <v>53</v>
      </c>
      <c r="P452" t="s">
        <v>195</v>
      </c>
      <c r="Q452" s="20">
        <f>Q450</f>
        <v>2.6669999999999998</v>
      </c>
      <c r="S452" t="s">
        <v>241</v>
      </c>
    </row>
    <row r="453" spans="1:19" x14ac:dyDescent="0.25">
      <c r="A453" s="4" t="s">
        <v>53</v>
      </c>
      <c r="P453" t="s">
        <v>196</v>
      </c>
      <c r="Q453" s="20">
        <f>Q451</f>
        <v>-33.33</v>
      </c>
    </row>
    <row r="454" spans="1:19" x14ac:dyDescent="0.25">
      <c r="A454" t="s">
        <v>49</v>
      </c>
      <c r="P454" t="s">
        <v>195</v>
      </c>
      <c r="Q454">
        <v>0.5</v>
      </c>
    </row>
    <row r="455" spans="1:19" x14ac:dyDescent="0.25">
      <c r="A455" t="s">
        <v>49</v>
      </c>
      <c r="P455" t="s">
        <v>196</v>
      </c>
      <c r="Q455">
        <v>15</v>
      </c>
    </row>
    <row r="456" spans="1:19" x14ac:dyDescent="0.25">
      <c r="A456" t="s">
        <v>50</v>
      </c>
      <c r="P456" t="s">
        <v>195</v>
      </c>
      <c r="Q456">
        <v>0.66700000000000004</v>
      </c>
    </row>
    <row r="457" spans="1:19" x14ac:dyDescent="0.25">
      <c r="A457" t="s">
        <v>50</v>
      </c>
      <c r="P457" t="s">
        <v>196</v>
      </c>
      <c r="Q457">
        <v>-3.33</v>
      </c>
    </row>
    <row r="458" spans="1:19" x14ac:dyDescent="0.25">
      <c r="A458" t="s">
        <v>51</v>
      </c>
      <c r="P458" t="s">
        <v>195</v>
      </c>
      <c r="Q458" s="20">
        <f>Q456</f>
        <v>0.66700000000000004</v>
      </c>
    </row>
    <row r="459" spans="1:19" x14ac:dyDescent="0.25">
      <c r="A459" t="s">
        <v>51</v>
      </c>
      <c r="P459" t="s">
        <v>196</v>
      </c>
      <c r="Q459" s="20">
        <f>Q457</f>
        <v>-3.33</v>
      </c>
    </row>
    <row r="461" spans="1:19" x14ac:dyDescent="0.25">
      <c r="A461" t="s">
        <v>67</v>
      </c>
      <c r="P461" t="s">
        <v>196</v>
      </c>
      <c r="Q461">
        <v>0</v>
      </c>
      <c r="S461" t="s">
        <v>212</v>
      </c>
    </row>
    <row r="462" spans="1:19" x14ac:dyDescent="0.25">
      <c r="A462" t="s">
        <v>70</v>
      </c>
      <c r="P462" t="s">
        <v>196</v>
      </c>
      <c r="Q462">
        <v>0</v>
      </c>
    </row>
    <row r="463" spans="1:19" x14ac:dyDescent="0.25">
      <c r="A463" t="s">
        <v>71</v>
      </c>
      <c r="P463" t="s">
        <v>196</v>
      </c>
      <c r="Q463">
        <v>0</v>
      </c>
    </row>
    <row r="464" spans="1:19" x14ac:dyDescent="0.25">
      <c r="A464" t="s">
        <v>43</v>
      </c>
      <c r="P464" t="s">
        <v>196</v>
      </c>
      <c r="Q464">
        <v>0</v>
      </c>
    </row>
    <row r="465" spans="1:20" x14ac:dyDescent="0.25">
      <c r="A465" t="s">
        <v>44</v>
      </c>
      <c r="P465" t="s">
        <v>196</v>
      </c>
      <c r="Q465">
        <v>0</v>
      </c>
    </row>
    <row r="467" spans="1:20" x14ac:dyDescent="0.25">
      <c r="A467" s="6" t="s">
        <v>29</v>
      </c>
      <c r="B467" s="6"/>
    </row>
    <row r="468" spans="1:20" x14ac:dyDescent="0.25">
      <c r="A468" s="4" t="s">
        <v>31</v>
      </c>
      <c r="B468" s="6"/>
      <c r="P468" t="s">
        <v>196</v>
      </c>
      <c r="Q468">
        <v>10</v>
      </c>
      <c r="T468" t="s">
        <v>287</v>
      </c>
    </row>
    <row r="469" spans="1:20" x14ac:dyDescent="0.25">
      <c r="A469" s="4" t="s">
        <v>37</v>
      </c>
      <c r="B469" s="6"/>
      <c r="P469" t="s">
        <v>196</v>
      </c>
      <c r="Q469">
        <v>15</v>
      </c>
      <c r="S469" t="s">
        <v>256</v>
      </c>
      <c r="T469" t="s">
        <v>257</v>
      </c>
    </row>
    <row r="470" spans="1:20" x14ac:dyDescent="0.25">
      <c r="A470" s="6" t="s">
        <v>69</v>
      </c>
      <c r="B470" s="6"/>
    </row>
    <row r="471" spans="1:20" x14ac:dyDescent="0.25">
      <c r="A471" s="6" t="s">
        <v>54</v>
      </c>
      <c r="B471" s="6"/>
    </row>
    <row r="472" spans="1:20" x14ac:dyDescent="0.25">
      <c r="A472" s="6" t="s">
        <v>55</v>
      </c>
      <c r="B472" s="6"/>
    </row>
    <row r="473" spans="1:20" x14ac:dyDescent="0.25">
      <c r="A473" s="4" t="s">
        <v>57</v>
      </c>
      <c r="B473" s="6"/>
      <c r="P473" t="s">
        <v>196</v>
      </c>
      <c r="Q473">
        <v>15</v>
      </c>
      <c r="T473" s="25" t="s">
        <v>286</v>
      </c>
    </row>
    <row r="474" spans="1:20" x14ac:dyDescent="0.25">
      <c r="A474" s="4" t="s">
        <v>58</v>
      </c>
      <c r="B474" s="6"/>
      <c r="P474" t="s">
        <v>196</v>
      </c>
      <c r="Q474" s="24">
        <f>Q473</f>
        <v>15</v>
      </c>
      <c r="S474" t="s">
        <v>285</v>
      </c>
    </row>
    <row r="475" spans="1:20" x14ac:dyDescent="0.25">
      <c r="A475" s="4" t="s">
        <v>59</v>
      </c>
      <c r="B475" s="6"/>
      <c r="P475" t="s">
        <v>196</v>
      </c>
      <c r="Q475" s="24">
        <f>Q473</f>
        <v>15</v>
      </c>
      <c r="S475" t="s">
        <v>285</v>
      </c>
    </row>
    <row r="476" spans="1:20" x14ac:dyDescent="0.25">
      <c r="A476" s="6"/>
      <c r="B476" s="6"/>
    </row>
    <row r="477" spans="1:20" x14ac:dyDescent="0.25">
      <c r="A477" s="4" t="s">
        <v>60</v>
      </c>
      <c r="B477" s="6"/>
      <c r="P477" t="s">
        <v>195</v>
      </c>
      <c r="Q477">
        <v>0.6</v>
      </c>
      <c r="T477" t="s">
        <v>308</v>
      </c>
    </row>
    <row r="478" spans="1:20" x14ac:dyDescent="0.25">
      <c r="A478" s="4" t="s">
        <v>61</v>
      </c>
      <c r="B478" s="6"/>
      <c r="P478" t="s">
        <v>195</v>
      </c>
      <c r="Q478" s="4">
        <v>1.6</v>
      </c>
      <c r="T478" t="s">
        <v>308</v>
      </c>
    </row>
    <row r="479" spans="1:20" x14ac:dyDescent="0.25">
      <c r="A479" s="4" t="s">
        <v>62</v>
      </c>
      <c r="B479" s="6"/>
      <c r="P479" t="s">
        <v>195</v>
      </c>
      <c r="Q479" s="24">
        <f>AVERAGE(Q477:Q478)</f>
        <v>1.1000000000000001</v>
      </c>
      <c r="S479" s="6" t="s">
        <v>307</v>
      </c>
    </row>
    <row r="480" spans="1:20" x14ac:dyDescent="0.25">
      <c r="A480" s="4" t="s">
        <v>63</v>
      </c>
      <c r="B480" s="6"/>
      <c r="P480" t="s">
        <v>195</v>
      </c>
      <c r="Q480" s="24">
        <f>AVERAGE(Q477:Q478)</f>
        <v>1.1000000000000001</v>
      </c>
    </row>
    <row r="481" spans="1:20" x14ac:dyDescent="0.25">
      <c r="A481" s="4" t="s">
        <v>64</v>
      </c>
      <c r="B481" s="6"/>
      <c r="P481" t="s">
        <v>195</v>
      </c>
      <c r="Q481" s="24">
        <f>AVERAGE(Q477:Q478)</f>
        <v>1.1000000000000001</v>
      </c>
    </row>
    <row r="482" spans="1:20" x14ac:dyDescent="0.25">
      <c r="A482" s="4" t="s">
        <v>65</v>
      </c>
      <c r="B482" s="6"/>
      <c r="P482" t="s">
        <v>195</v>
      </c>
      <c r="Q482" s="24">
        <f>AVERAGE(Q477:Q478)</f>
        <v>1.1000000000000001</v>
      </c>
    </row>
    <row r="483" spans="1:20" x14ac:dyDescent="0.25">
      <c r="A483" s="4" t="s">
        <v>66</v>
      </c>
      <c r="B483" s="6"/>
      <c r="P483" t="s">
        <v>195</v>
      </c>
      <c r="Q483" s="24">
        <f>AVERAGE(Q477:Q478)</f>
        <v>1.1000000000000001</v>
      </c>
    </row>
    <row r="485" spans="1:20" x14ac:dyDescent="0.25">
      <c r="A485" s="2" t="s">
        <v>224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3"/>
      <c r="T485" s="3"/>
    </row>
    <row r="486" spans="1:20" x14ac:dyDescent="0.25">
      <c r="A486" s="18" t="s">
        <v>225</v>
      </c>
      <c r="B486" s="18"/>
    </row>
    <row r="487" spans="1:20" x14ac:dyDescent="0.25">
      <c r="A487" s="18" t="s">
        <v>226</v>
      </c>
      <c r="B487" s="18"/>
    </row>
    <row r="488" spans="1:20" x14ac:dyDescent="0.25">
      <c r="A488" s="18" t="s">
        <v>230</v>
      </c>
      <c r="B488" s="18"/>
    </row>
    <row r="489" spans="1:20" x14ac:dyDescent="0.25">
      <c r="P489" s="5" t="s">
        <v>227</v>
      </c>
      <c r="Q489" s="23">
        <v>1</v>
      </c>
      <c r="R489" s="5"/>
      <c r="S489" s="5" t="s">
        <v>152</v>
      </c>
    </row>
    <row r="490" spans="1:20" x14ac:dyDescent="0.25">
      <c r="B490" s="4" t="s">
        <v>232</v>
      </c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 t="s">
        <v>227</v>
      </c>
      <c r="Q490" s="22">
        <v>1.4</v>
      </c>
      <c r="R490" s="4"/>
      <c r="S490" s="4" t="s">
        <v>233</v>
      </c>
      <c r="T490" s="4"/>
    </row>
    <row r="491" spans="1:20" x14ac:dyDescent="0.25">
      <c r="B491" s="4" t="s">
        <v>239</v>
      </c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 t="s">
        <v>227</v>
      </c>
      <c r="Q491" s="22">
        <v>1.4</v>
      </c>
      <c r="R491" s="4"/>
      <c r="S491" s="4" t="s">
        <v>233</v>
      </c>
      <c r="T491" s="4"/>
    </row>
    <row r="492" spans="1:20" x14ac:dyDescent="0.25">
      <c r="B492" t="s">
        <v>234</v>
      </c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 t="s">
        <v>227</v>
      </c>
      <c r="Q492" s="22">
        <v>1.2</v>
      </c>
      <c r="R492" s="4"/>
      <c r="S492" s="4" t="s">
        <v>233</v>
      </c>
      <c r="T492" s="4"/>
    </row>
    <row r="493" spans="1:20" x14ac:dyDescent="0.25">
      <c r="A493" t="s">
        <v>38</v>
      </c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 t="s">
        <v>227</v>
      </c>
      <c r="Q493" s="22">
        <v>1.25</v>
      </c>
      <c r="R493" s="4"/>
      <c r="S493" s="4" t="s">
        <v>233</v>
      </c>
      <c r="T493" s="4"/>
    </row>
    <row r="494" spans="1:20" x14ac:dyDescent="0.25">
      <c r="A494" s="6"/>
      <c r="B494" s="6"/>
    </row>
    <row r="495" spans="1:20" ht="19.5" customHeight="1" x14ac:dyDescent="0.25">
      <c r="A495" s="15" t="s">
        <v>299</v>
      </c>
      <c r="B495" s="15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</row>
    <row r="496" spans="1:20" x14ac:dyDescent="0.25">
      <c r="A496" s="2" t="s">
        <v>300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3"/>
      <c r="T496" s="3"/>
    </row>
    <row r="497" spans="1:19" x14ac:dyDescent="0.25">
      <c r="A497" s="19" t="s">
        <v>279</v>
      </c>
      <c r="B497" s="19"/>
    </row>
    <row r="498" spans="1:19" x14ac:dyDescent="0.25">
      <c r="A498" s="19" t="s">
        <v>280</v>
      </c>
      <c r="B498" s="19"/>
    </row>
    <row r="499" spans="1:19" x14ac:dyDescent="0.25">
      <c r="P499" s="5" t="s">
        <v>213</v>
      </c>
      <c r="Q499" s="5">
        <v>0</v>
      </c>
      <c r="R499" s="5" t="s">
        <v>237</v>
      </c>
      <c r="S499" s="5" t="s">
        <v>152</v>
      </c>
    </row>
    <row r="500" spans="1:19" x14ac:dyDescent="0.25">
      <c r="P500" s="5" t="s">
        <v>214</v>
      </c>
      <c r="Q500" s="5">
        <v>0</v>
      </c>
      <c r="R500" s="5" t="s">
        <v>238</v>
      </c>
      <c r="S500" s="5" t="s">
        <v>152</v>
      </c>
    </row>
    <row r="501" spans="1:19" x14ac:dyDescent="0.25">
      <c r="P501" s="5"/>
      <c r="Q501" s="5"/>
      <c r="R501" s="5"/>
      <c r="S501" s="5"/>
    </row>
    <row r="502" spans="1:19" x14ac:dyDescent="0.25">
      <c r="A502" s="21" t="s">
        <v>203</v>
      </c>
      <c r="B502" s="21"/>
      <c r="P502" s="5"/>
      <c r="Q502" s="5"/>
      <c r="R502" s="5"/>
      <c r="S502" s="5"/>
    </row>
    <row r="503" spans="1:19" x14ac:dyDescent="0.25">
      <c r="A503" t="s">
        <v>7</v>
      </c>
      <c r="N503" t="s">
        <v>198</v>
      </c>
      <c r="P503" t="s">
        <v>213</v>
      </c>
      <c r="Q503">
        <v>5</v>
      </c>
    </row>
    <row r="504" spans="1:19" x14ac:dyDescent="0.25">
      <c r="A504" t="s">
        <v>7</v>
      </c>
      <c r="N504" t="s">
        <v>199</v>
      </c>
      <c r="P504" t="s">
        <v>213</v>
      </c>
      <c r="Q504" s="4">
        <v>5</v>
      </c>
    </row>
    <row r="505" spans="1:19" x14ac:dyDescent="0.25">
      <c r="A505" t="s">
        <v>7</v>
      </c>
      <c r="N505" t="s">
        <v>200</v>
      </c>
      <c r="P505" t="s">
        <v>213</v>
      </c>
      <c r="Q505" s="4">
        <v>5</v>
      </c>
    </row>
    <row r="506" spans="1:19" x14ac:dyDescent="0.25">
      <c r="A506" t="s">
        <v>7</v>
      </c>
      <c r="N506" t="s">
        <v>198</v>
      </c>
      <c r="P506" t="s">
        <v>214</v>
      </c>
      <c r="Q506" s="4">
        <v>15</v>
      </c>
    </row>
    <row r="507" spans="1:19" x14ac:dyDescent="0.25">
      <c r="A507" t="s">
        <v>7</v>
      </c>
      <c r="N507" t="s">
        <v>199</v>
      </c>
      <c r="P507" t="s">
        <v>214</v>
      </c>
      <c r="Q507" s="4">
        <v>5</v>
      </c>
    </row>
    <row r="508" spans="1:19" x14ac:dyDescent="0.25">
      <c r="A508" t="s">
        <v>7</v>
      </c>
      <c r="N508" t="s">
        <v>200</v>
      </c>
      <c r="P508" t="s">
        <v>214</v>
      </c>
      <c r="Q508" s="4">
        <v>-15</v>
      </c>
    </row>
    <row r="509" spans="1:19" x14ac:dyDescent="0.25">
      <c r="A509" t="s">
        <v>25</v>
      </c>
      <c r="N509" t="s">
        <v>198</v>
      </c>
      <c r="P509" t="s">
        <v>213</v>
      </c>
      <c r="Q509" s="20">
        <f t="shared" ref="Q509:Q514" si="19">Q503</f>
        <v>5</v>
      </c>
    </row>
    <row r="510" spans="1:19" x14ac:dyDescent="0.25">
      <c r="A510" t="s">
        <v>25</v>
      </c>
      <c r="N510" t="s">
        <v>199</v>
      </c>
      <c r="P510" t="s">
        <v>213</v>
      </c>
      <c r="Q510" s="20">
        <f t="shared" si="19"/>
        <v>5</v>
      </c>
    </row>
    <row r="511" spans="1:19" x14ac:dyDescent="0.25">
      <c r="A511" t="s">
        <v>25</v>
      </c>
      <c r="N511" t="s">
        <v>200</v>
      </c>
      <c r="P511" t="s">
        <v>213</v>
      </c>
      <c r="Q511" s="20">
        <f t="shared" si="19"/>
        <v>5</v>
      </c>
    </row>
    <row r="512" spans="1:19" x14ac:dyDescent="0.25">
      <c r="A512" t="s">
        <v>25</v>
      </c>
      <c r="N512" t="s">
        <v>198</v>
      </c>
      <c r="P512" t="s">
        <v>214</v>
      </c>
      <c r="Q512" s="20">
        <f t="shared" si="19"/>
        <v>15</v>
      </c>
    </row>
    <row r="513" spans="1:17" x14ac:dyDescent="0.25">
      <c r="A513" t="s">
        <v>25</v>
      </c>
      <c r="N513" t="s">
        <v>199</v>
      </c>
      <c r="P513" t="s">
        <v>214</v>
      </c>
      <c r="Q513" s="20">
        <f t="shared" si="19"/>
        <v>5</v>
      </c>
    </row>
    <row r="514" spans="1:17" x14ac:dyDescent="0.25">
      <c r="A514" t="s">
        <v>25</v>
      </c>
      <c r="N514" t="s">
        <v>200</v>
      </c>
      <c r="P514" t="s">
        <v>214</v>
      </c>
      <c r="Q514" s="20">
        <f t="shared" si="19"/>
        <v>-15</v>
      </c>
    </row>
    <row r="515" spans="1:17" x14ac:dyDescent="0.25">
      <c r="A515" t="s">
        <v>21</v>
      </c>
      <c r="N515" t="s">
        <v>198</v>
      </c>
      <c r="P515" t="s">
        <v>213</v>
      </c>
      <c r="Q515" s="20">
        <f t="shared" ref="Q515:Q520" si="20">Q503</f>
        <v>5</v>
      </c>
    </row>
    <row r="516" spans="1:17" x14ac:dyDescent="0.25">
      <c r="A516" t="s">
        <v>21</v>
      </c>
      <c r="N516" t="s">
        <v>199</v>
      </c>
      <c r="P516" t="s">
        <v>213</v>
      </c>
      <c r="Q516" s="20">
        <f t="shared" si="20"/>
        <v>5</v>
      </c>
    </row>
    <row r="517" spans="1:17" x14ac:dyDescent="0.25">
      <c r="A517" t="s">
        <v>21</v>
      </c>
      <c r="N517" t="s">
        <v>200</v>
      </c>
      <c r="P517" t="s">
        <v>213</v>
      </c>
      <c r="Q517" s="20">
        <f t="shared" si="20"/>
        <v>5</v>
      </c>
    </row>
    <row r="518" spans="1:17" x14ac:dyDescent="0.25">
      <c r="A518" t="s">
        <v>21</v>
      </c>
      <c r="N518" t="s">
        <v>198</v>
      </c>
      <c r="P518" t="s">
        <v>214</v>
      </c>
      <c r="Q518" s="20">
        <f t="shared" si="20"/>
        <v>15</v>
      </c>
    </row>
    <row r="519" spans="1:17" x14ac:dyDescent="0.25">
      <c r="A519" t="s">
        <v>21</v>
      </c>
      <c r="N519" t="s">
        <v>199</v>
      </c>
      <c r="P519" t="s">
        <v>214</v>
      </c>
      <c r="Q519" s="20">
        <f t="shared" si="20"/>
        <v>5</v>
      </c>
    </row>
    <row r="520" spans="1:17" x14ac:dyDescent="0.25">
      <c r="A520" t="s">
        <v>21</v>
      </c>
      <c r="N520" t="s">
        <v>200</v>
      </c>
      <c r="P520" t="s">
        <v>214</v>
      </c>
      <c r="Q520" s="20">
        <f t="shared" si="20"/>
        <v>-15</v>
      </c>
    </row>
    <row r="521" spans="1:17" x14ac:dyDescent="0.25">
      <c r="A521" t="s">
        <v>23</v>
      </c>
      <c r="N521" t="s">
        <v>198</v>
      </c>
      <c r="P521" t="s">
        <v>213</v>
      </c>
      <c r="Q521" s="20">
        <f t="shared" ref="Q521:Q526" si="21">Q503</f>
        <v>5</v>
      </c>
    </row>
    <row r="522" spans="1:17" x14ac:dyDescent="0.25">
      <c r="A522" t="s">
        <v>23</v>
      </c>
      <c r="N522" t="s">
        <v>199</v>
      </c>
      <c r="P522" t="s">
        <v>213</v>
      </c>
      <c r="Q522" s="20">
        <f t="shared" si="21"/>
        <v>5</v>
      </c>
    </row>
    <row r="523" spans="1:17" x14ac:dyDescent="0.25">
      <c r="A523" t="s">
        <v>23</v>
      </c>
      <c r="N523" t="s">
        <v>200</v>
      </c>
      <c r="P523" t="s">
        <v>213</v>
      </c>
      <c r="Q523" s="20">
        <f t="shared" si="21"/>
        <v>5</v>
      </c>
    </row>
    <row r="524" spans="1:17" x14ac:dyDescent="0.25">
      <c r="A524" t="s">
        <v>23</v>
      </c>
      <c r="N524" t="s">
        <v>198</v>
      </c>
      <c r="P524" t="s">
        <v>214</v>
      </c>
      <c r="Q524" s="20">
        <f t="shared" si="21"/>
        <v>15</v>
      </c>
    </row>
    <row r="525" spans="1:17" x14ac:dyDescent="0.25">
      <c r="A525" t="s">
        <v>23</v>
      </c>
      <c r="N525" t="s">
        <v>199</v>
      </c>
      <c r="P525" t="s">
        <v>214</v>
      </c>
      <c r="Q525" s="20">
        <f t="shared" si="21"/>
        <v>5</v>
      </c>
    </row>
    <row r="526" spans="1:17" x14ac:dyDescent="0.25">
      <c r="A526" t="s">
        <v>23</v>
      </c>
      <c r="N526" t="s">
        <v>200</v>
      </c>
      <c r="P526" t="s">
        <v>214</v>
      </c>
      <c r="Q526" s="20">
        <f t="shared" si="21"/>
        <v>-15</v>
      </c>
    </row>
    <row r="528" spans="1:17" x14ac:dyDescent="0.25">
      <c r="A528" s="21" t="s">
        <v>204</v>
      </c>
      <c r="B528" s="21"/>
    </row>
    <row r="529" spans="1:17" x14ac:dyDescent="0.25">
      <c r="A529" t="s">
        <v>14</v>
      </c>
      <c r="N529" t="s">
        <v>198</v>
      </c>
      <c r="P529" t="s">
        <v>213</v>
      </c>
      <c r="Q529">
        <v>5</v>
      </c>
    </row>
    <row r="530" spans="1:17" x14ac:dyDescent="0.25">
      <c r="A530" t="s">
        <v>14</v>
      </c>
      <c r="N530" t="s">
        <v>199</v>
      </c>
      <c r="P530" t="s">
        <v>213</v>
      </c>
      <c r="Q530">
        <v>5</v>
      </c>
    </row>
    <row r="531" spans="1:17" x14ac:dyDescent="0.25">
      <c r="A531" t="s">
        <v>14</v>
      </c>
      <c r="N531" t="s">
        <v>200</v>
      </c>
      <c r="P531" t="s">
        <v>213</v>
      </c>
      <c r="Q531">
        <v>5</v>
      </c>
    </row>
    <row r="532" spans="1:17" x14ac:dyDescent="0.25">
      <c r="A532" t="s">
        <v>14</v>
      </c>
      <c r="N532" t="s">
        <v>198</v>
      </c>
      <c r="P532" t="s">
        <v>214</v>
      </c>
      <c r="Q532">
        <v>15</v>
      </c>
    </row>
    <row r="533" spans="1:17" x14ac:dyDescent="0.25">
      <c r="A533" t="s">
        <v>14</v>
      </c>
      <c r="N533" t="s">
        <v>199</v>
      </c>
      <c r="P533" t="s">
        <v>214</v>
      </c>
      <c r="Q533">
        <v>5</v>
      </c>
    </row>
    <row r="534" spans="1:17" x14ac:dyDescent="0.25">
      <c r="A534" t="s">
        <v>14</v>
      </c>
      <c r="N534" t="s">
        <v>200</v>
      </c>
      <c r="P534" t="s">
        <v>214</v>
      </c>
      <c r="Q534">
        <v>-15</v>
      </c>
    </row>
    <row r="535" spans="1:17" x14ac:dyDescent="0.25">
      <c r="A535" t="s">
        <v>15</v>
      </c>
      <c r="N535" t="s">
        <v>198</v>
      </c>
      <c r="P535" t="s">
        <v>213</v>
      </c>
      <c r="Q535" s="20">
        <f t="shared" ref="Q535:Q540" si="22">Q529</f>
        <v>5</v>
      </c>
    </row>
    <row r="536" spans="1:17" x14ac:dyDescent="0.25">
      <c r="A536" t="s">
        <v>15</v>
      </c>
      <c r="N536" t="s">
        <v>199</v>
      </c>
      <c r="P536" t="s">
        <v>213</v>
      </c>
      <c r="Q536" s="20">
        <f t="shared" si="22"/>
        <v>5</v>
      </c>
    </row>
    <row r="537" spans="1:17" x14ac:dyDescent="0.25">
      <c r="A537" t="s">
        <v>15</v>
      </c>
      <c r="N537" t="s">
        <v>200</v>
      </c>
      <c r="P537" t="s">
        <v>213</v>
      </c>
      <c r="Q537" s="20">
        <f t="shared" si="22"/>
        <v>5</v>
      </c>
    </row>
    <row r="538" spans="1:17" x14ac:dyDescent="0.25">
      <c r="A538" t="s">
        <v>15</v>
      </c>
      <c r="N538" t="s">
        <v>198</v>
      </c>
      <c r="P538" t="s">
        <v>214</v>
      </c>
      <c r="Q538" s="20">
        <f t="shared" si="22"/>
        <v>15</v>
      </c>
    </row>
    <row r="539" spans="1:17" x14ac:dyDescent="0.25">
      <c r="A539" t="s">
        <v>15</v>
      </c>
      <c r="N539" t="s">
        <v>199</v>
      </c>
      <c r="P539" t="s">
        <v>214</v>
      </c>
      <c r="Q539" s="20">
        <f t="shared" si="22"/>
        <v>5</v>
      </c>
    </row>
    <row r="540" spans="1:17" x14ac:dyDescent="0.25">
      <c r="A540" t="s">
        <v>15</v>
      </c>
      <c r="N540" t="s">
        <v>200</v>
      </c>
      <c r="P540" t="s">
        <v>214</v>
      </c>
      <c r="Q540" s="20">
        <f t="shared" si="22"/>
        <v>-15</v>
      </c>
    </row>
    <row r="541" spans="1:17" x14ac:dyDescent="0.25">
      <c r="A541" t="s">
        <v>19</v>
      </c>
      <c r="N541" t="s">
        <v>198</v>
      </c>
      <c r="P541" t="s">
        <v>213</v>
      </c>
      <c r="Q541" s="20">
        <f t="shared" ref="Q541:Q546" si="23">Q529</f>
        <v>5</v>
      </c>
    </row>
    <row r="542" spans="1:17" x14ac:dyDescent="0.25">
      <c r="A542" t="s">
        <v>19</v>
      </c>
      <c r="N542" t="s">
        <v>199</v>
      </c>
      <c r="P542" t="s">
        <v>213</v>
      </c>
      <c r="Q542" s="20">
        <f t="shared" si="23"/>
        <v>5</v>
      </c>
    </row>
    <row r="543" spans="1:17" x14ac:dyDescent="0.25">
      <c r="A543" t="s">
        <v>19</v>
      </c>
      <c r="N543" t="s">
        <v>200</v>
      </c>
      <c r="P543" t="s">
        <v>213</v>
      </c>
      <c r="Q543" s="20">
        <f t="shared" si="23"/>
        <v>5</v>
      </c>
    </row>
    <row r="544" spans="1:17" x14ac:dyDescent="0.25">
      <c r="A544" t="s">
        <v>19</v>
      </c>
      <c r="N544" t="s">
        <v>198</v>
      </c>
      <c r="P544" t="s">
        <v>214</v>
      </c>
      <c r="Q544" s="20">
        <f t="shared" si="23"/>
        <v>15</v>
      </c>
    </row>
    <row r="545" spans="1:17" x14ac:dyDescent="0.25">
      <c r="A545" t="s">
        <v>19</v>
      </c>
      <c r="N545" t="s">
        <v>199</v>
      </c>
      <c r="P545" t="s">
        <v>214</v>
      </c>
      <c r="Q545" s="20">
        <f t="shared" si="23"/>
        <v>5</v>
      </c>
    </row>
    <row r="546" spans="1:17" x14ac:dyDescent="0.25">
      <c r="A546" t="s">
        <v>19</v>
      </c>
      <c r="N546" t="s">
        <v>200</v>
      </c>
      <c r="P546" t="s">
        <v>214</v>
      </c>
      <c r="Q546" s="20">
        <f t="shared" si="23"/>
        <v>-15</v>
      </c>
    </row>
    <row r="547" spans="1:17" s="4" customFormat="1" x14ac:dyDescent="0.25">
      <c r="A547" s="4" t="s">
        <v>267</v>
      </c>
      <c r="N547" t="s">
        <v>198</v>
      </c>
      <c r="P547" s="4" t="s">
        <v>213</v>
      </c>
      <c r="Q547" s="20">
        <f t="shared" ref="Q547:Q552" si="24">Q529</f>
        <v>5</v>
      </c>
    </row>
    <row r="548" spans="1:17" s="4" customFormat="1" x14ac:dyDescent="0.25">
      <c r="A548" s="4" t="s">
        <v>267</v>
      </c>
      <c r="N548" t="s">
        <v>199</v>
      </c>
      <c r="P548" s="4" t="s">
        <v>213</v>
      </c>
      <c r="Q548" s="20">
        <f t="shared" si="24"/>
        <v>5</v>
      </c>
    </row>
    <row r="549" spans="1:17" s="4" customFormat="1" x14ac:dyDescent="0.25">
      <c r="A549" s="4" t="s">
        <v>267</v>
      </c>
      <c r="N549" t="s">
        <v>200</v>
      </c>
      <c r="P549" s="4" t="s">
        <v>213</v>
      </c>
      <c r="Q549" s="20">
        <f t="shared" si="24"/>
        <v>5</v>
      </c>
    </row>
    <row r="550" spans="1:17" s="4" customFormat="1" x14ac:dyDescent="0.25">
      <c r="A550" s="4" t="s">
        <v>267</v>
      </c>
      <c r="N550" t="s">
        <v>198</v>
      </c>
      <c r="P550" s="4" t="s">
        <v>214</v>
      </c>
      <c r="Q550" s="20">
        <f t="shared" si="24"/>
        <v>15</v>
      </c>
    </row>
    <row r="551" spans="1:17" s="4" customFormat="1" x14ac:dyDescent="0.25">
      <c r="A551" s="4" t="s">
        <v>267</v>
      </c>
      <c r="N551" t="s">
        <v>199</v>
      </c>
      <c r="P551" s="4" t="s">
        <v>214</v>
      </c>
      <c r="Q551" s="20">
        <f t="shared" si="24"/>
        <v>5</v>
      </c>
    </row>
    <row r="552" spans="1:17" s="4" customFormat="1" x14ac:dyDescent="0.25">
      <c r="A552" s="4" t="s">
        <v>267</v>
      </c>
      <c r="N552" t="s">
        <v>200</v>
      </c>
      <c r="P552" s="4" t="s">
        <v>214</v>
      </c>
      <c r="Q552" s="20">
        <f t="shared" si="24"/>
        <v>-15</v>
      </c>
    </row>
    <row r="553" spans="1:17" x14ac:dyDescent="0.25">
      <c r="A553" t="s">
        <v>22</v>
      </c>
      <c r="N553" t="s">
        <v>198</v>
      </c>
      <c r="P553" t="s">
        <v>213</v>
      </c>
      <c r="Q553" s="20">
        <f t="shared" ref="Q553:Q558" si="25">Q529</f>
        <v>5</v>
      </c>
    </row>
    <row r="554" spans="1:17" x14ac:dyDescent="0.25">
      <c r="A554" t="s">
        <v>22</v>
      </c>
      <c r="N554" t="s">
        <v>199</v>
      </c>
      <c r="P554" t="s">
        <v>213</v>
      </c>
      <c r="Q554" s="20">
        <f t="shared" si="25"/>
        <v>5</v>
      </c>
    </row>
    <row r="555" spans="1:17" x14ac:dyDescent="0.25">
      <c r="A555" t="s">
        <v>22</v>
      </c>
      <c r="N555" t="s">
        <v>200</v>
      </c>
      <c r="P555" t="s">
        <v>213</v>
      </c>
      <c r="Q555" s="20">
        <f t="shared" si="25"/>
        <v>5</v>
      </c>
    </row>
    <row r="556" spans="1:17" x14ac:dyDescent="0.25">
      <c r="A556" t="s">
        <v>22</v>
      </c>
      <c r="N556" t="s">
        <v>198</v>
      </c>
      <c r="P556" t="s">
        <v>214</v>
      </c>
      <c r="Q556" s="20">
        <f t="shared" si="25"/>
        <v>15</v>
      </c>
    </row>
    <row r="557" spans="1:17" x14ac:dyDescent="0.25">
      <c r="A557" t="s">
        <v>22</v>
      </c>
      <c r="N557" t="s">
        <v>199</v>
      </c>
      <c r="P557" t="s">
        <v>214</v>
      </c>
      <c r="Q557" s="20">
        <f t="shared" si="25"/>
        <v>5</v>
      </c>
    </row>
    <row r="558" spans="1:17" x14ac:dyDescent="0.25">
      <c r="A558" t="s">
        <v>22</v>
      </c>
      <c r="N558" t="s">
        <v>200</v>
      </c>
      <c r="P558" t="s">
        <v>214</v>
      </c>
      <c r="Q558" s="20">
        <f t="shared" si="25"/>
        <v>-15</v>
      </c>
    </row>
    <row r="559" spans="1:17" x14ac:dyDescent="0.25">
      <c r="A559" t="s">
        <v>27</v>
      </c>
      <c r="N559" t="s">
        <v>198</v>
      </c>
      <c r="P559" t="s">
        <v>213</v>
      </c>
      <c r="Q559" s="20">
        <f t="shared" ref="Q559:Q564" si="26">Q529</f>
        <v>5</v>
      </c>
    </row>
    <row r="560" spans="1:17" x14ac:dyDescent="0.25">
      <c r="A560" t="s">
        <v>27</v>
      </c>
      <c r="N560" t="s">
        <v>199</v>
      </c>
      <c r="P560" t="s">
        <v>213</v>
      </c>
      <c r="Q560" s="20">
        <f t="shared" si="26"/>
        <v>5</v>
      </c>
    </row>
    <row r="561" spans="1:19" x14ac:dyDescent="0.25">
      <c r="A561" t="s">
        <v>27</v>
      </c>
      <c r="N561" t="s">
        <v>200</v>
      </c>
      <c r="P561" t="s">
        <v>213</v>
      </c>
      <c r="Q561" s="20">
        <f t="shared" si="26"/>
        <v>5</v>
      </c>
    </row>
    <row r="562" spans="1:19" x14ac:dyDescent="0.25">
      <c r="A562" t="s">
        <v>27</v>
      </c>
      <c r="N562" t="s">
        <v>198</v>
      </c>
      <c r="P562" t="s">
        <v>214</v>
      </c>
      <c r="Q562" s="20">
        <f t="shared" si="26"/>
        <v>15</v>
      </c>
    </row>
    <row r="563" spans="1:19" x14ac:dyDescent="0.25">
      <c r="A563" t="s">
        <v>27</v>
      </c>
      <c r="N563" t="s">
        <v>199</v>
      </c>
      <c r="P563" t="s">
        <v>214</v>
      </c>
      <c r="Q563" s="20">
        <f t="shared" si="26"/>
        <v>5</v>
      </c>
    </row>
    <row r="564" spans="1:19" x14ac:dyDescent="0.25">
      <c r="A564" t="s">
        <v>27</v>
      </c>
      <c r="N564" t="s">
        <v>200</v>
      </c>
      <c r="P564" t="s">
        <v>214</v>
      </c>
      <c r="Q564" s="20">
        <f t="shared" si="26"/>
        <v>-15</v>
      </c>
    </row>
    <row r="565" spans="1:19" x14ac:dyDescent="0.25">
      <c r="A565" t="s">
        <v>26</v>
      </c>
      <c r="N565" t="s">
        <v>198</v>
      </c>
      <c r="P565" t="s">
        <v>213</v>
      </c>
      <c r="Q565" s="20">
        <f t="shared" ref="Q565:Q570" si="27">Q529</f>
        <v>5</v>
      </c>
    </row>
    <row r="566" spans="1:19" x14ac:dyDescent="0.25">
      <c r="A566" t="s">
        <v>26</v>
      </c>
      <c r="N566" t="s">
        <v>199</v>
      </c>
      <c r="P566" t="s">
        <v>213</v>
      </c>
      <c r="Q566" s="20">
        <f t="shared" si="27"/>
        <v>5</v>
      </c>
    </row>
    <row r="567" spans="1:19" x14ac:dyDescent="0.25">
      <c r="A567" t="s">
        <v>26</v>
      </c>
      <c r="N567" t="s">
        <v>200</v>
      </c>
      <c r="P567" t="s">
        <v>213</v>
      </c>
      <c r="Q567" s="20">
        <f t="shared" si="27"/>
        <v>5</v>
      </c>
    </row>
    <row r="568" spans="1:19" x14ac:dyDescent="0.25">
      <c r="A568" t="s">
        <v>26</v>
      </c>
      <c r="N568" t="s">
        <v>198</v>
      </c>
      <c r="P568" t="s">
        <v>214</v>
      </c>
      <c r="Q568" s="20">
        <f t="shared" si="27"/>
        <v>15</v>
      </c>
    </row>
    <row r="569" spans="1:19" x14ac:dyDescent="0.25">
      <c r="A569" t="s">
        <v>26</v>
      </c>
      <c r="N569" t="s">
        <v>199</v>
      </c>
      <c r="P569" t="s">
        <v>214</v>
      </c>
      <c r="Q569" s="20">
        <f t="shared" si="27"/>
        <v>5</v>
      </c>
    </row>
    <row r="570" spans="1:19" x14ac:dyDescent="0.25">
      <c r="A570" t="s">
        <v>26</v>
      </c>
      <c r="N570" t="s">
        <v>200</v>
      </c>
      <c r="P570" t="s">
        <v>214</v>
      </c>
      <c r="Q570" s="20">
        <f t="shared" si="27"/>
        <v>-15</v>
      </c>
    </row>
    <row r="571" spans="1:19" x14ac:dyDescent="0.25">
      <c r="A571" s="4" t="s">
        <v>41</v>
      </c>
      <c r="B571" s="6"/>
      <c r="N571" t="s">
        <v>198</v>
      </c>
      <c r="P571" t="s">
        <v>213</v>
      </c>
      <c r="Q571" s="20">
        <f t="shared" ref="Q571:Q576" si="28">Q529</f>
        <v>5</v>
      </c>
      <c r="S571" t="s">
        <v>306</v>
      </c>
    </row>
    <row r="572" spans="1:19" x14ac:dyDescent="0.25">
      <c r="A572" s="4" t="s">
        <v>41</v>
      </c>
      <c r="B572" s="6"/>
      <c r="N572" t="s">
        <v>199</v>
      </c>
      <c r="P572" t="s">
        <v>213</v>
      </c>
      <c r="Q572" s="20">
        <f t="shared" si="28"/>
        <v>5</v>
      </c>
    </row>
    <row r="573" spans="1:19" x14ac:dyDescent="0.25">
      <c r="A573" s="4" t="s">
        <v>41</v>
      </c>
      <c r="B573" s="6"/>
      <c r="N573" t="s">
        <v>200</v>
      </c>
      <c r="P573" t="s">
        <v>213</v>
      </c>
      <c r="Q573" s="20">
        <f t="shared" si="28"/>
        <v>5</v>
      </c>
    </row>
    <row r="574" spans="1:19" x14ac:dyDescent="0.25">
      <c r="A574" s="4" t="s">
        <v>41</v>
      </c>
      <c r="B574" s="6"/>
      <c r="N574" t="s">
        <v>198</v>
      </c>
      <c r="P574" t="s">
        <v>214</v>
      </c>
      <c r="Q574" s="20">
        <f t="shared" si="28"/>
        <v>15</v>
      </c>
    </row>
    <row r="575" spans="1:19" x14ac:dyDescent="0.25">
      <c r="A575" s="4" t="s">
        <v>41</v>
      </c>
      <c r="B575" s="6"/>
      <c r="N575" t="s">
        <v>199</v>
      </c>
      <c r="P575" t="s">
        <v>214</v>
      </c>
      <c r="Q575" s="20">
        <f t="shared" si="28"/>
        <v>5</v>
      </c>
    </row>
    <row r="576" spans="1:19" x14ac:dyDescent="0.25">
      <c r="A576" s="4" t="s">
        <v>41</v>
      </c>
      <c r="B576" s="6"/>
      <c r="N576" t="s">
        <v>200</v>
      </c>
      <c r="P576" t="s">
        <v>214</v>
      </c>
      <c r="Q576" s="20">
        <f t="shared" si="28"/>
        <v>-15</v>
      </c>
    </row>
    <row r="577" spans="1:19" x14ac:dyDescent="0.25">
      <c r="A577" s="4" t="s">
        <v>42</v>
      </c>
      <c r="B577" s="6"/>
      <c r="N577" t="s">
        <v>198</v>
      </c>
      <c r="P577" t="s">
        <v>213</v>
      </c>
      <c r="Q577" s="20">
        <f t="shared" ref="Q577:Q582" si="29">Q529</f>
        <v>5</v>
      </c>
      <c r="S577" t="s">
        <v>306</v>
      </c>
    </row>
    <row r="578" spans="1:19" x14ac:dyDescent="0.25">
      <c r="A578" s="4" t="s">
        <v>42</v>
      </c>
      <c r="B578" s="6"/>
      <c r="N578" t="s">
        <v>199</v>
      </c>
      <c r="P578" t="s">
        <v>213</v>
      </c>
      <c r="Q578" s="20">
        <f t="shared" si="29"/>
        <v>5</v>
      </c>
    </row>
    <row r="579" spans="1:19" x14ac:dyDescent="0.25">
      <c r="A579" s="4" t="s">
        <v>42</v>
      </c>
      <c r="B579" s="6"/>
      <c r="N579" t="s">
        <v>200</v>
      </c>
      <c r="P579" t="s">
        <v>213</v>
      </c>
      <c r="Q579" s="20">
        <f t="shared" si="29"/>
        <v>5</v>
      </c>
    </row>
    <row r="580" spans="1:19" x14ac:dyDescent="0.25">
      <c r="A580" s="4" t="s">
        <v>42</v>
      </c>
      <c r="B580" s="6"/>
      <c r="N580" t="s">
        <v>198</v>
      </c>
      <c r="P580" t="s">
        <v>214</v>
      </c>
      <c r="Q580" s="20">
        <f t="shared" si="29"/>
        <v>15</v>
      </c>
    </row>
    <row r="581" spans="1:19" x14ac:dyDescent="0.25">
      <c r="A581" s="4" t="s">
        <v>42</v>
      </c>
      <c r="B581" s="6"/>
      <c r="N581" t="s">
        <v>199</v>
      </c>
      <c r="P581" t="s">
        <v>214</v>
      </c>
      <c r="Q581" s="20">
        <f t="shared" si="29"/>
        <v>5</v>
      </c>
    </row>
    <row r="582" spans="1:19" x14ac:dyDescent="0.25">
      <c r="A582" s="4" t="s">
        <v>42</v>
      </c>
      <c r="N582" t="s">
        <v>200</v>
      </c>
      <c r="P582" t="s">
        <v>214</v>
      </c>
      <c r="Q582" s="20">
        <f t="shared" si="29"/>
        <v>-15</v>
      </c>
    </row>
    <row r="583" spans="1:19" x14ac:dyDescent="0.25">
      <c r="A583" s="21" t="s">
        <v>206</v>
      </c>
      <c r="B583" s="21"/>
    </row>
    <row r="584" spans="1:19" x14ac:dyDescent="0.25">
      <c r="A584" t="s">
        <v>32</v>
      </c>
      <c r="N584" t="s">
        <v>198</v>
      </c>
      <c r="P584" t="s">
        <v>213</v>
      </c>
      <c r="Q584">
        <v>10</v>
      </c>
    </row>
    <row r="585" spans="1:19" x14ac:dyDescent="0.25">
      <c r="A585" t="s">
        <v>32</v>
      </c>
      <c r="N585" t="s">
        <v>199</v>
      </c>
      <c r="P585" t="s">
        <v>213</v>
      </c>
      <c r="Q585">
        <v>10</v>
      </c>
    </row>
    <row r="586" spans="1:19" x14ac:dyDescent="0.25">
      <c r="A586" t="s">
        <v>32</v>
      </c>
      <c r="N586" t="s">
        <v>200</v>
      </c>
      <c r="P586" t="s">
        <v>213</v>
      </c>
      <c r="Q586">
        <v>10</v>
      </c>
    </row>
    <row r="587" spans="1:19" x14ac:dyDescent="0.25">
      <c r="A587" t="s">
        <v>32</v>
      </c>
      <c r="N587" t="s">
        <v>201</v>
      </c>
      <c r="P587" t="s">
        <v>213</v>
      </c>
      <c r="Q587">
        <v>10</v>
      </c>
    </row>
    <row r="588" spans="1:19" x14ac:dyDescent="0.25">
      <c r="A588" t="s">
        <v>32</v>
      </c>
      <c r="N588" t="s">
        <v>198</v>
      </c>
      <c r="P588" t="s">
        <v>214</v>
      </c>
      <c r="Q588">
        <v>20</v>
      </c>
    </row>
    <row r="589" spans="1:19" x14ac:dyDescent="0.25">
      <c r="A589" t="s">
        <v>32</v>
      </c>
      <c r="N589" t="s">
        <v>199</v>
      </c>
      <c r="P589" t="s">
        <v>214</v>
      </c>
      <c r="Q589">
        <v>10</v>
      </c>
    </row>
    <row r="590" spans="1:19" x14ac:dyDescent="0.25">
      <c r="A590" t="s">
        <v>32</v>
      </c>
      <c r="N590" t="s">
        <v>200</v>
      </c>
      <c r="P590" t="s">
        <v>214</v>
      </c>
      <c r="Q590">
        <v>-10</v>
      </c>
    </row>
    <row r="591" spans="1:19" x14ac:dyDescent="0.25">
      <c r="A591" t="s">
        <v>32</v>
      </c>
      <c r="N591" t="s">
        <v>201</v>
      </c>
      <c r="P591" t="s">
        <v>214</v>
      </c>
      <c r="Q591">
        <v>-25</v>
      </c>
    </row>
    <row r="592" spans="1:19" x14ac:dyDescent="0.25">
      <c r="A592" t="s">
        <v>33</v>
      </c>
      <c r="N592" t="s">
        <v>198</v>
      </c>
      <c r="P592" t="s">
        <v>213</v>
      </c>
      <c r="Q592">
        <v>10</v>
      </c>
    </row>
    <row r="593" spans="1:19" x14ac:dyDescent="0.25">
      <c r="A593" t="s">
        <v>33</v>
      </c>
      <c r="N593" t="s">
        <v>199</v>
      </c>
      <c r="P593" t="s">
        <v>213</v>
      </c>
      <c r="Q593">
        <v>10</v>
      </c>
    </row>
    <row r="594" spans="1:19" x14ac:dyDescent="0.25">
      <c r="A594" t="s">
        <v>33</v>
      </c>
      <c r="N594" t="s">
        <v>200</v>
      </c>
      <c r="P594" t="s">
        <v>213</v>
      </c>
      <c r="Q594">
        <v>10</v>
      </c>
    </row>
    <row r="595" spans="1:19" x14ac:dyDescent="0.25">
      <c r="A595" t="s">
        <v>33</v>
      </c>
      <c r="N595" t="s">
        <v>198</v>
      </c>
      <c r="P595" t="s">
        <v>214</v>
      </c>
      <c r="Q595">
        <v>20</v>
      </c>
    </row>
    <row r="596" spans="1:19" x14ac:dyDescent="0.25">
      <c r="A596" t="s">
        <v>33</v>
      </c>
      <c r="N596" t="s">
        <v>199</v>
      </c>
      <c r="P596" t="s">
        <v>214</v>
      </c>
      <c r="Q596">
        <v>10</v>
      </c>
    </row>
    <row r="597" spans="1:19" x14ac:dyDescent="0.25">
      <c r="A597" t="s">
        <v>33</v>
      </c>
      <c r="N597" t="s">
        <v>200</v>
      </c>
      <c r="P597" t="s">
        <v>214</v>
      </c>
      <c r="Q597">
        <v>-10</v>
      </c>
    </row>
    <row r="599" spans="1:19" x14ac:dyDescent="0.25">
      <c r="A599" s="21" t="s">
        <v>38</v>
      </c>
      <c r="B599" s="21"/>
    </row>
    <row r="600" spans="1:19" x14ac:dyDescent="0.25">
      <c r="A600" t="s">
        <v>38</v>
      </c>
      <c r="N600" t="s">
        <v>198</v>
      </c>
      <c r="P600" t="s">
        <v>213</v>
      </c>
      <c r="Q600">
        <v>10</v>
      </c>
    </row>
    <row r="601" spans="1:19" x14ac:dyDescent="0.25">
      <c r="A601" t="s">
        <v>38</v>
      </c>
      <c r="N601" t="s">
        <v>199</v>
      </c>
      <c r="P601" t="s">
        <v>213</v>
      </c>
      <c r="Q601">
        <v>10</v>
      </c>
    </row>
    <row r="602" spans="1:19" x14ac:dyDescent="0.25">
      <c r="A602" t="s">
        <v>38</v>
      </c>
      <c r="N602" t="s">
        <v>200</v>
      </c>
      <c r="P602" t="s">
        <v>213</v>
      </c>
      <c r="Q602">
        <v>10</v>
      </c>
    </row>
    <row r="603" spans="1:19" x14ac:dyDescent="0.25">
      <c r="A603" t="s">
        <v>38</v>
      </c>
      <c r="N603" t="s">
        <v>283</v>
      </c>
      <c r="P603" t="s">
        <v>213</v>
      </c>
      <c r="Q603">
        <v>10</v>
      </c>
    </row>
    <row r="604" spans="1:19" x14ac:dyDescent="0.25">
      <c r="A604" t="s">
        <v>38</v>
      </c>
      <c r="N604" t="s">
        <v>198</v>
      </c>
      <c r="P604" t="s">
        <v>214</v>
      </c>
      <c r="Q604">
        <v>86.7</v>
      </c>
    </row>
    <row r="605" spans="1:19" x14ac:dyDescent="0.25">
      <c r="A605" t="s">
        <v>38</v>
      </c>
      <c r="N605" t="s">
        <v>199</v>
      </c>
      <c r="P605" t="s">
        <v>214</v>
      </c>
      <c r="Q605">
        <v>46.7</v>
      </c>
    </row>
    <row r="606" spans="1:19" x14ac:dyDescent="0.25">
      <c r="A606" t="s">
        <v>38</v>
      </c>
      <c r="N606" t="s">
        <v>200</v>
      </c>
      <c r="P606" t="s">
        <v>214</v>
      </c>
      <c r="Q606">
        <v>6.7</v>
      </c>
    </row>
    <row r="607" spans="1:19" x14ac:dyDescent="0.25">
      <c r="A607" t="s">
        <v>38</v>
      </c>
      <c r="N607" t="s">
        <v>283</v>
      </c>
      <c r="P607" t="s">
        <v>214</v>
      </c>
      <c r="Q607">
        <v>-26.7</v>
      </c>
    </row>
    <row r="608" spans="1:19" x14ac:dyDescent="0.25">
      <c r="A608" t="s">
        <v>68</v>
      </c>
      <c r="N608" t="s">
        <v>198</v>
      </c>
      <c r="P608" t="s">
        <v>213</v>
      </c>
      <c r="Q608" s="24">
        <f>Q600</f>
        <v>10</v>
      </c>
      <c r="S608" t="s">
        <v>305</v>
      </c>
    </row>
    <row r="609" spans="1:17" x14ac:dyDescent="0.25">
      <c r="A609" t="s">
        <v>68</v>
      </c>
      <c r="N609" t="s">
        <v>199</v>
      </c>
      <c r="P609" t="s">
        <v>213</v>
      </c>
      <c r="Q609" s="24">
        <f t="shared" ref="Q609:Q615" si="30">Q601</f>
        <v>10</v>
      </c>
    </row>
    <row r="610" spans="1:17" x14ac:dyDescent="0.25">
      <c r="A610" t="s">
        <v>68</v>
      </c>
      <c r="N610" t="s">
        <v>200</v>
      </c>
      <c r="P610" t="s">
        <v>213</v>
      </c>
      <c r="Q610" s="24">
        <f t="shared" si="30"/>
        <v>10</v>
      </c>
    </row>
    <row r="611" spans="1:17" x14ac:dyDescent="0.25">
      <c r="A611" t="s">
        <v>68</v>
      </c>
      <c r="N611" t="s">
        <v>283</v>
      </c>
      <c r="P611" t="s">
        <v>213</v>
      </c>
      <c r="Q611" s="24">
        <f t="shared" si="30"/>
        <v>10</v>
      </c>
    </row>
    <row r="612" spans="1:17" x14ac:dyDescent="0.25">
      <c r="A612" t="s">
        <v>68</v>
      </c>
      <c r="N612" t="s">
        <v>198</v>
      </c>
      <c r="P612" t="s">
        <v>214</v>
      </c>
      <c r="Q612" s="24">
        <f t="shared" si="30"/>
        <v>86.7</v>
      </c>
    </row>
    <row r="613" spans="1:17" x14ac:dyDescent="0.25">
      <c r="A613" t="s">
        <v>68</v>
      </c>
      <c r="N613" t="s">
        <v>199</v>
      </c>
      <c r="P613" t="s">
        <v>214</v>
      </c>
      <c r="Q613" s="24">
        <f t="shared" si="30"/>
        <v>46.7</v>
      </c>
    </row>
    <row r="614" spans="1:17" x14ac:dyDescent="0.25">
      <c r="A614" t="s">
        <v>68</v>
      </c>
      <c r="N614" t="s">
        <v>200</v>
      </c>
      <c r="P614" t="s">
        <v>214</v>
      </c>
      <c r="Q614" s="24">
        <f t="shared" si="30"/>
        <v>6.7</v>
      </c>
    </row>
    <row r="615" spans="1:17" x14ac:dyDescent="0.25">
      <c r="A615" t="s">
        <v>68</v>
      </c>
      <c r="N615" t="s">
        <v>283</v>
      </c>
      <c r="P615" t="s">
        <v>214</v>
      </c>
      <c r="Q615" s="24">
        <f t="shared" si="30"/>
        <v>-26.7</v>
      </c>
    </row>
    <row r="617" spans="1:17" x14ac:dyDescent="0.25">
      <c r="A617" s="21" t="s">
        <v>207</v>
      </c>
      <c r="B617" s="21"/>
    </row>
    <row r="618" spans="1:17" x14ac:dyDescent="0.25">
      <c r="A618" t="s">
        <v>40</v>
      </c>
      <c r="N618" t="s">
        <v>198</v>
      </c>
      <c r="P618" t="s">
        <v>213</v>
      </c>
      <c r="Q618">
        <v>6.9</v>
      </c>
    </row>
    <row r="619" spans="1:17" x14ac:dyDescent="0.25">
      <c r="A619" t="s">
        <v>40</v>
      </c>
      <c r="N619" t="s">
        <v>199</v>
      </c>
      <c r="P619" t="s">
        <v>213</v>
      </c>
      <c r="Q619">
        <v>9.6</v>
      </c>
    </row>
    <row r="620" spans="1:17" x14ac:dyDescent="0.25">
      <c r="A620" t="s">
        <v>40</v>
      </c>
      <c r="N620" t="s">
        <v>200</v>
      </c>
      <c r="P620" t="s">
        <v>213</v>
      </c>
      <c r="Q620">
        <v>10</v>
      </c>
    </row>
    <row r="621" spans="1:17" x14ac:dyDescent="0.25">
      <c r="A621" t="s">
        <v>40</v>
      </c>
      <c r="N621" t="s">
        <v>283</v>
      </c>
      <c r="P621" t="s">
        <v>213</v>
      </c>
      <c r="Q621">
        <v>10</v>
      </c>
    </row>
    <row r="622" spans="1:17" x14ac:dyDescent="0.25">
      <c r="A622" t="s">
        <v>40</v>
      </c>
      <c r="N622" t="s">
        <v>198</v>
      </c>
      <c r="P622" t="s">
        <v>214</v>
      </c>
      <c r="Q622">
        <v>68.400000000000006</v>
      </c>
    </row>
    <row r="623" spans="1:17" x14ac:dyDescent="0.25">
      <c r="A623" t="s">
        <v>40</v>
      </c>
      <c r="N623" t="s">
        <v>199</v>
      </c>
      <c r="P623" t="s">
        <v>214</v>
      </c>
      <c r="Q623">
        <v>22.4</v>
      </c>
    </row>
    <row r="624" spans="1:17" x14ac:dyDescent="0.25">
      <c r="A624" t="s">
        <v>40</v>
      </c>
      <c r="N624" t="s">
        <v>200</v>
      </c>
      <c r="P624" t="s">
        <v>214</v>
      </c>
      <c r="Q624">
        <v>-20</v>
      </c>
    </row>
    <row r="625" spans="1:17" x14ac:dyDescent="0.25">
      <c r="A625" t="s">
        <v>40</v>
      </c>
      <c r="N625" t="s">
        <v>283</v>
      </c>
      <c r="P625" t="s">
        <v>214</v>
      </c>
      <c r="Q625">
        <v>-50</v>
      </c>
    </row>
    <row r="627" spans="1:17" x14ac:dyDescent="0.25">
      <c r="A627" s="21" t="s">
        <v>208</v>
      </c>
      <c r="B627" s="21"/>
    </row>
    <row r="628" spans="1:17" x14ac:dyDescent="0.25">
      <c r="A628" t="s">
        <v>34</v>
      </c>
      <c r="N628" t="s">
        <v>198</v>
      </c>
      <c r="P628" t="s">
        <v>213</v>
      </c>
      <c r="Q628">
        <v>4</v>
      </c>
    </row>
    <row r="629" spans="1:17" x14ac:dyDescent="0.25">
      <c r="A629" t="s">
        <v>34</v>
      </c>
      <c r="N629" t="s">
        <v>199</v>
      </c>
      <c r="P629" t="s">
        <v>213</v>
      </c>
      <c r="Q629">
        <v>4</v>
      </c>
    </row>
    <row r="630" spans="1:17" x14ac:dyDescent="0.25">
      <c r="A630" t="s">
        <v>34</v>
      </c>
      <c r="N630" t="s">
        <v>200</v>
      </c>
      <c r="P630" t="s">
        <v>213</v>
      </c>
      <c r="Q630">
        <v>4</v>
      </c>
    </row>
    <row r="631" spans="1:17" x14ac:dyDescent="0.25">
      <c r="A631" t="s">
        <v>34</v>
      </c>
      <c r="N631" t="s">
        <v>283</v>
      </c>
      <c r="P631" t="s">
        <v>213</v>
      </c>
      <c r="Q631">
        <v>4</v>
      </c>
    </row>
    <row r="632" spans="1:17" x14ac:dyDescent="0.25">
      <c r="A632" t="s">
        <v>34</v>
      </c>
      <c r="N632" t="s">
        <v>198</v>
      </c>
      <c r="P632" t="s">
        <v>214</v>
      </c>
      <c r="Q632">
        <v>140</v>
      </c>
    </row>
    <row r="633" spans="1:17" x14ac:dyDescent="0.25">
      <c r="A633" t="s">
        <v>34</v>
      </c>
      <c r="N633" t="s">
        <v>199</v>
      </c>
      <c r="P633" t="s">
        <v>214</v>
      </c>
      <c r="Q633">
        <v>90</v>
      </c>
    </row>
    <row r="634" spans="1:17" x14ac:dyDescent="0.25">
      <c r="A634" t="s">
        <v>34</v>
      </c>
      <c r="N634" t="s">
        <v>200</v>
      </c>
      <c r="P634" t="s">
        <v>214</v>
      </c>
      <c r="Q634">
        <v>40</v>
      </c>
    </row>
    <row r="635" spans="1:17" x14ac:dyDescent="0.25">
      <c r="A635" t="s">
        <v>34</v>
      </c>
      <c r="N635" t="s">
        <v>283</v>
      </c>
      <c r="P635" t="s">
        <v>214</v>
      </c>
      <c r="Q635">
        <v>-10</v>
      </c>
    </row>
    <row r="636" spans="1:17" x14ac:dyDescent="0.25">
      <c r="A636" t="s">
        <v>35</v>
      </c>
      <c r="N636" t="s">
        <v>198</v>
      </c>
      <c r="P636" t="s">
        <v>213</v>
      </c>
      <c r="Q636" s="20">
        <f t="shared" ref="Q636:Q643" si="31">Q628</f>
        <v>4</v>
      </c>
    </row>
    <row r="637" spans="1:17" x14ac:dyDescent="0.25">
      <c r="A637" t="s">
        <v>35</v>
      </c>
      <c r="N637" t="s">
        <v>199</v>
      </c>
      <c r="P637" t="s">
        <v>213</v>
      </c>
      <c r="Q637" s="20">
        <f t="shared" si="31"/>
        <v>4</v>
      </c>
    </row>
    <row r="638" spans="1:17" x14ac:dyDescent="0.25">
      <c r="A638" t="s">
        <v>35</v>
      </c>
      <c r="N638" t="s">
        <v>200</v>
      </c>
      <c r="P638" t="s">
        <v>213</v>
      </c>
      <c r="Q638" s="20">
        <f t="shared" si="31"/>
        <v>4</v>
      </c>
    </row>
    <row r="639" spans="1:17" x14ac:dyDescent="0.25">
      <c r="A639" t="s">
        <v>35</v>
      </c>
      <c r="N639" t="s">
        <v>283</v>
      </c>
      <c r="P639" t="s">
        <v>213</v>
      </c>
      <c r="Q639" s="20">
        <f t="shared" si="31"/>
        <v>4</v>
      </c>
    </row>
    <row r="640" spans="1:17" x14ac:dyDescent="0.25">
      <c r="A640" t="s">
        <v>35</v>
      </c>
      <c r="N640" t="s">
        <v>198</v>
      </c>
      <c r="P640" t="s">
        <v>214</v>
      </c>
      <c r="Q640" s="20">
        <f t="shared" si="31"/>
        <v>140</v>
      </c>
    </row>
    <row r="641" spans="1:19" x14ac:dyDescent="0.25">
      <c r="A641" t="s">
        <v>35</v>
      </c>
      <c r="N641" t="s">
        <v>199</v>
      </c>
      <c r="P641" t="s">
        <v>214</v>
      </c>
      <c r="Q641" s="20">
        <f t="shared" si="31"/>
        <v>90</v>
      </c>
    </row>
    <row r="642" spans="1:19" x14ac:dyDescent="0.25">
      <c r="A642" t="s">
        <v>35</v>
      </c>
      <c r="N642" t="s">
        <v>200</v>
      </c>
      <c r="P642" t="s">
        <v>214</v>
      </c>
      <c r="Q642" s="20">
        <f t="shared" si="31"/>
        <v>40</v>
      </c>
    </row>
    <row r="643" spans="1:19" x14ac:dyDescent="0.25">
      <c r="A643" t="s">
        <v>35</v>
      </c>
      <c r="N643" t="s">
        <v>283</v>
      </c>
      <c r="P643" t="s">
        <v>214</v>
      </c>
      <c r="Q643" s="20">
        <f t="shared" si="31"/>
        <v>-10</v>
      </c>
    </row>
    <row r="645" spans="1:19" x14ac:dyDescent="0.25">
      <c r="A645" s="21" t="s">
        <v>284</v>
      </c>
      <c r="B645" s="21"/>
    </row>
    <row r="646" spans="1:19" x14ac:dyDescent="0.25">
      <c r="A646" t="s">
        <v>28</v>
      </c>
      <c r="N646" t="s">
        <v>198</v>
      </c>
      <c r="P646" t="s">
        <v>214</v>
      </c>
      <c r="Q646">
        <v>50</v>
      </c>
    </row>
    <row r="647" spans="1:19" x14ac:dyDescent="0.25">
      <c r="A647" t="s">
        <v>28</v>
      </c>
      <c r="N647" t="s">
        <v>199</v>
      </c>
      <c r="P647" t="s">
        <v>214</v>
      </c>
      <c r="Q647">
        <v>40</v>
      </c>
    </row>
    <row r="648" spans="1:19" x14ac:dyDescent="0.25">
      <c r="A648" t="s">
        <v>28</v>
      </c>
      <c r="N648" t="s">
        <v>200</v>
      </c>
      <c r="P648" t="s">
        <v>214</v>
      </c>
      <c r="Q648">
        <v>20</v>
      </c>
    </row>
    <row r="649" spans="1:19" s="4" customFormat="1" x14ac:dyDescent="0.25">
      <c r="A649" s="4" t="s">
        <v>268</v>
      </c>
      <c r="N649" s="4" t="s">
        <v>198</v>
      </c>
      <c r="P649" s="4" t="s">
        <v>214</v>
      </c>
      <c r="Q649" s="20">
        <f>Q646</f>
        <v>50</v>
      </c>
      <c r="S649" s="4" t="s">
        <v>278</v>
      </c>
    </row>
    <row r="650" spans="1:19" s="4" customFormat="1" x14ac:dyDescent="0.25">
      <c r="A650" s="4" t="s">
        <v>268</v>
      </c>
      <c r="N650" s="4" t="s">
        <v>199</v>
      </c>
      <c r="P650" s="4" t="s">
        <v>214</v>
      </c>
      <c r="Q650" s="20">
        <f t="shared" ref="Q650:Q651" si="32">Q647</f>
        <v>40</v>
      </c>
    </row>
    <row r="651" spans="1:19" s="4" customFormat="1" x14ac:dyDescent="0.25">
      <c r="A651" s="4" t="s">
        <v>268</v>
      </c>
      <c r="N651" s="4" t="s">
        <v>200</v>
      </c>
      <c r="P651" s="4" t="s">
        <v>214</v>
      </c>
      <c r="Q651" s="20">
        <f t="shared" si="32"/>
        <v>20</v>
      </c>
    </row>
    <row r="652" spans="1:19" x14ac:dyDescent="0.25">
      <c r="A652" t="s">
        <v>30</v>
      </c>
      <c r="N652" t="s">
        <v>198</v>
      </c>
      <c r="P652" t="s">
        <v>214</v>
      </c>
      <c r="Q652" s="20">
        <f>Q646</f>
        <v>50</v>
      </c>
    </row>
    <row r="653" spans="1:19" x14ac:dyDescent="0.25">
      <c r="A653" t="s">
        <v>30</v>
      </c>
      <c r="N653" t="s">
        <v>199</v>
      </c>
      <c r="P653" t="s">
        <v>214</v>
      </c>
      <c r="Q653" s="20">
        <f t="shared" ref="Q653:Q654" si="33">Q647</f>
        <v>40</v>
      </c>
    </row>
    <row r="654" spans="1:19" x14ac:dyDescent="0.25">
      <c r="A654" t="s">
        <v>30</v>
      </c>
      <c r="N654" t="s">
        <v>200</v>
      </c>
      <c r="P654" t="s">
        <v>214</v>
      </c>
      <c r="Q654" s="20">
        <f t="shared" si="33"/>
        <v>20</v>
      </c>
    </row>
    <row r="655" spans="1:19" x14ac:dyDescent="0.25">
      <c r="A655" t="s">
        <v>36</v>
      </c>
      <c r="N655" t="s">
        <v>198</v>
      </c>
      <c r="P655" t="s">
        <v>214</v>
      </c>
      <c r="Q655">
        <v>120</v>
      </c>
    </row>
    <row r="656" spans="1:19" x14ac:dyDescent="0.25">
      <c r="A656" t="s">
        <v>36</v>
      </c>
      <c r="N656" t="s">
        <v>199</v>
      </c>
      <c r="P656" t="s">
        <v>214</v>
      </c>
      <c r="Q656">
        <v>90</v>
      </c>
    </row>
    <row r="657" spans="1:20" x14ac:dyDescent="0.25">
      <c r="A657" t="s">
        <v>36</v>
      </c>
      <c r="N657" t="s">
        <v>200</v>
      </c>
      <c r="P657" t="s">
        <v>214</v>
      </c>
      <c r="Q657">
        <v>50</v>
      </c>
    </row>
    <row r="658" spans="1:20" x14ac:dyDescent="0.25">
      <c r="A658" t="s">
        <v>36</v>
      </c>
      <c r="N658" t="s">
        <v>283</v>
      </c>
      <c r="P658" t="s">
        <v>214</v>
      </c>
      <c r="Q658">
        <v>30</v>
      </c>
    </row>
    <row r="659" spans="1:20" x14ac:dyDescent="0.25">
      <c r="A659" t="s">
        <v>39</v>
      </c>
      <c r="N659" t="s">
        <v>198</v>
      </c>
      <c r="P659" t="s">
        <v>214</v>
      </c>
      <c r="Q659">
        <v>40</v>
      </c>
    </row>
    <row r="660" spans="1:20" x14ac:dyDescent="0.25">
      <c r="A660" t="s">
        <v>39</v>
      </c>
      <c r="N660" t="s">
        <v>199</v>
      </c>
      <c r="P660" t="s">
        <v>214</v>
      </c>
      <c r="Q660">
        <v>20</v>
      </c>
    </row>
    <row r="661" spans="1:20" x14ac:dyDescent="0.25">
      <c r="A661" s="4" t="s">
        <v>56</v>
      </c>
      <c r="B661" s="6"/>
      <c r="N661" t="s">
        <v>198</v>
      </c>
      <c r="P661" t="s">
        <v>214</v>
      </c>
      <c r="Q661">
        <v>155</v>
      </c>
      <c r="S661" t="s">
        <v>289</v>
      </c>
      <c r="T661" t="s">
        <v>288</v>
      </c>
    </row>
    <row r="662" spans="1:20" x14ac:dyDescent="0.25">
      <c r="A662" s="4" t="s">
        <v>56</v>
      </c>
      <c r="B662" s="6"/>
      <c r="N662" t="s">
        <v>199</v>
      </c>
      <c r="P662" t="s">
        <v>214</v>
      </c>
      <c r="Q662">
        <v>155</v>
      </c>
    </row>
    <row r="663" spans="1:20" x14ac:dyDescent="0.25">
      <c r="A663" s="4" t="s">
        <v>56</v>
      </c>
      <c r="B663" s="6"/>
      <c r="N663" t="s">
        <v>200</v>
      </c>
      <c r="P663" t="s">
        <v>214</v>
      </c>
      <c r="Q663">
        <v>155</v>
      </c>
    </row>
    <row r="665" spans="1:20" x14ac:dyDescent="0.25">
      <c r="A665" s="21" t="s">
        <v>210</v>
      </c>
      <c r="B665" s="21"/>
    </row>
    <row r="666" spans="1:20" x14ac:dyDescent="0.25">
      <c r="A666" t="s">
        <v>46</v>
      </c>
      <c r="P666" t="s">
        <v>213</v>
      </c>
      <c r="Q666">
        <v>3.4</v>
      </c>
    </row>
    <row r="667" spans="1:20" x14ac:dyDescent="0.25">
      <c r="A667" t="s">
        <v>46</v>
      </c>
      <c r="P667" t="s">
        <v>214</v>
      </c>
      <c r="Q667">
        <v>62</v>
      </c>
    </row>
    <row r="668" spans="1:20" x14ac:dyDescent="0.25">
      <c r="A668" s="4" t="s">
        <v>47</v>
      </c>
      <c r="B668" s="6"/>
      <c r="P668" t="s">
        <v>213</v>
      </c>
      <c r="Q668" s="20">
        <f>Q666</f>
        <v>3.4</v>
      </c>
      <c r="S668" t="s">
        <v>240</v>
      </c>
    </row>
    <row r="669" spans="1:20" x14ac:dyDescent="0.25">
      <c r="A669" s="4" t="s">
        <v>47</v>
      </c>
      <c r="B669" s="6"/>
      <c r="P669" t="s">
        <v>214</v>
      </c>
      <c r="Q669" s="20">
        <f>Q667</f>
        <v>62</v>
      </c>
    </row>
    <row r="670" spans="1:20" x14ac:dyDescent="0.25">
      <c r="A670" t="s">
        <v>45</v>
      </c>
      <c r="P670" t="s">
        <v>213</v>
      </c>
      <c r="Q670">
        <v>0.31</v>
      </c>
    </row>
    <row r="671" spans="1:20" x14ac:dyDescent="0.25">
      <c r="A671" t="s">
        <v>45</v>
      </c>
      <c r="P671" t="s">
        <v>214</v>
      </c>
      <c r="Q671">
        <v>129</v>
      </c>
    </row>
    <row r="672" spans="1:20" x14ac:dyDescent="0.25">
      <c r="A672" t="s">
        <v>48</v>
      </c>
      <c r="P672" t="s">
        <v>213</v>
      </c>
      <c r="Q672">
        <v>0.62</v>
      </c>
      <c r="S672" t="s">
        <v>211</v>
      </c>
    </row>
    <row r="673" spans="1:19" x14ac:dyDescent="0.25">
      <c r="A673" t="s">
        <v>48</v>
      </c>
      <c r="P673" t="s">
        <v>214</v>
      </c>
      <c r="Q673">
        <v>98</v>
      </c>
    </row>
    <row r="674" spans="1:19" x14ac:dyDescent="0.25">
      <c r="A674" s="4" t="s">
        <v>52</v>
      </c>
      <c r="B674" s="6"/>
      <c r="P674" t="s">
        <v>213</v>
      </c>
      <c r="Q674" s="20">
        <f>Q672</f>
        <v>0.62</v>
      </c>
      <c r="S674" t="s">
        <v>241</v>
      </c>
    </row>
    <row r="675" spans="1:19" x14ac:dyDescent="0.25">
      <c r="A675" s="4" t="s">
        <v>52</v>
      </c>
      <c r="B675" s="6"/>
      <c r="P675" t="s">
        <v>214</v>
      </c>
      <c r="Q675" s="20">
        <f>Q673</f>
        <v>98</v>
      </c>
    </row>
    <row r="676" spans="1:19" x14ac:dyDescent="0.25">
      <c r="A676" s="4" t="s">
        <v>53</v>
      </c>
      <c r="P676" t="s">
        <v>213</v>
      </c>
      <c r="Q676" s="20">
        <f>Q674</f>
        <v>0.62</v>
      </c>
      <c r="S676" t="s">
        <v>241</v>
      </c>
    </row>
    <row r="677" spans="1:19" x14ac:dyDescent="0.25">
      <c r="A677" s="4" t="s">
        <v>53</v>
      </c>
      <c r="P677" t="s">
        <v>214</v>
      </c>
      <c r="Q677" s="20">
        <f>Q675</f>
        <v>98</v>
      </c>
    </row>
    <row r="678" spans="1:19" x14ac:dyDescent="0.25">
      <c r="A678" t="s">
        <v>49</v>
      </c>
      <c r="P678" t="s">
        <v>213</v>
      </c>
      <c r="Q678">
        <v>2</v>
      </c>
    </row>
    <row r="679" spans="1:19" x14ac:dyDescent="0.25">
      <c r="A679" t="s">
        <v>49</v>
      </c>
      <c r="P679" t="s">
        <v>214</v>
      </c>
      <c r="Q679">
        <v>120</v>
      </c>
    </row>
    <row r="680" spans="1:19" x14ac:dyDescent="0.25">
      <c r="A680" s="6" t="s">
        <v>50</v>
      </c>
      <c r="P680" t="s">
        <v>213</v>
      </c>
    </row>
    <row r="681" spans="1:19" x14ac:dyDescent="0.25">
      <c r="A681" s="6" t="s">
        <v>50</v>
      </c>
      <c r="P681" t="s">
        <v>214</v>
      </c>
    </row>
    <row r="682" spans="1:19" x14ac:dyDescent="0.25">
      <c r="A682" t="s">
        <v>51</v>
      </c>
      <c r="P682" t="s">
        <v>213</v>
      </c>
      <c r="Q682" s="20">
        <f>Q680</f>
        <v>0</v>
      </c>
    </row>
    <row r="683" spans="1:19" x14ac:dyDescent="0.25">
      <c r="A683" t="s">
        <v>51</v>
      </c>
      <c r="P683" t="s">
        <v>214</v>
      </c>
      <c r="Q683" s="20">
        <f>Q681</f>
        <v>0</v>
      </c>
    </row>
    <row r="685" spans="1:19" x14ac:dyDescent="0.25">
      <c r="A685" t="s">
        <v>67</v>
      </c>
      <c r="P685" t="s">
        <v>214</v>
      </c>
      <c r="Q685">
        <v>0</v>
      </c>
      <c r="S685" t="s">
        <v>212</v>
      </c>
    </row>
    <row r="686" spans="1:19" x14ac:dyDescent="0.25">
      <c r="A686" t="s">
        <v>70</v>
      </c>
      <c r="P686" t="s">
        <v>214</v>
      </c>
      <c r="Q686">
        <v>0</v>
      </c>
    </row>
    <row r="687" spans="1:19" x14ac:dyDescent="0.25">
      <c r="A687" t="s">
        <v>71</v>
      </c>
      <c r="P687" t="s">
        <v>214</v>
      </c>
      <c r="Q687">
        <v>0</v>
      </c>
    </row>
    <row r="688" spans="1:19" x14ac:dyDescent="0.25">
      <c r="A688" t="s">
        <v>43</v>
      </c>
      <c r="P688" t="s">
        <v>214</v>
      </c>
      <c r="Q688">
        <v>0</v>
      </c>
    </row>
    <row r="689" spans="1:20" x14ac:dyDescent="0.25">
      <c r="A689" t="s">
        <v>44</v>
      </c>
      <c r="P689" t="s">
        <v>214</v>
      </c>
      <c r="Q689">
        <v>0</v>
      </c>
    </row>
    <row r="691" spans="1:20" x14ac:dyDescent="0.25">
      <c r="A691" s="6" t="s">
        <v>29</v>
      </c>
      <c r="B691" s="6"/>
    </row>
    <row r="692" spans="1:20" x14ac:dyDescent="0.25">
      <c r="A692" s="4" t="s">
        <v>31</v>
      </c>
      <c r="B692" s="6"/>
      <c r="P692" t="s">
        <v>214</v>
      </c>
      <c r="Q692">
        <v>20</v>
      </c>
      <c r="T692" t="s">
        <v>287</v>
      </c>
    </row>
    <row r="693" spans="1:20" x14ac:dyDescent="0.25">
      <c r="A693" s="4" t="s">
        <v>37</v>
      </c>
      <c r="B693" s="6"/>
      <c r="P693" t="s">
        <v>214</v>
      </c>
      <c r="Q693">
        <v>22.5</v>
      </c>
      <c r="S693" t="s">
        <v>256</v>
      </c>
      <c r="T693" t="s">
        <v>257</v>
      </c>
    </row>
    <row r="694" spans="1:20" x14ac:dyDescent="0.25">
      <c r="A694" s="6" t="s">
        <v>69</v>
      </c>
      <c r="B694" s="6"/>
    </row>
    <row r="695" spans="1:20" x14ac:dyDescent="0.25">
      <c r="A695" s="6" t="s">
        <v>54</v>
      </c>
      <c r="B695" s="6"/>
    </row>
    <row r="696" spans="1:20" x14ac:dyDescent="0.25">
      <c r="A696" s="6" t="s">
        <v>55</v>
      </c>
      <c r="B696" s="6"/>
    </row>
    <row r="697" spans="1:20" x14ac:dyDescent="0.25">
      <c r="A697" s="4" t="s">
        <v>57</v>
      </c>
      <c r="B697" s="6"/>
      <c r="P697" t="s">
        <v>214</v>
      </c>
      <c r="Q697">
        <v>105</v>
      </c>
      <c r="T697" s="25" t="s">
        <v>286</v>
      </c>
    </row>
    <row r="698" spans="1:20" x14ac:dyDescent="0.25">
      <c r="A698" s="4" t="s">
        <v>58</v>
      </c>
      <c r="B698" s="6"/>
      <c r="P698" t="s">
        <v>214</v>
      </c>
      <c r="Q698" s="24">
        <f>Q697</f>
        <v>105</v>
      </c>
      <c r="S698" t="s">
        <v>285</v>
      </c>
    </row>
    <row r="699" spans="1:20" x14ac:dyDescent="0.25">
      <c r="A699" s="4" t="s">
        <v>59</v>
      </c>
      <c r="B699" s="6"/>
      <c r="P699" t="s">
        <v>214</v>
      </c>
      <c r="Q699" s="24">
        <f>Q697</f>
        <v>105</v>
      </c>
      <c r="S699" t="s">
        <v>285</v>
      </c>
    </row>
    <row r="700" spans="1:20" x14ac:dyDescent="0.25">
      <c r="A700" s="6"/>
      <c r="B700" s="6"/>
    </row>
    <row r="701" spans="1:20" x14ac:dyDescent="0.25">
      <c r="A701" s="4" t="s">
        <v>60</v>
      </c>
      <c r="B701" s="6"/>
      <c r="P701" t="s">
        <v>213</v>
      </c>
      <c r="Q701">
        <v>5.6</v>
      </c>
      <c r="T701" t="s">
        <v>308</v>
      </c>
    </row>
    <row r="702" spans="1:20" x14ac:dyDescent="0.25">
      <c r="A702" s="4" t="s">
        <v>61</v>
      </c>
      <c r="B702" s="6"/>
      <c r="P702" t="s">
        <v>213</v>
      </c>
      <c r="Q702" s="26">
        <v>3</v>
      </c>
      <c r="T702" t="s">
        <v>308</v>
      </c>
    </row>
    <row r="703" spans="1:20" x14ac:dyDescent="0.25">
      <c r="A703" s="4" t="s">
        <v>62</v>
      </c>
      <c r="B703" s="6"/>
      <c r="P703" t="s">
        <v>213</v>
      </c>
      <c r="Q703" s="24">
        <f>AVERAGE(Q701:Q702)</f>
        <v>4.3</v>
      </c>
      <c r="S703" s="6" t="s">
        <v>307</v>
      </c>
    </row>
    <row r="704" spans="1:20" x14ac:dyDescent="0.25">
      <c r="A704" s="4" t="s">
        <v>63</v>
      </c>
      <c r="B704" s="6"/>
      <c r="P704" t="s">
        <v>213</v>
      </c>
      <c r="Q704" s="24">
        <f>AVERAGE(Q701:Q702)</f>
        <v>4.3</v>
      </c>
    </row>
    <row r="705" spans="1:20" x14ac:dyDescent="0.25">
      <c r="A705" s="4" t="s">
        <v>64</v>
      </c>
      <c r="B705" s="6"/>
      <c r="P705" t="s">
        <v>213</v>
      </c>
      <c r="Q705" s="24">
        <f>AVERAGE(Q701:Q702)</f>
        <v>4.3</v>
      </c>
    </row>
    <row r="706" spans="1:20" x14ac:dyDescent="0.25">
      <c r="A706" s="4" t="s">
        <v>65</v>
      </c>
      <c r="B706" s="6"/>
      <c r="P706" t="s">
        <v>213</v>
      </c>
      <c r="Q706" s="24">
        <f>AVERAGE(Q701:Q702)</f>
        <v>4.3</v>
      </c>
    </row>
    <row r="707" spans="1:20" x14ac:dyDescent="0.25">
      <c r="A707" s="4" t="s">
        <v>66</v>
      </c>
      <c r="B707" s="6"/>
      <c r="P707" t="s">
        <v>213</v>
      </c>
      <c r="Q707" s="24">
        <f>AVERAGE(Q701:Q702)</f>
        <v>4.3</v>
      </c>
    </row>
    <row r="708" spans="1:20" x14ac:dyDescent="0.25">
      <c r="A708" s="6"/>
      <c r="B708" s="6"/>
    </row>
    <row r="709" spans="1:20" x14ac:dyDescent="0.25">
      <c r="A709" s="2" t="s">
        <v>282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3"/>
      <c r="T709" s="3"/>
    </row>
    <row r="711" spans="1:20" x14ac:dyDescent="0.25">
      <c r="P711" s="5" t="s">
        <v>235</v>
      </c>
      <c r="Q711" s="23">
        <v>1.2</v>
      </c>
      <c r="R711" s="5"/>
      <c r="S711" s="5" t="s">
        <v>314</v>
      </c>
    </row>
    <row r="713" spans="1:20" x14ac:dyDescent="0.25">
      <c r="A713" s="2" t="s">
        <v>165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</row>
    <row r="714" spans="1:20" x14ac:dyDescent="0.25">
      <c r="O714" s="5" t="s">
        <v>120</v>
      </c>
      <c r="P714" s="5" t="s">
        <v>148</v>
      </c>
      <c r="Q714" s="13">
        <v>0</v>
      </c>
      <c r="R714" s="5" t="s">
        <v>121</v>
      </c>
      <c r="S714" s="5" t="s">
        <v>152</v>
      </c>
    </row>
    <row r="715" spans="1:20" x14ac:dyDescent="0.25">
      <c r="A715" s="1" t="s">
        <v>153</v>
      </c>
      <c r="B715" s="1"/>
      <c r="C715" s="1"/>
      <c r="O715" s="5"/>
      <c r="P715" s="5"/>
      <c r="Q715" s="13"/>
      <c r="R715" s="5"/>
      <c r="S715" s="5"/>
    </row>
    <row r="716" spans="1:20" x14ac:dyDescent="0.25">
      <c r="G716" t="s">
        <v>114</v>
      </c>
      <c r="O716" t="s">
        <v>120</v>
      </c>
      <c r="P716" t="s">
        <v>148</v>
      </c>
      <c r="Q716" s="11">
        <f>8/1000*(14/(1*14+3*2))*100</f>
        <v>0.55999999999999994</v>
      </c>
      <c r="R716" t="s">
        <v>121</v>
      </c>
      <c r="S716" s="4" t="s">
        <v>122</v>
      </c>
      <c r="T716" t="s">
        <v>265</v>
      </c>
    </row>
    <row r="717" spans="1:20" x14ac:dyDescent="0.25">
      <c r="G717" t="s">
        <v>115</v>
      </c>
      <c r="O717" t="s">
        <v>120</v>
      </c>
      <c r="P717" t="s">
        <v>148</v>
      </c>
      <c r="Q717" s="11">
        <f>15/1000*(14/(1*14+3*2))*100</f>
        <v>1.0499999999999998</v>
      </c>
      <c r="R717" t="s">
        <v>121</v>
      </c>
      <c r="T717" t="s">
        <v>265</v>
      </c>
    </row>
    <row r="718" spans="1:20" x14ac:dyDescent="0.25">
      <c r="G718" t="s">
        <v>113</v>
      </c>
      <c r="O718" t="s">
        <v>120</v>
      </c>
      <c r="P718" t="s">
        <v>148</v>
      </c>
      <c r="Q718" s="11">
        <f>50/1000*(14/(1*14+3*2))*100</f>
        <v>3.4999999999999996</v>
      </c>
      <c r="R718" t="s">
        <v>121</v>
      </c>
      <c r="T718" t="s">
        <v>265</v>
      </c>
    </row>
    <row r="719" spans="1:20" x14ac:dyDescent="0.25">
      <c r="A719" s="1" t="s">
        <v>154</v>
      </c>
      <c r="B719" s="1"/>
      <c r="C719" s="1"/>
      <c r="D719" s="6" t="s">
        <v>173</v>
      </c>
    </row>
    <row r="720" spans="1:20" x14ac:dyDescent="0.25">
      <c r="I720" t="s">
        <v>127</v>
      </c>
      <c r="J720" t="s">
        <v>128</v>
      </c>
      <c r="K720" t="s">
        <v>129</v>
      </c>
      <c r="L720" t="s">
        <v>139</v>
      </c>
      <c r="O720" t="s">
        <v>120</v>
      </c>
      <c r="P720" t="s">
        <v>148</v>
      </c>
      <c r="Q720">
        <v>33</v>
      </c>
      <c r="R720" t="s">
        <v>121</v>
      </c>
      <c r="T720" t="s">
        <v>155</v>
      </c>
    </row>
    <row r="721" spans="9:20" x14ac:dyDescent="0.25">
      <c r="I721" t="s">
        <v>127</v>
      </c>
      <c r="J721" t="s">
        <v>128</v>
      </c>
      <c r="K721" t="s">
        <v>129</v>
      </c>
      <c r="L721" t="s">
        <v>140</v>
      </c>
      <c r="O721" t="s">
        <v>120</v>
      </c>
      <c r="P721" t="s">
        <v>148</v>
      </c>
      <c r="Q721">
        <v>38</v>
      </c>
      <c r="R721" t="s">
        <v>121</v>
      </c>
      <c r="T721" t="s">
        <v>155</v>
      </c>
    </row>
    <row r="722" spans="9:20" x14ac:dyDescent="0.25">
      <c r="I722" t="s">
        <v>127</v>
      </c>
      <c r="J722" t="s">
        <v>128</v>
      </c>
      <c r="K722" t="s">
        <v>129</v>
      </c>
      <c r="L722" t="s">
        <v>141</v>
      </c>
      <c r="O722" t="s">
        <v>120</v>
      </c>
      <c r="P722" t="s">
        <v>148</v>
      </c>
      <c r="Q722">
        <v>41</v>
      </c>
      <c r="R722" t="s">
        <v>121</v>
      </c>
      <c r="T722" t="s">
        <v>155</v>
      </c>
    </row>
    <row r="723" spans="9:20" x14ac:dyDescent="0.25">
      <c r="I723" t="s">
        <v>127</v>
      </c>
      <c r="J723" t="s">
        <v>128</v>
      </c>
      <c r="K723" t="s">
        <v>129</v>
      </c>
      <c r="L723" t="s">
        <v>188</v>
      </c>
      <c r="O723" t="s">
        <v>120</v>
      </c>
      <c r="P723" t="s">
        <v>148</v>
      </c>
      <c r="Q723">
        <v>33</v>
      </c>
      <c r="R723" t="s">
        <v>121</v>
      </c>
      <c r="T723" t="s">
        <v>155</v>
      </c>
    </row>
    <row r="724" spans="9:20" x14ac:dyDescent="0.25">
      <c r="I724" t="s">
        <v>127</v>
      </c>
      <c r="J724" t="s">
        <v>130</v>
      </c>
      <c r="K724" t="s">
        <v>129</v>
      </c>
      <c r="L724" t="s">
        <v>139</v>
      </c>
      <c r="O724" t="s">
        <v>120</v>
      </c>
      <c r="P724" t="s">
        <v>148</v>
      </c>
      <c r="Q724">
        <v>32</v>
      </c>
      <c r="R724" t="s">
        <v>121</v>
      </c>
      <c r="T724" t="s">
        <v>155</v>
      </c>
    </row>
    <row r="725" spans="9:20" x14ac:dyDescent="0.25">
      <c r="I725" t="s">
        <v>127</v>
      </c>
      <c r="J725" t="s">
        <v>130</v>
      </c>
      <c r="K725" t="s">
        <v>129</v>
      </c>
      <c r="L725" t="s">
        <v>140</v>
      </c>
      <c r="O725" t="s">
        <v>120</v>
      </c>
      <c r="P725" t="s">
        <v>148</v>
      </c>
      <c r="Q725">
        <v>39</v>
      </c>
      <c r="R725" t="s">
        <v>121</v>
      </c>
      <c r="T725" t="s">
        <v>155</v>
      </c>
    </row>
    <row r="726" spans="9:20" x14ac:dyDescent="0.25">
      <c r="I726" t="s">
        <v>127</v>
      </c>
      <c r="J726" t="s">
        <v>130</v>
      </c>
      <c r="K726" t="s">
        <v>129</v>
      </c>
      <c r="L726" t="s">
        <v>141</v>
      </c>
      <c r="O726" t="s">
        <v>120</v>
      </c>
      <c r="P726" t="s">
        <v>148</v>
      </c>
      <c r="Q726">
        <v>46</v>
      </c>
      <c r="R726" t="s">
        <v>121</v>
      </c>
      <c r="T726" t="s">
        <v>155</v>
      </c>
    </row>
    <row r="727" spans="9:20" x14ac:dyDescent="0.25">
      <c r="I727" t="s">
        <v>127</v>
      </c>
      <c r="J727" t="s">
        <v>130</v>
      </c>
      <c r="K727" t="s">
        <v>129</v>
      </c>
      <c r="L727" t="s">
        <v>188</v>
      </c>
      <c r="O727" t="s">
        <v>120</v>
      </c>
      <c r="P727" t="s">
        <v>148</v>
      </c>
      <c r="Q727">
        <v>32</v>
      </c>
      <c r="R727" t="s">
        <v>121</v>
      </c>
      <c r="T727" t="s">
        <v>155</v>
      </c>
    </row>
    <row r="728" spans="9:20" x14ac:dyDescent="0.25">
      <c r="I728" t="s">
        <v>127</v>
      </c>
      <c r="K728" t="s">
        <v>131</v>
      </c>
      <c r="L728" t="s">
        <v>139</v>
      </c>
      <c r="O728" t="s">
        <v>120</v>
      </c>
      <c r="P728" t="s">
        <v>148</v>
      </c>
      <c r="Q728">
        <v>32</v>
      </c>
      <c r="R728" t="s">
        <v>121</v>
      </c>
      <c r="T728" t="s">
        <v>155</v>
      </c>
    </row>
    <row r="729" spans="9:20" x14ac:dyDescent="0.25">
      <c r="I729" t="s">
        <v>127</v>
      </c>
      <c r="K729" t="s">
        <v>131</v>
      </c>
      <c r="L729" t="s">
        <v>140</v>
      </c>
      <c r="O729" t="s">
        <v>120</v>
      </c>
      <c r="P729" t="s">
        <v>148</v>
      </c>
      <c r="Q729">
        <v>38</v>
      </c>
      <c r="R729" t="s">
        <v>121</v>
      </c>
      <c r="T729" t="s">
        <v>155</v>
      </c>
    </row>
    <row r="730" spans="9:20" x14ac:dyDescent="0.25">
      <c r="I730" t="s">
        <v>127</v>
      </c>
      <c r="K730" t="s">
        <v>131</v>
      </c>
      <c r="L730" t="s">
        <v>141</v>
      </c>
      <c r="O730" t="s">
        <v>120</v>
      </c>
      <c r="P730" t="s">
        <v>148</v>
      </c>
      <c r="Q730">
        <v>47</v>
      </c>
      <c r="R730" t="s">
        <v>121</v>
      </c>
      <c r="T730" t="s">
        <v>155</v>
      </c>
    </row>
    <row r="731" spans="9:20" x14ac:dyDescent="0.25">
      <c r="I731" t="s">
        <v>127</v>
      </c>
      <c r="K731" t="s">
        <v>131</v>
      </c>
      <c r="L731" t="s">
        <v>188</v>
      </c>
      <c r="O731" t="s">
        <v>120</v>
      </c>
      <c r="P731" t="s">
        <v>148</v>
      </c>
      <c r="Q731">
        <v>32</v>
      </c>
      <c r="R731" t="s">
        <v>121</v>
      </c>
      <c r="T731" t="s">
        <v>155</v>
      </c>
    </row>
    <row r="732" spans="9:20" x14ac:dyDescent="0.25">
      <c r="I732" t="s">
        <v>127</v>
      </c>
      <c r="K732" t="s">
        <v>132</v>
      </c>
      <c r="L732" t="s">
        <v>139</v>
      </c>
      <c r="O732" t="s">
        <v>120</v>
      </c>
      <c r="P732" t="s">
        <v>148</v>
      </c>
      <c r="Q732">
        <v>33</v>
      </c>
      <c r="R732" t="s">
        <v>121</v>
      </c>
      <c r="T732" t="s">
        <v>155</v>
      </c>
    </row>
    <row r="733" spans="9:20" x14ac:dyDescent="0.25">
      <c r="I733" t="s">
        <v>127</v>
      </c>
      <c r="K733" t="s">
        <v>132</v>
      </c>
      <c r="L733" t="s">
        <v>140</v>
      </c>
      <c r="O733" t="s">
        <v>120</v>
      </c>
      <c r="P733" t="s">
        <v>148</v>
      </c>
      <c r="Q733">
        <v>39</v>
      </c>
      <c r="R733" t="s">
        <v>121</v>
      </c>
      <c r="T733" t="s">
        <v>155</v>
      </c>
    </row>
    <row r="734" spans="9:20" x14ac:dyDescent="0.25">
      <c r="I734" t="s">
        <v>127</v>
      </c>
      <c r="K734" t="s">
        <v>132</v>
      </c>
      <c r="L734" t="s">
        <v>141</v>
      </c>
      <c r="O734" t="s">
        <v>120</v>
      </c>
      <c r="P734" t="s">
        <v>148</v>
      </c>
      <c r="Q734">
        <v>47</v>
      </c>
      <c r="R734" t="s">
        <v>121</v>
      </c>
      <c r="T734" t="s">
        <v>155</v>
      </c>
    </row>
    <row r="735" spans="9:20" x14ac:dyDescent="0.25">
      <c r="I735" t="s">
        <v>127</v>
      </c>
      <c r="K735" t="s">
        <v>132</v>
      </c>
      <c r="L735" t="s">
        <v>188</v>
      </c>
      <c r="O735" t="s">
        <v>120</v>
      </c>
      <c r="P735" t="s">
        <v>148</v>
      </c>
      <c r="Q735">
        <v>33</v>
      </c>
      <c r="R735" t="s">
        <v>121</v>
      </c>
      <c r="T735" t="s">
        <v>155</v>
      </c>
    </row>
    <row r="736" spans="9:20" x14ac:dyDescent="0.25">
      <c r="I736" t="s">
        <v>127</v>
      </c>
      <c r="L736" t="s">
        <v>139</v>
      </c>
      <c r="O736" t="s">
        <v>120</v>
      </c>
      <c r="P736" t="s">
        <v>148</v>
      </c>
      <c r="Q736">
        <v>32</v>
      </c>
      <c r="R736" t="s">
        <v>121</v>
      </c>
      <c r="S736" t="s">
        <v>142</v>
      </c>
      <c r="T736" t="s">
        <v>155</v>
      </c>
    </row>
    <row r="737" spans="9:20" x14ac:dyDescent="0.25">
      <c r="I737" t="s">
        <v>127</v>
      </c>
      <c r="L737" t="s">
        <v>140</v>
      </c>
      <c r="O737" t="s">
        <v>120</v>
      </c>
      <c r="P737" t="s">
        <v>148</v>
      </c>
      <c r="Q737">
        <v>39</v>
      </c>
      <c r="R737" t="s">
        <v>121</v>
      </c>
      <c r="S737" t="s">
        <v>142</v>
      </c>
      <c r="T737" t="s">
        <v>155</v>
      </c>
    </row>
    <row r="738" spans="9:20" x14ac:dyDescent="0.25">
      <c r="I738" t="s">
        <v>127</v>
      </c>
      <c r="L738" t="s">
        <v>141</v>
      </c>
      <c r="O738" t="s">
        <v>120</v>
      </c>
      <c r="P738" t="s">
        <v>148</v>
      </c>
      <c r="Q738">
        <v>46</v>
      </c>
      <c r="R738" t="s">
        <v>121</v>
      </c>
      <c r="S738" t="s">
        <v>142</v>
      </c>
      <c r="T738" t="s">
        <v>155</v>
      </c>
    </row>
    <row r="739" spans="9:20" x14ac:dyDescent="0.25">
      <c r="I739" t="s">
        <v>127</v>
      </c>
      <c r="L739" t="s">
        <v>188</v>
      </c>
      <c r="O739" t="s">
        <v>120</v>
      </c>
      <c r="P739" t="s">
        <v>148</v>
      </c>
      <c r="Q739">
        <v>32</v>
      </c>
      <c r="R739" t="s">
        <v>121</v>
      </c>
      <c r="S739" t="s">
        <v>142</v>
      </c>
      <c r="T739" t="s">
        <v>155</v>
      </c>
    </row>
    <row r="740" spans="9:20" x14ac:dyDescent="0.25">
      <c r="I740" t="s">
        <v>127</v>
      </c>
      <c r="L740" t="s">
        <v>157</v>
      </c>
      <c r="O740" t="s">
        <v>120</v>
      </c>
      <c r="P740" t="s">
        <v>148</v>
      </c>
      <c r="Q740">
        <v>14</v>
      </c>
      <c r="R740" t="s">
        <v>121</v>
      </c>
      <c r="T740" t="s">
        <v>172</v>
      </c>
    </row>
    <row r="741" spans="9:20" x14ac:dyDescent="0.25">
      <c r="I741" t="s">
        <v>145</v>
      </c>
      <c r="L741" t="s">
        <v>140</v>
      </c>
      <c r="O741" t="s">
        <v>120</v>
      </c>
      <c r="P741" t="s">
        <v>148</v>
      </c>
      <c r="Q741">
        <v>43</v>
      </c>
      <c r="R741" t="s">
        <v>121</v>
      </c>
      <c r="T741" t="s">
        <v>155</v>
      </c>
    </row>
    <row r="742" spans="9:20" x14ac:dyDescent="0.25">
      <c r="I742" t="s">
        <v>145</v>
      </c>
      <c r="L742" t="s">
        <v>141</v>
      </c>
      <c r="O742" t="s">
        <v>120</v>
      </c>
      <c r="P742" t="s">
        <v>148</v>
      </c>
      <c r="Q742">
        <v>47</v>
      </c>
      <c r="R742" t="s">
        <v>121</v>
      </c>
      <c r="T742" t="s">
        <v>155</v>
      </c>
    </row>
    <row r="743" spans="9:20" x14ac:dyDescent="0.25">
      <c r="I743" t="s">
        <v>145</v>
      </c>
      <c r="L743" t="s">
        <v>189</v>
      </c>
      <c r="O743" t="s">
        <v>120</v>
      </c>
      <c r="P743" t="s">
        <v>148</v>
      </c>
      <c r="Q743">
        <v>43</v>
      </c>
      <c r="R743" t="s">
        <v>121</v>
      </c>
      <c r="T743" t="s">
        <v>155</v>
      </c>
    </row>
    <row r="744" spans="9:20" x14ac:dyDescent="0.25">
      <c r="I744" t="s">
        <v>145</v>
      </c>
      <c r="L744" t="s">
        <v>157</v>
      </c>
      <c r="O744" t="s">
        <v>120</v>
      </c>
      <c r="P744" t="s">
        <v>148</v>
      </c>
      <c r="Q744">
        <v>35</v>
      </c>
      <c r="R744" t="s">
        <v>121</v>
      </c>
      <c r="T744" t="s">
        <v>172</v>
      </c>
    </row>
    <row r="745" spans="9:20" x14ac:dyDescent="0.25">
      <c r="I745" t="s">
        <v>190</v>
      </c>
      <c r="L745" t="s">
        <v>140</v>
      </c>
      <c r="O745" t="s">
        <v>120</v>
      </c>
      <c r="P745" t="s">
        <v>148</v>
      </c>
      <c r="Q745">
        <v>43</v>
      </c>
      <c r="R745" t="s">
        <v>121</v>
      </c>
      <c r="T745" t="s">
        <v>155</v>
      </c>
    </row>
    <row r="746" spans="9:20" x14ac:dyDescent="0.25">
      <c r="I746" t="s">
        <v>190</v>
      </c>
      <c r="L746" t="s">
        <v>157</v>
      </c>
      <c r="O746" t="s">
        <v>120</v>
      </c>
      <c r="P746" t="s">
        <v>148</v>
      </c>
      <c r="Q746">
        <v>9</v>
      </c>
      <c r="R746" t="s">
        <v>121</v>
      </c>
      <c r="T746" t="s">
        <v>172</v>
      </c>
    </row>
    <row r="747" spans="9:20" x14ac:dyDescent="0.25">
      <c r="I747" t="s">
        <v>133</v>
      </c>
      <c r="K747" t="s">
        <v>134</v>
      </c>
      <c r="L747" t="s">
        <v>139</v>
      </c>
      <c r="O747" t="s">
        <v>120</v>
      </c>
      <c r="P747" t="s">
        <v>148</v>
      </c>
      <c r="Q747">
        <v>30</v>
      </c>
      <c r="R747" t="s">
        <v>121</v>
      </c>
      <c r="T747" t="s">
        <v>155</v>
      </c>
    </row>
    <row r="748" spans="9:20" x14ac:dyDescent="0.25">
      <c r="I748" t="s">
        <v>133</v>
      </c>
      <c r="K748" t="s">
        <v>134</v>
      </c>
      <c r="L748" t="s">
        <v>140</v>
      </c>
      <c r="O748" t="s">
        <v>120</v>
      </c>
      <c r="P748" t="s">
        <v>148</v>
      </c>
      <c r="Q748">
        <v>35</v>
      </c>
      <c r="R748" t="s">
        <v>121</v>
      </c>
      <c r="T748" t="s">
        <v>155</v>
      </c>
    </row>
    <row r="749" spans="9:20" x14ac:dyDescent="0.25">
      <c r="I749" t="s">
        <v>133</v>
      </c>
      <c r="K749" t="s">
        <v>134</v>
      </c>
      <c r="L749" t="s">
        <v>141</v>
      </c>
      <c r="O749" t="s">
        <v>120</v>
      </c>
      <c r="P749" t="s">
        <v>148</v>
      </c>
      <c r="Q749">
        <v>48</v>
      </c>
      <c r="R749" t="s">
        <v>121</v>
      </c>
      <c r="T749" t="s">
        <v>155</v>
      </c>
    </row>
    <row r="750" spans="9:20" x14ac:dyDescent="0.25">
      <c r="I750" t="s">
        <v>133</v>
      </c>
      <c r="K750" t="s">
        <v>134</v>
      </c>
      <c r="L750" t="s">
        <v>188</v>
      </c>
      <c r="O750" t="s">
        <v>120</v>
      </c>
      <c r="P750" t="s">
        <v>148</v>
      </c>
      <c r="Q750">
        <v>30</v>
      </c>
      <c r="R750" t="s">
        <v>121</v>
      </c>
      <c r="T750" t="s">
        <v>155</v>
      </c>
    </row>
    <row r="751" spans="9:20" x14ac:dyDescent="0.25">
      <c r="I751" t="s">
        <v>133</v>
      </c>
      <c r="K751" t="s">
        <v>137</v>
      </c>
      <c r="L751" t="s">
        <v>139</v>
      </c>
      <c r="O751" t="s">
        <v>120</v>
      </c>
      <c r="P751" t="s">
        <v>148</v>
      </c>
      <c r="Q751" s="12">
        <f>Q747</f>
        <v>30</v>
      </c>
      <c r="R751" t="s">
        <v>121</v>
      </c>
      <c r="S751" t="s">
        <v>144</v>
      </c>
    </row>
    <row r="752" spans="9:20" x14ac:dyDescent="0.25">
      <c r="I752" t="s">
        <v>133</v>
      </c>
      <c r="K752" t="s">
        <v>137</v>
      </c>
      <c r="L752" t="s">
        <v>140</v>
      </c>
      <c r="O752" t="s">
        <v>120</v>
      </c>
      <c r="P752" t="s">
        <v>148</v>
      </c>
      <c r="Q752" s="12">
        <f>Q748</f>
        <v>35</v>
      </c>
      <c r="R752" t="s">
        <v>121</v>
      </c>
      <c r="S752" t="s">
        <v>144</v>
      </c>
    </row>
    <row r="753" spans="9:20" x14ac:dyDescent="0.25">
      <c r="I753" t="s">
        <v>133</v>
      </c>
      <c r="K753" t="s">
        <v>137</v>
      </c>
      <c r="L753" t="s">
        <v>141</v>
      </c>
      <c r="O753" t="s">
        <v>120</v>
      </c>
      <c r="P753" t="s">
        <v>148</v>
      </c>
      <c r="Q753" s="12">
        <f>Q749</f>
        <v>48</v>
      </c>
      <c r="R753" t="s">
        <v>121</v>
      </c>
      <c r="S753" t="s">
        <v>144</v>
      </c>
    </row>
    <row r="754" spans="9:20" x14ac:dyDescent="0.25">
      <c r="I754" t="s">
        <v>133</v>
      </c>
      <c r="K754" t="s">
        <v>137</v>
      </c>
      <c r="L754" t="s">
        <v>188</v>
      </c>
      <c r="O754" t="s">
        <v>120</v>
      </c>
      <c r="P754" t="s">
        <v>148</v>
      </c>
      <c r="Q754" s="12">
        <f>Q750</f>
        <v>30</v>
      </c>
      <c r="R754" t="s">
        <v>121</v>
      </c>
      <c r="S754" t="s">
        <v>144</v>
      </c>
    </row>
    <row r="755" spans="9:20" x14ac:dyDescent="0.25">
      <c r="I755" t="s">
        <v>133</v>
      </c>
      <c r="K755" t="s">
        <v>135</v>
      </c>
      <c r="L755" t="s">
        <v>139</v>
      </c>
      <c r="O755" t="s">
        <v>120</v>
      </c>
      <c r="P755" t="s">
        <v>148</v>
      </c>
      <c r="Q755">
        <v>29</v>
      </c>
      <c r="R755" t="s">
        <v>121</v>
      </c>
      <c r="T755" t="s">
        <v>155</v>
      </c>
    </row>
    <row r="756" spans="9:20" x14ac:dyDescent="0.25">
      <c r="I756" t="s">
        <v>133</v>
      </c>
      <c r="K756" t="s">
        <v>135</v>
      </c>
      <c r="L756" t="s">
        <v>140</v>
      </c>
      <c r="O756" t="s">
        <v>120</v>
      </c>
      <c r="P756" t="s">
        <v>148</v>
      </c>
      <c r="Q756">
        <v>34</v>
      </c>
      <c r="R756" t="s">
        <v>121</v>
      </c>
      <c r="T756" t="s">
        <v>155</v>
      </c>
    </row>
    <row r="757" spans="9:20" x14ac:dyDescent="0.25">
      <c r="I757" t="s">
        <v>133</v>
      </c>
      <c r="K757" t="s">
        <v>135</v>
      </c>
      <c r="L757" t="s">
        <v>141</v>
      </c>
      <c r="O757" t="s">
        <v>120</v>
      </c>
      <c r="P757" t="s">
        <v>148</v>
      </c>
      <c r="Q757">
        <v>46</v>
      </c>
      <c r="R757" t="s">
        <v>121</v>
      </c>
      <c r="T757" t="s">
        <v>155</v>
      </c>
    </row>
    <row r="758" spans="9:20" x14ac:dyDescent="0.25">
      <c r="I758" t="s">
        <v>133</v>
      </c>
      <c r="K758" t="s">
        <v>135</v>
      </c>
      <c r="L758" t="s">
        <v>188</v>
      </c>
      <c r="O758" t="s">
        <v>120</v>
      </c>
      <c r="P758" t="s">
        <v>148</v>
      </c>
      <c r="Q758">
        <v>29</v>
      </c>
      <c r="R758" t="s">
        <v>121</v>
      </c>
      <c r="T758" t="s">
        <v>155</v>
      </c>
    </row>
    <row r="759" spans="9:20" x14ac:dyDescent="0.25">
      <c r="I759" t="s">
        <v>133</v>
      </c>
      <c r="K759" t="s">
        <v>136</v>
      </c>
      <c r="L759" t="s">
        <v>139</v>
      </c>
      <c r="O759" t="s">
        <v>120</v>
      </c>
      <c r="P759" t="s">
        <v>148</v>
      </c>
      <c r="Q759">
        <v>29</v>
      </c>
      <c r="R759" t="s">
        <v>121</v>
      </c>
      <c r="T759" t="s">
        <v>155</v>
      </c>
    </row>
    <row r="760" spans="9:20" x14ac:dyDescent="0.25">
      <c r="I760" t="s">
        <v>133</v>
      </c>
      <c r="K760" t="s">
        <v>136</v>
      </c>
      <c r="L760" t="s">
        <v>140</v>
      </c>
      <c r="O760" t="s">
        <v>120</v>
      </c>
      <c r="P760" t="s">
        <v>148</v>
      </c>
      <c r="Q760">
        <v>35</v>
      </c>
      <c r="R760" t="s">
        <v>121</v>
      </c>
      <c r="T760" t="s">
        <v>155</v>
      </c>
    </row>
    <row r="761" spans="9:20" x14ac:dyDescent="0.25">
      <c r="I761" t="s">
        <v>133</v>
      </c>
      <c r="K761" t="s">
        <v>136</v>
      </c>
      <c r="L761" t="s">
        <v>141</v>
      </c>
      <c r="O761" t="s">
        <v>120</v>
      </c>
      <c r="P761" t="s">
        <v>148</v>
      </c>
      <c r="Q761">
        <v>48</v>
      </c>
      <c r="R761" t="s">
        <v>121</v>
      </c>
      <c r="T761" t="s">
        <v>155</v>
      </c>
    </row>
    <row r="762" spans="9:20" x14ac:dyDescent="0.25">
      <c r="I762" t="s">
        <v>133</v>
      </c>
      <c r="K762" t="s">
        <v>136</v>
      </c>
      <c r="L762" t="s">
        <v>188</v>
      </c>
      <c r="O762" t="s">
        <v>120</v>
      </c>
      <c r="P762" t="s">
        <v>148</v>
      </c>
      <c r="Q762">
        <v>29</v>
      </c>
      <c r="R762" t="s">
        <v>121</v>
      </c>
      <c r="T762" t="s">
        <v>155</v>
      </c>
    </row>
    <row r="763" spans="9:20" x14ac:dyDescent="0.25">
      <c r="I763" t="s">
        <v>133</v>
      </c>
      <c r="L763" t="s">
        <v>139</v>
      </c>
      <c r="O763" t="s">
        <v>120</v>
      </c>
      <c r="P763" t="s">
        <v>148</v>
      </c>
      <c r="Q763">
        <v>29</v>
      </c>
      <c r="R763" t="s">
        <v>121</v>
      </c>
      <c r="S763" t="s">
        <v>143</v>
      </c>
      <c r="T763" t="s">
        <v>155</v>
      </c>
    </row>
    <row r="764" spans="9:20" x14ac:dyDescent="0.25">
      <c r="I764" t="s">
        <v>133</v>
      </c>
      <c r="L764" t="s">
        <v>140</v>
      </c>
      <c r="O764" t="s">
        <v>120</v>
      </c>
      <c r="P764" t="s">
        <v>148</v>
      </c>
      <c r="Q764">
        <v>35</v>
      </c>
      <c r="R764" t="s">
        <v>121</v>
      </c>
      <c r="S764" t="s">
        <v>143</v>
      </c>
      <c r="T764" t="s">
        <v>155</v>
      </c>
    </row>
    <row r="765" spans="9:20" x14ac:dyDescent="0.25">
      <c r="I765" t="s">
        <v>133</v>
      </c>
      <c r="L765" t="s">
        <v>141</v>
      </c>
      <c r="O765" t="s">
        <v>120</v>
      </c>
      <c r="P765" t="s">
        <v>148</v>
      </c>
      <c r="Q765">
        <v>44</v>
      </c>
      <c r="R765" t="s">
        <v>121</v>
      </c>
      <c r="S765" t="s">
        <v>143</v>
      </c>
      <c r="T765" t="s">
        <v>155</v>
      </c>
    </row>
    <row r="766" spans="9:20" x14ac:dyDescent="0.25">
      <c r="I766" t="s">
        <v>133</v>
      </c>
      <c r="L766" t="s">
        <v>188</v>
      </c>
      <c r="O766" t="s">
        <v>120</v>
      </c>
      <c r="P766" t="s">
        <v>148</v>
      </c>
      <c r="Q766">
        <v>29</v>
      </c>
      <c r="R766" t="s">
        <v>121</v>
      </c>
      <c r="S766" t="s">
        <v>143</v>
      </c>
      <c r="T766" t="s">
        <v>155</v>
      </c>
    </row>
    <row r="767" spans="9:20" x14ac:dyDescent="0.25">
      <c r="I767" t="s">
        <v>138</v>
      </c>
      <c r="L767" t="s">
        <v>139</v>
      </c>
      <c r="O767" t="s">
        <v>120</v>
      </c>
      <c r="P767" t="s">
        <v>148</v>
      </c>
      <c r="Q767">
        <v>29</v>
      </c>
      <c r="R767" t="s">
        <v>121</v>
      </c>
      <c r="T767" t="s">
        <v>155</v>
      </c>
    </row>
    <row r="768" spans="9:20" x14ac:dyDescent="0.25">
      <c r="I768" t="s">
        <v>138</v>
      </c>
      <c r="L768" t="s">
        <v>140</v>
      </c>
      <c r="O768" t="s">
        <v>120</v>
      </c>
      <c r="P768" t="s">
        <v>148</v>
      </c>
      <c r="Q768">
        <v>40</v>
      </c>
      <c r="R768" t="s">
        <v>121</v>
      </c>
      <c r="T768" t="s">
        <v>155</v>
      </c>
    </row>
    <row r="769" spans="1:20" x14ac:dyDescent="0.25">
      <c r="I769" t="s">
        <v>138</v>
      </c>
      <c r="L769" t="s">
        <v>141</v>
      </c>
      <c r="O769" t="s">
        <v>120</v>
      </c>
      <c r="P769" t="s">
        <v>148</v>
      </c>
      <c r="Q769">
        <v>56</v>
      </c>
      <c r="R769" t="s">
        <v>121</v>
      </c>
      <c r="T769" t="s">
        <v>155</v>
      </c>
    </row>
    <row r="770" spans="1:20" x14ac:dyDescent="0.25">
      <c r="I770" t="s">
        <v>138</v>
      </c>
      <c r="K770" t="s">
        <v>191</v>
      </c>
      <c r="L770" t="s">
        <v>139</v>
      </c>
      <c r="O770" t="s">
        <v>120</v>
      </c>
      <c r="P770" t="s">
        <v>148</v>
      </c>
      <c r="Q770">
        <v>30</v>
      </c>
      <c r="R770" t="s">
        <v>121</v>
      </c>
      <c r="T770" t="s">
        <v>155</v>
      </c>
    </row>
    <row r="771" spans="1:20" x14ac:dyDescent="0.25">
      <c r="I771" t="s">
        <v>138</v>
      </c>
      <c r="K771" t="s">
        <v>191</v>
      </c>
      <c r="L771" t="s">
        <v>140</v>
      </c>
      <c r="O771" t="s">
        <v>120</v>
      </c>
      <c r="P771" t="s">
        <v>148</v>
      </c>
      <c r="Q771">
        <v>41</v>
      </c>
      <c r="R771" t="s">
        <v>121</v>
      </c>
      <c r="T771" t="s">
        <v>155</v>
      </c>
    </row>
    <row r="772" spans="1:20" x14ac:dyDescent="0.25">
      <c r="I772" t="s">
        <v>138</v>
      </c>
      <c r="K772" t="s">
        <v>191</v>
      </c>
      <c r="L772" t="s">
        <v>141</v>
      </c>
      <c r="O772" t="s">
        <v>120</v>
      </c>
      <c r="P772" t="s">
        <v>148</v>
      </c>
      <c r="Q772">
        <v>56</v>
      </c>
      <c r="R772" t="s">
        <v>121</v>
      </c>
      <c r="T772" t="s">
        <v>155</v>
      </c>
    </row>
    <row r="773" spans="1:20" x14ac:dyDescent="0.25">
      <c r="I773" t="s">
        <v>138</v>
      </c>
      <c r="K773" t="s">
        <v>192</v>
      </c>
      <c r="L773" t="s">
        <v>140</v>
      </c>
      <c r="O773" t="s">
        <v>120</v>
      </c>
      <c r="P773" t="s">
        <v>148</v>
      </c>
      <c r="Q773">
        <v>41</v>
      </c>
      <c r="R773" t="s">
        <v>121</v>
      </c>
      <c r="T773" t="s">
        <v>155</v>
      </c>
    </row>
    <row r="774" spans="1:20" x14ac:dyDescent="0.25">
      <c r="I774" t="s">
        <v>138</v>
      </c>
      <c r="K774" t="s">
        <v>192</v>
      </c>
      <c r="L774" t="s">
        <v>141</v>
      </c>
      <c r="O774" t="s">
        <v>120</v>
      </c>
      <c r="P774" t="s">
        <v>148</v>
      </c>
      <c r="Q774">
        <v>41</v>
      </c>
      <c r="R774" t="s">
        <v>121</v>
      </c>
      <c r="T774" t="s">
        <v>155</v>
      </c>
    </row>
    <row r="776" spans="1:20" x14ac:dyDescent="0.25">
      <c r="A776" s="1" t="s">
        <v>263</v>
      </c>
    </row>
    <row r="777" spans="1:20" x14ac:dyDescent="0.25">
      <c r="H777" t="s">
        <v>188</v>
      </c>
      <c r="O777" t="s">
        <v>120</v>
      </c>
      <c r="P777" t="s">
        <v>148</v>
      </c>
      <c r="Q777" s="6">
        <v>30</v>
      </c>
      <c r="R777" t="s">
        <v>121</v>
      </c>
      <c r="S777" s="6" t="s">
        <v>266</v>
      </c>
    </row>
    <row r="779" spans="1:20" x14ac:dyDescent="0.25">
      <c r="A779" s="2" t="s">
        <v>166</v>
      </c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</row>
    <row r="781" spans="1:20" x14ac:dyDescent="0.25">
      <c r="O781" t="s">
        <v>156</v>
      </c>
      <c r="P781" t="s">
        <v>167</v>
      </c>
      <c r="Q781">
        <v>1</v>
      </c>
      <c r="R781" t="s">
        <v>116</v>
      </c>
      <c r="S781" t="s">
        <v>163</v>
      </c>
      <c r="T781" t="s">
        <v>159</v>
      </c>
    </row>
    <row r="782" spans="1:20" x14ac:dyDescent="0.25">
      <c r="O782" t="s">
        <v>156</v>
      </c>
      <c r="P782" t="s">
        <v>169</v>
      </c>
      <c r="Q782">
        <v>1</v>
      </c>
      <c r="R782" t="s">
        <v>116</v>
      </c>
      <c r="S782" t="s">
        <v>164</v>
      </c>
      <c r="T782" t="s">
        <v>159</v>
      </c>
    </row>
    <row r="783" spans="1:20" x14ac:dyDescent="0.25">
      <c r="I783" t="s">
        <v>127</v>
      </c>
      <c r="L783" t="s">
        <v>157</v>
      </c>
      <c r="O783" t="s">
        <v>156</v>
      </c>
      <c r="P783" t="s">
        <v>169</v>
      </c>
      <c r="Q783">
        <v>2</v>
      </c>
      <c r="R783" t="s">
        <v>116</v>
      </c>
      <c r="S783" t="s">
        <v>160</v>
      </c>
      <c r="T783" t="s">
        <v>158</v>
      </c>
    </row>
    <row r="784" spans="1:20" x14ac:dyDescent="0.25">
      <c r="L784" t="s">
        <v>157</v>
      </c>
      <c r="O784" t="s">
        <v>156</v>
      </c>
      <c r="P784" t="s">
        <v>169</v>
      </c>
      <c r="Q784">
        <v>1</v>
      </c>
      <c r="R784" t="s">
        <v>116</v>
      </c>
      <c r="S784" t="s">
        <v>161</v>
      </c>
      <c r="T784" t="s">
        <v>158</v>
      </c>
    </row>
    <row r="785" spans="1:20" x14ac:dyDescent="0.25">
      <c r="O785" t="s">
        <v>156</v>
      </c>
      <c r="P785" t="s">
        <v>168</v>
      </c>
      <c r="Q785">
        <v>1</v>
      </c>
      <c r="R785" t="s">
        <v>116</v>
      </c>
      <c r="S785" t="s">
        <v>171</v>
      </c>
      <c r="T785" t="s">
        <v>159</v>
      </c>
    </row>
    <row r="786" spans="1:20" x14ac:dyDescent="0.25">
      <c r="O786" t="s">
        <v>156</v>
      </c>
      <c r="P786" t="s">
        <v>170</v>
      </c>
      <c r="Q786">
        <v>1</v>
      </c>
      <c r="R786" t="s">
        <v>116</v>
      </c>
      <c r="S786" t="s">
        <v>162</v>
      </c>
      <c r="T786" t="s">
        <v>159</v>
      </c>
    </row>
    <row r="788" spans="1:20" x14ac:dyDescent="0.25">
      <c r="O788" t="s">
        <v>156</v>
      </c>
      <c r="P788" t="s">
        <v>174</v>
      </c>
      <c r="Q788">
        <v>13</v>
      </c>
      <c r="R788" t="s">
        <v>175</v>
      </c>
      <c r="T788" t="s">
        <v>159</v>
      </c>
    </row>
    <row r="790" spans="1:20" x14ac:dyDescent="0.25">
      <c r="A790" s="2" t="s">
        <v>177</v>
      </c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</row>
    <row r="792" spans="1:20" x14ac:dyDescent="0.25">
      <c r="C792" t="s">
        <v>183</v>
      </c>
      <c r="O792" t="s">
        <v>181</v>
      </c>
      <c r="P792" t="s">
        <v>178</v>
      </c>
      <c r="Q792">
        <v>0.24</v>
      </c>
      <c r="R792" t="s">
        <v>180</v>
      </c>
      <c r="T792" t="s">
        <v>179</v>
      </c>
    </row>
    <row r="793" spans="1:20" x14ac:dyDescent="0.25">
      <c r="C793" t="s">
        <v>184</v>
      </c>
      <c r="O793" t="s">
        <v>181</v>
      </c>
      <c r="P793" t="s">
        <v>178</v>
      </c>
      <c r="Q793">
        <v>0.24</v>
      </c>
      <c r="R793" t="s">
        <v>180</v>
      </c>
      <c r="T793" t="s">
        <v>179</v>
      </c>
    </row>
    <row r="794" spans="1:20" x14ac:dyDescent="0.25">
      <c r="C794" t="s">
        <v>185</v>
      </c>
      <c r="O794" t="s">
        <v>181</v>
      </c>
      <c r="P794" t="s">
        <v>178</v>
      </c>
      <c r="Q794">
        <v>0</v>
      </c>
      <c r="R794" t="s">
        <v>180</v>
      </c>
      <c r="S794" t="s">
        <v>186</v>
      </c>
    </row>
  </sheetData>
  <hyperlinks>
    <hyperlink ref="T473" r:id="rId1"/>
    <hyperlink ref="T697" r:id="rId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93</v>
      </c>
    </row>
    <row r="2" spans="1:2" x14ac:dyDescent="0.25">
      <c r="A2">
        <v>111</v>
      </c>
      <c r="B2" t="s">
        <v>85</v>
      </c>
    </row>
    <row r="3" spans="1:2" x14ac:dyDescent="0.25">
      <c r="A3">
        <v>112</v>
      </c>
      <c r="B3" t="s">
        <v>85</v>
      </c>
    </row>
    <row r="4" spans="1:2" x14ac:dyDescent="0.25">
      <c r="A4">
        <v>311</v>
      </c>
      <c r="B4" t="s">
        <v>85</v>
      </c>
    </row>
    <row r="5" spans="1:2" x14ac:dyDescent="0.25">
      <c r="A5">
        <v>312</v>
      </c>
      <c r="B5" t="s">
        <v>85</v>
      </c>
    </row>
    <row r="6" spans="1:2" x14ac:dyDescent="0.25">
      <c r="A6">
        <v>321</v>
      </c>
      <c r="B6" t="s">
        <v>85</v>
      </c>
    </row>
    <row r="7" spans="1:2" x14ac:dyDescent="0.25">
      <c r="A7">
        <v>322</v>
      </c>
      <c r="B7" t="s">
        <v>85</v>
      </c>
    </row>
    <row r="8" spans="1:2" x14ac:dyDescent="0.25">
      <c r="A8">
        <v>411</v>
      </c>
      <c r="B8" t="s">
        <v>85</v>
      </c>
    </row>
    <row r="9" spans="1:2" x14ac:dyDescent="0.25">
      <c r="A9">
        <v>421</v>
      </c>
      <c r="B9" t="s">
        <v>85</v>
      </c>
    </row>
    <row r="10" spans="1:2" x14ac:dyDescent="0.25">
      <c r="A10">
        <v>422</v>
      </c>
      <c r="B10" t="s">
        <v>85</v>
      </c>
    </row>
    <row r="11" spans="1:2" x14ac:dyDescent="0.25">
      <c r="A11">
        <v>431</v>
      </c>
      <c r="B11" t="s">
        <v>85</v>
      </c>
    </row>
    <row r="12" spans="1:2" x14ac:dyDescent="0.25">
      <c r="A12">
        <v>511</v>
      </c>
      <c r="B12" t="s">
        <v>86</v>
      </c>
    </row>
    <row r="13" spans="1:2" x14ac:dyDescent="0.25">
      <c r="A13">
        <v>512</v>
      </c>
      <c r="B13" t="s">
        <v>86</v>
      </c>
    </row>
    <row r="14" spans="1:2" x14ac:dyDescent="0.25">
      <c r="A14">
        <v>513</v>
      </c>
      <c r="B14" t="s">
        <v>87</v>
      </c>
    </row>
    <row r="15" spans="1:2" x14ac:dyDescent="0.25">
      <c r="A15">
        <v>514</v>
      </c>
      <c r="B15" t="s">
        <v>87</v>
      </c>
    </row>
    <row r="16" spans="1:2" x14ac:dyDescent="0.25">
      <c r="A16">
        <v>515</v>
      </c>
      <c r="B16" t="s">
        <v>87</v>
      </c>
    </row>
    <row r="17" spans="1:2" x14ac:dyDescent="0.25">
      <c r="A17">
        <v>521</v>
      </c>
      <c r="B17" t="s">
        <v>88</v>
      </c>
    </row>
    <row r="18" spans="1:2" x14ac:dyDescent="0.25">
      <c r="A18">
        <v>611</v>
      </c>
      <c r="B18" t="s">
        <v>86</v>
      </c>
    </row>
    <row r="19" spans="1:2" x14ac:dyDescent="0.25">
      <c r="A19">
        <v>612</v>
      </c>
      <c r="B19" t="s">
        <v>86</v>
      </c>
    </row>
    <row r="20" spans="1:2" x14ac:dyDescent="0.25">
      <c r="A20">
        <v>621</v>
      </c>
      <c r="B20" t="s">
        <v>86</v>
      </c>
    </row>
    <row r="21" spans="1:2" x14ac:dyDescent="0.25">
      <c r="A21">
        <v>622</v>
      </c>
      <c r="B21" t="s">
        <v>86</v>
      </c>
    </row>
    <row r="22" spans="1:2" x14ac:dyDescent="0.25">
      <c r="A22">
        <v>711</v>
      </c>
      <c r="B22" t="s">
        <v>86</v>
      </c>
    </row>
    <row r="23" spans="1:2" x14ac:dyDescent="0.25">
      <c r="A23">
        <v>731</v>
      </c>
      <c r="B23" t="s">
        <v>86</v>
      </c>
    </row>
    <row r="24" spans="1:2" x14ac:dyDescent="0.25">
      <c r="A24">
        <v>811</v>
      </c>
      <c r="B24" t="s">
        <v>89</v>
      </c>
    </row>
    <row r="25" spans="1:2" x14ac:dyDescent="0.25">
      <c r="A25">
        <v>812</v>
      </c>
      <c r="B25" t="s">
        <v>89</v>
      </c>
    </row>
    <row r="26" spans="1:2" x14ac:dyDescent="0.25">
      <c r="A26">
        <v>813</v>
      </c>
      <c r="B26" t="s">
        <v>86</v>
      </c>
    </row>
    <row r="27" spans="1:2" x14ac:dyDescent="0.25">
      <c r="A27">
        <v>814</v>
      </c>
      <c r="B27" t="s">
        <v>86</v>
      </c>
    </row>
    <row r="28" spans="1:2" x14ac:dyDescent="0.25">
      <c r="A28">
        <v>821</v>
      </c>
      <c r="B28" t="s">
        <v>86</v>
      </c>
    </row>
    <row r="29" spans="1:2" x14ac:dyDescent="0.25">
      <c r="A29">
        <v>831</v>
      </c>
      <c r="B29" t="s">
        <v>86</v>
      </c>
    </row>
    <row r="30" spans="1:2" x14ac:dyDescent="0.25">
      <c r="A30">
        <v>911</v>
      </c>
      <c r="B30" t="s">
        <v>89</v>
      </c>
    </row>
    <row r="31" spans="1:2" x14ac:dyDescent="0.25">
      <c r="A31">
        <v>912</v>
      </c>
      <c r="B31" t="s">
        <v>89</v>
      </c>
    </row>
    <row r="32" spans="1:2" x14ac:dyDescent="0.25">
      <c r="A32">
        <v>913</v>
      </c>
      <c r="B32" t="s">
        <v>89</v>
      </c>
    </row>
    <row r="33" spans="1:2" x14ac:dyDescent="0.25">
      <c r="A33">
        <v>1011</v>
      </c>
      <c r="B33" t="s">
        <v>89</v>
      </c>
    </row>
    <row r="34" spans="1:2" x14ac:dyDescent="0.25">
      <c r="A34">
        <v>1111</v>
      </c>
      <c r="B34" t="s">
        <v>89</v>
      </c>
    </row>
    <row r="35" spans="1:2" x14ac:dyDescent="0.25">
      <c r="A35">
        <v>1112</v>
      </c>
      <c r="B35" t="s">
        <v>89</v>
      </c>
    </row>
    <row r="36" spans="1:2" x14ac:dyDescent="0.25">
      <c r="A36">
        <v>1121</v>
      </c>
      <c r="B36" t="s">
        <v>90</v>
      </c>
    </row>
    <row r="37" spans="1:2" x14ac:dyDescent="0.25">
      <c r="A37">
        <v>1122</v>
      </c>
      <c r="B37" t="s">
        <v>89</v>
      </c>
    </row>
    <row r="38" spans="1:2" x14ac:dyDescent="0.25">
      <c r="A38">
        <v>1123</v>
      </c>
      <c r="B38" t="s">
        <v>90</v>
      </c>
    </row>
    <row r="39" spans="1:2" x14ac:dyDescent="0.25">
      <c r="A39">
        <v>1124</v>
      </c>
      <c r="B39" t="s">
        <v>86</v>
      </c>
    </row>
    <row r="40" spans="1:2" x14ac:dyDescent="0.25">
      <c r="A40">
        <v>1131</v>
      </c>
      <c r="B40" t="s">
        <v>86</v>
      </c>
    </row>
    <row r="41" spans="1:2" x14ac:dyDescent="0.25">
      <c r="A41">
        <v>1211</v>
      </c>
      <c r="B41" t="s">
        <v>90</v>
      </c>
    </row>
    <row r="42" spans="1:2" x14ac:dyDescent="0.25">
      <c r="A42">
        <v>1212</v>
      </c>
      <c r="B42" t="s">
        <v>90</v>
      </c>
    </row>
    <row r="43" spans="1:2" x14ac:dyDescent="0.25">
      <c r="A43">
        <v>1213</v>
      </c>
      <c r="B43" t="s">
        <v>89</v>
      </c>
    </row>
    <row r="44" spans="1:2" x14ac:dyDescent="0.25">
      <c r="A44">
        <v>1214</v>
      </c>
      <c r="B44" t="s">
        <v>90</v>
      </c>
    </row>
    <row r="45" spans="1:2" x14ac:dyDescent="0.25">
      <c r="A45">
        <v>1215</v>
      </c>
      <c r="B45" t="s">
        <v>89</v>
      </c>
    </row>
    <row r="46" spans="1:2" x14ac:dyDescent="0.25">
      <c r="A46">
        <v>1216</v>
      </c>
      <c r="B46" t="s">
        <v>90</v>
      </c>
    </row>
    <row r="47" spans="1:2" x14ac:dyDescent="0.25">
      <c r="A47">
        <v>1221</v>
      </c>
      <c r="B47" t="s">
        <v>86</v>
      </c>
    </row>
    <row r="48" spans="1:2" x14ac:dyDescent="0.25">
      <c r="A48">
        <v>1222</v>
      </c>
      <c r="B48" t="s">
        <v>90</v>
      </c>
    </row>
    <row r="49" spans="1:2" x14ac:dyDescent="0.25">
      <c r="A49">
        <v>1311</v>
      </c>
      <c r="B49" t="s">
        <v>90</v>
      </c>
    </row>
    <row r="50" spans="1:2" x14ac:dyDescent="0.25">
      <c r="A50">
        <v>1321</v>
      </c>
      <c r="B50" t="s">
        <v>90</v>
      </c>
    </row>
    <row r="51" spans="1:2" x14ac:dyDescent="0.25">
      <c r="A51">
        <v>1322</v>
      </c>
      <c r="B51" t="s">
        <v>86</v>
      </c>
    </row>
    <row r="52" spans="1:2" x14ac:dyDescent="0.25">
      <c r="A52">
        <v>1331</v>
      </c>
      <c r="B52" t="s">
        <v>86</v>
      </c>
    </row>
    <row r="53" spans="1:2" x14ac:dyDescent="0.25">
      <c r="A53">
        <v>1411</v>
      </c>
      <c r="B53" t="s">
        <v>86</v>
      </c>
    </row>
    <row r="54" spans="1:2" x14ac:dyDescent="0.25">
      <c r="A54">
        <v>1412</v>
      </c>
      <c r="B54" t="s">
        <v>86</v>
      </c>
    </row>
    <row r="55" spans="1:2" x14ac:dyDescent="0.25">
      <c r="A55">
        <v>1421</v>
      </c>
      <c r="B55" t="s">
        <v>86</v>
      </c>
    </row>
    <row r="56" spans="1:2" x14ac:dyDescent="0.25">
      <c r="A56">
        <v>1511</v>
      </c>
      <c r="B56" t="s">
        <v>86</v>
      </c>
    </row>
    <row r="57" spans="1:2" x14ac:dyDescent="0.25">
      <c r="A57">
        <v>1512</v>
      </c>
      <c r="B57" t="s">
        <v>87</v>
      </c>
    </row>
    <row r="58" spans="1:2" x14ac:dyDescent="0.25">
      <c r="A58">
        <v>1521</v>
      </c>
      <c r="B58" t="s">
        <v>86</v>
      </c>
    </row>
    <row r="59" spans="1:2" x14ac:dyDescent="0.25">
      <c r="A59">
        <v>1522</v>
      </c>
      <c r="B59" t="s">
        <v>86</v>
      </c>
    </row>
    <row r="60" spans="1:2" x14ac:dyDescent="0.25">
      <c r="A60">
        <v>1611</v>
      </c>
      <c r="B60" t="s">
        <v>86</v>
      </c>
    </row>
    <row r="61" spans="1:2" x14ac:dyDescent="0.25">
      <c r="A61">
        <v>1612</v>
      </c>
      <c r="B61" t="s">
        <v>87</v>
      </c>
    </row>
    <row r="62" spans="1:2" x14ac:dyDescent="0.25">
      <c r="A62">
        <v>1613</v>
      </c>
      <c r="B62" t="s">
        <v>87</v>
      </c>
    </row>
    <row r="63" spans="1:2" x14ac:dyDescent="0.25">
      <c r="A63">
        <v>1614</v>
      </c>
      <c r="B63" t="s">
        <v>87</v>
      </c>
    </row>
    <row r="64" spans="1:2" x14ac:dyDescent="0.25">
      <c r="A64">
        <v>1615</v>
      </c>
      <c r="B64" t="s">
        <v>87</v>
      </c>
    </row>
    <row r="65" spans="1:2" x14ac:dyDescent="0.25">
      <c r="A65">
        <v>1616</v>
      </c>
      <c r="B65" t="s">
        <v>87</v>
      </c>
    </row>
    <row r="66" spans="1:2" x14ac:dyDescent="0.25">
      <c r="A66">
        <v>1617</v>
      </c>
      <c r="B66" t="s">
        <v>88</v>
      </c>
    </row>
    <row r="67" spans="1:2" x14ac:dyDescent="0.25">
      <c r="A67">
        <v>1621</v>
      </c>
      <c r="B67" t="s">
        <v>87</v>
      </c>
    </row>
    <row r="68" spans="1:2" x14ac:dyDescent="0.25">
      <c r="A68">
        <v>1622</v>
      </c>
      <c r="B68" t="s">
        <v>87</v>
      </c>
    </row>
    <row r="69" spans="1:2" x14ac:dyDescent="0.25">
      <c r="A69">
        <v>1623</v>
      </c>
      <c r="B69" t="s">
        <v>87</v>
      </c>
    </row>
    <row r="70" spans="1:2" x14ac:dyDescent="0.25">
      <c r="A70">
        <v>1711</v>
      </c>
      <c r="B70" t="s">
        <v>85</v>
      </c>
    </row>
    <row r="71" spans="1:2" x14ac:dyDescent="0.25">
      <c r="A71">
        <v>1712</v>
      </c>
      <c r="B71" t="s">
        <v>85</v>
      </c>
    </row>
    <row r="72" spans="1:2" x14ac:dyDescent="0.25">
      <c r="A72">
        <v>1713</v>
      </c>
      <c r="B72" t="s">
        <v>88</v>
      </c>
    </row>
    <row r="73" spans="1:2" x14ac:dyDescent="0.25">
      <c r="A73">
        <v>1721</v>
      </c>
      <c r="B73" t="s">
        <v>88</v>
      </c>
    </row>
    <row r="74" spans="1:2" x14ac:dyDescent="0.25">
      <c r="A74">
        <v>1722</v>
      </c>
      <c r="B74" t="s">
        <v>85</v>
      </c>
    </row>
    <row r="75" spans="1:2" x14ac:dyDescent="0.25">
      <c r="A75">
        <v>1723</v>
      </c>
      <c r="B75" t="s">
        <v>88</v>
      </c>
    </row>
    <row r="76" spans="1:2" x14ac:dyDescent="0.25">
      <c r="A76">
        <v>1724</v>
      </c>
      <c r="B76" t="s">
        <v>91</v>
      </c>
    </row>
    <row r="77" spans="1:2" x14ac:dyDescent="0.25">
      <c r="A77">
        <v>1811</v>
      </c>
      <c r="B77" t="s">
        <v>88</v>
      </c>
    </row>
    <row r="78" spans="1:2" x14ac:dyDescent="0.25">
      <c r="A78">
        <v>1812</v>
      </c>
      <c r="B78" t="s">
        <v>85</v>
      </c>
    </row>
    <row r="79" spans="1:2" x14ac:dyDescent="0.25">
      <c r="A79">
        <v>1813</v>
      </c>
      <c r="B79" t="s">
        <v>88</v>
      </c>
    </row>
    <row r="80" spans="1:2" x14ac:dyDescent="0.25">
      <c r="A80">
        <v>1821</v>
      </c>
      <c r="B80" t="s">
        <v>85</v>
      </c>
    </row>
    <row r="81" spans="1:2" x14ac:dyDescent="0.25">
      <c r="A81">
        <v>1911</v>
      </c>
      <c r="B81" t="s">
        <v>85</v>
      </c>
    </row>
    <row r="82" spans="1:2" x14ac:dyDescent="0.25">
      <c r="A82">
        <v>1912</v>
      </c>
      <c r="B82" t="s">
        <v>85</v>
      </c>
    </row>
    <row r="83" spans="1:2" x14ac:dyDescent="0.25">
      <c r="A83">
        <v>1921</v>
      </c>
      <c r="B83" t="s">
        <v>85</v>
      </c>
    </row>
    <row r="84" spans="1:2" x14ac:dyDescent="0.25">
      <c r="A84">
        <v>1922</v>
      </c>
      <c r="B84" t="s">
        <v>85</v>
      </c>
    </row>
    <row r="85" spans="1:2" x14ac:dyDescent="0.25">
      <c r="A85">
        <v>2011</v>
      </c>
      <c r="B85" t="s">
        <v>88</v>
      </c>
    </row>
    <row r="86" spans="1:2" x14ac:dyDescent="0.25">
      <c r="A86">
        <v>2012</v>
      </c>
      <c r="B86" t="s">
        <v>91</v>
      </c>
    </row>
    <row r="87" spans="1:2" x14ac:dyDescent="0.25">
      <c r="A87">
        <v>2019</v>
      </c>
      <c r="B87" t="s">
        <v>92</v>
      </c>
    </row>
    <row r="88" spans="1:2" x14ac:dyDescent="0.25">
      <c r="A88">
        <v>2111</v>
      </c>
      <c r="B88" t="s">
        <v>91</v>
      </c>
    </row>
    <row r="89" spans="1:2" x14ac:dyDescent="0.25">
      <c r="A89">
        <v>2121</v>
      </c>
      <c r="B89" t="s">
        <v>88</v>
      </c>
    </row>
    <row r="90" spans="1:2" x14ac:dyDescent="0.25">
      <c r="A90">
        <v>2122</v>
      </c>
      <c r="B90" t="s">
        <v>88</v>
      </c>
    </row>
    <row r="91" spans="1:2" x14ac:dyDescent="0.25">
      <c r="A91">
        <v>2211</v>
      </c>
      <c r="B91" t="s">
        <v>91</v>
      </c>
    </row>
    <row r="92" spans="1:2" x14ac:dyDescent="0.25">
      <c r="A92">
        <v>2212</v>
      </c>
      <c r="B92" t="s">
        <v>91</v>
      </c>
    </row>
    <row r="93" spans="1:2" x14ac:dyDescent="0.25">
      <c r="A93">
        <v>2221</v>
      </c>
      <c r="B93" t="s">
        <v>91</v>
      </c>
    </row>
    <row r="94" spans="1:2" x14ac:dyDescent="0.25">
      <c r="A94">
        <v>2311</v>
      </c>
      <c r="B94" t="s">
        <v>91</v>
      </c>
    </row>
    <row r="95" spans="1:2" x14ac:dyDescent="0.25">
      <c r="A95">
        <v>2312</v>
      </c>
      <c r="B95" t="s">
        <v>91</v>
      </c>
    </row>
    <row r="96" spans="1:2" x14ac:dyDescent="0.25">
      <c r="A96">
        <v>2319</v>
      </c>
      <c r="B96" t="s">
        <v>92</v>
      </c>
    </row>
    <row r="97" spans="1:2" x14ac:dyDescent="0.25">
      <c r="A97">
        <v>2331</v>
      </c>
      <c r="B97" t="s">
        <v>92</v>
      </c>
    </row>
    <row r="98" spans="1:2" x14ac:dyDescent="0.25">
      <c r="A98">
        <v>2411</v>
      </c>
      <c r="B98" t="s">
        <v>92</v>
      </c>
    </row>
    <row r="99" spans="1:2" x14ac:dyDescent="0.25">
      <c r="A99">
        <v>2412</v>
      </c>
      <c r="B99" t="s">
        <v>92</v>
      </c>
    </row>
    <row r="100" spans="1:2" x14ac:dyDescent="0.25">
      <c r="A100">
        <v>2413</v>
      </c>
      <c r="B100" t="s">
        <v>92</v>
      </c>
    </row>
    <row r="101" spans="1:2" x14ac:dyDescent="0.25">
      <c r="A101">
        <v>2414</v>
      </c>
      <c r="B101" t="s">
        <v>92</v>
      </c>
    </row>
    <row r="102" spans="1:2" x14ac:dyDescent="0.25">
      <c r="A102">
        <v>2415</v>
      </c>
      <c r="B102" t="s">
        <v>92</v>
      </c>
    </row>
    <row r="103" spans="1:2" x14ac:dyDescent="0.25">
      <c r="A103">
        <v>2419</v>
      </c>
      <c r="B103" t="s">
        <v>92</v>
      </c>
    </row>
    <row r="104" spans="1:2" x14ac:dyDescent="0.25">
      <c r="A104">
        <v>2511</v>
      </c>
      <c r="B104" t="s">
        <v>92</v>
      </c>
    </row>
    <row r="105" spans="1:2" x14ac:dyDescent="0.25">
      <c r="A105">
        <v>2512</v>
      </c>
      <c r="B105" t="s">
        <v>92</v>
      </c>
    </row>
    <row r="106" spans="1:2" x14ac:dyDescent="0.25">
      <c r="A106">
        <v>2519</v>
      </c>
      <c r="B106" t="s">
        <v>92</v>
      </c>
    </row>
    <row r="107" spans="1:2" x14ac:dyDescent="0.25">
      <c r="A107">
        <v>2521</v>
      </c>
      <c r="B107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2024-10-18T12:17:01Z</dcterms:modified>
</cp:coreProperties>
</file>