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35" i="1" l="1"/>
  <c r="O434" i="1"/>
  <c r="O433" i="1"/>
  <c r="O432" i="1"/>
  <c r="O427" i="1"/>
  <c r="O426" i="1"/>
  <c r="O441" i="1" l="1"/>
  <c r="O440" i="1"/>
  <c r="O413" i="1"/>
  <c r="O414" i="1"/>
  <c r="O412" i="1"/>
  <c r="O396" i="1"/>
  <c r="O397" i="1"/>
  <c r="O398" i="1"/>
  <c r="O399" i="1"/>
  <c r="O400" i="1"/>
  <c r="O401" i="1"/>
  <c r="O402" i="1"/>
  <c r="O403" i="1"/>
  <c r="O404" i="1"/>
  <c r="O405" i="1"/>
  <c r="O406" i="1"/>
  <c r="O395" i="1"/>
  <c r="O334" i="1"/>
  <c r="O335" i="1"/>
  <c r="O336" i="1"/>
  <c r="O337" i="1"/>
  <c r="O338" i="1"/>
  <c r="O339" i="1"/>
  <c r="O340" i="1"/>
  <c r="O326" i="1"/>
  <c r="O327" i="1"/>
  <c r="O328" i="1"/>
  <c r="O329" i="1"/>
  <c r="O330" i="1"/>
  <c r="O331" i="1"/>
  <c r="O332" i="1"/>
  <c r="O333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284" i="1"/>
  <c r="O285" i="1"/>
  <c r="O286" i="1"/>
  <c r="O287" i="1"/>
  <c r="O288" i="1"/>
  <c r="O289" i="1"/>
  <c r="O290" i="1"/>
  <c r="O276" i="1"/>
  <c r="O277" i="1"/>
  <c r="O278" i="1"/>
  <c r="O279" i="1"/>
  <c r="O280" i="1"/>
  <c r="O281" i="1"/>
  <c r="O282" i="1"/>
  <c r="O283" i="1"/>
  <c r="O275" i="1"/>
  <c r="O268" i="1"/>
  <c r="O269" i="1"/>
  <c r="O270" i="1"/>
  <c r="O271" i="1"/>
  <c r="O272" i="1"/>
  <c r="O273" i="1"/>
  <c r="O274" i="1"/>
  <c r="O267" i="1"/>
  <c r="O530" i="1" l="1"/>
  <c r="O528" i="1" l="1"/>
  <c r="O529" i="1"/>
  <c r="O527" i="1"/>
  <c r="O494" i="1"/>
  <c r="O493" i="1"/>
  <c r="O492" i="1"/>
  <c r="O159" i="1" l="1"/>
  <c r="O158" i="1"/>
  <c r="O147" i="1"/>
  <c r="O146" i="1"/>
  <c r="O166" i="1"/>
  <c r="R155" i="1" l="1"/>
  <c r="Q155" i="1"/>
  <c r="O155" i="1"/>
  <c r="Q125" i="1"/>
  <c r="Q78" i="1" l="1"/>
  <c r="Q81" i="1" s="1"/>
  <c r="Q84" i="1" s="1"/>
  <c r="O80" i="1"/>
  <c r="O83" i="1" s="1"/>
  <c r="O86" i="1" s="1"/>
  <c r="O79" i="1"/>
  <c r="O82" i="1" s="1"/>
  <c r="O85" i="1" s="1"/>
  <c r="O78" i="1"/>
  <c r="O81" i="1" s="1"/>
  <c r="O84" i="1" s="1"/>
  <c r="Q93" i="1" l="1"/>
  <c r="O95" i="1"/>
  <c r="O94" i="1"/>
  <c r="O93" i="1"/>
  <c r="Q72" i="1"/>
  <c r="O74" i="1"/>
  <c r="O73" i="1"/>
  <c r="O72" i="1"/>
  <c r="O71" i="1"/>
  <c r="O70" i="1"/>
  <c r="Q69" i="1"/>
  <c r="O69" i="1"/>
  <c r="Q46" i="1"/>
  <c r="O48" i="1"/>
  <c r="O47" i="1"/>
  <c r="O46" i="1"/>
  <c r="Q54" i="1"/>
  <c r="Q106" i="1" s="1"/>
  <c r="O56" i="1"/>
  <c r="O111" i="1" s="1"/>
  <c r="O55" i="1"/>
  <c r="O107" i="1" s="1"/>
  <c r="O54" i="1"/>
  <c r="O98" i="1" s="1"/>
  <c r="Q104" i="1"/>
  <c r="Q96" i="1"/>
  <c r="Q34" i="1"/>
  <c r="O35" i="1"/>
  <c r="O36" i="1"/>
  <c r="O37" i="1"/>
  <c r="O34" i="1"/>
  <c r="Q98" i="1" l="1"/>
  <c r="O102" i="1"/>
  <c r="O103" i="1"/>
  <c r="Q109" i="1"/>
  <c r="O100" i="1"/>
  <c r="Q101" i="1"/>
  <c r="O110" i="1"/>
  <c r="O108" i="1"/>
  <c r="O106" i="1"/>
  <c r="O99" i="1"/>
  <c r="O109" i="1"/>
  <c r="O101" i="1"/>
  <c r="O157" i="1"/>
  <c r="O156" i="1"/>
  <c r="O126" i="1"/>
  <c r="O127" i="1"/>
  <c r="O125" i="1"/>
  <c r="O199" i="1"/>
  <c r="O198" i="1"/>
  <c r="O97" i="1"/>
  <c r="O96" i="1"/>
  <c r="O105" i="1"/>
  <c r="O104" i="1"/>
</calcChain>
</file>

<file path=xl/sharedStrings.xml><?xml version="1.0" encoding="utf-8"?>
<sst xmlns="http://schemas.openxmlformats.org/spreadsheetml/2006/main" count="1797" uniqueCount="261">
  <si>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</si>
  <si>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</si>
  <si>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</si>
  <si>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</si>
  <si>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</si>
  <si>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</si>
  <si>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</si>
  <si>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</si>
  <si>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</si>
  <si>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</si>
  <si>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</si>
  <si>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</si>
  <si>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</si>
  <si>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</si>
  <si>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</si>
  <si>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</si>
  <si>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</si>
  <si>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</si>
  <si>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</si>
  <si>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</si>
  <si>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</si>
  <si>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</si>
  <si>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</si>
  <si>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</si>
  <si>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</si>
  <si>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</si>
  <si>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</si>
  <si>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</si>
  <si>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</si>
  <si>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</si>
  <si>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</si>
  <si>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</si>
  <si>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</si>
  <si>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</si>
  <si>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</si>
  <si>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</si>
  <si>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</si>
  <si>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</si>
  <si>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</si>
  <si>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</si>
  <si>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</si>
  <si>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</si>
  <si>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</si>
  <si>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</si>
  <si>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</si>
  <si>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</si>
  <si>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</si>
  <si>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</si>
  <si>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</si>
  <si>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</si>
  <si>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</si>
  <si>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</si>
  <si>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</si>
  <si>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</si>
  <si>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</si>
  <si>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</si>
  <si>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</si>
  <si>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</si>
  <si>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</si>
  <si>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</si>
  <si>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</si>
  <si>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</si>
  <si>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</si>
  <si>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</si>
  <si>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</si>
  <si>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</si>
  <si>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</si>
  <si>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</si>
  <si>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</si>
  <si>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</si>
  <si>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</si>
  <si>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</si>
  <si>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</si>
  <si>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</si>
  <si>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</si>
  <si>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</si>
  <si>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</si>
  <si>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</si>
  <si>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</si>
  <si>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</si>
  <si>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</si>
  <si>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</si>
  <si>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</si>
  <si>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</si>
  <si>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</si>
  <si>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</si>
  <si>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</si>
  <si>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</si>
  <si>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</si>
  <si>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</si>
  <si>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</si>
  <si>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</si>
  <si>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</si>
  <si>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</si>
  <si>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</si>
  <si>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</si>
  <si>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</si>
  <si>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</si>
  <si>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</si>
  <si>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</si>
  <si>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</si>
  <si>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</si>
  <si>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</si>
  <si>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</si>
  <si>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</si>
  <si>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</si>
  <si>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</si>
  <si>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</si>
  <si>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</si>
  <si>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</si>
  <si>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</si>
  <si>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</si>
  <si>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</si>
  <si>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</si>
  <si>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</si>
  <si>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</si>
  <si>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</si>
  <si>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</si>
  <si>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</si>
  <si>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</si>
  <si>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</si>
  <si>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</si>
  <si>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</si>
  <si>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</si>
  <si>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</si>
  <si>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</si>
  <si>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</si>
  <si>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</si>
  <si>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</si>
  <si>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</si>
  <si>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</si>
  <si>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</si>
  <si>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</si>
  <si>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</si>
  <si>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</si>
  <si>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</si>
  <si>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</si>
  <si>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</si>
  <si>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</si>
  <si>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</si>
  <si>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</si>
  <si>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</si>
  <si>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</si>
  <si>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</si>
  <si>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</si>
  <si>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</si>
  <si>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</si>
  <si>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</si>
  <si>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</si>
  <si>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</si>
  <si>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</si>
  <si>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</si>
  <si>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</si>
  <si>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</si>
  <si>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</si>
  <si>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</si>
  <si>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</si>
  <si>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</si>
  <si>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</si>
  <si>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</si>
  <si>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</si>
  <si>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</si>
  <si>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</si>
  <si>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</si>
  <si>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</si>
  <si>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</si>
  <si>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</si>
  <si>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</si>
  <si>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</si>
  <si>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</si>
  <si>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</si>
  <si>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</si>
  <si>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</si>
  <si>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</si>
  <si>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</si>
  <si>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</si>
  <si>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</si>
  <si>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</si>
  <si>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</si>
  <si>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</si>
  <si>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</si>
  <si>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</si>
  <si>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</si>
  <si>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</si>
  <si>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</si>
  <si>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</si>
  <si>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</si>
  <si>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</si>
  <si>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</si>
  <si>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</si>
  <si>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</si>
  <si>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</si>
  <si>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</si>
  <si>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</si>
  <si>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</si>
  <si>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</si>
  <si>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</si>
  <si>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</si>
  <si>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</si>
  <si>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</si>
  <si>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</si>
  <si>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</si>
  <si>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</si>
  <si>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</si>
  <si>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</si>
  <si>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</si>
  <si>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</si>
  <si>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Final TAN requirements are calculated by adjusting the recommended application rate with 'N_adj' which is calculated</t>
  </si>
  <si>
    <t xml:space="preserve">from the share of ley in a given region and production system with the equation: N_adj = N_ley_a*PL + N_ley_m </t>
  </si>
  <si>
    <t>TAN application adjustment factor as a function of ley in region</t>
  </si>
  <si>
    <t>P_rec_a</t>
  </si>
  <si>
    <t>P_rec_m</t>
  </si>
  <si>
    <t>f_P_class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</si>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</sst>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  <xf numFmtId="0" fontId="0" fillId="3" borderId="0" xfId="0" applyFill="1"/>
    <xf numFmtId="0" fontId="9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10" fillId="0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2" fontId="5" fillId="0" borderId="0" xfId="0" applyNumberFormat="1" applyFont="1"/>
    <xf numFmtId="2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7"/>
  <sheetViews>
    <sheetView tabSelected="1" zoomScale="80" zoomScaleNormal="80" workbookViewId="0">
      <pane ySplit="1" topLeftCell="A434" activePane="bottomLeft" state="frozen"/>
      <selection pane="bottomLeft" activeCell="O478" sqref="O478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12" width="11.140625" customWidth="1"/>
    <col min="13" max="13" width="12.140625" bestFit="1" customWidth="1"/>
    <col min="14" max="14" width="23.7109375" customWidth="1"/>
    <col min="15" max="15" width="11" customWidth="1"/>
    <col min="16" max="16" width="9.5703125" bestFit="1" customWidth="1"/>
    <col min="17" max="17" width="35.42578125" customWidth="1"/>
    <col min="18" max="18" width="27.42578125" customWidth="1"/>
  </cols>
  <sheetData>
    <row r="1" spans="1:18" x14ac:dyDescent="0.25">
      <c r="A1" s="1" t="s">
        <v>0</v>
      </c>
      <c r="B1" s="1" t="s">
        <v>250</v>
      </c>
      <c r="C1" s="1" t="s">
        <v>191</v>
      </c>
      <c r="D1" s="1" t="s">
        <v>185</v>
      </c>
      <c r="E1" s="1" t="s">
        <v>90</v>
      </c>
      <c r="F1" s="1" t="s">
        <v>8</v>
      </c>
      <c r="G1" s="1" t="s">
        <v>156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212</v>
      </c>
      <c r="M1" s="1" t="s">
        <v>128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</row>
    <row r="3" spans="1:18" x14ac:dyDescent="0.25">
      <c r="A3" s="2" t="s">
        <v>121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E4" t="s">
        <v>113</v>
      </c>
      <c r="N4" t="s">
        <v>118</v>
      </c>
      <c r="O4">
        <v>91</v>
      </c>
      <c r="P4" t="s">
        <v>112</v>
      </c>
      <c r="Q4" t="s">
        <v>119</v>
      </c>
      <c r="R4" t="s">
        <v>120</v>
      </c>
    </row>
    <row r="5" spans="1:18" x14ac:dyDescent="0.25">
      <c r="N5" t="s">
        <v>115</v>
      </c>
      <c r="O5">
        <v>22</v>
      </c>
      <c r="P5" t="s">
        <v>114</v>
      </c>
      <c r="Q5" t="s">
        <v>117</v>
      </c>
      <c r="R5" t="s">
        <v>116</v>
      </c>
    </row>
    <row r="7" spans="1:18" x14ac:dyDescent="0.25">
      <c r="A7" s="2" t="s">
        <v>159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x14ac:dyDescent="0.25">
      <c r="E8" t="s">
        <v>113</v>
      </c>
      <c r="N8" s="7" t="s">
        <v>155</v>
      </c>
      <c r="O8" s="7">
        <v>0</v>
      </c>
      <c r="P8" s="7" t="s">
        <v>125</v>
      </c>
      <c r="Q8" s="7" t="s">
        <v>160</v>
      </c>
    </row>
    <row r="9" spans="1:18" x14ac:dyDescent="0.25">
      <c r="E9" t="s">
        <v>158</v>
      </c>
      <c r="G9" t="s">
        <v>123</v>
      </c>
      <c r="N9" t="s">
        <v>155</v>
      </c>
      <c r="O9">
        <v>59</v>
      </c>
      <c r="P9" t="s">
        <v>125</v>
      </c>
      <c r="Q9" s="7" t="s">
        <v>127</v>
      </c>
      <c r="R9" t="s">
        <v>126</v>
      </c>
    </row>
    <row r="10" spans="1:18" x14ac:dyDescent="0.25">
      <c r="E10" t="s">
        <v>158</v>
      </c>
      <c r="G10" t="s">
        <v>124</v>
      </c>
      <c r="N10" t="s">
        <v>155</v>
      </c>
      <c r="O10">
        <v>7</v>
      </c>
      <c r="P10" t="s">
        <v>125</v>
      </c>
      <c r="R10" t="s">
        <v>126</v>
      </c>
    </row>
    <row r="11" spans="1:18" x14ac:dyDescent="0.25">
      <c r="E11" t="s">
        <v>158</v>
      </c>
      <c r="G11" t="s">
        <v>235</v>
      </c>
      <c r="N11" t="s">
        <v>155</v>
      </c>
      <c r="O11">
        <v>34</v>
      </c>
      <c r="P11" t="s">
        <v>125</v>
      </c>
      <c r="R11" t="s">
        <v>126</v>
      </c>
    </row>
    <row r="13" spans="1:18" x14ac:dyDescent="0.25">
      <c r="E13" t="s">
        <v>113</v>
      </c>
      <c r="N13" s="7" t="s">
        <v>238</v>
      </c>
      <c r="O13" s="7">
        <v>0</v>
      </c>
      <c r="P13" s="7" t="s">
        <v>237</v>
      </c>
    </row>
    <row r="14" spans="1:18" x14ac:dyDescent="0.25">
      <c r="E14" t="s">
        <v>158</v>
      </c>
      <c r="G14" t="s">
        <v>236</v>
      </c>
      <c r="N14" t="s">
        <v>238</v>
      </c>
      <c r="O14">
        <v>100</v>
      </c>
      <c r="P14" t="s">
        <v>237</v>
      </c>
      <c r="R14" t="s">
        <v>234</v>
      </c>
    </row>
    <row r="16" spans="1:18" x14ac:dyDescent="0.25">
      <c r="E16" t="s">
        <v>113</v>
      </c>
      <c r="N16" s="7" t="s">
        <v>239</v>
      </c>
      <c r="O16" s="7">
        <v>0</v>
      </c>
      <c r="P16" s="7" t="s">
        <v>240</v>
      </c>
    </row>
    <row r="17" spans="1:18" x14ac:dyDescent="0.25">
      <c r="E17" t="s">
        <v>158</v>
      </c>
      <c r="G17" t="s">
        <v>241</v>
      </c>
      <c r="N17" s="7" t="s">
        <v>239</v>
      </c>
      <c r="O17" s="7">
        <v>100</v>
      </c>
      <c r="P17" s="7" t="s">
        <v>240</v>
      </c>
    </row>
    <row r="19" spans="1:18" ht="21.75" customHeight="1" x14ac:dyDescent="0.25">
      <c r="A19" s="16" t="s">
        <v>202</v>
      </c>
      <c r="B19" s="16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25">
      <c r="A20" s="2" t="s">
        <v>206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3"/>
      <c r="R20" s="3"/>
    </row>
    <row r="21" spans="1:18" x14ac:dyDescent="0.25">
      <c r="A21" s="19" t="s">
        <v>204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8"/>
      <c r="R21" s="18"/>
    </row>
    <row r="22" spans="1:18" x14ac:dyDescent="0.25">
      <c r="A22" s="19" t="s">
        <v>205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8"/>
      <c r="R22" s="18"/>
    </row>
    <row r="23" spans="1:18" x14ac:dyDescent="0.25">
      <c r="N23" s="6" t="s">
        <v>10</v>
      </c>
      <c r="O23" s="6">
        <v>0</v>
      </c>
      <c r="P23" s="6"/>
      <c r="Q23" s="6" t="s">
        <v>15</v>
      </c>
    </row>
    <row r="24" spans="1:18" x14ac:dyDescent="0.25">
      <c r="N24" s="6" t="s">
        <v>11</v>
      </c>
      <c r="O24" s="6">
        <v>0</v>
      </c>
      <c r="P24" s="6"/>
      <c r="Q24" s="6" t="s">
        <v>15</v>
      </c>
    </row>
    <row r="25" spans="1:18" x14ac:dyDescent="0.25">
      <c r="N25" s="6" t="s">
        <v>12</v>
      </c>
      <c r="O25" s="6">
        <v>0</v>
      </c>
      <c r="P25" s="6"/>
      <c r="Q25" s="6" t="s">
        <v>15</v>
      </c>
    </row>
    <row r="26" spans="1:18" x14ac:dyDescent="0.25">
      <c r="A26" t="s">
        <v>7</v>
      </c>
      <c r="N26" t="s">
        <v>10</v>
      </c>
      <c r="O26">
        <v>-0.80359999999999998</v>
      </c>
      <c r="Q26" t="s">
        <v>101</v>
      </c>
    </row>
    <row r="27" spans="1:18" x14ac:dyDescent="0.25">
      <c r="A27" t="s">
        <v>7</v>
      </c>
      <c r="N27" t="s">
        <v>11</v>
      </c>
      <c r="O27">
        <v>24.088999999999999</v>
      </c>
    </row>
    <row r="28" spans="1:18" x14ac:dyDescent="0.25">
      <c r="A28" t="s">
        <v>7</v>
      </c>
      <c r="N28" t="s">
        <v>12</v>
      </c>
      <c r="O28">
        <v>50.213999999999999</v>
      </c>
    </row>
    <row r="29" spans="1:18" x14ac:dyDescent="0.25">
      <c r="A29" t="s">
        <v>7</v>
      </c>
      <c r="F29" t="s">
        <v>9</v>
      </c>
      <c r="N29" t="s">
        <v>12</v>
      </c>
      <c r="O29">
        <v>55.213999999999999</v>
      </c>
    </row>
    <row r="30" spans="1:18" x14ac:dyDescent="0.25">
      <c r="A30" t="s">
        <v>7</v>
      </c>
      <c r="D30" t="s">
        <v>96</v>
      </c>
      <c r="N30" t="s">
        <v>10</v>
      </c>
      <c r="O30">
        <v>-0.71430000000000005</v>
      </c>
      <c r="Q30" t="s">
        <v>100</v>
      </c>
    </row>
    <row r="31" spans="1:18" x14ac:dyDescent="0.25">
      <c r="A31" t="s">
        <v>7</v>
      </c>
      <c r="D31" t="s">
        <v>96</v>
      </c>
      <c r="N31" t="s">
        <v>11</v>
      </c>
      <c r="O31">
        <v>23.143000000000001</v>
      </c>
    </row>
    <row r="32" spans="1:18" x14ac:dyDescent="0.25">
      <c r="A32" t="s">
        <v>7</v>
      </c>
      <c r="D32" t="s">
        <v>96</v>
      </c>
      <c r="N32" t="s">
        <v>12</v>
      </c>
      <c r="O32">
        <v>42.570999999999998</v>
      </c>
    </row>
    <row r="33" spans="1:17" x14ac:dyDescent="0.25">
      <c r="A33" t="s">
        <v>7</v>
      </c>
      <c r="D33" t="s">
        <v>96</v>
      </c>
      <c r="F33" t="s">
        <v>9</v>
      </c>
      <c r="N33" t="s">
        <v>12</v>
      </c>
      <c r="O33">
        <v>47.570999999999998</v>
      </c>
    </row>
    <row r="34" spans="1:17" x14ac:dyDescent="0.25">
      <c r="A34" t="s">
        <v>7</v>
      </c>
      <c r="D34" t="s">
        <v>95</v>
      </c>
      <c r="N34" t="s">
        <v>10</v>
      </c>
      <c r="O34" s="9">
        <f>O30</f>
        <v>-0.71430000000000005</v>
      </c>
      <c r="Q34" s="9" t="str">
        <f>Q30</f>
        <v>Höstvete foder/bröd, södra götaland</v>
      </c>
    </row>
    <row r="35" spans="1:17" x14ac:dyDescent="0.25">
      <c r="A35" t="s">
        <v>7</v>
      </c>
      <c r="D35" t="s">
        <v>95</v>
      </c>
      <c r="N35" t="s">
        <v>11</v>
      </c>
      <c r="O35" s="9">
        <f t="shared" ref="O35:O37" si="0">O31</f>
        <v>23.143000000000001</v>
      </c>
    </row>
    <row r="36" spans="1:17" x14ac:dyDescent="0.25">
      <c r="A36" t="s">
        <v>7</v>
      </c>
      <c r="D36" t="s">
        <v>95</v>
      </c>
      <c r="N36" t="s">
        <v>12</v>
      </c>
      <c r="O36" s="9">
        <f t="shared" si="0"/>
        <v>42.570999999999998</v>
      </c>
    </row>
    <row r="37" spans="1:17" x14ac:dyDescent="0.25">
      <c r="A37" t="s">
        <v>7</v>
      </c>
      <c r="D37" t="s">
        <v>95</v>
      </c>
      <c r="F37" t="s">
        <v>9</v>
      </c>
      <c r="N37" t="s">
        <v>12</v>
      </c>
      <c r="O37" s="9">
        <f t="shared" si="0"/>
        <v>47.570999999999998</v>
      </c>
    </row>
    <row r="38" spans="1:17" x14ac:dyDescent="0.25">
      <c r="A38" t="s">
        <v>16</v>
      </c>
      <c r="N38" t="s">
        <v>11</v>
      </c>
      <c r="O38">
        <v>20</v>
      </c>
    </row>
    <row r="39" spans="1:17" x14ac:dyDescent="0.25">
      <c r="A39" t="s">
        <v>16</v>
      </c>
      <c r="N39" t="s">
        <v>12</v>
      </c>
      <c r="O39">
        <v>70</v>
      </c>
    </row>
    <row r="40" spans="1:17" x14ac:dyDescent="0.25">
      <c r="A40" t="s">
        <v>27</v>
      </c>
      <c r="N40" t="s">
        <v>10</v>
      </c>
      <c r="O40">
        <v>-1.7857000000000001</v>
      </c>
      <c r="Q40" t="s">
        <v>26</v>
      </c>
    </row>
    <row r="41" spans="1:17" x14ac:dyDescent="0.25">
      <c r="A41" t="s">
        <v>27</v>
      </c>
      <c r="N41" t="s">
        <v>11</v>
      </c>
      <c r="O41">
        <v>30.786000000000001</v>
      </c>
    </row>
    <row r="42" spans="1:17" x14ac:dyDescent="0.25">
      <c r="A42" t="s">
        <v>27</v>
      </c>
      <c r="N42" t="s">
        <v>12</v>
      </c>
      <c r="O42">
        <v>25</v>
      </c>
    </row>
    <row r="43" spans="1:17" x14ac:dyDescent="0.25">
      <c r="A43" t="s">
        <v>27</v>
      </c>
      <c r="D43" t="s">
        <v>96</v>
      </c>
      <c r="N43" t="s">
        <v>10</v>
      </c>
      <c r="O43">
        <v>-1.25</v>
      </c>
      <c r="Q43" t="s">
        <v>103</v>
      </c>
    </row>
    <row r="44" spans="1:17" x14ac:dyDescent="0.25">
      <c r="A44" t="s">
        <v>27</v>
      </c>
      <c r="D44" t="s">
        <v>96</v>
      </c>
      <c r="N44" t="s">
        <v>11</v>
      </c>
      <c r="O44">
        <v>27.75</v>
      </c>
    </row>
    <row r="45" spans="1:17" x14ac:dyDescent="0.25">
      <c r="A45" t="s">
        <v>27</v>
      </c>
      <c r="D45" t="s">
        <v>96</v>
      </c>
      <c r="N45" t="s">
        <v>12</v>
      </c>
      <c r="O45">
        <v>18.25</v>
      </c>
    </row>
    <row r="46" spans="1:17" x14ac:dyDescent="0.25">
      <c r="A46" t="s">
        <v>27</v>
      </c>
      <c r="D46" t="s">
        <v>95</v>
      </c>
      <c r="N46" t="s">
        <v>10</v>
      </c>
      <c r="O46" s="9">
        <f>O43</f>
        <v>-1.25</v>
      </c>
      <c r="P46" s="9"/>
      <c r="Q46" s="9" t="str">
        <f>Q43</f>
        <v>Råg, södra götaland</v>
      </c>
    </row>
    <row r="47" spans="1:17" x14ac:dyDescent="0.25">
      <c r="A47" t="s">
        <v>27</v>
      </c>
      <c r="D47" t="s">
        <v>95</v>
      </c>
      <c r="N47" t="s">
        <v>11</v>
      </c>
      <c r="O47" s="9">
        <f>O44</f>
        <v>27.75</v>
      </c>
      <c r="P47" s="9"/>
      <c r="Q47" s="9"/>
    </row>
    <row r="48" spans="1:17" x14ac:dyDescent="0.25">
      <c r="A48" t="s">
        <v>27</v>
      </c>
      <c r="D48" t="s">
        <v>95</v>
      </c>
      <c r="N48" t="s">
        <v>12</v>
      </c>
      <c r="O48" s="9">
        <f>O45</f>
        <v>18.25</v>
      </c>
      <c r="P48" s="9"/>
      <c r="Q48" s="9"/>
    </row>
    <row r="49" spans="1:17" x14ac:dyDescent="0.25">
      <c r="A49" t="s">
        <v>23</v>
      </c>
      <c r="N49" t="s">
        <v>11</v>
      </c>
      <c r="O49">
        <v>16.856999999999999</v>
      </c>
      <c r="Q49" t="s">
        <v>22</v>
      </c>
    </row>
    <row r="50" spans="1:17" x14ac:dyDescent="0.25">
      <c r="A50" t="s">
        <v>23</v>
      </c>
      <c r="N50" t="s">
        <v>12</v>
      </c>
      <c r="O50">
        <v>59.143000000000001</v>
      </c>
    </row>
    <row r="51" spans="1:17" x14ac:dyDescent="0.25">
      <c r="A51" t="s">
        <v>23</v>
      </c>
      <c r="D51" t="s">
        <v>96</v>
      </c>
      <c r="N51" t="s">
        <v>10</v>
      </c>
      <c r="O51">
        <v>-0.71430000000000005</v>
      </c>
      <c r="Q51" t="s">
        <v>102</v>
      </c>
    </row>
    <row r="52" spans="1:17" x14ac:dyDescent="0.25">
      <c r="A52" t="s">
        <v>23</v>
      </c>
      <c r="D52" t="s">
        <v>96</v>
      </c>
      <c r="N52" t="s">
        <v>11</v>
      </c>
      <c r="O52">
        <v>23.143000000000001</v>
      </c>
    </row>
    <row r="53" spans="1:17" x14ac:dyDescent="0.25">
      <c r="A53" t="s">
        <v>23</v>
      </c>
      <c r="D53" t="s">
        <v>96</v>
      </c>
      <c r="N53" t="s">
        <v>12</v>
      </c>
      <c r="O53">
        <v>37.570999999999998</v>
      </c>
    </row>
    <row r="54" spans="1:17" x14ac:dyDescent="0.25">
      <c r="A54" t="s">
        <v>23</v>
      </c>
      <c r="D54" t="s">
        <v>95</v>
      </c>
      <c r="N54" t="s">
        <v>10</v>
      </c>
      <c r="O54" s="9">
        <f>O51</f>
        <v>-0.71430000000000005</v>
      </c>
      <c r="Q54" s="9" t="str">
        <f>Q51</f>
        <v>Rågvete/höstkorn, södra götaland</v>
      </c>
    </row>
    <row r="55" spans="1:17" x14ac:dyDescent="0.25">
      <c r="A55" t="s">
        <v>23</v>
      </c>
      <c r="D55" t="s">
        <v>95</v>
      </c>
      <c r="N55" t="s">
        <v>11</v>
      </c>
      <c r="O55" s="9">
        <f>O52</f>
        <v>23.143000000000001</v>
      </c>
    </row>
    <row r="56" spans="1:17" x14ac:dyDescent="0.25">
      <c r="A56" t="s">
        <v>23</v>
      </c>
      <c r="D56" t="s">
        <v>95</v>
      </c>
      <c r="N56" t="s">
        <v>12</v>
      </c>
      <c r="O56" s="9">
        <f>O53</f>
        <v>37.570999999999998</v>
      </c>
    </row>
    <row r="57" spans="1:17" x14ac:dyDescent="0.25">
      <c r="A57" t="s">
        <v>17</v>
      </c>
      <c r="N57" t="s">
        <v>10</v>
      </c>
      <c r="O57">
        <v>-1.0713999999999999</v>
      </c>
      <c r="Q57" t="s">
        <v>18</v>
      </c>
    </row>
    <row r="58" spans="1:17" x14ac:dyDescent="0.25">
      <c r="A58" t="s">
        <v>17</v>
      </c>
      <c r="N58" t="s">
        <v>11</v>
      </c>
      <c r="O58">
        <v>23.928999999999998</v>
      </c>
    </row>
    <row r="59" spans="1:17" x14ac:dyDescent="0.25">
      <c r="A59" t="s">
        <v>17</v>
      </c>
      <c r="N59" t="s">
        <v>12</v>
      </c>
      <c r="O59">
        <v>32</v>
      </c>
    </row>
    <row r="60" spans="1:17" x14ac:dyDescent="0.25">
      <c r="A60" t="s">
        <v>17</v>
      </c>
      <c r="F60" t="s">
        <v>9</v>
      </c>
      <c r="N60" t="s">
        <v>10</v>
      </c>
      <c r="O60" s="8">
        <v>1E-13</v>
      </c>
      <c r="Q60" t="s">
        <v>19</v>
      </c>
    </row>
    <row r="61" spans="1:17" x14ac:dyDescent="0.25">
      <c r="A61" t="s">
        <v>17</v>
      </c>
      <c r="F61" t="s">
        <v>9</v>
      </c>
      <c r="N61" t="s">
        <v>11</v>
      </c>
      <c r="O61">
        <v>15</v>
      </c>
    </row>
    <row r="62" spans="1:17" x14ac:dyDescent="0.25">
      <c r="A62" t="s">
        <v>17</v>
      </c>
      <c r="F62" t="s">
        <v>9</v>
      </c>
      <c r="N62" t="s">
        <v>12</v>
      </c>
      <c r="O62">
        <v>45</v>
      </c>
    </row>
    <row r="63" spans="1:17" x14ac:dyDescent="0.25">
      <c r="A63" t="s">
        <v>17</v>
      </c>
      <c r="D63" t="s">
        <v>96</v>
      </c>
      <c r="N63" t="s">
        <v>10</v>
      </c>
      <c r="O63">
        <v>-1.25</v>
      </c>
      <c r="Q63" t="s">
        <v>104</v>
      </c>
    </row>
    <row r="64" spans="1:17" x14ac:dyDescent="0.25">
      <c r="A64" t="s">
        <v>17</v>
      </c>
      <c r="D64" t="s">
        <v>96</v>
      </c>
      <c r="N64" t="s">
        <v>11</v>
      </c>
      <c r="O64">
        <v>25.25</v>
      </c>
    </row>
    <row r="65" spans="1:17" x14ac:dyDescent="0.25">
      <c r="A65" t="s">
        <v>17</v>
      </c>
      <c r="D65" t="s">
        <v>96</v>
      </c>
      <c r="N65" t="s">
        <v>12</v>
      </c>
      <c r="O65">
        <v>19.75</v>
      </c>
    </row>
    <row r="66" spans="1:17" x14ac:dyDescent="0.25">
      <c r="A66" t="s">
        <v>17</v>
      </c>
      <c r="D66" t="s">
        <v>96</v>
      </c>
      <c r="F66" t="s">
        <v>9</v>
      </c>
      <c r="N66" t="s">
        <v>10</v>
      </c>
      <c r="O66" s="8">
        <v>-2E-12</v>
      </c>
      <c r="Q66" t="s">
        <v>105</v>
      </c>
    </row>
    <row r="67" spans="1:17" x14ac:dyDescent="0.25">
      <c r="A67" t="s">
        <v>17</v>
      </c>
      <c r="D67" t="s">
        <v>96</v>
      </c>
      <c r="F67" t="s">
        <v>9</v>
      </c>
      <c r="N67" t="s">
        <v>11</v>
      </c>
      <c r="O67">
        <v>15</v>
      </c>
    </row>
    <row r="68" spans="1:17" x14ac:dyDescent="0.25">
      <c r="A68" t="s">
        <v>17</v>
      </c>
      <c r="D68" t="s">
        <v>96</v>
      </c>
      <c r="F68" t="s">
        <v>9</v>
      </c>
      <c r="N68" t="s">
        <v>12</v>
      </c>
      <c r="O68">
        <v>45</v>
      </c>
    </row>
    <row r="69" spans="1:17" x14ac:dyDescent="0.25">
      <c r="A69" t="s">
        <v>17</v>
      </c>
      <c r="D69" t="s">
        <v>95</v>
      </c>
      <c r="N69" t="s">
        <v>10</v>
      </c>
      <c r="O69" s="9">
        <f t="shared" ref="O69:O74" si="1">O63</f>
        <v>-1.25</v>
      </c>
      <c r="Q69" s="9" t="str">
        <f>Q63</f>
        <v>Korn foder, södra götaland</v>
      </c>
    </row>
    <row r="70" spans="1:17" x14ac:dyDescent="0.25">
      <c r="A70" t="s">
        <v>17</v>
      </c>
      <c r="D70" t="s">
        <v>95</v>
      </c>
      <c r="N70" t="s">
        <v>11</v>
      </c>
      <c r="O70" s="9">
        <f t="shared" si="1"/>
        <v>25.25</v>
      </c>
    </row>
    <row r="71" spans="1:17" x14ac:dyDescent="0.25">
      <c r="A71" t="s">
        <v>17</v>
      </c>
      <c r="D71" t="s">
        <v>95</v>
      </c>
      <c r="N71" t="s">
        <v>12</v>
      </c>
      <c r="O71" s="9">
        <f t="shared" si="1"/>
        <v>19.75</v>
      </c>
    </row>
    <row r="72" spans="1:17" x14ac:dyDescent="0.25">
      <c r="A72" t="s">
        <v>17</v>
      </c>
      <c r="D72" t="s">
        <v>95</v>
      </c>
      <c r="F72" t="s">
        <v>9</v>
      </c>
      <c r="N72" t="s">
        <v>10</v>
      </c>
      <c r="O72" s="9">
        <f t="shared" si="1"/>
        <v>-2E-12</v>
      </c>
      <c r="Q72" s="9" t="str">
        <f>Q66</f>
        <v>Korn, malt södra götaland</v>
      </c>
    </row>
    <row r="73" spans="1:17" x14ac:dyDescent="0.25">
      <c r="A73" t="s">
        <v>17</v>
      </c>
      <c r="D73" t="s">
        <v>95</v>
      </c>
      <c r="F73" t="s">
        <v>9</v>
      </c>
      <c r="N73" t="s">
        <v>11</v>
      </c>
      <c r="O73" s="9">
        <f t="shared" si="1"/>
        <v>15</v>
      </c>
    </row>
    <row r="74" spans="1:17" x14ac:dyDescent="0.25">
      <c r="A74" t="s">
        <v>17</v>
      </c>
      <c r="D74" t="s">
        <v>95</v>
      </c>
      <c r="F74" t="s">
        <v>9</v>
      </c>
      <c r="N74" t="s">
        <v>12</v>
      </c>
      <c r="O74" s="9">
        <f t="shared" si="1"/>
        <v>45</v>
      </c>
    </row>
    <row r="75" spans="1:17" x14ac:dyDescent="0.25">
      <c r="A75" t="s">
        <v>17</v>
      </c>
      <c r="D75" t="s">
        <v>97</v>
      </c>
      <c r="N75" t="s">
        <v>10</v>
      </c>
      <c r="O75" s="5">
        <v>0</v>
      </c>
      <c r="Q75" t="s">
        <v>107</v>
      </c>
    </row>
    <row r="76" spans="1:17" x14ac:dyDescent="0.25">
      <c r="A76" t="s">
        <v>17</v>
      </c>
      <c r="D76" t="s">
        <v>97</v>
      </c>
      <c r="N76" t="s">
        <v>11</v>
      </c>
      <c r="O76" s="5">
        <v>20</v>
      </c>
    </row>
    <row r="77" spans="1:17" x14ac:dyDescent="0.25">
      <c r="A77" t="s">
        <v>17</v>
      </c>
      <c r="D77" t="s">
        <v>97</v>
      </c>
      <c r="N77" t="s">
        <v>12</v>
      </c>
      <c r="O77" s="5">
        <v>35</v>
      </c>
    </row>
    <row r="78" spans="1:17" x14ac:dyDescent="0.25">
      <c r="A78" t="s">
        <v>17</v>
      </c>
      <c r="D78" t="s">
        <v>97</v>
      </c>
      <c r="F78" t="s">
        <v>9</v>
      </c>
      <c r="N78" t="s">
        <v>10</v>
      </c>
      <c r="O78" s="9">
        <f t="shared" ref="O78:O86" si="2">O75</f>
        <v>0</v>
      </c>
      <c r="Q78" s="9" t="str">
        <f>Q75</f>
        <v>Korn, norrland</v>
      </c>
    </row>
    <row r="79" spans="1:17" x14ac:dyDescent="0.25">
      <c r="A79" t="s">
        <v>17</v>
      </c>
      <c r="D79" t="s">
        <v>97</v>
      </c>
      <c r="F79" t="s">
        <v>9</v>
      </c>
      <c r="N79" t="s">
        <v>11</v>
      </c>
      <c r="O79" s="9">
        <f t="shared" si="2"/>
        <v>20</v>
      </c>
    </row>
    <row r="80" spans="1:17" x14ac:dyDescent="0.25">
      <c r="A80" t="s">
        <v>17</v>
      </c>
      <c r="D80" t="s">
        <v>97</v>
      </c>
      <c r="F80" t="s">
        <v>9</v>
      </c>
      <c r="N80" t="s">
        <v>12</v>
      </c>
      <c r="O80" s="9">
        <f t="shared" si="2"/>
        <v>35</v>
      </c>
    </row>
    <row r="81" spans="1:17" x14ac:dyDescent="0.25">
      <c r="A81" t="s">
        <v>17</v>
      </c>
      <c r="D81" t="s">
        <v>98</v>
      </c>
      <c r="N81" t="s">
        <v>10</v>
      </c>
      <c r="O81" s="9">
        <f t="shared" si="2"/>
        <v>0</v>
      </c>
      <c r="Q81" s="9" t="str">
        <f>Q78</f>
        <v>Korn, norrland</v>
      </c>
    </row>
    <row r="82" spans="1:17" x14ac:dyDescent="0.25">
      <c r="A82" t="s">
        <v>17</v>
      </c>
      <c r="D82" t="s">
        <v>98</v>
      </c>
      <c r="N82" t="s">
        <v>11</v>
      </c>
      <c r="O82" s="9">
        <f t="shared" si="2"/>
        <v>20</v>
      </c>
    </row>
    <row r="83" spans="1:17" x14ac:dyDescent="0.25">
      <c r="A83" t="s">
        <v>17</v>
      </c>
      <c r="D83" t="s">
        <v>98</v>
      </c>
      <c r="N83" t="s">
        <v>12</v>
      </c>
      <c r="O83" s="9">
        <f t="shared" si="2"/>
        <v>35</v>
      </c>
    </row>
    <row r="84" spans="1:17" x14ac:dyDescent="0.25">
      <c r="A84" t="s">
        <v>17</v>
      </c>
      <c r="D84" t="s">
        <v>98</v>
      </c>
      <c r="F84" t="s">
        <v>9</v>
      </c>
      <c r="N84" t="s">
        <v>10</v>
      </c>
      <c r="O84" s="9">
        <f t="shared" si="2"/>
        <v>0</v>
      </c>
      <c r="Q84" s="9" t="str">
        <f>Q81</f>
        <v>Korn, norrland</v>
      </c>
    </row>
    <row r="85" spans="1:17" x14ac:dyDescent="0.25">
      <c r="A85" t="s">
        <v>17</v>
      </c>
      <c r="D85" t="s">
        <v>98</v>
      </c>
      <c r="F85" t="s">
        <v>9</v>
      </c>
      <c r="N85" t="s">
        <v>11</v>
      </c>
      <c r="O85" s="9">
        <f t="shared" si="2"/>
        <v>20</v>
      </c>
    </row>
    <row r="86" spans="1:17" x14ac:dyDescent="0.25">
      <c r="A86" t="s">
        <v>17</v>
      </c>
      <c r="D86" t="s">
        <v>98</v>
      </c>
      <c r="F86" t="s">
        <v>9</v>
      </c>
      <c r="N86" t="s">
        <v>12</v>
      </c>
      <c r="O86" s="9">
        <f t="shared" si="2"/>
        <v>35</v>
      </c>
    </row>
    <row r="87" spans="1:17" x14ac:dyDescent="0.25">
      <c r="A87" t="s">
        <v>21</v>
      </c>
      <c r="N87" t="s">
        <v>10</v>
      </c>
      <c r="O87">
        <v>-1.0713999999999999</v>
      </c>
      <c r="Q87" t="s">
        <v>20</v>
      </c>
    </row>
    <row r="88" spans="1:17" x14ac:dyDescent="0.25">
      <c r="A88" t="s">
        <v>21</v>
      </c>
      <c r="N88" t="s">
        <v>11</v>
      </c>
      <c r="O88">
        <v>23.928999999999998</v>
      </c>
    </row>
    <row r="89" spans="1:17" x14ac:dyDescent="0.25">
      <c r="A89" t="s">
        <v>21</v>
      </c>
      <c r="N89" t="s">
        <v>12</v>
      </c>
      <c r="O89">
        <v>22</v>
      </c>
    </row>
    <row r="90" spans="1:17" x14ac:dyDescent="0.25">
      <c r="A90" t="s">
        <v>21</v>
      </c>
      <c r="D90" t="s">
        <v>96</v>
      </c>
      <c r="N90" t="s">
        <v>10</v>
      </c>
      <c r="O90">
        <v>-1.25</v>
      </c>
      <c r="Q90" t="s">
        <v>106</v>
      </c>
    </row>
    <row r="91" spans="1:17" x14ac:dyDescent="0.25">
      <c r="A91" t="s">
        <v>21</v>
      </c>
      <c r="D91" t="s">
        <v>96</v>
      </c>
      <c r="N91" t="s">
        <v>11</v>
      </c>
      <c r="O91">
        <v>25.25</v>
      </c>
    </row>
    <row r="92" spans="1:17" x14ac:dyDescent="0.25">
      <c r="A92" t="s">
        <v>21</v>
      </c>
      <c r="D92" t="s">
        <v>96</v>
      </c>
      <c r="N92" t="s">
        <v>12</v>
      </c>
      <c r="O92">
        <v>9.75</v>
      </c>
    </row>
    <row r="93" spans="1:17" x14ac:dyDescent="0.25">
      <c r="A93" t="s">
        <v>21</v>
      </c>
      <c r="D93" t="s">
        <v>95</v>
      </c>
      <c r="N93" t="s">
        <v>10</v>
      </c>
      <c r="O93" s="9">
        <f>O90</f>
        <v>-1.25</v>
      </c>
      <c r="Q93" s="9" t="str">
        <f>Q90</f>
        <v>Havre södra götaland</v>
      </c>
    </row>
    <row r="94" spans="1:17" x14ac:dyDescent="0.25">
      <c r="A94" t="s">
        <v>21</v>
      </c>
      <c r="D94" t="s">
        <v>95</v>
      </c>
      <c r="N94" t="s">
        <v>11</v>
      </c>
      <c r="O94" s="9">
        <f>O91</f>
        <v>25.25</v>
      </c>
    </row>
    <row r="95" spans="1:17" x14ac:dyDescent="0.25">
      <c r="A95" t="s">
        <v>21</v>
      </c>
      <c r="D95" t="s">
        <v>95</v>
      </c>
      <c r="N95" t="s">
        <v>12</v>
      </c>
      <c r="O95" s="9">
        <f>O92</f>
        <v>9.75</v>
      </c>
    </row>
    <row r="96" spans="1:17" x14ac:dyDescent="0.25">
      <c r="A96" t="s">
        <v>25</v>
      </c>
      <c r="N96" t="s">
        <v>11</v>
      </c>
      <c r="O96" s="9">
        <f>O49</f>
        <v>16.856999999999999</v>
      </c>
      <c r="Q96" s="9" t="str">
        <f>Q49</f>
        <v>Rågvete/höstkorn, norra  götaland och svealand</v>
      </c>
    </row>
    <row r="97" spans="1:17" x14ac:dyDescent="0.25">
      <c r="A97" t="s">
        <v>25</v>
      </c>
      <c r="N97" t="s">
        <v>12</v>
      </c>
      <c r="O97" s="9">
        <f>O50</f>
        <v>59.143000000000001</v>
      </c>
    </row>
    <row r="98" spans="1:17" x14ac:dyDescent="0.25">
      <c r="A98" t="s">
        <v>25</v>
      </c>
      <c r="D98" t="s">
        <v>96</v>
      </c>
      <c r="N98" t="s">
        <v>10</v>
      </c>
      <c r="O98" s="9">
        <f>O54</f>
        <v>-0.71430000000000005</v>
      </c>
      <c r="Q98" s="9" t="str">
        <f>Q54</f>
        <v>Rågvete/höstkorn, södra götaland</v>
      </c>
    </row>
    <row r="99" spans="1:17" x14ac:dyDescent="0.25">
      <c r="A99" t="s">
        <v>25</v>
      </c>
      <c r="D99" t="s">
        <v>96</v>
      </c>
      <c r="N99" t="s">
        <v>11</v>
      </c>
      <c r="O99" s="9">
        <f>O55</f>
        <v>23.143000000000001</v>
      </c>
    </row>
    <row r="100" spans="1:17" x14ac:dyDescent="0.25">
      <c r="A100" t="s">
        <v>25</v>
      </c>
      <c r="D100" t="s">
        <v>96</v>
      </c>
      <c r="N100" t="s">
        <v>12</v>
      </c>
      <c r="O100" s="9">
        <f>O56</f>
        <v>37.570999999999998</v>
      </c>
    </row>
    <row r="101" spans="1:17" x14ac:dyDescent="0.25">
      <c r="A101" t="s">
        <v>25</v>
      </c>
      <c r="D101" t="s">
        <v>95</v>
      </c>
      <c r="N101" t="s">
        <v>10</v>
      </c>
      <c r="O101" s="9">
        <f>O54</f>
        <v>-0.71430000000000005</v>
      </c>
      <c r="Q101" s="9" t="str">
        <f>Q54</f>
        <v>Rågvete/höstkorn, södra götaland</v>
      </c>
    </row>
    <row r="102" spans="1:17" x14ac:dyDescent="0.25">
      <c r="A102" t="s">
        <v>25</v>
      </c>
      <c r="D102" t="s">
        <v>95</v>
      </c>
      <c r="N102" t="s">
        <v>11</v>
      </c>
      <c r="O102" s="9">
        <f>O55</f>
        <v>23.143000000000001</v>
      </c>
    </row>
    <row r="103" spans="1:17" x14ac:dyDescent="0.25">
      <c r="A103" t="s">
        <v>25</v>
      </c>
      <c r="D103" t="s">
        <v>95</v>
      </c>
      <c r="N103" t="s">
        <v>12</v>
      </c>
      <c r="O103" s="9">
        <f>O56</f>
        <v>37.570999999999998</v>
      </c>
    </row>
    <row r="104" spans="1:17" x14ac:dyDescent="0.25">
      <c r="A104" t="s">
        <v>24</v>
      </c>
      <c r="N104" t="s">
        <v>11</v>
      </c>
      <c r="O104" s="9">
        <f>O49</f>
        <v>16.856999999999999</v>
      </c>
      <c r="Q104" s="9" t="str">
        <f>Q49</f>
        <v>Rågvete/höstkorn, norra  götaland och svealand</v>
      </c>
    </row>
    <row r="105" spans="1:17" x14ac:dyDescent="0.25">
      <c r="A105" t="s">
        <v>24</v>
      </c>
      <c r="N105" t="s">
        <v>12</v>
      </c>
      <c r="O105" s="9">
        <f>O50</f>
        <v>59.143000000000001</v>
      </c>
      <c r="Q105" s="9"/>
    </row>
    <row r="106" spans="1:17" x14ac:dyDescent="0.25">
      <c r="A106" t="s">
        <v>24</v>
      </c>
      <c r="D106" t="s">
        <v>96</v>
      </c>
      <c r="N106" t="s">
        <v>10</v>
      </c>
      <c r="O106" s="9">
        <f>O54</f>
        <v>-0.71430000000000005</v>
      </c>
      <c r="Q106" s="9" t="str">
        <f>Q54</f>
        <v>Rågvete/höstkorn, södra götaland</v>
      </c>
    </row>
    <row r="107" spans="1:17" x14ac:dyDescent="0.25">
      <c r="A107" t="s">
        <v>24</v>
      </c>
      <c r="D107" t="s">
        <v>96</v>
      </c>
      <c r="N107" t="s">
        <v>11</v>
      </c>
      <c r="O107" s="9">
        <f>O55</f>
        <v>23.143000000000001</v>
      </c>
      <c r="Q107" s="9"/>
    </row>
    <row r="108" spans="1:17" x14ac:dyDescent="0.25">
      <c r="A108" t="s">
        <v>24</v>
      </c>
      <c r="D108" t="s">
        <v>96</v>
      </c>
      <c r="N108" t="s">
        <v>12</v>
      </c>
      <c r="O108" s="9">
        <f>O56</f>
        <v>37.570999999999998</v>
      </c>
      <c r="Q108" s="9"/>
    </row>
    <row r="109" spans="1:17" x14ac:dyDescent="0.25">
      <c r="A109" t="s">
        <v>24</v>
      </c>
      <c r="D109" t="s">
        <v>95</v>
      </c>
      <c r="N109" t="s">
        <v>10</v>
      </c>
      <c r="O109" s="9">
        <f>O54</f>
        <v>-0.71430000000000005</v>
      </c>
      <c r="Q109" s="9" t="str">
        <f>Q54</f>
        <v>Rågvete/höstkorn, södra götaland</v>
      </c>
    </row>
    <row r="110" spans="1:17" x14ac:dyDescent="0.25">
      <c r="A110" t="s">
        <v>24</v>
      </c>
      <c r="D110" t="s">
        <v>95</v>
      </c>
      <c r="N110" t="s">
        <v>11</v>
      </c>
      <c r="O110" s="9">
        <f>O55</f>
        <v>23.143000000000001</v>
      </c>
      <c r="Q110" s="9"/>
    </row>
    <row r="111" spans="1:17" x14ac:dyDescent="0.25">
      <c r="A111" t="s">
        <v>24</v>
      </c>
      <c r="D111" t="s">
        <v>95</v>
      </c>
      <c r="N111" t="s">
        <v>12</v>
      </c>
      <c r="O111" s="9">
        <f>O56</f>
        <v>37.570999999999998</v>
      </c>
      <c r="Q111" s="9"/>
    </row>
    <row r="112" spans="1:17" x14ac:dyDescent="0.25">
      <c r="A112" s="7" t="s">
        <v>29</v>
      </c>
      <c r="B112" s="7"/>
      <c r="C112" s="7"/>
      <c r="G112" s="7"/>
      <c r="H112" s="7"/>
      <c r="I112" s="7"/>
      <c r="J112" s="7"/>
      <c r="K112" s="7"/>
      <c r="L112" s="7"/>
      <c r="M112" s="7"/>
      <c r="N112" s="7"/>
      <c r="O112" s="7"/>
      <c r="Q112" s="7"/>
    </row>
    <row r="113" spans="1:17" x14ac:dyDescent="0.25">
      <c r="A113" t="s">
        <v>28</v>
      </c>
      <c r="N113" t="s">
        <v>12</v>
      </c>
      <c r="O113">
        <v>50</v>
      </c>
      <c r="Q113" t="s">
        <v>76</v>
      </c>
    </row>
    <row r="114" spans="1:17" x14ac:dyDescent="0.25">
      <c r="A114" t="s">
        <v>30</v>
      </c>
      <c r="N114" t="s">
        <v>12</v>
      </c>
      <c r="O114">
        <v>0</v>
      </c>
      <c r="Q114" t="s">
        <v>75</v>
      </c>
    </row>
    <row r="115" spans="1:17" x14ac:dyDescent="0.25">
      <c r="A115" t="s">
        <v>31</v>
      </c>
      <c r="N115" t="s">
        <v>12</v>
      </c>
      <c r="O115">
        <v>0</v>
      </c>
      <c r="Q115" t="s">
        <v>75</v>
      </c>
    </row>
    <row r="116" spans="1:17" x14ac:dyDescent="0.25">
      <c r="A116" t="s">
        <v>32</v>
      </c>
      <c r="N116" t="s">
        <v>12</v>
      </c>
      <c r="O116">
        <v>0</v>
      </c>
      <c r="Q116" t="s">
        <v>75</v>
      </c>
    </row>
    <row r="117" spans="1:17" x14ac:dyDescent="0.25">
      <c r="A117" t="s">
        <v>33</v>
      </c>
      <c r="N117" t="s">
        <v>12</v>
      </c>
      <c r="O117">
        <v>30</v>
      </c>
      <c r="Q117" t="s">
        <v>77</v>
      </c>
    </row>
    <row r="118" spans="1:17" x14ac:dyDescent="0.25">
      <c r="A118" t="s">
        <v>34</v>
      </c>
      <c r="N118" t="s">
        <v>11</v>
      </c>
      <c r="O118">
        <v>20</v>
      </c>
    </row>
    <row r="119" spans="1:17" x14ac:dyDescent="0.25">
      <c r="A119" t="s">
        <v>34</v>
      </c>
      <c r="N119" t="s">
        <v>12</v>
      </c>
      <c r="O119">
        <v>65</v>
      </c>
    </row>
    <row r="120" spans="1:17" x14ac:dyDescent="0.25">
      <c r="A120" t="s">
        <v>35</v>
      </c>
      <c r="N120" t="s">
        <v>11</v>
      </c>
      <c r="O120">
        <v>20</v>
      </c>
    </row>
    <row r="121" spans="1:17" x14ac:dyDescent="0.25">
      <c r="A121" t="s">
        <v>35</v>
      </c>
      <c r="N121" t="s">
        <v>12</v>
      </c>
      <c r="O121">
        <v>70</v>
      </c>
    </row>
    <row r="122" spans="1:17" x14ac:dyDescent="0.25">
      <c r="A122" t="s">
        <v>36</v>
      </c>
      <c r="N122" t="s">
        <v>10</v>
      </c>
      <c r="O122">
        <v>-2.5000000000000001E-2</v>
      </c>
      <c r="Q122" t="s">
        <v>108</v>
      </c>
    </row>
    <row r="123" spans="1:17" x14ac:dyDescent="0.25">
      <c r="A123" t="s">
        <v>36</v>
      </c>
      <c r="N123" t="s">
        <v>11</v>
      </c>
      <c r="O123">
        <v>4.95</v>
      </c>
    </row>
    <row r="124" spans="1:17" x14ac:dyDescent="0.25">
      <c r="A124" t="s">
        <v>36</v>
      </c>
      <c r="N124" t="s">
        <v>12</v>
      </c>
      <c r="O124">
        <v>-31.5</v>
      </c>
    </row>
    <row r="125" spans="1:17" x14ac:dyDescent="0.25">
      <c r="A125" t="s">
        <v>37</v>
      </c>
      <c r="N125" t="s">
        <v>10</v>
      </c>
      <c r="O125" s="9">
        <f>O122</f>
        <v>-2.5000000000000001E-2</v>
      </c>
      <c r="Q125" s="9" t="str">
        <f>Q122</f>
        <v>Potatis</v>
      </c>
    </row>
    <row r="126" spans="1:17" x14ac:dyDescent="0.25">
      <c r="A126" t="s">
        <v>37</v>
      </c>
      <c r="N126" t="s">
        <v>11</v>
      </c>
      <c r="O126" s="9">
        <f t="shared" ref="O126:O127" si="3">O123</f>
        <v>4.95</v>
      </c>
    </row>
    <row r="127" spans="1:17" x14ac:dyDescent="0.25">
      <c r="A127" t="s">
        <v>37</v>
      </c>
      <c r="N127" t="s">
        <v>12</v>
      </c>
      <c r="O127" s="9">
        <f t="shared" si="3"/>
        <v>-31.5</v>
      </c>
    </row>
    <row r="128" spans="1:17" x14ac:dyDescent="0.25">
      <c r="A128" t="s">
        <v>38</v>
      </c>
      <c r="N128" t="s">
        <v>12</v>
      </c>
      <c r="O128">
        <v>110</v>
      </c>
      <c r="Q128" t="s">
        <v>80</v>
      </c>
    </row>
    <row r="129" spans="1:18" x14ac:dyDescent="0.25">
      <c r="A129" s="7" t="s">
        <v>39</v>
      </c>
      <c r="B129" s="7"/>
      <c r="C129" s="7"/>
      <c r="G129" s="7"/>
      <c r="H129" s="7"/>
      <c r="I129" s="7"/>
      <c r="J129" s="7"/>
      <c r="K129" s="7"/>
      <c r="L129" s="7"/>
      <c r="M129" s="7"/>
    </row>
    <row r="130" spans="1:18" x14ac:dyDescent="0.25">
      <c r="A130" s="10" t="s">
        <v>40</v>
      </c>
      <c r="B130" s="10"/>
      <c r="C130" s="10"/>
      <c r="G130" s="10"/>
      <c r="H130" s="10"/>
      <c r="I130" s="10"/>
      <c r="J130" s="10"/>
      <c r="K130" s="10"/>
      <c r="L130" s="10"/>
      <c r="M130" s="10"/>
      <c r="N130" t="s">
        <v>10</v>
      </c>
      <c r="O130">
        <v>-1.4286000000000001</v>
      </c>
      <c r="Q130" t="s">
        <v>81</v>
      </c>
    </row>
    <row r="131" spans="1:18" x14ac:dyDescent="0.25">
      <c r="A131" s="10" t="s">
        <v>40</v>
      </c>
      <c r="B131" s="10"/>
      <c r="C131" s="10"/>
      <c r="G131" s="10"/>
      <c r="H131" s="10"/>
      <c r="I131" s="10"/>
      <c r="J131" s="10"/>
      <c r="K131" s="10"/>
      <c r="L131" s="10"/>
      <c r="M131" s="10"/>
      <c r="N131" t="s">
        <v>11</v>
      </c>
      <c r="O131">
        <v>40.713999999999999</v>
      </c>
    </row>
    <row r="132" spans="1:18" x14ac:dyDescent="0.25">
      <c r="A132" s="10" t="s">
        <v>40</v>
      </c>
      <c r="B132" s="10"/>
      <c r="C132" s="10"/>
      <c r="G132" s="10"/>
      <c r="H132" s="10"/>
      <c r="I132" s="10"/>
      <c r="J132" s="10"/>
      <c r="K132" s="10"/>
      <c r="L132" s="10"/>
      <c r="M132" s="10"/>
      <c r="N132" t="s">
        <v>12</v>
      </c>
      <c r="O132">
        <v>-74.856999999999999</v>
      </c>
    </row>
    <row r="133" spans="1:18" x14ac:dyDescent="0.25">
      <c r="A133" s="10" t="s">
        <v>41</v>
      </c>
      <c r="B133" s="10"/>
      <c r="C133" s="11"/>
      <c r="G133" s="11"/>
      <c r="H133" s="11"/>
      <c r="I133" s="11"/>
      <c r="J133" s="11"/>
      <c r="K133" s="11"/>
      <c r="L133" s="11"/>
      <c r="M133" s="11"/>
      <c r="N133" t="s">
        <v>12</v>
      </c>
      <c r="O133" s="5">
        <v>11</v>
      </c>
      <c r="P133" s="5"/>
      <c r="Q133" s="5" t="s">
        <v>196</v>
      </c>
    </row>
    <row r="134" spans="1:18" x14ac:dyDescent="0.25">
      <c r="A134" s="5" t="s">
        <v>73</v>
      </c>
      <c r="B134" s="5"/>
      <c r="C134" s="5"/>
      <c r="G134" s="5"/>
      <c r="H134" s="5"/>
      <c r="I134" s="5"/>
      <c r="J134" s="5"/>
      <c r="K134" s="5"/>
      <c r="L134" s="5"/>
      <c r="M134" s="5"/>
      <c r="N134" t="s">
        <v>12</v>
      </c>
      <c r="O134">
        <v>0</v>
      </c>
      <c r="Q134" t="s">
        <v>74</v>
      </c>
    </row>
    <row r="135" spans="1:18" x14ac:dyDescent="0.25">
      <c r="A135" s="5" t="s">
        <v>42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 t="s">
        <v>10</v>
      </c>
      <c r="O135" s="5">
        <v>-1.7857000000000001</v>
      </c>
      <c r="Q135" s="7"/>
    </row>
    <row r="136" spans="1:18" x14ac:dyDescent="0.25">
      <c r="A136" s="5" t="s">
        <v>42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 t="s">
        <v>11</v>
      </c>
      <c r="O136" s="5">
        <v>43.570999999999998</v>
      </c>
      <c r="Q136" s="7"/>
    </row>
    <row r="137" spans="1:18" x14ac:dyDescent="0.25">
      <c r="A137" s="5" t="s">
        <v>42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 t="s">
        <v>12</v>
      </c>
      <c r="O137" s="5">
        <v>-112.5</v>
      </c>
      <c r="Q137" s="7"/>
    </row>
    <row r="138" spans="1:18" x14ac:dyDescent="0.25">
      <c r="A138" s="11" t="s">
        <v>43</v>
      </c>
      <c r="B138" s="11"/>
      <c r="C138" s="11"/>
      <c r="G138" s="11"/>
      <c r="H138" s="11"/>
      <c r="I138" s="11"/>
      <c r="J138" s="11"/>
      <c r="K138" s="11"/>
      <c r="L138" s="11"/>
      <c r="M138" s="11"/>
    </row>
    <row r="139" spans="1:18" x14ac:dyDescent="0.25">
      <c r="A139" s="11" t="s">
        <v>44</v>
      </c>
      <c r="B139" s="11"/>
      <c r="C139" s="11"/>
      <c r="G139" s="11"/>
      <c r="H139" s="11"/>
      <c r="I139" s="11"/>
      <c r="J139" s="11"/>
      <c r="K139" s="11"/>
      <c r="L139" s="11"/>
      <c r="M139" s="11"/>
    </row>
    <row r="140" spans="1:18" x14ac:dyDescent="0.25">
      <c r="A140" s="10" t="s">
        <v>45</v>
      </c>
      <c r="B140" s="10"/>
      <c r="C140" s="10"/>
      <c r="G140" s="10"/>
      <c r="H140" s="10"/>
      <c r="I140" s="10"/>
      <c r="J140" s="10"/>
      <c r="K140" s="10"/>
      <c r="L140" s="10"/>
      <c r="M140" s="10"/>
      <c r="N140" t="s">
        <v>12</v>
      </c>
      <c r="O140">
        <v>0</v>
      </c>
      <c r="Q140" t="s">
        <v>74</v>
      </c>
    </row>
    <row r="141" spans="1:18" x14ac:dyDescent="0.25">
      <c r="A141" s="10" t="s">
        <v>46</v>
      </c>
      <c r="B141" s="10"/>
      <c r="C141" s="10"/>
      <c r="G141" s="10"/>
      <c r="H141" s="10"/>
      <c r="I141" s="10"/>
      <c r="J141" s="10"/>
      <c r="K141" s="10"/>
      <c r="L141" s="10"/>
      <c r="M141" s="10"/>
      <c r="N141" t="s">
        <v>12</v>
      </c>
      <c r="O141">
        <v>0</v>
      </c>
      <c r="Q141" t="s">
        <v>74</v>
      </c>
    </row>
    <row r="142" spans="1:18" x14ac:dyDescent="0.25">
      <c r="A142" t="s">
        <v>47</v>
      </c>
      <c r="N142" t="s">
        <v>11</v>
      </c>
      <c r="O142">
        <v>2.5</v>
      </c>
      <c r="Q142" t="s">
        <v>85</v>
      </c>
      <c r="R142" t="s">
        <v>86</v>
      </c>
    </row>
    <row r="143" spans="1:18" x14ac:dyDescent="0.25">
      <c r="A143" t="s">
        <v>47</v>
      </c>
      <c r="N143" t="s">
        <v>12</v>
      </c>
      <c r="O143">
        <v>25</v>
      </c>
    </row>
    <row r="144" spans="1:18" x14ac:dyDescent="0.25">
      <c r="A144" t="s">
        <v>48</v>
      </c>
      <c r="N144" t="s">
        <v>11</v>
      </c>
      <c r="O144">
        <v>1.3846000000000001</v>
      </c>
      <c r="Q144" t="s">
        <v>85</v>
      </c>
      <c r="R144" t="s">
        <v>86</v>
      </c>
    </row>
    <row r="145" spans="1:18" x14ac:dyDescent="0.25">
      <c r="A145" t="s">
        <v>48</v>
      </c>
      <c r="N145" t="s">
        <v>12</v>
      </c>
      <c r="O145">
        <v>11.538</v>
      </c>
    </row>
    <row r="146" spans="1:18" x14ac:dyDescent="0.25">
      <c r="A146" s="5" t="s">
        <v>49</v>
      </c>
      <c r="B146" s="5"/>
      <c r="C146" s="5"/>
      <c r="G146" s="5"/>
      <c r="H146" s="5"/>
      <c r="I146" s="5"/>
      <c r="J146" s="5"/>
      <c r="K146" s="5"/>
      <c r="L146" s="5"/>
      <c r="M146" s="5"/>
      <c r="N146" t="s">
        <v>11</v>
      </c>
      <c r="O146" s="9">
        <f>O144</f>
        <v>1.3846000000000001</v>
      </c>
      <c r="Q146" s="7" t="s">
        <v>110</v>
      </c>
    </row>
    <row r="147" spans="1:18" x14ac:dyDescent="0.25">
      <c r="A147" s="5" t="s">
        <v>49</v>
      </c>
      <c r="B147" s="5"/>
      <c r="C147" s="5"/>
      <c r="G147" s="5"/>
      <c r="H147" s="5"/>
      <c r="I147" s="5"/>
      <c r="J147" s="5"/>
      <c r="K147" s="5"/>
      <c r="L147" s="5"/>
      <c r="M147" s="5"/>
      <c r="N147" t="s">
        <v>12</v>
      </c>
      <c r="O147" s="9">
        <f>O145</f>
        <v>11.538</v>
      </c>
    </row>
    <row r="148" spans="1:18" x14ac:dyDescent="0.25">
      <c r="A148" s="5" t="s">
        <v>50</v>
      </c>
      <c r="B148" s="5"/>
      <c r="C148" s="5"/>
      <c r="G148" s="5"/>
      <c r="H148" s="5"/>
      <c r="I148" s="5"/>
      <c r="J148" s="5"/>
      <c r="K148" s="5"/>
      <c r="L148" s="5"/>
      <c r="M148" s="5"/>
      <c r="N148" t="s">
        <v>11</v>
      </c>
      <c r="O148">
        <v>3.3332999999999999</v>
      </c>
      <c r="Q148" t="s">
        <v>87</v>
      </c>
      <c r="R148" t="s">
        <v>86</v>
      </c>
    </row>
    <row r="149" spans="1:18" x14ac:dyDescent="0.25">
      <c r="A149" s="5" t="s">
        <v>50</v>
      </c>
      <c r="B149" s="5"/>
      <c r="C149" s="5"/>
      <c r="G149" s="5"/>
      <c r="H149" s="5"/>
      <c r="I149" s="5"/>
      <c r="J149" s="5"/>
      <c r="K149" s="5"/>
      <c r="L149" s="5"/>
      <c r="M149" s="5"/>
      <c r="N149" t="s">
        <v>12</v>
      </c>
      <c r="O149">
        <v>33.332999999999998</v>
      </c>
    </row>
    <row r="150" spans="1:18" x14ac:dyDescent="0.25">
      <c r="A150" s="5" t="s">
        <v>51</v>
      </c>
      <c r="B150" s="5"/>
      <c r="C150" s="5"/>
      <c r="G150" s="5"/>
      <c r="H150" s="5"/>
      <c r="I150" s="5"/>
      <c r="J150" s="5"/>
      <c r="K150" s="5"/>
      <c r="L150" s="5"/>
      <c r="M150" s="5"/>
      <c r="N150" t="s">
        <v>11</v>
      </c>
      <c r="O150">
        <v>3</v>
      </c>
      <c r="Q150" t="s">
        <v>88</v>
      </c>
      <c r="R150" t="s">
        <v>86</v>
      </c>
    </row>
    <row r="151" spans="1:18" x14ac:dyDescent="0.25">
      <c r="A151" s="5" t="s">
        <v>51</v>
      </c>
      <c r="B151" s="5"/>
      <c r="C151" s="5"/>
      <c r="G151" s="5"/>
      <c r="H151" s="5"/>
      <c r="I151" s="5"/>
      <c r="J151" s="5"/>
      <c r="K151" s="5"/>
      <c r="L151" s="5"/>
      <c r="M151" s="5"/>
      <c r="N151" t="s">
        <v>12</v>
      </c>
      <c r="O151">
        <v>90</v>
      </c>
    </row>
    <row r="152" spans="1:18" x14ac:dyDescent="0.25">
      <c r="A152" s="5" t="s">
        <v>52</v>
      </c>
      <c r="B152" s="5"/>
      <c r="C152" s="5"/>
      <c r="G152" s="5"/>
      <c r="H152" s="5"/>
      <c r="I152" s="5"/>
      <c r="J152" s="5"/>
      <c r="K152" s="5"/>
      <c r="L152" s="5"/>
      <c r="M152" s="5"/>
      <c r="N152" s="5" t="s">
        <v>10</v>
      </c>
      <c r="O152">
        <v>1.7999999999999999E-2</v>
      </c>
      <c r="Q152" t="s">
        <v>89</v>
      </c>
      <c r="R152" t="s">
        <v>86</v>
      </c>
    </row>
    <row r="153" spans="1:18" x14ac:dyDescent="0.25">
      <c r="A153" s="5" t="s">
        <v>52</v>
      </c>
      <c r="B153" s="5"/>
      <c r="C153" s="5"/>
      <c r="G153" s="5"/>
      <c r="H153" s="5"/>
      <c r="I153" s="5"/>
      <c r="J153" s="5"/>
      <c r="K153" s="5"/>
      <c r="L153" s="5"/>
      <c r="M153" s="5"/>
      <c r="N153" t="s">
        <v>11</v>
      </c>
      <c r="O153">
        <v>1.2583</v>
      </c>
    </row>
    <row r="154" spans="1:18" x14ac:dyDescent="0.25">
      <c r="A154" s="5" t="s">
        <v>52</v>
      </c>
      <c r="B154" s="5"/>
      <c r="C154" s="5"/>
      <c r="G154" s="5"/>
      <c r="H154" s="5"/>
      <c r="I154" s="5"/>
      <c r="J154" s="5"/>
      <c r="K154" s="5"/>
      <c r="L154" s="5"/>
      <c r="M154" s="5"/>
      <c r="N154" t="s">
        <v>12</v>
      </c>
      <c r="O154">
        <v>0</v>
      </c>
    </row>
    <row r="155" spans="1:18" x14ac:dyDescent="0.25">
      <c r="A155" s="5" t="s">
        <v>53</v>
      </c>
      <c r="B155" s="5"/>
      <c r="C155" s="5"/>
      <c r="G155" s="5"/>
      <c r="H155" s="5"/>
      <c r="I155" s="5"/>
      <c r="J155" s="5"/>
      <c r="K155" s="5"/>
      <c r="L155" s="5"/>
      <c r="M155" s="5"/>
      <c r="N155" s="5" t="s">
        <v>10</v>
      </c>
      <c r="O155" s="9">
        <f>O152</f>
        <v>1.7999999999999999E-2</v>
      </c>
      <c r="Q155" s="9" t="str">
        <f>Q152</f>
        <v xml:space="preserve">yield in fresh weight 5% DM </v>
      </c>
      <c r="R155" s="9" t="str">
        <f>R152</f>
        <v>Yara (2018)</v>
      </c>
    </row>
    <row r="156" spans="1:18" x14ac:dyDescent="0.25">
      <c r="A156" s="5" t="s">
        <v>53</v>
      </c>
      <c r="B156" s="5"/>
      <c r="C156" s="5"/>
      <c r="G156" s="5"/>
      <c r="H156" s="5"/>
      <c r="I156" s="5"/>
      <c r="J156" s="5"/>
      <c r="K156" s="5"/>
      <c r="L156" s="5"/>
      <c r="M156" s="5"/>
      <c r="N156" t="s">
        <v>11</v>
      </c>
      <c r="O156" s="9">
        <f>O153</f>
        <v>1.2583</v>
      </c>
      <c r="P156" s="9"/>
      <c r="Q156" s="9"/>
      <c r="R156" s="9"/>
    </row>
    <row r="157" spans="1:18" x14ac:dyDescent="0.25">
      <c r="A157" s="5" t="s">
        <v>53</v>
      </c>
      <c r="B157" s="5"/>
      <c r="C157" s="5"/>
      <c r="G157" s="5"/>
      <c r="H157" s="5"/>
      <c r="I157" s="5"/>
      <c r="J157" s="5"/>
      <c r="K157" s="5"/>
      <c r="L157" s="5"/>
      <c r="M157" s="5"/>
      <c r="N157" t="s">
        <v>12</v>
      </c>
      <c r="O157" s="9">
        <f>O154</f>
        <v>0</v>
      </c>
      <c r="P157" s="9"/>
      <c r="Q157" s="9"/>
      <c r="R157" s="9"/>
    </row>
    <row r="158" spans="1:18" x14ac:dyDescent="0.25">
      <c r="A158" s="5" t="s">
        <v>54</v>
      </c>
      <c r="B158" s="5"/>
      <c r="C158" s="5"/>
      <c r="G158" s="5"/>
      <c r="H158" s="5"/>
      <c r="I158" s="5"/>
      <c r="J158" s="5"/>
      <c r="K158" s="5"/>
      <c r="L158" s="5"/>
      <c r="M158" s="5"/>
      <c r="N158" t="s">
        <v>11</v>
      </c>
      <c r="O158" s="9">
        <f>O148</f>
        <v>3.3332999999999999</v>
      </c>
      <c r="Q158" s="7" t="s">
        <v>111</v>
      </c>
    </row>
    <row r="159" spans="1:18" x14ac:dyDescent="0.25">
      <c r="A159" s="5" t="s">
        <v>54</v>
      </c>
      <c r="B159" s="5"/>
      <c r="C159" s="5"/>
      <c r="G159" s="5"/>
      <c r="H159" s="5"/>
      <c r="I159" s="5"/>
      <c r="J159" s="5"/>
      <c r="K159" s="5"/>
      <c r="L159" s="5"/>
      <c r="M159" s="5"/>
      <c r="N159" t="s">
        <v>12</v>
      </c>
      <c r="O159" s="9">
        <f>O149</f>
        <v>33.332999999999998</v>
      </c>
    </row>
    <row r="160" spans="1:18" x14ac:dyDescent="0.25">
      <c r="A160" s="7" t="s">
        <v>55</v>
      </c>
      <c r="B160" s="7"/>
      <c r="C160" s="7"/>
      <c r="G160" s="7"/>
      <c r="H160" s="7"/>
      <c r="I160" s="7"/>
      <c r="J160" s="7"/>
      <c r="K160" s="7"/>
      <c r="L160" s="7"/>
      <c r="M160" s="7"/>
    </row>
    <row r="161" spans="1:17" x14ac:dyDescent="0.25">
      <c r="A161" s="5" t="s">
        <v>56</v>
      </c>
      <c r="B161" s="5"/>
      <c r="C161" s="5"/>
      <c r="G161" s="5"/>
      <c r="H161" s="5"/>
      <c r="I161" s="5"/>
      <c r="J161" s="5"/>
      <c r="K161" s="5"/>
      <c r="L161" s="5"/>
      <c r="M161" s="5"/>
      <c r="N161" t="s">
        <v>12</v>
      </c>
      <c r="O161">
        <v>65</v>
      </c>
      <c r="Q161" t="s">
        <v>82</v>
      </c>
    </row>
    <row r="162" spans="1:17" x14ac:dyDescent="0.25">
      <c r="A162" s="7" t="s">
        <v>57</v>
      </c>
      <c r="B162" s="7"/>
      <c r="C162" s="7"/>
      <c r="G162" s="7"/>
      <c r="H162" s="7"/>
      <c r="I162" s="7"/>
      <c r="J162" s="7"/>
      <c r="K162" s="7"/>
      <c r="L162" s="7"/>
      <c r="M162" s="7"/>
    </row>
    <row r="163" spans="1:17" x14ac:dyDescent="0.25">
      <c r="A163" s="5" t="s">
        <v>58</v>
      </c>
      <c r="B163" s="5"/>
      <c r="C163" s="5"/>
      <c r="G163" s="5"/>
      <c r="H163" s="5"/>
      <c r="I163" s="5"/>
      <c r="J163" s="5"/>
      <c r="K163" s="5"/>
      <c r="L163" s="5"/>
      <c r="M163" s="5"/>
      <c r="N163" t="s">
        <v>12</v>
      </c>
      <c r="O163">
        <v>65</v>
      </c>
      <c r="Q163" t="s">
        <v>83</v>
      </c>
    </row>
    <row r="164" spans="1:17" x14ac:dyDescent="0.25">
      <c r="A164" s="5" t="s">
        <v>59</v>
      </c>
      <c r="B164" s="5"/>
      <c r="C164" s="5"/>
      <c r="G164" s="5"/>
      <c r="H164" s="5"/>
      <c r="I164" s="5"/>
      <c r="J164" s="5"/>
      <c r="K164" s="5"/>
      <c r="L164" s="5"/>
      <c r="M164" s="5"/>
      <c r="N164" t="s">
        <v>12</v>
      </c>
      <c r="O164">
        <v>100</v>
      </c>
      <c r="Q164" t="s">
        <v>84</v>
      </c>
    </row>
    <row r="165" spans="1:17" x14ac:dyDescent="0.25">
      <c r="A165" s="5" t="s">
        <v>60</v>
      </c>
      <c r="B165" s="5"/>
      <c r="C165" s="5"/>
      <c r="G165" s="5"/>
      <c r="H165" s="5"/>
      <c r="I165" s="5"/>
      <c r="J165" s="5"/>
      <c r="K165" s="5"/>
      <c r="L165" s="5"/>
      <c r="M165" s="5"/>
      <c r="N165" t="s">
        <v>12</v>
      </c>
      <c r="O165">
        <v>110</v>
      </c>
    </row>
    <row r="166" spans="1:17" x14ac:dyDescent="0.25">
      <c r="A166" s="5" t="s">
        <v>61</v>
      </c>
      <c r="B166" s="5"/>
      <c r="C166" s="5"/>
      <c r="G166" s="5"/>
      <c r="H166" s="5"/>
      <c r="I166" s="5"/>
      <c r="J166" s="5"/>
      <c r="K166" s="5"/>
      <c r="L166" s="5"/>
      <c r="M166" s="5"/>
      <c r="N166" t="s">
        <v>12</v>
      </c>
      <c r="O166" s="9">
        <f>O164</f>
        <v>100</v>
      </c>
      <c r="Q166" s="7" t="s">
        <v>109</v>
      </c>
    </row>
    <row r="167" spans="1:17" x14ac:dyDescent="0.25">
      <c r="A167" s="7" t="s">
        <v>62</v>
      </c>
      <c r="B167" s="7"/>
      <c r="C167" s="7"/>
      <c r="G167" s="7"/>
      <c r="H167" s="7"/>
      <c r="I167" s="7"/>
      <c r="J167" s="7"/>
      <c r="K167" s="7"/>
      <c r="L167" s="7"/>
      <c r="M167" s="7"/>
    </row>
    <row r="168" spans="1:17" x14ac:dyDescent="0.25">
      <c r="A168" s="7" t="s">
        <v>63</v>
      </c>
      <c r="B168" s="7"/>
      <c r="C168" s="7"/>
      <c r="G168" s="7"/>
      <c r="H168" s="7"/>
      <c r="I168" s="7"/>
      <c r="J168" s="7"/>
      <c r="K168" s="7"/>
      <c r="L168" s="7"/>
      <c r="M168" s="7"/>
    </row>
    <row r="169" spans="1:17" x14ac:dyDescent="0.25">
      <c r="A169" s="7" t="s">
        <v>64</v>
      </c>
      <c r="B169" s="7"/>
      <c r="C169" s="7"/>
      <c r="G169" s="7"/>
      <c r="H169" s="7"/>
      <c r="I169" s="7"/>
      <c r="J169" s="7"/>
      <c r="K169" s="7"/>
      <c r="L169" s="7"/>
      <c r="M169" s="7"/>
    </row>
    <row r="170" spans="1:17" x14ac:dyDescent="0.25">
      <c r="A170" s="7" t="s">
        <v>65</v>
      </c>
      <c r="B170" s="7"/>
      <c r="C170" s="7"/>
      <c r="G170" s="7"/>
      <c r="H170" s="7"/>
      <c r="I170" s="7"/>
      <c r="J170" s="7"/>
      <c r="K170" s="7"/>
      <c r="L170" s="7"/>
      <c r="M170" s="7"/>
    </row>
    <row r="171" spans="1:17" x14ac:dyDescent="0.25">
      <c r="A171" s="7" t="s">
        <v>66</v>
      </c>
      <c r="B171" s="7"/>
      <c r="C171" s="7"/>
      <c r="G171" s="7"/>
      <c r="H171" s="7"/>
      <c r="I171" s="7"/>
      <c r="J171" s="7"/>
      <c r="K171" s="7"/>
      <c r="L171" s="7"/>
      <c r="M171" s="7"/>
    </row>
    <row r="172" spans="1:17" x14ac:dyDescent="0.25">
      <c r="A172" s="7" t="s">
        <v>67</v>
      </c>
      <c r="B172" s="7"/>
      <c r="C172" s="7"/>
      <c r="G172" s="7"/>
      <c r="H172" s="7"/>
      <c r="I172" s="7"/>
      <c r="J172" s="7"/>
      <c r="K172" s="7"/>
      <c r="L172" s="7"/>
      <c r="M172" s="7"/>
    </row>
    <row r="173" spans="1:17" x14ac:dyDescent="0.25">
      <c r="A173" s="7" t="s">
        <v>68</v>
      </c>
      <c r="B173" s="7"/>
      <c r="C173" s="7"/>
      <c r="G173" s="7"/>
      <c r="H173" s="7"/>
      <c r="I173" s="7"/>
      <c r="J173" s="7"/>
      <c r="K173" s="7"/>
      <c r="L173" s="7"/>
      <c r="M173" s="7"/>
    </row>
    <row r="174" spans="1:17" x14ac:dyDescent="0.25">
      <c r="A174" s="5" t="s">
        <v>69</v>
      </c>
      <c r="B174" s="5"/>
      <c r="C174" s="5"/>
      <c r="G174" s="5"/>
      <c r="H174" s="5"/>
      <c r="I174" s="5"/>
      <c r="J174" s="5"/>
      <c r="K174" s="5"/>
      <c r="L174" s="5"/>
      <c r="M174" s="5"/>
      <c r="N174" t="s">
        <v>12</v>
      </c>
      <c r="O174">
        <v>0</v>
      </c>
      <c r="Q174" t="s">
        <v>74</v>
      </c>
    </row>
    <row r="175" spans="1:17" x14ac:dyDescent="0.25">
      <c r="A175" s="7" t="s">
        <v>70</v>
      </c>
      <c r="B175" s="7"/>
      <c r="C175" s="7"/>
      <c r="G175" s="7"/>
      <c r="H175" s="7"/>
      <c r="I175" s="7"/>
      <c r="J175" s="7"/>
      <c r="K175" s="7"/>
      <c r="L175" s="7"/>
      <c r="M175" s="7"/>
      <c r="Q175" s="7" t="s">
        <v>213</v>
      </c>
    </row>
    <row r="176" spans="1:17" x14ac:dyDescent="0.25">
      <c r="A176" s="7" t="s">
        <v>70</v>
      </c>
      <c r="B176" s="7"/>
      <c r="C176" s="7"/>
      <c r="G176" s="7"/>
      <c r="H176" s="7"/>
      <c r="I176" s="7"/>
      <c r="J176" s="7"/>
      <c r="K176" s="7"/>
      <c r="L176" s="7"/>
      <c r="M176" s="7"/>
    </row>
    <row r="177" spans="1:18" x14ac:dyDescent="0.25">
      <c r="A177" s="7" t="s">
        <v>70</v>
      </c>
      <c r="B177" s="7"/>
      <c r="C177" s="7"/>
      <c r="G177" s="7"/>
      <c r="H177" s="7"/>
      <c r="I177" s="7"/>
      <c r="J177" s="7"/>
      <c r="K177" s="7"/>
      <c r="L177" s="7"/>
      <c r="M177" s="7"/>
    </row>
    <row r="178" spans="1:18" x14ac:dyDescent="0.25">
      <c r="A178" s="7" t="s">
        <v>71</v>
      </c>
      <c r="B178" s="7"/>
      <c r="C178" s="7"/>
      <c r="G178" s="7"/>
      <c r="H178" s="7"/>
      <c r="I178" s="7"/>
      <c r="J178" s="7"/>
      <c r="K178" s="7"/>
      <c r="L178" s="7"/>
      <c r="M178" s="7"/>
    </row>
    <row r="179" spans="1:18" x14ac:dyDescent="0.25">
      <c r="A179" s="5" t="s">
        <v>72</v>
      </c>
      <c r="B179" s="5"/>
      <c r="C179" s="5"/>
      <c r="G179" s="5"/>
      <c r="H179" s="5"/>
      <c r="I179" s="5"/>
      <c r="J179" s="5"/>
      <c r="K179" s="5"/>
      <c r="L179" s="5"/>
      <c r="M179" s="5"/>
      <c r="N179" t="s">
        <v>12</v>
      </c>
      <c r="O179">
        <v>0</v>
      </c>
      <c r="Q179" t="s">
        <v>74</v>
      </c>
    </row>
    <row r="181" spans="1:18" x14ac:dyDescent="0.25">
      <c r="A181" s="2" t="s">
        <v>209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3"/>
      <c r="R181" s="3"/>
    </row>
    <row r="182" spans="1:18" s="18" customFormat="1" x14ac:dyDescent="0.25">
      <c r="A182" s="19" t="s">
        <v>207</v>
      </c>
      <c r="B182" s="19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</row>
    <row r="183" spans="1:18" s="18" customFormat="1" x14ac:dyDescent="0.25">
      <c r="A183" s="19" t="s">
        <v>208</v>
      </c>
      <c r="B183" s="19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</row>
    <row r="184" spans="1:18" x14ac:dyDescent="0.25">
      <c r="N184" s="6" t="s">
        <v>13</v>
      </c>
      <c r="O184" s="6">
        <v>0</v>
      </c>
      <c r="P184" s="6"/>
      <c r="Q184" s="6" t="s">
        <v>15</v>
      </c>
    </row>
    <row r="185" spans="1:18" x14ac:dyDescent="0.25">
      <c r="N185" s="6" t="s">
        <v>14</v>
      </c>
      <c r="O185" s="6">
        <v>1</v>
      </c>
      <c r="P185" s="6"/>
      <c r="Q185" s="6" t="s">
        <v>15</v>
      </c>
    </row>
    <row r="186" spans="1:18" x14ac:dyDescent="0.25">
      <c r="A186" t="s">
        <v>7</v>
      </c>
      <c r="N186" t="s">
        <v>13</v>
      </c>
      <c r="O186">
        <v>-0.32340000000000002</v>
      </c>
    </row>
    <row r="187" spans="1:18" x14ac:dyDescent="0.25">
      <c r="A187" t="s">
        <v>7</v>
      </c>
      <c r="N187" t="s">
        <v>14</v>
      </c>
      <c r="O187">
        <v>0.97240000000000004</v>
      </c>
    </row>
    <row r="188" spans="1:18" x14ac:dyDescent="0.25">
      <c r="A188" t="s">
        <v>16</v>
      </c>
      <c r="N188" t="s">
        <v>13</v>
      </c>
      <c r="O188">
        <v>-0.32500000000000001</v>
      </c>
    </row>
    <row r="189" spans="1:18" x14ac:dyDescent="0.25">
      <c r="A189" t="s">
        <v>16</v>
      </c>
      <c r="N189" t="s">
        <v>14</v>
      </c>
      <c r="O189">
        <v>0.81369999999999998</v>
      </c>
    </row>
    <row r="190" spans="1:18" x14ac:dyDescent="0.25">
      <c r="A190" t="s">
        <v>27</v>
      </c>
      <c r="N190" t="s">
        <v>13</v>
      </c>
      <c r="O190">
        <v>-0.58699999999999997</v>
      </c>
    </row>
    <row r="191" spans="1:18" x14ac:dyDescent="0.25">
      <c r="A191" t="s">
        <v>27</v>
      </c>
      <c r="N191" t="s">
        <v>14</v>
      </c>
      <c r="O191">
        <v>0.82350000000000001</v>
      </c>
    </row>
    <row r="192" spans="1:18" x14ac:dyDescent="0.25">
      <c r="A192" t="s">
        <v>23</v>
      </c>
      <c r="N192" t="s">
        <v>13</v>
      </c>
      <c r="O192">
        <v>-0.35070000000000001</v>
      </c>
    </row>
    <row r="193" spans="1:17" x14ac:dyDescent="0.25">
      <c r="A193" t="s">
        <v>23</v>
      </c>
      <c r="N193" t="s">
        <v>14</v>
      </c>
      <c r="O193">
        <v>0.9234</v>
      </c>
    </row>
    <row r="194" spans="1:17" x14ac:dyDescent="0.25">
      <c r="A194" t="s">
        <v>17</v>
      </c>
      <c r="N194" t="s">
        <v>13</v>
      </c>
      <c r="O194">
        <v>-0.41710000000000003</v>
      </c>
    </row>
    <row r="195" spans="1:17" x14ac:dyDescent="0.25">
      <c r="A195" t="s">
        <v>17</v>
      </c>
      <c r="N195" t="s">
        <v>14</v>
      </c>
      <c r="O195">
        <v>0.91610000000000003</v>
      </c>
    </row>
    <row r="196" spans="1:17" x14ac:dyDescent="0.25">
      <c r="A196" t="s">
        <v>21</v>
      </c>
      <c r="N196" t="s">
        <v>13</v>
      </c>
      <c r="O196">
        <v>-0.74150000000000005</v>
      </c>
    </row>
    <row r="197" spans="1:17" x14ac:dyDescent="0.25">
      <c r="A197" t="s">
        <v>21</v>
      </c>
      <c r="N197" t="s">
        <v>14</v>
      </c>
      <c r="O197">
        <v>0.96550000000000002</v>
      </c>
    </row>
    <row r="198" spans="1:17" x14ac:dyDescent="0.25">
      <c r="A198" t="s">
        <v>25</v>
      </c>
      <c r="N198" t="s">
        <v>13</v>
      </c>
      <c r="O198" s="9">
        <f>O200</f>
        <v>-0.58699999999999997</v>
      </c>
    </row>
    <row r="199" spans="1:17" x14ac:dyDescent="0.25">
      <c r="A199" t="s">
        <v>25</v>
      </c>
      <c r="N199" t="s">
        <v>14</v>
      </c>
      <c r="O199" s="9">
        <f>O201</f>
        <v>0.82350000000000001</v>
      </c>
    </row>
    <row r="200" spans="1:17" x14ac:dyDescent="0.25">
      <c r="A200" t="s">
        <v>24</v>
      </c>
      <c r="N200" t="s">
        <v>13</v>
      </c>
      <c r="O200">
        <v>-0.58699999999999997</v>
      </c>
    </row>
    <row r="201" spans="1:17" x14ac:dyDescent="0.25">
      <c r="A201" t="s">
        <v>24</v>
      </c>
      <c r="N201" t="s">
        <v>14</v>
      </c>
      <c r="O201">
        <v>0.82350000000000001</v>
      </c>
    </row>
    <row r="202" spans="1:17" x14ac:dyDescent="0.25">
      <c r="A202" s="7" t="s">
        <v>29</v>
      </c>
      <c r="B202" s="7"/>
      <c r="C202" s="7"/>
      <c r="G202" s="7"/>
      <c r="H202" s="7"/>
      <c r="I202" s="7"/>
      <c r="J202" s="7"/>
      <c r="K202" s="7"/>
      <c r="L202" s="7"/>
      <c r="M202" s="7"/>
      <c r="O202" s="9"/>
      <c r="Q202" s="7"/>
    </row>
    <row r="203" spans="1:17" x14ac:dyDescent="0.25">
      <c r="A203" s="5" t="s">
        <v>28</v>
      </c>
      <c r="B203" s="5"/>
      <c r="C203" s="5"/>
      <c r="G203" s="5"/>
      <c r="H203" s="5"/>
      <c r="I203" s="5"/>
      <c r="J203" s="5"/>
      <c r="K203" s="5"/>
      <c r="L203" s="5"/>
      <c r="M203" s="5"/>
      <c r="N203" t="s">
        <v>14</v>
      </c>
      <c r="O203" s="5">
        <v>1</v>
      </c>
      <c r="P203" s="5"/>
      <c r="Q203" s="5" t="s">
        <v>78</v>
      </c>
    </row>
    <row r="204" spans="1:17" x14ac:dyDescent="0.25">
      <c r="A204" t="s">
        <v>30</v>
      </c>
      <c r="N204" t="s">
        <v>14</v>
      </c>
      <c r="O204">
        <v>1</v>
      </c>
      <c r="Q204" s="5" t="s">
        <v>78</v>
      </c>
    </row>
    <row r="205" spans="1:17" x14ac:dyDescent="0.25">
      <c r="A205" t="s">
        <v>31</v>
      </c>
      <c r="N205" t="s">
        <v>14</v>
      </c>
      <c r="O205">
        <v>1</v>
      </c>
      <c r="Q205" s="5" t="s">
        <v>78</v>
      </c>
    </row>
    <row r="206" spans="1:17" x14ac:dyDescent="0.25">
      <c r="A206" t="s">
        <v>32</v>
      </c>
      <c r="N206" t="s">
        <v>14</v>
      </c>
      <c r="O206">
        <v>1</v>
      </c>
      <c r="Q206" s="5" t="s">
        <v>78</v>
      </c>
    </row>
    <row r="207" spans="1:17" x14ac:dyDescent="0.25">
      <c r="A207" t="s">
        <v>33</v>
      </c>
      <c r="N207" t="s">
        <v>14</v>
      </c>
      <c r="O207">
        <v>1</v>
      </c>
      <c r="Q207" s="5" t="s">
        <v>78</v>
      </c>
    </row>
    <row r="208" spans="1:17" x14ac:dyDescent="0.25">
      <c r="A208" t="s">
        <v>34</v>
      </c>
      <c r="N208" t="s">
        <v>13</v>
      </c>
      <c r="O208">
        <v>-9.2499999999999999E-2</v>
      </c>
    </row>
    <row r="209" spans="1:21" x14ac:dyDescent="0.25">
      <c r="A209" t="s">
        <v>34</v>
      </c>
      <c r="N209" t="s">
        <v>14</v>
      </c>
      <c r="O209">
        <v>1.2939000000000001</v>
      </c>
    </row>
    <row r="210" spans="1:21" x14ac:dyDescent="0.25">
      <c r="A210" t="s">
        <v>35</v>
      </c>
      <c r="N210" t="s">
        <v>14</v>
      </c>
      <c r="O210">
        <v>0.94</v>
      </c>
      <c r="Q210" s="5" t="s">
        <v>79</v>
      </c>
    </row>
    <row r="211" spans="1:21" x14ac:dyDescent="0.25">
      <c r="A211" t="s">
        <v>36</v>
      </c>
      <c r="N211" t="s">
        <v>14</v>
      </c>
      <c r="O211">
        <v>1</v>
      </c>
      <c r="Q211" s="5" t="s">
        <v>78</v>
      </c>
    </row>
    <row r="212" spans="1:21" x14ac:dyDescent="0.25">
      <c r="A212" t="s">
        <v>37</v>
      </c>
      <c r="N212" t="s">
        <v>14</v>
      </c>
      <c r="O212">
        <v>1</v>
      </c>
      <c r="Q212" s="5" t="s">
        <v>78</v>
      </c>
    </row>
    <row r="213" spans="1:21" x14ac:dyDescent="0.25">
      <c r="A213" t="s">
        <v>38</v>
      </c>
      <c r="N213" t="s">
        <v>14</v>
      </c>
      <c r="O213">
        <v>1</v>
      </c>
      <c r="Q213" s="5" t="s">
        <v>78</v>
      </c>
    </row>
    <row r="214" spans="1:21" x14ac:dyDescent="0.25">
      <c r="A214" s="7" t="s">
        <v>39</v>
      </c>
      <c r="B214" s="7"/>
      <c r="C214" s="7"/>
      <c r="G214" s="7"/>
      <c r="H214" s="7"/>
      <c r="I214" s="7"/>
      <c r="J214" s="7"/>
      <c r="K214" s="7"/>
      <c r="L214" s="7"/>
      <c r="M214" s="7"/>
      <c r="U214" s="4"/>
    </row>
    <row r="215" spans="1:21" x14ac:dyDescent="0.25">
      <c r="A215" s="10" t="s">
        <v>40</v>
      </c>
      <c r="B215" s="10"/>
      <c r="C215" s="10"/>
      <c r="G215" s="10"/>
      <c r="H215" s="10"/>
      <c r="I215" s="10"/>
      <c r="J215" s="10"/>
      <c r="K215" s="10"/>
      <c r="L215" s="10"/>
      <c r="M215" s="10"/>
      <c r="N215" t="s">
        <v>13</v>
      </c>
      <c r="O215">
        <v>-8.2500000000000004E-2</v>
      </c>
    </row>
    <row r="216" spans="1:21" x14ac:dyDescent="0.25">
      <c r="A216" s="10" t="s">
        <v>40</v>
      </c>
      <c r="B216" s="10"/>
      <c r="C216" s="10"/>
      <c r="G216" s="10"/>
      <c r="H216" s="10"/>
      <c r="I216" s="10"/>
      <c r="J216" s="10"/>
      <c r="K216" s="10"/>
      <c r="L216" s="10"/>
      <c r="M216" s="10"/>
      <c r="N216" t="s">
        <v>14</v>
      </c>
      <c r="O216">
        <v>0.72799999999999998</v>
      </c>
    </row>
    <row r="217" spans="1:21" x14ac:dyDescent="0.25">
      <c r="A217" s="10" t="s">
        <v>41</v>
      </c>
      <c r="B217" s="10"/>
      <c r="C217" s="11"/>
      <c r="G217" s="11"/>
      <c r="H217" s="11"/>
      <c r="I217" s="11"/>
      <c r="J217" s="11"/>
      <c r="K217" s="11"/>
      <c r="L217" s="11"/>
      <c r="M217" s="11"/>
      <c r="N217" t="s">
        <v>14</v>
      </c>
      <c r="O217">
        <v>1</v>
      </c>
      <c r="Q217" s="5" t="s">
        <v>78</v>
      </c>
    </row>
    <row r="218" spans="1:21" x14ac:dyDescent="0.25">
      <c r="A218" s="5" t="s">
        <v>73</v>
      </c>
      <c r="B218" s="5"/>
      <c r="C218" s="5"/>
      <c r="G218" s="5"/>
      <c r="H218" s="5"/>
      <c r="I218" s="5"/>
      <c r="J218" s="5"/>
      <c r="K218" s="5"/>
      <c r="L218" s="5"/>
      <c r="M218" s="5"/>
      <c r="N218" t="s">
        <v>14</v>
      </c>
      <c r="O218">
        <v>1</v>
      </c>
      <c r="Q218" s="5" t="s">
        <v>78</v>
      </c>
    </row>
    <row r="219" spans="1:21" x14ac:dyDescent="0.25">
      <c r="A219" s="10" t="s">
        <v>42</v>
      </c>
      <c r="B219" s="10"/>
      <c r="C219" s="10"/>
      <c r="G219" s="10"/>
      <c r="H219" s="10"/>
      <c r="I219" s="10"/>
      <c r="J219" s="10"/>
      <c r="K219" s="10"/>
      <c r="L219" s="10"/>
      <c r="M219" s="10"/>
      <c r="N219" t="s">
        <v>13</v>
      </c>
      <c r="O219">
        <v>-3.2399999999999998E-2</v>
      </c>
      <c r="Q219" s="7"/>
    </row>
    <row r="220" spans="1:21" x14ac:dyDescent="0.25">
      <c r="A220" s="10" t="s">
        <v>42</v>
      </c>
      <c r="B220" s="10"/>
      <c r="C220" s="10"/>
      <c r="G220" s="10"/>
      <c r="H220" s="10"/>
      <c r="I220" s="10"/>
      <c r="J220" s="10"/>
      <c r="K220" s="10"/>
      <c r="L220" s="10"/>
      <c r="M220" s="10"/>
      <c r="N220" t="s">
        <v>14</v>
      </c>
      <c r="O220">
        <v>0.82120000000000004</v>
      </c>
      <c r="Q220" s="7"/>
    </row>
    <row r="221" spans="1:21" x14ac:dyDescent="0.25">
      <c r="A221" s="11" t="s">
        <v>43</v>
      </c>
      <c r="B221" s="11"/>
      <c r="C221" s="11"/>
      <c r="G221" s="11"/>
      <c r="H221" s="11"/>
      <c r="I221" s="11"/>
      <c r="J221" s="11"/>
      <c r="K221" s="11"/>
      <c r="L221" s="11"/>
      <c r="M221" s="11"/>
    </row>
    <row r="222" spans="1:21" x14ac:dyDescent="0.25">
      <c r="A222" s="11" t="s">
        <v>44</v>
      </c>
      <c r="B222" s="11"/>
      <c r="C222" s="11"/>
      <c r="G222" s="11"/>
      <c r="H222" s="11"/>
      <c r="I222" s="11"/>
      <c r="J222" s="11"/>
      <c r="K222" s="11"/>
      <c r="L222" s="11"/>
      <c r="M222" s="11"/>
    </row>
    <row r="223" spans="1:21" x14ac:dyDescent="0.25">
      <c r="A223" s="10" t="s">
        <v>45</v>
      </c>
      <c r="B223" s="10"/>
      <c r="C223" s="10"/>
      <c r="G223" s="10"/>
      <c r="H223" s="10"/>
      <c r="I223" s="10"/>
      <c r="J223" s="10"/>
      <c r="K223" s="10"/>
      <c r="L223" s="10"/>
      <c r="M223" s="10"/>
      <c r="N223" t="s">
        <v>14</v>
      </c>
      <c r="O223">
        <v>1</v>
      </c>
      <c r="Q223" s="5" t="s">
        <v>78</v>
      </c>
    </row>
    <row r="224" spans="1:21" x14ac:dyDescent="0.25">
      <c r="A224" s="10" t="s">
        <v>46</v>
      </c>
      <c r="B224" s="10"/>
      <c r="C224" s="10"/>
      <c r="G224" s="10"/>
      <c r="H224" s="10"/>
      <c r="I224" s="10"/>
      <c r="J224" s="10"/>
      <c r="K224" s="10"/>
      <c r="L224" s="10"/>
      <c r="M224" s="10"/>
      <c r="N224" t="s">
        <v>14</v>
      </c>
      <c r="O224">
        <v>1</v>
      </c>
      <c r="Q224" s="5" t="s">
        <v>78</v>
      </c>
    </row>
    <row r="225" spans="1:17" x14ac:dyDescent="0.25">
      <c r="A225" t="s">
        <v>47</v>
      </c>
      <c r="N225" t="s">
        <v>14</v>
      </c>
      <c r="O225">
        <v>1</v>
      </c>
      <c r="Q225" s="5" t="s">
        <v>78</v>
      </c>
    </row>
    <row r="226" spans="1:17" x14ac:dyDescent="0.25">
      <c r="A226" t="s">
        <v>48</v>
      </c>
      <c r="N226" t="s">
        <v>14</v>
      </c>
      <c r="O226">
        <v>1</v>
      </c>
      <c r="Q226" s="5" t="s">
        <v>78</v>
      </c>
    </row>
    <row r="227" spans="1:17" x14ac:dyDescent="0.25">
      <c r="A227" s="5" t="s">
        <v>49</v>
      </c>
      <c r="B227" s="5"/>
      <c r="C227" s="5"/>
      <c r="G227" s="5"/>
      <c r="H227" s="5"/>
      <c r="I227" s="5"/>
      <c r="J227" s="5"/>
      <c r="K227" s="5"/>
      <c r="L227" s="5"/>
      <c r="M227" s="5"/>
      <c r="N227" t="s">
        <v>14</v>
      </c>
      <c r="O227">
        <v>1</v>
      </c>
      <c r="Q227" s="5" t="s">
        <v>78</v>
      </c>
    </row>
    <row r="228" spans="1:17" x14ac:dyDescent="0.25">
      <c r="A228" s="5" t="s">
        <v>50</v>
      </c>
      <c r="B228" s="5"/>
      <c r="C228" s="5"/>
      <c r="G228" s="5"/>
      <c r="H228" s="5"/>
      <c r="I228" s="5"/>
      <c r="J228" s="5"/>
      <c r="K228" s="5"/>
      <c r="L228" s="5"/>
      <c r="M228" s="5"/>
      <c r="N228" t="s">
        <v>14</v>
      </c>
      <c r="O228">
        <v>1</v>
      </c>
      <c r="Q228" s="5" t="s">
        <v>78</v>
      </c>
    </row>
    <row r="229" spans="1:17" x14ac:dyDescent="0.25">
      <c r="A229" s="5" t="s">
        <v>51</v>
      </c>
      <c r="B229" s="5"/>
      <c r="C229" s="5"/>
      <c r="G229" s="5"/>
      <c r="H229" s="5"/>
      <c r="I229" s="5"/>
      <c r="J229" s="5"/>
      <c r="K229" s="5"/>
      <c r="L229" s="5"/>
      <c r="M229" s="5"/>
      <c r="N229" t="s">
        <v>14</v>
      </c>
      <c r="O229">
        <v>1</v>
      </c>
      <c r="Q229" s="5" t="s">
        <v>78</v>
      </c>
    </row>
    <row r="230" spans="1:17" x14ac:dyDescent="0.25">
      <c r="A230" s="5" t="s">
        <v>52</v>
      </c>
      <c r="B230" s="5"/>
      <c r="C230" s="5"/>
      <c r="G230" s="5"/>
      <c r="H230" s="5"/>
      <c r="I230" s="5"/>
      <c r="J230" s="5"/>
      <c r="K230" s="5"/>
      <c r="L230" s="5"/>
      <c r="M230" s="5"/>
      <c r="N230" t="s">
        <v>14</v>
      </c>
      <c r="O230">
        <v>1</v>
      </c>
      <c r="Q230" s="5" t="s">
        <v>78</v>
      </c>
    </row>
    <row r="231" spans="1:17" x14ac:dyDescent="0.25">
      <c r="A231" s="5" t="s">
        <v>53</v>
      </c>
      <c r="B231" s="5"/>
      <c r="C231" s="5"/>
      <c r="G231" s="5"/>
      <c r="H231" s="5"/>
      <c r="I231" s="5"/>
      <c r="J231" s="5"/>
      <c r="K231" s="5"/>
      <c r="L231" s="5"/>
      <c r="M231" s="5"/>
      <c r="N231" t="s">
        <v>14</v>
      </c>
      <c r="O231">
        <v>1</v>
      </c>
      <c r="Q231" s="5" t="s">
        <v>78</v>
      </c>
    </row>
    <row r="232" spans="1:17" x14ac:dyDescent="0.25">
      <c r="A232" s="5" t="s">
        <v>54</v>
      </c>
      <c r="B232" s="5"/>
      <c r="C232" s="5"/>
      <c r="G232" s="5"/>
      <c r="H232" s="5"/>
      <c r="I232" s="5"/>
      <c r="J232" s="5"/>
      <c r="K232" s="5"/>
      <c r="L232" s="5"/>
      <c r="M232" s="5"/>
      <c r="N232" t="s">
        <v>14</v>
      </c>
      <c r="O232">
        <v>1</v>
      </c>
      <c r="Q232" s="5" t="s">
        <v>78</v>
      </c>
    </row>
    <row r="233" spans="1:17" x14ac:dyDescent="0.25">
      <c r="A233" s="5" t="s">
        <v>55</v>
      </c>
      <c r="B233" s="5"/>
      <c r="C233" s="5"/>
      <c r="G233" s="5"/>
      <c r="H233" s="5"/>
      <c r="I233" s="5"/>
      <c r="J233" s="5"/>
      <c r="K233" s="5"/>
      <c r="L233" s="5"/>
      <c r="M233" s="5"/>
      <c r="N233" t="s">
        <v>14</v>
      </c>
      <c r="O233">
        <v>1</v>
      </c>
      <c r="Q233" s="5" t="s">
        <v>78</v>
      </c>
    </row>
    <row r="234" spans="1:17" x14ac:dyDescent="0.25">
      <c r="A234" s="5" t="s">
        <v>56</v>
      </c>
      <c r="B234" s="5"/>
      <c r="C234" s="5"/>
      <c r="G234" s="5"/>
      <c r="H234" s="5"/>
      <c r="I234" s="5"/>
      <c r="J234" s="5"/>
      <c r="K234" s="5"/>
      <c r="L234" s="5"/>
      <c r="M234" s="5"/>
      <c r="N234" t="s">
        <v>14</v>
      </c>
      <c r="O234">
        <v>1</v>
      </c>
      <c r="Q234" s="5" t="s">
        <v>78</v>
      </c>
    </row>
    <row r="235" spans="1:17" x14ac:dyDescent="0.25">
      <c r="A235" s="5" t="s">
        <v>57</v>
      </c>
      <c r="B235" s="5"/>
      <c r="C235" s="5"/>
      <c r="G235" s="5"/>
      <c r="H235" s="5"/>
      <c r="I235" s="5"/>
      <c r="J235" s="5"/>
      <c r="K235" s="5"/>
      <c r="L235" s="5"/>
      <c r="M235" s="5"/>
      <c r="N235" t="s">
        <v>14</v>
      </c>
      <c r="O235">
        <v>1</v>
      </c>
      <c r="Q235" s="5" t="s">
        <v>78</v>
      </c>
    </row>
    <row r="236" spans="1:17" x14ac:dyDescent="0.25">
      <c r="A236" s="5" t="s">
        <v>58</v>
      </c>
      <c r="B236" s="5"/>
      <c r="C236" s="5"/>
      <c r="G236" s="5"/>
      <c r="H236" s="5"/>
      <c r="I236" s="5"/>
      <c r="J236" s="5"/>
      <c r="K236" s="5"/>
      <c r="L236" s="5"/>
      <c r="M236" s="5"/>
      <c r="N236" t="s">
        <v>14</v>
      </c>
      <c r="O236">
        <v>1</v>
      </c>
      <c r="Q236" s="5" t="s">
        <v>78</v>
      </c>
    </row>
    <row r="237" spans="1:17" x14ac:dyDescent="0.25">
      <c r="A237" s="5" t="s">
        <v>59</v>
      </c>
      <c r="B237" s="5"/>
      <c r="C237" s="5"/>
      <c r="G237" s="5"/>
      <c r="H237" s="5"/>
      <c r="I237" s="5"/>
      <c r="J237" s="5"/>
      <c r="K237" s="5"/>
      <c r="L237" s="5"/>
      <c r="M237" s="5"/>
      <c r="N237" t="s">
        <v>14</v>
      </c>
      <c r="O237">
        <v>1</v>
      </c>
      <c r="Q237" s="5" t="s">
        <v>78</v>
      </c>
    </row>
    <row r="238" spans="1:17" x14ac:dyDescent="0.25">
      <c r="A238" s="5" t="s">
        <v>60</v>
      </c>
      <c r="B238" s="5"/>
      <c r="C238" s="5"/>
      <c r="G238" s="5"/>
      <c r="H238" s="5"/>
      <c r="I238" s="5"/>
      <c r="J238" s="5"/>
      <c r="K238" s="5"/>
      <c r="L238" s="5"/>
      <c r="M238" s="5"/>
      <c r="N238" t="s">
        <v>14</v>
      </c>
      <c r="O238">
        <v>1</v>
      </c>
      <c r="Q238" s="5" t="s">
        <v>78</v>
      </c>
    </row>
    <row r="239" spans="1:17" x14ac:dyDescent="0.25">
      <c r="A239" s="5" t="s">
        <v>61</v>
      </c>
      <c r="B239" s="5"/>
      <c r="C239" s="5"/>
      <c r="G239" s="5"/>
      <c r="H239" s="5"/>
      <c r="I239" s="5"/>
      <c r="J239" s="5"/>
      <c r="K239" s="5"/>
      <c r="L239" s="5"/>
      <c r="M239" s="5"/>
      <c r="N239" t="s">
        <v>14</v>
      </c>
      <c r="O239">
        <v>1</v>
      </c>
      <c r="Q239" s="5" t="s">
        <v>78</v>
      </c>
    </row>
    <row r="240" spans="1:17" x14ac:dyDescent="0.25">
      <c r="A240" s="5" t="s">
        <v>62</v>
      </c>
      <c r="B240" s="5"/>
      <c r="C240" s="5"/>
      <c r="G240" s="5"/>
      <c r="H240" s="5"/>
      <c r="I240" s="5"/>
      <c r="J240" s="5"/>
      <c r="K240" s="5"/>
      <c r="L240" s="5"/>
      <c r="M240" s="5"/>
      <c r="N240" t="s">
        <v>14</v>
      </c>
      <c r="O240">
        <v>1</v>
      </c>
      <c r="Q240" s="5" t="s">
        <v>78</v>
      </c>
    </row>
    <row r="241" spans="1:18" x14ac:dyDescent="0.25">
      <c r="A241" s="5" t="s">
        <v>63</v>
      </c>
      <c r="B241" s="5"/>
      <c r="C241" s="5"/>
      <c r="G241" s="5"/>
      <c r="H241" s="5"/>
      <c r="I241" s="5"/>
      <c r="J241" s="5"/>
      <c r="K241" s="5"/>
      <c r="L241" s="5"/>
      <c r="M241" s="5"/>
      <c r="N241" t="s">
        <v>14</v>
      </c>
      <c r="O241">
        <v>1</v>
      </c>
      <c r="Q241" s="5" t="s">
        <v>78</v>
      </c>
    </row>
    <row r="242" spans="1:18" x14ac:dyDescent="0.25">
      <c r="A242" s="5" t="s">
        <v>64</v>
      </c>
      <c r="B242" s="5"/>
      <c r="C242" s="5"/>
      <c r="G242" s="5"/>
      <c r="H242" s="5"/>
      <c r="I242" s="5"/>
      <c r="J242" s="5"/>
      <c r="K242" s="5"/>
      <c r="L242" s="5"/>
      <c r="M242" s="5"/>
      <c r="N242" t="s">
        <v>14</v>
      </c>
      <c r="O242">
        <v>1</v>
      </c>
      <c r="Q242" s="5" t="s">
        <v>78</v>
      </c>
    </row>
    <row r="243" spans="1:18" x14ac:dyDescent="0.25">
      <c r="A243" s="5" t="s">
        <v>65</v>
      </c>
      <c r="B243" s="5"/>
      <c r="C243" s="5"/>
      <c r="G243" s="5"/>
      <c r="H243" s="5"/>
      <c r="I243" s="5"/>
      <c r="J243" s="5"/>
      <c r="K243" s="5"/>
      <c r="L243" s="5"/>
      <c r="M243" s="5"/>
      <c r="N243" t="s">
        <v>14</v>
      </c>
      <c r="O243">
        <v>1</v>
      </c>
      <c r="Q243" s="5" t="s">
        <v>78</v>
      </c>
    </row>
    <row r="244" spans="1:18" x14ac:dyDescent="0.25">
      <c r="A244" s="5" t="s">
        <v>66</v>
      </c>
      <c r="B244" s="5"/>
      <c r="C244" s="5"/>
      <c r="G244" s="5"/>
      <c r="H244" s="5"/>
      <c r="I244" s="5"/>
      <c r="J244" s="5"/>
      <c r="K244" s="5"/>
      <c r="L244" s="5"/>
      <c r="M244" s="5"/>
      <c r="N244" t="s">
        <v>14</v>
      </c>
      <c r="O244">
        <v>1</v>
      </c>
      <c r="Q244" s="5" t="s">
        <v>78</v>
      </c>
    </row>
    <row r="245" spans="1:18" x14ac:dyDescent="0.25">
      <c r="A245" s="5" t="s">
        <v>67</v>
      </c>
      <c r="B245" s="5"/>
      <c r="C245" s="5"/>
      <c r="G245" s="5"/>
      <c r="H245" s="5"/>
      <c r="I245" s="5"/>
      <c r="J245" s="5"/>
      <c r="K245" s="5"/>
      <c r="L245" s="5"/>
      <c r="M245" s="5"/>
      <c r="N245" t="s">
        <v>14</v>
      </c>
      <c r="O245">
        <v>1</v>
      </c>
      <c r="Q245" s="5" t="s">
        <v>78</v>
      </c>
    </row>
    <row r="246" spans="1:18" x14ac:dyDescent="0.25">
      <c r="A246" s="5" t="s">
        <v>68</v>
      </c>
      <c r="B246" s="5"/>
      <c r="C246" s="5"/>
      <c r="G246" s="5"/>
      <c r="H246" s="5"/>
      <c r="I246" s="5"/>
      <c r="J246" s="5"/>
      <c r="K246" s="5"/>
      <c r="L246" s="5"/>
      <c r="M246" s="5"/>
      <c r="N246" t="s">
        <v>14</v>
      </c>
      <c r="O246">
        <v>1</v>
      </c>
      <c r="Q246" s="5" t="s">
        <v>78</v>
      </c>
    </row>
    <row r="247" spans="1:18" x14ac:dyDescent="0.25">
      <c r="A247" s="5" t="s">
        <v>69</v>
      </c>
      <c r="B247" s="5"/>
      <c r="C247" s="5"/>
      <c r="G247" s="5"/>
      <c r="H247" s="5"/>
      <c r="I247" s="5"/>
      <c r="J247" s="5"/>
      <c r="K247" s="5"/>
      <c r="L247" s="5"/>
      <c r="M247" s="5"/>
      <c r="N247" t="s">
        <v>14</v>
      </c>
      <c r="O247">
        <v>1</v>
      </c>
      <c r="Q247" s="5" t="s">
        <v>78</v>
      </c>
    </row>
    <row r="248" spans="1:18" x14ac:dyDescent="0.25">
      <c r="A248" s="5" t="s">
        <v>70</v>
      </c>
      <c r="B248" s="5"/>
      <c r="C248" s="5"/>
      <c r="G248" s="5"/>
      <c r="H248" s="5"/>
      <c r="I248" s="5"/>
      <c r="J248" s="5"/>
      <c r="K248" s="5"/>
      <c r="L248" s="5"/>
      <c r="M248" s="5"/>
      <c r="N248" t="s">
        <v>14</v>
      </c>
      <c r="O248">
        <v>1</v>
      </c>
      <c r="Q248" s="5" t="s">
        <v>78</v>
      </c>
    </row>
    <row r="249" spans="1:18" x14ac:dyDescent="0.25">
      <c r="A249" s="5" t="s">
        <v>71</v>
      </c>
      <c r="B249" s="5"/>
      <c r="C249" s="5"/>
      <c r="G249" s="5"/>
      <c r="H249" s="5"/>
      <c r="I249" s="5"/>
      <c r="J249" s="5"/>
      <c r="K249" s="5"/>
      <c r="L249" s="5"/>
      <c r="M249" s="5"/>
      <c r="N249" t="s">
        <v>14</v>
      </c>
      <c r="O249">
        <v>1</v>
      </c>
      <c r="Q249" s="5" t="s">
        <v>78</v>
      </c>
    </row>
    <row r="250" spans="1:18" x14ac:dyDescent="0.25">
      <c r="A250" s="5" t="s">
        <v>72</v>
      </c>
      <c r="B250" s="5"/>
      <c r="C250" s="5"/>
      <c r="G250" s="5"/>
      <c r="H250" s="5"/>
      <c r="I250" s="5"/>
      <c r="J250" s="5"/>
      <c r="K250" s="5"/>
      <c r="L250" s="5"/>
      <c r="M250" s="5"/>
      <c r="N250" t="s">
        <v>14</v>
      </c>
      <c r="O250">
        <v>1</v>
      </c>
      <c r="Q250" s="5" t="s">
        <v>78</v>
      </c>
    </row>
    <row r="251" spans="1:18" x14ac:dyDescent="0.25">
      <c r="A251" s="5"/>
      <c r="B251" s="5"/>
      <c r="C251" s="5"/>
      <c r="G251" s="5"/>
      <c r="H251" s="5"/>
      <c r="I251" s="5"/>
      <c r="J251" s="5"/>
      <c r="K251" s="5"/>
      <c r="L251" s="5"/>
      <c r="M251" s="5"/>
      <c r="Q251" s="5"/>
    </row>
    <row r="252" spans="1:18" ht="19.5" customHeight="1" x14ac:dyDescent="0.25">
      <c r="A252" s="16" t="s">
        <v>203</v>
      </c>
      <c r="B252" s="16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</row>
    <row r="253" spans="1:18" x14ac:dyDescent="0.25">
      <c r="A253" s="2" t="s">
        <v>242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3"/>
      <c r="R253" s="3"/>
    </row>
    <row r="254" spans="1:18" x14ac:dyDescent="0.25">
      <c r="A254" s="20" t="s">
        <v>247</v>
      </c>
      <c r="B254" s="20"/>
    </row>
    <row r="255" spans="1:18" x14ac:dyDescent="0.25">
      <c r="A255" s="20" t="s">
        <v>248</v>
      </c>
      <c r="B255" s="20"/>
    </row>
    <row r="256" spans="1:18" x14ac:dyDescent="0.25">
      <c r="N256" s="6" t="s">
        <v>210</v>
      </c>
      <c r="O256" s="6">
        <v>0</v>
      </c>
      <c r="P256" s="6" t="s">
        <v>255</v>
      </c>
      <c r="Q256" s="6" t="s">
        <v>161</v>
      </c>
    </row>
    <row r="257" spans="1:17" x14ac:dyDescent="0.25">
      <c r="N257" s="6" t="s">
        <v>211</v>
      </c>
      <c r="O257" s="6">
        <v>0</v>
      </c>
      <c r="P257" s="6" t="s">
        <v>114</v>
      </c>
      <c r="Q257" s="6" t="s">
        <v>161</v>
      </c>
    </row>
    <row r="258" spans="1:17" x14ac:dyDescent="0.25">
      <c r="A258" s="22" t="s">
        <v>219</v>
      </c>
      <c r="B258" s="22"/>
      <c r="N258" s="6"/>
      <c r="O258" s="6"/>
      <c r="P258" s="6"/>
      <c r="Q258" s="6"/>
    </row>
    <row r="259" spans="1:17" x14ac:dyDescent="0.25">
      <c r="A259" t="s">
        <v>7</v>
      </c>
      <c r="L259" t="s">
        <v>214</v>
      </c>
      <c r="N259" t="s">
        <v>210</v>
      </c>
      <c r="O259">
        <v>3</v>
      </c>
    </row>
    <row r="260" spans="1:17" x14ac:dyDescent="0.25">
      <c r="A260" t="s">
        <v>7</v>
      </c>
      <c r="L260" t="s">
        <v>215</v>
      </c>
      <c r="N260" t="s">
        <v>210</v>
      </c>
      <c r="O260">
        <v>3</v>
      </c>
    </row>
    <row r="261" spans="1:17" x14ac:dyDescent="0.25">
      <c r="A261" t="s">
        <v>7</v>
      </c>
      <c r="L261" t="s">
        <v>216</v>
      </c>
      <c r="N261" t="s">
        <v>210</v>
      </c>
      <c r="O261">
        <v>3</v>
      </c>
    </row>
    <row r="262" spans="1:17" x14ac:dyDescent="0.25">
      <c r="A262" t="s">
        <v>7</v>
      </c>
      <c r="L262" t="s">
        <v>217</v>
      </c>
      <c r="N262" t="s">
        <v>210</v>
      </c>
      <c r="O262">
        <v>3</v>
      </c>
    </row>
    <row r="263" spans="1:17" x14ac:dyDescent="0.25">
      <c r="A263" t="s">
        <v>7</v>
      </c>
      <c r="L263" t="s">
        <v>214</v>
      </c>
      <c r="N263" t="s">
        <v>211</v>
      </c>
      <c r="O263">
        <v>9</v>
      </c>
    </row>
    <row r="264" spans="1:17" x14ac:dyDescent="0.25">
      <c r="A264" t="s">
        <v>7</v>
      </c>
      <c r="L264" t="s">
        <v>215</v>
      </c>
      <c r="N264" t="s">
        <v>211</v>
      </c>
      <c r="O264">
        <v>4</v>
      </c>
    </row>
    <row r="265" spans="1:17" x14ac:dyDescent="0.25">
      <c r="A265" t="s">
        <v>7</v>
      </c>
      <c r="L265" t="s">
        <v>216</v>
      </c>
      <c r="N265" t="s">
        <v>211</v>
      </c>
      <c r="O265">
        <v>-6</v>
      </c>
    </row>
    <row r="266" spans="1:17" x14ac:dyDescent="0.25">
      <c r="A266" t="s">
        <v>7</v>
      </c>
      <c r="L266" t="s">
        <v>217</v>
      </c>
      <c r="N266" t="s">
        <v>211</v>
      </c>
      <c r="O266">
        <v>-16</v>
      </c>
    </row>
    <row r="267" spans="1:17" x14ac:dyDescent="0.25">
      <c r="A267" t="s">
        <v>27</v>
      </c>
      <c r="L267" t="s">
        <v>214</v>
      </c>
      <c r="N267" t="s">
        <v>210</v>
      </c>
      <c r="O267" s="21">
        <f>O259</f>
        <v>3</v>
      </c>
    </row>
    <row r="268" spans="1:17" x14ac:dyDescent="0.25">
      <c r="A268" t="s">
        <v>27</v>
      </c>
      <c r="L268" t="s">
        <v>215</v>
      </c>
      <c r="N268" t="s">
        <v>210</v>
      </c>
      <c r="O268" s="21">
        <f t="shared" ref="O268:O274" si="4">O260</f>
        <v>3</v>
      </c>
    </row>
    <row r="269" spans="1:17" x14ac:dyDescent="0.25">
      <c r="A269" t="s">
        <v>27</v>
      </c>
      <c r="L269" t="s">
        <v>216</v>
      </c>
      <c r="N269" t="s">
        <v>210</v>
      </c>
      <c r="O269" s="21">
        <f t="shared" si="4"/>
        <v>3</v>
      </c>
    </row>
    <row r="270" spans="1:17" x14ac:dyDescent="0.25">
      <c r="A270" t="s">
        <v>27</v>
      </c>
      <c r="L270" t="s">
        <v>217</v>
      </c>
      <c r="N270" t="s">
        <v>210</v>
      </c>
      <c r="O270" s="21">
        <f t="shared" si="4"/>
        <v>3</v>
      </c>
    </row>
    <row r="271" spans="1:17" x14ac:dyDescent="0.25">
      <c r="A271" t="s">
        <v>27</v>
      </c>
      <c r="L271" t="s">
        <v>214</v>
      </c>
      <c r="N271" t="s">
        <v>211</v>
      </c>
      <c r="O271" s="21">
        <f t="shared" si="4"/>
        <v>9</v>
      </c>
    </row>
    <row r="272" spans="1:17" x14ac:dyDescent="0.25">
      <c r="A272" t="s">
        <v>27</v>
      </c>
      <c r="L272" t="s">
        <v>215</v>
      </c>
      <c r="N272" t="s">
        <v>211</v>
      </c>
      <c r="O272" s="21">
        <f t="shared" si="4"/>
        <v>4</v>
      </c>
    </row>
    <row r="273" spans="1:15" x14ac:dyDescent="0.25">
      <c r="A273" t="s">
        <v>27</v>
      </c>
      <c r="L273" t="s">
        <v>216</v>
      </c>
      <c r="N273" t="s">
        <v>211</v>
      </c>
      <c r="O273" s="21">
        <f t="shared" si="4"/>
        <v>-6</v>
      </c>
    </row>
    <row r="274" spans="1:15" x14ac:dyDescent="0.25">
      <c r="A274" t="s">
        <v>27</v>
      </c>
      <c r="L274" t="s">
        <v>217</v>
      </c>
      <c r="N274" t="s">
        <v>211</v>
      </c>
      <c r="O274" s="21">
        <f t="shared" si="4"/>
        <v>-16</v>
      </c>
    </row>
    <row r="275" spans="1:15" x14ac:dyDescent="0.25">
      <c r="A275" t="s">
        <v>23</v>
      </c>
      <c r="L275" t="s">
        <v>214</v>
      </c>
      <c r="N275" t="s">
        <v>210</v>
      </c>
      <c r="O275" s="21">
        <f>O259</f>
        <v>3</v>
      </c>
    </row>
    <row r="276" spans="1:15" x14ac:dyDescent="0.25">
      <c r="A276" t="s">
        <v>23</v>
      </c>
      <c r="L276" t="s">
        <v>215</v>
      </c>
      <c r="N276" t="s">
        <v>210</v>
      </c>
      <c r="O276" s="21">
        <f t="shared" ref="O276:O282" si="5">O260</f>
        <v>3</v>
      </c>
    </row>
    <row r="277" spans="1:15" x14ac:dyDescent="0.25">
      <c r="A277" t="s">
        <v>23</v>
      </c>
      <c r="L277" t="s">
        <v>216</v>
      </c>
      <c r="N277" t="s">
        <v>210</v>
      </c>
      <c r="O277" s="21">
        <f t="shared" si="5"/>
        <v>3</v>
      </c>
    </row>
    <row r="278" spans="1:15" x14ac:dyDescent="0.25">
      <c r="A278" t="s">
        <v>23</v>
      </c>
      <c r="L278" t="s">
        <v>217</v>
      </c>
      <c r="N278" t="s">
        <v>210</v>
      </c>
      <c r="O278" s="21">
        <f t="shared" si="5"/>
        <v>3</v>
      </c>
    </row>
    <row r="279" spans="1:15" x14ac:dyDescent="0.25">
      <c r="A279" t="s">
        <v>23</v>
      </c>
      <c r="L279" t="s">
        <v>214</v>
      </c>
      <c r="N279" t="s">
        <v>211</v>
      </c>
      <c r="O279" s="21">
        <f t="shared" si="5"/>
        <v>9</v>
      </c>
    </row>
    <row r="280" spans="1:15" x14ac:dyDescent="0.25">
      <c r="A280" t="s">
        <v>23</v>
      </c>
      <c r="L280" t="s">
        <v>215</v>
      </c>
      <c r="N280" t="s">
        <v>211</v>
      </c>
      <c r="O280" s="21">
        <f t="shared" si="5"/>
        <v>4</v>
      </c>
    </row>
    <row r="281" spans="1:15" x14ac:dyDescent="0.25">
      <c r="A281" t="s">
        <v>23</v>
      </c>
      <c r="L281" t="s">
        <v>216</v>
      </c>
      <c r="N281" t="s">
        <v>211</v>
      </c>
      <c r="O281" s="21">
        <f t="shared" si="5"/>
        <v>-6</v>
      </c>
    </row>
    <row r="282" spans="1:15" x14ac:dyDescent="0.25">
      <c r="A282" t="s">
        <v>23</v>
      </c>
      <c r="L282" t="s">
        <v>217</v>
      </c>
      <c r="N282" t="s">
        <v>211</v>
      </c>
      <c r="O282" s="21">
        <f t="shared" si="5"/>
        <v>-16</v>
      </c>
    </row>
    <row r="283" spans="1:15" x14ac:dyDescent="0.25">
      <c r="A283" t="s">
        <v>25</v>
      </c>
      <c r="L283" t="s">
        <v>214</v>
      </c>
      <c r="N283" t="s">
        <v>210</v>
      </c>
      <c r="O283" s="21">
        <f>O259</f>
        <v>3</v>
      </c>
    </row>
    <row r="284" spans="1:15" x14ac:dyDescent="0.25">
      <c r="A284" t="s">
        <v>25</v>
      </c>
      <c r="L284" t="s">
        <v>215</v>
      </c>
      <c r="N284" t="s">
        <v>210</v>
      </c>
      <c r="O284" s="21">
        <f t="shared" ref="O284:O290" si="6">O260</f>
        <v>3</v>
      </c>
    </row>
    <row r="285" spans="1:15" x14ac:dyDescent="0.25">
      <c r="A285" t="s">
        <v>25</v>
      </c>
      <c r="L285" t="s">
        <v>216</v>
      </c>
      <c r="N285" t="s">
        <v>210</v>
      </c>
      <c r="O285" s="21">
        <f t="shared" si="6"/>
        <v>3</v>
      </c>
    </row>
    <row r="286" spans="1:15" x14ac:dyDescent="0.25">
      <c r="A286" t="s">
        <v>25</v>
      </c>
      <c r="L286" t="s">
        <v>217</v>
      </c>
      <c r="N286" t="s">
        <v>210</v>
      </c>
      <c r="O286" s="21">
        <f t="shared" si="6"/>
        <v>3</v>
      </c>
    </row>
    <row r="287" spans="1:15" x14ac:dyDescent="0.25">
      <c r="A287" t="s">
        <v>25</v>
      </c>
      <c r="L287" t="s">
        <v>214</v>
      </c>
      <c r="N287" t="s">
        <v>211</v>
      </c>
      <c r="O287" s="21">
        <f t="shared" si="6"/>
        <v>9</v>
      </c>
    </row>
    <row r="288" spans="1:15" x14ac:dyDescent="0.25">
      <c r="A288" t="s">
        <v>25</v>
      </c>
      <c r="L288" t="s">
        <v>215</v>
      </c>
      <c r="N288" t="s">
        <v>211</v>
      </c>
      <c r="O288" s="21">
        <f t="shared" si="6"/>
        <v>4</v>
      </c>
    </row>
    <row r="289" spans="1:15" x14ac:dyDescent="0.25">
      <c r="A289" t="s">
        <v>25</v>
      </c>
      <c r="L289" t="s">
        <v>216</v>
      </c>
      <c r="N289" t="s">
        <v>211</v>
      </c>
      <c r="O289" s="21">
        <f t="shared" si="6"/>
        <v>-6</v>
      </c>
    </row>
    <row r="290" spans="1:15" x14ac:dyDescent="0.25">
      <c r="A290" t="s">
        <v>25</v>
      </c>
      <c r="L290" t="s">
        <v>217</v>
      </c>
      <c r="N290" t="s">
        <v>211</v>
      </c>
      <c r="O290" s="21">
        <f t="shared" si="6"/>
        <v>-16</v>
      </c>
    </row>
    <row r="292" spans="1:15" x14ac:dyDescent="0.25">
      <c r="A292" s="22" t="s">
        <v>220</v>
      </c>
      <c r="B292" s="22"/>
    </row>
    <row r="293" spans="1:15" x14ac:dyDescent="0.25">
      <c r="A293" t="s">
        <v>16</v>
      </c>
      <c r="L293" t="s">
        <v>214</v>
      </c>
      <c r="N293" t="s">
        <v>210</v>
      </c>
      <c r="O293">
        <v>3</v>
      </c>
    </row>
    <row r="294" spans="1:15" x14ac:dyDescent="0.25">
      <c r="A294" t="s">
        <v>16</v>
      </c>
      <c r="L294" t="s">
        <v>215</v>
      </c>
      <c r="N294" t="s">
        <v>210</v>
      </c>
      <c r="O294">
        <v>3</v>
      </c>
    </row>
    <row r="295" spans="1:15" x14ac:dyDescent="0.25">
      <c r="A295" t="s">
        <v>16</v>
      </c>
      <c r="L295" t="s">
        <v>216</v>
      </c>
      <c r="N295" t="s">
        <v>210</v>
      </c>
      <c r="O295">
        <v>3</v>
      </c>
    </row>
    <row r="296" spans="1:15" x14ac:dyDescent="0.25">
      <c r="A296" t="s">
        <v>16</v>
      </c>
      <c r="L296" t="s">
        <v>217</v>
      </c>
      <c r="N296" t="s">
        <v>210</v>
      </c>
      <c r="O296">
        <v>3</v>
      </c>
    </row>
    <row r="297" spans="1:15" x14ac:dyDescent="0.25">
      <c r="A297" t="s">
        <v>16</v>
      </c>
      <c r="L297" t="s">
        <v>214</v>
      </c>
      <c r="N297" t="s">
        <v>211</v>
      </c>
      <c r="O297">
        <v>10</v>
      </c>
    </row>
    <row r="298" spans="1:15" x14ac:dyDescent="0.25">
      <c r="A298" t="s">
        <v>16</v>
      </c>
      <c r="L298" t="s">
        <v>215</v>
      </c>
      <c r="N298" t="s">
        <v>211</v>
      </c>
      <c r="O298">
        <v>5</v>
      </c>
    </row>
    <row r="299" spans="1:15" x14ac:dyDescent="0.25">
      <c r="A299" t="s">
        <v>16</v>
      </c>
      <c r="L299" t="s">
        <v>216</v>
      </c>
      <c r="N299" t="s">
        <v>211</v>
      </c>
      <c r="O299">
        <v>0</v>
      </c>
    </row>
    <row r="300" spans="1:15" x14ac:dyDescent="0.25">
      <c r="A300" t="s">
        <v>16</v>
      </c>
      <c r="L300" t="s">
        <v>217</v>
      </c>
      <c r="N300" t="s">
        <v>211</v>
      </c>
      <c r="O300">
        <v>-10</v>
      </c>
    </row>
    <row r="301" spans="1:15" x14ac:dyDescent="0.25">
      <c r="A301" t="s">
        <v>17</v>
      </c>
      <c r="L301" t="s">
        <v>214</v>
      </c>
      <c r="N301" t="s">
        <v>210</v>
      </c>
      <c r="O301" s="21">
        <f>O293</f>
        <v>3</v>
      </c>
    </row>
    <row r="302" spans="1:15" x14ac:dyDescent="0.25">
      <c r="A302" t="s">
        <v>17</v>
      </c>
      <c r="L302" t="s">
        <v>215</v>
      </c>
      <c r="N302" t="s">
        <v>210</v>
      </c>
      <c r="O302" s="21">
        <f t="shared" ref="O302:O308" si="7">O294</f>
        <v>3</v>
      </c>
    </row>
    <row r="303" spans="1:15" x14ac:dyDescent="0.25">
      <c r="A303" t="s">
        <v>17</v>
      </c>
      <c r="L303" t="s">
        <v>216</v>
      </c>
      <c r="N303" t="s">
        <v>210</v>
      </c>
      <c r="O303" s="21">
        <f t="shared" si="7"/>
        <v>3</v>
      </c>
    </row>
    <row r="304" spans="1:15" x14ac:dyDescent="0.25">
      <c r="A304" t="s">
        <v>17</v>
      </c>
      <c r="L304" t="s">
        <v>217</v>
      </c>
      <c r="N304" t="s">
        <v>210</v>
      </c>
      <c r="O304" s="21">
        <f t="shared" si="7"/>
        <v>3</v>
      </c>
    </row>
    <row r="305" spans="1:15" x14ac:dyDescent="0.25">
      <c r="A305" t="s">
        <v>17</v>
      </c>
      <c r="L305" t="s">
        <v>214</v>
      </c>
      <c r="N305" t="s">
        <v>211</v>
      </c>
      <c r="O305" s="21">
        <f t="shared" si="7"/>
        <v>10</v>
      </c>
    </row>
    <row r="306" spans="1:15" x14ac:dyDescent="0.25">
      <c r="A306" t="s">
        <v>17</v>
      </c>
      <c r="L306" t="s">
        <v>215</v>
      </c>
      <c r="N306" t="s">
        <v>211</v>
      </c>
      <c r="O306" s="21">
        <f t="shared" si="7"/>
        <v>5</v>
      </c>
    </row>
    <row r="307" spans="1:15" x14ac:dyDescent="0.25">
      <c r="A307" t="s">
        <v>17</v>
      </c>
      <c r="L307" t="s">
        <v>216</v>
      </c>
      <c r="N307" t="s">
        <v>211</v>
      </c>
      <c r="O307" s="21">
        <f t="shared" si="7"/>
        <v>0</v>
      </c>
    </row>
    <row r="308" spans="1:15" x14ac:dyDescent="0.25">
      <c r="A308" t="s">
        <v>17</v>
      </c>
      <c r="L308" t="s">
        <v>217</v>
      </c>
      <c r="N308" t="s">
        <v>211</v>
      </c>
      <c r="O308" s="21">
        <f t="shared" si="7"/>
        <v>-10</v>
      </c>
    </row>
    <row r="309" spans="1:15" x14ac:dyDescent="0.25">
      <c r="A309" t="s">
        <v>21</v>
      </c>
      <c r="L309" t="s">
        <v>214</v>
      </c>
      <c r="N309" t="s">
        <v>210</v>
      </c>
      <c r="O309" s="21">
        <f>O293</f>
        <v>3</v>
      </c>
    </row>
    <row r="310" spans="1:15" x14ac:dyDescent="0.25">
      <c r="A310" t="s">
        <v>21</v>
      </c>
      <c r="L310" t="s">
        <v>215</v>
      </c>
      <c r="N310" t="s">
        <v>210</v>
      </c>
      <c r="O310" s="21">
        <f t="shared" ref="O310:O316" si="8">O294</f>
        <v>3</v>
      </c>
    </row>
    <row r="311" spans="1:15" x14ac:dyDescent="0.25">
      <c r="A311" t="s">
        <v>21</v>
      </c>
      <c r="L311" t="s">
        <v>216</v>
      </c>
      <c r="N311" t="s">
        <v>210</v>
      </c>
      <c r="O311" s="21">
        <f t="shared" si="8"/>
        <v>3</v>
      </c>
    </row>
    <row r="312" spans="1:15" x14ac:dyDescent="0.25">
      <c r="A312" t="s">
        <v>21</v>
      </c>
      <c r="L312" t="s">
        <v>217</v>
      </c>
      <c r="N312" t="s">
        <v>210</v>
      </c>
      <c r="O312" s="21">
        <f t="shared" si="8"/>
        <v>3</v>
      </c>
    </row>
    <row r="313" spans="1:15" x14ac:dyDescent="0.25">
      <c r="A313" t="s">
        <v>21</v>
      </c>
      <c r="L313" t="s">
        <v>214</v>
      </c>
      <c r="N313" t="s">
        <v>211</v>
      </c>
      <c r="O313" s="21">
        <f t="shared" si="8"/>
        <v>10</v>
      </c>
    </row>
    <row r="314" spans="1:15" x14ac:dyDescent="0.25">
      <c r="A314" t="s">
        <v>21</v>
      </c>
      <c r="L314" t="s">
        <v>215</v>
      </c>
      <c r="N314" t="s">
        <v>211</v>
      </c>
      <c r="O314" s="21">
        <f t="shared" si="8"/>
        <v>5</v>
      </c>
    </row>
    <row r="315" spans="1:15" x14ac:dyDescent="0.25">
      <c r="A315" t="s">
        <v>21</v>
      </c>
      <c r="L315" t="s">
        <v>216</v>
      </c>
      <c r="N315" t="s">
        <v>211</v>
      </c>
      <c r="O315" s="21">
        <f t="shared" si="8"/>
        <v>0</v>
      </c>
    </row>
    <row r="316" spans="1:15" x14ac:dyDescent="0.25">
      <c r="A316" t="s">
        <v>21</v>
      </c>
      <c r="L316" t="s">
        <v>217</v>
      </c>
      <c r="N316" t="s">
        <v>211</v>
      </c>
      <c r="O316" s="21">
        <f t="shared" si="8"/>
        <v>-10</v>
      </c>
    </row>
    <row r="317" spans="1:15" x14ac:dyDescent="0.25">
      <c r="A317" t="s">
        <v>24</v>
      </c>
      <c r="L317" t="s">
        <v>214</v>
      </c>
      <c r="N317" t="s">
        <v>210</v>
      </c>
      <c r="O317" s="21">
        <f>O293</f>
        <v>3</v>
      </c>
    </row>
    <row r="318" spans="1:15" x14ac:dyDescent="0.25">
      <c r="A318" t="s">
        <v>24</v>
      </c>
      <c r="L318" t="s">
        <v>215</v>
      </c>
      <c r="N318" t="s">
        <v>210</v>
      </c>
      <c r="O318" s="21">
        <f t="shared" ref="O318:O324" si="9">O294</f>
        <v>3</v>
      </c>
    </row>
    <row r="319" spans="1:15" x14ac:dyDescent="0.25">
      <c r="A319" t="s">
        <v>24</v>
      </c>
      <c r="L319" t="s">
        <v>216</v>
      </c>
      <c r="N319" t="s">
        <v>210</v>
      </c>
      <c r="O319" s="21">
        <f t="shared" si="9"/>
        <v>3</v>
      </c>
    </row>
    <row r="320" spans="1:15" x14ac:dyDescent="0.25">
      <c r="A320" t="s">
        <v>24</v>
      </c>
      <c r="L320" t="s">
        <v>217</v>
      </c>
      <c r="N320" t="s">
        <v>210</v>
      </c>
      <c r="O320" s="21">
        <f t="shared" si="9"/>
        <v>3</v>
      </c>
    </row>
    <row r="321" spans="1:15" x14ac:dyDescent="0.25">
      <c r="A321" t="s">
        <v>24</v>
      </c>
      <c r="L321" t="s">
        <v>214</v>
      </c>
      <c r="N321" t="s">
        <v>211</v>
      </c>
      <c r="O321" s="21">
        <f t="shared" si="9"/>
        <v>10</v>
      </c>
    </row>
    <row r="322" spans="1:15" x14ac:dyDescent="0.25">
      <c r="A322" t="s">
        <v>24</v>
      </c>
      <c r="L322" t="s">
        <v>215</v>
      </c>
      <c r="N322" t="s">
        <v>211</v>
      </c>
      <c r="O322" s="21">
        <f t="shared" si="9"/>
        <v>5</v>
      </c>
    </row>
    <row r="323" spans="1:15" x14ac:dyDescent="0.25">
      <c r="A323" t="s">
        <v>24</v>
      </c>
      <c r="L323" t="s">
        <v>216</v>
      </c>
      <c r="N323" t="s">
        <v>211</v>
      </c>
      <c r="O323" s="21">
        <f t="shared" si="9"/>
        <v>0</v>
      </c>
    </row>
    <row r="324" spans="1:15" x14ac:dyDescent="0.25">
      <c r="A324" t="s">
        <v>24</v>
      </c>
      <c r="L324" t="s">
        <v>217</v>
      </c>
      <c r="N324" t="s">
        <v>211</v>
      </c>
      <c r="O324" s="21">
        <f t="shared" si="9"/>
        <v>-10</v>
      </c>
    </row>
    <row r="325" spans="1:15" x14ac:dyDescent="0.25">
      <c r="A325" t="s">
        <v>29</v>
      </c>
      <c r="L325" t="s">
        <v>214</v>
      </c>
      <c r="N325" t="s">
        <v>210</v>
      </c>
      <c r="O325" s="21">
        <f>O293</f>
        <v>3</v>
      </c>
    </row>
    <row r="326" spans="1:15" x14ac:dyDescent="0.25">
      <c r="A326" t="s">
        <v>29</v>
      </c>
      <c r="L326" t="s">
        <v>215</v>
      </c>
      <c r="N326" t="s">
        <v>210</v>
      </c>
      <c r="O326" s="21">
        <f t="shared" ref="O326:O332" si="10">O294</f>
        <v>3</v>
      </c>
    </row>
    <row r="327" spans="1:15" x14ac:dyDescent="0.25">
      <c r="A327" t="s">
        <v>29</v>
      </c>
      <c r="L327" t="s">
        <v>216</v>
      </c>
      <c r="N327" t="s">
        <v>210</v>
      </c>
      <c r="O327" s="21">
        <f t="shared" si="10"/>
        <v>3</v>
      </c>
    </row>
    <row r="328" spans="1:15" x14ac:dyDescent="0.25">
      <c r="A328" t="s">
        <v>29</v>
      </c>
      <c r="L328" t="s">
        <v>217</v>
      </c>
      <c r="N328" t="s">
        <v>210</v>
      </c>
      <c r="O328" s="21">
        <f t="shared" si="10"/>
        <v>3</v>
      </c>
    </row>
    <row r="329" spans="1:15" x14ac:dyDescent="0.25">
      <c r="A329" t="s">
        <v>29</v>
      </c>
      <c r="L329" t="s">
        <v>214</v>
      </c>
      <c r="N329" t="s">
        <v>211</v>
      </c>
      <c r="O329" s="21">
        <f t="shared" si="10"/>
        <v>10</v>
      </c>
    </row>
    <row r="330" spans="1:15" x14ac:dyDescent="0.25">
      <c r="A330" t="s">
        <v>29</v>
      </c>
      <c r="L330" t="s">
        <v>215</v>
      </c>
      <c r="N330" t="s">
        <v>211</v>
      </c>
      <c r="O330" s="21">
        <f t="shared" si="10"/>
        <v>5</v>
      </c>
    </row>
    <row r="331" spans="1:15" x14ac:dyDescent="0.25">
      <c r="A331" t="s">
        <v>29</v>
      </c>
      <c r="L331" t="s">
        <v>216</v>
      </c>
      <c r="N331" t="s">
        <v>211</v>
      </c>
      <c r="O331" s="21">
        <f t="shared" si="10"/>
        <v>0</v>
      </c>
    </row>
    <row r="332" spans="1:15" x14ac:dyDescent="0.25">
      <c r="A332" t="s">
        <v>29</v>
      </c>
      <c r="L332" t="s">
        <v>217</v>
      </c>
      <c r="N332" t="s">
        <v>211</v>
      </c>
      <c r="O332" s="21">
        <f t="shared" si="10"/>
        <v>-10</v>
      </c>
    </row>
    <row r="333" spans="1:15" x14ac:dyDescent="0.25">
      <c r="A333" t="s">
        <v>28</v>
      </c>
      <c r="L333" t="s">
        <v>214</v>
      </c>
      <c r="N333" t="s">
        <v>210</v>
      </c>
      <c r="O333" s="21">
        <f>O293</f>
        <v>3</v>
      </c>
    </row>
    <row r="334" spans="1:15" x14ac:dyDescent="0.25">
      <c r="A334" t="s">
        <v>28</v>
      </c>
      <c r="L334" t="s">
        <v>215</v>
      </c>
      <c r="N334" t="s">
        <v>210</v>
      </c>
      <c r="O334" s="21">
        <f t="shared" ref="O334:O340" si="11">O294</f>
        <v>3</v>
      </c>
    </row>
    <row r="335" spans="1:15" x14ac:dyDescent="0.25">
      <c r="A335" t="s">
        <v>28</v>
      </c>
      <c r="L335" t="s">
        <v>216</v>
      </c>
      <c r="N335" t="s">
        <v>210</v>
      </c>
      <c r="O335" s="21">
        <f t="shared" si="11"/>
        <v>3</v>
      </c>
    </row>
    <row r="336" spans="1:15" x14ac:dyDescent="0.25">
      <c r="A336" t="s">
        <v>28</v>
      </c>
      <c r="L336" t="s">
        <v>217</v>
      </c>
      <c r="N336" t="s">
        <v>210</v>
      </c>
      <c r="O336" s="21">
        <f t="shared" si="11"/>
        <v>3</v>
      </c>
    </row>
    <row r="337" spans="1:15" x14ac:dyDescent="0.25">
      <c r="A337" t="s">
        <v>28</v>
      </c>
      <c r="L337" t="s">
        <v>214</v>
      </c>
      <c r="N337" t="s">
        <v>211</v>
      </c>
      <c r="O337" s="21">
        <f t="shared" si="11"/>
        <v>10</v>
      </c>
    </row>
    <row r="338" spans="1:15" x14ac:dyDescent="0.25">
      <c r="A338" t="s">
        <v>28</v>
      </c>
      <c r="L338" t="s">
        <v>215</v>
      </c>
      <c r="N338" t="s">
        <v>211</v>
      </c>
      <c r="O338" s="21">
        <f t="shared" si="11"/>
        <v>5</v>
      </c>
    </row>
    <row r="339" spans="1:15" x14ac:dyDescent="0.25">
      <c r="A339" t="s">
        <v>28</v>
      </c>
      <c r="L339" t="s">
        <v>216</v>
      </c>
      <c r="N339" t="s">
        <v>211</v>
      </c>
      <c r="O339" s="21">
        <f t="shared" si="11"/>
        <v>0</v>
      </c>
    </row>
    <row r="340" spans="1:15" x14ac:dyDescent="0.25">
      <c r="A340" t="s">
        <v>28</v>
      </c>
      <c r="L340" t="s">
        <v>217</v>
      </c>
      <c r="N340" t="s">
        <v>211</v>
      </c>
      <c r="O340" s="21">
        <f t="shared" si="11"/>
        <v>-10</v>
      </c>
    </row>
    <row r="342" spans="1:15" x14ac:dyDescent="0.25">
      <c r="A342" s="22" t="s">
        <v>222</v>
      </c>
      <c r="B342" s="22"/>
    </row>
    <row r="343" spans="1:15" x14ac:dyDescent="0.25">
      <c r="A343" t="s">
        <v>34</v>
      </c>
      <c r="L343" t="s">
        <v>214</v>
      </c>
      <c r="N343" t="s">
        <v>210</v>
      </c>
      <c r="O343">
        <v>7</v>
      </c>
    </row>
    <row r="344" spans="1:15" x14ac:dyDescent="0.25">
      <c r="A344" t="s">
        <v>34</v>
      </c>
      <c r="L344" t="s">
        <v>215</v>
      </c>
      <c r="N344" t="s">
        <v>210</v>
      </c>
      <c r="O344">
        <v>7</v>
      </c>
    </row>
    <row r="345" spans="1:15" x14ac:dyDescent="0.25">
      <c r="A345" t="s">
        <v>34</v>
      </c>
      <c r="L345" t="s">
        <v>216</v>
      </c>
      <c r="N345" t="s">
        <v>210</v>
      </c>
      <c r="O345">
        <v>7</v>
      </c>
    </row>
    <row r="346" spans="1:15" x14ac:dyDescent="0.25">
      <c r="A346" t="s">
        <v>34</v>
      </c>
      <c r="L346" t="s">
        <v>217</v>
      </c>
      <c r="N346" t="s">
        <v>210</v>
      </c>
      <c r="O346">
        <v>7</v>
      </c>
    </row>
    <row r="347" spans="1:15" x14ac:dyDescent="0.25">
      <c r="A347" t="s">
        <v>34</v>
      </c>
      <c r="L347" t="s">
        <v>214</v>
      </c>
      <c r="N347" t="s">
        <v>211</v>
      </c>
      <c r="O347">
        <v>15.5</v>
      </c>
    </row>
    <row r="348" spans="1:15" x14ac:dyDescent="0.25">
      <c r="A348" t="s">
        <v>34</v>
      </c>
      <c r="L348" t="s">
        <v>215</v>
      </c>
      <c r="N348" t="s">
        <v>211</v>
      </c>
      <c r="O348">
        <v>10.5</v>
      </c>
    </row>
    <row r="349" spans="1:15" x14ac:dyDescent="0.25">
      <c r="A349" t="s">
        <v>34</v>
      </c>
      <c r="L349" t="s">
        <v>216</v>
      </c>
      <c r="N349" t="s">
        <v>211</v>
      </c>
      <c r="O349">
        <v>0.5</v>
      </c>
    </row>
    <row r="350" spans="1:15" x14ac:dyDescent="0.25">
      <c r="A350" t="s">
        <v>34</v>
      </c>
      <c r="L350" t="s">
        <v>217</v>
      </c>
      <c r="N350" t="s">
        <v>211</v>
      </c>
      <c r="O350">
        <v>-9.5</v>
      </c>
    </row>
    <row r="351" spans="1:15" x14ac:dyDescent="0.25">
      <c r="A351" t="s">
        <v>35</v>
      </c>
      <c r="L351" t="s">
        <v>214</v>
      </c>
      <c r="N351" t="s">
        <v>210</v>
      </c>
      <c r="O351">
        <v>7</v>
      </c>
    </row>
    <row r="352" spans="1:15" x14ac:dyDescent="0.25">
      <c r="A352" t="s">
        <v>35</v>
      </c>
      <c r="L352" t="s">
        <v>215</v>
      </c>
      <c r="N352" t="s">
        <v>210</v>
      </c>
      <c r="O352">
        <v>7</v>
      </c>
    </row>
    <row r="353" spans="1:15" x14ac:dyDescent="0.25">
      <c r="A353" t="s">
        <v>35</v>
      </c>
      <c r="L353" t="s">
        <v>216</v>
      </c>
      <c r="N353" t="s">
        <v>210</v>
      </c>
      <c r="O353">
        <v>7</v>
      </c>
    </row>
    <row r="354" spans="1:15" x14ac:dyDescent="0.25">
      <c r="A354" t="s">
        <v>35</v>
      </c>
      <c r="L354" t="s">
        <v>217</v>
      </c>
      <c r="N354" t="s">
        <v>210</v>
      </c>
      <c r="O354">
        <v>7</v>
      </c>
    </row>
    <row r="355" spans="1:15" x14ac:dyDescent="0.25">
      <c r="A355" t="s">
        <v>35</v>
      </c>
      <c r="L355" t="s">
        <v>214</v>
      </c>
      <c r="N355" t="s">
        <v>211</v>
      </c>
      <c r="O355">
        <v>16</v>
      </c>
    </row>
    <row r="356" spans="1:15" x14ac:dyDescent="0.25">
      <c r="A356" t="s">
        <v>35</v>
      </c>
      <c r="L356" t="s">
        <v>215</v>
      </c>
      <c r="N356" t="s">
        <v>211</v>
      </c>
      <c r="O356">
        <v>11</v>
      </c>
    </row>
    <row r="357" spans="1:15" x14ac:dyDescent="0.25">
      <c r="A357" t="s">
        <v>35</v>
      </c>
      <c r="L357" t="s">
        <v>216</v>
      </c>
      <c r="N357" t="s">
        <v>211</v>
      </c>
      <c r="O357">
        <v>1</v>
      </c>
    </row>
    <row r="358" spans="1:15" x14ac:dyDescent="0.25">
      <c r="A358" t="s">
        <v>35</v>
      </c>
      <c r="L358" t="s">
        <v>217</v>
      </c>
      <c r="N358" t="s">
        <v>211</v>
      </c>
      <c r="O358">
        <v>-4</v>
      </c>
    </row>
    <row r="360" spans="1:15" x14ac:dyDescent="0.25">
      <c r="A360" s="22" t="s">
        <v>40</v>
      </c>
      <c r="B360" s="22"/>
    </row>
    <row r="361" spans="1:15" x14ac:dyDescent="0.25">
      <c r="A361" t="s">
        <v>40</v>
      </c>
      <c r="L361" t="s">
        <v>214</v>
      </c>
      <c r="N361" t="s">
        <v>210</v>
      </c>
      <c r="O361">
        <v>3</v>
      </c>
    </row>
    <row r="362" spans="1:15" x14ac:dyDescent="0.25">
      <c r="A362" t="s">
        <v>40</v>
      </c>
      <c r="L362" t="s">
        <v>215</v>
      </c>
      <c r="N362" t="s">
        <v>210</v>
      </c>
      <c r="O362">
        <v>3</v>
      </c>
    </row>
    <row r="363" spans="1:15" x14ac:dyDescent="0.25">
      <c r="A363" t="s">
        <v>40</v>
      </c>
      <c r="L363" t="s">
        <v>216</v>
      </c>
      <c r="N363" t="s">
        <v>210</v>
      </c>
      <c r="O363">
        <v>3</v>
      </c>
    </row>
    <row r="364" spans="1:15" x14ac:dyDescent="0.25">
      <c r="A364" t="s">
        <v>40</v>
      </c>
      <c r="L364" t="s">
        <v>214</v>
      </c>
      <c r="N364" t="s">
        <v>211</v>
      </c>
      <c r="O364">
        <v>7</v>
      </c>
    </row>
    <row r="365" spans="1:15" x14ac:dyDescent="0.25">
      <c r="A365" t="s">
        <v>40</v>
      </c>
      <c r="L365" t="s">
        <v>215</v>
      </c>
      <c r="N365" t="s">
        <v>211</v>
      </c>
      <c r="O365">
        <v>-3</v>
      </c>
    </row>
    <row r="366" spans="1:15" x14ac:dyDescent="0.25">
      <c r="A366" t="s">
        <v>40</v>
      </c>
      <c r="L366" t="s">
        <v>216</v>
      </c>
      <c r="N366" t="s">
        <v>211</v>
      </c>
      <c r="O366">
        <v>-8</v>
      </c>
    </row>
    <row r="368" spans="1:15" x14ac:dyDescent="0.25">
      <c r="A368" s="22" t="s">
        <v>223</v>
      </c>
      <c r="B368" s="22"/>
    </row>
    <row r="369" spans="1:15" x14ac:dyDescent="0.25">
      <c r="A369" t="s">
        <v>42</v>
      </c>
      <c r="L369" t="s">
        <v>214</v>
      </c>
      <c r="N369" t="s">
        <v>210</v>
      </c>
      <c r="O369">
        <v>3</v>
      </c>
    </row>
    <row r="370" spans="1:15" x14ac:dyDescent="0.25">
      <c r="A370" t="s">
        <v>42</v>
      </c>
      <c r="L370" t="s">
        <v>215</v>
      </c>
      <c r="N370" t="s">
        <v>210</v>
      </c>
      <c r="O370">
        <v>3</v>
      </c>
    </row>
    <row r="371" spans="1:15" x14ac:dyDescent="0.25">
      <c r="A371" t="s">
        <v>42</v>
      </c>
      <c r="L371" t="s">
        <v>216</v>
      </c>
      <c r="N371" t="s">
        <v>210</v>
      </c>
      <c r="O371">
        <v>3</v>
      </c>
    </row>
    <row r="372" spans="1:15" x14ac:dyDescent="0.25">
      <c r="A372" t="s">
        <v>42</v>
      </c>
      <c r="L372" t="s">
        <v>217</v>
      </c>
      <c r="N372" t="s">
        <v>210</v>
      </c>
      <c r="O372">
        <v>3</v>
      </c>
    </row>
    <row r="373" spans="1:15" x14ac:dyDescent="0.25">
      <c r="A373" t="s">
        <v>42</v>
      </c>
      <c r="L373" t="s">
        <v>218</v>
      </c>
      <c r="N373" t="s">
        <v>210</v>
      </c>
      <c r="O373">
        <v>3</v>
      </c>
    </row>
    <row r="374" spans="1:15" x14ac:dyDescent="0.25">
      <c r="A374" t="s">
        <v>42</v>
      </c>
      <c r="L374" t="s">
        <v>221</v>
      </c>
      <c r="N374" t="s">
        <v>210</v>
      </c>
      <c r="O374">
        <v>3</v>
      </c>
    </row>
    <row r="375" spans="1:15" x14ac:dyDescent="0.25">
      <c r="A375" t="s">
        <v>42</v>
      </c>
      <c r="L375" t="s">
        <v>214</v>
      </c>
      <c r="N375" t="s">
        <v>211</v>
      </c>
      <c r="O375">
        <v>5</v>
      </c>
    </row>
    <row r="376" spans="1:15" x14ac:dyDescent="0.25">
      <c r="A376" t="s">
        <v>42</v>
      </c>
      <c r="L376" t="s">
        <v>215</v>
      </c>
      <c r="N376" t="s">
        <v>211</v>
      </c>
      <c r="O376">
        <v>0</v>
      </c>
    </row>
    <row r="377" spans="1:15" x14ac:dyDescent="0.25">
      <c r="A377" t="s">
        <v>42</v>
      </c>
      <c r="L377" t="s">
        <v>216</v>
      </c>
      <c r="N377" t="s">
        <v>211</v>
      </c>
      <c r="O377">
        <v>-5</v>
      </c>
    </row>
    <row r="378" spans="1:15" x14ac:dyDescent="0.25">
      <c r="A378" t="s">
        <v>42</v>
      </c>
      <c r="L378" t="s">
        <v>217</v>
      </c>
      <c r="N378" t="s">
        <v>211</v>
      </c>
      <c r="O378">
        <v>-10</v>
      </c>
    </row>
    <row r="379" spans="1:15" x14ac:dyDescent="0.25">
      <c r="A379" t="s">
        <v>42</v>
      </c>
      <c r="L379" t="s">
        <v>218</v>
      </c>
      <c r="N379" t="s">
        <v>211</v>
      </c>
      <c r="O379">
        <v>-15</v>
      </c>
    </row>
    <row r="380" spans="1:15" x14ac:dyDescent="0.25">
      <c r="A380" t="s">
        <v>42</v>
      </c>
      <c r="L380" t="s">
        <v>221</v>
      </c>
      <c r="N380" t="s">
        <v>211</v>
      </c>
      <c r="O380">
        <v>-20</v>
      </c>
    </row>
    <row r="382" spans="1:15" x14ac:dyDescent="0.25">
      <c r="A382" s="22" t="s">
        <v>224</v>
      </c>
      <c r="B382" s="22"/>
    </row>
    <row r="383" spans="1:15" x14ac:dyDescent="0.25">
      <c r="A383" t="s">
        <v>36</v>
      </c>
      <c r="L383" t="s">
        <v>214</v>
      </c>
      <c r="N383" t="s">
        <v>210</v>
      </c>
      <c r="O383">
        <v>0.5</v>
      </c>
    </row>
    <row r="384" spans="1:15" x14ac:dyDescent="0.25">
      <c r="A384" t="s">
        <v>36</v>
      </c>
      <c r="L384" t="s">
        <v>215</v>
      </c>
      <c r="N384" t="s">
        <v>210</v>
      </c>
      <c r="O384">
        <v>0.5</v>
      </c>
    </row>
    <row r="385" spans="1:15" x14ac:dyDescent="0.25">
      <c r="A385" t="s">
        <v>36</v>
      </c>
      <c r="L385" t="s">
        <v>216</v>
      </c>
      <c r="N385" t="s">
        <v>210</v>
      </c>
      <c r="O385">
        <v>0.5</v>
      </c>
    </row>
    <row r="386" spans="1:15" x14ac:dyDescent="0.25">
      <c r="A386" t="s">
        <v>36</v>
      </c>
      <c r="L386" t="s">
        <v>217</v>
      </c>
      <c r="N386" t="s">
        <v>210</v>
      </c>
      <c r="O386">
        <v>0.5</v>
      </c>
    </row>
    <row r="387" spans="1:15" x14ac:dyDescent="0.25">
      <c r="A387" t="s">
        <v>36</v>
      </c>
      <c r="L387" t="s">
        <v>218</v>
      </c>
      <c r="N387" t="s">
        <v>210</v>
      </c>
      <c r="O387">
        <v>0.5</v>
      </c>
    </row>
    <row r="388" spans="1:15" x14ac:dyDescent="0.25">
      <c r="A388" t="s">
        <v>36</v>
      </c>
      <c r="L388" t="s">
        <v>221</v>
      </c>
      <c r="N388" t="s">
        <v>210</v>
      </c>
      <c r="O388">
        <v>0.5</v>
      </c>
    </row>
    <row r="389" spans="1:15" x14ac:dyDescent="0.25">
      <c r="A389" t="s">
        <v>36</v>
      </c>
      <c r="L389" t="s">
        <v>214</v>
      </c>
      <c r="N389" t="s">
        <v>211</v>
      </c>
      <c r="O389">
        <v>55</v>
      </c>
    </row>
    <row r="390" spans="1:15" x14ac:dyDescent="0.25">
      <c r="A390" t="s">
        <v>36</v>
      </c>
      <c r="L390" t="s">
        <v>215</v>
      </c>
      <c r="N390" t="s">
        <v>211</v>
      </c>
      <c r="O390">
        <v>35</v>
      </c>
    </row>
    <row r="391" spans="1:15" x14ac:dyDescent="0.25">
      <c r="A391" t="s">
        <v>36</v>
      </c>
      <c r="L391" t="s">
        <v>216</v>
      </c>
      <c r="N391" t="s">
        <v>211</v>
      </c>
      <c r="O391">
        <v>25</v>
      </c>
    </row>
    <row r="392" spans="1:15" x14ac:dyDescent="0.25">
      <c r="A392" t="s">
        <v>36</v>
      </c>
      <c r="L392" t="s">
        <v>217</v>
      </c>
      <c r="N392" t="s">
        <v>211</v>
      </c>
      <c r="O392">
        <v>15</v>
      </c>
    </row>
    <row r="393" spans="1:15" x14ac:dyDescent="0.25">
      <c r="A393" t="s">
        <v>36</v>
      </c>
      <c r="L393" t="s">
        <v>218</v>
      </c>
      <c r="N393" t="s">
        <v>211</v>
      </c>
      <c r="O393">
        <v>0</v>
      </c>
    </row>
    <row r="394" spans="1:15" x14ac:dyDescent="0.25">
      <c r="A394" t="s">
        <v>36</v>
      </c>
      <c r="L394" t="s">
        <v>221</v>
      </c>
      <c r="N394" t="s">
        <v>211</v>
      </c>
      <c r="O394">
        <v>-5</v>
      </c>
    </row>
    <row r="395" spans="1:15" x14ac:dyDescent="0.25">
      <c r="A395" t="s">
        <v>37</v>
      </c>
      <c r="L395" t="s">
        <v>214</v>
      </c>
      <c r="N395" t="s">
        <v>210</v>
      </c>
      <c r="O395" s="21">
        <f>O383</f>
        <v>0.5</v>
      </c>
    </row>
    <row r="396" spans="1:15" x14ac:dyDescent="0.25">
      <c r="A396" t="s">
        <v>37</v>
      </c>
      <c r="L396" t="s">
        <v>215</v>
      </c>
      <c r="N396" t="s">
        <v>210</v>
      </c>
      <c r="O396" s="21">
        <f t="shared" ref="O396:O406" si="12">O384</f>
        <v>0.5</v>
      </c>
    </row>
    <row r="397" spans="1:15" x14ac:dyDescent="0.25">
      <c r="A397" t="s">
        <v>37</v>
      </c>
      <c r="L397" t="s">
        <v>216</v>
      </c>
      <c r="N397" t="s">
        <v>210</v>
      </c>
      <c r="O397" s="21">
        <f t="shared" si="12"/>
        <v>0.5</v>
      </c>
    </row>
    <row r="398" spans="1:15" x14ac:dyDescent="0.25">
      <c r="A398" t="s">
        <v>37</v>
      </c>
      <c r="L398" t="s">
        <v>217</v>
      </c>
      <c r="N398" t="s">
        <v>210</v>
      </c>
      <c r="O398" s="21">
        <f t="shared" si="12"/>
        <v>0.5</v>
      </c>
    </row>
    <row r="399" spans="1:15" x14ac:dyDescent="0.25">
      <c r="A399" t="s">
        <v>37</v>
      </c>
      <c r="L399" t="s">
        <v>218</v>
      </c>
      <c r="N399" t="s">
        <v>210</v>
      </c>
      <c r="O399" s="21">
        <f t="shared" si="12"/>
        <v>0.5</v>
      </c>
    </row>
    <row r="400" spans="1:15" x14ac:dyDescent="0.25">
      <c r="A400" t="s">
        <v>37</v>
      </c>
      <c r="L400" t="s">
        <v>221</v>
      </c>
      <c r="N400" t="s">
        <v>210</v>
      </c>
      <c r="O400" s="21">
        <f t="shared" si="12"/>
        <v>0.5</v>
      </c>
    </row>
    <row r="401" spans="1:15" x14ac:dyDescent="0.25">
      <c r="A401" t="s">
        <v>37</v>
      </c>
      <c r="L401" t="s">
        <v>214</v>
      </c>
      <c r="N401" t="s">
        <v>211</v>
      </c>
      <c r="O401" s="21">
        <f t="shared" si="12"/>
        <v>55</v>
      </c>
    </row>
    <row r="402" spans="1:15" x14ac:dyDescent="0.25">
      <c r="A402" t="s">
        <v>37</v>
      </c>
      <c r="L402" t="s">
        <v>215</v>
      </c>
      <c r="N402" t="s">
        <v>211</v>
      </c>
      <c r="O402" s="21">
        <f t="shared" si="12"/>
        <v>35</v>
      </c>
    </row>
    <row r="403" spans="1:15" x14ac:dyDescent="0.25">
      <c r="A403" t="s">
        <v>37</v>
      </c>
      <c r="L403" t="s">
        <v>216</v>
      </c>
      <c r="N403" t="s">
        <v>211</v>
      </c>
      <c r="O403" s="21">
        <f t="shared" si="12"/>
        <v>25</v>
      </c>
    </row>
    <row r="404" spans="1:15" x14ac:dyDescent="0.25">
      <c r="A404" t="s">
        <v>37</v>
      </c>
      <c r="L404" t="s">
        <v>217</v>
      </c>
      <c r="N404" t="s">
        <v>211</v>
      </c>
      <c r="O404" s="21">
        <f t="shared" si="12"/>
        <v>15</v>
      </c>
    </row>
    <row r="405" spans="1:15" x14ac:dyDescent="0.25">
      <c r="A405" t="s">
        <v>37</v>
      </c>
      <c r="L405" t="s">
        <v>218</v>
      </c>
      <c r="N405" t="s">
        <v>211</v>
      </c>
      <c r="O405" s="21">
        <f t="shared" si="12"/>
        <v>0</v>
      </c>
    </row>
    <row r="406" spans="1:15" x14ac:dyDescent="0.25">
      <c r="A406" t="s">
        <v>37</v>
      </c>
      <c r="L406" t="s">
        <v>221</v>
      </c>
      <c r="N406" t="s">
        <v>211</v>
      </c>
      <c r="O406" s="21">
        <f t="shared" si="12"/>
        <v>-5</v>
      </c>
    </row>
    <row r="408" spans="1:15" x14ac:dyDescent="0.25">
      <c r="A408" s="22" t="s">
        <v>225</v>
      </c>
      <c r="B408" s="22"/>
    </row>
    <row r="409" spans="1:15" x14ac:dyDescent="0.25">
      <c r="A409" t="s">
        <v>30</v>
      </c>
      <c r="L409" t="s">
        <v>214</v>
      </c>
      <c r="N409" t="s">
        <v>211</v>
      </c>
      <c r="O409">
        <v>20</v>
      </c>
    </row>
    <row r="410" spans="1:15" x14ac:dyDescent="0.25">
      <c r="A410" t="s">
        <v>30</v>
      </c>
      <c r="L410" t="s">
        <v>215</v>
      </c>
      <c r="N410" t="s">
        <v>211</v>
      </c>
      <c r="O410">
        <v>15</v>
      </c>
    </row>
    <row r="411" spans="1:15" x14ac:dyDescent="0.25">
      <c r="A411" t="s">
        <v>30</v>
      </c>
      <c r="L411" t="s">
        <v>216</v>
      </c>
      <c r="N411" t="s">
        <v>211</v>
      </c>
      <c r="O411">
        <v>10</v>
      </c>
    </row>
    <row r="412" spans="1:15" x14ac:dyDescent="0.25">
      <c r="A412" t="s">
        <v>32</v>
      </c>
      <c r="L412" t="s">
        <v>214</v>
      </c>
      <c r="N412" t="s">
        <v>211</v>
      </c>
      <c r="O412" s="21">
        <f>O409</f>
        <v>20</v>
      </c>
    </row>
    <row r="413" spans="1:15" x14ac:dyDescent="0.25">
      <c r="A413" t="s">
        <v>32</v>
      </c>
      <c r="L413" t="s">
        <v>215</v>
      </c>
      <c r="N413" t="s">
        <v>211</v>
      </c>
      <c r="O413" s="21">
        <f t="shared" ref="O413:O414" si="13">O410</f>
        <v>15</v>
      </c>
    </row>
    <row r="414" spans="1:15" x14ac:dyDescent="0.25">
      <c r="A414" t="s">
        <v>32</v>
      </c>
      <c r="L414" t="s">
        <v>216</v>
      </c>
      <c r="N414" t="s">
        <v>211</v>
      </c>
      <c r="O414" s="21">
        <f t="shared" si="13"/>
        <v>10</v>
      </c>
    </row>
    <row r="415" spans="1:15" x14ac:dyDescent="0.25">
      <c r="A415" t="s">
        <v>38</v>
      </c>
      <c r="L415" t="s">
        <v>214</v>
      </c>
      <c r="N415" t="s">
        <v>211</v>
      </c>
      <c r="O415">
        <v>60</v>
      </c>
    </row>
    <row r="416" spans="1:15" x14ac:dyDescent="0.25">
      <c r="A416" t="s">
        <v>38</v>
      </c>
      <c r="L416" t="s">
        <v>215</v>
      </c>
      <c r="N416" t="s">
        <v>211</v>
      </c>
      <c r="O416">
        <v>45</v>
      </c>
    </row>
    <row r="417" spans="1:17" x14ac:dyDescent="0.25">
      <c r="A417" t="s">
        <v>38</v>
      </c>
      <c r="L417" t="s">
        <v>216</v>
      </c>
      <c r="N417" t="s">
        <v>211</v>
      </c>
      <c r="O417">
        <v>35</v>
      </c>
    </row>
    <row r="418" spans="1:17" x14ac:dyDescent="0.25">
      <c r="A418" t="s">
        <v>38</v>
      </c>
      <c r="L418" t="s">
        <v>217</v>
      </c>
      <c r="N418" t="s">
        <v>211</v>
      </c>
      <c r="O418">
        <v>25</v>
      </c>
    </row>
    <row r="419" spans="1:17" x14ac:dyDescent="0.25">
      <c r="A419" t="s">
        <v>38</v>
      </c>
      <c r="L419" t="s">
        <v>218</v>
      </c>
      <c r="N419" t="s">
        <v>211</v>
      </c>
      <c r="O419">
        <v>10</v>
      </c>
    </row>
    <row r="420" spans="1:17" x14ac:dyDescent="0.25">
      <c r="A420" t="s">
        <v>41</v>
      </c>
      <c r="L420" t="s">
        <v>214</v>
      </c>
      <c r="N420" t="s">
        <v>211</v>
      </c>
      <c r="O420">
        <v>15</v>
      </c>
    </row>
    <row r="421" spans="1:17" x14ac:dyDescent="0.25">
      <c r="A421" t="s">
        <v>41</v>
      </c>
      <c r="L421" t="s">
        <v>215</v>
      </c>
      <c r="N421" t="s">
        <v>211</v>
      </c>
      <c r="O421">
        <v>5</v>
      </c>
    </row>
    <row r="423" spans="1:17" x14ac:dyDescent="0.25">
      <c r="A423" s="22" t="s">
        <v>226</v>
      </c>
      <c r="B423" s="22"/>
    </row>
    <row r="424" spans="1:17" x14ac:dyDescent="0.25">
      <c r="A424" t="s">
        <v>48</v>
      </c>
      <c r="N424" t="s">
        <v>210</v>
      </c>
      <c r="O424">
        <v>0.46200000000000002</v>
      </c>
    </row>
    <row r="425" spans="1:17" x14ac:dyDescent="0.25">
      <c r="A425" t="s">
        <v>48</v>
      </c>
      <c r="N425" t="s">
        <v>211</v>
      </c>
      <c r="O425">
        <v>13.85</v>
      </c>
    </row>
    <row r="426" spans="1:17" x14ac:dyDescent="0.25">
      <c r="A426" s="7" t="s">
        <v>49</v>
      </c>
      <c r="B426" s="7"/>
      <c r="N426" t="s">
        <v>210</v>
      </c>
      <c r="O426" s="21">
        <f>O424</f>
        <v>0.46200000000000002</v>
      </c>
      <c r="Q426" t="s">
        <v>259</v>
      </c>
    </row>
    <row r="427" spans="1:17" x14ac:dyDescent="0.25">
      <c r="A427" s="7" t="s">
        <v>49</v>
      </c>
      <c r="B427" s="7"/>
      <c r="N427" t="s">
        <v>211</v>
      </c>
      <c r="O427" s="21">
        <f>O425</f>
        <v>13.85</v>
      </c>
    </row>
    <row r="428" spans="1:17" x14ac:dyDescent="0.25">
      <c r="A428" t="s">
        <v>47</v>
      </c>
      <c r="N428" t="s">
        <v>210</v>
      </c>
      <c r="O428">
        <v>2.5</v>
      </c>
    </row>
    <row r="429" spans="1:17" x14ac:dyDescent="0.25">
      <c r="A429" t="s">
        <v>47</v>
      </c>
      <c r="N429" t="s">
        <v>211</v>
      </c>
      <c r="O429">
        <v>-45</v>
      </c>
    </row>
    <row r="430" spans="1:17" x14ac:dyDescent="0.25">
      <c r="A430" t="s">
        <v>50</v>
      </c>
      <c r="N430" t="s">
        <v>210</v>
      </c>
      <c r="O430">
        <v>2.6669999999999998</v>
      </c>
      <c r="Q430" t="s">
        <v>227</v>
      </c>
    </row>
    <row r="431" spans="1:17" x14ac:dyDescent="0.25">
      <c r="A431" t="s">
        <v>50</v>
      </c>
      <c r="N431" t="s">
        <v>211</v>
      </c>
      <c r="O431">
        <v>-33.33</v>
      </c>
    </row>
    <row r="432" spans="1:17" x14ac:dyDescent="0.25">
      <c r="A432" s="7" t="s">
        <v>54</v>
      </c>
      <c r="B432" s="7"/>
      <c r="N432" t="s">
        <v>210</v>
      </c>
      <c r="O432" s="21">
        <f>O430</f>
        <v>2.6669999999999998</v>
      </c>
      <c r="Q432" t="s">
        <v>260</v>
      </c>
    </row>
    <row r="433" spans="1:17" x14ac:dyDescent="0.25">
      <c r="A433" s="7" t="s">
        <v>54</v>
      </c>
      <c r="B433" s="7"/>
      <c r="N433" t="s">
        <v>211</v>
      </c>
      <c r="O433" s="21">
        <f>O431</f>
        <v>-33.33</v>
      </c>
    </row>
    <row r="434" spans="1:17" x14ac:dyDescent="0.25">
      <c r="A434" s="7" t="s">
        <v>55</v>
      </c>
      <c r="N434" t="s">
        <v>210</v>
      </c>
      <c r="O434" s="21">
        <f>O432</f>
        <v>2.6669999999999998</v>
      </c>
      <c r="Q434" t="s">
        <v>260</v>
      </c>
    </row>
    <row r="435" spans="1:17" x14ac:dyDescent="0.25">
      <c r="A435" s="7" t="s">
        <v>55</v>
      </c>
      <c r="N435" t="s">
        <v>211</v>
      </c>
      <c r="O435" s="21">
        <f>O433</f>
        <v>-33.33</v>
      </c>
    </row>
    <row r="436" spans="1:17" x14ac:dyDescent="0.25">
      <c r="A436" t="s">
        <v>51</v>
      </c>
      <c r="N436" t="s">
        <v>210</v>
      </c>
      <c r="O436">
        <v>0.5</v>
      </c>
    </row>
    <row r="437" spans="1:17" x14ac:dyDescent="0.25">
      <c r="A437" t="s">
        <v>51</v>
      </c>
      <c r="N437" t="s">
        <v>211</v>
      </c>
      <c r="O437">
        <v>15</v>
      </c>
    </row>
    <row r="438" spans="1:17" x14ac:dyDescent="0.25">
      <c r="A438" t="s">
        <v>52</v>
      </c>
      <c r="N438" t="s">
        <v>210</v>
      </c>
      <c r="O438">
        <v>0.66700000000000004</v>
      </c>
    </row>
    <row r="439" spans="1:17" x14ac:dyDescent="0.25">
      <c r="A439" t="s">
        <v>52</v>
      </c>
      <c r="N439" t="s">
        <v>211</v>
      </c>
      <c r="O439">
        <v>-3.33</v>
      </c>
    </row>
    <row r="440" spans="1:17" x14ac:dyDescent="0.25">
      <c r="A440" t="s">
        <v>53</v>
      </c>
      <c r="N440" t="s">
        <v>210</v>
      </c>
      <c r="O440" s="21">
        <f>O438</f>
        <v>0.66700000000000004</v>
      </c>
    </row>
    <row r="441" spans="1:17" x14ac:dyDescent="0.25">
      <c r="A441" t="s">
        <v>53</v>
      </c>
      <c r="N441" t="s">
        <v>211</v>
      </c>
      <c r="O441" s="21">
        <f>O439</f>
        <v>-3.33</v>
      </c>
    </row>
    <row r="443" spans="1:17" x14ac:dyDescent="0.25">
      <c r="A443" t="s">
        <v>69</v>
      </c>
      <c r="N443" t="s">
        <v>211</v>
      </c>
      <c r="O443">
        <v>0</v>
      </c>
      <c r="Q443" t="s">
        <v>228</v>
      </c>
    </row>
    <row r="444" spans="1:17" x14ac:dyDescent="0.25">
      <c r="A444" t="s">
        <v>72</v>
      </c>
      <c r="N444" t="s">
        <v>211</v>
      </c>
      <c r="O444">
        <v>0</v>
      </c>
    </row>
    <row r="445" spans="1:17" x14ac:dyDescent="0.25">
      <c r="A445" t="s">
        <v>73</v>
      </c>
      <c r="N445" t="s">
        <v>211</v>
      </c>
      <c r="O445">
        <v>0</v>
      </c>
    </row>
    <row r="446" spans="1:17" x14ac:dyDescent="0.25">
      <c r="A446" t="s">
        <v>45</v>
      </c>
      <c r="N446" t="s">
        <v>211</v>
      </c>
      <c r="O446">
        <v>0</v>
      </c>
    </row>
    <row r="447" spans="1:17" x14ac:dyDescent="0.25">
      <c r="A447" t="s">
        <v>46</v>
      </c>
      <c r="N447" t="s">
        <v>211</v>
      </c>
      <c r="O447">
        <v>0</v>
      </c>
    </row>
    <row r="449" spans="1:2" x14ac:dyDescent="0.25">
      <c r="A449" s="7" t="s">
        <v>31</v>
      </c>
      <c r="B449" s="7"/>
    </row>
    <row r="450" spans="1:2" x14ac:dyDescent="0.25">
      <c r="A450" s="7" t="s">
        <v>33</v>
      </c>
      <c r="B450" s="7"/>
    </row>
    <row r="451" spans="1:2" x14ac:dyDescent="0.25">
      <c r="A451" s="7" t="s">
        <v>39</v>
      </c>
      <c r="B451" s="7"/>
    </row>
    <row r="452" spans="1:2" x14ac:dyDescent="0.25">
      <c r="A452" s="7" t="s">
        <v>70</v>
      </c>
      <c r="B452" s="7"/>
    </row>
    <row r="453" spans="1:2" x14ac:dyDescent="0.25">
      <c r="A453" s="7" t="s">
        <v>71</v>
      </c>
      <c r="B453" s="7"/>
    </row>
    <row r="454" spans="1:2" x14ac:dyDescent="0.25">
      <c r="A454" s="7" t="s">
        <v>43</v>
      </c>
      <c r="B454" s="7"/>
    </row>
    <row r="455" spans="1:2" x14ac:dyDescent="0.25">
      <c r="A455" s="7" t="s">
        <v>44</v>
      </c>
      <c r="B455" s="7"/>
    </row>
    <row r="456" spans="1:2" x14ac:dyDescent="0.25">
      <c r="A456" s="7" t="s">
        <v>56</v>
      </c>
      <c r="B456" s="7"/>
    </row>
    <row r="457" spans="1:2" x14ac:dyDescent="0.25">
      <c r="A457" s="7" t="s">
        <v>57</v>
      </c>
      <c r="B457" s="7"/>
    </row>
    <row r="458" spans="1:2" x14ac:dyDescent="0.25">
      <c r="A458" s="7" t="s">
        <v>58</v>
      </c>
      <c r="B458" s="7"/>
    </row>
    <row r="459" spans="1:2" x14ac:dyDescent="0.25">
      <c r="A459" s="7" t="s">
        <v>59</v>
      </c>
      <c r="B459" s="7"/>
    </row>
    <row r="460" spans="1:2" x14ac:dyDescent="0.25">
      <c r="A460" s="7" t="s">
        <v>60</v>
      </c>
      <c r="B460" s="7"/>
    </row>
    <row r="461" spans="1:2" x14ac:dyDescent="0.25">
      <c r="A461" s="7" t="s">
        <v>61</v>
      </c>
      <c r="B461" s="7"/>
    </row>
    <row r="462" spans="1:2" x14ac:dyDescent="0.25">
      <c r="A462" s="7"/>
      <c r="B462" s="7"/>
    </row>
    <row r="463" spans="1:2" x14ac:dyDescent="0.25">
      <c r="A463" s="7" t="s">
        <v>62</v>
      </c>
      <c r="B463" s="7"/>
    </row>
    <row r="464" spans="1:2" x14ac:dyDescent="0.25">
      <c r="A464" s="7" t="s">
        <v>63</v>
      </c>
      <c r="B464" s="7"/>
    </row>
    <row r="465" spans="1:18" x14ac:dyDescent="0.25">
      <c r="A465" s="7" t="s">
        <v>64</v>
      </c>
      <c r="B465" s="7"/>
    </row>
    <row r="466" spans="1:18" x14ac:dyDescent="0.25">
      <c r="A466" s="7" t="s">
        <v>65</v>
      </c>
      <c r="B466" s="7"/>
    </row>
    <row r="467" spans="1:18" x14ac:dyDescent="0.25">
      <c r="A467" s="7" t="s">
        <v>66</v>
      </c>
      <c r="B467" s="7"/>
    </row>
    <row r="468" spans="1:18" x14ac:dyDescent="0.25">
      <c r="A468" s="7" t="s">
        <v>67</v>
      </c>
      <c r="B468" s="7"/>
    </row>
    <row r="469" spans="1:18" x14ac:dyDescent="0.25">
      <c r="A469" s="7" t="s">
        <v>68</v>
      </c>
      <c r="B469" s="7"/>
    </row>
    <row r="471" spans="1:18" x14ac:dyDescent="0.25">
      <c r="A471" s="2" t="s">
        <v>243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3"/>
      <c r="R471" s="3"/>
    </row>
    <row r="472" spans="1:18" x14ac:dyDescent="0.25">
      <c r="A472" s="19" t="s">
        <v>244</v>
      </c>
      <c r="B472" s="19"/>
    </row>
    <row r="473" spans="1:18" x14ac:dyDescent="0.25">
      <c r="A473" s="19" t="s">
        <v>245</v>
      </c>
      <c r="B473" s="19"/>
    </row>
    <row r="474" spans="1:18" x14ac:dyDescent="0.25">
      <c r="A474" s="19" t="s">
        <v>249</v>
      </c>
      <c r="B474" s="19"/>
    </row>
    <row r="475" spans="1:18" x14ac:dyDescent="0.25">
      <c r="N475" s="6" t="s">
        <v>246</v>
      </c>
      <c r="O475" s="24">
        <v>1</v>
      </c>
      <c r="P475" s="6"/>
      <c r="Q475" s="6" t="s">
        <v>161</v>
      </c>
    </row>
    <row r="476" spans="1:18" x14ac:dyDescent="0.25">
      <c r="B476" s="5" t="s">
        <v>251</v>
      </c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 t="s">
        <v>246</v>
      </c>
      <c r="O476" s="23">
        <v>1.35</v>
      </c>
      <c r="P476" s="5"/>
      <c r="Q476" s="5" t="s">
        <v>252</v>
      </c>
      <c r="R476" s="5"/>
    </row>
    <row r="477" spans="1:18" x14ac:dyDescent="0.25">
      <c r="B477" s="5" t="s">
        <v>258</v>
      </c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 t="s">
        <v>246</v>
      </c>
      <c r="O477" s="23">
        <v>1.35</v>
      </c>
      <c r="P477" s="5"/>
      <c r="Q477" s="5" t="s">
        <v>252</v>
      </c>
      <c r="R477" s="5"/>
    </row>
    <row r="478" spans="1:18" x14ac:dyDescent="0.25">
      <c r="B478" t="s">
        <v>253</v>
      </c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 t="s">
        <v>246</v>
      </c>
      <c r="O478" s="5">
        <v>1.05</v>
      </c>
      <c r="P478" s="5"/>
      <c r="Q478" s="5" t="s">
        <v>252</v>
      </c>
      <c r="R478" s="5"/>
    </row>
    <row r="479" spans="1:18" x14ac:dyDescent="0.25">
      <c r="A479" s="7"/>
      <c r="B479" s="7"/>
    </row>
    <row r="480" spans="1:18" ht="19.5" customHeight="1" x14ac:dyDescent="0.25">
      <c r="A480" s="16" t="s">
        <v>229</v>
      </c>
      <c r="B480" s="16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</row>
    <row r="481" spans="1:18" x14ac:dyDescent="0.25">
      <c r="A481" s="20" t="s">
        <v>230</v>
      </c>
      <c r="B481" s="20"/>
    </row>
    <row r="482" spans="1:18" x14ac:dyDescent="0.25">
      <c r="A482" s="20" t="s">
        <v>231</v>
      </c>
      <c r="B482" s="20"/>
    </row>
    <row r="483" spans="1:18" x14ac:dyDescent="0.25">
      <c r="N483" s="6" t="s">
        <v>232</v>
      </c>
      <c r="O483" s="6">
        <v>0</v>
      </c>
      <c r="P483" s="6" t="s">
        <v>256</v>
      </c>
      <c r="Q483" s="6" t="s">
        <v>161</v>
      </c>
    </row>
    <row r="484" spans="1:18" x14ac:dyDescent="0.25">
      <c r="N484" s="6" t="s">
        <v>233</v>
      </c>
      <c r="O484" s="6">
        <v>0</v>
      </c>
      <c r="P484" s="6" t="s">
        <v>257</v>
      </c>
      <c r="Q484" s="6" t="s">
        <v>161</v>
      </c>
    </row>
    <row r="485" spans="1:18" x14ac:dyDescent="0.25">
      <c r="N485" s="6" t="s">
        <v>254</v>
      </c>
      <c r="O485" s="24">
        <v>1</v>
      </c>
      <c r="P485" s="6"/>
      <c r="Q485" s="6" t="s">
        <v>161</v>
      </c>
    </row>
    <row r="489" spans="1:18" x14ac:dyDescent="0.25">
      <c r="A489" s="2" t="s">
        <v>174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spans="1:18" x14ac:dyDescent="0.25">
      <c r="M490" s="6" t="s">
        <v>129</v>
      </c>
      <c r="N490" s="6" t="s">
        <v>157</v>
      </c>
      <c r="O490" s="14">
        <v>0</v>
      </c>
      <c r="P490" s="6" t="s">
        <v>130</v>
      </c>
      <c r="Q490" s="6" t="s">
        <v>161</v>
      </c>
    </row>
    <row r="491" spans="1:18" x14ac:dyDescent="0.25">
      <c r="A491" s="1" t="s">
        <v>162</v>
      </c>
      <c r="B491" s="1"/>
      <c r="C491" s="1"/>
      <c r="M491" s="6"/>
      <c r="N491" s="6"/>
      <c r="O491" s="14"/>
      <c r="P491" s="6"/>
      <c r="Q491" s="6"/>
    </row>
    <row r="492" spans="1:18" x14ac:dyDescent="0.25">
      <c r="G492" t="s">
        <v>123</v>
      </c>
      <c r="M492" t="s">
        <v>129</v>
      </c>
      <c r="N492" t="s">
        <v>157</v>
      </c>
      <c r="O492" s="12">
        <f>8/1000*(14/(1*14+3*2))*100</f>
        <v>0.55999999999999994</v>
      </c>
      <c r="P492" t="s">
        <v>130</v>
      </c>
      <c r="Q492" s="5" t="s">
        <v>131</v>
      </c>
      <c r="R492" t="s">
        <v>126</v>
      </c>
    </row>
    <row r="493" spans="1:18" x14ac:dyDescent="0.25">
      <c r="G493" t="s">
        <v>124</v>
      </c>
      <c r="M493" t="s">
        <v>129</v>
      </c>
      <c r="N493" t="s">
        <v>157</v>
      </c>
      <c r="O493" s="12">
        <f>15/1000*(14/(1*14+3*2))*100</f>
        <v>1.0499999999999998</v>
      </c>
      <c r="P493" t="s">
        <v>130</v>
      </c>
      <c r="R493" t="s">
        <v>126</v>
      </c>
    </row>
    <row r="494" spans="1:18" x14ac:dyDescent="0.25">
      <c r="G494" t="s">
        <v>122</v>
      </c>
      <c r="M494" t="s">
        <v>129</v>
      </c>
      <c r="N494" t="s">
        <v>157</v>
      </c>
      <c r="O494" s="12">
        <f>50/1000*(14/(1*14+3*2))*100</f>
        <v>3.4999999999999996</v>
      </c>
      <c r="P494" t="s">
        <v>130</v>
      </c>
      <c r="R494" t="s">
        <v>126</v>
      </c>
    </row>
    <row r="495" spans="1:18" x14ac:dyDescent="0.25">
      <c r="A495" s="1" t="s">
        <v>163</v>
      </c>
      <c r="B495" s="1"/>
      <c r="C495" s="1"/>
      <c r="D495" s="7" t="s">
        <v>182</v>
      </c>
    </row>
    <row r="496" spans="1:18" x14ac:dyDescent="0.25">
      <c r="H496" t="s">
        <v>136</v>
      </c>
      <c r="I496" t="s">
        <v>137</v>
      </c>
      <c r="J496" t="s">
        <v>138</v>
      </c>
      <c r="K496" t="s">
        <v>148</v>
      </c>
      <c r="M496" t="s">
        <v>129</v>
      </c>
      <c r="N496" t="s">
        <v>157</v>
      </c>
      <c r="O496">
        <v>33</v>
      </c>
      <c r="P496" t="s">
        <v>130</v>
      </c>
      <c r="R496" t="s">
        <v>164</v>
      </c>
    </row>
    <row r="497" spans="8:18" x14ac:dyDescent="0.25">
      <c r="H497" t="s">
        <v>136</v>
      </c>
      <c r="I497" t="s">
        <v>137</v>
      </c>
      <c r="J497" t="s">
        <v>138</v>
      </c>
      <c r="K497" t="s">
        <v>149</v>
      </c>
      <c r="M497" t="s">
        <v>129</v>
      </c>
      <c r="N497" t="s">
        <v>157</v>
      </c>
      <c r="O497">
        <v>38</v>
      </c>
      <c r="P497" t="s">
        <v>130</v>
      </c>
      <c r="R497" t="s">
        <v>164</v>
      </c>
    </row>
    <row r="498" spans="8:18" x14ac:dyDescent="0.25">
      <c r="H498" t="s">
        <v>136</v>
      </c>
      <c r="I498" t="s">
        <v>137</v>
      </c>
      <c r="J498" t="s">
        <v>138</v>
      </c>
      <c r="K498" t="s">
        <v>150</v>
      </c>
      <c r="M498" t="s">
        <v>129</v>
      </c>
      <c r="N498" t="s">
        <v>157</v>
      </c>
      <c r="O498">
        <v>41</v>
      </c>
      <c r="P498" t="s">
        <v>130</v>
      </c>
      <c r="R498" t="s">
        <v>164</v>
      </c>
    </row>
    <row r="499" spans="8:18" x14ac:dyDescent="0.25">
      <c r="H499" t="s">
        <v>136</v>
      </c>
      <c r="I499" t="s">
        <v>137</v>
      </c>
      <c r="J499" t="s">
        <v>138</v>
      </c>
      <c r="K499" t="s">
        <v>197</v>
      </c>
      <c r="M499" t="s">
        <v>129</v>
      </c>
      <c r="N499" t="s">
        <v>157</v>
      </c>
      <c r="O499">
        <v>33</v>
      </c>
      <c r="P499" t="s">
        <v>130</v>
      </c>
      <c r="R499" t="s">
        <v>164</v>
      </c>
    </row>
    <row r="500" spans="8:18" x14ac:dyDescent="0.25">
      <c r="H500" t="s">
        <v>136</v>
      </c>
      <c r="I500" t="s">
        <v>139</v>
      </c>
      <c r="J500" t="s">
        <v>138</v>
      </c>
      <c r="K500" t="s">
        <v>148</v>
      </c>
      <c r="M500" t="s">
        <v>129</v>
      </c>
      <c r="N500" t="s">
        <v>157</v>
      </c>
      <c r="O500">
        <v>32</v>
      </c>
      <c r="P500" t="s">
        <v>130</v>
      </c>
      <c r="R500" t="s">
        <v>164</v>
      </c>
    </row>
    <row r="501" spans="8:18" x14ac:dyDescent="0.25">
      <c r="H501" t="s">
        <v>136</v>
      </c>
      <c r="I501" t="s">
        <v>139</v>
      </c>
      <c r="J501" t="s">
        <v>138</v>
      </c>
      <c r="K501" t="s">
        <v>149</v>
      </c>
      <c r="M501" t="s">
        <v>129</v>
      </c>
      <c r="N501" t="s">
        <v>157</v>
      </c>
      <c r="O501">
        <v>39</v>
      </c>
      <c r="P501" t="s">
        <v>130</v>
      </c>
      <c r="R501" t="s">
        <v>164</v>
      </c>
    </row>
    <row r="502" spans="8:18" x14ac:dyDescent="0.25">
      <c r="H502" t="s">
        <v>136</v>
      </c>
      <c r="I502" t="s">
        <v>139</v>
      </c>
      <c r="J502" t="s">
        <v>138</v>
      </c>
      <c r="K502" t="s">
        <v>150</v>
      </c>
      <c r="M502" t="s">
        <v>129</v>
      </c>
      <c r="N502" t="s">
        <v>157</v>
      </c>
      <c r="O502">
        <v>46</v>
      </c>
      <c r="P502" t="s">
        <v>130</v>
      </c>
      <c r="R502" t="s">
        <v>164</v>
      </c>
    </row>
    <row r="503" spans="8:18" x14ac:dyDescent="0.25">
      <c r="H503" t="s">
        <v>136</v>
      </c>
      <c r="I503" t="s">
        <v>139</v>
      </c>
      <c r="J503" t="s">
        <v>138</v>
      </c>
      <c r="K503" t="s">
        <v>197</v>
      </c>
      <c r="M503" t="s">
        <v>129</v>
      </c>
      <c r="N503" t="s">
        <v>157</v>
      </c>
      <c r="O503">
        <v>32</v>
      </c>
      <c r="P503" t="s">
        <v>130</v>
      </c>
      <c r="R503" t="s">
        <v>164</v>
      </c>
    </row>
    <row r="504" spans="8:18" x14ac:dyDescent="0.25">
      <c r="H504" t="s">
        <v>136</v>
      </c>
      <c r="J504" t="s">
        <v>140</v>
      </c>
      <c r="K504" t="s">
        <v>148</v>
      </c>
      <c r="M504" t="s">
        <v>129</v>
      </c>
      <c r="N504" t="s">
        <v>157</v>
      </c>
      <c r="O504">
        <v>32</v>
      </c>
      <c r="P504" t="s">
        <v>130</v>
      </c>
      <c r="R504" t="s">
        <v>164</v>
      </c>
    </row>
    <row r="505" spans="8:18" x14ac:dyDescent="0.25">
      <c r="H505" t="s">
        <v>136</v>
      </c>
      <c r="J505" t="s">
        <v>140</v>
      </c>
      <c r="K505" t="s">
        <v>149</v>
      </c>
      <c r="M505" t="s">
        <v>129</v>
      </c>
      <c r="N505" t="s">
        <v>157</v>
      </c>
      <c r="O505">
        <v>38</v>
      </c>
      <c r="P505" t="s">
        <v>130</v>
      </c>
      <c r="R505" t="s">
        <v>164</v>
      </c>
    </row>
    <row r="506" spans="8:18" x14ac:dyDescent="0.25">
      <c r="H506" t="s">
        <v>136</v>
      </c>
      <c r="J506" t="s">
        <v>140</v>
      </c>
      <c r="K506" t="s">
        <v>150</v>
      </c>
      <c r="M506" t="s">
        <v>129</v>
      </c>
      <c r="N506" t="s">
        <v>157</v>
      </c>
      <c r="O506">
        <v>47</v>
      </c>
      <c r="P506" t="s">
        <v>130</v>
      </c>
      <c r="R506" t="s">
        <v>164</v>
      </c>
    </row>
    <row r="507" spans="8:18" x14ac:dyDescent="0.25">
      <c r="H507" t="s">
        <v>136</v>
      </c>
      <c r="J507" t="s">
        <v>140</v>
      </c>
      <c r="K507" t="s">
        <v>197</v>
      </c>
      <c r="M507" t="s">
        <v>129</v>
      </c>
      <c r="N507" t="s">
        <v>157</v>
      </c>
      <c r="O507">
        <v>32</v>
      </c>
      <c r="P507" t="s">
        <v>130</v>
      </c>
      <c r="R507" t="s">
        <v>164</v>
      </c>
    </row>
    <row r="508" spans="8:18" x14ac:dyDescent="0.25">
      <c r="H508" t="s">
        <v>136</v>
      </c>
      <c r="J508" t="s">
        <v>141</v>
      </c>
      <c r="K508" t="s">
        <v>148</v>
      </c>
      <c r="M508" t="s">
        <v>129</v>
      </c>
      <c r="N508" t="s">
        <v>157</v>
      </c>
      <c r="O508">
        <v>33</v>
      </c>
      <c r="P508" t="s">
        <v>130</v>
      </c>
      <c r="R508" t="s">
        <v>164</v>
      </c>
    </row>
    <row r="509" spans="8:18" x14ac:dyDescent="0.25">
      <c r="H509" t="s">
        <v>136</v>
      </c>
      <c r="J509" t="s">
        <v>141</v>
      </c>
      <c r="K509" t="s">
        <v>149</v>
      </c>
      <c r="M509" t="s">
        <v>129</v>
      </c>
      <c r="N509" t="s">
        <v>157</v>
      </c>
      <c r="O509">
        <v>39</v>
      </c>
      <c r="P509" t="s">
        <v>130</v>
      </c>
      <c r="R509" t="s">
        <v>164</v>
      </c>
    </row>
    <row r="510" spans="8:18" x14ac:dyDescent="0.25">
      <c r="H510" t="s">
        <v>136</v>
      </c>
      <c r="J510" t="s">
        <v>141</v>
      </c>
      <c r="K510" t="s">
        <v>150</v>
      </c>
      <c r="M510" t="s">
        <v>129</v>
      </c>
      <c r="N510" t="s">
        <v>157</v>
      </c>
      <c r="O510">
        <v>47</v>
      </c>
      <c r="P510" t="s">
        <v>130</v>
      </c>
      <c r="R510" t="s">
        <v>164</v>
      </c>
    </row>
    <row r="511" spans="8:18" x14ac:dyDescent="0.25">
      <c r="H511" t="s">
        <v>136</v>
      </c>
      <c r="J511" t="s">
        <v>141</v>
      </c>
      <c r="K511" t="s">
        <v>197</v>
      </c>
      <c r="M511" t="s">
        <v>129</v>
      </c>
      <c r="N511" t="s">
        <v>157</v>
      </c>
      <c r="O511">
        <v>33</v>
      </c>
      <c r="P511" t="s">
        <v>130</v>
      </c>
      <c r="R511" t="s">
        <v>164</v>
      </c>
    </row>
    <row r="512" spans="8:18" x14ac:dyDescent="0.25">
      <c r="H512" t="s">
        <v>136</v>
      </c>
      <c r="K512" t="s">
        <v>148</v>
      </c>
      <c r="M512" t="s">
        <v>129</v>
      </c>
      <c r="N512" t="s">
        <v>157</v>
      </c>
      <c r="O512">
        <v>32</v>
      </c>
      <c r="P512" t="s">
        <v>130</v>
      </c>
      <c r="Q512" t="s">
        <v>151</v>
      </c>
      <c r="R512" t="s">
        <v>164</v>
      </c>
    </row>
    <row r="513" spans="8:18" x14ac:dyDescent="0.25">
      <c r="H513" t="s">
        <v>136</v>
      </c>
      <c r="K513" t="s">
        <v>149</v>
      </c>
      <c r="M513" t="s">
        <v>129</v>
      </c>
      <c r="N513" t="s">
        <v>157</v>
      </c>
      <c r="O513">
        <v>39</v>
      </c>
      <c r="P513" t="s">
        <v>130</v>
      </c>
      <c r="Q513" t="s">
        <v>151</v>
      </c>
      <c r="R513" t="s">
        <v>164</v>
      </c>
    </row>
    <row r="514" spans="8:18" x14ac:dyDescent="0.25">
      <c r="H514" t="s">
        <v>136</v>
      </c>
      <c r="K514" t="s">
        <v>150</v>
      </c>
      <c r="M514" t="s">
        <v>129</v>
      </c>
      <c r="N514" t="s">
        <v>157</v>
      </c>
      <c r="O514">
        <v>46</v>
      </c>
      <c r="P514" t="s">
        <v>130</v>
      </c>
      <c r="Q514" t="s">
        <v>151</v>
      </c>
      <c r="R514" t="s">
        <v>164</v>
      </c>
    </row>
    <row r="515" spans="8:18" x14ac:dyDescent="0.25">
      <c r="H515" t="s">
        <v>136</v>
      </c>
      <c r="K515" t="s">
        <v>197</v>
      </c>
      <c r="M515" t="s">
        <v>129</v>
      </c>
      <c r="N515" t="s">
        <v>157</v>
      </c>
      <c r="O515">
        <v>32</v>
      </c>
      <c r="P515" t="s">
        <v>130</v>
      </c>
      <c r="Q515" t="s">
        <v>151</v>
      </c>
      <c r="R515" t="s">
        <v>164</v>
      </c>
    </row>
    <row r="516" spans="8:18" x14ac:dyDescent="0.25">
      <c r="H516" t="s">
        <v>136</v>
      </c>
      <c r="K516" t="s">
        <v>166</v>
      </c>
      <c r="M516" t="s">
        <v>129</v>
      </c>
      <c r="N516" t="s">
        <v>157</v>
      </c>
      <c r="O516">
        <v>14</v>
      </c>
      <c r="P516" t="s">
        <v>130</v>
      </c>
      <c r="R516" t="s">
        <v>181</v>
      </c>
    </row>
    <row r="517" spans="8:18" x14ac:dyDescent="0.25">
      <c r="H517" t="s">
        <v>154</v>
      </c>
      <c r="K517" t="s">
        <v>149</v>
      </c>
      <c r="M517" t="s">
        <v>129</v>
      </c>
      <c r="N517" t="s">
        <v>157</v>
      </c>
      <c r="O517">
        <v>43</v>
      </c>
      <c r="P517" t="s">
        <v>130</v>
      </c>
      <c r="R517" t="s">
        <v>164</v>
      </c>
    </row>
    <row r="518" spans="8:18" x14ac:dyDescent="0.25">
      <c r="H518" t="s">
        <v>154</v>
      </c>
      <c r="K518" t="s">
        <v>150</v>
      </c>
      <c r="M518" t="s">
        <v>129</v>
      </c>
      <c r="N518" t="s">
        <v>157</v>
      </c>
      <c r="O518">
        <v>47</v>
      </c>
      <c r="P518" t="s">
        <v>130</v>
      </c>
      <c r="R518" t="s">
        <v>164</v>
      </c>
    </row>
    <row r="519" spans="8:18" x14ac:dyDescent="0.25">
      <c r="H519" t="s">
        <v>154</v>
      </c>
      <c r="K519" t="s">
        <v>198</v>
      </c>
      <c r="M519" t="s">
        <v>129</v>
      </c>
      <c r="N519" t="s">
        <v>157</v>
      </c>
      <c r="O519">
        <v>43</v>
      </c>
      <c r="P519" t="s">
        <v>130</v>
      </c>
      <c r="R519" t="s">
        <v>164</v>
      </c>
    </row>
    <row r="520" spans="8:18" x14ac:dyDescent="0.25">
      <c r="H520" t="s">
        <v>154</v>
      </c>
      <c r="K520" t="s">
        <v>166</v>
      </c>
      <c r="M520" t="s">
        <v>129</v>
      </c>
      <c r="N520" t="s">
        <v>157</v>
      </c>
      <c r="O520">
        <v>35</v>
      </c>
      <c r="P520" t="s">
        <v>130</v>
      </c>
      <c r="R520" t="s">
        <v>181</v>
      </c>
    </row>
    <row r="521" spans="8:18" x14ac:dyDescent="0.25">
      <c r="H521" t="s">
        <v>199</v>
      </c>
      <c r="K521" t="s">
        <v>149</v>
      </c>
      <c r="M521" t="s">
        <v>129</v>
      </c>
      <c r="N521" t="s">
        <v>157</v>
      </c>
      <c r="O521">
        <v>43</v>
      </c>
      <c r="P521" t="s">
        <v>130</v>
      </c>
      <c r="R521" t="s">
        <v>164</v>
      </c>
    </row>
    <row r="522" spans="8:18" x14ac:dyDescent="0.25">
      <c r="H522" t="s">
        <v>199</v>
      </c>
      <c r="K522" t="s">
        <v>166</v>
      </c>
      <c r="M522" t="s">
        <v>129</v>
      </c>
      <c r="N522" t="s">
        <v>157</v>
      </c>
      <c r="O522">
        <v>9</v>
      </c>
      <c r="P522" t="s">
        <v>130</v>
      </c>
      <c r="R522" t="s">
        <v>181</v>
      </c>
    </row>
    <row r="523" spans="8:18" x14ac:dyDescent="0.25">
      <c r="H523" t="s">
        <v>142</v>
      </c>
      <c r="J523" t="s">
        <v>143</v>
      </c>
      <c r="K523" t="s">
        <v>148</v>
      </c>
      <c r="M523" t="s">
        <v>129</v>
      </c>
      <c r="N523" t="s">
        <v>157</v>
      </c>
      <c r="O523">
        <v>30</v>
      </c>
      <c r="P523" t="s">
        <v>130</v>
      </c>
      <c r="R523" t="s">
        <v>164</v>
      </c>
    </row>
    <row r="524" spans="8:18" x14ac:dyDescent="0.25">
      <c r="H524" t="s">
        <v>142</v>
      </c>
      <c r="J524" t="s">
        <v>143</v>
      </c>
      <c r="K524" t="s">
        <v>149</v>
      </c>
      <c r="M524" t="s">
        <v>129</v>
      </c>
      <c r="N524" t="s">
        <v>157</v>
      </c>
      <c r="O524">
        <v>35</v>
      </c>
      <c r="P524" t="s">
        <v>130</v>
      </c>
      <c r="R524" t="s">
        <v>164</v>
      </c>
    </row>
    <row r="525" spans="8:18" x14ac:dyDescent="0.25">
      <c r="H525" t="s">
        <v>142</v>
      </c>
      <c r="J525" t="s">
        <v>143</v>
      </c>
      <c r="K525" t="s">
        <v>150</v>
      </c>
      <c r="M525" t="s">
        <v>129</v>
      </c>
      <c r="N525" t="s">
        <v>157</v>
      </c>
      <c r="O525">
        <v>48</v>
      </c>
      <c r="P525" t="s">
        <v>130</v>
      </c>
      <c r="R525" t="s">
        <v>164</v>
      </c>
    </row>
    <row r="526" spans="8:18" x14ac:dyDescent="0.25">
      <c r="H526" t="s">
        <v>142</v>
      </c>
      <c r="J526" t="s">
        <v>143</v>
      </c>
      <c r="K526" t="s">
        <v>197</v>
      </c>
      <c r="M526" t="s">
        <v>129</v>
      </c>
      <c r="N526" t="s">
        <v>157</v>
      </c>
      <c r="O526">
        <v>30</v>
      </c>
      <c r="P526" t="s">
        <v>130</v>
      </c>
      <c r="R526" t="s">
        <v>164</v>
      </c>
    </row>
    <row r="527" spans="8:18" x14ac:dyDescent="0.25">
      <c r="H527" t="s">
        <v>142</v>
      </c>
      <c r="J527" t="s">
        <v>146</v>
      </c>
      <c r="K527" t="s">
        <v>148</v>
      </c>
      <c r="M527" t="s">
        <v>129</v>
      </c>
      <c r="N527" t="s">
        <v>157</v>
      </c>
      <c r="O527" s="13">
        <f>O523</f>
        <v>30</v>
      </c>
      <c r="P527" t="s">
        <v>130</v>
      </c>
      <c r="Q527" t="s">
        <v>153</v>
      </c>
    </row>
    <row r="528" spans="8:18" x14ac:dyDescent="0.25">
      <c r="H528" t="s">
        <v>142</v>
      </c>
      <c r="J528" t="s">
        <v>146</v>
      </c>
      <c r="K528" t="s">
        <v>149</v>
      </c>
      <c r="M528" t="s">
        <v>129</v>
      </c>
      <c r="N528" t="s">
        <v>157</v>
      </c>
      <c r="O528" s="13">
        <f>O524</f>
        <v>35</v>
      </c>
      <c r="P528" t="s">
        <v>130</v>
      </c>
      <c r="Q528" t="s">
        <v>153</v>
      </c>
    </row>
    <row r="529" spans="8:18" x14ac:dyDescent="0.25">
      <c r="H529" t="s">
        <v>142</v>
      </c>
      <c r="J529" t="s">
        <v>146</v>
      </c>
      <c r="K529" t="s">
        <v>150</v>
      </c>
      <c r="M529" t="s">
        <v>129</v>
      </c>
      <c r="N529" t="s">
        <v>157</v>
      </c>
      <c r="O529" s="13">
        <f>O525</f>
        <v>48</v>
      </c>
      <c r="P529" t="s">
        <v>130</v>
      </c>
      <c r="Q529" t="s">
        <v>153</v>
      </c>
    </row>
    <row r="530" spans="8:18" x14ac:dyDescent="0.25">
      <c r="H530" t="s">
        <v>142</v>
      </c>
      <c r="J530" t="s">
        <v>146</v>
      </c>
      <c r="K530" t="s">
        <v>197</v>
      </c>
      <c r="M530" t="s">
        <v>129</v>
      </c>
      <c r="N530" t="s">
        <v>157</v>
      </c>
      <c r="O530" s="13">
        <f>O526</f>
        <v>30</v>
      </c>
      <c r="P530" t="s">
        <v>130</v>
      </c>
      <c r="Q530" t="s">
        <v>153</v>
      </c>
    </row>
    <row r="531" spans="8:18" x14ac:dyDescent="0.25">
      <c r="H531" t="s">
        <v>142</v>
      </c>
      <c r="J531" t="s">
        <v>144</v>
      </c>
      <c r="K531" t="s">
        <v>148</v>
      </c>
      <c r="M531" t="s">
        <v>129</v>
      </c>
      <c r="N531" t="s">
        <v>157</v>
      </c>
      <c r="O531">
        <v>29</v>
      </c>
      <c r="P531" t="s">
        <v>130</v>
      </c>
      <c r="R531" t="s">
        <v>164</v>
      </c>
    </row>
    <row r="532" spans="8:18" x14ac:dyDescent="0.25">
      <c r="H532" t="s">
        <v>142</v>
      </c>
      <c r="J532" t="s">
        <v>144</v>
      </c>
      <c r="K532" t="s">
        <v>149</v>
      </c>
      <c r="M532" t="s">
        <v>129</v>
      </c>
      <c r="N532" t="s">
        <v>157</v>
      </c>
      <c r="O532">
        <v>34</v>
      </c>
      <c r="P532" t="s">
        <v>130</v>
      </c>
      <c r="R532" t="s">
        <v>164</v>
      </c>
    </row>
    <row r="533" spans="8:18" x14ac:dyDescent="0.25">
      <c r="H533" t="s">
        <v>142</v>
      </c>
      <c r="J533" t="s">
        <v>144</v>
      </c>
      <c r="K533" t="s">
        <v>150</v>
      </c>
      <c r="M533" t="s">
        <v>129</v>
      </c>
      <c r="N533" t="s">
        <v>157</v>
      </c>
      <c r="O533">
        <v>46</v>
      </c>
      <c r="P533" t="s">
        <v>130</v>
      </c>
      <c r="R533" t="s">
        <v>164</v>
      </c>
    </row>
    <row r="534" spans="8:18" x14ac:dyDescent="0.25">
      <c r="H534" t="s">
        <v>142</v>
      </c>
      <c r="J534" t="s">
        <v>144</v>
      </c>
      <c r="K534" t="s">
        <v>197</v>
      </c>
      <c r="M534" t="s">
        <v>129</v>
      </c>
      <c r="N534" t="s">
        <v>157</v>
      </c>
      <c r="O534">
        <v>29</v>
      </c>
      <c r="P534" t="s">
        <v>130</v>
      </c>
      <c r="R534" t="s">
        <v>164</v>
      </c>
    </row>
    <row r="535" spans="8:18" x14ac:dyDescent="0.25">
      <c r="H535" t="s">
        <v>142</v>
      </c>
      <c r="J535" t="s">
        <v>145</v>
      </c>
      <c r="K535" t="s">
        <v>148</v>
      </c>
      <c r="M535" t="s">
        <v>129</v>
      </c>
      <c r="N535" t="s">
        <v>157</v>
      </c>
      <c r="O535">
        <v>29</v>
      </c>
      <c r="P535" t="s">
        <v>130</v>
      </c>
      <c r="R535" t="s">
        <v>164</v>
      </c>
    </row>
    <row r="536" spans="8:18" x14ac:dyDescent="0.25">
      <c r="H536" t="s">
        <v>142</v>
      </c>
      <c r="J536" t="s">
        <v>145</v>
      </c>
      <c r="K536" t="s">
        <v>149</v>
      </c>
      <c r="M536" t="s">
        <v>129</v>
      </c>
      <c r="N536" t="s">
        <v>157</v>
      </c>
      <c r="O536">
        <v>35</v>
      </c>
      <c r="P536" t="s">
        <v>130</v>
      </c>
      <c r="R536" t="s">
        <v>164</v>
      </c>
    </row>
    <row r="537" spans="8:18" x14ac:dyDescent="0.25">
      <c r="H537" t="s">
        <v>142</v>
      </c>
      <c r="J537" t="s">
        <v>145</v>
      </c>
      <c r="K537" t="s">
        <v>150</v>
      </c>
      <c r="M537" t="s">
        <v>129</v>
      </c>
      <c r="N537" t="s">
        <v>157</v>
      </c>
      <c r="O537">
        <v>48</v>
      </c>
      <c r="P537" t="s">
        <v>130</v>
      </c>
      <c r="R537" t="s">
        <v>164</v>
      </c>
    </row>
    <row r="538" spans="8:18" x14ac:dyDescent="0.25">
      <c r="H538" t="s">
        <v>142</v>
      </c>
      <c r="J538" t="s">
        <v>145</v>
      </c>
      <c r="K538" t="s">
        <v>197</v>
      </c>
      <c r="M538" t="s">
        <v>129</v>
      </c>
      <c r="N538" t="s">
        <v>157</v>
      </c>
      <c r="O538">
        <v>29</v>
      </c>
      <c r="P538" t="s">
        <v>130</v>
      </c>
      <c r="R538" t="s">
        <v>164</v>
      </c>
    </row>
    <row r="539" spans="8:18" x14ac:dyDescent="0.25">
      <c r="H539" t="s">
        <v>142</v>
      </c>
      <c r="K539" t="s">
        <v>148</v>
      </c>
      <c r="M539" t="s">
        <v>129</v>
      </c>
      <c r="N539" t="s">
        <v>157</v>
      </c>
      <c r="O539">
        <v>29</v>
      </c>
      <c r="P539" t="s">
        <v>130</v>
      </c>
      <c r="Q539" t="s">
        <v>152</v>
      </c>
      <c r="R539" t="s">
        <v>164</v>
      </c>
    </row>
    <row r="540" spans="8:18" x14ac:dyDescent="0.25">
      <c r="H540" t="s">
        <v>142</v>
      </c>
      <c r="K540" t="s">
        <v>149</v>
      </c>
      <c r="M540" t="s">
        <v>129</v>
      </c>
      <c r="N540" t="s">
        <v>157</v>
      </c>
      <c r="O540">
        <v>35</v>
      </c>
      <c r="P540" t="s">
        <v>130</v>
      </c>
      <c r="Q540" t="s">
        <v>152</v>
      </c>
      <c r="R540" t="s">
        <v>164</v>
      </c>
    </row>
    <row r="541" spans="8:18" x14ac:dyDescent="0.25">
      <c r="H541" t="s">
        <v>142</v>
      </c>
      <c r="K541" t="s">
        <v>150</v>
      </c>
      <c r="M541" t="s">
        <v>129</v>
      </c>
      <c r="N541" t="s">
        <v>157</v>
      </c>
      <c r="O541">
        <v>44</v>
      </c>
      <c r="P541" t="s">
        <v>130</v>
      </c>
      <c r="Q541" t="s">
        <v>152</v>
      </c>
      <c r="R541" t="s">
        <v>164</v>
      </c>
    </row>
    <row r="542" spans="8:18" x14ac:dyDescent="0.25">
      <c r="H542" t="s">
        <v>142</v>
      </c>
      <c r="K542" t="s">
        <v>197</v>
      </c>
      <c r="M542" t="s">
        <v>129</v>
      </c>
      <c r="N542" t="s">
        <v>157</v>
      </c>
      <c r="O542">
        <v>29</v>
      </c>
      <c r="P542" t="s">
        <v>130</v>
      </c>
      <c r="Q542" t="s">
        <v>152</v>
      </c>
      <c r="R542" t="s">
        <v>164</v>
      </c>
    </row>
    <row r="543" spans="8:18" x14ac:dyDescent="0.25">
      <c r="H543" t="s">
        <v>147</v>
      </c>
      <c r="K543" t="s">
        <v>148</v>
      </c>
      <c r="M543" t="s">
        <v>129</v>
      </c>
      <c r="N543" t="s">
        <v>157</v>
      </c>
      <c r="O543">
        <v>29</v>
      </c>
      <c r="P543" t="s">
        <v>130</v>
      </c>
      <c r="R543" t="s">
        <v>164</v>
      </c>
    </row>
    <row r="544" spans="8:18" x14ac:dyDescent="0.25">
      <c r="H544" t="s">
        <v>147</v>
      </c>
      <c r="K544" t="s">
        <v>149</v>
      </c>
      <c r="M544" t="s">
        <v>129</v>
      </c>
      <c r="N544" t="s">
        <v>157</v>
      </c>
      <c r="O544">
        <v>40</v>
      </c>
      <c r="P544" t="s">
        <v>130</v>
      </c>
      <c r="R544" t="s">
        <v>164</v>
      </c>
    </row>
    <row r="545" spans="1:18" x14ac:dyDescent="0.25">
      <c r="H545" t="s">
        <v>147</v>
      </c>
      <c r="K545" t="s">
        <v>150</v>
      </c>
      <c r="M545" t="s">
        <v>129</v>
      </c>
      <c r="N545" t="s">
        <v>157</v>
      </c>
      <c r="O545">
        <v>56</v>
      </c>
      <c r="P545" t="s">
        <v>130</v>
      </c>
      <c r="R545" t="s">
        <v>164</v>
      </c>
    </row>
    <row r="546" spans="1:18" x14ac:dyDescent="0.25">
      <c r="H546" t="s">
        <v>147</v>
      </c>
      <c r="J546" t="s">
        <v>200</v>
      </c>
      <c r="K546" t="s">
        <v>148</v>
      </c>
      <c r="M546" t="s">
        <v>129</v>
      </c>
      <c r="N546" t="s">
        <v>157</v>
      </c>
      <c r="O546">
        <v>30</v>
      </c>
      <c r="P546" t="s">
        <v>130</v>
      </c>
      <c r="R546" t="s">
        <v>164</v>
      </c>
    </row>
    <row r="547" spans="1:18" x14ac:dyDescent="0.25">
      <c r="H547" t="s">
        <v>147</v>
      </c>
      <c r="J547" t="s">
        <v>200</v>
      </c>
      <c r="K547" t="s">
        <v>149</v>
      </c>
      <c r="M547" t="s">
        <v>129</v>
      </c>
      <c r="N547" t="s">
        <v>157</v>
      </c>
      <c r="O547">
        <v>41</v>
      </c>
      <c r="P547" t="s">
        <v>130</v>
      </c>
      <c r="R547" t="s">
        <v>164</v>
      </c>
    </row>
    <row r="548" spans="1:18" x14ac:dyDescent="0.25">
      <c r="H548" t="s">
        <v>147</v>
      </c>
      <c r="J548" t="s">
        <v>200</v>
      </c>
      <c r="K548" t="s">
        <v>150</v>
      </c>
      <c r="M548" t="s">
        <v>129</v>
      </c>
      <c r="N548" t="s">
        <v>157</v>
      </c>
      <c r="O548">
        <v>56</v>
      </c>
      <c r="P548" t="s">
        <v>130</v>
      </c>
      <c r="R548" t="s">
        <v>164</v>
      </c>
    </row>
    <row r="549" spans="1:18" x14ac:dyDescent="0.25">
      <c r="H549" t="s">
        <v>147</v>
      </c>
      <c r="J549" t="s">
        <v>201</v>
      </c>
      <c r="K549" t="s">
        <v>149</v>
      </c>
      <c r="M549" t="s">
        <v>129</v>
      </c>
      <c r="N549" t="s">
        <v>157</v>
      </c>
      <c r="O549">
        <v>41</v>
      </c>
      <c r="P549" t="s">
        <v>130</v>
      </c>
      <c r="R549" t="s">
        <v>164</v>
      </c>
    </row>
    <row r="550" spans="1:18" x14ac:dyDescent="0.25">
      <c r="H550" t="s">
        <v>147</v>
      </c>
      <c r="J550" t="s">
        <v>201</v>
      </c>
      <c r="K550" t="s">
        <v>150</v>
      </c>
      <c r="M550" t="s">
        <v>129</v>
      </c>
      <c r="N550" t="s">
        <v>157</v>
      </c>
      <c r="O550">
        <v>41</v>
      </c>
      <c r="P550" t="s">
        <v>130</v>
      </c>
      <c r="R550" t="s">
        <v>164</v>
      </c>
    </row>
    <row r="552" spans="1:18" x14ac:dyDescent="0.25">
      <c r="A552" s="2" t="s">
        <v>175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4" spans="1:18" x14ac:dyDescent="0.25">
      <c r="M554" t="s">
        <v>165</v>
      </c>
      <c r="N554" t="s">
        <v>176</v>
      </c>
      <c r="O554">
        <v>1</v>
      </c>
      <c r="P554" t="s">
        <v>125</v>
      </c>
      <c r="Q554" t="s">
        <v>172</v>
      </c>
      <c r="R554" t="s">
        <v>168</v>
      </c>
    </row>
    <row r="555" spans="1:18" x14ac:dyDescent="0.25">
      <c r="M555" t="s">
        <v>165</v>
      </c>
      <c r="N555" t="s">
        <v>178</v>
      </c>
      <c r="O555">
        <v>1</v>
      </c>
      <c r="P555" t="s">
        <v>125</v>
      </c>
      <c r="Q555" t="s">
        <v>173</v>
      </c>
      <c r="R555" t="s">
        <v>168</v>
      </c>
    </row>
    <row r="556" spans="1:18" x14ac:dyDescent="0.25">
      <c r="H556" t="s">
        <v>136</v>
      </c>
      <c r="K556" t="s">
        <v>166</v>
      </c>
      <c r="M556" t="s">
        <v>165</v>
      </c>
      <c r="N556" t="s">
        <v>178</v>
      </c>
      <c r="O556">
        <v>2</v>
      </c>
      <c r="P556" t="s">
        <v>125</v>
      </c>
      <c r="Q556" t="s">
        <v>169</v>
      </c>
      <c r="R556" t="s">
        <v>167</v>
      </c>
    </row>
    <row r="557" spans="1:18" x14ac:dyDescent="0.25">
      <c r="K557" t="s">
        <v>166</v>
      </c>
      <c r="M557" t="s">
        <v>165</v>
      </c>
      <c r="N557" t="s">
        <v>178</v>
      </c>
      <c r="O557">
        <v>1</v>
      </c>
      <c r="P557" t="s">
        <v>125</v>
      </c>
      <c r="Q557" t="s">
        <v>170</v>
      </c>
      <c r="R557" t="s">
        <v>167</v>
      </c>
    </row>
    <row r="558" spans="1:18" x14ac:dyDescent="0.25">
      <c r="M558" t="s">
        <v>165</v>
      </c>
      <c r="N558" t="s">
        <v>177</v>
      </c>
      <c r="O558">
        <v>1</v>
      </c>
      <c r="P558" t="s">
        <v>125</v>
      </c>
      <c r="Q558" t="s">
        <v>180</v>
      </c>
      <c r="R558" t="s">
        <v>168</v>
      </c>
    </row>
    <row r="559" spans="1:18" x14ac:dyDescent="0.25">
      <c r="M559" t="s">
        <v>165</v>
      </c>
      <c r="N559" t="s">
        <v>179</v>
      </c>
      <c r="O559">
        <v>1</v>
      </c>
      <c r="P559" t="s">
        <v>125</v>
      </c>
      <c r="Q559" t="s">
        <v>171</v>
      </c>
      <c r="R559" t="s">
        <v>168</v>
      </c>
    </row>
    <row r="561" spans="1:18" x14ac:dyDescent="0.25">
      <c r="M561" t="s">
        <v>165</v>
      </c>
      <c r="N561" t="s">
        <v>183</v>
      </c>
      <c r="O561">
        <v>13</v>
      </c>
      <c r="P561" t="s">
        <v>184</v>
      </c>
    </row>
    <row r="563" spans="1:18" x14ac:dyDescent="0.25">
      <c r="A563" s="2" t="s">
        <v>186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5" spans="1:18" x14ac:dyDescent="0.25">
      <c r="C565" t="s">
        <v>192</v>
      </c>
      <c r="M565" t="s">
        <v>190</v>
      </c>
      <c r="N565" t="s">
        <v>187</v>
      </c>
      <c r="O565">
        <v>0.24</v>
      </c>
      <c r="P565" t="s">
        <v>189</v>
      </c>
      <c r="R565" t="s">
        <v>188</v>
      </c>
    </row>
    <row r="566" spans="1:18" x14ac:dyDescent="0.25">
      <c r="C566" t="s">
        <v>193</v>
      </c>
      <c r="M566" t="s">
        <v>190</v>
      </c>
      <c r="N566" t="s">
        <v>187</v>
      </c>
      <c r="O566">
        <v>0.24</v>
      </c>
      <c r="P566" t="s">
        <v>189</v>
      </c>
      <c r="R566" t="s">
        <v>188</v>
      </c>
    </row>
    <row r="567" spans="1:18" x14ac:dyDescent="0.25">
      <c r="C567" t="s">
        <v>194</v>
      </c>
      <c r="M567" t="s">
        <v>190</v>
      </c>
      <c r="N567" t="s">
        <v>187</v>
      </c>
      <c r="O567">
        <v>0</v>
      </c>
      <c r="P567" t="s">
        <v>189</v>
      </c>
      <c r="Q567" t="s">
        <v>195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2023-12-01T11:12:51Z</dcterms:modified>
</cp:coreProperties>
</file>