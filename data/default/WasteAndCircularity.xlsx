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jnka0003\Git repos\CIBUSmod\data\default\"/>
    </mc:Choice>
  </mc:AlternateContent>
  <bookViews>
    <workbookView xWindow="0" yWindow="0" windowWidth="22260" windowHeight="12645"/>
  </bookViews>
  <sheets>
    <sheet name="default" sheetId="1" r:id="rId1"/>
    <sheet name="references" sheetId="2" r:id="rId2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5" i="1" l="1"/>
  <c r="K164" i="1"/>
  <c r="K162" i="1"/>
  <c r="K163" i="1"/>
  <c r="K160" i="1"/>
  <c r="K161" i="1"/>
  <c r="K159" i="1"/>
  <c r="K158" i="1"/>
  <c r="K153" i="1" l="1"/>
  <c r="K152" i="1"/>
  <c r="K151" i="1"/>
  <c r="K150" i="1"/>
  <c r="K147" i="1"/>
  <c r="K146" i="1"/>
  <c r="K143" i="1" l="1"/>
  <c r="K115" i="1" l="1"/>
  <c r="K75" i="1"/>
  <c r="K76" i="1"/>
  <c r="K77" i="1"/>
  <c r="K69" i="1"/>
  <c r="K68" i="1"/>
  <c r="K70" i="1"/>
  <c r="K63" i="1"/>
  <c r="K62" i="1"/>
  <c r="K61" i="1"/>
  <c r="K80" i="1"/>
  <c r="K81" i="1"/>
  <c r="K79" i="1"/>
  <c r="K126" i="1" l="1"/>
  <c r="K97" i="1" l="1"/>
  <c r="K121" i="1"/>
  <c r="K120" i="1"/>
  <c r="K119" i="1"/>
  <c r="K128" i="1" l="1"/>
  <c r="K91" i="1" l="1"/>
  <c r="K90" i="1"/>
  <c r="K89" i="1"/>
  <c r="K49" i="1"/>
  <c r="K48" i="1"/>
  <c r="K47" i="1"/>
  <c r="K42" i="1"/>
  <c r="K41" i="1"/>
  <c r="K40" i="1"/>
  <c r="K53" i="1"/>
  <c r="K54" i="1" l="1"/>
  <c r="K82" i="1"/>
  <c r="K55" i="1"/>
  <c r="K83" i="1"/>
  <c r="K56" i="1"/>
  <c r="K84" i="1"/>
  <c r="K111" i="1"/>
  <c r="K51" i="1" l="1"/>
  <c r="K52" i="1"/>
</calcChain>
</file>

<file path=xl/sharedStrings.xml><?xml version="1.0" encoding="utf-8"?>
<sst xmlns="http://schemas.openxmlformats.org/spreadsheetml/2006/main" count="548" uniqueCount="156">
  <si>
    <t>parameter</t>
  </si>
  <si>
    <t>value</t>
  </si>
  <si>
    <t>unit</t>
  </si>
  <si>
    <t>description</t>
  </si>
  <si>
    <t>source</t>
  </si>
  <si>
    <t>treatment_share</t>
  </si>
  <si>
    <t>%</t>
  </si>
  <si>
    <t>fallback</t>
  </si>
  <si>
    <t>anaerobic digestion</t>
  </si>
  <si>
    <t>composting</t>
  </si>
  <si>
    <t>incineration</t>
  </si>
  <si>
    <t>landfill</t>
  </si>
  <si>
    <t>WASTE TREATMENT SHARES</t>
  </si>
  <si>
    <t>Livsmedelsavfall i Sverige 2022</t>
  </si>
  <si>
    <t>&gt;40% rötning &lt;50% rötning+kompostering</t>
  </si>
  <si>
    <t>Ley, biogas feedstock</t>
  </si>
  <si>
    <t>Non-waste feedstocks</t>
  </si>
  <si>
    <t>WASTE COMPOSITION</t>
  </si>
  <si>
    <t>kg C/kg VS</t>
  </si>
  <si>
    <t>kg DM/kg</t>
  </si>
  <si>
    <t>kg VS/kg DM</t>
  </si>
  <si>
    <t>kg N/kg DM</t>
  </si>
  <si>
    <t>kg P/kg DM</t>
  </si>
  <si>
    <t>kg K/kg DM</t>
  </si>
  <si>
    <t>ANAEROBIC DIGESTION</t>
  </si>
  <si>
    <t>biogas_CH4_frac</t>
  </si>
  <si>
    <t>Källsorterat matavfall - hushåll</t>
  </si>
  <si>
    <t>Assumed same as retail</t>
  </si>
  <si>
    <t>Avfall Sverige. (2009). Substrathandbok för biogasproduktion. RAPPORT U2009:14. BILAGA 1 – SUBSTRATLISTA</t>
  </si>
  <si>
    <t>Nm3 CH4/kg VS</t>
  </si>
  <si>
    <t>biogas_CH4_yield</t>
  </si>
  <si>
    <t>manure</t>
  </si>
  <si>
    <t>f_MMS</t>
  </si>
  <si>
    <t>Avfall Sverige (2009)</t>
  </si>
  <si>
    <t>biogas_flare_frac</t>
  </si>
  <si>
    <t>biogas_flare_slip</t>
  </si>
  <si>
    <t>biogas_CH4_slip</t>
  </si>
  <si>
    <t>% of CH4 prod</t>
  </si>
  <si>
    <t>% of CH4 to flare</t>
  </si>
  <si>
    <t>kWh/Nm3 CH4</t>
  </si>
  <si>
    <t>Samrötningsanläggningar med förbehandling av matavfall</t>
  </si>
  <si>
    <t>HBK Biogasredovisning, ver 4.2</t>
  </si>
  <si>
    <t>HBK Biogasredovisning, ver 4.2. https://www.energigas.se/publikationer/hallbarhetskriterier-for-biodrivmedel-och-biobranslen/excel-verktyg-for-hbk-redovisning-och-berakning-av-vaxthusgasutslapp-for-biogas-och-biogasol/</t>
  </si>
  <si>
    <t>crop feedstock</t>
  </si>
  <si>
    <t>Lindfors &amp; Feiz (2023)</t>
  </si>
  <si>
    <t>Lindfors, A. &amp; Feiz, R. (2023). The current Nordic biogas and biofertilizer potential: An inventory of established feedstock and current technology. Biogas Solutions Research Center, Linköping University. https://doi.org/10.3384/9789180752558</t>
  </si>
  <si>
    <t>Share of B0 yielded as biogas</t>
  </si>
  <si>
    <t>see FeedMgmt</t>
  </si>
  <si>
    <t>Note: This report states that N, P and K contents are given as "kg/ton DM" but should be "kg/ton wet weight" according to pers. comm. with Lindfors</t>
  </si>
  <si>
    <t>digestate_B0</t>
  </si>
  <si>
    <t>digestate_TAN_share</t>
  </si>
  <si>
    <t>% of total N</t>
  </si>
  <si>
    <t>Nilsson, J., Ernfors, M., Prade, T., &amp; Hansson, P. A. (2024). Cover crop cultivation strategies in a Scandinavian context for climate change mitigation and biogas production–Insights from a life cycle perspective. Science of The Total Environment, 170629.</t>
  </si>
  <si>
    <t>Nilsson et al (2024)</t>
  </si>
  <si>
    <t>vol. %</t>
  </si>
  <si>
    <t>GENERAL</t>
  </si>
  <si>
    <t>CH4_density</t>
  </si>
  <si>
    <t>kg/Nm3</t>
  </si>
  <si>
    <t>CO2_density</t>
  </si>
  <si>
    <t>digestate_MCF</t>
  </si>
  <si>
    <t>% of B0</t>
  </si>
  <si>
    <t>Same for "Nötflytgödsel" and "Svinflytgödsel"</t>
  </si>
  <si>
    <t>"Vall"</t>
  </si>
  <si>
    <t>f_element</t>
  </si>
  <si>
    <t>f_compound</t>
  </si>
  <si>
    <t>N</t>
  </si>
  <si>
    <t>digestate_loss_storage</t>
  </si>
  <si>
    <t>NH3-N</t>
  </si>
  <si>
    <t>NOx-N</t>
  </si>
  <si>
    <t>N2O-N</t>
  </si>
  <si>
    <t>N2</t>
  </si>
  <si>
    <t>% of TAN</t>
  </si>
  <si>
    <t>P</t>
  </si>
  <si>
    <t>K</t>
  </si>
  <si>
    <t>% of P</t>
  </si>
  <si>
    <t>% of K</t>
  </si>
  <si>
    <t>Biogas stat. Tabell 6</t>
  </si>
  <si>
    <t>f_energy_source</t>
  </si>
  <si>
    <t>Electricity</t>
  </si>
  <si>
    <t>District heating</t>
  </si>
  <si>
    <t>biogas_energy_use</t>
  </si>
  <si>
    <t>biogas_use_share</t>
  </si>
  <si>
    <t>biogas_use_CH4_slip</t>
  </si>
  <si>
    <t>biogas_use_energy_use</t>
  </si>
  <si>
    <t>Biomethane</t>
  </si>
  <si>
    <t>Biogas yield</t>
  </si>
  <si>
    <t>Reactor energy use</t>
  </si>
  <si>
    <t>Use of produced biogas</t>
  </si>
  <si>
    <t>Biogas methane fractions</t>
  </si>
  <si>
    <t>Digestate characteristics and losses</t>
  </si>
  <si>
    <t>share of energy</t>
  </si>
  <si>
    <t>50 MJ/kg</t>
  </si>
  <si>
    <t>kWh/kg</t>
  </si>
  <si>
    <t>Fallback</t>
  </si>
  <si>
    <t>Use phase CH4 slip and energy use</t>
  </si>
  <si>
    <t>f_energy_prod</t>
  </si>
  <si>
    <t>CH4_specific_energy</t>
  </si>
  <si>
    <t>kWh/kWh</t>
  </si>
  <si>
    <t>kWh/kg CH4</t>
  </si>
  <si>
    <t>Recalculated from 0.9 MJ/Nm3 raw biogas assuming 60%(vol) CH4 in biogas and 0.718 kg/Nm3 CH4</t>
  </si>
  <si>
    <t>% of CH4</t>
  </si>
  <si>
    <t>f_feedstock_type</t>
  </si>
  <si>
    <t>animal carcasses</t>
  </si>
  <si>
    <t>slaughterhouse waste</t>
  </si>
  <si>
    <t>f_feedstock</t>
  </si>
  <si>
    <t>f_feedstock_group</t>
  </si>
  <si>
    <t>f_treatment</t>
  </si>
  <si>
    <t>feedstock_C</t>
  </si>
  <si>
    <t>feedstock_DM</t>
  </si>
  <si>
    <t>feedstock_VS</t>
  </si>
  <si>
    <t>feedstock_B0</t>
  </si>
  <si>
    <t>feedstock_N</t>
  </si>
  <si>
    <t>feedstock_P</t>
  </si>
  <si>
    <t>feedstock_K</t>
  </si>
  <si>
    <t>food waste, household</t>
  </si>
  <si>
    <t>food waste, retail</t>
  </si>
  <si>
    <t>food waste, processing</t>
  </si>
  <si>
    <t>Energigas Sverige (2023), Tabell 6</t>
  </si>
  <si>
    <t>Energigas Sverige (2023) Produktion av biogas och rötrester och dess användning år 2022</t>
  </si>
  <si>
    <t>NIR 2022, Table 5.18</t>
  </si>
  <si>
    <t>Swedish IIR 2023 Table 5-12</t>
  </si>
  <si>
    <t>Assumed same as anaerobically digested manure</t>
  </si>
  <si>
    <t>Slaughterhouse waste</t>
  </si>
  <si>
    <t>slaughterhouse by-products</t>
  </si>
  <si>
    <t>Dairy waste</t>
  </si>
  <si>
    <t>Brewaries spent grain</t>
  </si>
  <si>
    <t>cereal by-products</t>
  </si>
  <si>
    <t>dairy by-products</t>
  </si>
  <si>
    <t>by-product waste</t>
  </si>
  <si>
    <t>other by-products</t>
  </si>
  <si>
    <t>Food waste, grocery stores</t>
  </si>
  <si>
    <t>INCINERATION</t>
  </si>
  <si>
    <t>2.5 kWh/kg wet weight</t>
  </si>
  <si>
    <t>kWh/kg VS</t>
  </si>
  <si>
    <t>incineration_efficiency</t>
  </si>
  <si>
    <t>incineration_heating_value</t>
  </si>
  <si>
    <t>incineration_emissions</t>
  </si>
  <si>
    <t>kg/kWh</t>
  </si>
  <si>
    <t>N2O</t>
  </si>
  <si>
    <t>NOx</t>
  </si>
  <si>
    <t>NH3</t>
  </si>
  <si>
    <t>Miljöfaktaboken 2011, Tabell 17</t>
  </si>
  <si>
    <t>Miljöfaktaboken 2011, s. 43</t>
  </si>
  <si>
    <t>VS</t>
  </si>
  <si>
    <t>CH4bio</t>
  </si>
  <si>
    <t>LANDFILL</t>
  </si>
  <si>
    <t>kg/kg VS</t>
  </si>
  <si>
    <t>landfill_emissions</t>
  </si>
  <si>
    <t>NO3</t>
  </si>
  <si>
    <t>PO4</t>
  </si>
  <si>
    <t>Ecoinvent. treatment of municipal solid waste, sanitary landfill (SE).https://ecoquery.ecoinvent.org/3.11/cutoff/dataset/92891/documentation</t>
  </si>
  <si>
    <t>Emissions from ecoinvent</t>
  </si>
  <si>
    <t>landfill of municipal solid waste</t>
  </si>
  <si>
    <t>assuming 0.43 kg VS/kg</t>
  </si>
  <si>
    <t>0.54 kgDM/kg (ecoinvent) * 0.8 kgVS/kgDM</t>
  </si>
  <si>
    <t>NH4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</si>
</sst>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8" formatCode="0.000000"/>
    <numFmt numFmtId="170" formatCode="0.000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u/>
      <sz val="11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3" fillId="0" borderId="0" xfId="0" applyFont="1" applyFill="1"/>
    <xf numFmtId="0" fontId="6" fillId="0" borderId="0" xfId="0" applyFont="1"/>
    <xf numFmtId="0" fontId="1" fillId="0" borderId="0" xfId="0" applyFont="1"/>
    <xf numFmtId="164" fontId="0" fillId="0" borderId="0" xfId="0" applyNumberFormat="1"/>
    <xf numFmtId="164" fontId="6" fillId="0" borderId="0" xfId="0" applyNumberFormat="1" applyFont="1"/>
    <xf numFmtId="2" fontId="5" fillId="0" borderId="0" xfId="0" applyNumberFormat="1" applyFont="1"/>
    <xf numFmtId="164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0" fontId="3" fillId="0" borderId="0" xfId="0" applyFont="1"/>
    <xf numFmtId="0" fontId="7" fillId="0" borderId="0" xfId="0" applyFont="1"/>
    <xf numFmtId="2" fontId="6" fillId="0" borderId="0" xfId="0" applyNumberFormat="1" applyFont="1"/>
    <xf numFmtId="2" fontId="0" fillId="0" borderId="0" xfId="0" applyNumberFormat="1"/>
    <xf numFmtId="0" fontId="3" fillId="3" borderId="0" xfId="0" applyFont="1" applyFill="1"/>
    <xf numFmtId="0" fontId="3" fillId="4" borderId="0" xfId="0" applyFont="1" applyFill="1"/>
    <xf numFmtId="165" fontId="1" fillId="0" borderId="0" xfId="0" applyNumberFormat="1" applyFont="1"/>
    <xf numFmtId="11" fontId="1" fillId="0" borderId="0" xfId="0" applyNumberFormat="1" applyFont="1"/>
    <xf numFmtId="0" fontId="3" fillId="5" borderId="0" xfId="0" applyFont="1" applyFill="1"/>
    <xf numFmtId="0" fontId="0" fillId="5" borderId="0" xfId="0" applyFill="1"/>
    <xf numFmtId="168" fontId="0" fillId="0" borderId="0" xfId="0" applyNumberFormat="1"/>
    <xf numFmtId="17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165"/>
  <sheetViews>
    <sheetView tabSelected="1" topLeftCell="B1" zoomScale="80" zoomScaleNormal="80" workbookViewId="0">
      <pane ySplit="1" topLeftCell="A133" activePane="bottomLeft" state="frozen"/>
      <selection pane="bottomLeft" activeCell="N165" sqref="N165"/>
    </sheetView>
  </sheetViews>
  <sheetFormatPr defaultRowHeight="15" x14ac:dyDescent="0.25"/>
  <cols>
    <col min="1" max="1" width="15.42578125" customWidth="1"/>
    <col min="2" max="2" width="17.85546875" bestFit="1" customWidth="1"/>
    <col min="3" max="3" width="22" bestFit="1" customWidth="1"/>
    <col min="4" max="4" width="14" customWidth="1"/>
    <col min="5" max="5" width="21.28515625" bestFit="1" customWidth="1"/>
    <col min="6" max="9" width="21.28515625" customWidth="1"/>
    <col min="10" max="10" width="25.7109375" customWidth="1"/>
    <col min="11" max="11" width="13" bestFit="1" customWidth="1"/>
    <col min="12" max="12" width="16.7109375" bestFit="1" customWidth="1"/>
    <col min="13" max="13" width="32.42578125" customWidth="1"/>
    <col min="14" max="14" width="20.7109375" customWidth="1"/>
  </cols>
  <sheetData>
    <row r="1" spans="1:14" x14ac:dyDescent="0.25">
      <c r="A1" s="1" t="s">
        <v>104</v>
      </c>
      <c r="B1" s="1" t="s">
        <v>105</v>
      </c>
      <c r="C1" s="1" t="s">
        <v>101</v>
      </c>
      <c r="D1" s="1" t="s">
        <v>32</v>
      </c>
      <c r="E1" s="1" t="s">
        <v>106</v>
      </c>
      <c r="F1" s="1" t="s">
        <v>63</v>
      </c>
      <c r="G1" s="1" t="s">
        <v>64</v>
      </c>
      <c r="H1" s="1" t="s">
        <v>95</v>
      </c>
      <c r="I1" s="1" t="s">
        <v>77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3" spans="1:14" x14ac:dyDescent="0.25">
      <c r="A3" s="2" t="s">
        <v>12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spans="1:14" x14ac:dyDescent="0.25">
      <c r="J5" s="3" t="s">
        <v>5</v>
      </c>
      <c r="K5" s="3">
        <v>0</v>
      </c>
      <c r="L5" s="3" t="s">
        <v>6</v>
      </c>
      <c r="M5" s="3" t="s">
        <v>7</v>
      </c>
    </row>
    <row r="7" spans="1:14" x14ac:dyDescent="0.25">
      <c r="C7" t="s">
        <v>114</v>
      </c>
      <c r="E7" t="s">
        <v>8</v>
      </c>
      <c r="J7" t="s">
        <v>5</v>
      </c>
      <c r="K7">
        <v>40</v>
      </c>
      <c r="L7" t="s">
        <v>6</v>
      </c>
      <c r="M7" t="s">
        <v>14</v>
      </c>
      <c r="N7" t="s">
        <v>13</v>
      </c>
    </row>
    <row r="8" spans="1:14" x14ac:dyDescent="0.25">
      <c r="C8" t="s">
        <v>114</v>
      </c>
      <c r="E8" t="s">
        <v>9</v>
      </c>
      <c r="J8" t="s">
        <v>5</v>
      </c>
      <c r="K8">
        <v>5</v>
      </c>
      <c r="L8" t="s">
        <v>6</v>
      </c>
    </row>
    <row r="9" spans="1:14" x14ac:dyDescent="0.25">
      <c r="C9" t="s">
        <v>114</v>
      </c>
      <c r="E9" t="s">
        <v>10</v>
      </c>
      <c r="J9" t="s">
        <v>5</v>
      </c>
      <c r="K9">
        <v>50</v>
      </c>
      <c r="L9" t="s">
        <v>6</v>
      </c>
    </row>
    <row r="10" spans="1:14" x14ac:dyDescent="0.25">
      <c r="C10" t="s">
        <v>114</v>
      </c>
      <c r="E10" t="s">
        <v>11</v>
      </c>
      <c r="J10" t="s">
        <v>5</v>
      </c>
      <c r="K10">
        <v>5</v>
      </c>
      <c r="L10" t="s">
        <v>6</v>
      </c>
    </row>
    <row r="12" spans="1:14" x14ac:dyDescent="0.25">
      <c r="C12" t="s">
        <v>115</v>
      </c>
      <c r="E12" t="s">
        <v>8</v>
      </c>
      <c r="J12" t="s">
        <v>5</v>
      </c>
      <c r="K12">
        <v>40</v>
      </c>
      <c r="L12" t="s">
        <v>6</v>
      </c>
      <c r="M12" t="s">
        <v>14</v>
      </c>
      <c r="N12" t="s">
        <v>13</v>
      </c>
    </row>
    <row r="13" spans="1:14" x14ac:dyDescent="0.25">
      <c r="C13" t="s">
        <v>115</v>
      </c>
      <c r="E13" t="s">
        <v>9</v>
      </c>
      <c r="J13" t="s">
        <v>5</v>
      </c>
      <c r="K13">
        <v>5</v>
      </c>
      <c r="L13" t="s">
        <v>6</v>
      </c>
    </row>
    <row r="14" spans="1:14" x14ac:dyDescent="0.25">
      <c r="C14" t="s">
        <v>115</v>
      </c>
      <c r="E14" t="s">
        <v>10</v>
      </c>
      <c r="J14" t="s">
        <v>5</v>
      </c>
      <c r="K14">
        <v>50</v>
      </c>
      <c r="L14" t="s">
        <v>6</v>
      </c>
    </row>
    <row r="15" spans="1:14" x14ac:dyDescent="0.25">
      <c r="C15" t="s">
        <v>115</v>
      </c>
      <c r="E15" t="s">
        <v>11</v>
      </c>
      <c r="J15" t="s">
        <v>5</v>
      </c>
      <c r="K15">
        <v>5</v>
      </c>
      <c r="L15" t="s">
        <v>6</v>
      </c>
    </row>
    <row r="17" spans="1:14" x14ac:dyDescent="0.25">
      <c r="C17" t="s">
        <v>116</v>
      </c>
      <c r="E17" t="s">
        <v>8</v>
      </c>
      <c r="J17" t="s">
        <v>5</v>
      </c>
      <c r="K17">
        <v>40</v>
      </c>
      <c r="L17" t="s">
        <v>6</v>
      </c>
      <c r="M17" t="s">
        <v>14</v>
      </c>
      <c r="N17" t="s">
        <v>13</v>
      </c>
    </row>
    <row r="18" spans="1:14" x14ac:dyDescent="0.25">
      <c r="C18" t="s">
        <v>116</v>
      </c>
      <c r="E18" t="s">
        <v>9</v>
      </c>
      <c r="J18" t="s">
        <v>5</v>
      </c>
      <c r="K18">
        <v>5</v>
      </c>
      <c r="L18" t="s">
        <v>6</v>
      </c>
    </row>
    <row r="19" spans="1:14" x14ac:dyDescent="0.25">
      <c r="C19" t="s">
        <v>116</v>
      </c>
      <c r="E19" t="s">
        <v>10</v>
      </c>
      <c r="J19" t="s">
        <v>5</v>
      </c>
      <c r="K19">
        <v>50</v>
      </c>
      <c r="L19" t="s">
        <v>6</v>
      </c>
    </row>
    <row r="20" spans="1:14" x14ac:dyDescent="0.25">
      <c r="C20" t="s">
        <v>116</v>
      </c>
      <c r="E20" t="s">
        <v>11</v>
      </c>
      <c r="J20" t="s">
        <v>5</v>
      </c>
      <c r="K20">
        <v>5</v>
      </c>
      <c r="L20" t="s">
        <v>6</v>
      </c>
    </row>
    <row r="22" spans="1:14" x14ac:dyDescent="0.25">
      <c r="C22" s="7" t="s">
        <v>102</v>
      </c>
      <c r="D22" s="7"/>
      <c r="E22" s="7" t="s">
        <v>8</v>
      </c>
      <c r="F22" s="7"/>
      <c r="G22" s="7"/>
      <c r="H22" s="7"/>
      <c r="I22" s="7"/>
      <c r="J22" s="7" t="s">
        <v>5</v>
      </c>
      <c r="K22" s="7">
        <v>100</v>
      </c>
      <c r="L22" s="7" t="s">
        <v>6</v>
      </c>
    </row>
    <row r="23" spans="1:14" x14ac:dyDescent="0.25">
      <c r="C23" s="7" t="s">
        <v>103</v>
      </c>
      <c r="D23" s="7"/>
      <c r="E23" s="7" t="s">
        <v>8</v>
      </c>
      <c r="F23" s="7"/>
      <c r="G23" s="7"/>
      <c r="H23" s="7"/>
      <c r="I23" s="7"/>
      <c r="J23" s="7" t="s">
        <v>5</v>
      </c>
      <c r="K23" s="7">
        <v>100</v>
      </c>
      <c r="L23" s="7" t="s">
        <v>6</v>
      </c>
    </row>
    <row r="25" spans="1:14" x14ac:dyDescent="0.25">
      <c r="C25" t="s">
        <v>31</v>
      </c>
      <c r="E25" t="s">
        <v>8</v>
      </c>
      <c r="J25" t="s">
        <v>5</v>
      </c>
      <c r="K25">
        <v>100</v>
      </c>
      <c r="L25" t="s">
        <v>6</v>
      </c>
    </row>
    <row r="27" spans="1:14" x14ac:dyDescent="0.25">
      <c r="C27" t="s">
        <v>128</v>
      </c>
      <c r="E27" t="s">
        <v>8</v>
      </c>
      <c r="J27" t="s">
        <v>5</v>
      </c>
      <c r="K27">
        <v>100</v>
      </c>
      <c r="L27" t="s">
        <v>6</v>
      </c>
    </row>
    <row r="29" spans="1:14" x14ac:dyDescent="0.25">
      <c r="A29" s="5" t="s">
        <v>16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1" spans="1:14" x14ac:dyDescent="0.25">
      <c r="A31" s="4" t="s">
        <v>15</v>
      </c>
      <c r="B31" s="4"/>
      <c r="C31" t="s">
        <v>43</v>
      </c>
      <c r="E31" t="s">
        <v>8</v>
      </c>
      <c r="J31" t="s">
        <v>5</v>
      </c>
      <c r="K31">
        <v>100</v>
      </c>
      <c r="L31" t="s">
        <v>6</v>
      </c>
    </row>
    <row r="33" spans="1:15" x14ac:dyDescent="0.25">
      <c r="A33" s="2" t="s">
        <v>17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5" spans="1:15" x14ac:dyDescent="0.25">
      <c r="J35" s="3" t="s">
        <v>107</v>
      </c>
      <c r="K35" s="3">
        <v>0.5</v>
      </c>
      <c r="L35" s="3" t="s">
        <v>18</v>
      </c>
      <c r="M35" s="3" t="s">
        <v>7</v>
      </c>
    </row>
    <row r="37" spans="1:15" x14ac:dyDescent="0.25">
      <c r="A37" s="4"/>
      <c r="B37" s="4"/>
      <c r="C37" t="s">
        <v>114</v>
      </c>
      <c r="J37" t="s">
        <v>108</v>
      </c>
      <c r="K37">
        <v>0.33</v>
      </c>
      <c r="L37" t="s">
        <v>19</v>
      </c>
      <c r="M37" t="s">
        <v>26</v>
      </c>
      <c r="N37" t="s">
        <v>33</v>
      </c>
    </row>
    <row r="38" spans="1:15" x14ac:dyDescent="0.25">
      <c r="A38" s="4"/>
      <c r="B38" s="4"/>
      <c r="C38" t="s">
        <v>114</v>
      </c>
      <c r="J38" t="s">
        <v>109</v>
      </c>
      <c r="K38">
        <v>0.85</v>
      </c>
      <c r="L38" t="s">
        <v>20</v>
      </c>
      <c r="N38" t="s">
        <v>33</v>
      </c>
    </row>
    <row r="39" spans="1:15" x14ac:dyDescent="0.25">
      <c r="C39" t="s">
        <v>114</v>
      </c>
      <c r="J39" t="s">
        <v>110</v>
      </c>
      <c r="K39">
        <v>0.46100000000000002</v>
      </c>
      <c r="L39" t="s">
        <v>29</v>
      </c>
      <c r="N39" t="s">
        <v>33</v>
      </c>
    </row>
    <row r="40" spans="1:15" x14ac:dyDescent="0.25">
      <c r="A40" s="4"/>
      <c r="B40" s="4"/>
      <c r="C40" t="s">
        <v>114</v>
      </c>
      <c r="J40" t="s">
        <v>111</v>
      </c>
      <c r="K40" s="8">
        <f>8.3/1000/0.33</f>
        <v>2.515151515151515E-2</v>
      </c>
      <c r="L40" t="s">
        <v>21</v>
      </c>
      <c r="N40" t="s">
        <v>44</v>
      </c>
      <c r="O40" t="s">
        <v>48</v>
      </c>
    </row>
    <row r="41" spans="1:15" x14ac:dyDescent="0.25">
      <c r="A41" s="4"/>
      <c r="B41" s="4"/>
      <c r="C41" t="s">
        <v>114</v>
      </c>
      <c r="J41" t="s">
        <v>112</v>
      </c>
      <c r="K41" s="8">
        <f>1/1000/0.33</f>
        <v>3.0303030303030303E-3</v>
      </c>
      <c r="L41" t="s">
        <v>22</v>
      </c>
      <c r="N41" t="s">
        <v>44</v>
      </c>
    </row>
    <row r="42" spans="1:15" x14ac:dyDescent="0.25">
      <c r="A42" s="4"/>
      <c r="B42" s="4"/>
      <c r="C42" t="s">
        <v>114</v>
      </c>
      <c r="J42" t="s">
        <v>113</v>
      </c>
      <c r="K42" s="8">
        <f>2.6/1000/0.33</f>
        <v>7.8787878787878775E-3</v>
      </c>
      <c r="L42" t="s">
        <v>23</v>
      </c>
      <c r="N42" t="s">
        <v>44</v>
      </c>
    </row>
    <row r="44" spans="1:15" x14ac:dyDescent="0.25">
      <c r="A44" s="4"/>
      <c r="B44" s="4"/>
      <c r="C44" t="s">
        <v>115</v>
      </c>
      <c r="J44" t="s">
        <v>108</v>
      </c>
      <c r="K44">
        <v>0.15</v>
      </c>
      <c r="L44" t="s">
        <v>19</v>
      </c>
      <c r="M44" t="s">
        <v>130</v>
      </c>
      <c r="N44" t="s">
        <v>44</v>
      </c>
    </row>
    <row r="45" spans="1:15" x14ac:dyDescent="0.25">
      <c r="A45" s="4"/>
      <c r="B45" s="4"/>
      <c r="C45" t="s">
        <v>115</v>
      </c>
      <c r="J45" t="s">
        <v>109</v>
      </c>
      <c r="K45" s="10">
        <v>0.9</v>
      </c>
      <c r="L45" t="s">
        <v>20</v>
      </c>
      <c r="M45" s="7"/>
      <c r="N45" t="s">
        <v>44</v>
      </c>
    </row>
    <row r="46" spans="1:15" x14ac:dyDescent="0.25">
      <c r="C46" t="s">
        <v>115</v>
      </c>
      <c r="J46" t="s">
        <v>110</v>
      </c>
      <c r="K46" s="8">
        <v>0.55000000000000004</v>
      </c>
      <c r="L46" t="s">
        <v>29</v>
      </c>
      <c r="N46" t="s">
        <v>44</v>
      </c>
    </row>
    <row r="47" spans="1:15" x14ac:dyDescent="0.25">
      <c r="A47" s="4"/>
      <c r="B47" s="4"/>
      <c r="C47" t="s">
        <v>115</v>
      </c>
      <c r="J47" t="s">
        <v>111</v>
      </c>
      <c r="K47" s="8">
        <f>3.8/1000/0.15</f>
        <v>2.5333333333333333E-2</v>
      </c>
      <c r="L47" t="s">
        <v>21</v>
      </c>
      <c r="N47" t="s">
        <v>44</v>
      </c>
    </row>
    <row r="48" spans="1:15" x14ac:dyDescent="0.25">
      <c r="A48" s="4"/>
      <c r="B48" s="4"/>
      <c r="C48" t="s">
        <v>115</v>
      </c>
      <c r="J48" t="s">
        <v>112</v>
      </c>
      <c r="K48" s="8">
        <f>0.5/1000/0.15</f>
        <v>3.3333333333333335E-3</v>
      </c>
      <c r="L48" t="s">
        <v>22</v>
      </c>
      <c r="N48" t="s">
        <v>44</v>
      </c>
    </row>
    <row r="49" spans="1:14" x14ac:dyDescent="0.25">
      <c r="A49" s="4"/>
      <c r="B49" s="4"/>
      <c r="C49" t="s">
        <v>115</v>
      </c>
      <c r="J49" t="s">
        <v>113</v>
      </c>
      <c r="K49" s="8">
        <f>1.2/1000/0.15</f>
        <v>8.0000000000000002E-3</v>
      </c>
      <c r="L49" t="s">
        <v>23</v>
      </c>
      <c r="N49" t="s">
        <v>44</v>
      </c>
    </row>
    <row r="51" spans="1:14" x14ac:dyDescent="0.25">
      <c r="A51" s="4"/>
      <c r="B51" s="4"/>
      <c r="C51" t="s">
        <v>116</v>
      </c>
      <c r="J51" t="s">
        <v>108</v>
      </c>
      <c r="K51" s="6">
        <f t="shared" ref="K51:K56" si="0">K44</f>
        <v>0.15</v>
      </c>
      <c r="L51" t="s">
        <v>19</v>
      </c>
      <c r="M51" s="7" t="s">
        <v>27</v>
      </c>
    </row>
    <row r="52" spans="1:14" x14ac:dyDescent="0.25">
      <c r="A52" s="4"/>
      <c r="B52" s="4"/>
      <c r="C52" t="s">
        <v>116</v>
      </c>
      <c r="J52" t="s">
        <v>109</v>
      </c>
      <c r="K52" s="16">
        <f t="shared" si="0"/>
        <v>0.9</v>
      </c>
      <c r="L52" t="s">
        <v>20</v>
      </c>
    </row>
    <row r="53" spans="1:14" x14ac:dyDescent="0.25">
      <c r="A53" s="4"/>
      <c r="B53" s="4"/>
      <c r="C53" t="s">
        <v>116</v>
      </c>
      <c r="J53" t="s">
        <v>110</v>
      </c>
      <c r="K53" s="9">
        <f t="shared" si="0"/>
        <v>0.55000000000000004</v>
      </c>
      <c r="L53" t="s">
        <v>29</v>
      </c>
    </row>
    <row r="54" spans="1:14" x14ac:dyDescent="0.25">
      <c r="A54" s="4"/>
      <c r="B54" s="4"/>
      <c r="C54" t="s">
        <v>116</v>
      </c>
      <c r="J54" t="s">
        <v>111</v>
      </c>
      <c r="K54" s="9">
        <f t="shared" si="0"/>
        <v>2.5333333333333333E-2</v>
      </c>
      <c r="L54" t="s">
        <v>21</v>
      </c>
    </row>
    <row r="55" spans="1:14" x14ac:dyDescent="0.25">
      <c r="A55" s="4"/>
      <c r="B55" s="4"/>
      <c r="C55" t="s">
        <v>116</v>
      </c>
      <c r="J55" t="s">
        <v>112</v>
      </c>
      <c r="K55" s="9">
        <f t="shared" si="0"/>
        <v>3.3333333333333335E-3</v>
      </c>
      <c r="L55" t="s">
        <v>22</v>
      </c>
    </row>
    <row r="56" spans="1:14" x14ac:dyDescent="0.25">
      <c r="A56" s="4"/>
      <c r="B56" s="4"/>
      <c r="C56" t="s">
        <v>116</v>
      </c>
      <c r="J56" t="s">
        <v>113</v>
      </c>
      <c r="K56" s="9">
        <f t="shared" si="0"/>
        <v>8.0000000000000002E-3</v>
      </c>
      <c r="L56" t="s">
        <v>23</v>
      </c>
    </row>
    <row r="58" spans="1:14" x14ac:dyDescent="0.25">
      <c r="B58" t="s">
        <v>123</v>
      </c>
      <c r="C58" t="s">
        <v>128</v>
      </c>
      <c r="J58" t="s">
        <v>108</v>
      </c>
      <c r="K58">
        <v>0.16</v>
      </c>
      <c r="L58" t="s">
        <v>19</v>
      </c>
      <c r="M58" t="s">
        <v>122</v>
      </c>
      <c r="N58" t="s">
        <v>44</v>
      </c>
    </row>
    <row r="59" spans="1:14" x14ac:dyDescent="0.25">
      <c r="B59" t="s">
        <v>123</v>
      </c>
      <c r="C59" t="s">
        <v>128</v>
      </c>
      <c r="J59" t="s">
        <v>109</v>
      </c>
      <c r="K59" s="17">
        <v>0.9</v>
      </c>
      <c r="L59" t="s">
        <v>20</v>
      </c>
      <c r="N59" t="s">
        <v>44</v>
      </c>
    </row>
    <row r="60" spans="1:14" x14ac:dyDescent="0.25">
      <c r="B60" t="s">
        <v>123</v>
      </c>
      <c r="C60" t="s">
        <v>128</v>
      </c>
      <c r="J60" t="s">
        <v>110</v>
      </c>
      <c r="K60">
        <v>0.434</v>
      </c>
      <c r="L60" t="s">
        <v>29</v>
      </c>
      <c r="N60" t="s">
        <v>44</v>
      </c>
    </row>
    <row r="61" spans="1:14" x14ac:dyDescent="0.25">
      <c r="B61" t="s">
        <v>123</v>
      </c>
      <c r="C61" t="s">
        <v>128</v>
      </c>
      <c r="J61" t="s">
        <v>111</v>
      </c>
      <c r="K61" s="8">
        <f>3.8/1000/0.16</f>
        <v>2.375E-2</v>
      </c>
      <c r="L61" t="s">
        <v>21</v>
      </c>
      <c r="N61" t="s">
        <v>44</v>
      </c>
    </row>
    <row r="62" spans="1:14" x14ac:dyDescent="0.25">
      <c r="B62" t="s">
        <v>123</v>
      </c>
      <c r="C62" t="s">
        <v>128</v>
      </c>
      <c r="J62" t="s">
        <v>112</v>
      </c>
      <c r="K62" s="8">
        <f>0.4/1000/0.16</f>
        <v>2.5000000000000001E-3</v>
      </c>
      <c r="L62" t="s">
        <v>22</v>
      </c>
      <c r="N62" t="s">
        <v>44</v>
      </c>
    </row>
    <row r="63" spans="1:14" x14ac:dyDescent="0.25">
      <c r="B63" t="s">
        <v>123</v>
      </c>
      <c r="C63" t="s">
        <v>128</v>
      </c>
      <c r="J63" t="s">
        <v>113</v>
      </c>
      <c r="K63" s="8">
        <f>0.7/1000/0.16</f>
        <v>4.3749999999999995E-3</v>
      </c>
      <c r="L63" t="s">
        <v>23</v>
      </c>
      <c r="N63" t="s">
        <v>44</v>
      </c>
    </row>
    <row r="65" spans="2:14" x14ac:dyDescent="0.25">
      <c r="B65" t="s">
        <v>127</v>
      </c>
      <c r="C65" t="s">
        <v>128</v>
      </c>
      <c r="J65" t="s">
        <v>108</v>
      </c>
      <c r="K65">
        <v>0.06</v>
      </c>
      <c r="L65" t="s">
        <v>19</v>
      </c>
      <c r="M65" t="s">
        <v>124</v>
      </c>
      <c r="N65" t="s">
        <v>44</v>
      </c>
    </row>
    <row r="66" spans="2:14" x14ac:dyDescent="0.25">
      <c r="B66" t="s">
        <v>127</v>
      </c>
      <c r="C66" t="s">
        <v>128</v>
      </c>
      <c r="J66" t="s">
        <v>109</v>
      </c>
      <c r="K66" s="17">
        <v>0.95</v>
      </c>
      <c r="L66" t="s">
        <v>20</v>
      </c>
      <c r="N66" t="s">
        <v>44</v>
      </c>
    </row>
    <row r="67" spans="2:14" x14ac:dyDescent="0.25">
      <c r="B67" t="s">
        <v>127</v>
      </c>
      <c r="C67" t="s">
        <v>128</v>
      </c>
      <c r="J67" t="s">
        <v>110</v>
      </c>
      <c r="K67" s="8">
        <v>0.52</v>
      </c>
      <c r="L67" t="s">
        <v>29</v>
      </c>
      <c r="N67" t="s">
        <v>44</v>
      </c>
    </row>
    <row r="68" spans="2:14" x14ac:dyDescent="0.25">
      <c r="B68" t="s">
        <v>127</v>
      </c>
      <c r="C68" t="s">
        <v>128</v>
      </c>
      <c r="J68" t="s">
        <v>111</v>
      </c>
      <c r="K68" s="8">
        <f>3.5/1000/0.06</f>
        <v>5.8333333333333334E-2</v>
      </c>
      <c r="L68" t="s">
        <v>21</v>
      </c>
      <c r="N68" t="s">
        <v>44</v>
      </c>
    </row>
    <row r="69" spans="2:14" x14ac:dyDescent="0.25">
      <c r="B69" t="s">
        <v>127</v>
      </c>
      <c r="C69" t="s">
        <v>128</v>
      </c>
      <c r="J69" t="s">
        <v>112</v>
      </c>
      <c r="K69" s="8">
        <f>0.3/1000/0.06</f>
        <v>5.0000000000000001E-3</v>
      </c>
      <c r="L69" t="s">
        <v>22</v>
      </c>
      <c r="N69" t="s">
        <v>44</v>
      </c>
    </row>
    <row r="70" spans="2:14" x14ac:dyDescent="0.25">
      <c r="B70" t="s">
        <v>127</v>
      </c>
      <c r="C70" t="s">
        <v>128</v>
      </c>
      <c r="J70" t="s">
        <v>113</v>
      </c>
      <c r="K70" s="8">
        <f>0.6/1000/0.06</f>
        <v>0.01</v>
      </c>
      <c r="L70" t="s">
        <v>23</v>
      </c>
      <c r="N70" t="s">
        <v>44</v>
      </c>
    </row>
    <row r="72" spans="2:14" x14ac:dyDescent="0.25">
      <c r="B72" t="s">
        <v>126</v>
      </c>
      <c r="C72" t="s">
        <v>128</v>
      </c>
      <c r="J72" t="s">
        <v>108</v>
      </c>
      <c r="K72">
        <v>7.0000000000000007E-2</v>
      </c>
      <c r="L72" t="s">
        <v>19</v>
      </c>
      <c r="M72" t="s">
        <v>125</v>
      </c>
      <c r="N72" t="s">
        <v>44</v>
      </c>
    </row>
    <row r="73" spans="2:14" x14ac:dyDescent="0.25">
      <c r="B73" t="s">
        <v>126</v>
      </c>
      <c r="C73" t="s">
        <v>128</v>
      </c>
      <c r="J73" t="s">
        <v>109</v>
      </c>
      <c r="K73" s="17">
        <v>0.97</v>
      </c>
      <c r="L73" t="s">
        <v>20</v>
      </c>
      <c r="N73" t="s">
        <v>44</v>
      </c>
    </row>
    <row r="74" spans="2:14" x14ac:dyDescent="0.25">
      <c r="B74" t="s">
        <v>126</v>
      </c>
      <c r="C74" t="s">
        <v>128</v>
      </c>
      <c r="J74" t="s">
        <v>110</v>
      </c>
      <c r="K74">
        <v>0.32300000000000001</v>
      </c>
      <c r="L74" t="s">
        <v>29</v>
      </c>
      <c r="N74" t="s">
        <v>44</v>
      </c>
    </row>
    <row r="75" spans="2:14" x14ac:dyDescent="0.25">
      <c r="B75" t="s">
        <v>126</v>
      </c>
      <c r="C75" t="s">
        <v>128</v>
      </c>
      <c r="J75" t="s">
        <v>111</v>
      </c>
      <c r="K75" s="8">
        <f>3.7/1000/0.07</f>
        <v>5.2857142857142853E-2</v>
      </c>
      <c r="L75" t="s">
        <v>21</v>
      </c>
      <c r="N75" t="s">
        <v>44</v>
      </c>
    </row>
    <row r="76" spans="2:14" x14ac:dyDescent="0.25">
      <c r="B76" t="s">
        <v>126</v>
      </c>
      <c r="C76" t="s">
        <v>128</v>
      </c>
      <c r="J76" t="s">
        <v>112</v>
      </c>
      <c r="K76" s="8">
        <f>0.3/1000/0.07</f>
        <v>4.2857142857142851E-3</v>
      </c>
      <c r="L76" t="s">
        <v>22</v>
      </c>
      <c r="N76" t="s">
        <v>44</v>
      </c>
    </row>
    <row r="77" spans="2:14" x14ac:dyDescent="0.25">
      <c r="B77" t="s">
        <v>126</v>
      </c>
      <c r="C77" t="s">
        <v>128</v>
      </c>
      <c r="J77" t="s">
        <v>113</v>
      </c>
      <c r="K77" s="8">
        <f>0.5/1000/0.07</f>
        <v>7.1428571428571426E-3</v>
      </c>
      <c r="L77" t="s">
        <v>23</v>
      </c>
      <c r="N77" t="s">
        <v>44</v>
      </c>
    </row>
    <row r="79" spans="2:14" x14ac:dyDescent="0.25">
      <c r="B79" t="s">
        <v>129</v>
      </c>
      <c r="C79" t="s">
        <v>128</v>
      </c>
      <c r="J79" t="s">
        <v>108</v>
      </c>
      <c r="K79" s="6">
        <f>K44</f>
        <v>0.15</v>
      </c>
      <c r="L79" t="s">
        <v>19</v>
      </c>
      <c r="M79" s="7" t="s">
        <v>27</v>
      </c>
    </row>
    <row r="80" spans="2:14" x14ac:dyDescent="0.25">
      <c r="B80" t="s">
        <v>129</v>
      </c>
      <c r="C80" t="s">
        <v>128</v>
      </c>
      <c r="J80" t="s">
        <v>109</v>
      </c>
      <c r="K80" s="6">
        <f t="shared" ref="K80:K84" si="1">K45</f>
        <v>0.9</v>
      </c>
      <c r="L80" t="s">
        <v>20</v>
      </c>
    </row>
    <row r="81" spans="1:14" x14ac:dyDescent="0.25">
      <c r="B81" t="s">
        <v>129</v>
      </c>
      <c r="C81" t="s">
        <v>128</v>
      </c>
      <c r="J81" t="s">
        <v>110</v>
      </c>
      <c r="K81" s="9">
        <f t="shared" si="1"/>
        <v>0.55000000000000004</v>
      </c>
      <c r="L81" t="s">
        <v>29</v>
      </c>
    </row>
    <row r="82" spans="1:14" x14ac:dyDescent="0.25">
      <c r="B82" t="s">
        <v>129</v>
      </c>
      <c r="C82" t="s">
        <v>128</v>
      </c>
      <c r="J82" t="s">
        <v>111</v>
      </c>
      <c r="K82" s="9">
        <f t="shared" si="1"/>
        <v>2.5333333333333333E-2</v>
      </c>
      <c r="L82" t="s">
        <v>21</v>
      </c>
    </row>
    <row r="83" spans="1:14" x14ac:dyDescent="0.25">
      <c r="B83" t="s">
        <v>129</v>
      </c>
      <c r="C83" t="s">
        <v>128</v>
      </c>
      <c r="J83" t="s">
        <v>112</v>
      </c>
      <c r="K83" s="9">
        <f t="shared" si="1"/>
        <v>3.3333333333333335E-3</v>
      </c>
      <c r="L83" t="s">
        <v>22</v>
      </c>
    </row>
    <row r="84" spans="1:14" x14ac:dyDescent="0.25">
      <c r="B84" t="s">
        <v>129</v>
      </c>
      <c r="C84" t="s">
        <v>128</v>
      </c>
      <c r="J84" t="s">
        <v>113</v>
      </c>
      <c r="K84" s="9">
        <f t="shared" si="1"/>
        <v>8.0000000000000002E-3</v>
      </c>
      <c r="L84" t="s">
        <v>23</v>
      </c>
    </row>
    <row r="86" spans="1:14" x14ac:dyDescent="0.25">
      <c r="A86" s="4" t="s">
        <v>15</v>
      </c>
      <c r="B86" s="4"/>
      <c r="C86" t="s">
        <v>43</v>
      </c>
      <c r="J86" t="s">
        <v>108</v>
      </c>
      <c r="K86">
        <v>1</v>
      </c>
      <c r="L86" t="s">
        <v>19</v>
      </c>
    </row>
    <row r="87" spans="1:14" x14ac:dyDescent="0.25">
      <c r="A87" s="4" t="s">
        <v>15</v>
      </c>
      <c r="B87" s="4"/>
      <c r="C87" t="s">
        <v>43</v>
      </c>
      <c r="J87" t="s">
        <v>109</v>
      </c>
      <c r="K87">
        <v>0.88</v>
      </c>
      <c r="L87" t="s">
        <v>20</v>
      </c>
      <c r="N87" t="s">
        <v>33</v>
      </c>
    </row>
    <row r="88" spans="1:14" x14ac:dyDescent="0.25">
      <c r="A88" s="4" t="s">
        <v>15</v>
      </c>
      <c r="B88" s="4"/>
      <c r="C88" t="s">
        <v>43</v>
      </c>
      <c r="J88" t="s">
        <v>110</v>
      </c>
      <c r="K88" s="8">
        <v>0.3</v>
      </c>
      <c r="L88" t="s">
        <v>29</v>
      </c>
      <c r="N88" t="s">
        <v>33</v>
      </c>
    </row>
    <row r="89" spans="1:14" x14ac:dyDescent="0.25">
      <c r="A89" s="4" t="s">
        <v>15</v>
      </c>
      <c r="B89" s="4"/>
      <c r="C89" t="s">
        <v>43</v>
      </c>
      <c r="J89" t="s">
        <v>111</v>
      </c>
      <c r="K89" s="4">
        <f>2.1/100</f>
        <v>2.1000000000000001E-2</v>
      </c>
      <c r="L89" t="s">
        <v>21</v>
      </c>
      <c r="N89" t="s">
        <v>47</v>
      </c>
    </row>
    <row r="90" spans="1:14" x14ac:dyDescent="0.25">
      <c r="A90" s="4" t="s">
        <v>15</v>
      </c>
      <c r="B90" s="4"/>
      <c r="C90" t="s">
        <v>43</v>
      </c>
      <c r="J90" t="s">
        <v>112</v>
      </c>
      <c r="K90" s="11">
        <f>0.27/100</f>
        <v>2.7000000000000001E-3</v>
      </c>
      <c r="L90" t="s">
        <v>22</v>
      </c>
      <c r="N90" t="s">
        <v>47</v>
      </c>
    </row>
    <row r="91" spans="1:14" x14ac:dyDescent="0.25">
      <c r="A91" s="4" t="s">
        <v>15</v>
      </c>
      <c r="B91" s="4"/>
      <c r="C91" t="s">
        <v>43</v>
      </c>
      <c r="J91" t="s">
        <v>113</v>
      </c>
      <c r="K91" s="11">
        <f>2.34/100</f>
        <v>2.3399999999999997E-2</v>
      </c>
      <c r="L91" t="s">
        <v>23</v>
      </c>
      <c r="N91" t="s">
        <v>47</v>
      </c>
    </row>
    <row r="92" spans="1:14" x14ac:dyDescent="0.25">
      <c r="A92" s="4"/>
      <c r="B92" s="4"/>
      <c r="K92" s="11"/>
    </row>
    <row r="93" spans="1:14" x14ac:dyDescent="0.25">
      <c r="A93" s="2" t="s">
        <v>55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 x14ac:dyDescent="0.25">
      <c r="A95" s="4"/>
      <c r="B95" s="4"/>
      <c r="J95" t="s">
        <v>56</v>
      </c>
      <c r="K95" s="11">
        <v>0.71750000000000003</v>
      </c>
      <c r="L95" t="s">
        <v>57</v>
      </c>
      <c r="N95" t="s">
        <v>41</v>
      </c>
    </row>
    <row r="96" spans="1:14" x14ac:dyDescent="0.25">
      <c r="A96" s="4"/>
      <c r="B96" s="4"/>
      <c r="J96" t="s">
        <v>58</v>
      </c>
      <c r="K96" s="11">
        <v>1.9496</v>
      </c>
      <c r="L96" t="s">
        <v>57</v>
      </c>
      <c r="N96" t="s">
        <v>41</v>
      </c>
    </row>
    <row r="97" spans="1:14" x14ac:dyDescent="0.25">
      <c r="A97" s="4"/>
      <c r="B97" s="4"/>
      <c r="J97" t="s">
        <v>96</v>
      </c>
      <c r="K97" s="13">
        <f>50*(1/3.6)</f>
        <v>13.888888888888889</v>
      </c>
      <c r="L97" t="s">
        <v>92</v>
      </c>
      <c r="M97" t="s">
        <v>91</v>
      </c>
      <c r="N97" t="s">
        <v>41</v>
      </c>
    </row>
    <row r="99" spans="1:14" x14ac:dyDescent="0.25">
      <c r="A99" s="19" t="s">
        <v>24</v>
      </c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</row>
    <row r="100" spans="1:14" x14ac:dyDescent="0.25">
      <c r="A100" s="14" t="s">
        <v>85</v>
      </c>
    </row>
    <row r="101" spans="1:14" x14ac:dyDescent="0.25">
      <c r="J101" t="s">
        <v>30</v>
      </c>
      <c r="K101" s="4">
        <v>90</v>
      </c>
      <c r="L101" s="4" t="s">
        <v>6</v>
      </c>
      <c r="M101" s="4" t="s">
        <v>46</v>
      </c>
      <c r="N101" t="s">
        <v>44</v>
      </c>
    </row>
    <row r="102" spans="1:14" x14ac:dyDescent="0.25">
      <c r="J102" t="s">
        <v>36</v>
      </c>
      <c r="K102" s="4">
        <v>0.22</v>
      </c>
      <c r="L102" s="4" t="s">
        <v>37</v>
      </c>
      <c r="M102" s="7"/>
      <c r="N102" t="s">
        <v>53</v>
      </c>
    </row>
    <row r="103" spans="1:14" x14ac:dyDescent="0.25">
      <c r="J103" t="s">
        <v>34</v>
      </c>
      <c r="K103" s="4">
        <v>3.4</v>
      </c>
      <c r="L103" s="4" t="s">
        <v>37</v>
      </c>
      <c r="M103" s="7"/>
      <c r="N103" t="s">
        <v>76</v>
      </c>
    </row>
    <row r="104" spans="1:14" x14ac:dyDescent="0.25">
      <c r="J104" t="s">
        <v>35</v>
      </c>
      <c r="K104" s="4">
        <v>5</v>
      </c>
      <c r="L104" s="4" t="s">
        <v>38</v>
      </c>
      <c r="M104" s="7"/>
      <c r="N104" t="s">
        <v>53</v>
      </c>
    </row>
    <row r="105" spans="1:14" x14ac:dyDescent="0.25">
      <c r="A105" s="14" t="s">
        <v>86</v>
      </c>
      <c r="K105" s="4"/>
      <c r="L105" s="4"/>
      <c r="M105" s="7"/>
    </row>
    <row r="106" spans="1:14" x14ac:dyDescent="0.25">
      <c r="I106" t="s">
        <v>78</v>
      </c>
      <c r="J106" t="s">
        <v>80</v>
      </c>
      <c r="K106" s="4">
        <v>0.61</v>
      </c>
      <c r="L106" s="4" t="s">
        <v>39</v>
      </c>
      <c r="M106" s="4" t="s">
        <v>40</v>
      </c>
      <c r="N106" t="s">
        <v>41</v>
      </c>
    </row>
    <row r="107" spans="1:14" x14ac:dyDescent="0.25">
      <c r="I107" t="s">
        <v>79</v>
      </c>
      <c r="J107" t="s">
        <v>80</v>
      </c>
      <c r="K107" s="4">
        <v>0.99</v>
      </c>
      <c r="L107" s="4" t="s">
        <v>39</v>
      </c>
      <c r="M107" s="7"/>
      <c r="N107" t="s">
        <v>41</v>
      </c>
    </row>
    <row r="108" spans="1:14" x14ac:dyDescent="0.25">
      <c r="A108" s="14" t="s">
        <v>88</v>
      </c>
    </row>
    <row r="109" spans="1:14" x14ac:dyDescent="0.25">
      <c r="C109" t="s">
        <v>114</v>
      </c>
      <c r="J109" t="s">
        <v>25</v>
      </c>
      <c r="K109">
        <v>63</v>
      </c>
      <c r="L109" t="s">
        <v>54</v>
      </c>
      <c r="N109" t="s">
        <v>33</v>
      </c>
    </row>
    <row r="110" spans="1:14" x14ac:dyDescent="0.25">
      <c r="C110" t="s">
        <v>115</v>
      </c>
      <c r="J110" t="s">
        <v>25</v>
      </c>
      <c r="K110">
        <v>59</v>
      </c>
      <c r="L110" t="s">
        <v>54</v>
      </c>
      <c r="N110" t="s">
        <v>33</v>
      </c>
    </row>
    <row r="111" spans="1:14" x14ac:dyDescent="0.25">
      <c r="C111" t="s">
        <v>116</v>
      </c>
      <c r="J111" t="s">
        <v>25</v>
      </c>
      <c r="K111" s="6">
        <f>K110</f>
        <v>59</v>
      </c>
      <c r="L111" t="s">
        <v>54</v>
      </c>
      <c r="M111" s="7" t="s">
        <v>27</v>
      </c>
    </row>
    <row r="112" spans="1:14" x14ac:dyDescent="0.25">
      <c r="B112" t="s">
        <v>123</v>
      </c>
      <c r="C112" t="s">
        <v>128</v>
      </c>
      <c r="J112" t="s">
        <v>25</v>
      </c>
      <c r="K112" s="4">
        <v>65</v>
      </c>
      <c r="L112" t="s">
        <v>54</v>
      </c>
      <c r="M112" s="7"/>
      <c r="N112" t="s">
        <v>44</v>
      </c>
    </row>
    <row r="113" spans="1:14" x14ac:dyDescent="0.25">
      <c r="B113" t="s">
        <v>127</v>
      </c>
      <c r="C113" t="s">
        <v>128</v>
      </c>
      <c r="J113" t="s">
        <v>25</v>
      </c>
      <c r="K113" s="4">
        <v>65</v>
      </c>
      <c r="L113" t="s">
        <v>54</v>
      </c>
      <c r="M113" s="7"/>
      <c r="N113" t="s">
        <v>44</v>
      </c>
    </row>
    <row r="114" spans="1:14" x14ac:dyDescent="0.25">
      <c r="B114" t="s">
        <v>126</v>
      </c>
      <c r="C114" t="s">
        <v>128</v>
      </c>
      <c r="J114" t="s">
        <v>25</v>
      </c>
      <c r="K114" s="4">
        <v>65</v>
      </c>
      <c r="L114" t="s">
        <v>54</v>
      </c>
      <c r="M114" s="7"/>
      <c r="N114" t="s">
        <v>44</v>
      </c>
    </row>
    <row r="115" spans="1:14" x14ac:dyDescent="0.25">
      <c r="B115" t="s">
        <v>129</v>
      </c>
      <c r="C115" t="s">
        <v>128</v>
      </c>
      <c r="J115" t="s">
        <v>25</v>
      </c>
      <c r="K115" s="6">
        <f>K110</f>
        <v>59</v>
      </c>
      <c r="L115" t="s">
        <v>54</v>
      </c>
      <c r="M115" s="7" t="s">
        <v>27</v>
      </c>
    </row>
    <row r="116" spans="1:14" x14ac:dyDescent="0.25">
      <c r="A116" s="4" t="s">
        <v>15</v>
      </c>
      <c r="B116" s="4"/>
      <c r="C116" t="s">
        <v>43</v>
      </c>
      <c r="J116" t="s">
        <v>25</v>
      </c>
      <c r="K116">
        <v>56</v>
      </c>
      <c r="L116" t="s">
        <v>54</v>
      </c>
      <c r="M116" t="s">
        <v>62</v>
      </c>
      <c r="N116" t="s">
        <v>33</v>
      </c>
    </row>
    <row r="117" spans="1:14" x14ac:dyDescent="0.25">
      <c r="C117" t="s">
        <v>31</v>
      </c>
      <c r="J117" t="s">
        <v>25</v>
      </c>
      <c r="K117" s="4">
        <v>65</v>
      </c>
      <c r="L117" t="s">
        <v>54</v>
      </c>
      <c r="M117" t="s">
        <v>61</v>
      </c>
      <c r="N117" t="s">
        <v>33</v>
      </c>
    </row>
    <row r="118" spans="1:14" x14ac:dyDescent="0.25">
      <c r="A118" s="14" t="s">
        <v>87</v>
      </c>
      <c r="K118" s="4"/>
      <c r="L118" s="4"/>
      <c r="M118" s="7"/>
    </row>
    <row r="119" spans="1:14" x14ac:dyDescent="0.25">
      <c r="H119" t="s">
        <v>84</v>
      </c>
      <c r="J119" t="s">
        <v>81</v>
      </c>
      <c r="K119" s="13">
        <f>1041/(50+3+1041)*100</f>
        <v>95.155393053016454</v>
      </c>
      <c r="L119" s="4" t="s">
        <v>6</v>
      </c>
      <c r="M119" s="4" t="s">
        <v>90</v>
      </c>
      <c r="N119" t="s">
        <v>117</v>
      </c>
    </row>
    <row r="120" spans="1:14" x14ac:dyDescent="0.25">
      <c r="H120" t="s">
        <v>79</v>
      </c>
      <c r="J120" t="s">
        <v>81</v>
      </c>
      <c r="K120" s="12">
        <f>50/(50+3+1041)*100</f>
        <v>4.5703839122486292</v>
      </c>
      <c r="L120" s="4" t="s">
        <v>6</v>
      </c>
      <c r="M120" s="4"/>
      <c r="N120" t="s">
        <v>117</v>
      </c>
    </row>
    <row r="121" spans="1:14" x14ac:dyDescent="0.25">
      <c r="H121" t="s">
        <v>78</v>
      </c>
      <c r="J121" t="s">
        <v>81</v>
      </c>
      <c r="K121" s="12">
        <f>3/(50+3+1041)*100</f>
        <v>0.27422303473491771</v>
      </c>
      <c r="L121" s="4" t="s">
        <v>6</v>
      </c>
      <c r="M121" s="4"/>
      <c r="N121" t="s">
        <v>117</v>
      </c>
    </row>
    <row r="122" spans="1:14" x14ac:dyDescent="0.25">
      <c r="A122" s="14" t="s">
        <v>94</v>
      </c>
      <c r="K122" s="4"/>
      <c r="L122" s="4"/>
      <c r="M122" s="4"/>
    </row>
    <row r="123" spans="1:14" x14ac:dyDescent="0.25">
      <c r="A123" s="15"/>
      <c r="B123" s="3"/>
      <c r="C123" s="3"/>
      <c r="D123" s="3"/>
      <c r="E123" s="3"/>
      <c r="F123" s="3"/>
      <c r="G123" s="3"/>
      <c r="H123" s="3"/>
      <c r="I123" s="3"/>
      <c r="J123" s="3" t="s">
        <v>82</v>
      </c>
      <c r="K123" s="3">
        <v>0</v>
      </c>
      <c r="L123" s="3" t="s">
        <v>6</v>
      </c>
      <c r="M123" s="3" t="s">
        <v>93</v>
      </c>
    </row>
    <row r="124" spans="1:14" x14ac:dyDescent="0.25">
      <c r="A124" s="15"/>
      <c r="B124" s="3"/>
      <c r="C124" s="3"/>
      <c r="D124" s="3"/>
      <c r="E124" s="3"/>
      <c r="F124" s="3"/>
      <c r="G124" s="3"/>
      <c r="H124" s="3"/>
      <c r="I124" s="3"/>
      <c r="J124" s="3" t="s">
        <v>83</v>
      </c>
      <c r="K124" s="3">
        <v>0</v>
      </c>
      <c r="L124" s="3" t="s">
        <v>97</v>
      </c>
      <c r="M124" s="3" t="s">
        <v>93</v>
      </c>
    </row>
    <row r="125" spans="1:14" x14ac:dyDescent="0.25">
      <c r="H125" t="s">
        <v>84</v>
      </c>
      <c r="J125" t="s">
        <v>82</v>
      </c>
      <c r="K125" s="4">
        <v>0.5</v>
      </c>
      <c r="L125" s="4" t="s">
        <v>100</v>
      </c>
      <c r="M125" s="7"/>
      <c r="N125" t="s">
        <v>53</v>
      </c>
    </row>
    <row r="126" spans="1:14" x14ac:dyDescent="0.25">
      <c r="H126" t="s">
        <v>84</v>
      </c>
      <c r="I126" t="s">
        <v>78</v>
      </c>
      <c r="J126" t="s">
        <v>83</v>
      </c>
      <c r="K126" s="10">
        <f>0.9 * (1/3.6) / 0.6 / 0.718</f>
        <v>0.5803156917363046</v>
      </c>
      <c r="L126" s="4" t="s">
        <v>98</v>
      </c>
      <c r="M126" s="4" t="s">
        <v>99</v>
      </c>
      <c r="N126" t="s">
        <v>53</v>
      </c>
    </row>
    <row r="127" spans="1:14" x14ac:dyDescent="0.25">
      <c r="A127" s="14" t="s">
        <v>89</v>
      </c>
      <c r="K127" s="4"/>
      <c r="L127" s="4"/>
      <c r="M127" s="7"/>
    </row>
    <row r="128" spans="1:14" x14ac:dyDescent="0.25">
      <c r="J128" t="s">
        <v>49</v>
      </c>
      <c r="K128" s="11">
        <f>238/0.74/1000</f>
        <v>0.32162162162162161</v>
      </c>
      <c r="L128" s="4" t="s">
        <v>29</v>
      </c>
      <c r="M128" s="7"/>
      <c r="N128" t="s">
        <v>53</v>
      </c>
    </row>
    <row r="129" spans="1:14" x14ac:dyDescent="0.25">
      <c r="J129" t="s">
        <v>59</v>
      </c>
      <c r="K129" s="12">
        <v>1.5</v>
      </c>
      <c r="L129" s="4" t="s">
        <v>60</v>
      </c>
      <c r="M129" s="7"/>
      <c r="N129" t="s">
        <v>53</v>
      </c>
    </row>
    <row r="130" spans="1:14" x14ac:dyDescent="0.25">
      <c r="J130" t="s">
        <v>50</v>
      </c>
      <c r="K130" s="13">
        <v>60</v>
      </c>
      <c r="L130" s="4" t="s">
        <v>51</v>
      </c>
      <c r="M130" s="7"/>
      <c r="N130" t="s">
        <v>53</v>
      </c>
    </row>
    <row r="132" spans="1:14" x14ac:dyDescent="0.25">
      <c r="J132" s="3" t="s">
        <v>66</v>
      </c>
      <c r="K132" s="3">
        <v>0</v>
      </c>
      <c r="L132" s="3"/>
      <c r="M132" s="3" t="s">
        <v>93</v>
      </c>
    </row>
    <row r="133" spans="1:14" x14ac:dyDescent="0.25">
      <c r="F133" t="s">
        <v>65</v>
      </c>
      <c r="G133" t="s">
        <v>67</v>
      </c>
      <c r="J133" t="s">
        <v>66</v>
      </c>
      <c r="K133">
        <v>2.75</v>
      </c>
      <c r="L133" t="s">
        <v>51</v>
      </c>
      <c r="M133" t="s">
        <v>121</v>
      </c>
      <c r="N133" t="s">
        <v>120</v>
      </c>
    </row>
    <row r="134" spans="1:14" x14ac:dyDescent="0.25">
      <c r="F134" t="s">
        <v>65</v>
      </c>
      <c r="G134" t="s">
        <v>68</v>
      </c>
      <c r="J134" t="s">
        <v>66</v>
      </c>
      <c r="K134">
        <v>0</v>
      </c>
      <c r="L134" t="s">
        <v>71</v>
      </c>
    </row>
    <row r="135" spans="1:14" x14ac:dyDescent="0.25">
      <c r="F135" t="s">
        <v>65</v>
      </c>
      <c r="G135" t="s">
        <v>69</v>
      </c>
      <c r="J135" t="s">
        <v>66</v>
      </c>
      <c r="K135">
        <v>0</v>
      </c>
      <c r="L135" t="s">
        <v>51</v>
      </c>
    </row>
    <row r="136" spans="1:14" x14ac:dyDescent="0.25">
      <c r="F136" t="s">
        <v>65</v>
      </c>
      <c r="G136" t="s">
        <v>70</v>
      </c>
      <c r="J136" t="s">
        <v>66</v>
      </c>
      <c r="K136">
        <v>0</v>
      </c>
      <c r="L136" t="s">
        <v>71</v>
      </c>
      <c r="N136" t="s">
        <v>119</v>
      </c>
    </row>
    <row r="138" spans="1:14" x14ac:dyDescent="0.25">
      <c r="F138" t="s">
        <v>72</v>
      </c>
      <c r="G138" t="s">
        <v>72</v>
      </c>
      <c r="J138" t="s">
        <v>66</v>
      </c>
      <c r="K138">
        <v>0</v>
      </c>
      <c r="L138" t="s">
        <v>74</v>
      </c>
    </row>
    <row r="139" spans="1:14" x14ac:dyDescent="0.25">
      <c r="F139" t="s">
        <v>73</v>
      </c>
      <c r="G139" t="s">
        <v>73</v>
      </c>
      <c r="J139" t="s">
        <v>66</v>
      </c>
      <c r="K139">
        <v>0</v>
      </c>
      <c r="L139" t="s">
        <v>75</v>
      </c>
    </row>
    <row r="141" spans="1:14" x14ac:dyDescent="0.25">
      <c r="A141" s="18" t="s">
        <v>131</v>
      </c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</row>
    <row r="143" spans="1:14" x14ac:dyDescent="0.25">
      <c r="J143" t="s">
        <v>135</v>
      </c>
      <c r="K143" s="20">
        <f>2.5/0.33/0.85</f>
        <v>8.9126559714795004</v>
      </c>
      <c r="L143" t="s">
        <v>133</v>
      </c>
      <c r="M143" t="s">
        <v>132</v>
      </c>
    </row>
    <row r="145" spans="1:14" x14ac:dyDescent="0.25">
      <c r="J145" s="3" t="s">
        <v>134</v>
      </c>
      <c r="K145" s="3">
        <v>0</v>
      </c>
      <c r="L145" s="3" t="s">
        <v>97</v>
      </c>
      <c r="M145" s="3" t="s">
        <v>93</v>
      </c>
    </row>
    <row r="146" spans="1:14" x14ac:dyDescent="0.25">
      <c r="H146" t="s">
        <v>78</v>
      </c>
      <c r="J146" t="s">
        <v>134</v>
      </c>
      <c r="K146" s="8">
        <f>0.94*0.184</f>
        <v>0.17295999999999997</v>
      </c>
      <c r="L146" t="s">
        <v>97</v>
      </c>
      <c r="N146" t="s">
        <v>142</v>
      </c>
    </row>
    <row r="147" spans="1:14" x14ac:dyDescent="0.25">
      <c r="H147" t="s">
        <v>79</v>
      </c>
      <c r="J147" t="s">
        <v>134</v>
      </c>
      <c r="K147" s="8">
        <f>0.94*0.816</f>
        <v>0.76703999999999994</v>
      </c>
      <c r="L147" t="s">
        <v>97</v>
      </c>
      <c r="N147" t="s">
        <v>142</v>
      </c>
    </row>
    <row r="149" spans="1:14" x14ac:dyDescent="0.25">
      <c r="J149" s="3" t="s">
        <v>136</v>
      </c>
      <c r="K149" s="3">
        <v>0</v>
      </c>
      <c r="L149" s="3" t="s">
        <v>137</v>
      </c>
      <c r="M149" s="3" t="s">
        <v>93</v>
      </c>
    </row>
    <row r="150" spans="1:14" x14ac:dyDescent="0.25">
      <c r="F150" t="s">
        <v>143</v>
      </c>
      <c r="G150" t="s">
        <v>144</v>
      </c>
      <c r="J150" t="s">
        <v>136</v>
      </c>
      <c r="K150" s="21">
        <f>(0.00234-0.000502)/1000/(1/3.6)</f>
        <v>6.6168000000000008E-6</v>
      </c>
      <c r="L150" t="s">
        <v>137</v>
      </c>
      <c r="N150" t="s">
        <v>141</v>
      </c>
    </row>
    <row r="151" spans="1:14" x14ac:dyDescent="0.25">
      <c r="F151" t="s">
        <v>65</v>
      </c>
      <c r="G151" t="s">
        <v>138</v>
      </c>
      <c r="J151" t="s">
        <v>136</v>
      </c>
      <c r="K151" s="21">
        <f>(0.000364 -0.00000236)/1000/(1/3.6)</f>
        <v>1.3019039999999999E-6</v>
      </c>
      <c r="L151" t="s">
        <v>137</v>
      </c>
      <c r="N151" t="s">
        <v>141</v>
      </c>
    </row>
    <row r="152" spans="1:14" x14ac:dyDescent="0.25">
      <c r="F152" t="s">
        <v>65</v>
      </c>
      <c r="G152" t="s">
        <v>139</v>
      </c>
      <c r="J152" t="s">
        <v>136</v>
      </c>
      <c r="K152" s="21">
        <f>(0.0376-0.00437)/1000/(1/3.6)</f>
        <v>1.1962800000000001E-4</v>
      </c>
      <c r="L152" t="s">
        <v>137</v>
      </c>
      <c r="N152" t="s">
        <v>141</v>
      </c>
    </row>
    <row r="153" spans="1:14" x14ac:dyDescent="0.25">
      <c r="F153" t="s">
        <v>65</v>
      </c>
      <c r="G153" t="s">
        <v>140</v>
      </c>
      <c r="J153" t="s">
        <v>136</v>
      </c>
      <c r="K153" s="21">
        <f>(0.00171-0.00000236)/1000/(1/3.6)</f>
        <v>6.1475039999999993E-6</v>
      </c>
      <c r="L153" t="s">
        <v>137</v>
      </c>
      <c r="N153" t="s">
        <v>141</v>
      </c>
    </row>
    <row r="155" spans="1:14" x14ac:dyDescent="0.25">
      <c r="A155" s="22" t="s">
        <v>145</v>
      </c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</row>
    <row r="157" spans="1:14" x14ac:dyDescent="0.25">
      <c r="J157" s="3" t="s">
        <v>147</v>
      </c>
      <c r="K157" s="3">
        <v>0</v>
      </c>
      <c r="L157" s="3" t="s">
        <v>146</v>
      </c>
    </row>
    <row r="158" spans="1:14" x14ac:dyDescent="0.25">
      <c r="F158" t="s">
        <v>143</v>
      </c>
      <c r="G158" t="s">
        <v>144</v>
      </c>
      <c r="J158" t="s">
        <v>147</v>
      </c>
      <c r="K158" s="17">
        <f>(0.00144+0.0129)/0.43</f>
        <v>3.3348837209302325E-2</v>
      </c>
      <c r="L158" t="s">
        <v>146</v>
      </c>
      <c r="M158" t="s">
        <v>151</v>
      </c>
      <c r="N158" t="s">
        <v>150</v>
      </c>
    </row>
    <row r="159" spans="1:14" x14ac:dyDescent="0.25">
      <c r="F159" t="s">
        <v>65</v>
      </c>
      <c r="G159" t="s">
        <v>138</v>
      </c>
      <c r="J159" t="s">
        <v>147</v>
      </c>
      <c r="K159" s="26">
        <f>(0)/0.43</f>
        <v>0</v>
      </c>
      <c r="L159" t="s">
        <v>146</v>
      </c>
      <c r="M159" t="s">
        <v>152</v>
      </c>
    </row>
    <row r="160" spans="1:14" x14ac:dyDescent="0.25">
      <c r="F160" t="s">
        <v>65</v>
      </c>
      <c r="G160" t="s">
        <v>139</v>
      </c>
      <c r="J160" t="s">
        <v>147</v>
      </c>
      <c r="K160" s="24">
        <f>(0.00000208)/0.43</f>
        <v>4.8372093023255818E-6</v>
      </c>
      <c r="L160" t="s">
        <v>146</v>
      </c>
      <c r="M160" t="s">
        <v>153</v>
      </c>
    </row>
    <row r="161" spans="6:13" x14ac:dyDescent="0.25">
      <c r="F161" t="s">
        <v>65</v>
      </c>
      <c r="G161" t="s">
        <v>140</v>
      </c>
      <c r="J161" t="s">
        <v>147</v>
      </c>
      <c r="K161" s="26">
        <f t="shared" ref="K161:K165" si="2">(0)/0.43</f>
        <v>0</v>
      </c>
      <c r="L161" t="s">
        <v>146</v>
      </c>
      <c r="M161" t="s">
        <v>154</v>
      </c>
    </row>
    <row r="162" spans="6:13" x14ac:dyDescent="0.25">
      <c r="F162" t="s">
        <v>65</v>
      </c>
      <c r="G162" t="s">
        <v>155</v>
      </c>
      <c r="J162" t="s">
        <v>147</v>
      </c>
      <c r="K162" s="8">
        <f>(0.00152)/0.43</f>
        <v>3.534883720930233E-3</v>
      </c>
      <c r="L162" t="s">
        <v>146</v>
      </c>
    </row>
    <row r="163" spans="6:13" x14ac:dyDescent="0.25">
      <c r="F163" t="s">
        <v>65</v>
      </c>
      <c r="G163" t="s">
        <v>148</v>
      </c>
      <c r="J163" t="s">
        <v>147</v>
      </c>
      <c r="K163" s="25">
        <f>(0.00016)/0.43</f>
        <v>3.7209302325581399E-4</v>
      </c>
      <c r="L163" t="s">
        <v>146</v>
      </c>
    </row>
    <row r="164" spans="6:13" x14ac:dyDescent="0.25">
      <c r="F164" t="s">
        <v>72</v>
      </c>
      <c r="G164" t="s">
        <v>149</v>
      </c>
      <c r="J164" t="s">
        <v>147</v>
      </c>
      <c r="K164" s="8">
        <f>(0.000218)/0.43</f>
        <v>5.0697674418604657E-4</v>
      </c>
      <c r="L164" t="s">
        <v>146</v>
      </c>
    </row>
    <row r="165" spans="6:13" x14ac:dyDescent="0.25">
      <c r="F165" t="s">
        <v>73</v>
      </c>
      <c r="G165" t="s">
        <v>73</v>
      </c>
      <c r="J165" t="s">
        <v>147</v>
      </c>
      <c r="K165" s="17">
        <f>(0.00343)/0.43</f>
        <v>7.9767441860465107E-3</v>
      </c>
      <c r="L165" t="s">
        <v>146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A6"/>
  <sheetViews>
    <sheetView workbookViewId="0">
      <selection activeCell="A2" sqref="A2"/>
    </sheetView>
  </sheetViews>
  <sheetFormatPr defaultRowHeight="15" x14ac:dyDescent="0.25"/>
  <sheetData>
    <row r="2" spans="1:1" x14ac:dyDescent="0.25">
      <c r="A2" t="s">
        <v>28</v>
      </c>
    </row>
    <row r="3" spans="1:1" x14ac:dyDescent="0.25">
      <c r="A3" t="s">
        <v>118</v>
      </c>
    </row>
    <row r="4" spans="1:1" x14ac:dyDescent="0.25">
      <c r="A4" t="s">
        <v>42</v>
      </c>
    </row>
    <row r="5" spans="1:1" x14ac:dyDescent="0.25">
      <c r="A5" t="s">
        <v>45</v>
      </c>
    </row>
    <row r="6" spans="1:1" x14ac:dyDescent="0.25">
      <c r="A6" t="s">
        <v>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Johan Karlsson</cp:lastModifiedBy>
  <dcterms:created xsi:type="dcterms:W3CDTF">2024-04-29T08:57:31Z</dcterms:created>
  <dcterms:modified xsi:type="dcterms:W3CDTF">2025-03-04T12:16:23Z</dcterms:modified>
</cp:coreProperties>
</file>