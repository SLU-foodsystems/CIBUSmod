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mini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H77" i="1" l="1"/>
  <c r="H27" i="1" l="1"/>
  <c r="H26" i="1"/>
  <c r="AH62" i="21" l="1"/>
  <c r="AD62" i="21"/>
  <c r="Y68" i="21" l="1"/>
  <c r="Z68" i="21"/>
  <c r="AA68" i="21"/>
  <c r="AB68" i="21"/>
  <c r="AC68" i="21"/>
  <c r="AD68" i="21"/>
  <c r="AE68" i="21"/>
  <c r="AF68" i="21"/>
  <c r="AG68" i="21"/>
  <c r="AH68" i="21"/>
  <c r="AI68" i="21"/>
  <c r="X68" i="21"/>
  <c r="X61" i="21"/>
  <c r="X63" i="21" s="1"/>
  <c r="AI62" i="21"/>
  <c r="AG62" i="21"/>
  <c r="AF62" i="21"/>
  <c r="AE62" i="21"/>
  <c r="AC62" i="21"/>
  <c r="AB62" i="21"/>
  <c r="AA62" i="21"/>
  <c r="Z62" i="21"/>
  <c r="Y62" i="21"/>
  <c r="X62" i="21"/>
  <c r="E104" i="21"/>
  <c r="AB61" i="21"/>
  <c r="AB64" i="21" s="1"/>
  <c r="Y61" i="21"/>
  <c r="Y63" i="21" s="1"/>
  <c r="Z61" i="21"/>
  <c r="Z64" i="21" s="1"/>
  <c r="AA61" i="21"/>
  <c r="AA64" i="21" s="1"/>
  <c r="AC61" i="21"/>
  <c r="AC64" i="21" s="1"/>
  <c r="AD61" i="21"/>
  <c r="AD64" i="21" s="1"/>
  <c r="AE61" i="21"/>
  <c r="AE63" i="21" s="1"/>
  <c r="AF61" i="21"/>
  <c r="AF64" i="21" s="1"/>
  <c r="AG61" i="21"/>
  <c r="AG64" i="21" s="1"/>
  <c r="AH61" i="21"/>
  <c r="AH64" i="21" s="1"/>
  <c r="AI61" i="21"/>
  <c r="AI64" i="21" s="1"/>
  <c r="Y17" i="21"/>
  <c r="Z63" i="21" l="1"/>
  <c r="Y64" i="21"/>
  <c r="AE64" i="21"/>
  <c r="X64" i="21"/>
  <c r="AG63" i="21"/>
  <c r="AC63" i="21"/>
  <c r="AH63" i="21"/>
  <c r="AD63" i="21"/>
  <c r="AF63" i="21"/>
  <c r="AB63" i="21"/>
  <c r="AI63" i="21"/>
  <c r="AA63" i="21"/>
  <c r="X104" i="21" l="1"/>
  <c r="X105" i="21" s="1"/>
  <c r="X102" i="21"/>
  <c r="H95" i="1" l="1"/>
  <c r="AM11" i="8" l="1"/>
  <c r="AM12" i="8"/>
  <c r="D70" i="21"/>
  <c r="D68" i="21"/>
  <c r="D20" i="21"/>
  <c r="D71" i="21"/>
  <c r="F20" i="21"/>
  <c r="H32" i="1" l="1"/>
  <c r="H76" i="1" s="1"/>
  <c r="T47" i="21" l="1"/>
  <c r="Z75" i="21" l="1"/>
  <c r="AA75" i="21"/>
  <c r="AA102" i="21" s="1"/>
  <c r="AC75" i="21"/>
  <c r="Z76" i="21"/>
  <c r="AA76" i="21"/>
  <c r="AC76" i="21"/>
  <c r="AC102" i="21" s="1"/>
  <c r="I116" i="21"/>
  <c r="Z102" i="21"/>
  <c r="Z65" i="21"/>
  <c r="AA65" i="21"/>
  <c r="AC65" i="21"/>
  <c r="Z66" i="21"/>
  <c r="AA66" i="21"/>
  <c r="AC66" i="21"/>
  <c r="Z67" i="21"/>
  <c r="AA67" i="21"/>
  <c r="AC67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Z17" i="21" l="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L116" i="21"/>
  <c r="AF75" i="21" s="1"/>
  <c r="AG70" i="21"/>
  <c r="AF76" i="21"/>
  <c r="AI71" i="21"/>
  <c r="M116" i="21"/>
  <c r="AG69" i="21"/>
  <c r="AE69" i="21"/>
  <c r="K116" i="21"/>
  <c r="AE72" i="21" s="1"/>
  <c r="AE76" i="21"/>
  <c r="AI72" i="21"/>
  <c r="AG72" i="21"/>
  <c r="AI70" i="21"/>
  <c r="Y69" i="21"/>
  <c r="E116" i="21"/>
  <c r="Y72" i="21" s="1"/>
  <c r="AG71" i="21"/>
  <c r="AE71" i="21"/>
  <c r="Y76" i="21"/>
  <c r="AI76" i="21"/>
  <c r="AB73" i="21"/>
  <c r="Y73" i="21"/>
  <c r="AI73" i="21"/>
  <c r="AE73" i="21"/>
  <c r="AE75" i="21"/>
  <c r="Y75" i="21"/>
  <c r="H116" i="21"/>
  <c r="AB69" i="21"/>
  <c r="AB71" i="21"/>
  <c r="AE70" i="21"/>
  <c r="Y70" i="21"/>
  <c r="AG76" i="21"/>
  <c r="AF72" i="21"/>
  <c r="AN37" i="8"/>
  <c r="AM37" i="8"/>
  <c r="P37" i="8"/>
  <c r="Q37" i="8"/>
  <c r="AI65" i="21" l="1"/>
  <c r="AI67" i="21"/>
  <c r="AI66" i="21"/>
  <c r="AI75" i="21"/>
  <c r="AI69" i="21"/>
  <c r="AB70" i="21"/>
  <c r="AB66" i="21"/>
  <c r="AB67" i="21"/>
  <c r="AB65" i="21"/>
  <c r="Y71" i="21"/>
  <c r="AG67" i="21"/>
  <c r="AG65" i="21"/>
  <c r="AG66" i="21"/>
  <c r="AF71" i="21"/>
  <c r="AG75" i="21"/>
  <c r="AB72" i="21"/>
  <c r="Y67" i="21"/>
  <c r="Y65" i="21"/>
  <c r="Y66" i="21"/>
  <c r="AE65" i="21"/>
  <c r="AE67" i="21"/>
  <c r="AE66" i="21"/>
  <c r="AB75" i="21"/>
  <c r="AB76" i="21"/>
  <c r="AF70" i="21"/>
  <c r="AF66" i="21"/>
  <c r="AF67" i="21"/>
  <c r="AF65" i="21"/>
  <c r="AG73" i="21"/>
  <c r="AF73" i="2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AC33" i="21" l="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116" i="21"/>
  <c r="AH96" i="21"/>
  <c r="AH95" i="21"/>
  <c r="AH79" i="21"/>
  <c r="AH93" i="21"/>
  <c r="AH80" i="21"/>
  <c r="AH89" i="21"/>
  <c r="AH81" i="21"/>
  <c r="AH94" i="21"/>
  <c r="AH91" i="21"/>
  <c r="AH87" i="21"/>
  <c r="AH86" i="21"/>
  <c r="AH82" i="21"/>
  <c r="AH77" i="21"/>
  <c r="AH78" i="21"/>
  <c r="AH88" i="21"/>
  <c r="AH84" i="21"/>
  <c r="AH99" i="21"/>
  <c r="AH100" i="21"/>
  <c r="AH92" i="21"/>
  <c r="AH85" i="21"/>
  <c r="AH90" i="21"/>
  <c r="AH97" i="21"/>
  <c r="AH98" i="21"/>
  <c r="AH74" i="21"/>
  <c r="E80" i="21"/>
  <c r="E79" i="21"/>
  <c r="E76" i="21"/>
  <c r="E73" i="21"/>
  <c r="E74" i="21"/>
  <c r="E75" i="21"/>
  <c r="K80" i="21"/>
  <c r="K79" i="21"/>
  <c r="K74" i="21"/>
  <c r="K75" i="21"/>
  <c r="K73" i="21"/>
  <c r="K76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AD72" i="21"/>
  <c r="AD67" i="21"/>
  <c r="AD66" i="21"/>
  <c r="AD65" i="21"/>
  <c r="AD75" i="21"/>
  <c r="AD73" i="21"/>
  <c r="AD76" i="21"/>
  <c r="AD70" i="21"/>
  <c r="AD69" i="21"/>
  <c r="AD71" i="21"/>
  <c r="AH72" i="21"/>
  <c r="AH66" i="21"/>
  <c r="AH65" i="21"/>
  <c r="AH67" i="21"/>
  <c r="AH75" i="21"/>
  <c r="AH73" i="21"/>
  <c r="AH76" i="21"/>
  <c r="AH83" i="21"/>
  <c r="AH71" i="21"/>
  <c r="AH69" i="21"/>
  <c r="AD83" i="21"/>
  <c r="AD97" i="21"/>
  <c r="AD99" i="21"/>
  <c r="AD100" i="21"/>
  <c r="AD95" i="21"/>
  <c r="AD80" i="21"/>
  <c r="AD94" i="21"/>
  <c r="AD74" i="21"/>
  <c r="AD78" i="21"/>
  <c r="AD88" i="21"/>
  <c r="AD79" i="21"/>
  <c r="AD87" i="21"/>
  <c r="AD81" i="21"/>
  <c r="AD82" i="21"/>
  <c r="AD96" i="21"/>
  <c r="AD92" i="21"/>
  <c r="AD77" i="21"/>
  <c r="AD89" i="21"/>
  <c r="AD98" i="21"/>
  <c r="AD91" i="21"/>
  <c r="AD86" i="21"/>
  <c r="AD85" i="21"/>
  <c r="AD90" i="21"/>
  <c r="AD84" i="21"/>
  <c r="AD93" i="21"/>
  <c r="Y99" i="21"/>
  <c r="Y83" i="21"/>
  <c r="Y86" i="21"/>
  <c r="Y93" i="21"/>
  <c r="Y77" i="21"/>
  <c r="Y90" i="21"/>
  <c r="Y94" i="21"/>
  <c r="Y87" i="21"/>
  <c r="Y100" i="21"/>
  <c r="Y80" i="21"/>
  <c r="Y92" i="21"/>
  <c r="Y91" i="21"/>
  <c r="Y78" i="21"/>
  <c r="Y82" i="21"/>
  <c r="Y97" i="21"/>
  <c r="Y79" i="21"/>
  <c r="Y98" i="21"/>
  <c r="Y81" i="21"/>
  <c r="Y85" i="21"/>
  <c r="Y95" i="21"/>
  <c r="Y89" i="21"/>
  <c r="Y84" i="21"/>
  <c r="Y96" i="21"/>
  <c r="Y74" i="21"/>
  <c r="Y88" i="2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X70" i="21"/>
  <c r="X72" i="21"/>
  <c r="X100" i="21"/>
  <c r="X73" i="21"/>
  <c r="X75" i="21"/>
  <c r="X69" i="21"/>
  <c r="X67" i="21"/>
  <c r="X71" i="21"/>
  <c r="X66" i="21"/>
  <c r="X98" i="21"/>
  <c r="X93" i="21"/>
  <c r="X89" i="21"/>
  <c r="X85" i="21"/>
  <c r="X81" i="21"/>
  <c r="X77" i="21"/>
  <c r="X95" i="21"/>
  <c r="X90" i="21"/>
  <c r="X86" i="21"/>
  <c r="X82" i="21"/>
  <c r="X78" i="21"/>
  <c r="X96" i="21"/>
  <c r="X92" i="21"/>
  <c r="X88" i="21"/>
  <c r="X84" i="21"/>
  <c r="X80" i="21"/>
  <c r="X74" i="21"/>
  <c r="X94" i="21"/>
  <c r="X91" i="21"/>
  <c r="X87" i="21"/>
  <c r="X83" i="21"/>
  <c r="X79" i="21"/>
  <c r="X97" i="21"/>
  <c r="X99" i="21"/>
  <c r="Y102" i="21"/>
  <c r="AH102" i="21"/>
  <c r="AD102" i="21"/>
  <c r="AE91" i="21"/>
  <c r="AE78" i="21"/>
  <c r="AE82" i="21"/>
  <c r="AE96" i="21"/>
  <c r="AE79" i="21"/>
  <c r="AE99" i="21"/>
  <c r="AE77" i="21"/>
  <c r="AE87" i="21"/>
  <c r="AE95" i="21"/>
  <c r="AE83" i="21"/>
  <c r="AE88" i="21"/>
  <c r="AE89" i="21"/>
  <c r="AE74" i="21"/>
  <c r="AE94" i="21"/>
  <c r="AE97" i="21"/>
  <c r="AE90" i="21"/>
  <c r="AE86" i="21"/>
  <c r="AE80" i="21"/>
  <c r="AE81" i="21"/>
  <c r="AE85" i="21"/>
  <c r="AE84" i="21"/>
  <c r="AE100" i="21"/>
  <c r="AE93" i="21"/>
  <c r="AE92" i="21"/>
  <c r="AE98" i="21"/>
  <c r="AE102" i="21" l="1"/>
  <c r="AG85" i="21"/>
  <c r="AG83" i="21"/>
  <c r="AG95" i="21"/>
  <c r="AG93" i="21"/>
  <c r="AG87" i="21"/>
  <c r="AG86" i="21"/>
  <c r="AG80" i="21"/>
  <c r="AG88" i="21"/>
  <c r="AG89" i="21"/>
  <c r="AG77" i="21"/>
  <c r="AG100" i="21"/>
  <c r="AG78" i="21"/>
  <c r="AG92" i="21"/>
  <c r="AG90" i="21"/>
  <c r="AG81" i="21"/>
  <c r="AG84" i="21"/>
  <c r="AG91" i="21"/>
  <c r="AG74" i="21"/>
  <c r="AG99" i="21"/>
  <c r="AG96" i="21"/>
  <c r="AG97" i="21"/>
  <c r="AG79" i="21"/>
  <c r="AG94" i="21"/>
  <c r="AG98" i="21"/>
  <c r="AG82" i="21"/>
  <c r="AB85" i="21"/>
  <c r="AB84" i="21"/>
  <c r="AB95" i="21"/>
  <c r="AB98" i="21"/>
  <c r="AB96" i="21"/>
  <c r="AB86" i="21"/>
  <c r="AB93" i="21"/>
  <c r="AB74" i="21"/>
  <c r="AB92" i="21"/>
  <c r="AB90" i="21"/>
  <c r="AB77" i="21"/>
  <c r="AB78" i="21"/>
  <c r="AB89" i="21"/>
  <c r="AB79" i="21"/>
  <c r="AB87" i="21"/>
  <c r="AB88" i="21"/>
  <c r="AB94" i="21"/>
  <c r="AB81" i="21"/>
  <c r="AB80" i="21"/>
  <c r="AB83" i="21"/>
  <c r="AB97" i="21"/>
  <c r="AB100" i="21"/>
  <c r="AB99" i="21"/>
  <c r="AB91" i="21"/>
  <c r="AB82" i="21"/>
  <c r="AF78" i="21"/>
  <c r="AF89" i="21"/>
  <c r="AF85" i="21"/>
  <c r="AF93" i="21"/>
  <c r="AF81" i="21"/>
  <c r="AF92" i="21"/>
  <c r="AF79" i="21"/>
  <c r="AF87" i="21"/>
  <c r="AF100" i="21"/>
  <c r="AF80" i="21"/>
  <c r="AF83" i="21"/>
  <c r="AF84" i="21"/>
  <c r="AF96" i="21"/>
  <c r="AF95" i="21"/>
  <c r="AF91" i="21"/>
  <c r="AF82" i="21"/>
  <c r="AF94" i="21"/>
  <c r="AF74" i="21"/>
  <c r="AF86" i="21"/>
  <c r="AF77" i="21"/>
  <c r="AF90" i="21"/>
  <c r="AF97" i="21"/>
  <c r="AF98" i="21"/>
  <c r="AF88" i="21"/>
  <c r="AF99" i="2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AI78" i="21"/>
  <c r="AI74" i="21"/>
  <c r="AI98" i="21"/>
  <c r="AI89" i="21"/>
  <c r="AI81" i="21"/>
  <c r="AI97" i="21"/>
  <c r="AI91" i="21"/>
  <c r="AI82" i="21"/>
  <c r="AI96" i="21"/>
  <c r="AI95" i="21"/>
  <c r="AI77" i="21"/>
  <c r="AI80" i="21"/>
  <c r="AI86" i="21"/>
  <c r="AI93" i="21"/>
  <c r="AI85" i="21"/>
  <c r="AI88" i="21"/>
  <c r="AI84" i="21"/>
  <c r="AI92" i="21"/>
  <c r="AI87" i="21"/>
  <c r="AI99" i="21"/>
  <c r="AI100" i="21"/>
  <c r="AI90" i="21"/>
  <c r="AI79" i="21"/>
  <c r="AI94" i="21"/>
  <c r="AA104" i="21"/>
  <c r="AA105" i="21" s="1"/>
  <c r="Z104" i="21"/>
  <c r="Z105" i="21" s="1"/>
  <c r="AB102" i="21" l="1"/>
  <c r="AF102" i="21"/>
  <c r="AI102" i="21"/>
  <c r="AG102" i="21"/>
  <c r="AC104" i="21"/>
  <c r="AC105" i="21" s="1"/>
  <c r="H87" i="1"/>
  <c r="AE104" i="21" l="1"/>
  <c r="AE105" i="21" s="1"/>
  <c r="Y104" i="21"/>
  <c r="Y105" i="21" s="1"/>
  <c r="AH104" i="21"/>
  <c r="AH105" i="21" s="1"/>
  <c r="AD104" i="21"/>
  <c r="AD105" i="21" s="1"/>
  <c r="AI104" i="21"/>
  <c r="AI105" i="21" s="1"/>
  <c r="AF104" i="21"/>
  <c r="AF105" i="21" s="1"/>
  <c r="AB104" i="21"/>
  <c r="AB105" i="21" s="1"/>
  <c r="AG104" i="21"/>
  <c r="AG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H35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H39" i="1" l="1"/>
  <c r="H38" i="1"/>
  <c r="H37" i="1"/>
  <c r="H36" i="1"/>
  <c r="H81" i="1" l="1"/>
  <c r="H80" i="1"/>
  <c r="H79" i="1"/>
  <c r="H78" i="1"/>
  <c r="AE66" i="8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H4" i="1"/>
  <c r="H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H11" i="1"/>
  <c r="H10" i="1"/>
  <c r="H7" i="1"/>
  <c r="H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<sst xmlns="http://schemas.openxmlformats.org/spreadsheetml/2006/main" count="2460" uniqueCount="613">
  <si>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</si>
  <si>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</si>
  <si>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</si>
  <si>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</si>
  <si>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</si>
  <si>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</si>
  <si>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</si>
  <si>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</si>
  <si>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</si>
  <si>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</si>
  <si>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</si>
  <si>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</si>
  <si>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</si>
  <si>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</si>
  <si>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</si>
  <si>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</si>
  <si>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</si>
  <si>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</si>
  <si>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</si>
  <si>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</si>
  <si>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</si>
  <si>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</si>
  <si>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</si>
  <si>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</si>
  <si>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</si>
  <si>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</si>
  <si>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</si>
  <si>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</si>
  <si>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</si>
  <si>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</si>
  <si>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</si>
  <si>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</si>
  <si>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</si>
  <si>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</si>
  <si>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</si>
  <si>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</si>
  <si>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</si>
  <si>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</si>
  <si>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</si>
  <si>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</si>
  <si>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</si>
  <si>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</si>
  <si>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</si>
  <si>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</si>
  <si>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</si>
  <si>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</si>
  <si>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</si>
  <si>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</si>
  <si>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</si>
  <si>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</si>
  <si>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</si>
  <si>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</si>
  <si>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</si>
  <si>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</si>
  <si>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</si>
  <si>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</si>
  <si>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</si>
  <si>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</si>
  <si>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</si>
  <si>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</si>
  <si>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</si>
  <si>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</si>
  <si>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</si>
  <si>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</si>
  <si>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</si>
  <si>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</si>
  <si>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</si>
  <si>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</si>
  <si>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</si>
  <si>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</si>
  <si>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</si>
  <si>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</si>
  <si>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</si>
  <si>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</si>
  <si>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</si>
  <si>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</si>
  <si>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</si>
  <si>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</si>
  <si>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</si>
  <si>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</si>
  <si>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</si>
  <si>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</si>
  <si>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</si>
  <si>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</si>
  <si>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</si>
  <si>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</si>
  <si>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</si>
  <si>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</si>
  <si>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</si>
  <si>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</si>
  <si>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</si>
  <si>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</si>
  <si>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</si>
  <si>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</si>
  <si>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</si>
  <si>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</si>
  <si>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</si>
  <si>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</si>
  <si>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</si>
  <si>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</si>
  <si>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</si>
  <si>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</si>
  <si>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</si>
  <si>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</si>
  <si>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</si>
  <si>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</si>
  <si>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</si>
  <si>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</si>
  <si>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</si>
  <si>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</si>
  <si>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</si>
  <si>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</si>
  <si>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</si>
  <si>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</si>
  <si>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</si>
  <si>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</si>
  <si>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</si>
  <si>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</si>
  <si>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</si>
  <si>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</si>
  <si>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</si>
  <si>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</si>
  <si>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</si>
  <si>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</si>
  <si>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</si>
  <si>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</si>
  <si>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</si>
  <si>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</si>
  <si>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</si>
  <si>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</si>
  <si>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</si>
  <si>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</si>
  <si>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</si>
  <si>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</si>
  <si>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</si>
  <si>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</si>
  <si>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</si>
  <si>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</si>
  <si>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</si>
  <si>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</si>
  <si>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</si>
  <si>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</si>
  <si>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</si>
  <si>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</si>
  <si>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</si>
  <si>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</si>
  <si>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</si>
  <si>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</si>
  <si>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</si>
  <si>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</si>
  <si>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</si>
  <si>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</si>
  <si>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</si>
  <si>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</si>
  <si>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</si>
  <si>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</si>
  <si>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</si>
  <si>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</si>
  <si>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</si>
  <si>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</si>
  <si>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</si>
  <si>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</si>
  <si>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</si>
  <si>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</si>
  <si>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</si>
  <si>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</si>
  <si>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</si>
  <si>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</si>
  <si>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</si>
  <si>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</si>
  <si>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</si>
  <si>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</si>
  <si>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</si>
  <si>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</si>
  <si>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</si>
  <si>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</si>
  <si>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</si>
  <si>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</si>
  <si>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</si>
  <si>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</si>
  <si>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</si>
  <si>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</si>
  <si>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</si>
  <si>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</si>
  <si>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</si>
  <si>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</si>
  <si>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</si>
  <si>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</si>
  <si>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</si>
  <si>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</si>
  <si>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</si>
  <si>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</si>
  <si>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</si>
  <si>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</si>
  <si>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</si>
  <si>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</si>
  <si>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</si>
  <si>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</si>
  <si>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</si>
  <si>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</si>
  <si>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</si>
  <si>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</si>
  <si>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</si>
  <si>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</si>
  <si>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</si>
  <si>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</si>
  <si>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</si>
  <si>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</si>
  <si>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</si>
  <si>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</si>
  <si>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</si>
  <si>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</si>
  <si>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</si>
  <si>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</si>
  <si>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</si>
  <si>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</si>
  <si>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</si>
  <si>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</si>
  <si>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</si>
  <si>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</si>
  <si>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</si>
  <si>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</si>
  <si>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</si>
  <si>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</si>
  <si>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</si>
  <si>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</si>
  <si>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</si>
  <si>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</si>
  <si>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</si>
  <si>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</si>
  <si>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</si>
  <si>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</si>
  <si>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</si>
  <si>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</si>
  <si>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</si>
  <si>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</si>
  <si>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</si>
  <si>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</si>
  <si>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</si>
  <si>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</si>
  <si>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</si>
  <si>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</si>
  <si>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</si>
  <si>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</si>
  <si>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</si>
  <si>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</si>
  <si>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</si>
  <si>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</si>
  <si>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</si>
  <si>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</si>
  <si>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</si>
  <si>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</si>
  <si>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</si>
  <si>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</si>
  <si>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</si>
  <si>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</si>
  <si>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</si>
  <si>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</si>
  <si>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</si>
  <si>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</si>
  <si>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</si>
  <si>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</si>
  <si>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</si>
  <si>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</si>
  <si>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</si>
  <si>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</si>
  <si>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</si>
  <si>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</si>
  <si>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</si>
  <si>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</si>
  <si>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</si>
  <si>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</si>
  <si>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</si>
  <si>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</si>
  <si>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</si>
  <si>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</si>
  <si>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</si>
  <si>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</si>
  <si>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</si>
  <si>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</si>
  <si>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</si>
  <si>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</si>
  <si>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</si>
  <si>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</si>
  <si>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</si>
  <si>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</si>
  <si>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</si>
  <si>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</si>
  <si>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</si>
  <si>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</si>
  <si>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</si>
  <si>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</si>
  <si>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</si>
  <si>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</si>
  <si>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</si>
  <si>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</si>
  <si>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</si>
  <si>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</si>
  <si>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</si>
  <si>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</si>
  <si>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</si>
  <si>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</si>
  <si>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</si>
  <si>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</si>
  <si>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</si>
  <si>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</si>
  <si>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</si>
  <si>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</si>
  <si>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</si>
  <si>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</si>
  <si>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</si>
  <si>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</si>
  <si>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</si>
  <si>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</si>
  <si>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</si>
  <si>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</si>
  <si>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</si>
  <si>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jmf. SJV eko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</si>
  <si>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</si>
  <si>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</si>
  <si>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</si>
  <si>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</si>
  <si>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</si>
  <si>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</si>
  <si>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</si>
  <si>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</si>
  <si>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</si>
  <si>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</si>
  <si>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</si>
  <si>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</si>
  <si>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</si>
  <si>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</si>
  <si>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</si>
  <si>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</si>
  <si>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</si>
  <si>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</si>
  <si>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</si>
  <si>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</si>
  <si>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</si>
  <si>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</si>
  <si>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</si>
  <si>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</si>
  <si>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</si>
  <si>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</si>
  <si>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</si>
  <si>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</si>
  <si>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</si>
  <si>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</si>
  <si>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</si>
  <si>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</si>
  <si>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</si>
  <si>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</si>
  <si>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</si>
  <si>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</si>
  <si>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</si>
  <si>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</si>
  <si>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</si>
  <si>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</si>
  <si>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</si>
  <si>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</si>
  <si>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</si>
  <si>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</si>
  <si>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</si>
  <si>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</si>
  <si>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</si>
  <si>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</si>
  <si>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</si>
  <si>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</si>
  <si>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</si>
  <si>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</si>
  <si>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</si>
  <si>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</si>
  <si>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</si>
  <si>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</si>
  <si>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</si>
  <si>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</si>
  <si>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</si>
  <si>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</si>
  <si>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</si>
  <si>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</si>
  <si>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</si>
  <si>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</si>
  <si>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</si>
  <si>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</si>
  <si>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</si>
  <si>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</si>
  <si>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</si>
  <si>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</si>
  <si>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</si>
  <si>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</si>
  <si>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</si>
  <si>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</si>
  <si>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energy_adjustment_factor</t>
  </si>
  <si>
    <t>Spörndly (2003). Tabell 4b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</si>
  <si>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</si>
  <si>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</si>
  <si>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</si>
  <si>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</si>
  <si>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</si>
  <si>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</si>
  <si>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</si>
  <si>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</si>
  <si>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</si>
  <si>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</si>
  <si>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</si>
  <si>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</si>
  <si>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</si>
  <si>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</si>
  <si>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</si>
  <si>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</si>
  <si>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</si>
  <si>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</si>
  <si>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</si>
  <si>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</si>
  <si>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</si>
  <si>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</si>
  <si>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</si>
  <si>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</si>
  <si>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</si>
  <si>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</si>
  <si>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</si>
  <si>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</si>
  <si>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</si>
  <si>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</si>
  <si>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</si>
  <si>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</si>
  <si>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</si>
  <si>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</si>
  <si>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</si>
  <si>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</si>
  <si>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</si>
  <si>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</si>
  <si>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</si>
  <si>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</si>
  <si>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</si>
  <si>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</si>
  <si>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</si>
  <si>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</si>
  <si>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</si>
  <si>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</si>
  <si>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</si>
  <si>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</si>
  <si>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</si>
  <si>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</si>
  <si>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</si>
  <si>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</si>
  <si>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</si>
  <si>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</si>
  <si>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</si>
  <si>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</si>
  <si>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</si>
  <si>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</si>
  <si>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</si>
  <si>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</si>
  <si>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</si>
  <si>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</si>
  <si>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</si>
  <si>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</si>
  <si>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</si>
  <si>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</si>
  <si>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</si>
  <si>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</si>
  <si>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</si>
  <si>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</si>
  <si>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</si>
  <si>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</si>
  <si>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</si>
  <si>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</si>
  <si>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</si>
  <si>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</si>
  <si>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</si>
  <si>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</si>
  <si>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</si>
  <si>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</si>
  <si>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</si>
  <si>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</si>
  <si>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</si>
  <si>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</si>
  <si>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</si>
  <si>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</si>
  <si>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</si>
  <si>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</si>
  <si>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</si>
  <si>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</si>
  <si>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</si>
  <si>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</si>
  <si>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</si>
  <si>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</si>
  <si>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</si>
  <si>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</si>
  <si>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</si>
  <si>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</si>
  <si>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</si>
  <si>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</si>
  <si>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</si>
  <si>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</si>
  <si>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</si>
  <si>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</si>
  <si>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</si>
  <si>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</si>
  <si>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</si>
  <si>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</si>
  <si>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</si>
  <si>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</si>
  <si>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</si>
  <si>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</si>
  <si>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</si>
  <si>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</si>
  <si>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</si>
  <si>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</si>
  <si>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</si>
  <si>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</si>
  <si>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</si>
  <si>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</si>
  <si>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</si>
  <si>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</si>
  <si>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</si>
  <si>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</si>
  <si>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</si>
  <si>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</si>
  <si>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</si>
  <si>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</si>
  <si>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</si>
  <si>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</si>
  <si>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</si>
  <si>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</si>
  <si>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</si>
  <si>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</si>
  <si>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</si>
  <si>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</si>
  <si>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</si>
  <si>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</si>
  <si>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</si>
  <si>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</si>
  <si>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</si>
  <si>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</si>
  <si>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</si>
  <si>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</si>
  <si>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</si>
  <si>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</si>
  <si>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</si>
  <si>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</si>
  <si>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</si>
  <si>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</si>
  <si>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</si>
  <si>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</si>
  <si>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</si>
  <si>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</si>
  <si>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</si>
  <si>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</si>
  <si>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</si>
  <si>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</si>
  <si>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</si>
  <si>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</si>
  <si>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</si>
  <si>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</si>
  <si>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</si>
  <si>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</si>
  <si>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</si>
  <si>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</si>
  <si>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</si>
  <si>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</si>
  <si>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</si>
  <si>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</si>
  <si>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</si>
  <si>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</si>
  <si>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</si>
  <si>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</si>
  <si>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</si>
  <si>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</si>
  <si>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indoors_during_grazing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</si>
  <si>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</si>
  <si>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</si>
  <si>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</si>
  <si>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</si>
  <si>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</si>
  <si>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</si>
  <si>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https://www.gardochdjurhalsan.se/mer-mjolk-till-smakalvar/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</si>
  <si>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</si>
  <si>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</si>
  <si>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</si>
  <si>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</si>
  <si>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</si>
  <si>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</si>
  <si>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</si>
  <si>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</si>
  <si>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</si>
  <si>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</si>
  <si>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</si>
  <si>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</si>
  <si>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Rough assumption, but small figure as artificial insemination is dominating</t>
  </si>
  <si>
    <t>Assumed same as for beef</t>
  </si>
  <si>
    <t>Energy</t>
  </si>
  <si>
    <t>Protein (AAT)</t>
  </si>
  <si>
    <t>AAT_factor</t>
  </si>
  <si>
    <t>g AAT/MJ ME</t>
  </si>
  <si>
    <t>Spörndly (2003). Tabell 5</t>
  </si>
  <si>
    <t>Rough for now… 7.5 @ 40-75 kg LW … 6.5 @ &gt;275 kg LW</t>
  </si>
  <si>
    <t>Dry matter intake</t>
  </si>
  <si>
    <t>max_DMI</t>
  </si>
  <si>
    <t>https://pir.sa.gov.au/__data/assets/pdf_file/0007/272869/Calculating_dry_matter_intakes.pdf</t>
  </si>
  <si>
    <t>kg DM/head/day</t>
  </si>
  <si>
    <t>handle pre weaing</t>
  </si>
  <si>
    <t>Protein (PBV)</t>
  </si>
  <si>
    <t>max_PBV</t>
  </si>
  <si>
    <t>g PBV/head/day</t>
  </si>
  <si>
    <t>min_PBV</t>
  </si>
  <si>
    <t>max_PBV_per_ME</t>
  </si>
  <si>
    <t>g PBV/MJ ME</t>
  </si>
  <si>
    <t>min_PBV_per_ME</t>
  </si>
  <si>
    <t>Same as growing animals?</t>
  </si>
  <si>
    <t>max_fat</t>
  </si>
  <si>
    <t>Spörndly (2003)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</si>
</sst>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3" fillId="0" borderId="0" applyNumberFormat="0" applyFill="0" applyBorder="0" applyAlignment="0" applyProtection="0"/>
  </cellStyleXfs>
  <cellXfs count="273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0" fillId="37" borderId="0" xfId="0" applyNumberFormat="1" applyFont="1" applyFill="1"/>
    <xf numFmtId="0" fontId="0" fillId="38" borderId="0" xfId="0" applyFill="1" applyAlignment="1">
      <alignment horizontal="center"/>
    </xf>
    <xf numFmtId="1" fontId="41" fillId="41" borderId="0" xfId="0" applyNumberFormat="1" applyFont="1" applyFill="1" applyBorder="1"/>
    <xf numFmtId="3" fontId="41" fillId="34" borderId="14" xfId="0" applyNumberFormat="1" applyFont="1" applyFill="1" applyBorder="1"/>
    <xf numFmtId="0" fontId="41" fillId="37" borderId="13" xfId="0" applyFont="1" applyFill="1" applyBorder="1"/>
    <xf numFmtId="1" fontId="41" fillId="33" borderId="13" xfId="0" applyNumberFormat="1" applyFont="1" applyFill="1" applyBorder="1"/>
    <xf numFmtId="1" fontId="41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1" fillId="37" borderId="0" xfId="0" applyNumberFormat="1" applyFont="1" applyFill="1" applyBorder="1" applyAlignment="1">
      <alignment horizontal="center"/>
    </xf>
    <xf numFmtId="0" fontId="42" fillId="35" borderId="0" xfId="0" applyFont="1" applyFill="1"/>
    <xf numFmtId="0" fontId="43" fillId="0" borderId="0" xfId="43"/>
    <xf numFmtId="1" fontId="45" fillId="42" borderId="0" xfId="0" applyNumberFormat="1" applyFont="1" applyFill="1"/>
    <xf numFmtId="0" fontId="45" fillId="42" borderId="0" xfId="0" applyFont="1" applyFill="1"/>
    <xf numFmtId="0" fontId="45" fillId="0" borderId="0" xfId="0" applyFont="1" applyAlignment="1">
      <alignment horizontal="right"/>
    </xf>
    <xf numFmtId="2" fontId="45" fillId="0" borderId="0" xfId="0" applyNumberFormat="1" applyFont="1"/>
    <xf numFmtId="0" fontId="44" fillId="0" borderId="0" xfId="0" applyFont="1" applyFill="1"/>
    <xf numFmtId="0" fontId="44" fillId="0" borderId="0" xfId="0" applyFont="1" applyFill="1" applyAlignment="1">
      <alignment horizontal="right"/>
    </xf>
    <xf numFmtId="164" fontId="44" fillId="0" borderId="0" xfId="0" applyNumberFormat="1" applyFont="1" applyFill="1" applyAlignment="1">
      <alignment horizontal="center"/>
    </xf>
    <xf numFmtId="1" fontId="45" fillId="0" borderId="0" xfId="0" applyNumberFormat="1" applyFont="1" applyFill="1"/>
    <xf numFmtId="164" fontId="20" fillId="0" borderId="0" xfId="0" applyNumberFormat="1" applyFont="1"/>
    <xf numFmtId="167" fontId="20" fillId="0" borderId="0" xfId="0" applyNumberFormat="1" applyFont="1"/>
    <xf numFmtId="0" fontId="46" fillId="0" borderId="0" xfId="0" applyFont="1" applyAlignment="1">
      <alignment horizontal="right"/>
    </xf>
    <xf numFmtId="2" fontId="46" fillId="0" borderId="0" xfId="0" applyNumberFormat="1" applyFont="1"/>
    <xf numFmtId="1" fontId="33" fillId="0" borderId="0" xfId="0" applyNumberFormat="1" applyFon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39" fillId="41" borderId="14" xfId="0" applyFont="1" applyFill="1" applyBorder="1" applyAlignment="1">
      <alignment horizontal="left" vertical="center" wrapText="1"/>
    </xf>
    <xf numFmtId="0" fontId="39" fillId="39" borderId="0" xfId="0" applyFont="1" applyFill="1" applyBorder="1" applyAlignment="1">
      <alignment horizontal="center" vertical="center" wrapText="1"/>
    </xf>
    <xf numFmtId="0" fontId="39" fillId="38" borderId="0" xfId="0" applyFont="1" applyFill="1" applyBorder="1" applyAlignment="1">
      <alignment horizontal="center" vertical="center" wrapText="1"/>
    </xf>
    <xf numFmtId="0" fontId="39" fillId="40" borderId="0" xfId="0" applyFont="1" applyFill="1" applyBorder="1" applyAlignment="1">
      <alignment horizontal="center" vertical="center"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ir.sa.gov.au/__data/assets/pdf_file/0007/272869/Calculating_dry_matter_intakes.pdf" TargetMode="External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8" t="s">
        <v>311</v>
      </c>
    </row>
    <row r="2" spans="1:1" x14ac:dyDescent="0.25">
      <c r="A2" t="s">
        <v>571</v>
      </c>
    </row>
    <row r="3" spans="1:1" x14ac:dyDescent="0.25">
      <c r="A3" t="s">
        <v>581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146"/>
  <sheetViews>
    <sheetView tabSelected="1" zoomScale="80" zoomScaleNormal="80" workbookViewId="0">
      <pane ySplit="1" topLeftCell="A89" activePane="bottomLeft" state="frozen"/>
      <selection pane="bottomLeft" activeCell="J122" sqref="J122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8.7109375" bestFit="1" customWidth="1"/>
    <col min="4" max="4" width="8.7109375" customWidth="1"/>
    <col min="5" max="5" width="10.28515625" customWidth="1"/>
    <col min="6" max="6" width="8.7109375" customWidth="1"/>
    <col min="7" max="7" width="35.5703125" bestFit="1" customWidth="1"/>
    <col min="8" max="8" width="12" bestFit="1" customWidth="1"/>
    <col min="9" max="9" width="12.140625" bestFit="1" customWidth="1"/>
    <col min="10" max="10" width="55.7109375" customWidth="1"/>
    <col min="11" max="11" width="37.42578125" bestFit="1" customWidth="1"/>
  </cols>
  <sheetData>
    <row r="1" spans="1:11" x14ac:dyDescent="0.25">
      <c r="A1" s="6" t="s">
        <v>47</v>
      </c>
      <c r="B1" s="6" t="s">
        <v>283</v>
      </c>
      <c r="C1" s="6" t="s">
        <v>48</v>
      </c>
      <c r="D1" s="6" t="s">
        <v>308</v>
      </c>
      <c r="E1" s="6" t="s">
        <v>315</v>
      </c>
      <c r="F1" s="6" t="s">
        <v>316</v>
      </c>
      <c r="G1" s="6" t="s">
        <v>43</v>
      </c>
      <c r="H1" s="6" t="s">
        <v>0</v>
      </c>
      <c r="I1" s="6" t="s">
        <v>44</v>
      </c>
      <c r="J1" s="6" t="s">
        <v>45</v>
      </c>
      <c r="K1" s="6" t="s">
        <v>46</v>
      </c>
    </row>
    <row r="2" spans="1:11" x14ac:dyDescent="0.25">
      <c r="A2" s="94" t="s">
        <v>285</v>
      </c>
      <c r="B2" s="94"/>
      <c r="C2" s="95"/>
      <c r="D2" s="95"/>
      <c r="E2" s="95"/>
      <c r="F2" s="95"/>
      <c r="G2" s="95"/>
      <c r="H2" s="95"/>
      <c r="I2" s="95"/>
      <c r="J2" s="95"/>
      <c r="K2" s="95"/>
    </row>
    <row r="3" spans="1:11" x14ac:dyDescent="0.25">
      <c r="A3" s="97" t="s">
        <v>290</v>
      </c>
      <c r="B3" s="97"/>
      <c r="C3" s="98"/>
      <c r="D3" s="98"/>
      <c r="E3" s="98"/>
      <c r="F3" s="98"/>
      <c r="G3" s="98"/>
      <c r="H3" s="99"/>
      <c r="I3" s="98"/>
      <c r="J3" s="98"/>
      <c r="K3" s="98"/>
    </row>
    <row r="4" spans="1:11" x14ac:dyDescent="0.25">
      <c r="A4" t="s">
        <v>2</v>
      </c>
      <c r="B4" t="s">
        <v>1</v>
      </c>
      <c r="G4" t="s">
        <v>39</v>
      </c>
      <c r="H4" s="2">
        <f>AVERAGE(9829,9903,9953,10112,10330)</f>
        <v>10025.4</v>
      </c>
      <c r="I4" t="s">
        <v>40</v>
      </c>
      <c r="J4" t="s">
        <v>370</v>
      </c>
      <c r="K4" t="s">
        <v>49</v>
      </c>
    </row>
    <row r="5" spans="1:11" x14ac:dyDescent="0.25">
      <c r="A5" t="s">
        <v>2</v>
      </c>
      <c r="B5" t="s">
        <v>1</v>
      </c>
      <c r="G5" t="s">
        <v>574</v>
      </c>
      <c r="H5" s="110">
        <v>8</v>
      </c>
      <c r="I5" s="93" t="s">
        <v>9</v>
      </c>
      <c r="J5" s="93" t="s">
        <v>578</v>
      </c>
      <c r="K5" t="s">
        <v>280</v>
      </c>
    </row>
    <row r="6" spans="1:11" x14ac:dyDescent="0.25">
      <c r="A6" t="s">
        <v>2</v>
      </c>
      <c r="B6" t="s">
        <v>1</v>
      </c>
      <c r="G6" t="s">
        <v>41</v>
      </c>
      <c r="H6" s="1">
        <f>AVERAGE(4.3,4.2,4.2,4.3,4.3)</f>
        <v>4.26</v>
      </c>
      <c r="I6" t="s">
        <v>9</v>
      </c>
      <c r="K6" t="s">
        <v>49</v>
      </c>
    </row>
    <row r="7" spans="1:11" x14ac:dyDescent="0.25">
      <c r="A7" t="s">
        <v>2</v>
      </c>
      <c r="B7" t="s">
        <v>1</v>
      </c>
      <c r="G7" t="s">
        <v>42</v>
      </c>
      <c r="H7" s="1">
        <f>AVERAGE(3.5,3.6,3.5,3.6,3.6)</f>
        <v>3.56</v>
      </c>
      <c r="I7" t="s">
        <v>9</v>
      </c>
      <c r="K7" t="s">
        <v>49</v>
      </c>
    </row>
    <row r="8" spans="1:11" x14ac:dyDescent="0.25">
      <c r="A8" t="s">
        <v>2</v>
      </c>
      <c r="B8" t="s">
        <v>5</v>
      </c>
      <c r="G8" t="s">
        <v>39</v>
      </c>
      <c r="H8" s="2">
        <f>AVERAGE(9135,9246,9280,9499,9676)</f>
        <v>9367.2000000000007</v>
      </c>
      <c r="I8" t="s">
        <v>40</v>
      </c>
      <c r="K8" t="s">
        <v>49</v>
      </c>
    </row>
    <row r="9" spans="1:11" x14ac:dyDescent="0.25">
      <c r="A9" t="s">
        <v>2</v>
      </c>
      <c r="B9" t="s">
        <v>5</v>
      </c>
      <c r="G9" t="s">
        <v>574</v>
      </c>
      <c r="H9" s="110">
        <v>8</v>
      </c>
      <c r="I9" s="93" t="s">
        <v>9</v>
      </c>
      <c r="J9" s="93" t="s">
        <v>578</v>
      </c>
      <c r="K9" t="s">
        <v>280</v>
      </c>
    </row>
    <row r="10" spans="1:11" x14ac:dyDescent="0.25">
      <c r="A10" t="s">
        <v>2</v>
      </c>
      <c r="B10" t="s">
        <v>5</v>
      </c>
      <c r="G10" t="s">
        <v>41</v>
      </c>
      <c r="H10" s="1">
        <f>AVERAGE(4.2,4.1,4.1,4.1,4.2)</f>
        <v>4.1399999999999997</v>
      </c>
      <c r="I10" t="s">
        <v>9</v>
      </c>
      <c r="K10" t="s">
        <v>49</v>
      </c>
    </row>
    <row r="11" spans="1:11" x14ac:dyDescent="0.25">
      <c r="A11" t="s">
        <v>2</v>
      </c>
      <c r="B11" t="s">
        <v>5</v>
      </c>
      <c r="G11" t="s">
        <v>42</v>
      </c>
      <c r="H11" s="1">
        <f>AVERAGE(3.4,3.4,3.4,3.5,3.5)</f>
        <v>3.44</v>
      </c>
      <c r="I11" t="s">
        <v>9</v>
      </c>
      <c r="K11" t="s">
        <v>49</v>
      </c>
    </row>
    <row r="12" spans="1:11" x14ac:dyDescent="0.25">
      <c r="H12" s="2"/>
    </row>
    <row r="13" spans="1:11" x14ac:dyDescent="0.25">
      <c r="A13" s="94" t="s">
        <v>286</v>
      </c>
      <c r="B13" s="94"/>
      <c r="C13" s="95"/>
      <c r="D13" s="95"/>
      <c r="E13" s="95"/>
      <c r="F13" s="95"/>
      <c r="G13" s="95"/>
      <c r="H13" s="96"/>
      <c r="I13" s="95"/>
      <c r="J13" s="95"/>
      <c r="K13" s="95"/>
    </row>
    <row r="14" spans="1:11" x14ac:dyDescent="0.25">
      <c r="A14" s="97" t="s">
        <v>290</v>
      </c>
      <c r="B14" s="97"/>
      <c r="C14" s="98"/>
      <c r="D14" s="98"/>
      <c r="E14" s="98"/>
      <c r="F14" s="98"/>
      <c r="G14" s="98"/>
      <c r="H14" s="99"/>
      <c r="I14" s="98"/>
      <c r="J14" s="98"/>
      <c r="K14" s="98"/>
    </row>
    <row r="15" spans="1:11" x14ac:dyDescent="0.25">
      <c r="A15" t="s">
        <v>2</v>
      </c>
      <c r="B15" t="s">
        <v>1</v>
      </c>
      <c r="G15" t="s">
        <v>3</v>
      </c>
      <c r="H15">
        <v>13.2</v>
      </c>
      <c r="I15" t="s">
        <v>4</v>
      </c>
    </row>
    <row r="16" spans="1:11" x14ac:dyDescent="0.25">
      <c r="A16" t="s">
        <v>2</v>
      </c>
      <c r="B16" t="s">
        <v>5</v>
      </c>
      <c r="G16" t="s">
        <v>3</v>
      </c>
      <c r="H16">
        <v>12.9</v>
      </c>
      <c r="I16" t="s">
        <v>4</v>
      </c>
    </row>
    <row r="17" spans="1:11" x14ac:dyDescent="0.25">
      <c r="A17" t="s">
        <v>2</v>
      </c>
      <c r="B17" t="s">
        <v>1</v>
      </c>
      <c r="G17" t="s">
        <v>6</v>
      </c>
      <c r="H17">
        <v>27</v>
      </c>
      <c r="I17" t="s">
        <v>4</v>
      </c>
      <c r="J17" t="s">
        <v>7</v>
      </c>
    </row>
    <row r="18" spans="1:11" x14ac:dyDescent="0.25">
      <c r="A18" t="s">
        <v>2</v>
      </c>
      <c r="B18" t="s">
        <v>5</v>
      </c>
      <c r="G18" t="s">
        <v>6</v>
      </c>
      <c r="H18">
        <v>27</v>
      </c>
      <c r="I18" t="s">
        <v>4</v>
      </c>
      <c r="J18" t="s">
        <v>7</v>
      </c>
    </row>
    <row r="19" spans="1:11" x14ac:dyDescent="0.25">
      <c r="A19" t="s">
        <v>2</v>
      </c>
      <c r="B19" t="s">
        <v>1</v>
      </c>
      <c r="G19" t="s">
        <v>8</v>
      </c>
      <c r="H19">
        <v>37.1</v>
      </c>
      <c r="I19" t="s">
        <v>9</v>
      </c>
      <c r="J19" t="s">
        <v>10</v>
      </c>
    </row>
    <row r="20" spans="1:11" x14ac:dyDescent="0.25">
      <c r="A20" t="s">
        <v>2</v>
      </c>
      <c r="B20" t="s">
        <v>5</v>
      </c>
      <c r="G20" t="s">
        <v>8</v>
      </c>
      <c r="H20">
        <v>36.1</v>
      </c>
      <c r="I20" t="s">
        <v>9</v>
      </c>
      <c r="J20" t="s">
        <v>10</v>
      </c>
    </row>
    <row r="21" spans="1:11" x14ac:dyDescent="0.25">
      <c r="A21" t="s">
        <v>2</v>
      </c>
      <c r="G21" t="s">
        <v>11</v>
      </c>
      <c r="H21" s="13">
        <v>50.655978419999997</v>
      </c>
      <c r="I21" t="s">
        <v>9</v>
      </c>
      <c r="J21" t="s">
        <v>12</v>
      </c>
    </row>
    <row r="22" spans="1:11" x14ac:dyDescent="0.25">
      <c r="A22" t="s">
        <v>2</v>
      </c>
      <c r="G22" t="s">
        <v>13</v>
      </c>
      <c r="H22" s="13">
        <v>3.2446264029999998</v>
      </c>
      <c r="I22" t="s">
        <v>9</v>
      </c>
      <c r="J22" t="s">
        <v>14</v>
      </c>
    </row>
    <row r="23" spans="1:11" x14ac:dyDescent="0.25">
      <c r="A23" t="s">
        <v>2</v>
      </c>
      <c r="B23" t="s">
        <v>1</v>
      </c>
      <c r="G23" t="s">
        <v>15</v>
      </c>
      <c r="H23">
        <v>5</v>
      </c>
      <c r="I23" t="s">
        <v>9</v>
      </c>
      <c r="J23" t="s">
        <v>14</v>
      </c>
    </row>
    <row r="24" spans="1:11" x14ac:dyDescent="0.25">
      <c r="A24" t="s">
        <v>2</v>
      </c>
      <c r="B24" t="s">
        <v>5</v>
      </c>
      <c r="G24" t="s">
        <v>15</v>
      </c>
      <c r="H24">
        <v>4.5999999999999996</v>
      </c>
      <c r="I24" t="s">
        <v>9</v>
      </c>
      <c r="J24" t="s">
        <v>14</v>
      </c>
    </row>
    <row r="25" spans="1:11" x14ac:dyDescent="0.25">
      <c r="A25" t="s">
        <v>2</v>
      </c>
      <c r="G25" t="s">
        <v>16</v>
      </c>
      <c r="H25">
        <v>100</v>
      </c>
      <c r="I25" t="s">
        <v>17</v>
      </c>
    </row>
    <row r="26" spans="1:11" x14ac:dyDescent="0.25">
      <c r="A26" t="s">
        <v>2</v>
      </c>
      <c r="B26" t="s">
        <v>1</v>
      </c>
      <c r="G26" t="s">
        <v>379</v>
      </c>
      <c r="H26" s="263">
        <f>1/300</f>
        <v>3.3333333333333335E-3</v>
      </c>
      <c r="I26" t="s">
        <v>380</v>
      </c>
      <c r="J26" t="s">
        <v>590</v>
      </c>
    </row>
    <row r="27" spans="1:11" x14ac:dyDescent="0.25">
      <c r="A27" t="s">
        <v>2</v>
      </c>
      <c r="B27" t="s">
        <v>5</v>
      </c>
      <c r="G27" t="s">
        <v>379</v>
      </c>
      <c r="H27" s="263">
        <f>1/300</f>
        <v>3.3333333333333335E-3</v>
      </c>
      <c r="I27" t="s">
        <v>380</v>
      </c>
    </row>
    <row r="30" spans="1:11" x14ac:dyDescent="0.25">
      <c r="G30" s="158" t="s">
        <v>287</v>
      </c>
      <c r="H30" s="158">
        <v>0</v>
      </c>
      <c r="I30" s="158"/>
      <c r="J30" s="159" t="s">
        <v>399</v>
      </c>
    </row>
    <row r="31" spans="1:11" x14ac:dyDescent="0.25">
      <c r="A31" s="97" t="s">
        <v>290</v>
      </c>
      <c r="B31" s="97"/>
      <c r="C31" s="98"/>
      <c r="D31" s="98"/>
      <c r="E31" s="98"/>
      <c r="F31" s="98"/>
      <c r="G31" s="98"/>
      <c r="H31" s="99"/>
      <c r="I31" s="98"/>
      <c r="J31" s="98"/>
      <c r="K31" s="98"/>
    </row>
    <row r="32" spans="1:11" x14ac:dyDescent="0.25">
      <c r="A32" t="s">
        <v>2</v>
      </c>
      <c r="B32" s="4"/>
      <c r="C32" s="109" t="s">
        <v>18</v>
      </c>
      <c r="D32" s="109"/>
      <c r="E32" s="109"/>
      <c r="F32" s="109"/>
      <c r="G32" s="109" t="s">
        <v>287</v>
      </c>
      <c r="H32" s="2">
        <f>H59/(47/100)</f>
        <v>651.52821361702138</v>
      </c>
      <c r="I32" t="s">
        <v>122</v>
      </c>
      <c r="J32" s="108" t="s">
        <v>314</v>
      </c>
      <c r="K32" t="s">
        <v>313</v>
      </c>
    </row>
    <row r="33" spans="1:11" x14ac:dyDescent="0.25">
      <c r="A33" t="s">
        <v>2</v>
      </c>
      <c r="C33" s="109" t="s">
        <v>400</v>
      </c>
      <c r="D33" s="109"/>
      <c r="E33" s="109"/>
      <c r="F33" s="109"/>
      <c r="G33" s="109" t="s">
        <v>287</v>
      </c>
      <c r="H33" s="2">
        <v>910</v>
      </c>
      <c r="I33" t="s">
        <v>122</v>
      </c>
      <c r="J33" t="s">
        <v>591</v>
      </c>
      <c r="K33" t="s">
        <v>582</v>
      </c>
    </row>
    <row r="34" spans="1:11" x14ac:dyDescent="0.25">
      <c r="A34" t="s">
        <v>2</v>
      </c>
      <c r="C34" s="109" t="s">
        <v>20</v>
      </c>
      <c r="D34" s="109"/>
      <c r="E34" s="109"/>
      <c r="F34" s="109"/>
      <c r="G34" s="109" t="s">
        <v>320</v>
      </c>
      <c r="H34" s="93">
        <v>40</v>
      </c>
      <c r="I34" t="s">
        <v>122</v>
      </c>
      <c r="J34" s="93" t="s">
        <v>366</v>
      </c>
    </row>
    <row r="35" spans="1:11" x14ac:dyDescent="0.25">
      <c r="A35" t="s">
        <v>2</v>
      </c>
      <c r="C35" s="109" t="s">
        <v>20</v>
      </c>
      <c r="D35" s="109"/>
      <c r="E35" s="109"/>
      <c r="F35" s="109"/>
      <c r="G35" s="109" t="s">
        <v>364</v>
      </c>
      <c r="H35" s="110">
        <f>H34+(H61/0.5-H34)/(H55*30.4)*H25</f>
        <v>130.26609162869005</v>
      </c>
      <c r="I35" t="s">
        <v>122</v>
      </c>
      <c r="J35" s="93" t="s">
        <v>367</v>
      </c>
    </row>
    <row r="36" spans="1:11" x14ac:dyDescent="0.25">
      <c r="A36" t="s">
        <v>2</v>
      </c>
      <c r="C36" s="109" t="s">
        <v>20</v>
      </c>
      <c r="D36" s="109"/>
      <c r="E36" s="109"/>
      <c r="F36" s="109"/>
      <c r="G36" s="109" t="s">
        <v>284</v>
      </c>
      <c r="H36" s="2">
        <f>H61/(50/100)</f>
        <v>339.02685500000001</v>
      </c>
      <c r="I36" t="s">
        <v>122</v>
      </c>
      <c r="J36" s="108" t="s">
        <v>312</v>
      </c>
      <c r="K36" t="s">
        <v>313</v>
      </c>
    </row>
    <row r="37" spans="1:11" x14ac:dyDescent="0.25">
      <c r="A37" t="s">
        <v>2</v>
      </c>
      <c r="C37" s="109" t="s">
        <v>33</v>
      </c>
      <c r="D37" s="109"/>
      <c r="E37" s="109"/>
      <c r="F37" s="109"/>
      <c r="G37" s="109" t="s">
        <v>284</v>
      </c>
      <c r="H37" s="2">
        <f>H62/(50/100)</f>
        <v>596.09653539999999</v>
      </c>
      <c r="I37" t="s">
        <v>122</v>
      </c>
      <c r="J37" s="108" t="s">
        <v>312</v>
      </c>
      <c r="K37" t="s">
        <v>313</v>
      </c>
    </row>
    <row r="38" spans="1:11" x14ac:dyDescent="0.25">
      <c r="A38" t="s">
        <v>2</v>
      </c>
      <c r="C38" s="109" t="s">
        <v>34</v>
      </c>
      <c r="D38" s="109"/>
      <c r="E38" s="109"/>
      <c r="F38" s="109"/>
      <c r="G38" s="109" t="s">
        <v>284</v>
      </c>
      <c r="H38" s="2">
        <f>H63/(50/100)</f>
        <v>651.61428720000004</v>
      </c>
      <c r="I38" t="s">
        <v>122</v>
      </c>
      <c r="J38" s="108" t="s">
        <v>312</v>
      </c>
      <c r="K38" t="s">
        <v>313</v>
      </c>
    </row>
    <row r="39" spans="1:11" x14ac:dyDescent="0.25">
      <c r="A39" t="s">
        <v>2</v>
      </c>
      <c r="C39" s="109" t="s">
        <v>35</v>
      </c>
      <c r="D39" s="109"/>
      <c r="E39" s="109"/>
      <c r="F39" s="109"/>
      <c r="G39" s="109" t="s">
        <v>284</v>
      </c>
      <c r="H39" s="2">
        <f>H64/(50/100)</f>
        <v>657.75311299999998</v>
      </c>
      <c r="I39" t="s">
        <v>122</v>
      </c>
      <c r="J39" s="108" t="s">
        <v>312</v>
      </c>
      <c r="K39" t="s">
        <v>313</v>
      </c>
    </row>
    <row r="40" spans="1:11" x14ac:dyDescent="0.25">
      <c r="A40" s="94" t="s">
        <v>288</v>
      </c>
      <c r="B40" s="94"/>
      <c r="C40" s="95"/>
      <c r="D40" s="95"/>
      <c r="E40" s="95"/>
      <c r="F40" s="95"/>
      <c r="G40" s="95"/>
      <c r="H40" s="95"/>
      <c r="I40" s="95"/>
      <c r="J40" s="95"/>
      <c r="K40" s="95"/>
    </row>
    <row r="41" spans="1:11" x14ac:dyDescent="0.25">
      <c r="A41" s="97" t="s">
        <v>290</v>
      </c>
      <c r="B41" s="97"/>
      <c r="C41" s="98"/>
      <c r="D41" s="98"/>
      <c r="E41" s="98"/>
      <c r="F41" s="98"/>
      <c r="G41" s="98"/>
      <c r="H41" s="99"/>
      <c r="I41" s="98"/>
      <c r="J41" s="98"/>
      <c r="K41" s="98"/>
    </row>
    <row r="42" spans="1:11" x14ac:dyDescent="0.25">
      <c r="A42" t="s">
        <v>2</v>
      </c>
      <c r="C42" t="s">
        <v>18</v>
      </c>
      <c r="G42" t="s">
        <v>19</v>
      </c>
      <c r="H42">
        <v>6.6</v>
      </c>
      <c r="I42" t="s">
        <v>9</v>
      </c>
      <c r="J42" t="s">
        <v>10</v>
      </c>
      <c r="K42" t="s">
        <v>582</v>
      </c>
    </row>
    <row r="43" spans="1:11" x14ac:dyDescent="0.25">
      <c r="A43" t="s">
        <v>2</v>
      </c>
      <c r="C43" t="s">
        <v>20</v>
      </c>
      <c r="G43" t="s">
        <v>21</v>
      </c>
      <c r="H43">
        <v>4.2</v>
      </c>
      <c r="I43" t="s">
        <v>9</v>
      </c>
      <c r="J43" t="s">
        <v>22</v>
      </c>
      <c r="K43" t="s">
        <v>582</v>
      </c>
    </row>
    <row r="44" spans="1:11" x14ac:dyDescent="0.25">
      <c r="A44" t="s">
        <v>2</v>
      </c>
      <c r="C44" t="s">
        <v>20</v>
      </c>
      <c r="G44" t="s">
        <v>23</v>
      </c>
      <c r="H44">
        <v>10</v>
      </c>
      <c r="I44" t="s">
        <v>17</v>
      </c>
      <c r="J44" t="s">
        <v>24</v>
      </c>
      <c r="K44" t="s">
        <v>582</v>
      </c>
    </row>
    <row r="45" spans="1:11" x14ac:dyDescent="0.25">
      <c r="A45" t="s">
        <v>2</v>
      </c>
      <c r="C45" t="s">
        <v>20</v>
      </c>
      <c r="G45" t="s">
        <v>25</v>
      </c>
      <c r="H45">
        <v>3.4</v>
      </c>
      <c r="I45" t="s">
        <v>9</v>
      </c>
      <c r="J45" t="s">
        <v>22</v>
      </c>
      <c r="K45" t="s">
        <v>582</v>
      </c>
    </row>
    <row r="46" spans="1:11" x14ac:dyDescent="0.25">
      <c r="A46" t="s">
        <v>2</v>
      </c>
      <c r="C46" t="s">
        <v>20</v>
      </c>
      <c r="G46" t="s">
        <v>26</v>
      </c>
      <c r="H46">
        <v>10</v>
      </c>
      <c r="I46" t="s">
        <v>17</v>
      </c>
      <c r="J46" t="s">
        <v>24</v>
      </c>
      <c r="K46" t="s">
        <v>582</v>
      </c>
    </row>
    <row r="47" spans="1:11" x14ac:dyDescent="0.25">
      <c r="A47" t="s">
        <v>2</v>
      </c>
      <c r="C47" t="s">
        <v>20</v>
      </c>
      <c r="G47" t="s">
        <v>27</v>
      </c>
      <c r="H47">
        <v>6.8</v>
      </c>
      <c r="I47" t="s">
        <v>9</v>
      </c>
      <c r="J47" t="s">
        <v>28</v>
      </c>
      <c r="K47" t="s">
        <v>582</v>
      </c>
    </row>
    <row r="48" spans="1:11" x14ac:dyDescent="0.25">
      <c r="A48" t="s">
        <v>2</v>
      </c>
      <c r="C48" t="s">
        <v>20</v>
      </c>
      <c r="G48" t="s">
        <v>29</v>
      </c>
      <c r="H48">
        <v>59</v>
      </c>
      <c r="I48" t="s">
        <v>17</v>
      </c>
      <c r="J48" t="s">
        <v>24</v>
      </c>
      <c r="K48" t="s">
        <v>582</v>
      </c>
    </row>
    <row r="49" spans="1:11" x14ac:dyDescent="0.25">
      <c r="A49" t="s">
        <v>2</v>
      </c>
      <c r="C49" t="s">
        <v>20</v>
      </c>
      <c r="G49" t="s">
        <v>30</v>
      </c>
      <c r="H49">
        <v>4</v>
      </c>
      <c r="I49" t="s">
        <v>9</v>
      </c>
      <c r="J49" t="s">
        <v>28</v>
      </c>
      <c r="K49" t="s">
        <v>582</v>
      </c>
    </row>
    <row r="50" spans="1:11" x14ac:dyDescent="0.25">
      <c r="A50" t="s">
        <v>2</v>
      </c>
      <c r="C50" t="s">
        <v>20</v>
      </c>
      <c r="G50" t="s">
        <v>31</v>
      </c>
      <c r="H50">
        <v>59</v>
      </c>
      <c r="I50" t="s">
        <v>17</v>
      </c>
      <c r="J50" t="s">
        <v>24</v>
      </c>
      <c r="K50" t="s">
        <v>582</v>
      </c>
    </row>
    <row r="52" spans="1:11" x14ac:dyDescent="0.25">
      <c r="A52" s="94" t="s">
        <v>289</v>
      </c>
      <c r="B52" s="94"/>
      <c r="C52" s="95"/>
      <c r="D52" s="95"/>
      <c r="E52" s="95"/>
      <c r="F52" s="95"/>
      <c r="G52" s="95"/>
      <c r="H52" s="95"/>
      <c r="I52" s="95"/>
      <c r="J52" s="95"/>
      <c r="K52" s="95"/>
    </row>
    <row r="53" spans="1:11" x14ac:dyDescent="0.25">
      <c r="A53" s="97" t="s">
        <v>290</v>
      </c>
      <c r="B53" s="97"/>
      <c r="C53" s="98"/>
      <c r="D53" s="98"/>
      <c r="E53" s="98"/>
      <c r="F53" s="98"/>
      <c r="G53" s="98"/>
      <c r="H53" s="99"/>
      <c r="I53" s="98"/>
      <c r="J53" s="98"/>
      <c r="K53" s="98"/>
    </row>
    <row r="54" spans="1:11" x14ac:dyDescent="0.25">
      <c r="A54" t="s">
        <v>2</v>
      </c>
      <c r="C54" t="s">
        <v>400</v>
      </c>
      <c r="G54" t="s">
        <v>32</v>
      </c>
      <c r="H54" s="156"/>
      <c r="I54" t="s">
        <v>4</v>
      </c>
    </row>
    <row r="55" spans="1:11" x14ac:dyDescent="0.25">
      <c r="A55" t="s">
        <v>2</v>
      </c>
      <c r="C55" t="s">
        <v>20</v>
      </c>
      <c r="G55" t="s">
        <v>32</v>
      </c>
      <c r="H55" s="13">
        <v>10.89712596</v>
      </c>
      <c r="I55" t="s">
        <v>4</v>
      </c>
    </row>
    <row r="56" spans="1:11" x14ac:dyDescent="0.25">
      <c r="A56" t="s">
        <v>2</v>
      </c>
      <c r="C56" t="s">
        <v>33</v>
      </c>
      <c r="G56" t="s">
        <v>32</v>
      </c>
      <c r="H56" s="13">
        <v>32.261824500000003</v>
      </c>
      <c r="I56" t="s">
        <v>4</v>
      </c>
    </row>
    <row r="57" spans="1:11" x14ac:dyDescent="0.25">
      <c r="A57" t="s">
        <v>2</v>
      </c>
      <c r="C57" t="s">
        <v>34</v>
      </c>
      <c r="G57" t="s">
        <v>32</v>
      </c>
      <c r="H57" s="13">
        <v>29.693541660000001</v>
      </c>
      <c r="I57" t="s">
        <v>4</v>
      </c>
    </row>
    <row r="58" spans="1:11" x14ac:dyDescent="0.25">
      <c r="A58" t="s">
        <v>2</v>
      </c>
      <c r="C58" t="s">
        <v>35</v>
      </c>
      <c r="G58" t="s">
        <v>32</v>
      </c>
      <c r="H58" s="13">
        <v>22.57988323</v>
      </c>
      <c r="I58" t="s">
        <v>4</v>
      </c>
    </row>
    <row r="59" spans="1:11" x14ac:dyDescent="0.25">
      <c r="A59" t="s">
        <v>2</v>
      </c>
      <c r="C59" t="s">
        <v>18</v>
      </c>
      <c r="G59" t="s">
        <v>36</v>
      </c>
      <c r="H59" s="13">
        <v>306.21826040000002</v>
      </c>
      <c r="I59" t="s">
        <v>37</v>
      </c>
    </row>
    <row r="60" spans="1:11" x14ac:dyDescent="0.25">
      <c r="A60" t="s">
        <v>2</v>
      </c>
      <c r="C60" t="s">
        <v>400</v>
      </c>
      <c r="G60" t="s">
        <v>36</v>
      </c>
      <c r="H60" s="262">
        <v>550</v>
      </c>
      <c r="I60" s="109" t="s">
        <v>37</v>
      </c>
      <c r="J60" t="s">
        <v>591</v>
      </c>
      <c r="K60" t="s">
        <v>582</v>
      </c>
    </row>
    <row r="61" spans="1:11" x14ac:dyDescent="0.25">
      <c r="A61" t="s">
        <v>2</v>
      </c>
      <c r="C61" t="s">
        <v>20</v>
      </c>
      <c r="G61" t="s">
        <v>36</v>
      </c>
      <c r="H61" s="13">
        <v>169.51342750000001</v>
      </c>
      <c r="I61" t="s">
        <v>37</v>
      </c>
    </row>
    <row r="62" spans="1:11" x14ac:dyDescent="0.25">
      <c r="A62" t="s">
        <v>2</v>
      </c>
      <c r="C62" t="s">
        <v>33</v>
      </c>
      <c r="G62" t="s">
        <v>36</v>
      </c>
      <c r="H62" s="13">
        <v>298.0482677</v>
      </c>
      <c r="I62" t="s">
        <v>37</v>
      </c>
    </row>
    <row r="63" spans="1:11" x14ac:dyDescent="0.25">
      <c r="A63" t="s">
        <v>2</v>
      </c>
      <c r="C63" t="s">
        <v>34</v>
      </c>
      <c r="G63" t="s">
        <v>36</v>
      </c>
      <c r="H63" s="13">
        <v>325.80714360000002</v>
      </c>
      <c r="I63" t="s">
        <v>37</v>
      </c>
    </row>
    <row r="64" spans="1:11" x14ac:dyDescent="0.25">
      <c r="A64" t="s">
        <v>2</v>
      </c>
      <c r="C64" t="s">
        <v>35</v>
      </c>
      <c r="G64" t="s">
        <v>36</v>
      </c>
      <c r="H64" s="13">
        <v>328.87655649999999</v>
      </c>
      <c r="I64" t="s">
        <v>37</v>
      </c>
    </row>
    <row r="65" spans="1:11" x14ac:dyDescent="0.25">
      <c r="A65" t="s">
        <v>2</v>
      </c>
      <c r="B65" t="s">
        <v>1</v>
      </c>
      <c r="G65" t="s">
        <v>494</v>
      </c>
      <c r="H65" s="13">
        <v>7.708382338966838</v>
      </c>
      <c r="I65" t="s">
        <v>9</v>
      </c>
      <c r="J65" t="s">
        <v>498</v>
      </c>
      <c r="K65" t="s">
        <v>381</v>
      </c>
    </row>
    <row r="66" spans="1:11" x14ac:dyDescent="0.25">
      <c r="A66" t="s">
        <v>2</v>
      </c>
      <c r="B66" t="s">
        <v>1</v>
      </c>
      <c r="G66" t="s">
        <v>497</v>
      </c>
      <c r="H66" s="13">
        <v>14.798145933014354</v>
      </c>
      <c r="I66" t="s">
        <v>9</v>
      </c>
      <c r="J66" t="s">
        <v>499</v>
      </c>
      <c r="K66" t="s">
        <v>381</v>
      </c>
    </row>
    <row r="67" spans="1:11" x14ac:dyDescent="0.25">
      <c r="A67" t="s">
        <v>2</v>
      </c>
      <c r="B67" t="s">
        <v>5</v>
      </c>
      <c r="G67" t="s">
        <v>494</v>
      </c>
      <c r="H67" s="13">
        <v>7.708382338966838</v>
      </c>
      <c r="I67" t="s">
        <v>9</v>
      </c>
      <c r="J67" t="s">
        <v>498</v>
      </c>
      <c r="K67" t="s">
        <v>381</v>
      </c>
    </row>
    <row r="68" spans="1:11" x14ac:dyDescent="0.25">
      <c r="A68" t="s">
        <v>2</v>
      </c>
      <c r="B68" t="s">
        <v>5</v>
      </c>
      <c r="G68" t="s">
        <v>497</v>
      </c>
      <c r="H68" s="13">
        <v>65.534646274777856</v>
      </c>
      <c r="I68" t="s">
        <v>9</v>
      </c>
      <c r="J68" t="s">
        <v>499</v>
      </c>
      <c r="K68" t="s">
        <v>381</v>
      </c>
    </row>
    <row r="69" spans="1:11" x14ac:dyDescent="0.25">
      <c r="H69" s="13"/>
    </row>
    <row r="70" spans="1:11" x14ac:dyDescent="0.25">
      <c r="A70" s="252" t="s">
        <v>569</v>
      </c>
      <c r="B70" s="157"/>
      <c r="C70" s="95"/>
      <c r="D70" s="95"/>
      <c r="E70" s="95"/>
      <c r="F70" s="95"/>
      <c r="G70" s="95"/>
      <c r="H70" s="95"/>
      <c r="I70" s="95"/>
      <c r="J70" s="95"/>
      <c r="K70" s="95"/>
    </row>
    <row r="71" spans="1:11" x14ac:dyDescent="0.25">
      <c r="A71" s="109"/>
      <c r="B71" s="109"/>
      <c r="C71" s="109"/>
      <c r="D71" s="109"/>
      <c r="E71" s="109"/>
      <c r="F71" s="109"/>
      <c r="G71" s="109" t="s">
        <v>568</v>
      </c>
      <c r="H71" s="109">
        <v>0</v>
      </c>
      <c r="I71" s="109" t="s">
        <v>4</v>
      </c>
      <c r="J71" s="109"/>
      <c r="K71" s="109"/>
    </row>
    <row r="72" spans="1:11" x14ac:dyDescent="0.25">
      <c r="A72" s="109"/>
      <c r="B72" s="109"/>
      <c r="C72" s="109"/>
      <c r="D72" s="109"/>
      <c r="E72" s="109"/>
      <c r="F72" s="109"/>
      <c r="G72" s="109" t="s">
        <v>570</v>
      </c>
      <c r="H72" s="109">
        <v>0</v>
      </c>
      <c r="I72" s="109" t="s">
        <v>9</v>
      </c>
      <c r="J72" s="109"/>
      <c r="K72" s="109"/>
    </row>
    <row r="74" spans="1:11" x14ac:dyDescent="0.25">
      <c r="A74" s="94" t="s">
        <v>383</v>
      </c>
      <c r="B74" s="94"/>
      <c r="C74" s="95"/>
      <c r="D74" s="95"/>
      <c r="E74" s="95"/>
      <c r="F74" s="95"/>
      <c r="G74" s="95"/>
      <c r="H74" s="95"/>
      <c r="I74" s="95"/>
      <c r="J74" s="95"/>
      <c r="K74" s="95"/>
    </row>
    <row r="75" spans="1:11" x14ac:dyDescent="0.25">
      <c r="A75" s="4" t="s">
        <v>598</v>
      </c>
    </row>
    <row r="76" spans="1:11" x14ac:dyDescent="0.25">
      <c r="A76" t="s">
        <v>2</v>
      </c>
      <c r="C76" s="109" t="s">
        <v>18</v>
      </c>
      <c r="G76" t="s">
        <v>599</v>
      </c>
      <c r="H76" s="13">
        <f>H32*0.035</f>
        <v>22.803487476595752</v>
      </c>
      <c r="I76" t="s">
        <v>601</v>
      </c>
      <c r="K76" s="253" t="s">
        <v>600</v>
      </c>
    </row>
    <row r="77" spans="1:11" x14ac:dyDescent="0.25">
      <c r="C77" s="109" t="s">
        <v>400</v>
      </c>
      <c r="G77" t="s">
        <v>599</v>
      </c>
      <c r="H77" s="13">
        <f>H33*0.03</f>
        <v>27.3</v>
      </c>
    </row>
    <row r="78" spans="1:11" x14ac:dyDescent="0.25">
      <c r="C78" s="109" t="s">
        <v>20</v>
      </c>
      <c r="G78" t="s">
        <v>599</v>
      </c>
      <c r="H78" s="13">
        <f>AVERAGE(H34,H36)*0.03</f>
        <v>5.6854028249999997</v>
      </c>
      <c r="J78" s="93" t="s">
        <v>602</v>
      </c>
    </row>
    <row r="79" spans="1:11" x14ac:dyDescent="0.25">
      <c r="C79" s="109" t="s">
        <v>33</v>
      </c>
      <c r="G79" t="s">
        <v>599</v>
      </c>
      <c r="H79" s="13">
        <f>AVERAGE(H36,H37)*0.03</f>
        <v>14.026850856000001</v>
      </c>
    </row>
    <row r="80" spans="1:11" x14ac:dyDescent="0.25">
      <c r="C80" s="109" t="s">
        <v>34</v>
      </c>
      <c r="G80" t="s">
        <v>599</v>
      </c>
      <c r="H80" s="13">
        <f>AVERAGE(H36,H38)*0.03</f>
        <v>14.859617133</v>
      </c>
    </row>
    <row r="81" spans="1:11" x14ac:dyDescent="0.25">
      <c r="C81" s="109" t="s">
        <v>35</v>
      </c>
      <c r="G81" t="s">
        <v>599</v>
      </c>
      <c r="H81" s="13">
        <f>AVERAGE(H36,H39)*0.03</f>
        <v>14.95169952</v>
      </c>
    </row>
    <row r="83" spans="1:11" x14ac:dyDescent="0.25">
      <c r="A83" s="4" t="s">
        <v>592</v>
      </c>
    </row>
    <row r="84" spans="1:11" x14ac:dyDescent="0.25">
      <c r="C84" t="s">
        <v>18</v>
      </c>
      <c r="G84" t="s">
        <v>384</v>
      </c>
      <c r="H84">
        <v>0.50700000000000001</v>
      </c>
      <c r="I84" t="s">
        <v>385</v>
      </c>
      <c r="K84" t="s">
        <v>387</v>
      </c>
    </row>
    <row r="85" spans="1:11" x14ac:dyDescent="0.25">
      <c r="G85" t="s">
        <v>384</v>
      </c>
      <c r="H85">
        <v>0.47499999999999998</v>
      </c>
      <c r="I85" t="s">
        <v>385</v>
      </c>
      <c r="K85" t="s">
        <v>388</v>
      </c>
    </row>
    <row r="86" spans="1:11" x14ac:dyDescent="0.25">
      <c r="C86" t="s">
        <v>18</v>
      </c>
      <c r="G86" t="s">
        <v>396</v>
      </c>
      <c r="H86" s="13">
        <v>5</v>
      </c>
      <c r="I86" t="s">
        <v>395</v>
      </c>
      <c r="K86" t="s">
        <v>387</v>
      </c>
    </row>
    <row r="87" spans="1:11" x14ac:dyDescent="0.25">
      <c r="A87" t="s">
        <v>2</v>
      </c>
      <c r="C87" t="s">
        <v>18</v>
      </c>
      <c r="G87" t="s">
        <v>389</v>
      </c>
      <c r="H87" s="13">
        <f>(0.013+0.021+0.038) * 30.4</f>
        <v>2.1888000000000001</v>
      </c>
      <c r="I87" t="s">
        <v>390</v>
      </c>
      <c r="J87" t="s">
        <v>391</v>
      </c>
      <c r="K87" t="s">
        <v>386</v>
      </c>
    </row>
    <row r="88" spans="1:11" x14ac:dyDescent="0.25">
      <c r="G88" t="s">
        <v>392</v>
      </c>
      <c r="H88" s="1">
        <v>1</v>
      </c>
      <c r="I88" t="s">
        <v>397</v>
      </c>
    </row>
    <row r="89" spans="1:11" x14ac:dyDescent="0.25">
      <c r="A89" t="s">
        <v>2</v>
      </c>
      <c r="C89" t="s">
        <v>18</v>
      </c>
      <c r="G89" t="s">
        <v>392</v>
      </c>
      <c r="H89" s="1">
        <v>1.1100000000000001</v>
      </c>
      <c r="I89" t="s">
        <v>397</v>
      </c>
      <c r="K89" t="s">
        <v>386</v>
      </c>
    </row>
    <row r="90" spans="1:11" x14ac:dyDescent="0.25">
      <c r="C90" t="s">
        <v>33</v>
      </c>
      <c r="G90" t="s">
        <v>392</v>
      </c>
      <c r="H90" s="1">
        <v>1.05</v>
      </c>
      <c r="I90" t="s">
        <v>397</v>
      </c>
      <c r="K90" t="s">
        <v>393</v>
      </c>
    </row>
    <row r="91" spans="1:11" x14ac:dyDescent="0.25">
      <c r="A91" t="s">
        <v>2</v>
      </c>
      <c r="C91" t="s">
        <v>34</v>
      </c>
      <c r="G91" t="s">
        <v>392</v>
      </c>
      <c r="H91" s="1">
        <v>1.05</v>
      </c>
      <c r="I91" t="s">
        <v>397</v>
      </c>
      <c r="K91" t="s">
        <v>393</v>
      </c>
    </row>
    <row r="92" spans="1:11" x14ac:dyDescent="0.25">
      <c r="G92" t="s">
        <v>394</v>
      </c>
      <c r="H92" s="13">
        <v>0</v>
      </c>
      <c r="I92" t="s">
        <v>397</v>
      </c>
    </row>
    <row r="93" spans="1:11" x14ac:dyDescent="0.25">
      <c r="A93" t="s">
        <v>2</v>
      </c>
      <c r="C93" t="s">
        <v>18</v>
      </c>
      <c r="G93" t="s">
        <v>394</v>
      </c>
      <c r="H93" s="13">
        <v>-13.6</v>
      </c>
      <c r="I93" t="s">
        <v>397</v>
      </c>
      <c r="K93" t="s">
        <v>386</v>
      </c>
    </row>
    <row r="94" spans="1:11" x14ac:dyDescent="0.25">
      <c r="A94" t="s">
        <v>2</v>
      </c>
      <c r="G94" t="s">
        <v>575</v>
      </c>
      <c r="H94" s="2">
        <v>81</v>
      </c>
      <c r="I94" t="s">
        <v>573</v>
      </c>
      <c r="J94" t="s">
        <v>580</v>
      </c>
      <c r="K94" s="253" t="s">
        <v>577</v>
      </c>
    </row>
    <row r="95" spans="1:11" x14ac:dyDescent="0.25">
      <c r="G95" t="s">
        <v>576</v>
      </c>
      <c r="H95" s="13">
        <f>18.8*0.13</f>
        <v>2.4440000000000004</v>
      </c>
      <c r="I95" t="s">
        <v>572</v>
      </c>
      <c r="J95" t="s">
        <v>579</v>
      </c>
    </row>
    <row r="96" spans="1:11" x14ac:dyDescent="0.25">
      <c r="A96" s="4" t="s">
        <v>593</v>
      </c>
      <c r="H96" s="2"/>
    </row>
    <row r="97" spans="1:11" x14ac:dyDescent="0.25">
      <c r="A97" t="s">
        <v>2</v>
      </c>
      <c r="C97" t="s">
        <v>18</v>
      </c>
      <c r="G97" t="s">
        <v>594</v>
      </c>
      <c r="H97" s="13">
        <v>7.6</v>
      </c>
      <c r="I97" t="s">
        <v>595</v>
      </c>
      <c r="K97" t="s">
        <v>386</v>
      </c>
    </row>
    <row r="98" spans="1:11" x14ac:dyDescent="0.25">
      <c r="A98" s="4"/>
      <c r="C98" t="s">
        <v>20</v>
      </c>
      <c r="G98" t="s">
        <v>594</v>
      </c>
      <c r="H98" s="13">
        <v>7</v>
      </c>
      <c r="I98" t="s">
        <v>595</v>
      </c>
      <c r="J98" t="s">
        <v>597</v>
      </c>
      <c r="K98" t="s">
        <v>596</v>
      </c>
    </row>
    <row r="99" spans="1:11" x14ac:dyDescent="0.25">
      <c r="A99" s="4"/>
      <c r="G99" t="s">
        <v>594</v>
      </c>
      <c r="H99" s="13">
        <v>6.5</v>
      </c>
      <c r="I99" t="s">
        <v>595</v>
      </c>
    </row>
    <row r="100" spans="1:11" x14ac:dyDescent="0.25">
      <c r="A100" s="4"/>
      <c r="H100" s="13"/>
    </row>
    <row r="101" spans="1:11" x14ac:dyDescent="0.25">
      <c r="A101" s="4" t="s">
        <v>603</v>
      </c>
    </row>
    <row r="102" spans="1:11" x14ac:dyDescent="0.25">
      <c r="G102" s="158" t="s">
        <v>604</v>
      </c>
      <c r="H102" s="266">
        <v>0</v>
      </c>
      <c r="I102" s="158" t="s">
        <v>605</v>
      </c>
      <c r="J102" s="158" t="s">
        <v>399</v>
      </c>
    </row>
    <row r="103" spans="1:11" x14ac:dyDescent="0.25">
      <c r="G103" s="158" t="s">
        <v>606</v>
      </c>
      <c r="H103" s="266">
        <v>0</v>
      </c>
      <c r="I103" s="158" t="s">
        <v>605</v>
      </c>
      <c r="J103" s="158" t="s">
        <v>399</v>
      </c>
    </row>
    <row r="104" spans="1:11" x14ac:dyDescent="0.25">
      <c r="G104" s="158" t="s">
        <v>607</v>
      </c>
      <c r="H104" s="266">
        <v>0</v>
      </c>
      <c r="I104" s="158" t="s">
        <v>608</v>
      </c>
      <c r="J104" s="158" t="s">
        <v>399</v>
      </c>
    </row>
    <row r="105" spans="1:11" x14ac:dyDescent="0.25">
      <c r="G105" s="158" t="s">
        <v>609</v>
      </c>
      <c r="H105" s="266">
        <v>0</v>
      </c>
      <c r="I105" s="158" t="s">
        <v>608</v>
      </c>
      <c r="J105" s="158" t="s">
        <v>399</v>
      </c>
    </row>
    <row r="106" spans="1:11" x14ac:dyDescent="0.25">
      <c r="H106" s="2"/>
    </row>
    <row r="107" spans="1:11" x14ac:dyDescent="0.25">
      <c r="C107" t="s">
        <v>18</v>
      </c>
      <c r="G107" t="s">
        <v>604</v>
      </c>
      <c r="H107" s="2">
        <v>300</v>
      </c>
      <c r="I107" t="s">
        <v>605</v>
      </c>
      <c r="K107" t="s">
        <v>386</v>
      </c>
    </row>
    <row r="108" spans="1:11" x14ac:dyDescent="0.25">
      <c r="C108" t="s">
        <v>18</v>
      </c>
      <c r="G108" t="s">
        <v>606</v>
      </c>
      <c r="H108" s="2">
        <v>0</v>
      </c>
      <c r="I108" t="s">
        <v>605</v>
      </c>
    </row>
    <row r="110" spans="1:11" x14ac:dyDescent="0.25">
      <c r="C110" s="109" t="s">
        <v>400</v>
      </c>
      <c r="G110" t="s">
        <v>607</v>
      </c>
      <c r="H110" s="2">
        <v>4</v>
      </c>
      <c r="I110" t="s">
        <v>608</v>
      </c>
      <c r="J110" t="s">
        <v>610</v>
      </c>
    </row>
    <row r="111" spans="1:11" x14ac:dyDescent="0.25">
      <c r="C111" s="109" t="s">
        <v>400</v>
      </c>
      <c r="G111" t="s">
        <v>609</v>
      </c>
      <c r="H111" s="2">
        <v>-2</v>
      </c>
      <c r="I111" t="s">
        <v>608</v>
      </c>
    </row>
    <row r="112" spans="1:11" x14ac:dyDescent="0.25">
      <c r="C112" s="109" t="s">
        <v>20</v>
      </c>
      <c r="G112" t="s">
        <v>607</v>
      </c>
      <c r="H112" s="2">
        <v>4</v>
      </c>
      <c r="I112" t="s">
        <v>608</v>
      </c>
      <c r="K112" t="s">
        <v>596</v>
      </c>
    </row>
    <row r="113" spans="1:11" x14ac:dyDescent="0.25">
      <c r="C113" s="109" t="s">
        <v>20</v>
      </c>
      <c r="G113" t="s">
        <v>609</v>
      </c>
      <c r="H113" s="2">
        <v>-2</v>
      </c>
      <c r="I113" t="s">
        <v>608</v>
      </c>
    </row>
    <row r="114" spans="1:11" x14ac:dyDescent="0.25">
      <c r="C114" s="109" t="s">
        <v>33</v>
      </c>
      <c r="G114" t="s">
        <v>607</v>
      </c>
      <c r="H114" s="2">
        <v>4</v>
      </c>
      <c r="I114" t="s">
        <v>608</v>
      </c>
      <c r="K114" t="s">
        <v>596</v>
      </c>
    </row>
    <row r="115" spans="1:11" x14ac:dyDescent="0.25">
      <c r="C115" s="109" t="s">
        <v>33</v>
      </c>
      <c r="G115" t="s">
        <v>609</v>
      </c>
      <c r="H115" s="2">
        <v>-2</v>
      </c>
      <c r="I115" t="s">
        <v>608</v>
      </c>
    </row>
    <row r="116" spans="1:11" x14ac:dyDescent="0.25">
      <c r="C116" s="109" t="s">
        <v>34</v>
      </c>
      <c r="G116" t="s">
        <v>607</v>
      </c>
      <c r="H116" s="2">
        <v>4</v>
      </c>
      <c r="I116" t="s">
        <v>608</v>
      </c>
      <c r="K116" t="s">
        <v>596</v>
      </c>
    </row>
    <row r="117" spans="1:11" x14ac:dyDescent="0.25">
      <c r="C117" s="109" t="s">
        <v>34</v>
      </c>
      <c r="G117" t="s">
        <v>609</v>
      </c>
      <c r="H117" s="2">
        <v>-2</v>
      </c>
      <c r="I117" t="s">
        <v>608</v>
      </c>
    </row>
    <row r="118" spans="1:11" x14ac:dyDescent="0.25">
      <c r="C118" s="109" t="s">
        <v>35</v>
      </c>
      <c r="G118" t="s">
        <v>607</v>
      </c>
      <c r="H118" s="2">
        <v>4</v>
      </c>
      <c r="I118" t="s">
        <v>608</v>
      </c>
      <c r="K118" t="s">
        <v>596</v>
      </c>
    </row>
    <row r="119" spans="1:11" x14ac:dyDescent="0.25">
      <c r="C119" s="109" t="s">
        <v>35</v>
      </c>
      <c r="G119" t="s">
        <v>609</v>
      </c>
      <c r="H119" s="2">
        <v>-2</v>
      </c>
      <c r="I119" t="s">
        <v>608</v>
      </c>
    </row>
    <row r="120" spans="1:11" x14ac:dyDescent="0.25">
      <c r="C120" s="109"/>
      <c r="H120" s="2"/>
    </row>
    <row r="121" spans="1:11" x14ac:dyDescent="0.25">
      <c r="A121" s="4" t="s">
        <v>446</v>
      </c>
      <c r="C121" s="109"/>
      <c r="H121" s="2"/>
    </row>
    <row r="122" spans="1:11" x14ac:dyDescent="0.25">
      <c r="A122" s="4"/>
      <c r="C122" s="109"/>
      <c r="G122" t="s">
        <v>611</v>
      </c>
      <c r="H122" s="2">
        <v>5</v>
      </c>
      <c r="I122" t="s">
        <v>310</v>
      </c>
      <c r="K122" t="s">
        <v>612</v>
      </c>
    </row>
    <row r="123" spans="1:11" x14ac:dyDescent="0.25">
      <c r="C123" s="109"/>
      <c r="H123" s="2"/>
    </row>
    <row r="124" spans="1:11" x14ac:dyDescent="0.25">
      <c r="A124" s="94" t="s">
        <v>382</v>
      </c>
      <c r="B124" s="94"/>
      <c r="C124" s="95"/>
      <c r="D124" s="95"/>
      <c r="E124" s="95"/>
      <c r="F124" s="95"/>
      <c r="G124" s="95"/>
      <c r="H124" s="95"/>
      <c r="I124" s="95" t="s">
        <v>310</v>
      </c>
      <c r="J124" s="95"/>
      <c r="K124" s="95"/>
    </row>
    <row r="125" spans="1:11" x14ac:dyDescent="0.25">
      <c r="G125" s="158" t="s">
        <v>309</v>
      </c>
      <c r="H125" s="158">
        <v>0</v>
      </c>
      <c r="I125" s="158"/>
      <c r="J125" s="158" t="s">
        <v>399</v>
      </c>
    </row>
    <row r="126" spans="1:11" x14ac:dyDescent="0.25">
      <c r="A126" s="97" t="s">
        <v>290</v>
      </c>
      <c r="B126" s="97"/>
      <c r="C126" s="98"/>
      <c r="D126" s="98"/>
      <c r="E126" s="98"/>
      <c r="F126" s="98"/>
      <c r="G126" s="98"/>
      <c r="H126" s="99"/>
      <c r="I126" s="98"/>
      <c r="J126" s="98"/>
      <c r="K126" s="98"/>
    </row>
    <row r="127" spans="1:11" x14ac:dyDescent="0.25">
      <c r="A127" s="81" t="s">
        <v>63</v>
      </c>
      <c r="B127" s="48"/>
      <c r="C127" s="49"/>
      <c r="D127" s="49"/>
      <c r="E127" s="49"/>
      <c r="F127" s="49"/>
      <c r="G127" s="49"/>
      <c r="H127" s="161"/>
      <c r="I127" s="49"/>
      <c r="J127" s="49"/>
      <c r="K127" s="49"/>
    </row>
    <row r="128" spans="1:11" x14ac:dyDescent="0.25">
      <c r="A128" s="158" t="s">
        <v>2</v>
      </c>
      <c r="B128" s="158"/>
      <c r="C128" s="158" t="s">
        <v>18</v>
      </c>
      <c r="G128" s="158" t="s">
        <v>309</v>
      </c>
      <c r="H128" s="158">
        <v>0</v>
      </c>
      <c r="I128" s="158"/>
      <c r="J128" s="158" t="s">
        <v>399</v>
      </c>
    </row>
    <row r="129" spans="1:11" x14ac:dyDescent="0.25">
      <c r="A129" t="s">
        <v>2</v>
      </c>
      <c r="C129" t="s">
        <v>18</v>
      </c>
      <c r="D129" t="s">
        <v>409</v>
      </c>
      <c r="G129" t="s">
        <v>309</v>
      </c>
      <c r="H129" s="13">
        <v>45</v>
      </c>
      <c r="I129" s="158"/>
      <c r="J129" s="158"/>
    </row>
    <row r="130" spans="1:11" x14ac:dyDescent="0.25">
      <c r="A130" t="s">
        <v>2</v>
      </c>
      <c r="C130" t="s">
        <v>18</v>
      </c>
      <c r="D130" t="s">
        <v>410</v>
      </c>
      <c r="G130" t="s">
        <v>309</v>
      </c>
      <c r="H130" s="13">
        <v>12</v>
      </c>
      <c r="I130" s="158"/>
      <c r="J130" s="158"/>
    </row>
    <row r="131" spans="1:11" x14ac:dyDescent="0.25">
      <c r="A131" t="s">
        <v>2</v>
      </c>
      <c r="C131" t="s">
        <v>18</v>
      </c>
      <c r="D131" t="s">
        <v>398</v>
      </c>
      <c r="G131" t="s">
        <v>309</v>
      </c>
      <c r="H131" s="13">
        <v>6</v>
      </c>
      <c r="I131" s="158"/>
      <c r="J131" s="158"/>
    </row>
    <row r="132" spans="1:11" x14ac:dyDescent="0.25">
      <c r="A132" t="s">
        <v>2</v>
      </c>
      <c r="C132" t="s">
        <v>18</v>
      </c>
      <c r="D132" t="s">
        <v>371</v>
      </c>
      <c r="G132" t="s">
        <v>309</v>
      </c>
      <c r="H132" s="13">
        <v>20</v>
      </c>
      <c r="I132" s="158"/>
      <c r="J132" s="158"/>
    </row>
    <row r="133" spans="1:11" x14ac:dyDescent="0.25">
      <c r="A133" t="s">
        <v>2</v>
      </c>
      <c r="C133" t="s">
        <v>18</v>
      </c>
      <c r="D133" t="s">
        <v>408</v>
      </c>
      <c r="G133" t="s">
        <v>309</v>
      </c>
      <c r="H133" s="13">
        <v>7</v>
      </c>
    </row>
    <row r="134" spans="1:11" x14ac:dyDescent="0.25">
      <c r="A134" t="s">
        <v>2</v>
      </c>
      <c r="C134" t="s">
        <v>18</v>
      </c>
      <c r="D134" t="s">
        <v>466</v>
      </c>
      <c r="G134" t="s">
        <v>309</v>
      </c>
      <c r="H134" s="13">
        <v>3</v>
      </c>
    </row>
    <row r="135" spans="1:11" x14ac:dyDescent="0.25">
      <c r="A135" t="s">
        <v>2</v>
      </c>
      <c r="C135" t="s">
        <v>18</v>
      </c>
      <c r="D135" t="s">
        <v>403</v>
      </c>
      <c r="G135" t="s">
        <v>309</v>
      </c>
      <c r="H135" s="13">
        <v>7</v>
      </c>
    </row>
    <row r="138" spans="1:11" x14ac:dyDescent="0.25">
      <c r="A138" s="81" t="s">
        <v>448</v>
      </c>
      <c r="B138" s="48"/>
      <c r="C138" s="49"/>
      <c r="D138" s="49"/>
      <c r="E138" s="49"/>
      <c r="F138" s="49"/>
      <c r="G138" s="49"/>
      <c r="H138" s="161"/>
      <c r="I138" s="49"/>
      <c r="J138" s="49"/>
      <c r="K138" s="49"/>
    </row>
    <row r="139" spans="1:11" x14ac:dyDescent="0.25">
      <c r="A139" s="158" t="s">
        <v>2</v>
      </c>
      <c r="B139" s="158"/>
      <c r="C139" s="158"/>
      <c r="G139" s="158" t="s">
        <v>309</v>
      </c>
      <c r="H139" s="158">
        <v>0</v>
      </c>
      <c r="I139" s="158"/>
      <c r="J139" s="158" t="s">
        <v>399</v>
      </c>
    </row>
    <row r="140" spans="1:11" x14ac:dyDescent="0.25">
      <c r="A140" t="s">
        <v>2</v>
      </c>
      <c r="D140" t="s">
        <v>409</v>
      </c>
      <c r="G140" t="s">
        <v>309</v>
      </c>
      <c r="H140" s="13">
        <v>0</v>
      </c>
      <c r="I140" s="158"/>
      <c r="J140" s="158"/>
    </row>
    <row r="141" spans="1:11" x14ac:dyDescent="0.25">
      <c r="A141" t="s">
        <v>2</v>
      </c>
      <c r="D141" t="s">
        <v>410</v>
      </c>
      <c r="G141" t="s">
        <v>309</v>
      </c>
      <c r="H141" s="13">
        <v>55</v>
      </c>
      <c r="I141" s="158"/>
      <c r="J141" s="158"/>
    </row>
    <row r="142" spans="1:11" x14ac:dyDescent="0.25">
      <c r="A142" t="s">
        <v>2</v>
      </c>
      <c r="D142" t="s">
        <v>398</v>
      </c>
      <c r="G142" t="s">
        <v>309</v>
      </c>
      <c r="H142" s="13">
        <v>40</v>
      </c>
      <c r="I142" s="158"/>
      <c r="J142" s="158"/>
    </row>
    <row r="143" spans="1:11" x14ac:dyDescent="0.25">
      <c r="A143" t="s">
        <v>2</v>
      </c>
      <c r="D143" t="s">
        <v>371</v>
      </c>
      <c r="G143" t="s">
        <v>309</v>
      </c>
      <c r="H143" s="13">
        <v>5</v>
      </c>
      <c r="I143" s="158"/>
      <c r="J143" s="158"/>
    </row>
    <row r="144" spans="1:11" x14ac:dyDescent="0.25">
      <c r="A144" t="s">
        <v>2</v>
      </c>
      <c r="D144" t="s">
        <v>408</v>
      </c>
      <c r="G144" t="s">
        <v>309</v>
      </c>
      <c r="H144" s="13">
        <v>0</v>
      </c>
      <c r="I144" s="158"/>
      <c r="J144" s="158"/>
    </row>
    <row r="145" spans="1:10" x14ac:dyDescent="0.25">
      <c r="A145" t="s">
        <v>2</v>
      </c>
      <c r="D145" t="s">
        <v>466</v>
      </c>
      <c r="G145" t="s">
        <v>309</v>
      </c>
      <c r="H145" s="13">
        <v>0</v>
      </c>
      <c r="I145" s="158"/>
      <c r="J145" s="158"/>
    </row>
    <row r="146" spans="1:10" x14ac:dyDescent="0.25">
      <c r="A146" t="s">
        <v>2</v>
      </c>
      <c r="D146" t="s">
        <v>403</v>
      </c>
      <c r="G146" t="s">
        <v>309</v>
      </c>
      <c r="H146" s="13">
        <v>0</v>
      </c>
      <c r="I146" s="158"/>
      <c r="J146" s="158"/>
    </row>
  </sheetData>
  <hyperlinks>
    <hyperlink ref="K94" r:id="rId1"/>
    <hyperlink ref="K76" r:id="rId2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50</v>
      </c>
      <c r="P2" s="5"/>
      <c r="Y2" s="4" t="s">
        <v>51</v>
      </c>
    </row>
    <row r="3" spans="2:47" x14ac:dyDescent="0.25">
      <c r="D3" s="6" t="s">
        <v>52</v>
      </c>
      <c r="F3" s="6" t="s">
        <v>53</v>
      </c>
      <c r="H3" s="6" t="s">
        <v>54</v>
      </c>
      <c r="J3" s="6" t="s">
        <v>55</v>
      </c>
      <c r="AA3" s="6" t="s">
        <v>52</v>
      </c>
      <c r="AC3" s="6" t="s">
        <v>53</v>
      </c>
      <c r="AE3" s="6" t="s">
        <v>54</v>
      </c>
      <c r="AG3" s="6" t="s">
        <v>55</v>
      </c>
    </row>
    <row r="4" spans="2:47" x14ac:dyDescent="0.25">
      <c r="B4" s="6"/>
      <c r="D4" t="s">
        <v>56</v>
      </c>
      <c r="E4" t="s">
        <v>57</v>
      </c>
      <c r="F4" t="s">
        <v>56</v>
      </c>
      <c r="G4" t="s">
        <v>57</v>
      </c>
      <c r="H4" t="s">
        <v>56</v>
      </c>
      <c r="I4" t="s">
        <v>57</v>
      </c>
      <c r="J4" t="s">
        <v>56</v>
      </c>
      <c r="K4" t="s">
        <v>57</v>
      </c>
      <c r="M4" s="7" t="s">
        <v>58</v>
      </c>
      <c r="N4" s="8"/>
      <c r="O4" s="8"/>
      <c r="P4" s="9" t="s">
        <v>59</v>
      </c>
      <c r="Q4" s="9" t="s">
        <v>60</v>
      </c>
      <c r="R4" s="9" t="s">
        <v>61</v>
      </c>
      <c r="S4" s="9"/>
      <c r="T4" s="9" t="s">
        <v>62</v>
      </c>
      <c r="U4" s="8"/>
      <c r="V4" s="8"/>
      <c r="W4" s="10"/>
      <c r="Y4" s="6"/>
      <c r="AA4" t="s">
        <v>56</v>
      </c>
      <c r="AB4" t="s">
        <v>57</v>
      </c>
      <c r="AC4" t="s">
        <v>56</v>
      </c>
      <c r="AD4" t="s">
        <v>57</v>
      </c>
      <c r="AE4" t="s">
        <v>56</v>
      </c>
      <c r="AF4" t="s">
        <v>57</v>
      </c>
      <c r="AG4" t="s">
        <v>56</v>
      </c>
      <c r="AH4" t="s">
        <v>57</v>
      </c>
      <c r="AJ4" s="7" t="s">
        <v>58</v>
      </c>
      <c r="AK4" s="8"/>
      <c r="AL4" s="8"/>
      <c r="AM4" s="9" t="s">
        <v>59</v>
      </c>
      <c r="AN4" s="9" t="s">
        <v>60</v>
      </c>
      <c r="AO4" s="9" t="s">
        <v>61</v>
      </c>
      <c r="AP4" s="9"/>
      <c r="AQ4" s="9" t="s">
        <v>62</v>
      </c>
      <c r="AR4" s="8"/>
      <c r="AS4" s="8"/>
      <c r="AT4" s="10"/>
    </row>
    <row r="5" spans="2:47" x14ac:dyDescent="0.25">
      <c r="B5" t="s">
        <v>63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64</v>
      </c>
      <c r="N5" s="15"/>
      <c r="O5" s="15"/>
      <c r="P5" s="16">
        <v>13.2</v>
      </c>
      <c r="Q5" s="17">
        <v>12.9</v>
      </c>
      <c r="R5" s="15" t="s">
        <v>65</v>
      </c>
      <c r="S5" s="15"/>
      <c r="T5" s="15" t="s">
        <v>66</v>
      </c>
      <c r="U5" s="15"/>
      <c r="V5" s="15"/>
      <c r="W5" s="18"/>
      <c r="Y5" t="s">
        <v>63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64</v>
      </c>
      <c r="AK5" s="15"/>
      <c r="AL5" s="15"/>
      <c r="AM5" s="19">
        <f>(12.7+12.7+12.7+12.7)/4</f>
        <v>12.7</v>
      </c>
      <c r="AN5" s="20">
        <v>12.7</v>
      </c>
      <c r="AO5" s="15" t="s">
        <v>65</v>
      </c>
      <c r="AP5" s="15"/>
      <c r="AQ5" s="15" t="s">
        <v>67</v>
      </c>
      <c r="AR5" s="15"/>
      <c r="AS5" s="15"/>
      <c r="AT5" s="18"/>
    </row>
    <row r="6" spans="2:47" x14ac:dyDescent="0.25">
      <c r="B6" t="s">
        <v>68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69</v>
      </c>
      <c r="N6" s="15"/>
      <c r="O6" s="15"/>
      <c r="P6" s="19">
        <v>27</v>
      </c>
      <c r="Q6" s="17">
        <v>27</v>
      </c>
      <c r="R6" s="15" t="s">
        <v>65</v>
      </c>
      <c r="S6" s="15"/>
      <c r="T6" s="15" t="s">
        <v>66</v>
      </c>
      <c r="U6" s="15"/>
      <c r="V6" s="15"/>
      <c r="W6" s="18"/>
      <c r="Y6" t="s">
        <v>68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69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65</v>
      </c>
      <c r="AP6" s="15"/>
      <c r="AQ6" s="15" t="s">
        <v>70</v>
      </c>
      <c r="AR6" s="15"/>
      <c r="AS6" s="15"/>
      <c r="AT6" s="18"/>
    </row>
    <row r="7" spans="2:47" x14ac:dyDescent="0.25">
      <c r="B7" t="s">
        <v>71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72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73</v>
      </c>
      <c r="U7" s="15"/>
      <c r="V7" s="15"/>
      <c r="W7" s="18"/>
      <c r="Y7" t="s">
        <v>71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72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74</v>
      </c>
      <c r="AR7" s="15"/>
      <c r="AS7" s="15"/>
      <c r="AT7" s="18"/>
    </row>
    <row r="8" spans="2:47" x14ac:dyDescent="0.25">
      <c r="B8" t="s">
        <v>75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76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77</v>
      </c>
      <c r="U8" s="15"/>
      <c r="V8" s="15"/>
      <c r="W8" s="18"/>
      <c r="Y8" t="s">
        <v>75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76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78</v>
      </c>
      <c r="AR8" s="15"/>
      <c r="AS8" s="15"/>
      <c r="AT8" s="18"/>
    </row>
    <row r="9" spans="2:47" x14ac:dyDescent="0.25">
      <c r="B9" t="s">
        <v>79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80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79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80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81</v>
      </c>
      <c r="AR9" s="15"/>
      <c r="AS9" s="15"/>
      <c r="AT9" s="18"/>
    </row>
    <row r="10" spans="2:47" x14ac:dyDescent="0.25">
      <c r="D10" s="26"/>
      <c r="E10" s="26"/>
      <c r="M10" s="14" t="s">
        <v>82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73</v>
      </c>
      <c r="U10" s="15"/>
      <c r="V10" s="15"/>
      <c r="W10" s="18"/>
      <c r="AJ10" s="14" t="s">
        <v>82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67</v>
      </c>
      <c r="AR10" s="15"/>
      <c r="AS10" s="15"/>
      <c r="AT10" s="18"/>
    </row>
    <row r="11" spans="2:47" x14ac:dyDescent="0.25">
      <c r="B11" s="27" t="s">
        <v>83</v>
      </c>
      <c r="D11" t="s">
        <v>56</v>
      </c>
      <c r="E11" t="s">
        <v>57</v>
      </c>
      <c r="G11" t="s">
        <v>84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85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86</v>
      </c>
      <c r="S11" s="15"/>
      <c r="T11" s="15" t="s">
        <v>74</v>
      </c>
      <c r="U11" s="15"/>
      <c r="V11" s="15"/>
      <c r="W11" s="18"/>
      <c r="Y11" s="27" t="s">
        <v>83</v>
      </c>
      <c r="AA11" t="s">
        <v>56</v>
      </c>
      <c r="AB11" t="s">
        <v>57</v>
      </c>
      <c r="AD11" t="s">
        <v>84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85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86</v>
      </c>
      <c r="AP11" s="15"/>
      <c r="AQ11" s="15" t="s">
        <v>74</v>
      </c>
      <c r="AR11" s="15"/>
      <c r="AS11" s="15"/>
      <c r="AT11" s="18"/>
      <c r="AU11" s="32"/>
    </row>
    <row r="12" spans="2:47" x14ac:dyDescent="0.25">
      <c r="B12" t="s">
        <v>87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88</v>
      </c>
      <c r="N12" s="15"/>
      <c r="O12" s="15"/>
      <c r="P12" s="15">
        <v>100</v>
      </c>
      <c r="Q12" s="33">
        <f>P12</f>
        <v>100</v>
      </c>
      <c r="R12" s="15" t="s">
        <v>89</v>
      </c>
      <c r="S12" s="15"/>
      <c r="T12" s="15" t="s">
        <v>90</v>
      </c>
      <c r="U12" s="15"/>
      <c r="V12" s="15"/>
      <c r="W12" s="18"/>
      <c r="Y12" t="s">
        <v>87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88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89</v>
      </c>
      <c r="AP12" s="15"/>
      <c r="AQ12" s="15"/>
      <c r="AR12" s="15"/>
      <c r="AS12" s="15"/>
      <c r="AT12" s="18"/>
      <c r="AU12" s="32"/>
    </row>
    <row r="13" spans="2:47" x14ac:dyDescent="0.25">
      <c r="B13" t="s">
        <v>91</v>
      </c>
      <c r="D13" s="12">
        <f>D12*P8/100</f>
        <v>122361.22653271889</v>
      </c>
      <c r="E13" s="12">
        <f>E12*Q8/100</f>
        <v>26230.316860251078</v>
      </c>
      <c r="M13" s="35" t="s">
        <v>92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91</v>
      </c>
      <c r="AA13" s="12">
        <f>AA12*AM8/100</f>
        <v>67784.690562793054</v>
      </c>
      <c r="AB13" s="12">
        <f>AB12*AN8/100</f>
        <v>36821.313392134514</v>
      </c>
      <c r="AJ13" s="35" t="s">
        <v>92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93</v>
      </c>
      <c r="D14" s="12">
        <f>D12-D13</f>
        <v>119192.15050351919</v>
      </c>
      <c r="E14" s="12">
        <f>E12-E13</f>
        <v>25550.968746836195</v>
      </c>
      <c r="M14" s="14" t="s">
        <v>94</v>
      </c>
      <c r="N14" s="15"/>
      <c r="O14" s="15"/>
      <c r="P14" s="15">
        <v>6.6</v>
      </c>
      <c r="Q14" s="37">
        <f t="shared" ref="Q14:Q22" si="4">P14</f>
        <v>6.6</v>
      </c>
      <c r="R14" s="24" t="s">
        <v>95</v>
      </c>
      <c r="S14" s="15"/>
      <c r="T14" s="15" t="s">
        <v>90</v>
      </c>
      <c r="U14" s="15"/>
      <c r="V14" s="15"/>
      <c r="W14" s="18"/>
      <c r="Y14" t="s">
        <v>93</v>
      </c>
      <c r="AA14" s="12">
        <f>AA12-AA13</f>
        <v>63326.896599282481</v>
      </c>
      <c r="AB14" s="12">
        <f>AB12-AB13</f>
        <v>34399.795683560864</v>
      </c>
      <c r="AJ14" s="14" t="s">
        <v>94</v>
      </c>
      <c r="AK14" s="15"/>
      <c r="AL14" s="15"/>
      <c r="AM14" s="19">
        <v>2</v>
      </c>
      <c r="AN14" s="37">
        <f t="shared" si="3"/>
        <v>2</v>
      </c>
      <c r="AO14" s="24" t="s">
        <v>95</v>
      </c>
      <c r="AP14" s="15"/>
      <c r="AQ14" s="15" t="s">
        <v>90</v>
      </c>
      <c r="AR14" s="15"/>
      <c r="AS14" s="15"/>
      <c r="AT14" s="18"/>
      <c r="AU14" s="32"/>
    </row>
    <row r="15" spans="2:47" x14ac:dyDescent="0.25">
      <c r="B15" t="s">
        <v>318</v>
      </c>
      <c r="D15" s="12">
        <f>D13*(1-P15/100)</f>
        <v>117222.05501834469</v>
      </c>
      <c r="E15" s="12">
        <f>E13*(1-Q15/100)</f>
        <v>25128.643552120531</v>
      </c>
      <c r="M15" s="14" t="s">
        <v>97</v>
      </c>
      <c r="N15" s="15"/>
      <c r="O15" s="15"/>
      <c r="P15" s="38">
        <v>4.2</v>
      </c>
      <c r="Q15" s="37">
        <f t="shared" si="4"/>
        <v>4.2</v>
      </c>
      <c r="R15" s="24" t="s">
        <v>98</v>
      </c>
      <c r="S15" s="15"/>
      <c r="T15" s="15" t="s">
        <v>90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97</v>
      </c>
      <c r="AK15" s="15"/>
      <c r="AL15" s="15"/>
      <c r="AM15" s="19">
        <v>4</v>
      </c>
      <c r="AN15" s="37">
        <f t="shared" si="3"/>
        <v>4</v>
      </c>
      <c r="AO15" s="24" t="s">
        <v>98</v>
      </c>
      <c r="AP15" s="15"/>
      <c r="AQ15" s="15" t="s">
        <v>90</v>
      </c>
      <c r="AR15" s="15"/>
      <c r="AS15" s="15"/>
      <c r="AT15" s="18"/>
      <c r="AU15" s="32"/>
    </row>
    <row r="16" spans="2:47" x14ac:dyDescent="0.25">
      <c r="B16" t="s">
        <v>319</v>
      </c>
      <c r="D16" s="12">
        <f>D14*(1-P17/100)</f>
        <v>115139.61738639954</v>
      </c>
      <c r="E16" s="12">
        <f>E14*(1-Q17/100)</f>
        <v>24682.235809443762</v>
      </c>
      <c r="M16" s="25" t="s">
        <v>100</v>
      </c>
      <c r="N16" s="15"/>
      <c r="O16" s="15"/>
      <c r="P16" s="15">
        <v>10</v>
      </c>
      <c r="Q16" s="37">
        <f t="shared" si="4"/>
        <v>10</v>
      </c>
      <c r="R16" s="15" t="s">
        <v>89</v>
      </c>
      <c r="S16" s="15"/>
      <c r="T16" s="15" t="s">
        <v>90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100</v>
      </c>
      <c r="AK16" s="15"/>
      <c r="AL16" s="15"/>
      <c r="AM16" s="15">
        <v>3</v>
      </c>
      <c r="AN16" s="37">
        <f t="shared" si="3"/>
        <v>3</v>
      </c>
      <c r="AO16" s="15" t="s">
        <v>89</v>
      </c>
      <c r="AP16" s="15"/>
      <c r="AQ16" s="15" t="s">
        <v>90</v>
      </c>
      <c r="AR16" s="15"/>
      <c r="AS16" s="15"/>
      <c r="AT16" s="18"/>
      <c r="AU16" s="32"/>
    </row>
    <row r="17" spans="2:47" x14ac:dyDescent="0.25">
      <c r="B17" t="s">
        <v>96</v>
      </c>
      <c r="D17" s="12">
        <f>D15+E15*P39/100</f>
        <v>139586.54777973198</v>
      </c>
      <c r="E17" s="12">
        <f>E15-E15*P39/100</f>
        <v>2764.1507907332598</v>
      </c>
      <c r="M17" s="14" t="s">
        <v>102</v>
      </c>
      <c r="N17" s="15"/>
      <c r="O17" s="15"/>
      <c r="P17" s="15">
        <v>3.4</v>
      </c>
      <c r="Q17" s="37">
        <f t="shared" si="4"/>
        <v>3.4</v>
      </c>
      <c r="R17" s="24" t="s">
        <v>98</v>
      </c>
      <c r="S17" s="15"/>
      <c r="T17" s="15" t="s">
        <v>90</v>
      </c>
      <c r="U17" s="15"/>
      <c r="V17" s="15"/>
      <c r="W17" s="18"/>
      <c r="Y17" t="s">
        <v>96</v>
      </c>
      <c r="AA17" s="12">
        <f>AA15+AB15*AM39/100</f>
        <v>70022.087460184208</v>
      </c>
      <c r="AB17" s="12">
        <f>AB15-AB15*AM39/100</f>
        <v>30399.676336546258</v>
      </c>
      <c r="AJ17" s="14" t="s">
        <v>102</v>
      </c>
      <c r="AK17" s="15"/>
      <c r="AL17" s="15"/>
      <c r="AM17" s="15">
        <v>3.2</v>
      </c>
      <c r="AN17" s="37">
        <f t="shared" si="3"/>
        <v>3.2</v>
      </c>
      <c r="AO17" s="24" t="s">
        <v>98</v>
      </c>
      <c r="AP17" s="15"/>
      <c r="AQ17" s="15" t="s">
        <v>90</v>
      </c>
      <c r="AR17" s="15"/>
      <c r="AS17" s="15"/>
      <c r="AT17" s="18"/>
      <c r="AU17" s="32"/>
    </row>
    <row r="18" spans="2:47" x14ac:dyDescent="0.25">
      <c r="B18" t="s">
        <v>99</v>
      </c>
      <c r="D18" s="12">
        <f>D16+E16*P40/100</f>
        <v>117237.60743020226</v>
      </c>
      <c r="E18" s="12">
        <f>E16-E16*P40/100</f>
        <v>22584.245765641041</v>
      </c>
      <c r="M18" s="25" t="s">
        <v>100</v>
      </c>
      <c r="N18" s="15"/>
      <c r="O18" s="15"/>
      <c r="P18" s="15">
        <v>10</v>
      </c>
      <c r="Q18" s="37">
        <f t="shared" si="4"/>
        <v>10</v>
      </c>
      <c r="R18" s="15" t="s">
        <v>89</v>
      </c>
      <c r="S18" s="15"/>
      <c r="T18" s="15" t="s">
        <v>90</v>
      </c>
      <c r="U18" s="15"/>
      <c r="V18" s="15"/>
      <c r="W18" s="18"/>
      <c r="Y18" t="s">
        <v>99</v>
      </c>
      <c r="AA18" s="12">
        <f>AA16+AB16*AM40/100</f>
        <v>64130.851096948827</v>
      </c>
      <c r="AB18" s="12">
        <f>AB16-AB16*AM40/100</f>
        <v>30468.58703284353</v>
      </c>
      <c r="AJ18" s="25" t="s">
        <v>100</v>
      </c>
      <c r="AK18" s="15"/>
      <c r="AL18" s="15"/>
      <c r="AM18" s="15">
        <v>10</v>
      </c>
      <c r="AN18" s="37">
        <f t="shared" si="3"/>
        <v>10</v>
      </c>
      <c r="AO18" s="15" t="s">
        <v>89</v>
      </c>
      <c r="AP18" s="15"/>
      <c r="AQ18" s="15" t="s">
        <v>90</v>
      </c>
      <c r="AR18" s="15"/>
      <c r="AS18" s="15"/>
      <c r="AT18" s="18"/>
      <c r="AU18" s="32"/>
    </row>
    <row r="19" spans="2:47" x14ac:dyDescent="0.25">
      <c r="B19" t="s">
        <v>101</v>
      </c>
      <c r="D19" s="12">
        <f>D17*(1-P19/100)</f>
        <v>130094.66253071019</v>
      </c>
      <c r="E19" s="12">
        <f>E17*(1-Q19/100)</f>
        <v>2576.1885369633978</v>
      </c>
      <c r="M19" s="14" t="s">
        <v>105</v>
      </c>
      <c r="N19" s="15"/>
      <c r="O19" s="15"/>
      <c r="P19" s="38">
        <v>6.8</v>
      </c>
      <c r="Q19" s="37">
        <f t="shared" si="4"/>
        <v>6.8</v>
      </c>
      <c r="R19" s="15" t="s">
        <v>106</v>
      </c>
      <c r="S19" s="15"/>
      <c r="T19" s="15" t="s">
        <v>90</v>
      </c>
      <c r="U19" s="15"/>
      <c r="V19" s="15"/>
      <c r="W19" s="18"/>
      <c r="Y19" t="s">
        <v>101</v>
      </c>
      <c r="AA19" s="12">
        <f>AA17*(1-AM19/100)</f>
        <v>68481.60153606016</v>
      </c>
      <c r="AB19" s="12">
        <f>AB17*(1-AN19/100)</f>
        <v>29730.883457142238</v>
      </c>
      <c r="AJ19" s="14" t="s">
        <v>105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106</v>
      </c>
      <c r="AP19" s="15"/>
      <c r="AQ19" s="15" t="s">
        <v>90</v>
      </c>
      <c r="AR19" s="15"/>
      <c r="AS19" s="15"/>
      <c r="AT19" s="18"/>
      <c r="AU19" s="32"/>
    </row>
    <row r="20" spans="2:47" x14ac:dyDescent="0.25">
      <c r="B20" t="s">
        <v>103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100</v>
      </c>
      <c r="N20" s="15"/>
      <c r="O20" s="15"/>
      <c r="P20" s="15">
        <v>59</v>
      </c>
      <c r="Q20" s="37">
        <f t="shared" si="4"/>
        <v>59</v>
      </c>
      <c r="R20" s="15" t="s">
        <v>89</v>
      </c>
      <c r="S20" s="15"/>
      <c r="T20" s="15" t="s">
        <v>90</v>
      </c>
      <c r="U20" s="15"/>
      <c r="V20" s="15"/>
      <c r="W20" s="18"/>
      <c r="Y20" t="s">
        <v>103</v>
      </c>
      <c r="AA20" s="12">
        <f>AA18*(1-AM21/100)</f>
        <v>63104.757479397646</v>
      </c>
      <c r="AB20" s="12">
        <f>AB18*(1-AN21/100)</f>
        <v>29981.089640318034</v>
      </c>
      <c r="AJ20" s="25" t="s">
        <v>100</v>
      </c>
      <c r="AK20" s="15"/>
      <c r="AL20" s="15"/>
      <c r="AM20" s="15">
        <v>234</v>
      </c>
      <c r="AN20" s="37">
        <f t="shared" si="3"/>
        <v>234</v>
      </c>
      <c r="AO20" s="15" t="s">
        <v>89</v>
      </c>
      <c r="AP20" s="15"/>
      <c r="AQ20" s="15" t="s">
        <v>90</v>
      </c>
      <c r="AR20" s="15"/>
      <c r="AS20" s="15"/>
      <c r="AT20" s="18"/>
      <c r="AU20" s="32"/>
    </row>
    <row r="21" spans="2:47" x14ac:dyDescent="0.25">
      <c r="B21" t="s">
        <v>104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109</v>
      </c>
      <c r="N21" s="15"/>
      <c r="O21" s="15"/>
      <c r="P21" s="23">
        <v>4</v>
      </c>
      <c r="Q21" s="40">
        <f t="shared" si="4"/>
        <v>4</v>
      </c>
      <c r="R21" s="15" t="s">
        <v>106</v>
      </c>
      <c r="S21" s="15"/>
      <c r="T21" s="15" t="s">
        <v>90</v>
      </c>
      <c r="U21" s="15"/>
      <c r="V21" s="15"/>
      <c r="W21" s="18"/>
      <c r="Y21" t="s">
        <v>104</v>
      </c>
      <c r="AA21" s="12">
        <f>AA13-AA15+AA17-AA19</f>
        <v>4251.8735466357757</v>
      </c>
      <c r="AB21" s="12">
        <f>AB13-AB15+AB17-AB19</f>
        <v>2141.6454150893987</v>
      </c>
      <c r="AJ21" s="14" t="s">
        <v>109</v>
      </c>
      <c r="AK21" s="15"/>
      <c r="AL21" s="15"/>
      <c r="AM21" s="15">
        <v>1.6</v>
      </c>
      <c r="AN21" s="40">
        <f t="shared" si="3"/>
        <v>1.6</v>
      </c>
      <c r="AO21" s="15" t="s">
        <v>106</v>
      </c>
      <c r="AP21" s="15"/>
      <c r="AQ21" s="15" t="s">
        <v>90</v>
      </c>
      <c r="AR21" s="15"/>
      <c r="AS21" s="15"/>
      <c r="AT21" s="18"/>
    </row>
    <row r="22" spans="2:47" x14ac:dyDescent="0.25">
      <c r="B22" t="s">
        <v>107</v>
      </c>
      <c r="D22" s="12">
        <f>D14-D16+D18-D20</f>
        <v>8742.0374143277586</v>
      </c>
      <c r="E22" s="12">
        <f>E14-E16+E18-E20</f>
        <v>1772.1027680180741</v>
      </c>
      <c r="M22" s="25" t="s">
        <v>100</v>
      </c>
      <c r="N22" s="15"/>
      <c r="O22" s="15"/>
      <c r="P22" s="15">
        <v>59</v>
      </c>
      <c r="Q22" s="37">
        <f t="shared" si="4"/>
        <v>59</v>
      </c>
      <c r="R22" s="15" t="s">
        <v>89</v>
      </c>
      <c r="S22" s="15"/>
      <c r="T22" s="15" t="s">
        <v>90</v>
      </c>
      <c r="U22" s="15"/>
      <c r="V22" s="15"/>
      <c r="W22" s="18"/>
      <c r="Y22" t="s">
        <v>107</v>
      </c>
      <c r="AA22" s="12">
        <f>AA14-AA16+AA18-AA20</f>
        <v>3052.5543087282203</v>
      </c>
      <c r="AB22" s="12">
        <f>AB14-AB16+AB18-AB20</f>
        <v>1588.2908543994417</v>
      </c>
      <c r="AJ22" s="25" t="s">
        <v>100</v>
      </c>
      <c r="AK22" s="15"/>
      <c r="AL22" s="15"/>
      <c r="AM22" s="15">
        <v>241</v>
      </c>
      <c r="AN22" s="37">
        <f t="shared" si="3"/>
        <v>241</v>
      </c>
      <c r="AO22" s="15" t="s">
        <v>89</v>
      </c>
      <c r="AP22" s="15"/>
      <c r="AQ22" s="15" t="s">
        <v>90</v>
      </c>
      <c r="AR22" s="15"/>
      <c r="AS22" s="15"/>
      <c r="AT22" s="18"/>
    </row>
    <row r="23" spans="2:47" x14ac:dyDescent="0.25">
      <c r="B23" t="s">
        <v>108</v>
      </c>
      <c r="D23" s="12">
        <f>D5*P7/100</f>
        <v>96909.870148000016</v>
      </c>
      <c r="E23" s="12">
        <f>E5*Q7/100</f>
        <v>19864.173731999999</v>
      </c>
      <c r="M23" s="35" t="s">
        <v>112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108</v>
      </c>
      <c r="AA23" s="12">
        <f>AA5*AM7/100</f>
        <v>33590.164258831006</v>
      </c>
      <c r="AB23" s="12">
        <f>AB5*AN7/100</f>
        <v>18246.508980105737</v>
      </c>
      <c r="AJ23" s="35" t="s">
        <v>112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110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94</v>
      </c>
      <c r="N24" s="21"/>
      <c r="O24" s="22"/>
      <c r="P24" s="23">
        <v>60.9</v>
      </c>
      <c r="Q24" s="23">
        <v>61.5</v>
      </c>
      <c r="R24" s="15" t="s">
        <v>65</v>
      </c>
      <c r="S24" s="15"/>
      <c r="T24" s="24" t="s">
        <v>73</v>
      </c>
      <c r="U24" s="15"/>
      <c r="V24" s="15"/>
      <c r="W24" s="18"/>
      <c r="Y24" t="s">
        <v>110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94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65</v>
      </c>
      <c r="AP24" s="15"/>
      <c r="AQ24" s="15"/>
      <c r="AR24" s="15"/>
      <c r="AS24" s="15"/>
      <c r="AT24" s="18"/>
    </row>
    <row r="25" spans="2:47" x14ac:dyDescent="0.25">
      <c r="B25" t="s">
        <v>111</v>
      </c>
      <c r="D25" s="12">
        <f>D24*(D19)/(D19+D20-D23)</f>
        <v>10028.193990455773</v>
      </c>
      <c r="E25" s="12">
        <f>E24*(E19)/(E19+E20-E23)</f>
        <v>198.58246220177472</v>
      </c>
      <c r="M25" s="14" t="s">
        <v>115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65</v>
      </c>
      <c r="S25" s="15"/>
      <c r="T25" s="15"/>
      <c r="U25" s="15"/>
      <c r="V25" s="15"/>
      <c r="W25" s="18"/>
      <c r="Y25" t="s">
        <v>111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115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65</v>
      </c>
      <c r="AP25" s="15"/>
      <c r="AQ25" s="15"/>
      <c r="AR25" s="15"/>
      <c r="AS25" s="15"/>
      <c r="AT25" s="18"/>
    </row>
    <row r="26" spans="2:47" x14ac:dyDescent="0.25">
      <c r="B26" t="s">
        <v>113</v>
      </c>
      <c r="D26" s="12">
        <f>D24-D25</f>
        <v>1205.4547895417763</v>
      </c>
      <c r="E26" s="12">
        <f>E24-E25</f>
        <v>140.03835176886048</v>
      </c>
      <c r="M26" s="14" t="s">
        <v>117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65</v>
      </c>
      <c r="S26" s="15"/>
      <c r="T26" s="15"/>
      <c r="U26" s="15"/>
      <c r="V26" s="15"/>
      <c r="W26" s="18"/>
      <c r="Y26" t="s">
        <v>113</v>
      </c>
      <c r="AA26" s="12">
        <f>AA24-AA25</f>
        <v>725.45986300655682</v>
      </c>
      <c r="AB26" s="12">
        <f>AB24-AB25</f>
        <v>288.43247862433429</v>
      </c>
      <c r="AJ26" s="14" t="s">
        <v>117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65</v>
      </c>
      <c r="AP26" s="15"/>
      <c r="AQ26" s="15"/>
      <c r="AR26" s="15"/>
      <c r="AS26" s="15"/>
      <c r="AT26" s="18"/>
    </row>
    <row r="27" spans="2:47" x14ac:dyDescent="0.25">
      <c r="B27" t="s">
        <v>114</v>
      </c>
      <c r="D27" s="12">
        <f>D20-D23-D26</f>
        <v>14432.778195452369</v>
      </c>
      <c r="E27" s="12">
        <f>E20-E23-E26</f>
        <v>1676.6638512465397</v>
      </c>
      <c r="M27" s="14" t="s">
        <v>119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65</v>
      </c>
      <c r="S27" s="15"/>
      <c r="T27" s="15"/>
      <c r="U27" s="15"/>
      <c r="V27" s="15"/>
      <c r="W27" s="18"/>
      <c r="Y27" t="s">
        <v>114</v>
      </c>
      <c r="AA27" s="12">
        <f>AA20-AA23-AA26</f>
        <v>28789.133357560084</v>
      </c>
      <c r="AB27" s="12">
        <f>AB20-AB23-AB26</f>
        <v>11446.148181587963</v>
      </c>
      <c r="AJ27" s="14" t="s">
        <v>119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65</v>
      </c>
      <c r="AP27" s="15"/>
      <c r="AQ27" s="15"/>
      <c r="AR27" s="15"/>
      <c r="AS27" s="15"/>
      <c r="AT27" s="18"/>
    </row>
    <row r="28" spans="2:47" x14ac:dyDescent="0.25">
      <c r="B28" t="s">
        <v>116</v>
      </c>
      <c r="D28" s="12">
        <f>(D19-D25)*(P37/100)</f>
        <v>17767.61123120362</v>
      </c>
      <c r="E28" s="12">
        <f>(E19-E25)*(Q37/100)</f>
        <v>1558.1557309026598</v>
      </c>
      <c r="M28" s="14" t="s">
        <v>120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65</v>
      </c>
      <c r="S28" s="15"/>
      <c r="T28" s="15"/>
      <c r="U28" s="15"/>
      <c r="V28" s="15"/>
      <c r="W28" s="18"/>
      <c r="Y28" t="s">
        <v>116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120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65</v>
      </c>
      <c r="AP28" s="15"/>
      <c r="AQ28" s="15"/>
      <c r="AR28" s="15"/>
      <c r="AS28" s="15"/>
      <c r="AT28" s="18"/>
    </row>
    <row r="29" spans="2:47" x14ac:dyDescent="0.25">
      <c r="B29" t="s">
        <v>118</v>
      </c>
      <c r="D29" s="12">
        <f>D19-D25-D28</f>
        <v>102298.8573090508</v>
      </c>
      <c r="E29" s="12">
        <f>E19-E25-E28</f>
        <v>819.45034385896315</v>
      </c>
      <c r="M29" s="43" t="s">
        <v>121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118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121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94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122</v>
      </c>
      <c r="S30" s="19"/>
      <c r="T30" s="15"/>
      <c r="U30" s="15"/>
      <c r="V30" s="15"/>
      <c r="W30" s="18"/>
      <c r="AA30" s="12"/>
      <c r="AB30" s="26"/>
      <c r="AJ30" s="14" t="s">
        <v>94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122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115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122</v>
      </c>
      <c r="S31" s="19"/>
      <c r="T31" s="15"/>
      <c r="U31" s="15"/>
      <c r="V31" s="15"/>
      <c r="W31" s="18"/>
      <c r="AA31" s="12"/>
      <c r="AB31" s="26"/>
      <c r="AJ31" s="14" t="s">
        <v>115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122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117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122</v>
      </c>
      <c r="S32" s="19"/>
      <c r="T32" s="15"/>
      <c r="U32" s="15"/>
      <c r="V32" s="15"/>
      <c r="W32" s="18"/>
      <c r="AA32" s="45"/>
      <c r="AB32" s="26"/>
      <c r="AJ32" s="14" t="s">
        <v>117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122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119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122</v>
      </c>
      <c r="S33" s="19"/>
      <c r="T33" s="15"/>
      <c r="U33" s="15"/>
      <c r="V33" s="15"/>
      <c r="W33" s="18"/>
      <c r="AA33" s="12"/>
      <c r="AB33" s="26"/>
      <c r="AJ33" s="14" t="s">
        <v>119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122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120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122</v>
      </c>
      <c r="S34" s="19"/>
      <c r="T34" s="15"/>
      <c r="U34" s="15"/>
      <c r="V34" s="15"/>
      <c r="W34" s="18"/>
      <c r="AA34" s="12"/>
      <c r="AB34" s="26"/>
      <c r="AJ34" s="14" t="s">
        <v>120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122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123</v>
      </c>
      <c r="N35" s="21"/>
      <c r="O35" s="22"/>
      <c r="P35" s="19"/>
      <c r="Q35" s="37"/>
      <c r="R35" s="19"/>
      <c r="S35" s="19" t="s">
        <v>305</v>
      </c>
      <c r="T35" s="15"/>
      <c r="U35" s="15"/>
      <c r="V35" s="15"/>
      <c r="W35" s="18"/>
      <c r="AA35" s="12"/>
      <c r="AB35" s="26"/>
      <c r="AJ35" s="35" t="s">
        <v>123</v>
      </c>
      <c r="AK35" s="21"/>
      <c r="AL35" s="22"/>
      <c r="AM35" s="19"/>
      <c r="AN35" s="37"/>
      <c r="AO35" s="19"/>
      <c r="AP35" s="19" t="s">
        <v>305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495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117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496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119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2" t="s">
        <v>300</v>
      </c>
      <c r="N38" s="15"/>
      <c r="O38" s="19"/>
      <c r="P38" s="19"/>
      <c r="Q38" s="15"/>
      <c r="R38" s="15"/>
      <c r="S38" s="15"/>
      <c r="T38" s="15"/>
      <c r="U38" s="15"/>
      <c r="V38" s="15"/>
      <c r="W38" s="105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2" t="s">
        <v>300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5"/>
    </row>
    <row r="39" spans="2:46" x14ac:dyDescent="0.25">
      <c r="D39" s="12"/>
      <c r="E39" s="42"/>
      <c r="J39" s="15"/>
      <c r="K39" s="21"/>
      <c r="L39" s="22"/>
      <c r="M39" s="103" t="s">
        <v>301</v>
      </c>
      <c r="N39" s="15"/>
      <c r="O39" s="19"/>
      <c r="P39" s="19">
        <v>89</v>
      </c>
      <c r="Q39" s="15"/>
      <c r="R39" s="107" t="s">
        <v>9</v>
      </c>
      <c r="S39" s="15"/>
      <c r="T39" s="15" t="s">
        <v>303</v>
      </c>
      <c r="U39" s="15"/>
      <c r="V39" s="15"/>
      <c r="W39" s="105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3" t="s">
        <v>301</v>
      </c>
      <c r="AK39" s="15"/>
      <c r="AL39" s="19"/>
      <c r="AM39" s="19">
        <v>14</v>
      </c>
      <c r="AN39" s="15"/>
      <c r="AO39" s="107" t="s">
        <v>9</v>
      </c>
      <c r="AP39" s="15"/>
      <c r="AQ39" s="15"/>
      <c r="AR39" s="15"/>
      <c r="AS39" s="15"/>
      <c r="AT39" s="105"/>
    </row>
    <row r="40" spans="2:46" x14ac:dyDescent="0.25">
      <c r="D40" s="12"/>
      <c r="E40" s="42"/>
      <c r="J40" s="15"/>
      <c r="K40" s="21"/>
      <c r="L40" s="22"/>
      <c r="M40" s="104" t="s">
        <v>302</v>
      </c>
      <c r="N40" s="47"/>
      <c r="O40" s="46"/>
      <c r="P40" s="46">
        <v>8.5</v>
      </c>
      <c r="Q40" s="47"/>
      <c r="R40" s="47" t="s">
        <v>9</v>
      </c>
      <c r="S40" s="47"/>
      <c r="T40" s="47" t="s">
        <v>303</v>
      </c>
      <c r="U40" s="47"/>
      <c r="V40" s="47"/>
      <c r="W40" s="106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4" t="s">
        <v>302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6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294</v>
      </c>
      <c r="F42" s="6" t="s">
        <v>295</v>
      </c>
      <c r="AH42" s="24"/>
      <c r="AI42" s="24"/>
    </row>
    <row r="43" spans="2:46" x14ac:dyDescent="0.25">
      <c r="B43" s="48" t="s">
        <v>124</v>
      </c>
      <c r="C43" s="48"/>
      <c r="D43" s="49" t="s">
        <v>266</v>
      </c>
      <c r="E43" s="49" t="s">
        <v>268</v>
      </c>
      <c r="F43" s="49" t="s">
        <v>126</v>
      </c>
      <c r="G43" s="49" t="s">
        <v>127</v>
      </c>
      <c r="H43" s="49" t="s">
        <v>317</v>
      </c>
      <c r="J43" s="48" t="s">
        <v>128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292</v>
      </c>
      <c r="C44" s="81"/>
      <c r="D44" s="50">
        <f>SUM(D5:E5)</f>
        <v>316238</v>
      </c>
      <c r="E44" s="101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293</v>
      </c>
      <c r="C45" s="81"/>
      <c r="D45" s="50">
        <f>SUM(AA5:AB5)</f>
        <v>206514</v>
      </c>
      <c r="E45" s="101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129</v>
      </c>
      <c r="C46" s="49"/>
      <c r="D46" s="50">
        <f>SUM(D9:E9,AA9:AB9)</f>
        <v>462138.23293531057</v>
      </c>
      <c r="E46" s="101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130</v>
      </c>
      <c r="C47" s="49"/>
      <c r="D47" s="50">
        <f>SUM(D6:E8,AA6:AB8)</f>
        <v>491118.33111116767</v>
      </c>
      <c r="E47" s="101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131</v>
      </c>
      <c r="K47" s="49"/>
      <c r="L47" s="49" t="s">
        <v>132</v>
      </c>
      <c r="M47" s="49" t="s">
        <v>133</v>
      </c>
      <c r="N47" s="49" t="s">
        <v>134</v>
      </c>
      <c r="O47" s="49" t="s">
        <v>135</v>
      </c>
      <c r="P47" s="49" t="s">
        <v>136</v>
      </c>
      <c r="Q47" s="49" t="s">
        <v>137</v>
      </c>
      <c r="R47" s="49" t="s">
        <v>138</v>
      </c>
      <c r="S47" s="49" t="s">
        <v>139</v>
      </c>
      <c r="T47" s="49" t="s">
        <v>140</v>
      </c>
      <c r="U47" s="49" t="s">
        <v>141</v>
      </c>
      <c r="V47" s="49" t="s">
        <v>142</v>
      </c>
      <c r="W47" s="49" t="s">
        <v>143</v>
      </c>
      <c r="X47" s="49" t="s">
        <v>144</v>
      </c>
      <c r="Y47" s="49" t="s">
        <v>145</v>
      </c>
      <c r="Z47" s="49" t="s">
        <v>146</v>
      </c>
      <c r="AA47" s="49" t="s">
        <v>147</v>
      </c>
      <c r="AB47" s="49" t="s">
        <v>148</v>
      </c>
      <c r="AC47" s="49" t="s">
        <v>149</v>
      </c>
      <c r="AD47" s="49" t="s">
        <v>150</v>
      </c>
      <c r="AE47" s="49" t="s">
        <v>151</v>
      </c>
      <c r="AF47" s="49" t="s">
        <v>152</v>
      </c>
      <c r="AG47" s="49" t="s">
        <v>153</v>
      </c>
      <c r="AH47" s="49"/>
    </row>
    <row r="48" spans="2:46" x14ac:dyDescent="0.25">
      <c r="B48" s="49" t="s">
        <v>154</v>
      </c>
      <c r="C48" s="49"/>
      <c r="D48" s="50">
        <f>SUM(F5:G5,AC5:AD5)</f>
        <v>143608.72911893675</v>
      </c>
      <c r="E48" s="101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129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155</v>
      </c>
      <c r="C49" s="49"/>
      <c r="D49" s="50">
        <f>SUM(F6:G6,AC6:AD6)</f>
        <v>56344.72358584695</v>
      </c>
      <c r="E49" s="101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130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156</v>
      </c>
      <c r="C50" s="49"/>
      <c r="D50" s="50">
        <f>SUM(F7:G7,AC7:AD7)</f>
        <v>35943.897575353338</v>
      </c>
      <c r="E50" s="101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157</v>
      </c>
      <c r="C51" s="49"/>
      <c r="D51" s="50">
        <f>SUM(F8:G8,AC8:AD8)</f>
        <v>182298.62856215972</v>
      </c>
      <c r="E51" s="101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158</v>
      </c>
      <c r="K51" s="49"/>
      <c r="L51" s="49" t="s">
        <v>159</v>
      </c>
      <c r="M51" s="49" t="s">
        <v>160</v>
      </c>
      <c r="N51" s="49" t="s">
        <v>161</v>
      </c>
      <c r="O51" s="49" t="s">
        <v>162</v>
      </c>
      <c r="P51" s="49" t="s">
        <v>163</v>
      </c>
      <c r="Q51" s="49" t="s">
        <v>164</v>
      </c>
      <c r="R51" s="49" t="s">
        <v>165</v>
      </c>
      <c r="S51" s="49" t="s">
        <v>166</v>
      </c>
      <c r="T51" s="49" t="s">
        <v>167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168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129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169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170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130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171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172</v>
      </c>
    </row>
    <row r="57" spans="2:34" x14ac:dyDescent="0.25">
      <c r="D57" s="49" t="s">
        <v>125</v>
      </c>
      <c r="E57" t="s">
        <v>132</v>
      </c>
      <c r="F57" t="s">
        <v>133</v>
      </c>
      <c r="G57" t="s">
        <v>134</v>
      </c>
      <c r="H57" t="s">
        <v>135</v>
      </c>
      <c r="I57" t="s">
        <v>136</v>
      </c>
      <c r="J57" t="s">
        <v>137</v>
      </c>
      <c r="K57" t="s">
        <v>138</v>
      </c>
      <c r="L57" t="s">
        <v>139</v>
      </c>
      <c r="M57" t="s">
        <v>140</v>
      </c>
      <c r="N57" t="s">
        <v>141</v>
      </c>
      <c r="O57" t="s">
        <v>142</v>
      </c>
      <c r="P57" t="s">
        <v>143</v>
      </c>
      <c r="Q57" t="s">
        <v>144</v>
      </c>
      <c r="R57" t="s">
        <v>145</v>
      </c>
      <c r="S57" t="s">
        <v>146</v>
      </c>
      <c r="T57" t="s">
        <v>147</v>
      </c>
      <c r="U57" t="s">
        <v>148</v>
      </c>
      <c r="V57" t="s">
        <v>149</v>
      </c>
      <c r="W57" t="s">
        <v>150</v>
      </c>
      <c r="X57" t="s">
        <v>151</v>
      </c>
      <c r="Y57" t="s">
        <v>152</v>
      </c>
      <c r="Z57" t="s">
        <v>153</v>
      </c>
    </row>
    <row r="58" spans="2:34" x14ac:dyDescent="0.25">
      <c r="B58" t="s">
        <v>173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306</v>
      </c>
    </row>
    <row r="59" spans="2:34" x14ac:dyDescent="0.25">
      <c r="B59" t="s">
        <v>174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307</v>
      </c>
    </row>
    <row r="60" spans="2:34" x14ac:dyDescent="0.25">
      <c r="B60" t="s">
        <v>130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129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175</v>
      </c>
    </row>
    <row r="64" spans="2:34" x14ac:dyDescent="0.25">
      <c r="D64" t="s">
        <v>132</v>
      </c>
      <c r="E64" t="s">
        <v>133</v>
      </c>
      <c r="F64" t="s">
        <v>134</v>
      </c>
      <c r="G64" t="s">
        <v>135</v>
      </c>
      <c r="H64" t="s">
        <v>136</v>
      </c>
      <c r="I64" t="s">
        <v>137</v>
      </c>
      <c r="J64" t="s">
        <v>138</v>
      </c>
      <c r="K64" t="s">
        <v>139</v>
      </c>
      <c r="L64" t="s">
        <v>140</v>
      </c>
      <c r="M64" t="s">
        <v>141</v>
      </c>
      <c r="N64" t="s">
        <v>142</v>
      </c>
      <c r="O64" t="s">
        <v>143</v>
      </c>
      <c r="P64" t="s">
        <v>144</v>
      </c>
      <c r="Q64" t="s">
        <v>145</v>
      </c>
      <c r="R64" t="s">
        <v>146</v>
      </c>
      <c r="S64" t="s">
        <v>147</v>
      </c>
      <c r="T64" t="s">
        <v>148</v>
      </c>
      <c r="U64" t="s">
        <v>149</v>
      </c>
      <c r="V64" t="s">
        <v>150</v>
      </c>
      <c r="W64" t="s">
        <v>151</v>
      </c>
      <c r="X64" t="s">
        <v>152</v>
      </c>
      <c r="Y64" t="s">
        <v>153</v>
      </c>
      <c r="Z64" t="s">
        <v>176</v>
      </c>
      <c r="AC64" s="6" t="s">
        <v>296</v>
      </c>
    </row>
    <row r="65" spans="2:31" x14ac:dyDescent="0.25">
      <c r="B65" t="s">
        <v>177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177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178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178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298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298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179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179</v>
      </c>
      <c r="AD68">
        <v>19.279999999999998</v>
      </c>
      <c r="AE68" s="13">
        <f t="shared" si="9"/>
        <v>11.5194144</v>
      </c>
    </row>
    <row r="69" spans="2:31" x14ac:dyDescent="0.25">
      <c r="B69" t="s">
        <v>180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180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181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181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182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182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183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183</v>
      </c>
      <c r="AD72">
        <v>12.48</v>
      </c>
      <c r="AE72" s="13">
        <f t="shared" si="9"/>
        <v>2.6478400000000004</v>
      </c>
    </row>
    <row r="73" spans="2:31" x14ac:dyDescent="0.25">
      <c r="B73" t="s">
        <v>184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184</v>
      </c>
      <c r="AD73">
        <v>27.5</v>
      </c>
      <c r="AE73" s="13">
        <f t="shared" si="9"/>
        <v>0.86166666666666669</v>
      </c>
    </row>
    <row r="74" spans="2:31" x14ac:dyDescent="0.25">
      <c r="B74" t="s">
        <v>297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297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304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304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299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299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185</v>
      </c>
    </row>
    <row r="79" spans="2:31" x14ac:dyDescent="0.25">
      <c r="D79" t="s">
        <v>132</v>
      </c>
      <c r="E79" t="s">
        <v>133</v>
      </c>
      <c r="F79" t="s">
        <v>134</v>
      </c>
      <c r="G79" t="s">
        <v>135</v>
      </c>
      <c r="H79" t="s">
        <v>136</v>
      </c>
      <c r="I79" t="s">
        <v>137</v>
      </c>
      <c r="J79" t="s">
        <v>138</v>
      </c>
      <c r="K79" t="s">
        <v>139</v>
      </c>
      <c r="L79" t="s">
        <v>140</v>
      </c>
      <c r="M79" t="s">
        <v>141</v>
      </c>
      <c r="N79" t="s">
        <v>142</v>
      </c>
      <c r="O79" t="s">
        <v>143</v>
      </c>
      <c r="P79" t="s">
        <v>144</v>
      </c>
      <c r="Q79" t="s">
        <v>145</v>
      </c>
      <c r="R79" t="s">
        <v>146</v>
      </c>
      <c r="S79" t="s">
        <v>147</v>
      </c>
      <c r="T79" t="s">
        <v>148</v>
      </c>
      <c r="U79" t="s">
        <v>149</v>
      </c>
      <c r="V79" t="s">
        <v>150</v>
      </c>
      <c r="W79" t="s">
        <v>151</v>
      </c>
      <c r="X79" t="s">
        <v>152</v>
      </c>
      <c r="Y79" t="s">
        <v>153</v>
      </c>
      <c r="AC79" s="6" t="s">
        <v>296</v>
      </c>
    </row>
    <row r="80" spans="2:31" x14ac:dyDescent="0.25">
      <c r="B80" t="s">
        <v>173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173</v>
      </c>
      <c r="AD80">
        <v>17.399999999999999</v>
      </c>
    </row>
    <row r="81" spans="2:30" x14ac:dyDescent="0.25">
      <c r="B81" t="s">
        <v>174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174</v>
      </c>
      <c r="AD81">
        <v>35.200000000000003</v>
      </c>
    </row>
    <row r="82" spans="2:30" x14ac:dyDescent="0.25">
      <c r="B82" t="s">
        <v>129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129</v>
      </c>
      <c r="AD82">
        <v>20.8</v>
      </c>
    </row>
    <row r="83" spans="2:30" x14ac:dyDescent="0.25">
      <c r="B83" t="s">
        <v>130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130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188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159</v>
      </c>
      <c r="E86" t="s">
        <v>160</v>
      </c>
      <c r="F86" t="s">
        <v>161</v>
      </c>
      <c r="G86" t="s">
        <v>162</v>
      </c>
      <c r="H86" t="s">
        <v>163</v>
      </c>
      <c r="I86" t="s">
        <v>164</v>
      </c>
      <c r="J86" t="s">
        <v>165</v>
      </c>
      <c r="K86" t="s">
        <v>166</v>
      </c>
      <c r="L86" t="s">
        <v>167</v>
      </c>
    </row>
    <row r="87" spans="2:30" x14ac:dyDescent="0.25">
      <c r="B87" s="66" t="s">
        <v>129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186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173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174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130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187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378</v>
      </c>
    </row>
    <row r="96" spans="2:30" x14ac:dyDescent="0.25">
      <c r="C96" t="s">
        <v>299</v>
      </c>
      <c r="F96" t="s">
        <v>373</v>
      </c>
      <c r="I96" t="s">
        <v>376</v>
      </c>
    </row>
    <row r="97" spans="2:11" x14ac:dyDescent="0.25">
      <c r="C97" t="s">
        <v>18</v>
      </c>
      <c r="D97" t="s">
        <v>374</v>
      </c>
      <c r="E97" t="s">
        <v>375</v>
      </c>
      <c r="F97" t="s">
        <v>18</v>
      </c>
      <c r="G97" t="s">
        <v>374</v>
      </c>
      <c r="H97" t="s">
        <v>375</v>
      </c>
      <c r="I97" t="s">
        <v>18</v>
      </c>
      <c r="J97" t="s">
        <v>374</v>
      </c>
      <c r="K97" t="s">
        <v>375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4" t="s">
        <v>372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4" t="s">
        <v>377</v>
      </c>
      <c r="E104" s="155">
        <f>1/E103</f>
        <v>4.9969493593654671E-2</v>
      </c>
      <c r="H104" s="155">
        <f>1/H103</f>
        <v>3.1568577532293592E-2</v>
      </c>
      <c r="K104" s="155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workbookViewId="0">
      <selection activeCell="AF68" sqref="AF63:AF68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3" t="s">
        <v>484</v>
      </c>
      <c r="C2" s="225"/>
      <c r="D2" s="225" t="s">
        <v>418</v>
      </c>
      <c r="E2" s="225"/>
      <c r="F2" s="225"/>
      <c r="G2" s="225"/>
      <c r="H2" s="225"/>
      <c r="I2" s="225"/>
      <c r="J2" s="225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15"/>
      <c r="Y2" s="193" t="s">
        <v>492</v>
      </c>
      <c r="Z2" s="215"/>
      <c r="AA2" s="193" t="s">
        <v>547</v>
      </c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4"/>
      <c r="AO2" s="194"/>
      <c r="AP2" s="194"/>
      <c r="AQ2" s="195"/>
      <c r="AR2" s="196"/>
    </row>
    <row r="3" spans="2:44" ht="22.5" customHeight="1" x14ac:dyDescent="0.25">
      <c r="B3" s="226" t="s">
        <v>501</v>
      </c>
      <c r="C3" s="227"/>
      <c r="D3" s="228" t="s">
        <v>417</v>
      </c>
      <c r="E3" s="198"/>
      <c r="F3" s="198"/>
      <c r="G3" s="198"/>
      <c r="H3" s="198"/>
      <c r="I3" s="198"/>
      <c r="J3" s="198"/>
      <c r="K3" s="198"/>
      <c r="L3" s="198"/>
      <c r="M3" s="228" t="s">
        <v>434</v>
      </c>
      <c r="N3" s="198"/>
      <c r="O3" s="198"/>
      <c r="P3" s="198"/>
      <c r="Q3" s="198"/>
      <c r="R3" s="198"/>
      <c r="S3" s="228" t="s">
        <v>435</v>
      </c>
      <c r="T3" s="198"/>
      <c r="U3" s="198"/>
      <c r="V3" s="198"/>
      <c r="W3" s="198"/>
      <c r="X3" s="229"/>
      <c r="Y3" s="237" t="s">
        <v>493</v>
      </c>
      <c r="Z3" s="216"/>
      <c r="AA3" s="237" t="s">
        <v>549</v>
      </c>
      <c r="AB3" s="198"/>
      <c r="AC3" s="198"/>
      <c r="AD3" s="271" t="s">
        <v>508</v>
      </c>
      <c r="AE3" s="272" t="s">
        <v>510</v>
      </c>
      <c r="AF3" s="271" t="s">
        <v>512</v>
      </c>
      <c r="AG3" s="272" t="s">
        <v>514</v>
      </c>
      <c r="AH3" s="271" t="s">
        <v>515</v>
      </c>
      <c r="AI3" s="272" t="s">
        <v>517</v>
      </c>
      <c r="AJ3" s="271" t="s">
        <v>518</v>
      </c>
      <c r="AK3" s="272" t="s">
        <v>519</v>
      </c>
      <c r="AL3" s="271" t="s">
        <v>521</v>
      </c>
      <c r="AM3" s="272" t="s">
        <v>522</v>
      </c>
      <c r="AN3" s="271" t="s">
        <v>542</v>
      </c>
      <c r="AO3" s="272" t="s">
        <v>524</v>
      </c>
      <c r="AP3" s="271" t="s">
        <v>525</v>
      </c>
      <c r="AQ3" s="270" t="s">
        <v>546</v>
      </c>
      <c r="AR3" s="269" t="s">
        <v>541</v>
      </c>
    </row>
    <row r="4" spans="2:44" ht="22.5" customHeight="1" x14ac:dyDescent="0.25">
      <c r="B4" s="197"/>
      <c r="C4" s="198"/>
      <c r="D4" s="230" t="s">
        <v>567</v>
      </c>
      <c r="E4" s="230"/>
      <c r="F4" s="230"/>
      <c r="G4" s="231" t="s">
        <v>420</v>
      </c>
      <c r="H4" s="231"/>
      <c r="I4" s="231"/>
      <c r="J4" s="230" t="s">
        <v>415</v>
      </c>
      <c r="K4" s="230"/>
      <c r="L4" s="230"/>
      <c r="M4" s="231" t="s">
        <v>428</v>
      </c>
      <c r="N4" s="231"/>
      <c r="O4" s="231"/>
      <c r="P4" s="230" t="s">
        <v>429</v>
      </c>
      <c r="Q4" s="230"/>
      <c r="R4" s="230"/>
      <c r="S4" s="231" t="s">
        <v>421</v>
      </c>
      <c r="T4" s="231"/>
      <c r="U4" s="231"/>
      <c r="V4" s="230" t="s">
        <v>422</v>
      </c>
      <c r="W4" s="230"/>
      <c r="X4" s="218"/>
      <c r="Y4" s="217" t="s">
        <v>489</v>
      </c>
      <c r="Z4" s="218" t="s">
        <v>489</v>
      </c>
      <c r="AA4" s="197"/>
      <c r="AB4" s="198"/>
      <c r="AC4" s="198"/>
      <c r="AD4" s="271"/>
      <c r="AE4" s="272"/>
      <c r="AF4" s="271"/>
      <c r="AG4" s="272"/>
      <c r="AH4" s="271"/>
      <c r="AI4" s="272"/>
      <c r="AJ4" s="271"/>
      <c r="AK4" s="272"/>
      <c r="AL4" s="271"/>
      <c r="AM4" s="272"/>
      <c r="AN4" s="271"/>
      <c r="AO4" s="272"/>
      <c r="AP4" s="271"/>
      <c r="AQ4" s="270"/>
      <c r="AR4" s="269"/>
    </row>
    <row r="5" spans="2:44" ht="18.75" customHeight="1" x14ac:dyDescent="0.25">
      <c r="B5" s="205" t="s">
        <v>543</v>
      </c>
      <c r="C5" s="206" t="s">
        <v>454</v>
      </c>
      <c r="D5" s="230" t="s">
        <v>412</v>
      </c>
      <c r="E5" s="230" t="s">
        <v>413</v>
      </c>
      <c r="F5" s="230" t="s">
        <v>414</v>
      </c>
      <c r="G5" s="231" t="s">
        <v>412</v>
      </c>
      <c r="H5" s="231" t="s">
        <v>413</v>
      </c>
      <c r="I5" s="231" t="s">
        <v>414</v>
      </c>
      <c r="J5" s="230" t="s">
        <v>412</v>
      </c>
      <c r="K5" s="230" t="s">
        <v>413</v>
      </c>
      <c r="L5" s="230" t="s">
        <v>414</v>
      </c>
      <c r="M5" s="231" t="s">
        <v>412</v>
      </c>
      <c r="N5" s="231" t="s">
        <v>413</v>
      </c>
      <c r="O5" s="231" t="s">
        <v>414</v>
      </c>
      <c r="P5" s="230" t="s">
        <v>412</v>
      </c>
      <c r="Q5" s="230" t="s">
        <v>413</v>
      </c>
      <c r="R5" s="230" t="s">
        <v>414</v>
      </c>
      <c r="S5" s="231" t="s">
        <v>412</v>
      </c>
      <c r="T5" s="231" t="s">
        <v>413</v>
      </c>
      <c r="U5" s="231" t="s">
        <v>414</v>
      </c>
      <c r="V5" s="230" t="s">
        <v>412</v>
      </c>
      <c r="W5" s="230" t="s">
        <v>413</v>
      </c>
      <c r="X5" s="218" t="s">
        <v>414</v>
      </c>
      <c r="Y5" s="217" t="s">
        <v>490</v>
      </c>
      <c r="Z5" s="218" t="s">
        <v>491</v>
      </c>
      <c r="AA5" s="197"/>
      <c r="AB5" s="198"/>
      <c r="AC5" s="198"/>
      <c r="AD5" s="271"/>
      <c r="AE5" s="272"/>
      <c r="AF5" s="271"/>
      <c r="AG5" s="272"/>
      <c r="AH5" s="271"/>
      <c r="AI5" s="272"/>
      <c r="AJ5" s="271"/>
      <c r="AK5" s="272"/>
      <c r="AL5" s="271"/>
      <c r="AM5" s="272"/>
      <c r="AN5" s="271"/>
      <c r="AO5" s="272"/>
      <c r="AP5" s="271"/>
      <c r="AQ5" s="270"/>
      <c r="AR5" s="269" t="s">
        <v>540</v>
      </c>
    </row>
    <row r="6" spans="2:44" ht="15" customHeight="1" x14ac:dyDescent="0.25">
      <c r="B6" s="197" t="s">
        <v>502</v>
      </c>
      <c r="C6" s="232">
        <v>1</v>
      </c>
      <c r="D6" s="231"/>
      <c r="E6" s="231"/>
      <c r="F6" s="231"/>
      <c r="G6" s="233">
        <v>1229</v>
      </c>
      <c r="H6" s="233"/>
      <c r="I6" s="233">
        <v>1329</v>
      </c>
      <c r="J6" s="231"/>
      <c r="K6" s="231"/>
      <c r="L6" s="231"/>
      <c r="M6" s="233">
        <v>2119</v>
      </c>
      <c r="N6" s="233"/>
      <c r="O6" s="233">
        <v>2130</v>
      </c>
      <c r="P6" s="231"/>
      <c r="Q6" s="231"/>
      <c r="R6" s="231"/>
      <c r="S6" s="233"/>
      <c r="T6" s="233"/>
      <c r="U6" s="233"/>
      <c r="V6" s="231"/>
      <c r="W6" s="231"/>
      <c r="X6" s="222"/>
      <c r="Y6" s="219">
        <v>2973.75</v>
      </c>
      <c r="Z6" s="220">
        <v>1619.5499999999997</v>
      </c>
      <c r="AA6" s="197" t="s">
        <v>538</v>
      </c>
      <c r="AB6" s="198"/>
      <c r="AC6" s="198"/>
      <c r="AD6" s="199">
        <v>330888.66666666669</v>
      </c>
      <c r="AE6" s="200">
        <v>134305.60078577482</v>
      </c>
      <c r="AF6" s="199">
        <v>161884.47694681794</v>
      </c>
      <c r="AG6" s="200">
        <v>195238.33333333334</v>
      </c>
      <c r="AH6" s="199">
        <v>18420.385743830502</v>
      </c>
      <c r="AI6" s="200">
        <v>143245.77727956543</v>
      </c>
      <c r="AJ6" s="199">
        <v>175831.90285749588</v>
      </c>
      <c r="AK6" s="200">
        <v>55410.679511747854</v>
      </c>
      <c r="AL6" s="199">
        <v>93814.3633671766</v>
      </c>
      <c r="AM6" s="200">
        <v>85881.771420969075</v>
      </c>
      <c r="AN6" s="199">
        <v>36635.903910179375</v>
      </c>
      <c r="AO6" s="200">
        <v>22798.725582342147</v>
      </c>
      <c r="AP6" s="199">
        <v>35985.745927433803</v>
      </c>
      <c r="AQ6" s="201"/>
      <c r="AR6" s="202"/>
    </row>
    <row r="7" spans="2:44" x14ac:dyDescent="0.25">
      <c r="B7" s="197" t="s">
        <v>423</v>
      </c>
      <c r="C7" s="232">
        <v>1</v>
      </c>
      <c r="D7" s="231"/>
      <c r="E7" s="231"/>
      <c r="F7" s="231"/>
      <c r="G7" s="233"/>
      <c r="H7" s="233"/>
      <c r="I7" s="233"/>
      <c r="J7" s="231"/>
      <c r="K7" s="231"/>
      <c r="L7" s="231"/>
      <c r="M7" s="233"/>
      <c r="N7" s="233"/>
      <c r="O7" s="233"/>
      <c r="P7" s="231">
        <v>2663</v>
      </c>
      <c r="Q7" s="231">
        <v>2561</v>
      </c>
      <c r="R7" s="231">
        <v>2690</v>
      </c>
      <c r="S7" s="233">
        <v>2568</v>
      </c>
      <c r="T7" s="233">
        <v>2502</v>
      </c>
      <c r="U7" s="233">
        <v>2401</v>
      </c>
      <c r="V7" s="231">
        <v>2506</v>
      </c>
      <c r="W7" s="231">
        <v>2459</v>
      </c>
      <c r="X7" s="222">
        <v>2431</v>
      </c>
      <c r="Y7" s="219">
        <v>711.50000000000011</v>
      </c>
      <c r="Z7" s="220">
        <v>751.1500000000002</v>
      </c>
      <c r="AA7" s="197" t="s">
        <v>527</v>
      </c>
      <c r="AB7" s="198"/>
      <c r="AC7" s="198"/>
      <c r="AD7" s="203" t="s">
        <v>509</v>
      </c>
      <c r="AE7" s="204" t="s">
        <v>511</v>
      </c>
      <c r="AF7" s="203" t="s">
        <v>513</v>
      </c>
      <c r="AG7" s="204" t="s">
        <v>509</v>
      </c>
      <c r="AH7" s="203" t="s">
        <v>516</v>
      </c>
      <c r="AI7" s="204" t="s">
        <v>511</v>
      </c>
      <c r="AJ7" s="203" t="s">
        <v>511</v>
      </c>
      <c r="AK7" s="204" t="s">
        <v>520</v>
      </c>
      <c r="AL7" s="203" t="s">
        <v>539</v>
      </c>
      <c r="AM7" s="204" t="s">
        <v>523</v>
      </c>
      <c r="AN7" s="203" t="s">
        <v>520</v>
      </c>
      <c r="AO7" s="204" t="s">
        <v>520</v>
      </c>
      <c r="AP7" s="203" t="s">
        <v>526</v>
      </c>
      <c r="AQ7" s="201"/>
      <c r="AR7" s="202"/>
    </row>
    <row r="8" spans="2:44" x14ac:dyDescent="0.25">
      <c r="B8" s="197" t="s">
        <v>503</v>
      </c>
      <c r="C8" s="232">
        <v>1</v>
      </c>
      <c r="D8" s="231">
        <v>659</v>
      </c>
      <c r="E8" s="231">
        <v>1254</v>
      </c>
      <c r="F8" s="231">
        <v>770</v>
      </c>
      <c r="G8" s="233"/>
      <c r="H8" s="233"/>
      <c r="I8" s="233"/>
      <c r="J8" s="231"/>
      <c r="K8" s="231">
        <v>1235</v>
      </c>
      <c r="L8" s="231"/>
      <c r="M8" s="233"/>
      <c r="N8" s="233"/>
      <c r="O8" s="233"/>
      <c r="P8" s="231"/>
      <c r="Q8" s="231"/>
      <c r="R8" s="231"/>
      <c r="S8" s="233"/>
      <c r="T8" s="233"/>
      <c r="U8" s="233"/>
      <c r="V8" s="231"/>
      <c r="W8" s="231"/>
      <c r="X8" s="222"/>
      <c r="Y8" s="221"/>
      <c r="Z8" s="222"/>
      <c r="AA8" s="197"/>
      <c r="AB8" s="198"/>
      <c r="AC8" s="198"/>
      <c r="AD8" s="203"/>
      <c r="AE8" s="204"/>
      <c r="AF8" s="203"/>
      <c r="AG8" s="204"/>
      <c r="AH8" s="203"/>
      <c r="AI8" s="204"/>
      <c r="AJ8" s="203"/>
      <c r="AK8" s="204"/>
      <c r="AL8" s="203"/>
      <c r="AM8" s="204"/>
      <c r="AN8" s="203"/>
      <c r="AO8" s="204"/>
      <c r="AP8" s="203"/>
      <c r="AQ8" s="201"/>
      <c r="AR8" s="202"/>
    </row>
    <row r="9" spans="2:44" x14ac:dyDescent="0.25">
      <c r="B9" s="197" t="s">
        <v>424</v>
      </c>
      <c r="C9" s="232">
        <v>1</v>
      </c>
      <c r="D9" s="231"/>
      <c r="E9" s="231"/>
      <c r="F9" s="231"/>
      <c r="G9" s="233"/>
      <c r="H9" s="233">
        <v>1165</v>
      </c>
      <c r="I9" s="233"/>
      <c r="J9" s="231"/>
      <c r="K9" s="231"/>
      <c r="L9" s="231"/>
      <c r="M9" s="233"/>
      <c r="N9" s="233">
        <v>1868</v>
      </c>
      <c r="O9" s="233"/>
      <c r="P9" s="231"/>
      <c r="Q9" s="231"/>
      <c r="R9" s="231"/>
      <c r="S9" s="233"/>
      <c r="T9" s="233"/>
      <c r="U9" s="233"/>
      <c r="V9" s="231"/>
      <c r="W9" s="231"/>
      <c r="X9" s="222"/>
      <c r="Y9" s="221"/>
      <c r="Z9" s="222"/>
      <c r="AA9" s="205" t="s">
        <v>543</v>
      </c>
      <c r="AB9" s="198"/>
      <c r="AC9" s="206" t="s">
        <v>454</v>
      </c>
      <c r="AD9" s="199"/>
      <c r="AE9" s="200"/>
      <c r="AF9" s="199"/>
      <c r="AG9" s="200"/>
      <c r="AH9" s="199"/>
      <c r="AI9" s="200"/>
      <c r="AJ9" s="199"/>
      <c r="AK9" s="200"/>
      <c r="AL9" s="199"/>
      <c r="AM9" s="200"/>
      <c r="AN9" s="199"/>
      <c r="AO9" s="200"/>
      <c r="AP9" s="199"/>
      <c r="AQ9" s="201"/>
      <c r="AR9" s="202"/>
    </row>
    <row r="10" spans="2:44" x14ac:dyDescent="0.25">
      <c r="B10" s="197" t="s">
        <v>425</v>
      </c>
      <c r="C10" s="232">
        <v>1</v>
      </c>
      <c r="D10" s="231"/>
      <c r="E10" s="231"/>
      <c r="F10" s="231"/>
      <c r="G10" s="233"/>
      <c r="H10" s="233">
        <v>272</v>
      </c>
      <c r="I10" s="233"/>
      <c r="J10" s="231"/>
      <c r="K10" s="231"/>
      <c r="L10" s="231"/>
      <c r="M10" s="233"/>
      <c r="N10" s="233">
        <v>436</v>
      </c>
      <c r="O10" s="233"/>
      <c r="P10" s="231"/>
      <c r="Q10" s="231"/>
      <c r="R10" s="231"/>
      <c r="S10" s="233"/>
      <c r="T10" s="233"/>
      <c r="U10" s="233"/>
      <c r="V10" s="231"/>
      <c r="W10" s="231"/>
      <c r="X10" s="222"/>
      <c r="Y10" s="221"/>
      <c r="Z10" s="220">
        <v>1250.5</v>
      </c>
      <c r="AA10" s="197" t="s">
        <v>528</v>
      </c>
      <c r="AB10" s="198"/>
      <c r="AC10" s="232">
        <v>1</v>
      </c>
      <c r="AD10" s="199">
        <v>3312</v>
      </c>
      <c r="AE10" s="200">
        <v>1200</v>
      </c>
      <c r="AF10" s="199">
        <v>1574</v>
      </c>
      <c r="AG10" s="200">
        <v>786.48686181535004</v>
      </c>
      <c r="AH10" s="199">
        <v>262.69098440595201</v>
      </c>
      <c r="AI10" s="200">
        <v>806.85837484127944</v>
      </c>
      <c r="AJ10" s="199">
        <v>826.64375933225631</v>
      </c>
      <c r="AK10" s="200">
        <v>613.65524823425994</v>
      </c>
      <c r="AL10" s="199">
        <v>1049.6483068162927</v>
      </c>
      <c r="AM10" s="200">
        <v>579.64056365482281</v>
      </c>
      <c r="AN10" s="199">
        <v>1672.50649055184</v>
      </c>
      <c r="AO10" s="200">
        <v>1390.53746046009</v>
      </c>
      <c r="AP10" s="199">
        <v>1039.6552482342599</v>
      </c>
      <c r="AQ10" s="207">
        <f>(AE10*AE$6+AI10*AI$6+AH10*AH$6)/SUM(AE$6,AH$6,AI$6)</f>
        <v>951.39023277684373</v>
      </c>
      <c r="AR10" s="208">
        <f>AJ10</f>
        <v>826.64375933225631</v>
      </c>
    </row>
    <row r="11" spans="2:44" x14ac:dyDescent="0.25">
      <c r="B11" s="197" t="s">
        <v>506</v>
      </c>
      <c r="C11" s="232">
        <v>1</v>
      </c>
      <c r="D11" s="231">
        <v>977</v>
      </c>
      <c r="E11" s="231"/>
      <c r="F11" s="231">
        <v>970</v>
      </c>
      <c r="G11" s="233"/>
      <c r="H11" s="233"/>
      <c r="I11" s="233"/>
      <c r="J11" s="231">
        <v>1536</v>
      </c>
      <c r="K11" s="231"/>
      <c r="L11" s="231">
        <v>1614</v>
      </c>
      <c r="M11" s="233"/>
      <c r="N11" s="233"/>
      <c r="O11" s="233"/>
      <c r="P11" s="231"/>
      <c r="Q11" s="231"/>
      <c r="R11" s="231"/>
      <c r="S11" s="233"/>
      <c r="T11" s="233"/>
      <c r="U11" s="233"/>
      <c r="V11" s="231"/>
      <c r="W11" s="231"/>
      <c r="X11" s="222"/>
      <c r="Y11" s="221"/>
      <c r="Z11" s="222"/>
      <c r="AA11" s="197" t="s">
        <v>529</v>
      </c>
      <c r="AB11" s="198"/>
      <c r="AC11" s="232">
        <v>1</v>
      </c>
      <c r="AD11" s="199"/>
      <c r="AE11" s="200"/>
      <c r="AF11" s="199">
        <v>426</v>
      </c>
      <c r="AG11" s="200">
        <v>707</v>
      </c>
      <c r="AH11" s="199"/>
      <c r="AI11" s="200"/>
      <c r="AJ11" s="199"/>
      <c r="AK11" s="200">
        <v>426</v>
      </c>
      <c r="AL11" s="199"/>
      <c r="AM11" s="200"/>
      <c r="AN11" s="199"/>
      <c r="AO11" s="200"/>
      <c r="AP11" s="199"/>
      <c r="AQ11" s="207"/>
      <c r="AR11" s="208"/>
    </row>
    <row r="12" spans="2:44" x14ac:dyDescent="0.25">
      <c r="B12" s="197" t="s">
        <v>505</v>
      </c>
      <c r="C12" s="232">
        <v>0.85</v>
      </c>
      <c r="D12" s="231"/>
      <c r="E12" s="231">
        <v>299</v>
      </c>
      <c r="F12" s="231"/>
      <c r="G12" s="233"/>
      <c r="H12" s="233"/>
      <c r="I12" s="233"/>
      <c r="J12" s="231"/>
      <c r="K12" s="231">
        <v>139</v>
      </c>
      <c r="L12" s="231"/>
      <c r="M12" s="233"/>
      <c r="N12" s="233"/>
      <c r="O12" s="233"/>
      <c r="P12" s="231"/>
      <c r="Q12" s="231"/>
      <c r="R12" s="231"/>
      <c r="S12" s="233"/>
      <c r="T12" s="233"/>
      <c r="U12" s="233"/>
      <c r="V12" s="231"/>
      <c r="W12" s="231"/>
      <c r="X12" s="222"/>
      <c r="Y12" s="219">
        <v>244</v>
      </c>
      <c r="Z12" s="220">
        <v>244</v>
      </c>
      <c r="AA12" s="197" t="s">
        <v>530</v>
      </c>
      <c r="AB12" s="198"/>
      <c r="AC12" s="232">
        <v>1</v>
      </c>
      <c r="AD12" s="199">
        <v>543</v>
      </c>
      <c r="AE12" s="200"/>
      <c r="AF12" s="199"/>
      <c r="AG12" s="200"/>
      <c r="AH12" s="199"/>
      <c r="AI12" s="200"/>
      <c r="AJ12" s="199"/>
      <c r="AK12" s="200"/>
      <c r="AL12" s="199"/>
      <c r="AM12" s="200"/>
      <c r="AN12" s="199"/>
      <c r="AO12" s="200"/>
      <c r="AP12" s="199"/>
      <c r="AQ12" s="207"/>
      <c r="AR12" s="208"/>
    </row>
    <row r="13" spans="2:44" x14ac:dyDescent="0.25">
      <c r="B13" s="197" t="s">
        <v>504</v>
      </c>
      <c r="C13" s="232">
        <v>1</v>
      </c>
      <c r="D13" s="231">
        <v>1953</v>
      </c>
      <c r="E13" s="231">
        <v>2053</v>
      </c>
      <c r="F13" s="231">
        <v>1806</v>
      </c>
      <c r="G13" s="233"/>
      <c r="H13" s="233"/>
      <c r="I13" s="233"/>
      <c r="J13" s="231">
        <v>1313</v>
      </c>
      <c r="K13" s="231">
        <v>1390</v>
      </c>
      <c r="L13" s="231">
        <v>1235</v>
      </c>
      <c r="M13" s="233"/>
      <c r="N13" s="233"/>
      <c r="O13" s="233"/>
      <c r="P13" s="231">
        <v>1548</v>
      </c>
      <c r="Q13" s="231">
        <v>1662</v>
      </c>
      <c r="R13" s="231">
        <v>1548</v>
      </c>
      <c r="S13" s="233">
        <v>932</v>
      </c>
      <c r="T13" s="233">
        <v>995</v>
      </c>
      <c r="U13" s="233">
        <v>951</v>
      </c>
      <c r="V13" s="231">
        <v>926</v>
      </c>
      <c r="W13" s="231">
        <v>978</v>
      </c>
      <c r="X13" s="222">
        <v>924</v>
      </c>
      <c r="Y13" s="221"/>
      <c r="Z13" s="222"/>
      <c r="AA13" s="197" t="s">
        <v>534</v>
      </c>
      <c r="AB13" s="198"/>
      <c r="AC13" s="232">
        <v>0.85</v>
      </c>
      <c r="AD13" s="199"/>
      <c r="AE13" s="200"/>
      <c r="AF13" s="199"/>
      <c r="AG13" s="200">
        <v>236.67855598613721</v>
      </c>
      <c r="AH13" s="199"/>
      <c r="AI13" s="200"/>
      <c r="AJ13" s="199"/>
      <c r="AK13" s="200"/>
      <c r="AL13" s="199"/>
      <c r="AM13" s="200"/>
      <c r="AN13" s="199"/>
      <c r="AO13" s="200"/>
      <c r="AP13" s="199"/>
      <c r="AQ13" s="207"/>
      <c r="AR13" s="208"/>
    </row>
    <row r="14" spans="2:44" x14ac:dyDescent="0.25">
      <c r="B14" s="197" t="s">
        <v>563</v>
      </c>
      <c r="C14" s="232">
        <v>1</v>
      </c>
      <c r="D14" s="231">
        <v>345</v>
      </c>
      <c r="E14" s="231">
        <v>362</v>
      </c>
      <c r="F14" s="231">
        <v>319</v>
      </c>
      <c r="G14" s="233"/>
      <c r="H14" s="233"/>
      <c r="I14" s="233"/>
      <c r="J14" s="231">
        <v>232</v>
      </c>
      <c r="K14" s="231">
        <v>245</v>
      </c>
      <c r="L14" s="231">
        <v>218</v>
      </c>
      <c r="M14" s="233"/>
      <c r="N14" s="233"/>
      <c r="O14" s="233"/>
      <c r="P14" s="231">
        <v>273</v>
      </c>
      <c r="Q14" s="231">
        <v>293</v>
      </c>
      <c r="R14" s="231">
        <v>273</v>
      </c>
      <c r="S14" s="233">
        <v>165</v>
      </c>
      <c r="T14" s="233">
        <v>176</v>
      </c>
      <c r="U14" s="233">
        <v>168</v>
      </c>
      <c r="V14" s="231">
        <v>163</v>
      </c>
      <c r="W14" s="231">
        <v>173</v>
      </c>
      <c r="X14" s="222">
        <v>163</v>
      </c>
      <c r="Y14" s="221">
        <v>782.99999999999989</v>
      </c>
      <c r="Z14" s="222">
        <v>782.99999999999989</v>
      </c>
      <c r="AA14" s="197" t="s">
        <v>533</v>
      </c>
      <c r="AB14" s="198"/>
      <c r="AC14" s="232">
        <v>1</v>
      </c>
      <c r="AD14" s="199">
        <v>417.5</v>
      </c>
      <c r="AE14" s="200">
        <v>250</v>
      </c>
      <c r="AF14" s="199">
        <v>700</v>
      </c>
      <c r="AG14" s="200">
        <v>2089.9186867547151</v>
      </c>
      <c r="AH14" s="199"/>
      <c r="AI14" s="200">
        <v>148.25672031204095</v>
      </c>
      <c r="AJ14" s="199">
        <v>315.82638263311139</v>
      </c>
      <c r="AK14" s="200">
        <v>1270.24890336371</v>
      </c>
      <c r="AL14" s="199"/>
      <c r="AM14" s="200">
        <v>0</v>
      </c>
      <c r="AN14" s="199">
        <v>2115.9077118980499</v>
      </c>
      <c r="AO14" s="200">
        <v>1860.8262874502</v>
      </c>
      <c r="AP14" s="199">
        <v>1391.3037356936829</v>
      </c>
      <c r="AQ14" s="207">
        <f>(AE14*AE$6+AI14*AI$6+AH14*AH$6)/SUM(AE$6,AH$6,AI$6)</f>
        <v>185.19857647570211</v>
      </c>
      <c r="AR14" s="208">
        <f>AJ14</f>
        <v>315.82638263311139</v>
      </c>
    </row>
    <row r="15" spans="2:44" x14ac:dyDescent="0.25">
      <c r="B15" s="197" t="s">
        <v>507</v>
      </c>
      <c r="C15" s="232">
        <v>0.86</v>
      </c>
      <c r="D15" s="231"/>
      <c r="E15" s="231"/>
      <c r="F15" s="231"/>
      <c r="G15" s="233">
        <v>861</v>
      </c>
      <c r="H15" s="233">
        <v>654</v>
      </c>
      <c r="I15" s="233"/>
      <c r="J15" s="231"/>
      <c r="K15" s="231"/>
      <c r="L15" s="231"/>
      <c r="M15" s="233">
        <v>1084</v>
      </c>
      <c r="N15" s="233">
        <v>1014</v>
      </c>
      <c r="O15" s="233"/>
      <c r="P15" s="231">
        <v>188</v>
      </c>
      <c r="Q15" s="231">
        <v>184</v>
      </c>
      <c r="R15" s="231"/>
      <c r="S15" s="233"/>
      <c r="T15" s="233"/>
      <c r="U15" s="233"/>
      <c r="V15" s="231"/>
      <c r="W15" s="231"/>
      <c r="X15" s="222"/>
      <c r="Y15" s="219">
        <f>2180.75-(Y17*U58*C17/C15)</f>
        <v>1824.2423144269196</v>
      </c>
      <c r="Z15" s="220">
        <f>1516-(Y17*U58*C17/C15)</f>
        <v>1159.4923144269196</v>
      </c>
      <c r="AA15" s="197" t="s">
        <v>531</v>
      </c>
      <c r="AB15" s="198"/>
      <c r="AC15" s="232">
        <v>0.86</v>
      </c>
      <c r="AD15" s="199">
        <v>1280.5</v>
      </c>
      <c r="AE15" s="200">
        <v>250</v>
      </c>
      <c r="AF15" s="199">
        <v>50</v>
      </c>
      <c r="AG15" s="200">
        <v>40</v>
      </c>
      <c r="AH15" s="199">
        <v>544.72412968182198</v>
      </c>
      <c r="AI15" s="200">
        <v>470.02657462822322</v>
      </c>
      <c r="AJ15" s="199">
        <v>352.21214602608444</v>
      </c>
      <c r="AK15" s="200"/>
      <c r="AL15" s="199">
        <v>761.89322230651851</v>
      </c>
      <c r="AM15" s="200">
        <v>665.02406890599786</v>
      </c>
      <c r="AN15" s="199">
        <v>54.611532090800402</v>
      </c>
      <c r="AO15" s="200">
        <v>304.94242553949198</v>
      </c>
      <c r="AP15" s="199">
        <v>0</v>
      </c>
      <c r="AQ15" s="207">
        <f>(AE15*AE$6+AI15*AI$6+AH15*AH$6)/SUM(AE$6,AH$6,AI$6)</f>
        <v>374.83221164758027</v>
      </c>
      <c r="AR15" s="208">
        <f>AJ15</f>
        <v>352.21214602608444</v>
      </c>
    </row>
    <row r="16" spans="2:44" x14ac:dyDescent="0.25">
      <c r="B16" s="197" t="s">
        <v>426</v>
      </c>
      <c r="C16" s="232">
        <v>0.85</v>
      </c>
      <c r="D16" s="231"/>
      <c r="E16" s="231"/>
      <c r="F16" s="231"/>
      <c r="G16" s="233">
        <v>68</v>
      </c>
      <c r="H16" s="233">
        <v>78</v>
      </c>
      <c r="I16" s="233"/>
      <c r="J16" s="231"/>
      <c r="K16" s="231"/>
      <c r="L16" s="231"/>
      <c r="M16" s="233">
        <v>124</v>
      </c>
      <c r="N16" s="233">
        <v>32</v>
      </c>
      <c r="O16" s="233"/>
      <c r="P16" s="231">
        <v>4</v>
      </c>
      <c r="Q16" s="231">
        <v>3</v>
      </c>
      <c r="R16" s="231"/>
      <c r="S16" s="233"/>
      <c r="T16" s="233"/>
      <c r="U16" s="233"/>
      <c r="V16" s="231"/>
      <c r="W16" s="231"/>
      <c r="X16" s="222"/>
      <c r="Y16" s="221"/>
      <c r="Z16" s="222"/>
      <c r="AA16" s="197" t="s">
        <v>532</v>
      </c>
      <c r="AB16" s="198"/>
      <c r="AC16" s="232">
        <v>0.9</v>
      </c>
      <c r="AD16" s="199">
        <v>1350.5</v>
      </c>
      <c r="AE16" s="200"/>
      <c r="AF16" s="199"/>
      <c r="AG16" s="200"/>
      <c r="AH16" s="199">
        <v>151.88273877697699</v>
      </c>
      <c r="AI16" s="200">
        <v>76.165488229258244</v>
      </c>
      <c r="AJ16" s="199">
        <v>76.642835336930261</v>
      </c>
      <c r="AK16" s="200"/>
      <c r="AL16" s="199"/>
      <c r="AM16" s="200">
        <v>70.258860306326625</v>
      </c>
      <c r="AN16" s="199">
        <v>0</v>
      </c>
      <c r="AO16" s="200">
        <v>0</v>
      </c>
      <c r="AP16" s="199">
        <v>0</v>
      </c>
      <c r="AQ16" s="207">
        <f>(AE16*AE$6+AI16*AI$6+AH16*AH$6)/SUM(AE$6,AH$6,AI$6)</f>
        <v>46.315645191807654</v>
      </c>
      <c r="AR16" s="208">
        <f>AJ16</f>
        <v>76.642835336930261</v>
      </c>
    </row>
    <row r="17" spans="2:44" x14ac:dyDescent="0.25">
      <c r="B17" s="197" t="s">
        <v>427</v>
      </c>
      <c r="C17" s="232">
        <v>0.9</v>
      </c>
      <c r="D17" s="231"/>
      <c r="E17" s="231"/>
      <c r="F17" s="231"/>
      <c r="G17" s="233"/>
      <c r="H17" s="233"/>
      <c r="I17" s="233">
        <v>991</v>
      </c>
      <c r="J17" s="231"/>
      <c r="K17" s="231"/>
      <c r="L17" s="231"/>
      <c r="M17" s="233">
        <v>80</v>
      </c>
      <c r="N17" s="233">
        <v>79</v>
      </c>
      <c r="O17" s="233">
        <v>1279</v>
      </c>
      <c r="P17" s="231">
        <v>119</v>
      </c>
      <c r="Q17" s="231">
        <v>119</v>
      </c>
      <c r="R17" s="231">
        <v>294</v>
      </c>
      <c r="S17" s="233"/>
      <c r="T17" s="233"/>
      <c r="U17" s="233"/>
      <c r="V17" s="231"/>
      <c r="W17" s="231"/>
      <c r="X17" s="222"/>
      <c r="Y17" s="219">
        <f>1244*(1+U58)</f>
        <v>1522.3713939465354</v>
      </c>
      <c r="Z17" s="220">
        <f>1966*(1+U58)</f>
        <v>2405.9342126196852</v>
      </c>
      <c r="AA17" s="197" t="s">
        <v>536</v>
      </c>
      <c r="AB17" s="198"/>
      <c r="AC17" s="232">
        <v>0.9</v>
      </c>
      <c r="AD17" s="199"/>
      <c r="AE17" s="200">
        <v>14</v>
      </c>
      <c r="AF17" s="199"/>
      <c r="AG17" s="200"/>
      <c r="AH17" s="199">
        <v>13.5075892857143</v>
      </c>
      <c r="AI17" s="200">
        <v>13.575224933331304</v>
      </c>
      <c r="AJ17" s="199"/>
      <c r="AK17" s="200"/>
      <c r="AL17" s="199"/>
      <c r="AM17" s="200"/>
      <c r="AN17" s="199"/>
      <c r="AO17" s="200"/>
      <c r="AP17" s="199"/>
      <c r="AQ17" s="207">
        <f>(AE17*AE$6+AI17*AI$6+AH17*AH$6)/SUM(AE$6,AH$6,AI$6)</f>
        <v>13.763769256243801</v>
      </c>
      <c r="AR17" s="208"/>
    </row>
    <row r="18" spans="2:44" x14ac:dyDescent="0.25">
      <c r="B18" s="197" t="s">
        <v>416</v>
      </c>
      <c r="C18" s="232">
        <v>1</v>
      </c>
      <c r="D18" s="231">
        <v>34</v>
      </c>
      <c r="E18" s="231">
        <v>34</v>
      </c>
      <c r="F18" s="231">
        <v>34</v>
      </c>
      <c r="G18" s="233">
        <v>12</v>
      </c>
      <c r="H18" s="233">
        <v>12</v>
      </c>
      <c r="I18" s="233">
        <v>14</v>
      </c>
      <c r="J18" s="231">
        <v>33</v>
      </c>
      <c r="K18" s="231">
        <v>33</v>
      </c>
      <c r="L18" s="231">
        <v>33</v>
      </c>
      <c r="M18" s="233">
        <v>22</v>
      </c>
      <c r="N18" s="233">
        <v>22</v>
      </c>
      <c r="O18" s="233">
        <v>21</v>
      </c>
      <c r="P18" s="231">
        <v>35</v>
      </c>
      <c r="Q18" s="231">
        <v>35</v>
      </c>
      <c r="R18" s="231">
        <v>35</v>
      </c>
      <c r="S18" s="233">
        <v>26</v>
      </c>
      <c r="T18" s="233">
        <v>26</v>
      </c>
      <c r="U18" s="233">
        <v>24</v>
      </c>
      <c r="V18" s="231">
        <v>26</v>
      </c>
      <c r="W18" s="231">
        <v>26</v>
      </c>
      <c r="X18" s="222">
        <v>26</v>
      </c>
      <c r="Y18" s="244">
        <f>SUM(Y7:Y17)*0.01</f>
        <v>50.85113708373455</v>
      </c>
      <c r="Z18" s="245">
        <f>SUM(Z7:Z17)*0.01</f>
        <v>65.940765270466045</v>
      </c>
      <c r="AA18" s="243" t="s">
        <v>447</v>
      </c>
      <c r="AB18" s="198"/>
      <c r="AC18" s="232">
        <v>1</v>
      </c>
      <c r="AD18" s="199"/>
      <c r="AE18" s="200"/>
      <c r="AF18" s="199"/>
      <c r="AG18" s="200"/>
      <c r="AH18" s="199"/>
      <c r="AI18" s="200"/>
      <c r="AJ18" s="199"/>
      <c r="AK18" s="200"/>
      <c r="AL18" s="199"/>
      <c r="AM18" s="200"/>
      <c r="AN18" s="199"/>
      <c r="AO18" s="200"/>
      <c r="AP18" s="199"/>
      <c r="AQ18" s="241">
        <f>SUM(AQ10:AQ17)*0.006</f>
        <v>9.4290026120890662</v>
      </c>
      <c r="AR18" s="242">
        <f>SUM(AR10:AR17)*0.006</f>
        <v>9.427950739970294</v>
      </c>
    </row>
    <row r="19" spans="2:44" x14ac:dyDescent="0.25">
      <c r="B19" s="197"/>
      <c r="C19" s="232"/>
      <c r="D19" s="231"/>
      <c r="E19" s="231"/>
      <c r="F19" s="231"/>
      <c r="G19" s="233"/>
      <c r="H19" s="233"/>
      <c r="I19" s="233"/>
      <c r="J19" s="231"/>
      <c r="K19" s="231"/>
      <c r="L19" s="231"/>
      <c r="M19" s="233"/>
      <c r="N19" s="233"/>
      <c r="O19" s="233"/>
      <c r="P19" s="231"/>
      <c r="Q19" s="231"/>
      <c r="R19" s="231"/>
      <c r="S19" s="233"/>
      <c r="T19" s="233"/>
      <c r="U19" s="233"/>
      <c r="V19" s="231"/>
      <c r="W19" s="231"/>
      <c r="X19" s="222"/>
      <c r="Y19" s="221"/>
      <c r="Z19" s="222"/>
      <c r="AA19" s="197" t="s">
        <v>535</v>
      </c>
      <c r="AB19" s="198"/>
      <c r="AC19" s="251">
        <v>0.95</v>
      </c>
      <c r="AD19" s="199"/>
      <c r="AE19" s="200">
        <v>40</v>
      </c>
      <c r="AF19" s="199"/>
      <c r="AG19" s="200"/>
      <c r="AH19" s="199">
        <v>39.852222222222203</v>
      </c>
      <c r="AI19" s="200">
        <v>39.87786647807954</v>
      </c>
      <c r="AJ19" s="199"/>
      <c r="AK19" s="200"/>
      <c r="AL19" s="199"/>
      <c r="AM19" s="200"/>
      <c r="AN19" s="199"/>
      <c r="AO19" s="200"/>
      <c r="AP19" s="199"/>
      <c r="AQ19" s="207">
        <f>(AE19*AE$6+AI19*AI$6+AH19*AH$6)/SUM(AE$6,AH$6,AI$6)</f>
        <v>39.931692014500904</v>
      </c>
      <c r="AR19" s="208"/>
    </row>
    <row r="20" spans="2:44" x14ac:dyDescent="0.25">
      <c r="B20" s="209" t="s">
        <v>299</v>
      </c>
      <c r="C20" s="234"/>
      <c r="D20" s="235">
        <f>SUM(D6:D18)</f>
        <v>3968</v>
      </c>
      <c r="E20" s="235">
        <f t="shared" ref="E20:Z20" si="0">SUM(E6:E18)</f>
        <v>4002</v>
      </c>
      <c r="F20" s="235">
        <f>SUM(F6:F18)</f>
        <v>3899</v>
      </c>
      <c r="G20" s="236">
        <f t="shared" si="0"/>
        <v>2170</v>
      </c>
      <c r="H20" s="236">
        <f t="shared" si="0"/>
        <v>2181</v>
      </c>
      <c r="I20" s="236">
        <f t="shared" si="0"/>
        <v>2334</v>
      </c>
      <c r="J20" s="235">
        <f t="shared" si="0"/>
        <v>3114</v>
      </c>
      <c r="K20" s="235">
        <f t="shared" si="0"/>
        <v>3042</v>
      </c>
      <c r="L20" s="235">
        <f t="shared" si="0"/>
        <v>3100</v>
      </c>
      <c r="M20" s="236">
        <f t="shared" si="0"/>
        <v>3429</v>
      </c>
      <c r="N20" s="236">
        <f t="shared" si="0"/>
        <v>3451</v>
      </c>
      <c r="O20" s="236">
        <f t="shared" si="0"/>
        <v>3430</v>
      </c>
      <c r="P20" s="235">
        <f t="shared" si="0"/>
        <v>4830</v>
      </c>
      <c r="Q20" s="235">
        <f t="shared" si="0"/>
        <v>4857</v>
      </c>
      <c r="R20" s="235">
        <f t="shared" si="0"/>
        <v>4840</v>
      </c>
      <c r="S20" s="236">
        <f t="shared" si="0"/>
        <v>3691</v>
      </c>
      <c r="T20" s="236">
        <f t="shared" si="0"/>
        <v>3699</v>
      </c>
      <c r="U20" s="236">
        <f t="shared" si="0"/>
        <v>3544</v>
      </c>
      <c r="V20" s="235">
        <f t="shared" si="0"/>
        <v>3621</v>
      </c>
      <c r="W20" s="235">
        <f t="shared" si="0"/>
        <v>3636</v>
      </c>
      <c r="X20" s="224">
        <f t="shared" si="0"/>
        <v>3544</v>
      </c>
      <c r="Y20" s="223">
        <f t="shared" si="0"/>
        <v>8109.7148454571889</v>
      </c>
      <c r="Z20" s="224">
        <f t="shared" si="0"/>
        <v>8279.5672923170714</v>
      </c>
      <c r="AA20" s="197" t="s">
        <v>537</v>
      </c>
      <c r="AB20" s="198"/>
      <c r="AC20" s="251">
        <v>0.13</v>
      </c>
      <c r="AD20" s="199"/>
      <c r="AE20" s="200"/>
      <c r="AF20" s="199"/>
      <c r="AG20" s="200"/>
      <c r="AH20" s="199"/>
      <c r="AI20" s="200"/>
      <c r="AJ20" s="199">
        <v>1874.9851705020715</v>
      </c>
      <c r="AK20" s="200"/>
      <c r="AL20" s="199"/>
      <c r="AM20" s="200"/>
      <c r="AN20" s="199"/>
      <c r="AO20" s="200"/>
      <c r="AP20" s="199"/>
      <c r="AQ20" s="207"/>
      <c r="AR20" s="208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09" t="s">
        <v>544</v>
      </c>
      <c r="AB21" s="210"/>
      <c r="AC21" s="210"/>
      <c r="AD21" s="211">
        <f t="shared" ref="AD21:AR21" si="1">SUM(AD10:AD17)</f>
        <v>6903.5</v>
      </c>
      <c r="AE21" s="212">
        <f t="shared" si="1"/>
        <v>1714</v>
      </c>
      <c r="AF21" s="211">
        <f t="shared" si="1"/>
        <v>2750</v>
      </c>
      <c r="AG21" s="212">
        <f t="shared" si="1"/>
        <v>3860.0841045562024</v>
      </c>
      <c r="AH21" s="211">
        <f t="shared" si="1"/>
        <v>972.8054421504653</v>
      </c>
      <c r="AI21" s="212">
        <f t="shared" si="1"/>
        <v>1514.8823829441333</v>
      </c>
      <c r="AJ21" s="211">
        <f t="shared" si="1"/>
        <v>1571.3251233283822</v>
      </c>
      <c r="AK21" s="212">
        <f t="shared" si="1"/>
        <v>2309.9041515979698</v>
      </c>
      <c r="AL21" s="211">
        <f t="shared" si="1"/>
        <v>1811.5415291228112</v>
      </c>
      <c r="AM21" s="212">
        <f t="shared" si="1"/>
        <v>1314.9234928671474</v>
      </c>
      <c r="AN21" s="211">
        <f t="shared" si="1"/>
        <v>3843.0257345406899</v>
      </c>
      <c r="AO21" s="212">
        <f t="shared" si="1"/>
        <v>3556.3061734497819</v>
      </c>
      <c r="AP21" s="211">
        <f t="shared" si="1"/>
        <v>2430.9589839279429</v>
      </c>
      <c r="AQ21" s="213">
        <f t="shared" si="1"/>
        <v>1571.5004353481777</v>
      </c>
      <c r="AR21" s="214">
        <f t="shared" si="1"/>
        <v>1571.3251233283822</v>
      </c>
    </row>
    <row r="22" spans="2:44" x14ac:dyDescent="0.25">
      <c r="B22" s="167" t="s">
        <v>431</v>
      </c>
      <c r="C22" s="167"/>
      <c r="D22" s="178">
        <v>103131</v>
      </c>
      <c r="E22" s="178">
        <v>40386</v>
      </c>
      <c r="F22" s="178">
        <v>21929</v>
      </c>
      <c r="G22" s="163"/>
      <c r="H22" s="163"/>
      <c r="I22" s="163"/>
      <c r="J22" s="163"/>
      <c r="K22" s="163"/>
      <c r="L22" s="172" t="s">
        <v>566</v>
      </c>
      <c r="M22" s="238"/>
      <c r="N22" s="238"/>
      <c r="O22" s="238"/>
      <c r="P22" s="238"/>
      <c r="Q22" s="238"/>
      <c r="R22" s="238"/>
      <c r="S22" s="238"/>
      <c r="T22" s="238"/>
      <c r="U22" s="239"/>
      <c r="V22" s="239"/>
      <c r="W22" s="239"/>
      <c r="X22" s="167"/>
      <c r="Y22" s="163"/>
    </row>
    <row r="23" spans="2:44" x14ac:dyDescent="0.25">
      <c r="B23" s="167" t="s">
        <v>430</v>
      </c>
      <c r="C23" s="167"/>
      <c r="D23" s="178">
        <v>87632</v>
      </c>
      <c r="E23" s="178">
        <v>21961</v>
      </c>
      <c r="F23" s="178">
        <v>15238</v>
      </c>
      <c r="G23" s="163"/>
      <c r="H23" s="163"/>
      <c r="I23" s="163"/>
      <c r="J23" s="163"/>
      <c r="K23" s="163"/>
      <c r="L23" s="167"/>
      <c r="M23" s="167"/>
      <c r="N23" s="167"/>
      <c r="O23" s="167"/>
      <c r="P23" s="167"/>
      <c r="Q23" s="268" t="s">
        <v>560</v>
      </c>
      <c r="R23" s="268" t="s">
        <v>561</v>
      </c>
      <c r="S23" s="268" t="s">
        <v>548</v>
      </c>
      <c r="T23" s="267" t="s">
        <v>290</v>
      </c>
      <c r="U23" s="267"/>
      <c r="V23" s="267" t="s">
        <v>291</v>
      </c>
      <c r="W23" s="267"/>
      <c r="X23" s="166" t="s">
        <v>453</v>
      </c>
      <c r="Y23" s="163"/>
      <c r="Z23" s="172" t="s">
        <v>547</v>
      </c>
      <c r="AA23" s="83"/>
      <c r="AB23" s="83"/>
      <c r="AC23" s="83"/>
      <c r="AD23" s="167"/>
      <c r="AE23" s="167"/>
      <c r="AF23" s="167"/>
      <c r="AG23" s="167"/>
      <c r="AH23" s="167"/>
    </row>
    <row r="24" spans="2:44" x14ac:dyDescent="0.25">
      <c r="L24" s="167"/>
      <c r="M24" s="167"/>
      <c r="N24" s="167"/>
      <c r="O24" s="167"/>
      <c r="P24" s="168" t="s">
        <v>454</v>
      </c>
      <c r="Q24" s="268"/>
      <c r="R24" s="268"/>
      <c r="S24" s="268"/>
      <c r="T24" s="240" t="s">
        <v>454</v>
      </c>
      <c r="U24" s="240" t="s">
        <v>310</v>
      </c>
      <c r="V24" s="240" t="s">
        <v>454</v>
      </c>
      <c r="W24" s="240" t="s">
        <v>310</v>
      </c>
      <c r="X24" s="166" t="s">
        <v>488</v>
      </c>
      <c r="Z24" s="172" t="s">
        <v>562</v>
      </c>
      <c r="AA24" s="167"/>
      <c r="AB24" s="167"/>
      <c r="AC24" s="166" t="s">
        <v>290</v>
      </c>
      <c r="AD24" s="166" t="s">
        <v>453</v>
      </c>
      <c r="AE24" s="100" t="s">
        <v>291</v>
      </c>
      <c r="AF24" s="100" t="s">
        <v>453</v>
      </c>
      <c r="AG24" s="166" t="s">
        <v>299</v>
      </c>
      <c r="AH24" s="166" t="s">
        <v>488</v>
      </c>
    </row>
    <row r="25" spans="2:44" x14ac:dyDescent="0.25">
      <c r="B25" s="172" t="s">
        <v>481</v>
      </c>
      <c r="C25" s="172"/>
      <c r="D25" s="83" t="s">
        <v>487</v>
      </c>
      <c r="E25" s="167"/>
      <c r="F25" s="167"/>
      <c r="G25" s="167"/>
      <c r="H25" s="167"/>
      <c r="I25" s="167"/>
      <c r="J25" s="167"/>
      <c r="L25" s="167" t="s">
        <v>371</v>
      </c>
      <c r="M25" s="167"/>
      <c r="N25" s="167"/>
      <c r="O25" s="167"/>
      <c r="P25" s="182">
        <v>0.86</v>
      </c>
      <c r="Q25" s="184">
        <v>84300.800000000003</v>
      </c>
      <c r="R25" s="184">
        <v>2279</v>
      </c>
      <c r="S25" s="184">
        <f>SUM(Q25:R25)</f>
        <v>86579.8</v>
      </c>
      <c r="T25" s="183">
        <f>S25*X25*P25</f>
        <v>46200.229028142108</v>
      </c>
      <c r="U25" s="188">
        <f>T25/SUM(T$25:T$55)</f>
        <v>7.7600983612187147E-2</v>
      </c>
      <c r="V25" s="183">
        <f>S25*(1-X25)*P25</f>
        <v>28258.398971857892</v>
      </c>
      <c r="W25" s="188">
        <f>V25/SUM(V$25:V$55)</f>
        <v>0.2589516782516148</v>
      </c>
      <c r="X25" s="162">
        <f>$AH$26</f>
        <v>0.62048187388225995</v>
      </c>
      <c r="Z25" s="83" t="s">
        <v>486</v>
      </c>
      <c r="AA25" s="167"/>
      <c r="AB25" s="167"/>
      <c r="AC25" s="186">
        <f>SUM(AC26:AC29)</f>
        <v>332329.99870767561</v>
      </c>
      <c r="AD25" s="190">
        <f>AC25/(AC$25+AC$31)</f>
        <v>0.86121145432261814</v>
      </c>
      <c r="AE25" s="185">
        <f>SUM(AE26:AE29)</f>
        <v>203269.85149961221</v>
      </c>
      <c r="AF25" s="191">
        <f>AE25/(AE$25+AE$31)</f>
        <v>0.9805541436045544</v>
      </c>
      <c r="AG25" s="186">
        <f>SUM(AG26:AG29)</f>
        <v>535599.85020728782</v>
      </c>
      <c r="AH25" s="192"/>
    </row>
    <row r="26" spans="2:44" x14ac:dyDescent="0.25">
      <c r="B26" s="172" t="s">
        <v>545</v>
      </c>
      <c r="C26" s="172"/>
      <c r="D26" s="166"/>
      <c r="E26" s="166" t="s">
        <v>454</v>
      </c>
      <c r="F26" s="100"/>
      <c r="G26" s="100" t="s">
        <v>454</v>
      </c>
      <c r="H26" s="166"/>
      <c r="I26" s="166" t="s">
        <v>453</v>
      </c>
      <c r="J26" s="100" t="s">
        <v>451</v>
      </c>
      <c r="L26" s="167" t="s">
        <v>402</v>
      </c>
      <c r="M26" s="167"/>
      <c r="N26" s="167"/>
      <c r="O26" s="167"/>
      <c r="P26" s="182">
        <v>0.86</v>
      </c>
      <c r="Q26" s="184">
        <v>92367.8</v>
      </c>
      <c r="R26" s="184">
        <v>1785</v>
      </c>
      <c r="S26" s="184">
        <f t="shared" ref="S26:S56" si="2">SUM(Q26:R26)</f>
        <v>94152.8</v>
      </c>
      <c r="T26" s="183">
        <f t="shared" ref="T26:T56" si="3">S26*X26*P26</f>
        <v>50241.290966725013</v>
      </c>
      <c r="U26" s="188">
        <f t="shared" ref="U26:U55" si="4">T26/SUM(T$25:T$55)</f>
        <v>8.4388620554003743E-2</v>
      </c>
      <c r="V26" s="183">
        <f t="shared" ref="V26:V56" si="5">S26*(1-X26)*P26</f>
        <v>30730.117033274986</v>
      </c>
      <c r="W26" s="188">
        <f t="shared" ref="W26:W55" si="6">V26/SUM(V$25:V$55)</f>
        <v>0.28160177745950715</v>
      </c>
      <c r="X26" s="162">
        <f>$AH$26</f>
        <v>0.62048187388225995</v>
      </c>
      <c r="Z26" s="167" t="s">
        <v>480</v>
      </c>
      <c r="AA26" s="167"/>
      <c r="AB26" s="167"/>
      <c r="AC26" s="184">
        <f>AG26*AH26</f>
        <v>77812.622155690507</v>
      </c>
      <c r="AD26" s="187">
        <f>AC26/SUM(AC$26:AC$29)</f>
        <v>0.23414263671133737</v>
      </c>
      <c r="AE26" s="183">
        <f>AG26-AC26</f>
        <v>47594.138994041161</v>
      </c>
      <c r="AF26" s="188">
        <f>AE26/SUM(AE$26:AE$29)</f>
        <v>0.2341426367113372</v>
      </c>
      <c r="AG26" s="184">
        <v>125406.76114973167</v>
      </c>
      <c r="AH26" s="189">
        <v>0.62048187388225995</v>
      </c>
    </row>
    <row r="27" spans="2:44" x14ac:dyDescent="0.25">
      <c r="B27" s="83" t="s">
        <v>436</v>
      </c>
      <c r="C27" s="168" t="s">
        <v>454</v>
      </c>
      <c r="D27" s="166" t="s">
        <v>290</v>
      </c>
      <c r="E27" s="166" t="s">
        <v>453</v>
      </c>
      <c r="F27" s="100" t="s">
        <v>291</v>
      </c>
      <c r="G27" s="100" t="s">
        <v>453</v>
      </c>
      <c r="H27" s="166" t="s">
        <v>299</v>
      </c>
      <c r="I27" s="166" t="s">
        <v>488</v>
      </c>
      <c r="J27" s="100" t="s">
        <v>452</v>
      </c>
      <c r="L27" s="167" t="s">
        <v>433</v>
      </c>
      <c r="M27" s="167"/>
      <c r="N27" s="167"/>
      <c r="O27" s="167"/>
      <c r="P27" s="182">
        <v>0.86</v>
      </c>
      <c r="Q27" s="184">
        <v>31831.5</v>
      </c>
      <c r="R27" s="184">
        <v>0</v>
      </c>
      <c r="S27" s="184">
        <f t="shared" si="2"/>
        <v>31831.5</v>
      </c>
      <c r="T27" s="183">
        <f t="shared" si="3"/>
        <v>16985.747140895513</v>
      </c>
      <c r="U27" s="188">
        <f t="shared" si="4"/>
        <v>2.8530392884383367E-2</v>
      </c>
      <c r="V27" s="183">
        <f t="shared" si="5"/>
        <v>10389.342859104483</v>
      </c>
      <c r="W27" s="188">
        <f t="shared" si="6"/>
        <v>9.5204890127561809E-2</v>
      </c>
      <c r="X27" s="162">
        <f>$AH$26</f>
        <v>0.62048187388225995</v>
      </c>
      <c r="Z27" s="167" t="s">
        <v>477</v>
      </c>
      <c r="AA27" s="167"/>
      <c r="AB27" s="167"/>
      <c r="AC27" s="184">
        <f>AG27*AH27</f>
        <v>61792.549779753324</v>
      </c>
      <c r="AD27" s="187">
        <f>AC27/SUM(AC$26:AC$29)</f>
        <v>0.18593732139754057</v>
      </c>
      <c r="AE27" s="183">
        <f>AG27-AC27</f>
        <v>37795.451708713757</v>
      </c>
      <c r="AF27" s="188">
        <f>AE27/SUM(AE$26:AE$29)</f>
        <v>0.18593732139754066</v>
      </c>
      <c r="AG27" s="184">
        <v>99588.001488467082</v>
      </c>
      <c r="AH27" s="189">
        <v>0.62048187388225973</v>
      </c>
    </row>
    <row r="28" spans="2:44" x14ac:dyDescent="0.25">
      <c r="B28" s="167" t="s">
        <v>437</v>
      </c>
      <c r="C28" s="182">
        <v>0.86</v>
      </c>
      <c r="D28" s="92">
        <f>H28*I28</f>
        <v>8000.2142902474725</v>
      </c>
      <c r="E28" s="169">
        <f>D28*$C28/SUMPRODUCT(D$28:D$48,$C$28:$C$48)</f>
        <v>1.0523812255528259E-2</v>
      </c>
      <c r="F28" s="170">
        <f>H28-D28</f>
        <v>631.319043085864</v>
      </c>
      <c r="G28" s="171">
        <f t="shared" ref="G28:G48" si="7">F28*$C28/SUMPRODUCT(F$28:F$48,$C$28:$C$48)</f>
        <v>4.6480203269391104E-3</v>
      </c>
      <c r="H28" s="92">
        <v>8631.5333333333365</v>
      </c>
      <c r="I28" s="179">
        <v>0.92685899263716798</v>
      </c>
      <c r="J28" s="171">
        <v>0.27270318402958632</v>
      </c>
      <c r="L28" s="167" t="s">
        <v>476</v>
      </c>
      <c r="M28" s="167"/>
      <c r="N28" s="167"/>
      <c r="O28" s="167"/>
      <c r="P28" s="182">
        <v>0.86</v>
      </c>
      <c r="Q28" s="184">
        <v>11430.7</v>
      </c>
      <c r="R28" s="184">
        <v>0</v>
      </c>
      <c r="S28" s="184">
        <f t="shared" si="2"/>
        <v>11430.7</v>
      </c>
      <c r="T28" s="183">
        <f t="shared" si="3"/>
        <v>6099.5862539759164</v>
      </c>
      <c r="U28" s="188">
        <f t="shared" si="4"/>
        <v>1.0245271568839703E-2</v>
      </c>
      <c r="V28" s="183">
        <f t="shared" si="5"/>
        <v>3730.8157460240845</v>
      </c>
      <c r="W28" s="188">
        <f t="shared" si="6"/>
        <v>3.4188101018837347E-2</v>
      </c>
      <c r="X28" s="162">
        <f>$AH$26</f>
        <v>0.62048187388225995</v>
      </c>
      <c r="Z28" s="167" t="s">
        <v>479</v>
      </c>
      <c r="AA28" s="167"/>
      <c r="AB28" s="167"/>
      <c r="AC28" s="184">
        <f>AG28*AH28</f>
        <v>159717.72580047889</v>
      </c>
      <c r="AD28" s="187">
        <f>AC28/SUM(AC$26:AC$29)</f>
        <v>0.48059978461640451</v>
      </c>
      <c r="AE28" s="183">
        <f>AG28-AC28</f>
        <v>97691.446849722182</v>
      </c>
      <c r="AF28" s="188">
        <f>AE28/SUM(AE$26:AE$29)</f>
        <v>0.48059978461640462</v>
      </c>
      <c r="AG28" s="184">
        <v>257409.17265020107</v>
      </c>
      <c r="AH28" s="189">
        <v>0.62048187388225973</v>
      </c>
    </row>
    <row r="29" spans="2:44" x14ac:dyDescent="0.25">
      <c r="B29" s="167" t="s">
        <v>480</v>
      </c>
      <c r="C29" s="182">
        <v>0.86</v>
      </c>
      <c r="D29" s="92">
        <f t="shared" ref="D29:D34" si="8">H29*I29</f>
        <v>38739.785795838885</v>
      </c>
      <c r="E29" s="169">
        <f t="shared" ref="E29:E48" si="9">D29*C29/SUMPRODUCT(D$28:D$48,$C$28:$C$48)</f>
        <v>5.0959914040274737E-2</v>
      </c>
      <c r="F29" s="170">
        <f t="shared" ref="F29:F34" si="10">H29-D29</f>
        <v>23695.214204161115</v>
      </c>
      <c r="G29" s="171">
        <f t="shared" si="7"/>
        <v>0.17445353261288826</v>
      </c>
      <c r="H29" s="92">
        <v>62435</v>
      </c>
      <c r="I29" s="179">
        <v>0.62048187388225973</v>
      </c>
      <c r="J29" s="171">
        <v>0</v>
      </c>
      <c r="L29" s="167" t="s">
        <v>461</v>
      </c>
      <c r="M29" s="167"/>
      <c r="N29" s="167"/>
      <c r="O29" s="167"/>
      <c r="P29" s="182">
        <v>0.86</v>
      </c>
      <c r="Q29" s="184">
        <v>707</v>
      </c>
      <c r="R29" s="184">
        <v>0</v>
      </c>
      <c r="S29" s="184">
        <f t="shared" si="2"/>
        <v>707</v>
      </c>
      <c r="T29" s="183">
        <f t="shared" si="3"/>
        <v>377.26538895789167</v>
      </c>
      <c r="U29" s="188">
        <f t="shared" si="4"/>
        <v>6.3368008951067466E-4</v>
      </c>
      <c r="V29" s="183">
        <f t="shared" si="5"/>
        <v>230.75461104210834</v>
      </c>
      <c r="W29" s="188">
        <f t="shared" si="6"/>
        <v>2.1145675610695761E-3</v>
      </c>
      <c r="X29" s="162">
        <f>$AH$26</f>
        <v>0.62048187388225995</v>
      </c>
      <c r="Z29" s="167" t="s">
        <v>478</v>
      </c>
      <c r="AA29" s="167"/>
      <c r="AB29" s="167"/>
      <c r="AC29" s="184">
        <f>AG29*AH29</f>
        <v>33007.100971752872</v>
      </c>
      <c r="AD29" s="187">
        <f>AC29/SUM(AC$26:AC$29)</f>
        <v>9.9320257274717494E-2</v>
      </c>
      <c r="AE29" s="183">
        <f>AG29-AC29</f>
        <v>20188.81394713511</v>
      </c>
      <c r="AF29" s="188">
        <f>AE29/SUM(AE$26:AE$29)</f>
        <v>9.9320257274717522E-2</v>
      </c>
      <c r="AG29" s="184">
        <v>53195.914918887982</v>
      </c>
      <c r="AH29" s="189">
        <v>0.62048187388225973</v>
      </c>
    </row>
    <row r="30" spans="2:44" x14ac:dyDescent="0.25">
      <c r="B30" s="167" t="s">
        <v>477</v>
      </c>
      <c r="C30" s="182">
        <v>0.86</v>
      </c>
      <c r="D30" s="92">
        <f t="shared" si="8"/>
        <v>21059.030703189121</v>
      </c>
      <c r="E30" s="169">
        <f t="shared" si="9"/>
        <v>2.7701918644095731E-2</v>
      </c>
      <c r="F30" s="170">
        <f t="shared" si="10"/>
        <v>12880.769296810882</v>
      </c>
      <c r="G30" s="171">
        <f t="shared" si="7"/>
        <v>9.4833314746134476E-2</v>
      </c>
      <c r="H30" s="92">
        <v>33939.800000000003</v>
      </c>
      <c r="I30" s="179">
        <v>0.62048187388225973</v>
      </c>
      <c r="J30" s="171">
        <v>0</v>
      </c>
      <c r="L30" s="167" t="s">
        <v>462</v>
      </c>
      <c r="M30" s="167"/>
      <c r="N30" s="167"/>
      <c r="O30" s="167"/>
      <c r="P30" s="182">
        <v>0.86</v>
      </c>
      <c r="Q30" s="184">
        <v>16116.5</v>
      </c>
      <c r="R30" s="184">
        <v>537</v>
      </c>
      <c r="S30" s="184">
        <f t="shared" si="2"/>
        <v>16653.5</v>
      </c>
      <c r="T30" s="183">
        <f t="shared" si="3"/>
        <v>13319.469300000001</v>
      </c>
      <c r="U30" s="188">
        <f t="shared" si="4"/>
        <v>2.2372268289898023E-2</v>
      </c>
      <c r="V30" s="183">
        <f t="shared" si="5"/>
        <v>1002.5406999999993</v>
      </c>
      <c r="W30" s="188">
        <f t="shared" si="6"/>
        <v>9.1869888679500123E-3</v>
      </c>
      <c r="X30" s="162">
        <f t="shared" ref="X30:X56" si="11">$AH$32</f>
        <v>0.93</v>
      </c>
      <c r="Z30" s="167"/>
      <c r="AA30" s="167"/>
      <c r="AB30" s="167"/>
      <c r="AC30" s="184"/>
      <c r="AD30" s="187"/>
      <c r="AE30" s="183"/>
      <c r="AF30" s="188"/>
      <c r="AG30" s="184"/>
      <c r="AH30" s="189"/>
    </row>
    <row r="31" spans="2:44" x14ac:dyDescent="0.25">
      <c r="B31" s="167" t="s">
        <v>479</v>
      </c>
      <c r="C31" s="182">
        <v>0.86</v>
      </c>
      <c r="D31" s="92">
        <f t="shared" si="8"/>
        <v>68413.87639421731</v>
      </c>
      <c r="E31" s="169">
        <f t="shared" si="9"/>
        <v>8.9994438239402258E-2</v>
      </c>
      <c r="F31" s="170">
        <f t="shared" si="10"/>
        <v>41845.390272449687</v>
      </c>
      <c r="G31" s="171">
        <f t="shared" si="7"/>
        <v>0.30808230276778314</v>
      </c>
      <c r="H31" s="92">
        <v>110259.266666667</v>
      </c>
      <c r="I31" s="179">
        <v>0.62048187388225973</v>
      </c>
      <c r="J31" s="171">
        <v>0</v>
      </c>
      <c r="L31" s="167" t="s">
        <v>432</v>
      </c>
      <c r="M31" s="167"/>
      <c r="N31" s="167"/>
      <c r="O31" s="167"/>
      <c r="P31" s="182">
        <v>0.85</v>
      </c>
      <c r="Q31" s="184">
        <v>2047.3</v>
      </c>
      <c r="R31" s="184">
        <v>586</v>
      </c>
      <c r="S31" s="184">
        <f t="shared" si="2"/>
        <v>2633.3</v>
      </c>
      <c r="T31" s="183">
        <f t="shared" si="3"/>
        <v>2081.6236500000005</v>
      </c>
      <c r="U31" s="188">
        <f t="shared" si="4"/>
        <v>3.4964338088452809E-3</v>
      </c>
      <c r="V31" s="183">
        <f t="shared" si="5"/>
        <v>156.6813499999999</v>
      </c>
      <c r="W31" s="188">
        <f t="shared" si="6"/>
        <v>1.4357819271231379E-3</v>
      </c>
      <c r="X31" s="162">
        <f t="shared" si="11"/>
        <v>0.93</v>
      </c>
      <c r="Z31" s="83" t="s">
        <v>485</v>
      </c>
      <c r="AA31" s="167"/>
      <c r="AB31" s="167"/>
      <c r="AC31" s="186">
        <f>SUM(AC32:AC33)</f>
        <v>53556.646249999976</v>
      </c>
      <c r="AD31" s="190">
        <f>AC31/(AC$25+AC$31)</f>
        <v>0.1387885456773818</v>
      </c>
      <c r="AE31" s="185">
        <f>SUM(AE32:AE33)</f>
        <v>4031.1454166666626</v>
      </c>
      <c r="AF31" s="191">
        <f>AE31/(AE$25+AE$31)</f>
        <v>1.9445856395445563E-2</v>
      </c>
      <c r="AG31" s="186">
        <f>SUM(AG32:AG33)</f>
        <v>57587.791666666642</v>
      </c>
      <c r="AH31" s="192"/>
    </row>
    <row r="32" spans="2:44" x14ac:dyDescent="0.25">
      <c r="B32" s="167" t="s">
        <v>478</v>
      </c>
      <c r="C32" s="182">
        <v>0.86</v>
      </c>
      <c r="D32" s="92">
        <f t="shared" si="8"/>
        <v>14138.341343739448</v>
      </c>
      <c r="E32" s="169">
        <f t="shared" si="9"/>
        <v>1.8598158062774157E-2</v>
      </c>
      <c r="F32" s="170">
        <f t="shared" si="10"/>
        <v>8647.7253229272501</v>
      </c>
      <c r="G32" s="171">
        <f t="shared" si="7"/>
        <v>6.3667971880400173E-2</v>
      </c>
      <c r="H32" s="92">
        <v>22786.066666666698</v>
      </c>
      <c r="I32" s="179">
        <v>0.62048187388225973</v>
      </c>
      <c r="J32" s="171">
        <v>0</v>
      </c>
      <c r="L32" s="167" t="s">
        <v>465</v>
      </c>
      <c r="M32" s="167"/>
      <c r="N32" s="167"/>
      <c r="O32" s="167"/>
      <c r="P32" s="182">
        <v>0.85</v>
      </c>
      <c r="Q32" s="184">
        <v>9008.7999999999993</v>
      </c>
      <c r="R32" s="184">
        <v>40</v>
      </c>
      <c r="S32" s="184">
        <f t="shared" si="2"/>
        <v>9048.7999999999993</v>
      </c>
      <c r="T32" s="183">
        <f t="shared" si="3"/>
        <v>7153.0763999999999</v>
      </c>
      <c r="U32" s="188">
        <f t="shared" si="4"/>
        <v>1.2014783826179763E-2</v>
      </c>
      <c r="V32" s="183">
        <f t="shared" si="5"/>
        <v>538.40359999999953</v>
      </c>
      <c r="W32" s="188">
        <f t="shared" si="6"/>
        <v>4.9337726435088472E-3</v>
      </c>
      <c r="X32" s="162">
        <f t="shared" si="11"/>
        <v>0.93</v>
      </c>
      <c r="Z32" s="167" t="s">
        <v>482</v>
      </c>
      <c r="AA32" s="167"/>
      <c r="AB32" s="167"/>
      <c r="AC32" s="184">
        <f>AG32*AH32</f>
        <v>27475.937049999968</v>
      </c>
      <c r="AD32" s="187">
        <f>AC32/SUM(AC$32:AC$33)</f>
        <v>0.51302572087399856</v>
      </c>
      <c r="AE32" s="183">
        <f>AG32-AC32</f>
        <v>2068.0812833333293</v>
      </c>
      <c r="AF32" s="188">
        <f>AE32/SUM(AE$32:AE$33)</f>
        <v>0.51302572087399845</v>
      </c>
      <c r="AG32" s="184">
        <v>29544.018333333297</v>
      </c>
      <c r="AH32" s="189">
        <v>0.93</v>
      </c>
    </row>
    <row r="33" spans="2:34" x14ac:dyDescent="0.25">
      <c r="B33" s="167" t="s">
        <v>482</v>
      </c>
      <c r="C33" s="182">
        <v>0.85</v>
      </c>
      <c r="D33" s="92">
        <f t="shared" si="8"/>
        <v>4095.4809354661024</v>
      </c>
      <c r="E33" s="169">
        <f t="shared" si="9"/>
        <v>5.3247209739873142E-3</v>
      </c>
      <c r="F33" s="170">
        <f t="shared" si="10"/>
        <v>323.18573120056726</v>
      </c>
      <c r="G33" s="171">
        <f t="shared" si="7"/>
        <v>2.3517534066013895E-3</v>
      </c>
      <c r="H33" s="92">
        <v>4418.6666666666697</v>
      </c>
      <c r="I33" s="179">
        <v>0.92685899263716798</v>
      </c>
      <c r="J33" s="171">
        <v>0</v>
      </c>
      <c r="L33" s="167" t="s">
        <v>467</v>
      </c>
      <c r="M33" s="167"/>
      <c r="N33" s="167"/>
      <c r="O33" s="167"/>
      <c r="P33" s="182">
        <v>0.91</v>
      </c>
      <c r="Q33" s="184">
        <v>40016.699999999997</v>
      </c>
      <c r="R33" s="184">
        <v>93785</v>
      </c>
      <c r="S33" s="184">
        <f t="shared" si="2"/>
        <v>133801.70000000001</v>
      </c>
      <c r="T33" s="183">
        <f t="shared" si="3"/>
        <v>113236.37871000002</v>
      </c>
      <c r="U33" s="188">
        <f t="shared" si="4"/>
        <v>0.19019936812922544</v>
      </c>
      <c r="V33" s="183">
        <f t="shared" si="5"/>
        <v>8523.168289999996</v>
      </c>
      <c r="W33" s="188">
        <f t="shared" si="6"/>
        <v>7.810381384007109E-2</v>
      </c>
      <c r="X33" s="162">
        <f t="shared" si="11"/>
        <v>0.93</v>
      </c>
      <c r="Z33" s="167" t="s">
        <v>483</v>
      </c>
      <c r="AA33" s="167"/>
      <c r="AB33" s="167"/>
      <c r="AC33" s="184">
        <f>AG33*AH33</f>
        <v>26080.709200000008</v>
      </c>
      <c r="AD33" s="187">
        <f>AC33/SUM(AC$32:AC$33)</f>
        <v>0.4869742791260015</v>
      </c>
      <c r="AE33" s="183">
        <f>AG33-AC33</f>
        <v>1963.0641333333333</v>
      </c>
      <c r="AF33" s="188">
        <f>AE33/SUM(AE$32:AE$33)</f>
        <v>0.48697427912600155</v>
      </c>
      <c r="AG33" s="184">
        <v>28043.773333333342</v>
      </c>
      <c r="AH33" s="189">
        <v>0.93</v>
      </c>
    </row>
    <row r="34" spans="2:34" x14ac:dyDescent="0.25">
      <c r="B34" s="167" t="s">
        <v>483</v>
      </c>
      <c r="C34" s="182">
        <v>0.85</v>
      </c>
      <c r="D34" s="92">
        <f t="shared" si="8"/>
        <v>11613.017957647857</v>
      </c>
      <c r="E34" s="169">
        <f t="shared" si="9"/>
        <v>1.5098612657402435E-2</v>
      </c>
      <c r="F34" s="170">
        <f t="shared" si="10"/>
        <v>916.415375685443</v>
      </c>
      <c r="G34" s="171">
        <f t="shared" si="7"/>
        <v>6.6685585827817324E-3</v>
      </c>
      <c r="H34" s="92">
        <v>12529.4333333333</v>
      </c>
      <c r="I34" s="179">
        <v>0.92685899263716798</v>
      </c>
      <c r="J34" s="171">
        <v>0</v>
      </c>
      <c r="L34" s="167" t="s">
        <v>550</v>
      </c>
      <c r="M34" s="167"/>
      <c r="N34" s="167"/>
      <c r="O34" s="167"/>
      <c r="P34" s="182">
        <v>0.91</v>
      </c>
      <c r="Q34" s="184">
        <v>98.7</v>
      </c>
      <c r="R34" s="184">
        <v>0</v>
      </c>
      <c r="S34" s="184">
        <f t="shared" si="2"/>
        <v>98.7</v>
      </c>
      <c r="T34" s="183">
        <f t="shared" si="3"/>
        <v>83.529810000000012</v>
      </c>
      <c r="U34" s="188">
        <f t="shared" si="4"/>
        <v>1.403022355796268E-4</v>
      </c>
      <c r="V34" s="183">
        <f t="shared" si="5"/>
        <v>6.2871899999999963</v>
      </c>
      <c r="W34" s="188">
        <f t="shared" si="6"/>
        <v>5.7613964740470527E-5</v>
      </c>
      <c r="X34" s="162">
        <f t="shared" si="11"/>
        <v>0.93</v>
      </c>
    </row>
    <row r="35" spans="2:34" x14ac:dyDescent="0.25">
      <c r="B35" s="167" t="s">
        <v>443</v>
      </c>
      <c r="C35" s="182">
        <v>0.93</v>
      </c>
      <c r="D35" s="92">
        <f t="shared" ref="D35:D48" si="12">H35*I35</f>
        <v>125972.18626629541</v>
      </c>
      <c r="E35" s="169">
        <f t="shared" si="9"/>
        <v>0.17919695914371556</v>
      </c>
      <c r="F35" s="170">
        <f t="shared" ref="F35:F48" si="13">H35-D35</f>
        <v>9940.8137337045919</v>
      </c>
      <c r="G35" s="171">
        <f t="shared" si="7"/>
        <v>7.914537891799911E-2</v>
      </c>
      <c r="H35" s="92">
        <v>135913</v>
      </c>
      <c r="I35" s="179">
        <v>0.92685899263716798</v>
      </c>
      <c r="J35" s="171">
        <v>0.19883912083302038</v>
      </c>
      <c r="L35" s="167" t="s">
        <v>471</v>
      </c>
      <c r="M35" s="167"/>
      <c r="N35" s="167"/>
      <c r="O35" s="167"/>
      <c r="P35" s="182">
        <v>1</v>
      </c>
      <c r="Q35" s="184">
        <v>2126.8000000000002</v>
      </c>
      <c r="R35" s="184">
        <v>192</v>
      </c>
      <c r="S35" s="184">
        <f t="shared" si="2"/>
        <v>2318.8000000000002</v>
      </c>
      <c r="T35" s="183">
        <f t="shared" si="3"/>
        <v>2156.4840000000004</v>
      </c>
      <c r="U35" s="188">
        <f t="shared" si="4"/>
        <v>3.6221742416473347E-3</v>
      </c>
      <c r="V35" s="183">
        <f t="shared" si="5"/>
        <v>162.31599999999989</v>
      </c>
      <c r="W35" s="188">
        <f t="shared" si="6"/>
        <v>1.4874162067337257E-3</v>
      </c>
      <c r="X35" s="162">
        <f t="shared" si="11"/>
        <v>0.93</v>
      </c>
    </row>
    <row r="36" spans="2:34" x14ac:dyDescent="0.25">
      <c r="B36" s="167" t="s">
        <v>438</v>
      </c>
      <c r="C36" s="182">
        <v>0.9</v>
      </c>
      <c r="D36" s="92">
        <f t="shared" si="12"/>
        <v>36603.206384229525</v>
      </c>
      <c r="E36" s="169">
        <f t="shared" si="9"/>
        <v>5.0388874796215039E-2</v>
      </c>
      <c r="F36" s="170">
        <f t="shared" si="13"/>
        <v>2888.4602824371759</v>
      </c>
      <c r="G36" s="171">
        <f t="shared" si="7"/>
        <v>2.2255101917213038E-2</v>
      </c>
      <c r="H36" s="92">
        <v>39491.666666666701</v>
      </c>
      <c r="I36" s="179">
        <v>0.92685899263716798</v>
      </c>
      <c r="J36" s="171">
        <v>0</v>
      </c>
      <c r="L36" s="167" t="s">
        <v>464</v>
      </c>
      <c r="M36" s="167"/>
      <c r="N36" s="167"/>
      <c r="O36" s="167"/>
      <c r="P36" s="182">
        <v>0.87</v>
      </c>
      <c r="Q36" s="184">
        <v>0</v>
      </c>
      <c r="R36" s="184">
        <v>2604.6</v>
      </c>
      <c r="S36" s="184">
        <f t="shared" si="2"/>
        <v>2604.6</v>
      </c>
      <c r="T36" s="183">
        <f t="shared" si="3"/>
        <v>2107.3818600000004</v>
      </c>
      <c r="U36" s="188">
        <f t="shared" si="4"/>
        <v>3.5396990149738415E-3</v>
      </c>
      <c r="V36" s="183">
        <f t="shared" si="5"/>
        <v>158.62013999999988</v>
      </c>
      <c r="W36" s="188">
        <f t="shared" si="6"/>
        <v>1.4535484299167828E-3</v>
      </c>
      <c r="X36" s="162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7" t="s">
        <v>439</v>
      </c>
      <c r="C37" s="182">
        <v>0.87</v>
      </c>
      <c r="D37" s="92">
        <f t="shared" si="12"/>
        <v>90204.110729731736</v>
      </c>
      <c r="E37" s="169">
        <f t="shared" si="9"/>
        <v>0.12003795899244715</v>
      </c>
      <c r="F37" s="170">
        <f t="shared" si="13"/>
        <v>7118.2559369349037</v>
      </c>
      <c r="G37" s="171">
        <f t="shared" si="7"/>
        <v>5.3016802262705415E-2</v>
      </c>
      <c r="H37" s="92">
        <v>97322.36666666664</v>
      </c>
      <c r="I37" s="179">
        <v>0.92685899263716798</v>
      </c>
      <c r="J37" s="171">
        <v>0</v>
      </c>
      <c r="L37" s="167" t="s">
        <v>466</v>
      </c>
      <c r="M37" s="167"/>
      <c r="N37" s="167"/>
      <c r="O37" s="167"/>
      <c r="P37" s="182">
        <v>0.875</v>
      </c>
      <c r="Q37" s="184">
        <v>6226.3</v>
      </c>
      <c r="R37" s="184">
        <v>17429.8</v>
      </c>
      <c r="S37" s="184">
        <f t="shared" si="2"/>
        <v>23656.1</v>
      </c>
      <c r="T37" s="183">
        <f t="shared" si="3"/>
        <v>19250.151374999998</v>
      </c>
      <c r="U37" s="188">
        <f t="shared" si="4"/>
        <v>3.2333837143394988E-2</v>
      </c>
      <c r="V37" s="183">
        <f t="shared" si="5"/>
        <v>1448.9361249999988</v>
      </c>
      <c r="W37" s="188">
        <f t="shared" si="6"/>
        <v>1.3277625587415678E-2</v>
      </c>
      <c r="X37" s="162">
        <f t="shared" si="11"/>
        <v>0.93</v>
      </c>
      <c r="AD37" s="12"/>
      <c r="AE37" s="26"/>
      <c r="AF37" s="65"/>
    </row>
    <row r="38" spans="2:34" x14ac:dyDescent="0.25">
      <c r="B38" s="167" t="s">
        <v>440</v>
      </c>
      <c r="C38" s="182">
        <v>0.91</v>
      </c>
      <c r="D38" s="92">
        <f t="shared" si="12"/>
        <v>29382.974831585889</v>
      </c>
      <c r="E38" s="169">
        <f t="shared" si="9"/>
        <v>4.0898763293892797E-2</v>
      </c>
      <c r="F38" s="170">
        <f t="shared" si="13"/>
        <v>2318.69183508071</v>
      </c>
      <c r="G38" s="171">
        <f t="shared" si="7"/>
        <v>1.8063633075250322E-2</v>
      </c>
      <c r="H38" s="92">
        <v>31701.666666666599</v>
      </c>
      <c r="I38" s="179">
        <v>0.92685899263716798</v>
      </c>
      <c r="J38" s="171">
        <v>1</v>
      </c>
      <c r="L38" s="167" t="s">
        <v>551</v>
      </c>
      <c r="M38" s="167"/>
      <c r="N38" s="167"/>
      <c r="O38" s="167"/>
      <c r="P38" s="182">
        <v>0.87</v>
      </c>
      <c r="Q38" s="184">
        <v>0</v>
      </c>
      <c r="R38" s="184">
        <v>0</v>
      </c>
      <c r="S38" s="184">
        <f t="shared" si="2"/>
        <v>0</v>
      </c>
      <c r="T38" s="183">
        <f t="shared" si="3"/>
        <v>0</v>
      </c>
      <c r="U38" s="188">
        <f t="shared" si="4"/>
        <v>0</v>
      </c>
      <c r="V38" s="183">
        <f t="shared" si="5"/>
        <v>0</v>
      </c>
      <c r="W38" s="188">
        <f t="shared" si="6"/>
        <v>0</v>
      </c>
      <c r="X38" s="162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7" t="s">
        <v>441</v>
      </c>
      <c r="C39" s="182">
        <v>0.87</v>
      </c>
      <c r="D39" s="92">
        <f t="shared" si="12"/>
        <v>15543.487097124786</v>
      </c>
      <c r="E39" s="169">
        <f t="shared" si="9"/>
        <v>2.0684295334994267E-2</v>
      </c>
      <c r="F39" s="170">
        <f t="shared" si="13"/>
        <v>1226.5795695418474</v>
      </c>
      <c r="G39" s="171">
        <f t="shared" si="7"/>
        <v>9.1355701556687548E-3</v>
      </c>
      <c r="H39" s="92">
        <v>16770.066666666633</v>
      </c>
      <c r="I39" s="179">
        <v>0.92685899263716798</v>
      </c>
      <c r="J39" s="171">
        <v>1</v>
      </c>
      <c r="L39" s="167" t="s">
        <v>403</v>
      </c>
      <c r="M39" s="167"/>
      <c r="N39" s="167"/>
      <c r="O39" s="167"/>
      <c r="P39" s="182">
        <v>0.89500000000000002</v>
      </c>
      <c r="Q39" s="184">
        <v>143785.1</v>
      </c>
      <c r="R39" s="184">
        <v>34843</v>
      </c>
      <c r="S39" s="184">
        <f t="shared" si="2"/>
        <v>178628.1</v>
      </c>
      <c r="T39" s="183">
        <f t="shared" si="3"/>
        <v>148681.09903499999</v>
      </c>
      <c r="U39" s="188">
        <f t="shared" si="4"/>
        <v>0.2497346825408365</v>
      </c>
      <c r="V39" s="183">
        <f t="shared" si="5"/>
        <v>11191.050464999993</v>
      </c>
      <c r="W39" s="188">
        <f t="shared" si="6"/>
        <v>0.1025515034378373</v>
      </c>
      <c r="X39" s="162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7" t="s">
        <v>442</v>
      </c>
      <c r="C40" s="182">
        <v>0.87</v>
      </c>
      <c r="D40" s="92">
        <f t="shared" si="12"/>
        <v>39489.568868500683</v>
      </c>
      <c r="E40" s="169">
        <f t="shared" si="9"/>
        <v>5.2550235350905056E-2</v>
      </c>
      <c r="F40" s="170">
        <f t="shared" si="13"/>
        <v>3116.2311314993494</v>
      </c>
      <c r="G40" s="171">
        <f t="shared" si="7"/>
        <v>2.320970349581554E-2</v>
      </c>
      <c r="H40" s="92">
        <v>42605.800000000032</v>
      </c>
      <c r="I40" s="179">
        <v>0.92685899263716798</v>
      </c>
      <c r="J40" s="171">
        <v>1</v>
      </c>
      <c r="L40" s="167" t="s">
        <v>468</v>
      </c>
      <c r="M40" s="167"/>
      <c r="N40" s="167"/>
      <c r="O40" s="167"/>
      <c r="P40" s="182">
        <v>0.91</v>
      </c>
      <c r="Q40" s="184">
        <v>1937.9</v>
      </c>
      <c r="R40" s="184">
        <v>489</v>
      </c>
      <c r="S40" s="184">
        <f t="shared" si="2"/>
        <v>2426.9</v>
      </c>
      <c r="T40" s="183">
        <f t="shared" si="3"/>
        <v>2053.8854700000002</v>
      </c>
      <c r="U40" s="188">
        <f t="shared" si="4"/>
        <v>3.4498429131529511E-3</v>
      </c>
      <c r="V40" s="183">
        <f t="shared" si="5"/>
        <v>154.5935299999999</v>
      </c>
      <c r="W40" s="188">
        <f t="shared" si="6"/>
        <v>1.4166497571291583E-3</v>
      </c>
      <c r="X40" s="162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7" t="s">
        <v>444</v>
      </c>
      <c r="C41" s="182">
        <v>0.9</v>
      </c>
      <c r="D41" s="92">
        <f t="shared" si="12"/>
        <v>103581.4047798645</v>
      </c>
      <c r="E41" s="169">
        <f t="shared" si="9"/>
        <v>0.14259271119257511</v>
      </c>
      <c r="F41" s="170">
        <f t="shared" si="13"/>
        <v>8173.8952201354987</v>
      </c>
      <c r="G41" s="171">
        <f t="shared" si="7"/>
        <v>6.297849144432284E-2</v>
      </c>
      <c r="H41" s="92">
        <v>111755.3</v>
      </c>
      <c r="I41" s="179">
        <v>0.92685899263716798</v>
      </c>
      <c r="J41" s="171">
        <v>0.60570716705655525</v>
      </c>
      <c r="L41" s="167" t="s">
        <v>463</v>
      </c>
      <c r="M41" s="167"/>
      <c r="N41" s="167"/>
      <c r="O41" s="167"/>
      <c r="P41" s="182">
        <v>0.91</v>
      </c>
      <c r="Q41" s="184">
        <v>1397.8</v>
      </c>
      <c r="R41" s="184">
        <v>14372</v>
      </c>
      <c r="S41" s="184">
        <f t="shared" si="2"/>
        <v>15769.8</v>
      </c>
      <c r="T41" s="183">
        <f t="shared" si="3"/>
        <v>13345.981740000001</v>
      </c>
      <c r="U41" s="188">
        <f t="shared" si="4"/>
        <v>2.2416800350998974E-2</v>
      </c>
      <c r="V41" s="183">
        <f t="shared" si="5"/>
        <v>1004.5362599999994</v>
      </c>
      <c r="W41" s="188">
        <f t="shared" si="6"/>
        <v>9.2052755943695247E-3</v>
      </c>
      <c r="X41" s="162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7" t="s">
        <v>445</v>
      </c>
      <c r="C42" s="182">
        <v>0.92</v>
      </c>
      <c r="D42" s="92">
        <f t="shared" si="12"/>
        <v>3649.7235506071347</v>
      </c>
      <c r="E42" s="169">
        <f t="shared" si="9"/>
        <v>5.1359503625540851E-3</v>
      </c>
      <c r="F42" s="170">
        <f t="shared" si="13"/>
        <v>288.0097827262025</v>
      </c>
      <c r="G42" s="171">
        <f t="shared" si="7"/>
        <v>2.2683796616346378E-3</v>
      </c>
      <c r="H42" s="92">
        <v>3937.7333333333372</v>
      </c>
      <c r="I42" s="179">
        <v>0.92685899263716798</v>
      </c>
      <c r="J42" s="171">
        <v>1</v>
      </c>
      <c r="L42" s="167" t="s">
        <v>469</v>
      </c>
      <c r="M42" s="167"/>
      <c r="N42" s="167"/>
      <c r="O42" s="167"/>
      <c r="P42" s="182">
        <v>0.9</v>
      </c>
      <c r="Q42" s="184">
        <v>3732.3</v>
      </c>
      <c r="R42" s="184">
        <v>1118</v>
      </c>
      <c r="S42" s="184">
        <f t="shared" si="2"/>
        <v>4850.3</v>
      </c>
      <c r="T42" s="183">
        <f t="shared" si="3"/>
        <v>4059.7011000000007</v>
      </c>
      <c r="U42" s="188">
        <f t="shared" si="4"/>
        <v>6.8189445195083057E-3</v>
      </c>
      <c r="V42" s="183">
        <f t="shared" si="5"/>
        <v>305.56889999999981</v>
      </c>
      <c r="W42" s="188">
        <f t="shared" si="6"/>
        <v>2.8001437574471846E-3</v>
      </c>
      <c r="X42" s="162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7" t="s">
        <v>449</v>
      </c>
      <c r="C43" s="182">
        <v>0.9</v>
      </c>
      <c r="D43" s="92">
        <f t="shared" si="12"/>
        <v>2313.4678513921531</v>
      </c>
      <c r="E43" s="169">
        <f t="shared" si="9"/>
        <v>3.1847767839020039E-3</v>
      </c>
      <c r="F43" s="170">
        <f t="shared" si="13"/>
        <v>182.56214860784985</v>
      </c>
      <c r="G43" s="171">
        <f t="shared" si="7"/>
        <v>1.4066107289745849E-3</v>
      </c>
      <c r="H43" s="92">
        <f>2773.36666666667*0.9</f>
        <v>2496.0300000000029</v>
      </c>
      <c r="I43" s="179">
        <v>0.92685899263716798</v>
      </c>
      <c r="J43" s="171">
        <v>0.40587012896078656</v>
      </c>
      <c r="L43" s="167" t="s">
        <v>408</v>
      </c>
      <c r="M43" s="167"/>
      <c r="N43" s="167"/>
      <c r="O43" s="167"/>
      <c r="P43" s="182">
        <v>0.87</v>
      </c>
      <c r="Q43" s="184">
        <v>54666.9</v>
      </c>
      <c r="R43" s="184">
        <v>0</v>
      </c>
      <c r="S43" s="184">
        <f t="shared" si="2"/>
        <v>54666.9</v>
      </c>
      <c r="T43" s="183">
        <f t="shared" si="3"/>
        <v>44230.988790000003</v>
      </c>
      <c r="U43" s="188">
        <f t="shared" si="4"/>
        <v>7.4293316471501752E-2</v>
      </c>
      <c r="V43" s="183">
        <f t="shared" si="5"/>
        <v>3329.2142099999978</v>
      </c>
      <c r="W43" s="188">
        <f t="shared" si="6"/>
        <v>3.0507942357144199E-2</v>
      </c>
      <c r="X43" s="162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7" t="s">
        <v>450</v>
      </c>
      <c r="C44" s="182">
        <v>0.9</v>
      </c>
      <c r="D44" s="92">
        <f t="shared" si="12"/>
        <v>257.05198348801702</v>
      </c>
      <c r="E44" s="169">
        <f t="shared" si="9"/>
        <v>3.5386408710022266E-4</v>
      </c>
      <c r="F44" s="170">
        <f t="shared" si="13"/>
        <v>20.284683178649971</v>
      </c>
      <c r="G44" s="171">
        <f t="shared" si="7"/>
        <v>1.5629008099717602E-4</v>
      </c>
      <c r="H44" s="92">
        <f>2773.36666666667*0.1</f>
        <v>277.33666666666699</v>
      </c>
      <c r="I44" s="179">
        <v>0.92685899263716798</v>
      </c>
      <c r="J44" s="171">
        <v>0.40587012896078656</v>
      </c>
      <c r="L44" s="167" t="s">
        <v>552</v>
      </c>
      <c r="M44" s="167"/>
      <c r="N44" s="167"/>
      <c r="O44" s="167"/>
      <c r="P44" s="182">
        <v>0.878</v>
      </c>
      <c r="Q44" s="184">
        <v>142</v>
      </c>
      <c r="R44" s="184">
        <v>0</v>
      </c>
      <c r="S44" s="184">
        <f t="shared" si="2"/>
        <v>142</v>
      </c>
      <c r="T44" s="183">
        <f t="shared" si="3"/>
        <v>115.94868</v>
      </c>
      <c r="U44" s="188">
        <f t="shared" si="4"/>
        <v>1.9475513013266472E-4</v>
      </c>
      <c r="V44" s="183">
        <f t="shared" si="5"/>
        <v>8.7273199999999935</v>
      </c>
      <c r="W44" s="188">
        <f t="shared" si="6"/>
        <v>7.9974600220257885E-5</v>
      </c>
      <c r="X44" s="162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7" t="s">
        <v>446</v>
      </c>
      <c r="C45" s="182">
        <v>1</v>
      </c>
      <c r="D45" s="92">
        <f t="shared" si="12"/>
        <v>19145.662781409661</v>
      </c>
      <c r="E45" s="169">
        <f t="shared" si="9"/>
        <v>2.9284878447717939E-2</v>
      </c>
      <c r="F45" s="170">
        <f t="shared" si="13"/>
        <v>1510.837218590339</v>
      </c>
      <c r="G45" s="171">
        <f t="shared" si="7"/>
        <v>1.2934163684403482E-2</v>
      </c>
      <c r="H45" s="92">
        <v>20656.5</v>
      </c>
      <c r="I45" s="179">
        <v>0.92685899263716798</v>
      </c>
      <c r="J45" s="171">
        <v>0.2671631311304497</v>
      </c>
      <c r="L45" s="167" t="s">
        <v>553</v>
      </c>
      <c r="M45" s="167"/>
      <c r="N45" s="167"/>
      <c r="O45" s="167"/>
      <c r="P45" s="182">
        <v>0.87599999999999989</v>
      </c>
      <c r="Q45" s="184">
        <v>6539</v>
      </c>
      <c r="R45" s="184">
        <v>0</v>
      </c>
      <c r="S45" s="184">
        <f t="shared" si="2"/>
        <v>6539</v>
      </c>
      <c r="T45" s="183">
        <f t="shared" si="3"/>
        <v>5327.1925199999996</v>
      </c>
      <c r="U45" s="188">
        <f t="shared" si="4"/>
        <v>8.9479075783731061E-3</v>
      </c>
      <c r="V45" s="183">
        <f t="shared" si="5"/>
        <v>400.97147999999964</v>
      </c>
      <c r="W45" s="188">
        <f t="shared" si="6"/>
        <v>3.6743850131225994E-3</v>
      </c>
      <c r="X45" s="162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7" t="s">
        <v>447</v>
      </c>
      <c r="C46" s="182">
        <v>1</v>
      </c>
      <c r="D46" s="92">
        <f t="shared" si="12"/>
        <v>35644.185384547847</v>
      </c>
      <c r="E46" s="169">
        <f t="shared" si="9"/>
        <v>5.4520736538197417E-2</v>
      </c>
      <c r="F46" s="170">
        <f t="shared" si="13"/>
        <v>2812.7812821188563</v>
      </c>
      <c r="G46" s="171">
        <f t="shared" si="7"/>
        <v>2.4080008794922475E-2</v>
      </c>
      <c r="H46" s="92">
        <v>38456.966666666704</v>
      </c>
      <c r="I46" s="179">
        <v>0.92685899263716798</v>
      </c>
      <c r="J46" s="171">
        <v>0.14385536511797675</v>
      </c>
      <c r="L46" s="167" t="s">
        <v>554</v>
      </c>
      <c r="M46" s="167"/>
      <c r="N46" s="167"/>
      <c r="O46" s="167"/>
      <c r="P46" s="182">
        <v>0.87599999999999989</v>
      </c>
      <c r="Q46" s="184">
        <v>738</v>
      </c>
      <c r="R46" s="184">
        <v>0</v>
      </c>
      <c r="S46" s="184">
        <f t="shared" si="2"/>
        <v>738</v>
      </c>
      <c r="T46" s="183">
        <f t="shared" si="3"/>
        <v>601.23383999999999</v>
      </c>
      <c r="U46" s="188">
        <f t="shared" si="4"/>
        <v>1.0098724258815342E-3</v>
      </c>
      <c r="V46" s="183">
        <f t="shared" si="5"/>
        <v>45.254159999999963</v>
      </c>
      <c r="W46" s="188">
        <f t="shared" si="6"/>
        <v>4.146958464114511E-4</v>
      </c>
      <c r="X46" s="162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7" t="s">
        <v>456</v>
      </c>
      <c r="C47" s="182">
        <v>0.9</v>
      </c>
      <c r="D47" s="92">
        <f t="shared" si="12"/>
        <v>38744.652296118176</v>
      </c>
      <c r="E47" s="169">
        <f t="shared" si="9"/>
        <v>5.3336841944347575E-2</v>
      </c>
      <c r="F47" s="170">
        <f t="shared" si="13"/>
        <v>3057.4477038818441</v>
      </c>
      <c r="G47" s="171">
        <f t="shared" si="7"/>
        <v>2.3557121650648622E-2</v>
      </c>
      <c r="H47" s="92">
        <f>69670.1666666667*0.6</f>
        <v>41802.10000000002</v>
      </c>
      <c r="I47" s="179">
        <v>0.92685899263716798</v>
      </c>
      <c r="J47" s="171">
        <v>0.46986991038291381</v>
      </c>
      <c r="L47" s="167" t="s">
        <v>555</v>
      </c>
      <c r="M47" s="167"/>
      <c r="N47" s="167"/>
      <c r="O47" s="167"/>
      <c r="P47" s="182">
        <v>0.87599999999999989</v>
      </c>
      <c r="Q47" s="184">
        <v>2276</v>
      </c>
      <c r="R47" s="184">
        <v>0</v>
      </c>
      <c r="S47" s="184">
        <f t="shared" si="2"/>
        <v>2276</v>
      </c>
      <c r="T47" s="183">
        <f>S47*X47*P47</f>
        <v>1854.2116800000001</v>
      </c>
      <c r="U47" s="188">
        <f t="shared" si="4"/>
        <v>3.1144575085452196E-3</v>
      </c>
      <c r="V47" s="183">
        <f t="shared" si="5"/>
        <v>139.56431999999987</v>
      </c>
      <c r="W47" s="188">
        <f t="shared" si="6"/>
        <v>1.2789264856808435E-3</v>
      </c>
      <c r="X47" s="162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7" t="s">
        <v>455</v>
      </c>
      <c r="C48" s="182">
        <v>0.75</v>
      </c>
      <c r="D48" s="92">
        <f t="shared" si="12"/>
        <v>25829.768197412119</v>
      </c>
      <c r="E48" s="169">
        <f t="shared" si="9"/>
        <v>2.963157885797087E-2</v>
      </c>
      <c r="F48" s="170">
        <f t="shared" si="13"/>
        <v>2038.2984692545615</v>
      </c>
      <c r="G48" s="171">
        <f t="shared" si="7"/>
        <v>1.3087289805915893E-2</v>
      </c>
      <c r="H48" s="92">
        <f>69670.1666666667*0.4</f>
        <v>27868.06666666668</v>
      </c>
      <c r="I48" s="179">
        <v>0.92685899263716798</v>
      </c>
      <c r="J48" s="171">
        <v>0.46986991038291381</v>
      </c>
      <c r="L48" s="167" t="s">
        <v>404</v>
      </c>
      <c r="M48" s="167"/>
      <c r="N48" s="167"/>
      <c r="O48" s="167"/>
      <c r="P48" s="182">
        <v>0.9</v>
      </c>
      <c r="Q48" s="184">
        <v>56803</v>
      </c>
      <c r="R48" s="184">
        <v>0</v>
      </c>
      <c r="S48" s="184">
        <f t="shared" si="2"/>
        <v>56803</v>
      </c>
      <c r="T48" s="183">
        <f t="shared" si="3"/>
        <v>47544.111000000004</v>
      </c>
      <c r="U48" s="188">
        <f t="shared" si="4"/>
        <v>7.9858257332872246E-2</v>
      </c>
      <c r="V48" s="183">
        <f t="shared" si="5"/>
        <v>3578.5889999999977</v>
      </c>
      <c r="W48" s="188">
        <f t="shared" si="6"/>
        <v>3.2793139775740145E-2</v>
      </c>
      <c r="X48" s="162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3" t="s">
        <v>448</v>
      </c>
      <c r="C49" s="173"/>
      <c r="D49" s="174">
        <v>692.67262049750991</v>
      </c>
      <c r="E49" s="175"/>
      <c r="F49" s="176">
        <v>54.660712835823112</v>
      </c>
      <c r="G49" s="177"/>
      <c r="H49" s="92"/>
      <c r="I49" s="180">
        <v>0.92685899263716798</v>
      </c>
      <c r="J49" s="177">
        <v>0.15455308043620117</v>
      </c>
      <c r="L49" s="167" t="s">
        <v>556</v>
      </c>
      <c r="M49" s="167"/>
      <c r="N49" s="167"/>
      <c r="O49" s="167"/>
      <c r="P49" s="182">
        <v>0.9</v>
      </c>
      <c r="Q49" s="184"/>
      <c r="R49" s="184"/>
      <c r="S49" s="184">
        <f t="shared" si="2"/>
        <v>0</v>
      </c>
      <c r="T49" s="183">
        <f t="shared" si="3"/>
        <v>0</v>
      </c>
      <c r="U49" s="188">
        <f t="shared" si="4"/>
        <v>0</v>
      </c>
      <c r="V49" s="183">
        <f t="shared" si="5"/>
        <v>0</v>
      </c>
      <c r="W49" s="188">
        <f t="shared" si="6"/>
        <v>0</v>
      </c>
      <c r="X49" s="162">
        <f t="shared" si="11"/>
        <v>0.93</v>
      </c>
      <c r="AA49" s="1"/>
      <c r="AB49" s="12"/>
      <c r="AC49" s="12"/>
      <c r="AF49" s="32"/>
    </row>
    <row r="50" spans="2:44" x14ac:dyDescent="0.25">
      <c r="L50" s="167" t="s">
        <v>557</v>
      </c>
      <c r="M50" s="167"/>
      <c r="N50" s="167"/>
      <c r="O50" s="167"/>
      <c r="P50" s="182">
        <v>0.88500000000000001</v>
      </c>
      <c r="Q50" s="184">
        <v>198</v>
      </c>
      <c r="R50" s="184">
        <v>1547.5</v>
      </c>
      <c r="S50" s="184">
        <f t="shared" si="2"/>
        <v>1745.5</v>
      </c>
      <c r="T50" s="183">
        <f t="shared" si="3"/>
        <v>1436.633775</v>
      </c>
      <c r="U50" s="188">
        <f t="shared" si="4"/>
        <v>2.4130658305304242E-3</v>
      </c>
      <c r="V50" s="183">
        <f t="shared" si="5"/>
        <v>108.13372499999993</v>
      </c>
      <c r="W50" s="188">
        <f t="shared" si="6"/>
        <v>9.9090573362754049E-4</v>
      </c>
      <c r="X50" s="162">
        <f t="shared" si="11"/>
        <v>0.93</v>
      </c>
      <c r="AB50" s="12"/>
      <c r="AC50" s="12"/>
    </row>
    <row r="51" spans="2:44" x14ac:dyDescent="0.25">
      <c r="L51" s="167" t="s">
        <v>472</v>
      </c>
      <c r="M51" s="167"/>
      <c r="N51" s="167"/>
      <c r="O51" s="167"/>
      <c r="P51" s="182">
        <v>0.755</v>
      </c>
      <c r="Q51" s="184">
        <v>22689.449999999997</v>
      </c>
      <c r="R51" s="184">
        <v>0</v>
      </c>
      <c r="S51" s="184">
        <f t="shared" si="2"/>
        <v>22689.449999999997</v>
      </c>
      <c r="T51" s="183">
        <f t="shared" si="3"/>
        <v>15931.397317500001</v>
      </c>
      <c r="U51" s="188">
        <f t="shared" si="4"/>
        <v>2.6759436655638499E-2</v>
      </c>
      <c r="V51" s="183">
        <f t="shared" si="5"/>
        <v>1199.137432499999</v>
      </c>
      <c r="W51" s="188">
        <f t="shared" si="6"/>
        <v>1.098854365066641E-2</v>
      </c>
      <c r="X51" s="162">
        <f t="shared" si="11"/>
        <v>0.93</v>
      </c>
    </row>
    <row r="52" spans="2:44" x14ac:dyDescent="0.25">
      <c r="L52" s="167" t="s">
        <v>407</v>
      </c>
      <c r="M52" s="167"/>
      <c r="N52" s="167"/>
      <c r="O52" s="167"/>
      <c r="P52" s="182">
        <v>0.89500000000000002</v>
      </c>
      <c r="Q52" s="184">
        <v>9769.35</v>
      </c>
      <c r="R52" s="184">
        <v>27163.3</v>
      </c>
      <c r="S52" s="184">
        <f t="shared" si="2"/>
        <v>36932.65</v>
      </c>
      <c r="T52" s="183">
        <f t="shared" si="3"/>
        <v>30740.891227500004</v>
      </c>
      <c r="U52" s="188">
        <f t="shared" si="4"/>
        <v>5.1634449580675305E-2</v>
      </c>
      <c r="V52" s="183">
        <f t="shared" si="5"/>
        <v>2313.8305224999986</v>
      </c>
      <c r="W52" s="188">
        <f t="shared" si="6"/>
        <v>2.1203264119382347E-2</v>
      </c>
      <c r="X52" s="162">
        <f t="shared" si="11"/>
        <v>0.93</v>
      </c>
    </row>
    <row r="53" spans="2:44" x14ac:dyDescent="0.25">
      <c r="L53" s="167" t="s">
        <v>558</v>
      </c>
      <c r="M53" s="167"/>
      <c r="N53" s="167"/>
      <c r="O53" s="167"/>
      <c r="P53" s="182">
        <v>0.97</v>
      </c>
      <c r="Q53" s="184">
        <v>0</v>
      </c>
      <c r="R53" s="184">
        <v>0</v>
      </c>
      <c r="S53" s="184">
        <f t="shared" si="2"/>
        <v>0</v>
      </c>
      <c r="T53" s="183">
        <f t="shared" si="3"/>
        <v>0</v>
      </c>
      <c r="U53" s="188">
        <f t="shared" si="4"/>
        <v>0</v>
      </c>
      <c r="V53" s="183">
        <f t="shared" si="5"/>
        <v>0</v>
      </c>
      <c r="W53" s="188">
        <f t="shared" si="6"/>
        <v>0</v>
      </c>
      <c r="X53" s="162">
        <f t="shared" si="11"/>
        <v>0.93</v>
      </c>
    </row>
    <row r="54" spans="2:44" x14ac:dyDescent="0.25">
      <c r="L54" s="167" t="s">
        <v>470</v>
      </c>
      <c r="M54" s="167"/>
      <c r="N54" s="167"/>
      <c r="O54" s="167"/>
      <c r="P54" s="182">
        <v>0.91</v>
      </c>
      <c r="Q54" s="184">
        <v>135.5</v>
      </c>
      <c r="R54" s="184">
        <v>30.8</v>
      </c>
      <c r="S54" s="184">
        <f t="shared" si="2"/>
        <v>166.3</v>
      </c>
      <c r="T54" s="183">
        <f t="shared" si="3"/>
        <v>140.73969000000002</v>
      </c>
      <c r="U54" s="188">
        <f t="shared" si="4"/>
        <v>2.3639576268380891E-4</v>
      </c>
      <c r="V54" s="183">
        <f t="shared" si="5"/>
        <v>10.593309999999994</v>
      </c>
      <c r="W54" s="188">
        <f t="shared" si="6"/>
        <v>9.7073985170620562E-5</v>
      </c>
      <c r="X54" s="162">
        <f t="shared" si="11"/>
        <v>0.93</v>
      </c>
      <c r="Z54" s="258"/>
      <c r="AA54" s="259"/>
      <c r="AB54" s="260"/>
      <c r="AC54" s="261"/>
    </row>
    <row r="55" spans="2:44" x14ac:dyDescent="0.25">
      <c r="L55" s="167" t="s">
        <v>559</v>
      </c>
      <c r="M55" s="167"/>
      <c r="N55" s="167"/>
      <c r="O55" s="167"/>
      <c r="P55" s="182">
        <v>0.92</v>
      </c>
      <c r="Q55" s="184">
        <v>0</v>
      </c>
      <c r="R55" s="184">
        <v>0</v>
      </c>
      <c r="S55" s="184">
        <f t="shared" si="2"/>
        <v>0</v>
      </c>
      <c r="T55" s="183">
        <f t="shared" si="3"/>
        <v>0</v>
      </c>
      <c r="U55" s="188">
        <f t="shared" si="4"/>
        <v>0</v>
      </c>
      <c r="V55" s="183">
        <f t="shared" si="5"/>
        <v>0</v>
      </c>
      <c r="W55" s="188">
        <f t="shared" si="6"/>
        <v>0</v>
      </c>
      <c r="X55" s="162">
        <f t="shared" si="11"/>
        <v>0.93</v>
      </c>
    </row>
    <row r="56" spans="2:44" x14ac:dyDescent="0.25">
      <c r="L56" s="173" t="s">
        <v>419</v>
      </c>
      <c r="M56" s="173"/>
      <c r="N56" s="173"/>
      <c r="O56" s="173"/>
      <c r="P56" s="246">
        <v>1</v>
      </c>
      <c r="Q56" s="247">
        <v>16268</v>
      </c>
      <c r="R56" s="247">
        <v>1347.3</v>
      </c>
      <c r="S56" s="247">
        <f t="shared" si="2"/>
        <v>17615.3</v>
      </c>
      <c r="T56" s="248">
        <f t="shared" si="3"/>
        <v>16382.228999999999</v>
      </c>
      <c r="U56" s="249"/>
      <c r="V56" s="248">
        <f t="shared" si="5"/>
        <v>1233.070999999999</v>
      </c>
      <c r="W56" s="249"/>
      <c r="X56" s="250">
        <f t="shared" si="11"/>
        <v>0.93</v>
      </c>
      <c r="Z56" s="255" t="s">
        <v>587</v>
      </c>
      <c r="AA56" s="255"/>
      <c r="AB56" s="255"/>
      <c r="AC56" s="254"/>
      <c r="AE56" t="s">
        <v>588</v>
      </c>
      <c r="AQ56" s="12"/>
      <c r="AR56" s="26"/>
    </row>
    <row r="57" spans="2:44" x14ac:dyDescent="0.25">
      <c r="Z57" s="255" t="s">
        <v>589</v>
      </c>
      <c r="AA57" s="255"/>
      <c r="AB57" s="255"/>
      <c r="AC57" s="254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1" t="s">
        <v>564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54" t="s">
        <v>583</v>
      </c>
      <c r="AA58" s="255"/>
      <c r="AB58" s="255"/>
      <c r="AC58" s="254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1" t="s">
        <v>565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56" t="s">
        <v>584</v>
      </c>
      <c r="X60" s="257">
        <v>1</v>
      </c>
      <c r="Y60" s="257">
        <v>1</v>
      </c>
      <c r="Z60" s="257">
        <v>1</v>
      </c>
      <c r="AA60" s="257">
        <v>1</v>
      </c>
      <c r="AB60" s="257">
        <v>1</v>
      </c>
      <c r="AC60" s="257">
        <v>1</v>
      </c>
      <c r="AD60" s="257">
        <v>0.65</v>
      </c>
      <c r="AE60" s="257">
        <v>1</v>
      </c>
      <c r="AF60" s="257">
        <v>1</v>
      </c>
      <c r="AG60" s="257">
        <v>1</v>
      </c>
      <c r="AH60" s="257">
        <v>0.65</v>
      </c>
      <c r="AI60" s="257">
        <v>1</v>
      </c>
    </row>
    <row r="61" spans="2:44" x14ac:dyDescent="0.25">
      <c r="T61" s="2"/>
      <c r="W61" s="264" t="s">
        <v>585</v>
      </c>
      <c r="X61" s="265">
        <f>1+(D71*(1-X60))/SUM(D66:D67)</f>
        <v>1</v>
      </c>
      <c r="Y61" s="265">
        <f t="shared" ref="Y61:AI61" si="14">1+(E71*(1-Y60))/SUM(E66:E67)</f>
        <v>1</v>
      </c>
      <c r="Z61" s="265">
        <f t="shared" si="14"/>
        <v>1</v>
      </c>
      <c r="AA61" s="265">
        <f t="shared" si="14"/>
        <v>1</v>
      </c>
      <c r="AB61" s="265">
        <f t="shared" si="14"/>
        <v>1</v>
      </c>
      <c r="AC61" s="265">
        <f t="shared" si="14"/>
        <v>1</v>
      </c>
      <c r="AD61" s="265">
        <f t="shared" si="14"/>
        <v>1.0743640187232888</v>
      </c>
      <c r="AE61" s="265">
        <f t="shared" si="14"/>
        <v>1</v>
      </c>
      <c r="AF61" s="265">
        <f t="shared" si="14"/>
        <v>1</v>
      </c>
      <c r="AG61" s="265">
        <f t="shared" si="14"/>
        <v>1</v>
      </c>
      <c r="AH61" s="265">
        <f t="shared" si="14"/>
        <v>1.1155987682962838</v>
      </c>
      <c r="AI61" s="265">
        <f t="shared" si="14"/>
        <v>1</v>
      </c>
    </row>
    <row r="62" spans="2:44" x14ac:dyDescent="0.25">
      <c r="B62" s="6" t="s">
        <v>473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09" t="str">
        <f>D62&amp;D63&amp;D64</f>
        <v>beefcows</v>
      </c>
      <c r="Y62" s="109" t="str">
        <f>E62&amp;E63&amp;E64</f>
        <v>beefcalves</v>
      </c>
      <c r="Z62" s="109" t="str">
        <f>F62&amp;F63</f>
        <v>beef</v>
      </c>
      <c r="AA62" s="109" t="str">
        <f>G62&amp;G63</f>
        <v>beef</v>
      </c>
      <c r="AB62" s="109" t="str">
        <f>H62&amp;H63&amp;H64</f>
        <v>beefbulls</v>
      </c>
      <c r="AC62" s="109" t="str">
        <f>I62&amp;I63&amp;I64</f>
        <v>beefmaize basedbulls</v>
      </c>
      <c r="AD62" s="109" t="str">
        <f>J62&amp;J63&amp;J64</f>
        <v>dairycows</v>
      </c>
      <c r="AE62" s="109" t="str">
        <f>K62&amp;K63&amp;K64</f>
        <v>dairycalves</v>
      </c>
      <c r="AF62" s="109" t="str">
        <f>L62&amp;L63</f>
        <v>dairy</v>
      </c>
      <c r="AG62" s="109" t="str">
        <f>M62&amp;M63&amp;M64</f>
        <v>dairybulls</v>
      </c>
      <c r="AH62" s="109" t="str">
        <f>N62&amp;N63&amp;N64</f>
        <v>dairymaize basedcows</v>
      </c>
      <c r="AI62" s="109" t="str">
        <f>O62&amp;O63&amp;O64</f>
        <v>dairymaize basedbulls</v>
      </c>
    </row>
    <row r="63" spans="2:44" x14ac:dyDescent="0.25">
      <c r="B63" s="6" t="s">
        <v>474</v>
      </c>
      <c r="C63" s="6"/>
      <c r="I63" t="s">
        <v>405</v>
      </c>
      <c r="N63" t="s">
        <v>405</v>
      </c>
      <c r="O63" t="s">
        <v>405</v>
      </c>
      <c r="Q63" s="4"/>
      <c r="T63" s="2"/>
      <c r="U63" s="109" t="str">
        <f>B66</f>
        <v>ley silage, 1st cut</v>
      </c>
      <c r="X63" s="13">
        <f>X61*D66/D$116*100</f>
        <v>0</v>
      </c>
      <c r="Y63" s="13">
        <f>Y61*E66/E$116*100</f>
        <v>55.38698659192309</v>
      </c>
      <c r="Z63" s="13">
        <f>Z61*F66/F$116*100</f>
        <v>0</v>
      </c>
      <c r="AA63" s="13">
        <f t="shared" ref="AA63:AI63" si="15">AA61*G66/G$116*100</f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41.480852339300604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22.93829412577864</v>
      </c>
      <c r="AI63" s="13">
        <f t="shared" si="15"/>
        <v>56.668911580722877</v>
      </c>
    </row>
    <row r="64" spans="2:44" x14ac:dyDescent="0.25">
      <c r="B64" s="6" t="s">
        <v>475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09" t="str">
        <f t="shared" ref="U64:U68" si="16">B67</f>
        <v>ley silage, regrowth</v>
      </c>
      <c r="X64" s="13">
        <f t="shared" ref="X64:AI64" si="17">X61*D67/D$116*100</f>
        <v>19.638470390756044</v>
      </c>
      <c r="Y64" s="13">
        <f t="shared" si="17"/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9.9247167513786927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10.638819198282629</v>
      </c>
      <c r="AI64" s="13">
        <f t="shared" si="17"/>
        <v>0</v>
      </c>
    </row>
    <row r="65" spans="1:35" x14ac:dyDescent="0.25">
      <c r="B65" s="6" t="s">
        <v>457</v>
      </c>
      <c r="C65" s="6"/>
      <c r="T65" s="2"/>
      <c r="U65" s="109" t="str">
        <f t="shared" si="16"/>
        <v>other silage</v>
      </c>
      <c r="X65" s="13">
        <f t="shared" ref="X65:X67" si="18">D68/D$116*100</f>
        <v>20.321711421281208</v>
      </c>
      <c r="Y65" s="13">
        <f t="shared" ref="Y65:AI65" si="19">E68/E$116*100</f>
        <v>0</v>
      </c>
      <c r="Z65" s="13">
        <f t="shared" si="19"/>
        <v>0</v>
      </c>
      <c r="AA65" s="13">
        <f t="shared" si="19"/>
        <v>0</v>
      </c>
      <c r="AB65" s="13">
        <f t="shared" si="19"/>
        <v>0</v>
      </c>
      <c r="AC65" s="13">
        <f t="shared" si="19"/>
        <v>0</v>
      </c>
      <c r="AD65" s="13">
        <f t="shared" si="19"/>
        <v>0</v>
      </c>
      <c r="AE65" s="13">
        <f t="shared" si="19"/>
        <v>0</v>
      </c>
      <c r="AF65" s="13">
        <f t="shared" si="19"/>
        <v>0</v>
      </c>
      <c r="AG65" s="13">
        <f t="shared" si="19"/>
        <v>0</v>
      </c>
      <c r="AH65" s="13">
        <f t="shared" si="19"/>
        <v>0</v>
      </c>
      <c r="AI65" s="13">
        <f t="shared" si="19"/>
        <v>0</v>
      </c>
    </row>
    <row r="66" spans="1:35" x14ac:dyDescent="0.25">
      <c r="A66" s="154"/>
      <c r="B66" t="s">
        <v>409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T66" s="72"/>
      <c r="U66" s="109" t="str">
        <f t="shared" si="16"/>
        <v>maize silage</v>
      </c>
      <c r="X66" s="13">
        <f t="shared" si="18"/>
        <v>0</v>
      </c>
      <c r="Y66" s="13">
        <f t="shared" ref="Y66:AI66" si="20">E69/E$116*100</f>
        <v>0</v>
      </c>
      <c r="Z66" s="13">
        <f t="shared" si="20"/>
        <v>0</v>
      </c>
      <c r="AA66" s="13">
        <f t="shared" si="20"/>
        <v>0</v>
      </c>
      <c r="AB66" s="13">
        <f t="shared" si="20"/>
        <v>0</v>
      </c>
      <c r="AC66" s="13">
        <f t="shared" si="20"/>
        <v>13.09114711176567</v>
      </c>
      <c r="AD66" s="13">
        <f t="shared" si="20"/>
        <v>0</v>
      </c>
      <c r="AE66" s="13">
        <f t="shared" si="20"/>
        <v>0</v>
      </c>
      <c r="AF66" s="13">
        <f t="shared" si="20"/>
        <v>0</v>
      </c>
      <c r="AG66" s="13">
        <f t="shared" si="20"/>
        <v>0</v>
      </c>
      <c r="AH66" s="13">
        <f t="shared" si="20"/>
        <v>15.876048855936714</v>
      </c>
      <c r="AI66" s="13">
        <f t="shared" si="20"/>
        <v>13.226790925693349</v>
      </c>
    </row>
    <row r="67" spans="1:35" x14ac:dyDescent="0.25">
      <c r="B67" t="s">
        <v>410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U67" s="109" t="str">
        <f t="shared" si="16"/>
        <v>straw</v>
      </c>
      <c r="X67" s="13">
        <f t="shared" si="18"/>
        <v>1.1297448457337229</v>
      </c>
      <c r="Y67" s="13">
        <f t="shared" ref="Y67:AI67" si="21">E70/E$116*100</f>
        <v>0</v>
      </c>
      <c r="Z67" s="13">
        <f t="shared" si="21"/>
        <v>0</v>
      </c>
      <c r="AA67" s="13">
        <f t="shared" si="21"/>
        <v>0</v>
      </c>
      <c r="AB67" s="13">
        <f t="shared" si="21"/>
        <v>0</v>
      </c>
      <c r="AC67" s="13">
        <f t="shared" si="21"/>
        <v>0</v>
      </c>
      <c r="AD67" s="13">
        <f t="shared" si="21"/>
        <v>3.1679738484393072</v>
      </c>
      <c r="AE67" s="13">
        <f t="shared" si="21"/>
        <v>0</v>
      </c>
      <c r="AF67" s="13">
        <f t="shared" si="21"/>
        <v>0</v>
      </c>
      <c r="AG67" s="13">
        <f t="shared" si="21"/>
        <v>0</v>
      </c>
      <c r="AH67" s="13">
        <f t="shared" si="21"/>
        <v>3.0977656304266756</v>
      </c>
      <c r="AI67" s="13">
        <f t="shared" si="21"/>
        <v>0</v>
      </c>
    </row>
    <row r="68" spans="1:35" x14ac:dyDescent="0.25">
      <c r="B68" t="s">
        <v>411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U68" s="109" t="str">
        <f t="shared" si="16"/>
        <v>grazing</v>
      </c>
      <c r="X68" s="13">
        <f>X60*D71/D$116*100</f>
        <v>58.050981669759572</v>
      </c>
      <c r="Y68" s="13">
        <f t="shared" ref="Y68:AI68" si="22">Y60*E71/E$116*100</f>
        <v>21.161076246926353</v>
      </c>
      <c r="Z68" s="13">
        <f t="shared" si="22"/>
        <v>30.425854259446911</v>
      </c>
      <c r="AA68" s="13">
        <f t="shared" si="22"/>
        <v>30.282083494235561</v>
      </c>
      <c r="AB68" s="13">
        <f t="shared" si="22"/>
        <v>0</v>
      </c>
      <c r="AC68" s="13">
        <f t="shared" si="22"/>
        <v>0</v>
      </c>
      <c r="AD68" s="13">
        <f t="shared" si="22"/>
        <v>6.6079520088655128</v>
      </c>
      <c r="AE68" s="13">
        <f t="shared" si="22"/>
        <v>13.62395305250616</v>
      </c>
      <c r="AF68" s="13">
        <f t="shared" si="22"/>
        <v>38.614788214420173</v>
      </c>
      <c r="AG68" s="13">
        <f t="shared" si="22"/>
        <v>0</v>
      </c>
      <c r="AH68" s="13">
        <f t="shared" si="22"/>
        <v>6.4615074492035101</v>
      </c>
      <c r="AI68" s="13">
        <f t="shared" si="22"/>
        <v>0</v>
      </c>
    </row>
    <row r="69" spans="1:35" x14ac:dyDescent="0.25">
      <c r="B69" t="s">
        <v>406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U69" s="109" t="str">
        <f t="shared" ref="U69:U100" si="23">B82</f>
        <v>wheat</v>
      </c>
      <c r="X69" s="13">
        <f t="shared" ref="X69:AI69" si="24">(D73+D82)/D$116*100</f>
        <v>0</v>
      </c>
      <c r="Y69" s="13">
        <f t="shared" si="24"/>
        <v>5.3749925447045763</v>
      </c>
      <c r="Z69" s="13">
        <f t="shared" si="24"/>
        <v>0</v>
      </c>
      <c r="AA69" s="13">
        <f t="shared" si="24"/>
        <v>0</v>
      </c>
      <c r="AB69" s="13">
        <f t="shared" si="24"/>
        <v>8.7950802360888023</v>
      </c>
      <c r="AC69" s="13">
        <f t="shared" si="24"/>
        <v>6.338193642704308</v>
      </c>
      <c r="AD69" s="13">
        <f t="shared" si="24"/>
        <v>6.1497391870569844</v>
      </c>
      <c r="AE69" s="13">
        <f t="shared" si="24"/>
        <v>3.3926452557375897</v>
      </c>
      <c r="AF69" s="13">
        <f t="shared" si="24"/>
        <v>1.3702995315856561</v>
      </c>
      <c r="AG69" s="13">
        <f t="shared" si="24"/>
        <v>7.597272449205918</v>
      </c>
      <c r="AH69" s="13">
        <f t="shared" si="24"/>
        <v>5.0974881237730667</v>
      </c>
      <c r="AI69" s="13">
        <f t="shared" si="24"/>
        <v>6.3615760162052783</v>
      </c>
    </row>
    <row r="70" spans="1:35" x14ac:dyDescent="0.25">
      <c r="B70" t="s">
        <v>401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U70" s="109" t="str">
        <f t="shared" si="23"/>
        <v>barley</v>
      </c>
      <c r="X70" s="13">
        <f t="shared" ref="X70:AI71" si="25">(D75+D83)/D$116*100</f>
        <v>0</v>
      </c>
      <c r="Y70" s="13">
        <f t="shared" si="25"/>
        <v>9.8776139053089249</v>
      </c>
      <c r="Z70" s="13">
        <f t="shared" si="25"/>
        <v>0</v>
      </c>
      <c r="AA70" s="13">
        <f t="shared" si="25"/>
        <v>0</v>
      </c>
      <c r="AB70" s="13">
        <f t="shared" si="25"/>
        <v>16.456273052444185</v>
      </c>
      <c r="AC70" s="13">
        <f t="shared" si="25"/>
        <v>13.009738603465815</v>
      </c>
      <c r="AD70" s="13">
        <f t="shared" si="25"/>
        <v>11.290606059990822</v>
      </c>
      <c r="AE70" s="13">
        <f t="shared" si="25"/>
        <v>5.969609310362638</v>
      </c>
      <c r="AF70" s="13">
        <f t="shared" si="25"/>
        <v>2.1464108702309166</v>
      </c>
      <c r="AG70" s="13">
        <f t="shared" si="25"/>
        <v>13.591338970365666</v>
      </c>
      <c r="AH70" s="13">
        <f t="shared" si="25"/>
        <v>8.404170018075888</v>
      </c>
      <c r="AI70" s="13">
        <f t="shared" si="25"/>
        <v>12.896189928777954</v>
      </c>
    </row>
    <row r="71" spans="1:35" x14ac:dyDescent="0.25">
      <c r="B71" t="s">
        <v>398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09" t="str">
        <f t="shared" si="23"/>
        <v>oats</v>
      </c>
      <c r="X71" s="13">
        <f t="shared" si="25"/>
        <v>0</v>
      </c>
      <c r="Y71" s="13">
        <f t="shared" si="25"/>
        <v>2.2123443310104149</v>
      </c>
      <c r="Z71" s="13">
        <f t="shared" si="25"/>
        <v>0</v>
      </c>
      <c r="AA71" s="13">
        <f t="shared" si="25"/>
        <v>0</v>
      </c>
      <c r="AB71" s="13">
        <f t="shared" si="25"/>
        <v>3.6372465594215786</v>
      </c>
      <c r="AC71" s="13">
        <f t="shared" si="25"/>
        <v>2.6885792015166539</v>
      </c>
      <c r="AD71" s="13">
        <f t="shared" si="25"/>
        <v>2.5305995086863016</v>
      </c>
      <c r="AE71" s="13">
        <f t="shared" si="25"/>
        <v>1.380886004165597</v>
      </c>
      <c r="AF71" s="13">
        <f t="shared" si="25"/>
        <v>0.54223737074929057</v>
      </c>
      <c r="AG71" s="13">
        <f t="shared" si="25"/>
        <v>3.1053519716836115</v>
      </c>
      <c r="AH71" s="13">
        <f t="shared" si="25"/>
        <v>2.0416884227683041</v>
      </c>
      <c r="AI71" s="13">
        <f t="shared" si="25"/>
        <v>2.68903535703005</v>
      </c>
    </row>
    <row r="72" spans="1:35" x14ac:dyDescent="0.25">
      <c r="A72" s="154"/>
      <c r="B72" s="6" t="s">
        <v>459</v>
      </c>
      <c r="C72" s="6"/>
      <c r="D72" s="164"/>
      <c r="E72" s="164">
        <f>AR14*AC15*AF25</f>
        <v>266.32898660946</v>
      </c>
      <c r="F72" s="164"/>
      <c r="G72" s="164"/>
      <c r="H72" s="164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4">
        <f>SUMPRODUCT(P15:R15,D$22:F$22)/SUM(D$22:F$22)*C15</f>
        <v>139.41044642965076</v>
      </c>
      <c r="M72" s="164">
        <f>(M15*D$22+O15*F$22)/(D$22+F$22)*C15</f>
        <v>768.77373612665917</v>
      </c>
      <c r="N72" s="164">
        <f>Z15*C15</f>
        <v>997.16339040715081</v>
      </c>
      <c r="O72" s="72">
        <f>N15*C15</f>
        <v>872.04</v>
      </c>
      <c r="Q72" s="72"/>
      <c r="T72" s="72"/>
      <c r="U72" s="109" t="str">
        <f t="shared" si="23"/>
        <v>triticale</v>
      </c>
      <c r="X72" s="13">
        <f t="shared" ref="X72:AI72" si="26">(D74+D85)/D$116*100</f>
        <v>0</v>
      </c>
      <c r="Y72" s="13">
        <f t="shared" si="26"/>
        <v>3.4759922520526634</v>
      </c>
      <c r="Z72" s="13">
        <f t="shared" si="26"/>
        <v>0</v>
      </c>
      <c r="AA72" s="13">
        <f t="shared" si="26"/>
        <v>0</v>
      </c>
      <c r="AB72" s="13">
        <f t="shared" si="26"/>
        <v>5.8891480485237606</v>
      </c>
      <c r="AC72" s="13">
        <f t="shared" si="26"/>
        <v>5.0332855432745562</v>
      </c>
      <c r="AD72" s="13">
        <f t="shared" si="26"/>
        <v>3.9696382637077976</v>
      </c>
      <c r="AE72" s="13">
        <f t="shared" si="26"/>
        <v>2.0121854590151322</v>
      </c>
      <c r="AF72" s="13">
        <f t="shared" si="26"/>
        <v>0.63111634374194048</v>
      </c>
      <c r="AG72" s="13">
        <f t="shared" si="26"/>
        <v>4.6592010515149394</v>
      </c>
      <c r="AH72" s="13">
        <f t="shared" si="26"/>
        <v>2.6355687688154275</v>
      </c>
      <c r="AI72" s="13">
        <f t="shared" si="26"/>
        <v>4.9410321920692617</v>
      </c>
    </row>
    <row r="73" spans="1:35" x14ac:dyDescent="0.25">
      <c r="B73" s="165" t="s">
        <v>371</v>
      </c>
      <c r="C73" s="165"/>
      <c r="D73" s="12"/>
      <c r="E73" s="12">
        <f>E$72*$AF26</f>
        <v>62.358971157397384</v>
      </c>
      <c r="F73" s="12"/>
      <c r="G73" s="12"/>
      <c r="H73" s="12">
        <f t="shared" ref="H73:I76" si="27">H$72*$AF26</f>
        <v>147.69170057433243</v>
      </c>
      <c r="I73" s="12">
        <f t="shared" si="27"/>
        <v>131.69118459192447</v>
      </c>
      <c r="J73" s="12">
        <f>J$72*$AD26</f>
        <v>367.3342987302679</v>
      </c>
      <c r="K73" s="12">
        <f t="shared" ref="K73:M76" si="28">K$72*$AF26</f>
        <v>32.116365925864784</v>
      </c>
      <c r="L73" s="12">
        <f t="shared" si="28"/>
        <v>32.641929512143051</v>
      </c>
      <c r="M73" s="12">
        <f t="shared" si="28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09" t="str">
        <f t="shared" si="23"/>
        <v>rye</v>
      </c>
      <c r="X73" s="13">
        <f t="shared" ref="X73:AI73" si="29">(D77+D86)/D$116*100</f>
        <v>0</v>
      </c>
      <c r="Y73" s="13">
        <f t="shared" si="29"/>
        <v>9.7729344009567475E-3</v>
      </c>
      <c r="Z73" s="13">
        <f t="shared" si="29"/>
        <v>0</v>
      </c>
      <c r="AA73" s="13">
        <f t="shared" si="29"/>
        <v>0</v>
      </c>
      <c r="AB73" s="13">
        <f t="shared" si="29"/>
        <v>1.3507533293838584E-2</v>
      </c>
      <c r="AC73" s="13">
        <f t="shared" si="29"/>
        <v>0</v>
      </c>
      <c r="AD73" s="13">
        <f t="shared" si="29"/>
        <v>1.1272622080408017E-2</v>
      </c>
      <c r="AE73" s="13">
        <f t="shared" si="29"/>
        <v>8.4111477233144716E-3</v>
      </c>
      <c r="AF73" s="13">
        <f t="shared" si="29"/>
        <v>5.6371722021104978E-3</v>
      </c>
      <c r="AG73" s="13">
        <f t="shared" si="29"/>
        <v>1.6945393347994473E-2</v>
      </c>
      <c r="AH73" s="13">
        <f t="shared" si="29"/>
        <v>1.7420276725880934E-2</v>
      </c>
      <c r="AI73" s="13">
        <f t="shared" si="29"/>
        <v>1.3668084713412143E-3</v>
      </c>
    </row>
    <row r="74" spans="1:35" x14ac:dyDescent="0.25">
      <c r="B74" s="165" t="s">
        <v>476</v>
      </c>
      <c r="C74" s="165"/>
      <c r="D74" s="12"/>
      <c r="E74" s="12">
        <f>E$72*$AF27</f>
        <v>49.520498380684465</v>
      </c>
      <c r="F74" s="12"/>
      <c r="G74" s="12"/>
      <c r="H74" s="12">
        <f t="shared" si="27"/>
        <v>117.28491479872922</v>
      </c>
      <c r="I74" s="12">
        <f t="shared" si="27"/>
        <v>104.57858704683275</v>
      </c>
      <c r="J74" s="12">
        <f>J$72*$AD27</f>
        <v>291.70746739114861</v>
      </c>
      <c r="K74" s="12">
        <f t="shared" si="28"/>
        <v>25.504244494524379</v>
      </c>
      <c r="L74" s="12">
        <f t="shared" si="28"/>
        <v>25.921604983964599</v>
      </c>
      <c r="M74" s="12">
        <f t="shared" si="28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09" t="str">
        <f t="shared" si="23"/>
        <v>maize</v>
      </c>
      <c r="X74" s="13">
        <f t="shared" ref="X74:AI74" si="30">D87/D$116*100</f>
        <v>0</v>
      </c>
      <c r="Y74" s="13">
        <f t="shared" si="30"/>
        <v>4.2459669391401007E-2</v>
      </c>
      <c r="Z74" s="13">
        <f t="shared" si="30"/>
        <v>0</v>
      </c>
      <c r="AA74" s="13">
        <f t="shared" si="30"/>
        <v>0</v>
      </c>
      <c r="AB74" s="13">
        <f t="shared" si="30"/>
        <v>5.8685075988393134E-2</v>
      </c>
      <c r="AC74" s="13">
        <f t="shared" si="30"/>
        <v>0</v>
      </c>
      <c r="AD74" s="13">
        <f t="shared" si="30"/>
        <v>0.39798335104430993</v>
      </c>
      <c r="AE74" s="13">
        <f t="shared" si="30"/>
        <v>3.654322610609205E-2</v>
      </c>
      <c r="AF74" s="13">
        <f t="shared" si="30"/>
        <v>2.4491361364359067E-2</v>
      </c>
      <c r="AG74" s="13">
        <f t="shared" si="30"/>
        <v>7.3621265603978081E-2</v>
      </c>
      <c r="AH74" s="13">
        <f t="shared" si="30"/>
        <v>0.6150281680723525</v>
      </c>
      <c r="AI74" s="13">
        <f t="shared" si="30"/>
        <v>4.8255588786707375E-2</v>
      </c>
    </row>
    <row r="75" spans="1:35" x14ac:dyDescent="0.25">
      <c r="B75" s="165" t="s">
        <v>402</v>
      </c>
      <c r="C75" s="165"/>
      <c r="D75" s="12"/>
      <c r="E75" s="12">
        <f>E$72*$AF28</f>
        <v>127.99765360161179</v>
      </c>
      <c r="F75" s="12"/>
      <c r="G75" s="12"/>
      <c r="H75" s="12">
        <f t="shared" si="27"/>
        <v>303.15110687492233</v>
      </c>
      <c r="I75" s="12">
        <f t="shared" si="27"/>
        <v>270.30854285965057</v>
      </c>
      <c r="J75" s="12">
        <f>J$72*$AD28</f>
        <v>753.98819852546956</v>
      </c>
      <c r="K75" s="12">
        <f t="shared" si="28"/>
        <v>65.921861833568741</v>
      </c>
      <c r="L75" s="12">
        <f t="shared" si="28"/>
        <v>67.000630527366965</v>
      </c>
      <c r="M75" s="12">
        <f t="shared" si="28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09" t="str">
        <f t="shared" si="23"/>
        <v>peas</v>
      </c>
      <c r="X75" s="13">
        <f>(D79+D88)/D$116*100</f>
        <v>0</v>
      </c>
      <c r="Y75" s="13">
        <f t="shared" ref="Y75:AI75" si="31">(E79+E88)/E$116*100</f>
        <v>0.18818835539063533</v>
      </c>
      <c r="Z75" s="13">
        <f t="shared" si="31"/>
        <v>0</v>
      </c>
      <c r="AA75" s="13">
        <f t="shared" si="31"/>
        <v>0</v>
      </c>
      <c r="AB75" s="13">
        <f t="shared" si="31"/>
        <v>1.230521308754674</v>
      </c>
      <c r="AC75" s="13">
        <f t="shared" si="31"/>
        <v>1.6370482011197791</v>
      </c>
      <c r="AD75" s="13">
        <f t="shared" si="31"/>
        <v>6.2198540886316538E-2</v>
      </c>
      <c r="AE75" s="13">
        <f t="shared" si="31"/>
        <v>0.83995755602664501</v>
      </c>
      <c r="AF75" s="13">
        <f t="shared" si="31"/>
        <v>3.3129545230803178E-2</v>
      </c>
      <c r="AG75" s="13">
        <f t="shared" si="31"/>
        <v>1.3794797059070938</v>
      </c>
      <c r="AH75" s="13">
        <f t="shared" si="31"/>
        <v>9.6119233524986178E-2</v>
      </c>
      <c r="AI75" s="13">
        <f t="shared" si="31"/>
        <v>0.43086866195785822</v>
      </c>
    </row>
    <row r="76" spans="1:35" x14ac:dyDescent="0.25">
      <c r="B76" s="165" t="s">
        <v>433</v>
      </c>
      <c r="C76" s="165"/>
      <c r="D76" s="12"/>
      <c r="E76" s="12">
        <f>E$72*$AF29</f>
        <v>26.451863469766366</v>
      </c>
      <c r="F76" s="12"/>
      <c r="G76" s="12"/>
      <c r="H76" s="12">
        <f t="shared" si="27"/>
        <v>62.648896008067297</v>
      </c>
      <c r="I76" s="12">
        <f t="shared" si="27"/>
        <v>55.86168550159212</v>
      </c>
      <c r="J76" s="12">
        <f>J$72*$AD29</f>
        <v>155.81842576026466</v>
      </c>
      <c r="K76" s="12">
        <f t="shared" si="28"/>
        <v>13.623344177243609</v>
      </c>
      <c r="L76" s="12">
        <f t="shared" si="28"/>
        <v>13.846281406176139</v>
      </c>
      <c r="M76" s="12">
        <f t="shared" si="28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09" t="str">
        <f t="shared" si="23"/>
        <v>broad beans</v>
      </c>
      <c r="X76" s="13">
        <f>(D80+D89)/D$116*100</f>
        <v>0</v>
      </c>
      <c r="Y76" s="13">
        <f t="shared" ref="Y76:AI76" si="32">(E80+E89)/E$116*100</f>
        <v>0.19513584282773944</v>
      </c>
      <c r="Z76" s="13">
        <f t="shared" si="32"/>
        <v>0</v>
      </c>
      <c r="AA76" s="13">
        <f t="shared" si="32"/>
        <v>0</v>
      </c>
      <c r="AB76" s="13">
        <f t="shared" si="32"/>
        <v>1.1908458068725807</v>
      </c>
      <c r="AC76" s="13">
        <f t="shared" si="32"/>
        <v>1.5539189073731028</v>
      </c>
      <c r="AD76" s="13">
        <f t="shared" si="32"/>
        <v>0.21373263842786655</v>
      </c>
      <c r="AE76" s="13">
        <f t="shared" si="32"/>
        <v>0.81150854085068547</v>
      </c>
      <c r="AF76" s="13">
        <f t="shared" si="32"/>
        <v>4.0966798466627027E-2</v>
      </c>
      <c r="AG76" s="13">
        <f t="shared" si="32"/>
        <v>1.338045660068792</v>
      </c>
      <c r="AH76" s="13">
        <f t="shared" si="32"/>
        <v>0.33029420131428044</v>
      </c>
      <c r="AI76" s="13">
        <f t="shared" si="32"/>
        <v>0.42774566708132739</v>
      </c>
    </row>
    <row r="77" spans="1:35" x14ac:dyDescent="0.25">
      <c r="B77" s="109" t="s">
        <v>461</v>
      </c>
      <c r="C77" s="109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09" t="str">
        <f t="shared" si="23"/>
        <v>rapeseed</v>
      </c>
      <c r="X77" s="13">
        <f t="shared" ref="X77:X100" si="33">D90/D$116*100</f>
        <v>0</v>
      </c>
      <c r="Y77" s="13">
        <f t="shared" ref="Y77:Y100" si="34">E90/E$116*100</f>
        <v>0.36097378167357463</v>
      </c>
      <c r="Z77" s="13">
        <f t="shared" ref="Z77:Z100" si="35">F90/F$116*100</f>
        <v>0</v>
      </c>
      <c r="AA77" s="13">
        <f t="shared" ref="AA77:AA100" si="36">G90/G$116*100</f>
        <v>0</v>
      </c>
      <c r="AB77" s="13">
        <f t="shared" ref="AB77:AB100" si="37">H90/H$116*100</f>
        <v>0.49891518495011011</v>
      </c>
      <c r="AC77" s="13">
        <f t="shared" ref="AC77:AC100" si="38">I90/I$116*100</f>
        <v>0</v>
      </c>
      <c r="AD77" s="13">
        <f t="shared" ref="AD77:AD100" si="39">J90/J$116*100</f>
        <v>3.3834826631664936</v>
      </c>
      <c r="AE77" s="13">
        <f t="shared" ref="AE77:AE100" si="40">K90/K$116*100</f>
        <v>0.3106747346633848</v>
      </c>
      <c r="AF77" s="13">
        <f t="shared" ref="AF77:AF100" si="41">L90/L$116*100</f>
        <v>0.20821498275295594</v>
      </c>
      <c r="AG77" s="13">
        <f t="shared" ref="AG77:AG100" si="42">M90/M$116*100</f>
        <v>0.62589622193442496</v>
      </c>
      <c r="AH77" s="13">
        <f t="shared" ref="AH77:AH100" si="43">N90/N$116*100</f>
        <v>5.2287040112895822</v>
      </c>
      <c r="AI77" s="13">
        <f t="shared" ref="AI77:AI100" si="44">O90/O$116*100</f>
        <v>0.41024818659446338</v>
      </c>
    </row>
    <row r="78" spans="1:35" x14ac:dyDescent="0.25">
      <c r="B78" s="6" t="s">
        <v>460</v>
      </c>
      <c r="C78" s="6"/>
      <c r="D78" s="164"/>
      <c r="E78" s="164">
        <f>AR14*AC15*AF31</f>
        <v>5.2817024550158136</v>
      </c>
      <c r="F78" s="164"/>
      <c r="G78" s="164"/>
      <c r="H78" s="164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4">
        <f>SUMPRODUCT(P16:R16,D$22:F$22)/SUM(D$22:F$22)*C16</f>
        <v>2.7418595795607028</v>
      </c>
      <c r="M78" s="164">
        <f>(M16*D$22+O16*F$22)/(D$22+F$22)*C16</f>
        <v>86.918338397569158</v>
      </c>
      <c r="N78" s="164"/>
      <c r="O78" s="72">
        <f>N16*C16</f>
        <v>27.2</v>
      </c>
      <c r="Q78" s="72"/>
      <c r="U78" s="109" t="str">
        <f t="shared" si="23"/>
        <v>linseed</v>
      </c>
      <c r="X78" s="13">
        <f t="shared" si="33"/>
        <v>0</v>
      </c>
      <c r="Y78" s="13">
        <f t="shared" si="34"/>
        <v>2.6627548268207211E-4</v>
      </c>
      <c r="Z78" s="13">
        <f t="shared" si="35"/>
        <v>0</v>
      </c>
      <c r="AA78" s="13">
        <f t="shared" si="36"/>
        <v>0</v>
      </c>
      <c r="AB78" s="13">
        <f t="shared" si="37"/>
        <v>3.6802917118822752E-4</v>
      </c>
      <c r="AC78" s="13">
        <f t="shared" si="38"/>
        <v>0</v>
      </c>
      <c r="AD78" s="13">
        <f t="shared" si="39"/>
        <v>2.4958557242137649E-3</v>
      </c>
      <c r="AE78" s="13">
        <f t="shared" si="40"/>
        <v>2.2917194857222345E-4</v>
      </c>
      <c r="AF78" s="13">
        <f t="shared" si="41"/>
        <v>1.5359161204765519E-4</v>
      </c>
      <c r="AG78" s="13">
        <f t="shared" si="42"/>
        <v>4.6169784916729557E-4</v>
      </c>
      <c r="AH78" s="13">
        <f t="shared" si="43"/>
        <v>3.8569994694707295E-3</v>
      </c>
      <c r="AI78" s="13">
        <f t="shared" si="44"/>
        <v>3.0262318054907772E-4</v>
      </c>
    </row>
    <row r="79" spans="1:35" x14ac:dyDescent="0.25">
      <c r="B79" s="165" t="s">
        <v>432</v>
      </c>
      <c r="C79" s="165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5">K$78*$AD32</f>
        <v>11.340412699217753</v>
      </c>
      <c r="L79" s="12">
        <f t="shared" si="45"/>
        <v>1.4066444873394082</v>
      </c>
      <c r="M79" s="12">
        <f t="shared" si="45"/>
        <v>44.591343213583066</v>
      </c>
      <c r="N79" s="12"/>
      <c r="O79" s="12">
        <f>O$78*$AD32</f>
        <v>13.954299607772761</v>
      </c>
      <c r="Q79" s="2"/>
      <c r="U79" s="109" t="str">
        <f t="shared" si="23"/>
        <v>vegetable oils</v>
      </c>
      <c r="X79" s="13">
        <f t="shared" si="33"/>
        <v>0</v>
      </c>
      <c r="Y79" s="13">
        <f t="shared" si="34"/>
        <v>6.874417863468929E-3</v>
      </c>
      <c r="Z79" s="13">
        <f t="shared" si="35"/>
        <v>0</v>
      </c>
      <c r="AA79" s="13">
        <f t="shared" si="36"/>
        <v>0</v>
      </c>
      <c r="AB79" s="13">
        <f t="shared" si="37"/>
        <v>9.5013866211436822E-3</v>
      </c>
      <c r="AC79" s="13">
        <f t="shared" si="38"/>
        <v>0</v>
      </c>
      <c r="AD79" s="13">
        <f t="shared" si="39"/>
        <v>6.4435354702415792E-2</v>
      </c>
      <c r="AE79" s="13">
        <f t="shared" si="40"/>
        <v>5.9165181908688962E-3</v>
      </c>
      <c r="AF79" s="13">
        <f t="shared" si="41"/>
        <v>3.9652652617667341E-3</v>
      </c>
      <c r="AG79" s="13">
        <f t="shared" si="42"/>
        <v>1.1919625156141098E-2</v>
      </c>
      <c r="AH79" s="13">
        <f t="shared" si="43"/>
        <v>9.957591958992984E-2</v>
      </c>
      <c r="AI79" s="13">
        <f t="shared" si="44"/>
        <v>7.8128041579790201E-3</v>
      </c>
    </row>
    <row r="80" spans="1:35" x14ac:dyDescent="0.25">
      <c r="B80" s="165" t="s">
        <v>465</v>
      </c>
      <c r="C80" s="165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5"/>
        <v>10.764546638684546</v>
      </c>
      <c r="L80" s="12">
        <f t="shared" si="45"/>
        <v>1.3352150922212949</v>
      </c>
      <c r="M80" s="12">
        <f t="shared" si="45"/>
        <v>42.326995183986099</v>
      </c>
      <c r="N80" s="12"/>
      <c r="O80" s="12">
        <f>O$78*$AD33</f>
        <v>13.24570039222724</v>
      </c>
      <c r="Q80" s="2"/>
      <c r="U80" s="109" t="str">
        <f t="shared" si="23"/>
        <v>soybeans</v>
      </c>
      <c r="X80" s="13">
        <f t="shared" si="33"/>
        <v>0</v>
      </c>
      <c r="Y80" s="13">
        <f t="shared" si="34"/>
        <v>6.7178905586753141E-3</v>
      </c>
      <c r="Z80" s="13">
        <f t="shared" si="35"/>
        <v>0</v>
      </c>
      <c r="AA80" s="13">
        <f t="shared" si="36"/>
        <v>0</v>
      </c>
      <c r="AB80" s="13">
        <f t="shared" si="37"/>
        <v>9.2850444567383218E-3</v>
      </c>
      <c r="AC80" s="13">
        <f t="shared" si="38"/>
        <v>0</v>
      </c>
      <c r="AD80" s="13">
        <f t="shared" si="39"/>
        <v>6.2968191575980506E-2</v>
      </c>
      <c r="AE80" s="13">
        <f t="shared" si="40"/>
        <v>5.7818018171232116E-3</v>
      </c>
      <c r="AF80" s="13">
        <f t="shared" si="41"/>
        <v>3.8749780117707201E-3</v>
      </c>
      <c r="AG80" s="13">
        <f t="shared" si="42"/>
        <v>1.1648220822436621E-2</v>
      </c>
      <c r="AH80" s="13">
        <f t="shared" si="43"/>
        <v>9.7308622107391843E-2</v>
      </c>
      <c r="AI80" s="13">
        <f t="shared" si="44"/>
        <v>7.6349102327017302E-3</v>
      </c>
    </row>
    <row r="81" spans="2:35" x14ac:dyDescent="0.25">
      <c r="B81" s="6" t="s">
        <v>458</v>
      </c>
      <c r="C81" s="6"/>
      <c r="D81" s="164"/>
      <c r="E81" s="164">
        <f>SUMPRODUCT(AR16:AR17,AC16:AC17)</f>
        <v>68.978551803237238</v>
      </c>
      <c r="F81" s="164"/>
      <c r="G81" s="164"/>
      <c r="H81" s="164">
        <f>(G17*D$23+I17*F$23)/(D$23+F$23)*C17</f>
        <v>132.11599300087491</v>
      </c>
      <c r="I81" s="72"/>
      <c r="J81" s="164">
        <f>Y17*C17</f>
        <v>1370.1342545518819</v>
      </c>
      <c r="K81" s="72">
        <f>SUMPRODUCT(AQ16:AQ17,AC16:AC17)</f>
        <v>54.071473003246311</v>
      </c>
      <c r="L81" s="164">
        <f>SUMPRODUCT(P17:R17,D$22:F$22)/SUM(D$22:F$22)*C17</f>
        <v>127.97579935447216</v>
      </c>
      <c r="M81" s="164">
        <f>(M17*D$22+O17*F$22)/(D$22+F$22)*C17</f>
        <v>261.21784663361586</v>
      </c>
      <c r="N81" s="164">
        <f>Z17*C17</f>
        <v>2165.3407913577166</v>
      </c>
      <c r="O81" s="72">
        <f>N17*C17</f>
        <v>71.100000000000009</v>
      </c>
      <c r="Q81" s="72"/>
      <c r="U81" s="109" t="str">
        <f t="shared" si="23"/>
        <v>soybean meal</v>
      </c>
      <c r="X81" s="13">
        <f t="shared" si="33"/>
        <v>0</v>
      </c>
      <c r="Y81" s="13">
        <f t="shared" si="34"/>
        <v>6.1365437669271355E-2</v>
      </c>
      <c r="Z81" s="13">
        <f t="shared" si="35"/>
        <v>0</v>
      </c>
      <c r="AA81" s="13">
        <f t="shared" si="36"/>
        <v>0</v>
      </c>
      <c r="AB81" s="13">
        <f t="shared" si="37"/>
        <v>8.4815436019657742E-2</v>
      </c>
      <c r="AC81" s="13">
        <f t="shared" si="38"/>
        <v>0</v>
      </c>
      <c r="AD81" s="13">
        <f t="shared" si="39"/>
        <v>0.57519106653391427</v>
      </c>
      <c r="AE81" s="13">
        <f t="shared" si="40"/>
        <v>5.2814614338509994E-2</v>
      </c>
      <c r="AF81" s="13">
        <f t="shared" si="41"/>
        <v>3.5396486378307765E-2</v>
      </c>
      <c r="AG81" s="13">
        <f t="shared" si="42"/>
        <v>0.10640217529505162</v>
      </c>
      <c r="AH81" s="13">
        <f t="shared" si="43"/>
        <v>0.88887815787688529</v>
      </c>
      <c r="AI81" s="13">
        <f t="shared" si="44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09" t="str">
        <f t="shared" si="23"/>
        <v>soybean protein concentrate</v>
      </c>
      <c r="X82" s="13">
        <f t="shared" si="33"/>
        <v>0</v>
      </c>
      <c r="Y82" s="13">
        <f t="shared" si="34"/>
        <v>0</v>
      </c>
      <c r="Z82" s="13">
        <f t="shared" si="35"/>
        <v>0</v>
      </c>
      <c r="AA82" s="13">
        <f t="shared" si="36"/>
        <v>0</v>
      </c>
      <c r="AB82" s="13">
        <f t="shared" si="37"/>
        <v>0</v>
      </c>
      <c r="AC82" s="13">
        <f t="shared" si="38"/>
        <v>0</v>
      </c>
      <c r="AD82" s="13">
        <f t="shared" si="39"/>
        <v>0</v>
      </c>
      <c r="AE82" s="13">
        <f t="shared" si="40"/>
        <v>0</v>
      </c>
      <c r="AF82" s="13">
        <f t="shared" si="41"/>
        <v>0</v>
      </c>
      <c r="AG82" s="13">
        <f t="shared" si="42"/>
        <v>0</v>
      </c>
      <c r="AH82" s="13">
        <f t="shared" si="43"/>
        <v>0</v>
      </c>
      <c r="AI82" s="13">
        <f t="shared" si="44"/>
        <v>0</v>
      </c>
    </row>
    <row r="83" spans="2:35" x14ac:dyDescent="0.25">
      <c r="B83" t="str">
        <f t="shared" ref="B83:B113" si="46">L26</f>
        <v>barley</v>
      </c>
      <c r="C83" s="165"/>
      <c r="E83" s="13">
        <f t="shared" ref="E83:E112" si="47">E$81*$W26</f>
        <v>19.424482794374299</v>
      </c>
      <c r="H83" s="13">
        <f t="shared" ref="H83:H112" si="48">H$81*$W26</f>
        <v>37.204098459874182</v>
      </c>
      <c r="I83" s="13"/>
      <c r="J83" s="13">
        <f t="shared" ref="J83:J112" si="49">J$81*$U26</f>
        <v>115.62373971542154</v>
      </c>
      <c r="K83" s="13">
        <f t="shared" ref="K83:M83" si="50">K$81*$W26</f>
        <v>15.226622907567917</v>
      </c>
      <c r="L83" s="13">
        <f t="shared" si="50"/>
        <v>36.038212570020605</v>
      </c>
      <c r="M83" s="13">
        <f t="shared" si="50"/>
        <v>73.559409916171163</v>
      </c>
      <c r="N83" s="13">
        <f t="shared" ref="N83:O83" si="51">N$81*$U26</f>
        <v>182.73012241199254</v>
      </c>
      <c r="O83" s="13">
        <f t="shared" si="51"/>
        <v>6.0000309213896665</v>
      </c>
      <c r="Q83" s="2"/>
      <c r="U83" s="109" t="str">
        <f t="shared" si="23"/>
        <v>rapeseed meal</v>
      </c>
      <c r="X83" s="13">
        <f t="shared" si="33"/>
        <v>0</v>
      </c>
      <c r="Y83" s="13">
        <f t="shared" si="34"/>
        <v>0.47396410229169195</v>
      </c>
      <c r="Z83" s="13">
        <f t="shared" si="35"/>
        <v>0</v>
      </c>
      <c r="AA83" s="13">
        <f t="shared" si="36"/>
        <v>0</v>
      </c>
      <c r="AB83" s="13">
        <f t="shared" si="37"/>
        <v>0.65508327684698231</v>
      </c>
      <c r="AC83" s="13">
        <f t="shared" si="38"/>
        <v>0</v>
      </c>
      <c r="AD83" s="13">
        <f t="shared" si="39"/>
        <v>4.4425645420347344</v>
      </c>
      <c r="AE83" s="13">
        <f t="shared" si="40"/>
        <v>0.40792068342679916</v>
      </c>
      <c r="AF83" s="13">
        <f t="shared" si="41"/>
        <v>0.27338946038309825</v>
      </c>
      <c r="AG83" s="13">
        <f t="shared" si="42"/>
        <v>0.82181132264384626</v>
      </c>
      <c r="AH83" s="13">
        <f t="shared" si="43"/>
        <v>6.8653684247374684</v>
      </c>
      <c r="AI83" s="13">
        <f t="shared" si="44"/>
        <v>0.53866215040479692</v>
      </c>
    </row>
    <row r="84" spans="2:35" x14ac:dyDescent="0.25">
      <c r="B84" t="str">
        <f t="shared" si="46"/>
        <v>oats</v>
      </c>
      <c r="C84" s="165"/>
      <c r="E84" s="13">
        <f t="shared" si="47"/>
        <v>6.5670954455855322</v>
      </c>
      <c r="H84" s="13">
        <f t="shared" si="48"/>
        <v>12.57808859774202</v>
      </c>
      <c r="I84" s="13"/>
      <c r="J84" s="13">
        <f t="shared" si="49"/>
        <v>39.090468586716916</v>
      </c>
      <c r="K84" s="13">
        <f t="shared" ref="K84:M84" si="52">K$81*$W27</f>
        <v>5.1478686463094894</v>
      </c>
      <c r="L84" s="13">
        <f t="shared" si="52"/>
        <v>12.183921916529417</v>
      </c>
      <c r="M84" s="13">
        <f t="shared" si="52"/>
        <v>24.869216388111688</v>
      </c>
      <c r="N84" s="13">
        <f t="shared" ref="N84:O84" si="53">N$81*$U27</f>
        <v>61.778023506017249</v>
      </c>
      <c r="O84" s="13">
        <f t="shared" si="53"/>
        <v>2.0285109340796574</v>
      </c>
      <c r="Q84" s="2"/>
      <c r="U84" s="109" t="str">
        <f t="shared" si="23"/>
        <v>sunflower seed meal</v>
      </c>
      <c r="X84" s="13">
        <f t="shared" si="33"/>
        <v>0</v>
      </c>
      <c r="Y84" s="13">
        <f t="shared" si="34"/>
        <v>6.5473553082180435E-3</v>
      </c>
      <c r="Z84" s="13">
        <f t="shared" si="35"/>
        <v>0</v>
      </c>
      <c r="AA84" s="13">
        <f t="shared" si="36"/>
        <v>0</v>
      </c>
      <c r="AB84" s="13">
        <f t="shared" si="37"/>
        <v>9.0493413936850002E-3</v>
      </c>
      <c r="AC84" s="13">
        <f t="shared" si="38"/>
        <v>0</v>
      </c>
      <c r="AD84" s="13">
        <f t="shared" si="39"/>
        <v>6.136972904857535E-2</v>
      </c>
      <c r="AE84" s="13">
        <f t="shared" si="40"/>
        <v>5.6350294021269417E-3</v>
      </c>
      <c r="AF84" s="13">
        <f t="shared" si="41"/>
        <v>3.7766107728313516E-3</v>
      </c>
      <c r="AG84" s="13">
        <f t="shared" si="42"/>
        <v>1.1352527964985915E-2</v>
      </c>
      <c r="AH84" s="13">
        <f t="shared" si="43"/>
        <v>9.4838419579113625E-2</v>
      </c>
      <c r="AI84" s="13">
        <f t="shared" si="44"/>
        <v>7.441096219600373E-3</v>
      </c>
    </row>
    <row r="85" spans="2:35" x14ac:dyDescent="0.25">
      <c r="B85" t="str">
        <f t="shared" si="46"/>
        <v>triticale</v>
      </c>
      <c r="C85" s="165"/>
      <c r="E85" s="13">
        <f t="shared" si="47"/>
        <v>2.3582456971821797</v>
      </c>
      <c r="H85" s="13">
        <f t="shared" si="48"/>
        <v>4.5167949149179192</v>
      </c>
      <c r="I85" s="13"/>
      <c r="J85" s="13">
        <f t="shared" si="49"/>
        <v>14.037397523653777</v>
      </c>
      <c r="K85" s="13">
        <f t="shared" ref="K85:M85" si="54">K$81*$W28</f>
        <v>1.8486009812723212</v>
      </c>
      <c r="L85" s="13">
        <f t="shared" si="54"/>
        <v>4.3752495562971534</v>
      </c>
      <c r="M85" s="13">
        <f t="shared" si="54"/>
        <v>8.9305421286332205</v>
      </c>
      <c r="N85" s="13">
        <f t="shared" ref="N85:O85" si="55">N$81*$U28</f>
        <v>22.184504446546079</v>
      </c>
      <c r="O85" s="13">
        <f t="shared" si="55"/>
        <v>0.72843880854450294</v>
      </c>
      <c r="Q85" s="2"/>
      <c r="U85" s="109" t="str">
        <f t="shared" si="23"/>
        <v>palm kernel expeller</v>
      </c>
      <c r="X85" s="13">
        <f t="shared" si="33"/>
        <v>0</v>
      </c>
      <c r="Y85" s="13">
        <f t="shared" si="34"/>
        <v>4.2544185479227364E-2</v>
      </c>
      <c r="Z85" s="13">
        <f t="shared" si="35"/>
        <v>0</v>
      </c>
      <c r="AA85" s="13">
        <f t="shared" si="36"/>
        <v>0</v>
      </c>
      <c r="AB85" s="13">
        <f t="shared" si="37"/>
        <v>5.880188879234155E-2</v>
      </c>
      <c r="AC85" s="13">
        <f t="shared" si="38"/>
        <v>0</v>
      </c>
      <c r="AD85" s="13">
        <f t="shared" si="39"/>
        <v>0.39877553799094467</v>
      </c>
      <c r="AE85" s="13">
        <f t="shared" si="40"/>
        <v>3.6615965497408809E-2</v>
      </c>
      <c r="AF85" s="13">
        <f t="shared" si="41"/>
        <v>2.454011148600925E-2</v>
      </c>
      <c r="AG85" s="13">
        <f t="shared" si="42"/>
        <v>7.3767808934127849E-2</v>
      </c>
      <c r="AH85" s="13">
        <f t="shared" si="43"/>
        <v>0.61625238331975196</v>
      </c>
      <c r="AI85" s="13">
        <f t="shared" si="44"/>
        <v>4.8351641667911303E-2</v>
      </c>
    </row>
    <row r="86" spans="2:35" x14ac:dyDescent="0.25">
      <c r="B86" t="str">
        <f t="shared" si="46"/>
        <v>rye</v>
      </c>
      <c r="C86" s="165"/>
      <c r="E86" s="13">
        <f t="shared" si="47"/>
        <v>0.14585980805268278</v>
      </c>
      <c r="H86" s="13">
        <f t="shared" si="48"/>
        <v>0.27936819309814526</v>
      </c>
      <c r="I86" s="13"/>
      <c r="J86" s="13">
        <f t="shared" si="49"/>
        <v>0.86822679706607797</v>
      </c>
      <c r="K86" s="13">
        <f t="shared" ref="K86:M86" si="56">K$81*$W29</f>
        <v>0.11433778279191398</v>
      </c>
      <c r="L86" s="13">
        <f t="shared" si="56"/>
        <v>0.27061347391691565</v>
      </c>
      <c r="M86" s="13">
        <f t="shared" si="56"/>
        <v>0.55236278486389168</v>
      </c>
      <c r="N86" s="13">
        <f t="shared" ref="N86:O86" si="57">N$81*$U29</f>
        <v>1.3721333464886729</v>
      </c>
      <c r="O86" s="13">
        <f t="shared" si="57"/>
        <v>4.5054654364208975E-2</v>
      </c>
      <c r="Q86" s="2"/>
      <c r="U86" s="109" t="str">
        <f t="shared" si="23"/>
        <v>luzern meal</v>
      </c>
      <c r="X86" s="13">
        <f t="shared" si="33"/>
        <v>0</v>
      </c>
      <c r="Y86" s="13">
        <f t="shared" si="34"/>
        <v>1.2941474067131715E-2</v>
      </c>
      <c r="Z86" s="13">
        <f t="shared" si="35"/>
        <v>0</v>
      </c>
      <c r="AA86" s="13">
        <f t="shared" si="36"/>
        <v>0</v>
      </c>
      <c r="AB86" s="13">
        <f t="shared" si="37"/>
        <v>1.7886888897567656E-2</v>
      </c>
      <c r="AC86" s="13">
        <f t="shared" si="38"/>
        <v>0</v>
      </c>
      <c r="AD86" s="13">
        <f t="shared" si="39"/>
        <v>0.12130313990935594</v>
      </c>
      <c r="AE86" s="13">
        <f t="shared" si="40"/>
        <v>1.1138174643373414E-2</v>
      </c>
      <c r="AF86" s="13">
        <f t="shared" si="41"/>
        <v>7.4648324517994124E-3</v>
      </c>
      <c r="AG86" s="13">
        <f t="shared" si="42"/>
        <v>2.2439357471687103E-2</v>
      </c>
      <c r="AH86" s="13">
        <f t="shared" si="43"/>
        <v>0.18745720825786316</v>
      </c>
      <c r="AI86" s="13">
        <f t="shared" si="44"/>
        <v>1.4708038471063079E-2</v>
      </c>
    </row>
    <row r="87" spans="2:35" x14ac:dyDescent="0.25">
      <c r="B87" t="str">
        <f t="shared" si="46"/>
        <v>maize</v>
      </c>
      <c r="C87" s="165"/>
      <c r="E87" s="13">
        <f t="shared" si="47"/>
        <v>0.63370518754365379</v>
      </c>
      <c r="H87" s="13">
        <f t="shared" si="48"/>
        <v>1.2137481569771995</v>
      </c>
      <c r="I87" s="13"/>
      <c r="J87" s="13">
        <f t="shared" si="49"/>
        <v>30.653011136014133</v>
      </c>
      <c r="K87" s="13">
        <f t="shared" ref="K87:M87" si="58">K$81*$W30</f>
        <v>0.49675402055448348</v>
      </c>
      <c r="L87" s="13">
        <f t="shared" si="58"/>
        <v>1.1757122440365402</v>
      </c>
      <c r="M87" s="13">
        <f t="shared" si="58"/>
        <v>2.3998054491329026</v>
      </c>
      <c r="N87" s="13">
        <f t="shared" ref="N87:O87" si="59">N$81*$U30</f>
        <v>48.443585123314932</v>
      </c>
      <c r="O87" s="13">
        <f t="shared" si="59"/>
        <v>1.5906682754117496</v>
      </c>
      <c r="Q87" s="2"/>
      <c r="U87" s="109" t="str">
        <f t="shared" si="23"/>
        <v>wheat bran</v>
      </c>
      <c r="X87" s="13">
        <f t="shared" si="33"/>
        <v>0</v>
      </c>
      <c r="Y87" s="13">
        <f t="shared" si="34"/>
        <v>0.14099909828075238</v>
      </c>
      <c r="Z87" s="13">
        <f t="shared" si="35"/>
        <v>0</v>
      </c>
      <c r="AA87" s="13">
        <f t="shared" si="36"/>
        <v>0</v>
      </c>
      <c r="AB87" s="13">
        <f t="shared" si="37"/>
        <v>0.19488005713432707</v>
      </c>
      <c r="AC87" s="13">
        <f t="shared" si="38"/>
        <v>0</v>
      </c>
      <c r="AD87" s="13">
        <f t="shared" si="39"/>
        <v>1.321614002942858</v>
      </c>
      <c r="AE87" s="13">
        <f t="shared" si="40"/>
        <v>0.12135190883686281</v>
      </c>
      <c r="AF87" s="13">
        <f t="shared" si="41"/>
        <v>8.1330352250506319E-2</v>
      </c>
      <c r="AG87" s="13">
        <f t="shared" si="42"/>
        <v>0.24447981374416825</v>
      </c>
      <c r="AH87" s="13">
        <f t="shared" si="43"/>
        <v>2.0423714635193808</v>
      </c>
      <c r="AI87" s="13">
        <f t="shared" si="44"/>
        <v>0.16024605474932127</v>
      </c>
    </row>
    <row r="88" spans="2:35" x14ac:dyDescent="0.25">
      <c r="B88" t="str">
        <f t="shared" si="46"/>
        <v>peas</v>
      </c>
      <c r="C88" s="165"/>
      <c r="E88" s="13">
        <f t="shared" si="47"/>
        <v>9.9038158038215168E-2</v>
      </c>
      <c r="H88" s="13">
        <f t="shared" si="48"/>
        <v>0.18968975503458319</v>
      </c>
      <c r="I88" s="13"/>
      <c r="J88" s="13">
        <f t="shared" si="49"/>
        <v>4.7905837302722256</v>
      </c>
      <c r="K88" s="13">
        <f t="shared" ref="K88:M88" si="60">K$81*$W31</f>
        <v>7.7634843710987708E-2</v>
      </c>
      <c r="L88" s="13">
        <f t="shared" si="60"/>
        <v>0.18374533982228808</v>
      </c>
      <c r="M88" s="13">
        <f t="shared" si="60"/>
        <v>0.37505186323856926</v>
      </c>
      <c r="N88" s="13">
        <f t="shared" ref="N88:O88" si="61">N$81*$U31</f>
        <v>7.570970750574916</v>
      </c>
      <c r="O88" s="13">
        <f t="shared" si="61"/>
        <v>0.2485964438088995</v>
      </c>
      <c r="Q88" s="2"/>
      <c r="U88" s="109" t="str">
        <f t="shared" si="23"/>
        <v>wheat bran, fine</v>
      </c>
      <c r="X88" s="13">
        <f t="shared" si="33"/>
        <v>0</v>
      </c>
      <c r="Y88" s="13">
        <f t="shared" si="34"/>
        <v>3.6962002826714343E-4</v>
      </c>
      <c r="Z88" s="13">
        <f t="shared" si="35"/>
        <v>0</v>
      </c>
      <c r="AA88" s="13">
        <f t="shared" si="36"/>
        <v>0</v>
      </c>
      <c r="AB88" s="13">
        <f t="shared" si="37"/>
        <v>5.108654814463125E-4</v>
      </c>
      <c r="AC88" s="13">
        <f t="shared" si="38"/>
        <v>0</v>
      </c>
      <c r="AD88" s="13">
        <f t="shared" si="39"/>
        <v>3.4645257386917328E-3</v>
      </c>
      <c r="AE88" s="13">
        <f t="shared" si="40"/>
        <v>3.1811619025563673E-4</v>
      </c>
      <c r="AF88" s="13">
        <f t="shared" si="41"/>
        <v>2.1320226486804789E-4</v>
      </c>
      <c r="AG88" s="13">
        <f t="shared" si="42"/>
        <v>6.4088803948898038E-4</v>
      </c>
      <c r="AH88" s="13">
        <f t="shared" si="43"/>
        <v>5.3539448640650723E-3</v>
      </c>
      <c r="AI88" s="13">
        <f t="shared" si="44"/>
        <v>4.2007468138700703E-4</v>
      </c>
    </row>
    <row r="89" spans="2:35" x14ac:dyDescent="0.25">
      <c r="B89" t="str">
        <f t="shared" si="46"/>
        <v>broad beans</v>
      </c>
      <c r="E89" s="13">
        <f t="shared" si="47"/>
        <v>0.34032449187566977</v>
      </c>
      <c r="H89" s="13">
        <f t="shared" si="48"/>
        <v>0.65183027203772292</v>
      </c>
      <c r="I89" s="13"/>
      <c r="J89" s="13">
        <f t="shared" si="49"/>
        <v>16.461866881284816</v>
      </c>
      <c r="K89" s="13">
        <f t="shared" ref="K89:M89" si="62">K$81*$W32</f>
        <v>0.26677635429764379</v>
      </c>
      <c r="L89" s="13">
        <f t="shared" si="62"/>
        <v>0.63140349788627192</v>
      </c>
      <c r="M89" s="13">
        <f t="shared" si="62"/>
        <v>1.2887894657172236</v>
      </c>
      <c r="N89" s="13">
        <f t="shared" ref="N89:O89" si="63">N$81*$U32</f>
        <v>26.016101518171983</v>
      </c>
      <c r="O89" s="13">
        <f t="shared" si="63"/>
        <v>0.8542511300413812</v>
      </c>
      <c r="Q89" s="2"/>
      <c r="U89" s="109" t="str">
        <f t="shared" si="23"/>
        <v>oat hulls</v>
      </c>
      <c r="X89" s="13">
        <f t="shared" si="33"/>
        <v>0</v>
      </c>
      <c r="Y89" s="13">
        <f t="shared" si="34"/>
        <v>1.698197038402606E-2</v>
      </c>
      <c r="Z89" s="13">
        <f t="shared" si="35"/>
        <v>0</v>
      </c>
      <c r="AA89" s="13">
        <f t="shared" si="36"/>
        <v>0</v>
      </c>
      <c r="AB89" s="13">
        <f t="shared" si="37"/>
        <v>2.3471407966757316E-2</v>
      </c>
      <c r="AC89" s="13">
        <f t="shared" si="38"/>
        <v>0</v>
      </c>
      <c r="AD89" s="13">
        <f t="shared" si="39"/>
        <v>0.15917555594859789</v>
      </c>
      <c r="AE89" s="13">
        <f t="shared" si="40"/>
        <v>1.4615657454838853E-2</v>
      </c>
      <c r="AF89" s="13">
        <f t="shared" si="41"/>
        <v>9.7954501133788105E-3</v>
      </c>
      <c r="AG89" s="13">
        <f t="shared" si="42"/>
        <v>2.9445216367475335E-2</v>
      </c>
      <c r="AH89" s="13">
        <f t="shared" si="43"/>
        <v>0.24598378379417407</v>
      </c>
      <c r="AI89" s="13">
        <f t="shared" si="44"/>
        <v>1.9300079142998843E-2</v>
      </c>
    </row>
    <row r="90" spans="2:35" x14ac:dyDescent="0.25">
      <c r="B90" t="str">
        <f t="shared" si="46"/>
        <v>rapeseed</v>
      </c>
      <c r="E90" s="13">
        <f t="shared" si="47"/>
        <v>5.3874879689977409</v>
      </c>
      <c r="H90" s="13">
        <f t="shared" si="48"/>
        <v>10.318762922636468</v>
      </c>
      <c r="I90" s="13"/>
      <c r="J90" s="13">
        <f t="shared" si="49"/>
        <v>260.59866946797524</v>
      </c>
      <c r="K90" s="13">
        <f t="shared" ref="K90:M90" si="64">K$81*$W33</f>
        <v>4.2231882615039797</v>
      </c>
      <c r="L90" s="13">
        <f t="shared" si="64"/>
        <v>9.9953980088159842</v>
      </c>
      <c r="M90" s="13">
        <f t="shared" si="64"/>
        <v>20.402110065176174</v>
      </c>
      <c r="N90" s="13">
        <f t="shared" ref="N90:O90" si="65">N$81*$U33</f>
        <v>411.84645030067469</v>
      </c>
      <c r="O90" s="13">
        <f t="shared" si="65"/>
        <v>13.523175073987931</v>
      </c>
      <c r="Q90" s="2"/>
      <c r="U90" s="109" t="str">
        <f t="shared" si="23"/>
        <v>oat bran</v>
      </c>
      <c r="X90" s="13">
        <f t="shared" si="33"/>
        <v>0</v>
      </c>
      <c r="Y90" s="13">
        <f t="shared" si="34"/>
        <v>1.9166071484036143E-3</v>
      </c>
      <c r="Z90" s="13">
        <f t="shared" si="35"/>
        <v>0</v>
      </c>
      <c r="AA90" s="13">
        <f t="shared" si="36"/>
        <v>0</v>
      </c>
      <c r="AB90" s="13">
        <f t="shared" si="37"/>
        <v>2.6490134698680073E-3</v>
      </c>
      <c r="AC90" s="13">
        <f t="shared" si="38"/>
        <v>0</v>
      </c>
      <c r="AD90" s="13">
        <f t="shared" si="39"/>
        <v>1.7964759181842063E-2</v>
      </c>
      <c r="AE90" s="13">
        <f t="shared" si="40"/>
        <v>1.6495420097371271E-3</v>
      </c>
      <c r="AF90" s="13">
        <f t="shared" si="41"/>
        <v>1.1055271729123049E-3</v>
      </c>
      <c r="AG90" s="13">
        <f t="shared" si="42"/>
        <v>3.3232252147418258E-3</v>
      </c>
      <c r="AH90" s="13">
        <f t="shared" si="43"/>
        <v>2.77620480868788E-2</v>
      </c>
      <c r="AI90" s="13">
        <f t="shared" si="44"/>
        <v>2.178231902054312E-3</v>
      </c>
    </row>
    <row r="91" spans="2:35" x14ac:dyDescent="0.25">
      <c r="B91" t="str">
        <f t="shared" si="46"/>
        <v>linseed</v>
      </c>
      <c r="C91" s="93"/>
      <c r="E91" s="13">
        <f t="shared" si="47"/>
        <v>3.9741278514404295E-3</v>
      </c>
      <c r="H91" s="13">
        <f t="shared" si="48"/>
        <v>7.6117261624046575E-3</v>
      </c>
      <c r="I91" s="13"/>
      <c r="J91" s="13">
        <f t="shared" si="49"/>
        <v>0.19223289895785448</v>
      </c>
      <c r="K91" s="13">
        <f t="shared" ref="K91:M91" si="66">K$81*$W34</f>
        <v>3.1152719390743367E-3</v>
      </c>
      <c r="L91" s="13">
        <f t="shared" si="66"/>
        <v>7.3731931916420895E-3</v>
      </c>
      <c r="M91" s="13">
        <f t="shared" si="66"/>
        <v>1.5049795805530782E-2</v>
      </c>
      <c r="N91" s="13">
        <f t="shared" ref="N91:O91" si="67">N$81*$U34</f>
        <v>0.30380215381924586</v>
      </c>
      <c r="O91" s="13">
        <f t="shared" si="67"/>
        <v>9.9754889497114668E-3</v>
      </c>
      <c r="Q91" s="2"/>
      <c r="T91" s="6"/>
      <c r="U91" s="109" t="str">
        <f t="shared" si="23"/>
        <v>rye bran</v>
      </c>
      <c r="X91" s="13">
        <f t="shared" si="33"/>
        <v>0</v>
      </c>
      <c r="Y91" s="13">
        <f t="shared" si="34"/>
        <v>5.9108372219059966E-3</v>
      </c>
      <c r="Z91" s="13">
        <f t="shared" si="35"/>
        <v>0</v>
      </c>
      <c r="AA91" s="13">
        <f t="shared" si="36"/>
        <v>0</v>
      </c>
      <c r="AB91" s="13">
        <f t="shared" si="37"/>
        <v>8.1695862566661028E-3</v>
      </c>
      <c r="AC91" s="13">
        <f t="shared" si="38"/>
        <v>0</v>
      </c>
      <c r="AD91" s="13">
        <f t="shared" si="39"/>
        <v>5.5403512056737859E-2</v>
      </c>
      <c r="AE91" s="13">
        <f t="shared" si="40"/>
        <v>5.0872054392434975E-3</v>
      </c>
      <c r="AF91" s="13">
        <f t="shared" si="41"/>
        <v>3.4094577852959427E-3</v>
      </c>
      <c r="AG91" s="13">
        <f t="shared" si="42"/>
        <v>1.0248862586385358E-2</v>
      </c>
      <c r="AH91" s="13">
        <f t="shared" si="43"/>
        <v>8.5618457243544915E-2</v>
      </c>
      <c r="AI91" s="13">
        <f t="shared" si="44"/>
        <v>6.7176907982054394E-3</v>
      </c>
    </row>
    <row r="92" spans="2:35" x14ac:dyDescent="0.25">
      <c r="B92" t="str">
        <f t="shared" si="46"/>
        <v>vegetable oils</v>
      </c>
      <c r="E92" s="13">
        <f t="shared" si="47"/>
        <v>0.10259981586915692</v>
      </c>
      <c r="H92" s="13">
        <f t="shared" si="48"/>
        <v>0.19651146915822082</v>
      </c>
      <c r="I92" s="13"/>
      <c r="J92" s="13">
        <f t="shared" si="49"/>
        <v>4.962865004436499</v>
      </c>
      <c r="K92" s="13">
        <f t="shared" ref="K92:M92" si="68">K$81*$W35</f>
        <v>8.0426785266993678E-2</v>
      </c>
      <c r="L92" s="13">
        <f t="shared" si="68"/>
        <v>0.19035327802954535</v>
      </c>
      <c r="M92" s="13">
        <f t="shared" si="68"/>
        <v>0.38853965857092504</v>
      </c>
      <c r="N92" s="13">
        <f t="shared" ref="N92:O92" si="69">N$81*$U35</f>
        <v>7.8432416388441766</v>
      </c>
      <c r="O92" s="13">
        <f t="shared" si="69"/>
        <v>0.25753658858112555</v>
      </c>
      <c r="Q92" s="2"/>
      <c r="U92" s="109" t="str">
        <f t="shared" si="23"/>
        <v>wheat distillers grain, dry</v>
      </c>
      <c r="X92" s="13">
        <f t="shared" si="33"/>
        <v>0</v>
      </c>
      <c r="Y92" s="13">
        <f t="shared" si="34"/>
        <v>0.15156063572052919</v>
      </c>
      <c r="Z92" s="13">
        <f t="shared" si="35"/>
        <v>0</v>
      </c>
      <c r="AA92" s="13">
        <f t="shared" si="36"/>
        <v>0</v>
      </c>
      <c r="AB92" s="13">
        <f t="shared" si="37"/>
        <v>0.20947754779055638</v>
      </c>
      <c r="AC92" s="13">
        <f t="shared" si="38"/>
        <v>0</v>
      </c>
      <c r="AD92" s="13">
        <f t="shared" si="39"/>
        <v>1.4206094996744831</v>
      </c>
      <c r="AE92" s="13">
        <f t="shared" si="40"/>
        <v>0.13044177355370595</v>
      </c>
      <c r="AF92" s="13">
        <f t="shared" si="41"/>
        <v>8.7422402276057576E-2</v>
      </c>
      <c r="AG92" s="13">
        <f t="shared" si="42"/>
        <v>0.2627925741632976</v>
      </c>
      <c r="AH92" s="13">
        <f t="shared" si="43"/>
        <v>2.1953552977488813</v>
      </c>
      <c r="AI92" s="13">
        <f t="shared" si="44"/>
        <v>0.17224928546106344</v>
      </c>
    </row>
    <row r="93" spans="2:35" x14ac:dyDescent="0.25">
      <c r="B93" t="str">
        <f t="shared" si="46"/>
        <v>soybeans</v>
      </c>
      <c r="C93" s="109"/>
      <c r="E93" s="13">
        <f t="shared" si="47"/>
        <v>0.10026366567152895</v>
      </c>
      <c r="H93" s="13">
        <f t="shared" si="48"/>
        <v>0.19203699419331838</v>
      </c>
      <c r="I93" s="13"/>
      <c r="J93" s="13">
        <f t="shared" si="49"/>
        <v>4.8498628712192149</v>
      </c>
      <c r="K93" s="13">
        <f t="shared" ref="K93:M93" si="70">K$81*$W36</f>
        <v>7.8595504687156384E-2</v>
      </c>
      <c r="L93" s="13">
        <f t="shared" si="70"/>
        <v>0.18601902221903824</v>
      </c>
      <c r="M93" s="13">
        <f t="shared" si="70"/>
        <v>0.37969279084053531</v>
      </c>
      <c r="N93" s="13">
        <f t="shared" ref="N93:O93" si="71">N$81*$U36</f>
        <v>7.6646546662515878</v>
      </c>
      <c r="O93" s="13">
        <f t="shared" si="71"/>
        <v>0.25167259996464014</v>
      </c>
      <c r="Q93" s="2"/>
      <c r="U93" s="109" t="str">
        <f t="shared" si="23"/>
        <v>barley brewers grain</v>
      </c>
      <c r="X93" s="13">
        <f t="shared" si="33"/>
        <v>0</v>
      </c>
      <c r="Y93" s="13">
        <f t="shared" si="34"/>
        <v>0</v>
      </c>
      <c r="Z93" s="13">
        <f t="shared" si="35"/>
        <v>0</v>
      </c>
      <c r="AA93" s="13">
        <f t="shared" si="36"/>
        <v>0</v>
      </c>
      <c r="AB93" s="13">
        <f t="shared" si="37"/>
        <v>0</v>
      </c>
      <c r="AC93" s="13">
        <f t="shared" si="38"/>
        <v>0</v>
      </c>
      <c r="AD93" s="13">
        <f t="shared" si="39"/>
        <v>0</v>
      </c>
      <c r="AE93" s="13">
        <f t="shared" si="40"/>
        <v>0</v>
      </c>
      <c r="AF93" s="13">
        <f t="shared" si="41"/>
        <v>0</v>
      </c>
      <c r="AG93" s="13">
        <f t="shared" si="42"/>
        <v>0</v>
      </c>
      <c r="AH93" s="13">
        <f t="shared" si="43"/>
        <v>0</v>
      </c>
      <c r="AI93" s="13">
        <f t="shared" si="44"/>
        <v>0</v>
      </c>
    </row>
    <row r="94" spans="2:35" x14ac:dyDescent="0.25">
      <c r="B94" t="str">
        <f t="shared" si="46"/>
        <v>soybean meal</v>
      </c>
      <c r="E94" s="13">
        <f t="shared" si="47"/>
        <v>0.91587138440554061</v>
      </c>
      <c r="H94" s="13">
        <f t="shared" si="48"/>
        <v>1.7541866891752473</v>
      </c>
      <c r="I94" s="13"/>
      <c r="J94" s="13">
        <f t="shared" si="49"/>
        <v>44.301697851267441</v>
      </c>
      <c r="K94" s="13">
        <f t="shared" ref="K94:M94" si="72">K$81*$W37</f>
        <v>0.71794077349715923</v>
      </c>
      <c r="L94" s="13">
        <f t="shared" si="72"/>
        <v>1.6992147480789144</v>
      </c>
      <c r="M94" s="13">
        <f t="shared" si="72"/>
        <v>3.4683527643521224</v>
      </c>
      <c r="N94" s="13">
        <f t="shared" ref="N94:O94" si="73">N$81*$U37</f>
        <v>70.013776507710432</v>
      </c>
      <c r="O94" s="13">
        <f t="shared" si="73"/>
        <v>2.2989358208953838</v>
      </c>
      <c r="Q94" s="2"/>
      <c r="U94" s="109" t="str">
        <f t="shared" si="23"/>
        <v>maize gluten meal</v>
      </c>
      <c r="X94" s="13">
        <f t="shared" si="33"/>
        <v>0</v>
      </c>
      <c r="Y94" s="13">
        <f t="shared" si="34"/>
        <v>4.5796866038063828E-3</v>
      </c>
      <c r="Z94" s="13">
        <f t="shared" si="35"/>
        <v>0</v>
      </c>
      <c r="AA94" s="13">
        <f t="shared" si="36"/>
        <v>0</v>
      </c>
      <c r="AB94" s="13">
        <f t="shared" si="37"/>
        <v>6.3297538628935548E-3</v>
      </c>
      <c r="AC94" s="13">
        <f t="shared" si="38"/>
        <v>0</v>
      </c>
      <c r="AD94" s="13">
        <f t="shared" si="39"/>
        <v>4.2926359235494246E-2</v>
      </c>
      <c r="AE94" s="13">
        <f t="shared" si="40"/>
        <v>3.9415408894312009E-3</v>
      </c>
      <c r="AF94" s="13">
        <f t="shared" si="41"/>
        <v>2.6416305439262745E-3</v>
      </c>
      <c r="AG94" s="13">
        <f t="shared" si="42"/>
        <v>7.940766583314298E-3</v>
      </c>
      <c r="AH94" s="13">
        <f t="shared" si="43"/>
        <v>6.6336745025503241E-2</v>
      </c>
      <c r="AI94" s="13">
        <f t="shared" si="44"/>
        <v>5.2048326492629164E-3</v>
      </c>
    </row>
    <row r="95" spans="2:35" x14ac:dyDescent="0.25">
      <c r="B95" t="str">
        <f t="shared" si="46"/>
        <v>soybean protein concentrate</v>
      </c>
      <c r="E95" s="13">
        <f t="shared" si="47"/>
        <v>0</v>
      </c>
      <c r="H95" s="13">
        <f t="shared" si="48"/>
        <v>0</v>
      </c>
      <c r="I95" s="13"/>
      <c r="J95" s="13">
        <f t="shared" si="49"/>
        <v>0</v>
      </c>
      <c r="K95" s="13">
        <f t="shared" ref="K95:M95" si="74">K$81*$W38</f>
        <v>0</v>
      </c>
      <c r="L95" s="13">
        <f t="shared" si="74"/>
        <v>0</v>
      </c>
      <c r="M95" s="13">
        <f t="shared" si="74"/>
        <v>0</v>
      </c>
      <c r="N95" s="13">
        <f t="shared" ref="N95:O95" si="75">N$81*$U38</f>
        <v>0</v>
      </c>
      <c r="O95" s="13">
        <f t="shared" si="75"/>
        <v>0</v>
      </c>
      <c r="Q95" s="2"/>
      <c r="U95" s="109" t="str">
        <f t="shared" si="23"/>
        <v>sugar beet molasses</v>
      </c>
      <c r="X95" s="13">
        <f t="shared" si="33"/>
        <v>0</v>
      </c>
      <c r="Y95" s="13">
        <f t="shared" si="34"/>
        <v>5.078594708304953E-2</v>
      </c>
      <c r="Z95" s="13">
        <f t="shared" si="35"/>
        <v>0</v>
      </c>
      <c r="AA95" s="13">
        <f t="shared" si="36"/>
        <v>0</v>
      </c>
      <c r="AB95" s="13">
        <f t="shared" si="37"/>
        <v>7.0193131657187727E-2</v>
      </c>
      <c r="AC95" s="13">
        <f t="shared" si="38"/>
        <v>0</v>
      </c>
      <c r="AD95" s="13">
        <f t="shared" si="39"/>
        <v>0.47602729121024218</v>
      </c>
      <c r="AE95" s="13">
        <f t="shared" si="40"/>
        <v>4.3709298114406915E-2</v>
      </c>
      <c r="AF95" s="13">
        <f t="shared" si="41"/>
        <v>2.929408071401712E-2</v>
      </c>
      <c r="AG95" s="13">
        <f t="shared" si="42"/>
        <v>8.8058285727207697E-2</v>
      </c>
      <c r="AH95" s="13">
        <f t="shared" si="43"/>
        <v>0.73563427238161927</v>
      </c>
      <c r="AI95" s="13">
        <f t="shared" si="44"/>
        <v>5.7718437607039867E-2</v>
      </c>
    </row>
    <row r="96" spans="2:35" x14ac:dyDescent="0.25">
      <c r="B96" t="str">
        <f t="shared" si="46"/>
        <v>rapeseed meal</v>
      </c>
      <c r="E96" s="13">
        <f t="shared" si="47"/>
        <v>7.0738541923867215</v>
      </c>
      <c r="H96" s="13">
        <f t="shared" si="48"/>
        <v>13.548693710422512</v>
      </c>
      <c r="I96" s="13"/>
      <c r="J96" s="13">
        <f t="shared" si="49"/>
        <v>342.17004309883987</v>
      </c>
      <c r="K96" s="13">
        <f t="shared" ref="K96:M96" si="76">K$81*$W39</f>
        <v>5.5451108495813406</v>
      </c>
      <c r="L96" s="13">
        <f t="shared" si="76"/>
        <v>13.124110627460128</v>
      </c>
      <c r="M96" s="13">
        <f t="shared" si="76"/>
        <v>26.788282897071714</v>
      </c>
      <c r="N96" s="13">
        <f t="shared" ref="N96:O96" si="77">N$81*$U39</f>
        <v>540.76069512244305</v>
      </c>
      <c r="O96" s="13">
        <f t="shared" si="77"/>
        <v>17.756135928653478</v>
      </c>
      <c r="Q96" s="2"/>
      <c r="U96" s="109" t="str">
        <f t="shared" si="23"/>
        <v>sugar beet pulp</v>
      </c>
      <c r="X96" s="13">
        <f t="shared" si="33"/>
        <v>0</v>
      </c>
      <c r="Y96" s="13">
        <f t="shared" si="34"/>
        <v>9.7995501841553825E-2</v>
      </c>
      <c r="Z96" s="13">
        <f t="shared" si="35"/>
        <v>0</v>
      </c>
      <c r="AA96" s="13">
        <f t="shared" si="36"/>
        <v>0</v>
      </c>
      <c r="AB96" s="13">
        <f t="shared" si="37"/>
        <v>0.13544319950020575</v>
      </c>
      <c r="AC96" s="13">
        <f t="shared" si="38"/>
        <v>0</v>
      </c>
      <c r="AD96" s="13">
        <f t="shared" si="39"/>
        <v>0.91853231005300495</v>
      </c>
      <c r="AE96" s="13">
        <f t="shared" si="40"/>
        <v>8.4340547924782114E-2</v>
      </c>
      <c r="AF96" s="13">
        <f t="shared" si="41"/>
        <v>5.6525245770502136E-2</v>
      </c>
      <c r="AG96" s="13">
        <f t="shared" si="42"/>
        <v>0.16991542733333806</v>
      </c>
      <c r="AH96" s="13">
        <f t="shared" si="43"/>
        <v>1.4194645139923689</v>
      </c>
      <c r="AI96" s="13">
        <f t="shared" si="44"/>
        <v>0.11137229063707067</v>
      </c>
    </row>
    <row r="97" spans="2:35" x14ac:dyDescent="0.25">
      <c r="B97" t="str">
        <f t="shared" si="46"/>
        <v>sunflower seed meal</v>
      </c>
      <c r="C97" s="109"/>
      <c r="E97" s="13">
        <f t="shared" si="47"/>
        <v>9.7718448659177101E-2</v>
      </c>
      <c r="H97" s="13">
        <f t="shared" si="48"/>
        <v>0.18716208939756701</v>
      </c>
      <c r="I97" s="13"/>
      <c r="J97" s="13">
        <f t="shared" si="49"/>
        <v>4.7267479481339114</v>
      </c>
      <c r="K97" s="13">
        <f t="shared" ref="K97:M97" si="78">K$81*$W40</f>
        <v>7.6600339097664727E-2</v>
      </c>
      <c r="L97" s="13">
        <f t="shared" si="78"/>
        <v>0.18129688507392289</v>
      </c>
      <c r="M97" s="13">
        <f t="shared" si="78"/>
        <v>0.37005419899131364</v>
      </c>
      <c r="N97" s="13">
        <f t="shared" ref="N97:O97" si="79">N$81*$U40</f>
        <v>7.4700855836264219</v>
      </c>
      <c r="O97" s="13">
        <f t="shared" si="79"/>
        <v>0.24528383112517485</v>
      </c>
      <c r="Q97" s="2"/>
      <c r="U97" s="109" t="str">
        <f t="shared" si="23"/>
        <v>whey powder</v>
      </c>
      <c r="X97" s="13">
        <f t="shared" si="33"/>
        <v>0</v>
      </c>
      <c r="Y97" s="13">
        <f t="shared" si="34"/>
        <v>0</v>
      </c>
      <c r="Z97" s="13">
        <f t="shared" si="35"/>
        <v>0</v>
      </c>
      <c r="AA97" s="13">
        <f t="shared" si="36"/>
        <v>0</v>
      </c>
      <c r="AB97" s="13">
        <f t="shared" si="37"/>
        <v>0</v>
      </c>
      <c r="AC97" s="13">
        <f t="shared" si="38"/>
        <v>0</v>
      </c>
      <c r="AD97" s="13">
        <f t="shared" si="39"/>
        <v>0</v>
      </c>
      <c r="AE97" s="13">
        <f t="shared" si="40"/>
        <v>0</v>
      </c>
      <c r="AF97" s="13">
        <f t="shared" si="41"/>
        <v>0</v>
      </c>
      <c r="AG97" s="13">
        <f t="shared" si="42"/>
        <v>0</v>
      </c>
      <c r="AH97" s="13">
        <f t="shared" si="43"/>
        <v>0</v>
      </c>
      <c r="AI97" s="13">
        <f t="shared" si="44"/>
        <v>0</v>
      </c>
    </row>
    <row r="98" spans="2:35" x14ac:dyDescent="0.25">
      <c r="B98" t="str">
        <f t="shared" si="46"/>
        <v>palm kernel expeller</v>
      </c>
      <c r="E98" s="13">
        <f t="shared" si="47"/>
        <v>0.63496657944929369</v>
      </c>
      <c r="H98" s="13">
        <f t="shared" si="48"/>
        <v>1.2161641259968488</v>
      </c>
      <c r="I98" s="13"/>
      <c r="J98" s="13">
        <f t="shared" si="49"/>
        <v>30.714026038354344</v>
      </c>
      <c r="K98" s="13">
        <f t="shared" ref="K98:M98" si="80">K$81*$W41</f>
        <v>0.49774281078839389</v>
      </c>
      <c r="L98" s="13">
        <f t="shared" si="80"/>
        <v>1.1780525024676538</v>
      </c>
      <c r="M98" s="13">
        <f t="shared" si="80"/>
        <v>2.4045822684301856</v>
      </c>
      <c r="N98" s="13">
        <f t="shared" ref="N98:O98" si="81">N$81*$U41</f>
        <v>48.540012211740056</v>
      </c>
      <c r="O98" s="13">
        <f t="shared" si="81"/>
        <v>1.5938345049560272</v>
      </c>
      <c r="Q98" s="2"/>
      <c r="U98" s="109" t="str">
        <f t="shared" si="23"/>
        <v>potatoe protein</v>
      </c>
      <c r="X98" s="13">
        <f t="shared" si="33"/>
        <v>0</v>
      </c>
      <c r="Y98" s="13">
        <f t="shared" si="34"/>
        <v>4.4864855896685517E-4</v>
      </c>
      <c r="Z98" s="13">
        <f t="shared" si="35"/>
        <v>0</v>
      </c>
      <c r="AA98" s="13">
        <f t="shared" si="36"/>
        <v>0</v>
      </c>
      <c r="AB98" s="13">
        <f t="shared" si="37"/>
        <v>6.2009373017834091E-4</v>
      </c>
      <c r="AC98" s="13">
        <f t="shared" si="38"/>
        <v>0</v>
      </c>
      <c r="AD98" s="13">
        <f t="shared" si="39"/>
        <v>4.2052766660258274E-3</v>
      </c>
      <c r="AE98" s="13">
        <f t="shared" si="40"/>
        <v>3.8613267525390842E-4</v>
      </c>
      <c r="AF98" s="13">
        <f t="shared" si="41"/>
        <v>2.5878708291312121E-4</v>
      </c>
      <c r="AG98" s="13">
        <f t="shared" si="42"/>
        <v>7.7791643684418715E-4</v>
      </c>
      <c r="AH98" s="13">
        <f t="shared" si="43"/>
        <v>6.4986728649744927E-3</v>
      </c>
      <c r="AI98" s="13">
        <f t="shared" si="44"/>
        <v>5.0989093136080688E-4</v>
      </c>
    </row>
    <row r="99" spans="2:35" x14ac:dyDescent="0.25">
      <c r="B99" t="str">
        <f t="shared" si="46"/>
        <v>luzern meal</v>
      </c>
      <c r="C99" s="93"/>
      <c r="E99" s="13">
        <f t="shared" si="47"/>
        <v>0.193149861229582</v>
      </c>
      <c r="H99" s="13">
        <f t="shared" si="48"/>
        <v>0.36994377306033582</v>
      </c>
      <c r="I99" s="13"/>
      <c r="J99" s="13">
        <f t="shared" si="49"/>
        <v>9.3428694660671532</v>
      </c>
      <c r="K99" s="13">
        <f t="shared" ref="K99:M99" si="82">K$81*$W42</f>
        <v>0.15140789758601414</v>
      </c>
      <c r="L99" s="13">
        <f t="shared" si="82"/>
        <v>0.35835063566673864</v>
      </c>
      <c r="M99" s="13">
        <f t="shared" si="82"/>
        <v>0.73144752258491552</v>
      </c>
      <c r="N99" s="13">
        <f t="shared" ref="N99:O99" si="83">N$81*$U42</f>
        <v>14.76533872209648</v>
      </c>
      <c r="O99" s="13">
        <f t="shared" si="83"/>
        <v>0.48482695533704057</v>
      </c>
      <c r="Q99" s="2"/>
      <c r="U99" s="109" t="str">
        <f t="shared" si="23"/>
        <v>fish meal</v>
      </c>
      <c r="X99" s="13">
        <f t="shared" si="33"/>
        <v>0</v>
      </c>
      <c r="Y99" s="13">
        <f t="shared" si="34"/>
        <v>0</v>
      </c>
      <c r="Z99" s="13">
        <f t="shared" si="35"/>
        <v>0</v>
      </c>
      <c r="AA99" s="13">
        <f t="shared" si="36"/>
        <v>0</v>
      </c>
      <c r="AB99" s="13">
        <f t="shared" si="37"/>
        <v>0</v>
      </c>
      <c r="AC99" s="13">
        <f t="shared" si="38"/>
        <v>0</v>
      </c>
      <c r="AD99" s="13">
        <f t="shared" si="39"/>
        <v>0</v>
      </c>
      <c r="AE99" s="13">
        <f t="shared" si="40"/>
        <v>0</v>
      </c>
      <c r="AF99" s="13">
        <f t="shared" si="41"/>
        <v>0</v>
      </c>
      <c r="AG99" s="13">
        <f t="shared" si="42"/>
        <v>0</v>
      </c>
      <c r="AH99" s="13">
        <f t="shared" si="43"/>
        <v>0</v>
      </c>
      <c r="AI99" s="13">
        <f t="shared" si="44"/>
        <v>0</v>
      </c>
    </row>
    <row r="100" spans="2:35" x14ac:dyDescent="0.25">
      <c r="B100" t="str">
        <f t="shared" si="46"/>
        <v>wheat bran</v>
      </c>
      <c r="C100" s="160"/>
      <c r="E100" s="13">
        <f t="shared" si="47"/>
        <v>2.1043936822924469</v>
      </c>
      <c r="H100" s="13">
        <f t="shared" si="48"/>
        <v>4.0305870989275583</v>
      </c>
      <c r="I100" s="13"/>
      <c r="J100" s="13">
        <f t="shared" si="49"/>
        <v>101.7918177818681</v>
      </c>
      <c r="K100" s="13">
        <f t="shared" ref="K100:M100" si="84">K$81*$W43</f>
        <v>1.6496093815489172</v>
      </c>
      <c r="L100" s="13">
        <f t="shared" si="84"/>
        <v>3.9042783098156884</v>
      </c>
      <c r="M100" s="13">
        <f t="shared" si="84"/>
        <v>7.9692190077556866</v>
      </c>
      <c r="N100" s="13">
        <f t="shared" ref="N100:O100" si="85">N$81*$U43</f>
        <v>160.8703486809909</v>
      </c>
      <c r="O100" s="13">
        <f t="shared" si="85"/>
        <v>5.2822548011237753</v>
      </c>
      <c r="Q100" s="2"/>
      <c r="U100" s="109" t="str">
        <f t="shared" si="23"/>
        <v>minerals</v>
      </c>
      <c r="X100" s="13">
        <f t="shared" si="33"/>
        <v>0.85909167246946194</v>
      </c>
      <c r="Y100" s="13">
        <f t="shared" si="34"/>
        <v>0.6316938527980368</v>
      </c>
      <c r="Z100" s="13">
        <f t="shared" si="35"/>
        <v>0.71937677297698155</v>
      </c>
      <c r="AA100" s="13">
        <f t="shared" si="36"/>
        <v>0.70094215439405494</v>
      </c>
      <c r="AB100" s="13">
        <f t="shared" si="37"/>
        <v>0.59452761799360676</v>
      </c>
      <c r="AC100" s="13">
        <f t="shared" si="38"/>
        <v>0.57755060787201484</v>
      </c>
      <c r="AD100" s="13">
        <f t="shared" si="39"/>
        <v>0.66022570674046432</v>
      </c>
      <c r="AE100" s="13">
        <f t="shared" si="40"/>
        <v>0.69363540132779178</v>
      </c>
      <c r="AF100" s="13">
        <f t="shared" si="41"/>
        <v>0.72908796527420217</v>
      </c>
      <c r="AG100" s="13">
        <f t="shared" si="42"/>
        <v>0.66953698870828937</v>
      </c>
      <c r="AH100" s="13">
        <f t="shared" si="43"/>
        <v>0.83716818155279793</v>
      </c>
      <c r="AI100" s="13">
        <f t="shared" si="44"/>
        <v>0.66740688157168271</v>
      </c>
    </row>
    <row r="101" spans="2:35" x14ac:dyDescent="0.25">
      <c r="B101" t="str">
        <f t="shared" si="46"/>
        <v>wheat bran, fine</v>
      </c>
      <c r="E101" s="13">
        <f t="shared" si="47"/>
        <v>5.5165321042362466E-3</v>
      </c>
      <c r="H101" s="13">
        <f t="shared" si="48"/>
        <v>1.056592372294736E-2</v>
      </c>
      <c r="I101" s="13"/>
      <c r="J101" s="13">
        <f t="shared" si="49"/>
        <v>0.26684067504447334</v>
      </c>
      <c r="K101" s="13">
        <f t="shared" ref="K101:M101" si="86">K$81*$W44</f>
        <v>4.3243444367550904E-3</v>
      </c>
      <c r="L101" s="13">
        <f t="shared" si="86"/>
        <v>1.0234813391241849E-2</v>
      </c>
      <c r="M101" s="13">
        <f t="shared" si="86"/>
        <v>2.0890792854920067E-2</v>
      </c>
      <c r="N101" s="13">
        <f t="shared" ref="N101:O101" si="87">N$81*$U44</f>
        <v>0.42171122760243929</v>
      </c>
      <c r="O101" s="13">
        <f t="shared" si="87"/>
        <v>1.3847089752432463E-2</v>
      </c>
      <c r="Q101" s="2"/>
    </row>
    <row r="102" spans="2:35" x14ac:dyDescent="0.25">
      <c r="B102" t="str">
        <f t="shared" si="46"/>
        <v>oat hulls</v>
      </c>
      <c r="E102" s="13">
        <f t="shared" si="47"/>
        <v>0.25345375697271577</v>
      </c>
      <c r="H102" s="13">
        <f t="shared" si="48"/>
        <v>0.48544502467622502</v>
      </c>
      <c r="I102" s="13"/>
      <c r="J102" s="13">
        <f t="shared" si="49"/>
        <v>12.25983467969337</v>
      </c>
      <c r="K102" s="13">
        <f t="shared" ref="K102:M102" si="88">K$81*$W45</f>
        <v>0.19867941004059148</v>
      </c>
      <c r="L102" s="13">
        <f t="shared" si="88"/>
        <v>0.47023235919045736</v>
      </c>
      <c r="M102" s="13">
        <f t="shared" si="88"/>
        <v>0.95981494083071583</v>
      </c>
      <c r="N102" s="13">
        <f t="shared" ref="N102:O102" si="89">N$81*$U45</f>
        <v>19.375269276750132</v>
      </c>
      <c r="O102" s="13">
        <f t="shared" si="89"/>
        <v>0.63619622882232796</v>
      </c>
      <c r="Q102" s="2"/>
      <c r="X102" s="2">
        <f>SUM(X63:X100)</f>
        <v>100.00000000000001</v>
      </c>
      <c r="Y102" s="2">
        <f t="shared" ref="Y102:AI102" si="90">SUM(Y63:Y100)</f>
        <v>100</v>
      </c>
      <c r="Z102" s="2">
        <f t="shared" si="90"/>
        <v>100</v>
      </c>
      <c r="AA102" s="2">
        <f t="shared" si="90"/>
        <v>100</v>
      </c>
      <c r="AB102" s="2">
        <f t="shared" si="90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90"/>
        <v>100.00000000000001</v>
      </c>
      <c r="AF102" s="2">
        <f t="shared" si="90"/>
        <v>100.00000000000001</v>
      </c>
      <c r="AG102" s="2">
        <f t="shared" si="90"/>
        <v>99.999999999999972</v>
      </c>
      <c r="AH102" s="2">
        <f t="shared" si="90"/>
        <v>100.00000000000003</v>
      </c>
      <c r="AI102" s="2">
        <f t="shared" si="90"/>
        <v>99.999999999999986</v>
      </c>
    </row>
    <row r="103" spans="2:35" x14ac:dyDescent="0.25">
      <c r="B103" t="str">
        <f t="shared" si="46"/>
        <v>oat bran</v>
      </c>
      <c r="D103" s="164"/>
      <c r="E103" s="13">
        <f t="shared" si="47"/>
        <v>2.8605118924279593E-2</v>
      </c>
      <c r="H103" s="13">
        <f t="shared" si="48"/>
        <v>5.4787953541987171E-2</v>
      </c>
      <c r="I103" s="13"/>
      <c r="J103" s="13">
        <f t="shared" si="49"/>
        <v>1.3836608034276965</v>
      </c>
      <c r="K103" s="13">
        <f t="shared" ref="K103:M103" si="91">K$81*$W46</f>
        <v>2.2423215263795156E-2</v>
      </c>
      <c r="L103" s="13">
        <f t="shared" si="91"/>
        <v>5.307103243348487E-2</v>
      </c>
      <c r="M103" s="13">
        <f t="shared" si="91"/>
        <v>0.10832595600750396</v>
      </c>
      <c r="N103" s="13">
        <f t="shared" ref="N103:O103" si="92">N$81*$U46</f>
        <v>2.1867179578286584</v>
      </c>
      <c r="O103" s="13">
        <f t="shared" si="92"/>
        <v>7.1801929480177093E-2</v>
      </c>
      <c r="Q103" s="2"/>
    </row>
    <row r="104" spans="2:35" x14ac:dyDescent="0.25">
      <c r="B104" t="str">
        <f t="shared" si="46"/>
        <v>rye bran</v>
      </c>
      <c r="E104" s="13">
        <f>E$81*$W47</f>
        <v>8.8218496845068217E-2</v>
      </c>
      <c r="H104" s="13">
        <f t="shared" si="48"/>
        <v>0.16896664263084388</v>
      </c>
      <c r="I104" s="13"/>
      <c r="J104" s="13">
        <f t="shared" si="49"/>
        <v>4.2672249168041159</v>
      </c>
      <c r="K104" s="13">
        <f t="shared" ref="K104:M104" si="93">K$81*$W47</f>
        <v>6.9153438943628409E-2</v>
      </c>
      <c r="L104" s="13">
        <f t="shared" si="93"/>
        <v>0.16367163932061185</v>
      </c>
      <c r="M104" s="13">
        <f t="shared" si="93"/>
        <v>0.3340784225922479</v>
      </c>
      <c r="N104" s="13">
        <f t="shared" ref="N104:O104" si="94">N$81*$U47</f>
        <v>6.7438618862032884</v>
      </c>
      <c r="O104" s="13">
        <f t="shared" si="94"/>
        <v>0.22143792885756514</v>
      </c>
      <c r="Q104" s="2"/>
      <c r="U104" s="6"/>
      <c r="V104" s="6"/>
      <c r="W104" s="181" t="s">
        <v>500</v>
      </c>
      <c r="X104" s="72">
        <f>SUM(X63:X68)</f>
        <v>99.140908327530553</v>
      </c>
      <c r="Y104" s="72">
        <f t="shared" ref="Y104:AI104" si="95">SUM(Y63:Y68)</f>
        <v>76.548062838849447</v>
      </c>
      <c r="Z104" s="72">
        <f t="shared" si="95"/>
        <v>99.280623227023014</v>
      </c>
      <c r="AA104" s="72">
        <f t="shared" si="95"/>
        <v>99.299057845605944</v>
      </c>
      <c r="AB104" s="72">
        <f t="shared" si="95"/>
        <v>60.138713626619086</v>
      </c>
      <c r="AC104" s="72">
        <f t="shared" si="95"/>
        <v>69.161685292673766</v>
      </c>
      <c r="AD104" s="72">
        <f t="shared" si="95"/>
        <v>61.181494947984113</v>
      </c>
      <c r="AE104" s="72">
        <f t="shared" si="95"/>
        <v>83.612049681667827</v>
      </c>
      <c r="AF104" s="72">
        <f t="shared" si="95"/>
        <v>93.643850586069149</v>
      </c>
      <c r="AG104" s="72">
        <f t="shared" si="95"/>
        <v>65.065884609325579</v>
      </c>
      <c r="AH104" s="72">
        <f t="shared" si="95"/>
        <v>59.012435259628177</v>
      </c>
      <c r="AI104" s="72">
        <f t="shared" si="95"/>
        <v>69.895702506416228</v>
      </c>
    </row>
    <row r="105" spans="2:35" x14ac:dyDescent="0.25">
      <c r="B105" t="str">
        <f t="shared" si="46"/>
        <v>wheat distillers grain, dry</v>
      </c>
      <c r="E105" s="13">
        <f t="shared" si="47"/>
        <v>2.2620232908116913</v>
      </c>
      <c r="H105" s="13">
        <f t="shared" si="48"/>
        <v>4.3324982250883979</v>
      </c>
      <c r="I105" s="13"/>
      <c r="J105" s="13">
        <f t="shared" si="49"/>
        <v>109.41653388058727</v>
      </c>
      <c r="K105" s="13">
        <f t="shared" ref="K105:M105" si="96">K$81*$W48</f>
        <v>1.773173372075616</v>
      </c>
      <c r="L105" s="13">
        <f t="shared" si="96"/>
        <v>4.1967282761432809</v>
      </c>
      <c r="M105" s="13">
        <f t="shared" si="96"/>
        <v>8.5661533565740164</v>
      </c>
      <c r="N105" s="13">
        <f t="shared" ref="N105:O105" si="97">N$81*$U48</f>
        <v>172.92034212960976</v>
      </c>
      <c r="O105" s="13">
        <f t="shared" si="97"/>
        <v>5.677922096367217</v>
      </c>
      <c r="Q105" s="2"/>
      <c r="W105" s="181" t="s">
        <v>586</v>
      </c>
      <c r="X105" s="72">
        <f>X68/X104*100</f>
        <v>58.5540143307718</v>
      </c>
      <c r="Y105" s="72">
        <f t="shared" ref="Y105:AI105" si="98">Y68/Y104*100</f>
        <v>27.644169508868021</v>
      </c>
      <c r="Z105" s="72">
        <f t="shared" si="98"/>
        <v>30.646316743875307</v>
      </c>
      <c r="AA105" s="72">
        <f t="shared" si="98"/>
        <v>30.495841704076714</v>
      </c>
      <c r="AB105" s="72">
        <f t="shared" si="98"/>
        <v>0</v>
      </c>
      <c r="AC105" s="72">
        <f t="shared" si="98"/>
        <v>0</v>
      </c>
      <c r="AD105" s="72">
        <f t="shared" si="98"/>
        <v>10.800572974693617</v>
      </c>
      <c r="AE105" s="72">
        <f t="shared" si="98"/>
        <v>16.294245990112653</v>
      </c>
      <c r="AF105" s="72">
        <f t="shared" si="98"/>
        <v>41.235797089451033</v>
      </c>
      <c r="AG105" s="72">
        <f t="shared" si="98"/>
        <v>0</v>
      </c>
      <c r="AH105" s="72">
        <f t="shared" si="98"/>
        <v>10.949399767651991</v>
      </c>
      <c r="AI105" s="72">
        <f t="shared" si="98"/>
        <v>0</v>
      </c>
    </row>
    <row r="106" spans="2:35" x14ac:dyDescent="0.25">
      <c r="B106" t="str">
        <f t="shared" si="46"/>
        <v>barley brewers grain</v>
      </c>
      <c r="E106" s="13">
        <f t="shared" si="47"/>
        <v>0</v>
      </c>
      <c r="H106" s="13">
        <f t="shared" si="48"/>
        <v>0</v>
      </c>
      <c r="I106" s="13"/>
      <c r="J106" s="13">
        <f t="shared" si="49"/>
        <v>0</v>
      </c>
      <c r="K106" s="13">
        <f t="shared" ref="K106:M106" si="99">K$81*$W49</f>
        <v>0</v>
      </c>
      <c r="L106" s="13">
        <f t="shared" si="99"/>
        <v>0</v>
      </c>
      <c r="M106" s="13">
        <f t="shared" si="99"/>
        <v>0</v>
      </c>
      <c r="N106" s="13">
        <f t="shared" ref="N106:O106" si="100">N$81*$U49</f>
        <v>0</v>
      </c>
      <c r="O106" s="13">
        <f t="shared" si="100"/>
        <v>0</v>
      </c>
      <c r="Q106" s="2"/>
    </row>
    <row r="107" spans="2:35" x14ac:dyDescent="0.25">
      <c r="B107" t="str">
        <f t="shared" si="46"/>
        <v>maize gluten meal</v>
      </c>
      <c r="E107" s="13">
        <f t="shared" si="47"/>
        <v>6.8351242479152099E-2</v>
      </c>
      <c r="H107" s="13">
        <f t="shared" si="48"/>
        <v>0.13091449496846297</v>
      </c>
      <c r="I107" s="13"/>
      <c r="J107" s="13">
        <f t="shared" si="49"/>
        <v>3.3062241528984204</v>
      </c>
      <c r="K107" s="13">
        <f t="shared" ref="K107:M107" si="101">K$81*$W50</f>
        <v>5.3579732624603534E-2</v>
      </c>
      <c r="L107" s="13">
        <f t="shared" si="101"/>
        <v>0.12681195334591416</v>
      </c>
      <c r="M107" s="13">
        <f t="shared" si="101"/>
        <v>0.25884226195508947</v>
      </c>
      <c r="N107" s="13">
        <f t="shared" ref="N107:O107" si="102">N$81*$U50</f>
        <v>5.2251098750790144</v>
      </c>
      <c r="O107" s="13">
        <f t="shared" si="102"/>
        <v>0.17156898055071318</v>
      </c>
      <c r="Q107" s="2"/>
    </row>
    <row r="108" spans="2:35" x14ac:dyDescent="0.25">
      <c r="B108" t="str">
        <f t="shared" si="46"/>
        <v>sugar beet molasses</v>
      </c>
      <c r="E108" s="13">
        <f t="shared" si="47"/>
        <v>0.7579738274496266</v>
      </c>
      <c r="H108" s="13">
        <f t="shared" si="48"/>
        <v>1.4517623560412518</v>
      </c>
      <c r="I108" s="13"/>
      <c r="J108" s="13">
        <f t="shared" si="49"/>
        <v>36.664020794401559</v>
      </c>
      <c r="K108" s="13">
        <f t="shared" ref="K108:M108" si="103">K$81*$W51</f>
        <v>0.59416674135200243</v>
      </c>
      <c r="L108" s="13">
        <f t="shared" si="103"/>
        <v>1.4062676574355435</v>
      </c>
      <c r="M108" s="13">
        <f t="shared" si="103"/>
        <v>2.8704037100665714</v>
      </c>
      <c r="N108" s="13">
        <f t="shared" ref="N108:O108" si="104">N$81*$U51</f>
        <v>57.943299744206961</v>
      </c>
      <c r="O108" s="13">
        <f t="shared" si="104"/>
        <v>1.9025959462158974</v>
      </c>
      <c r="Q108" s="2"/>
    </row>
    <row r="109" spans="2:35" x14ac:dyDescent="0.25">
      <c r="B109" t="str">
        <f t="shared" si="46"/>
        <v>sugar beet pulp</v>
      </c>
      <c r="E109" s="13">
        <f t="shared" si="47"/>
        <v>1.4625704524565366</v>
      </c>
      <c r="H109" s="13">
        <f t="shared" si="48"/>
        <v>2.8012902939920203</v>
      </c>
      <c r="I109" s="13"/>
      <c r="J109" s="13">
        <f t="shared" si="49"/>
        <v>70.746128085415293</v>
      </c>
      <c r="K109" s="13">
        <f t="shared" ref="K109:M109" si="105">K$81*$W52</f>
        <v>1.1464917234118837</v>
      </c>
      <c r="L109" s="13">
        <f t="shared" si="105"/>
        <v>2.7135046746019542</v>
      </c>
      <c r="M109" s="13">
        <f t="shared" si="105"/>
        <v>5.5386709948688679</v>
      </c>
      <c r="N109" s="13">
        <f t="shared" ref="N109:O109" si="106">N$81*$U52</f>
        <v>111.80617991633959</v>
      </c>
      <c r="O109" s="13">
        <f t="shared" si="106"/>
        <v>3.6712093651860145</v>
      </c>
      <c r="Q109" s="2"/>
    </row>
    <row r="110" spans="2:35" x14ac:dyDescent="0.25">
      <c r="B110" t="str">
        <f t="shared" si="46"/>
        <v>whey powder</v>
      </c>
      <c r="E110" s="13">
        <f t="shared" si="47"/>
        <v>0</v>
      </c>
      <c r="H110" s="13">
        <f t="shared" si="48"/>
        <v>0</v>
      </c>
      <c r="I110" s="13"/>
      <c r="J110" s="13">
        <f t="shared" si="49"/>
        <v>0</v>
      </c>
      <c r="K110" s="13">
        <f t="shared" ref="K110:M110" si="107">K$81*$W53</f>
        <v>0</v>
      </c>
      <c r="L110" s="13">
        <f t="shared" si="107"/>
        <v>0</v>
      </c>
      <c r="M110" s="13">
        <f t="shared" si="107"/>
        <v>0</v>
      </c>
      <c r="N110" s="13">
        <f t="shared" ref="N110:O110" si="108">N$81*$U53</f>
        <v>0</v>
      </c>
      <c r="O110" s="13">
        <f t="shared" si="108"/>
        <v>0</v>
      </c>
      <c r="Q110" s="2"/>
    </row>
    <row r="111" spans="2:35" x14ac:dyDescent="0.25">
      <c r="B111" t="str">
        <f t="shared" si="46"/>
        <v>potatoe protein</v>
      </c>
      <c r="E111" s="13">
        <f t="shared" si="47"/>
        <v>6.6960229148383338E-3</v>
      </c>
      <c r="H111" s="13">
        <f t="shared" si="48"/>
        <v>1.282502594536874E-2</v>
      </c>
      <c r="I111" s="13"/>
      <c r="J111" s="13">
        <f t="shared" si="49"/>
        <v>0.32389393208400408</v>
      </c>
      <c r="K111" s="13">
        <f t="shared" ref="K111:M111" si="109">K$81*$W54</f>
        <v>5.2489333684707425E-3</v>
      </c>
      <c r="L111" s="13">
        <f t="shared" si="109"/>
        <v>1.2423120848734343E-2</v>
      </c>
      <c r="M111" s="13">
        <f t="shared" si="109"/>
        <v>2.5357457370413061E-2</v>
      </c>
      <c r="N111" s="13">
        <f t="shared" ref="N111:O111" si="110">N$81*$U54</f>
        <v>0.51187738784336978</v>
      </c>
      <c r="O111" s="13">
        <f t="shared" si="110"/>
        <v>1.6807738726818816E-2</v>
      </c>
      <c r="Q111" s="2"/>
    </row>
    <row r="112" spans="2:35" x14ac:dyDescent="0.25">
      <c r="B112" t="str">
        <f t="shared" si="46"/>
        <v>fish meal</v>
      </c>
      <c r="E112" s="13">
        <f t="shared" si="47"/>
        <v>0</v>
      </c>
      <c r="H112" s="13">
        <f t="shared" si="48"/>
        <v>0</v>
      </c>
      <c r="I112" s="13"/>
      <c r="J112" s="13">
        <f t="shared" si="49"/>
        <v>0</v>
      </c>
      <c r="K112" s="13">
        <f t="shared" ref="K112:M112" si="111">K$81*$W55</f>
        <v>0</v>
      </c>
      <c r="L112" s="13">
        <f t="shared" si="111"/>
        <v>0</v>
      </c>
      <c r="M112" s="13">
        <f t="shared" si="111"/>
        <v>0</v>
      </c>
      <c r="N112" s="13">
        <f t="shared" ref="N112:O112" si="112">N$81*$U55</f>
        <v>0</v>
      </c>
      <c r="O112" s="13">
        <f t="shared" si="112"/>
        <v>0</v>
      </c>
      <c r="Q112" s="2"/>
    </row>
    <row r="113" spans="2:17" x14ac:dyDescent="0.25">
      <c r="B113" s="6" t="str">
        <f t="shared" si="46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299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3">SUM(G66:G71,G73:G77,G79:G80,G82:G113)</f>
        <v>3674.463258325256</v>
      </c>
      <c r="H116" s="12">
        <f t="shared" si="113"/>
        <v>2068.2399000680466</v>
      </c>
      <c r="I116" s="12">
        <f>SUM(I66:I71,I73:I77,I79:I80,I82:I113)</f>
        <v>2077.7399999999998</v>
      </c>
      <c r="J116" s="12">
        <f t="shared" si="113"/>
        <v>7702.0837820427678</v>
      </c>
      <c r="K116" s="12">
        <f t="shared" si="113"/>
        <v>1359.3600606369851</v>
      </c>
      <c r="L116" s="12">
        <f t="shared" si="113"/>
        <v>4800.5181359476801</v>
      </c>
      <c r="M116" s="12">
        <f t="shared" si="113"/>
        <v>3259.6633994882459</v>
      </c>
      <c r="N116" s="12">
        <f t="shared" si="113"/>
        <v>7876.6449470353336</v>
      </c>
      <c r="O116" s="12">
        <f t="shared" si="113"/>
        <v>3296.3399999999992</v>
      </c>
    </row>
  </sheetData>
  <mergeCells count="20"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  <mergeCell ref="V23:W23"/>
    <mergeCell ref="T23:U23"/>
    <mergeCell ref="Q23:Q24"/>
    <mergeCell ref="R23:R24"/>
    <mergeCell ref="S23:S24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L1" t="s">
        <v>191</v>
      </c>
      <c r="M1" t="s">
        <v>199</v>
      </c>
    </row>
    <row r="2" spans="1:15" x14ac:dyDescent="0.25">
      <c r="A2" t="s">
        <v>200</v>
      </c>
      <c r="B2" t="s">
        <v>201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200</v>
      </c>
      <c r="B3" t="s">
        <v>201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202</v>
      </c>
      <c r="M3" t="s">
        <v>203</v>
      </c>
      <c r="N3" t="s">
        <v>204</v>
      </c>
      <c r="O3" t="s">
        <v>205</v>
      </c>
    </row>
    <row r="4" spans="1:15" x14ac:dyDescent="0.25">
      <c r="A4" t="s">
        <v>200</v>
      </c>
      <c r="B4" t="s">
        <v>201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206</v>
      </c>
      <c r="M4" s="12"/>
      <c r="N4" s="12"/>
      <c r="O4" s="12"/>
    </row>
    <row r="5" spans="1:15" x14ac:dyDescent="0.25">
      <c r="A5" t="s">
        <v>200</v>
      </c>
      <c r="B5" t="s">
        <v>201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207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200</v>
      </c>
      <c r="B6" t="s">
        <v>201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200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200</v>
      </c>
      <c r="B7" t="s">
        <v>201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208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200</v>
      </c>
      <c r="B8" t="s">
        <v>209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210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200</v>
      </c>
      <c r="B9" t="s">
        <v>209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210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200</v>
      </c>
      <c r="B10" t="s">
        <v>209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211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200</v>
      </c>
      <c r="B11" t="s">
        <v>209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211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200</v>
      </c>
      <c r="B12" t="s">
        <v>209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212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200</v>
      </c>
      <c r="B13" t="s">
        <v>209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213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200</v>
      </c>
      <c r="B14" t="s">
        <v>214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215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200</v>
      </c>
      <c r="B15" t="s">
        <v>214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117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200</v>
      </c>
      <c r="B16" t="s">
        <v>214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117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200</v>
      </c>
      <c r="B17" t="s">
        <v>214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216</v>
      </c>
      <c r="M17" s="12"/>
      <c r="N17" s="12"/>
      <c r="O17" s="12"/>
    </row>
    <row r="18" spans="1:24" x14ac:dyDescent="0.25">
      <c r="A18" t="s">
        <v>200</v>
      </c>
      <c r="B18" t="s">
        <v>214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207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200</v>
      </c>
      <c r="B19" t="s">
        <v>214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200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200</v>
      </c>
      <c r="B20" t="s">
        <v>217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208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200</v>
      </c>
      <c r="B21" t="s">
        <v>217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210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200</v>
      </c>
      <c r="B22" t="s">
        <v>217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210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200</v>
      </c>
      <c r="B23" t="s">
        <v>217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211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200</v>
      </c>
      <c r="B24" t="s">
        <v>217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211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200</v>
      </c>
      <c r="B25" t="s">
        <v>217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212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200</v>
      </c>
      <c r="B26" t="s">
        <v>218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213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200</v>
      </c>
      <c r="B27" t="s">
        <v>218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215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200</v>
      </c>
      <c r="B28" t="s">
        <v>218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117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200</v>
      </c>
      <c r="B29" t="s">
        <v>218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117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200</v>
      </c>
      <c r="B30" t="s">
        <v>218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219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200</v>
      </c>
      <c r="B31" t="s">
        <v>218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207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200</v>
      </c>
      <c r="B32" t="s">
        <v>220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200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200</v>
      </c>
      <c r="B33" t="s">
        <v>220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208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200</v>
      </c>
      <c r="B34" t="s">
        <v>220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210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200</v>
      </c>
      <c r="B35" t="s">
        <v>220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210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200</v>
      </c>
      <c r="B36" t="s">
        <v>220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211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200</v>
      </c>
      <c r="B37" t="s">
        <v>220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211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200</v>
      </c>
      <c r="B38" t="s">
        <v>221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212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200</v>
      </c>
      <c r="B39" t="s">
        <v>221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213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200</v>
      </c>
      <c r="B40" t="s">
        <v>221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215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200</v>
      </c>
      <c r="B41" t="s">
        <v>221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117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200</v>
      </c>
      <c r="B42" t="s">
        <v>221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117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200</v>
      </c>
      <c r="B43" t="s">
        <v>221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222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200</v>
      </c>
      <c r="B44" t="s">
        <v>223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200</v>
      </c>
      <c r="B45" t="s">
        <v>223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200</v>
      </c>
      <c r="B46" t="s">
        <v>223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200</v>
      </c>
      <c r="B47" t="s">
        <v>223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200</v>
      </c>
      <c r="B48" t="s">
        <v>223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200</v>
      </c>
      <c r="B49" t="s">
        <v>223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200</v>
      </c>
      <c r="B50" t="s">
        <v>224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200</v>
      </c>
      <c r="B51" t="s">
        <v>224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200</v>
      </c>
      <c r="B52" t="s">
        <v>224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200</v>
      </c>
      <c r="B53" t="s">
        <v>224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200</v>
      </c>
      <c r="B54" t="s">
        <v>224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200</v>
      </c>
      <c r="B55" t="s">
        <v>224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200</v>
      </c>
      <c r="B56" t="s">
        <v>225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200</v>
      </c>
      <c r="B57" t="s">
        <v>225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200</v>
      </c>
      <c r="B58" t="s">
        <v>225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200</v>
      </c>
      <c r="B59" t="s">
        <v>225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200</v>
      </c>
      <c r="B60" t="s">
        <v>225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200</v>
      </c>
      <c r="B61" t="s">
        <v>225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208</v>
      </c>
      <c r="B62" t="s">
        <v>201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208</v>
      </c>
      <c r="B63" t="s">
        <v>201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208</v>
      </c>
      <c r="B64" t="s">
        <v>201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208</v>
      </c>
      <c r="B65" t="s">
        <v>201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208</v>
      </c>
      <c r="B66" t="s">
        <v>201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208</v>
      </c>
      <c r="B67" t="s">
        <v>201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208</v>
      </c>
      <c r="B68" t="s">
        <v>209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208</v>
      </c>
      <c r="B69" t="s">
        <v>209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208</v>
      </c>
      <c r="B70" t="s">
        <v>209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208</v>
      </c>
      <c r="B71" t="s">
        <v>209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208</v>
      </c>
      <c r="B72" t="s">
        <v>209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208</v>
      </c>
      <c r="B73" t="s">
        <v>209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208</v>
      </c>
      <c r="B74" t="s">
        <v>214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208</v>
      </c>
      <c r="B75" t="s">
        <v>214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208</v>
      </c>
      <c r="B76" t="s">
        <v>214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208</v>
      </c>
      <c r="B77" t="s">
        <v>214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208</v>
      </c>
      <c r="B78" t="s">
        <v>214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208</v>
      </c>
      <c r="B79" t="s">
        <v>214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208</v>
      </c>
      <c r="B80" t="s">
        <v>217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208</v>
      </c>
      <c r="B81" t="s">
        <v>217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208</v>
      </c>
      <c r="B82" t="s">
        <v>217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208</v>
      </c>
      <c r="B83" t="s">
        <v>217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208</v>
      </c>
      <c r="B84" t="s">
        <v>217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208</v>
      </c>
      <c r="B85" t="s">
        <v>217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208</v>
      </c>
      <c r="B86" t="s">
        <v>218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208</v>
      </c>
      <c r="B87" t="s">
        <v>218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208</v>
      </c>
      <c r="B88" t="s">
        <v>218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208</v>
      </c>
      <c r="B89" t="s">
        <v>218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208</v>
      </c>
      <c r="B90" t="s">
        <v>218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208</v>
      </c>
      <c r="B91" t="s">
        <v>218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208</v>
      </c>
      <c r="B92" t="s">
        <v>220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208</v>
      </c>
      <c r="B93" t="s">
        <v>220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208</v>
      </c>
      <c r="B94" t="s">
        <v>220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208</v>
      </c>
      <c r="B95" t="s">
        <v>220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208</v>
      </c>
      <c r="B96" t="s">
        <v>220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208</v>
      </c>
      <c r="B97" t="s">
        <v>220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208</v>
      </c>
      <c r="B98" t="s">
        <v>221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208</v>
      </c>
      <c r="B99" t="s">
        <v>221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208</v>
      </c>
      <c r="B100" t="s">
        <v>221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208</v>
      </c>
      <c r="B101" t="s">
        <v>221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208</v>
      </c>
      <c r="B102" t="s">
        <v>221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208</v>
      </c>
      <c r="B103" t="s">
        <v>221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208</v>
      </c>
      <c r="B104" t="s">
        <v>223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208</v>
      </c>
      <c r="B105" t="s">
        <v>223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208</v>
      </c>
      <c r="B106" t="s">
        <v>223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208</v>
      </c>
      <c r="B107" t="s">
        <v>223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208</v>
      </c>
      <c r="B108" t="s">
        <v>223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208</v>
      </c>
      <c r="B109" t="s">
        <v>223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208</v>
      </c>
      <c r="B110" t="s">
        <v>224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208</v>
      </c>
      <c r="B111" t="s">
        <v>224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208</v>
      </c>
      <c r="B112" t="s">
        <v>224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208</v>
      </c>
      <c r="B113" t="s">
        <v>224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208</v>
      </c>
      <c r="B114" t="s">
        <v>224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208</v>
      </c>
      <c r="B115" t="s">
        <v>224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208</v>
      </c>
      <c r="B116" t="s">
        <v>225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208</v>
      </c>
      <c r="B117" t="s">
        <v>225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208</v>
      </c>
      <c r="B118" t="s">
        <v>225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208</v>
      </c>
      <c r="B119" t="s">
        <v>225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208</v>
      </c>
      <c r="B120" t="s">
        <v>225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208</v>
      </c>
      <c r="B121" t="s">
        <v>225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210</v>
      </c>
      <c r="B122" t="s">
        <v>201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210</v>
      </c>
      <c r="B123" t="s">
        <v>201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210</v>
      </c>
      <c r="B124" t="s">
        <v>201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210</v>
      </c>
      <c r="B125" t="s">
        <v>201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210</v>
      </c>
      <c r="B126" t="s">
        <v>201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210</v>
      </c>
      <c r="B127" t="s">
        <v>201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210</v>
      </c>
      <c r="B128" t="s">
        <v>209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210</v>
      </c>
      <c r="B129" t="s">
        <v>209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210</v>
      </c>
      <c r="B130" t="s">
        <v>209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210</v>
      </c>
      <c r="B131" t="s">
        <v>209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210</v>
      </c>
      <c r="B132" t="s">
        <v>209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210</v>
      </c>
      <c r="B133" t="s">
        <v>209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210</v>
      </c>
      <c r="B134" t="s">
        <v>214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210</v>
      </c>
      <c r="B135" t="s">
        <v>214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210</v>
      </c>
      <c r="B136" t="s">
        <v>214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210</v>
      </c>
      <c r="B137" t="s">
        <v>214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210</v>
      </c>
      <c r="B138" t="s">
        <v>214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210</v>
      </c>
      <c r="B139" t="s">
        <v>214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210</v>
      </c>
      <c r="B140" t="s">
        <v>217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210</v>
      </c>
      <c r="B141" t="s">
        <v>217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210</v>
      </c>
      <c r="B142" t="s">
        <v>217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210</v>
      </c>
      <c r="B143" t="s">
        <v>217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210</v>
      </c>
      <c r="B144" t="s">
        <v>217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210</v>
      </c>
      <c r="B145" t="s">
        <v>217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210</v>
      </c>
      <c r="B146" t="s">
        <v>218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210</v>
      </c>
      <c r="B147" t="s">
        <v>218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210</v>
      </c>
      <c r="B148" t="s">
        <v>218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210</v>
      </c>
      <c r="B149" t="s">
        <v>218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210</v>
      </c>
      <c r="B150" t="s">
        <v>218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210</v>
      </c>
      <c r="B151" t="s">
        <v>218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210</v>
      </c>
      <c r="B152" t="s">
        <v>220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210</v>
      </c>
      <c r="B153" t="s">
        <v>220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210</v>
      </c>
      <c r="B154" t="s">
        <v>220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210</v>
      </c>
      <c r="B155" t="s">
        <v>220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210</v>
      </c>
      <c r="B156" t="s">
        <v>220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210</v>
      </c>
      <c r="B157" t="s">
        <v>220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210</v>
      </c>
      <c r="B158" t="s">
        <v>221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210</v>
      </c>
      <c r="B159" t="s">
        <v>221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210</v>
      </c>
      <c r="B160" t="s">
        <v>221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210</v>
      </c>
      <c r="B161" t="s">
        <v>221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210</v>
      </c>
      <c r="B162" t="s">
        <v>221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210</v>
      </c>
      <c r="B163" t="s">
        <v>221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210</v>
      </c>
      <c r="B164" t="s">
        <v>223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210</v>
      </c>
      <c r="B165" t="s">
        <v>223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210</v>
      </c>
      <c r="B166" t="s">
        <v>223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210</v>
      </c>
      <c r="B167" t="s">
        <v>223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210</v>
      </c>
      <c r="B168" t="s">
        <v>223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210</v>
      </c>
      <c r="B169" t="s">
        <v>223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210</v>
      </c>
      <c r="B170" t="s">
        <v>224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210</v>
      </c>
      <c r="B171" t="s">
        <v>224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210</v>
      </c>
      <c r="B172" t="s">
        <v>224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210</v>
      </c>
      <c r="B173" t="s">
        <v>224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210</v>
      </c>
      <c r="B174" t="s">
        <v>224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210</v>
      </c>
      <c r="B175" t="s">
        <v>224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210</v>
      </c>
      <c r="B176" t="s">
        <v>225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210</v>
      </c>
      <c r="B177" t="s">
        <v>225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210</v>
      </c>
      <c r="B178" t="s">
        <v>225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210</v>
      </c>
      <c r="B179" t="s">
        <v>225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210</v>
      </c>
      <c r="B180" t="s">
        <v>225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210</v>
      </c>
      <c r="B181" t="s">
        <v>225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211</v>
      </c>
      <c r="B182" t="s">
        <v>201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211</v>
      </c>
      <c r="B183" t="s">
        <v>201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211</v>
      </c>
      <c r="B184" t="s">
        <v>201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211</v>
      </c>
      <c r="B185" t="s">
        <v>201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211</v>
      </c>
      <c r="B186" t="s">
        <v>201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211</v>
      </c>
      <c r="B187" t="s">
        <v>201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211</v>
      </c>
      <c r="B188" t="s">
        <v>209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211</v>
      </c>
      <c r="B189" t="s">
        <v>209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211</v>
      </c>
      <c r="B190" t="s">
        <v>209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211</v>
      </c>
      <c r="B191" t="s">
        <v>209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211</v>
      </c>
      <c r="B192" t="s">
        <v>209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211</v>
      </c>
      <c r="B193" t="s">
        <v>209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211</v>
      </c>
      <c r="B194" t="s">
        <v>214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211</v>
      </c>
      <c r="B195" t="s">
        <v>214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211</v>
      </c>
      <c r="B196" t="s">
        <v>214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211</v>
      </c>
      <c r="B197" t="s">
        <v>214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211</v>
      </c>
      <c r="B198" t="s">
        <v>214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211</v>
      </c>
      <c r="B199" t="s">
        <v>214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211</v>
      </c>
      <c r="B200" t="s">
        <v>217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211</v>
      </c>
      <c r="B201" t="s">
        <v>217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211</v>
      </c>
      <c r="B202" t="s">
        <v>217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211</v>
      </c>
      <c r="B203" t="s">
        <v>217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211</v>
      </c>
      <c r="B204" t="s">
        <v>217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211</v>
      </c>
      <c r="B205" t="s">
        <v>217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211</v>
      </c>
      <c r="B206" t="s">
        <v>218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211</v>
      </c>
      <c r="B207" t="s">
        <v>218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211</v>
      </c>
      <c r="B208" t="s">
        <v>218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211</v>
      </c>
      <c r="B209" t="s">
        <v>218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211</v>
      </c>
      <c r="B210" t="s">
        <v>218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211</v>
      </c>
      <c r="B211" t="s">
        <v>218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211</v>
      </c>
      <c r="B212" t="s">
        <v>220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211</v>
      </c>
      <c r="B213" t="s">
        <v>220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211</v>
      </c>
      <c r="B214" t="s">
        <v>220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211</v>
      </c>
      <c r="B215" t="s">
        <v>220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211</v>
      </c>
      <c r="B216" t="s">
        <v>220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211</v>
      </c>
      <c r="B217" t="s">
        <v>220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211</v>
      </c>
      <c r="B218" t="s">
        <v>221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211</v>
      </c>
      <c r="B219" t="s">
        <v>221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211</v>
      </c>
      <c r="B220" t="s">
        <v>221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211</v>
      </c>
      <c r="B221" t="s">
        <v>221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211</v>
      </c>
      <c r="B222" t="s">
        <v>221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211</v>
      </c>
      <c r="B223" t="s">
        <v>221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211</v>
      </c>
      <c r="B224" t="s">
        <v>223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211</v>
      </c>
      <c r="B225" t="s">
        <v>223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211</v>
      </c>
      <c r="B226" t="s">
        <v>223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211</v>
      </c>
      <c r="B227" t="s">
        <v>223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211</v>
      </c>
      <c r="B228" t="s">
        <v>223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211</v>
      </c>
      <c r="B229" t="s">
        <v>223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211</v>
      </c>
      <c r="B230" t="s">
        <v>224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211</v>
      </c>
      <c r="B231" t="s">
        <v>224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211</v>
      </c>
      <c r="B232" t="s">
        <v>224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211</v>
      </c>
      <c r="B233" t="s">
        <v>224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211</v>
      </c>
      <c r="B234" t="s">
        <v>224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211</v>
      </c>
      <c r="B235" t="s">
        <v>224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211</v>
      </c>
      <c r="B236" t="s">
        <v>225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211</v>
      </c>
      <c r="B237" t="s">
        <v>225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211</v>
      </c>
      <c r="B238" t="s">
        <v>225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211</v>
      </c>
      <c r="B239" t="s">
        <v>225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211</v>
      </c>
      <c r="B240" t="s">
        <v>225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211</v>
      </c>
      <c r="B241" t="s">
        <v>225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213</v>
      </c>
      <c r="B242" t="s">
        <v>201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213</v>
      </c>
      <c r="B243" t="s">
        <v>201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213</v>
      </c>
      <c r="B244" t="s">
        <v>201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213</v>
      </c>
      <c r="B245" t="s">
        <v>201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213</v>
      </c>
      <c r="B246" t="s">
        <v>201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213</v>
      </c>
      <c r="B247" t="s">
        <v>201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213</v>
      </c>
      <c r="B248" t="s">
        <v>209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213</v>
      </c>
      <c r="B249" t="s">
        <v>209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213</v>
      </c>
      <c r="B250" t="s">
        <v>209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213</v>
      </c>
      <c r="B251" t="s">
        <v>209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213</v>
      </c>
      <c r="B252" t="s">
        <v>209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213</v>
      </c>
      <c r="B253" t="s">
        <v>209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213</v>
      </c>
      <c r="B254" t="s">
        <v>214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213</v>
      </c>
      <c r="B255" t="s">
        <v>214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213</v>
      </c>
      <c r="B256" t="s">
        <v>214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213</v>
      </c>
      <c r="B257" t="s">
        <v>214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213</v>
      </c>
      <c r="B258" t="s">
        <v>214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213</v>
      </c>
      <c r="B259" t="s">
        <v>214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213</v>
      </c>
      <c r="B260" t="s">
        <v>217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213</v>
      </c>
      <c r="B261" t="s">
        <v>217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213</v>
      </c>
      <c r="B262" t="s">
        <v>217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213</v>
      </c>
      <c r="B263" t="s">
        <v>217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213</v>
      </c>
      <c r="B264" t="s">
        <v>217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213</v>
      </c>
      <c r="B265" t="s">
        <v>217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213</v>
      </c>
      <c r="B266" t="s">
        <v>218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213</v>
      </c>
      <c r="B267" t="s">
        <v>218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213</v>
      </c>
      <c r="B268" t="s">
        <v>218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213</v>
      </c>
      <c r="B269" t="s">
        <v>218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213</v>
      </c>
      <c r="B270" t="s">
        <v>218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213</v>
      </c>
      <c r="B271" t="s">
        <v>218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213</v>
      </c>
      <c r="B272" t="s">
        <v>220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213</v>
      </c>
      <c r="B273" t="s">
        <v>220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213</v>
      </c>
      <c r="B274" t="s">
        <v>220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213</v>
      </c>
      <c r="B275" t="s">
        <v>220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213</v>
      </c>
      <c r="B276" t="s">
        <v>220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213</v>
      </c>
      <c r="B277" t="s">
        <v>220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213</v>
      </c>
      <c r="B278" t="s">
        <v>221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213</v>
      </c>
      <c r="B279" t="s">
        <v>221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213</v>
      </c>
      <c r="B280" t="s">
        <v>221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213</v>
      </c>
      <c r="B281" t="s">
        <v>221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213</v>
      </c>
      <c r="B282" t="s">
        <v>221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213</v>
      </c>
      <c r="B283" t="s">
        <v>221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213</v>
      </c>
      <c r="B284" t="s">
        <v>223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213</v>
      </c>
      <c r="B285" t="s">
        <v>223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213</v>
      </c>
      <c r="B286" t="s">
        <v>223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213</v>
      </c>
      <c r="B287" t="s">
        <v>223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213</v>
      </c>
      <c r="B288" t="s">
        <v>223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213</v>
      </c>
      <c r="B289" t="s">
        <v>223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213</v>
      </c>
      <c r="B290" t="s">
        <v>224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213</v>
      </c>
      <c r="B291" t="s">
        <v>224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213</v>
      </c>
      <c r="B292" t="s">
        <v>224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213</v>
      </c>
      <c r="B293" t="s">
        <v>224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213</v>
      </c>
      <c r="B294" t="s">
        <v>224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213</v>
      </c>
      <c r="B295" t="s">
        <v>224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213</v>
      </c>
      <c r="B296" t="s">
        <v>225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213</v>
      </c>
      <c r="B297" t="s">
        <v>225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213</v>
      </c>
      <c r="B298" t="s">
        <v>225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213</v>
      </c>
      <c r="B299" t="s">
        <v>225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213</v>
      </c>
      <c r="B300" t="s">
        <v>225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213</v>
      </c>
      <c r="B301" t="s">
        <v>225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215</v>
      </c>
      <c r="B302" t="s">
        <v>201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215</v>
      </c>
      <c r="B303" t="s">
        <v>201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215</v>
      </c>
      <c r="B304" t="s">
        <v>201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215</v>
      </c>
      <c r="B305" t="s">
        <v>201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215</v>
      </c>
      <c r="B306" t="s">
        <v>201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215</v>
      </c>
      <c r="B307" t="s">
        <v>201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215</v>
      </c>
      <c r="B308" t="s">
        <v>209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215</v>
      </c>
      <c r="B309" t="s">
        <v>209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215</v>
      </c>
      <c r="B310" t="s">
        <v>209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215</v>
      </c>
      <c r="B311" t="s">
        <v>209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215</v>
      </c>
      <c r="B312" t="s">
        <v>209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215</v>
      </c>
      <c r="B313" t="s">
        <v>209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215</v>
      </c>
      <c r="B314" t="s">
        <v>214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215</v>
      </c>
      <c r="B315" t="s">
        <v>214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215</v>
      </c>
      <c r="B316" t="s">
        <v>214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215</v>
      </c>
      <c r="B317" t="s">
        <v>214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215</v>
      </c>
      <c r="B318" t="s">
        <v>214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215</v>
      </c>
      <c r="B319" t="s">
        <v>214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215</v>
      </c>
      <c r="B320" t="s">
        <v>217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215</v>
      </c>
      <c r="B321" t="s">
        <v>217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215</v>
      </c>
      <c r="B322" t="s">
        <v>217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215</v>
      </c>
      <c r="B323" t="s">
        <v>217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215</v>
      </c>
      <c r="B324" t="s">
        <v>217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215</v>
      </c>
      <c r="B325" t="s">
        <v>217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215</v>
      </c>
      <c r="B326" t="s">
        <v>218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215</v>
      </c>
      <c r="B327" t="s">
        <v>218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215</v>
      </c>
      <c r="B328" t="s">
        <v>218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215</v>
      </c>
      <c r="B329" t="s">
        <v>218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215</v>
      </c>
      <c r="B330" t="s">
        <v>218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215</v>
      </c>
      <c r="B331" t="s">
        <v>218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215</v>
      </c>
      <c r="B332" t="s">
        <v>220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215</v>
      </c>
      <c r="B333" t="s">
        <v>220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215</v>
      </c>
      <c r="B334" t="s">
        <v>220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215</v>
      </c>
      <c r="B335" t="s">
        <v>220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215</v>
      </c>
      <c r="B336" t="s">
        <v>220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215</v>
      </c>
      <c r="B337" t="s">
        <v>220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215</v>
      </c>
      <c r="B338" t="s">
        <v>221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215</v>
      </c>
      <c r="B339" t="s">
        <v>221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215</v>
      </c>
      <c r="B340" t="s">
        <v>221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215</v>
      </c>
      <c r="B341" t="s">
        <v>221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215</v>
      </c>
      <c r="B342" t="s">
        <v>221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215</v>
      </c>
      <c r="B343" t="s">
        <v>221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215</v>
      </c>
      <c r="B344" t="s">
        <v>223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215</v>
      </c>
      <c r="B345" t="s">
        <v>223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215</v>
      </c>
      <c r="B346" t="s">
        <v>223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215</v>
      </c>
      <c r="B347" t="s">
        <v>223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215</v>
      </c>
      <c r="B348" t="s">
        <v>223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215</v>
      </c>
      <c r="B349" t="s">
        <v>223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215</v>
      </c>
      <c r="B350" t="s">
        <v>224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215</v>
      </c>
      <c r="B351" t="s">
        <v>224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215</v>
      </c>
      <c r="B352" t="s">
        <v>224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215</v>
      </c>
      <c r="B353" t="s">
        <v>224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215</v>
      </c>
      <c r="B354" t="s">
        <v>224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215</v>
      </c>
      <c r="B355" t="s">
        <v>224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215</v>
      </c>
      <c r="B356" t="s">
        <v>225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215</v>
      </c>
      <c r="B357" t="s">
        <v>225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215</v>
      </c>
      <c r="B358" t="s">
        <v>225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215</v>
      </c>
      <c r="B359" t="s">
        <v>225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215</v>
      </c>
      <c r="B360" t="s">
        <v>225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215</v>
      </c>
      <c r="B361" t="s">
        <v>225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117</v>
      </c>
      <c r="B362" t="s">
        <v>201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117</v>
      </c>
      <c r="B363" t="s">
        <v>201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117</v>
      </c>
      <c r="B364" t="s">
        <v>201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117</v>
      </c>
      <c r="B365" t="s">
        <v>201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117</v>
      </c>
      <c r="B366" t="s">
        <v>201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117</v>
      </c>
      <c r="B367" t="s">
        <v>201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117</v>
      </c>
      <c r="B368" t="s">
        <v>209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117</v>
      </c>
      <c r="B369" t="s">
        <v>209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117</v>
      </c>
      <c r="B370" t="s">
        <v>209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117</v>
      </c>
      <c r="B371" t="s">
        <v>209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117</v>
      </c>
      <c r="B372" t="s">
        <v>209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117</v>
      </c>
      <c r="B373" t="s">
        <v>209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117</v>
      </c>
      <c r="B374" t="s">
        <v>214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117</v>
      </c>
      <c r="B375" t="s">
        <v>214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117</v>
      </c>
      <c r="B376" t="s">
        <v>214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117</v>
      </c>
      <c r="B377" t="s">
        <v>214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117</v>
      </c>
      <c r="B378" t="s">
        <v>214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117</v>
      </c>
      <c r="B379" t="s">
        <v>214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117</v>
      </c>
      <c r="B380" t="s">
        <v>217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117</v>
      </c>
      <c r="B381" t="s">
        <v>217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117</v>
      </c>
      <c r="B382" t="s">
        <v>217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117</v>
      </c>
      <c r="B383" t="s">
        <v>217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117</v>
      </c>
      <c r="B384" t="s">
        <v>217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117</v>
      </c>
      <c r="B385" t="s">
        <v>217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117</v>
      </c>
      <c r="B386" t="s">
        <v>218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117</v>
      </c>
      <c r="B387" t="s">
        <v>218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117</v>
      </c>
      <c r="B388" t="s">
        <v>218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117</v>
      </c>
      <c r="B389" t="s">
        <v>218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117</v>
      </c>
      <c r="B390" t="s">
        <v>218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117</v>
      </c>
      <c r="B391" t="s">
        <v>218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117</v>
      </c>
      <c r="B392" t="s">
        <v>220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117</v>
      </c>
      <c r="B393" t="s">
        <v>220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117</v>
      </c>
      <c r="B394" t="s">
        <v>220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117</v>
      </c>
      <c r="B395" t="s">
        <v>220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117</v>
      </c>
      <c r="B396" t="s">
        <v>220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117</v>
      </c>
      <c r="B397" t="s">
        <v>220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117</v>
      </c>
      <c r="B398" t="s">
        <v>221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117</v>
      </c>
      <c r="B399" t="s">
        <v>221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117</v>
      </c>
      <c r="B400" t="s">
        <v>221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117</v>
      </c>
      <c r="B401" t="s">
        <v>221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117</v>
      </c>
      <c r="B402" t="s">
        <v>221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117</v>
      </c>
      <c r="B403" t="s">
        <v>221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117</v>
      </c>
      <c r="B404" t="s">
        <v>223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117</v>
      </c>
      <c r="B405" t="s">
        <v>223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117</v>
      </c>
      <c r="B406" t="s">
        <v>223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117</v>
      </c>
      <c r="B407" t="s">
        <v>223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117</v>
      </c>
      <c r="B408" t="s">
        <v>223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117</v>
      </c>
      <c r="B409" t="s">
        <v>223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117</v>
      </c>
      <c r="B410" t="s">
        <v>224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117</v>
      </c>
      <c r="B411" t="s">
        <v>224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117</v>
      </c>
      <c r="B412" t="s">
        <v>224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117</v>
      </c>
      <c r="B413" t="s">
        <v>224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117</v>
      </c>
      <c r="B414" t="s">
        <v>224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117</v>
      </c>
      <c r="B415" t="s">
        <v>224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117</v>
      </c>
      <c r="B416" t="s">
        <v>225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117</v>
      </c>
      <c r="B417" t="s">
        <v>225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117</v>
      </c>
      <c r="B418" t="s">
        <v>225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117</v>
      </c>
      <c r="B419" t="s">
        <v>225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117</v>
      </c>
      <c r="B420" t="s">
        <v>225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117</v>
      </c>
      <c r="B421" t="s">
        <v>225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226</v>
      </c>
    </row>
    <row r="3" spans="1:24" x14ac:dyDescent="0.25">
      <c r="B3" s="6" t="s">
        <v>193</v>
      </c>
      <c r="H3" s="6" t="s">
        <v>227</v>
      </c>
      <c r="N3" s="6" t="s">
        <v>228</v>
      </c>
      <c r="T3" s="6" t="s">
        <v>229</v>
      </c>
    </row>
    <row r="4" spans="1:24" ht="30" customHeight="1" x14ac:dyDescent="0.25">
      <c r="B4" s="70" t="s">
        <v>206</v>
      </c>
      <c r="C4" s="70" t="s">
        <v>216</v>
      </c>
      <c r="D4" s="70" t="s">
        <v>219</v>
      </c>
      <c r="E4" s="70" t="s">
        <v>230</v>
      </c>
      <c r="F4" s="70" t="s">
        <v>231</v>
      </c>
      <c r="G4" s="70"/>
      <c r="H4" s="70" t="s">
        <v>206</v>
      </c>
      <c r="I4" s="70" t="s">
        <v>216</v>
      </c>
      <c r="J4" s="70" t="s">
        <v>219</v>
      </c>
      <c r="K4" s="70" t="s">
        <v>230</v>
      </c>
      <c r="L4" s="70" t="s">
        <v>231</v>
      </c>
      <c r="M4" s="71"/>
      <c r="N4" s="70" t="s">
        <v>206</v>
      </c>
      <c r="O4" s="70" t="s">
        <v>216</v>
      </c>
      <c r="P4" s="70" t="s">
        <v>219</v>
      </c>
      <c r="Q4" s="70" t="s">
        <v>230</v>
      </c>
      <c r="R4" s="70" t="s">
        <v>231</v>
      </c>
      <c r="S4" s="70"/>
      <c r="T4" s="70" t="s">
        <v>206</v>
      </c>
      <c r="U4" s="70" t="s">
        <v>216</v>
      </c>
      <c r="V4" s="70" t="s">
        <v>219</v>
      </c>
      <c r="W4" s="70" t="s">
        <v>230</v>
      </c>
      <c r="X4" s="70" t="s">
        <v>231</v>
      </c>
    </row>
    <row r="5" spans="1:24" x14ac:dyDescent="0.25">
      <c r="A5" s="6" t="s">
        <v>232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200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208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210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211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212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213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215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117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233</v>
      </c>
    </row>
    <row r="2" spans="1:19" x14ac:dyDescent="0.25">
      <c r="A2" s="27"/>
      <c r="B2" s="27"/>
    </row>
    <row r="4" spans="1:19" x14ac:dyDescent="0.25">
      <c r="C4" s="6" t="s">
        <v>192</v>
      </c>
      <c r="D4" s="6" t="s">
        <v>234</v>
      </c>
      <c r="E4" s="6" t="s">
        <v>193</v>
      </c>
      <c r="F4" s="6" t="s">
        <v>235</v>
      </c>
      <c r="G4" s="6" t="s">
        <v>236</v>
      </c>
      <c r="H4" s="6" t="s">
        <v>227</v>
      </c>
      <c r="I4" s="6" t="s">
        <v>237</v>
      </c>
      <c r="N4" t="s">
        <v>192</v>
      </c>
      <c r="P4" t="s">
        <v>193</v>
      </c>
      <c r="R4" t="s">
        <v>227</v>
      </c>
    </row>
    <row r="5" spans="1:19" x14ac:dyDescent="0.25">
      <c r="A5" s="77" t="s">
        <v>238</v>
      </c>
      <c r="B5" s="78" t="s">
        <v>239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240</v>
      </c>
      <c r="L5" s="13">
        <f>SUMPRODUCT(C5:C6,H5:H6)/SUM(C5:C6)/12</f>
        <v>5.0579254131664273</v>
      </c>
      <c r="M5" t="s">
        <v>241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177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72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242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243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180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181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182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244</v>
      </c>
      <c r="B11" s="81" t="s">
        <v>239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177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242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180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181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182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245</v>
      </c>
      <c r="B17" s="81" t="s">
        <v>239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177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242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180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181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182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246</v>
      </c>
      <c r="B23" s="81" t="s">
        <v>239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177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242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180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181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182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247</v>
      </c>
      <c r="B29" s="81" t="s">
        <v>239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177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242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180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181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182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248</v>
      </c>
      <c r="B35" s="81" t="s">
        <v>239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177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242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180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181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182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192</v>
      </c>
      <c r="P40" t="s">
        <v>193</v>
      </c>
      <c r="R40" t="s">
        <v>227</v>
      </c>
    </row>
    <row r="41" spans="1:19" x14ac:dyDescent="0.25">
      <c r="A41" s="83" t="s">
        <v>249</v>
      </c>
      <c r="B41" s="84" t="s">
        <v>239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240</v>
      </c>
      <c r="L41" s="13">
        <f>SUMPRODUCT(C41:C42,H41:H42)/SUM(C41:C42)/12</f>
        <v>6.4128831355158482</v>
      </c>
      <c r="M41" t="s">
        <v>241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177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72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242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243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180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181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182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250</v>
      </c>
      <c r="B47" s="87" t="s">
        <v>239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240</v>
      </c>
      <c r="L47" s="13">
        <f>SUMPRODUCT(C47:C48,H47:H48)/SUM(C47:C48)/12</f>
        <v>6.4392738490745138</v>
      </c>
      <c r="M47" t="s">
        <v>241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177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72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242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243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180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181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182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251</v>
      </c>
      <c r="B53" s="91" t="s">
        <v>239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177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242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180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181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182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252</v>
      </c>
      <c r="B59" s="91" t="s">
        <v>239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177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242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180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181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182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253</v>
      </c>
      <c r="B65" s="91" t="s">
        <v>239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177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242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180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181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182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254</v>
      </c>
      <c r="B71" s="91" t="s">
        <v>239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177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242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180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181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182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248</v>
      </c>
      <c r="B77" s="91" t="s">
        <v>239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177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242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180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181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182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192</v>
      </c>
      <c r="P82" t="s">
        <v>193</v>
      </c>
      <c r="R82" t="s">
        <v>227</v>
      </c>
    </row>
    <row r="83" spans="1:19" x14ac:dyDescent="0.25">
      <c r="A83" s="87" t="s">
        <v>255</v>
      </c>
      <c r="B83" s="87" t="s">
        <v>239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240</v>
      </c>
      <c r="L83" s="13">
        <f>SUMPRODUCT(C83:C84,H83:H84)/SUM(C83:C84)/12</f>
        <v>6.3976205997392439</v>
      </c>
      <c r="M83" t="s">
        <v>241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177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72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242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243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180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181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182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256</v>
      </c>
      <c r="B89" s="91" t="s">
        <v>239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177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242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180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181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182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257</v>
      </c>
      <c r="B95" s="91" t="s">
        <v>239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177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242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180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181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182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258</v>
      </c>
      <c r="B101" s="91" t="s">
        <v>239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177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242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180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181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182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259</v>
      </c>
      <c r="B107" s="91" t="s">
        <v>239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177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242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180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181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182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260</v>
      </c>
      <c r="B113" s="91" t="s">
        <v>239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177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242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180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181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182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261</v>
      </c>
      <c r="B119" s="91" t="s">
        <v>239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177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242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180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181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182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248</v>
      </c>
      <c r="B125" s="91" t="s">
        <v>239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177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242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180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181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182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262</v>
      </c>
      <c r="G1" t="s">
        <v>263</v>
      </c>
    </row>
    <row r="2" spans="2:15" x14ac:dyDescent="0.25">
      <c r="C2" t="s">
        <v>264</v>
      </c>
      <c r="D2" t="s">
        <v>281</v>
      </c>
      <c r="E2" t="s">
        <v>265</v>
      </c>
      <c r="G2" t="s">
        <v>266</v>
      </c>
      <c r="H2" t="s">
        <v>267</v>
      </c>
      <c r="I2" t="s">
        <v>268</v>
      </c>
      <c r="J2" t="s">
        <v>269</v>
      </c>
      <c r="K2" t="s">
        <v>266</v>
      </c>
      <c r="L2" t="s">
        <v>267</v>
      </c>
      <c r="M2" t="s">
        <v>268</v>
      </c>
      <c r="O2" t="s">
        <v>270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279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277</v>
      </c>
    </row>
    <row r="12" spans="2:15" x14ac:dyDescent="0.25">
      <c r="B12" s="6" t="s">
        <v>276</v>
      </c>
      <c r="L12" t="s">
        <v>278</v>
      </c>
      <c r="N12" t="s">
        <v>275</v>
      </c>
    </row>
    <row r="13" spans="2:15" x14ac:dyDescent="0.25">
      <c r="B13" t="s">
        <v>191</v>
      </c>
      <c r="C13" t="s">
        <v>271</v>
      </c>
      <c r="D13" t="s">
        <v>272</v>
      </c>
      <c r="E13" t="s">
        <v>273</v>
      </c>
      <c r="F13" t="s">
        <v>282</v>
      </c>
      <c r="G13" t="s">
        <v>173</v>
      </c>
      <c r="H13" t="s">
        <v>274</v>
      </c>
      <c r="I13" t="s">
        <v>275</v>
      </c>
      <c r="K13" t="s">
        <v>191</v>
      </c>
      <c r="L13" t="s">
        <v>59</v>
      </c>
      <c r="M13" t="s">
        <v>60</v>
      </c>
      <c r="N13" t="s">
        <v>59</v>
      </c>
      <c r="O13" t="s">
        <v>60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326</v>
      </c>
      <c r="R1" s="4" t="s">
        <v>327</v>
      </c>
    </row>
    <row r="2" spans="6:31" x14ac:dyDescent="0.25">
      <c r="G2" t="s">
        <v>324</v>
      </c>
    </row>
    <row r="3" spans="6:31" x14ac:dyDescent="0.25">
      <c r="F3" t="s">
        <v>325</v>
      </c>
      <c r="G3" t="s">
        <v>321</v>
      </c>
      <c r="H3" t="s">
        <v>322</v>
      </c>
      <c r="I3" t="s">
        <v>323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39" t="s">
        <v>328</v>
      </c>
      <c r="S4" s="117"/>
      <c r="T4" s="117"/>
      <c r="U4" s="117"/>
      <c r="V4" s="117"/>
      <c r="W4" s="117"/>
      <c r="X4" s="111"/>
      <c r="Y4" s="111"/>
      <c r="AB4" t="s">
        <v>325</v>
      </c>
      <c r="AC4" t="s">
        <v>361</v>
      </c>
      <c r="AD4" t="s">
        <v>331</v>
      </c>
      <c r="AE4" t="s">
        <v>332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8" t="s">
        <v>330</v>
      </c>
      <c r="S5" s="118" t="s">
        <v>329</v>
      </c>
      <c r="T5" s="117"/>
      <c r="U5" s="117"/>
      <c r="V5" s="117"/>
      <c r="W5" s="117"/>
      <c r="X5" s="117"/>
      <c r="Y5" s="117"/>
      <c r="AB5" s="132">
        <v>30</v>
      </c>
      <c r="AC5" s="132">
        <f t="shared" ref="AC5:AC28" si="1">AB5^0.75</f>
        <v>12.818610191887021</v>
      </c>
      <c r="AD5" s="132">
        <v>0</v>
      </c>
      <c r="AE5" s="124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19" t="s">
        <v>122</v>
      </c>
      <c r="S6" s="120">
        <v>0</v>
      </c>
      <c r="T6" s="121">
        <v>250</v>
      </c>
      <c r="U6" s="121">
        <v>500</v>
      </c>
      <c r="V6" s="122">
        <v>1000</v>
      </c>
      <c r="W6" s="114"/>
      <c r="X6" s="114"/>
      <c r="Y6" s="114"/>
      <c r="AB6" s="133">
        <v>40</v>
      </c>
      <c r="AC6" s="133">
        <f t="shared" si="1"/>
        <v>15.905414575341014</v>
      </c>
      <c r="AD6" s="133">
        <v>0</v>
      </c>
      <c r="AE6" s="127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3">
        <v>30</v>
      </c>
      <c r="S7" s="123">
        <v>6</v>
      </c>
      <c r="T7" s="124">
        <v>8</v>
      </c>
      <c r="U7" s="124">
        <v>11</v>
      </c>
      <c r="V7" s="125">
        <v>17.5</v>
      </c>
      <c r="W7" s="112"/>
      <c r="X7" s="153" t="s">
        <v>365</v>
      </c>
      <c r="Y7" s="112"/>
      <c r="AB7" s="133">
        <v>50</v>
      </c>
      <c r="AC7" s="133">
        <f t="shared" si="1"/>
        <v>18.803015465431965</v>
      </c>
      <c r="AD7" s="133">
        <v>0</v>
      </c>
      <c r="AE7" s="127">
        <v>8.5</v>
      </c>
    </row>
    <row r="8" spans="6:31" x14ac:dyDescent="0.25">
      <c r="R8" s="115">
        <v>40</v>
      </c>
      <c r="S8" s="126">
        <v>7</v>
      </c>
      <c r="T8" s="127">
        <v>9.5</v>
      </c>
      <c r="U8" s="127">
        <v>12.5</v>
      </c>
      <c r="V8" s="128">
        <v>19</v>
      </c>
      <c r="W8" s="112"/>
      <c r="X8" t="s">
        <v>362</v>
      </c>
      <c r="Y8">
        <v>0</v>
      </c>
      <c r="AB8" s="133">
        <v>60</v>
      </c>
      <c r="AC8" s="133">
        <f t="shared" si="1"/>
        <v>21.558246717785043</v>
      </c>
      <c r="AD8" s="133">
        <v>0</v>
      </c>
      <c r="AE8" s="127">
        <v>10</v>
      </c>
    </row>
    <row r="9" spans="6:31" x14ac:dyDescent="0.25">
      <c r="R9" s="115">
        <v>50</v>
      </c>
      <c r="S9" s="126">
        <v>8.5</v>
      </c>
      <c r="T9" s="127">
        <v>11</v>
      </c>
      <c r="U9" s="127">
        <v>14</v>
      </c>
      <c r="V9" s="128">
        <v>21</v>
      </c>
      <c r="W9" s="112"/>
      <c r="X9" t="s">
        <v>325</v>
      </c>
      <c r="Y9" s="135">
        <v>0.16</v>
      </c>
      <c r="AB9" s="133">
        <v>70</v>
      </c>
      <c r="AC9" s="133">
        <f t="shared" si="1"/>
        <v>24.200454924935883</v>
      </c>
      <c r="AD9" s="133">
        <v>0</v>
      </c>
      <c r="AE9" s="127">
        <v>11.5</v>
      </c>
    </row>
    <row r="10" spans="6:31" x14ac:dyDescent="0.25">
      <c r="R10" s="115">
        <v>60</v>
      </c>
      <c r="S10" s="126">
        <v>10</v>
      </c>
      <c r="T10" s="127">
        <v>12.5</v>
      </c>
      <c r="U10" s="127">
        <v>15.5</v>
      </c>
      <c r="V10" s="128">
        <v>23</v>
      </c>
      <c r="W10" s="112"/>
      <c r="X10" t="s">
        <v>331</v>
      </c>
      <c r="Y10">
        <v>12.5</v>
      </c>
      <c r="AB10" s="134">
        <v>80</v>
      </c>
      <c r="AC10" s="134">
        <f t="shared" si="1"/>
        <v>26.749612199056873</v>
      </c>
      <c r="AD10" s="134">
        <v>0</v>
      </c>
      <c r="AE10" s="130">
        <v>13</v>
      </c>
    </row>
    <row r="11" spans="6:31" x14ac:dyDescent="0.25">
      <c r="R11" s="115">
        <v>70</v>
      </c>
      <c r="S11" s="126">
        <v>11.5</v>
      </c>
      <c r="T11" s="127">
        <v>14</v>
      </c>
      <c r="U11" s="127">
        <v>17.5</v>
      </c>
      <c r="V11" s="128">
        <v>25</v>
      </c>
      <c r="W11" s="114"/>
      <c r="X11" s="114"/>
      <c r="Y11" s="114"/>
      <c r="AB11" s="132">
        <v>30</v>
      </c>
      <c r="AC11" s="132">
        <f t="shared" si="1"/>
        <v>12.818610191887021</v>
      </c>
      <c r="AD11" s="132">
        <v>250</v>
      </c>
      <c r="AE11" s="124">
        <v>8</v>
      </c>
    </row>
    <row r="12" spans="6:31" x14ac:dyDescent="0.25">
      <c r="R12" s="116">
        <v>80</v>
      </c>
      <c r="S12" s="129">
        <v>13</v>
      </c>
      <c r="T12" s="130">
        <v>16</v>
      </c>
      <c r="U12" s="130">
        <v>19.5</v>
      </c>
      <c r="V12" s="131">
        <v>28</v>
      </c>
      <c r="AB12" s="133">
        <v>40</v>
      </c>
      <c r="AC12" s="133">
        <f t="shared" si="1"/>
        <v>15.905414575341014</v>
      </c>
      <c r="AD12" s="133">
        <v>250</v>
      </c>
      <c r="AE12" s="127">
        <v>9.5</v>
      </c>
    </row>
    <row r="13" spans="6:31" x14ac:dyDescent="0.25">
      <c r="AB13" s="133">
        <v>50</v>
      </c>
      <c r="AC13" s="133">
        <f t="shared" si="1"/>
        <v>18.803015465431965</v>
      </c>
      <c r="AD13" s="133">
        <v>250</v>
      </c>
      <c r="AE13" s="127">
        <v>11</v>
      </c>
    </row>
    <row r="14" spans="6:31" ht="15.75" x14ac:dyDescent="0.25">
      <c r="R14" s="139" t="s">
        <v>369</v>
      </c>
      <c r="S14" s="117"/>
      <c r="T14" s="117"/>
      <c r="U14" s="117"/>
      <c r="V14" s="117"/>
      <c r="AB14" s="133">
        <v>60</v>
      </c>
      <c r="AC14" s="133">
        <f t="shared" si="1"/>
        <v>21.558246717785043</v>
      </c>
      <c r="AD14" s="133">
        <v>250</v>
      </c>
      <c r="AE14" s="127">
        <v>12.5</v>
      </c>
    </row>
    <row r="15" spans="6:31" ht="15.75" x14ac:dyDescent="0.25">
      <c r="R15" s="118" t="s">
        <v>330</v>
      </c>
      <c r="S15" s="118" t="s">
        <v>363</v>
      </c>
      <c r="T15" s="117"/>
      <c r="U15" s="117"/>
      <c r="V15" s="117"/>
      <c r="AB15" s="133">
        <v>70</v>
      </c>
      <c r="AC15" s="133">
        <f t="shared" si="1"/>
        <v>24.200454924935883</v>
      </c>
      <c r="AD15" s="133">
        <v>250</v>
      </c>
      <c r="AE15" s="127">
        <v>14</v>
      </c>
    </row>
    <row r="16" spans="6:31" x14ac:dyDescent="0.25">
      <c r="R16" s="119" t="s">
        <v>122</v>
      </c>
      <c r="S16" s="150">
        <v>0</v>
      </c>
      <c r="T16" s="151">
        <v>0.25</v>
      </c>
      <c r="U16" s="151">
        <v>0.5</v>
      </c>
      <c r="V16" s="152">
        <v>1</v>
      </c>
      <c r="AB16" s="134">
        <v>80</v>
      </c>
      <c r="AC16" s="134">
        <f t="shared" si="1"/>
        <v>26.749612199056873</v>
      </c>
      <c r="AD16" s="134">
        <v>250</v>
      </c>
      <c r="AE16" s="130">
        <v>16</v>
      </c>
    </row>
    <row r="17" spans="18:31" x14ac:dyDescent="0.25">
      <c r="R17" s="113">
        <v>30</v>
      </c>
      <c r="S17" s="141">
        <f t="shared" ref="S17:V22" si="2">($Y$8+$R17*$Y$9+S$16*$Y$10)/S7</f>
        <v>0.79999999999999993</v>
      </c>
      <c r="T17" s="142">
        <f t="shared" si="2"/>
        <v>0.99062499999999998</v>
      </c>
      <c r="U17" s="142">
        <f t="shared" si="2"/>
        <v>1.0045454545454546</v>
      </c>
      <c r="V17" s="143">
        <f t="shared" si="2"/>
        <v>0.98857142857142866</v>
      </c>
      <c r="AB17" s="132">
        <v>30</v>
      </c>
      <c r="AC17" s="132">
        <f t="shared" si="1"/>
        <v>12.818610191887021</v>
      </c>
      <c r="AD17" s="132">
        <v>500</v>
      </c>
      <c r="AE17" s="124">
        <v>11</v>
      </c>
    </row>
    <row r="18" spans="18:31" x14ac:dyDescent="0.25">
      <c r="R18" s="115">
        <v>40</v>
      </c>
      <c r="S18" s="144">
        <f t="shared" si="2"/>
        <v>0.91428571428571437</v>
      </c>
      <c r="T18" s="145">
        <f>($Y$8+$R18*$Y$9+T$16*$Y$10)/T8</f>
        <v>1.0026315789473685</v>
      </c>
      <c r="U18" s="145">
        <f t="shared" si="2"/>
        <v>1.012</v>
      </c>
      <c r="V18" s="146">
        <f t="shared" si="2"/>
        <v>0.99473684210526303</v>
      </c>
      <c r="AB18" s="133">
        <v>40</v>
      </c>
      <c r="AC18" s="133">
        <f t="shared" si="1"/>
        <v>15.905414575341014</v>
      </c>
      <c r="AD18" s="133">
        <v>500</v>
      </c>
      <c r="AE18" s="127">
        <v>12.5</v>
      </c>
    </row>
    <row r="19" spans="18:31" x14ac:dyDescent="0.25">
      <c r="R19" s="115">
        <v>50</v>
      </c>
      <c r="S19" s="144">
        <f t="shared" si="2"/>
        <v>0.94117647058823528</v>
      </c>
      <c r="T19" s="145">
        <f t="shared" si="2"/>
        <v>1.0113636363636365</v>
      </c>
      <c r="U19" s="145">
        <f t="shared" si="2"/>
        <v>1.0178571428571428</v>
      </c>
      <c r="V19" s="146">
        <f t="shared" si="2"/>
        <v>0.97619047619047616</v>
      </c>
      <c r="AB19" s="133">
        <v>50</v>
      </c>
      <c r="AC19" s="133">
        <f t="shared" si="1"/>
        <v>18.803015465431965</v>
      </c>
      <c r="AD19" s="133">
        <v>500</v>
      </c>
      <c r="AE19" s="127">
        <v>14</v>
      </c>
    </row>
    <row r="20" spans="18:31" x14ac:dyDescent="0.25">
      <c r="R20" s="115">
        <v>60</v>
      </c>
      <c r="S20" s="144">
        <f t="shared" si="2"/>
        <v>0.96</v>
      </c>
      <c r="T20" s="145">
        <f t="shared" si="2"/>
        <v>1.018</v>
      </c>
      <c r="U20" s="145">
        <f t="shared" si="2"/>
        <v>1.0225806451612902</v>
      </c>
      <c r="V20" s="146">
        <f t="shared" si="2"/>
        <v>0.96086956521739142</v>
      </c>
      <c r="AB20" s="133">
        <v>60</v>
      </c>
      <c r="AC20" s="133">
        <f t="shared" si="1"/>
        <v>21.558246717785043</v>
      </c>
      <c r="AD20" s="133">
        <v>500</v>
      </c>
      <c r="AE20" s="127">
        <v>15.5</v>
      </c>
    </row>
    <row r="21" spans="18:31" x14ac:dyDescent="0.25">
      <c r="R21" s="115">
        <v>70</v>
      </c>
      <c r="S21" s="144">
        <f t="shared" si="2"/>
        <v>0.97391304347826091</v>
      </c>
      <c r="T21" s="145">
        <f t="shared" si="2"/>
        <v>1.0232142857142859</v>
      </c>
      <c r="U21" s="145">
        <f t="shared" si="2"/>
        <v>0.99714285714285733</v>
      </c>
      <c r="V21" s="146">
        <f t="shared" si="2"/>
        <v>0.94800000000000006</v>
      </c>
      <c r="AB21" s="133">
        <v>70</v>
      </c>
      <c r="AC21" s="133">
        <f t="shared" si="1"/>
        <v>24.200454924935883</v>
      </c>
      <c r="AD21" s="133">
        <v>500</v>
      </c>
      <c r="AE21" s="127">
        <v>17.5</v>
      </c>
    </row>
    <row r="22" spans="18:31" x14ac:dyDescent="0.25">
      <c r="R22" s="116">
        <v>80</v>
      </c>
      <c r="S22" s="147">
        <f t="shared" si="2"/>
        <v>0.98461538461538467</v>
      </c>
      <c r="T22" s="148">
        <f t="shared" si="2"/>
        <v>0.99531250000000004</v>
      </c>
      <c r="U22" s="148">
        <f t="shared" si="2"/>
        <v>0.97692307692307701</v>
      </c>
      <c r="V22" s="149">
        <f t="shared" si="2"/>
        <v>0.90357142857142858</v>
      </c>
      <c r="AB22" s="134">
        <v>80</v>
      </c>
      <c r="AC22" s="134">
        <f t="shared" si="1"/>
        <v>26.749612199056873</v>
      </c>
      <c r="AD22" s="134">
        <v>500</v>
      </c>
      <c r="AE22" s="130">
        <v>19.5</v>
      </c>
    </row>
    <row r="23" spans="18:31" x14ac:dyDescent="0.25">
      <c r="AB23" s="132">
        <v>30</v>
      </c>
      <c r="AC23" s="132">
        <f t="shared" si="1"/>
        <v>12.818610191887021</v>
      </c>
      <c r="AD23" s="132">
        <v>1000</v>
      </c>
      <c r="AE23" s="124">
        <v>17.5</v>
      </c>
    </row>
    <row r="24" spans="18:31" ht="15.75" x14ac:dyDescent="0.25">
      <c r="R24" s="139" t="s">
        <v>368</v>
      </c>
      <c r="S24" s="117"/>
      <c r="T24" s="117"/>
      <c r="U24" s="117"/>
      <c r="V24" s="117"/>
      <c r="AB24" s="133">
        <v>40</v>
      </c>
      <c r="AC24" s="133">
        <f t="shared" si="1"/>
        <v>15.905414575341014</v>
      </c>
      <c r="AD24" s="133">
        <v>1000</v>
      </c>
      <c r="AE24" s="127">
        <v>19</v>
      </c>
    </row>
    <row r="25" spans="18:31" ht="15.75" x14ac:dyDescent="0.25">
      <c r="R25" s="118" t="s">
        <v>330</v>
      </c>
      <c r="S25" s="118" t="s">
        <v>363</v>
      </c>
      <c r="T25" s="117"/>
      <c r="U25" s="117"/>
      <c r="V25" s="117"/>
      <c r="AB25" s="133">
        <v>50</v>
      </c>
      <c r="AC25" s="133">
        <f t="shared" si="1"/>
        <v>18.803015465431965</v>
      </c>
      <c r="AD25" s="133">
        <v>1000</v>
      </c>
      <c r="AE25" s="127">
        <v>21</v>
      </c>
    </row>
    <row r="26" spans="18:31" x14ac:dyDescent="0.25">
      <c r="R26" s="119" t="s">
        <v>122</v>
      </c>
      <c r="S26" s="150">
        <v>0</v>
      </c>
      <c r="T26" s="151">
        <v>0.25</v>
      </c>
      <c r="U26" s="151">
        <v>0.5</v>
      </c>
      <c r="V26" s="152">
        <v>1</v>
      </c>
      <c r="AB26" s="133">
        <v>60</v>
      </c>
      <c r="AC26" s="133">
        <f t="shared" si="1"/>
        <v>21.558246717785043</v>
      </c>
      <c r="AD26" s="133">
        <v>1000</v>
      </c>
      <c r="AE26" s="127">
        <v>23</v>
      </c>
    </row>
    <row r="27" spans="18:31" x14ac:dyDescent="0.25">
      <c r="R27" s="113">
        <v>30</v>
      </c>
      <c r="S27" s="141">
        <f>(0.475*$R27^0.75 + S$26*$X$27)/S7</f>
        <v>1.0148066401910558</v>
      </c>
      <c r="T27" s="142">
        <f t="shared" ref="T27:V27" si="3">(0.475*$R27^0.75 + T$26*$X$27)/T7</f>
        <v>1.1361049801432919</v>
      </c>
      <c r="U27" s="142">
        <f t="shared" si="3"/>
        <v>1.0989854401042123</v>
      </c>
      <c r="V27" s="143">
        <f t="shared" si="3"/>
        <v>1.0336479909226477</v>
      </c>
      <c r="X27">
        <v>12</v>
      </c>
      <c r="AB27" s="133">
        <v>70</v>
      </c>
      <c r="AC27" s="133">
        <f t="shared" si="1"/>
        <v>24.200454924935883</v>
      </c>
      <c r="AD27" s="133">
        <v>1000</v>
      </c>
      <c r="AE27" s="127">
        <v>25</v>
      </c>
    </row>
    <row r="28" spans="18:31" x14ac:dyDescent="0.25">
      <c r="R28" s="115">
        <v>40</v>
      </c>
      <c r="S28" s="144">
        <f t="shared" ref="S28:V28" si="4">(0.475*$R28^0.75 + S$26*$X$27)/S8</f>
        <v>1.0792959890409974</v>
      </c>
      <c r="T28" s="145">
        <f t="shared" si="4"/>
        <v>1.1110602024512612</v>
      </c>
      <c r="U28" s="145">
        <f t="shared" si="4"/>
        <v>1.0844057538629586</v>
      </c>
      <c r="V28" s="146">
        <f t="shared" si="4"/>
        <v>1.0292143117519463</v>
      </c>
      <c r="X28">
        <v>0.2</v>
      </c>
      <c r="AB28" s="134">
        <v>80</v>
      </c>
      <c r="AC28" s="134">
        <f t="shared" si="1"/>
        <v>26.749612199056873</v>
      </c>
      <c r="AD28" s="134">
        <v>1000</v>
      </c>
      <c r="AE28" s="130">
        <v>28</v>
      </c>
    </row>
    <row r="29" spans="18:31" x14ac:dyDescent="0.25">
      <c r="R29" s="115">
        <v>50</v>
      </c>
      <c r="S29" s="144">
        <f t="shared" ref="S29:V29" si="5">(0.475*$R29^0.75 + S$26*$X$27)/S9</f>
        <v>1.0507567465976686</v>
      </c>
      <c r="T29" s="145">
        <f t="shared" si="5"/>
        <v>1.0846756678254712</v>
      </c>
      <c r="U29" s="145">
        <f t="shared" si="5"/>
        <v>1.0665308818628703</v>
      </c>
      <c r="V29" s="146">
        <f t="shared" si="5"/>
        <v>0.99673487362286584</v>
      </c>
    </row>
    <row r="30" spans="18:31" x14ac:dyDescent="0.25">
      <c r="R30" s="115">
        <v>60</v>
      </c>
      <c r="S30" s="144">
        <f t="shared" ref="S30:V30" si="6">(0.475*$R30^0.75 + S$26*$X$27)/S10</f>
        <v>1.0240167190947895</v>
      </c>
      <c r="T30" s="145">
        <f t="shared" si="6"/>
        <v>1.0592133752758317</v>
      </c>
      <c r="U30" s="145">
        <f t="shared" si="6"/>
        <v>1.0477527219966383</v>
      </c>
      <c r="V30" s="146">
        <f t="shared" si="6"/>
        <v>0.966963790910778</v>
      </c>
    </row>
    <row r="31" spans="18:31" x14ac:dyDescent="0.25">
      <c r="R31" s="115">
        <v>70</v>
      </c>
      <c r="S31" s="144">
        <f t="shared" ref="S31:V31" si="7">(0.475*$R31^0.75 + S$26*$X$27)/S11</f>
        <v>0.99958400776909073</v>
      </c>
      <c r="T31" s="145">
        <f t="shared" si="7"/>
        <v>1.0353725778103244</v>
      </c>
      <c r="U31" s="145">
        <f t="shared" si="7"/>
        <v>0.99972663367683112</v>
      </c>
      <c r="V31" s="146">
        <f t="shared" si="7"/>
        <v>0.9398086435737818</v>
      </c>
    </row>
    <row r="32" spans="18:31" x14ac:dyDescent="0.25">
      <c r="R32" s="116">
        <v>80</v>
      </c>
      <c r="S32" s="147">
        <f t="shared" ref="S32:V32" si="8">(0.475*$R32^0.75 + S$26*$X$27)/S12</f>
        <v>0.9773896765040011</v>
      </c>
      <c r="T32" s="148">
        <f t="shared" si="8"/>
        <v>0.98162911215950088</v>
      </c>
      <c r="U32" s="148">
        <f t="shared" si="8"/>
        <v>0.95928542536164174</v>
      </c>
      <c r="V32" s="149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333</v>
      </c>
    </row>
    <row r="2" spans="1:9" ht="15.75" thickBot="1" x14ac:dyDescent="0.3"/>
    <row r="3" spans="1:9" x14ac:dyDescent="0.25">
      <c r="A3" s="138" t="s">
        <v>334</v>
      </c>
      <c r="B3" s="138"/>
    </row>
    <row r="4" spans="1:9" x14ac:dyDescent="0.25">
      <c r="A4" s="135" t="s">
        <v>335</v>
      </c>
      <c r="B4" s="135">
        <v>0.99434308508956182</v>
      </c>
    </row>
    <row r="5" spans="1:9" x14ac:dyDescent="0.25">
      <c r="A5" s="135" t="s">
        <v>336</v>
      </c>
      <c r="B5" s="135">
        <v>0.98871817086542757</v>
      </c>
    </row>
    <row r="6" spans="1:9" x14ac:dyDescent="0.25">
      <c r="A6" s="135" t="s">
        <v>337</v>
      </c>
      <c r="B6" s="140">
        <v>0.9876437109478492</v>
      </c>
    </row>
    <row r="7" spans="1:9" x14ac:dyDescent="0.25">
      <c r="A7" s="135" t="s">
        <v>338</v>
      </c>
      <c r="B7" s="135">
        <v>0.64295634155271764</v>
      </c>
    </row>
    <row r="8" spans="1:9" ht="15.75" thickBot="1" x14ac:dyDescent="0.3">
      <c r="A8" s="136" t="s">
        <v>339</v>
      </c>
      <c r="B8" s="136">
        <v>24</v>
      </c>
    </row>
    <row r="10" spans="1:9" ht="15.75" thickBot="1" x14ac:dyDescent="0.3">
      <c r="A10" t="s">
        <v>340</v>
      </c>
    </row>
    <row r="11" spans="1:9" x14ac:dyDescent="0.25">
      <c r="A11" s="137"/>
      <c r="B11" s="137" t="s">
        <v>344</v>
      </c>
      <c r="C11" s="137" t="s">
        <v>345</v>
      </c>
      <c r="D11" s="137" t="s">
        <v>346</v>
      </c>
      <c r="E11" s="137" t="s">
        <v>347</v>
      </c>
      <c r="F11" s="137" t="s">
        <v>348</v>
      </c>
    </row>
    <row r="12" spans="1:9" x14ac:dyDescent="0.25">
      <c r="A12" s="135" t="s">
        <v>341</v>
      </c>
      <c r="B12" s="135">
        <v>2</v>
      </c>
      <c r="C12" s="135">
        <v>760.80833333333317</v>
      </c>
      <c r="D12" s="135">
        <v>380.40416666666658</v>
      </c>
      <c r="E12" s="135">
        <v>920.20014398848559</v>
      </c>
      <c r="F12" s="135">
        <v>3.5480108451103033E-21</v>
      </c>
    </row>
    <row r="13" spans="1:9" x14ac:dyDescent="0.25">
      <c r="A13" s="135" t="s">
        <v>342</v>
      </c>
      <c r="B13" s="135">
        <v>21</v>
      </c>
      <c r="C13" s="135">
        <v>8.6812499999999542</v>
      </c>
      <c r="D13" s="135">
        <v>0.41339285714285495</v>
      </c>
      <c r="E13" s="135"/>
      <c r="F13" s="135"/>
    </row>
    <row r="14" spans="1:9" ht="15.75" thickBot="1" x14ac:dyDescent="0.3">
      <c r="A14" s="136" t="s">
        <v>299</v>
      </c>
      <c r="B14" s="136">
        <v>23</v>
      </c>
      <c r="C14" s="136">
        <v>769.48958333333314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349</v>
      </c>
      <c r="C16" s="137" t="s">
        <v>338</v>
      </c>
      <c r="D16" s="137" t="s">
        <v>350</v>
      </c>
      <c r="E16" s="137" t="s">
        <v>351</v>
      </c>
      <c r="F16" s="137" t="s">
        <v>352</v>
      </c>
      <c r="G16" s="137" t="s">
        <v>353</v>
      </c>
      <c r="H16" s="137" t="s">
        <v>354</v>
      </c>
      <c r="I16" s="137" t="s">
        <v>355</v>
      </c>
    </row>
    <row r="17" spans="1:9" x14ac:dyDescent="0.25">
      <c r="A17" s="135" t="s">
        <v>343</v>
      </c>
      <c r="B17" s="135">
        <v>-0.40773809523810023</v>
      </c>
      <c r="C17" s="135">
        <v>0.46902457944381531</v>
      </c>
      <c r="D17" s="135">
        <v>-0.86933204166316702</v>
      </c>
      <c r="E17" s="135">
        <v>0.3944933503705087</v>
      </c>
      <c r="F17" s="135">
        <v>-1.383128104167036</v>
      </c>
      <c r="G17" s="135">
        <v>0.56765191369083567</v>
      </c>
      <c r="H17" s="135">
        <v>-1.383128104167036</v>
      </c>
      <c r="I17" s="135">
        <v>0.56765191369083567</v>
      </c>
    </row>
    <row r="18" spans="1:9" x14ac:dyDescent="0.25">
      <c r="A18" s="135" t="s">
        <v>325</v>
      </c>
      <c r="B18" s="135">
        <v>0.16892857142857148</v>
      </c>
      <c r="C18" s="135">
        <v>7.6847981397678419E-3</v>
      </c>
      <c r="D18" s="135">
        <v>21.982174203690253</v>
      </c>
      <c r="E18" s="135">
        <v>5.622260089430527E-16</v>
      </c>
      <c r="F18" s="135">
        <v>0.15294715882317275</v>
      </c>
      <c r="G18" s="135">
        <v>0.18490998403397021</v>
      </c>
      <c r="H18" s="135">
        <v>0.15294715882317275</v>
      </c>
      <c r="I18" s="135">
        <v>0.18490998403397021</v>
      </c>
    </row>
    <row r="19" spans="1:9" ht="15.75" thickBot="1" x14ac:dyDescent="0.3">
      <c r="A19" s="136" t="s">
        <v>331</v>
      </c>
      <c r="B19" s="136">
        <v>1.3076190476190479E-2</v>
      </c>
      <c r="C19" s="136">
        <v>3.549456219730319E-4</v>
      </c>
      <c r="D19" s="136">
        <v>36.839982427460349</v>
      </c>
      <c r="E19" s="136">
        <v>1.4430475578158989E-20</v>
      </c>
      <c r="F19" s="136">
        <v>1.2338040646609885E-2</v>
      </c>
      <c r="G19" s="136">
        <v>1.3814340305771073E-2</v>
      </c>
      <c r="H19" s="136">
        <v>1.2338040646609885E-2</v>
      </c>
      <c r="I19" s="136">
        <v>1.3814340305771073E-2</v>
      </c>
    </row>
    <row r="23" spans="1:9" x14ac:dyDescent="0.25">
      <c r="A23" t="s">
        <v>356</v>
      </c>
    </row>
    <row r="24" spans="1:9" ht="15.75" thickBot="1" x14ac:dyDescent="0.3"/>
    <row r="25" spans="1:9" x14ac:dyDescent="0.25">
      <c r="A25" s="137" t="s">
        <v>357</v>
      </c>
      <c r="B25" s="137" t="s">
        <v>358</v>
      </c>
      <c r="C25" s="137" t="s">
        <v>359</v>
      </c>
      <c r="D25" s="137" t="s">
        <v>360</v>
      </c>
    </row>
    <row r="26" spans="1:9" x14ac:dyDescent="0.25">
      <c r="A26" s="135">
        <v>1</v>
      </c>
      <c r="B26" s="135">
        <v>4.6601190476190446</v>
      </c>
      <c r="C26" s="135">
        <v>1.3398809523809554</v>
      </c>
      <c r="D26" s="135">
        <v>2.1809163068088218</v>
      </c>
    </row>
    <row r="27" spans="1:9" x14ac:dyDescent="0.25">
      <c r="A27" s="135">
        <v>2</v>
      </c>
      <c r="B27" s="135">
        <v>6.3494047619047596</v>
      </c>
      <c r="C27" s="135">
        <v>0.65059523809524045</v>
      </c>
      <c r="D27" s="135">
        <v>1.0589700236970436</v>
      </c>
    </row>
    <row r="28" spans="1:9" x14ac:dyDescent="0.25">
      <c r="A28" s="135">
        <v>3</v>
      </c>
      <c r="B28" s="135">
        <v>8.0386904761904745</v>
      </c>
      <c r="C28" s="135">
        <v>0.4613095238095255</v>
      </c>
      <c r="D28" s="135">
        <v>0.75087078532955975</v>
      </c>
    </row>
    <row r="29" spans="1:9" x14ac:dyDescent="0.25">
      <c r="A29" s="135">
        <v>4</v>
      </c>
      <c r="B29" s="135">
        <v>9.7279761904761894</v>
      </c>
      <c r="C29" s="135">
        <v>0.27202380952381056</v>
      </c>
      <c r="D29" s="135">
        <v>0.44277154696207599</v>
      </c>
    </row>
    <row r="30" spans="1:9" x14ac:dyDescent="0.25">
      <c r="A30" s="135">
        <v>5</v>
      </c>
      <c r="B30" s="135">
        <v>11.417261904761904</v>
      </c>
      <c r="C30" s="135">
        <v>8.273809523809561E-2</v>
      </c>
      <c r="D30" s="135">
        <v>0.13467230859459212</v>
      </c>
    </row>
    <row r="31" spans="1:9" x14ac:dyDescent="0.25">
      <c r="A31" s="135">
        <v>6</v>
      </c>
      <c r="B31" s="135">
        <v>13.106547619047619</v>
      </c>
      <c r="C31" s="135">
        <v>-0.10654761904761934</v>
      </c>
      <c r="D31" s="135">
        <v>-0.1734269297728917</v>
      </c>
    </row>
    <row r="32" spans="1:9" x14ac:dyDescent="0.25">
      <c r="A32" s="135">
        <v>7</v>
      </c>
      <c r="B32" s="135">
        <v>7.9291666666666645</v>
      </c>
      <c r="C32" s="135">
        <v>7.0833333333335524E-2</v>
      </c>
      <c r="D32" s="135">
        <v>0.11529499800544522</v>
      </c>
    </row>
    <row r="33" spans="1:4" x14ac:dyDescent="0.25">
      <c r="A33" s="135">
        <v>8</v>
      </c>
      <c r="B33" s="135">
        <v>9.6184523809523803</v>
      </c>
      <c r="C33" s="135">
        <v>-0.11845238095238031</v>
      </c>
      <c r="D33" s="135">
        <v>-0.19280424036204005</v>
      </c>
    </row>
    <row r="34" spans="1:4" x14ac:dyDescent="0.25">
      <c r="A34" s="135">
        <v>9</v>
      </c>
      <c r="B34" s="135">
        <v>11.307738095238093</v>
      </c>
      <c r="C34" s="135">
        <v>-0.30773809523809348</v>
      </c>
      <c r="D34" s="135">
        <v>-0.50090347872952101</v>
      </c>
    </row>
    <row r="35" spans="1:4" x14ac:dyDescent="0.25">
      <c r="A35" s="135">
        <v>10</v>
      </c>
      <c r="B35" s="135">
        <v>12.99702380952381</v>
      </c>
      <c r="C35" s="135">
        <v>-0.4970238095238102</v>
      </c>
      <c r="D35" s="135">
        <v>-0.80900271709700777</v>
      </c>
    </row>
    <row r="36" spans="1:4" x14ac:dyDescent="0.25">
      <c r="A36" s="135">
        <v>11</v>
      </c>
      <c r="B36" s="135">
        <v>14.686309523809523</v>
      </c>
      <c r="C36" s="135">
        <v>-0.68630952380952337</v>
      </c>
      <c r="D36" s="135">
        <v>-1.1171019554644888</v>
      </c>
    </row>
    <row r="37" spans="1:4" x14ac:dyDescent="0.25">
      <c r="A37" s="135">
        <v>12</v>
      </c>
      <c r="B37" s="135">
        <v>16.37559523809524</v>
      </c>
      <c r="C37" s="135">
        <v>-0.37559523809524009</v>
      </c>
      <c r="D37" s="135">
        <v>-0.61135414908768126</v>
      </c>
    </row>
    <row r="38" spans="1:4" x14ac:dyDescent="0.25">
      <c r="A38" s="135">
        <v>13</v>
      </c>
      <c r="B38" s="135">
        <v>11.198214285714284</v>
      </c>
      <c r="C38" s="135">
        <v>-0.19821428571428434</v>
      </c>
      <c r="D38" s="135">
        <v>-0.32263222130934294</v>
      </c>
    </row>
    <row r="39" spans="1:4" x14ac:dyDescent="0.25">
      <c r="A39" s="135">
        <v>14</v>
      </c>
      <c r="B39" s="135">
        <v>12.887499999999999</v>
      </c>
      <c r="C39" s="135">
        <v>-0.38749999999999929</v>
      </c>
      <c r="D39" s="135">
        <v>-0.63073145967682676</v>
      </c>
    </row>
    <row r="40" spans="1:4" x14ac:dyDescent="0.25">
      <c r="A40" s="135">
        <v>15</v>
      </c>
      <c r="B40" s="135">
        <v>14.576785714285714</v>
      </c>
      <c r="C40" s="135">
        <v>-0.57678571428571423</v>
      </c>
      <c r="D40" s="135">
        <v>-0.93883069804431063</v>
      </c>
    </row>
    <row r="41" spans="1:4" x14ac:dyDescent="0.25">
      <c r="A41" s="135">
        <v>16</v>
      </c>
      <c r="B41" s="135">
        <v>16.266071428571429</v>
      </c>
      <c r="C41" s="135">
        <v>-0.76607142857142918</v>
      </c>
      <c r="D41" s="135">
        <v>-1.2469299364117945</v>
      </c>
    </row>
    <row r="42" spans="1:4" x14ac:dyDescent="0.25">
      <c r="A42" s="135">
        <v>17</v>
      </c>
      <c r="B42" s="135">
        <v>17.955357142857146</v>
      </c>
      <c r="C42" s="135">
        <v>-0.4553571428571459</v>
      </c>
      <c r="D42" s="135">
        <v>-0.74118213003498712</v>
      </c>
    </row>
    <row r="43" spans="1:4" x14ac:dyDescent="0.25">
      <c r="A43" s="135">
        <v>18</v>
      </c>
      <c r="B43" s="135">
        <v>19.644642857142859</v>
      </c>
      <c r="C43" s="135">
        <v>-0.14464285714285907</v>
      </c>
      <c r="D43" s="135">
        <v>-0.23543432365817393</v>
      </c>
    </row>
    <row r="44" spans="1:4" x14ac:dyDescent="0.25">
      <c r="A44" s="135">
        <v>19</v>
      </c>
      <c r="B44" s="135">
        <v>17.736309523809524</v>
      </c>
      <c r="C44" s="135">
        <v>-0.23630952380952408</v>
      </c>
      <c r="D44" s="135">
        <v>-0.38463961519462514</v>
      </c>
    </row>
    <row r="45" spans="1:4" x14ac:dyDescent="0.25">
      <c r="A45" s="135">
        <v>20</v>
      </c>
      <c r="B45" s="135">
        <v>19.425595238095241</v>
      </c>
      <c r="C45" s="135">
        <v>-0.4255952380952408</v>
      </c>
      <c r="D45" s="135">
        <v>-0.69273885356211184</v>
      </c>
    </row>
    <row r="46" spans="1:4" x14ac:dyDescent="0.25">
      <c r="A46" s="135">
        <v>21</v>
      </c>
      <c r="B46" s="135">
        <v>21.114880952380954</v>
      </c>
      <c r="C46" s="135">
        <v>-0.11488095238095397</v>
      </c>
      <c r="D46" s="135">
        <v>-0.18699104718529874</v>
      </c>
    </row>
    <row r="47" spans="1:4" x14ac:dyDescent="0.25">
      <c r="A47" s="135">
        <v>22</v>
      </c>
      <c r="B47" s="135">
        <v>22.804166666666667</v>
      </c>
      <c r="C47" s="135">
        <v>0.19583333333333286</v>
      </c>
      <c r="D47" s="135">
        <v>0.31875675919151442</v>
      </c>
    </row>
    <row r="48" spans="1:4" x14ac:dyDescent="0.25">
      <c r="A48" s="135">
        <v>23</v>
      </c>
      <c r="B48" s="135">
        <v>24.493452380952384</v>
      </c>
      <c r="C48" s="135">
        <v>0.50654761904761614</v>
      </c>
      <c r="D48" s="135">
        <v>0.82450456556832175</v>
      </c>
    </row>
    <row r="49" spans="1:4" ht="15.75" thickBot="1" x14ac:dyDescent="0.3">
      <c r="A49" s="136">
        <v>24</v>
      </c>
      <c r="B49" s="136">
        <v>26.182738095238101</v>
      </c>
      <c r="C49" s="136">
        <v>1.8172619047618994</v>
      </c>
      <c r="D49" s="136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333</v>
      </c>
    </row>
    <row r="2" spans="1:9" ht="15.75" thickBot="1" x14ac:dyDescent="0.3"/>
    <row r="3" spans="1:9" x14ac:dyDescent="0.25">
      <c r="A3" s="138" t="s">
        <v>334</v>
      </c>
      <c r="B3" s="138"/>
    </row>
    <row r="4" spans="1:9" x14ac:dyDescent="0.25">
      <c r="A4" s="135" t="s">
        <v>335</v>
      </c>
      <c r="B4" s="135">
        <v>0.99923601209082613</v>
      </c>
    </row>
    <row r="5" spans="1:9" x14ac:dyDescent="0.25">
      <c r="A5" s="135" t="s">
        <v>336</v>
      </c>
      <c r="B5" s="135">
        <v>0.99847260785917769</v>
      </c>
    </row>
    <row r="6" spans="1:9" x14ac:dyDescent="0.25">
      <c r="A6" s="135" t="s">
        <v>337</v>
      </c>
      <c r="B6" s="140">
        <v>0.95294863548914033</v>
      </c>
    </row>
    <row r="7" spans="1:9" x14ac:dyDescent="0.25">
      <c r="A7" s="135" t="s">
        <v>338</v>
      </c>
      <c r="B7" s="135">
        <v>0.63937706804773409</v>
      </c>
    </row>
    <row r="8" spans="1:9" ht="15.75" thickBot="1" x14ac:dyDescent="0.3">
      <c r="A8" s="136" t="s">
        <v>339</v>
      </c>
      <c r="B8" s="136">
        <v>24</v>
      </c>
    </row>
    <row r="10" spans="1:9" ht="15.75" thickBot="1" x14ac:dyDescent="0.3">
      <c r="A10" t="s">
        <v>340</v>
      </c>
    </row>
    <row r="11" spans="1:9" x14ac:dyDescent="0.25">
      <c r="A11" s="137"/>
      <c r="B11" s="137" t="s">
        <v>344</v>
      </c>
      <c r="C11" s="137" t="s">
        <v>345</v>
      </c>
      <c r="D11" s="137" t="s">
        <v>346</v>
      </c>
      <c r="E11" s="137" t="s">
        <v>347</v>
      </c>
      <c r="F11" s="137" t="s">
        <v>348</v>
      </c>
    </row>
    <row r="12" spans="1:9" x14ac:dyDescent="0.25">
      <c r="A12" s="135" t="s">
        <v>341</v>
      </c>
      <c r="B12" s="135">
        <v>2</v>
      </c>
      <c r="C12" s="135">
        <v>5879.2563332268028</v>
      </c>
      <c r="D12" s="135">
        <v>2939.6281666134014</v>
      </c>
      <c r="E12" s="135">
        <v>7190.8178606561842</v>
      </c>
      <c r="F12" s="135">
        <v>1.658295194250544E-30</v>
      </c>
    </row>
    <row r="13" spans="1:9" x14ac:dyDescent="0.25">
      <c r="A13" s="135" t="s">
        <v>342</v>
      </c>
      <c r="B13" s="135">
        <v>22</v>
      </c>
      <c r="C13" s="135">
        <v>8.9936667731969688</v>
      </c>
      <c r="D13" s="135">
        <v>0.40880303514531674</v>
      </c>
      <c r="E13" s="135"/>
      <c r="F13" s="135"/>
    </row>
    <row r="14" spans="1:9" ht="15.75" thickBot="1" x14ac:dyDescent="0.3">
      <c r="A14" s="136" t="s">
        <v>299</v>
      </c>
      <c r="B14" s="136">
        <v>24</v>
      </c>
      <c r="C14" s="136">
        <v>5888.25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349</v>
      </c>
      <c r="C16" s="137" t="s">
        <v>338</v>
      </c>
      <c r="D16" s="137" t="s">
        <v>350</v>
      </c>
      <c r="E16" s="137" t="s">
        <v>351</v>
      </c>
      <c r="F16" s="137" t="s">
        <v>352</v>
      </c>
      <c r="G16" s="137" t="s">
        <v>353</v>
      </c>
      <c r="H16" s="137" t="s">
        <v>354</v>
      </c>
      <c r="I16" s="137" t="s">
        <v>355</v>
      </c>
    </row>
    <row r="17" spans="1:9" x14ac:dyDescent="0.25">
      <c r="A17" s="135" t="s">
        <v>343</v>
      </c>
      <c r="B17" s="135">
        <v>0</v>
      </c>
      <c r="C17" s="135" t="e">
        <v>#N/A</v>
      </c>
      <c r="D17" s="135" t="e">
        <v>#N/A</v>
      </c>
      <c r="E17" s="135" t="e">
        <v>#N/A</v>
      </c>
      <c r="F17" s="135" t="e">
        <v>#N/A</v>
      </c>
      <c r="G17" s="135" t="e">
        <v>#N/A</v>
      </c>
      <c r="H17" s="135" t="e">
        <v>#N/A</v>
      </c>
      <c r="I17" s="135" t="e">
        <v>#N/A</v>
      </c>
    </row>
    <row r="18" spans="1:9" x14ac:dyDescent="0.25">
      <c r="A18" s="135" t="s">
        <v>325</v>
      </c>
      <c r="B18" s="135">
        <v>0.1629082774049217</v>
      </c>
      <c r="C18" s="135">
        <v>3.3127900815938349E-3</v>
      </c>
      <c r="D18" s="135">
        <v>49.175550938181992</v>
      </c>
      <c r="E18" s="135">
        <v>5.4013091173267767E-24</v>
      </c>
      <c r="F18" s="135">
        <v>0.15603797127508467</v>
      </c>
      <c r="G18" s="135">
        <v>0.16977858353475872</v>
      </c>
      <c r="H18" s="135">
        <v>0.15603797127508467</v>
      </c>
      <c r="I18" s="135">
        <v>0.16977858353475872</v>
      </c>
    </row>
    <row r="19" spans="1:9" ht="15.75" thickBot="1" x14ac:dyDescent="0.3">
      <c r="A19" s="136" t="s">
        <v>331</v>
      </c>
      <c r="B19" s="136">
        <v>1.2974027910940667E-2</v>
      </c>
      <c r="C19" s="136">
        <v>3.330620646154739E-4</v>
      </c>
      <c r="D19" s="136">
        <v>38.953784562404053</v>
      </c>
      <c r="E19" s="136">
        <v>8.5990489859870578E-22</v>
      </c>
      <c r="F19" s="136">
        <v>1.2283299465194126E-2</v>
      </c>
      <c r="G19" s="136">
        <v>1.3664756356687209E-2</v>
      </c>
      <c r="H19" s="136">
        <v>1.2283299465194126E-2</v>
      </c>
      <c r="I19" s="136">
        <v>1.3664756356687209E-2</v>
      </c>
    </row>
    <row r="23" spans="1:9" x14ac:dyDescent="0.25">
      <c r="A23" t="s">
        <v>356</v>
      </c>
    </row>
    <row r="24" spans="1:9" ht="15.75" thickBot="1" x14ac:dyDescent="0.3"/>
    <row r="25" spans="1:9" x14ac:dyDescent="0.25">
      <c r="A25" s="137" t="s">
        <v>357</v>
      </c>
      <c r="B25" s="137" t="s">
        <v>358</v>
      </c>
      <c r="C25" s="137" t="s">
        <v>359</v>
      </c>
      <c r="D25" s="137" t="s">
        <v>360</v>
      </c>
    </row>
    <row r="26" spans="1:9" x14ac:dyDescent="0.25">
      <c r="A26" s="135">
        <v>1</v>
      </c>
      <c r="B26" s="135">
        <v>4.8872483221476513</v>
      </c>
      <c r="C26" s="135">
        <v>1.1127516778523487</v>
      </c>
      <c r="D26" s="135">
        <v>1.8177555632337312</v>
      </c>
    </row>
    <row r="27" spans="1:9" x14ac:dyDescent="0.25">
      <c r="A27" s="135">
        <v>2</v>
      </c>
      <c r="B27" s="135">
        <v>6.5163310961968683</v>
      </c>
      <c r="C27" s="135">
        <v>0.48366890380313166</v>
      </c>
      <c r="D27" s="135">
        <v>0.79010605703886705</v>
      </c>
    </row>
    <row r="28" spans="1:9" x14ac:dyDescent="0.25">
      <c r="A28" s="135">
        <v>3</v>
      </c>
      <c r="B28" s="135">
        <v>8.1454138702460845</v>
      </c>
      <c r="C28" s="135">
        <v>0.35458612975391546</v>
      </c>
      <c r="D28" s="135">
        <v>0.57924056448039174</v>
      </c>
    </row>
    <row r="29" spans="1:9" x14ac:dyDescent="0.25">
      <c r="A29" s="135">
        <v>4</v>
      </c>
      <c r="B29" s="135">
        <v>9.7744966442953025</v>
      </c>
      <c r="C29" s="135">
        <v>0.22550335570469748</v>
      </c>
      <c r="D29" s="135">
        <v>0.36837507192191343</v>
      </c>
    </row>
    <row r="30" spans="1:9" x14ac:dyDescent="0.25">
      <c r="A30" s="135">
        <v>5</v>
      </c>
      <c r="B30" s="135">
        <v>11.403579418344519</v>
      </c>
      <c r="C30" s="135">
        <v>9.6420581655481286E-2</v>
      </c>
      <c r="D30" s="135">
        <v>0.15750957936343804</v>
      </c>
    </row>
    <row r="31" spans="1:9" x14ac:dyDescent="0.25">
      <c r="A31" s="135">
        <v>6</v>
      </c>
      <c r="B31" s="135">
        <v>13.032662192393737</v>
      </c>
      <c r="C31" s="135">
        <v>-3.2662192393736689E-2</v>
      </c>
      <c r="D31" s="135">
        <v>-5.335591319504026E-2</v>
      </c>
    </row>
    <row r="32" spans="1:9" x14ac:dyDescent="0.25">
      <c r="A32" s="135">
        <v>7</v>
      </c>
      <c r="B32" s="135">
        <v>8.1307552998828179</v>
      </c>
      <c r="C32" s="135">
        <v>-0.13075529988281787</v>
      </c>
      <c r="D32" s="135">
        <v>-0.21359767728503481</v>
      </c>
    </row>
    <row r="33" spans="1:4" x14ac:dyDescent="0.25">
      <c r="A33" s="135">
        <v>8</v>
      </c>
      <c r="B33" s="135">
        <v>9.7598380739320358</v>
      </c>
      <c r="C33" s="135">
        <v>-0.25983807393203584</v>
      </c>
      <c r="D33" s="135">
        <v>-0.42446316984351312</v>
      </c>
    </row>
    <row r="34" spans="1:4" x14ac:dyDescent="0.25">
      <c r="A34" s="135">
        <v>9</v>
      </c>
      <c r="B34" s="135">
        <v>11.388920847981252</v>
      </c>
      <c r="C34" s="135">
        <v>-0.38892084798125204</v>
      </c>
      <c r="D34" s="135">
        <v>-0.63532866240198849</v>
      </c>
    </row>
    <row r="35" spans="1:4" x14ac:dyDescent="0.25">
      <c r="A35" s="135">
        <v>10</v>
      </c>
      <c r="B35" s="135">
        <v>13.01800362203047</v>
      </c>
      <c r="C35" s="135">
        <v>-0.51800362203047001</v>
      </c>
      <c r="D35" s="135">
        <v>-0.84619415496046679</v>
      </c>
    </row>
    <row r="36" spans="1:4" x14ac:dyDescent="0.25">
      <c r="A36" s="135">
        <v>11</v>
      </c>
      <c r="B36" s="135">
        <v>14.647086396079686</v>
      </c>
      <c r="C36" s="135">
        <v>-0.64708639607968621</v>
      </c>
      <c r="D36" s="135">
        <v>-1.0570596475189422</v>
      </c>
    </row>
    <row r="37" spans="1:4" x14ac:dyDescent="0.25">
      <c r="A37" s="135">
        <v>12</v>
      </c>
      <c r="B37" s="135">
        <v>16.276169170128902</v>
      </c>
      <c r="C37" s="135">
        <v>-0.27616917012890241</v>
      </c>
      <c r="D37" s="135">
        <v>-0.45114112644103033</v>
      </c>
    </row>
    <row r="38" spans="1:4" x14ac:dyDescent="0.25">
      <c r="A38" s="135">
        <v>13</v>
      </c>
      <c r="B38" s="135">
        <v>11.374262277617985</v>
      </c>
      <c r="C38" s="135">
        <v>-0.37426227761798536</v>
      </c>
      <c r="D38" s="135">
        <v>-0.61138289053102779</v>
      </c>
    </row>
    <row r="39" spans="1:4" x14ac:dyDescent="0.25">
      <c r="A39" s="135">
        <v>14</v>
      </c>
      <c r="B39" s="135">
        <v>13.003345051667203</v>
      </c>
      <c r="C39" s="135">
        <v>-0.50334505166720334</v>
      </c>
      <c r="D39" s="135">
        <v>-0.8222483830895061</v>
      </c>
    </row>
    <row r="40" spans="1:4" x14ac:dyDescent="0.25">
      <c r="A40" s="135">
        <v>15</v>
      </c>
      <c r="B40" s="135">
        <v>14.63242782571642</v>
      </c>
      <c r="C40" s="135">
        <v>-0.63242782571641953</v>
      </c>
      <c r="D40" s="135">
        <v>-1.0331138756479814</v>
      </c>
    </row>
    <row r="41" spans="1:4" x14ac:dyDescent="0.25">
      <c r="A41" s="135">
        <v>16</v>
      </c>
      <c r="B41" s="135">
        <v>16.261510599765636</v>
      </c>
      <c r="C41" s="135">
        <v>-0.76151059976563573</v>
      </c>
      <c r="D41" s="135">
        <v>-1.2439793682064568</v>
      </c>
    </row>
    <row r="42" spans="1:4" x14ac:dyDescent="0.25">
      <c r="A42" s="135">
        <v>17</v>
      </c>
      <c r="B42" s="135">
        <v>17.890593373814852</v>
      </c>
      <c r="C42" s="135">
        <v>-0.39059337381485193</v>
      </c>
      <c r="D42" s="135">
        <v>-0.63806084712854505</v>
      </c>
    </row>
    <row r="43" spans="1:4" x14ac:dyDescent="0.25">
      <c r="A43" s="135">
        <v>18</v>
      </c>
      <c r="B43" s="135">
        <v>19.519676147864072</v>
      </c>
      <c r="C43" s="135">
        <v>-1.967614786407168E-2</v>
      </c>
      <c r="D43" s="135">
        <v>-3.2142326050638992E-2</v>
      </c>
    </row>
    <row r="44" spans="1:4" x14ac:dyDescent="0.25">
      <c r="A44" s="135">
        <v>19</v>
      </c>
      <c r="B44" s="135">
        <v>17.861276233088319</v>
      </c>
      <c r="C44" s="135">
        <v>-0.36127623308831858</v>
      </c>
      <c r="D44" s="135">
        <v>-0.59016930338662366</v>
      </c>
    </row>
    <row r="45" spans="1:4" x14ac:dyDescent="0.25">
      <c r="A45" s="135">
        <v>20</v>
      </c>
      <c r="B45" s="135">
        <v>19.490359007137535</v>
      </c>
      <c r="C45" s="135">
        <v>-0.49035900713753477</v>
      </c>
      <c r="D45" s="135">
        <v>-0.80103479594509897</v>
      </c>
    </row>
    <row r="46" spans="1:4" x14ac:dyDescent="0.25">
      <c r="A46" s="135">
        <v>21</v>
      </c>
      <c r="B46" s="135">
        <v>21.119441781186751</v>
      </c>
      <c r="C46" s="135">
        <v>-0.11944178118675097</v>
      </c>
      <c r="D46" s="135">
        <v>-0.19511627486718716</v>
      </c>
    </row>
    <row r="47" spans="1:4" x14ac:dyDescent="0.25">
      <c r="A47" s="135">
        <v>22</v>
      </c>
      <c r="B47" s="135">
        <v>22.748524555235971</v>
      </c>
      <c r="C47" s="135">
        <v>0.25147544476402928</v>
      </c>
      <c r="D47" s="135">
        <v>0.41080224621071887</v>
      </c>
    </row>
    <row r="48" spans="1:4" x14ac:dyDescent="0.25">
      <c r="A48" s="135">
        <v>23</v>
      </c>
      <c r="B48" s="135">
        <v>24.377607329285187</v>
      </c>
      <c r="C48" s="135">
        <v>0.62239267071481308</v>
      </c>
      <c r="D48" s="135">
        <v>1.0167207672886307</v>
      </c>
    </row>
    <row r="49" spans="1:4" ht="15.75" thickBot="1" x14ac:dyDescent="0.3">
      <c r="A49" s="136">
        <v>24</v>
      </c>
      <c r="B49" s="136">
        <v>26.006690103334407</v>
      </c>
      <c r="C49" s="136">
        <v>1.9933098966655933</v>
      </c>
      <c r="D49" s="136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2024-11-12T12:59:26Z</dcterms:modified>
</cp:coreProperties>
</file>