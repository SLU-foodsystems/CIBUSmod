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19200" windowHeight="5100"/>
  </bookViews>
  <sheets>
    <sheet name="default" sheetId="1" r:id="rId1"/>
    <sheet name="references" sheetId="9" r:id="rId2"/>
    <sheet name="feed pars" sheetId="2" r:id="rId3"/>
    <sheet name="feed pars csv" sheetId="8" r:id="rId4"/>
    <sheet name="pigs" sheetId="3" r:id="rId5"/>
    <sheet name="ruminants" sheetId="4" r:id="rId6"/>
    <sheet name="ruminants, roughage" sheetId="6" r:id="rId7"/>
    <sheet name="horses" sheetId="7" r:id="rId8"/>
    <sheet name="poultry" sheetId="5" r:id="rId9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Z36" i="8" l="1"/>
  <c r="AA36" i="8"/>
  <c r="AB36" i="8"/>
  <c r="S36" i="8"/>
  <c r="T36" i="8"/>
  <c r="U36" i="8"/>
  <c r="L36" i="8"/>
  <c r="M36" i="8"/>
  <c r="N36" i="8"/>
  <c r="L39" i="2"/>
  <c r="N39" i="2"/>
  <c r="O39" i="2"/>
  <c r="P39" i="2"/>
  <c r="Q39" i="2"/>
  <c r="M39" i="2" s="1"/>
  <c r="R39" i="2"/>
  <c r="S39" i="2"/>
  <c r="T39" i="2"/>
  <c r="U39" i="2"/>
  <c r="V39" i="2"/>
  <c r="W39" i="2"/>
  <c r="K39" i="2"/>
  <c r="M34" i="1"/>
  <c r="W32" i="8"/>
  <c r="P32" i="8"/>
  <c r="I32" i="8"/>
  <c r="A32" i="8"/>
  <c r="B32" i="8" s="1"/>
  <c r="C34" i="2"/>
  <c r="C35" i="2"/>
  <c r="Q35" i="2"/>
  <c r="AB32" i="8" s="1"/>
  <c r="K35" i="2"/>
  <c r="N35" i="2" s="1"/>
  <c r="W43" i="2"/>
  <c r="V43" i="2"/>
  <c r="U43" i="2"/>
  <c r="O43" i="2"/>
  <c r="S43" i="2"/>
  <c r="M43" i="2" s="1"/>
  <c r="O46" i="2"/>
  <c r="W46" i="2"/>
  <c r="V46" i="2"/>
  <c r="U46" i="2"/>
  <c r="M46" i="2"/>
  <c r="M26" i="2"/>
  <c r="O26" i="2" s="1"/>
  <c r="V26" i="2"/>
  <c r="W26" i="2"/>
  <c r="U26" i="2"/>
  <c r="S26" i="2"/>
  <c r="T32" i="8" l="1"/>
  <c r="AA32" i="8"/>
  <c r="M32" i="8"/>
  <c r="W35" i="2"/>
  <c r="H35" i="2" s="1"/>
  <c r="G32" i="8" s="1"/>
  <c r="S35" i="2"/>
  <c r="O35" i="2"/>
  <c r="T35" i="2"/>
  <c r="E35" i="2" s="1"/>
  <c r="D32" i="8" s="1"/>
  <c r="P35" i="2"/>
  <c r="V35" i="2"/>
  <c r="G35" i="2" s="1"/>
  <c r="R35" i="2"/>
  <c r="N32" i="8"/>
  <c r="U32" i="8"/>
  <c r="F32" i="8"/>
  <c r="S32" i="8" l="1"/>
  <c r="L32" i="8"/>
  <c r="Z32" i="8"/>
  <c r="M35" i="2"/>
  <c r="D35" i="2" s="1"/>
  <c r="C32" i="8" s="1"/>
  <c r="U35" i="2"/>
  <c r="F35" i="2" s="1"/>
  <c r="E32" i="8" s="1"/>
  <c r="M19" i="2" l="1"/>
  <c r="AP43" i="8" l="1"/>
  <c r="AP42" i="8"/>
  <c r="AP41" i="8"/>
  <c r="AP40" i="8"/>
  <c r="AP39" i="8"/>
  <c r="AP38" i="8"/>
  <c r="AP37" i="8"/>
  <c r="AP36" i="8"/>
  <c r="AP35" i="8"/>
  <c r="AP34" i="8"/>
  <c r="AP33" i="8"/>
  <c r="AP31" i="8"/>
  <c r="AP30" i="8"/>
  <c r="AP29" i="8"/>
  <c r="AP28" i="8"/>
  <c r="AP27" i="8"/>
  <c r="AP26" i="8"/>
  <c r="AP25" i="8"/>
  <c r="AP24" i="8"/>
  <c r="AP23" i="8"/>
  <c r="AP22" i="8"/>
  <c r="AP21" i="8"/>
  <c r="AP20" i="8"/>
  <c r="AP19" i="8"/>
  <c r="AP18" i="8"/>
  <c r="AP17" i="8"/>
  <c r="AP16" i="8"/>
  <c r="AP15" i="8"/>
  <c r="AP14" i="8"/>
  <c r="AP13" i="8"/>
  <c r="AP12" i="8"/>
  <c r="AP11" i="8"/>
  <c r="AP10" i="8"/>
  <c r="AP9" i="8"/>
  <c r="AP8" i="8"/>
  <c r="AP7" i="8"/>
  <c r="AP6" i="8"/>
  <c r="AP5" i="8"/>
  <c r="AP4" i="8"/>
  <c r="AP3" i="8"/>
  <c r="E47" i="2"/>
  <c r="E30" i="2"/>
  <c r="E10" i="2"/>
  <c r="E8" i="2"/>
  <c r="K45" i="2" l="1"/>
  <c r="S45" i="2" s="1"/>
  <c r="P45" i="2" l="1"/>
  <c r="U45" i="2" s="1"/>
  <c r="F45" i="2" s="1"/>
  <c r="T45" i="2"/>
  <c r="E45" i="2" s="1"/>
  <c r="L45" i="2"/>
  <c r="C45" i="2" s="1"/>
  <c r="M43" i="1" s="1"/>
  <c r="Q45" i="2"/>
  <c r="M45" i="2" s="1"/>
  <c r="D45" i="2" s="1"/>
  <c r="V45" i="2"/>
  <c r="G45" i="2" s="1"/>
  <c r="N45" i="2"/>
  <c r="R45" i="2"/>
  <c r="W45" i="2"/>
  <c r="H45" i="2" s="1"/>
  <c r="O45" i="2"/>
  <c r="A43" i="8" l="1"/>
  <c r="AS43" i="8" s="1"/>
  <c r="I43" i="8"/>
  <c r="P43" i="8"/>
  <c r="W43" i="8"/>
  <c r="AD43" i="8"/>
  <c r="AJ43" i="8"/>
  <c r="C47" i="2"/>
  <c r="D47" i="2"/>
  <c r="AJ42" i="8"/>
  <c r="AJ41" i="8"/>
  <c r="AJ40" i="8"/>
  <c r="AJ39" i="8"/>
  <c r="AJ38" i="8"/>
  <c r="AJ37" i="8"/>
  <c r="AJ36" i="8"/>
  <c r="AJ35" i="8"/>
  <c r="AJ34" i="8"/>
  <c r="AJ33" i="8"/>
  <c r="AJ31" i="8"/>
  <c r="AJ30" i="8"/>
  <c r="AJ29" i="8"/>
  <c r="AJ28" i="8"/>
  <c r="AJ27" i="8"/>
  <c r="AJ26" i="8"/>
  <c r="AJ25" i="8"/>
  <c r="AJ24" i="8"/>
  <c r="AJ23" i="8"/>
  <c r="AJ22" i="8"/>
  <c r="AJ21" i="8"/>
  <c r="AJ20" i="8"/>
  <c r="AJ19" i="8"/>
  <c r="AJ18" i="8"/>
  <c r="AJ17" i="8"/>
  <c r="AJ16" i="8"/>
  <c r="AJ15" i="8"/>
  <c r="AJ14" i="8"/>
  <c r="AJ13" i="8"/>
  <c r="AJ12" i="8"/>
  <c r="AJ11" i="8"/>
  <c r="AJ10" i="8"/>
  <c r="AJ9" i="8"/>
  <c r="AJ8" i="8"/>
  <c r="AJ7" i="8"/>
  <c r="AJ6" i="8"/>
  <c r="AJ5" i="8"/>
  <c r="AJ4" i="8"/>
  <c r="AJ3" i="8"/>
  <c r="AD42" i="8"/>
  <c r="AD41" i="8"/>
  <c r="AD40" i="8"/>
  <c r="AD39" i="8"/>
  <c r="AD38" i="8"/>
  <c r="AD37" i="8"/>
  <c r="AD36" i="8"/>
  <c r="AD35" i="8"/>
  <c r="AD34" i="8"/>
  <c r="AD33" i="8"/>
  <c r="AD31" i="8"/>
  <c r="AD30" i="8"/>
  <c r="AD29" i="8"/>
  <c r="AD28" i="8"/>
  <c r="AD27" i="8"/>
  <c r="AD26" i="8"/>
  <c r="AD25" i="8"/>
  <c r="AD24" i="8"/>
  <c r="AD23" i="8"/>
  <c r="AD22" i="8"/>
  <c r="AD21" i="8"/>
  <c r="AD20" i="8"/>
  <c r="AD19" i="8"/>
  <c r="AD18" i="8"/>
  <c r="AD17" i="8"/>
  <c r="AD16" i="8"/>
  <c r="AD15" i="8"/>
  <c r="AD14" i="8"/>
  <c r="AD13" i="8"/>
  <c r="AD12" i="8"/>
  <c r="AD11" i="8"/>
  <c r="AD10" i="8"/>
  <c r="AD9" i="8"/>
  <c r="AD8" i="8"/>
  <c r="AD7" i="8"/>
  <c r="AD6" i="8"/>
  <c r="AD5" i="8"/>
  <c r="AD4" i="8"/>
  <c r="AD3" i="8"/>
  <c r="W42" i="8"/>
  <c r="W41" i="8"/>
  <c r="W40" i="8"/>
  <c r="W39" i="8"/>
  <c r="W38" i="8"/>
  <c r="W37" i="8"/>
  <c r="W36" i="8"/>
  <c r="W35" i="8"/>
  <c r="W34" i="8"/>
  <c r="W33" i="8"/>
  <c r="W31" i="8"/>
  <c r="W30" i="8"/>
  <c r="W29" i="8"/>
  <c r="W28" i="8"/>
  <c r="W27" i="8"/>
  <c r="W26" i="8"/>
  <c r="W25" i="8"/>
  <c r="W24" i="8"/>
  <c r="W23" i="8"/>
  <c r="W22" i="8"/>
  <c r="W21" i="8"/>
  <c r="W20" i="8"/>
  <c r="W19" i="8"/>
  <c r="W18" i="8"/>
  <c r="W17" i="8"/>
  <c r="W16" i="8"/>
  <c r="W15" i="8"/>
  <c r="W14" i="8"/>
  <c r="W13" i="8"/>
  <c r="W12" i="8"/>
  <c r="W11" i="8"/>
  <c r="W10" i="8"/>
  <c r="W9" i="8"/>
  <c r="W8" i="8"/>
  <c r="W7" i="8"/>
  <c r="W6" i="8"/>
  <c r="W5" i="8"/>
  <c r="W4" i="8"/>
  <c r="W3" i="8"/>
  <c r="P42" i="8"/>
  <c r="P41" i="8"/>
  <c r="P40" i="8"/>
  <c r="P39" i="8"/>
  <c r="P38" i="8"/>
  <c r="P37" i="8"/>
  <c r="P36" i="8"/>
  <c r="P35" i="8"/>
  <c r="P34" i="8"/>
  <c r="P33" i="8"/>
  <c r="P31" i="8"/>
  <c r="P30" i="8"/>
  <c r="P29" i="8"/>
  <c r="P28" i="8"/>
  <c r="P27" i="8"/>
  <c r="P26" i="8"/>
  <c r="P25" i="8"/>
  <c r="P24" i="8"/>
  <c r="P23" i="8"/>
  <c r="P22" i="8"/>
  <c r="P21" i="8"/>
  <c r="P20" i="8"/>
  <c r="P19" i="8"/>
  <c r="P18" i="8"/>
  <c r="P17" i="8"/>
  <c r="P16" i="8"/>
  <c r="P15" i="8"/>
  <c r="P14" i="8"/>
  <c r="P13" i="8"/>
  <c r="P12" i="8"/>
  <c r="P11" i="8"/>
  <c r="P10" i="8"/>
  <c r="P9" i="8"/>
  <c r="P8" i="8"/>
  <c r="P7" i="8"/>
  <c r="P6" i="8"/>
  <c r="P5" i="8"/>
  <c r="P4" i="8"/>
  <c r="P3" i="8"/>
  <c r="A9" i="8"/>
  <c r="I9" i="8"/>
  <c r="A10" i="8"/>
  <c r="I10" i="8"/>
  <c r="A11" i="8"/>
  <c r="I11" i="8"/>
  <c r="A12" i="8"/>
  <c r="I12" i="8"/>
  <c r="A13" i="8"/>
  <c r="I13" i="8"/>
  <c r="A14" i="8"/>
  <c r="I14" i="8"/>
  <c r="A15" i="8"/>
  <c r="I15" i="8"/>
  <c r="A16" i="8"/>
  <c r="I16" i="8"/>
  <c r="A17" i="8"/>
  <c r="AS17" i="8" s="1"/>
  <c r="I17" i="8"/>
  <c r="A18" i="8"/>
  <c r="I18" i="8"/>
  <c r="A19" i="8"/>
  <c r="I19" i="8"/>
  <c r="A20" i="8"/>
  <c r="I20" i="8"/>
  <c r="A21" i="8"/>
  <c r="AS21" i="8" s="1"/>
  <c r="I21" i="8"/>
  <c r="A22" i="8"/>
  <c r="I22" i="8"/>
  <c r="A23" i="8"/>
  <c r="I23" i="8"/>
  <c r="A24" i="8"/>
  <c r="I24" i="8"/>
  <c r="A25" i="8"/>
  <c r="AS25" i="8" s="1"/>
  <c r="I25" i="8"/>
  <c r="A26" i="8"/>
  <c r="I26" i="8"/>
  <c r="A27" i="8"/>
  <c r="I27" i="8"/>
  <c r="A28" i="8"/>
  <c r="I28" i="8"/>
  <c r="A29" i="8"/>
  <c r="I29" i="8"/>
  <c r="A30" i="8"/>
  <c r="I30" i="8"/>
  <c r="A31" i="8"/>
  <c r="I31" i="8"/>
  <c r="A33" i="8"/>
  <c r="I33" i="8"/>
  <c r="A34" i="8"/>
  <c r="I34" i="8"/>
  <c r="A35" i="8"/>
  <c r="I35" i="8"/>
  <c r="A36" i="8"/>
  <c r="I36" i="8"/>
  <c r="A37" i="8"/>
  <c r="I37" i="8"/>
  <c r="A38" i="8"/>
  <c r="I38" i="8"/>
  <c r="A39" i="8"/>
  <c r="I39" i="8"/>
  <c r="A40" i="8"/>
  <c r="I40" i="8"/>
  <c r="A41" i="8"/>
  <c r="I41" i="8"/>
  <c r="A42" i="8"/>
  <c r="I42" i="8"/>
  <c r="I8" i="8"/>
  <c r="I7" i="8"/>
  <c r="I6" i="8"/>
  <c r="I5" i="8"/>
  <c r="I4" i="8"/>
  <c r="A8" i="8"/>
  <c r="A7" i="8"/>
  <c r="A6" i="8"/>
  <c r="A5" i="8"/>
  <c r="A4" i="8"/>
  <c r="A3" i="8"/>
  <c r="I3" i="8"/>
  <c r="C33" i="2"/>
  <c r="K34" i="2"/>
  <c r="P34" i="2" s="1"/>
  <c r="K33" i="2"/>
  <c r="T33" i="2" s="1"/>
  <c r="E33" i="2" s="1"/>
  <c r="L23" i="8" l="1"/>
  <c r="N23" i="8"/>
  <c r="U23" i="8"/>
  <c r="S23" i="8"/>
  <c r="M23" i="8"/>
  <c r="T23" i="8"/>
  <c r="T42" i="8"/>
  <c r="M42" i="8"/>
  <c r="S42" i="8"/>
  <c r="U42" i="8"/>
  <c r="N42" i="8"/>
  <c r="L42" i="8"/>
  <c r="U40" i="8"/>
  <c r="N40" i="8"/>
  <c r="S40" i="8"/>
  <c r="M40" i="8"/>
  <c r="L40" i="8"/>
  <c r="T40" i="8"/>
  <c r="U8" i="8"/>
  <c r="B8" i="8"/>
  <c r="AA5" i="8"/>
  <c r="D5" i="8"/>
  <c r="E5" i="8"/>
  <c r="C5" i="8"/>
  <c r="B5" i="8"/>
  <c r="F5" i="8"/>
  <c r="G5" i="8"/>
  <c r="AG41" i="8"/>
  <c r="AG33" i="8"/>
  <c r="D30" i="8"/>
  <c r="B30" i="8"/>
  <c r="AG26" i="8"/>
  <c r="B18" i="8"/>
  <c r="AB16" i="8"/>
  <c r="B16" i="8"/>
  <c r="AG14" i="8"/>
  <c r="B14" i="8"/>
  <c r="AG12" i="8"/>
  <c r="B12" i="8"/>
  <c r="AG10" i="8"/>
  <c r="B10" i="8"/>
  <c r="AB6" i="8"/>
  <c r="B6" i="8"/>
  <c r="U4" i="8"/>
  <c r="B4" i="8"/>
  <c r="AB3" i="8"/>
  <c r="B3" i="8"/>
  <c r="AB7" i="8"/>
  <c r="B7" i="8"/>
  <c r="D7" i="8"/>
  <c r="G7" i="8"/>
  <c r="E7" i="8"/>
  <c r="F7" i="8"/>
  <c r="C7" i="8"/>
  <c r="B31" i="8"/>
  <c r="C29" i="8"/>
  <c r="B27" i="8"/>
  <c r="D27" i="8"/>
  <c r="E27" i="8"/>
  <c r="G27" i="8"/>
  <c r="C27" i="8"/>
  <c r="F27" i="8"/>
  <c r="C19" i="8"/>
  <c r="B17" i="8"/>
  <c r="B15" i="8"/>
  <c r="B13" i="8"/>
  <c r="B11" i="8"/>
  <c r="B9" i="8"/>
  <c r="D43" i="8"/>
  <c r="C43" i="8"/>
  <c r="E43" i="8"/>
  <c r="B43" i="8"/>
  <c r="F43" i="8"/>
  <c r="G43" i="8"/>
  <c r="N4" i="8"/>
  <c r="AB5" i="8"/>
  <c r="N8" i="8"/>
  <c r="AG16" i="8"/>
  <c r="U6" i="8"/>
  <c r="AB8" i="8"/>
  <c r="M16" i="8"/>
  <c r="T5" i="8"/>
  <c r="N16" i="8"/>
  <c r="AG42" i="8"/>
  <c r="AG38" i="8"/>
  <c r="AG36" i="8"/>
  <c r="AA29" i="8"/>
  <c r="S29" i="8"/>
  <c r="Z29" i="8"/>
  <c r="M29" i="8"/>
  <c r="U29" i="8"/>
  <c r="L29" i="8"/>
  <c r="AB27" i="8"/>
  <c r="T27" i="8"/>
  <c r="L27" i="8"/>
  <c r="U27" i="8"/>
  <c r="S27" i="8"/>
  <c r="AG19" i="8"/>
  <c r="U19" i="8"/>
  <c r="M19" i="8"/>
  <c r="Z19" i="8"/>
  <c r="L19" i="8"/>
  <c r="T19" i="8"/>
  <c r="AG17" i="8"/>
  <c r="AG15" i="8"/>
  <c r="AB43" i="8"/>
  <c r="T43" i="8"/>
  <c r="L43" i="8"/>
  <c r="AA43" i="8"/>
  <c r="N43" i="8"/>
  <c r="AG43" i="8"/>
  <c r="Z43" i="8"/>
  <c r="M43" i="8"/>
  <c r="U3" i="8"/>
  <c r="M7" i="8"/>
  <c r="U7" i="8"/>
  <c r="Z27" i="8"/>
  <c r="AG37" i="8"/>
  <c r="AH35" i="8"/>
  <c r="AG35" i="8"/>
  <c r="AG28" i="8"/>
  <c r="AG24" i="8"/>
  <c r="AG22" i="8"/>
  <c r="AG18" i="8"/>
  <c r="AA16" i="8"/>
  <c r="U16" i="8"/>
  <c r="AB4" i="8"/>
  <c r="M5" i="8"/>
  <c r="U5" i="8"/>
  <c r="N6" i="8"/>
  <c r="AA7" i="8"/>
  <c r="AG11" i="8"/>
  <c r="T16" i="8"/>
  <c r="N19" i="8"/>
  <c r="M27" i="8"/>
  <c r="AB29" i="8"/>
  <c r="S43" i="8"/>
  <c r="AA19" i="8"/>
  <c r="AG23" i="8"/>
  <c r="N29" i="8"/>
  <c r="AH43" i="8"/>
  <c r="N3" i="8"/>
  <c r="N7" i="8"/>
  <c r="AG9" i="8"/>
  <c r="AB19" i="8"/>
  <c r="AA27" i="8"/>
  <c r="T29" i="8"/>
  <c r="AN43" i="8"/>
  <c r="Q33" i="2"/>
  <c r="U30" i="8" s="1"/>
  <c r="N5" i="8"/>
  <c r="T7" i="8"/>
  <c r="AG13" i="8"/>
  <c r="S19" i="8"/>
  <c r="AG25" i="8"/>
  <c r="N27" i="8"/>
  <c r="AG29" i="8"/>
  <c r="AG40" i="8"/>
  <c r="U43" i="8"/>
  <c r="V33" i="2"/>
  <c r="G33" i="2" s="1"/>
  <c r="F30" i="8" s="1"/>
  <c r="S34" i="2"/>
  <c r="O34" i="2"/>
  <c r="Z31" i="8" s="1"/>
  <c r="W34" i="2"/>
  <c r="H34" i="2" s="1"/>
  <c r="G31" i="8" s="1"/>
  <c r="R34" i="2"/>
  <c r="N34" i="2"/>
  <c r="AA31" i="8" s="1"/>
  <c r="V34" i="2"/>
  <c r="Q34" i="2"/>
  <c r="N31" i="8" s="1"/>
  <c r="T34" i="2"/>
  <c r="W33" i="2"/>
  <c r="H33" i="2" s="1"/>
  <c r="G30" i="8" s="1"/>
  <c r="N33" i="2"/>
  <c r="T30" i="8" s="1"/>
  <c r="R33" i="2"/>
  <c r="O33" i="2"/>
  <c r="L30" i="8" s="1"/>
  <c r="S33" i="2"/>
  <c r="P33" i="2"/>
  <c r="D31" i="8" l="1"/>
  <c r="E34" i="2"/>
  <c r="G34" i="2"/>
  <c r="F31" i="8" s="1"/>
  <c r="AB30" i="8"/>
  <c r="AB31" i="8"/>
  <c r="N30" i="8"/>
  <c r="M30" i="8"/>
  <c r="U31" i="8"/>
  <c r="AA30" i="8"/>
  <c r="M31" i="8"/>
  <c r="Z30" i="8"/>
  <c r="T31" i="8"/>
  <c r="L31" i="8"/>
  <c r="S30" i="8"/>
  <c r="S31" i="8"/>
  <c r="M34" i="2"/>
  <c r="M33" i="2"/>
  <c r="D33" i="2" s="1"/>
  <c r="C30" i="8" s="1"/>
  <c r="C31" i="8" l="1"/>
  <c r="D34" i="2"/>
  <c r="S19" i="2"/>
  <c r="AC46" i="2"/>
  <c r="O22" i="2" l="1"/>
  <c r="M22" i="2"/>
  <c r="Z16" i="2"/>
  <c r="AG16" i="2" s="1"/>
  <c r="AE16" i="2" l="1"/>
  <c r="AN13" i="8" s="1"/>
  <c r="AD16" i="2"/>
  <c r="AH13" i="8" s="1"/>
  <c r="AI16" i="2"/>
  <c r="AK16" i="2"/>
  <c r="AF16" i="2"/>
  <c r="AL16" i="2"/>
  <c r="AA16" i="2"/>
  <c r="K12" i="6"/>
  <c r="AH16" i="2" l="1"/>
  <c r="AB16" i="2" s="1"/>
  <c r="O19" i="2"/>
  <c r="O11" i="2"/>
  <c r="O10" i="2"/>
  <c r="O9" i="2"/>
  <c r="O8" i="2"/>
  <c r="O7" i="2"/>
  <c r="O6" i="2"/>
  <c r="Z4" i="8" l="1"/>
  <c r="L4" i="8"/>
  <c r="S4" i="8"/>
  <c r="L5" i="8"/>
  <c r="S5" i="8"/>
  <c r="Z5" i="8"/>
  <c r="L8" i="8"/>
  <c r="S8" i="8"/>
  <c r="Z8" i="8"/>
  <c r="S16" i="8"/>
  <c r="L16" i="8"/>
  <c r="Z16" i="8"/>
  <c r="L6" i="8"/>
  <c r="Z6" i="8"/>
  <c r="S6" i="8"/>
  <c r="Z3" i="8"/>
  <c r="S3" i="8"/>
  <c r="L3" i="8"/>
  <c r="Z7" i="8"/>
  <c r="L7" i="8"/>
  <c r="S7" i="8"/>
  <c r="C21" i="2"/>
  <c r="C20" i="2"/>
  <c r="C19" i="2"/>
  <c r="C18" i="2"/>
  <c r="C13" i="2"/>
  <c r="C14" i="2"/>
  <c r="C15" i="2"/>
  <c r="C16" i="2"/>
  <c r="C17" i="2"/>
  <c r="C12" i="2"/>
  <c r="W10" i="2" l="1"/>
  <c r="V10" i="2"/>
  <c r="W9" i="2"/>
  <c r="H9" i="2" s="1"/>
  <c r="G6" i="8" s="1"/>
  <c r="V9" i="2"/>
  <c r="G9" i="2" s="1"/>
  <c r="F6" i="8" s="1"/>
  <c r="W7" i="2"/>
  <c r="H7" i="2" s="1"/>
  <c r="G4" i="8" s="1"/>
  <c r="V7" i="2"/>
  <c r="V11" i="2" s="1"/>
  <c r="G11" i="2" s="1"/>
  <c r="F8" i="8" s="1"/>
  <c r="W8" i="2"/>
  <c r="H8" i="2" s="1"/>
  <c r="V8" i="2"/>
  <c r="G8" i="2" s="1"/>
  <c r="T8" i="2"/>
  <c r="Q8" i="2"/>
  <c r="P8" i="2"/>
  <c r="N8" i="2"/>
  <c r="W6" i="2"/>
  <c r="H6" i="2" s="1"/>
  <c r="G3" i="8" s="1"/>
  <c r="V6" i="2"/>
  <c r="T6" i="2"/>
  <c r="E6" i="2" s="1"/>
  <c r="D3" i="8" s="1"/>
  <c r="H10" i="2"/>
  <c r="G10" i="2"/>
  <c r="G7" i="2"/>
  <c r="F4" i="8" s="1"/>
  <c r="G6" i="2"/>
  <c r="F3" i="8" s="1"/>
  <c r="AL38" i="2"/>
  <c r="AK38" i="2"/>
  <c r="W32" i="2"/>
  <c r="V32" i="2"/>
  <c r="W30" i="2"/>
  <c r="H30" i="2" s="1"/>
  <c r="V30" i="2"/>
  <c r="G30" i="2" s="1"/>
  <c r="W19" i="2"/>
  <c r="V19" i="2"/>
  <c r="U22" i="2"/>
  <c r="U10" i="2"/>
  <c r="F10" i="2" s="1"/>
  <c r="AJ3" i="2"/>
  <c r="U3" i="2"/>
  <c r="AJ38" i="2" l="1"/>
  <c r="AJ16" i="2"/>
  <c r="U8" i="2"/>
  <c r="F8" i="2" s="1"/>
  <c r="U19" i="2"/>
  <c r="U34" i="2"/>
  <c r="U33" i="2"/>
  <c r="F33" i="2" s="1"/>
  <c r="E30" i="8" s="1"/>
  <c r="U32" i="2"/>
  <c r="U30" i="2"/>
  <c r="F30" i="2" s="1"/>
  <c r="W11" i="2"/>
  <c r="H11" i="2" s="1"/>
  <c r="G8" i="8" s="1"/>
  <c r="E31" i="8" l="1"/>
  <c r="F34" i="2"/>
  <c r="Z39" i="2"/>
  <c r="AH38" i="2"/>
  <c r="D22" i="2"/>
  <c r="C11" i="2"/>
  <c r="C10" i="2"/>
  <c r="C9" i="2"/>
  <c r="C8" i="2"/>
  <c r="C7" i="2"/>
  <c r="C6" i="2"/>
  <c r="AB38" i="2"/>
  <c r="S30" i="2"/>
  <c r="M30" i="2" s="1"/>
  <c r="D30" i="2" s="1"/>
  <c r="D19" i="2"/>
  <c r="C16" i="8" s="1"/>
  <c r="P6" i="2"/>
  <c r="T7" i="2"/>
  <c r="E7" i="2" s="1"/>
  <c r="D4" i="8" s="1"/>
  <c r="T9" i="2"/>
  <c r="E9" i="2" s="1"/>
  <c r="D6" i="8" s="1"/>
  <c r="P9" i="2"/>
  <c r="U9" i="2" s="1"/>
  <c r="F9" i="2" s="1"/>
  <c r="E6" i="8" s="1"/>
  <c r="N9" i="2"/>
  <c r="N7" i="2"/>
  <c r="T11" i="2"/>
  <c r="E11" i="2" s="1"/>
  <c r="D8" i="8" s="1"/>
  <c r="N11" i="2"/>
  <c r="P11" i="2"/>
  <c r="U11" i="2" s="1"/>
  <c r="F11" i="2" s="1"/>
  <c r="E8" i="8" s="1"/>
  <c r="S10" i="2"/>
  <c r="M10" i="2" s="1"/>
  <c r="D10" i="2" s="1"/>
  <c r="M8" i="8" l="1"/>
  <c r="AA8" i="8"/>
  <c r="T8" i="8"/>
  <c r="M4" i="8"/>
  <c r="T4" i="8"/>
  <c r="AA4" i="8"/>
  <c r="M6" i="8"/>
  <c r="T6" i="8"/>
  <c r="AA6" i="8"/>
  <c r="M32" i="1"/>
  <c r="M33" i="1"/>
  <c r="M4" i="1"/>
  <c r="U6" i="2"/>
  <c r="F6" i="2" s="1"/>
  <c r="E3" i="8" s="1"/>
  <c r="S6" i="2"/>
  <c r="AE39" i="2"/>
  <c r="AN36" i="8" s="1"/>
  <c r="AL39" i="2"/>
  <c r="H39" i="2" s="1"/>
  <c r="G36" i="8" s="1"/>
  <c r="AK39" i="2"/>
  <c r="G39" i="2" s="1"/>
  <c r="F36" i="8" s="1"/>
  <c r="S11" i="2"/>
  <c r="M11" i="2" s="1"/>
  <c r="D11" i="2" s="1"/>
  <c r="C8" i="8" s="1"/>
  <c r="AF39" i="2"/>
  <c r="AJ39" i="2" s="1"/>
  <c r="F39" i="2" s="1"/>
  <c r="E36" i="8" s="1"/>
  <c r="AD39" i="2"/>
  <c r="AH36" i="8" s="1"/>
  <c r="AI39" i="2"/>
  <c r="E39" i="2" s="1"/>
  <c r="D36" i="8" s="1"/>
  <c r="AA39" i="2"/>
  <c r="AG39" i="2"/>
  <c r="S8" i="2"/>
  <c r="M8" i="2" s="1"/>
  <c r="D8" i="2" s="1"/>
  <c r="S9" i="2"/>
  <c r="M9" i="2" s="1"/>
  <c r="D9" i="2" s="1"/>
  <c r="C6" i="8" s="1"/>
  <c r="AH39" i="2" l="1"/>
  <c r="AB39" i="2" s="1"/>
  <c r="D39" i="2" s="1"/>
  <c r="C36" i="8" s="1"/>
  <c r="M6" i="2"/>
  <c r="D6" i="2" s="1"/>
  <c r="C3" i="8" s="1"/>
  <c r="P7" i="2" l="1"/>
  <c r="U7" i="2" s="1"/>
  <c r="F7" i="2" s="1"/>
  <c r="E4" i="8" s="1"/>
  <c r="N6" i="2"/>
  <c r="K14" i="6"/>
  <c r="K13" i="6"/>
  <c r="K11" i="6"/>
  <c r="AD11" i="6" s="1"/>
  <c r="AE11" i="6" s="1"/>
  <c r="K10" i="6"/>
  <c r="AD10" i="6"/>
  <c r="AE10" i="6" s="1"/>
  <c r="K9" i="6"/>
  <c r="AD4" i="6"/>
  <c r="AE4" i="6"/>
  <c r="AD5" i="6"/>
  <c r="AE5" i="6"/>
  <c r="AD6" i="6"/>
  <c r="AE6" i="6"/>
  <c r="AD7" i="6"/>
  <c r="AE7" i="6"/>
  <c r="AD8" i="6"/>
  <c r="AE8" i="6"/>
  <c r="AD9" i="6"/>
  <c r="AE9" i="6" s="1"/>
  <c r="AD12" i="6"/>
  <c r="AE12" i="6"/>
  <c r="AD13" i="6"/>
  <c r="AE13" i="6"/>
  <c r="AD14" i="6"/>
  <c r="AE14" i="6"/>
  <c r="AD15" i="6"/>
  <c r="AE15" i="6"/>
  <c r="AD16" i="6"/>
  <c r="AE16" i="6"/>
  <c r="AD17" i="6"/>
  <c r="AE17" i="6"/>
  <c r="AD18" i="6"/>
  <c r="AE18" i="6"/>
  <c r="AD19" i="6"/>
  <c r="AE19" i="6"/>
  <c r="AD20" i="6"/>
  <c r="AE20" i="6"/>
  <c r="AD21" i="6"/>
  <c r="AE21" i="6"/>
  <c r="AD22" i="6"/>
  <c r="AE22" i="6"/>
  <c r="AD23" i="6"/>
  <c r="AE23" i="6"/>
  <c r="AD24" i="6"/>
  <c r="AE24" i="6"/>
  <c r="AD25" i="6"/>
  <c r="AE25" i="6"/>
  <c r="AD26" i="6"/>
  <c r="AE26" i="6"/>
  <c r="AD27" i="6"/>
  <c r="AE27" i="6"/>
  <c r="AD28" i="6"/>
  <c r="AE28" i="6"/>
  <c r="AD29" i="6"/>
  <c r="AE29" i="6"/>
  <c r="AD30" i="6"/>
  <c r="AE30" i="6"/>
  <c r="AD31" i="6"/>
  <c r="AE31" i="6"/>
  <c r="AD32" i="6"/>
  <c r="AE32" i="6"/>
  <c r="AD33" i="6"/>
  <c r="AE33" i="6"/>
  <c r="AD34" i="6"/>
  <c r="AE34" i="6"/>
  <c r="AD35" i="6"/>
  <c r="AE35" i="6"/>
  <c r="AD36" i="6"/>
  <c r="AE36" i="6"/>
  <c r="AD37" i="6"/>
  <c r="AE37" i="6"/>
  <c r="AD38" i="6"/>
  <c r="AE38" i="6"/>
  <c r="AD39" i="6"/>
  <c r="AE39" i="6"/>
  <c r="AD40" i="6"/>
  <c r="AE40" i="6"/>
  <c r="AD41" i="6"/>
  <c r="AE41" i="6"/>
  <c r="AD42" i="6"/>
  <c r="AE42" i="6"/>
  <c r="AD43" i="6"/>
  <c r="AE43" i="6"/>
  <c r="AD44" i="6"/>
  <c r="AE44" i="6"/>
  <c r="AD45" i="6"/>
  <c r="AE45" i="6"/>
  <c r="AD46" i="6"/>
  <c r="AE46" i="6"/>
  <c r="AD47" i="6"/>
  <c r="AE47" i="6"/>
  <c r="AD48" i="6"/>
  <c r="AE48" i="6"/>
  <c r="AD49" i="6"/>
  <c r="AE49" i="6"/>
  <c r="AD50" i="6"/>
  <c r="AE50" i="6"/>
  <c r="AD51" i="6"/>
  <c r="AE51" i="6"/>
  <c r="AD52" i="6"/>
  <c r="AE52" i="6"/>
  <c r="AD53" i="6"/>
  <c r="AE53" i="6"/>
  <c r="AD54" i="6"/>
  <c r="AE54" i="6"/>
  <c r="AD55" i="6"/>
  <c r="AE55" i="6"/>
  <c r="AD56" i="6"/>
  <c r="AE56" i="6"/>
  <c r="AD57" i="6"/>
  <c r="AE57" i="6"/>
  <c r="AD58" i="6"/>
  <c r="AE58" i="6"/>
  <c r="AD59" i="6"/>
  <c r="AE59" i="6"/>
  <c r="AD60" i="6"/>
  <c r="AE60" i="6"/>
  <c r="AD61" i="6"/>
  <c r="AE61" i="6"/>
  <c r="AE3" i="6"/>
  <c r="AD3" i="6"/>
  <c r="M3" i="8" l="1"/>
  <c r="AA3" i="8"/>
  <c r="T3" i="8"/>
  <c r="S7" i="2"/>
  <c r="M7" i="2" s="1"/>
  <c r="D7" i="2" l="1"/>
  <c r="C4" i="8" s="1"/>
  <c r="P106" i="1"/>
  <c r="P105" i="1"/>
  <c r="P104" i="1"/>
  <c r="P103" i="1"/>
  <c r="P102" i="1"/>
  <c r="O104" i="1"/>
  <c r="O103" i="1"/>
  <c r="O102" i="1"/>
  <c r="N106" i="1"/>
  <c r="N105" i="1"/>
  <c r="N104" i="1"/>
  <c r="N103" i="1"/>
  <c r="N102" i="1"/>
  <c r="M106" i="1"/>
  <c r="M105" i="1"/>
  <c r="M103" i="1"/>
  <c r="M102" i="1"/>
  <c r="E103" i="1"/>
  <c r="E102" i="1"/>
  <c r="B102" i="1"/>
  <c r="A106" i="1"/>
  <c r="A105" i="1"/>
  <c r="A104" i="1"/>
  <c r="A103" i="1"/>
  <c r="L106" i="1"/>
  <c r="L105" i="1"/>
  <c r="L104" i="1"/>
  <c r="L103" i="1"/>
  <c r="L102" i="1"/>
  <c r="A102" i="1"/>
  <c r="P100" i="1"/>
  <c r="P99" i="1"/>
  <c r="P98" i="1"/>
  <c r="P97" i="1"/>
  <c r="P96" i="1"/>
  <c r="O98" i="1"/>
  <c r="O97" i="1"/>
  <c r="O96" i="1"/>
  <c r="N100" i="1"/>
  <c r="M100" i="1"/>
  <c r="N99" i="1"/>
  <c r="M99" i="1"/>
  <c r="N98" i="1"/>
  <c r="N97" i="1"/>
  <c r="M97" i="1"/>
  <c r="N96" i="1"/>
  <c r="M96" i="1"/>
  <c r="L100" i="1"/>
  <c r="L99" i="1"/>
  <c r="L98" i="1"/>
  <c r="L97" i="1"/>
  <c r="L96" i="1"/>
  <c r="E97" i="1"/>
  <c r="E96" i="1"/>
  <c r="B96" i="1"/>
  <c r="A100" i="1"/>
  <c r="A99" i="1"/>
  <c r="A98" i="1"/>
  <c r="A97" i="1"/>
  <c r="A96" i="1"/>
  <c r="M92" i="1"/>
  <c r="M87" i="1"/>
  <c r="M86" i="1"/>
  <c r="M104" i="1" l="1"/>
  <c r="M98" i="1"/>
  <c r="AP39" i="2"/>
  <c r="AQ39" i="2" l="1"/>
  <c r="C39" i="2" s="1"/>
  <c r="B36" i="8" s="1"/>
  <c r="AP13" i="2"/>
  <c r="AP14" i="2"/>
  <c r="AP15" i="2"/>
  <c r="AP16" i="2"/>
  <c r="AP17" i="2"/>
  <c r="AP18" i="2"/>
  <c r="AP22" i="2"/>
  <c r="AP25" i="2"/>
  <c r="AP27" i="2"/>
  <c r="AP31" i="2"/>
  <c r="AP32" i="2"/>
  <c r="AP44" i="2"/>
  <c r="AP46" i="2"/>
  <c r="AP12" i="2"/>
  <c r="K12" i="2"/>
  <c r="O12" i="2" s="1"/>
  <c r="AR39" i="2" l="1"/>
  <c r="AS36" i="8" s="1"/>
  <c r="AQ12" i="2"/>
  <c r="AR12" i="2"/>
  <c r="AS9" i="8" s="1"/>
  <c r="AQ31" i="2"/>
  <c r="AR31" i="2" s="1"/>
  <c r="AS28" i="8" s="1"/>
  <c r="AQ14" i="2"/>
  <c r="AR14" i="2"/>
  <c r="AS11" i="8" s="1"/>
  <c r="AQ46" i="2"/>
  <c r="AR46" i="2" s="1"/>
  <c r="AS42" i="8" s="1"/>
  <c r="AQ27" i="2"/>
  <c r="AR27" i="2"/>
  <c r="AS24" i="8" s="1"/>
  <c r="AQ17" i="2"/>
  <c r="AR17" i="2" s="1"/>
  <c r="AS14" i="8" s="1"/>
  <c r="AQ13" i="2"/>
  <c r="AR13" i="2"/>
  <c r="AS10" i="8" s="1"/>
  <c r="AQ18" i="2"/>
  <c r="AR18" i="2" s="1"/>
  <c r="AS15" i="8" s="1"/>
  <c r="AQ44" i="2"/>
  <c r="AR44" i="2"/>
  <c r="AS41" i="8" s="1"/>
  <c r="AQ25" i="2"/>
  <c r="AR25" i="2" s="1"/>
  <c r="AS22" i="8" s="1"/>
  <c r="AQ16" i="2"/>
  <c r="AR16" i="2"/>
  <c r="AS13" i="8" s="1"/>
  <c r="AQ32" i="2"/>
  <c r="AR32" i="2" s="1"/>
  <c r="AS29" i="8" s="1"/>
  <c r="AQ22" i="2"/>
  <c r="AR22" i="2" s="1"/>
  <c r="AS19" i="8" s="1"/>
  <c r="AQ15" i="2"/>
  <c r="AR15" i="2" s="1"/>
  <c r="AS12" i="8" s="1"/>
  <c r="S9" i="8"/>
  <c r="Z9" i="8"/>
  <c r="L9" i="8"/>
  <c r="T12" i="2"/>
  <c r="W12" i="2"/>
  <c r="V12" i="2"/>
  <c r="L12" i="2"/>
  <c r="S12" i="2"/>
  <c r="P12" i="2"/>
  <c r="U12" i="2" s="1"/>
  <c r="R12" i="2"/>
  <c r="Q12" i="2"/>
  <c r="K24" i="2"/>
  <c r="O24" i="2" s="1"/>
  <c r="C30" i="2"/>
  <c r="K16" i="2"/>
  <c r="O16" i="2" s="1"/>
  <c r="L13" i="8" l="1"/>
  <c r="S13" i="8"/>
  <c r="Z13" i="8"/>
  <c r="Z21" i="8"/>
  <c r="S21" i="8"/>
  <c r="L21" i="8"/>
  <c r="N9" i="8"/>
  <c r="AB9" i="8"/>
  <c r="U9" i="8"/>
  <c r="T16" i="2"/>
  <c r="E16" i="2" s="1"/>
  <c r="D13" i="8" s="1"/>
  <c r="W16" i="2"/>
  <c r="H16" i="2" s="1"/>
  <c r="G13" i="8" s="1"/>
  <c r="V16" i="2"/>
  <c r="G16" i="2" s="1"/>
  <c r="F13" i="8" s="1"/>
  <c r="T24" i="2"/>
  <c r="E24" i="2" s="1"/>
  <c r="D21" i="8" s="1"/>
  <c r="W24" i="2"/>
  <c r="H24" i="2" s="1"/>
  <c r="G21" i="8" s="1"/>
  <c r="V24" i="2"/>
  <c r="G24" i="2" s="1"/>
  <c r="F21" i="8" s="1"/>
  <c r="M12" i="2"/>
  <c r="D12" i="2" s="1"/>
  <c r="C9" i="8" s="1"/>
  <c r="M29" i="1"/>
  <c r="N16" i="2"/>
  <c r="S16" i="2"/>
  <c r="R16" i="2"/>
  <c r="Q16" i="2"/>
  <c r="P16" i="2"/>
  <c r="U16" i="2" s="1"/>
  <c r="F16" i="2" s="1"/>
  <c r="E13" i="8" s="1"/>
  <c r="L24" i="2"/>
  <c r="C24" i="2" s="1"/>
  <c r="B21" i="8" s="1"/>
  <c r="S24" i="2"/>
  <c r="P24" i="2"/>
  <c r="U24" i="2" s="1"/>
  <c r="F24" i="2" s="1"/>
  <c r="E21" i="8" s="1"/>
  <c r="R24" i="2"/>
  <c r="Q24" i="2"/>
  <c r="L16" i="2"/>
  <c r="M14" i="1" s="1"/>
  <c r="N24" i="2"/>
  <c r="M37" i="1"/>
  <c r="M9" i="1"/>
  <c r="M8" i="1"/>
  <c r="M5" i="1"/>
  <c r="M6" i="1"/>
  <c r="M7" i="1"/>
  <c r="Z22" i="2"/>
  <c r="K38" i="2"/>
  <c r="O38" i="2" s="1"/>
  <c r="AB21" i="8" l="1"/>
  <c r="N21" i="8"/>
  <c r="U21" i="8"/>
  <c r="M13" i="8"/>
  <c r="AA13" i="8"/>
  <c r="T13" i="8"/>
  <c r="Z35" i="8"/>
  <c r="L35" i="8"/>
  <c r="S35" i="8"/>
  <c r="T21" i="8"/>
  <c r="AA21" i="8"/>
  <c r="M21" i="8"/>
  <c r="N13" i="8"/>
  <c r="AB13" i="8"/>
  <c r="U13" i="8"/>
  <c r="M23" i="1"/>
  <c r="AL22" i="2"/>
  <c r="H22" i="2" s="1"/>
  <c r="G19" i="8" s="1"/>
  <c r="AK22" i="2"/>
  <c r="G22" i="2" s="1"/>
  <c r="F19" i="8" s="1"/>
  <c r="T38" i="2"/>
  <c r="E38" i="2" s="1"/>
  <c r="D35" i="8" s="1"/>
  <c r="W38" i="2"/>
  <c r="H38" i="2" s="1"/>
  <c r="G35" i="8" s="1"/>
  <c r="V38" i="2"/>
  <c r="G38" i="2" s="1"/>
  <c r="F35" i="8" s="1"/>
  <c r="M16" i="2"/>
  <c r="D16" i="2" s="1"/>
  <c r="C13" i="8" s="1"/>
  <c r="M24" i="2"/>
  <c r="D24" i="2" s="1"/>
  <c r="C21" i="8" s="1"/>
  <c r="AE22" i="2"/>
  <c r="AN19" i="8" s="1"/>
  <c r="AF22" i="2"/>
  <c r="AJ22" i="2" s="1"/>
  <c r="F22" i="2" s="1"/>
  <c r="E19" i="8" s="1"/>
  <c r="AG22" i="2"/>
  <c r="AI22" i="2"/>
  <c r="E22" i="2" s="1"/>
  <c r="D19" i="8" s="1"/>
  <c r="L38" i="2"/>
  <c r="C38" i="2" s="1"/>
  <c r="B35" i="8" s="1"/>
  <c r="S38" i="2"/>
  <c r="P38" i="2"/>
  <c r="U38" i="2" s="1"/>
  <c r="F38" i="2" s="1"/>
  <c r="E35" i="8" s="1"/>
  <c r="R38" i="2"/>
  <c r="Q38" i="2"/>
  <c r="AA22" i="2"/>
  <c r="C22" i="2" s="1"/>
  <c r="B19" i="8" s="1"/>
  <c r="AD22" i="2"/>
  <c r="AH19" i="8" s="1"/>
  <c r="N38" i="2"/>
  <c r="N35" i="8" l="1"/>
  <c r="AB35" i="8"/>
  <c r="U35" i="8"/>
  <c r="M35" i="8"/>
  <c r="T35" i="8"/>
  <c r="AA35" i="8"/>
  <c r="AH22" i="2"/>
  <c r="AB22" i="2" s="1"/>
  <c r="M38" i="2"/>
  <c r="D38" i="2" s="1"/>
  <c r="C35" i="8" s="1"/>
  <c r="M20" i="1"/>
  <c r="K42" i="2"/>
  <c r="O42" i="2" s="1"/>
  <c r="K13" i="2"/>
  <c r="O13" i="2" s="1"/>
  <c r="K14" i="2"/>
  <c r="O14" i="2" s="1"/>
  <c r="K15" i="2"/>
  <c r="O15" i="2" s="1"/>
  <c r="K17" i="2"/>
  <c r="O17" i="2" s="1"/>
  <c r="K18" i="2"/>
  <c r="O18" i="2" s="1"/>
  <c r="K20" i="2"/>
  <c r="O20" i="2" s="1"/>
  <c r="K21" i="2"/>
  <c r="O21" i="2" s="1"/>
  <c r="K23" i="2"/>
  <c r="O23" i="2" s="1"/>
  <c r="K25" i="2"/>
  <c r="O25" i="2" s="1"/>
  <c r="K27" i="2"/>
  <c r="O27" i="2" s="1"/>
  <c r="K28" i="2"/>
  <c r="O28" i="2" s="1"/>
  <c r="K29" i="2"/>
  <c r="O29" i="2" s="1"/>
  <c r="K31" i="2"/>
  <c r="O31" i="2" s="1"/>
  <c r="K36" i="2"/>
  <c r="O36" i="2" s="1"/>
  <c r="K40" i="2"/>
  <c r="O40" i="2" s="1"/>
  <c r="K41" i="2"/>
  <c r="O41" i="2" s="1"/>
  <c r="K44" i="2"/>
  <c r="O44" i="2" s="1"/>
  <c r="N12" i="2"/>
  <c r="Z12" i="2"/>
  <c r="L33" i="8" l="1"/>
  <c r="S33" i="8"/>
  <c r="Z33" i="8"/>
  <c r="S17" i="8"/>
  <c r="Z17" i="8"/>
  <c r="L17" i="8"/>
  <c r="L41" i="8"/>
  <c r="Z41" i="8"/>
  <c r="S41" i="8"/>
  <c r="S22" i="8"/>
  <c r="Z22" i="8"/>
  <c r="L22" i="8"/>
  <c r="L15" i="8"/>
  <c r="Z15" i="8"/>
  <c r="S15" i="8"/>
  <c r="L10" i="8"/>
  <c r="Z10" i="8"/>
  <c r="S10" i="8"/>
  <c r="Z38" i="8"/>
  <c r="L38" i="8"/>
  <c r="S38" i="8"/>
  <c r="L26" i="8"/>
  <c r="Z26" i="8"/>
  <c r="S26" i="8"/>
  <c r="S20" i="8"/>
  <c r="L20" i="8"/>
  <c r="Z20" i="8"/>
  <c r="S14" i="8"/>
  <c r="Z14" i="8"/>
  <c r="L14" i="8"/>
  <c r="L39" i="8"/>
  <c r="S39" i="8"/>
  <c r="Z39" i="8"/>
  <c r="T9" i="8"/>
  <c r="AA9" i="8"/>
  <c r="M9" i="8"/>
  <c r="L24" i="8"/>
  <c r="Z24" i="8"/>
  <c r="S24" i="8"/>
  <c r="L11" i="8"/>
  <c r="S11" i="8"/>
  <c r="Z11" i="8"/>
  <c r="Z28" i="8"/>
  <c r="L28" i="8"/>
  <c r="S28" i="8"/>
  <c r="S37" i="8"/>
  <c r="Z37" i="8"/>
  <c r="L37" i="8"/>
  <c r="S25" i="8"/>
  <c r="Z25" i="8"/>
  <c r="L25" i="8"/>
  <c r="L18" i="8"/>
  <c r="S18" i="8"/>
  <c r="Z18" i="8"/>
  <c r="S12" i="8"/>
  <c r="Z12" i="8"/>
  <c r="L12" i="8"/>
  <c r="T40" i="2"/>
  <c r="W40" i="2"/>
  <c r="V40" i="2"/>
  <c r="T15" i="2"/>
  <c r="W15" i="2"/>
  <c r="V15" i="2"/>
  <c r="T36" i="2"/>
  <c r="V36" i="2"/>
  <c r="W36" i="2"/>
  <c r="T31" i="2"/>
  <c r="W31" i="2"/>
  <c r="V31" i="2"/>
  <c r="T18" i="2"/>
  <c r="V18" i="2"/>
  <c r="W18" i="2"/>
  <c r="T13" i="2"/>
  <c r="W13" i="2"/>
  <c r="V13" i="2"/>
  <c r="AK12" i="2"/>
  <c r="G12" i="2" s="1"/>
  <c r="F9" i="8" s="1"/>
  <c r="AL12" i="2"/>
  <c r="H12" i="2" s="1"/>
  <c r="G9" i="8" s="1"/>
  <c r="T28" i="2"/>
  <c r="W28" i="2"/>
  <c r="V28" i="2"/>
  <c r="T21" i="2"/>
  <c r="V21" i="2"/>
  <c r="W21" i="2"/>
  <c r="T27" i="2"/>
  <c r="V27" i="2"/>
  <c r="W27" i="2"/>
  <c r="T20" i="2"/>
  <c r="W20" i="2"/>
  <c r="V20" i="2"/>
  <c r="T14" i="2"/>
  <c r="V14" i="2"/>
  <c r="W14" i="2"/>
  <c r="T44" i="2"/>
  <c r="W44" i="2"/>
  <c r="V44" i="2"/>
  <c r="T25" i="2"/>
  <c r="W25" i="2"/>
  <c r="V25" i="2"/>
  <c r="T41" i="2"/>
  <c r="W41" i="2"/>
  <c r="V41" i="2"/>
  <c r="T29" i="2"/>
  <c r="V29" i="2"/>
  <c r="W29" i="2"/>
  <c r="T23" i="2"/>
  <c r="E23" i="2" s="1"/>
  <c r="D20" i="8" s="1"/>
  <c r="W23" i="2"/>
  <c r="H23" i="2" s="1"/>
  <c r="G20" i="8" s="1"/>
  <c r="V23" i="2"/>
  <c r="G23" i="2" s="1"/>
  <c r="F20" i="8" s="1"/>
  <c r="T17" i="2"/>
  <c r="W17" i="2"/>
  <c r="V17" i="2"/>
  <c r="T42" i="2"/>
  <c r="V42" i="2"/>
  <c r="W42" i="2"/>
  <c r="AF12" i="2"/>
  <c r="AJ12" i="2" s="1"/>
  <c r="F12" i="2" s="1"/>
  <c r="E9" i="8" s="1"/>
  <c r="AI12" i="2"/>
  <c r="E12" i="2" s="1"/>
  <c r="D9" i="8" s="1"/>
  <c r="AG12" i="2"/>
  <c r="L44" i="2"/>
  <c r="S44" i="2"/>
  <c r="P44" i="2"/>
  <c r="U44" i="2" s="1"/>
  <c r="R44" i="2"/>
  <c r="Q44" i="2"/>
  <c r="L31" i="2"/>
  <c r="S31" i="2"/>
  <c r="Q31" i="2"/>
  <c r="P31" i="2"/>
  <c r="R31" i="2"/>
  <c r="S25" i="2"/>
  <c r="Q25" i="2"/>
  <c r="P25" i="2"/>
  <c r="R25" i="2"/>
  <c r="L18" i="2"/>
  <c r="S18" i="2"/>
  <c r="R18" i="2"/>
  <c r="Q18" i="2"/>
  <c r="P18" i="2"/>
  <c r="U18" i="2" s="1"/>
  <c r="L13" i="2"/>
  <c r="S13" i="2"/>
  <c r="Q13" i="2"/>
  <c r="P13" i="2"/>
  <c r="U13" i="2" s="1"/>
  <c r="R13" i="2"/>
  <c r="N41" i="2"/>
  <c r="S41" i="2"/>
  <c r="P41" i="2"/>
  <c r="U41" i="2" s="1"/>
  <c r="R41" i="2"/>
  <c r="Q41" i="2"/>
  <c r="N29" i="2"/>
  <c r="S29" i="2"/>
  <c r="R29" i="2"/>
  <c r="Q29" i="2"/>
  <c r="P29" i="2"/>
  <c r="U29" i="2" s="1"/>
  <c r="N23" i="2"/>
  <c r="S23" i="2"/>
  <c r="Q23" i="2"/>
  <c r="P23" i="2"/>
  <c r="U23" i="2" s="1"/>
  <c r="F23" i="2" s="1"/>
  <c r="E20" i="8" s="1"/>
  <c r="R23" i="2"/>
  <c r="N17" i="2"/>
  <c r="S17" i="2"/>
  <c r="Q17" i="2"/>
  <c r="P17" i="2"/>
  <c r="U17" i="2" s="1"/>
  <c r="R17" i="2"/>
  <c r="N42" i="2"/>
  <c r="S42" i="2"/>
  <c r="Q42" i="2"/>
  <c r="R42" i="2"/>
  <c r="P42" i="2"/>
  <c r="L40" i="2"/>
  <c r="S40" i="2"/>
  <c r="Q40" i="2"/>
  <c r="R40" i="2"/>
  <c r="P40" i="2"/>
  <c r="U40" i="2" s="1"/>
  <c r="L28" i="2"/>
  <c r="S28" i="2"/>
  <c r="Q28" i="2"/>
  <c r="P28" i="2"/>
  <c r="U28" i="2" s="1"/>
  <c r="R28" i="2"/>
  <c r="L21" i="2"/>
  <c r="S21" i="2"/>
  <c r="R21" i="2"/>
  <c r="Q21" i="2"/>
  <c r="P21" i="2"/>
  <c r="U21" i="2" s="1"/>
  <c r="L15" i="2"/>
  <c r="S15" i="2"/>
  <c r="Q15" i="2"/>
  <c r="P15" i="2"/>
  <c r="U15" i="2" s="1"/>
  <c r="R15" i="2"/>
  <c r="L36" i="2"/>
  <c r="S36" i="2"/>
  <c r="Q36" i="2"/>
  <c r="R36" i="2"/>
  <c r="P36" i="2"/>
  <c r="U36" i="2" s="1"/>
  <c r="L27" i="2"/>
  <c r="S27" i="2"/>
  <c r="R27" i="2"/>
  <c r="Q27" i="2"/>
  <c r="P27" i="2"/>
  <c r="U27" i="2" s="1"/>
  <c r="L20" i="2"/>
  <c r="S20" i="2"/>
  <c r="Q20" i="2"/>
  <c r="P20" i="2"/>
  <c r="U20" i="2" s="1"/>
  <c r="R20" i="2"/>
  <c r="L14" i="2"/>
  <c r="S14" i="2"/>
  <c r="R14" i="2"/>
  <c r="Q14" i="2"/>
  <c r="P14" i="2"/>
  <c r="L25" i="2"/>
  <c r="N25" i="2"/>
  <c r="L42" i="2"/>
  <c r="N36" i="2"/>
  <c r="N27" i="2"/>
  <c r="N20" i="2"/>
  <c r="N14" i="2"/>
  <c r="L41" i="2"/>
  <c r="L29" i="2"/>
  <c r="L23" i="2"/>
  <c r="C23" i="2" s="1"/>
  <c r="B20" i="8" s="1"/>
  <c r="L17" i="2"/>
  <c r="N44" i="2"/>
  <c r="N40" i="2"/>
  <c r="N31" i="2"/>
  <c r="N28" i="2"/>
  <c r="N21" i="2"/>
  <c r="N18" i="2"/>
  <c r="N15" i="2"/>
  <c r="N13" i="2"/>
  <c r="Z46" i="2"/>
  <c r="Z13" i="2"/>
  <c r="Z14" i="2"/>
  <c r="Z15" i="2"/>
  <c r="AA15" i="2" s="1"/>
  <c r="Z17" i="2"/>
  <c r="Z18" i="2"/>
  <c r="Z19" i="2"/>
  <c r="Z20" i="2"/>
  <c r="Z21" i="2"/>
  <c r="Z25" i="2"/>
  <c r="Z26" i="2"/>
  <c r="Z27" i="2"/>
  <c r="Z28" i="2"/>
  <c r="Z29" i="2"/>
  <c r="Z31" i="2"/>
  <c r="Z32" i="2"/>
  <c r="Z36" i="2"/>
  <c r="Z37" i="2"/>
  <c r="Z40" i="2"/>
  <c r="Z41" i="2"/>
  <c r="Z42" i="2"/>
  <c r="Z43" i="2"/>
  <c r="Z44" i="2"/>
  <c r="AD12" i="2"/>
  <c r="AH9" i="8" s="1"/>
  <c r="E42" i="2" l="1"/>
  <c r="D39" i="8" s="1"/>
  <c r="S32" i="2"/>
  <c r="M32" i="2" s="1"/>
  <c r="E28" i="2"/>
  <c r="D25" i="8" s="1"/>
  <c r="E21" i="2"/>
  <c r="D18" i="8" s="1"/>
  <c r="T10" i="8"/>
  <c r="M10" i="8"/>
  <c r="AA10" i="8"/>
  <c r="AB11" i="8"/>
  <c r="N11" i="8"/>
  <c r="U11" i="8"/>
  <c r="U22" i="8"/>
  <c r="N22" i="8"/>
  <c r="AB22" i="8"/>
  <c r="T12" i="8"/>
  <c r="M12" i="8"/>
  <c r="AA12" i="8"/>
  <c r="AA28" i="8"/>
  <c r="T28" i="8"/>
  <c r="M28" i="8"/>
  <c r="AA17" i="8"/>
  <c r="T17" i="8"/>
  <c r="M17" i="8"/>
  <c r="AB18" i="8"/>
  <c r="U18" i="8"/>
  <c r="N18" i="8"/>
  <c r="AB39" i="8"/>
  <c r="U39" i="8"/>
  <c r="N39" i="8"/>
  <c r="M15" i="8"/>
  <c r="AA15" i="8"/>
  <c r="T15" i="8"/>
  <c r="T37" i="8"/>
  <c r="M37" i="8"/>
  <c r="AA37" i="8"/>
  <c r="AA24" i="8"/>
  <c r="M24" i="8"/>
  <c r="T24" i="8"/>
  <c r="U17" i="8"/>
  <c r="AB17" i="8"/>
  <c r="N17" i="8"/>
  <c r="U24" i="8"/>
  <c r="AB24" i="8"/>
  <c r="N24" i="8"/>
  <c r="AB14" i="8"/>
  <c r="N14" i="8"/>
  <c r="U14" i="8"/>
  <c r="M26" i="8"/>
  <c r="AA26" i="8"/>
  <c r="T26" i="8"/>
  <c r="U10" i="8"/>
  <c r="N10" i="8"/>
  <c r="AB10" i="8"/>
  <c r="U15" i="8"/>
  <c r="N15" i="8"/>
  <c r="AB15" i="8"/>
  <c r="T25" i="8"/>
  <c r="M25" i="8"/>
  <c r="AA25" i="8"/>
  <c r="M11" i="8"/>
  <c r="AA11" i="8"/>
  <c r="T11" i="8"/>
  <c r="N33" i="8"/>
  <c r="AB33" i="8"/>
  <c r="U33" i="8"/>
  <c r="N37" i="8"/>
  <c r="AB37" i="8"/>
  <c r="U37" i="8"/>
  <c r="M14" i="8"/>
  <c r="AA14" i="8"/>
  <c r="T14" i="8"/>
  <c r="AB28" i="8"/>
  <c r="U28" i="8"/>
  <c r="N28" i="8"/>
  <c r="T22" i="8"/>
  <c r="M22" i="8"/>
  <c r="AA22" i="8"/>
  <c r="AB12" i="8"/>
  <c r="N12" i="8"/>
  <c r="U12" i="8"/>
  <c r="T20" i="8"/>
  <c r="M20" i="8"/>
  <c r="AA20" i="8"/>
  <c r="M18" i="8"/>
  <c r="AA18" i="8"/>
  <c r="T18" i="8"/>
  <c r="AA41" i="8"/>
  <c r="M41" i="8"/>
  <c r="T41" i="8"/>
  <c r="M33" i="8"/>
  <c r="T33" i="8"/>
  <c r="AA33" i="8"/>
  <c r="N25" i="8"/>
  <c r="U25" i="8"/>
  <c r="AB25" i="8"/>
  <c r="AA39" i="8"/>
  <c r="M39" i="8"/>
  <c r="T39" i="8"/>
  <c r="U20" i="8"/>
  <c r="AB20" i="8"/>
  <c r="N20" i="8"/>
  <c r="U26" i="8"/>
  <c r="N26" i="8"/>
  <c r="AB26" i="8"/>
  <c r="N38" i="8"/>
  <c r="U38" i="8"/>
  <c r="AB38" i="8"/>
  <c r="AA38" i="8"/>
  <c r="T38" i="8"/>
  <c r="M38" i="8"/>
  <c r="N41" i="8"/>
  <c r="AB41" i="8"/>
  <c r="U41" i="8"/>
  <c r="D32" i="2"/>
  <c r="O32" i="2"/>
  <c r="AK36" i="2"/>
  <c r="AL36" i="2"/>
  <c r="H36" i="2" s="1"/>
  <c r="G33" i="8" s="1"/>
  <c r="AK17" i="2"/>
  <c r="G17" i="2" s="1"/>
  <c r="F14" i="8" s="1"/>
  <c r="AL17" i="2"/>
  <c r="H17" i="2" s="1"/>
  <c r="G14" i="8" s="1"/>
  <c r="AK46" i="2"/>
  <c r="G46" i="2" s="1"/>
  <c r="F42" i="8" s="1"/>
  <c r="AL46" i="2"/>
  <c r="H46" i="2" s="1"/>
  <c r="G42" i="8" s="1"/>
  <c r="M42" i="2"/>
  <c r="D42" i="2" s="1"/>
  <c r="C39" i="8" s="1"/>
  <c r="U42" i="2"/>
  <c r="G36" i="2"/>
  <c r="F33" i="8" s="1"/>
  <c r="AK41" i="2"/>
  <c r="G41" i="2" s="1"/>
  <c r="F38" i="8" s="1"/>
  <c r="AL41" i="2"/>
  <c r="H41" i="2" s="1"/>
  <c r="G38" i="8" s="1"/>
  <c r="AK32" i="2"/>
  <c r="G32" i="2" s="1"/>
  <c r="F29" i="8" s="1"/>
  <c r="AL32" i="2"/>
  <c r="H32" i="2" s="1"/>
  <c r="G29" i="8" s="1"/>
  <c r="AK27" i="2"/>
  <c r="G27" i="2" s="1"/>
  <c r="F24" i="8" s="1"/>
  <c r="AL27" i="2"/>
  <c r="H27" i="2" s="1"/>
  <c r="G24" i="8" s="1"/>
  <c r="AL20" i="2"/>
  <c r="H20" i="2" s="1"/>
  <c r="G17" i="8" s="1"/>
  <c r="AK20" i="2"/>
  <c r="G20" i="2" s="1"/>
  <c r="F17" i="8" s="1"/>
  <c r="AL15" i="2"/>
  <c r="H15" i="2" s="1"/>
  <c r="G12" i="8" s="1"/>
  <c r="AK15" i="2"/>
  <c r="G15" i="2" s="1"/>
  <c r="F12" i="8" s="1"/>
  <c r="AL28" i="2"/>
  <c r="H28" i="2" s="1"/>
  <c r="G25" i="8" s="1"/>
  <c r="AK28" i="2"/>
  <c r="G28" i="2" s="1"/>
  <c r="F25" i="8" s="1"/>
  <c r="M14" i="2"/>
  <c r="D14" i="2" s="1"/>
  <c r="C11" i="8" s="1"/>
  <c r="U14" i="2"/>
  <c r="M25" i="2"/>
  <c r="D25" i="2" s="1"/>
  <c r="C22" i="8" s="1"/>
  <c r="U25" i="2"/>
  <c r="M31" i="2"/>
  <c r="D31" i="2" s="1"/>
  <c r="C28" i="8" s="1"/>
  <c r="U31" i="2"/>
  <c r="AL44" i="2"/>
  <c r="H44" i="2" s="1"/>
  <c r="G41" i="8" s="1"/>
  <c r="AK44" i="2"/>
  <c r="G44" i="2" s="1"/>
  <c r="F41" i="8" s="1"/>
  <c r="AL40" i="2"/>
  <c r="H40" i="2" s="1"/>
  <c r="G37" i="8" s="1"/>
  <c r="AK40" i="2"/>
  <c r="G40" i="2" s="1"/>
  <c r="F37" i="8" s="1"/>
  <c r="AL31" i="2"/>
  <c r="H31" i="2" s="1"/>
  <c r="G28" i="8" s="1"/>
  <c r="AK31" i="2"/>
  <c r="G31" i="2" s="1"/>
  <c r="F28" i="8" s="1"/>
  <c r="AL26" i="2"/>
  <c r="H26" i="2" s="1"/>
  <c r="G23" i="8" s="1"/>
  <c r="AK26" i="2"/>
  <c r="G26" i="2" s="1"/>
  <c r="F23" i="8" s="1"/>
  <c r="AK19" i="2"/>
  <c r="G19" i="2" s="1"/>
  <c r="F16" i="8" s="1"/>
  <c r="AL19" i="2"/>
  <c r="H19" i="2" s="1"/>
  <c r="G16" i="8" s="1"/>
  <c r="AK14" i="2"/>
  <c r="G14" i="2" s="1"/>
  <c r="F11" i="8" s="1"/>
  <c r="AL14" i="2"/>
  <c r="H14" i="2" s="1"/>
  <c r="G11" i="8" s="1"/>
  <c r="AL42" i="2"/>
  <c r="H42" i="2" s="1"/>
  <c r="G39" i="8" s="1"/>
  <c r="AK42" i="2"/>
  <c r="G42" i="2" s="1"/>
  <c r="F39" i="8" s="1"/>
  <c r="AK21" i="2"/>
  <c r="G21" i="2" s="1"/>
  <c r="F18" i="8" s="1"/>
  <c r="AL21" i="2"/>
  <c r="H21" i="2" s="1"/>
  <c r="G18" i="8" s="1"/>
  <c r="AK43" i="2"/>
  <c r="G43" i="2" s="1"/>
  <c r="F40" i="8" s="1"/>
  <c r="AL43" i="2"/>
  <c r="H43" i="2" s="1"/>
  <c r="G40" i="8" s="1"/>
  <c r="AL37" i="2"/>
  <c r="H37" i="2" s="1"/>
  <c r="G34" i="8" s="1"/>
  <c r="AK37" i="2"/>
  <c r="G37" i="2" s="1"/>
  <c r="F34" i="8" s="1"/>
  <c r="AK29" i="2"/>
  <c r="G29" i="2" s="1"/>
  <c r="F26" i="8" s="1"/>
  <c r="AL29" i="2"/>
  <c r="H29" i="2" s="1"/>
  <c r="G26" i="8" s="1"/>
  <c r="AK25" i="2"/>
  <c r="G25" i="2" s="1"/>
  <c r="F22" i="8" s="1"/>
  <c r="AL25" i="2"/>
  <c r="H25" i="2" s="1"/>
  <c r="G22" i="8" s="1"/>
  <c r="AL18" i="2"/>
  <c r="H18" i="2" s="1"/>
  <c r="G15" i="8" s="1"/>
  <c r="AK18" i="2"/>
  <c r="G18" i="2" s="1"/>
  <c r="F15" i="8" s="1"/>
  <c r="AL13" i="2"/>
  <c r="H13" i="2" s="1"/>
  <c r="G10" i="8" s="1"/>
  <c r="AK13" i="2"/>
  <c r="G13" i="2" s="1"/>
  <c r="F10" i="8" s="1"/>
  <c r="M15" i="2"/>
  <c r="M21" i="2"/>
  <c r="D21" i="2" s="1"/>
  <c r="C18" i="8" s="1"/>
  <c r="M20" i="2"/>
  <c r="D20" i="2" s="1"/>
  <c r="C17" i="8" s="1"/>
  <c r="M27" i="2"/>
  <c r="D27" i="2" s="1"/>
  <c r="C24" i="8" s="1"/>
  <c r="M17" i="2"/>
  <c r="D17" i="2" s="1"/>
  <c r="C14" i="8" s="1"/>
  <c r="M41" i="2"/>
  <c r="D41" i="2" s="1"/>
  <c r="C38" i="8" s="1"/>
  <c r="M13" i="2"/>
  <c r="D13" i="2" s="1"/>
  <c r="C10" i="8" s="1"/>
  <c r="M18" i="2"/>
  <c r="M44" i="2"/>
  <c r="D44" i="2" s="1"/>
  <c r="C41" i="8" s="1"/>
  <c r="M36" i="2"/>
  <c r="D36" i="2" s="1"/>
  <c r="C33" i="8" s="1"/>
  <c r="M28" i="2"/>
  <c r="D28" i="2" s="1"/>
  <c r="C25" i="8" s="1"/>
  <c r="M40" i="2"/>
  <c r="D40" i="2" s="1"/>
  <c r="C37" i="8" s="1"/>
  <c r="M23" i="2"/>
  <c r="D23" i="2" s="1"/>
  <c r="C20" i="8" s="1"/>
  <c r="M29" i="2"/>
  <c r="D29" i="2" s="1"/>
  <c r="C26" i="8" s="1"/>
  <c r="AH12" i="2"/>
  <c r="AB12" i="2" s="1"/>
  <c r="AA42" i="2"/>
  <c r="C42" i="2" s="1"/>
  <c r="B39" i="8" s="1"/>
  <c r="AF42" i="2"/>
  <c r="AJ42" i="2" s="1"/>
  <c r="AG42" i="2"/>
  <c r="AI42" i="2"/>
  <c r="AA36" i="2"/>
  <c r="C36" i="2" s="1"/>
  <c r="B33" i="8" s="1"/>
  <c r="AF36" i="2"/>
  <c r="AJ36" i="2" s="1"/>
  <c r="F36" i="2" s="1"/>
  <c r="E33" i="8" s="1"/>
  <c r="AG36" i="2"/>
  <c r="AI36" i="2"/>
  <c r="E36" i="2" s="1"/>
  <c r="D33" i="8" s="1"/>
  <c r="AA28" i="2"/>
  <c r="C28" i="2" s="1"/>
  <c r="B25" i="8" s="1"/>
  <c r="AF28" i="2"/>
  <c r="AJ28" i="2" s="1"/>
  <c r="F28" i="2" s="1"/>
  <c r="E25" i="8" s="1"/>
  <c r="AG28" i="2"/>
  <c r="AI28" i="2"/>
  <c r="AA21" i="2"/>
  <c r="M19" i="1" s="1"/>
  <c r="AF21" i="2"/>
  <c r="AJ21" i="2" s="1"/>
  <c r="F21" i="2" s="1"/>
  <c r="E18" i="8" s="1"/>
  <c r="AI21" i="2"/>
  <c r="AG21" i="2"/>
  <c r="AA17" i="2"/>
  <c r="AI17" i="2"/>
  <c r="E17" i="2" s="1"/>
  <c r="D14" i="8" s="1"/>
  <c r="AF17" i="2"/>
  <c r="AJ17" i="2" s="1"/>
  <c r="F17" i="2" s="1"/>
  <c r="E14" i="8" s="1"/>
  <c r="AG17" i="2"/>
  <c r="AE46" i="2"/>
  <c r="AN42" i="8" s="1"/>
  <c r="AI46" i="2"/>
  <c r="E46" i="2" s="1"/>
  <c r="D42" i="8" s="1"/>
  <c r="AF46" i="2"/>
  <c r="AJ46" i="2" s="1"/>
  <c r="F46" i="2" s="1"/>
  <c r="E42" i="8" s="1"/>
  <c r="AG46" i="2"/>
  <c r="AE41" i="2"/>
  <c r="AN38" i="8" s="1"/>
  <c r="AI41" i="2"/>
  <c r="E41" i="2" s="1"/>
  <c r="D38" i="8" s="1"/>
  <c r="AF41" i="2"/>
  <c r="AJ41" i="2" s="1"/>
  <c r="F41" i="2" s="1"/>
  <c r="E38" i="8" s="1"/>
  <c r="AG41" i="2"/>
  <c r="AE32" i="2"/>
  <c r="AN29" i="8" s="1"/>
  <c r="AI32" i="2"/>
  <c r="E32" i="2" s="1"/>
  <c r="D29" i="8" s="1"/>
  <c r="AF32" i="2"/>
  <c r="AJ32" i="2" s="1"/>
  <c r="F32" i="2" s="1"/>
  <c r="E29" i="8" s="1"/>
  <c r="AG32" i="2"/>
  <c r="AE27" i="2"/>
  <c r="AN24" i="8" s="1"/>
  <c r="AF27" i="2"/>
  <c r="AJ27" i="2" s="1"/>
  <c r="F27" i="2" s="1"/>
  <c r="E24" i="8" s="1"/>
  <c r="AI27" i="2"/>
  <c r="E27" i="2" s="1"/>
  <c r="D24" i="8" s="1"/>
  <c r="AG27" i="2"/>
  <c r="AE20" i="2"/>
  <c r="AN17" i="8" s="1"/>
  <c r="AI20" i="2"/>
  <c r="E20" i="2" s="1"/>
  <c r="D17" i="8" s="1"/>
  <c r="AG20" i="2"/>
  <c r="AF20" i="2"/>
  <c r="AJ20" i="2" s="1"/>
  <c r="F20" i="2" s="1"/>
  <c r="E17" i="8" s="1"/>
  <c r="AE15" i="2"/>
  <c r="AN12" i="8" s="1"/>
  <c r="AI15" i="2"/>
  <c r="E15" i="2" s="1"/>
  <c r="D12" i="8" s="1"/>
  <c r="AG15" i="2"/>
  <c r="AF15" i="2"/>
  <c r="AJ15" i="2" s="1"/>
  <c r="F15" i="2" s="1"/>
  <c r="E12" i="8" s="1"/>
  <c r="AD44" i="2"/>
  <c r="AH41" i="8" s="1"/>
  <c r="AI44" i="2"/>
  <c r="E44" i="2" s="1"/>
  <c r="D41" i="8" s="1"/>
  <c r="AG44" i="2"/>
  <c r="AF44" i="2"/>
  <c r="AJ44" i="2" s="1"/>
  <c r="F44" i="2" s="1"/>
  <c r="E41" i="8" s="1"/>
  <c r="AD40" i="2"/>
  <c r="AH37" i="8" s="1"/>
  <c r="AI40" i="2"/>
  <c r="E40" i="2" s="1"/>
  <c r="D37" i="8" s="1"/>
  <c r="AG40" i="2"/>
  <c r="AF40" i="2"/>
  <c r="AJ40" i="2" s="1"/>
  <c r="F40" i="2" s="1"/>
  <c r="E37" i="8" s="1"/>
  <c r="AD31" i="2"/>
  <c r="AH28" i="8" s="1"/>
  <c r="AI31" i="2"/>
  <c r="E31" i="2" s="1"/>
  <c r="D28" i="8" s="1"/>
  <c r="AG31" i="2"/>
  <c r="AF31" i="2"/>
  <c r="AJ31" i="2" s="1"/>
  <c r="AD26" i="2"/>
  <c r="AH23" i="8" s="1"/>
  <c r="AI26" i="2"/>
  <c r="E26" i="2" s="1"/>
  <c r="D23" i="8" s="1"/>
  <c r="AG26" i="2"/>
  <c r="AF26" i="2"/>
  <c r="AJ26" i="2" s="1"/>
  <c r="F26" i="2" s="1"/>
  <c r="E23" i="8" s="1"/>
  <c r="AD19" i="2"/>
  <c r="AH16" i="8" s="1"/>
  <c r="AG19" i="2"/>
  <c r="AF19" i="2"/>
  <c r="AJ19" i="2" s="1"/>
  <c r="F19" i="2" s="1"/>
  <c r="E16" i="8" s="1"/>
  <c r="AI19" i="2"/>
  <c r="E19" i="2" s="1"/>
  <c r="D16" i="8" s="1"/>
  <c r="AD14" i="2"/>
  <c r="AH11" i="8" s="1"/>
  <c r="AG14" i="2"/>
  <c r="AI14" i="2"/>
  <c r="E14" i="2" s="1"/>
  <c r="D11" i="8" s="1"/>
  <c r="AF14" i="2"/>
  <c r="AJ14" i="2" s="1"/>
  <c r="AA43" i="2"/>
  <c r="C43" i="2" s="1"/>
  <c r="B40" i="8" s="1"/>
  <c r="AG43" i="2"/>
  <c r="AF43" i="2"/>
  <c r="AJ43" i="2" s="1"/>
  <c r="F43" i="2" s="1"/>
  <c r="E40" i="8" s="1"/>
  <c r="AI43" i="2"/>
  <c r="E43" i="2" s="1"/>
  <c r="D40" i="8" s="1"/>
  <c r="AA37" i="2"/>
  <c r="C37" i="2" s="1"/>
  <c r="B34" i="8" s="1"/>
  <c r="AG37" i="2"/>
  <c r="AF37" i="2"/>
  <c r="AJ37" i="2" s="1"/>
  <c r="F37" i="2" s="1"/>
  <c r="E34" i="8" s="1"/>
  <c r="AI37" i="2"/>
  <c r="E37" i="2" s="1"/>
  <c r="D34" i="8" s="1"/>
  <c r="AA29" i="2"/>
  <c r="C29" i="2" s="1"/>
  <c r="B26" i="8" s="1"/>
  <c r="AG29" i="2"/>
  <c r="AI29" i="2"/>
  <c r="E29" i="2" s="1"/>
  <c r="D26" i="8" s="1"/>
  <c r="AF29" i="2"/>
  <c r="AJ29" i="2" s="1"/>
  <c r="F29" i="2" s="1"/>
  <c r="E26" i="8" s="1"/>
  <c r="AA25" i="2"/>
  <c r="C25" i="2" s="1"/>
  <c r="B22" i="8" s="1"/>
  <c r="AG25" i="2"/>
  <c r="AF25" i="2"/>
  <c r="AJ25" i="2" s="1"/>
  <c r="AI25" i="2"/>
  <c r="E25" i="2" s="1"/>
  <c r="D22" i="8" s="1"/>
  <c r="AA18" i="2"/>
  <c r="AF18" i="2"/>
  <c r="AJ18" i="2" s="1"/>
  <c r="F18" i="2" s="1"/>
  <c r="E15" i="8" s="1"/>
  <c r="AG18" i="2"/>
  <c r="AI18" i="2"/>
  <c r="E18" i="2" s="1"/>
  <c r="D15" i="8" s="1"/>
  <c r="AA13" i="2"/>
  <c r="M11" i="1" s="1"/>
  <c r="AF13" i="2"/>
  <c r="AJ13" i="2" s="1"/>
  <c r="F13" i="2" s="1"/>
  <c r="E10" i="8" s="1"/>
  <c r="AG13" i="2"/>
  <c r="AI13" i="2"/>
  <c r="E13" i="2" s="1"/>
  <c r="D10" i="8" s="1"/>
  <c r="M16" i="1"/>
  <c r="M22" i="1"/>
  <c r="AA44" i="2"/>
  <c r="C44" i="2" s="1"/>
  <c r="B41" i="8" s="1"/>
  <c r="AA40" i="2"/>
  <c r="C40" i="2" s="1"/>
  <c r="B37" i="8" s="1"/>
  <c r="AA31" i="2"/>
  <c r="C31" i="2" s="1"/>
  <c r="B28" i="8" s="1"/>
  <c r="AA26" i="2"/>
  <c r="C26" i="2" s="1"/>
  <c r="B23" i="8" s="1"/>
  <c r="AA19" i="2"/>
  <c r="AA14" i="2"/>
  <c r="AE43" i="2"/>
  <c r="AN40" i="8" s="1"/>
  <c r="AE37" i="2"/>
  <c r="AN34" i="8" s="1"/>
  <c r="AE29" i="2"/>
  <c r="AN26" i="8" s="1"/>
  <c r="AE25" i="2"/>
  <c r="AN22" i="8" s="1"/>
  <c r="AE18" i="2"/>
  <c r="AN15" i="8" s="1"/>
  <c r="AE13" i="2"/>
  <c r="AN10" i="8" s="1"/>
  <c r="AD46" i="2"/>
  <c r="AH42" i="8" s="1"/>
  <c r="AE42" i="2"/>
  <c r="AN39" i="8" s="1"/>
  <c r="AE36" i="2"/>
  <c r="AN33" i="8" s="1"/>
  <c r="AE28" i="2"/>
  <c r="AN25" i="8" s="1"/>
  <c r="AE21" i="2"/>
  <c r="AN18" i="8" s="1"/>
  <c r="AE17" i="2"/>
  <c r="AN14" i="8" s="1"/>
  <c r="AA46" i="2"/>
  <c r="C46" i="2" s="1"/>
  <c r="B42" i="8" s="1"/>
  <c r="AD42" i="2"/>
  <c r="AH39" i="8" s="1"/>
  <c r="AD36" i="2"/>
  <c r="AH33" i="8" s="1"/>
  <c r="AD28" i="2"/>
  <c r="AH25" i="8" s="1"/>
  <c r="AD21" i="2"/>
  <c r="AH18" i="8" s="1"/>
  <c r="AD17" i="2"/>
  <c r="AH14" i="8" s="1"/>
  <c r="AA12" i="2"/>
  <c r="AD41" i="2"/>
  <c r="AH38" i="8" s="1"/>
  <c r="AA41" i="2"/>
  <c r="C41" i="2" s="1"/>
  <c r="B38" i="8" s="1"/>
  <c r="AA20" i="2"/>
  <c r="AD32" i="2"/>
  <c r="AH29" i="8" s="1"/>
  <c r="AD15" i="2"/>
  <c r="AH12" i="8" s="1"/>
  <c r="AE12" i="2"/>
  <c r="AN9" i="8" s="1"/>
  <c r="AE44" i="2"/>
  <c r="AN41" i="8" s="1"/>
  <c r="AD43" i="2"/>
  <c r="AH40" i="8" s="1"/>
  <c r="AE40" i="2"/>
  <c r="AN37" i="8" s="1"/>
  <c r="AD37" i="2"/>
  <c r="AH34" i="8" s="1"/>
  <c r="AE31" i="2"/>
  <c r="AN28" i="8" s="1"/>
  <c r="AD29" i="2"/>
  <c r="AH26" i="8" s="1"/>
  <c r="AE26" i="2"/>
  <c r="AN23" i="8" s="1"/>
  <c r="AD25" i="2"/>
  <c r="AH22" i="8" s="1"/>
  <c r="AE19" i="2"/>
  <c r="AN16" i="8" s="1"/>
  <c r="AD18" i="2"/>
  <c r="AH15" i="8" s="1"/>
  <c r="AE14" i="2"/>
  <c r="AN11" i="8" s="1"/>
  <c r="AD13" i="2"/>
  <c r="AH10" i="8" s="1"/>
  <c r="AD27" i="2"/>
  <c r="AH24" i="8" s="1"/>
  <c r="AD20" i="2"/>
  <c r="AH17" i="8" s="1"/>
  <c r="AA32" i="2"/>
  <c r="C32" i="2" s="1"/>
  <c r="B29" i="8" s="1"/>
  <c r="AA27" i="2"/>
  <c r="C27" i="2" s="1"/>
  <c r="B24" i="8" s="1"/>
  <c r="D18" i="2" l="1"/>
  <c r="C15" i="8" s="1"/>
  <c r="M40" i="1"/>
  <c r="M41" i="1" s="1"/>
  <c r="M35" i="1"/>
  <c r="M36" i="1" s="1"/>
  <c r="F42" i="2"/>
  <c r="E39" i="8" s="1"/>
  <c r="F25" i="2"/>
  <c r="E22" i="8" s="1"/>
  <c r="D15" i="2"/>
  <c r="C12" i="8" s="1"/>
  <c r="F31" i="2"/>
  <c r="E28" i="8" s="1"/>
  <c r="F14" i="2"/>
  <c r="E11" i="8" s="1"/>
  <c r="AH29" i="2"/>
  <c r="AB29" i="2" s="1"/>
  <c r="AH31" i="2"/>
  <c r="AB31" i="2" s="1"/>
  <c r="AH44" i="2"/>
  <c r="AB44" i="2" s="1"/>
  <c r="AH15" i="2"/>
  <c r="AB15" i="2" s="1"/>
  <c r="AH25" i="2"/>
  <c r="AB25" i="2" s="1"/>
  <c r="AH37" i="2"/>
  <c r="AB37" i="2" s="1"/>
  <c r="D37" i="2" s="1"/>
  <c r="C34" i="8" s="1"/>
  <c r="AH43" i="2"/>
  <c r="AB43" i="2" s="1"/>
  <c r="AH19" i="2"/>
  <c r="AB19" i="2" s="1"/>
  <c r="AH32" i="2"/>
  <c r="AB32" i="2" s="1"/>
  <c r="AH41" i="2"/>
  <c r="AB41" i="2" s="1"/>
  <c r="AH46" i="2"/>
  <c r="AB46" i="2" s="1"/>
  <c r="D46" i="2" s="1"/>
  <c r="C42" i="8" s="1"/>
  <c r="AH17" i="2"/>
  <c r="AB17" i="2" s="1"/>
  <c r="M24" i="1"/>
  <c r="AH13" i="2"/>
  <c r="AB13" i="2" s="1"/>
  <c r="AH18" i="2"/>
  <c r="AB18" i="2" s="1"/>
  <c r="AH27" i="2"/>
  <c r="AB27" i="2" s="1"/>
  <c r="AH21" i="2"/>
  <c r="AB21" i="2" s="1"/>
  <c r="AH28" i="2"/>
  <c r="AB28" i="2" s="1"/>
  <c r="AH36" i="2"/>
  <c r="AB36" i="2" s="1"/>
  <c r="AH42" i="2"/>
  <c r="AB42" i="2" s="1"/>
  <c r="AH14" i="2"/>
  <c r="AB14" i="2" s="1"/>
  <c r="AH26" i="2"/>
  <c r="AB26" i="2" s="1"/>
  <c r="D26" i="2" s="1"/>
  <c r="C23" i="8" s="1"/>
  <c r="AH40" i="2"/>
  <c r="AB40" i="2" s="1"/>
  <c r="AH20" i="2"/>
  <c r="AB20" i="2" s="1"/>
  <c r="M27" i="1"/>
  <c r="M26" i="1"/>
  <c r="M15" i="1"/>
  <c r="M30" i="1"/>
  <c r="M25" i="1"/>
  <c r="M39" i="1"/>
  <c r="M12" i="1"/>
  <c r="M38" i="1"/>
  <c r="M28" i="1"/>
  <c r="M13" i="1"/>
  <c r="M31" i="1"/>
  <c r="M44" i="1"/>
  <c r="M10" i="1"/>
  <c r="M17" i="1"/>
  <c r="M42" i="1"/>
  <c r="AE38" i="2"/>
  <c r="AN35" i="8" s="1"/>
  <c r="AC37" i="2" l="1"/>
  <c r="AG34" i="8" s="1"/>
  <c r="D43" i="2"/>
  <c r="C40" i="8" s="1"/>
  <c r="AC42" i="2"/>
  <c r="AG39" i="8" s="1"/>
  <c r="M18" i="1"/>
</calcChain>
</file>

<file path=xl/sharedStrings.xml><?xml version="1.0" encoding="utf-8"?>
<sst xmlns="http://schemas.openxmlformats.org/spreadsheetml/2006/main" count="1564" uniqueCount="643">
  <si>
    <t>f_feed</t>
  </si>
  <si>
    <t>f_crop_prod</t>
  </si>
  <si>
    <t>hay</t>
  </si>
  <si>
    <t>parameter</t>
  </si>
  <si>
    <t>value</t>
  </si>
  <si>
    <t>unit</t>
  </si>
  <si>
    <t>description</t>
  </si>
  <si>
    <t>source</t>
  </si>
  <si>
    <t>Products to feeds</t>
  </si>
  <si>
    <t>f_by_prod</t>
  </si>
  <si>
    <t>fodder</t>
  </si>
  <si>
    <t>maize fodder</t>
  </si>
  <si>
    <t>maize silage</t>
  </si>
  <si>
    <t>f_prod_system</t>
  </si>
  <si>
    <t>f_breed</t>
  </si>
  <si>
    <t>f_sub_system</t>
  </si>
  <si>
    <t>f_animal</t>
  </si>
  <si>
    <t>wheat</t>
  </si>
  <si>
    <t>feed_par_E</t>
  </si>
  <si>
    <t>f_species</t>
  </si>
  <si>
    <t>cattle</t>
  </si>
  <si>
    <t>pigs</t>
  </si>
  <si>
    <t>Feed nutritional parameters</t>
  </si>
  <si>
    <t>share_regional</t>
  </si>
  <si>
    <t>%</t>
  </si>
  <si>
    <t>Share of crop and by-products that must be produced regionally</t>
  </si>
  <si>
    <t>Share of crop and by-products that are imported</t>
  </si>
  <si>
    <t>share_imported</t>
  </si>
  <si>
    <t>feed_to_prod</t>
  </si>
  <si>
    <t>grazing</t>
  </si>
  <si>
    <t>fallback</t>
  </si>
  <si>
    <t>rapeseed</t>
  </si>
  <si>
    <t>rapeseed meal</t>
  </si>
  <si>
    <t>barley</t>
  </si>
  <si>
    <t>oats</t>
  </si>
  <si>
    <t>triticale</t>
  </si>
  <si>
    <t>maize</t>
  </si>
  <si>
    <t>peas</t>
  </si>
  <si>
    <t>broad beans</t>
  </si>
  <si>
    <t>linseed</t>
  </si>
  <si>
    <t>soybean meal</t>
  </si>
  <si>
    <t>soybean protein concentrate</t>
  </si>
  <si>
    <t>sunflower seed meal</t>
  </si>
  <si>
    <t>palm kernel expeller</t>
  </si>
  <si>
    <t>wheat bran</t>
  </si>
  <si>
    <t>wheat bran, fine</t>
  </si>
  <si>
    <t>wheat distillers grain, dry</t>
  </si>
  <si>
    <t>wheat distillers grain, wet</t>
  </si>
  <si>
    <t>sugar beet molasses</t>
  </si>
  <si>
    <t>sugar beet pulp</t>
  </si>
  <si>
    <t>whey</t>
  </si>
  <si>
    <t>whey powder</t>
  </si>
  <si>
    <t>potatoe protein</t>
  </si>
  <si>
    <t>fish meal</t>
  </si>
  <si>
    <t>feed</t>
  </si>
  <si>
    <t>%DM</t>
  </si>
  <si>
    <t>Fetter, animala</t>
  </si>
  <si>
    <t>Agrodrank10</t>
  </si>
  <si>
    <t>Agrodrank27</t>
  </si>
  <si>
    <t>Agrodrank90</t>
  </si>
  <si>
    <t>Betfiber, omelasserad</t>
  </si>
  <si>
    <t>Drank SBI</t>
  </si>
  <si>
    <t>Fiskmjöl</t>
  </si>
  <si>
    <t>Foderkalk</t>
  </si>
  <si>
    <t>Gräsmjöl</t>
  </si>
  <si>
    <t>Halm, vete</t>
  </si>
  <si>
    <t>Havre</t>
  </si>
  <si>
    <t>Havre, skalad</t>
  </si>
  <si>
    <t>Korn</t>
  </si>
  <si>
    <t>Linfrö</t>
  </si>
  <si>
    <t>Linfröexpeller</t>
  </si>
  <si>
    <t>Lupin, vit</t>
  </si>
  <si>
    <t>Lusernmjöl</t>
  </si>
  <si>
    <t>Lysin, L-HCL</t>
  </si>
  <si>
    <t>Majs</t>
  </si>
  <si>
    <t>Majsdrank</t>
  </si>
  <si>
    <t>Majsglutenfoder</t>
  </si>
  <si>
    <t>Majsglutenmjöl</t>
  </si>
  <si>
    <t>Melass, bet</t>
  </si>
  <si>
    <t>Melass, rör</t>
  </si>
  <si>
    <t>Metionin</t>
  </si>
  <si>
    <t>Metioninhydroxyanalog</t>
  </si>
  <si>
    <t>Monokalciumfosfat</t>
  </si>
  <si>
    <t>Oljor, vegetabila</t>
  </si>
  <si>
    <t>Palmkärnkaka</t>
  </si>
  <si>
    <t>Permeatvassle</t>
  </si>
  <si>
    <t>Potatisproteinkoncentrat</t>
  </si>
  <si>
    <t>Potatispulpa</t>
  </si>
  <si>
    <t>Rapsfrö</t>
  </si>
  <si>
    <t>Rapskaka</t>
  </si>
  <si>
    <t>Rapskaka, kallpressad</t>
  </si>
  <si>
    <t>Rapsmjöl</t>
  </si>
  <si>
    <t>Ris, knäckt</t>
  </si>
  <si>
    <t>Råg</t>
  </si>
  <si>
    <t>Rågvete</t>
  </si>
  <si>
    <t>Salt</t>
  </si>
  <si>
    <t>Skummjölkspulver</t>
  </si>
  <si>
    <t>Sojamjöl, 43% Rp i vara</t>
  </si>
  <si>
    <t>Sojamjöl, 45% Rp i vara</t>
  </si>
  <si>
    <t>Sojamjöl, 47% Rp i vara</t>
  </si>
  <si>
    <t>Sojaprotein-Hamlet 310</t>
  </si>
  <si>
    <t>Solrosmjöl</t>
  </si>
  <si>
    <t>Sorgum</t>
  </si>
  <si>
    <t>Treonin, L</t>
  </si>
  <si>
    <t>Tryptofan, L</t>
  </si>
  <si>
    <t>Vassle</t>
  </si>
  <si>
    <t>Vasslepulver, sur vassle</t>
  </si>
  <si>
    <t>Vasslepulver, söt vassle</t>
  </si>
  <si>
    <t>Vete</t>
  </si>
  <si>
    <t>Vetefodermjöl</t>
  </si>
  <si>
    <t>Vetekli</t>
  </si>
  <si>
    <t>Ärter</t>
  </si>
  <si>
    <t>Åkerböna, vitblommig</t>
  </si>
  <si>
    <t>Öljäst</t>
  </si>
  <si>
    <t xml:space="preserve">http://www2.freefarm.se/fodertabell/ </t>
  </si>
  <si>
    <t>OEsv, MJ</t>
  </si>
  <si>
    <t>NEs, MJ</t>
  </si>
  <si>
    <t>NEv, MJ</t>
  </si>
  <si>
    <t>Nr</t>
  </si>
  <si>
    <t>NDF, g</t>
  </si>
  <si>
    <t>ADF, g</t>
  </si>
  <si>
    <t>Fodermedel                         </t>
  </si>
  <si>
    <t>Ts, %</t>
  </si>
  <si>
    <t>Råprotein, g</t>
  </si>
  <si>
    <t>Råfett, g</t>
  </si>
  <si>
    <t>Växttråd, g</t>
  </si>
  <si>
    <t>Stärkelse, g</t>
  </si>
  <si>
    <t>Socker, g</t>
  </si>
  <si>
    <t>Aska, g</t>
  </si>
  <si>
    <t>Lysin, g</t>
  </si>
  <si>
    <t>Treonin, g</t>
  </si>
  <si>
    <t>Metionin, g</t>
  </si>
  <si>
    <t>Cystin, g</t>
  </si>
  <si>
    <t>Met+Cys, g</t>
  </si>
  <si>
    <t>Tryptofan, g</t>
  </si>
  <si>
    <t>Valin, g</t>
  </si>
  <si>
    <t>sisLys, g</t>
  </si>
  <si>
    <t>sisTreo, g</t>
  </si>
  <si>
    <t>sisMet, g</t>
  </si>
  <si>
    <t>sisCys, g</t>
  </si>
  <si>
    <t>sisMetCys, g</t>
  </si>
  <si>
    <t>sisTry, g</t>
  </si>
  <si>
    <t>sisVal, g</t>
  </si>
  <si>
    <t>sisRp, g</t>
  </si>
  <si>
    <t>Ca, g</t>
  </si>
  <si>
    <t>P, g</t>
  </si>
  <si>
    <t>Mg, g</t>
  </si>
  <si>
    <t>K, g</t>
  </si>
  <si>
    <t>Na, g</t>
  </si>
  <si>
    <t>Mn, mg</t>
  </si>
  <si>
    <t>Se, mg</t>
  </si>
  <si>
    <t>Cu, mg</t>
  </si>
  <si>
    <t>Zn, mg</t>
  </si>
  <si>
    <t>Smb P, Pellets %</t>
  </si>
  <si>
    <t>Smb P, Mjöl %</t>
  </si>
  <si>
    <t>Asp, bark</t>
  </si>
  <si>
    <t>Asp, löv</t>
  </si>
  <si>
    <t>Babassu, kaka</t>
  </si>
  <si>
    <t>Babassu, mjöl</t>
  </si>
  <si>
    <t>Blandsäd, kärna havre/korn</t>
  </si>
  <si>
    <t>Blaster, diverse blaster, ensilerade</t>
  </si>
  <si>
    <t>Bok, ollon</t>
  </si>
  <si>
    <t>Bomull, expeller, ej välskalade</t>
  </si>
  <si>
    <t>Bomull, expeller, välskalade</t>
  </si>
  <si>
    <t>Bomull, frö</t>
  </si>
  <si>
    <t>Bomull, mjöl, oskalat frö</t>
  </si>
  <si>
    <t>Bomull, mjöl, skalat frö</t>
  </si>
  <si>
    <t>Citruspulpa</t>
  </si>
  <si>
    <t>Fett, vegetabiliskt</t>
  </si>
  <si>
    <t>Foderbeta, rotfrukt</t>
  </si>
  <si>
    <t>Fodercellulosa</t>
  </si>
  <si>
    <t>Fodermärgkål, hela plantan, ensilerad</t>
  </si>
  <si>
    <t>Fodersockerbeta</t>
  </si>
  <si>
    <t>Halm, baljväxt</t>
  </si>
  <si>
    <t>Halm, gräs</t>
  </si>
  <si>
    <t>Halm, stråsäd, NH3-behandlad</t>
  </si>
  <si>
    <t>Halm, stråsäd, ej behandlad</t>
  </si>
  <si>
    <t>Halm, stråsäd, torrlutad</t>
  </si>
  <si>
    <t>Halm, stråsäd, våtlutad</t>
  </si>
  <si>
    <t>Hamp, frö</t>
  </si>
  <si>
    <t>Havre, hela plantan, ensilerad</t>
  </si>
  <si>
    <t>Havre, kli</t>
  </si>
  <si>
    <t>Havre, kärna</t>
  </si>
  <si>
    <t>Havre, skal</t>
  </si>
  <si>
    <t>Hästkastanj, kastanjer</t>
  </si>
  <si>
    <t>Johannesbröd</t>
  </si>
  <si>
    <t>Jäst, bryggerijäst</t>
  </si>
  <si>
    <t>Kasein</t>
  </si>
  <si>
    <t>Kokos, expeller</t>
  </si>
  <si>
    <t>Kokos, mjöl</t>
  </si>
  <si>
    <t>Korn, drank</t>
  </si>
  <si>
    <t>Korn, drav, 24 % rp</t>
  </si>
  <si>
    <t>Korn, drav, 28 % rp</t>
  </si>
  <si>
    <t>Korn, hela plantan, ensilerad</t>
  </si>
  <si>
    <t>Korn, kli</t>
  </si>
  <si>
    <t>Korn, kärna</t>
  </si>
  <si>
    <t>Korn, maltgroddar</t>
  </si>
  <si>
    <t>Kålrot, rotfrukt</t>
  </si>
  <si>
    <t>Lin, frö</t>
  </si>
  <si>
    <t>Lin, fröexpeller</t>
  </si>
  <si>
    <t>Lin, frömjöl</t>
  </si>
  <si>
    <t>Lupin (gul), frö</t>
  </si>
  <si>
    <t>Lupin (gul), hela plantan, blomning, ensilerad</t>
  </si>
  <si>
    <t>Majs, gluten</t>
  </si>
  <si>
    <t>Majs, hela plantan, ensilerad</t>
  </si>
  <si>
    <t>Majs, kolvkross</t>
  </si>
  <si>
    <t>Majs, kärna</t>
  </si>
  <si>
    <t>Mjölk, helmjölk</t>
  </si>
  <si>
    <t>Mjölk, kärnmjölk, färsk</t>
  </si>
  <si>
    <t>Mjölk, skummjölk, färsk</t>
  </si>
  <si>
    <t>Mjölk, vassle, färsk</t>
  </si>
  <si>
    <t>Mjölk, vassle, permeat</t>
  </si>
  <si>
    <t>Morot, rotfrukt</t>
  </si>
  <si>
    <t>Oljepalm, kärnexpeller</t>
  </si>
  <si>
    <t>Oljepalm, kärnmjöl</t>
  </si>
  <si>
    <t>Potatis, drank</t>
  </si>
  <si>
    <t>Potatis, knöl</t>
  </si>
  <si>
    <t>Potatis, pulpa</t>
  </si>
  <si>
    <t>Potatisprotein</t>
  </si>
  <si>
    <t>Raps, expeller, enkellåg</t>
  </si>
  <si>
    <t>Raps, expeller, värmebehandlad, dubbellåg</t>
  </si>
  <si>
    <t>Raps, hela plantan</t>
  </si>
  <si>
    <t>Raps, mjöl, dubbellågt</t>
  </si>
  <si>
    <t>Raps, mjöl, värmebehandlat, dubbellågt</t>
  </si>
  <si>
    <t>Raps/rybs, frö</t>
  </si>
  <si>
    <t>Renlav</t>
  </si>
  <si>
    <t>Ris, kärna, rå</t>
  </si>
  <si>
    <t>Ris, kärna, skalad</t>
  </si>
  <si>
    <t>Rova, rotfrukt</t>
  </si>
  <si>
    <t>Råg, kli</t>
  </si>
  <si>
    <t>Råg, kärna</t>
  </si>
  <si>
    <t>Rågvete, kärna</t>
  </si>
  <si>
    <t>Rörsocker, melass</t>
  </si>
  <si>
    <t>Senap, frö</t>
  </si>
  <si>
    <t>Sesam, expeller</t>
  </si>
  <si>
    <t>Sesam, frö</t>
  </si>
  <si>
    <t>Sesam, mjöl</t>
  </si>
  <si>
    <t>Sheanöt, expeller</t>
  </si>
  <si>
    <t>Sockerbeta, beta</t>
  </si>
  <si>
    <t>Sockerbeta, betmassa, ensilerad</t>
  </si>
  <si>
    <t>Sockerbeta, betmassa, ensilerad, hårdpressad</t>
  </si>
  <si>
    <t>Sockerbeta, betmelass</t>
  </si>
  <si>
    <t>Sockerbeta, blast</t>
  </si>
  <si>
    <t>Sockerbeta, melasserad betfiber</t>
  </si>
  <si>
    <t>Sockerbeta, omelasserad betfiber</t>
  </si>
  <si>
    <t>Soja, böna</t>
  </si>
  <si>
    <t>Soja, mjöl</t>
  </si>
  <si>
    <t>Soja, mjöl, behandlat</t>
  </si>
  <si>
    <t>Solros, expeller, ej välskalad</t>
  </si>
  <si>
    <t>Solros, expeller, välskalad</t>
  </si>
  <si>
    <t>Solros, frö</t>
  </si>
  <si>
    <t>Solros, mjöl, oskalade frön</t>
  </si>
  <si>
    <t>Solros, mjöl, skalade frön</t>
  </si>
  <si>
    <t>Sorghum (milo), kärna</t>
  </si>
  <si>
    <t>Tall, bark</t>
  </si>
  <si>
    <t>Tapioka, mjöl</t>
  </si>
  <si>
    <t>Trä, melass</t>
  </si>
  <si>
    <t>Tång, mjöl</t>
  </si>
  <si>
    <t>Urea</t>
  </si>
  <si>
    <t>Vallmo, frö</t>
  </si>
  <si>
    <t>Vallmo, mjöl</t>
  </si>
  <si>
    <t>Vass, sommarskördad</t>
  </si>
  <si>
    <t>Vete, drank</t>
  </si>
  <si>
    <t>Vete, groddar</t>
  </si>
  <si>
    <t>Vete, kli</t>
  </si>
  <si>
    <t>Vete, kärna</t>
  </si>
  <si>
    <t>Vicker, kärna</t>
  </si>
  <si>
    <t>Ärter, hela plantan, fullmatad balja, ensilerad</t>
  </si>
  <si>
    <t>Ärter, kärna, mat/foderärt</t>
  </si>
  <si>
    <t>Ärter/Vicker, hela pantan, blomning</t>
  </si>
  <si>
    <t>Ärter/Vicker/Havre, hela plantan, axgång till blomning, ensilerad</t>
  </si>
  <si>
    <t>Åkerböna, hela plantan, blomning, ensilerad</t>
  </si>
  <si>
    <t>Oms energi, MJ</t>
  </si>
  <si>
    <t>AAT, g</t>
  </si>
  <si>
    <t>PBV, g</t>
  </si>
  <si>
    <t>Smb råprot, g</t>
  </si>
  <si>
    <t>Smb energi, MJ</t>
  </si>
  <si>
    <t>Råprot, g</t>
  </si>
  <si>
    <t>NFE, g</t>
  </si>
  <si>
    <t>Råprotein smb.koeff</t>
  </si>
  <si>
    <t>Råfett smb.koeff</t>
  </si>
  <si>
    <t>Växttråd smb.koeff</t>
  </si>
  <si>
    <t>NFE smb.koeff</t>
  </si>
  <si>
    <t>Org subst smb.koeff</t>
  </si>
  <si>
    <t>EFD smb.koeff</t>
  </si>
  <si>
    <t>EPD smb.koeff</t>
  </si>
  <si>
    <t>Protein i tarm smb.koeff</t>
  </si>
  <si>
    <t>Pektin, g</t>
  </si>
  <si>
    <t>Lignin, g</t>
  </si>
  <si>
    <t>CAB, meq</t>
  </si>
  <si>
    <t>col</t>
  </si>
  <si>
    <t>row</t>
  </si>
  <si>
    <t>sows</t>
  </si>
  <si>
    <t>wheat distillers grain</t>
  </si>
  <si>
    <t>see feed pars sheet</t>
  </si>
  <si>
    <t>include as crop??</t>
  </si>
  <si>
    <t>straw</t>
  </si>
  <si>
    <t>general</t>
  </si>
  <si>
    <t>rapeseed cake</t>
  </si>
  <si>
    <t>need to align with DM in products and by-products</t>
  </si>
  <si>
    <t>ley silage, 1st cut</t>
  </si>
  <si>
    <t>ley silage, regrowth</t>
  </si>
  <si>
    <t>other silage</t>
  </si>
  <si>
    <t>barley brewers grain</t>
  </si>
  <si>
    <t>vegetable oils</t>
  </si>
  <si>
    <t>feed_to_by_prod</t>
  </si>
  <si>
    <t>rye</t>
  </si>
  <si>
    <t>soybeans</t>
  </si>
  <si>
    <t>luzern meal</t>
  </si>
  <si>
    <t xml:space="preserve">https://www.feedipedia.org/node/11744 </t>
  </si>
  <si>
    <t>add by-prod generation calculation method!</t>
  </si>
  <si>
    <t>https://www.feedipedia.org/node/12799</t>
  </si>
  <si>
    <t>https://www.feedtables.com/content/rapeseed-oil</t>
  </si>
  <si>
    <t>minerals</t>
  </si>
  <si>
    <t>f_crop</t>
  </si>
  <si>
    <t>dairy</t>
  </si>
  <si>
    <t>cows</t>
  </si>
  <si>
    <t>calves</t>
  </si>
  <si>
    <t>bulls</t>
  </si>
  <si>
    <t>breeding bulls</t>
  </si>
  <si>
    <t>Semi-natural pastures</t>
  </si>
  <si>
    <t>max_crop_in_crop_prod</t>
  </si>
  <si>
    <r>
      <t>Maximum contribution of crop to crop product demand for feed</t>
    </r>
    <r>
      <rPr>
        <sz val="11"/>
        <color theme="1"/>
        <rFont val="Calibri"/>
        <family val="2"/>
        <scheme val="minor"/>
      </rPr>
      <t xml:space="preserve"> (Primarily used to limit semi-natural pastures in grazing)</t>
    </r>
  </si>
  <si>
    <t>%TS</t>
  </si>
  <si>
    <t>MJ</t>
  </si>
  <si>
    <t>PR, g</t>
  </si>
  <si>
    <t>LYS, g</t>
  </si>
  <si>
    <t>MET, g</t>
  </si>
  <si>
    <t>MET+CYS, g</t>
  </si>
  <si>
    <t>Fett, g</t>
  </si>
  <si>
    <t>Linolsyra, g</t>
  </si>
  <si>
    <t>P tot., g</t>
  </si>
  <si>
    <t>P tillg., g</t>
  </si>
  <si>
    <t>Cl, g</t>
  </si>
  <si>
    <t>Xantofyll, mg</t>
  </si>
  <si>
    <t>AKOFEED Standard</t>
  </si>
  <si>
    <t>AKOFEEDF30</t>
  </si>
  <si>
    <t>DIKALCIUMFOSFAT</t>
  </si>
  <si>
    <t>DINATRIUMFOSFAT</t>
  </si>
  <si>
    <t>DL-METIONIN</t>
  </si>
  <si>
    <t>FISKMJÖL, 2-8% fett</t>
  </si>
  <si>
    <t>FISKMJÖL, under 2% FETT</t>
  </si>
  <si>
    <t>FISKMJÖL, över 8% fett</t>
  </si>
  <si>
    <t>FODERKALK</t>
  </si>
  <si>
    <t>HAVRE 490-580 g/l</t>
  </si>
  <si>
    <t>HAVRE SKALAD</t>
  </si>
  <si>
    <t>HAVRE under 490 g/l</t>
  </si>
  <si>
    <t>HAVRE över 580 g/l</t>
  </si>
  <si>
    <t>HAVRESKAL</t>
  </si>
  <si>
    <t>KOKSALT</t>
  </si>
  <si>
    <t>KORN 600-700 g/l</t>
  </si>
  <si>
    <t>KORN under 600 g/l</t>
  </si>
  <si>
    <t>KORN över 700 g/l</t>
  </si>
  <si>
    <t>KÖTTFODERMJÖL, 51-56% rp</t>
  </si>
  <si>
    <t>KÖTTFODERMJÖL, 56-63% rp</t>
  </si>
  <si>
    <t>KÖTTFODERMJÖL, över 63% rp</t>
  </si>
  <si>
    <t>LUCERNMJÖL</t>
  </si>
  <si>
    <t>LYSIN_HCL</t>
  </si>
  <si>
    <t>MAJS</t>
  </si>
  <si>
    <t>MAJSGLUTENMJÖL</t>
  </si>
  <si>
    <t>MONOKALCIUMFOSFAT</t>
  </si>
  <si>
    <t>NABIKARBONAT</t>
  </si>
  <si>
    <t>P0TATISPROTEIN</t>
  </si>
  <si>
    <t>RAPSMJöL</t>
  </si>
  <si>
    <t>RÅG</t>
  </si>
  <si>
    <t>RÅGVETE</t>
  </si>
  <si>
    <t>SLAKTERIFETT</t>
  </si>
  <si>
    <t>SOJAMJöL</t>
  </si>
  <si>
    <t>SOJAOLJA</t>
  </si>
  <si>
    <t>VETE</t>
  </si>
  <si>
    <t>VETEFODERMJÖL under 5% vt</t>
  </si>
  <si>
    <t>VETEFODERMJÖL över 5% vt</t>
  </si>
  <si>
    <t>VETEKLI</t>
  </si>
  <si>
    <t>ÄRTOR</t>
  </si>
  <si>
    <t>maize gluten meal</t>
  </si>
  <si>
    <t>poultry</t>
  </si>
  <si>
    <t>feed_par_DM</t>
  </si>
  <si>
    <t>Borde denna vara 100%? Vad är den tröskade majsarealen?</t>
  </si>
  <si>
    <t>horses</t>
  </si>
  <si>
    <t>storage_losses</t>
  </si>
  <si>
    <t>feeding_losses</t>
  </si>
  <si>
    <t>Storage and feeding losses</t>
  </si>
  <si>
    <t>sheep</t>
  </si>
  <si>
    <t>80% in silo</t>
  </si>
  <si>
    <t>60% in silo</t>
  </si>
  <si>
    <t>0% in silo</t>
  </si>
  <si>
    <t>No feeding on pasture</t>
  </si>
  <si>
    <t>10% feeding on pasture</t>
  </si>
  <si>
    <t>GE, MJ/kg DM</t>
  </si>
  <si>
    <t>https://www.feedipedia.org/node/13883</t>
  </si>
  <si>
    <t>GE  = 5.7× g protein +9.4× g fat +4.1× (g NFE + g fiber)</t>
  </si>
  <si>
    <t>Prot, g</t>
  </si>
  <si>
    <t>Fat, g</t>
  </si>
  <si>
    <t>Fiber, g</t>
  </si>
  <si>
    <t>smb rp, g</t>
  </si>
  <si>
    <t>smb en, MJ</t>
  </si>
  <si>
    <t>rp, g</t>
  </si>
  <si>
    <t>vx, g</t>
  </si>
  <si>
    <t>a, g</t>
  </si>
  <si>
    <t>kolhydr, g</t>
  </si>
  <si>
    <t>smb koeff rp</t>
  </si>
  <si>
    <t>smb koeff kolh</t>
  </si>
  <si>
    <t>smb koeff EFD</t>
  </si>
  <si>
    <t>smb koeff EPD</t>
  </si>
  <si>
    <t>smb koeff prot i tarm</t>
  </si>
  <si>
    <t>socker, g</t>
  </si>
  <si>
    <t>pektin, g</t>
  </si>
  <si>
    <t>stärkelse, g</t>
  </si>
  <si>
    <t>lignin, g</t>
  </si>
  <si>
    <t>Bete - Naturbete Fårsvingel efter axgång</t>
  </si>
  <si>
    <t>Bete - Naturbete Fårsvingel före axgång</t>
  </si>
  <si>
    <t>Bete - Naturbete Tuvtåtel efter axgång</t>
  </si>
  <si>
    <t>Bete - NaturbeteTuvtåtel före axgång</t>
  </si>
  <si>
    <t>Bete - Naturbete Ängskavle, Ängsgröe, Rödven, Ängshavre efter axgång</t>
  </si>
  <si>
    <t>Bete - Naturbete Ängskavle, Ängsgröe, Rödven, Ängshavre före axgång</t>
  </si>
  <si>
    <t>Bete - Åkermark ängsgröe, ängsvingel Försommar</t>
  </si>
  <si>
    <t>Bete - Åkermark ängsgröe, ängsvingel Förvuxet - försommar</t>
  </si>
  <si>
    <t>Bete - Åkermark ängsgröe, ängsvingel Förvuxet - sensommar</t>
  </si>
  <si>
    <t>Bete - Åkermark ängsgröe, ängsvingel Högsommar</t>
  </si>
  <si>
    <t>Bete - Åkermark ängsgröe, ängsvingel Sensommar</t>
  </si>
  <si>
    <t>Bete - Åkermark ängsgröe, ängsvingel Tidig sommar</t>
  </si>
  <si>
    <t>Blålusern, medeltidig skörd, hög prot</t>
  </si>
  <si>
    <t>Blålusern, medeltidig skörd, låg prot</t>
  </si>
  <si>
    <t>Blålusern, sen skörd hög proteinhalt</t>
  </si>
  <si>
    <t>Blålusern, sen skörd låg proteinhalt</t>
  </si>
  <si>
    <t>Blålusern, tidig skörd, hög prot</t>
  </si>
  <si>
    <t>Blålusern, tidig skörd, låg prot</t>
  </si>
  <si>
    <t>Ensilage, Blandvall 10,5-11,5 MJ</t>
  </si>
  <si>
    <t>Ensilage,Blandvall 11,5-12,0 MJ</t>
  </si>
  <si>
    <t>Ensilage, Blandvall 6,0-8,5 MJ</t>
  </si>
  <si>
    <t>Ensilage, Blandvall 8,5-9,5 MJ</t>
  </si>
  <si>
    <t>Ensilage, Blandvall 9,5-10,5 MJ</t>
  </si>
  <si>
    <t>Ensilage mindre än 25% baljv Norra Sverige</t>
  </si>
  <si>
    <t>Ensilage mindre än 25% baljv Södra Sverige</t>
  </si>
  <si>
    <t>Ensilage mindre än 25 - 50% baljv Hela Sverige</t>
  </si>
  <si>
    <t>Ensilage mindre än 25 - 50% baljv Norra Sverige</t>
  </si>
  <si>
    <t>Ensilage mindre än 25 - 50% baljv Södra Sverige</t>
  </si>
  <si>
    <t>Ensilage mindrä än 25% baljv Hela Sverige</t>
  </si>
  <si>
    <t>Getärt</t>
  </si>
  <si>
    <t>Hö Hela Sverige</t>
  </si>
  <si>
    <t>Hö Norra Sverige</t>
  </si>
  <si>
    <t>Hö Södra Sverige</t>
  </si>
  <si>
    <t>Käringtand</t>
  </si>
  <si>
    <t>Rödklöver 1:a skörd, medeltidig skörd, hög prot</t>
  </si>
  <si>
    <t>Rödklöver 1:a skörd, medeltidig skörd, låg prot</t>
  </si>
  <si>
    <t>Rödklöver 1:a skörd, sen skörd hög proteinhalt</t>
  </si>
  <si>
    <t>Rödklöver 1:a skörd, sen skörd låg proteinhalt</t>
  </si>
  <si>
    <t>Rödklöver 1:a skörd, tidig skörd, låg prot</t>
  </si>
  <si>
    <t>Rödklöver 1.a skörd, tidig skörd, hög prot</t>
  </si>
  <si>
    <t>Rödklöver 2:a skörd, medeltidig skörd, hög prot</t>
  </si>
  <si>
    <t>Rödklöver 2:a skörd, medeltidig skörd, låg prot</t>
  </si>
  <si>
    <t>Rödklöver 2:a skörd, sen skörd hög proteinhalt</t>
  </si>
  <si>
    <t>Rödklöver 2:a skörd, sen skörd låg proteinhalt</t>
  </si>
  <si>
    <t>Rödklöver 2:a skörd, tidig skörd, hög prot</t>
  </si>
  <si>
    <t>Rödklöver 2:a skörd, tidig skörd, låg prot</t>
  </si>
  <si>
    <t>Timotej, Ängsvingel, Rajgräs, Hundäxing 1:a skörd, medeltidig skörd, hög prot</t>
  </si>
  <si>
    <t>Timotej, Ängsvingel, Rajgräs, Hundäxing 1:a skörd, medeltidig skörd, låg prot</t>
  </si>
  <si>
    <t>Timotej, Ängsvingel, Rajgräs, Hundäxing 1:a skörd, sen skörd hög proteinhalt</t>
  </si>
  <si>
    <t>Timotej, Ängsvingel, Rajgräs, Hundäxing 1:a skörd, sen skörd låg proteinhalt</t>
  </si>
  <si>
    <t>Timotej, Ängsvingel, Rajgräs, Hundäxing 1:a skörd, tidig skörd, låg prot</t>
  </si>
  <si>
    <t>Timotej, Ängsvingel, Rajgräs, Hundäxing 1.a skörd, tidig skörd, hög prot</t>
  </si>
  <si>
    <t>Timotej, Ängsvingel, Rajgräs, Hundäxing 2:a skörd, medeltidig skörd, hög prot</t>
  </si>
  <si>
    <t>Timotej, Ängsvingel, Rajgräs, Hundäxing 2:a skörd, medeltidig skörd, låg prot</t>
  </si>
  <si>
    <t>Timotej, Ängsvingel, Rajgräs, Hundäxing 2:a skörd, sen skörd hög proteinhalt</t>
  </si>
  <si>
    <t>Timotej, Ängsvingel, Rajgräs, Hundäxing 2:a skörd, sen skörd låg proteinhalt</t>
  </si>
  <si>
    <t>Timotej, Ängsvingel, Rajgräs, Hundäxing 2:a skörd, tidig skörd, hög prot</t>
  </si>
  <si>
    <t>Timotej, Ängsvingel, Rajgräs, Hundäxing 2:a skörd, tidig skörd, låg prot</t>
  </si>
  <si>
    <t>Vitklöver</t>
  </si>
  <si>
    <t>Ash, g</t>
  </si>
  <si>
    <t>https://www.feedipedia.org/node/500, https://www.feedipedia.org/node/432</t>
  </si>
  <si>
    <t>ruminants</t>
  </si>
  <si>
    <t xml:space="preserve"> </t>
  </si>
  <si>
    <t>Source (if no other stated):</t>
  </si>
  <si>
    <t>Source</t>
  </si>
  <si>
    <t>fiber+NFE, g</t>
  </si>
  <si>
    <t>ME, MJ</t>
  </si>
  <si>
    <t>GE, MJ</t>
  </si>
  <si>
    <t>feed_par_GE</t>
  </si>
  <si>
    <t>feed_par_fat</t>
  </si>
  <si>
    <t>g/kg DM</t>
  </si>
  <si>
    <t>Total fat</t>
  </si>
  <si>
    <t>N, % of DM</t>
  </si>
  <si>
    <t>P, % of DM</t>
  </si>
  <si>
    <t>K, % of DM</t>
  </si>
  <si>
    <t>CP --&gt; N</t>
  </si>
  <si>
    <t>https://www.feedtables.com/content/wheat-feed-flour</t>
  </si>
  <si>
    <t>lambs</t>
  </si>
  <si>
    <t>Ym_enteric</t>
  </si>
  <si>
    <t>% of GE</t>
  </si>
  <si>
    <t>EF_enteric</t>
  </si>
  <si>
    <t>kg CH4/head/year</t>
  </si>
  <si>
    <t>NIR 2021</t>
  </si>
  <si>
    <t>%DM accrding to harvest stat</t>
  </si>
  <si>
    <t>DE, MJ</t>
  </si>
  <si>
    <t xml:space="preserve">https://www.ncbi.nlm.nih.gov/pmc/articles/PMC3544805/ </t>
  </si>
  <si>
    <t>Gross energy in feeds is calculated based on equation in:</t>
  </si>
  <si>
    <t>Note</t>
  </si>
  <si>
    <t>MJ/kg</t>
  </si>
  <si>
    <t>smb rp/kg</t>
  </si>
  <si>
    <t>Ca/kg</t>
  </si>
  <si>
    <t>P/kg</t>
  </si>
  <si>
    <t>Mg/kg</t>
  </si>
  <si>
    <t>MJ/kg ts</t>
  </si>
  <si>
    <t>smb rp/kg ts</t>
  </si>
  <si>
    <t>Ca/kg ts</t>
  </si>
  <si>
    <t>P/kg ts</t>
  </si>
  <si>
    <t>Mg/kg ts</t>
  </si>
  <si>
    <t>Aspbark</t>
  </si>
  <si>
    <t>Asplöv</t>
  </si>
  <si>
    <t>Baljväxthalm</t>
  </si>
  <si>
    <t>Bryggerijäst</t>
  </si>
  <si>
    <t>Fiskmjöl. Fettrikt (sillmjöl)</t>
  </si>
  <si>
    <t>Gräsfröhalm</t>
  </si>
  <si>
    <t>Lupin</t>
  </si>
  <si>
    <t>Majsgluten</t>
  </si>
  <si>
    <t>Morot</t>
  </si>
  <si>
    <t>Rörsockermelass</t>
  </si>
  <si>
    <t>Sojaböna</t>
  </si>
  <si>
    <t>Sojamjöl. Extraherat</t>
  </si>
  <si>
    <t>Sorghum</t>
  </si>
  <si>
    <t>Tångmjöl</t>
  </si>
  <si>
    <t>Vegetabililskt fett (olja)</t>
  </si>
  <si>
    <t>Fodermedel</t>
  </si>
  <si>
    <t>Drank. vete. torkad</t>
  </si>
  <si>
    <t>Drank (vete. färsk)</t>
  </si>
  <si>
    <t>Fiskmjöl. fetfattigt</t>
  </si>
  <si>
    <t>Fiskmjöl. låg fett- och askhalt</t>
  </si>
  <si>
    <t>Havre. kli</t>
  </si>
  <si>
    <t>Havre. kärna</t>
  </si>
  <si>
    <t>Havre. skalad</t>
  </si>
  <si>
    <t>Korn. kli</t>
  </si>
  <si>
    <t>Korn. kärna</t>
  </si>
  <si>
    <t>Lin. frö</t>
  </si>
  <si>
    <t>Lin. fröexpeller</t>
  </si>
  <si>
    <t>Majs. kärna</t>
  </si>
  <si>
    <t>Mjölk. skummad färsk</t>
  </si>
  <si>
    <t>Oljepalm. kärnexpeller</t>
  </si>
  <si>
    <t>Raps. expeller. enkellåg</t>
  </si>
  <si>
    <t>Raps. expeller värmebehamdlad</t>
  </si>
  <si>
    <t>Raps. frö</t>
  </si>
  <si>
    <t>Ris. kärna</t>
  </si>
  <si>
    <t>Ris. kärna. skalad</t>
  </si>
  <si>
    <t>Råg . kli</t>
  </si>
  <si>
    <t>Råg . kärna</t>
  </si>
  <si>
    <t>Rågvete. kärna</t>
  </si>
  <si>
    <t>Sockebeta. betmelass</t>
  </si>
  <si>
    <t>Sockerbeta. mellasserad betfiber</t>
  </si>
  <si>
    <t>Sockerbeta. omelasserad betfiber</t>
  </si>
  <si>
    <t>Solros. expeller. ej välskalad</t>
  </si>
  <si>
    <t>Solros. expeller. välskalad</t>
  </si>
  <si>
    <t>Stråsädeshalm. ej bejandlad</t>
  </si>
  <si>
    <t>Stråsädeshalm. NH3-behandlad</t>
  </si>
  <si>
    <t>Tapioka. mjöl</t>
  </si>
  <si>
    <t>Vete. groddar</t>
  </si>
  <si>
    <t>Vete. kli</t>
  </si>
  <si>
    <t>Vete. kärna</t>
  </si>
  <si>
    <t>Vicker. kärna</t>
  </si>
  <si>
    <t>Åkerböna. kärna</t>
  </si>
  <si>
    <t>Ärter. kärna. mat/foderärt</t>
  </si>
  <si>
    <t>https://www.feedipedia.org/node/223</t>
  </si>
  <si>
    <t>Source for DE</t>
  </si>
  <si>
    <t>https://www.feedipedia.org/node/227</t>
  </si>
  <si>
    <t>https://www.feedipedia.org/node/231</t>
  </si>
  <si>
    <t>https://www.feedipedia.org/node/6476</t>
  </si>
  <si>
    <t>https://www.feedipedia.org/node/556</t>
  </si>
  <si>
    <t>https://www.feedipedia.org/node/264</t>
  </si>
  <si>
    <t>feedipedia</t>
  </si>
  <si>
    <t>calculated</t>
  </si>
  <si>
    <t>https://www.feedipedia.org/node/15617</t>
  </si>
  <si>
    <t>https://www.feedipedia.org/node/36</t>
  </si>
  <si>
    <t>https://www.feedipedia.org/node/26068</t>
  </si>
  <si>
    <t>https://www.feedipedia.org/node/11683</t>
  </si>
  <si>
    <t>https://www.feedipedia.org/node/12503</t>
  </si>
  <si>
    <t>https://www.feedipedia.org/node/12663</t>
  </si>
  <si>
    <t>https://www.feedipedia.org/node/12751</t>
  </si>
  <si>
    <t>https://www.feedipedia.org/node/12801</t>
  </si>
  <si>
    <t xml:space="preserve"> https://www.feedipedia.org/node/11893</t>
  </si>
  <si>
    <t>https://www.feedipedia.org/node/11893</t>
  </si>
  <si>
    <t>https://www.feedipedia.org/node/12288</t>
  </si>
  <si>
    <t>https://www.feedipedia.org/node/12340</t>
  </si>
  <si>
    <t>https://www.feedipedia.org/node/24378</t>
  </si>
  <si>
    <t>https://www.feedipedia.org/node/12893</t>
  </si>
  <si>
    <t>https://www.feedtables.com/content/table-feed-profile?feed_pr_id=12371</t>
  </si>
  <si>
    <t>https://www.feedipedia.org/node/11685</t>
  </si>
  <si>
    <t>f_region</t>
  </si>
  <si>
    <t>kg product/kg DM feed</t>
  </si>
  <si>
    <t>convert to soybean meal???</t>
  </si>
  <si>
    <t>oat hulls</t>
  </si>
  <si>
    <t>oat bran</t>
  </si>
  <si>
    <t>feed_par_DE</t>
  </si>
  <si>
    <t>GENERAL</t>
  </si>
  <si>
    <t>CATTLE</t>
  </si>
  <si>
    <t>HORSES</t>
  </si>
  <si>
    <t>SHEEP (same as cattle)</t>
  </si>
  <si>
    <t>PIGS</t>
  </si>
  <si>
    <t>PIGS (sows)</t>
  </si>
  <si>
    <t>Energy in feed used for feed req. calc.: ME for cattle,sheep and horses and NE for pigs</t>
  </si>
  <si>
    <t>MJ DE/kg DM</t>
  </si>
  <si>
    <t>MJ GE/kg DM</t>
  </si>
  <si>
    <t>kg DM/kg as fed</t>
  </si>
  <si>
    <t>potatoe offals</t>
  </si>
  <si>
    <t>Enteric fermentation</t>
  </si>
  <si>
    <t>For cattle Ym is calculated from feed ration</t>
  </si>
  <si>
    <t>enteric_adj</t>
  </si>
  <si>
    <t>-</t>
  </si>
  <si>
    <t>Adjustment factor for enteric methane emissions</t>
  </si>
  <si>
    <t>beef</t>
  </si>
  <si>
    <t>AME?, MJ</t>
  </si>
  <si>
    <t>ASH, % of DM</t>
  </si>
  <si>
    <t>feed_par_ASH</t>
  </si>
  <si>
    <t>feed_par_N</t>
  </si>
  <si>
    <t>feed_par_P</t>
  </si>
  <si>
    <t>feed_par_K</t>
  </si>
  <si>
    <t>POULTRY</t>
  </si>
  <si>
    <t>feed_par_AME</t>
  </si>
  <si>
    <t>FeedMgmt-feed_pars_general.csv</t>
  </si>
  <si>
    <t>FeedMgmt-feed_pars_cattle.csv</t>
  </si>
  <si>
    <t>Cattle</t>
  </si>
  <si>
    <t>General</t>
  </si>
  <si>
    <t>Sheep</t>
  </si>
  <si>
    <t>Horses</t>
  </si>
  <si>
    <t>Pigs</t>
  </si>
  <si>
    <t>Poultry</t>
  </si>
  <si>
    <t>MJ ME/kg DM</t>
  </si>
  <si>
    <t>MJ NE/kg DM</t>
  </si>
  <si>
    <t>MJ AME/kg DM</t>
  </si>
  <si>
    <t>FeedMgmt-feed_pars_sheep.csv</t>
  </si>
  <si>
    <t>FeedMgmt-feed_pars_horses.csv</t>
  </si>
  <si>
    <t>FeedMgmt-feed_pars_pigs.csv</t>
  </si>
  <si>
    <t>FeedMgmt-feed_pars_poultry.csv</t>
  </si>
  <si>
    <t>https://www.feedipedia.org/node/12625</t>
  </si>
  <si>
    <t>rye bran</t>
  </si>
  <si>
    <t>f_feed_group:feed</t>
  </si>
  <si>
    <t>ley silage</t>
  </si>
  <si>
    <t>hay and straw</t>
  </si>
  <si>
    <t>dry concentrates</t>
  </si>
  <si>
    <t>wet concentrates</t>
  </si>
  <si>
    <t>??</t>
  </si>
  <si>
    <t>Statistics Netherlands (2012) Standardised calculation methods for animal manure and nutrients. Standard data 1990–2008</t>
  </si>
  <si>
    <t>Statistics Netherlands (2012)</t>
  </si>
  <si>
    <t>Cederberg &amp; Henriksson (2020)</t>
  </si>
  <si>
    <t>for cattle</t>
  </si>
  <si>
    <t>Cederberg, C. &amp; Henriksson, M. (2020). Gräsmarkernas användning i jordbruket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</si>
</sst>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26" x14ac:knownFonts="1">
    <font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7030A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name val="Calibri"/>
      <family val="2"/>
      <scheme val="minor"/>
    </font>
    <font>
      <sz val="11"/>
      <color theme="2" tint="-0.499984740745262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FF0000"/>
      <name val="Times New Roman"/>
      <family val="1"/>
    </font>
    <font>
      <sz val="11"/>
      <color theme="1" tint="0.499984740745262"/>
      <name val="Calibri"/>
      <family val="2"/>
      <scheme val="minor"/>
    </font>
    <font>
      <sz val="11"/>
      <color theme="4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theme="5"/>
      <name val="Calibri"/>
      <family val="2"/>
      <scheme val="minor"/>
    </font>
    <font>
      <sz val="11"/>
      <color theme="0" tint="-0.34998626667073579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9"/>
      <name val="Calibri"/>
      <family val="2"/>
      <scheme val="minor"/>
    </font>
    <font>
      <i/>
      <sz val="11"/>
      <color theme="9"/>
      <name val="Calibri"/>
      <family val="2"/>
      <scheme val="minor"/>
    </font>
    <font>
      <b/>
      <sz val="11"/>
      <color theme="9"/>
      <name val="Calibri"/>
      <family val="2"/>
      <scheme val="minor"/>
    </font>
    <font>
      <u/>
      <sz val="11"/>
      <color theme="9"/>
      <name val="Calibri"/>
      <family val="2"/>
      <scheme val="minor"/>
    </font>
    <font>
      <i/>
      <sz val="11"/>
      <color theme="4"/>
      <name val="Calibri"/>
      <family val="2"/>
      <scheme val="minor"/>
    </font>
    <font>
      <u/>
      <sz val="11"/>
      <color theme="4"/>
      <name val="Calibri"/>
      <family val="2"/>
      <scheme val="minor"/>
    </font>
    <font>
      <u/>
      <sz val="11"/>
      <color rgb="FFFF0000"/>
      <name val="Calibri"/>
      <family val="2"/>
      <scheme val="minor"/>
    </font>
    <font>
      <sz val="11"/>
      <color rgb="FFC0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D3D6FF"/>
        <bgColor indexed="64"/>
      </patternFill>
    </fill>
    <fill>
      <patternFill patternType="solid">
        <fgColor rgb="FFE2E4FF"/>
        <bgColor indexed="64"/>
      </patternFill>
    </fill>
    <fill>
      <patternFill patternType="solid">
        <fgColor rgb="FFEAEB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0" fontId="5" fillId="0" borderId="0" applyNumberFormat="0" applyFill="0" applyBorder="0" applyAlignment="0" applyProtection="0"/>
    <xf numFmtId="9" fontId="17" fillId="0" borderId="0" applyFont="0" applyFill="0" applyBorder="0" applyAlignment="0" applyProtection="0"/>
  </cellStyleXfs>
  <cellXfs count="105">
    <xf numFmtId="0" fontId="0" fillId="0" borderId="0" xfId="0"/>
    <xf numFmtId="0" fontId="1" fillId="2" borderId="0" xfId="0" applyFont="1" applyFill="1"/>
    <xf numFmtId="0" fontId="0" fillId="2" borderId="0" xfId="0" applyFill="1"/>
    <xf numFmtId="0" fontId="2" fillId="0" borderId="0" xfId="0" applyFont="1"/>
    <xf numFmtId="0" fontId="3" fillId="0" borderId="0" xfId="0" applyFont="1"/>
    <xf numFmtId="0" fontId="0" fillId="0" borderId="0" xfId="0" applyFill="1"/>
    <xf numFmtId="0" fontId="4" fillId="0" borderId="0" xfId="0" applyFont="1"/>
    <xf numFmtId="0" fontId="5" fillId="0" borderId="0" xfId="1"/>
    <xf numFmtId="0" fontId="6" fillId="3" borderId="0" xfId="0" applyFont="1" applyFill="1" applyAlignment="1">
      <alignment vertical="center" wrapText="1"/>
    </xf>
    <xf numFmtId="0" fontId="5" fillId="4" borderId="0" xfId="1" applyFill="1" applyAlignment="1">
      <alignment vertical="center" wrapText="1"/>
    </xf>
    <xf numFmtId="0" fontId="6" fillId="4" borderId="0" xfId="0" applyFont="1" applyFill="1" applyAlignment="1">
      <alignment vertical="center" wrapText="1"/>
    </xf>
    <xf numFmtId="0" fontId="6" fillId="5" borderId="0" xfId="0" applyFont="1" applyFill="1" applyAlignment="1">
      <alignment vertical="center" wrapText="1"/>
    </xf>
    <xf numFmtId="0" fontId="5" fillId="6" borderId="0" xfId="1" applyFill="1" applyAlignment="1">
      <alignment vertical="center" wrapText="1"/>
    </xf>
    <xf numFmtId="0" fontId="6" fillId="6" borderId="0" xfId="0" applyFont="1" applyFill="1" applyAlignment="1">
      <alignment vertical="center" wrapText="1"/>
    </xf>
    <xf numFmtId="0" fontId="3" fillId="0" borderId="0" xfId="0" applyFont="1" applyAlignment="1">
      <alignment wrapText="1"/>
    </xf>
    <xf numFmtId="0" fontId="7" fillId="0" borderId="0" xfId="0" applyFont="1" applyAlignment="1">
      <alignment horizontal="center" wrapText="1"/>
    </xf>
    <xf numFmtId="2" fontId="2" fillId="0" borderId="0" xfId="0" applyNumberFormat="1" applyFont="1"/>
    <xf numFmtId="2" fontId="4" fillId="0" borderId="0" xfId="0" applyNumberFormat="1" applyFont="1"/>
    <xf numFmtId="2" fontId="8" fillId="0" borderId="0" xfId="0" applyNumberFormat="1" applyFont="1"/>
    <xf numFmtId="1" fontId="0" fillId="0" borderId="0" xfId="0" applyNumberFormat="1"/>
    <xf numFmtId="0" fontId="2" fillId="2" borderId="0" xfId="0" applyFont="1" applyFill="1"/>
    <xf numFmtId="0" fontId="8" fillId="0" borderId="0" xfId="0" applyFont="1"/>
    <xf numFmtId="0" fontId="9" fillId="0" borderId="0" xfId="0" applyFont="1"/>
    <xf numFmtId="0" fontId="6" fillId="4" borderId="0" xfId="0" applyFont="1" applyFill="1" applyAlignment="1">
      <alignment vertical="center"/>
    </xf>
    <xf numFmtId="0" fontId="6" fillId="6" borderId="0" xfId="0" applyFont="1" applyFill="1" applyAlignment="1">
      <alignment vertical="center"/>
    </xf>
    <xf numFmtId="1" fontId="11" fillId="4" borderId="0" xfId="0" applyNumberFormat="1" applyFont="1" applyFill="1" applyAlignment="1">
      <alignment vertical="center" wrapText="1"/>
    </xf>
    <xf numFmtId="1" fontId="11" fillId="6" borderId="0" xfId="0" applyNumberFormat="1" applyFont="1" applyFill="1" applyAlignment="1">
      <alignment vertical="center" wrapText="1"/>
    </xf>
    <xf numFmtId="0" fontId="0" fillId="0" borderId="1" xfId="0" applyBorder="1"/>
    <xf numFmtId="164" fontId="0" fillId="0" borderId="0" xfId="0" applyNumberFormat="1" applyBorder="1"/>
    <xf numFmtId="1" fontId="0" fillId="0" borderId="0" xfId="0" applyNumberFormat="1" applyBorder="1"/>
    <xf numFmtId="1" fontId="2" fillId="0" borderId="0" xfId="0" applyNumberFormat="1" applyFont="1" applyBorder="1"/>
    <xf numFmtId="1" fontId="13" fillId="0" borderId="0" xfId="0" applyNumberFormat="1" applyFont="1" applyBorder="1"/>
    <xf numFmtId="1" fontId="0" fillId="0" borderId="2" xfId="0" applyNumberFormat="1" applyBorder="1"/>
    <xf numFmtId="164" fontId="8" fillId="0" borderId="0" xfId="0" applyNumberFormat="1" applyFont="1" applyBorder="1"/>
    <xf numFmtId="1" fontId="8" fillId="0" borderId="0" xfId="0" applyNumberFormat="1" applyFont="1" applyBorder="1"/>
    <xf numFmtId="1" fontId="8" fillId="0" borderId="2" xfId="0" applyNumberFormat="1" applyFont="1" applyBorder="1"/>
    <xf numFmtId="0" fontId="0" fillId="0" borderId="4" xfId="0" applyBorder="1"/>
    <xf numFmtId="0" fontId="0" fillId="0" borderId="0" xfId="0" applyBorder="1"/>
    <xf numFmtId="0" fontId="0" fillId="0" borderId="2" xfId="0" applyBorder="1"/>
    <xf numFmtId="0" fontId="0" fillId="0" borderId="5" xfId="0" applyBorder="1"/>
    <xf numFmtId="0" fontId="3" fillId="2" borderId="0" xfId="0" applyFont="1" applyFill="1"/>
    <xf numFmtId="0" fontId="3" fillId="7" borderId="0" xfId="0" applyFont="1" applyFill="1"/>
    <xf numFmtId="0" fontId="0" fillId="7" borderId="0" xfId="0" applyFill="1"/>
    <xf numFmtId="164" fontId="0" fillId="0" borderId="2" xfId="0" applyNumberFormat="1" applyFont="1" applyBorder="1"/>
    <xf numFmtId="1" fontId="0" fillId="0" borderId="1" xfId="0" applyNumberFormat="1" applyBorder="1"/>
    <xf numFmtId="0" fontId="12" fillId="2" borderId="0" xfId="0" applyFont="1" applyFill="1"/>
    <xf numFmtId="0" fontId="12" fillId="2" borderId="0" xfId="0" applyFont="1" applyFill="1" applyAlignment="1">
      <alignment horizontal="center"/>
    </xf>
    <xf numFmtId="0" fontId="3" fillId="7" borderId="6" xfId="0" applyFont="1" applyFill="1" applyBorder="1"/>
    <xf numFmtId="0" fontId="3" fillId="7" borderId="8" xfId="0" applyFont="1" applyFill="1" applyBorder="1"/>
    <xf numFmtId="0" fontId="3" fillId="7" borderId="7" xfId="0" applyFont="1" applyFill="1" applyBorder="1"/>
    <xf numFmtId="0" fontId="8" fillId="0" borderId="0" xfId="0" applyFont="1" applyBorder="1"/>
    <xf numFmtId="0" fontId="14" fillId="0" borderId="0" xfId="0" applyFont="1" applyFill="1" applyBorder="1"/>
    <xf numFmtId="164" fontId="13" fillId="0" borderId="0" xfId="0" applyNumberFormat="1" applyFont="1" applyBorder="1"/>
    <xf numFmtId="164" fontId="15" fillId="0" borderId="0" xfId="0" applyNumberFormat="1" applyFont="1" applyBorder="1"/>
    <xf numFmtId="1" fontId="8" fillId="0" borderId="1" xfId="0" applyNumberFormat="1" applyFont="1" applyBorder="1"/>
    <xf numFmtId="0" fontId="8" fillId="0" borderId="1" xfId="0" applyFont="1" applyBorder="1"/>
    <xf numFmtId="0" fontId="0" fillId="7" borderId="0" xfId="0" applyFill="1" applyAlignment="1">
      <alignment horizontal="right"/>
    </xf>
    <xf numFmtId="164" fontId="0" fillId="0" borderId="4" xfId="0" applyNumberFormat="1" applyBorder="1"/>
    <xf numFmtId="2" fontId="0" fillId="0" borderId="0" xfId="0" applyNumberFormat="1" applyBorder="1"/>
    <xf numFmtId="2" fontId="0" fillId="0" borderId="2" xfId="0" applyNumberFormat="1" applyBorder="1"/>
    <xf numFmtId="2" fontId="15" fillId="0" borderId="0" xfId="0" applyNumberFormat="1" applyFont="1" applyBorder="1"/>
    <xf numFmtId="2" fontId="15" fillId="0" borderId="2" xfId="0" applyNumberFormat="1" applyFont="1" applyBorder="1"/>
    <xf numFmtId="0" fontId="0" fillId="0" borderId="0" xfId="0" applyFont="1"/>
    <xf numFmtId="0" fontId="16" fillId="0" borderId="0" xfId="0" applyFont="1"/>
    <xf numFmtId="0" fontId="3" fillId="0" borderId="9" xfId="0" applyFont="1" applyBorder="1"/>
    <xf numFmtId="0" fontId="0" fillId="0" borderId="10" xfId="0" applyBorder="1"/>
    <xf numFmtId="0" fontId="0" fillId="0" borderId="11" xfId="0" applyBorder="1"/>
    <xf numFmtId="0" fontId="5" fillId="0" borderId="1" xfId="1" applyBorder="1"/>
    <xf numFmtId="0" fontId="3" fillId="0" borderId="3" xfId="0" applyFont="1" applyBorder="1"/>
    <xf numFmtId="164" fontId="18" fillId="0" borderId="0" xfId="0" applyNumberFormat="1" applyFont="1" applyBorder="1"/>
    <xf numFmtId="0" fontId="19" fillId="0" borderId="0" xfId="0" applyFont="1" applyFill="1" applyBorder="1"/>
    <xf numFmtId="0" fontId="20" fillId="7" borderId="8" xfId="0" applyFont="1" applyFill="1" applyBorder="1"/>
    <xf numFmtId="0" fontId="18" fillId="0" borderId="0" xfId="0" applyFont="1" applyBorder="1"/>
    <xf numFmtId="9" fontId="0" fillId="0" borderId="0" xfId="2" applyFont="1"/>
    <xf numFmtId="0" fontId="18" fillId="0" borderId="0" xfId="0" applyFont="1"/>
    <xf numFmtId="0" fontId="21" fillId="0" borderId="0" xfId="1" applyFont="1"/>
    <xf numFmtId="164" fontId="2" fillId="0" borderId="0" xfId="0" applyNumberFormat="1" applyFont="1" applyBorder="1"/>
    <xf numFmtId="0" fontId="22" fillId="0" borderId="0" xfId="0" applyFont="1" applyFill="1" applyBorder="1"/>
    <xf numFmtId="0" fontId="13" fillId="0" borderId="0" xfId="0" applyFont="1"/>
    <xf numFmtId="0" fontId="23" fillId="0" borderId="0" xfId="1" applyFont="1"/>
    <xf numFmtId="164" fontId="0" fillId="0" borderId="10" xfId="0" applyNumberFormat="1" applyBorder="1"/>
    <xf numFmtId="1" fontId="2" fillId="0" borderId="3" xfId="0" applyNumberFormat="1" applyFont="1" applyBorder="1"/>
    <xf numFmtId="164" fontId="2" fillId="0" borderId="5" xfId="0" applyNumberFormat="1" applyFont="1" applyBorder="1"/>
    <xf numFmtId="164" fontId="2" fillId="0" borderId="3" xfId="0" applyNumberFormat="1" applyFont="1" applyBorder="1"/>
    <xf numFmtId="2" fontId="2" fillId="0" borderId="4" xfId="0" applyNumberFormat="1" applyFont="1" applyBorder="1"/>
    <xf numFmtId="2" fontId="2" fillId="0" borderId="5" xfId="0" applyNumberFormat="1" applyFont="1" applyBorder="1"/>
    <xf numFmtId="0" fontId="10" fillId="0" borderId="0" xfId="0" applyFont="1"/>
    <xf numFmtId="0" fontId="2" fillId="0" borderId="3" xfId="0" applyFont="1" applyBorder="1"/>
    <xf numFmtId="0" fontId="2" fillId="0" borderId="4" xfId="0" applyFont="1" applyBorder="1"/>
    <xf numFmtId="1" fontId="2" fillId="0" borderId="4" xfId="0" applyNumberFormat="1" applyFont="1" applyBorder="1"/>
    <xf numFmtId="1" fontId="2" fillId="0" borderId="5" xfId="0" applyNumberFormat="1" applyFont="1" applyBorder="1"/>
    <xf numFmtId="164" fontId="2" fillId="0" borderId="4" xfId="0" applyNumberFormat="1" applyFont="1" applyBorder="1"/>
    <xf numFmtId="0" fontId="2" fillId="0" borderId="5" xfId="0" applyFont="1" applyBorder="1"/>
    <xf numFmtId="0" fontId="24" fillId="0" borderId="0" xfId="1" applyFont="1"/>
    <xf numFmtId="0" fontId="3" fillId="0" borderId="7" xfId="0" applyFont="1" applyBorder="1"/>
    <xf numFmtId="0" fontId="3" fillId="0" borderId="6" xfId="0" applyFont="1" applyBorder="1"/>
    <xf numFmtId="0" fontId="0" fillId="0" borderId="9" xfId="0" applyBorder="1"/>
    <xf numFmtId="164" fontId="0" fillId="0" borderId="2" xfId="0" applyNumberFormat="1" applyBorder="1"/>
    <xf numFmtId="0" fontId="3" fillId="0" borderId="10" xfId="0" applyFont="1" applyBorder="1"/>
    <xf numFmtId="0" fontId="5" fillId="0" borderId="0" xfId="1" applyBorder="1"/>
    <xf numFmtId="0" fontId="3" fillId="0" borderId="4" xfId="0" applyFont="1" applyBorder="1"/>
    <xf numFmtId="164" fontId="0" fillId="0" borderId="1" xfId="0" applyNumberFormat="1" applyBorder="1"/>
    <xf numFmtId="0" fontId="0" fillId="0" borderId="4" xfId="0" applyFill="1" applyBorder="1"/>
    <xf numFmtId="0" fontId="1" fillId="0" borderId="0" xfId="0" applyFont="1"/>
    <xf numFmtId="1" fontId="25" fillId="0" borderId="0" xfId="0" applyNumberFormat="1" applyFont="1" applyBorder="1"/>
  </cellXfs>
  <cellStyles count="3">
    <cellStyle name="Hyperlink" xfId="1" builtinId="8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feedipedia.org/node/231" TargetMode="External"/><Relationship Id="rId18" Type="http://schemas.openxmlformats.org/officeDocument/2006/relationships/hyperlink" Target="https://www.feedtables.com/content/rapeseed-oil" TargetMode="External"/><Relationship Id="rId26" Type="http://schemas.openxmlformats.org/officeDocument/2006/relationships/hyperlink" Target="https://www.feedipedia.org/node/12288" TargetMode="External"/><Relationship Id="rId3" Type="http://schemas.openxmlformats.org/officeDocument/2006/relationships/hyperlink" Target="https://www.feedipedia.org/node/11744" TargetMode="External"/><Relationship Id="rId21" Type="http://schemas.openxmlformats.org/officeDocument/2006/relationships/hyperlink" Target="https://www.feedipedia.org/node/12503" TargetMode="External"/><Relationship Id="rId34" Type="http://schemas.openxmlformats.org/officeDocument/2006/relationships/hyperlink" Target="https://www.feedipedia.org/node/11685" TargetMode="External"/><Relationship Id="rId7" Type="http://schemas.openxmlformats.org/officeDocument/2006/relationships/hyperlink" Target="https://www.feedtables.com/content/rapeseed-oil" TargetMode="External"/><Relationship Id="rId12" Type="http://schemas.openxmlformats.org/officeDocument/2006/relationships/hyperlink" Target="https://www.feedipedia.org/node/6476" TargetMode="External"/><Relationship Id="rId17" Type="http://schemas.openxmlformats.org/officeDocument/2006/relationships/hyperlink" Target="https://www.feedipedia.org/node/36" TargetMode="External"/><Relationship Id="rId25" Type="http://schemas.openxmlformats.org/officeDocument/2006/relationships/hyperlink" Target="https://www.feedipedia.org/node/12801" TargetMode="External"/><Relationship Id="rId33" Type="http://schemas.openxmlformats.org/officeDocument/2006/relationships/hyperlink" Target="https://www.feedipedia.org/node/11683" TargetMode="External"/><Relationship Id="rId2" Type="http://schemas.openxmlformats.org/officeDocument/2006/relationships/hyperlink" Target="https://www.feedipedia.org/node/11893" TargetMode="External"/><Relationship Id="rId16" Type="http://schemas.openxmlformats.org/officeDocument/2006/relationships/hyperlink" Target="https://www.feedipedia.org/node/15617" TargetMode="External"/><Relationship Id="rId20" Type="http://schemas.openxmlformats.org/officeDocument/2006/relationships/hyperlink" Target="https://www.feedipedia.org/node/11683" TargetMode="External"/><Relationship Id="rId29" Type="http://schemas.openxmlformats.org/officeDocument/2006/relationships/hyperlink" Target="https://www.feedipedia.org/node/12893" TargetMode="External"/><Relationship Id="rId1" Type="http://schemas.openxmlformats.org/officeDocument/2006/relationships/hyperlink" Target="http://www2.freefarm.se/fodertabell/" TargetMode="External"/><Relationship Id="rId6" Type="http://schemas.openxmlformats.org/officeDocument/2006/relationships/hyperlink" Target="https://www.feedipedia.org/node/12799" TargetMode="External"/><Relationship Id="rId11" Type="http://schemas.openxmlformats.org/officeDocument/2006/relationships/hyperlink" Target="https://www.feedipedia.org/node/556" TargetMode="External"/><Relationship Id="rId24" Type="http://schemas.openxmlformats.org/officeDocument/2006/relationships/hyperlink" Target="https://www.feedipedia.org/node/12751" TargetMode="External"/><Relationship Id="rId32" Type="http://schemas.openxmlformats.org/officeDocument/2006/relationships/hyperlink" Target="https://www.feedipedia.org/node/12625" TargetMode="External"/><Relationship Id="rId5" Type="http://schemas.openxmlformats.org/officeDocument/2006/relationships/hyperlink" Target="https://www.feedipedia.org/node/13883" TargetMode="External"/><Relationship Id="rId15" Type="http://schemas.openxmlformats.org/officeDocument/2006/relationships/hyperlink" Target="https://www.feedipedia.org/node/223" TargetMode="External"/><Relationship Id="rId23" Type="http://schemas.openxmlformats.org/officeDocument/2006/relationships/hyperlink" Target="https://www.feedtables.com/content/wheat-feed-flour" TargetMode="External"/><Relationship Id="rId28" Type="http://schemas.openxmlformats.org/officeDocument/2006/relationships/hyperlink" Target="https://www.feedipedia.org/node/24378" TargetMode="External"/><Relationship Id="rId36" Type="http://schemas.openxmlformats.org/officeDocument/2006/relationships/printerSettings" Target="../printerSettings/printerSettings2.bin"/><Relationship Id="rId10" Type="http://schemas.openxmlformats.org/officeDocument/2006/relationships/hyperlink" Target="https://www.feedipedia.org/node/264" TargetMode="External"/><Relationship Id="rId19" Type="http://schemas.openxmlformats.org/officeDocument/2006/relationships/hyperlink" Target="https://www.feedipedia.org/node/26068" TargetMode="External"/><Relationship Id="rId31" Type="http://schemas.openxmlformats.org/officeDocument/2006/relationships/hyperlink" Target="https://www.feedipedia.org/node/11685" TargetMode="External"/><Relationship Id="rId4" Type="http://schemas.openxmlformats.org/officeDocument/2006/relationships/hyperlink" Target="https://www.feedtables.com/content/wheat-feed-flour" TargetMode="External"/><Relationship Id="rId9" Type="http://schemas.openxmlformats.org/officeDocument/2006/relationships/hyperlink" Target="https://www.feedipedia.org/node/12799" TargetMode="External"/><Relationship Id="rId14" Type="http://schemas.openxmlformats.org/officeDocument/2006/relationships/hyperlink" Target="https://www.feedipedia.org/node/227" TargetMode="External"/><Relationship Id="rId22" Type="http://schemas.openxmlformats.org/officeDocument/2006/relationships/hyperlink" Target="https://www.feedipedia.org/node/12663" TargetMode="External"/><Relationship Id="rId27" Type="http://schemas.openxmlformats.org/officeDocument/2006/relationships/hyperlink" Target="https://www.feedipedia.org/node/12340" TargetMode="External"/><Relationship Id="rId30" Type="http://schemas.openxmlformats.org/officeDocument/2006/relationships/hyperlink" Target="https://www.feedtables.com/content/table-feed-profile?feed_pr_id=12371" TargetMode="External"/><Relationship Id="rId35" Type="http://schemas.openxmlformats.org/officeDocument/2006/relationships/hyperlink" Target="https://www.feedipedia.org/node/12893" TargetMode="External"/><Relationship Id="rId8" Type="http://schemas.openxmlformats.org/officeDocument/2006/relationships/hyperlink" Target="https://www.ncbi.nlm.nih.gov/pmc/articles/PMC3544805/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slu.se/globalassets/ew/org/inst/huv/verktyg/fodertabeller/gristabell/Linfro.pdf" TargetMode="External"/><Relationship Id="rId18" Type="http://schemas.openxmlformats.org/officeDocument/2006/relationships/hyperlink" Target="https://www.slu.se/globalassets/ew/org/inst/huv/verktyg/fodertabeller/gristabell/Majs.pdf" TargetMode="External"/><Relationship Id="rId26" Type="http://schemas.openxmlformats.org/officeDocument/2006/relationships/hyperlink" Target="https://www.slu.se/globalassets/ew/org/inst/huv/verktyg/fodertabeller/gristabell/Monokalciumfosfat.pdf" TargetMode="External"/><Relationship Id="rId39" Type="http://schemas.openxmlformats.org/officeDocument/2006/relationships/hyperlink" Target="https://www.slu.se/globalassets/ew/org/inst/huv/verktyg/fodertabeller/gristabell/Salt.pdf" TargetMode="External"/><Relationship Id="rId21" Type="http://schemas.openxmlformats.org/officeDocument/2006/relationships/hyperlink" Target="https://www.slu.se/globalassets/ew/org/inst/huv/verktyg/fodertabeller/gristabell/Majsglutenmjol.pdf" TargetMode="External"/><Relationship Id="rId34" Type="http://schemas.openxmlformats.org/officeDocument/2006/relationships/hyperlink" Target="https://www.slu.se/globalassets/ew/org/inst/huv/verktyg/fodertabeller/gristabell/Rapskaka_kallpressad.pdf" TargetMode="External"/><Relationship Id="rId42" Type="http://schemas.openxmlformats.org/officeDocument/2006/relationships/hyperlink" Target="https://www.slu.se/globalassets/ew/org/inst/huv/verktyg/fodertabeller/gristabell/Sojamjol45Rp.pdf" TargetMode="External"/><Relationship Id="rId47" Type="http://schemas.openxmlformats.org/officeDocument/2006/relationships/hyperlink" Target="https://www.slu.se/globalassets/ew/org/inst/huv/verktyg/fodertabeller/gristabell/Treonin_L.pdf" TargetMode="External"/><Relationship Id="rId50" Type="http://schemas.openxmlformats.org/officeDocument/2006/relationships/hyperlink" Target="https://www.slu.se/globalassets/ew/org/inst/huv/verktyg/fodertabeller/gristabell/Vasslepulver_sur_vassle.pdf" TargetMode="External"/><Relationship Id="rId55" Type="http://schemas.openxmlformats.org/officeDocument/2006/relationships/hyperlink" Target="https://www.slu.se/globalassets/ew/org/inst/huv/verktyg/fodertabeller/gristabell/Arter.pdf" TargetMode="External"/><Relationship Id="rId7" Type="http://schemas.openxmlformats.org/officeDocument/2006/relationships/hyperlink" Target="https://www.slu.se/globalassets/ew/org/inst/huv/verktyg/fodertabeller/gristabell/Foderkalk.pdf" TargetMode="External"/><Relationship Id="rId2" Type="http://schemas.openxmlformats.org/officeDocument/2006/relationships/hyperlink" Target="https://www.slu.se/globalassets/ew/org/inst/huv/verktyg/fodertabeller/gristabell/Agrodrank90.pdf" TargetMode="External"/><Relationship Id="rId16" Type="http://schemas.openxmlformats.org/officeDocument/2006/relationships/hyperlink" Target="https://www.slu.se/globalassets/ew/org/inst/huv/verktyg/fodertabeller/gristabell/Lusernmjol.pdf" TargetMode="External"/><Relationship Id="rId29" Type="http://schemas.openxmlformats.org/officeDocument/2006/relationships/hyperlink" Target="https://www.slu.se/globalassets/ew/org/inst/huv/verktyg/fodertabeller/gristabell/Permeatvassle.pdf" TargetMode="External"/><Relationship Id="rId11" Type="http://schemas.openxmlformats.org/officeDocument/2006/relationships/hyperlink" Target="https://www.slu.se/globalassets/ew/org/inst/huv/verktyg/fodertabeller/gristabell/Havre_skalad.pdf" TargetMode="External"/><Relationship Id="rId24" Type="http://schemas.openxmlformats.org/officeDocument/2006/relationships/hyperlink" Target="https://www.slu.se/globalassets/ew/org/inst/huv/verktyg/fodertabeller/gristabell/Metionin.pdf" TargetMode="External"/><Relationship Id="rId32" Type="http://schemas.openxmlformats.org/officeDocument/2006/relationships/hyperlink" Target="https://www.slu.se/globalassets/ew/org/inst/huv/verktyg/fodertabeller/gristabell/Rapsfro.pdf" TargetMode="External"/><Relationship Id="rId37" Type="http://schemas.openxmlformats.org/officeDocument/2006/relationships/hyperlink" Target="https://www.slu.se/globalassets/ew/org/inst/huv/verktyg/fodertabeller/gristabell/Rag.pdf" TargetMode="External"/><Relationship Id="rId40" Type="http://schemas.openxmlformats.org/officeDocument/2006/relationships/hyperlink" Target="https://www.slu.se/globalassets/ew/org/inst/huv/verktyg/fodertabeller/gristabell/Skummjolkspulver.pdf" TargetMode="External"/><Relationship Id="rId45" Type="http://schemas.openxmlformats.org/officeDocument/2006/relationships/hyperlink" Target="https://www.slu.se/globalassets/ew/org/inst/huv/verktyg/fodertabeller/gristabell/Solrosmjol.pdf" TargetMode="External"/><Relationship Id="rId53" Type="http://schemas.openxmlformats.org/officeDocument/2006/relationships/hyperlink" Target="https://www.slu.se/globalassets/ew/org/inst/huv/verktyg/fodertabeller/gristabell/Vetefodermjol.pdf" TargetMode="External"/><Relationship Id="rId58" Type="http://schemas.openxmlformats.org/officeDocument/2006/relationships/hyperlink" Target="https://www.slu.se/globalassets/ew/org/inst/huv/verktyg/fodertabeller/gristabell/Agrodrank10.pdf" TargetMode="External"/><Relationship Id="rId5" Type="http://schemas.openxmlformats.org/officeDocument/2006/relationships/hyperlink" Target="https://www.slu.se/globalassets/ew/org/inst/huv/verktyg/fodertabeller/gristabell/Fetter_animala.pdf" TargetMode="External"/><Relationship Id="rId19" Type="http://schemas.openxmlformats.org/officeDocument/2006/relationships/hyperlink" Target="https://www.slu.se/globalassets/ew/org/inst/huv/verktyg/fodertabeller/gristabell/Majsdrank.pdf" TargetMode="External"/><Relationship Id="rId4" Type="http://schemas.openxmlformats.org/officeDocument/2006/relationships/hyperlink" Target="https://www.slu.se/globalassets/ew/org/inst/huv/verktyg/fodertabeller/gristabell/Drank_SBI.pdf" TargetMode="External"/><Relationship Id="rId9" Type="http://schemas.openxmlformats.org/officeDocument/2006/relationships/hyperlink" Target="https://www.slu.se/globalassets/ew/org/inst/huv/verktyg/fodertabeller/gristabell/Halm_vete.pdf" TargetMode="External"/><Relationship Id="rId14" Type="http://schemas.openxmlformats.org/officeDocument/2006/relationships/hyperlink" Target="https://www.slu.se/globalassets/ew/org/inst/huv/verktyg/fodertabeller/gristabell/Linfroexpeller.pdf" TargetMode="External"/><Relationship Id="rId22" Type="http://schemas.openxmlformats.org/officeDocument/2006/relationships/hyperlink" Target="https://www.slu.se/globalassets/ew/org/inst/huv/verktyg/fodertabeller/gristabell/Melass_bet.pdf" TargetMode="External"/><Relationship Id="rId27" Type="http://schemas.openxmlformats.org/officeDocument/2006/relationships/hyperlink" Target="https://www.slu.se/globalassets/ew/org/inst/huv/verktyg/fodertabeller/gristabell/Oljor_vegetabila.pdf" TargetMode="External"/><Relationship Id="rId30" Type="http://schemas.openxmlformats.org/officeDocument/2006/relationships/hyperlink" Target="https://www.slu.se/globalassets/ew/org/inst/huv/verktyg/fodertabeller/gristabell/Potatisproteinkoncentrat.pdf" TargetMode="External"/><Relationship Id="rId35" Type="http://schemas.openxmlformats.org/officeDocument/2006/relationships/hyperlink" Target="https://www.slu.se/globalassets/ew/org/inst/huv/verktyg/fodertabeller/gristabell/Rapsmjol.pdf" TargetMode="External"/><Relationship Id="rId43" Type="http://schemas.openxmlformats.org/officeDocument/2006/relationships/hyperlink" Target="https://www.slu.se/globalassets/ew/org/inst/huv/verktyg/fodertabeller/gristabell/Sojamjol47Rp.pdf" TargetMode="External"/><Relationship Id="rId48" Type="http://schemas.openxmlformats.org/officeDocument/2006/relationships/hyperlink" Target="https://www.slu.se/globalassets/ew/org/inst/huv/verktyg/fodertabeller/gristabell/Tryptofan_L.pdf" TargetMode="External"/><Relationship Id="rId56" Type="http://schemas.openxmlformats.org/officeDocument/2006/relationships/hyperlink" Target="https://www.slu.se/globalassets/ew/org/inst/huv/verktyg/fodertabeller/gristabell/Akerbona_vitblommig.pdf" TargetMode="External"/><Relationship Id="rId8" Type="http://schemas.openxmlformats.org/officeDocument/2006/relationships/hyperlink" Target="https://www.slu.se/globalassets/ew/org/inst/huv/verktyg/fodertabeller/gristabell/Grasmjol.pdf" TargetMode="External"/><Relationship Id="rId51" Type="http://schemas.openxmlformats.org/officeDocument/2006/relationships/hyperlink" Target="https://www.slu.se/globalassets/ew/org/inst/huv/verktyg/fodertabeller/gristabell/Vasslepulver_sot_vassle.pdf" TargetMode="External"/><Relationship Id="rId3" Type="http://schemas.openxmlformats.org/officeDocument/2006/relationships/hyperlink" Target="https://www.slu.se/globalassets/ew/org/inst/huv/verktyg/fodertabeller/gristabell/Betfiber_omelasserad.pdf" TargetMode="External"/><Relationship Id="rId12" Type="http://schemas.openxmlformats.org/officeDocument/2006/relationships/hyperlink" Target="https://www.slu.se/globalassets/ew/org/inst/huv/verktyg/fodertabeller/gristabell/Korn.pdf" TargetMode="External"/><Relationship Id="rId17" Type="http://schemas.openxmlformats.org/officeDocument/2006/relationships/hyperlink" Target="https://www.slu.se/globalassets/ew/org/inst/huv/verktyg/fodertabeller/gristabell/Lysin_L-HCL.pdf" TargetMode="External"/><Relationship Id="rId25" Type="http://schemas.openxmlformats.org/officeDocument/2006/relationships/hyperlink" Target="https://www.slu.se/globalassets/ew/org/inst/huv/verktyg/fodertabeller/gristabell/Metioninhydroxyanalog.pdf" TargetMode="External"/><Relationship Id="rId33" Type="http://schemas.openxmlformats.org/officeDocument/2006/relationships/hyperlink" Target="https://www.slu.se/globalassets/ew/org/inst/huv/verktyg/fodertabeller/gristabell/Rapskaka.pdf" TargetMode="External"/><Relationship Id="rId38" Type="http://schemas.openxmlformats.org/officeDocument/2006/relationships/hyperlink" Target="https://www.slu.se/globalassets/ew/org/inst/huv/verktyg/fodertabeller/gristabell/Ragvete.pdf" TargetMode="External"/><Relationship Id="rId46" Type="http://schemas.openxmlformats.org/officeDocument/2006/relationships/hyperlink" Target="https://www.slu.se/globalassets/ew/org/inst/huv/verktyg/fodertabeller/gristabell/Sorgum.pdf" TargetMode="External"/><Relationship Id="rId20" Type="http://schemas.openxmlformats.org/officeDocument/2006/relationships/hyperlink" Target="https://www.slu.se/globalassets/ew/org/inst/huv/verktyg/fodertabeller/gristabell/Majsglutenfoder.pdf" TargetMode="External"/><Relationship Id="rId41" Type="http://schemas.openxmlformats.org/officeDocument/2006/relationships/hyperlink" Target="https://www.slu.se/globalassets/ew/org/inst/huv/verktyg/fodertabeller/gristabell/Sojamjol43Rp.pdf" TargetMode="External"/><Relationship Id="rId54" Type="http://schemas.openxmlformats.org/officeDocument/2006/relationships/hyperlink" Target="https://www.slu.se/globalassets/ew/org/inst/huv/verktyg/fodertabeller/gristabell/Vetekli.pdf" TargetMode="External"/><Relationship Id="rId1" Type="http://schemas.openxmlformats.org/officeDocument/2006/relationships/hyperlink" Target="https://www.slu.se/globalassets/ew/org/inst/huv/verktyg/fodertabeller/gristabell/Agrodrank27.pdf" TargetMode="External"/><Relationship Id="rId6" Type="http://schemas.openxmlformats.org/officeDocument/2006/relationships/hyperlink" Target="https://www.slu.se/globalassets/ew/org/inst/huv/verktyg/fodertabeller/gristabell/Fiskmjol.pdf" TargetMode="External"/><Relationship Id="rId15" Type="http://schemas.openxmlformats.org/officeDocument/2006/relationships/hyperlink" Target="https://www.slu.se/globalassets/ew/org/inst/huv/verktyg/fodertabeller/gristabell/Lupin_vit.pdf" TargetMode="External"/><Relationship Id="rId23" Type="http://schemas.openxmlformats.org/officeDocument/2006/relationships/hyperlink" Target="https://www.slu.se/globalassets/ew/org/inst/huv/verktyg/fodertabeller/gristabell/Melass_ror.pdf" TargetMode="External"/><Relationship Id="rId28" Type="http://schemas.openxmlformats.org/officeDocument/2006/relationships/hyperlink" Target="https://www.slu.se/globalassets/ew/org/inst/huv/verktyg/fodertabeller/gristabell/Palmkarnkaka.pdf" TargetMode="External"/><Relationship Id="rId36" Type="http://schemas.openxmlformats.org/officeDocument/2006/relationships/hyperlink" Target="https://www.slu.se/globalassets/ew/org/inst/huv/verktyg/fodertabeller/gristabell/Ris_knackt.pdf" TargetMode="External"/><Relationship Id="rId49" Type="http://schemas.openxmlformats.org/officeDocument/2006/relationships/hyperlink" Target="https://www.slu.se/globalassets/ew/org/inst/huv/verktyg/fodertabeller/gristabell/Vassle.pdf" TargetMode="External"/><Relationship Id="rId57" Type="http://schemas.openxmlformats.org/officeDocument/2006/relationships/hyperlink" Target="https://www.slu.se/globalassets/ew/org/inst/huv/verktyg/fodertabeller/gristabell/Oljast.pdf" TargetMode="External"/><Relationship Id="rId10" Type="http://schemas.openxmlformats.org/officeDocument/2006/relationships/hyperlink" Target="https://www.slu.se/globalassets/ew/org/inst/huv/verktyg/fodertabeller/gristabell/Havre.pdf" TargetMode="External"/><Relationship Id="rId31" Type="http://schemas.openxmlformats.org/officeDocument/2006/relationships/hyperlink" Target="https://www.slu.se/globalassets/ew/org/inst/huv/verktyg/fodertabeller/gristabell/Potatispulpa.pdf" TargetMode="External"/><Relationship Id="rId44" Type="http://schemas.openxmlformats.org/officeDocument/2006/relationships/hyperlink" Target="https://www.slu.se/globalassets/ew/org/inst/huv/verktyg/fodertabeller/gristabell/Sojaprotein-Hamlet_310.pdf" TargetMode="External"/><Relationship Id="rId52" Type="http://schemas.openxmlformats.org/officeDocument/2006/relationships/hyperlink" Target="https://www.slu.se/globalassets/ew/org/inst/huv/verktyg/fodertabeller/gristabell/Vete.pdf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49"/>
  <sheetViews>
    <sheetView tabSelected="1" topLeftCell="B1" zoomScale="80" zoomScaleNormal="80" workbookViewId="0">
      <pane ySplit="1" topLeftCell="A88" activePane="bottomLeft" state="frozen"/>
      <selection pane="bottomLeft" activeCell="J97" sqref="J97"/>
    </sheetView>
  </sheetViews>
  <sheetFormatPr defaultRowHeight="15" x14ac:dyDescent="0.25"/>
  <cols>
    <col min="6" max="7" width="20.28515625" customWidth="1"/>
    <col min="8" max="8" width="23.5703125" bestFit="1" customWidth="1"/>
    <col min="9" max="9" width="19.5703125" bestFit="1" customWidth="1"/>
    <col min="10" max="10" width="20.140625" customWidth="1"/>
    <col min="11" max="11" width="9.7109375" customWidth="1"/>
    <col min="12" max="12" width="16.42578125" bestFit="1" customWidth="1"/>
    <col min="13" max="13" width="25.85546875" bestFit="1" customWidth="1"/>
    <col min="14" max="14" width="12.7109375" bestFit="1" customWidth="1"/>
    <col min="15" max="15" width="38.140625" customWidth="1"/>
    <col min="16" max="16" width="58" customWidth="1"/>
  </cols>
  <sheetData>
    <row r="1" spans="1:17" x14ac:dyDescent="0.25">
      <c r="A1" s="4" t="s">
        <v>19</v>
      </c>
      <c r="B1" s="4" t="s">
        <v>14</v>
      </c>
      <c r="C1" s="4" t="s">
        <v>13</v>
      </c>
      <c r="D1" s="4" t="s">
        <v>15</v>
      </c>
      <c r="E1" s="4" t="s">
        <v>16</v>
      </c>
      <c r="F1" s="4" t="s">
        <v>0</v>
      </c>
      <c r="G1" s="4" t="s">
        <v>632</v>
      </c>
      <c r="H1" s="4" t="s">
        <v>314</v>
      </c>
      <c r="I1" s="4" t="s">
        <v>1</v>
      </c>
      <c r="J1" s="4" t="s">
        <v>9</v>
      </c>
      <c r="K1" s="4" t="s">
        <v>584</v>
      </c>
      <c r="L1" s="4" t="s">
        <v>3</v>
      </c>
      <c r="M1" s="4" t="s">
        <v>4</v>
      </c>
      <c r="N1" s="4" t="s">
        <v>5</v>
      </c>
      <c r="O1" s="4" t="s">
        <v>6</v>
      </c>
      <c r="P1" s="4" t="s">
        <v>7</v>
      </c>
    </row>
    <row r="2" spans="1:17" x14ac:dyDescent="0.25">
      <c r="A2" s="1" t="s">
        <v>8</v>
      </c>
      <c r="B2" s="1"/>
      <c r="C2" s="1"/>
      <c r="D2" s="1"/>
      <c r="E2" s="1"/>
      <c r="F2" s="1"/>
      <c r="G2" s="1"/>
      <c r="H2" s="1"/>
      <c r="I2" s="1"/>
      <c r="J2" s="1"/>
      <c r="K2" s="1"/>
      <c r="L2" s="2"/>
      <c r="M2" s="2"/>
      <c r="N2" s="2" t="s">
        <v>585</v>
      </c>
      <c r="O2" s="20" t="s">
        <v>299</v>
      </c>
      <c r="P2" s="2"/>
      <c r="Q2" s="5"/>
    </row>
    <row r="3" spans="1:17" x14ac:dyDescent="0.25">
      <c r="L3" s="6" t="s">
        <v>28</v>
      </c>
      <c r="M3" s="17">
        <v>0</v>
      </c>
      <c r="N3" s="6"/>
      <c r="O3" s="6" t="s">
        <v>30</v>
      </c>
    </row>
    <row r="4" spans="1:17" x14ac:dyDescent="0.25">
      <c r="F4" t="s">
        <v>300</v>
      </c>
      <c r="I4" t="s">
        <v>10</v>
      </c>
      <c r="L4" t="s">
        <v>28</v>
      </c>
      <c r="M4" s="18">
        <f>1/INDEX('feed pars'!C$6:C$46/100,MATCH(F4,'feed pars'!B$6:B$46,0))</f>
        <v>1</v>
      </c>
    </row>
    <row r="5" spans="1:17" x14ac:dyDescent="0.25">
      <c r="F5" t="s">
        <v>301</v>
      </c>
      <c r="I5" t="s">
        <v>10</v>
      </c>
      <c r="L5" t="s">
        <v>28</v>
      </c>
      <c r="M5" s="18">
        <f>1/INDEX('feed pars'!C$6:C$46/100,MATCH(F5,'feed pars'!B$6:B$46,0))</f>
        <v>1</v>
      </c>
    </row>
    <row r="6" spans="1:17" x14ac:dyDescent="0.25">
      <c r="F6" t="s">
        <v>302</v>
      </c>
      <c r="I6" t="s">
        <v>10</v>
      </c>
      <c r="L6" t="s">
        <v>28</v>
      </c>
      <c r="M6" s="18">
        <f>1/INDEX('feed pars'!C$6:C$46/100,MATCH(F6,'feed pars'!B$6:B$46,0))</f>
        <v>1</v>
      </c>
    </row>
    <row r="7" spans="1:17" x14ac:dyDescent="0.25">
      <c r="F7" t="s">
        <v>2</v>
      </c>
      <c r="I7" t="s">
        <v>10</v>
      </c>
      <c r="L7" t="s">
        <v>28</v>
      </c>
      <c r="M7" s="18">
        <f>1/INDEX('feed pars'!C$6:C$46/100,MATCH(F7,'feed pars'!B$6:B$46,0))</f>
        <v>1</v>
      </c>
    </row>
    <row r="8" spans="1:17" x14ac:dyDescent="0.25">
      <c r="F8" t="s">
        <v>12</v>
      </c>
      <c r="I8" t="s">
        <v>11</v>
      </c>
      <c r="L8" t="s">
        <v>28</v>
      </c>
      <c r="M8" s="18">
        <f>1/INDEX('feed pars'!C$6:C$46/100,MATCH(F8,'feed pars'!B$6:B$46,0))</f>
        <v>1</v>
      </c>
    </row>
    <row r="9" spans="1:17" x14ac:dyDescent="0.25">
      <c r="F9" t="s">
        <v>29</v>
      </c>
      <c r="I9" t="s">
        <v>29</v>
      </c>
      <c r="L9" t="s">
        <v>28</v>
      </c>
      <c r="M9" s="18">
        <f>1/INDEX('feed pars'!C$6:C$46/100,MATCH(F9,'feed pars'!B$6:B$46,0))</f>
        <v>1</v>
      </c>
    </row>
    <row r="10" spans="1:17" x14ac:dyDescent="0.25">
      <c r="F10" t="s">
        <v>17</v>
      </c>
      <c r="I10" t="s">
        <v>17</v>
      </c>
      <c r="L10" t="s">
        <v>28</v>
      </c>
      <c r="M10" s="18">
        <f>1/INDEX('feed pars'!C$6:C$46/100,MATCH(F10,'feed pars'!B$6:B$46,0))</f>
        <v>1.1627906976744187</v>
      </c>
    </row>
    <row r="11" spans="1:17" x14ac:dyDescent="0.25">
      <c r="F11" t="s">
        <v>33</v>
      </c>
      <c r="I11" t="s">
        <v>33</v>
      </c>
      <c r="L11" t="s">
        <v>28</v>
      </c>
      <c r="M11" s="18">
        <f>1/INDEX('feed pars'!C$6:C$46/100,MATCH(F11,'feed pars'!B$6:B$46,0))</f>
        <v>1.1627906976744187</v>
      </c>
    </row>
    <row r="12" spans="1:17" x14ac:dyDescent="0.25">
      <c r="F12" t="s">
        <v>34</v>
      </c>
      <c r="I12" t="s">
        <v>34</v>
      </c>
      <c r="L12" t="s">
        <v>28</v>
      </c>
      <c r="M12" s="18">
        <f>1/INDEX('feed pars'!C$6:C$46/100,MATCH(F12,'feed pars'!B$6:B$46,0))</f>
        <v>1.1627906976744187</v>
      </c>
    </row>
    <row r="13" spans="1:17" x14ac:dyDescent="0.25">
      <c r="F13" t="s">
        <v>35</v>
      </c>
      <c r="I13" t="s">
        <v>35</v>
      </c>
      <c r="L13" t="s">
        <v>28</v>
      </c>
      <c r="M13" s="18">
        <f>1/INDEX('feed pars'!C$6:C$46/100,MATCH(F13,'feed pars'!B$6:B$46,0))</f>
        <v>1.1627906976744187</v>
      </c>
    </row>
    <row r="14" spans="1:17" x14ac:dyDescent="0.25">
      <c r="F14" t="s">
        <v>306</v>
      </c>
      <c r="I14" t="s">
        <v>306</v>
      </c>
      <c r="L14" t="s">
        <v>28</v>
      </c>
      <c r="M14" s="18">
        <f>1/INDEX('feed pars'!C$6:C$46/100,MATCH(F14,'feed pars'!B$6:B$46,0))</f>
        <v>1.1627906976744187</v>
      </c>
    </row>
    <row r="15" spans="1:17" x14ac:dyDescent="0.25">
      <c r="F15" t="s">
        <v>36</v>
      </c>
      <c r="I15" t="s">
        <v>36</v>
      </c>
      <c r="L15" t="s">
        <v>28</v>
      </c>
      <c r="M15" s="18">
        <f>1/INDEX('feed pars'!C$6:C$46/100,MATCH(F15,'feed pars'!B$6:B$46,0))</f>
        <v>1.1627906976744187</v>
      </c>
    </row>
    <row r="16" spans="1:17" x14ac:dyDescent="0.25">
      <c r="F16" t="s">
        <v>37</v>
      </c>
      <c r="I16" t="s">
        <v>37</v>
      </c>
      <c r="L16" t="s">
        <v>28</v>
      </c>
      <c r="M16" s="18">
        <f>1/INDEX('feed pars'!C$6:C$46/100,MATCH(F16,'feed pars'!B$6:B$46,0))</f>
        <v>1.1764705882352942</v>
      </c>
    </row>
    <row r="17" spans="6:15" x14ac:dyDescent="0.25">
      <c r="F17" t="s">
        <v>38</v>
      </c>
      <c r="I17" t="s">
        <v>38</v>
      </c>
      <c r="L17" t="s">
        <v>28</v>
      </c>
      <c r="M17" s="18">
        <f>1/INDEX('feed pars'!C$6:C$46/100,MATCH(F17,'feed pars'!B$6:B$46,0))</f>
        <v>1.1764705882352942</v>
      </c>
    </row>
    <row r="18" spans="6:15" x14ac:dyDescent="0.25">
      <c r="F18" t="s">
        <v>31</v>
      </c>
      <c r="I18" t="s">
        <v>31</v>
      </c>
      <c r="L18" t="s">
        <v>28</v>
      </c>
      <c r="M18" s="18">
        <f>1/INDEX('feed pars'!C$6:C$46/100,MATCH(F18,'feed pars'!B$6:B$46,0))</f>
        <v>1.0989010989010988</v>
      </c>
    </row>
    <row r="19" spans="6:15" x14ac:dyDescent="0.25">
      <c r="F19" t="s">
        <v>39</v>
      </c>
      <c r="I19" t="s">
        <v>39</v>
      </c>
      <c r="L19" t="s">
        <v>28</v>
      </c>
      <c r="M19" s="18">
        <f>1/INDEX('feed pars'!C$6:C$46/100,MATCH(F19,'feed pars'!B$6:B$46,0))</f>
        <v>1.0989010989010988</v>
      </c>
    </row>
    <row r="20" spans="6:15" x14ac:dyDescent="0.25">
      <c r="F20" s="3" t="s">
        <v>304</v>
      </c>
      <c r="G20" s="3"/>
      <c r="H20" s="3"/>
      <c r="I20" s="3" t="s">
        <v>31</v>
      </c>
      <c r="J20" s="3"/>
      <c r="K20" s="3"/>
      <c r="L20" s="3" t="s">
        <v>28</v>
      </c>
      <c r="M20" s="16">
        <f>1/INDEX('feed pars'!C$6:C$46/100,MATCH(F20,'feed pars'!B$6:B$46,0))*1/0.38</f>
        <v>2.6315789473684212</v>
      </c>
    </row>
    <row r="21" spans="6:15" x14ac:dyDescent="0.25">
      <c r="F21" s="3" t="s">
        <v>304</v>
      </c>
      <c r="G21" s="3"/>
      <c r="H21" s="3"/>
      <c r="I21" s="3" t="s">
        <v>31</v>
      </c>
      <c r="J21" s="3" t="s">
        <v>32</v>
      </c>
      <c r="K21" s="3"/>
      <c r="L21" s="3" t="s">
        <v>305</v>
      </c>
      <c r="M21" s="18"/>
      <c r="O21" s="3" t="s">
        <v>310</v>
      </c>
    </row>
    <row r="22" spans="6:15" x14ac:dyDescent="0.25">
      <c r="F22" t="s">
        <v>296</v>
      </c>
      <c r="J22" t="s">
        <v>296</v>
      </c>
      <c r="L22" t="s">
        <v>28</v>
      </c>
      <c r="M22" s="18">
        <f>1/INDEX('feed pars'!C$6:C$46/100,MATCH(F22,'feed pars'!B$6:B$46,0))</f>
        <v>1.1764705882352942</v>
      </c>
    </row>
    <row r="23" spans="6:15" x14ac:dyDescent="0.25">
      <c r="F23" s="21" t="s">
        <v>307</v>
      </c>
      <c r="G23" s="21"/>
      <c r="H23" s="21"/>
      <c r="I23" s="21" t="s">
        <v>307</v>
      </c>
      <c r="J23" s="21"/>
      <c r="K23" s="21"/>
      <c r="L23" s="21" t="s">
        <v>28</v>
      </c>
      <c r="M23" s="18">
        <f>1/INDEX('feed pars'!C$6:C$46/100,MATCH(F23,'feed pars'!B$6:B$46,0))</f>
        <v>1.1494252873563218</v>
      </c>
      <c r="N23" s="21"/>
      <c r="O23" s="3"/>
    </row>
    <row r="24" spans="6:15" x14ac:dyDescent="0.25">
      <c r="F24" t="s">
        <v>40</v>
      </c>
      <c r="J24" t="s">
        <v>40</v>
      </c>
      <c r="L24" t="s">
        <v>28</v>
      </c>
      <c r="M24" s="18">
        <f>1/INDEX('feed pars'!C$6:C$46/100,MATCH(F24,'feed pars'!B$6:B$46,0))</f>
        <v>1.1428571428571428</v>
      </c>
    </row>
    <row r="25" spans="6:15" x14ac:dyDescent="0.25">
      <c r="F25" s="3" t="s">
        <v>41</v>
      </c>
      <c r="G25" s="3"/>
      <c r="H25" s="3"/>
      <c r="I25" s="3"/>
      <c r="J25" s="3" t="s">
        <v>41</v>
      </c>
      <c r="K25" s="3"/>
      <c r="L25" s="3" t="s">
        <v>28</v>
      </c>
      <c r="M25" s="16">
        <f>1/INDEX('feed pars'!C$6:C$46/100,MATCH(F25,'feed pars'!B$6:B$46,0))</f>
        <v>1.1428571428571428</v>
      </c>
      <c r="N25" s="3"/>
      <c r="O25" s="3" t="s">
        <v>586</v>
      </c>
    </row>
    <row r="26" spans="6:15" x14ac:dyDescent="0.25">
      <c r="F26" t="s">
        <v>32</v>
      </c>
      <c r="J26" t="s">
        <v>32</v>
      </c>
      <c r="L26" t="s">
        <v>28</v>
      </c>
      <c r="M26" s="18">
        <f>1/INDEX('feed pars'!C$6:C$46/100,MATCH(F26,'feed pars'!B$6:B$46,0))</f>
        <v>1.1173184357541899</v>
      </c>
    </row>
    <row r="27" spans="6:15" x14ac:dyDescent="0.25">
      <c r="F27" t="s">
        <v>42</v>
      </c>
      <c r="J27" t="s">
        <v>42</v>
      </c>
      <c r="L27" t="s">
        <v>28</v>
      </c>
      <c r="M27" s="18">
        <f>1/INDEX('feed pars'!C$6:C$46/100,MATCH(F27,'feed pars'!B$6:B$46,0))</f>
        <v>1.0989010989010988</v>
      </c>
    </row>
    <row r="28" spans="6:15" x14ac:dyDescent="0.25">
      <c r="F28" t="s">
        <v>43</v>
      </c>
      <c r="J28" t="s">
        <v>43</v>
      </c>
      <c r="L28" t="s">
        <v>28</v>
      </c>
      <c r="M28" s="18">
        <f>1/INDEX('feed pars'!C$6:C$46/100,MATCH(F28,'feed pars'!B$6:B$46,0))</f>
        <v>1.0989010989010988</v>
      </c>
    </row>
    <row r="29" spans="6:15" x14ac:dyDescent="0.25">
      <c r="F29" s="3" t="s">
        <v>308</v>
      </c>
      <c r="G29" s="3"/>
      <c r="H29" s="3"/>
      <c r="I29" s="3"/>
      <c r="J29" s="3" t="s">
        <v>308</v>
      </c>
      <c r="K29" s="3"/>
      <c r="L29" s="3" t="s">
        <v>28</v>
      </c>
      <c r="M29" s="16">
        <f>1/INDEX('feed pars'!C$6:C$46/100,MATCH(F29,'feed pars'!B$6:B$46,0))</f>
        <v>1.1111111111111112</v>
      </c>
      <c r="N29" s="3"/>
      <c r="O29" s="3"/>
    </row>
    <row r="30" spans="6:15" x14ac:dyDescent="0.25">
      <c r="F30" t="s">
        <v>44</v>
      </c>
      <c r="J30" t="s">
        <v>44</v>
      </c>
      <c r="L30" t="s">
        <v>28</v>
      </c>
      <c r="M30" s="18">
        <f>1/INDEX('feed pars'!C$6:C$46/100,MATCH(F30,'feed pars'!B$6:B$46,0))</f>
        <v>1.1494252873563218</v>
      </c>
    </row>
    <row r="31" spans="6:15" x14ac:dyDescent="0.25">
      <c r="F31" t="s">
        <v>45</v>
      </c>
      <c r="J31" t="s">
        <v>44</v>
      </c>
      <c r="L31" t="s">
        <v>28</v>
      </c>
      <c r="M31" s="18">
        <f>1/INDEX('feed pars'!C$6:C$46/100,MATCH(F31,'feed pars'!B$6:B$46,0))</f>
        <v>1.1389521640091116</v>
      </c>
    </row>
    <row r="32" spans="6:15" x14ac:dyDescent="0.25">
      <c r="F32" t="s">
        <v>587</v>
      </c>
      <c r="J32" t="s">
        <v>587</v>
      </c>
      <c r="L32" t="s">
        <v>28</v>
      </c>
      <c r="M32" s="18">
        <f>1/INDEX('feed pars'!C$6:C$46/100,MATCH(F32,'feed pars'!B$6:B$46,0))</f>
        <v>1.1415525114155252</v>
      </c>
    </row>
    <row r="33" spans="1:16" x14ac:dyDescent="0.25">
      <c r="F33" t="s">
        <v>588</v>
      </c>
      <c r="J33" t="s">
        <v>588</v>
      </c>
      <c r="L33" t="s">
        <v>28</v>
      </c>
      <c r="M33" s="18">
        <f>1/INDEX('feed pars'!C$6:C$46/100,MATCH(F33,'feed pars'!B$6:B$46,0))</f>
        <v>1.1415525114155252</v>
      </c>
    </row>
    <row r="34" spans="1:16" x14ac:dyDescent="0.25">
      <c r="F34" t="s">
        <v>631</v>
      </c>
      <c r="J34" t="s">
        <v>631</v>
      </c>
      <c r="L34" t="s">
        <v>28</v>
      </c>
      <c r="M34" s="18">
        <f>1/INDEX('feed pars'!C$6:C$46/100,MATCH(F34,'feed pars'!B$6:B$46,0))</f>
        <v>1.1415525114155252</v>
      </c>
    </row>
    <row r="35" spans="1:16" x14ac:dyDescent="0.25">
      <c r="F35" t="s">
        <v>46</v>
      </c>
      <c r="J35" t="s">
        <v>293</v>
      </c>
      <c r="L35" t="s">
        <v>28</v>
      </c>
      <c r="M35" s="18">
        <f>1/INDEX('feed pars'!C$6:C$46/100,MATCH(F35,'feed pars'!B$6:B$46,0))</f>
        <v>1.1111111111111112</v>
      </c>
    </row>
    <row r="36" spans="1:16" x14ac:dyDescent="0.25">
      <c r="F36" t="s">
        <v>47</v>
      </c>
      <c r="J36" t="s">
        <v>293</v>
      </c>
      <c r="L36" t="s">
        <v>28</v>
      </c>
      <c r="M36" s="18">
        <f>M35</f>
        <v>1.1111111111111112</v>
      </c>
    </row>
    <row r="37" spans="1:16" x14ac:dyDescent="0.25">
      <c r="F37" t="s">
        <v>303</v>
      </c>
      <c r="J37" t="s">
        <v>303</v>
      </c>
      <c r="L37" t="s">
        <v>28</v>
      </c>
      <c r="M37" s="16">
        <f>1/0.25</f>
        <v>4</v>
      </c>
    </row>
    <row r="38" spans="1:16" x14ac:dyDescent="0.25">
      <c r="F38" t="s">
        <v>48</v>
      </c>
      <c r="J38" t="s">
        <v>48</v>
      </c>
      <c r="L38" t="s">
        <v>28</v>
      </c>
      <c r="M38" s="18">
        <f>1/INDEX('feed pars'!C$6:C$46/100,MATCH(F38,'feed pars'!B$6:B$46,0))</f>
        <v>1.3245033112582782</v>
      </c>
    </row>
    <row r="39" spans="1:16" x14ac:dyDescent="0.25">
      <c r="F39" t="s">
        <v>49</v>
      </c>
      <c r="J39" t="s">
        <v>49</v>
      </c>
      <c r="L39" t="s">
        <v>28</v>
      </c>
      <c r="M39" s="18">
        <f>1/INDEX('feed pars'!C$6:C$46/100,MATCH(F39,'feed pars'!B$6:B$46,0))</f>
        <v>1.1173184357541899</v>
      </c>
    </row>
    <row r="40" spans="1:16" x14ac:dyDescent="0.25">
      <c r="F40" t="s">
        <v>50</v>
      </c>
      <c r="J40" t="s">
        <v>50</v>
      </c>
      <c r="L40" t="s">
        <v>28</v>
      </c>
      <c r="M40" s="18">
        <f>1/INDEX('feed pars'!C$6:C$46/100,MATCH(F40,'feed pars'!B$6:B$46,0))</f>
        <v>16</v>
      </c>
    </row>
    <row r="41" spans="1:16" x14ac:dyDescent="0.25">
      <c r="F41" t="s">
        <v>51</v>
      </c>
      <c r="J41" t="s">
        <v>50</v>
      </c>
      <c r="L41" t="s">
        <v>28</v>
      </c>
      <c r="M41" s="16">
        <f>M40</f>
        <v>16</v>
      </c>
    </row>
    <row r="42" spans="1:16" x14ac:dyDescent="0.25">
      <c r="F42" t="s">
        <v>52</v>
      </c>
      <c r="J42" t="s">
        <v>52</v>
      </c>
      <c r="L42" t="s">
        <v>28</v>
      </c>
      <c r="M42" s="18">
        <f>1/INDEX('feed pars'!C$6:C$46/100,MATCH(F42,'feed pars'!B$6:B$46,0))</f>
        <v>1.0989010989010988</v>
      </c>
    </row>
    <row r="43" spans="1:16" x14ac:dyDescent="0.25">
      <c r="F43" t="s">
        <v>600</v>
      </c>
      <c r="J43" t="s">
        <v>600</v>
      </c>
      <c r="L43" t="s">
        <v>28</v>
      </c>
      <c r="M43" s="18">
        <f>1/INDEX('feed pars'!C$6:C$46/100,MATCH(F43,'feed pars'!B$6:B$46,0))</f>
        <v>4.3478260869565215</v>
      </c>
    </row>
    <row r="44" spans="1:16" x14ac:dyDescent="0.25">
      <c r="F44" t="s">
        <v>53</v>
      </c>
      <c r="J44" t="s">
        <v>53</v>
      </c>
      <c r="L44" t="s">
        <v>28</v>
      </c>
      <c r="M44" s="18">
        <f>1/INDEX('feed pars'!C$6:C$46/100,MATCH(F44,'feed pars'!B$6:B$46,0))</f>
        <v>1.0863661053775122</v>
      </c>
    </row>
    <row r="45" spans="1:16" x14ac:dyDescent="0.25">
      <c r="A45" s="1" t="s">
        <v>25</v>
      </c>
      <c r="B45" s="1"/>
      <c r="C45" s="1"/>
      <c r="D45" s="1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</row>
    <row r="46" spans="1:16" x14ac:dyDescent="0.25">
      <c r="L46" s="6" t="s">
        <v>23</v>
      </c>
      <c r="M46" s="6">
        <v>0</v>
      </c>
      <c r="N46" s="6"/>
      <c r="O46" s="6" t="s">
        <v>30</v>
      </c>
    </row>
    <row r="47" spans="1:16" x14ac:dyDescent="0.25">
      <c r="I47" t="s">
        <v>10</v>
      </c>
      <c r="L47" t="s">
        <v>23</v>
      </c>
      <c r="M47" s="3">
        <v>95</v>
      </c>
      <c r="N47" t="s">
        <v>24</v>
      </c>
    </row>
    <row r="48" spans="1:16" x14ac:dyDescent="0.25">
      <c r="I48" t="s">
        <v>11</v>
      </c>
      <c r="L48" t="s">
        <v>23</v>
      </c>
      <c r="M48" s="3">
        <v>95</v>
      </c>
      <c r="N48" t="s">
        <v>24</v>
      </c>
    </row>
    <row r="49" spans="1:16" x14ac:dyDescent="0.25">
      <c r="I49" t="s">
        <v>29</v>
      </c>
      <c r="L49" t="s">
        <v>23</v>
      </c>
      <c r="M49" s="3">
        <v>95</v>
      </c>
      <c r="N49" t="s">
        <v>24</v>
      </c>
    </row>
    <row r="50" spans="1:16" x14ac:dyDescent="0.25">
      <c r="A50" t="s">
        <v>21</v>
      </c>
      <c r="I50" t="s">
        <v>33</v>
      </c>
      <c r="L50" t="s">
        <v>23</v>
      </c>
      <c r="M50" s="3">
        <v>50</v>
      </c>
      <c r="N50" t="s">
        <v>24</v>
      </c>
      <c r="O50" s="3"/>
    </row>
    <row r="51" spans="1:16" x14ac:dyDescent="0.25">
      <c r="A51" t="s">
        <v>375</v>
      </c>
      <c r="I51" t="s">
        <v>33</v>
      </c>
      <c r="L51" t="s">
        <v>23</v>
      </c>
      <c r="M51" s="3">
        <v>50</v>
      </c>
      <c r="N51" t="s">
        <v>24</v>
      </c>
      <c r="O51" s="3"/>
    </row>
    <row r="52" spans="1:16" x14ac:dyDescent="0.25">
      <c r="A52" t="s">
        <v>21</v>
      </c>
      <c r="I52" t="s">
        <v>17</v>
      </c>
      <c r="L52" t="s">
        <v>23</v>
      </c>
      <c r="M52" s="3">
        <v>50</v>
      </c>
      <c r="N52" t="s">
        <v>24</v>
      </c>
      <c r="O52" s="3"/>
    </row>
    <row r="53" spans="1:16" x14ac:dyDescent="0.25">
      <c r="A53" t="s">
        <v>375</v>
      </c>
      <c r="I53" t="s">
        <v>17</v>
      </c>
      <c r="L53" t="s">
        <v>23</v>
      </c>
      <c r="M53" s="3">
        <v>50</v>
      </c>
      <c r="N53" t="s">
        <v>24</v>
      </c>
      <c r="O53" s="3"/>
    </row>
    <row r="54" spans="1:16" x14ac:dyDescent="0.25">
      <c r="A54" t="s">
        <v>21</v>
      </c>
      <c r="I54" t="s">
        <v>34</v>
      </c>
      <c r="L54" t="s">
        <v>23</v>
      </c>
      <c r="M54" s="3">
        <v>50</v>
      </c>
      <c r="N54" t="s">
        <v>24</v>
      </c>
      <c r="O54" s="3"/>
    </row>
    <row r="55" spans="1:16" x14ac:dyDescent="0.25">
      <c r="A55" t="s">
        <v>375</v>
      </c>
      <c r="I55" t="s">
        <v>34</v>
      </c>
      <c r="L55" t="s">
        <v>23</v>
      </c>
      <c r="M55" s="3">
        <v>50</v>
      </c>
      <c r="N55" t="s">
        <v>24</v>
      </c>
      <c r="O55" s="3"/>
    </row>
    <row r="56" spans="1:16" x14ac:dyDescent="0.25">
      <c r="A56" s="1" t="s">
        <v>26</v>
      </c>
      <c r="B56" s="1"/>
      <c r="C56" s="1"/>
      <c r="D56" s="1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</row>
    <row r="57" spans="1:16" x14ac:dyDescent="0.25">
      <c r="L57" s="6" t="s">
        <v>27</v>
      </c>
      <c r="M57" s="6">
        <v>0</v>
      </c>
      <c r="N57" s="6"/>
      <c r="O57" s="6" t="s">
        <v>30</v>
      </c>
    </row>
    <row r="58" spans="1:16" x14ac:dyDescent="0.25">
      <c r="I58" t="s">
        <v>307</v>
      </c>
      <c r="L58" t="s">
        <v>27</v>
      </c>
      <c r="M58" s="21">
        <v>100</v>
      </c>
      <c r="N58" s="21" t="s">
        <v>24</v>
      </c>
      <c r="O58" s="6"/>
    </row>
    <row r="59" spans="1:16" x14ac:dyDescent="0.25">
      <c r="J59" t="s">
        <v>40</v>
      </c>
      <c r="L59" t="s">
        <v>27</v>
      </c>
      <c r="M59" s="21">
        <v>100</v>
      </c>
      <c r="N59" s="21" t="s">
        <v>24</v>
      </c>
      <c r="O59" s="6"/>
    </row>
    <row r="60" spans="1:16" x14ac:dyDescent="0.25">
      <c r="J60" t="s">
        <v>32</v>
      </c>
      <c r="L60" t="s">
        <v>27</v>
      </c>
      <c r="M60" s="21">
        <v>61</v>
      </c>
      <c r="N60" t="s">
        <v>24</v>
      </c>
    </row>
    <row r="61" spans="1:16" x14ac:dyDescent="0.25">
      <c r="I61" t="s">
        <v>39</v>
      </c>
      <c r="L61" t="s">
        <v>27</v>
      </c>
      <c r="M61" s="3">
        <v>100</v>
      </c>
      <c r="N61" t="s">
        <v>24</v>
      </c>
      <c r="O61" s="3" t="s">
        <v>295</v>
      </c>
    </row>
    <row r="62" spans="1:16" x14ac:dyDescent="0.25">
      <c r="I62" t="s">
        <v>36</v>
      </c>
      <c r="L62" t="s">
        <v>27</v>
      </c>
      <c r="M62" s="3">
        <v>50</v>
      </c>
      <c r="N62" t="s">
        <v>24</v>
      </c>
      <c r="O62" s="3" t="s">
        <v>377</v>
      </c>
    </row>
    <row r="63" spans="1:16" x14ac:dyDescent="0.25">
      <c r="A63" s="1" t="s">
        <v>322</v>
      </c>
      <c r="B63" s="1"/>
      <c r="C63" s="1"/>
      <c r="D63" s="1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</row>
    <row r="64" spans="1:16" x14ac:dyDescent="0.25">
      <c r="A64" t="s">
        <v>20</v>
      </c>
      <c r="H64" t="s">
        <v>320</v>
      </c>
      <c r="I64" t="s">
        <v>29</v>
      </c>
      <c r="L64" t="s">
        <v>321</v>
      </c>
      <c r="M64" s="3">
        <v>90</v>
      </c>
      <c r="N64" t="s">
        <v>24</v>
      </c>
      <c r="O64" s="3"/>
    </row>
    <row r="65" spans="1:15" x14ac:dyDescent="0.25">
      <c r="A65" t="s">
        <v>20</v>
      </c>
      <c r="B65" t="s">
        <v>315</v>
      </c>
      <c r="E65" t="s">
        <v>316</v>
      </c>
      <c r="H65" t="s">
        <v>320</v>
      </c>
      <c r="I65" t="s">
        <v>29</v>
      </c>
      <c r="L65" t="s">
        <v>321</v>
      </c>
      <c r="M65" s="3">
        <v>5</v>
      </c>
      <c r="N65" t="s">
        <v>24</v>
      </c>
      <c r="O65" s="3"/>
    </row>
    <row r="66" spans="1:15" x14ac:dyDescent="0.25">
      <c r="A66" t="s">
        <v>20</v>
      </c>
      <c r="B66" t="s">
        <v>315</v>
      </c>
      <c r="E66" t="s">
        <v>317</v>
      </c>
      <c r="H66" t="s">
        <v>320</v>
      </c>
      <c r="I66" t="s">
        <v>29</v>
      </c>
      <c r="L66" t="s">
        <v>321</v>
      </c>
      <c r="M66" s="3">
        <v>5</v>
      </c>
      <c r="N66" t="s">
        <v>24</v>
      </c>
      <c r="O66" s="3"/>
    </row>
    <row r="67" spans="1:15" x14ac:dyDescent="0.25">
      <c r="A67" t="s">
        <v>20</v>
      </c>
      <c r="E67" t="s">
        <v>318</v>
      </c>
      <c r="H67" t="s">
        <v>320</v>
      </c>
      <c r="I67" t="s">
        <v>29</v>
      </c>
      <c r="L67" t="s">
        <v>321</v>
      </c>
      <c r="M67" s="3">
        <v>0</v>
      </c>
      <c r="N67" t="s">
        <v>24</v>
      </c>
      <c r="O67" s="3"/>
    </row>
    <row r="68" spans="1:15" x14ac:dyDescent="0.25">
      <c r="A68" t="s">
        <v>20</v>
      </c>
      <c r="B68" t="s">
        <v>315</v>
      </c>
      <c r="E68" t="s">
        <v>319</v>
      </c>
      <c r="H68" t="s">
        <v>320</v>
      </c>
      <c r="I68" t="s">
        <v>29</v>
      </c>
      <c r="L68" t="s">
        <v>321</v>
      </c>
      <c r="M68" s="3">
        <v>0</v>
      </c>
      <c r="N68" t="s">
        <v>24</v>
      </c>
      <c r="O68" s="3"/>
    </row>
    <row r="69" spans="1:15" x14ac:dyDescent="0.25">
      <c r="M69" s="3"/>
      <c r="O69" s="3"/>
    </row>
    <row r="70" spans="1:15" x14ac:dyDescent="0.25">
      <c r="A70" t="s">
        <v>20</v>
      </c>
      <c r="H70" t="s">
        <v>320</v>
      </c>
      <c r="I70" t="s">
        <v>29</v>
      </c>
      <c r="K70">
        <v>811</v>
      </c>
      <c r="L70" t="s">
        <v>321</v>
      </c>
      <c r="M70" s="3">
        <v>100</v>
      </c>
      <c r="N70" t="s">
        <v>24</v>
      </c>
      <c r="O70" s="3"/>
    </row>
    <row r="71" spans="1:15" x14ac:dyDescent="0.25">
      <c r="A71" t="s">
        <v>20</v>
      </c>
      <c r="B71" t="s">
        <v>315</v>
      </c>
      <c r="E71" t="s">
        <v>316</v>
      </c>
      <c r="H71" t="s">
        <v>320</v>
      </c>
      <c r="I71" t="s">
        <v>29</v>
      </c>
      <c r="K71">
        <v>811</v>
      </c>
      <c r="L71" t="s">
        <v>321</v>
      </c>
      <c r="M71" s="3">
        <v>50</v>
      </c>
      <c r="N71" t="s">
        <v>24</v>
      </c>
      <c r="O71" s="3"/>
    </row>
    <row r="72" spans="1:15" x14ac:dyDescent="0.25">
      <c r="A72" t="s">
        <v>20</v>
      </c>
      <c r="B72" t="s">
        <v>315</v>
      </c>
      <c r="E72" t="s">
        <v>317</v>
      </c>
      <c r="H72" t="s">
        <v>320</v>
      </c>
      <c r="I72" t="s">
        <v>29</v>
      </c>
      <c r="K72">
        <v>811</v>
      </c>
      <c r="L72" t="s">
        <v>321</v>
      </c>
      <c r="M72" s="3">
        <v>50</v>
      </c>
      <c r="N72" t="s">
        <v>24</v>
      </c>
      <c r="O72" s="3"/>
    </row>
    <row r="73" spans="1:15" x14ac:dyDescent="0.25">
      <c r="A73" t="s">
        <v>20</v>
      </c>
      <c r="E73" t="s">
        <v>318</v>
      </c>
      <c r="H73" t="s">
        <v>320</v>
      </c>
      <c r="I73" t="s">
        <v>29</v>
      </c>
      <c r="K73">
        <v>811</v>
      </c>
      <c r="L73" t="s">
        <v>321</v>
      </c>
      <c r="M73" s="3">
        <v>0</v>
      </c>
      <c r="N73" t="s">
        <v>24</v>
      </c>
      <c r="O73" s="3"/>
    </row>
    <row r="74" spans="1:15" x14ac:dyDescent="0.25">
      <c r="A74" t="s">
        <v>20</v>
      </c>
      <c r="B74" t="s">
        <v>315</v>
      </c>
      <c r="E74" t="s">
        <v>319</v>
      </c>
      <c r="H74" t="s">
        <v>320</v>
      </c>
      <c r="I74" t="s">
        <v>29</v>
      </c>
      <c r="K74">
        <v>811</v>
      </c>
      <c r="L74" t="s">
        <v>321</v>
      </c>
      <c r="M74" s="3">
        <v>0</v>
      </c>
      <c r="N74" t="s">
        <v>24</v>
      </c>
      <c r="O74" s="3"/>
    </row>
    <row r="75" spans="1:15" x14ac:dyDescent="0.25">
      <c r="A75" t="s">
        <v>20</v>
      </c>
      <c r="H75" t="s">
        <v>320</v>
      </c>
      <c r="I75" t="s">
        <v>29</v>
      </c>
      <c r="K75">
        <v>812</v>
      </c>
      <c r="L75" t="s">
        <v>321</v>
      </c>
      <c r="M75" s="3">
        <v>100</v>
      </c>
      <c r="N75" t="s">
        <v>24</v>
      </c>
      <c r="O75" s="3"/>
    </row>
    <row r="76" spans="1:15" x14ac:dyDescent="0.25">
      <c r="A76" t="s">
        <v>20</v>
      </c>
      <c r="B76" t="s">
        <v>315</v>
      </c>
      <c r="E76" t="s">
        <v>316</v>
      </c>
      <c r="H76" t="s">
        <v>320</v>
      </c>
      <c r="I76" t="s">
        <v>29</v>
      </c>
      <c r="K76">
        <v>812</v>
      </c>
      <c r="L76" t="s">
        <v>321</v>
      </c>
      <c r="M76" s="3">
        <v>50</v>
      </c>
      <c r="N76" t="s">
        <v>24</v>
      </c>
      <c r="O76" s="3"/>
    </row>
    <row r="77" spans="1:15" x14ac:dyDescent="0.25">
      <c r="A77" t="s">
        <v>20</v>
      </c>
      <c r="B77" t="s">
        <v>315</v>
      </c>
      <c r="E77" t="s">
        <v>317</v>
      </c>
      <c r="H77" t="s">
        <v>320</v>
      </c>
      <c r="I77" t="s">
        <v>29</v>
      </c>
      <c r="K77">
        <v>812</v>
      </c>
      <c r="L77" t="s">
        <v>321</v>
      </c>
      <c r="M77" s="3">
        <v>50</v>
      </c>
      <c r="N77" t="s">
        <v>24</v>
      </c>
      <c r="O77" s="3"/>
    </row>
    <row r="78" spans="1:15" x14ac:dyDescent="0.25">
      <c r="A78" t="s">
        <v>20</v>
      </c>
      <c r="E78" t="s">
        <v>318</v>
      </c>
      <c r="H78" t="s">
        <v>320</v>
      </c>
      <c r="I78" t="s">
        <v>29</v>
      </c>
      <c r="K78">
        <v>812</v>
      </c>
      <c r="L78" t="s">
        <v>321</v>
      </c>
      <c r="M78" s="3">
        <v>0</v>
      </c>
      <c r="N78" t="s">
        <v>24</v>
      </c>
      <c r="O78" s="3"/>
    </row>
    <row r="79" spans="1:15" x14ac:dyDescent="0.25">
      <c r="A79" t="s">
        <v>20</v>
      </c>
      <c r="B79" t="s">
        <v>315</v>
      </c>
      <c r="E79" t="s">
        <v>319</v>
      </c>
      <c r="H79" t="s">
        <v>320</v>
      </c>
      <c r="I79" t="s">
        <v>29</v>
      </c>
      <c r="K79">
        <v>812</v>
      </c>
      <c r="L79" t="s">
        <v>321</v>
      </c>
      <c r="M79" s="3">
        <v>0</v>
      </c>
      <c r="N79" t="s">
        <v>24</v>
      </c>
      <c r="O79" s="3"/>
    </row>
    <row r="80" spans="1:15" x14ac:dyDescent="0.25">
      <c r="M80" s="3"/>
      <c r="O80" s="3"/>
    </row>
    <row r="81" spans="1:16" x14ac:dyDescent="0.25">
      <c r="A81" t="s">
        <v>378</v>
      </c>
      <c r="H81" t="s">
        <v>320</v>
      </c>
      <c r="I81" t="s">
        <v>29</v>
      </c>
      <c r="L81" t="s">
        <v>321</v>
      </c>
      <c r="M81" s="3">
        <v>10</v>
      </c>
      <c r="N81" t="s">
        <v>24</v>
      </c>
      <c r="O81" s="3"/>
    </row>
    <row r="82" spans="1:16" x14ac:dyDescent="0.25">
      <c r="M82" s="3"/>
      <c r="O82" s="3"/>
    </row>
    <row r="83" spans="1:16" x14ac:dyDescent="0.25">
      <c r="A83" s="1" t="s">
        <v>381</v>
      </c>
      <c r="B83" s="1"/>
      <c r="C83" s="1"/>
      <c r="D83" s="1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</row>
    <row r="84" spans="1:16" x14ac:dyDescent="0.25">
      <c r="L84" s="6" t="s">
        <v>379</v>
      </c>
      <c r="M84" s="6">
        <v>0</v>
      </c>
      <c r="N84" s="6" t="s">
        <v>24</v>
      </c>
      <c r="O84" s="6" t="s">
        <v>30</v>
      </c>
    </row>
    <row r="85" spans="1:16" x14ac:dyDescent="0.25">
      <c r="L85" s="6" t="s">
        <v>380</v>
      </c>
      <c r="M85" s="6">
        <v>0</v>
      </c>
      <c r="N85" s="6" t="s">
        <v>24</v>
      </c>
      <c r="O85" s="6" t="s">
        <v>30</v>
      </c>
    </row>
    <row r="86" spans="1:16" x14ac:dyDescent="0.25">
      <c r="A86" t="s">
        <v>20</v>
      </c>
      <c r="B86" t="s">
        <v>315</v>
      </c>
      <c r="E86" t="s">
        <v>316</v>
      </c>
      <c r="G86" t="s">
        <v>633</v>
      </c>
      <c r="L86" s="21" t="s">
        <v>379</v>
      </c>
      <c r="M86" s="21">
        <f>(0.8*20+0.2*2)</f>
        <v>16.399999999999999</v>
      </c>
      <c r="N86" s="21" t="s">
        <v>24</v>
      </c>
      <c r="O86" s="21" t="s">
        <v>383</v>
      </c>
      <c r="P86" t="s">
        <v>640</v>
      </c>
    </row>
    <row r="87" spans="1:16" x14ac:dyDescent="0.25">
      <c r="A87" t="s">
        <v>20</v>
      </c>
      <c r="G87" t="s">
        <v>633</v>
      </c>
      <c r="L87" s="21" t="s">
        <v>379</v>
      </c>
      <c r="M87" s="21">
        <f>(0.6*20+0.4*2)</f>
        <v>12.8</v>
      </c>
      <c r="N87" s="21" t="s">
        <v>24</v>
      </c>
      <c r="O87" s="21" t="s">
        <v>384</v>
      </c>
      <c r="P87" t="s">
        <v>640</v>
      </c>
    </row>
    <row r="88" spans="1:16" x14ac:dyDescent="0.25">
      <c r="A88" t="s">
        <v>382</v>
      </c>
      <c r="G88" t="s">
        <v>633</v>
      </c>
      <c r="L88" s="21" t="s">
        <v>379</v>
      </c>
      <c r="M88" s="21">
        <v>2</v>
      </c>
      <c r="N88" s="21" t="s">
        <v>24</v>
      </c>
      <c r="O88" s="21" t="s">
        <v>385</v>
      </c>
      <c r="P88" t="s">
        <v>640</v>
      </c>
    </row>
    <row r="89" spans="1:16" x14ac:dyDescent="0.25">
      <c r="A89" t="s">
        <v>378</v>
      </c>
      <c r="G89" t="s">
        <v>633</v>
      </c>
      <c r="L89" s="21" t="s">
        <v>379</v>
      </c>
      <c r="M89" s="21">
        <v>2</v>
      </c>
      <c r="N89" s="21" t="s">
        <v>24</v>
      </c>
      <c r="O89" s="21" t="s">
        <v>385</v>
      </c>
      <c r="P89" t="s">
        <v>640</v>
      </c>
    </row>
    <row r="90" spans="1:16" x14ac:dyDescent="0.25">
      <c r="A90" t="s">
        <v>20</v>
      </c>
      <c r="B90" t="s">
        <v>315</v>
      </c>
      <c r="E90" t="s">
        <v>316</v>
      </c>
      <c r="G90" t="s">
        <v>633</v>
      </c>
      <c r="L90" s="21" t="s">
        <v>380</v>
      </c>
      <c r="M90" s="21">
        <v>5</v>
      </c>
      <c r="N90" s="21" t="s">
        <v>24</v>
      </c>
      <c r="O90" s="21" t="s">
        <v>386</v>
      </c>
      <c r="P90" t="s">
        <v>640</v>
      </c>
    </row>
    <row r="91" spans="1:16" x14ac:dyDescent="0.25">
      <c r="A91" t="s">
        <v>20</v>
      </c>
      <c r="E91" t="s">
        <v>318</v>
      </c>
      <c r="G91" t="s">
        <v>633</v>
      </c>
      <c r="L91" s="21" t="s">
        <v>380</v>
      </c>
      <c r="M91" s="21">
        <v>5</v>
      </c>
      <c r="N91" s="21" t="s">
        <v>24</v>
      </c>
      <c r="O91" s="21" t="s">
        <v>386</v>
      </c>
      <c r="P91" t="s">
        <v>640</v>
      </c>
    </row>
    <row r="92" spans="1:16" x14ac:dyDescent="0.25">
      <c r="A92" t="s">
        <v>20</v>
      </c>
      <c r="G92" t="s">
        <v>633</v>
      </c>
      <c r="L92" s="21" t="s">
        <v>380</v>
      </c>
      <c r="M92" s="21">
        <f>0.9*5+0.1*15</f>
        <v>6</v>
      </c>
      <c r="N92" s="21" t="s">
        <v>24</v>
      </c>
      <c r="O92" s="21" t="s">
        <v>387</v>
      </c>
      <c r="P92" t="s">
        <v>640</v>
      </c>
    </row>
    <row r="93" spans="1:16" x14ac:dyDescent="0.25">
      <c r="A93" t="s">
        <v>382</v>
      </c>
      <c r="G93" t="s">
        <v>633</v>
      </c>
      <c r="L93" s="21" t="s">
        <v>380</v>
      </c>
      <c r="M93" s="21">
        <v>15</v>
      </c>
      <c r="N93" s="21" t="s">
        <v>24</v>
      </c>
      <c r="O93" s="21"/>
      <c r="P93" t="s">
        <v>640</v>
      </c>
    </row>
    <row r="94" spans="1:16" x14ac:dyDescent="0.25">
      <c r="A94" t="s">
        <v>378</v>
      </c>
      <c r="G94" t="s">
        <v>633</v>
      </c>
      <c r="L94" s="21" t="s">
        <v>380</v>
      </c>
      <c r="M94" s="21">
        <v>15</v>
      </c>
      <c r="N94" s="21" t="s">
        <v>24</v>
      </c>
      <c r="O94" s="21"/>
      <c r="P94" t="s">
        <v>640</v>
      </c>
    </row>
    <row r="95" spans="1:16" x14ac:dyDescent="0.25">
      <c r="A95" s="22"/>
      <c r="B95" s="22"/>
      <c r="E95" s="22"/>
      <c r="G95" t="s">
        <v>302</v>
      </c>
      <c r="L95" s="21" t="s">
        <v>379</v>
      </c>
      <c r="M95" s="21">
        <v>5</v>
      </c>
      <c r="N95" s="21" t="s">
        <v>24</v>
      </c>
      <c r="O95" s="21"/>
      <c r="P95" t="s">
        <v>640</v>
      </c>
    </row>
    <row r="96" spans="1:16" x14ac:dyDescent="0.25">
      <c r="A96" s="22" t="str">
        <f>A90</f>
        <v>cattle</v>
      </c>
      <c r="B96" s="22" t="str">
        <f>B90</f>
        <v>dairy</v>
      </c>
      <c r="E96" s="22" t="str">
        <f t="shared" ref="E96:E97" si="0">E90</f>
        <v>cows</v>
      </c>
      <c r="G96" t="s">
        <v>302</v>
      </c>
      <c r="L96" s="22" t="str">
        <f t="shared" ref="L96:P100" si="1">L90</f>
        <v>feeding_losses</v>
      </c>
      <c r="M96" s="22">
        <f t="shared" si="1"/>
        <v>5</v>
      </c>
      <c r="N96" s="22" t="str">
        <f t="shared" si="1"/>
        <v>%</v>
      </c>
      <c r="O96" s="22" t="str">
        <f t="shared" si="1"/>
        <v>No feeding on pasture</v>
      </c>
      <c r="P96" s="22" t="str">
        <f t="shared" si="1"/>
        <v>Cederberg &amp; Henriksson (2020)</v>
      </c>
    </row>
    <row r="97" spans="1:16" x14ac:dyDescent="0.25">
      <c r="A97" s="22" t="str">
        <f t="shared" ref="A97:A100" si="2">A91</f>
        <v>cattle</v>
      </c>
      <c r="E97" s="22" t="str">
        <f t="shared" si="0"/>
        <v>bulls</v>
      </c>
      <c r="G97" t="s">
        <v>302</v>
      </c>
      <c r="L97" s="22" t="str">
        <f t="shared" si="1"/>
        <v>feeding_losses</v>
      </c>
      <c r="M97" s="22">
        <f t="shared" si="1"/>
        <v>5</v>
      </c>
      <c r="N97" s="22" t="str">
        <f t="shared" si="1"/>
        <v>%</v>
      </c>
      <c r="O97" s="22" t="str">
        <f t="shared" si="1"/>
        <v>No feeding on pasture</v>
      </c>
      <c r="P97" s="22" t="str">
        <f t="shared" si="1"/>
        <v>Cederberg &amp; Henriksson (2020)</v>
      </c>
    </row>
    <row r="98" spans="1:16" x14ac:dyDescent="0.25">
      <c r="A98" s="22" t="str">
        <f t="shared" si="2"/>
        <v>cattle</v>
      </c>
      <c r="G98" t="s">
        <v>302</v>
      </c>
      <c r="L98" s="22" t="str">
        <f t="shared" si="1"/>
        <v>feeding_losses</v>
      </c>
      <c r="M98" s="22">
        <f t="shared" si="1"/>
        <v>6</v>
      </c>
      <c r="N98" s="22" t="str">
        <f t="shared" si="1"/>
        <v>%</v>
      </c>
      <c r="O98" s="22" t="str">
        <f t="shared" si="1"/>
        <v>10% feeding on pasture</v>
      </c>
      <c r="P98" s="22" t="str">
        <f t="shared" si="1"/>
        <v>Cederberg &amp; Henriksson (2020)</v>
      </c>
    </row>
    <row r="99" spans="1:16" x14ac:dyDescent="0.25">
      <c r="A99" s="22" t="str">
        <f t="shared" si="2"/>
        <v>sheep</v>
      </c>
      <c r="G99" t="s">
        <v>302</v>
      </c>
      <c r="L99" s="22" t="str">
        <f t="shared" si="1"/>
        <v>feeding_losses</v>
      </c>
      <c r="M99" s="22">
        <f t="shared" si="1"/>
        <v>15</v>
      </c>
      <c r="N99" s="22" t="str">
        <f t="shared" si="1"/>
        <v>%</v>
      </c>
      <c r="O99" s="22"/>
      <c r="P99" s="22" t="str">
        <f t="shared" si="1"/>
        <v>Cederberg &amp; Henriksson (2020)</v>
      </c>
    </row>
    <row r="100" spans="1:16" x14ac:dyDescent="0.25">
      <c r="A100" s="22" t="str">
        <f t="shared" si="2"/>
        <v>horses</v>
      </c>
      <c r="G100" t="s">
        <v>302</v>
      </c>
      <c r="L100" s="22" t="str">
        <f t="shared" si="1"/>
        <v>feeding_losses</v>
      </c>
      <c r="M100" s="22">
        <f t="shared" si="1"/>
        <v>15</v>
      </c>
      <c r="N100" s="22" t="str">
        <f t="shared" si="1"/>
        <v>%</v>
      </c>
      <c r="O100" s="22"/>
      <c r="P100" s="22" t="str">
        <f t="shared" si="1"/>
        <v>Cederberg &amp; Henriksson (2020)</v>
      </c>
    </row>
    <row r="101" spans="1:16" x14ac:dyDescent="0.25">
      <c r="G101" t="s">
        <v>634</v>
      </c>
      <c r="L101" s="21" t="s">
        <v>379</v>
      </c>
      <c r="M101" s="21">
        <v>5</v>
      </c>
      <c r="N101" s="21" t="s">
        <v>24</v>
      </c>
      <c r="O101" s="21"/>
      <c r="P101" t="s">
        <v>640</v>
      </c>
    </row>
    <row r="102" spans="1:16" x14ac:dyDescent="0.25">
      <c r="A102" s="22" t="str">
        <f>A90</f>
        <v>cattle</v>
      </c>
      <c r="B102" s="22" t="str">
        <f>B90</f>
        <v>dairy</v>
      </c>
      <c r="E102" s="22" t="str">
        <f t="shared" ref="E102:E103" si="3">E90</f>
        <v>cows</v>
      </c>
      <c r="G102" t="s">
        <v>634</v>
      </c>
      <c r="L102" s="22" t="str">
        <f t="shared" ref="L102:P106" si="4">L90</f>
        <v>feeding_losses</v>
      </c>
      <c r="M102" s="22">
        <f t="shared" si="4"/>
        <v>5</v>
      </c>
      <c r="N102" s="22" t="str">
        <f t="shared" si="4"/>
        <v>%</v>
      </c>
      <c r="O102" s="22" t="str">
        <f t="shared" si="4"/>
        <v>No feeding on pasture</v>
      </c>
      <c r="P102" s="22" t="str">
        <f t="shared" si="4"/>
        <v>Cederberg &amp; Henriksson (2020)</v>
      </c>
    </row>
    <row r="103" spans="1:16" x14ac:dyDescent="0.25">
      <c r="A103" s="22" t="str">
        <f t="shared" ref="A103:A106" si="5">A91</f>
        <v>cattle</v>
      </c>
      <c r="E103" s="22" t="str">
        <f t="shared" si="3"/>
        <v>bulls</v>
      </c>
      <c r="G103" t="s">
        <v>634</v>
      </c>
      <c r="L103" s="22" t="str">
        <f t="shared" si="4"/>
        <v>feeding_losses</v>
      </c>
      <c r="M103" s="22">
        <f t="shared" si="4"/>
        <v>5</v>
      </c>
      <c r="N103" s="22" t="str">
        <f t="shared" si="4"/>
        <v>%</v>
      </c>
      <c r="O103" s="22" t="str">
        <f t="shared" si="4"/>
        <v>No feeding on pasture</v>
      </c>
      <c r="P103" s="22" t="str">
        <f t="shared" si="4"/>
        <v>Cederberg &amp; Henriksson (2020)</v>
      </c>
    </row>
    <row r="104" spans="1:16" x14ac:dyDescent="0.25">
      <c r="A104" s="22" t="str">
        <f t="shared" si="5"/>
        <v>cattle</v>
      </c>
      <c r="G104" t="s">
        <v>634</v>
      </c>
      <c r="L104" s="22" t="str">
        <f t="shared" si="4"/>
        <v>feeding_losses</v>
      </c>
      <c r="M104" s="22">
        <f t="shared" si="4"/>
        <v>6</v>
      </c>
      <c r="N104" s="22" t="str">
        <f t="shared" si="4"/>
        <v>%</v>
      </c>
      <c r="O104" s="22" t="str">
        <f t="shared" si="4"/>
        <v>10% feeding on pasture</v>
      </c>
      <c r="P104" s="22" t="str">
        <f t="shared" si="4"/>
        <v>Cederberg &amp; Henriksson (2020)</v>
      </c>
    </row>
    <row r="105" spans="1:16" x14ac:dyDescent="0.25">
      <c r="A105" s="22" t="str">
        <f t="shared" si="5"/>
        <v>sheep</v>
      </c>
      <c r="G105" t="s">
        <v>634</v>
      </c>
      <c r="L105" s="22" t="str">
        <f t="shared" si="4"/>
        <v>feeding_losses</v>
      </c>
      <c r="M105" s="22">
        <f t="shared" si="4"/>
        <v>15</v>
      </c>
      <c r="N105" s="22" t="str">
        <f t="shared" si="4"/>
        <v>%</v>
      </c>
      <c r="O105" s="21"/>
      <c r="P105" s="22" t="str">
        <f t="shared" ref="P105:P106" si="6">P93</f>
        <v>Cederberg &amp; Henriksson (2020)</v>
      </c>
    </row>
    <row r="106" spans="1:16" x14ac:dyDescent="0.25">
      <c r="A106" s="22" t="str">
        <f t="shared" si="5"/>
        <v>horses</v>
      </c>
      <c r="G106" t="s">
        <v>634</v>
      </c>
      <c r="L106" s="22" t="str">
        <f t="shared" si="4"/>
        <v>feeding_losses</v>
      </c>
      <c r="M106" s="22">
        <f t="shared" si="4"/>
        <v>15</v>
      </c>
      <c r="N106" s="22" t="str">
        <f t="shared" si="4"/>
        <v>%</v>
      </c>
      <c r="O106" s="21"/>
      <c r="P106" s="22" t="str">
        <f t="shared" si="6"/>
        <v>Cederberg &amp; Henriksson (2020)</v>
      </c>
    </row>
    <row r="107" spans="1:16" x14ac:dyDescent="0.25">
      <c r="M107" s="3"/>
      <c r="O107" s="21"/>
    </row>
    <row r="108" spans="1:16" x14ac:dyDescent="0.25">
      <c r="A108" s="3"/>
      <c r="G108" t="s">
        <v>635</v>
      </c>
      <c r="L108" s="21" t="s">
        <v>379</v>
      </c>
      <c r="M108" s="21"/>
      <c r="O108" s="3" t="s">
        <v>637</v>
      </c>
    </row>
    <row r="109" spans="1:16" x14ac:dyDescent="0.25">
      <c r="A109" s="3"/>
      <c r="G109" t="s">
        <v>635</v>
      </c>
      <c r="L109" s="21" t="s">
        <v>380</v>
      </c>
      <c r="M109" s="21">
        <v>2</v>
      </c>
      <c r="N109" s="21" t="s">
        <v>24</v>
      </c>
      <c r="O109" s="3" t="s">
        <v>641</v>
      </c>
      <c r="P109" t="s">
        <v>639</v>
      </c>
    </row>
    <row r="110" spans="1:16" x14ac:dyDescent="0.25">
      <c r="A110" s="3"/>
      <c r="G110" t="s">
        <v>636</v>
      </c>
      <c r="L110" s="21" t="s">
        <v>379</v>
      </c>
      <c r="M110" s="21"/>
      <c r="O110" s="3" t="s">
        <v>637</v>
      </c>
    </row>
    <row r="111" spans="1:16" x14ac:dyDescent="0.25">
      <c r="A111" s="3"/>
      <c r="G111" t="s">
        <v>636</v>
      </c>
      <c r="L111" s="21" t="s">
        <v>380</v>
      </c>
      <c r="M111" s="21">
        <v>3</v>
      </c>
      <c r="N111" s="21" t="s">
        <v>24</v>
      </c>
      <c r="O111" s="3" t="s">
        <v>641</v>
      </c>
      <c r="P111" t="s">
        <v>639</v>
      </c>
    </row>
    <row r="112" spans="1:16" x14ac:dyDescent="0.25">
      <c r="M112" s="3"/>
      <c r="O112" s="21"/>
    </row>
    <row r="113" spans="1:16" x14ac:dyDescent="0.25">
      <c r="A113" s="1" t="s">
        <v>601</v>
      </c>
      <c r="B113" s="1"/>
      <c r="C113" s="1"/>
      <c r="D113" s="1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</row>
    <row r="114" spans="1:16" x14ac:dyDescent="0.25">
      <c r="A114" t="s">
        <v>20</v>
      </c>
      <c r="M114" s="21"/>
      <c r="O114" s="21" t="s">
        <v>602</v>
      </c>
    </row>
    <row r="115" spans="1:16" x14ac:dyDescent="0.25">
      <c r="A115" s="3" t="s">
        <v>382</v>
      </c>
      <c r="B115" s="3"/>
      <c r="C115" s="3"/>
      <c r="D115" s="3"/>
      <c r="E115" s="3" t="s">
        <v>486</v>
      </c>
      <c r="F115" s="3"/>
      <c r="G115" s="3"/>
      <c r="H115" s="3"/>
      <c r="I115" s="3"/>
      <c r="J115" s="3"/>
      <c r="K115" s="3"/>
      <c r="L115" s="3" t="s">
        <v>487</v>
      </c>
      <c r="M115" s="3">
        <v>4.5</v>
      </c>
      <c r="N115" s="3" t="s">
        <v>488</v>
      </c>
      <c r="O115" s="3"/>
    </row>
    <row r="116" spans="1:16" x14ac:dyDescent="0.25">
      <c r="A116" s="3" t="s">
        <v>382</v>
      </c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 t="s">
        <v>487</v>
      </c>
      <c r="M116" s="3">
        <v>6.5</v>
      </c>
      <c r="N116" s="3" t="s">
        <v>488</v>
      </c>
      <c r="O116" s="3"/>
    </row>
    <row r="117" spans="1:16" x14ac:dyDescent="0.25">
      <c r="A117" t="s">
        <v>378</v>
      </c>
      <c r="L117" t="s">
        <v>489</v>
      </c>
      <c r="M117" s="21">
        <v>18</v>
      </c>
      <c r="N117" t="s">
        <v>490</v>
      </c>
      <c r="O117" s="3"/>
      <c r="P117" t="s">
        <v>491</v>
      </c>
    </row>
    <row r="118" spans="1:16" x14ac:dyDescent="0.25">
      <c r="A118" t="s">
        <v>21</v>
      </c>
      <c r="L118" t="s">
        <v>489</v>
      </c>
      <c r="M118" s="21">
        <v>1.5</v>
      </c>
      <c r="N118" t="s">
        <v>490</v>
      </c>
      <c r="O118" s="3"/>
      <c r="P118" t="s">
        <v>491</v>
      </c>
    </row>
    <row r="119" spans="1:16" x14ac:dyDescent="0.25">
      <c r="A119" t="s">
        <v>375</v>
      </c>
      <c r="L119" t="s">
        <v>489</v>
      </c>
      <c r="M119" s="21">
        <v>0</v>
      </c>
      <c r="N119" t="s">
        <v>490</v>
      </c>
      <c r="O119" s="3"/>
      <c r="P119" t="s">
        <v>491</v>
      </c>
    </row>
    <row r="120" spans="1:16" x14ac:dyDescent="0.25">
      <c r="M120" s="21"/>
      <c r="O120" s="3"/>
    </row>
    <row r="121" spans="1:16" x14ac:dyDescent="0.25">
      <c r="L121" t="s">
        <v>603</v>
      </c>
      <c r="M121" s="21">
        <v>1</v>
      </c>
      <c r="N121" s="21" t="s">
        <v>604</v>
      </c>
      <c r="O121" s="21" t="s">
        <v>605</v>
      </c>
      <c r="P121" s="21"/>
    </row>
    <row r="122" spans="1:16" x14ac:dyDescent="0.25">
      <c r="A122" t="s">
        <v>20</v>
      </c>
      <c r="L122" t="s">
        <v>603</v>
      </c>
      <c r="M122" s="21">
        <v>1</v>
      </c>
      <c r="N122" s="21" t="s">
        <v>604</v>
      </c>
      <c r="O122" s="21"/>
      <c r="P122" s="21"/>
    </row>
    <row r="123" spans="1:16" x14ac:dyDescent="0.25">
      <c r="A123" t="s">
        <v>20</v>
      </c>
      <c r="B123" t="s">
        <v>315</v>
      </c>
      <c r="E123" t="s">
        <v>316</v>
      </c>
      <c r="L123" t="s">
        <v>603</v>
      </c>
      <c r="M123" s="21">
        <v>1</v>
      </c>
      <c r="N123" s="21" t="s">
        <v>604</v>
      </c>
      <c r="O123" s="21"/>
      <c r="P123" s="21"/>
    </row>
    <row r="124" spans="1:16" x14ac:dyDescent="0.25">
      <c r="A124" t="s">
        <v>20</v>
      </c>
      <c r="B124" t="s">
        <v>315</v>
      </c>
      <c r="E124" t="s">
        <v>318</v>
      </c>
      <c r="L124" t="s">
        <v>603</v>
      </c>
      <c r="M124" s="21">
        <v>1</v>
      </c>
      <c r="N124" s="21" t="s">
        <v>604</v>
      </c>
      <c r="O124" s="21"/>
      <c r="P124" s="21"/>
    </row>
    <row r="125" spans="1:16" x14ac:dyDescent="0.25">
      <c r="A125" t="s">
        <v>20</v>
      </c>
      <c r="B125" t="s">
        <v>606</v>
      </c>
      <c r="E125" t="s">
        <v>318</v>
      </c>
      <c r="L125" t="s">
        <v>603</v>
      </c>
      <c r="M125" s="21">
        <v>1</v>
      </c>
      <c r="N125" s="21" t="s">
        <v>604</v>
      </c>
      <c r="O125" s="21"/>
      <c r="P125" s="21"/>
    </row>
    <row r="126" spans="1:16" x14ac:dyDescent="0.25">
      <c r="M126" s="3"/>
      <c r="O126" s="3"/>
    </row>
    <row r="127" spans="1:16" x14ac:dyDescent="0.25">
      <c r="A127" s="1" t="s">
        <v>22</v>
      </c>
      <c r="B127" s="1"/>
      <c r="C127" s="1"/>
      <c r="D127" s="1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 t="s">
        <v>294</v>
      </c>
      <c r="P127" s="2"/>
    </row>
    <row r="128" spans="1:16" x14ac:dyDescent="0.25">
      <c r="K128" s="103" t="s">
        <v>618</v>
      </c>
    </row>
    <row r="129" spans="11:15" x14ac:dyDescent="0.25">
      <c r="L129" t="s">
        <v>376</v>
      </c>
      <c r="M129" s="21" t="s">
        <v>615</v>
      </c>
      <c r="N129" t="s">
        <v>599</v>
      </c>
      <c r="O129" s="3"/>
    </row>
    <row r="130" spans="11:15" x14ac:dyDescent="0.25">
      <c r="L130" t="s">
        <v>477</v>
      </c>
      <c r="M130" s="21" t="s">
        <v>615</v>
      </c>
      <c r="N130" t="s">
        <v>598</v>
      </c>
      <c r="O130" s="3"/>
    </row>
    <row r="131" spans="11:15" x14ac:dyDescent="0.25">
      <c r="L131" s="37" t="s">
        <v>609</v>
      </c>
      <c r="M131" s="21" t="s">
        <v>615</v>
      </c>
    </row>
    <row r="132" spans="11:15" x14ac:dyDescent="0.25">
      <c r="L132" s="37" t="s">
        <v>610</v>
      </c>
      <c r="M132" s="21" t="s">
        <v>615</v>
      </c>
    </row>
    <row r="133" spans="11:15" x14ac:dyDescent="0.25">
      <c r="L133" s="37" t="s">
        <v>611</v>
      </c>
      <c r="M133" s="21" t="s">
        <v>615</v>
      </c>
    </row>
    <row r="134" spans="11:15" x14ac:dyDescent="0.25">
      <c r="L134" s="37" t="s">
        <v>612</v>
      </c>
      <c r="M134" s="21" t="s">
        <v>615</v>
      </c>
      <c r="O134" s="3"/>
    </row>
    <row r="135" spans="11:15" x14ac:dyDescent="0.25">
      <c r="K135" s="103" t="s">
        <v>617</v>
      </c>
    </row>
    <row r="136" spans="11:15" x14ac:dyDescent="0.25">
      <c r="L136" t="s">
        <v>18</v>
      </c>
      <c r="M136" s="21" t="s">
        <v>616</v>
      </c>
      <c r="N136" t="s">
        <v>623</v>
      </c>
      <c r="O136" s="21" t="s">
        <v>596</v>
      </c>
    </row>
    <row r="137" spans="11:15" x14ac:dyDescent="0.25">
      <c r="L137" t="s">
        <v>589</v>
      </c>
      <c r="M137" s="21" t="s">
        <v>616</v>
      </c>
      <c r="N137" t="s">
        <v>597</v>
      </c>
      <c r="O137" s="3"/>
    </row>
    <row r="138" spans="11:15" x14ac:dyDescent="0.25">
      <c r="L138" t="s">
        <v>478</v>
      </c>
      <c r="M138" s="21" t="s">
        <v>616</v>
      </c>
      <c r="N138" t="s">
        <v>479</v>
      </c>
      <c r="O138" s="21" t="s">
        <v>480</v>
      </c>
    </row>
    <row r="139" spans="11:15" x14ac:dyDescent="0.25">
      <c r="K139" s="103" t="s">
        <v>619</v>
      </c>
    </row>
    <row r="140" spans="11:15" x14ac:dyDescent="0.25">
      <c r="L140" t="s">
        <v>18</v>
      </c>
      <c r="M140" s="21" t="s">
        <v>626</v>
      </c>
      <c r="N140" t="s">
        <v>623</v>
      </c>
      <c r="O140" s="21" t="s">
        <v>596</v>
      </c>
    </row>
    <row r="141" spans="11:15" x14ac:dyDescent="0.25">
      <c r="L141" t="s">
        <v>589</v>
      </c>
      <c r="M141" s="21" t="s">
        <v>626</v>
      </c>
      <c r="N141" t="s">
        <v>597</v>
      </c>
      <c r="O141" s="3"/>
    </row>
    <row r="142" spans="11:15" x14ac:dyDescent="0.25">
      <c r="K142" s="103" t="s">
        <v>620</v>
      </c>
    </row>
    <row r="143" spans="11:15" x14ac:dyDescent="0.25">
      <c r="L143" t="s">
        <v>18</v>
      </c>
      <c r="M143" s="21" t="s">
        <v>627</v>
      </c>
      <c r="N143" t="s">
        <v>623</v>
      </c>
      <c r="O143" s="21" t="s">
        <v>596</v>
      </c>
    </row>
    <row r="144" spans="11:15" x14ac:dyDescent="0.25">
      <c r="L144" t="s">
        <v>589</v>
      </c>
      <c r="M144" s="21" t="s">
        <v>627</v>
      </c>
      <c r="N144" t="s">
        <v>597</v>
      </c>
      <c r="O144" s="3"/>
    </row>
    <row r="145" spans="11:15" x14ac:dyDescent="0.25">
      <c r="K145" s="103" t="s">
        <v>621</v>
      </c>
    </row>
    <row r="146" spans="11:15" x14ac:dyDescent="0.25">
      <c r="L146" t="s">
        <v>18</v>
      </c>
      <c r="M146" s="21" t="s">
        <v>628</v>
      </c>
      <c r="N146" t="s">
        <v>624</v>
      </c>
      <c r="O146" s="21" t="s">
        <v>596</v>
      </c>
    </row>
    <row r="147" spans="11:15" x14ac:dyDescent="0.25">
      <c r="L147" t="s">
        <v>589</v>
      </c>
      <c r="M147" s="21" t="s">
        <v>628</v>
      </c>
      <c r="N147" t="s">
        <v>597</v>
      </c>
      <c r="O147" s="3"/>
    </row>
    <row r="148" spans="11:15" x14ac:dyDescent="0.25">
      <c r="K148" s="103" t="s">
        <v>622</v>
      </c>
    </row>
    <row r="149" spans="11:15" x14ac:dyDescent="0.25">
      <c r="L149" t="s">
        <v>614</v>
      </c>
      <c r="M149" s="21" t="s">
        <v>629</v>
      </c>
      <c r="N149" t="s">
        <v>625</v>
      </c>
      <c r="O149" s="21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Views>
    <sheetView workbookViewId="0">
      <selection activeCell="C5" sqref="C5"/>
    </sheetView>
  </sheetViews>
  <sheetFormatPr defaultRowHeight="15" x14ac:dyDescent="0.25"/>
  <sheetData>
    <row r="1" spans="1:1" x14ac:dyDescent="0.25">
      <c r="A1" t="s">
        <v>638</v>
      </c>
    </row>
    <row r="2" spans="1:1" x14ac:dyDescent="0.25">
      <c r="A2" t="s">
        <v>642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S52"/>
  <sheetViews>
    <sheetView topLeftCell="B1" zoomScale="80" zoomScaleNormal="80" workbookViewId="0">
      <pane xSplit="1" ySplit="5" topLeftCell="C6" activePane="bottomRight" state="frozen"/>
      <selection activeCell="B1" sqref="B1"/>
      <selection pane="topRight" activeCell="C1" sqref="C1"/>
      <selection pane="bottomLeft" activeCell="B6" sqref="B6"/>
      <selection pane="bottomRight" activeCell="R49" sqref="R49"/>
    </sheetView>
  </sheetViews>
  <sheetFormatPr defaultRowHeight="15" x14ac:dyDescent="0.25"/>
  <cols>
    <col min="2" max="2" width="27" bestFit="1" customWidth="1"/>
    <col min="3" max="10" width="7.5703125" customWidth="1"/>
    <col min="26" max="26" width="7.5703125" customWidth="1"/>
    <col min="44" max="44" width="10.28515625" customWidth="1"/>
  </cols>
  <sheetData>
    <row r="1" spans="2:45" x14ac:dyDescent="0.25">
      <c r="B1" t="s">
        <v>472</v>
      </c>
      <c r="C1" s="7" t="s">
        <v>114</v>
      </c>
      <c r="D1" s="7"/>
      <c r="E1" s="7"/>
      <c r="F1" s="7"/>
      <c r="G1" s="7"/>
      <c r="H1" s="7"/>
      <c r="I1" s="7"/>
      <c r="J1" s="7"/>
      <c r="Z1" s="7"/>
    </row>
    <row r="3" spans="2:45" x14ac:dyDescent="0.25">
      <c r="C3" s="41" t="s">
        <v>297</v>
      </c>
      <c r="D3" s="42"/>
      <c r="E3" s="42"/>
      <c r="F3" s="42"/>
      <c r="G3" s="42"/>
      <c r="H3" s="42"/>
      <c r="K3" s="41" t="s">
        <v>470</v>
      </c>
      <c r="L3" s="42"/>
      <c r="M3" s="42"/>
      <c r="N3" s="42"/>
      <c r="O3" s="42"/>
      <c r="P3" s="42"/>
      <c r="Q3" s="42"/>
      <c r="R3" s="42"/>
      <c r="S3" s="42"/>
      <c r="T3" s="56" t="s">
        <v>484</v>
      </c>
      <c r="U3" s="42">
        <f>1/6.25</f>
        <v>0.16</v>
      </c>
      <c r="V3" s="42"/>
      <c r="W3" s="42"/>
      <c r="Z3" s="41" t="s">
        <v>21</v>
      </c>
      <c r="AA3" s="42"/>
      <c r="AB3" s="42"/>
      <c r="AC3" s="42"/>
      <c r="AD3" s="42"/>
      <c r="AE3" s="42"/>
      <c r="AF3" s="42"/>
      <c r="AG3" s="42"/>
      <c r="AH3" s="42"/>
      <c r="AI3" s="56" t="s">
        <v>484</v>
      </c>
      <c r="AJ3" s="42">
        <f>1/6.25</f>
        <v>0.16</v>
      </c>
      <c r="AK3" s="42"/>
      <c r="AL3" s="42"/>
      <c r="AP3" s="41" t="s">
        <v>375</v>
      </c>
      <c r="AQ3" s="42"/>
      <c r="AR3" s="42"/>
    </row>
    <row r="4" spans="2:45" x14ac:dyDescent="0.25">
      <c r="C4" s="40"/>
      <c r="D4" s="2"/>
      <c r="E4" s="2"/>
      <c r="F4" s="2"/>
      <c r="G4" s="2"/>
      <c r="H4" s="2"/>
      <c r="K4" s="45" t="s">
        <v>290</v>
      </c>
      <c r="L4" s="46">
        <v>1</v>
      </c>
      <c r="M4" s="46" t="s">
        <v>567</v>
      </c>
      <c r="N4" s="46">
        <v>2</v>
      </c>
      <c r="O4" s="46">
        <v>6</v>
      </c>
      <c r="P4" s="46">
        <v>7</v>
      </c>
      <c r="Q4" s="46">
        <v>8</v>
      </c>
      <c r="R4" s="46">
        <v>9</v>
      </c>
      <c r="S4" s="46">
        <v>11</v>
      </c>
      <c r="T4" s="46">
        <v>10</v>
      </c>
      <c r="U4" s="46"/>
      <c r="V4" s="46">
        <v>26</v>
      </c>
      <c r="W4" s="46">
        <v>28</v>
      </c>
      <c r="X4" s="4"/>
      <c r="Y4" s="4"/>
      <c r="Z4" s="45" t="s">
        <v>290</v>
      </c>
      <c r="AA4" s="46">
        <v>1</v>
      </c>
      <c r="AB4" s="46" t="s">
        <v>567</v>
      </c>
      <c r="AC4" s="46" t="s">
        <v>566</v>
      </c>
      <c r="AD4" s="46">
        <v>2</v>
      </c>
      <c r="AE4" s="46">
        <v>3</v>
      </c>
      <c r="AF4" s="46">
        <v>5</v>
      </c>
      <c r="AG4" s="46">
        <v>6</v>
      </c>
      <c r="AH4" s="46"/>
      <c r="AI4" s="46">
        <v>12</v>
      </c>
      <c r="AJ4" s="46"/>
      <c r="AK4" s="46">
        <v>29</v>
      </c>
      <c r="AL4" s="46">
        <v>31</v>
      </c>
      <c r="AM4" s="4"/>
      <c r="AN4" s="4"/>
      <c r="AO4" s="4"/>
      <c r="AP4" s="45" t="s">
        <v>290</v>
      </c>
      <c r="AQ4" s="46">
        <v>1</v>
      </c>
      <c r="AR4" s="46">
        <v>2</v>
      </c>
    </row>
    <row r="5" spans="2:45" x14ac:dyDescent="0.25">
      <c r="B5" s="4" t="s">
        <v>54</v>
      </c>
      <c r="C5" s="47" t="s">
        <v>55</v>
      </c>
      <c r="D5" s="49" t="s">
        <v>388</v>
      </c>
      <c r="E5" s="48" t="s">
        <v>608</v>
      </c>
      <c r="F5" s="48" t="s">
        <v>481</v>
      </c>
      <c r="G5" s="48" t="s">
        <v>482</v>
      </c>
      <c r="H5" s="49" t="s">
        <v>483</v>
      </c>
      <c r="I5" s="51" t="s">
        <v>473</v>
      </c>
      <c r="K5" s="45" t="s">
        <v>291</v>
      </c>
      <c r="L5" s="47" t="s">
        <v>55</v>
      </c>
      <c r="M5" s="48" t="s">
        <v>476</v>
      </c>
      <c r="N5" s="48" t="s">
        <v>475</v>
      </c>
      <c r="O5" s="48" t="s">
        <v>493</v>
      </c>
      <c r="P5" s="47" t="s">
        <v>391</v>
      </c>
      <c r="Q5" s="48" t="s">
        <v>392</v>
      </c>
      <c r="R5" s="48" t="s">
        <v>393</v>
      </c>
      <c r="S5" s="48" t="s">
        <v>278</v>
      </c>
      <c r="T5" s="49" t="s">
        <v>468</v>
      </c>
      <c r="U5" s="48" t="s">
        <v>481</v>
      </c>
      <c r="V5" s="48" t="s">
        <v>482</v>
      </c>
      <c r="W5" s="49" t="s">
        <v>483</v>
      </c>
      <c r="X5" s="77" t="s">
        <v>473</v>
      </c>
      <c r="Z5" s="45" t="s">
        <v>291</v>
      </c>
      <c r="AA5" s="47" t="s">
        <v>55</v>
      </c>
      <c r="AB5" s="48" t="s">
        <v>476</v>
      </c>
      <c r="AC5" s="71" t="s">
        <v>493</v>
      </c>
      <c r="AD5" s="48" t="s">
        <v>117</v>
      </c>
      <c r="AE5" s="48" t="s">
        <v>116</v>
      </c>
      <c r="AF5" s="47" t="s">
        <v>391</v>
      </c>
      <c r="AG5" s="48" t="s">
        <v>392</v>
      </c>
      <c r="AH5" s="48" t="s">
        <v>474</v>
      </c>
      <c r="AI5" s="49" t="s">
        <v>468</v>
      </c>
      <c r="AJ5" s="48" t="s">
        <v>481</v>
      </c>
      <c r="AK5" s="48" t="s">
        <v>482</v>
      </c>
      <c r="AL5" s="49" t="s">
        <v>483</v>
      </c>
      <c r="AM5" s="77" t="s">
        <v>473</v>
      </c>
      <c r="AN5" s="70" t="s">
        <v>560</v>
      </c>
      <c r="AO5" s="4"/>
      <c r="AP5" s="45" t="s">
        <v>291</v>
      </c>
      <c r="AQ5" s="95" t="s">
        <v>55</v>
      </c>
      <c r="AR5" s="94" t="s">
        <v>607</v>
      </c>
      <c r="AS5" s="51" t="s">
        <v>473</v>
      </c>
    </row>
    <row r="6" spans="2:45" x14ac:dyDescent="0.25">
      <c r="B6" t="s">
        <v>300</v>
      </c>
      <c r="C6" s="27">
        <f t="shared" ref="C6:C11" si="0">AVERAGE(AA6,L6)</f>
        <v>100</v>
      </c>
      <c r="D6" s="101">
        <f t="shared" ref="D6:D11" si="1">M6</f>
        <v>17.316948400000001</v>
      </c>
      <c r="E6" s="43">
        <f>AVERAGE(T6,AI6)/1000*100</f>
        <v>7.55</v>
      </c>
      <c r="F6" s="28">
        <f>AVERAGE(U6,AJ6)</f>
        <v>2.4239999999999999</v>
      </c>
      <c r="G6" s="58">
        <f>AVERAGE(V6,AK6)</f>
        <v>0.27999999999999997</v>
      </c>
      <c r="H6" s="59">
        <f>AVERAGE(W6,AL6)</f>
        <v>2.4250000000000003</v>
      </c>
      <c r="K6" s="45"/>
      <c r="L6" s="27">
        <v>100</v>
      </c>
      <c r="M6" s="52">
        <f t="shared" ref="M6:M11" si="2">( 5.7*P6+9.4*Q6+4.1*(R6+S6) ) * 0.004184</f>
        <v>17.316948400000001</v>
      </c>
      <c r="N6" s="28">
        <f>AVERAGE('ruminants, roughage'!D21:D22)</f>
        <v>11.3</v>
      </c>
      <c r="O6" s="28">
        <f>AVERAGE('ruminants, roughage'!H21:H22)</f>
        <v>13.35</v>
      </c>
      <c r="P6" s="44">
        <f>AVERAGE('ruminants, roughage'!I21:I22)</f>
        <v>151.5</v>
      </c>
      <c r="Q6" s="34">
        <v>20</v>
      </c>
      <c r="R6" s="29"/>
      <c r="S6" s="31">
        <f>1000-SUM(P6:R6,T6)</f>
        <v>753</v>
      </c>
      <c r="T6" s="32">
        <f>AVERAGE('ruminants, roughage'!K21:K22)</f>
        <v>75.5</v>
      </c>
      <c r="U6" s="28">
        <f>P6*U$3/1000*100</f>
        <v>2.4239999999999999</v>
      </c>
      <c r="V6" s="58">
        <f>AVERAGE('ruminants, roughage'!X21:X22)/1000*100</f>
        <v>0.27999999999999997</v>
      </c>
      <c r="W6" s="59">
        <f>AVERAGE('ruminants, roughage'!Z21:Z22)/1000*100</f>
        <v>2.4250000000000003</v>
      </c>
      <c r="X6" s="79"/>
      <c r="Z6" s="45"/>
      <c r="AA6" s="27"/>
      <c r="AB6" s="37"/>
      <c r="AC6" s="37"/>
      <c r="AD6" s="37"/>
      <c r="AE6" s="37"/>
      <c r="AF6" s="27"/>
      <c r="AG6" s="37"/>
      <c r="AH6" s="37"/>
      <c r="AI6" s="38"/>
      <c r="AJ6" s="29"/>
      <c r="AK6" s="29"/>
      <c r="AL6" s="32"/>
      <c r="AM6" s="78"/>
      <c r="AO6" t="s">
        <v>471</v>
      </c>
      <c r="AP6" s="45"/>
      <c r="AQ6" s="96"/>
      <c r="AR6" s="38"/>
    </row>
    <row r="7" spans="2:45" x14ac:dyDescent="0.25">
      <c r="B7" t="s">
        <v>301</v>
      </c>
      <c r="C7" s="27">
        <f t="shared" si="0"/>
        <v>100</v>
      </c>
      <c r="D7" s="101">
        <f t="shared" si="1"/>
        <v>17.150216</v>
      </c>
      <c r="E7" s="43">
        <f t="shared" ref="E7:E47" si="3">AVERAGE(T7,AI7)/1000*100</f>
        <v>7.8</v>
      </c>
      <c r="F7" s="28">
        <f t="shared" ref="F7:F13" si="4">AVERAGE(U7,AJ7)</f>
        <v>2.1280000000000001</v>
      </c>
      <c r="G7" s="58">
        <f t="shared" ref="G7:G13" si="5">AVERAGE(V7,AK7)</f>
        <v>0.27</v>
      </c>
      <c r="H7" s="59">
        <f t="shared" ref="H7:H13" si="6">AVERAGE(W7,AL7)</f>
        <v>2.34</v>
      </c>
      <c r="K7" s="45"/>
      <c r="L7" s="27">
        <v>100</v>
      </c>
      <c r="M7" s="52">
        <f t="shared" si="2"/>
        <v>17.150216</v>
      </c>
      <c r="N7" s="28">
        <f>AVERAGE('ruminants, roughage'!D25:D25)</f>
        <v>10.1</v>
      </c>
      <c r="O7" s="28">
        <f>AVERAGE('ruminants, roughage'!H22:H23)</f>
        <v>11.899999999999999</v>
      </c>
      <c r="P7" s="44">
        <f>AVERAGE('ruminants, roughage'!I25:I25)</f>
        <v>133</v>
      </c>
      <c r="Q7" s="34">
        <v>20</v>
      </c>
      <c r="R7" s="29"/>
      <c r="S7" s="31">
        <f t="shared" ref="S7:S11" si="7">1000-SUM(P7:R7,T7)</f>
        <v>769</v>
      </c>
      <c r="T7" s="32">
        <f>AVERAGE('ruminants, roughage'!K25:K25)</f>
        <v>78</v>
      </c>
      <c r="U7" s="28">
        <f t="shared" ref="U7:U44" si="8">P7*U$3/1000*100</f>
        <v>2.1280000000000001</v>
      </c>
      <c r="V7" s="58">
        <f>AVERAGE('ruminants, roughage'!X25:X25)/1000*100</f>
        <v>0.27</v>
      </c>
      <c r="W7" s="59">
        <f>AVERAGE('ruminants, roughage'!Z25:Z25)/1000*100</f>
        <v>2.34</v>
      </c>
      <c r="X7" s="79"/>
      <c r="Z7" s="45"/>
      <c r="AA7" s="27"/>
      <c r="AB7" s="37"/>
      <c r="AC7" s="37"/>
      <c r="AD7" s="37"/>
      <c r="AE7" s="37"/>
      <c r="AF7" s="27"/>
      <c r="AG7" s="37"/>
      <c r="AH7" s="37"/>
      <c r="AI7" s="38"/>
      <c r="AJ7" s="29"/>
      <c r="AK7" s="29"/>
      <c r="AL7" s="32"/>
      <c r="AM7" s="78"/>
      <c r="AO7" t="s">
        <v>471</v>
      </c>
      <c r="AP7" s="45"/>
      <c r="AQ7" s="27"/>
      <c r="AR7" s="38"/>
    </row>
    <row r="8" spans="2:45" x14ac:dyDescent="0.25">
      <c r="B8" t="s">
        <v>302</v>
      </c>
      <c r="C8" s="27">
        <f t="shared" si="0"/>
        <v>100</v>
      </c>
      <c r="D8" s="101">
        <f t="shared" si="1"/>
        <v>16.789764399999999</v>
      </c>
      <c r="E8" s="43">
        <f t="shared" si="3"/>
        <v>8.7999999999999989</v>
      </c>
      <c r="F8" s="28">
        <f t="shared" si="4"/>
        <v>1.5439999999999998</v>
      </c>
      <c r="G8" s="58">
        <f t="shared" si="5"/>
        <v>0.21000000000000002</v>
      </c>
      <c r="H8" s="59">
        <f t="shared" si="6"/>
        <v>2.35</v>
      </c>
      <c r="K8" s="45"/>
      <c r="L8" s="27">
        <v>100</v>
      </c>
      <c r="M8" s="52">
        <f t="shared" si="2"/>
        <v>16.789764399999999</v>
      </c>
      <c r="N8" s="33">
        <f>(8.3+8.7)/2</f>
        <v>8.5</v>
      </c>
      <c r="O8" s="33">
        <f>AVERAGE('ruminants, roughage'!H23:H24)</f>
        <v>10.75</v>
      </c>
      <c r="P8" s="54">
        <f>(91+102)/2</f>
        <v>96.5</v>
      </c>
      <c r="Q8" s="34">
        <f>(22+23)/2</f>
        <v>22.5</v>
      </c>
      <c r="R8" s="30"/>
      <c r="S8" s="31">
        <f t="shared" si="7"/>
        <v>793</v>
      </c>
      <c r="T8" s="35">
        <f>(83+93)/2</f>
        <v>88</v>
      </c>
      <c r="U8" s="28">
        <f t="shared" si="8"/>
        <v>1.5439999999999998</v>
      </c>
      <c r="V8" s="58">
        <f>(2+2.2)/2/1000*100</f>
        <v>0.21000000000000002</v>
      </c>
      <c r="W8" s="59">
        <f>(20.3+26.7)/2/1000*100</f>
        <v>2.35</v>
      </c>
      <c r="X8" s="79" t="s">
        <v>469</v>
      </c>
      <c r="Y8" t="s">
        <v>471</v>
      </c>
      <c r="Z8" s="45"/>
      <c r="AA8" s="27"/>
      <c r="AB8" s="37"/>
      <c r="AC8" s="37"/>
      <c r="AD8" s="37"/>
      <c r="AE8" s="37"/>
      <c r="AF8" s="27"/>
      <c r="AG8" s="37"/>
      <c r="AH8" s="37"/>
      <c r="AI8" s="38"/>
      <c r="AJ8" s="30"/>
      <c r="AK8" s="30"/>
      <c r="AL8" s="35"/>
      <c r="AM8" s="78"/>
      <c r="AO8" t="s">
        <v>471</v>
      </c>
      <c r="AP8" s="45"/>
      <c r="AQ8" s="27"/>
      <c r="AR8" s="38"/>
    </row>
    <row r="9" spans="2:45" x14ac:dyDescent="0.25">
      <c r="B9" t="s">
        <v>2</v>
      </c>
      <c r="C9" s="27">
        <f t="shared" si="0"/>
        <v>100</v>
      </c>
      <c r="D9" s="101">
        <f t="shared" si="1"/>
        <v>17.160257599999998</v>
      </c>
      <c r="E9" s="43">
        <f t="shared" si="3"/>
        <v>6.2</v>
      </c>
      <c r="F9" s="28">
        <f t="shared" si="4"/>
        <v>1.496</v>
      </c>
      <c r="G9" s="58">
        <f t="shared" si="5"/>
        <v>0.21000000000000002</v>
      </c>
      <c r="H9" s="59">
        <f t="shared" si="6"/>
        <v>1.81</v>
      </c>
      <c r="K9" s="45"/>
      <c r="L9" s="27">
        <v>100</v>
      </c>
      <c r="M9" s="52">
        <f t="shared" si="2"/>
        <v>17.160257599999998</v>
      </c>
      <c r="N9" s="28">
        <f>AVERAGE('ruminants, roughage'!D33:D33)</f>
        <v>9.1</v>
      </c>
      <c r="O9" s="28">
        <f>AVERAGE('ruminants, roughage'!H24:H25)</f>
        <v>11.8</v>
      </c>
      <c r="P9" s="44">
        <f>AVERAGE('ruminants, roughage'!I33:I33)</f>
        <v>93.5</v>
      </c>
      <c r="Q9" s="34">
        <v>20</v>
      </c>
      <c r="R9" s="29"/>
      <c r="S9" s="31">
        <f t="shared" si="7"/>
        <v>824.5</v>
      </c>
      <c r="T9" s="32">
        <f>AVERAGE('ruminants, roughage'!K33:K33)</f>
        <v>62</v>
      </c>
      <c r="U9" s="28">
        <f t="shared" si="8"/>
        <v>1.496</v>
      </c>
      <c r="V9" s="58">
        <f>AVERAGE('ruminants, roughage'!X33:X33)/1000*100</f>
        <v>0.21000000000000002</v>
      </c>
      <c r="W9" s="59">
        <f>AVERAGE('ruminants, roughage'!Z33:Z33)/1000*100</f>
        <v>1.81</v>
      </c>
      <c r="X9" s="79"/>
      <c r="Z9" s="45"/>
      <c r="AA9" s="27"/>
      <c r="AB9" s="37"/>
      <c r="AC9" s="37"/>
      <c r="AD9" s="37"/>
      <c r="AE9" s="37"/>
      <c r="AF9" s="27"/>
      <c r="AG9" s="37"/>
      <c r="AH9" s="37"/>
      <c r="AI9" s="38"/>
      <c r="AJ9" s="29"/>
      <c r="AK9" s="29"/>
      <c r="AL9" s="32"/>
      <c r="AM9" s="78"/>
      <c r="AO9" t="s">
        <v>471</v>
      </c>
      <c r="AP9" s="45"/>
      <c r="AQ9" s="27"/>
      <c r="AR9" s="38"/>
    </row>
    <row r="10" spans="2:45" x14ac:dyDescent="0.25">
      <c r="B10" t="s">
        <v>12</v>
      </c>
      <c r="C10" s="27">
        <f t="shared" si="0"/>
        <v>100</v>
      </c>
      <c r="D10" s="101">
        <f t="shared" si="1"/>
        <v>17.6573168</v>
      </c>
      <c r="E10" s="43">
        <f t="shared" si="3"/>
        <v>3.5999999999999996</v>
      </c>
      <c r="F10" s="28">
        <f t="shared" si="4"/>
        <v>1.0880000000000001</v>
      </c>
      <c r="G10" s="58">
        <f t="shared" si="5"/>
        <v>0.16999999999999998</v>
      </c>
      <c r="H10" s="59">
        <f t="shared" si="6"/>
        <v>1.03</v>
      </c>
      <c r="K10" s="45"/>
      <c r="L10" s="27">
        <v>100</v>
      </c>
      <c r="M10" s="52">
        <f t="shared" si="2"/>
        <v>17.6573168</v>
      </c>
      <c r="N10" s="28">
        <v>11</v>
      </c>
      <c r="O10" s="28">
        <f>AVERAGE('ruminants, roughage'!H25:H26)</f>
        <v>12.3</v>
      </c>
      <c r="P10" s="44">
        <v>68</v>
      </c>
      <c r="Q10" s="29">
        <v>30</v>
      </c>
      <c r="R10" s="29">
        <v>198</v>
      </c>
      <c r="S10" s="31">
        <f t="shared" si="7"/>
        <v>668</v>
      </c>
      <c r="T10" s="32">
        <v>36</v>
      </c>
      <c r="U10" s="28">
        <f t="shared" si="8"/>
        <v>1.0880000000000001</v>
      </c>
      <c r="V10" s="58">
        <f>1.7/1000*100</f>
        <v>0.16999999999999998</v>
      </c>
      <c r="W10" s="59">
        <f>10.3/1000*100</f>
        <v>1.03</v>
      </c>
      <c r="X10" s="79" t="s">
        <v>389</v>
      </c>
      <c r="Y10" s="7" t="s">
        <v>471</v>
      </c>
      <c r="Z10" s="45"/>
      <c r="AA10" s="27"/>
      <c r="AB10" s="37"/>
      <c r="AC10" s="37"/>
      <c r="AD10" s="37"/>
      <c r="AE10" s="37"/>
      <c r="AF10" s="27"/>
      <c r="AG10" s="37"/>
      <c r="AH10" s="37"/>
      <c r="AI10" s="38"/>
      <c r="AJ10" s="29"/>
      <c r="AK10" s="29"/>
      <c r="AL10" s="32"/>
      <c r="AM10" s="78"/>
      <c r="AO10" t="s">
        <v>471</v>
      </c>
      <c r="AP10" s="45"/>
      <c r="AQ10" s="27"/>
      <c r="AR10" s="38"/>
    </row>
    <row r="11" spans="2:45" x14ac:dyDescent="0.25">
      <c r="B11" t="s">
        <v>29</v>
      </c>
      <c r="C11" s="27">
        <f t="shared" si="0"/>
        <v>100</v>
      </c>
      <c r="D11" s="101">
        <f t="shared" si="1"/>
        <v>17.411437066666668</v>
      </c>
      <c r="E11" s="43">
        <f t="shared" si="3"/>
        <v>6.5666666666666647</v>
      </c>
      <c r="F11" s="28">
        <f t="shared" si="4"/>
        <v>2.2466666666666666</v>
      </c>
      <c r="G11" s="58">
        <f t="shared" si="5"/>
        <v>0.27</v>
      </c>
      <c r="H11" s="59">
        <f t="shared" si="6"/>
        <v>2.34</v>
      </c>
      <c r="K11" s="45"/>
      <c r="L11" s="27">
        <v>100</v>
      </c>
      <c r="M11" s="52">
        <f t="shared" si="2"/>
        <v>17.411437066666668</v>
      </c>
      <c r="N11" s="28">
        <f>AVERAGE('ruminants, roughage'!D3:D14)</f>
        <v>9.9416666666666664</v>
      </c>
      <c r="O11" s="28">
        <f>AVERAGE('ruminants, roughage'!H26:H27)</f>
        <v>12.4</v>
      </c>
      <c r="P11" s="44">
        <f>AVERAGE('ruminants, roughage'!I3:I14)</f>
        <v>140.41666666666666</v>
      </c>
      <c r="Q11" s="34">
        <v>20</v>
      </c>
      <c r="R11" s="29"/>
      <c r="S11" s="31">
        <f t="shared" si="7"/>
        <v>773.91666666666674</v>
      </c>
      <c r="T11" s="32">
        <f>AVERAGE('ruminants, roughage'!K3:K14)</f>
        <v>65.666666666666657</v>
      </c>
      <c r="U11" s="28">
        <f t="shared" si="8"/>
        <v>2.2466666666666666</v>
      </c>
      <c r="V11" s="60">
        <f>V7</f>
        <v>0.27</v>
      </c>
      <c r="W11" s="61">
        <f>W7</f>
        <v>2.34</v>
      </c>
      <c r="X11" s="79"/>
      <c r="Z11" s="45"/>
      <c r="AA11" s="27"/>
      <c r="AB11" s="37"/>
      <c r="AC11" s="37"/>
      <c r="AD11" s="37"/>
      <c r="AE11" s="37"/>
      <c r="AF11" s="27"/>
      <c r="AG11" s="37"/>
      <c r="AH11" s="37"/>
      <c r="AI11" s="38"/>
      <c r="AJ11" s="29"/>
      <c r="AK11" s="29"/>
      <c r="AL11" s="32"/>
      <c r="AM11" s="78"/>
      <c r="AO11" t="s">
        <v>471</v>
      </c>
      <c r="AP11" s="45"/>
      <c r="AQ11" s="27"/>
      <c r="AR11" s="38"/>
    </row>
    <row r="12" spans="2:45" x14ac:dyDescent="0.25">
      <c r="B12" t="s">
        <v>17</v>
      </c>
      <c r="C12" s="44">
        <f>100-14</f>
        <v>86</v>
      </c>
      <c r="D12" s="101">
        <f t="shared" ref="D12:D25" si="9">M12</f>
        <v>18.210023200000002</v>
      </c>
      <c r="E12" s="43">
        <f t="shared" si="3"/>
        <v>1.7999999999999998</v>
      </c>
      <c r="F12" s="28">
        <f t="shared" si="4"/>
        <v>1.9359999999999999</v>
      </c>
      <c r="G12" s="58">
        <f t="shared" si="5"/>
        <v>0.34499999999999997</v>
      </c>
      <c r="H12" s="59">
        <f t="shared" si="6"/>
        <v>0.52500000000000002</v>
      </c>
      <c r="I12" s="63" t="s">
        <v>492</v>
      </c>
      <c r="J12" s="62"/>
      <c r="K12" s="45">
        <f>MATCH($B12,ruminants!$A$3:$A$120,0)</f>
        <v>112</v>
      </c>
      <c r="L12" s="27">
        <f>INDEX(ruminants!$D$3:$AH$120,$K12,L$4)</f>
        <v>87</v>
      </c>
      <c r="M12" s="52">
        <f>( 5.7*P12+9.4*Q12+4.1*(R12+S12) ) * 0.004184</f>
        <v>18.210023200000002</v>
      </c>
      <c r="N12" s="28">
        <f>INDEX(ruminants!$D$3:$AH$120,$K12,N$4)</f>
        <v>14.1</v>
      </c>
      <c r="O12" s="28">
        <f>INDEX(ruminants!$D$3:$AH$120,$K12,O$4)</f>
        <v>16</v>
      </c>
      <c r="P12" s="44">
        <f>INDEX(ruminants!$D$3:$AH$120,$K12,P$4)</f>
        <v>121</v>
      </c>
      <c r="Q12" s="29">
        <f>INDEX(ruminants!$D$3:$AH$120,$K12,Q$4)</f>
        <v>25</v>
      </c>
      <c r="R12" s="29">
        <f>INDEX(ruminants!$D$3:$AH$120,$K12,R$4)</f>
        <v>30</v>
      </c>
      <c r="S12" s="29">
        <f>INDEX(ruminants!$D$3:$AH$120,$K12,S$4)</f>
        <v>806</v>
      </c>
      <c r="T12" s="32">
        <f>INDEX(ruminants!$D$3:$AH$120,$K12,T$4)</f>
        <v>18</v>
      </c>
      <c r="U12" s="28">
        <f t="shared" si="8"/>
        <v>1.9359999999999999</v>
      </c>
      <c r="V12" s="58">
        <f>INDEX(ruminants!$D$3:$AH$120,$K12,V$4)/1000*100</f>
        <v>0.37</v>
      </c>
      <c r="W12" s="59">
        <f>INDEX(ruminants!$D$3:$AH$120,$K12,W$4)/1000*100</f>
        <v>0.47000000000000003</v>
      </c>
      <c r="X12" s="79"/>
      <c r="Y12" s="73"/>
      <c r="Z12" s="45">
        <f>MATCH($B12,pigs!$A$3:$A$60,0)</f>
        <v>53</v>
      </c>
      <c r="AA12" s="27">
        <f>INDEX(pigs!$D$3:$AO$60,$Z12,AA$4)</f>
        <v>87</v>
      </c>
      <c r="AB12" s="52">
        <f>( 5.7*AF12+9.4*AG12+4.1*(AH12) ) * 0.004184</f>
        <v>18.032621599999999</v>
      </c>
      <c r="AC12" s="72">
        <v>15.9</v>
      </c>
      <c r="AD12" s="37">
        <f>INDEX(pigs!$D$3:$AO$60,$Z12,AD$4)</f>
        <v>12.1</v>
      </c>
      <c r="AE12" s="37">
        <f>INDEX(pigs!$D$3:$AO$60,$Z12,AE$4)</f>
        <v>12.3</v>
      </c>
      <c r="AF12" s="27">
        <f>INDEX(pigs!$D$3:$AO$60,$Z12,AF$4)</f>
        <v>121</v>
      </c>
      <c r="AG12" s="37">
        <f>INDEX(pigs!$D$3:$AO$60,$Z12,AG$4)</f>
        <v>17</v>
      </c>
      <c r="AH12" s="31">
        <f>1000-SUM(AF12:AG12,AI12)</f>
        <v>844</v>
      </c>
      <c r="AI12" s="38">
        <f>INDEX(pigs!$D$3:$AO$60,$Z12,AI$4)</f>
        <v>18</v>
      </c>
      <c r="AJ12" s="28">
        <f>AF12*AJ$3/1000*100</f>
        <v>1.9359999999999999</v>
      </c>
      <c r="AK12" s="58">
        <f>INDEX(pigs!$D$3:$AO$60,$Z12,AK$4)/1000*100</f>
        <v>0.32</v>
      </c>
      <c r="AL12" s="59">
        <f>INDEX(pigs!$D$3:$AO$60,$Z12,AL$4)/1000*100</f>
        <v>0.57999999999999996</v>
      </c>
      <c r="AM12" s="78"/>
      <c r="AN12" s="75" t="s">
        <v>559</v>
      </c>
      <c r="AO12" t="s">
        <v>471</v>
      </c>
      <c r="AP12" s="45">
        <f>MATCH($B12,poultry!$A$3:$A$41,0)</f>
        <v>35</v>
      </c>
      <c r="AQ12" s="27">
        <f>INDEX(poultry!$D$3:$U$41,$AP12,AQ$4)</f>
        <v>87</v>
      </c>
      <c r="AR12" s="97">
        <f>INDEX(poultry!$D$3:$U$41,$AP12,AR$4)/(AQ12/100)</f>
        <v>14.712643678160921</v>
      </c>
    </row>
    <row r="13" spans="2:45" x14ac:dyDescent="0.25">
      <c r="B13" t="s">
        <v>33</v>
      </c>
      <c r="C13" s="44">
        <f t="shared" ref="C13:C17" si="10">100-14</f>
        <v>86</v>
      </c>
      <c r="D13" s="101">
        <f t="shared" si="9"/>
        <v>18.089524000000001</v>
      </c>
      <c r="E13" s="43">
        <f t="shared" si="3"/>
        <v>2.7</v>
      </c>
      <c r="F13" s="28">
        <f t="shared" si="4"/>
        <v>1.9039999999999999</v>
      </c>
      <c r="G13" s="58">
        <f t="shared" si="5"/>
        <v>0.375</v>
      </c>
      <c r="H13" s="59">
        <f t="shared" si="6"/>
        <v>0.58000000000000007</v>
      </c>
      <c r="I13" s="63" t="s">
        <v>492</v>
      </c>
      <c r="J13" s="4"/>
      <c r="K13" s="45">
        <f>MATCH($B13,ruminants!$A$3:$A$120,0)</f>
        <v>42</v>
      </c>
      <c r="L13" s="27">
        <f>INDEX(ruminants!$D$3:$AH$120,$K13,L$4)</f>
        <v>87</v>
      </c>
      <c r="M13" s="52">
        <f t="shared" ref="M13:M44" si="11">( 5.7*P13+9.4*Q13+4.1*(R13+S13) ) * 0.004184</f>
        <v>18.089524000000001</v>
      </c>
      <c r="N13" s="28">
        <f>INDEX(ruminants!$D$3:$AH$120,$K13,N$4)</f>
        <v>13.2</v>
      </c>
      <c r="O13" s="28">
        <f>INDEX(ruminants!$D$3:$AH$120,$K13,O$4)</f>
        <v>15</v>
      </c>
      <c r="P13" s="44">
        <f>INDEX(ruminants!$D$3:$AH$120,$K13,P$4)</f>
        <v>122</v>
      </c>
      <c r="Q13" s="29">
        <f>INDEX(ruminants!$D$3:$AH$120,$K13,Q$4)</f>
        <v>27</v>
      </c>
      <c r="R13" s="29">
        <f>INDEX(ruminants!$D$3:$AH$120,$K13,R$4)</f>
        <v>62</v>
      </c>
      <c r="S13" s="29">
        <f>INDEX(ruminants!$D$3:$AH$120,$K13,S$4)</f>
        <v>761</v>
      </c>
      <c r="T13" s="32">
        <f>INDEX(ruminants!$D$3:$AH$120,$K13,T$4)</f>
        <v>28</v>
      </c>
      <c r="U13" s="28">
        <f t="shared" si="8"/>
        <v>1.952</v>
      </c>
      <c r="V13" s="58">
        <f>INDEX(ruminants!$D$3:$AH$120,$K13,V$4)/1000*100</f>
        <v>0.4</v>
      </c>
      <c r="W13" s="59">
        <f>INDEX(ruminants!$D$3:$AH$120,$K13,W$4)/1000*100</f>
        <v>0.59000000000000008</v>
      </c>
      <c r="X13" s="79"/>
      <c r="Y13" s="73"/>
      <c r="Z13" s="45">
        <f>MATCH($B13,pigs!$A$3:$A$60,0)</f>
        <v>13</v>
      </c>
      <c r="AA13" s="27">
        <f>INDEX(pigs!$D$3:$AO$60,$Z13,AA$4)</f>
        <v>87</v>
      </c>
      <c r="AB13" s="52">
        <f t="shared" ref="AB13:AB15" si="12">( 5.7*AF13+9.4*AG13+4.1*(AH13) ) * 0.004184</f>
        <v>17.950615200000001</v>
      </c>
      <c r="AC13" s="72">
        <v>14.8</v>
      </c>
      <c r="AD13" s="37">
        <f>INDEX(pigs!$D$3:$AO$60,$Z13,AD$4)</f>
        <v>11</v>
      </c>
      <c r="AE13" s="37">
        <f>INDEX(pigs!$D$3:$AO$60,$Z13,AE$4)</f>
        <v>11.2</v>
      </c>
      <c r="AF13" s="27">
        <f>INDEX(pigs!$D$3:$AO$60,$Z13,AF$4)</f>
        <v>116</v>
      </c>
      <c r="AG13" s="37">
        <f>INDEX(pigs!$D$3:$AO$60,$Z13,AG$4)</f>
        <v>21</v>
      </c>
      <c r="AH13" s="31">
        <f t="shared" ref="AH13:AH15" si="13">1000-SUM(AF13:AG13,AI13)</f>
        <v>837</v>
      </c>
      <c r="AI13" s="38">
        <f>INDEX(pigs!$D$3:$AO$60,$Z13,AI$4)</f>
        <v>26</v>
      </c>
      <c r="AJ13" s="28">
        <f t="shared" ref="AJ13:AJ46" si="14">AF13*AJ$3/1000*100</f>
        <v>1.8560000000000001</v>
      </c>
      <c r="AK13" s="58">
        <f>INDEX(pigs!$D$3:$AO$60,$Z13,AK$4)/1000*100</f>
        <v>0.35000000000000003</v>
      </c>
      <c r="AL13" s="59">
        <f>INDEX(pigs!$D$3:$AO$60,$Z13,AL$4)/1000*100</f>
        <v>0.57000000000000006</v>
      </c>
      <c r="AM13" s="78"/>
      <c r="AN13" s="75" t="s">
        <v>561</v>
      </c>
      <c r="AO13" t="s">
        <v>471</v>
      </c>
      <c r="AP13" s="45">
        <f>MATCH($B13,poultry!$A$3:$A$41,0)</f>
        <v>16</v>
      </c>
      <c r="AQ13" s="27">
        <f>INDEX(poultry!$D$3:$U$41,$AP13,AQ$4)</f>
        <v>87</v>
      </c>
      <c r="AR13" s="97">
        <f>INDEX(poultry!$D$3:$U$41,$AP13,AR$4)/(AQ13/100)</f>
        <v>13.563218390804598</v>
      </c>
    </row>
    <row r="14" spans="2:45" x14ac:dyDescent="0.25">
      <c r="B14" t="s">
        <v>34</v>
      </c>
      <c r="C14" s="44">
        <f t="shared" si="10"/>
        <v>86</v>
      </c>
      <c r="D14" s="101">
        <f t="shared" si="9"/>
        <v>18.6602216</v>
      </c>
      <c r="E14" s="43">
        <f t="shared" si="3"/>
        <v>3.2</v>
      </c>
      <c r="F14" s="28">
        <f t="shared" ref="F14:F15" si="15">AVERAGE(U14,AJ14)</f>
        <v>1.7680000000000002</v>
      </c>
      <c r="G14" s="58">
        <f t="shared" ref="G14:G15" si="16">AVERAGE(V14,AK14)</f>
        <v>0.36499999999999999</v>
      </c>
      <c r="H14" s="59">
        <f t="shared" ref="H14:H15" si="17">AVERAGE(W14,AL14)</f>
        <v>0.54</v>
      </c>
      <c r="I14" s="63" t="s">
        <v>492</v>
      </c>
      <c r="J14" s="4"/>
      <c r="K14" s="45">
        <f>MATCH($B14,ruminants!$A$3:$A$120,0)</f>
        <v>28</v>
      </c>
      <c r="L14" s="27">
        <f>INDEX(ruminants!$D$3:$AH$120,$K14,L$4)</f>
        <v>85</v>
      </c>
      <c r="M14" s="52">
        <f t="shared" si="11"/>
        <v>18.6602216</v>
      </c>
      <c r="N14" s="28">
        <f>INDEX(ruminants!$D$3:$AH$120,$K14,N$4)</f>
        <v>11.7</v>
      </c>
      <c r="O14" s="28">
        <f>INDEX(ruminants!$D$3:$AH$120,$K14,O$4)</f>
        <v>13.3</v>
      </c>
      <c r="P14" s="44">
        <f>INDEX(ruminants!$D$3:$AH$120,$K14,P$4)</f>
        <v>110</v>
      </c>
      <c r="Q14" s="29">
        <f>INDEX(ruminants!$D$3:$AH$120,$K14,Q$4)</f>
        <v>61</v>
      </c>
      <c r="R14" s="29">
        <f>INDEX(ruminants!$D$3:$AH$120,$K14,R$4)</f>
        <v>141</v>
      </c>
      <c r="S14" s="29">
        <f>INDEX(ruminants!$D$3:$AH$120,$K14,S$4)</f>
        <v>654</v>
      </c>
      <c r="T14" s="32">
        <f>INDEX(ruminants!$D$3:$AH$120,$K14,T$4)</f>
        <v>34</v>
      </c>
      <c r="U14" s="28">
        <f t="shared" si="8"/>
        <v>1.76</v>
      </c>
      <c r="V14" s="58">
        <f>INDEX(ruminants!$D$3:$AH$120,$K14,V$4)/1000*100</f>
        <v>0.37</v>
      </c>
      <c r="W14" s="59">
        <f>INDEX(ruminants!$D$3:$AH$120,$K14,W$4)/1000*100</f>
        <v>0.53</v>
      </c>
      <c r="X14" s="79"/>
      <c r="Y14" s="73"/>
      <c r="Z14" s="45">
        <f>MATCH($B14,pigs!$A$3:$A$60,0)</f>
        <v>11</v>
      </c>
      <c r="AA14" s="27">
        <f>INDEX(pigs!$D$3:$AO$60,$Z14,AA$4)</f>
        <v>87</v>
      </c>
      <c r="AB14" s="52">
        <f t="shared" si="12"/>
        <v>18.580307199999996</v>
      </c>
      <c r="AC14" s="69">
        <v>12.7</v>
      </c>
      <c r="AD14" s="37">
        <f>INDEX(pigs!$D$3:$AO$60,$Z14,AD$4)</f>
        <v>9</v>
      </c>
      <c r="AE14" s="37">
        <f>INDEX(pigs!$D$3:$AO$60,$Z14,AE$4)</f>
        <v>9.4</v>
      </c>
      <c r="AF14" s="27">
        <f>INDEX(pigs!$D$3:$AO$60,$Z14,AF$4)</f>
        <v>111</v>
      </c>
      <c r="AG14" s="37">
        <f>INDEX(pigs!$D$3:$AO$60,$Z14,AG$4)</f>
        <v>54</v>
      </c>
      <c r="AH14" s="31">
        <f t="shared" si="13"/>
        <v>805</v>
      </c>
      <c r="AI14" s="38">
        <f>INDEX(pigs!$D$3:$AO$60,$Z14,AI$4)</f>
        <v>30</v>
      </c>
      <c r="AJ14" s="28">
        <f t="shared" si="14"/>
        <v>1.7760000000000002</v>
      </c>
      <c r="AK14" s="58">
        <f>INDEX(pigs!$D$3:$AO$60,$Z14,AK$4)/1000*100</f>
        <v>0.36</v>
      </c>
      <c r="AL14" s="59">
        <f>INDEX(pigs!$D$3:$AO$60,$Z14,AL$4)/1000*100</f>
        <v>0.54999999999999993</v>
      </c>
      <c r="AM14" s="78"/>
      <c r="AN14" s="75" t="s">
        <v>562</v>
      </c>
      <c r="AO14" t="s">
        <v>471</v>
      </c>
      <c r="AP14" s="45">
        <f>MATCH($B14,poultry!$A$3:$A$41,0)</f>
        <v>10</v>
      </c>
      <c r="AQ14" s="27">
        <f>INDEX(poultry!$D$3:$U$41,$AP14,AQ$4)</f>
        <v>87</v>
      </c>
      <c r="AR14" s="97">
        <f>INDEX(poultry!$D$3:$U$41,$AP14,AR$4)/(AQ14/100)</f>
        <v>12.298850574712644</v>
      </c>
    </row>
    <row r="15" spans="2:45" x14ac:dyDescent="0.25">
      <c r="B15" t="s">
        <v>35</v>
      </c>
      <c r="C15" s="44">
        <f t="shared" si="10"/>
        <v>86</v>
      </c>
      <c r="D15" s="101">
        <f>M15</f>
        <v>18.2284328</v>
      </c>
      <c r="E15" s="43">
        <f t="shared" si="3"/>
        <v>2.0500000000000003</v>
      </c>
      <c r="F15" s="28">
        <f t="shared" si="15"/>
        <v>1.8639999999999999</v>
      </c>
      <c r="G15" s="58">
        <f t="shared" si="16"/>
        <v>0.38</v>
      </c>
      <c r="H15" s="59">
        <f t="shared" si="17"/>
        <v>0.58000000000000007</v>
      </c>
      <c r="I15" s="63" t="s">
        <v>492</v>
      </c>
      <c r="J15" s="4"/>
      <c r="K15" s="45">
        <f>MATCH($B15,ruminants!$A$3:$A$120,0)</f>
        <v>78</v>
      </c>
      <c r="L15" s="27">
        <f>INDEX(ruminants!$D$3:$AH$120,$K15,L$4)</f>
        <v>87</v>
      </c>
      <c r="M15" s="52">
        <f t="shared" si="11"/>
        <v>18.2284328</v>
      </c>
      <c r="N15" s="28">
        <f>INDEX(ruminants!$D$3:$AH$120,$K15,N$4)</f>
        <v>14</v>
      </c>
      <c r="O15" s="28">
        <f>INDEX(ruminants!$D$3:$AH$120,$K15,O$4)</f>
        <v>15.8</v>
      </c>
      <c r="P15" s="44">
        <f>INDEX(ruminants!$D$3:$AH$120,$K15,P$4)</f>
        <v>123</v>
      </c>
      <c r="Q15" s="29">
        <f>INDEX(ruminants!$D$3:$AH$120,$K15,Q$4)</f>
        <v>26</v>
      </c>
      <c r="R15" s="29">
        <f>INDEX(ruminants!$D$3:$AH$120,$K15,R$4)</f>
        <v>33</v>
      </c>
      <c r="S15" s="29">
        <f>INDEX(ruminants!$D$3:$AH$120,$K15,S$4)</f>
        <v>799</v>
      </c>
      <c r="T15" s="32">
        <f>INDEX(ruminants!$D$3:$AH$120,$K15,T$4)</f>
        <v>19</v>
      </c>
      <c r="U15" s="28">
        <f t="shared" si="8"/>
        <v>1.968</v>
      </c>
      <c r="V15" s="58">
        <f>INDEX(ruminants!$D$3:$AH$120,$K15,V$4)/1000*100</f>
        <v>0.4</v>
      </c>
      <c r="W15" s="59">
        <f>INDEX(ruminants!$D$3:$AH$120,$K15,W$4)/1000*100</f>
        <v>0.54</v>
      </c>
      <c r="X15" s="79"/>
      <c r="Y15" s="73"/>
      <c r="Z15" s="45">
        <f>MATCH($B15,pigs!$A$3:$A$60,0)</f>
        <v>39</v>
      </c>
      <c r="AA15" s="27">
        <f>INDEX(pigs!$D$3:$AO$60,$Z15,AA$4)</f>
        <v>87</v>
      </c>
      <c r="AB15" s="52">
        <f t="shared" si="12"/>
        <v>17.846015199999997</v>
      </c>
      <c r="AC15" s="69">
        <v>15.6</v>
      </c>
      <c r="AD15" s="37">
        <f>INDEX(pigs!$D$3:$AO$60,$Z15,AD$4)</f>
        <v>11.9</v>
      </c>
      <c r="AE15" s="37">
        <f>INDEX(pigs!$D$3:$AO$60,$Z15,AE$4)</f>
        <v>12</v>
      </c>
      <c r="AF15" s="27">
        <f>INDEX(pigs!$D$3:$AO$60,$Z15,AF$4)</f>
        <v>110</v>
      </c>
      <c r="AG15" s="37">
        <f>INDEX(pigs!$D$3:$AO$60,$Z15,AG$4)</f>
        <v>15</v>
      </c>
      <c r="AH15" s="31">
        <f t="shared" si="13"/>
        <v>853</v>
      </c>
      <c r="AI15" s="38">
        <f>INDEX(pigs!$D$3:$AO$60,$Z15,AI$4)</f>
        <v>22</v>
      </c>
      <c r="AJ15" s="28">
        <f t="shared" si="14"/>
        <v>1.76</v>
      </c>
      <c r="AK15" s="58">
        <f>INDEX(pigs!$D$3:$AO$60,$Z15,AK$4)/1000*100</f>
        <v>0.36</v>
      </c>
      <c r="AL15" s="59">
        <f>INDEX(pigs!$D$3:$AO$60,$Z15,AL$4)/1000*100</f>
        <v>0.62</v>
      </c>
      <c r="AM15" s="78"/>
      <c r="AN15" s="75" t="s">
        <v>563</v>
      </c>
      <c r="AO15" t="s">
        <v>471</v>
      </c>
      <c r="AP15" s="45">
        <f>MATCH($B15,poultry!$A$3:$A$41,0)</f>
        <v>31</v>
      </c>
      <c r="AQ15" s="27">
        <f>INDEX(poultry!$D$3:$U$41,$AP15,AQ$4)</f>
        <v>89</v>
      </c>
      <c r="AR15" s="97">
        <f>INDEX(poultry!$D$3:$U$41,$AP15,AR$4)/(AQ15/100)</f>
        <v>14.606741573033707</v>
      </c>
    </row>
    <row r="16" spans="2:45" x14ac:dyDescent="0.25">
      <c r="B16" t="s">
        <v>306</v>
      </c>
      <c r="C16" s="44">
        <f t="shared" si="10"/>
        <v>86</v>
      </c>
      <c r="D16" s="101">
        <f t="shared" si="9"/>
        <v>17.924256</v>
      </c>
      <c r="E16" s="43">
        <f t="shared" si="3"/>
        <v>2.0500000000000003</v>
      </c>
      <c r="F16" s="28">
        <f t="shared" ref="F16:F46" si="18">AVERAGE(U16,AJ16)</f>
        <v>1.6240000000000001</v>
      </c>
      <c r="G16" s="58">
        <f t="shared" ref="G16:G46" si="19">AVERAGE(V16,AK16)</f>
        <v>0.32999999999999996</v>
      </c>
      <c r="H16" s="59">
        <f t="shared" ref="H16:H46" si="20">AVERAGE(W16,AL16)</f>
        <v>0.55499999999999994</v>
      </c>
      <c r="I16" s="63" t="s">
        <v>492</v>
      </c>
      <c r="J16" s="4"/>
      <c r="K16" s="45">
        <f>MATCH($B16,ruminants!$A$3:$A$120,0)</f>
        <v>77</v>
      </c>
      <c r="L16" s="27">
        <f>INDEX(ruminants!$D$3:$AH$120,$K16,L$4)</f>
        <v>87</v>
      </c>
      <c r="M16" s="52">
        <f t="shared" si="11"/>
        <v>17.924256</v>
      </c>
      <c r="N16" s="28">
        <f>INDEX(ruminants!$D$3:$AH$120,$K16,N$4)</f>
        <v>13.9</v>
      </c>
      <c r="O16" s="28">
        <f>INDEX(ruminants!$D$3:$AH$120,$K16,O$4)</f>
        <v>15.8</v>
      </c>
      <c r="P16" s="44">
        <f>INDEX(ruminants!$D$3:$AH$120,$K16,P$4)</f>
        <v>100</v>
      </c>
      <c r="Q16" s="29">
        <f>INDEX(ruminants!$D$3:$AH$120,$K16,Q$4)</f>
        <v>20</v>
      </c>
      <c r="R16" s="29">
        <f>INDEX(ruminants!$D$3:$AH$120,$K16,R$4)</f>
        <v>25</v>
      </c>
      <c r="S16" s="29">
        <f>INDEX(ruminants!$D$3:$AH$120,$K16,S$4)</f>
        <v>835</v>
      </c>
      <c r="T16" s="32">
        <f>INDEX(ruminants!$D$3:$AH$120,$K16,T$4)</f>
        <v>20</v>
      </c>
      <c r="U16" s="28">
        <f t="shared" si="8"/>
        <v>1.6</v>
      </c>
      <c r="V16" s="58">
        <f>INDEX(ruminants!$D$3:$AH$120,$K16,V$4)/1000*100</f>
        <v>0.33999999999999997</v>
      </c>
      <c r="W16" s="59">
        <f>INDEX(ruminants!$D$3:$AH$120,$K16,W$4)/1000*100</f>
        <v>0.54999999999999993</v>
      </c>
      <c r="X16" s="79"/>
      <c r="Y16" s="73"/>
      <c r="Z16" s="45">
        <f>MATCH($B16,pigs!$A$3:$A$60,0)</f>
        <v>38</v>
      </c>
      <c r="AA16" s="27">
        <f>INDEX(pigs!$D$3:$AO$60,$Z16,AA$4)</f>
        <v>87</v>
      </c>
      <c r="AB16" s="52">
        <f>( 5.7*AF16+9.4*AG16+4.1*(AH16) ) * 0.004184</f>
        <v>17.794133599999999</v>
      </c>
      <c r="AC16" s="69"/>
      <c r="AD16" s="37">
        <f>INDEX(pigs!$D$3:$AO$60,$Z16,AD$4)</f>
        <v>11.3</v>
      </c>
      <c r="AE16" s="37">
        <f>INDEX(pigs!$D$3:$AO$60,$Z16,AE$4)</f>
        <v>11.5</v>
      </c>
      <c r="AF16" s="27">
        <f>INDEX(pigs!$D$3:$AO$60,$Z16,AF$4)</f>
        <v>103</v>
      </c>
      <c r="AG16" s="37">
        <f>INDEX(pigs!$D$3:$AO$60,$Z16,AG$4)</f>
        <v>14</v>
      </c>
      <c r="AH16" s="31">
        <f t="shared" ref="AH16" si="21">1000-SUM(AF16:AG16,AI16)</f>
        <v>862</v>
      </c>
      <c r="AI16" s="38">
        <f>INDEX(pigs!$D$3:$AO$60,$Z16,AI$4)</f>
        <v>21</v>
      </c>
      <c r="AJ16" s="28">
        <f t="shared" ref="AJ16" si="22">AF16*AJ$3/1000*100</f>
        <v>1.6480000000000001</v>
      </c>
      <c r="AK16" s="58">
        <f>INDEX(pigs!$D$3:$AO$60,$Z16,AK$4)/1000*100</f>
        <v>0.32</v>
      </c>
      <c r="AL16" s="59">
        <f>INDEX(pigs!$D$3:$AO$60,$Z16,AL$4)/1000*100</f>
        <v>0.55999999999999994</v>
      </c>
      <c r="AM16" s="78"/>
      <c r="AN16" s="74"/>
      <c r="AO16" t="s">
        <v>471</v>
      </c>
      <c r="AP16" s="45">
        <f>MATCH($B16,poultry!$A$3:$A$41,0)</f>
        <v>30</v>
      </c>
      <c r="AQ16" s="27">
        <f>INDEX(poultry!$D$3:$U$41,$AP16,AQ$4)</f>
        <v>87</v>
      </c>
      <c r="AR16" s="97">
        <f>INDEX(poultry!$D$3:$U$41,$AP16,AR$4)/(AQ16/100)</f>
        <v>12.873563218390803</v>
      </c>
    </row>
    <row r="17" spans="2:45" x14ac:dyDescent="0.25">
      <c r="B17" t="s">
        <v>36</v>
      </c>
      <c r="C17" s="44">
        <f t="shared" si="10"/>
        <v>86</v>
      </c>
      <c r="D17" s="101">
        <f t="shared" si="9"/>
        <v>18.3899352</v>
      </c>
      <c r="E17" s="43">
        <f t="shared" si="3"/>
        <v>1.8499999999999999</v>
      </c>
      <c r="F17" s="28">
        <f t="shared" si="18"/>
        <v>1.6400000000000001</v>
      </c>
      <c r="G17" s="58">
        <f t="shared" si="19"/>
        <v>0.33999999999999997</v>
      </c>
      <c r="H17" s="59">
        <f t="shared" si="20"/>
        <v>0.46500000000000002</v>
      </c>
      <c r="I17" s="63" t="s">
        <v>492</v>
      </c>
      <c r="J17" s="4"/>
      <c r="K17" s="45">
        <f>MATCH($B17,ruminants!$A$3:$A$120,0)</f>
        <v>53</v>
      </c>
      <c r="L17" s="27">
        <f>INDEX(ruminants!$D$3:$AH$120,$K17,L$4)</f>
        <v>48</v>
      </c>
      <c r="M17" s="52">
        <f t="shared" si="11"/>
        <v>18.3899352</v>
      </c>
      <c r="N17" s="28">
        <f>INDEX(ruminants!$D$3:$AH$120,$K17,N$4)</f>
        <v>12.8</v>
      </c>
      <c r="O17" s="28">
        <f>INDEX(ruminants!$D$3:$AH$120,$K17,O$4)</f>
        <v>14.5</v>
      </c>
      <c r="P17" s="44">
        <f>INDEX(ruminants!$D$3:$AH$120,$K17,P$4)</f>
        <v>111</v>
      </c>
      <c r="Q17" s="29">
        <f>INDEX(ruminants!$D$3:$AH$120,$K17,Q$4)</f>
        <v>40</v>
      </c>
      <c r="R17" s="29">
        <f>INDEX(ruminants!$D$3:$AH$120,$K17,R$4)</f>
        <v>63</v>
      </c>
      <c r="S17" s="29">
        <f>INDEX(ruminants!$D$3:$AH$120,$K17,S$4)</f>
        <v>763</v>
      </c>
      <c r="T17" s="32">
        <f>INDEX(ruminants!$D$3:$AH$120,$K17,T$4)</f>
        <v>23</v>
      </c>
      <c r="U17" s="28">
        <f t="shared" si="8"/>
        <v>1.7760000000000002</v>
      </c>
      <c r="V17" s="58">
        <f>INDEX(ruminants!$D$3:$AH$120,$K17,V$4)/1000*100</f>
        <v>0.36</v>
      </c>
      <c r="W17" s="59">
        <f>INDEX(ruminants!$D$3:$AH$120,$K17,W$4)/1000*100</f>
        <v>0.53</v>
      </c>
      <c r="X17" s="79"/>
      <c r="Y17" s="73"/>
      <c r="Z17" s="45">
        <f>MATCH($B17,pigs!$A$3:$A$60,0)</f>
        <v>19</v>
      </c>
      <c r="AA17" s="27">
        <f>INDEX(pigs!$D$3:$AO$60,$Z17,AA$4)</f>
        <v>87</v>
      </c>
      <c r="AB17" s="52">
        <f t="shared" ref="AB17:AB22" si="23">( 5.7*AF17+9.4*AG17+4.1*(AH17) ) * 0.004184</f>
        <v>18.4970456</v>
      </c>
      <c r="AC17" s="69">
        <v>16.5</v>
      </c>
      <c r="AD17" s="37">
        <f>INDEX(pigs!$D$3:$AO$60,$Z17,AD$4)</f>
        <v>12.8</v>
      </c>
      <c r="AE17" s="37">
        <f>INDEX(pigs!$D$3:$AO$60,$Z17,AE$4)</f>
        <v>13.2</v>
      </c>
      <c r="AF17" s="27">
        <f>INDEX(pigs!$D$3:$AO$60,$Z17,AF$4)</f>
        <v>94</v>
      </c>
      <c r="AG17" s="37">
        <f>INDEX(pigs!$D$3:$AO$60,$Z17,AG$4)</f>
        <v>43</v>
      </c>
      <c r="AH17" s="31">
        <f t="shared" ref="AH17:AH22" si="24">1000-SUM(AF17:AG17,AI17)</f>
        <v>849</v>
      </c>
      <c r="AI17" s="38">
        <f>INDEX(pigs!$D$3:$AO$60,$Z17,AI$4)</f>
        <v>14</v>
      </c>
      <c r="AJ17" s="28">
        <f t="shared" si="14"/>
        <v>1.5040000000000002</v>
      </c>
      <c r="AK17" s="58">
        <f>INDEX(pigs!$D$3:$AO$60,$Z17,AK$4)/1000*100</f>
        <v>0.32</v>
      </c>
      <c r="AL17" s="59">
        <f>INDEX(pigs!$D$3:$AO$60,$Z17,AL$4)/1000*100</f>
        <v>0.4</v>
      </c>
      <c r="AM17" s="78"/>
      <c r="AN17" s="75" t="s">
        <v>564</v>
      </c>
      <c r="AO17" t="s">
        <v>471</v>
      </c>
      <c r="AP17" s="45">
        <f>MATCH($B17,poultry!$A$3:$A$41,0)</f>
        <v>24</v>
      </c>
      <c r="AQ17" s="27">
        <f>INDEX(poultry!$D$3:$U$41,$AP17,AQ$4)</f>
        <v>87</v>
      </c>
      <c r="AR17" s="97">
        <f>INDEX(poultry!$D$3:$U$41,$AP17,AR$4)/(AQ17/100)</f>
        <v>15.862068965517242</v>
      </c>
    </row>
    <row r="18" spans="2:45" x14ac:dyDescent="0.25">
      <c r="B18" t="s">
        <v>37</v>
      </c>
      <c r="C18" s="44">
        <f>100-15</f>
        <v>85</v>
      </c>
      <c r="D18" s="101">
        <f t="shared" si="9"/>
        <v>18.478217600000001</v>
      </c>
      <c r="E18" s="43">
        <f t="shared" si="3"/>
        <v>3.4000000000000004</v>
      </c>
      <c r="F18" s="28">
        <f t="shared" si="18"/>
        <v>3.7200000000000006</v>
      </c>
      <c r="G18" s="58">
        <f t="shared" si="19"/>
        <v>0.44499999999999995</v>
      </c>
      <c r="H18" s="59">
        <f t="shared" si="20"/>
        <v>1.155</v>
      </c>
      <c r="I18" s="63" t="s">
        <v>492</v>
      </c>
      <c r="J18" s="4"/>
      <c r="K18" s="45">
        <f>MATCH($B18,ruminants!$A$3:$A$120,0)</f>
        <v>115</v>
      </c>
      <c r="L18" s="27">
        <f>INDEX(ruminants!$D$3:$AH$120,$K18,L$4)</f>
        <v>87</v>
      </c>
      <c r="M18" s="52">
        <f t="shared" si="11"/>
        <v>18.478217600000001</v>
      </c>
      <c r="N18" s="28">
        <f>INDEX(ruminants!$D$3:$AH$120,$K18,N$4)</f>
        <v>13.8</v>
      </c>
      <c r="O18" s="28">
        <f>INDEX(ruminants!$D$3:$AH$120,$K18,O$4)</f>
        <v>16</v>
      </c>
      <c r="P18" s="44">
        <f>INDEX(ruminants!$D$3:$AH$120,$K18,P$4)</f>
        <v>226</v>
      </c>
      <c r="Q18" s="29">
        <f>INDEX(ruminants!$D$3:$AH$120,$K18,Q$4)</f>
        <v>17</v>
      </c>
      <c r="R18" s="29">
        <f>INDEX(ruminants!$D$3:$AH$120,$K18,R$4)</f>
        <v>78</v>
      </c>
      <c r="S18" s="29">
        <f>INDEX(ruminants!$D$3:$AH$120,$K18,S$4)</f>
        <v>646</v>
      </c>
      <c r="T18" s="32">
        <f>INDEX(ruminants!$D$3:$AH$120,$K18,T$4)</f>
        <v>33</v>
      </c>
      <c r="U18" s="28">
        <f t="shared" si="8"/>
        <v>3.6160000000000005</v>
      </c>
      <c r="V18" s="58">
        <f>INDEX(ruminants!$D$3:$AH$120,$K18,V$4)/1000*100</f>
        <v>0.43</v>
      </c>
      <c r="W18" s="59">
        <f>INDEX(ruminants!$D$3:$AH$120,$K18,W$4)/1000*100</f>
        <v>1.1100000000000001</v>
      </c>
      <c r="X18" s="79"/>
      <c r="Z18" s="45">
        <f>MATCH($B18,pigs!$A$3:$A$60,0)</f>
        <v>56</v>
      </c>
      <c r="AA18" s="27">
        <f>INDEX(pigs!$D$3:$AO$60,$Z18,AA$4)</f>
        <v>87</v>
      </c>
      <c r="AB18" s="52">
        <f t="shared" si="23"/>
        <v>18.420059999999999</v>
      </c>
      <c r="AC18" s="69">
        <v>16.100000000000001</v>
      </c>
      <c r="AD18" s="37">
        <f>INDEX(pigs!$D$3:$AO$60,$Z18,AD$4)</f>
        <v>11.2</v>
      </c>
      <c r="AE18" s="37">
        <f>INDEX(pigs!$D$3:$AO$60,$Z18,AE$4)</f>
        <v>11.5</v>
      </c>
      <c r="AF18" s="27">
        <f>INDEX(pigs!$D$3:$AO$60,$Z18,AF$4)</f>
        <v>239</v>
      </c>
      <c r="AG18" s="37">
        <f>INDEX(pigs!$D$3:$AO$60,$Z18,AG$4)</f>
        <v>12</v>
      </c>
      <c r="AH18" s="31">
        <f t="shared" si="24"/>
        <v>714</v>
      </c>
      <c r="AI18" s="38">
        <f>INDEX(pigs!$D$3:$AO$60,$Z18,AI$4)</f>
        <v>35</v>
      </c>
      <c r="AJ18" s="28">
        <f t="shared" si="14"/>
        <v>3.8240000000000003</v>
      </c>
      <c r="AK18" s="58">
        <f>INDEX(pigs!$D$3:$AO$60,$Z18,AK$4)/1000*100</f>
        <v>0.45999999999999996</v>
      </c>
      <c r="AL18" s="59">
        <f>INDEX(pigs!$D$3:$AO$60,$Z18,AL$4)/1000*100</f>
        <v>1.2</v>
      </c>
      <c r="AM18" s="78"/>
      <c r="AN18" s="75" t="s">
        <v>565</v>
      </c>
      <c r="AO18" t="s">
        <v>471</v>
      </c>
      <c r="AP18" s="45">
        <f>MATCH($B18,poultry!$A$3:$A$41,0)</f>
        <v>39</v>
      </c>
      <c r="AQ18" s="27">
        <f>INDEX(poultry!$D$3:$U$41,$AP18,AQ$4)</f>
        <v>87</v>
      </c>
      <c r="AR18" s="97">
        <f>INDEX(poultry!$D$3:$U$41,$AP18,AR$4)/(AQ18/100)</f>
        <v>12.64367816091954</v>
      </c>
    </row>
    <row r="19" spans="2:45" x14ac:dyDescent="0.25">
      <c r="B19" t="s">
        <v>38</v>
      </c>
      <c r="C19" s="44">
        <f>100-15</f>
        <v>85</v>
      </c>
      <c r="D19" s="101">
        <f t="shared" si="9"/>
        <v>18.737207199999997</v>
      </c>
      <c r="E19" s="43">
        <f t="shared" si="3"/>
        <v>4</v>
      </c>
      <c r="F19" s="28">
        <f t="shared" si="18"/>
        <v>4.8079999999999998</v>
      </c>
      <c r="G19" s="58">
        <f t="shared" si="19"/>
        <v>0.61499999999999999</v>
      </c>
      <c r="H19" s="59">
        <f t="shared" si="20"/>
        <v>1.375</v>
      </c>
      <c r="I19" s="63" t="s">
        <v>492</v>
      </c>
      <c r="J19" s="4"/>
      <c r="K19" s="45"/>
      <c r="L19" s="44">
        <v>86.6</v>
      </c>
      <c r="M19" s="52">
        <f>( 5.7*P19+9.4*Q19+4.1*(R19+S19) ) * 0.004184</f>
        <v>18.737207199999997</v>
      </c>
      <c r="N19" s="28">
        <v>13.3</v>
      </c>
      <c r="O19" s="28">
        <f>INDEX(ruminants!$D$3:$AH$120,$K19,O$4)</f>
        <v>12.6</v>
      </c>
      <c r="P19" s="44">
        <v>290</v>
      </c>
      <c r="Q19" s="29">
        <v>14</v>
      </c>
      <c r="R19" s="29">
        <v>91</v>
      </c>
      <c r="S19" s="31">
        <f>1000-SUM(P19:R19,T19)</f>
        <v>566</v>
      </c>
      <c r="T19" s="32">
        <v>39</v>
      </c>
      <c r="U19" s="28">
        <f t="shared" si="8"/>
        <v>4.6399999999999997</v>
      </c>
      <c r="V19" s="58">
        <f>5.5/1000*100</f>
        <v>0.54999999999999993</v>
      </c>
      <c r="W19" s="59">
        <f>11.5/1000*100</f>
        <v>1.1499999999999999</v>
      </c>
      <c r="X19" s="79" t="s">
        <v>311</v>
      </c>
      <c r="Y19" s="7" t="s">
        <v>471</v>
      </c>
      <c r="Z19" s="45">
        <f>MATCH($B19,pigs!$A$3:$A$60,0)</f>
        <v>57</v>
      </c>
      <c r="AA19" s="27">
        <f>INDEX(pigs!$D$3:$AO$60,$Z19,AA$4)</f>
        <v>87</v>
      </c>
      <c r="AB19" s="52">
        <f t="shared" si="23"/>
        <v>18.821305599999999</v>
      </c>
      <c r="AC19" s="69">
        <v>15.5</v>
      </c>
      <c r="AD19" s="37">
        <f>INDEX(pigs!$D$3:$AO$60,$Z19,AD$4)</f>
        <v>10.7</v>
      </c>
      <c r="AE19" s="37">
        <f>INDEX(pigs!$D$3:$AO$60,$Z19,AE$4)</f>
        <v>10.9</v>
      </c>
      <c r="AF19" s="27">
        <f>INDEX(pigs!$D$3:$AO$60,$Z19,AF$4)</f>
        <v>311</v>
      </c>
      <c r="AG19" s="37">
        <f>INDEX(pigs!$D$3:$AO$60,$Z19,AG$4)</f>
        <v>13</v>
      </c>
      <c r="AH19" s="31">
        <f t="shared" si="24"/>
        <v>635</v>
      </c>
      <c r="AI19" s="38">
        <f>INDEX(pigs!$D$3:$AO$60,$Z19,AI$4)</f>
        <v>41</v>
      </c>
      <c r="AJ19" s="28">
        <f t="shared" si="14"/>
        <v>4.976</v>
      </c>
      <c r="AK19" s="58">
        <f>INDEX(pigs!$D$3:$AO$60,$Z19,AK$4)/1000*100</f>
        <v>0.67999999999999994</v>
      </c>
      <c r="AL19" s="59">
        <f>INDEX(pigs!$D$3:$AO$60,$Z19,AL$4)/1000*100</f>
        <v>1.6</v>
      </c>
      <c r="AM19" s="78"/>
      <c r="AN19" s="75" t="s">
        <v>311</v>
      </c>
      <c r="AO19" t="s">
        <v>471</v>
      </c>
      <c r="AP19" s="45"/>
      <c r="AQ19" s="27"/>
      <c r="AR19" s="38"/>
    </row>
    <row r="20" spans="2:45" x14ac:dyDescent="0.25">
      <c r="B20" t="s">
        <v>31</v>
      </c>
      <c r="C20" s="44">
        <f>100-9</f>
        <v>91</v>
      </c>
      <c r="D20" s="101">
        <f t="shared" si="9"/>
        <v>27.903096000000001</v>
      </c>
      <c r="E20" s="43">
        <f t="shared" si="3"/>
        <v>4.6500000000000004</v>
      </c>
      <c r="F20" s="28">
        <f t="shared" si="18"/>
        <v>3.3360000000000003</v>
      </c>
      <c r="G20" s="58">
        <f t="shared" si="19"/>
        <v>0.81</v>
      </c>
      <c r="H20" s="59">
        <f t="shared" si="20"/>
        <v>0.90999999999999992</v>
      </c>
      <c r="I20" s="63" t="s">
        <v>492</v>
      </c>
      <c r="J20" s="4"/>
      <c r="K20" s="45">
        <f>MATCH($B20,ruminants!$A$3:$A$120,0)</f>
        <v>71</v>
      </c>
      <c r="L20" s="27">
        <f>INDEX(ruminants!$D$3:$AH$120,$K20,L$4)</f>
        <v>93</v>
      </c>
      <c r="M20" s="52">
        <f t="shared" si="11"/>
        <v>27.903096000000001</v>
      </c>
      <c r="N20" s="28">
        <f>INDEX(ruminants!$D$3:$AH$120,$K20,N$4)</f>
        <v>22.1</v>
      </c>
      <c r="O20" s="28">
        <f>INDEX(ruminants!$D$3:$AH$120,$K20,O$4)</f>
        <v>22.1</v>
      </c>
      <c r="P20" s="44">
        <f>INDEX(ruminants!$D$3:$AH$120,$K20,P$4)</f>
        <v>210</v>
      </c>
      <c r="Q20" s="29">
        <f>INDEX(ruminants!$D$3:$AH$120,$K20,Q$4)</f>
        <v>460</v>
      </c>
      <c r="R20" s="29">
        <f>INDEX(ruminants!$D$3:$AH$120,$K20,R$4)</f>
        <v>80</v>
      </c>
      <c r="S20" s="29">
        <f>INDEX(ruminants!$D$3:$AH$120,$K20,S$4)</f>
        <v>200</v>
      </c>
      <c r="T20" s="32">
        <f>INDEX(ruminants!$D$3:$AH$120,$K20,T$4)</f>
        <v>50</v>
      </c>
      <c r="U20" s="28">
        <f t="shared" si="8"/>
        <v>3.3600000000000003</v>
      </c>
      <c r="V20" s="58">
        <f>INDEX(ruminants!$D$3:$AH$120,$K20,V$4)/1000*100</f>
        <v>0.86</v>
      </c>
      <c r="W20" s="59">
        <f>INDEX(ruminants!$D$3:$AH$120,$K20,W$4)/1000*100</f>
        <v>0.81999999999999984</v>
      </c>
      <c r="X20" s="79"/>
      <c r="Z20" s="45">
        <f>MATCH($B20,pigs!$A$3:$A$60,0)</f>
        <v>33</v>
      </c>
      <c r="AA20" s="27">
        <f>INDEX(pigs!$D$3:$AO$60,$Z20,AA$4)</f>
        <v>92</v>
      </c>
      <c r="AB20" s="52">
        <f t="shared" si="23"/>
        <v>27.892217599999999</v>
      </c>
      <c r="AC20" s="69">
        <v>23.5</v>
      </c>
      <c r="AD20" s="37">
        <f>INDEX(pigs!$D$3:$AO$60,$Z20,AD$4)</f>
        <v>18</v>
      </c>
      <c r="AE20" s="37">
        <f>INDEX(pigs!$D$3:$AO$60,$Z20,AE$4)</f>
        <v>18.5</v>
      </c>
      <c r="AF20" s="27">
        <f>INDEX(pigs!$D$3:$AO$60,$Z20,AF$4)</f>
        <v>207</v>
      </c>
      <c r="AG20" s="37">
        <f>INDEX(pigs!$D$3:$AO$60,$Z20,AG$4)</f>
        <v>455</v>
      </c>
      <c r="AH20" s="31">
        <f t="shared" si="24"/>
        <v>295</v>
      </c>
      <c r="AI20" s="38">
        <f>INDEX(pigs!$D$3:$AO$60,$Z20,AI$4)</f>
        <v>43</v>
      </c>
      <c r="AJ20" s="28">
        <f t="shared" si="14"/>
        <v>3.3119999999999998</v>
      </c>
      <c r="AK20" s="58">
        <f>INDEX(pigs!$D$3:$AO$60,$Z20,AK$4)/1000*100</f>
        <v>0.76</v>
      </c>
      <c r="AL20" s="59">
        <f>INDEX(pigs!$D$3:$AO$60,$Z20,AL$4)/1000*100</f>
        <v>1</v>
      </c>
      <c r="AM20" s="78"/>
      <c r="AN20" s="75" t="s">
        <v>568</v>
      </c>
      <c r="AO20" t="s">
        <v>471</v>
      </c>
      <c r="AP20" s="45"/>
      <c r="AQ20" s="27"/>
      <c r="AR20" s="38">
        <v>16.8</v>
      </c>
      <c r="AS20" t="s">
        <v>568</v>
      </c>
    </row>
    <row r="21" spans="2:45" x14ac:dyDescent="0.25">
      <c r="B21" t="s">
        <v>39</v>
      </c>
      <c r="C21" s="44">
        <f>100-9</f>
        <v>91</v>
      </c>
      <c r="D21" s="101">
        <f t="shared" si="9"/>
        <v>26.501456000000001</v>
      </c>
      <c r="E21" s="43">
        <f t="shared" si="3"/>
        <v>3.9</v>
      </c>
      <c r="F21" s="28">
        <f t="shared" si="18"/>
        <v>3.7359999999999998</v>
      </c>
      <c r="G21" s="58">
        <f t="shared" si="19"/>
        <v>0.57000000000000006</v>
      </c>
      <c r="H21" s="59">
        <f t="shared" si="20"/>
        <v>0.89500000000000002</v>
      </c>
      <c r="I21" s="63" t="s">
        <v>492</v>
      </c>
      <c r="J21" s="4"/>
      <c r="K21" s="45">
        <f>MATCH($B21,ruminants!$A$3:$A$120,0)</f>
        <v>45</v>
      </c>
      <c r="L21" s="27">
        <f>INDEX(ruminants!$D$3:$AH$120,$K21,L$4)</f>
        <v>93</v>
      </c>
      <c r="M21" s="52">
        <f t="shared" si="11"/>
        <v>26.501456000000001</v>
      </c>
      <c r="N21" s="28">
        <f>INDEX(ruminants!$D$3:$AH$120,$K21,N$4)</f>
        <v>20.100000000000001</v>
      </c>
      <c r="O21" s="28">
        <f>INDEX(ruminants!$D$3:$AH$120,$K21,O$4)</f>
        <v>20.8</v>
      </c>
      <c r="P21" s="44">
        <f>INDEX(ruminants!$D$3:$AH$120,$K21,P$4)</f>
        <v>240</v>
      </c>
      <c r="Q21" s="29">
        <f>INDEX(ruminants!$D$3:$AH$120,$K21,Q$4)</f>
        <v>380</v>
      </c>
      <c r="R21" s="29">
        <f>INDEX(ruminants!$D$3:$AH$120,$K21,R$4)</f>
        <v>70</v>
      </c>
      <c r="S21" s="29">
        <f>INDEX(ruminants!$D$3:$AH$120,$K21,S$4)</f>
        <v>270</v>
      </c>
      <c r="T21" s="32">
        <f>INDEX(ruminants!$D$3:$AH$120,$K21,T$4)</f>
        <v>40</v>
      </c>
      <c r="U21" s="28">
        <f t="shared" si="8"/>
        <v>3.84</v>
      </c>
      <c r="V21" s="58">
        <f>INDEX(ruminants!$D$3:$AH$120,$K21,V$4)/1000*100</f>
        <v>0.57000000000000006</v>
      </c>
      <c r="W21" s="59">
        <f>INDEX(ruminants!$D$3:$AH$120,$K21,W$4)/1000*100</f>
        <v>0.89999999999999991</v>
      </c>
      <c r="X21" s="79"/>
      <c r="Z21" s="45">
        <f>MATCH($B21,pigs!$A$3:$A$60,0)</f>
        <v>14</v>
      </c>
      <c r="AA21" s="27">
        <f>INDEX(pigs!$D$3:$AO$60,$Z21,AA$4)</f>
        <v>91</v>
      </c>
      <c r="AB21" s="52">
        <f t="shared" si="23"/>
        <v>27.712724000000005</v>
      </c>
      <c r="AC21" s="69">
        <v>20.9</v>
      </c>
      <c r="AD21" s="37">
        <f>INDEX(pigs!$D$3:$AO$60,$Z21,AD$4)</f>
        <v>17.3</v>
      </c>
      <c r="AE21" s="37">
        <f>INDEX(pigs!$D$3:$AO$60,$Z21,AE$4)</f>
        <v>17.5</v>
      </c>
      <c r="AF21" s="27">
        <f>INDEX(pigs!$D$3:$AO$60,$Z21,AF$4)</f>
        <v>227</v>
      </c>
      <c r="AG21" s="37">
        <f>INDEX(pigs!$D$3:$AO$60,$Z21,AG$4)</f>
        <v>437</v>
      </c>
      <c r="AH21" s="31">
        <f t="shared" si="24"/>
        <v>298</v>
      </c>
      <c r="AI21" s="38">
        <f>INDEX(pigs!$D$3:$AO$60,$Z21,AI$4)</f>
        <v>38</v>
      </c>
      <c r="AJ21" s="28">
        <f t="shared" si="14"/>
        <v>3.6319999999999997</v>
      </c>
      <c r="AK21" s="58">
        <f>INDEX(pigs!$D$3:$AO$60,$Z21,AK$4)/1000*100</f>
        <v>0.57000000000000006</v>
      </c>
      <c r="AL21" s="59">
        <f>INDEX(pigs!$D$3:$AO$60,$Z21,AL$4)/1000*100</f>
        <v>0.89</v>
      </c>
      <c r="AM21" s="78"/>
      <c r="AN21" s="75" t="s">
        <v>569</v>
      </c>
      <c r="AO21" t="s">
        <v>471</v>
      </c>
      <c r="AP21" s="45"/>
      <c r="AQ21" s="27"/>
      <c r="AR21" s="38"/>
    </row>
    <row r="22" spans="2:45" x14ac:dyDescent="0.25">
      <c r="B22" t="s">
        <v>304</v>
      </c>
      <c r="C22" s="44">
        <f t="shared" ref="C22:C38" si="25">AVERAGE(AA22,L22)</f>
        <v>100</v>
      </c>
      <c r="D22" s="101">
        <f t="shared" si="9"/>
        <v>39.329599999999999</v>
      </c>
      <c r="E22" s="43">
        <f t="shared" si="3"/>
        <v>0</v>
      </c>
      <c r="F22" s="28">
        <f t="shared" si="18"/>
        <v>0</v>
      </c>
      <c r="G22" s="58">
        <f t="shared" si="19"/>
        <v>0</v>
      </c>
      <c r="H22" s="59">
        <f t="shared" si="20"/>
        <v>0</v>
      </c>
      <c r="I22" s="4"/>
      <c r="J22" s="4"/>
      <c r="K22" s="45"/>
      <c r="L22" s="27">
        <v>100</v>
      </c>
      <c r="M22" s="52">
        <f>( 5.7*P22+9.4*Q22+4.1*(R22+S22) ) * 0.004184</f>
        <v>39.329599999999999</v>
      </c>
      <c r="N22" s="28">
        <v>36.6</v>
      </c>
      <c r="O22" s="76">
        <f>N22</f>
        <v>36.6</v>
      </c>
      <c r="P22" s="44">
        <v>0</v>
      </c>
      <c r="Q22" s="29">
        <v>1000</v>
      </c>
      <c r="R22" s="29">
        <v>0</v>
      </c>
      <c r="S22" s="29">
        <v>0</v>
      </c>
      <c r="T22" s="32">
        <v>0</v>
      </c>
      <c r="U22" s="28">
        <f t="shared" si="8"/>
        <v>0</v>
      </c>
      <c r="V22" s="58">
        <v>0</v>
      </c>
      <c r="W22" s="59">
        <v>0</v>
      </c>
      <c r="X22" s="79" t="s">
        <v>312</v>
      </c>
      <c r="Y22" t="s">
        <v>471</v>
      </c>
      <c r="Z22" s="45">
        <f>MATCH($B22,pigs!$A$3:$A$60,0)</f>
        <v>28</v>
      </c>
      <c r="AA22" s="27">
        <f>INDEX(pigs!$D$3:$AO$60,$Z22,AA$4)</f>
        <v>100</v>
      </c>
      <c r="AB22" s="52">
        <f t="shared" si="23"/>
        <v>39.329599999999999</v>
      </c>
      <c r="AC22" s="69">
        <v>34.5</v>
      </c>
      <c r="AD22" s="37">
        <f>INDEX(pigs!$D$3:$AO$60,$Z22,AD$4)</f>
        <v>29.8</v>
      </c>
      <c r="AE22" s="37">
        <f>INDEX(pigs!$D$3:$AO$60,$Z22,AE$4)</f>
        <v>29.8</v>
      </c>
      <c r="AF22" s="27">
        <f>INDEX(pigs!$D$3:$AO$60,$Z22,AF$4)</f>
        <v>0</v>
      </c>
      <c r="AG22" s="37">
        <f>INDEX(pigs!$D$3:$AO$60,$Z22,AG$4)</f>
        <v>1000</v>
      </c>
      <c r="AH22" s="31">
        <f t="shared" si="24"/>
        <v>0</v>
      </c>
      <c r="AI22" s="38">
        <f>INDEX(pigs!$D$3:$AO$60,$Z22,AI$4)</f>
        <v>0</v>
      </c>
      <c r="AJ22" s="28">
        <f t="shared" si="14"/>
        <v>0</v>
      </c>
      <c r="AK22" s="58">
        <f>INDEX(pigs!$D$3:$AO$60,$Z22,AK$4)/1000*100</f>
        <v>0</v>
      </c>
      <c r="AL22" s="59">
        <f>INDEX(pigs!$D$3:$AO$60,$Z22,AL$4)/1000*100</f>
        <v>0</v>
      </c>
      <c r="AM22" s="78"/>
      <c r="AN22" s="75" t="s">
        <v>312</v>
      </c>
      <c r="AO22" t="s">
        <v>471</v>
      </c>
      <c r="AP22" s="45">
        <f>MATCH($B22,poultry!$A$3:$A$41,0)</f>
        <v>1</v>
      </c>
      <c r="AQ22" s="27">
        <f>INDEX(poultry!$D$3:$U$41,$AP22,AQ$4)</f>
        <v>99</v>
      </c>
      <c r="AR22" s="97">
        <f>INDEX(poultry!$D$3:$U$41,$AP22,AR$4)/(AQ22/100)</f>
        <v>38.080808080808083</v>
      </c>
    </row>
    <row r="23" spans="2:45" x14ac:dyDescent="0.25">
      <c r="B23" t="s">
        <v>296</v>
      </c>
      <c r="C23" s="44">
        <f t="shared" si="25"/>
        <v>85</v>
      </c>
      <c r="D23" s="101">
        <f t="shared" si="9"/>
        <v>16.927627199999996</v>
      </c>
      <c r="E23" s="43">
        <f t="shared" si="3"/>
        <v>6.6000000000000005</v>
      </c>
      <c r="F23" s="28">
        <f t="shared" si="18"/>
        <v>1.1040000000000001</v>
      </c>
      <c r="G23" s="58">
        <f t="shared" si="19"/>
        <v>0.26</v>
      </c>
      <c r="H23" s="59">
        <f t="shared" si="20"/>
        <v>1.6800000000000002</v>
      </c>
      <c r="I23" s="4"/>
      <c r="J23" s="4"/>
      <c r="K23" s="45">
        <f>MATCH($B23,ruminants!$A$3:$A$120,0)</f>
        <v>22</v>
      </c>
      <c r="L23" s="27">
        <f>INDEX(ruminants!$D$3:$AH$120,$K23,L$4)</f>
        <v>85</v>
      </c>
      <c r="M23" s="52">
        <f t="shared" si="11"/>
        <v>16.927627199999996</v>
      </c>
      <c r="N23" s="28">
        <f>INDEX(ruminants!$D$3:$AH$120,$K23,N$4)</f>
        <v>6.6</v>
      </c>
      <c r="O23" s="28">
        <f>INDEX(ruminants!$D$3:$AH$120,$K23,O$4)</f>
        <v>7.6</v>
      </c>
      <c r="P23" s="44">
        <f>INDEX(ruminants!$D$3:$AH$120,$K23,P$4)</f>
        <v>69</v>
      </c>
      <c r="Q23" s="29">
        <f>INDEX(ruminants!$D$3:$AH$120,$K23,Q$4)</f>
        <v>20</v>
      </c>
      <c r="R23" s="29">
        <f>INDEX(ruminants!$D$3:$AH$120,$K23,R$4)</f>
        <v>436</v>
      </c>
      <c r="S23" s="29">
        <f>INDEX(ruminants!$D$3:$AH$120,$K23,S$4)</f>
        <v>409</v>
      </c>
      <c r="T23" s="32">
        <f>INDEX(ruminants!$D$3:$AH$120,$K23,T$4)</f>
        <v>66</v>
      </c>
      <c r="U23" s="28">
        <f t="shared" si="8"/>
        <v>1.1040000000000001</v>
      </c>
      <c r="V23" s="58">
        <f>INDEX(ruminants!$D$3:$AH$120,$K23,V$4)/1000*100</f>
        <v>0.26</v>
      </c>
      <c r="W23" s="59">
        <f>INDEX(ruminants!$D$3:$AH$120,$K23,W$4)/1000*100</f>
        <v>1.6800000000000002</v>
      </c>
      <c r="X23" s="79"/>
      <c r="Z23" s="45"/>
      <c r="AA23" s="27"/>
      <c r="AB23" s="37"/>
      <c r="AC23" s="72"/>
      <c r="AD23" s="37"/>
      <c r="AE23" s="37"/>
      <c r="AF23" s="27"/>
      <c r="AG23" s="37"/>
      <c r="AH23" s="37"/>
      <c r="AI23" s="38"/>
      <c r="AJ23" s="28"/>
      <c r="AK23" s="58"/>
      <c r="AL23" s="59"/>
      <c r="AM23" s="78"/>
      <c r="AN23" s="75"/>
      <c r="AO23" t="s">
        <v>471</v>
      </c>
      <c r="AP23" s="45"/>
      <c r="AQ23" s="27"/>
      <c r="AR23" s="38"/>
    </row>
    <row r="24" spans="2:45" x14ac:dyDescent="0.25">
      <c r="B24" t="s">
        <v>307</v>
      </c>
      <c r="C24" s="44">
        <f t="shared" si="25"/>
        <v>87</v>
      </c>
      <c r="D24" s="101">
        <f t="shared" si="9"/>
        <v>22.965976000000001</v>
      </c>
      <c r="E24" s="43">
        <f t="shared" si="3"/>
        <v>5</v>
      </c>
      <c r="F24" s="28">
        <f t="shared" si="18"/>
        <v>6.4</v>
      </c>
      <c r="G24" s="58">
        <f t="shared" si="19"/>
        <v>0.63</v>
      </c>
      <c r="H24" s="59">
        <f t="shared" si="20"/>
        <v>1.9</v>
      </c>
      <c r="I24" s="4"/>
      <c r="J24" s="4"/>
      <c r="K24" s="45">
        <f>MATCH($B24,ruminants!$A$3:$A$120,0)</f>
        <v>92</v>
      </c>
      <c r="L24" s="27">
        <f>INDEX(ruminants!$D$3:$AH$120,$K24,L$4)</f>
        <v>87</v>
      </c>
      <c r="M24" s="52">
        <f t="shared" si="11"/>
        <v>22.965976000000001</v>
      </c>
      <c r="N24" s="28">
        <f>INDEX(ruminants!$D$3:$AH$120,$K24,N$4)</f>
        <v>16.399999999999999</v>
      </c>
      <c r="O24" s="28">
        <f>INDEX(ruminants!$D$3:$AH$120,$K24,O$4)</f>
        <v>18.399999999999999</v>
      </c>
      <c r="P24" s="44">
        <f>INDEX(ruminants!$D$3:$AH$120,$K24,P$4)</f>
        <v>400</v>
      </c>
      <c r="Q24" s="29">
        <f>INDEX(ruminants!$D$3:$AH$120,$K24,Q$4)</f>
        <v>180</v>
      </c>
      <c r="R24" s="29">
        <f>INDEX(ruminants!$D$3:$AH$120,$K24,R$4)</f>
        <v>60</v>
      </c>
      <c r="S24" s="29">
        <f>INDEX(ruminants!$D$3:$AH$120,$K24,S$4)</f>
        <v>310</v>
      </c>
      <c r="T24" s="32">
        <f>INDEX(ruminants!$D$3:$AH$120,$K24,T$4)</f>
        <v>50</v>
      </c>
      <c r="U24" s="28">
        <f t="shared" si="8"/>
        <v>6.4</v>
      </c>
      <c r="V24" s="58">
        <f>INDEX(ruminants!$D$3:$AH$120,$K24,V$4)/1000*100</f>
        <v>0.63</v>
      </c>
      <c r="W24" s="59">
        <f>INDEX(ruminants!$D$3:$AH$120,$K24,W$4)/1000*100</f>
        <v>1.9</v>
      </c>
      <c r="X24" s="79"/>
      <c r="Z24" s="45"/>
      <c r="AA24" s="27"/>
      <c r="AB24" s="37"/>
      <c r="AC24" s="72"/>
      <c r="AD24" s="37"/>
      <c r="AE24" s="37"/>
      <c r="AF24" s="27"/>
      <c r="AG24" s="37"/>
      <c r="AH24" s="37"/>
      <c r="AI24" s="38"/>
      <c r="AJ24" s="28"/>
      <c r="AK24" s="58"/>
      <c r="AL24" s="59"/>
      <c r="AM24" s="78"/>
      <c r="AN24" s="75"/>
      <c r="AO24" t="s">
        <v>471</v>
      </c>
      <c r="AP24" s="45"/>
      <c r="AQ24" s="27"/>
      <c r="AR24" s="38">
        <v>16</v>
      </c>
      <c r="AS24" s="7" t="s">
        <v>630</v>
      </c>
    </row>
    <row r="25" spans="2:45" x14ac:dyDescent="0.25">
      <c r="B25" t="s">
        <v>40</v>
      </c>
      <c r="C25" s="44">
        <f t="shared" si="25"/>
        <v>87.5</v>
      </c>
      <c r="D25" s="101">
        <f t="shared" si="9"/>
        <v>19.589487999999999</v>
      </c>
      <c r="E25" s="43">
        <f t="shared" si="3"/>
        <v>7.1499999999999995</v>
      </c>
      <c r="F25" s="28">
        <f t="shared" si="18"/>
        <v>8.2080000000000002</v>
      </c>
      <c r="G25" s="58">
        <f t="shared" si="19"/>
        <v>0.71499999999999997</v>
      </c>
      <c r="H25" s="59">
        <f t="shared" si="20"/>
        <v>2.3499999999999996</v>
      </c>
      <c r="I25" s="4"/>
      <c r="J25" s="4"/>
      <c r="K25" s="45">
        <f>MATCH($B25,ruminants!$A$3:$A$120,0)</f>
        <v>93</v>
      </c>
      <c r="L25" s="27">
        <f>INDEX(ruminants!$D$3:$AH$120,$K25,L$4)</f>
        <v>87</v>
      </c>
      <c r="M25" s="52">
        <f t="shared" si="11"/>
        <v>19.589487999999999</v>
      </c>
      <c r="N25" s="28">
        <f>INDEX(ruminants!$D$3:$AH$120,$K25,N$4)</f>
        <v>14.6</v>
      </c>
      <c r="O25" s="28">
        <f>INDEX(ruminants!$D$3:$AH$120,$K25,O$4)</f>
        <v>17.8</v>
      </c>
      <c r="P25" s="44">
        <f>INDEX(ruminants!$D$3:$AH$120,$K25,P$4)</f>
        <v>510</v>
      </c>
      <c r="Q25" s="29">
        <f>INDEX(ruminants!$D$3:$AH$120,$K25,Q$4)</f>
        <v>10</v>
      </c>
      <c r="R25" s="29">
        <f>INDEX(ruminants!$D$3:$AH$120,$K25,R$4)</f>
        <v>60</v>
      </c>
      <c r="S25" s="29">
        <f>INDEX(ruminants!$D$3:$AH$120,$K25,S$4)</f>
        <v>350</v>
      </c>
      <c r="T25" s="32">
        <f>INDEX(ruminants!$D$3:$AH$120,$K25,T$4)</f>
        <v>70</v>
      </c>
      <c r="U25" s="28">
        <f t="shared" si="8"/>
        <v>8.16</v>
      </c>
      <c r="V25" s="58">
        <f>INDEX(ruminants!$D$3:$AH$120,$K25,V$4)/1000*100</f>
        <v>0.72</v>
      </c>
      <c r="W25" s="59">
        <f>INDEX(ruminants!$D$3:$AH$120,$K25,W$4)/1000*100</f>
        <v>2.2999999999999998</v>
      </c>
      <c r="X25" s="79"/>
      <c r="Z25" s="45">
        <f>MATCH($B25,pigs!$A$3:$A$60,0)</f>
        <v>43</v>
      </c>
      <c r="AA25" s="27">
        <f>INDEX(pigs!$D$3:$AO$60,$Z25,AA$4)</f>
        <v>88</v>
      </c>
      <c r="AB25" s="52">
        <f t="shared" ref="AB25:AB29" si="26">( 5.7*AF25+9.4*AG25+4.1*(AH25) ) * 0.004184</f>
        <v>19.822118400000001</v>
      </c>
      <c r="AC25" s="69">
        <v>16.8</v>
      </c>
      <c r="AD25" s="37">
        <f>INDEX(pigs!$D$3:$AO$60,$Z25,AD$4)</f>
        <v>9.3000000000000007</v>
      </c>
      <c r="AE25" s="37">
        <f>INDEX(pigs!$D$3:$AO$60,$Z25,AE$4)</f>
        <v>9.9</v>
      </c>
      <c r="AF25" s="27">
        <f>INDEX(pigs!$D$3:$AO$60,$Z25,AF$4)</f>
        <v>516</v>
      </c>
      <c r="AG25" s="37">
        <f>INDEX(pigs!$D$3:$AO$60,$Z25,AG$4)</f>
        <v>21</v>
      </c>
      <c r="AH25" s="31">
        <f t="shared" ref="AH25:AH29" si="27">1000-SUM(AF25:AG25,AI25)</f>
        <v>390</v>
      </c>
      <c r="AI25" s="38">
        <f>INDEX(pigs!$D$3:$AO$60,$Z25,AI$4)</f>
        <v>73</v>
      </c>
      <c r="AJ25" s="28">
        <f t="shared" si="14"/>
        <v>8.2560000000000002</v>
      </c>
      <c r="AK25" s="58">
        <f>INDEX(pigs!$D$3:$AO$60,$Z25,AK$4)/1000*100</f>
        <v>0.71</v>
      </c>
      <c r="AL25" s="59">
        <f>INDEX(pigs!$D$3:$AO$60,$Z25,AL$4)/1000*100</f>
        <v>2.4</v>
      </c>
      <c r="AM25" s="78"/>
      <c r="AN25" s="75" t="s">
        <v>570</v>
      </c>
      <c r="AO25" t="s">
        <v>471</v>
      </c>
      <c r="AP25" s="45">
        <f>MATCH($B25,poultry!$A$3:$A$41,0)</f>
        <v>33</v>
      </c>
      <c r="AQ25" s="27">
        <f>INDEX(poultry!$D$3:$U$41,$AP25,AQ$4)</f>
        <v>87</v>
      </c>
      <c r="AR25" s="97">
        <f>INDEX(poultry!$D$3:$U$41,$AP25,AR$4)/(AQ25/100)</f>
        <v>10.459770114942529</v>
      </c>
    </row>
    <row r="26" spans="2:45" x14ac:dyDescent="0.25">
      <c r="B26" t="s">
        <v>41</v>
      </c>
      <c r="C26" s="44">
        <f t="shared" si="25"/>
        <v>87.5</v>
      </c>
      <c r="D26" s="101">
        <f>AB26</f>
        <v>20.560594400000003</v>
      </c>
      <c r="E26" s="43">
        <f t="shared" si="3"/>
        <v>7.35</v>
      </c>
      <c r="F26" s="28">
        <f t="shared" si="18"/>
        <v>9.2880000000000003</v>
      </c>
      <c r="G26" s="58">
        <f t="shared" si="19"/>
        <v>0.78999999999999992</v>
      </c>
      <c r="H26" s="59">
        <f t="shared" si="20"/>
        <v>2.4649999999999999</v>
      </c>
      <c r="I26" s="4"/>
      <c r="J26" s="4"/>
      <c r="K26" s="45"/>
      <c r="L26" s="27">
        <v>88</v>
      </c>
      <c r="M26" s="52">
        <f t="shared" si="11"/>
        <v>19.974416000000002</v>
      </c>
      <c r="N26" s="28">
        <v>13.4</v>
      </c>
      <c r="O26" s="28">
        <f>M26*0.911</f>
        <v>18.196692976000001</v>
      </c>
      <c r="P26" s="44">
        <v>552</v>
      </c>
      <c r="Q26" s="29">
        <v>17</v>
      </c>
      <c r="R26" s="29">
        <v>44</v>
      </c>
      <c r="S26" s="31">
        <f>1000-SUM(P26:R26,T26)</f>
        <v>314</v>
      </c>
      <c r="T26" s="32">
        <v>73</v>
      </c>
      <c r="U26" s="28">
        <f t="shared" si="8"/>
        <v>8.8320000000000007</v>
      </c>
      <c r="V26" s="58">
        <f>7.1/1000*100</f>
        <v>0.71</v>
      </c>
      <c r="W26" s="59">
        <f>24.3/1000*100</f>
        <v>2.4300000000000002</v>
      </c>
      <c r="X26" s="79" t="s">
        <v>571</v>
      </c>
      <c r="Y26" t="s">
        <v>471</v>
      </c>
      <c r="Z26" s="45">
        <f>MATCH($B26,pigs!$A$3:$A$60,0)</f>
        <v>45</v>
      </c>
      <c r="AA26" s="27">
        <f>INDEX(pigs!$D$3:$AO$60,$Z26,AA$4)</f>
        <v>87</v>
      </c>
      <c r="AB26" s="52">
        <f t="shared" si="26"/>
        <v>20.560594400000003</v>
      </c>
      <c r="AC26" s="69">
        <v>17.3</v>
      </c>
      <c r="AD26" s="37">
        <f>INDEX(pigs!$D$3:$AO$60,$Z26,AD$4)</f>
        <v>9.6999999999999993</v>
      </c>
      <c r="AE26" s="37">
        <f>INDEX(pigs!$D$3:$AO$60,$Z26,AE$4)</f>
        <v>10.3</v>
      </c>
      <c r="AF26" s="27">
        <f>INDEX(pigs!$D$3:$AO$60,$Z26,AF$4)</f>
        <v>609</v>
      </c>
      <c r="AG26" s="37">
        <f>INDEX(pigs!$D$3:$AO$60,$Z26,AG$4)</f>
        <v>27</v>
      </c>
      <c r="AH26" s="31">
        <f t="shared" si="27"/>
        <v>290</v>
      </c>
      <c r="AI26" s="38">
        <f>INDEX(pigs!$D$3:$AO$60,$Z26,AI$4)</f>
        <v>74</v>
      </c>
      <c r="AJ26" s="28">
        <f t="shared" si="14"/>
        <v>9.7439999999999998</v>
      </c>
      <c r="AK26" s="58">
        <f>INDEX(pigs!$D$3:$AO$60,$Z26,AK$4)/1000*100</f>
        <v>0.86999999999999988</v>
      </c>
      <c r="AL26" s="59">
        <f>INDEX(pigs!$D$3:$AO$60,$Z26,AL$4)/1000*100</f>
        <v>2.5</v>
      </c>
      <c r="AM26" s="78"/>
      <c r="AN26" s="75" t="s">
        <v>571</v>
      </c>
      <c r="AO26" t="s">
        <v>471</v>
      </c>
      <c r="AP26" s="45"/>
      <c r="AQ26" s="27"/>
      <c r="AR26" s="38"/>
    </row>
    <row r="27" spans="2:45" x14ac:dyDescent="0.25">
      <c r="B27" t="s">
        <v>32</v>
      </c>
      <c r="C27" s="44">
        <f t="shared" si="25"/>
        <v>89.5</v>
      </c>
      <c r="D27" s="101">
        <f t="shared" ref="D27:D36" si="28">M27</f>
        <v>19.4920008</v>
      </c>
      <c r="E27" s="43">
        <f t="shared" si="3"/>
        <v>7.7</v>
      </c>
      <c r="F27" s="28">
        <f t="shared" si="18"/>
        <v>6.152000000000001</v>
      </c>
      <c r="G27" s="58">
        <f t="shared" si="19"/>
        <v>1.2450000000000001</v>
      </c>
      <c r="H27" s="59">
        <f t="shared" si="20"/>
        <v>1.55</v>
      </c>
      <c r="I27" s="4"/>
      <c r="J27" s="4"/>
      <c r="K27" s="45">
        <f>MATCH($B27,ruminants!$A$3:$A$120,0)</f>
        <v>70</v>
      </c>
      <c r="L27" s="27">
        <f>INDEX(ruminants!$D$3:$AH$120,$K27,L$4)</f>
        <v>90</v>
      </c>
      <c r="M27" s="52">
        <f t="shared" si="11"/>
        <v>19.4920008</v>
      </c>
      <c r="N27" s="28">
        <f>INDEX(ruminants!$D$3:$AH$120,$K27,N$4)</f>
        <v>12.2</v>
      </c>
      <c r="O27" s="28">
        <f>INDEX(ruminants!$D$3:$AH$120,$K27,O$4)</f>
        <v>14.6</v>
      </c>
      <c r="P27" s="44">
        <f>INDEX(ruminants!$D$3:$AH$120,$K27,P$4)</f>
        <v>389</v>
      </c>
      <c r="Q27" s="29">
        <f>INDEX(ruminants!$D$3:$AH$120,$K27,Q$4)</f>
        <v>46</v>
      </c>
      <c r="R27" s="29">
        <f>INDEX(ruminants!$D$3:$AH$120,$K27,R$4)</f>
        <v>140</v>
      </c>
      <c r="S27" s="29">
        <f>INDEX(ruminants!$D$3:$AH$120,$K27,S$4)</f>
        <v>350</v>
      </c>
      <c r="T27" s="32">
        <f>INDEX(ruminants!$D$3:$AH$120,$K27,T$4)</f>
        <v>75</v>
      </c>
      <c r="U27" s="28">
        <f t="shared" si="8"/>
        <v>6.2240000000000002</v>
      </c>
      <c r="V27" s="58">
        <f>INDEX(ruminants!$D$3:$AH$120,$K27,V$4)/1000*100</f>
        <v>1.2</v>
      </c>
      <c r="W27" s="59">
        <f>INDEX(ruminants!$D$3:$AH$120,$K27,W$4)/1000*100</f>
        <v>1.6</v>
      </c>
      <c r="X27" s="79"/>
      <c r="Z27" s="45">
        <f>MATCH($B27,pigs!$A$3:$A$60,0)</f>
        <v>36</v>
      </c>
      <c r="AA27" s="27">
        <f>INDEX(pigs!$D$3:$AO$60,$Z27,AA$4)</f>
        <v>89</v>
      </c>
      <c r="AB27" s="52">
        <f t="shared" si="26"/>
        <v>18.9196296</v>
      </c>
      <c r="AC27" s="69">
        <v>13.3</v>
      </c>
      <c r="AD27" s="37">
        <f>INDEX(pigs!$D$3:$AO$60,$Z27,AD$4)</f>
        <v>7.1</v>
      </c>
      <c r="AE27" s="37">
        <f>INDEX(pigs!$D$3:$AO$60,$Z27,AE$4)</f>
        <v>7.7</v>
      </c>
      <c r="AF27" s="27">
        <f>INDEX(pigs!$D$3:$AO$60,$Z27,AF$4)</f>
        <v>380</v>
      </c>
      <c r="AG27" s="37">
        <f>INDEX(pigs!$D$3:$AO$60,$Z27,AG$4)</f>
        <v>26</v>
      </c>
      <c r="AH27" s="31">
        <f t="shared" si="27"/>
        <v>515</v>
      </c>
      <c r="AI27" s="38">
        <f>INDEX(pigs!$D$3:$AO$60,$Z27,AI$4)</f>
        <v>79</v>
      </c>
      <c r="AJ27" s="28">
        <f t="shared" si="14"/>
        <v>6.080000000000001</v>
      </c>
      <c r="AK27" s="58">
        <f>INDEX(pigs!$D$3:$AO$60,$Z27,AK$4)/1000*100</f>
        <v>1.29</v>
      </c>
      <c r="AL27" s="59">
        <f>INDEX(pigs!$D$3:$AO$60,$Z27,AL$4)/1000*100</f>
        <v>1.5</v>
      </c>
      <c r="AM27" s="78"/>
      <c r="AN27" s="75" t="s">
        <v>572</v>
      </c>
      <c r="AO27" t="s">
        <v>471</v>
      </c>
      <c r="AP27" s="45">
        <f>MATCH($B27,poultry!$A$3:$A$41,0)</f>
        <v>29</v>
      </c>
      <c r="AQ27" s="27">
        <f>INDEX(poultry!$D$3:$U$41,$AP27,AQ$4)</f>
        <v>90</v>
      </c>
      <c r="AR27" s="97">
        <f>INDEX(poultry!$D$3:$U$41,$AP27,AR$4)/(AQ27/100)</f>
        <v>8.4444444444444446</v>
      </c>
    </row>
    <row r="28" spans="2:45" x14ac:dyDescent="0.25">
      <c r="B28" t="s">
        <v>42</v>
      </c>
      <c r="C28" s="44">
        <f t="shared" si="25"/>
        <v>91</v>
      </c>
      <c r="D28" s="101">
        <f t="shared" si="28"/>
        <v>19.083224000000001</v>
      </c>
      <c r="E28" s="43">
        <f t="shared" si="3"/>
        <v>7.75</v>
      </c>
      <c r="F28" s="28">
        <f t="shared" si="18"/>
        <v>6.6640000000000006</v>
      </c>
      <c r="G28" s="58">
        <f t="shared" si="19"/>
        <v>1.3050000000000002</v>
      </c>
      <c r="H28" s="59">
        <f t="shared" si="20"/>
        <v>1.75</v>
      </c>
      <c r="I28" s="4"/>
      <c r="J28" s="4"/>
      <c r="K28" s="45">
        <f>MATCH($B28,ruminants!$A$3:$A$120,0)</f>
        <v>99</v>
      </c>
      <c r="L28" s="27">
        <f>INDEX(ruminants!$D$3:$AH$120,$K28,L$4)</f>
        <v>92</v>
      </c>
      <c r="M28" s="52">
        <f t="shared" si="11"/>
        <v>19.083224000000001</v>
      </c>
      <c r="N28" s="28">
        <f>INDEX(ruminants!$D$3:$AH$120,$K28,N$4)</f>
        <v>11.4</v>
      </c>
      <c r="O28" s="28">
        <f>INDEX(ruminants!$D$3:$AH$120,$K28,O$4)</f>
        <v>14.1</v>
      </c>
      <c r="P28" s="44">
        <f>INDEX(ruminants!$D$3:$AH$120,$K28,P$4)</f>
        <v>460</v>
      </c>
      <c r="Q28" s="29">
        <f>INDEX(ruminants!$D$3:$AH$120,$K28,Q$4)</f>
        <v>10</v>
      </c>
      <c r="R28" s="29">
        <f>INDEX(ruminants!$D$3:$AH$120,$K28,R$4)</f>
        <v>170</v>
      </c>
      <c r="S28" s="29">
        <f>INDEX(ruminants!$D$3:$AH$120,$K28,S$4)</f>
        <v>280</v>
      </c>
      <c r="T28" s="32">
        <f>INDEX(ruminants!$D$3:$AH$120,$K28,T$4)</f>
        <v>80</v>
      </c>
      <c r="U28" s="28">
        <f t="shared" si="8"/>
        <v>7.3600000000000012</v>
      </c>
      <c r="V28" s="58">
        <f>INDEX(ruminants!$D$3:$AH$120,$K28,V$4)/1000*100</f>
        <v>1.35</v>
      </c>
      <c r="W28" s="59">
        <f>INDEX(ruminants!$D$3:$AH$120,$K28,W$4)/1000*100</f>
        <v>1.7999999999999998</v>
      </c>
      <c r="X28" s="79"/>
      <c r="Z28" s="45">
        <f>MATCH($B28,pigs!$A$3:$A$60,0)</f>
        <v>46</v>
      </c>
      <c r="AA28" s="27">
        <f>INDEX(pigs!$D$3:$AO$60,$Z28,AA$4)</f>
        <v>90</v>
      </c>
      <c r="AB28" s="52">
        <f t="shared" si="26"/>
        <v>18.786160000000002</v>
      </c>
      <c r="AC28" s="69">
        <v>10.3</v>
      </c>
      <c r="AD28" s="37">
        <f>INDEX(pigs!$D$3:$AO$60,$Z28,AD$4)</f>
        <v>5.9</v>
      </c>
      <c r="AE28" s="37">
        <f>INDEX(pigs!$D$3:$AO$60,$Z28,AE$4)</f>
        <v>6.5</v>
      </c>
      <c r="AF28" s="27">
        <f>INDEX(pigs!$D$3:$AO$60,$Z28,AF$4)</f>
        <v>373</v>
      </c>
      <c r="AG28" s="37">
        <f>INDEX(pigs!$D$3:$AO$60,$Z28,AG$4)</f>
        <v>19</v>
      </c>
      <c r="AH28" s="31">
        <f t="shared" si="27"/>
        <v>533</v>
      </c>
      <c r="AI28" s="38">
        <f>INDEX(pigs!$D$3:$AO$60,$Z28,AI$4)</f>
        <v>75</v>
      </c>
      <c r="AJ28" s="28">
        <f t="shared" si="14"/>
        <v>5.968</v>
      </c>
      <c r="AK28" s="58">
        <f>INDEX(pigs!$D$3:$AO$60,$Z28,AK$4)/1000*100</f>
        <v>1.26</v>
      </c>
      <c r="AL28" s="59">
        <f>INDEX(pigs!$D$3:$AO$60,$Z28,AL$4)/1000*100</f>
        <v>1.7000000000000002</v>
      </c>
      <c r="AM28" s="78"/>
      <c r="AN28" s="75" t="s">
        <v>573</v>
      </c>
      <c r="AO28" t="s">
        <v>471</v>
      </c>
      <c r="AP28" s="45"/>
      <c r="AQ28" s="27"/>
      <c r="AR28" s="38">
        <v>8.6</v>
      </c>
      <c r="AS28" t="s">
        <v>573</v>
      </c>
    </row>
    <row r="29" spans="2:45" x14ac:dyDescent="0.25">
      <c r="B29" t="s">
        <v>43</v>
      </c>
      <c r="C29" s="44">
        <f t="shared" si="25"/>
        <v>91</v>
      </c>
      <c r="D29" s="101">
        <f t="shared" si="28"/>
        <v>19.581538399999999</v>
      </c>
      <c r="E29" s="43">
        <f t="shared" si="3"/>
        <v>4.5</v>
      </c>
      <c r="F29" s="28">
        <f t="shared" si="18"/>
        <v>2.5360000000000005</v>
      </c>
      <c r="G29" s="58">
        <f t="shared" si="19"/>
        <v>0.64500000000000002</v>
      </c>
      <c r="H29" s="59">
        <f t="shared" si="20"/>
        <v>0.77500000000000002</v>
      </c>
      <c r="I29" s="4"/>
      <c r="J29" s="4"/>
      <c r="K29" s="45">
        <f>MATCH($B29,ruminants!$A$3:$A$120,0)</f>
        <v>60</v>
      </c>
      <c r="L29" s="27">
        <f>INDEX(ruminants!$D$3:$AH$120,$K29,L$4)</f>
        <v>91</v>
      </c>
      <c r="M29" s="52">
        <f t="shared" si="11"/>
        <v>19.581538399999999</v>
      </c>
      <c r="N29" s="28">
        <f>INDEX(ruminants!$D$3:$AH$120,$K29,N$4)</f>
        <v>13.4</v>
      </c>
      <c r="O29" s="28">
        <f>INDEX(ruminants!$D$3:$AH$120,$K29,O$4)</f>
        <v>15</v>
      </c>
      <c r="P29" s="44">
        <f>INDEX(ruminants!$D$3:$AH$120,$K29,P$4)</f>
        <v>154</v>
      </c>
      <c r="Q29" s="29">
        <f>INDEX(ruminants!$D$3:$AH$120,$K29,Q$4)</f>
        <v>97</v>
      </c>
      <c r="R29" s="29">
        <f>INDEX(ruminants!$D$3:$AH$120,$K29,R$4)</f>
        <v>228</v>
      </c>
      <c r="S29" s="29">
        <f>INDEX(ruminants!$D$3:$AH$120,$K29,S$4)</f>
        <v>477</v>
      </c>
      <c r="T29" s="32">
        <f>INDEX(ruminants!$D$3:$AH$120,$K29,T$4)</f>
        <v>44</v>
      </c>
      <c r="U29" s="28">
        <f t="shared" si="8"/>
        <v>2.4640000000000004</v>
      </c>
      <c r="V29" s="58">
        <f>INDEX(ruminants!$D$3:$AH$120,$K29,V$4)/1000*100</f>
        <v>0.65</v>
      </c>
      <c r="W29" s="59">
        <f>INDEX(ruminants!$D$3:$AH$120,$K29,W$4)/1000*100</f>
        <v>0.8</v>
      </c>
      <c r="X29" s="79"/>
      <c r="Z29" s="45">
        <f>MATCH($B29,pigs!$A$3:$A$60,0)</f>
        <v>29</v>
      </c>
      <c r="AA29" s="27">
        <f>INDEX(pigs!$D$3:$AO$60,$Z29,AA$4)</f>
        <v>91</v>
      </c>
      <c r="AB29" s="52">
        <f t="shared" si="26"/>
        <v>19.540953599999998</v>
      </c>
      <c r="AC29" s="69">
        <v>8.4</v>
      </c>
      <c r="AD29" s="37">
        <f>INDEX(pigs!$D$3:$AO$60,$Z29,AD$4)</f>
        <v>5.4</v>
      </c>
      <c r="AE29" s="37">
        <f>INDEX(pigs!$D$3:$AO$60,$Z29,AE$4)</f>
        <v>6.2</v>
      </c>
      <c r="AF29" s="27">
        <f>INDEX(pigs!$D$3:$AO$60,$Z29,AF$4)</f>
        <v>163</v>
      </c>
      <c r="AG29" s="37">
        <f>INDEX(pigs!$D$3:$AO$60,$Z29,AG$4)</f>
        <v>94</v>
      </c>
      <c r="AH29" s="31">
        <f t="shared" si="27"/>
        <v>697</v>
      </c>
      <c r="AI29" s="38">
        <f>INDEX(pigs!$D$3:$AO$60,$Z29,AI$4)</f>
        <v>46</v>
      </c>
      <c r="AJ29" s="28">
        <f t="shared" si="14"/>
        <v>2.6080000000000001</v>
      </c>
      <c r="AK29" s="58">
        <f>INDEX(pigs!$D$3:$AO$60,$Z29,AK$4)/1000*100</f>
        <v>0.64</v>
      </c>
      <c r="AL29" s="59">
        <f>INDEX(pigs!$D$3:$AO$60,$Z29,AL$4)/1000*100</f>
        <v>0.75</v>
      </c>
      <c r="AM29" s="78"/>
      <c r="AN29" s="75"/>
      <c r="AO29" t="s">
        <v>471</v>
      </c>
      <c r="AP29" s="45"/>
      <c r="AQ29" s="27"/>
      <c r="AR29" s="38"/>
    </row>
    <row r="30" spans="2:45" x14ac:dyDescent="0.25">
      <c r="B30" t="s">
        <v>308</v>
      </c>
      <c r="C30" s="44">
        <f t="shared" si="25"/>
        <v>90</v>
      </c>
      <c r="D30" s="101">
        <f t="shared" si="28"/>
        <v>16.971140800000001</v>
      </c>
      <c r="E30" s="43">
        <f t="shared" si="3"/>
        <v>11.700000000000001</v>
      </c>
      <c r="F30" s="28">
        <f t="shared" si="18"/>
        <v>2.9279999999999999</v>
      </c>
      <c r="G30" s="58">
        <f t="shared" si="19"/>
        <v>0.27</v>
      </c>
      <c r="H30" s="59">
        <f t="shared" si="20"/>
        <v>2.56</v>
      </c>
      <c r="I30" s="4"/>
      <c r="J30" s="4"/>
      <c r="K30" s="45"/>
      <c r="L30" s="27">
        <v>90</v>
      </c>
      <c r="M30" s="52">
        <f t="shared" si="11"/>
        <v>16.971140800000001</v>
      </c>
      <c r="N30" s="28">
        <v>8.5</v>
      </c>
      <c r="O30" s="28">
        <v>10.7</v>
      </c>
      <c r="P30" s="44">
        <v>183</v>
      </c>
      <c r="Q30" s="29">
        <v>27</v>
      </c>
      <c r="R30" s="29">
        <v>286</v>
      </c>
      <c r="S30" s="31">
        <f>1000-SUM(P30:R30,T30)</f>
        <v>387</v>
      </c>
      <c r="T30" s="32">
        <v>117</v>
      </c>
      <c r="U30" s="28">
        <f t="shared" si="8"/>
        <v>2.9279999999999999</v>
      </c>
      <c r="V30" s="58">
        <f>2.7/1000*100</f>
        <v>0.27</v>
      </c>
      <c r="W30" s="59">
        <f>25.6/1000*100</f>
        <v>2.56</v>
      </c>
      <c r="X30" s="79" t="s">
        <v>309</v>
      </c>
      <c r="Y30" s="7" t="s">
        <v>471</v>
      </c>
      <c r="Z30" s="45"/>
      <c r="AA30" s="27"/>
      <c r="AB30" s="37"/>
      <c r="AC30" s="72"/>
      <c r="AD30" s="37"/>
      <c r="AE30" s="37"/>
      <c r="AF30" s="27"/>
      <c r="AG30" s="37"/>
      <c r="AH30" s="37"/>
      <c r="AI30" s="38"/>
      <c r="AJ30" s="28"/>
      <c r="AK30" s="58"/>
      <c r="AL30" s="59"/>
      <c r="AM30" s="78"/>
      <c r="AN30" s="75"/>
      <c r="AO30" t="s">
        <v>471</v>
      </c>
      <c r="AP30" s="45"/>
      <c r="AQ30" s="27"/>
      <c r="AR30" s="38"/>
    </row>
    <row r="31" spans="2:45" x14ac:dyDescent="0.25">
      <c r="B31" t="s">
        <v>44</v>
      </c>
      <c r="C31" s="44">
        <f t="shared" si="25"/>
        <v>87</v>
      </c>
      <c r="D31" s="101">
        <f t="shared" si="28"/>
        <v>18.194124000000002</v>
      </c>
      <c r="E31" s="43">
        <f t="shared" si="3"/>
        <v>5.8999999999999995</v>
      </c>
      <c r="F31" s="28">
        <f t="shared" si="18"/>
        <v>2.6399999999999997</v>
      </c>
      <c r="G31" s="58">
        <f t="shared" si="19"/>
        <v>1.1950000000000001</v>
      </c>
      <c r="H31" s="59">
        <f t="shared" si="20"/>
        <v>1.35</v>
      </c>
      <c r="I31" s="4"/>
      <c r="J31" s="4"/>
      <c r="K31" s="45">
        <f>MATCH($B31,ruminants!$A$3:$A$120,0)</f>
        <v>111</v>
      </c>
      <c r="L31" s="27">
        <f>INDEX(ruminants!$D$3:$AH$120,$K31,L$4)</f>
        <v>87</v>
      </c>
      <c r="M31" s="52">
        <f t="shared" si="11"/>
        <v>18.194124000000002</v>
      </c>
      <c r="N31" s="28">
        <f>INDEX(ruminants!$D$3:$AH$120,$K31,N$4)</f>
        <v>11</v>
      </c>
      <c r="O31" s="28">
        <f>INDEX(ruminants!$D$3:$AH$120,$K31,O$4)</f>
        <v>12.7</v>
      </c>
      <c r="P31" s="44">
        <f>INDEX(ruminants!$D$3:$AH$120,$K31,P$4)</f>
        <v>160</v>
      </c>
      <c r="Q31" s="29">
        <f>INDEX(ruminants!$D$3:$AH$120,$K31,Q$4)</f>
        <v>45</v>
      </c>
      <c r="R31" s="29">
        <f>INDEX(ruminants!$D$3:$AH$120,$K31,R$4)</f>
        <v>115</v>
      </c>
      <c r="S31" s="29">
        <f>INDEX(ruminants!$D$3:$AH$120,$K31,S$4)</f>
        <v>620</v>
      </c>
      <c r="T31" s="32">
        <f>INDEX(ruminants!$D$3:$AH$120,$K31,T$4)</f>
        <v>60</v>
      </c>
      <c r="U31" s="28">
        <f t="shared" si="8"/>
        <v>2.56</v>
      </c>
      <c r="V31" s="58">
        <f>INDEX(ruminants!$D$3:$AH$120,$K31,V$4)/1000*100</f>
        <v>1.2</v>
      </c>
      <c r="W31" s="59">
        <f>INDEX(ruminants!$D$3:$AH$120,$K31,W$4)/1000*100</f>
        <v>1.2</v>
      </c>
      <c r="X31" s="79"/>
      <c r="Z31" s="45">
        <f>MATCH($B31,pigs!$A$3:$A$60,0)</f>
        <v>55</v>
      </c>
      <c r="AA31" s="27">
        <f>INDEX(pigs!$D$3:$AO$60,$Z31,AA$4)</f>
        <v>87</v>
      </c>
      <c r="AB31" s="52">
        <f t="shared" ref="AB31:AB39" si="29">( 5.7*AF31+9.4*AG31+4.1*(AH31) ) * 0.004184</f>
        <v>18.184500799999999</v>
      </c>
      <c r="AC31" s="69">
        <v>10.8</v>
      </c>
      <c r="AD31" s="37">
        <f>INDEX(pigs!$D$3:$AO$60,$Z31,AD$4)</f>
        <v>7.2</v>
      </c>
      <c r="AE31" s="37">
        <f>INDEX(pigs!$D$3:$AO$60,$Z31,AE$4)</f>
        <v>7.8</v>
      </c>
      <c r="AF31" s="27">
        <f>INDEX(pigs!$D$3:$AO$60,$Z31,AF$4)</f>
        <v>170</v>
      </c>
      <c r="AG31" s="37">
        <f>INDEX(pigs!$D$3:$AO$60,$Z31,AG$4)</f>
        <v>40</v>
      </c>
      <c r="AH31" s="31">
        <f t="shared" ref="AH31:AH38" si="30">1000-SUM(AF31:AG31,AI31)</f>
        <v>732</v>
      </c>
      <c r="AI31" s="38">
        <f>INDEX(pigs!$D$3:$AO$60,$Z31,AI$4)</f>
        <v>58</v>
      </c>
      <c r="AJ31" s="28">
        <f t="shared" si="14"/>
        <v>2.7199999999999998</v>
      </c>
      <c r="AK31" s="58">
        <f>INDEX(pigs!$D$3:$AO$60,$Z31,AK$4)/1000*100</f>
        <v>1.1900000000000002</v>
      </c>
      <c r="AL31" s="59">
        <f>INDEX(pigs!$D$3:$AO$60,$Z31,AL$4)/1000*100</f>
        <v>1.5</v>
      </c>
      <c r="AM31" s="78"/>
      <c r="AN31" s="75" t="s">
        <v>574</v>
      </c>
      <c r="AO31" t="s">
        <v>471</v>
      </c>
      <c r="AP31" s="45">
        <f>MATCH($B31,poultry!$A$3:$A$41,0)</f>
        <v>38</v>
      </c>
      <c r="AQ31" s="27">
        <f>INDEX(poultry!$D$3:$U$41,$AP31,AQ$4)</f>
        <v>87</v>
      </c>
      <c r="AR31" s="97">
        <f>INDEX(poultry!$D$3:$U$41,$AP31,AR$4)/(AQ31/100)</f>
        <v>7.8160919540229887</v>
      </c>
    </row>
    <row r="32" spans="2:45" x14ac:dyDescent="0.25">
      <c r="B32" t="s">
        <v>45</v>
      </c>
      <c r="C32" s="44">
        <f t="shared" si="25"/>
        <v>87.8</v>
      </c>
      <c r="D32" s="101">
        <f t="shared" si="28"/>
        <v>18.472360000000002</v>
      </c>
      <c r="E32" s="43">
        <f t="shared" si="3"/>
        <v>3.3000000000000003</v>
      </c>
      <c r="F32" s="28">
        <f t="shared" si="18"/>
        <v>2.6160000000000001</v>
      </c>
      <c r="G32" s="58">
        <f t="shared" si="19"/>
        <v>0.81500000000000006</v>
      </c>
      <c r="H32" s="59">
        <f t="shared" si="20"/>
        <v>0.96</v>
      </c>
      <c r="I32" s="4"/>
      <c r="J32" s="4"/>
      <c r="K32" s="45"/>
      <c r="L32" s="44">
        <v>87.6</v>
      </c>
      <c r="M32" s="52">
        <f t="shared" si="11"/>
        <v>18.472360000000002</v>
      </c>
      <c r="N32" s="28">
        <v>13.3</v>
      </c>
      <c r="O32" s="28">
        <f>M32*0.846</f>
        <v>15.627616560000002</v>
      </c>
      <c r="P32" s="44">
        <v>151</v>
      </c>
      <c r="Q32" s="29">
        <v>27</v>
      </c>
      <c r="R32" s="29">
        <v>11</v>
      </c>
      <c r="S32" s="31">
        <f>1000-SUM(P32:R32,T32)</f>
        <v>794</v>
      </c>
      <c r="T32" s="35">
        <v>17</v>
      </c>
      <c r="U32" s="28">
        <f t="shared" si="8"/>
        <v>2.4159999999999999</v>
      </c>
      <c r="V32" s="58">
        <f>4.4/1000*100</f>
        <v>0.44</v>
      </c>
      <c r="W32" s="59">
        <f>6.2/1000*100</f>
        <v>0.62</v>
      </c>
      <c r="X32" s="79" t="s">
        <v>485</v>
      </c>
      <c r="Y32" s="7" t="s">
        <v>471</v>
      </c>
      <c r="Z32" s="45">
        <f>MATCH($B32,pigs!$A$3:$A$60,0)</f>
        <v>54</v>
      </c>
      <c r="AA32" s="27">
        <f>INDEX(pigs!$D$3:$AO$60,$Z32,AA$4)</f>
        <v>88</v>
      </c>
      <c r="AB32" s="52">
        <f t="shared" si="29"/>
        <v>18.379056800000001</v>
      </c>
      <c r="AC32" s="69">
        <v>17.5</v>
      </c>
      <c r="AD32" s="37">
        <f>INDEX(pigs!$D$3:$AO$60,$Z32,AD$4)</f>
        <v>8.6999999999999993</v>
      </c>
      <c r="AE32" s="37">
        <f>INDEX(pigs!$D$3:$AO$60,$Z32,AE$4)</f>
        <v>9.1999999999999993</v>
      </c>
      <c r="AF32" s="27">
        <f>INDEX(pigs!$D$3:$AO$60,$Z32,AF$4)</f>
        <v>176</v>
      </c>
      <c r="AG32" s="37">
        <f>INDEX(pigs!$D$3:$AO$60,$Z32,AG$4)</f>
        <v>40</v>
      </c>
      <c r="AH32" s="31">
        <f t="shared" si="30"/>
        <v>735</v>
      </c>
      <c r="AI32" s="38">
        <f>INDEX(pigs!$D$3:$AO$60,$Z32,AI$4)</f>
        <v>49</v>
      </c>
      <c r="AJ32" s="28">
        <f t="shared" si="14"/>
        <v>2.8160000000000003</v>
      </c>
      <c r="AK32" s="58">
        <f>INDEX(pigs!$D$3:$AO$60,$Z32,AK$4)/1000*100</f>
        <v>1.1900000000000002</v>
      </c>
      <c r="AL32" s="59">
        <f>INDEX(pigs!$D$3:$AO$60,$Z32,AL$4)/1000*100</f>
        <v>1.3</v>
      </c>
      <c r="AM32" s="78"/>
      <c r="AN32" s="75" t="s">
        <v>485</v>
      </c>
      <c r="AO32" t="s">
        <v>471</v>
      </c>
      <c r="AP32" s="45">
        <f>MATCH($B32,poultry!$A$3:$A$41,0)</f>
        <v>36</v>
      </c>
      <c r="AQ32" s="27">
        <f>INDEX(poultry!$D$3:$U$41,$AP32,AQ$4)</f>
        <v>87</v>
      </c>
      <c r="AR32" s="97">
        <f>INDEX(poultry!$D$3:$U$41,$AP32,AR$4)/(AQ32/100)</f>
        <v>14.022988505747126</v>
      </c>
    </row>
    <row r="33" spans="2:44" x14ac:dyDescent="0.25">
      <c r="B33" t="s">
        <v>587</v>
      </c>
      <c r="C33" s="44">
        <f t="shared" ref="C33:C35" si="31">AVERAGE(AA33,L33)</f>
        <v>87.6</v>
      </c>
      <c r="D33" s="101">
        <f t="shared" ref="D33" si="32">M33</f>
        <v>16.941015999999998</v>
      </c>
      <c r="E33" s="43">
        <f t="shared" si="3"/>
        <v>5</v>
      </c>
      <c r="F33" s="28">
        <f t="shared" ref="F33" si="33">AVERAGE(U33,AJ33)</f>
        <v>0.48</v>
      </c>
      <c r="G33" s="58">
        <f>AVERAGE(V33,AK33)</f>
        <v>0.44</v>
      </c>
      <c r="H33" s="59">
        <f t="shared" ref="H33:H34" si="34">AVERAGE(W33,AL33)</f>
        <v>0.6</v>
      </c>
      <c r="I33" s="4"/>
      <c r="J33" s="4"/>
      <c r="K33" s="45">
        <f>MATCH($B33,ruminants!$A$3:$A$120,0)</f>
        <v>29</v>
      </c>
      <c r="L33" s="44">
        <v>87.6</v>
      </c>
      <c r="M33" s="52">
        <f t="shared" si="11"/>
        <v>16.941015999999998</v>
      </c>
      <c r="N33" s="28">
        <f>INDEX(ruminants!$D$3:$AH$120,$K33,N$4)</f>
        <v>5.2</v>
      </c>
      <c r="O33" s="28">
        <f>INDEX(ruminants!$D$3:$AH$120,$K33,O$4)</f>
        <v>6.2</v>
      </c>
      <c r="P33" s="44">
        <f>INDEX(ruminants!$D$3:$AH$120,$K33,P$4)</f>
        <v>30</v>
      </c>
      <c r="Q33" s="29">
        <f>INDEX(ruminants!$D$3:$AH$120,$K33,Q$4)</f>
        <v>20</v>
      </c>
      <c r="R33" s="29">
        <f>INDEX(ruminants!$D$3:$AH$120,$K33,R$4)</f>
        <v>340</v>
      </c>
      <c r="S33" s="29">
        <f>INDEX(ruminants!$D$3:$AH$120,$K33,S$4)</f>
        <v>560</v>
      </c>
      <c r="T33" s="32">
        <f>INDEX(ruminants!$D$3:$AH$120,$K33,T$4)</f>
        <v>50</v>
      </c>
      <c r="U33" s="28">
        <f t="shared" ref="U33:U34" si="35">P33*U$3/1000*100</f>
        <v>0.48</v>
      </c>
      <c r="V33" s="58">
        <f>INDEX(ruminants!$D$3:$AH$120,$K33,V$4)/1000*100</f>
        <v>0.44</v>
      </c>
      <c r="W33" s="59">
        <f>INDEX(ruminants!$D$3:$AH$120,$K33,W$4)/1000*100</f>
        <v>0.6</v>
      </c>
      <c r="X33" s="79"/>
      <c r="Y33" s="7"/>
      <c r="Z33" s="45"/>
      <c r="AA33" s="27"/>
      <c r="AB33" s="52"/>
      <c r="AC33" s="69"/>
      <c r="AD33" s="37"/>
      <c r="AE33" s="37"/>
      <c r="AF33" s="27"/>
      <c r="AG33" s="37"/>
      <c r="AH33" s="31"/>
      <c r="AI33" s="38"/>
      <c r="AJ33" s="28"/>
      <c r="AK33" s="58"/>
      <c r="AL33" s="59"/>
      <c r="AM33" s="78"/>
      <c r="AN33" s="75"/>
      <c r="AP33" s="45"/>
      <c r="AQ33" s="27"/>
      <c r="AR33" s="38"/>
    </row>
    <row r="34" spans="2:44" x14ac:dyDescent="0.25">
      <c r="B34" t="s">
        <v>588</v>
      </c>
      <c r="C34" s="44">
        <f>AVERAGE(AA34,L34)</f>
        <v>87.6</v>
      </c>
      <c r="D34" s="101">
        <f>M34</f>
        <v>17.3422616</v>
      </c>
      <c r="E34" s="43">
        <f>AVERAGE(T34,AI34)/1000*100</f>
        <v>5.5</v>
      </c>
      <c r="F34" s="28">
        <f>AVERAGE(U34,AJ34)</f>
        <v>1.008</v>
      </c>
      <c r="G34" s="58">
        <f>AVERAGE(V34,AK34)</f>
        <v>0.77</v>
      </c>
      <c r="H34" s="59">
        <f t="shared" si="34"/>
        <v>0</v>
      </c>
      <c r="I34" s="4"/>
      <c r="J34" s="4"/>
      <c r="K34" s="45">
        <f>MATCH($B34,ruminants!$A$3:$A$120,0)</f>
        <v>27</v>
      </c>
      <c r="L34" s="44">
        <v>87.6</v>
      </c>
      <c r="M34" s="52">
        <f t="shared" si="11"/>
        <v>17.3422616</v>
      </c>
      <c r="N34" s="28">
        <f>INDEX(ruminants!$D$3:$AH$120,$K34,N$4)</f>
        <v>7.2</v>
      </c>
      <c r="O34" s="28">
        <f>INDEX(ruminants!$D$3:$AH$120,$K34,O$4)</f>
        <v>8.4</v>
      </c>
      <c r="P34" s="44">
        <f>INDEX(ruminants!$D$3:$AH$120,$K34,P$4)</f>
        <v>63</v>
      </c>
      <c r="Q34" s="29">
        <f>INDEX(ruminants!$D$3:$AH$120,$K34,Q$4)</f>
        <v>32</v>
      </c>
      <c r="R34" s="29">
        <f>INDEX(ruminants!$D$3:$AH$120,$K34,R$4)</f>
        <v>290</v>
      </c>
      <c r="S34" s="29">
        <f>INDEX(ruminants!$D$3:$AH$120,$K34,S$4)</f>
        <v>560</v>
      </c>
      <c r="T34" s="32">
        <f>INDEX(ruminants!$D$3:$AH$120,$K34,T$4)</f>
        <v>55</v>
      </c>
      <c r="U34" s="28">
        <f t="shared" si="35"/>
        <v>1.008</v>
      </c>
      <c r="V34" s="58">
        <f>INDEX(ruminants!$D$3:$AH$120,$K34,V$4)/1000*100</f>
        <v>0.77</v>
      </c>
      <c r="W34" s="59">
        <f>INDEX(ruminants!$D$3:$AH$120,$K34,W$4)/1000*100</f>
        <v>0</v>
      </c>
      <c r="X34" s="79"/>
      <c r="Y34" s="7"/>
      <c r="Z34" s="45"/>
      <c r="AA34" s="27"/>
      <c r="AB34" s="52"/>
      <c r="AC34" s="69"/>
      <c r="AD34" s="37"/>
      <c r="AE34" s="37"/>
      <c r="AF34" s="27"/>
      <c r="AG34" s="37"/>
      <c r="AH34" s="31"/>
      <c r="AI34" s="38"/>
      <c r="AJ34" s="28"/>
      <c r="AK34" s="58"/>
      <c r="AL34" s="59"/>
      <c r="AM34" s="78"/>
      <c r="AN34" s="75"/>
      <c r="AP34" s="45"/>
      <c r="AQ34" s="27"/>
      <c r="AR34" s="38"/>
    </row>
    <row r="35" spans="2:44" x14ac:dyDescent="0.25">
      <c r="B35" t="s">
        <v>631</v>
      </c>
      <c r="C35" s="44">
        <f t="shared" si="31"/>
        <v>87.6</v>
      </c>
      <c r="D35" s="101">
        <f>M35</f>
        <v>18.340564000000001</v>
      </c>
      <c r="E35" s="43">
        <f>AVERAGE(T35,AI35)/1000*100</f>
        <v>4.5</v>
      </c>
      <c r="F35" s="28">
        <f>AVERAGE(U35,AJ35)</f>
        <v>2.56</v>
      </c>
      <c r="G35" s="58">
        <f>AVERAGE(V35,AK35)</f>
        <v>1.1100000000000001</v>
      </c>
      <c r="H35" s="59">
        <f t="shared" ref="H35" si="36">AVERAGE(W35,AL35)</f>
        <v>1.6</v>
      </c>
      <c r="I35" s="4"/>
      <c r="J35" s="4"/>
      <c r="K35" s="45">
        <f>MATCH($B35,ruminants!$A$3:$A$120,0)</f>
        <v>76</v>
      </c>
      <c r="L35" s="44">
        <v>87.6</v>
      </c>
      <c r="M35" s="52">
        <f t="shared" si="11"/>
        <v>18.340564000000001</v>
      </c>
      <c r="N35" s="28">
        <f>INDEX(ruminants!$D$3:$AH$120,$K35,N$4)</f>
        <v>11.6</v>
      </c>
      <c r="O35" s="28">
        <f>INDEX(ruminants!$D$3:$AH$120,$K35,O$4)</f>
        <v>13.2</v>
      </c>
      <c r="P35" s="44">
        <f>INDEX(ruminants!$D$3:$AH$120,$K35,P$4)</f>
        <v>160</v>
      </c>
      <c r="Q35" s="29">
        <f>INDEX(ruminants!$D$3:$AH$120,$K35,Q$4)</f>
        <v>40</v>
      </c>
      <c r="R35" s="29">
        <f>INDEX(ruminants!$D$3:$AH$120,$K35,R$4)</f>
        <v>55</v>
      </c>
      <c r="S35" s="29">
        <f>INDEX(ruminants!$D$3:$AH$120,$K35,S$4)</f>
        <v>700</v>
      </c>
      <c r="T35" s="32">
        <f>INDEX(ruminants!$D$3:$AH$120,$K35,T$4)</f>
        <v>45</v>
      </c>
      <c r="U35" s="28">
        <f t="shared" ref="U35" si="37">P35*U$3/1000*100</f>
        <v>2.56</v>
      </c>
      <c r="V35" s="58">
        <f>INDEX(ruminants!$D$3:$AH$120,$K35,V$4)/1000*100</f>
        <v>1.1100000000000001</v>
      </c>
      <c r="W35" s="59">
        <f>INDEX(ruminants!$D$3:$AH$120,$K35,W$4)/1000*100</f>
        <v>1.6</v>
      </c>
      <c r="X35" s="79"/>
      <c r="Y35" s="7"/>
      <c r="Z35" s="45"/>
      <c r="AA35" s="27"/>
      <c r="AB35" s="52"/>
      <c r="AC35" s="69"/>
      <c r="AD35" s="37"/>
      <c r="AE35" s="37"/>
      <c r="AF35" s="27"/>
      <c r="AG35" s="37"/>
      <c r="AH35" s="31"/>
      <c r="AI35" s="38"/>
      <c r="AJ35" s="28"/>
      <c r="AK35" s="58"/>
      <c r="AL35" s="59"/>
      <c r="AM35" s="78"/>
      <c r="AN35" s="75"/>
      <c r="AP35" s="45"/>
      <c r="AQ35" s="27"/>
      <c r="AR35" s="38"/>
    </row>
    <row r="36" spans="2:44" x14ac:dyDescent="0.25">
      <c r="B36" t="s">
        <v>46</v>
      </c>
      <c r="C36" s="44">
        <f t="shared" si="25"/>
        <v>90</v>
      </c>
      <c r="D36" s="101">
        <f t="shared" si="28"/>
        <v>19.659779199999999</v>
      </c>
      <c r="E36" s="43">
        <f t="shared" si="3"/>
        <v>4.05</v>
      </c>
      <c r="F36" s="28">
        <f t="shared" si="18"/>
        <v>5.2799999999999994</v>
      </c>
      <c r="G36" s="58">
        <f t="shared" si="19"/>
        <v>0.88</v>
      </c>
      <c r="H36" s="59">
        <f t="shared" si="20"/>
        <v>1.165</v>
      </c>
      <c r="I36" s="4"/>
      <c r="J36" s="4"/>
      <c r="K36" s="45">
        <f>MATCH($B36,ruminants!$A$3:$A$120,0)</f>
        <v>109</v>
      </c>
      <c r="L36" s="27">
        <f>INDEX(ruminants!$D$3:$AH$120,$K36,L$4)</f>
        <v>90</v>
      </c>
      <c r="M36" s="52">
        <f t="shared" si="11"/>
        <v>19.659779199999999</v>
      </c>
      <c r="N36" s="28">
        <f>INDEX(ruminants!$D$3:$AH$120,$K36,N$4)</f>
        <v>13.3</v>
      </c>
      <c r="O36" s="28">
        <f>INDEX(ruminants!$D$3:$AH$120,$K36,O$4)</f>
        <v>15.7</v>
      </c>
      <c r="P36" s="44">
        <f>INDEX(ruminants!$D$3:$AH$120,$K36,P$4)</f>
        <v>320</v>
      </c>
      <c r="Q36" s="29">
        <f>INDEX(ruminants!$D$3:$AH$120,$K36,Q$4)</f>
        <v>45</v>
      </c>
      <c r="R36" s="29">
        <f>INDEX(ruminants!$D$3:$AH$120,$K36,R$4)</f>
        <v>106</v>
      </c>
      <c r="S36" s="29">
        <f>INDEX(ruminants!$D$3:$AH$120,$K36,S$4)</f>
        <v>492</v>
      </c>
      <c r="T36" s="32">
        <f>INDEX(ruminants!$D$3:$AH$120,$K36,T$4)</f>
        <v>37</v>
      </c>
      <c r="U36" s="28">
        <f t="shared" si="8"/>
        <v>5.12</v>
      </c>
      <c r="V36" s="58">
        <f>INDEX(ruminants!$D$3:$AH$120,$K36,V$4)/1000*100</f>
        <v>1.03</v>
      </c>
      <c r="W36" s="59">
        <f>INDEX(ruminants!$D$3:$AH$120,$K36,W$4)/1000*100</f>
        <v>1.3699999999999999</v>
      </c>
      <c r="X36" s="79"/>
      <c r="Z36" s="45">
        <f>MATCH($B36,pigs!$A$3:$A$60,0)</f>
        <v>3</v>
      </c>
      <c r="AA36" s="27">
        <f>INDEX(pigs!$D$3:$AO$60,$Z36,AA$4)</f>
        <v>90</v>
      </c>
      <c r="AB36" s="52">
        <f t="shared" si="29"/>
        <v>20.139265599999998</v>
      </c>
      <c r="AC36" s="69">
        <v>13.9</v>
      </c>
      <c r="AD36" s="37">
        <f>INDEX(pigs!$D$3:$AO$60,$Z36,AD$4)</f>
        <v>8.1</v>
      </c>
      <c r="AE36" s="37">
        <f>INDEX(pigs!$D$3:$AO$60,$Z36,AE$4)</f>
        <v>8.6999999999999993</v>
      </c>
      <c r="AF36" s="27">
        <f>INDEX(pigs!$D$3:$AO$60,$Z36,AF$4)</f>
        <v>340</v>
      </c>
      <c r="AG36" s="37">
        <f>INDEX(pigs!$D$3:$AO$60,$Z36,AG$4)</f>
        <v>66</v>
      </c>
      <c r="AH36" s="31">
        <f t="shared" si="30"/>
        <v>550</v>
      </c>
      <c r="AI36" s="38">
        <f>INDEX(pigs!$D$3:$AO$60,$Z36,AI$4)</f>
        <v>44</v>
      </c>
      <c r="AJ36" s="28">
        <f t="shared" si="14"/>
        <v>5.4399999999999995</v>
      </c>
      <c r="AK36" s="58">
        <f>INDEX(pigs!$D$3:$AO$60,$Z36,AK$4)/1000*100</f>
        <v>0.73</v>
      </c>
      <c r="AL36" s="59">
        <f>INDEX(pigs!$D$3:$AO$60,$Z36,AL$4)/1000*100</f>
        <v>0.96</v>
      </c>
      <c r="AM36" s="78"/>
      <c r="AN36" s="75" t="s">
        <v>575</v>
      </c>
      <c r="AO36" t="s">
        <v>471</v>
      </c>
      <c r="AP36" s="45"/>
      <c r="AQ36" s="27"/>
      <c r="AR36" s="38"/>
    </row>
    <row r="37" spans="2:44" x14ac:dyDescent="0.25">
      <c r="B37" t="s">
        <v>47</v>
      </c>
      <c r="C37" s="44">
        <f t="shared" si="25"/>
        <v>11</v>
      </c>
      <c r="D37" s="101">
        <f>AB37</f>
        <v>18.8602168</v>
      </c>
      <c r="E37" s="43">
        <f t="shared" si="3"/>
        <v>6.8000000000000007</v>
      </c>
      <c r="F37" s="28">
        <f t="shared" si="18"/>
        <v>4.4800000000000004</v>
      </c>
      <c r="G37" s="58">
        <f t="shared" si="19"/>
        <v>1.0900000000000001</v>
      </c>
      <c r="H37" s="59">
        <f t="shared" si="20"/>
        <v>0</v>
      </c>
      <c r="I37" s="4"/>
      <c r="J37" s="4"/>
      <c r="K37" s="45"/>
      <c r="L37" s="27"/>
      <c r="M37" s="37"/>
      <c r="N37" s="28"/>
      <c r="O37" s="28"/>
      <c r="P37" s="44"/>
      <c r="Q37" s="29"/>
      <c r="R37" s="29"/>
      <c r="S37" s="29"/>
      <c r="T37" s="32"/>
      <c r="U37" s="28"/>
      <c r="V37" s="29"/>
      <c r="W37" s="32"/>
      <c r="X37" s="79"/>
      <c r="Z37" s="45">
        <f>MATCH($B37,pigs!$A$3:$A$60,0)</f>
        <v>1</v>
      </c>
      <c r="AA37" s="27">
        <f>INDEX(pigs!$D$3:$AO$60,$Z37,AA$4)</f>
        <v>11</v>
      </c>
      <c r="AB37" s="52">
        <f t="shared" si="29"/>
        <v>18.8602168</v>
      </c>
      <c r="AC37" s="76">
        <f>(AC36/AB36)*AB37</f>
        <v>13.017208210412599</v>
      </c>
      <c r="AD37" s="37">
        <f>INDEX(pigs!$D$3:$AO$60,$Z37,AD$4)</f>
        <v>8.1999999999999993</v>
      </c>
      <c r="AE37" s="37">
        <f>INDEX(pigs!$D$3:$AO$60,$Z37,AE$4)</f>
        <v>8.9</v>
      </c>
      <c r="AF37" s="27">
        <f>INDEX(pigs!$D$3:$AO$60,$Z37,AF$4)</f>
        <v>280</v>
      </c>
      <c r="AG37" s="37">
        <f>INDEX(pigs!$D$3:$AO$60,$Z37,AG$4)</f>
        <v>45</v>
      </c>
      <c r="AH37" s="31">
        <f t="shared" si="30"/>
        <v>607</v>
      </c>
      <c r="AI37" s="38">
        <f>INDEX(pigs!$D$3:$AO$60,$Z37,AI$4)</f>
        <v>68</v>
      </c>
      <c r="AJ37" s="28">
        <f t="shared" si="14"/>
        <v>4.4800000000000004</v>
      </c>
      <c r="AK37" s="58">
        <f>INDEX(pigs!$D$3:$AO$60,$Z37,AK$4)/1000*100</f>
        <v>1.0900000000000001</v>
      </c>
      <c r="AL37" s="59">
        <f>INDEX(pigs!$D$3:$AO$60,$Z37,AL$4)/1000*100</f>
        <v>0</v>
      </c>
      <c r="AM37" s="78"/>
      <c r="AN37" s="75"/>
      <c r="AO37" t="s">
        <v>471</v>
      </c>
      <c r="AP37" s="45"/>
      <c r="AQ37" s="27"/>
      <c r="AR37" s="38"/>
    </row>
    <row r="38" spans="2:44" x14ac:dyDescent="0.25">
      <c r="B38" t="s">
        <v>303</v>
      </c>
      <c r="C38" s="44">
        <f t="shared" si="25"/>
        <v>90</v>
      </c>
      <c r="D38" s="101">
        <f>M38</f>
        <v>19.848896</v>
      </c>
      <c r="E38" s="43">
        <f t="shared" si="3"/>
        <v>4.3</v>
      </c>
      <c r="F38" s="28">
        <f t="shared" si="18"/>
        <v>3.984</v>
      </c>
      <c r="G38" s="58">
        <f t="shared" si="19"/>
        <v>0.56000000000000005</v>
      </c>
      <c r="H38" s="59">
        <f t="shared" si="20"/>
        <v>0.19500000000000001</v>
      </c>
      <c r="I38" s="4"/>
      <c r="J38" s="4"/>
      <c r="K38" s="45">
        <f>MATCH($B38,ruminants!$A$3:$A$120,0)</f>
        <v>38</v>
      </c>
      <c r="L38" s="27">
        <f>INDEX(ruminants!$D$3:$AH$120,$K38,L$4)</f>
        <v>90</v>
      </c>
      <c r="M38" s="52">
        <f t="shared" si="11"/>
        <v>19.848896</v>
      </c>
      <c r="N38" s="28">
        <f>INDEX(ruminants!$D$3:$AH$120,$K38,N$4)</f>
        <v>11.6</v>
      </c>
      <c r="O38" s="28">
        <f>INDEX(ruminants!$D$3:$AH$120,$K38,O$4)</f>
        <v>13.6</v>
      </c>
      <c r="P38" s="44">
        <f>INDEX(ruminants!$D$3:$AH$120,$K38,P$4)</f>
        <v>240</v>
      </c>
      <c r="Q38" s="29">
        <f>INDEX(ruminants!$D$3:$AH$120,$K38,Q$4)</f>
        <v>80</v>
      </c>
      <c r="R38" s="29">
        <f>INDEX(ruminants!$D$3:$AH$120,$K38,R$4)</f>
        <v>170</v>
      </c>
      <c r="S38" s="29">
        <f>INDEX(ruminants!$D$3:$AH$120,$K38,S$4)</f>
        <v>470</v>
      </c>
      <c r="T38" s="32">
        <f>INDEX(ruminants!$D$3:$AH$120,$K38,T$4)</f>
        <v>40</v>
      </c>
      <c r="U38" s="28">
        <f t="shared" si="8"/>
        <v>3.84</v>
      </c>
      <c r="V38" s="58">
        <f>INDEX(ruminants!$D$3:$AH$120,$K38,V$4)/1000*100</f>
        <v>0.54999999999999993</v>
      </c>
      <c r="W38" s="59">
        <f>INDEX(ruminants!$D$3:$AH$120,$K38,W$4)/1000*100</f>
        <v>0.1</v>
      </c>
      <c r="X38" s="79"/>
      <c r="Z38" s="45"/>
      <c r="AA38" s="27">
        <v>90</v>
      </c>
      <c r="AB38" s="52">
        <f t="shared" si="29"/>
        <v>19.578191199999999</v>
      </c>
      <c r="AC38" s="69">
        <v>10.6</v>
      </c>
      <c r="AD38" s="50">
        <v>6.6</v>
      </c>
      <c r="AE38" s="53">
        <f>AE36/AD36*AD38</f>
        <v>7.0888888888888877</v>
      </c>
      <c r="AF38" s="55">
        <v>258</v>
      </c>
      <c r="AG38" s="50">
        <v>67</v>
      </c>
      <c r="AH38" s="31">
        <f t="shared" si="30"/>
        <v>629</v>
      </c>
      <c r="AI38" s="35">
        <v>46</v>
      </c>
      <c r="AJ38" s="28">
        <f t="shared" si="14"/>
        <v>4.1280000000000001</v>
      </c>
      <c r="AK38" s="58">
        <f>5.7/1000*100</f>
        <v>0.57000000000000006</v>
      </c>
      <c r="AL38" s="59">
        <f>2.9/1000*100</f>
        <v>0.28999999999999998</v>
      </c>
      <c r="AM38" s="79" t="s">
        <v>577</v>
      </c>
      <c r="AN38" s="75" t="s">
        <v>576</v>
      </c>
      <c r="AO38" t="s">
        <v>471</v>
      </c>
      <c r="AP38" s="45"/>
      <c r="AQ38" s="27"/>
      <c r="AR38" s="38"/>
    </row>
    <row r="39" spans="2:44" x14ac:dyDescent="0.25">
      <c r="B39" t="s">
        <v>374</v>
      </c>
      <c r="C39" s="44">
        <f>AVERAGE(AA39,L39,AQ39)</f>
        <v>89.666666666666671</v>
      </c>
      <c r="D39" s="101">
        <f>AB39</f>
        <v>22.900705599999998</v>
      </c>
      <c r="E39" s="43">
        <f t="shared" si="3"/>
        <v>1.95</v>
      </c>
      <c r="F39" s="28">
        <f t="shared" si="18"/>
        <v>10.792</v>
      </c>
      <c r="G39" s="58">
        <f t="shared" si="19"/>
        <v>0.48499999999999999</v>
      </c>
      <c r="H39" s="59">
        <f t="shared" si="20"/>
        <v>0.32499999999999996</v>
      </c>
      <c r="I39" s="4"/>
      <c r="J39" s="4"/>
      <c r="K39" s="45">
        <f>MATCH($B39,ruminants!$A$3:$A$120,0)</f>
        <v>50</v>
      </c>
      <c r="L39" s="27">
        <f>INDEX(ruminants!$D$3:$AH$120,$K39,L$4)</f>
        <v>92</v>
      </c>
      <c r="M39" s="52">
        <f t="shared" ref="M39" si="38">( 5.7*P39+9.4*Q39+4.1*(R39+S39) ) * 0.004184</f>
        <v>21.876462400000001</v>
      </c>
      <c r="N39" s="28">
        <f>INDEX(ruminants!$D$3:$AH$120,$K39,N$4)</f>
        <v>16</v>
      </c>
      <c r="O39" s="28">
        <f>INDEX(ruminants!$D$3:$AH$120,$K39,O$4)</f>
        <v>19.600000000000001</v>
      </c>
      <c r="P39" s="44">
        <f>INDEX(ruminants!$D$3:$AH$120,$K39,P$4)</f>
        <v>672</v>
      </c>
      <c r="Q39" s="29">
        <f>INDEX(ruminants!$D$3:$AH$120,$K39,Q$4)</f>
        <v>24</v>
      </c>
      <c r="R39" s="29">
        <f>INDEX(ruminants!$D$3:$AH$120,$K39,R$4)</f>
        <v>22</v>
      </c>
      <c r="S39" s="29">
        <f>INDEX(ruminants!$D$3:$AH$120,$K39,S$4)</f>
        <v>264</v>
      </c>
      <c r="T39" s="32">
        <f>INDEX(ruminants!$D$3:$AH$120,$K39,T$4)</f>
        <v>18</v>
      </c>
      <c r="U39" s="28">
        <f t="shared" ref="U39" si="39">P39*U$3/1000*100</f>
        <v>10.751999999999999</v>
      </c>
      <c r="V39" s="58">
        <f>INDEX(ruminants!$D$3:$AH$120,$K39,V$4)/1000*100</f>
        <v>0.33</v>
      </c>
      <c r="W39" s="59">
        <f>INDEX(ruminants!$D$3:$AH$120,$K39,W$4)/1000*100</f>
        <v>0.1</v>
      </c>
      <c r="X39" s="79"/>
      <c r="Z39" s="45">
        <f>MATCH($B39,pigs!$A$3:$A$60,0)</f>
        <v>22</v>
      </c>
      <c r="AA39" s="27">
        <f>INDEX(pigs!$D$3:$AO$60,$Z39,AA$4)</f>
        <v>90</v>
      </c>
      <c r="AB39" s="52">
        <f t="shared" si="29"/>
        <v>22.900705599999998</v>
      </c>
      <c r="AC39" s="69">
        <v>21.4</v>
      </c>
      <c r="AD39" s="37">
        <f>INDEX(pigs!$D$3:$AO$60,$Z39,AD$4)</f>
        <v>12.9</v>
      </c>
      <c r="AE39" s="37">
        <f>INDEX(pigs!$D$3:$AO$60,$Z39,AE$4)</f>
        <v>13.3</v>
      </c>
      <c r="AF39" s="27">
        <f>INDEX(pigs!$D$3:$AO$60,$Z39,AF$4)</f>
        <v>677</v>
      </c>
      <c r="AG39" s="37">
        <f>INDEX(pigs!$D$3:$AO$60,$Z39,AG$4)</f>
        <v>71</v>
      </c>
      <c r="AH39" s="31">
        <f t="shared" ref="AH39" si="40">1000-SUM(AF39:AG39,AI39)</f>
        <v>231</v>
      </c>
      <c r="AI39" s="38">
        <f>INDEX(pigs!$D$3:$AO$60,$Z39,AI$4)</f>
        <v>21</v>
      </c>
      <c r="AJ39" s="28">
        <f t="shared" si="14"/>
        <v>10.832000000000001</v>
      </c>
      <c r="AK39" s="58">
        <f>INDEX(pigs!$D$3:$AO$60,$Z39,AK$4)/1000*100</f>
        <v>0.64</v>
      </c>
      <c r="AL39" s="59">
        <f>INDEX(pigs!$D$3:$AO$60,$Z39,AL$4)/1000*100</f>
        <v>0.54999999999999993</v>
      </c>
      <c r="AM39" s="79"/>
      <c r="AN39" s="75" t="s">
        <v>578</v>
      </c>
      <c r="AO39" t="s">
        <v>471</v>
      </c>
      <c r="AP39" s="45">
        <f>MATCH($B39,poultry!$A$3:$A$41,0)</f>
        <v>25</v>
      </c>
      <c r="AQ39" s="27">
        <f>INDEX(poultry!$D$3:$U$41,$AP39,AQ$4)</f>
        <v>87</v>
      </c>
      <c r="AR39" s="97">
        <f>INDEX(poultry!$D$3:$U$41,$AP39,AR$4)/(AQ39/100)</f>
        <v>16.321839080459771</v>
      </c>
    </row>
    <row r="40" spans="2:44" x14ac:dyDescent="0.25">
      <c r="B40" t="s">
        <v>48</v>
      </c>
      <c r="C40" s="44">
        <f t="shared" ref="C40:C46" si="41">AVERAGE(AA40,L40)</f>
        <v>75.5</v>
      </c>
      <c r="D40" s="101">
        <f>M40</f>
        <v>16.1615368</v>
      </c>
      <c r="E40" s="43">
        <f t="shared" si="3"/>
        <v>11.899999999999999</v>
      </c>
      <c r="F40" s="28">
        <f t="shared" si="18"/>
        <v>2.2080000000000002</v>
      </c>
      <c r="G40" s="58">
        <f t="shared" si="19"/>
        <v>0.03</v>
      </c>
      <c r="H40" s="59">
        <f t="shared" si="20"/>
        <v>3.6500000000000004</v>
      </c>
      <c r="I40" s="4"/>
      <c r="J40" s="4"/>
      <c r="K40" s="45">
        <f>MATCH($B40,ruminants!$A$3:$A$120,0)</f>
        <v>88</v>
      </c>
      <c r="L40" s="27">
        <f>INDEX(ruminants!$D$3:$AH$120,$K40,L$4)</f>
        <v>75</v>
      </c>
      <c r="M40" s="52">
        <f t="shared" si="11"/>
        <v>16.1615368</v>
      </c>
      <c r="N40" s="28">
        <f>INDEX(ruminants!$D$3:$AH$120,$K40,N$4)</f>
        <v>12.4</v>
      </c>
      <c r="O40" s="28">
        <f>INDEX(ruminants!$D$3:$AH$120,$K40,O$4)</f>
        <v>14.1</v>
      </c>
      <c r="P40" s="44">
        <f>INDEX(ruminants!$D$3:$AH$120,$K40,P$4)</f>
        <v>131</v>
      </c>
      <c r="Q40" s="29">
        <f>INDEX(ruminants!$D$3:$AH$120,$K40,Q$4)</f>
        <v>0</v>
      </c>
      <c r="R40" s="29">
        <f>INDEX(ruminants!$D$3:$AH$120,$K40,R$4)</f>
        <v>0</v>
      </c>
      <c r="S40" s="29">
        <f>INDEX(ruminants!$D$3:$AH$120,$K40,S$4)</f>
        <v>760</v>
      </c>
      <c r="T40" s="32">
        <f>INDEX(ruminants!$D$3:$AH$120,$K40,T$4)</f>
        <v>109</v>
      </c>
      <c r="U40" s="28">
        <f t="shared" si="8"/>
        <v>2.0960000000000001</v>
      </c>
      <c r="V40" s="58">
        <f>INDEX(ruminants!$D$3:$AH$120,$K40,V$4)/1000*100</f>
        <v>0.02</v>
      </c>
      <c r="W40" s="59">
        <f>INDEX(ruminants!$D$3:$AH$120,$K40,W$4)/1000*100</f>
        <v>4.5</v>
      </c>
      <c r="X40" s="79"/>
      <c r="Z40" s="45">
        <f>MATCH($B40,pigs!$A$3:$A$60,0)</f>
        <v>23</v>
      </c>
      <c r="AA40" s="27">
        <f>INDEX(pigs!$D$3:$AO$60,$Z40,AA$4)</f>
        <v>76</v>
      </c>
      <c r="AB40" s="52">
        <f t="shared" ref="AB40:AB46" si="42">( 5.7*AF40+9.4*AG40+4.1*(AH40) ) * 0.004184</f>
        <v>15.9565208</v>
      </c>
      <c r="AC40" s="69">
        <v>13.1</v>
      </c>
      <c r="AD40" s="37">
        <f>INDEX(pigs!$D$3:$AO$60,$Z40,AD$4)</f>
        <v>8.6999999999999993</v>
      </c>
      <c r="AE40" s="37">
        <f>INDEX(pigs!$D$3:$AO$60,$Z40,AE$4)</f>
        <v>9</v>
      </c>
      <c r="AF40" s="27">
        <f>INDEX(pigs!$D$3:$AO$60,$Z40,AF$4)</f>
        <v>145</v>
      </c>
      <c r="AG40" s="37">
        <f>INDEX(pigs!$D$3:$AO$60,$Z40,AG$4)</f>
        <v>2</v>
      </c>
      <c r="AH40" s="31">
        <f t="shared" ref="AH40:AH46" si="43">1000-SUM(AF40:AG40,AI40)</f>
        <v>724</v>
      </c>
      <c r="AI40" s="38">
        <f>INDEX(pigs!$D$3:$AO$60,$Z40,AI$4)</f>
        <v>129</v>
      </c>
      <c r="AJ40" s="28">
        <f t="shared" si="14"/>
        <v>2.3199999999999998</v>
      </c>
      <c r="AK40" s="58">
        <f>INDEX(pigs!$D$3:$AO$60,$Z40,AK$4)/1000*100</f>
        <v>0.04</v>
      </c>
      <c r="AL40" s="59">
        <f>INDEX(pigs!$D$3:$AO$60,$Z40,AL$4)/1000*100</f>
        <v>2.8000000000000003</v>
      </c>
      <c r="AM40" s="78"/>
      <c r="AN40" s="75" t="s">
        <v>579</v>
      </c>
      <c r="AO40" t="s">
        <v>471</v>
      </c>
      <c r="AP40" s="45"/>
      <c r="AQ40" s="27"/>
      <c r="AR40" s="38"/>
    </row>
    <row r="41" spans="2:44" x14ac:dyDescent="0.25">
      <c r="B41" t="s">
        <v>49</v>
      </c>
      <c r="C41" s="44">
        <f t="shared" si="41"/>
        <v>89.5</v>
      </c>
      <c r="D41" s="101">
        <f>M41</f>
        <v>17.334312000000001</v>
      </c>
      <c r="E41" s="43">
        <f t="shared" si="3"/>
        <v>7.1499999999999995</v>
      </c>
      <c r="F41" s="28">
        <f t="shared" si="18"/>
        <v>1.448</v>
      </c>
      <c r="G41" s="58">
        <f t="shared" si="19"/>
        <v>0.1</v>
      </c>
      <c r="H41" s="59">
        <f t="shared" si="20"/>
        <v>0.48499999999999999</v>
      </c>
      <c r="I41" s="4"/>
      <c r="J41" s="4"/>
      <c r="K41" s="45">
        <f>MATCH($B41,ruminants!$A$3:$A$120,0)</f>
        <v>91</v>
      </c>
      <c r="L41" s="27">
        <f>INDEX(ruminants!$D$3:$AH$120,$K41,L$4)</f>
        <v>90</v>
      </c>
      <c r="M41" s="52">
        <f t="shared" si="11"/>
        <v>17.334312000000001</v>
      </c>
      <c r="N41" s="28">
        <f>INDEX(ruminants!$D$3:$AH$120,$K41,N$4)</f>
        <v>12.3</v>
      </c>
      <c r="O41" s="28">
        <f>INDEX(ruminants!$D$3:$AH$120,$K41,O$4)</f>
        <v>14.7</v>
      </c>
      <c r="P41" s="44">
        <f>INDEX(ruminants!$D$3:$AH$120,$K41,P$4)</f>
        <v>90</v>
      </c>
      <c r="Q41" s="29">
        <f>INDEX(ruminants!$D$3:$AH$120,$K41,Q$4)</f>
        <v>32</v>
      </c>
      <c r="R41" s="29">
        <f>INDEX(ruminants!$D$3:$AH$120,$K41,R$4)</f>
        <v>187</v>
      </c>
      <c r="S41" s="29">
        <f>INDEX(ruminants!$D$3:$AH$120,$K41,S$4)</f>
        <v>625</v>
      </c>
      <c r="T41" s="32">
        <f>INDEX(ruminants!$D$3:$AH$120,$K41,T$4)</f>
        <v>66</v>
      </c>
      <c r="U41" s="28">
        <f t="shared" si="8"/>
        <v>1.44</v>
      </c>
      <c r="V41" s="58">
        <f>INDEX(ruminants!$D$3:$AH$120,$K41,V$4)/1000*100</f>
        <v>0.1</v>
      </c>
      <c r="W41" s="59">
        <f>INDEX(ruminants!$D$3:$AH$120,$K41,W$4)/1000*100</f>
        <v>0.6</v>
      </c>
      <c r="X41" s="79"/>
      <c r="Z41" s="45">
        <f>MATCH($B41,pigs!$A$3:$A$60,0)</f>
        <v>4</v>
      </c>
      <c r="AA41" s="27">
        <f>INDEX(pigs!$D$3:$AO$60,$Z41,AA$4)</f>
        <v>89</v>
      </c>
      <c r="AB41" s="52">
        <f t="shared" si="42"/>
        <v>16.664453599999998</v>
      </c>
      <c r="AC41" s="69">
        <v>12.2</v>
      </c>
      <c r="AD41" s="37">
        <f>INDEX(pigs!$D$3:$AO$60,$Z41,AD$4)</f>
        <v>6.9</v>
      </c>
      <c r="AE41" s="37">
        <f>INDEX(pigs!$D$3:$AO$60,$Z41,AE$4)</f>
        <v>8</v>
      </c>
      <c r="AF41" s="27">
        <f>INDEX(pigs!$D$3:$AO$60,$Z41,AF$4)</f>
        <v>91</v>
      </c>
      <c r="AG41" s="37">
        <f>INDEX(pigs!$D$3:$AO$60,$Z41,AG$4)</f>
        <v>10</v>
      </c>
      <c r="AH41" s="31">
        <f t="shared" si="43"/>
        <v>822</v>
      </c>
      <c r="AI41" s="38">
        <f>INDEX(pigs!$D$3:$AO$60,$Z41,AI$4)</f>
        <v>77</v>
      </c>
      <c r="AJ41" s="28">
        <f t="shared" si="14"/>
        <v>1.456</v>
      </c>
      <c r="AK41" s="58">
        <f>INDEX(pigs!$D$3:$AO$60,$Z41,AK$4)/1000*100</f>
        <v>0.1</v>
      </c>
      <c r="AL41" s="59">
        <f>INDEX(pigs!$D$3:$AO$60,$Z41,AL$4)/1000*100</f>
        <v>0.37</v>
      </c>
      <c r="AM41" s="78"/>
      <c r="AN41" s="75" t="s">
        <v>580</v>
      </c>
      <c r="AO41" t="s">
        <v>471</v>
      </c>
      <c r="AP41" s="45"/>
      <c r="AQ41" s="27"/>
      <c r="AR41" s="38"/>
    </row>
    <row r="42" spans="2:44" x14ac:dyDescent="0.25">
      <c r="B42" t="s">
        <v>50</v>
      </c>
      <c r="C42" s="44">
        <f t="shared" si="41"/>
        <v>6.25</v>
      </c>
      <c r="D42" s="101">
        <f>M42</f>
        <v>16.464040000000001</v>
      </c>
      <c r="E42" s="43">
        <f t="shared" si="3"/>
        <v>9.3000000000000007</v>
      </c>
      <c r="F42" s="28">
        <f t="shared" si="18"/>
        <v>1.8800000000000001</v>
      </c>
      <c r="G42" s="58">
        <f t="shared" si="19"/>
        <v>0.76</v>
      </c>
      <c r="H42" s="59">
        <f t="shared" si="20"/>
        <v>2.355</v>
      </c>
      <c r="I42" s="4"/>
      <c r="J42" s="4"/>
      <c r="K42" s="45">
        <f>MATCH($B42,ruminants!$A$3:$A$120,0)</f>
        <v>57</v>
      </c>
      <c r="L42" s="27">
        <f>INDEX(ruminants!$D$3:$AH$120,$K42,L$4)</f>
        <v>7</v>
      </c>
      <c r="M42" s="52">
        <f t="shared" si="11"/>
        <v>16.464040000000001</v>
      </c>
      <c r="N42" s="28">
        <f>INDEX(ruminants!$D$3:$AH$120,$K42,N$4)</f>
        <v>13.6</v>
      </c>
      <c r="O42" s="28">
        <f>INDEX(ruminants!$D$3:$AH$120,$K42,O$4)</f>
        <v>15.1</v>
      </c>
      <c r="P42" s="44">
        <f>INDEX(ruminants!$D$3:$AH$120,$K42,P$4)</f>
        <v>120</v>
      </c>
      <c r="Q42" s="29">
        <f>INDEX(ruminants!$D$3:$AH$120,$K42,Q$4)</f>
        <v>10</v>
      </c>
      <c r="R42" s="29">
        <f>INDEX(ruminants!$D$3:$AH$120,$K42,R$4)</f>
        <v>0</v>
      </c>
      <c r="S42" s="29">
        <f>INDEX(ruminants!$D$3:$AH$120,$K42,S$4)</f>
        <v>770</v>
      </c>
      <c r="T42" s="32">
        <f>INDEX(ruminants!$D$3:$AH$120,$K42,T$4)</f>
        <v>100</v>
      </c>
      <c r="U42" s="28">
        <f t="shared" si="8"/>
        <v>1.92</v>
      </c>
      <c r="V42" s="58">
        <f>INDEX(ruminants!$D$3:$AH$120,$K42,V$4)/1000*100</f>
        <v>0.79</v>
      </c>
      <c r="W42" s="59">
        <f>INDEX(ruminants!$D$3:$AH$120,$K42,W$4)/1000*100</f>
        <v>2.4</v>
      </c>
      <c r="X42" s="79"/>
      <c r="Z42" s="45">
        <f>MATCH($B42,pigs!$A$3:$A$60,0)</f>
        <v>50</v>
      </c>
      <c r="AA42" s="27">
        <f>INDEX(pigs!$D$3:$AO$60,$Z42,AA$4)</f>
        <v>5.5</v>
      </c>
      <c r="AB42" s="52">
        <f t="shared" si="42"/>
        <v>16.870306399999997</v>
      </c>
      <c r="AC42" s="76">
        <f>(AC43/AB43)*AB42</f>
        <v>15.205346051464064</v>
      </c>
      <c r="AD42" s="37">
        <f>INDEX(pigs!$D$3:$AO$60,$Z42,AD$4)</f>
        <v>12.4</v>
      </c>
      <c r="AE42" s="37">
        <f>INDEX(pigs!$D$3:$AO$60,$Z42,AE$4)</f>
        <v>12.2</v>
      </c>
      <c r="AF42" s="27">
        <f>INDEX(pigs!$D$3:$AO$60,$Z42,AF$4)</f>
        <v>115</v>
      </c>
      <c r="AG42" s="37">
        <f>INDEX(pigs!$D$3:$AO$60,$Z42,AG$4)</f>
        <v>19</v>
      </c>
      <c r="AH42" s="31">
        <f t="shared" si="43"/>
        <v>780</v>
      </c>
      <c r="AI42" s="38">
        <f>INDEX(pigs!$D$3:$AO$60,$Z42,AI$4)</f>
        <v>86</v>
      </c>
      <c r="AJ42" s="28">
        <f t="shared" si="14"/>
        <v>1.8400000000000003</v>
      </c>
      <c r="AK42" s="58">
        <f>INDEX(pigs!$D$3:$AO$60,$Z42,AK$4)/1000*100</f>
        <v>0.73</v>
      </c>
      <c r="AL42" s="59">
        <f>INDEX(pigs!$D$3:$AO$60,$Z42,AL$4)/1000*100</f>
        <v>2.31</v>
      </c>
      <c r="AM42" s="78"/>
      <c r="AN42" s="75"/>
      <c r="AO42" t="s">
        <v>471</v>
      </c>
      <c r="AP42" s="45"/>
      <c r="AQ42" s="27"/>
      <c r="AR42" s="38"/>
    </row>
    <row r="43" spans="2:44" x14ac:dyDescent="0.25">
      <c r="B43" t="s">
        <v>51</v>
      </c>
      <c r="C43" s="44">
        <f t="shared" si="41"/>
        <v>97</v>
      </c>
      <c r="D43" s="101">
        <f>AB43</f>
        <v>16.975324799999999</v>
      </c>
      <c r="E43" s="43">
        <f t="shared" si="3"/>
        <v>8.6</v>
      </c>
      <c r="F43" s="28">
        <f t="shared" si="18"/>
        <v>2.048</v>
      </c>
      <c r="G43" s="58">
        <f t="shared" si="19"/>
        <v>0.67999999999999994</v>
      </c>
      <c r="H43" s="59">
        <f t="shared" si="20"/>
        <v>2.1</v>
      </c>
      <c r="I43" s="4"/>
      <c r="J43" s="4"/>
      <c r="K43" s="45"/>
      <c r="L43" s="27">
        <v>97</v>
      </c>
      <c r="M43" s="52">
        <f t="shared" si="11"/>
        <v>16.872816799999999</v>
      </c>
      <c r="N43" s="28">
        <v>12.3</v>
      </c>
      <c r="O43" s="28">
        <f>M43*0.913</f>
        <v>15.4048817384</v>
      </c>
      <c r="P43" s="27">
        <v>125</v>
      </c>
      <c r="Q43" s="37">
        <v>13</v>
      </c>
      <c r="R43" s="104">
        <v>0</v>
      </c>
      <c r="S43" s="31">
        <f>1000-SUM(P43:R43,T43)</f>
        <v>780</v>
      </c>
      <c r="T43" s="32">
        <v>82</v>
      </c>
      <c r="U43" s="28">
        <f t="shared" si="8"/>
        <v>2</v>
      </c>
      <c r="V43" s="58">
        <f>6.4/1000*100</f>
        <v>0.64</v>
      </c>
      <c r="W43" s="59">
        <f>21/1000*100</f>
        <v>2.1</v>
      </c>
      <c r="X43" s="79" t="s">
        <v>581</v>
      </c>
      <c r="Y43" t="s">
        <v>471</v>
      </c>
      <c r="Z43" s="45">
        <f>MATCH($B43,pigs!$A$3:$A$60,0)</f>
        <v>52</v>
      </c>
      <c r="AA43" s="27">
        <f>INDEX(pigs!$D$3:$AO$60,$Z43,AA$4)</f>
        <v>97</v>
      </c>
      <c r="AB43" s="52">
        <f t="shared" si="42"/>
        <v>16.975324799999999</v>
      </c>
      <c r="AC43" s="69">
        <v>15.3</v>
      </c>
      <c r="AD43" s="37">
        <f>INDEX(pigs!$D$3:$AO$60,$Z43,AD$4)</f>
        <v>12.4</v>
      </c>
      <c r="AE43" s="37">
        <f>INDEX(pigs!$D$3:$AO$60,$Z43,AE$4)</f>
        <v>12.2</v>
      </c>
      <c r="AF43" s="27">
        <f>INDEX(pigs!$D$3:$AO$60,$Z43,AF$4)</f>
        <v>131</v>
      </c>
      <c r="AG43" s="37">
        <f>INDEX(pigs!$D$3:$AO$60,$Z43,AG$4)</f>
        <v>22</v>
      </c>
      <c r="AH43" s="31">
        <f t="shared" si="43"/>
        <v>757</v>
      </c>
      <c r="AI43" s="38">
        <f>INDEX(pigs!$D$3:$AO$60,$Z43,AI$4)</f>
        <v>90</v>
      </c>
      <c r="AJ43" s="28">
        <f t="shared" si="14"/>
        <v>2.0960000000000001</v>
      </c>
      <c r="AK43" s="58">
        <f>INDEX(pigs!$D$3:$AO$60,$Z43,AK$4)/1000*100</f>
        <v>0.72</v>
      </c>
      <c r="AL43" s="59">
        <f>INDEX(pigs!$D$3:$AO$60,$Z43,AL$4)/1000*100</f>
        <v>2.1</v>
      </c>
      <c r="AM43" s="78"/>
      <c r="AN43" s="75" t="s">
        <v>581</v>
      </c>
      <c r="AO43" t="s">
        <v>471</v>
      </c>
      <c r="AP43" s="45"/>
      <c r="AQ43" s="27"/>
      <c r="AR43" s="38"/>
    </row>
    <row r="44" spans="2:44" x14ac:dyDescent="0.25">
      <c r="B44" t="s">
        <v>52</v>
      </c>
      <c r="C44" s="44">
        <f t="shared" si="41"/>
        <v>91</v>
      </c>
      <c r="D44" s="101">
        <f>M44</f>
        <v>23.055932000000002</v>
      </c>
      <c r="E44" s="43">
        <f t="shared" si="3"/>
        <v>2.8000000000000003</v>
      </c>
      <c r="F44" s="28">
        <f t="shared" si="18"/>
        <v>13.48</v>
      </c>
      <c r="G44" s="58">
        <f t="shared" si="19"/>
        <v>0.435</v>
      </c>
      <c r="H44" s="59">
        <f t="shared" si="20"/>
        <v>0.81499999999999995</v>
      </c>
      <c r="I44" s="4"/>
      <c r="J44" s="4"/>
      <c r="K44" s="45">
        <f>MATCH($B44,ruminants!$A$3:$A$120,0)</f>
        <v>65</v>
      </c>
      <c r="L44" s="27">
        <f>INDEX(ruminants!$D$3:$AH$120,$K44,L$4)</f>
        <v>90</v>
      </c>
      <c r="M44" s="52">
        <f t="shared" si="11"/>
        <v>23.055932000000002</v>
      </c>
      <c r="N44" s="28">
        <f>INDEX(ruminants!$D$3:$AH$120,$K44,N$4)</f>
        <v>15.5</v>
      </c>
      <c r="O44" s="28">
        <f>INDEX(ruminants!$D$3:$AH$120,$K44,O$4)</f>
        <v>19.7</v>
      </c>
      <c r="P44" s="44">
        <f>INDEX(ruminants!$D$3:$AH$120,$K44,P$4)</f>
        <v>844</v>
      </c>
      <c r="Q44" s="29">
        <f>INDEX(ruminants!$D$3:$AH$120,$K44,Q$4)</f>
        <v>33</v>
      </c>
      <c r="R44" s="29">
        <f>INDEX(ruminants!$D$3:$AH$120,$K44,R$4)</f>
        <v>4</v>
      </c>
      <c r="S44" s="29">
        <f>INDEX(ruminants!$D$3:$AH$120,$K44,S$4)</f>
        <v>91</v>
      </c>
      <c r="T44" s="32">
        <f>INDEX(ruminants!$D$3:$AH$120,$K44,T$4)</f>
        <v>28</v>
      </c>
      <c r="U44" s="28">
        <f t="shared" si="8"/>
        <v>13.504</v>
      </c>
      <c r="V44" s="58">
        <f>INDEX(ruminants!$D$3:$AH$120,$K44,V$4)/1000*100</f>
        <v>0.44</v>
      </c>
      <c r="W44" s="59">
        <f>INDEX(ruminants!$D$3:$AH$120,$K44,W$4)/1000*100</f>
        <v>0.89</v>
      </c>
      <c r="X44" s="79"/>
      <c r="Z44" s="45">
        <f>MATCH($B44,pigs!$A$3:$A$60,0)</f>
        <v>31</v>
      </c>
      <c r="AA44" s="27">
        <f>INDEX(pigs!$D$3:$AO$60,$Z44,AA$4)</f>
        <v>92</v>
      </c>
      <c r="AB44" s="52">
        <f t="shared" si="42"/>
        <v>22.525819200000001</v>
      </c>
      <c r="AC44" s="69">
        <v>20.8</v>
      </c>
      <c r="AD44" s="37">
        <f>INDEX(pigs!$D$3:$AO$60,$Z44,AD$4)</f>
        <v>11.1</v>
      </c>
      <c r="AE44" s="37">
        <f>INDEX(pigs!$D$3:$AO$60,$Z44,AE$4)</f>
        <v>11.3</v>
      </c>
      <c r="AF44" s="27">
        <f>INDEX(pigs!$D$3:$AO$60,$Z44,AF$4)</f>
        <v>841</v>
      </c>
      <c r="AG44" s="37">
        <f>INDEX(pigs!$D$3:$AO$60,$Z44,AG$4)</f>
        <v>10</v>
      </c>
      <c r="AH44" s="31">
        <f t="shared" si="43"/>
        <v>121</v>
      </c>
      <c r="AI44" s="38">
        <f>INDEX(pigs!$D$3:$AO$60,$Z44,AI$4)</f>
        <v>28</v>
      </c>
      <c r="AJ44" s="28">
        <f t="shared" si="14"/>
        <v>13.456000000000001</v>
      </c>
      <c r="AK44" s="58">
        <f>INDEX(pigs!$D$3:$AO$60,$Z44,AK$4)/1000*100</f>
        <v>0.43</v>
      </c>
      <c r="AL44" s="59">
        <f>INDEX(pigs!$D$3:$AO$60,$Z44,AL$4)/1000*100</f>
        <v>0.74</v>
      </c>
      <c r="AM44" s="78"/>
      <c r="AN44" s="75" t="s">
        <v>582</v>
      </c>
      <c r="AO44" t="s">
        <v>471</v>
      </c>
      <c r="AP44" s="45">
        <f>MATCH($B44,poultry!$A$3:$A$41,0)</f>
        <v>28</v>
      </c>
      <c r="AQ44" s="27">
        <f>INDEX(poultry!$D$3:$U$41,$AP44,AQ$4)</f>
        <v>90</v>
      </c>
      <c r="AR44" s="97">
        <f>INDEX(poultry!$D$3:$U$41,$AP44,AR$4)/(AQ44/100)</f>
        <v>16</v>
      </c>
    </row>
    <row r="45" spans="2:44" x14ac:dyDescent="0.25">
      <c r="B45" t="s">
        <v>600</v>
      </c>
      <c r="C45" s="44">
        <f t="shared" ref="C45" si="44">AVERAGE(AA45,L45)</f>
        <v>23</v>
      </c>
      <c r="D45" s="101">
        <f>M45</f>
        <v>17.035156000000001</v>
      </c>
      <c r="E45" s="43">
        <f t="shared" si="3"/>
        <v>5.5</v>
      </c>
      <c r="F45" s="28">
        <f t="shared" ref="F45" si="45">AVERAGE(U45,AJ45)</f>
        <v>1.44</v>
      </c>
      <c r="G45" s="58">
        <f t="shared" ref="G45" si="46">AVERAGE(V45,AK45)</f>
        <v>0.22999999999999998</v>
      </c>
      <c r="H45" s="59">
        <f t="shared" ref="H45" si="47">AVERAGE(W45,AL45)</f>
        <v>2.1999999999999997</v>
      </c>
      <c r="I45" s="4"/>
      <c r="J45" s="4"/>
      <c r="K45" s="45">
        <f>MATCH($B45,ruminants!$A$3:$A$120,0)</f>
        <v>63</v>
      </c>
      <c r="L45" s="27">
        <f>INDEX(ruminants!$D$3:$AH$120,$K45,L$4)</f>
        <v>23</v>
      </c>
      <c r="M45" s="52">
        <f t="shared" ref="M45:M46" si="48">( 5.7*P45+9.4*Q45+4.1*(R45+S45) ) * 0.004184</f>
        <v>17.035156000000001</v>
      </c>
      <c r="N45" s="28">
        <f>INDEX(ruminants!$D$3:$AH$120,$K45,N$4)</f>
        <v>13.1</v>
      </c>
      <c r="O45" s="28">
        <f>INDEX(ruminants!$D$3:$AH$120,$K45,O$4)</f>
        <v>14.9</v>
      </c>
      <c r="P45" s="44">
        <f>INDEX(ruminants!$D$3:$AH$120,$K45,P$4)</f>
        <v>90</v>
      </c>
      <c r="Q45" s="29">
        <f>INDEX(ruminants!$D$3:$AH$120,$K45,Q$4)</f>
        <v>10</v>
      </c>
      <c r="R45" s="29">
        <f>INDEX(ruminants!$D$3:$AH$120,$K45,R$4)</f>
        <v>25</v>
      </c>
      <c r="S45" s="29">
        <f>INDEX(ruminants!$D$3:$AH$120,$K45,S$4)</f>
        <v>820</v>
      </c>
      <c r="T45" s="32">
        <f>INDEX(ruminants!$D$3:$AH$120,$K45,T$4)</f>
        <v>55</v>
      </c>
      <c r="U45" s="28">
        <f t="shared" ref="U45:U46" si="49">P45*U$3/1000*100</f>
        <v>1.44</v>
      </c>
      <c r="V45" s="58">
        <f>INDEX(ruminants!$D$3:$AH$120,$K45,V$4)/1000*100</f>
        <v>0.22999999999999998</v>
      </c>
      <c r="W45" s="59">
        <f>INDEX(ruminants!$D$3:$AH$120,$K45,W$4)/1000*100</f>
        <v>2.1999999999999997</v>
      </c>
      <c r="X45" s="79"/>
      <c r="Z45" s="45"/>
      <c r="AA45" s="27"/>
      <c r="AB45" s="52"/>
      <c r="AC45" s="69"/>
      <c r="AD45" s="37"/>
      <c r="AE45" s="37"/>
      <c r="AF45" s="27"/>
      <c r="AG45" s="37"/>
      <c r="AH45" s="31"/>
      <c r="AI45" s="38"/>
      <c r="AJ45" s="28"/>
      <c r="AK45" s="58"/>
      <c r="AL45" s="59"/>
      <c r="AM45" s="78"/>
      <c r="AN45" s="75"/>
      <c r="AP45" s="45"/>
      <c r="AQ45" s="27"/>
      <c r="AR45" s="38"/>
    </row>
    <row r="46" spans="2:44" x14ac:dyDescent="0.25">
      <c r="B46" t="s">
        <v>53</v>
      </c>
      <c r="C46" s="44">
        <f t="shared" si="41"/>
        <v>92.05</v>
      </c>
      <c r="D46" s="101">
        <f>AB46</f>
        <v>22.254696000000003</v>
      </c>
      <c r="E46" s="43">
        <f t="shared" si="3"/>
        <v>13.55</v>
      </c>
      <c r="F46" s="28">
        <f t="shared" si="18"/>
        <v>12.112000000000002</v>
      </c>
      <c r="G46" s="58">
        <f t="shared" si="19"/>
        <v>2.3499999999999996</v>
      </c>
      <c r="H46" s="59">
        <f t="shared" si="20"/>
        <v>1.1950000000000001</v>
      </c>
      <c r="I46" s="4"/>
      <c r="J46" s="4"/>
      <c r="K46" s="45"/>
      <c r="L46" s="27">
        <v>92.1</v>
      </c>
      <c r="M46" s="52">
        <f t="shared" si="48"/>
        <v>22.308251200000001</v>
      </c>
      <c r="N46" s="28">
        <v>14.8</v>
      </c>
      <c r="O46" s="28">
        <f>M46*0.975</f>
        <v>21.750544919999999</v>
      </c>
      <c r="P46" s="44">
        <v>754</v>
      </c>
      <c r="Q46" s="29">
        <v>110</v>
      </c>
      <c r="R46" s="29">
        <v>0</v>
      </c>
      <c r="S46" s="29">
        <v>0</v>
      </c>
      <c r="T46" s="32">
        <v>136</v>
      </c>
      <c r="U46" s="28">
        <f t="shared" si="49"/>
        <v>12.064</v>
      </c>
      <c r="V46" s="58">
        <f>22.3/1000*100</f>
        <v>2.23</v>
      </c>
      <c r="W46" s="59">
        <f>11.9/1000*100</f>
        <v>1.1900000000000002</v>
      </c>
      <c r="X46" s="79" t="s">
        <v>583</v>
      </c>
      <c r="Y46" t="s">
        <v>471</v>
      </c>
      <c r="Z46" s="45">
        <f>MATCH($B46,pigs!$A$3:$A$60,0)</f>
        <v>7</v>
      </c>
      <c r="AA46" s="27">
        <f>INDEX(pigs!$D$3:$AO$60,$Z46,AA$4)</f>
        <v>92</v>
      </c>
      <c r="AB46" s="52">
        <f t="shared" si="42"/>
        <v>22.254696000000003</v>
      </c>
      <c r="AC46" s="69">
        <f>19.5</f>
        <v>19.5</v>
      </c>
      <c r="AD46" s="37">
        <f>INDEX(pigs!$D$3:$AO$60,$Z46,AD$4)</f>
        <v>10.8</v>
      </c>
      <c r="AE46" s="37">
        <f>INDEX(pigs!$D$3:$AO$60,$Z46,AE$4)</f>
        <v>10.8</v>
      </c>
      <c r="AF46" s="27">
        <f>INDEX(pigs!$D$3:$AO$60,$Z46,AF$4)</f>
        <v>760</v>
      </c>
      <c r="AG46" s="37">
        <f>INDEX(pigs!$D$3:$AO$60,$Z46,AG$4)</f>
        <v>105</v>
      </c>
      <c r="AH46" s="31">
        <f t="shared" si="43"/>
        <v>0</v>
      </c>
      <c r="AI46" s="38">
        <f>INDEX(pigs!$D$3:$AO$60,$Z46,AI$4)</f>
        <v>135</v>
      </c>
      <c r="AJ46" s="28">
        <f t="shared" si="14"/>
        <v>12.160000000000002</v>
      </c>
      <c r="AK46" s="58">
        <f>INDEX(pigs!$D$3:$AO$60,$Z46,AK$4)/1000*100</f>
        <v>2.4699999999999998</v>
      </c>
      <c r="AL46" s="59">
        <f>INDEX(pigs!$D$3:$AO$60,$Z46,AL$4)/1000*100</f>
        <v>1.2</v>
      </c>
      <c r="AM46" s="78"/>
      <c r="AN46" s="75" t="s">
        <v>583</v>
      </c>
      <c r="AO46" t="s">
        <v>471</v>
      </c>
      <c r="AP46" s="45">
        <f>MATCH($B46,poultry!$A$3:$A$41,0)</f>
        <v>6</v>
      </c>
      <c r="AQ46" s="27">
        <f>INDEX(poultry!$D$3:$U$41,$AP46,AQ$4)</f>
        <v>92</v>
      </c>
      <c r="AR46" s="97">
        <f>INDEX(poultry!$D$3:$U$41,$AP46,AR$4)/(AQ46/100)</f>
        <v>13.695652173913043</v>
      </c>
    </row>
    <row r="47" spans="2:44" x14ac:dyDescent="0.25">
      <c r="B47" s="3" t="s">
        <v>313</v>
      </c>
      <c r="C47" s="81">
        <f t="shared" ref="C47" si="50">AVERAGE(AA47,L47)</f>
        <v>100</v>
      </c>
      <c r="D47" s="83">
        <f>AB47</f>
        <v>0</v>
      </c>
      <c r="E47" s="82">
        <f t="shared" si="3"/>
        <v>100</v>
      </c>
      <c r="F47" s="83"/>
      <c r="G47" s="84"/>
      <c r="H47" s="85"/>
      <c r="I47" s="86"/>
      <c r="J47" s="86"/>
      <c r="K47" s="20"/>
      <c r="L47" s="87">
        <v>100</v>
      </c>
      <c r="M47" s="88">
        <v>0</v>
      </c>
      <c r="N47" s="88">
        <v>0</v>
      </c>
      <c r="O47" s="88">
        <v>0</v>
      </c>
      <c r="P47" s="81"/>
      <c r="Q47" s="89">
        <v>0</v>
      </c>
      <c r="R47" s="89"/>
      <c r="S47" s="89"/>
      <c r="T47" s="90">
        <v>1000</v>
      </c>
      <c r="U47" s="89"/>
      <c r="V47" s="89"/>
      <c r="W47" s="90"/>
      <c r="X47" s="79"/>
      <c r="Y47" s="3"/>
      <c r="Z47" s="20"/>
      <c r="AA47" s="87">
        <v>100</v>
      </c>
      <c r="AB47" s="91">
        <v>0</v>
      </c>
      <c r="AC47" s="91">
        <v>0</v>
      </c>
      <c r="AD47" s="88">
        <v>0</v>
      </c>
      <c r="AE47" s="88">
        <v>0</v>
      </c>
      <c r="AF47" s="87"/>
      <c r="AG47" s="88"/>
      <c r="AH47" s="89"/>
      <c r="AI47" s="92">
        <v>1000</v>
      </c>
      <c r="AJ47" s="91"/>
      <c r="AK47" s="84"/>
      <c r="AL47" s="85"/>
      <c r="AM47" s="3"/>
      <c r="AN47" s="93"/>
      <c r="AO47" s="3"/>
      <c r="AP47" s="20"/>
      <c r="AQ47" s="87">
        <v>100</v>
      </c>
      <c r="AR47" s="92"/>
    </row>
    <row r="49" spans="4:11" x14ac:dyDescent="0.25">
      <c r="D49" s="64" t="s">
        <v>496</v>
      </c>
      <c r="E49" s="98"/>
      <c r="F49" s="65"/>
      <c r="G49" s="65"/>
      <c r="H49" s="65"/>
      <c r="I49" s="65"/>
      <c r="J49" s="65"/>
      <c r="K49" s="66"/>
    </row>
    <row r="50" spans="4:11" x14ac:dyDescent="0.25">
      <c r="D50" s="27" t="s">
        <v>495</v>
      </c>
      <c r="E50" s="37"/>
      <c r="F50" s="37"/>
      <c r="G50" s="37"/>
      <c r="H50" s="37"/>
      <c r="I50" s="37"/>
      <c r="J50" s="37"/>
      <c r="K50" s="38"/>
    </row>
    <row r="51" spans="4:11" x14ac:dyDescent="0.25">
      <c r="D51" s="67" t="s">
        <v>494</v>
      </c>
      <c r="E51" s="99"/>
      <c r="F51" s="37"/>
      <c r="G51" s="37"/>
      <c r="H51" s="37"/>
      <c r="I51" s="37"/>
      <c r="J51" s="37"/>
      <c r="K51" s="38"/>
    </row>
    <row r="52" spans="4:11" x14ac:dyDescent="0.25">
      <c r="D52" s="68" t="s">
        <v>390</v>
      </c>
      <c r="E52" s="100"/>
      <c r="F52" s="36"/>
      <c r="G52" s="36"/>
      <c r="H52" s="36"/>
      <c r="I52" s="36"/>
      <c r="J52" s="36"/>
      <c r="K52" s="39"/>
    </row>
  </sheetData>
  <hyperlinks>
    <hyperlink ref="C1" r:id="rId1"/>
    <hyperlink ref="AM38" r:id="rId2"/>
    <hyperlink ref="X30" r:id="rId3"/>
    <hyperlink ref="X32" r:id="rId4"/>
    <hyperlink ref="X10" r:id="rId5"/>
    <hyperlink ref="X19" r:id="rId6"/>
    <hyperlink ref="X22" r:id="rId7"/>
    <hyperlink ref="D51" r:id="rId8"/>
    <hyperlink ref="AN19" r:id="rId9"/>
    <hyperlink ref="AN18" r:id="rId10"/>
    <hyperlink ref="AN17" r:id="rId11"/>
    <hyperlink ref="AN15" r:id="rId12"/>
    <hyperlink ref="AN14" r:id="rId13"/>
    <hyperlink ref="AN13" r:id="rId14"/>
    <hyperlink ref="AN12" r:id="rId15"/>
    <hyperlink ref="AN20" r:id="rId16"/>
    <hyperlink ref="AN21" r:id="rId17"/>
    <hyperlink ref="AN22" r:id="rId18"/>
    <hyperlink ref="AN25" r:id="rId19"/>
    <hyperlink ref="AN26" r:id="rId20"/>
    <hyperlink ref="AN27" r:id="rId21"/>
    <hyperlink ref="AN28" r:id="rId22"/>
    <hyperlink ref="AN32" r:id="rId23"/>
    <hyperlink ref="AN31" r:id="rId24"/>
    <hyperlink ref="AN36" r:id="rId25"/>
    <hyperlink ref="AN39" r:id="rId26"/>
    <hyperlink ref="AN40" r:id="rId27"/>
    <hyperlink ref="AN41" r:id="rId28"/>
    <hyperlink ref="AN43" r:id="rId29"/>
    <hyperlink ref="AN44" r:id="rId30"/>
    <hyperlink ref="AN46" r:id="rId31"/>
    <hyperlink ref="AS24" r:id="rId32"/>
    <hyperlink ref="X26" r:id="rId33"/>
    <hyperlink ref="X46" r:id="rId34"/>
    <hyperlink ref="X43" r:id="rId35"/>
  </hyperlinks>
  <pageMargins left="0.7" right="0.7" top="0.75" bottom="0.75" header="0.3" footer="0.3"/>
  <pageSetup paperSize="9" orientation="portrait" r:id="rId36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43"/>
  <sheetViews>
    <sheetView workbookViewId="0">
      <selection activeCell="B32" sqref="B32"/>
    </sheetView>
  </sheetViews>
  <sheetFormatPr defaultRowHeight="15" x14ac:dyDescent="0.25"/>
  <cols>
    <col min="1" max="1" width="27" bestFit="1" customWidth="1"/>
    <col min="2" max="2" width="13.140625" bestFit="1" customWidth="1"/>
    <col min="3" max="3" width="12.28515625" bestFit="1" customWidth="1"/>
    <col min="4" max="8" width="12.28515625" customWidth="1"/>
    <col min="9" max="21" width="8.85546875" customWidth="1"/>
  </cols>
  <sheetData>
    <row r="1" spans="1:45" x14ac:dyDescent="0.25">
      <c r="A1" s="4" t="s">
        <v>590</v>
      </c>
      <c r="I1" s="4" t="s">
        <v>591</v>
      </c>
      <c r="P1" s="4" t="s">
        <v>593</v>
      </c>
      <c r="W1" s="4" t="s">
        <v>592</v>
      </c>
      <c r="AD1" s="4" t="s">
        <v>594</v>
      </c>
      <c r="AJ1" s="4" t="s">
        <v>595</v>
      </c>
      <c r="AP1" s="4" t="s">
        <v>613</v>
      </c>
    </row>
    <row r="2" spans="1:45" x14ac:dyDescent="0.25">
      <c r="A2" s="36" t="s">
        <v>0</v>
      </c>
      <c r="B2" s="36" t="s">
        <v>376</v>
      </c>
      <c r="C2" s="36" t="s">
        <v>477</v>
      </c>
      <c r="D2" s="36" t="s">
        <v>609</v>
      </c>
      <c r="E2" s="36" t="s">
        <v>610</v>
      </c>
      <c r="F2" s="36" t="s">
        <v>611</v>
      </c>
      <c r="G2" s="36" t="s">
        <v>612</v>
      </c>
      <c r="H2" s="37"/>
      <c r="I2" s="36" t="s">
        <v>0</v>
      </c>
      <c r="J2" s="36" t="s">
        <v>19</v>
      </c>
      <c r="K2" s="36" t="s">
        <v>16</v>
      </c>
      <c r="L2" s="36" t="s">
        <v>589</v>
      </c>
      <c r="M2" s="36" t="s">
        <v>18</v>
      </c>
      <c r="N2" s="36" t="s">
        <v>478</v>
      </c>
      <c r="P2" s="36" t="s">
        <v>0</v>
      </c>
      <c r="Q2" s="36" t="s">
        <v>19</v>
      </c>
      <c r="R2" s="36" t="s">
        <v>16</v>
      </c>
      <c r="S2" s="36" t="s">
        <v>589</v>
      </c>
      <c r="T2" s="36" t="s">
        <v>18</v>
      </c>
      <c r="U2" s="36" t="s">
        <v>478</v>
      </c>
      <c r="W2" s="36" t="s">
        <v>0</v>
      </c>
      <c r="X2" s="36" t="s">
        <v>19</v>
      </c>
      <c r="Y2" s="36" t="s">
        <v>16</v>
      </c>
      <c r="Z2" s="36" t="s">
        <v>589</v>
      </c>
      <c r="AA2" s="36" t="s">
        <v>18</v>
      </c>
      <c r="AB2" s="36" t="s">
        <v>478</v>
      </c>
      <c r="AD2" s="36" t="s">
        <v>0</v>
      </c>
      <c r="AE2" s="36" t="s">
        <v>19</v>
      </c>
      <c r="AF2" s="36" t="s">
        <v>16</v>
      </c>
      <c r="AG2" s="36" t="s">
        <v>589</v>
      </c>
      <c r="AH2" s="36" t="s">
        <v>18</v>
      </c>
      <c r="AJ2" s="36" t="s">
        <v>0</v>
      </c>
      <c r="AK2" s="36" t="s">
        <v>19</v>
      </c>
      <c r="AL2" s="36" t="s">
        <v>16</v>
      </c>
      <c r="AM2" s="36" t="s">
        <v>589</v>
      </c>
      <c r="AN2" s="36" t="s">
        <v>18</v>
      </c>
      <c r="AP2" s="36" t="s">
        <v>0</v>
      </c>
      <c r="AQ2" s="36" t="s">
        <v>19</v>
      </c>
      <c r="AR2" s="36" t="s">
        <v>16</v>
      </c>
      <c r="AS2" s="102" t="s">
        <v>614</v>
      </c>
    </row>
    <row r="3" spans="1:45" x14ac:dyDescent="0.25">
      <c r="A3" t="str">
        <f>'feed pars'!$B6</f>
        <v>ley silage, 1st cut</v>
      </c>
      <c r="B3" s="80">
        <f>INDEX('feed pars'!C$6:C$47,MATCH($A3,'feed pars'!$B$6:$B$47,0))</f>
        <v>100</v>
      </c>
      <c r="C3" s="80">
        <f>INDEX('feed pars'!D$6:D$47,MATCH($A3,'feed pars'!$B$6:$B$47,0))</f>
        <v>17.316948400000001</v>
      </c>
      <c r="D3" s="80">
        <f>INDEX('feed pars'!E$6:E$47,MATCH($A3,'feed pars'!$B$6:$B$47,0))</f>
        <v>7.55</v>
      </c>
      <c r="E3" s="80">
        <f>INDEX('feed pars'!F$6:F$47,MATCH($A3,'feed pars'!$B$6:$B$47,0))</f>
        <v>2.4239999999999999</v>
      </c>
      <c r="F3" s="80">
        <f>INDEX('feed pars'!G$6:G$47,MATCH($A3,'feed pars'!$B$6:$B$47,0))</f>
        <v>0.27999999999999997</v>
      </c>
      <c r="G3" s="80">
        <f>INDEX('feed pars'!H$6:H$47,MATCH($A3,'feed pars'!$B$6:$B$47,0))</f>
        <v>2.4250000000000003</v>
      </c>
      <c r="H3" s="28"/>
      <c r="I3" s="28" t="str">
        <f>'feed pars'!$B6</f>
        <v>ley silage, 1st cut</v>
      </c>
      <c r="J3" t="s">
        <v>20</v>
      </c>
      <c r="L3" s="65">
        <f>INDEX('feed pars'!$O$6:$O$47,MATCH($A3,'feed pars'!$B$6:$B$47,0))</f>
        <v>13.35</v>
      </c>
      <c r="M3" s="65">
        <f>INDEX('feed pars'!$N$6:$N$47,MATCH($A3,'feed pars'!$B$6:$B$47,0))</f>
        <v>11.3</v>
      </c>
      <c r="N3" s="65">
        <f>INDEX('feed pars'!$Q$6:$Q$47,MATCH($A3,'feed pars'!$B$6:$B$47,0))</f>
        <v>20</v>
      </c>
      <c r="P3" s="28" t="str">
        <f>'feed pars'!$B6</f>
        <v>ley silage, 1st cut</v>
      </c>
      <c r="Q3" t="s">
        <v>382</v>
      </c>
      <c r="S3" s="65">
        <f>INDEX('feed pars'!$O$6:$O$47,MATCH($A3,'feed pars'!$B$6:$B$47,0))</f>
        <v>13.35</v>
      </c>
      <c r="T3" s="65">
        <f>INDEX('feed pars'!$N$6:$N$47,MATCH($A3,'feed pars'!$B$6:$B$47,0))</f>
        <v>11.3</v>
      </c>
      <c r="U3" s="65">
        <f>INDEX('feed pars'!$Q$6:$Q$47,MATCH($A3,'feed pars'!$B$6:$B$47,0))</f>
        <v>20</v>
      </c>
      <c r="W3" s="28" t="str">
        <f>'feed pars'!$B6</f>
        <v>ley silage, 1st cut</v>
      </c>
      <c r="X3" t="s">
        <v>378</v>
      </c>
      <c r="Z3" s="65">
        <f>INDEX('feed pars'!$O$6:$O$47,MATCH($A3,'feed pars'!$B$6:$B$47,0))</f>
        <v>13.35</v>
      </c>
      <c r="AA3" s="65">
        <f>INDEX('feed pars'!$N$6:$N$47,MATCH($A3,'feed pars'!$B$6:$B$47,0))</f>
        <v>11.3</v>
      </c>
      <c r="AB3" s="65">
        <f>INDEX('feed pars'!$Q$6:$Q$47,MATCH($A3,'feed pars'!$B$6:$B$47,0))</f>
        <v>20</v>
      </c>
      <c r="AD3" s="28" t="str">
        <f>'feed pars'!$B6</f>
        <v>ley silage, 1st cut</v>
      </c>
      <c r="AE3" t="s">
        <v>21</v>
      </c>
      <c r="AG3" s="65"/>
      <c r="AH3" s="65"/>
      <c r="AJ3" s="28" t="str">
        <f>'feed pars'!$B6</f>
        <v>ley silage, 1st cut</v>
      </c>
      <c r="AK3" t="s">
        <v>21</v>
      </c>
      <c r="AL3" t="s">
        <v>292</v>
      </c>
      <c r="AM3" s="65"/>
      <c r="AN3" s="65"/>
      <c r="AP3" s="28" t="str">
        <f>'feed pars'!$B6</f>
        <v>ley silage, 1st cut</v>
      </c>
      <c r="AQ3" t="s">
        <v>375</v>
      </c>
    </row>
    <row r="4" spans="1:45" x14ac:dyDescent="0.25">
      <c r="A4" t="str">
        <f>'feed pars'!$B7</f>
        <v>ley silage, regrowth</v>
      </c>
      <c r="B4" s="28">
        <f>INDEX('feed pars'!C$6:C$47,MATCH($A4,'feed pars'!$B$6:$B$47,0))</f>
        <v>100</v>
      </c>
      <c r="C4" s="28">
        <f>INDEX('feed pars'!D$6:D$47,MATCH($A4,'feed pars'!$B$6:$B$47,0))</f>
        <v>17.150216</v>
      </c>
      <c r="D4" s="28">
        <f>INDEX('feed pars'!E$6:E$47,MATCH($A4,'feed pars'!$B$6:$B$47,0))</f>
        <v>7.8</v>
      </c>
      <c r="E4" s="28">
        <f>INDEX('feed pars'!F$6:F$47,MATCH($A4,'feed pars'!$B$6:$B$47,0))</f>
        <v>2.1280000000000001</v>
      </c>
      <c r="F4" s="28">
        <f>INDEX('feed pars'!G$6:G$47,MATCH($A4,'feed pars'!$B$6:$B$47,0))</f>
        <v>0.27</v>
      </c>
      <c r="G4" s="28">
        <f>INDEX('feed pars'!H$6:H$47,MATCH($A4,'feed pars'!$B$6:$B$47,0))</f>
        <v>2.34</v>
      </c>
      <c r="H4" s="28"/>
      <c r="I4" s="28" t="str">
        <f>'feed pars'!$B7</f>
        <v>ley silage, regrowth</v>
      </c>
      <c r="J4" t="s">
        <v>20</v>
      </c>
      <c r="L4" s="37">
        <f>INDEX('feed pars'!$O$6:$O$47,MATCH($A4,'feed pars'!$B$6:$B$47,0))</f>
        <v>11.899999999999999</v>
      </c>
      <c r="M4" s="37">
        <f>INDEX('feed pars'!$N$6:$N$47,MATCH($A4,'feed pars'!$B$6:$B$47,0))</f>
        <v>10.1</v>
      </c>
      <c r="N4" s="37">
        <f>INDEX('feed pars'!$Q$6:$Q$47,MATCH($A4,'feed pars'!$B$6:$B$47,0))</f>
        <v>20</v>
      </c>
      <c r="P4" s="28" t="str">
        <f>'feed pars'!$B7</f>
        <v>ley silage, regrowth</v>
      </c>
      <c r="Q4" t="s">
        <v>382</v>
      </c>
      <c r="S4" s="37">
        <f>INDEX('feed pars'!$O$6:$O$47,MATCH($A4,'feed pars'!$B$6:$B$47,0))</f>
        <v>11.899999999999999</v>
      </c>
      <c r="T4" s="37">
        <f>INDEX('feed pars'!$N$6:$N$47,MATCH($A4,'feed pars'!$B$6:$B$47,0))</f>
        <v>10.1</v>
      </c>
      <c r="U4" s="37">
        <f>INDEX('feed pars'!$Q$6:$Q$47,MATCH($A4,'feed pars'!$B$6:$B$47,0))</f>
        <v>20</v>
      </c>
      <c r="W4" s="28" t="str">
        <f>'feed pars'!$B7</f>
        <v>ley silage, regrowth</v>
      </c>
      <c r="X4" t="s">
        <v>378</v>
      </c>
      <c r="Z4" s="37">
        <f>INDEX('feed pars'!$O$6:$O$47,MATCH($A4,'feed pars'!$B$6:$B$47,0))</f>
        <v>11.899999999999999</v>
      </c>
      <c r="AA4" s="37">
        <f>INDEX('feed pars'!$N$6:$N$47,MATCH($A4,'feed pars'!$B$6:$B$47,0))</f>
        <v>10.1</v>
      </c>
      <c r="AB4" s="37">
        <f>INDEX('feed pars'!$Q$6:$Q$47,MATCH($A4,'feed pars'!$B$6:$B$47,0))</f>
        <v>20</v>
      </c>
      <c r="AD4" s="28" t="str">
        <f>'feed pars'!$B7</f>
        <v>ley silage, regrowth</v>
      </c>
      <c r="AE4" t="s">
        <v>21</v>
      </c>
      <c r="AG4" s="37"/>
      <c r="AH4" s="37"/>
      <c r="AJ4" s="28" t="str">
        <f>'feed pars'!$B7</f>
        <v>ley silage, regrowth</v>
      </c>
      <c r="AK4" t="s">
        <v>21</v>
      </c>
      <c r="AL4" t="s">
        <v>292</v>
      </c>
      <c r="AM4" s="37"/>
      <c r="AN4" s="37"/>
      <c r="AP4" s="28" t="str">
        <f>'feed pars'!$B7</f>
        <v>ley silage, regrowth</v>
      </c>
      <c r="AQ4" t="s">
        <v>375</v>
      </c>
    </row>
    <row r="5" spans="1:45" x14ac:dyDescent="0.25">
      <c r="A5" t="str">
        <f>'feed pars'!$B8</f>
        <v>other silage</v>
      </c>
      <c r="B5" s="28">
        <f>INDEX('feed pars'!C$6:C$47,MATCH($A5,'feed pars'!$B$6:$B$47,0))</f>
        <v>100</v>
      </c>
      <c r="C5" s="28">
        <f>INDEX('feed pars'!D$6:D$47,MATCH($A5,'feed pars'!$B$6:$B$47,0))</f>
        <v>16.789764399999999</v>
      </c>
      <c r="D5" s="28">
        <f>INDEX('feed pars'!E$6:E$47,MATCH($A5,'feed pars'!$B$6:$B$47,0))</f>
        <v>8.7999999999999989</v>
      </c>
      <c r="E5" s="28">
        <f>INDEX('feed pars'!F$6:F$47,MATCH($A5,'feed pars'!$B$6:$B$47,0))</f>
        <v>1.5439999999999998</v>
      </c>
      <c r="F5" s="28">
        <f>INDEX('feed pars'!G$6:G$47,MATCH($A5,'feed pars'!$B$6:$B$47,0))</f>
        <v>0.21000000000000002</v>
      </c>
      <c r="G5" s="28">
        <f>INDEX('feed pars'!H$6:H$47,MATCH($A5,'feed pars'!$B$6:$B$47,0))</f>
        <v>2.35</v>
      </c>
      <c r="H5" s="28"/>
      <c r="I5" s="28" t="str">
        <f>'feed pars'!$B8</f>
        <v>other silage</v>
      </c>
      <c r="J5" t="s">
        <v>20</v>
      </c>
      <c r="L5" s="37">
        <f>INDEX('feed pars'!$O$6:$O$47,MATCH($A5,'feed pars'!$B$6:$B$47,0))</f>
        <v>10.75</v>
      </c>
      <c r="M5" s="37">
        <f>INDEX('feed pars'!$N$6:$N$47,MATCH($A5,'feed pars'!$B$6:$B$47,0))</f>
        <v>8.5</v>
      </c>
      <c r="N5" s="37">
        <f>INDEX('feed pars'!$Q$6:$Q$47,MATCH($A5,'feed pars'!$B$6:$B$47,0))</f>
        <v>22.5</v>
      </c>
      <c r="P5" s="28" t="str">
        <f>'feed pars'!$B8</f>
        <v>other silage</v>
      </c>
      <c r="Q5" t="s">
        <v>382</v>
      </c>
      <c r="S5" s="37">
        <f>INDEX('feed pars'!$O$6:$O$47,MATCH($A5,'feed pars'!$B$6:$B$47,0))</f>
        <v>10.75</v>
      </c>
      <c r="T5" s="37">
        <f>INDEX('feed pars'!$N$6:$N$47,MATCH($A5,'feed pars'!$B$6:$B$47,0))</f>
        <v>8.5</v>
      </c>
      <c r="U5" s="37">
        <f>INDEX('feed pars'!$Q$6:$Q$47,MATCH($A5,'feed pars'!$B$6:$B$47,0))</f>
        <v>22.5</v>
      </c>
      <c r="W5" s="28" t="str">
        <f>'feed pars'!$B8</f>
        <v>other silage</v>
      </c>
      <c r="X5" t="s">
        <v>378</v>
      </c>
      <c r="Z5" s="37">
        <f>INDEX('feed pars'!$O$6:$O$47,MATCH($A5,'feed pars'!$B$6:$B$47,0))</f>
        <v>10.75</v>
      </c>
      <c r="AA5" s="37">
        <f>INDEX('feed pars'!$N$6:$N$47,MATCH($A5,'feed pars'!$B$6:$B$47,0))</f>
        <v>8.5</v>
      </c>
      <c r="AB5" s="37">
        <f>INDEX('feed pars'!$Q$6:$Q$47,MATCH($A5,'feed pars'!$B$6:$B$47,0))</f>
        <v>22.5</v>
      </c>
      <c r="AD5" s="28" t="str">
        <f>'feed pars'!$B8</f>
        <v>other silage</v>
      </c>
      <c r="AE5" t="s">
        <v>21</v>
      </c>
      <c r="AG5" s="37"/>
      <c r="AH5" s="37"/>
      <c r="AJ5" s="28" t="str">
        <f>'feed pars'!$B8</f>
        <v>other silage</v>
      </c>
      <c r="AK5" t="s">
        <v>21</v>
      </c>
      <c r="AL5" t="s">
        <v>292</v>
      </c>
      <c r="AM5" s="37"/>
      <c r="AN5" s="37"/>
      <c r="AP5" s="28" t="str">
        <f>'feed pars'!$B8</f>
        <v>other silage</v>
      </c>
      <c r="AQ5" t="s">
        <v>375</v>
      </c>
    </row>
    <row r="6" spans="1:45" x14ac:dyDescent="0.25">
      <c r="A6" t="str">
        <f>'feed pars'!$B9</f>
        <v>hay</v>
      </c>
      <c r="B6" s="28">
        <f>INDEX('feed pars'!C$6:C$47,MATCH($A6,'feed pars'!$B$6:$B$47,0))</f>
        <v>100</v>
      </c>
      <c r="C6" s="28">
        <f>INDEX('feed pars'!D$6:D$47,MATCH($A6,'feed pars'!$B$6:$B$47,0))</f>
        <v>17.160257599999998</v>
      </c>
      <c r="D6" s="28">
        <f>INDEX('feed pars'!E$6:E$47,MATCH($A6,'feed pars'!$B$6:$B$47,0))</f>
        <v>6.2</v>
      </c>
      <c r="E6" s="28">
        <f>INDEX('feed pars'!F$6:F$47,MATCH($A6,'feed pars'!$B$6:$B$47,0))</f>
        <v>1.496</v>
      </c>
      <c r="F6" s="28">
        <f>INDEX('feed pars'!G$6:G$47,MATCH($A6,'feed pars'!$B$6:$B$47,0))</f>
        <v>0.21000000000000002</v>
      </c>
      <c r="G6" s="28">
        <f>INDEX('feed pars'!H$6:H$47,MATCH($A6,'feed pars'!$B$6:$B$47,0))</f>
        <v>1.81</v>
      </c>
      <c r="H6" s="28"/>
      <c r="I6" s="28" t="str">
        <f>'feed pars'!$B9</f>
        <v>hay</v>
      </c>
      <c r="J6" t="s">
        <v>20</v>
      </c>
      <c r="L6" s="37">
        <f>INDEX('feed pars'!$O$6:$O$47,MATCH($A6,'feed pars'!$B$6:$B$47,0))</f>
        <v>11.8</v>
      </c>
      <c r="M6" s="37">
        <f>INDEX('feed pars'!$N$6:$N$47,MATCH($A6,'feed pars'!$B$6:$B$47,0))</f>
        <v>9.1</v>
      </c>
      <c r="N6" s="37">
        <f>INDEX('feed pars'!$Q$6:$Q$47,MATCH($A6,'feed pars'!$B$6:$B$47,0))</f>
        <v>20</v>
      </c>
      <c r="P6" s="28" t="str">
        <f>'feed pars'!$B9</f>
        <v>hay</v>
      </c>
      <c r="Q6" t="s">
        <v>382</v>
      </c>
      <c r="S6" s="37">
        <f>INDEX('feed pars'!$O$6:$O$47,MATCH($A6,'feed pars'!$B$6:$B$47,0))</f>
        <v>11.8</v>
      </c>
      <c r="T6" s="37">
        <f>INDEX('feed pars'!$N$6:$N$47,MATCH($A6,'feed pars'!$B$6:$B$47,0))</f>
        <v>9.1</v>
      </c>
      <c r="U6" s="37">
        <f>INDEX('feed pars'!$Q$6:$Q$47,MATCH($A6,'feed pars'!$B$6:$B$47,0))</f>
        <v>20</v>
      </c>
      <c r="W6" s="28" t="str">
        <f>'feed pars'!$B9</f>
        <v>hay</v>
      </c>
      <c r="X6" t="s">
        <v>378</v>
      </c>
      <c r="Z6" s="37">
        <f>INDEX('feed pars'!$O$6:$O$47,MATCH($A6,'feed pars'!$B$6:$B$47,0))</f>
        <v>11.8</v>
      </c>
      <c r="AA6" s="37">
        <f>INDEX('feed pars'!$N$6:$N$47,MATCH($A6,'feed pars'!$B$6:$B$47,0))</f>
        <v>9.1</v>
      </c>
      <c r="AB6" s="37">
        <f>INDEX('feed pars'!$Q$6:$Q$47,MATCH($A6,'feed pars'!$B$6:$B$47,0))</f>
        <v>20</v>
      </c>
      <c r="AD6" s="28" t="str">
        <f>'feed pars'!$B9</f>
        <v>hay</v>
      </c>
      <c r="AE6" t="s">
        <v>21</v>
      </c>
      <c r="AG6" s="37"/>
      <c r="AH6" s="37"/>
      <c r="AJ6" s="28" t="str">
        <f>'feed pars'!$B9</f>
        <v>hay</v>
      </c>
      <c r="AK6" t="s">
        <v>21</v>
      </c>
      <c r="AL6" t="s">
        <v>292</v>
      </c>
      <c r="AM6" s="37"/>
      <c r="AN6" s="37"/>
      <c r="AP6" s="28" t="str">
        <f>'feed pars'!$B9</f>
        <v>hay</v>
      </c>
      <c r="AQ6" t="s">
        <v>375</v>
      </c>
    </row>
    <row r="7" spans="1:45" x14ac:dyDescent="0.25">
      <c r="A7" t="str">
        <f>'feed pars'!$B10</f>
        <v>maize silage</v>
      </c>
      <c r="B7" s="28">
        <f>INDEX('feed pars'!C$6:C$47,MATCH($A7,'feed pars'!$B$6:$B$47,0))</f>
        <v>100</v>
      </c>
      <c r="C7" s="28">
        <f>INDEX('feed pars'!D$6:D$47,MATCH($A7,'feed pars'!$B$6:$B$47,0))</f>
        <v>17.6573168</v>
      </c>
      <c r="D7" s="28">
        <f>INDEX('feed pars'!E$6:E$47,MATCH($A7,'feed pars'!$B$6:$B$47,0))</f>
        <v>3.5999999999999996</v>
      </c>
      <c r="E7" s="28">
        <f>INDEX('feed pars'!F$6:F$47,MATCH($A7,'feed pars'!$B$6:$B$47,0))</f>
        <v>1.0880000000000001</v>
      </c>
      <c r="F7" s="28">
        <f>INDEX('feed pars'!G$6:G$47,MATCH($A7,'feed pars'!$B$6:$B$47,0))</f>
        <v>0.16999999999999998</v>
      </c>
      <c r="G7" s="28">
        <f>INDEX('feed pars'!H$6:H$47,MATCH($A7,'feed pars'!$B$6:$B$47,0))</f>
        <v>1.03</v>
      </c>
      <c r="H7" s="28"/>
      <c r="I7" s="28" t="str">
        <f>'feed pars'!$B10</f>
        <v>maize silage</v>
      </c>
      <c r="J7" t="s">
        <v>20</v>
      </c>
      <c r="L7" s="37">
        <f>INDEX('feed pars'!$O$6:$O$47,MATCH($A7,'feed pars'!$B$6:$B$47,0))</f>
        <v>12.3</v>
      </c>
      <c r="M7" s="37">
        <f>INDEX('feed pars'!$N$6:$N$47,MATCH($A7,'feed pars'!$B$6:$B$47,0))</f>
        <v>11</v>
      </c>
      <c r="N7" s="37">
        <f>INDEX('feed pars'!$Q$6:$Q$47,MATCH($A7,'feed pars'!$B$6:$B$47,0))</f>
        <v>30</v>
      </c>
      <c r="P7" s="28" t="str">
        <f>'feed pars'!$B10</f>
        <v>maize silage</v>
      </c>
      <c r="Q7" t="s">
        <v>382</v>
      </c>
      <c r="S7" s="37">
        <f>INDEX('feed pars'!$O$6:$O$47,MATCH($A7,'feed pars'!$B$6:$B$47,0))</f>
        <v>12.3</v>
      </c>
      <c r="T7" s="37">
        <f>INDEX('feed pars'!$N$6:$N$47,MATCH($A7,'feed pars'!$B$6:$B$47,0))</f>
        <v>11</v>
      </c>
      <c r="U7" s="37">
        <f>INDEX('feed pars'!$Q$6:$Q$47,MATCH($A7,'feed pars'!$B$6:$B$47,0))</f>
        <v>30</v>
      </c>
      <c r="W7" s="28" t="str">
        <f>'feed pars'!$B10</f>
        <v>maize silage</v>
      </c>
      <c r="X7" t="s">
        <v>378</v>
      </c>
      <c r="Z7" s="37">
        <f>INDEX('feed pars'!$O$6:$O$47,MATCH($A7,'feed pars'!$B$6:$B$47,0))</f>
        <v>12.3</v>
      </c>
      <c r="AA7" s="37">
        <f>INDEX('feed pars'!$N$6:$N$47,MATCH($A7,'feed pars'!$B$6:$B$47,0))</f>
        <v>11</v>
      </c>
      <c r="AB7" s="37">
        <f>INDEX('feed pars'!$Q$6:$Q$47,MATCH($A7,'feed pars'!$B$6:$B$47,0))</f>
        <v>30</v>
      </c>
      <c r="AD7" s="28" t="str">
        <f>'feed pars'!$B10</f>
        <v>maize silage</v>
      </c>
      <c r="AE7" t="s">
        <v>21</v>
      </c>
      <c r="AG7" s="37"/>
      <c r="AH7" s="37"/>
      <c r="AJ7" s="28" t="str">
        <f>'feed pars'!$B10</f>
        <v>maize silage</v>
      </c>
      <c r="AK7" t="s">
        <v>21</v>
      </c>
      <c r="AL7" t="s">
        <v>292</v>
      </c>
      <c r="AM7" s="37"/>
      <c r="AN7" s="37"/>
      <c r="AP7" s="28" t="str">
        <f>'feed pars'!$B10</f>
        <v>maize silage</v>
      </c>
      <c r="AQ7" t="s">
        <v>375</v>
      </c>
    </row>
    <row r="8" spans="1:45" x14ac:dyDescent="0.25">
      <c r="A8" t="str">
        <f>'feed pars'!$B11</f>
        <v>grazing</v>
      </c>
      <c r="B8" s="28">
        <f>INDEX('feed pars'!C$6:C$47,MATCH($A8,'feed pars'!$B$6:$B$47,0))</f>
        <v>100</v>
      </c>
      <c r="C8" s="28">
        <f>INDEX('feed pars'!D$6:D$47,MATCH($A8,'feed pars'!$B$6:$B$47,0))</f>
        <v>17.411437066666668</v>
      </c>
      <c r="D8" s="28">
        <f>INDEX('feed pars'!E$6:E$47,MATCH($A8,'feed pars'!$B$6:$B$47,0))</f>
        <v>6.5666666666666647</v>
      </c>
      <c r="E8" s="28">
        <f>INDEX('feed pars'!F$6:F$47,MATCH($A8,'feed pars'!$B$6:$B$47,0))</f>
        <v>2.2466666666666666</v>
      </c>
      <c r="F8" s="28">
        <f>INDEX('feed pars'!G$6:G$47,MATCH($A8,'feed pars'!$B$6:$B$47,0))</f>
        <v>0.27</v>
      </c>
      <c r="G8" s="28">
        <f>INDEX('feed pars'!H$6:H$47,MATCH($A8,'feed pars'!$B$6:$B$47,0))</f>
        <v>2.34</v>
      </c>
      <c r="H8" s="28"/>
      <c r="I8" s="28" t="str">
        <f>'feed pars'!$B11</f>
        <v>grazing</v>
      </c>
      <c r="J8" t="s">
        <v>20</v>
      </c>
      <c r="L8" s="37">
        <f>INDEX('feed pars'!$O$6:$O$47,MATCH($A8,'feed pars'!$B$6:$B$47,0))</f>
        <v>12.4</v>
      </c>
      <c r="M8" s="28">
        <f>INDEX('feed pars'!$N$6:$N$47,MATCH($A8,'feed pars'!$B$6:$B$47,0))</f>
        <v>9.9416666666666664</v>
      </c>
      <c r="N8" s="37">
        <f>INDEX('feed pars'!$Q$6:$Q$47,MATCH($A8,'feed pars'!$B$6:$B$47,0))</f>
        <v>20</v>
      </c>
      <c r="P8" s="28" t="str">
        <f>'feed pars'!$B11</f>
        <v>grazing</v>
      </c>
      <c r="Q8" t="s">
        <v>382</v>
      </c>
      <c r="S8" s="37">
        <f>INDEX('feed pars'!$O$6:$O$47,MATCH($A8,'feed pars'!$B$6:$B$47,0))</f>
        <v>12.4</v>
      </c>
      <c r="T8" s="37">
        <f>INDEX('feed pars'!$N$6:$N$47,MATCH($A8,'feed pars'!$B$6:$B$47,0))</f>
        <v>9.9416666666666664</v>
      </c>
      <c r="U8" s="37">
        <f>INDEX('feed pars'!$Q$6:$Q$47,MATCH($A8,'feed pars'!$B$6:$B$47,0))</f>
        <v>20</v>
      </c>
      <c r="W8" s="28" t="str">
        <f>'feed pars'!$B11</f>
        <v>grazing</v>
      </c>
      <c r="X8" t="s">
        <v>378</v>
      </c>
      <c r="Z8" s="37">
        <f>INDEX('feed pars'!$O$6:$O$47,MATCH($A8,'feed pars'!$B$6:$B$47,0))</f>
        <v>12.4</v>
      </c>
      <c r="AA8" s="37">
        <f>INDEX('feed pars'!$N$6:$N$47,MATCH($A8,'feed pars'!$B$6:$B$47,0))</f>
        <v>9.9416666666666664</v>
      </c>
      <c r="AB8" s="37">
        <f>INDEX('feed pars'!$Q$6:$Q$47,MATCH($A8,'feed pars'!$B$6:$B$47,0))</f>
        <v>20</v>
      </c>
      <c r="AD8" s="28" t="str">
        <f>'feed pars'!$B11</f>
        <v>grazing</v>
      </c>
      <c r="AE8" t="s">
        <v>21</v>
      </c>
      <c r="AG8" s="37"/>
      <c r="AH8" s="37"/>
      <c r="AJ8" s="28" t="str">
        <f>'feed pars'!$B11</f>
        <v>grazing</v>
      </c>
      <c r="AK8" t="s">
        <v>21</v>
      </c>
      <c r="AL8" t="s">
        <v>292</v>
      </c>
      <c r="AM8" s="37"/>
      <c r="AN8" s="37"/>
      <c r="AP8" s="28" t="str">
        <f>'feed pars'!$B11</f>
        <v>grazing</v>
      </c>
      <c r="AQ8" t="s">
        <v>375</v>
      </c>
    </row>
    <row r="9" spans="1:45" x14ac:dyDescent="0.25">
      <c r="A9" t="str">
        <f>'feed pars'!$B12</f>
        <v>wheat</v>
      </c>
      <c r="B9" s="28">
        <f>INDEX('feed pars'!C$6:C$47,MATCH($A9,'feed pars'!$B$6:$B$47,0))</f>
        <v>86</v>
      </c>
      <c r="C9" s="28">
        <f>INDEX('feed pars'!D$6:D$47,MATCH($A9,'feed pars'!$B$6:$B$47,0))</f>
        <v>18.210023200000002</v>
      </c>
      <c r="D9" s="28">
        <f>INDEX('feed pars'!E$6:E$47,MATCH($A9,'feed pars'!$B$6:$B$47,0))</f>
        <v>1.7999999999999998</v>
      </c>
      <c r="E9" s="28">
        <f>INDEX('feed pars'!F$6:F$47,MATCH($A9,'feed pars'!$B$6:$B$47,0))</f>
        <v>1.9359999999999999</v>
      </c>
      <c r="F9" s="28">
        <f>INDEX('feed pars'!G$6:G$47,MATCH($A9,'feed pars'!$B$6:$B$47,0))</f>
        <v>0.34499999999999997</v>
      </c>
      <c r="G9" s="28">
        <f>INDEX('feed pars'!H$6:H$47,MATCH($A9,'feed pars'!$B$6:$B$47,0))</f>
        <v>0.52500000000000002</v>
      </c>
      <c r="H9" s="28"/>
      <c r="I9" s="28" t="str">
        <f>'feed pars'!$B12</f>
        <v>wheat</v>
      </c>
      <c r="J9" t="s">
        <v>20</v>
      </c>
      <c r="L9" s="37">
        <f>INDEX('feed pars'!$O$6:$O$47,MATCH($A9,'feed pars'!$B$6:$B$47,0))</f>
        <v>16</v>
      </c>
      <c r="M9" s="37">
        <f>INDEX('feed pars'!$N$6:$N$47,MATCH($A9,'feed pars'!$B$6:$B$47,0))</f>
        <v>14.1</v>
      </c>
      <c r="N9" s="37">
        <f>INDEX('feed pars'!$Q$6:$Q$47,MATCH($A9,'feed pars'!$B$6:$B$47,0))</f>
        <v>25</v>
      </c>
      <c r="P9" s="28" t="str">
        <f>'feed pars'!$B12</f>
        <v>wheat</v>
      </c>
      <c r="Q9" t="s">
        <v>382</v>
      </c>
      <c r="S9" s="37">
        <f>INDEX('feed pars'!$O$6:$O$47,MATCH($A9,'feed pars'!$B$6:$B$47,0))</f>
        <v>16</v>
      </c>
      <c r="T9" s="37">
        <f>INDEX('feed pars'!$N$6:$N$47,MATCH($A9,'feed pars'!$B$6:$B$47,0))</f>
        <v>14.1</v>
      </c>
      <c r="U9" s="37">
        <f>INDEX('feed pars'!$Q$6:$Q$47,MATCH($A9,'feed pars'!$B$6:$B$47,0))</f>
        <v>25</v>
      </c>
      <c r="W9" s="28" t="str">
        <f>'feed pars'!$B12</f>
        <v>wheat</v>
      </c>
      <c r="X9" t="s">
        <v>378</v>
      </c>
      <c r="Z9" s="37">
        <f>INDEX('feed pars'!$O$6:$O$47,MATCH($A9,'feed pars'!$B$6:$B$47,0))</f>
        <v>16</v>
      </c>
      <c r="AA9" s="37">
        <f>INDEX('feed pars'!$N$6:$N$47,MATCH($A9,'feed pars'!$B$6:$B$47,0))</f>
        <v>14.1</v>
      </c>
      <c r="AB9" s="37">
        <f>INDEX('feed pars'!$Q$6:$Q$47,MATCH($A9,'feed pars'!$B$6:$B$47,0))</f>
        <v>25</v>
      </c>
      <c r="AD9" s="28" t="str">
        <f>'feed pars'!$B12</f>
        <v>wheat</v>
      </c>
      <c r="AE9" t="s">
        <v>21</v>
      </c>
      <c r="AF9" s="37"/>
      <c r="AG9" s="37">
        <f>INDEX('feed pars'!$AC$6:$AC$47,MATCH($A9,'feed pars'!$B$6:$B$47,0))</f>
        <v>15.9</v>
      </c>
      <c r="AH9" s="37">
        <f>INDEX('feed pars'!$AD$6:$AD$47,MATCH($A9,'feed pars'!$B$6:$B$47,0))</f>
        <v>12.1</v>
      </c>
      <c r="AJ9" s="28" t="str">
        <f>'feed pars'!$B12</f>
        <v>wheat</v>
      </c>
      <c r="AK9" t="s">
        <v>21</v>
      </c>
      <c r="AL9" t="s">
        <v>292</v>
      </c>
      <c r="AM9" s="37"/>
      <c r="AN9" s="37">
        <f>INDEX('feed pars'!$AE$6:$AE$47,MATCH($A9,'feed pars'!$B$6:$B$47,0))</f>
        <v>12.3</v>
      </c>
      <c r="AP9" s="28" t="str">
        <f>'feed pars'!$B12</f>
        <v>wheat</v>
      </c>
      <c r="AQ9" t="s">
        <v>375</v>
      </c>
      <c r="AS9" s="28">
        <f>INDEX('feed pars'!$AR$6:$AR$47,MATCH($A9,'feed pars'!$B$6:$B$47,0))</f>
        <v>14.712643678160921</v>
      </c>
    </row>
    <row r="10" spans="1:45" x14ac:dyDescent="0.25">
      <c r="A10" t="str">
        <f>'feed pars'!$B13</f>
        <v>barley</v>
      </c>
      <c r="B10" s="28">
        <f>INDEX('feed pars'!C$6:C$47,MATCH($A10,'feed pars'!$B$6:$B$47,0))</f>
        <v>86</v>
      </c>
      <c r="C10" s="28">
        <f>INDEX('feed pars'!D$6:D$47,MATCH($A10,'feed pars'!$B$6:$B$47,0))</f>
        <v>18.089524000000001</v>
      </c>
      <c r="D10" s="28">
        <f>INDEX('feed pars'!E$6:E$47,MATCH($A10,'feed pars'!$B$6:$B$47,0))</f>
        <v>2.7</v>
      </c>
      <c r="E10" s="28">
        <f>INDEX('feed pars'!F$6:F$47,MATCH($A10,'feed pars'!$B$6:$B$47,0))</f>
        <v>1.9039999999999999</v>
      </c>
      <c r="F10" s="28">
        <f>INDEX('feed pars'!G$6:G$47,MATCH($A10,'feed pars'!$B$6:$B$47,0))</f>
        <v>0.375</v>
      </c>
      <c r="G10" s="28">
        <f>INDEX('feed pars'!H$6:H$47,MATCH($A10,'feed pars'!$B$6:$B$47,0))</f>
        <v>0.58000000000000007</v>
      </c>
      <c r="H10" s="28"/>
      <c r="I10" s="28" t="str">
        <f>'feed pars'!$B13</f>
        <v>barley</v>
      </c>
      <c r="J10" t="s">
        <v>20</v>
      </c>
      <c r="L10" s="37">
        <f>INDEX('feed pars'!$O$6:$O$47,MATCH($A10,'feed pars'!$B$6:$B$47,0))</f>
        <v>15</v>
      </c>
      <c r="M10" s="37">
        <f>INDEX('feed pars'!$N$6:$N$47,MATCH($A10,'feed pars'!$B$6:$B$47,0))</f>
        <v>13.2</v>
      </c>
      <c r="N10" s="37">
        <f>INDEX('feed pars'!$Q$6:$Q$47,MATCH($A10,'feed pars'!$B$6:$B$47,0))</f>
        <v>27</v>
      </c>
      <c r="P10" s="28" t="str">
        <f>'feed pars'!$B13</f>
        <v>barley</v>
      </c>
      <c r="Q10" t="s">
        <v>382</v>
      </c>
      <c r="S10" s="37">
        <f>INDEX('feed pars'!$O$6:$O$47,MATCH($A10,'feed pars'!$B$6:$B$47,0))</f>
        <v>15</v>
      </c>
      <c r="T10" s="37">
        <f>INDEX('feed pars'!$N$6:$N$47,MATCH($A10,'feed pars'!$B$6:$B$47,0))</f>
        <v>13.2</v>
      </c>
      <c r="U10" s="37">
        <f>INDEX('feed pars'!$Q$6:$Q$47,MATCH($A10,'feed pars'!$B$6:$B$47,0))</f>
        <v>27</v>
      </c>
      <c r="W10" s="28" t="str">
        <f>'feed pars'!$B13</f>
        <v>barley</v>
      </c>
      <c r="X10" t="s">
        <v>378</v>
      </c>
      <c r="Z10" s="37">
        <f>INDEX('feed pars'!$O$6:$O$47,MATCH($A10,'feed pars'!$B$6:$B$47,0))</f>
        <v>15</v>
      </c>
      <c r="AA10" s="37">
        <f>INDEX('feed pars'!$N$6:$N$47,MATCH($A10,'feed pars'!$B$6:$B$47,0))</f>
        <v>13.2</v>
      </c>
      <c r="AB10" s="37">
        <f>INDEX('feed pars'!$Q$6:$Q$47,MATCH($A10,'feed pars'!$B$6:$B$47,0))</f>
        <v>27</v>
      </c>
      <c r="AD10" s="28" t="str">
        <f>'feed pars'!$B13</f>
        <v>barley</v>
      </c>
      <c r="AE10" t="s">
        <v>21</v>
      </c>
      <c r="AF10" s="37"/>
      <c r="AG10" s="37">
        <f>INDEX('feed pars'!$AC$6:$AC$47,MATCH($A10,'feed pars'!$B$6:$B$47,0))</f>
        <v>14.8</v>
      </c>
      <c r="AH10" s="37">
        <f>INDEX('feed pars'!$AD$6:$AD$47,MATCH($A10,'feed pars'!$B$6:$B$47,0))</f>
        <v>11</v>
      </c>
      <c r="AJ10" s="28" t="str">
        <f>'feed pars'!$B13</f>
        <v>barley</v>
      </c>
      <c r="AK10" t="s">
        <v>21</v>
      </c>
      <c r="AL10" t="s">
        <v>292</v>
      </c>
      <c r="AM10" s="37"/>
      <c r="AN10" s="37">
        <f>INDEX('feed pars'!$AE$6:$AE$47,MATCH($A10,'feed pars'!$B$6:$B$47,0))</f>
        <v>11.2</v>
      </c>
      <c r="AP10" s="28" t="str">
        <f>'feed pars'!$B13</f>
        <v>barley</v>
      </c>
      <c r="AQ10" t="s">
        <v>375</v>
      </c>
      <c r="AS10" s="28">
        <f>INDEX('feed pars'!$AR$6:$AR$47,MATCH($A10,'feed pars'!$B$6:$B$47,0))</f>
        <v>13.563218390804598</v>
      </c>
    </row>
    <row r="11" spans="1:45" x14ac:dyDescent="0.25">
      <c r="A11" t="str">
        <f>'feed pars'!$B14</f>
        <v>oats</v>
      </c>
      <c r="B11" s="28">
        <f>INDEX('feed pars'!C$6:C$47,MATCH($A11,'feed pars'!$B$6:$B$47,0))</f>
        <v>86</v>
      </c>
      <c r="C11" s="28">
        <f>INDEX('feed pars'!D$6:D$47,MATCH($A11,'feed pars'!$B$6:$B$47,0))</f>
        <v>18.6602216</v>
      </c>
      <c r="D11" s="28">
        <f>INDEX('feed pars'!E$6:E$47,MATCH($A11,'feed pars'!$B$6:$B$47,0))</f>
        <v>3.2</v>
      </c>
      <c r="E11" s="28">
        <f>INDEX('feed pars'!F$6:F$47,MATCH($A11,'feed pars'!$B$6:$B$47,0))</f>
        <v>1.7680000000000002</v>
      </c>
      <c r="F11" s="28">
        <f>INDEX('feed pars'!G$6:G$47,MATCH($A11,'feed pars'!$B$6:$B$47,0))</f>
        <v>0.36499999999999999</v>
      </c>
      <c r="G11" s="28">
        <f>INDEX('feed pars'!H$6:H$47,MATCH($A11,'feed pars'!$B$6:$B$47,0))</f>
        <v>0.54</v>
      </c>
      <c r="H11" s="28"/>
      <c r="I11" s="28" t="str">
        <f>'feed pars'!$B14</f>
        <v>oats</v>
      </c>
      <c r="J11" t="s">
        <v>20</v>
      </c>
      <c r="L11" s="37">
        <f>INDEX('feed pars'!$O$6:$O$47,MATCH($A11,'feed pars'!$B$6:$B$47,0))</f>
        <v>13.3</v>
      </c>
      <c r="M11" s="37">
        <f>INDEX('feed pars'!$N$6:$N$47,MATCH($A11,'feed pars'!$B$6:$B$47,0))</f>
        <v>11.7</v>
      </c>
      <c r="N11" s="37">
        <f>INDEX('feed pars'!$Q$6:$Q$47,MATCH($A11,'feed pars'!$B$6:$B$47,0))</f>
        <v>61</v>
      </c>
      <c r="P11" s="28" t="str">
        <f>'feed pars'!$B14</f>
        <v>oats</v>
      </c>
      <c r="Q11" t="s">
        <v>382</v>
      </c>
      <c r="S11" s="37">
        <f>INDEX('feed pars'!$O$6:$O$47,MATCH($A11,'feed pars'!$B$6:$B$47,0))</f>
        <v>13.3</v>
      </c>
      <c r="T11" s="37">
        <f>INDEX('feed pars'!$N$6:$N$47,MATCH($A11,'feed pars'!$B$6:$B$47,0))</f>
        <v>11.7</v>
      </c>
      <c r="U11" s="37">
        <f>INDEX('feed pars'!$Q$6:$Q$47,MATCH($A11,'feed pars'!$B$6:$B$47,0))</f>
        <v>61</v>
      </c>
      <c r="W11" s="28" t="str">
        <f>'feed pars'!$B14</f>
        <v>oats</v>
      </c>
      <c r="X11" t="s">
        <v>378</v>
      </c>
      <c r="Z11" s="37">
        <f>INDEX('feed pars'!$O$6:$O$47,MATCH($A11,'feed pars'!$B$6:$B$47,0))</f>
        <v>13.3</v>
      </c>
      <c r="AA11" s="37">
        <f>INDEX('feed pars'!$N$6:$N$47,MATCH($A11,'feed pars'!$B$6:$B$47,0))</f>
        <v>11.7</v>
      </c>
      <c r="AB11" s="37">
        <f>INDEX('feed pars'!$Q$6:$Q$47,MATCH($A11,'feed pars'!$B$6:$B$47,0))</f>
        <v>61</v>
      </c>
      <c r="AD11" s="28" t="str">
        <f>'feed pars'!$B14</f>
        <v>oats</v>
      </c>
      <c r="AE11" t="s">
        <v>21</v>
      </c>
      <c r="AF11" s="37"/>
      <c r="AG11" s="37">
        <f>INDEX('feed pars'!$AC$6:$AC$47,MATCH($A11,'feed pars'!$B$6:$B$47,0))</f>
        <v>12.7</v>
      </c>
      <c r="AH11" s="37">
        <f>INDEX('feed pars'!$AD$6:$AD$47,MATCH($A11,'feed pars'!$B$6:$B$47,0))</f>
        <v>9</v>
      </c>
      <c r="AJ11" s="28" t="str">
        <f>'feed pars'!$B14</f>
        <v>oats</v>
      </c>
      <c r="AK11" t="s">
        <v>21</v>
      </c>
      <c r="AL11" t="s">
        <v>292</v>
      </c>
      <c r="AM11" s="37"/>
      <c r="AN11" s="37">
        <f>INDEX('feed pars'!$AE$6:$AE$47,MATCH($A11,'feed pars'!$B$6:$B$47,0))</f>
        <v>9.4</v>
      </c>
      <c r="AP11" s="28" t="str">
        <f>'feed pars'!$B14</f>
        <v>oats</v>
      </c>
      <c r="AQ11" t="s">
        <v>375</v>
      </c>
      <c r="AS11" s="28">
        <f>INDEX('feed pars'!$AR$6:$AR$47,MATCH($A11,'feed pars'!$B$6:$B$47,0))</f>
        <v>12.298850574712644</v>
      </c>
    </row>
    <row r="12" spans="1:45" x14ac:dyDescent="0.25">
      <c r="A12" t="str">
        <f>'feed pars'!$B15</f>
        <v>triticale</v>
      </c>
      <c r="B12" s="28">
        <f>INDEX('feed pars'!C$6:C$47,MATCH($A12,'feed pars'!$B$6:$B$47,0))</f>
        <v>86</v>
      </c>
      <c r="C12" s="28">
        <f>INDEX('feed pars'!D$6:D$47,MATCH($A12,'feed pars'!$B$6:$B$47,0))</f>
        <v>18.2284328</v>
      </c>
      <c r="D12" s="28">
        <f>INDEX('feed pars'!E$6:E$47,MATCH($A12,'feed pars'!$B$6:$B$47,0))</f>
        <v>2.0500000000000003</v>
      </c>
      <c r="E12" s="28">
        <f>INDEX('feed pars'!F$6:F$47,MATCH($A12,'feed pars'!$B$6:$B$47,0))</f>
        <v>1.8639999999999999</v>
      </c>
      <c r="F12" s="28">
        <f>INDEX('feed pars'!G$6:G$47,MATCH($A12,'feed pars'!$B$6:$B$47,0))</f>
        <v>0.38</v>
      </c>
      <c r="G12" s="28">
        <f>INDEX('feed pars'!H$6:H$47,MATCH($A12,'feed pars'!$B$6:$B$47,0))</f>
        <v>0.58000000000000007</v>
      </c>
      <c r="H12" s="28"/>
      <c r="I12" s="28" t="str">
        <f>'feed pars'!$B15</f>
        <v>triticale</v>
      </c>
      <c r="J12" t="s">
        <v>20</v>
      </c>
      <c r="L12" s="37">
        <f>INDEX('feed pars'!$O$6:$O$47,MATCH($A12,'feed pars'!$B$6:$B$47,0))</f>
        <v>15.8</v>
      </c>
      <c r="M12" s="37">
        <f>INDEX('feed pars'!$N$6:$N$47,MATCH($A12,'feed pars'!$B$6:$B$47,0))</f>
        <v>14</v>
      </c>
      <c r="N12" s="37">
        <f>INDEX('feed pars'!$Q$6:$Q$47,MATCH($A12,'feed pars'!$B$6:$B$47,0))</f>
        <v>26</v>
      </c>
      <c r="P12" s="28" t="str">
        <f>'feed pars'!$B15</f>
        <v>triticale</v>
      </c>
      <c r="Q12" t="s">
        <v>382</v>
      </c>
      <c r="S12" s="37">
        <f>INDEX('feed pars'!$O$6:$O$47,MATCH($A12,'feed pars'!$B$6:$B$47,0))</f>
        <v>15.8</v>
      </c>
      <c r="T12" s="37">
        <f>INDEX('feed pars'!$N$6:$N$47,MATCH($A12,'feed pars'!$B$6:$B$47,0))</f>
        <v>14</v>
      </c>
      <c r="U12" s="37">
        <f>INDEX('feed pars'!$Q$6:$Q$47,MATCH($A12,'feed pars'!$B$6:$B$47,0))</f>
        <v>26</v>
      </c>
      <c r="W12" s="28" t="str">
        <f>'feed pars'!$B15</f>
        <v>triticale</v>
      </c>
      <c r="X12" t="s">
        <v>378</v>
      </c>
      <c r="Z12" s="37">
        <f>INDEX('feed pars'!$O$6:$O$47,MATCH($A12,'feed pars'!$B$6:$B$47,0))</f>
        <v>15.8</v>
      </c>
      <c r="AA12" s="37">
        <f>INDEX('feed pars'!$N$6:$N$47,MATCH($A12,'feed pars'!$B$6:$B$47,0))</f>
        <v>14</v>
      </c>
      <c r="AB12" s="37">
        <f>INDEX('feed pars'!$Q$6:$Q$47,MATCH($A12,'feed pars'!$B$6:$B$47,0))</f>
        <v>26</v>
      </c>
      <c r="AD12" s="28" t="str">
        <f>'feed pars'!$B15</f>
        <v>triticale</v>
      </c>
      <c r="AE12" t="s">
        <v>21</v>
      </c>
      <c r="AF12" s="37"/>
      <c r="AG12" s="37">
        <f>INDEX('feed pars'!$AC$6:$AC$47,MATCH($A12,'feed pars'!$B$6:$B$47,0))</f>
        <v>15.6</v>
      </c>
      <c r="AH12" s="37">
        <f>INDEX('feed pars'!$AD$6:$AD$47,MATCH($A12,'feed pars'!$B$6:$B$47,0))</f>
        <v>11.9</v>
      </c>
      <c r="AJ12" s="28" t="str">
        <f>'feed pars'!$B15</f>
        <v>triticale</v>
      </c>
      <c r="AK12" t="s">
        <v>21</v>
      </c>
      <c r="AL12" t="s">
        <v>292</v>
      </c>
      <c r="AM12" s="37"/>
      <c r="AN12" s="37">
        <f>INDEX('feed pars'!$AE$6:$AE$47,MATCH($A12,'feed pars'!$B$6:$B$47,0))</f>
        <v>12</v>
      </c>
      <c r="AP12" s="28" t="str">
        <f>'feed pars'!$B15</f>
        <v>triticale</v>
      </c>
      <c r="AQ12" t="s">
        <v>375</v>
      </c>
      <c r="AS12" s="28">
        <f>INDEX('feed pars'!$AR$6:$AR$47,MATCH($A12,'feed pars'!$B$6:$B$47,0))</f>
        <v>14.606741573033707</v>
      </c>
    </row>
    <row r="13" spans="1:45" x14ac:dyDescent="0.25">
      <c r="A13" t="str">
        <f>'feed pars'!$B16</f>
        <v>rye</v>
      </c>
      <c r="B13" s="28">
        <f>INDEX('feed pars'!C$6:C$47,MATCH($A13,'feed pars'!$B$6:$B$47,0))</f>
        <v>86</v>
      </c>
      <c r="C13" s="28">
        <f>INDEX('feed pars'!D$6:D$47,MATCH($A13,'feed pars'!$B$6:$B$47,0))</f>
        <v>17.924256</v>
      </c>
      <c r="D13" s="28">
        <f>INDEX('feed pars'!E$6:E$47,MATCH($A13,'feed pars'!$B$6:$B$47,0))</f>
        <v>2.0500000000000003</v>
      </c>
      <c r="E13" s="28">
        <f>INDEX('feed pars'!F$6:F$47,MATCH($A13,'feed pars'!$B$6:$B$47,0))</f>
        <v>1.6240000000000001</v>
      </c>
      <c r="F13" s="28">
        <f>INDEX('feed pars'!G$6:G$47,MATCH($A13,'feed pars'!$B$6:$B$47,0))</f>
        <v>0.32999999999999996</v>
      </c>
      <c r="G13" s="28">
        <f>INDEX('feed pars'!H$6:H$47,MATCH($A13,'feed pars'!$B$6:$B$47,0))</f>
        <v>0.55499999999999994</v>
      </c>
      <c r="H13" s="28"/>
      <c r="I13" s="28" t="str">
        <f>'feed pars'!$B16</f>
        <v>rye</v>
      </c>
      <c r="J13" t="s">
        <v>20</v>
      </c>
      <c r="L13" s="37">
        <f>INDEX('feed pars'!$O$6:$O$47,MATCH($A13,'feed pars'!$B$6:$B$47,0))</f>
        <v>15.8</v>
      </c>
      <c r="M13" s="37">
        <f>INDEX('feed pars'!$N$6:$N$47,MATCH($A13,'feed pars'!$B$6:$B$47,0))</f>
        <v>13.9</v>
      </c>
      <c r="N13" s="37">
        <f>INDEX('feed pars'!$Q$6:$Q$47,MATCH($A13,'feed pars'!$B$6:$B$47,0))</f>
        <v>20</v>
      </c>
      <c r="P13" s="28" t="str">
        <f>'feed pars'!$B16</f>
        <v>rye</v>
      </c>
      <c r="Q13" t="s">
        <v>382</v>
      </c>
      <c r="S13" s="37">
        <f>INDEX('feed pars'!$O$6:$O$47,MATCH($A13,'feed pars'!$B$6:$B$47,0))</f>
        <v>15.8</v>
      </c>
      <c r="T13" s="37">
        <f>INDEX('feed pars'!$N$6:$N$47,MATCH($A13,'feed pars'!$B$6:$B$47,0))</f>
        <v>13.9</v>
      </c>
      <c r="U13" s="37">
        <f>INDEX('feed pars'!$Q$6:$Q$47,MATCH($A13,'feed pars'!$B$6:$B$47,0))</f>
        <v>20</v>
      </c>
      <c r="W13" s="28" t="str">
        <f>'feed pars'!$B16</f>
        <v>rye</v>
      </c>
      <c r="X13" t="s">
        <v>378</v>
      </c>
      <c r="Z13" s="37">
        <f>INDEX('feed pars'!$O$6:$O$47,MATCH($A13,'feed pars'!$B$6:$B$47,0))</f>
        <v>15.8</v>
      </c>
      <c r="AA13" s="37">
        <f>INDEX('feed pars'!$N$6:$N$47,MATCH($A13,'feed pars'!$B$6:$B$47,0))</f>
        <v>13.9</v>
      </c>
      <c r="AB13" s="37">
        <f>INDEX('feed pars'!$Q$6:$Q$47,MATCH($A13,'feed pars'!$B$6:$B$47,0))</f>
        <v>20</v>
      </c>
      <c r="AD13" s="28" t="str">
        <f>'feed pars'!$B16</f>
        <v>rye</v>
      </c>
      <c r="AE13" t="s">
        <v>21</v>
      </c>
      <c r="AF13" s="37"/>
      <c r="AG13" s="37">
        <f>INDEX('feed pars'!$AC$6:$AC$47,MATCH($A13,'feed pars'!$B$6:$B$47,0))</f>
        <v>0</v>
      </c>
      <c r="AH13" s="37">
        <f>INDEX('feed pars'!$AD$6:$AD$47,MATCH($A13,'feed pars'!$B$6:$B$47,0))</f>
        <v>11.3</v>
      </c>
      <c r="AJ13" s="28" t="str">
        <f>'feed pars'!$B16</f>
        <v>rye</v>
      </c>
      <c r="AK13" t="s">
        <v>21</v>
      </c>
      <c r="AL13" t="s">
        <v>292</v>
      </c>
      <c r="AM13" s="37"/>
      <c r="AN13" s="37">
        <f>INDEX('feed pars'!$AE$6:$AE$47,MATCH($A13,'feed pars'!$B$6:$B$47,0))</f>
        <v>11.5</v>
      </c>
      <c r="AP13" s="28" t="str">
        <f>'feed pars'!$B16</f>
        <v>rye</v>
      </c>
      <c r="AQ13" t="s">
        <v>375</v>
      </c>
      <c r="AS13" s="28">
        <f>INDEX('feed pars'!$AR$6:$AR$47,MATCH($A13,'feed pars'!$B$6:$B$47,0))</f>
        <v>12.873563218390803</v>
      </c>
    </row>
    <row r="14" spans="1:45" x14ac:dyDescent="0.25">
      <c r="A14" t="str">
        <f>'feed pars'!$B17</f>
        <v>maize</v>
      </c>
      <c r="B14" s="28">
        <f>INDEX('feed pars'!C$6:C$47,MATCH($A14,'feed pars'!$B$6:$B$47,0))</f>
        <v>86</v>
      </c>
      <c r="C14" s="28">
        <f>INDEX('feed pars'!D$6:D$47,MATCH($A14,'feed pars'!$B$6:$B$47,0))</f>
        <v>18.3899352</v>
      </c>
      <c r="D14" s="28">
        <f>INDEX('feed pars'!E$6:E$47,MATCH($A14,'feed pars'!$B$6:$B$47,0))</f>
        <v>1.8499999999999999</v>
      </c>
      <c r="E14" s="28">
        <f>INDEX('feed pars'!F$6:F$47,MATCH($A14,'feed pars'!$B$6:$B$47,0))</f>
        <v>1.6400000000000001</v>
      </c>
      <c r="F14" s="28">
        <f>INDEX('feed pars'!G$6:G$47,MATCH($A14,'feed pars'!$B$6:$B$47,0))</f>
        <v>0.33999999999999997</v>
      </c>
      <c r="G14" s="28">
        <f>INDEX('feed pars'!H$6:H$47,MATCH($A14,'feed pars'!$B$6:$B$47,0))</f>
        <v>0.46500000000000002</v>
      </c>
      <c r="H14" s="28"/>
      <c r="I14" s="28" t="str">
        <f>'feed pars'!$B17</f>
        <v>maize</v>
      </c>
      <c r="J14" t="s">
        <v>20</v>
      </c>
      <c r="L14" s="37">
        <f>INDEX('feed pars'!$O$6:$O$47,MATCH($A14,'feed pars'!$B$6:$B$47,0))</f>
        <v>14.5</v>
      </c>
      <c r="M14" s="37">
        <f>INDEX('feed pars'!$N$6:$N$47,MATCH($A14,'feed pars'!$B$6:$B$47,0))</f>
        <v>12.8</v>
      </c>
      <c r="N14" s="37">
        <f>INDEX('feed pars'!$Q$6:$Q$47,MATCH($A14,'feed pars'!$B$6:$B$47,0))</f>
        <v>40</v>
      </c>
      <c r="P14" s="28" t="str">
        <f>'feed pars'!$B17</f>
        <v>maize</v>
      </c>
      <c r="Q14" t="s">
        <v>382</v>
      </c>
      <c r="S14" s="37">
        <f>INDEX('feed pars'!$O$6:$O$47,MATCH($A14,'feed pars'!$B$6:$B$47,0))</f>
        <v>14.5</v>
      </c>
      <c r="T14" s="37">
        <f>INDEX('feed pars'!$N$6:$N$47,MATCH($A14,'feed pars'!$B$6:$B$47,0))</f>
        <v>12.8</v>
      </c>
      <c r="U14" s="37">
        <f>INDEX('feed pars'!$Q$6:$Q$47,MATCH($A14,'feed pars'!$B$6:$B$47,0))</f>
        <v>40</v>
      </c>
      <c r="W14" s="28" t="str">
        <f>'feed pars'!$B17</f>
        <v>maize</v>
      </c>
      <c r="X14" t="s">
        <v>378</v>
      </c>
      <c r="Z14" s="37">
        <f>INDEX('feed pars'!$O$6:$O$47,MATCH($A14,'feed pars'!$B$6:$B$47,0))</f>
        <v>14.5</v>
      </c>
      <c r="AA14" s="37">
        <f>INDEX('feed pars'!$N$6:$N$47,MATCH($A14,'feed pars'!$B$6:$B$47,0))</f>
        <v>12.8</v>
      </c>
      <c r="AB14" s="37">
        <f>INDEX('feed pars'!$Q$6:$Q$47,MATCH($A14,'feed pars'!$B$6:$B$47,0))</f>
        <v>40</v>
      </c>
      <c r="AD14" s="28" t="str">
        <f>'feed pars'!$B17</f>
        <v>maize</v>
      </c>
      <c r="AE14" t="s">
        <v>21</v>
      </c>
      <c r="AF14" s="37"/>
      <c r="AG14" s="37">
        <f>INDEX('feed pars'!$AC$6:$AC$47,MATCH($A14,'feed pars'!$B$6:$B$47,0))</f>
        <v>16.5</v>
      </c>
      <c r="AH14" s="37">
        <f>INDEX('feed pars'!$AD$6:$AD$47,MATCH($A14,'feed pars'!$B$6:$B$47,0))</f>
        <v>12.8</v>
      </c>
      <c r="AJ14" s="28" t="str">
        <f>'feed pars'!$B17</f>
        <v>maize</v>
      </c>
      <c r="AK14" t="s">
        <v>21</v>
      </c>
      <c r="AL14" t="s">
        <v>292</v>
      </c>
      <c r="AM14" s="37"/>
      <c r="AN14" s="37">
        <f>INDEX('feed pars'!$AE$6:$AE$47,MATCH($A14,'feed pars'!$B$6:$B$47,0))</f>
        <v>13.2</v>
      </c>
      <c r="AP14" s="28" t="str">
        <f>'feed pars'!$B17</f>
        <v>maize</v>
      </c>
      <c r="AQ14" t="s">
        <v>375</v>
      </c>
      <c r="AS14" s="28">
        <f>INDEX('feed pars'!$AR$6:$AR$47,MATCH($A14,'feed pars'!$B$6:$B$47,0))</f>
        <v>15.862068965517242</v>
      </c>
    </row>
    <row r="15" spans="1:45" x14ac:dyDescent="0.25">
      <c r="A15" t="str">
        <f>'feed pars'!$B18</f>
        <v>peas</v>
      </c>
      <c r="B15" s="28">
        <f>INDEX('feed pars'!C$6:C$47,MATCH($A15,'feed pars'!$B$6:$B$47,0))</f>
        <v>85</v>
      </c>
      <c r="C15" s="28">
        <f>INDEX('feed pars'!D$6:D$47,MATCH($A15,'feed pars'!$B$6:$B$47,0))</f>
        <v>18.478217600000001</v>
      </c>
      <c r="D15" s="28">
        <f>INDEX('feed pars'!E$6:E$47,MATCH($A15,'feed pars'!$B$6:$B$47,0))</f>
        <v>3.4000000000000004</v>
      </c>
      <c r="E15" s="28">
        <f>INDEX('feed pars'!F$6:F$47,MATCH($A15,'feed pars'!$B$6:$B$47,0))</f>
        <v>3.7200000000000006</v>
      </c>
      <c r="F15" s="28">
        <f>INDEX('feed pars'!G$6:G$47,MATCH($A15,'feed pars'!$B$6:$B$47,0))</f>
        <v>0.44499999999999995</v>
      </c>
      <c r="G15" s="28">
        <f>INDEX('feed pars'!H$6:H$47,MATCH($A15,'feed pars'!$B$6:$B$47,0))</f>
        <v>1.155</v>
      </c>
      <c r="H15" s="28"/>
      <c r="I15" s="28" t="str">
        <f>'feed pars'!$B18</f>
        <v>peas</v>
      </c>
      <c r="J15" t="s">
        <v>20</v>
      </c>
      <c r="L15" s="37">
        <f>INDEX('feed pars'!$O$6:$O$47,MATCH($A15,'feed pars'!$B$6:$B$47,0))</f>
        <v>16</v>
      </c>
      <c r="M15" s="37">
        <f>INDEX('feed pars'!$N$6:$N$47,MATCH($A15,'feed pars'!$B$6:$B$47,0))</f>
        <v>13.8</v>
      </c>
      <c r="N15" s="37">
        <f>INDEX('feed pars'!$Q$6:$Q$47,MATCH($A15,'feed pars'!$B$6:$B$47,0))</f>
        <v>17</v>
      </c>
      <c r="P15" s="28" t="str">
        <f>'feed pars'!$B18</f>
        <v>peas</v>
      </c>
      <c r="Q15" t="s">
        <v>382</v>
      </c>
      <c r="S15" s="37">
        <f>INDEX('feed pars'!$O$6:$O$47,MATCH($A15,'feed pars'!$B$6:$B$47,0))</f>
        <v>16</v>
      </c>
      <c r="T15" s="37">
        <f>INDEX('feed pars'!$N$6:$N$47,MATCH($A15,'feed pars'!$B$6:$B$47,0))</f>
        <v>13.8</v>
      </c>
      <c r="U15" s="37">
        <f>INDEX('feed pars'!$Q$6:$Q$47,MATCH($A15,'feed pars'!$B$6:$B$47,0))</f>
        <v>17</v>
      </c>
      <c r="W15" s="28" t="str">
        <f>'feed pars'!$B18</f>
        <v>peas</v>
      </c>
      <c r="X15" t="s">
        <v>378</v>
      </c>
      <c r="Z15" s="37">
        <f>INDEX('feed pars'!$O$6:$O$47,MATCH($A15,'feed pars'!$B$6:$B$47,0))</f>
        <v>16</v>
      </c>
      <c r="AA15" s="37">
        <f>INDEX('feed pars'!$N$6:$N$47,MATCH($A15,'feed pars'!$B$6:$B$47,0))</f>
        <v>13.8</v>
      </c>
      <c r="AB15" s="37">
        <f>INDEX('feed pars'!$Q$6:$Q$47,MATCH($A15,'feed pars'!$B$6:$B$47,0))</f>
        <v>17</v>
      </c>
      <c r="AD15" s="28" t="str">
        <f>'feed pars'!$B18</f>
        <v>peas</v>
      </c>
      <c r="AE15" t="s">
        <v>21</v>
      </c>
      <c r="AF15" s="37"/>
      <c r="AG15" s="37">
        <f>INDEX('feed pars'!$AC$6:$AC$47,MATCH($A15,'feed pars'!$B$6:$B$47,0))</f>
        <v>16.100000000000001</v>
      </c>
      <c r="AH15" s="37">
        <f>INDEX('feed pars'!$AD$6:$AD$47,MATCH($A15,'feed pars'!$B$6:$B$47,0))</f>
        <v>11.2</v>
      </c>
      <c r="AJ15" s="28" t="str">
        <f>'feed pars'!$B18</f>
        <v>peas</v>
      </c>
      <c r="AK15" t="s">
        <v>21</v>
      </c>
      <c r="AL15" t="s">
        <v>292</v>
      </c>
      <c r="AM15" s="37"/>
      <c r="AN15" s="37">
        <f>INDEX('feed pars'!$AE$6:$AE$47,MATCH($A15,'feed pars'!$B$6:$B$47,0))</f>
        <v>11.5</v>
      </c>
      <c r="AP15" s="28" t="str">
        <f>'feed pars'!$B18</f>
        <v>peas</v>
      </c>
      <c r="AQ15" t="s">
        <v>375</v>
      </c>
      <c r="AS15" s="28">
        <f>INDEX('feed pars'!$AR$6:$AR$47,MATCH($A15,'feed pars'!$B$6:$B$47,0))</f>
        <v>12.64367816091954</v>
      </c>
    </row>
    <row r="16" spans="1:45" x14ac:dyDescent="0.25">
      <c r="A16" t="str">
        <f>'feed pars'!$B19</f>
        <v>broad beans</v>
      </c>
      <c r="B16" s="28">
        <f>INDEX('feed pars'!C$6:C$47,MATCH($A16,'feed pars'!$B$6:$B$47,0))</f>
        <v>85</v>
      </c>
      <c r="C16" s="28">
        <f>INDEX('feed pars'!D$6:D$47,MATCH($A16,'feed pars'!$B$6:$B$47,0))</f>
        <v>18.737207199999997</v>
      </c>
      <c r="D16" s="28">
        <f>INDEX('feed pars'!E$6:E$47,MATCH($A16,'feed pars'!$B$6:$B$47,0))</f>
        <v>4</v>
      </c>
      <c r="E16" s="28">
        <f>INDEX('feed pars'!F$6:F$47,MATCH($A16,'feed pars'!$B$6:$B$47,0))</f>
        <v>4.8079999999999998</v>
      </c>
      <c r="F16" s="28">
        <f>INDEX('feed pars'!G$6:G$47,MATCH($A16,'feed pars'!$B$6:$B$47,0))</f>
        <v>0.61499999999999999</v>
      </c>
      <c r="G16" s="28">
        <f>INDEX('feed pars'!H$6:H$47,MATCH($A16,'feed pars'!$B$6:$B$47,0))</f>
        <v>1.375</v>
      </c>
      <c r="H16" s="28"/>
      <c r="I16" s="28" t="str">
        <f>'feed pars'!$B19</f>
        <v>broad beans</v>
      </c>
      <c r="J16" t="s">
        <v>20</v>
      </c>
      <c r="L16" s="37">
        <f>INDEX('feed pars'!$O$6:$O$47,MATCH($A16,'feed pars'!$B$6:$B$47,0))</f>
        <v>12.6</v>
      </c>
      <c r="M16" s="37">
        <f>INDEX('feed pars'!$N$6:$N$47,MATCH($A16,'feed pars'!$B$6:$B$47,0))</f>
        <v>13.3</v>
      </c>
      <c r="N16" s="37">
        <f>INDEX('feed pars'!$Q$6:$Q$47,MATCH($A16,'feed pars'!$B$6:$B$47,0))</f>
        <v>14</v>
      </c>
      <c r="P16" s="28" t="str">
        <f>'feed pars'!$B19</f>
        <v>broad beans</v>
      </c>
      <c r="Q16" t="s">
        <v>382</v>
      </c>
      <c r="S16" s="37">
        <f>INDEX('feed pars'!$O$6:$O$47,MATCH($A16,'feed pars'!$B$6:$B$47,0))</f>
        <v>12.6</v>
      </c>
      <c r="T16" s="37">
        <f>INDEX('feed pars'!$N$6:$N$47,MATCH($A16,'feed pars'!$B$6:$B$47,0))</f>
        <v>13.3</v>
      </c>
      <c r="U16" s="37">
        <f>INDEX('feed pars'!$Q$6:$Q$47,MATCH($A16,'feed pars'!$B$6:$B$47,0))</f>
        <v>14</v>
      </c>
      <c r="W16" s="28" t="str">
        <f>'feed pars'!$B19</f>
        <v>broad beans</v>
      </c>
      <c r="X16" t="s">
        <v>378</v>
      </c>
      <c r="Z16" s="37">
        <f>INDEX('feed pars'!$O$6:$O$47,MATCH($A16,'feed pars'!$B$6:$B$47,0))</f>
        <v>12.6</v>
      </c>
      <c r="AA16" s="37">
        <f>INDEX('feed pars'!$N$6:$N$47,MATCH($A16,'feed pars'!$B$6:$B$47,0))</f>
        <v>13.3</v>
      </c>
      <c r="AB16" s="37">
        <f>INDEX('feed pars'!$Q$6:$Q$47,MATCH($A16,'feed pars'!$B$6:$B$47,0))</f>
        <v>14</v>
      </c>
      <c r="AD16" s="28" t="str">
        <f>'feed pars'!$B19</f>
        <v>broad beans</v>
      </c>
      <c r="AE16" t="s">
        <v>21</v>
      </c>
      <c r="AF16" s="37"/>
      <c r="AG16" s="37">
        <f>INDEX('feed pars'!$AC$6:$AC$47,MATCH($A16,'feed pars'!$B$6:$B$47,0))</f>
        <v>15.5</v>
      </c>
      <c r="AH16" s="37">
        <f>INDEX('feed pars'!$AD$6:$AD$47,MATCH($A16,'feed pars'!$B$6:$B$47,0))</f>
        <v>10.7</v>
      </c>
      <c r="AJ16" s="28" t="str">
        <f>'feed pars'!$B19</f>
        <v>broad beans</v>
      </c>
      <c r="AK16" t="s">
        <v>21</v>
      </c>
      <c r="AL16" t="s">
        <v>292</v>
      </c>
      <c r="AM16" s="37"/>
      <c r="AN16" s="37">
        <f>INDEX('feed pars'!$AE$6:$AE$47,MATCH($A16,'feed pars'!$B$6:$B$47,0))</f>
        <v>10.9</v>
      </c>
      <c r="AP16" s="28" t="str">
        <f>'feed pars'!$B19</f>
        <v>broad beans</v>
      </c>
      <c r="AQ16" t="s">
        <v>375</v>
      </c>
      <c r="AS16" s="28"/>
    </row>
    <row r="17" spans="1:45" x14ac:dyDescent="0.25">
      <c r="A17" t="str">
        <f>'feed pars'!$B20</f>
        <v>rapeseed</v>
      </c>
      <c r="B17" s="28">
        <f>INDEX('feed pars'!C$6:C$47,MATCH($A17,'feed pars'!$B$6:$B$47,0))</f>
        <v>91</v>
      </c>
      <c r="C17" s="28">
        <f>INDEX('feed pars'!D$6:D$47,MATCH($A17,'feed pars'!$B$6:$B$47,0))</f>
        <v>27.903096000000001</v>
      </c>
      <c r="D17" s="28">
        <f>INDEX('feed pars'!E$6:E$47,MATCH($A17,'feed pars'!$B$6:$B$47,0))</f>
        <v>4.6500000000000004</v>
      </c>
      <c r="E17" s="28">
        <f>INDEX('feed pars'!F$6:F$47,MATCH($A17,'feed pars'!$B$6:$B$47,0))</f>
        <v>3.3360000000000003</v>
      </c>
      <c r="F17" s="28">
        <f>INDEX('feed pars'!G$6:G$47,MATCH($A17,'feed pars'!$B$6:$B$47,0))</f>
        <v>0.81</v>
      </c>
      <c r="G17" s="28">
        <f>INDEX('feed pars'!H$6:H$47,MATCH($A17,'feed pars'!$B$6:$B$47,0))</f>
        <v>0.90999999999999992</v>
      </c>
      <c r="H17" s="28"/>
      <c r="I17" s="28" t="str">
        <f>'feed pars'!$B20</f>
        <v>rapeseed</v>
      </c>
      <c r="J17" t="s">
        <v>20</v>
      </c>
      <c r="L17" s="37">
        <f>INDEX('feed pars'!$O$6:$O$47,MATCH($A17,'feed pars'!$B$6:$B$47,0))</f>
        <v>22.1</v>
      </c>
      <c r="M17" s="37">
        <f>INDEX('feed pars'!$N$6:$N$47,MATCH($A17,'feed pars'!$B$6:$B$47,0))</f>
        <v>22.1</v>
      </c>
      <c r="N17" s="37">
        <f>INDEX('feed pars'!$Q$6:$Q$47,MATCH($A17,'feed pars'!$B$6:$B$47,0))</f>
        <v>460</v>
      </c>
      <c r="P17" s="28" t="str">
        <f>'feed pars'!$B20</f>
        <v>rapeseed</v>
      </c>
      <c r="Q17" t="s">
        <v>382</v>
      </c>
      <c r="S17" s="37">
        <f>INDEX('feed pars'!$O$6:$O$47,MATCH($A17,'feed pars'!$B$6:$B$47,0))</f>
        <v>22.1</v>
      </c>
      <c r="T17" s="37">
        <f>INDEX('feed pars'!$N$6:$N$47,MATCH($A17,'feed pars'!$B$6:$B$47,0))</f>
        <v>22.1</v>
      </c>
      <c r="U17" s="37">
        <f>INDEX('feed pars'!$Q$6:$Q$47,MATCH($A17,'feed pars'!$B$6:$B$47,0))</f>
        <v>460</v>
      </c>
      <c r="W17" s="28" t="str">
        <f>'feed pars'!$B20</f>
        <v>rapeseed</v>
      </c>
      <c r="X17" t="s">
        <v>378</v>
      </c>
      <c r="Z17" s="37">
        <f>INDEX('feed pars'!$O$6:$O$47,MATCH($A17,'feed pars'!$B$6:$B$47,0))</f>
        <v>22.1</v>
      </c>
      <c r="AA17" s="37">
        <f>INDEX('feed pars'!$N$6:$N$47,MATCH($A17,'feed pars'!$B$6:$B$47,0))</f>
        <v>22.1</v>
      </c>
      <c r="AB17" s="37">
        <f>INDEX('feed pars'!$Q$6:$Q$47,MATCH($A17,'feed pars'!$B$6:$B$47,0))</f>
        <v>460</v>
      </c>
      <c r="AD17" s="28" t="str">
        <f>'feed pars'!$B20</f>
        <v>rapeseed</v>
      </c>
      <c r="AE17" t="s">
        <v>21</v>
      </c>
      <c r="AF17" s="37"/>
      <c r="AG17" s="37">
        <f>INDEX('feed pars'!$AC$6:$AC$47,MATCH($A17,'feed pars'!$B$6:$B$47,0))</f>
        <v>23.5</v>
      </c>
      <c r="AH17" s="37">
        <f>INDEX('feed pars'!$AD$6:$AD$47,MATCH($A17,'feed pars'!$B$6:$B$47,0))</f>
        <v>18</v>
      </c>
      <c r="AJ17" s="28" t="str">
        <f>'feed pars'!$B20</f>
        <v>rapeseed</v>
      </c>
      <c r="AK17" t="s">
        <v>21</v>
      </c>
      <c r="AL17" t="s">
        <v>292</v>
      </c>
      <c r="AM17" s="37"/>
      <c r="AN17" s="37">
        <f>INDEX('feed pars'!$AE$6:$AE$47,MATCH($A17,'feed pars'!$B$6:$B$47,0))</f>
        <v>18.5</v>
      </c>
      <c r="AP17" s="28" t="str">
        <f>'feed pars'!$B20</f>
        <v>rapeseed</v>
      </c>
      <c r="AQ17" t="s">
        <v>375</v>
      </c>
      <c r="AS17" s="28">
        <f>INDEX('feed pars'!$AR$6:$AR$47,MATCH($A17,'feed pars'!$B$6:$B$47,0))</f>
        <v>16.8</v>
      </c>
    </row>
    <row r="18" spans="1:45" x14ac:dyDescent="0.25">
      <c r="A18" t="str">
        <f>'feed pars'!$B21</f>
        <v>linseed</v>
      </c>
      <c r="B18" s="28">
        <f>INDEX('feed pars'!C$6:C$47,MATCH($A18,'feed pars'!$B$6:$B$47,0))</f>
        <v>91</v>
      </c>
      <c r="C18" s="28">
        <f>INDEX('feed pars'!D$6:D$47,MATCH($A18,'feed pars'!$B$6:$B$47,0))</f>
        <v>26.501456000000001</v>
      </c>
      <c r="D18" s="28">
        <f>INDEX('feed pars'!E$6:E$47,MATCH($A18,'feed pars'!$B$6:$B$47,0))</f>
        <v>3.9</v>
      </c>
      <c r="E18" s="28">
        <f>INDEX('feed pars'!F$6:F$47,MATCH($A18,'feed pars'!$B$6:$B$47,0))</f>
        <v>3.7359999999999998</v>
      </c>
      <c r="F18" s="28">
        <f>INDEX('feed pars'!G$6:G$47,MATCH($A18,'feed pars'!$B$6:$B$47,0))</f>
        <v>0.57000000000000006</v>
      </c>
      <c r="G18" s="28">
        <f>INDEX('feed pars'!H$6:H$47,MATCH($A18,'feed pars'!$B$6:$B$47,0))</f>
        <v>0.89500000000000002</v>
      </c>
      <c r="H18" s="28"/>
      <c r="I18" s="28" t="str">
        <f>'feed pars'!$B21</f>
        <v>linseed</v>
      </c>
      <c r="J18" t="s">
        <v>20</v>
      </c>
      <c r="L18" s="37">
        <f>INDEX('feed pars'!$O$6:$O$47,MATCH($A18,'feed pars'!$B$6:$B$47,0))</f>
        <v>20.8</v>
      </c>
      <c r="M18" s="37">
        <f>INDEX('feed pars'!$N$6:$N$47,MATCH($A18,'feed pars'!$B$6:$B$47,0))</f>
        <v>20.100000000000001</v>
      </c>
      <c r="N18" s="37">
        <f>INDEX('feed pars'!$Q$6:$Q$47,MATCH($A18,'feed pars'!$B$6:$B$47,0))</f>
        <v>380</v>
      </c>
      <c r="P18" s="28" t="str">
        <f>'feed pars'!$B21</f>
        <v>linseed</v>
      </c>
      <c r="Q18" t="s">
        <v>382</v>
      </c>
      <c r="S18" s="37">
        <f>INDEX('feed pars'!$O$6:$O$47,MATCH($A18,'feed pars'!$B$6:$B$47,0))</f>
        <v>20.8</v>
      </c>
      <c r="T18" s="37">
        <f>INDEX('feed pars'!$N$6:$N$47,MATCH($A18,'feed pars'!$B$6:$B$47,0))</f>
        <v>20.100000000000001</v>
      </c>
      <c r="U18" s="37">
        <f>INDEX('feed pars'!$Q$6:$Q$47,MATCH($A18,'feed pars'!$B$6:$B$47,0))</f>
        <v>380</v>
      </c>
      <c r="W18" s="28" t="str">
        <f>'feed pars'!$B21</f>
        <v>linseed</v>
      </c>
      <c r="X18" t="s">
        <v>378</v>
      </c>
      <c r="Z18" s="37">
        <f>INDEX('feed pars'!$O$6:$O$47,MATCH($A18,'feed pars'!$B$6:$B$47,0))</f>
        <v>20.8</v>
      </c>
      <c r="AA18" s="37">
        <f>INDEX('feed pars'!$N$6:$N$47,MATCH($A18,'feed pars'!$B$6:$B$47,0))</f>
        <v>20.100000000000001</v>
      </c>
      <c r="AB18" s="37">
        <f>INDEX('feed pars'!$Q$6:$Q$47,MATCH($A18,'feed pars'!$B$6:$B$47,0))</f>
        <v>380</v>
      </c>
      <c r="AD18" s="28" t="str">
        <f>'feed pars'!$B21</f>
        <v>linseed</v>
      </c>
      <c r="AE18" t="s">
        <v>21</v>
      </c>
      <c r="AF18" s="37"/>
      <c r="AG18" s="37">
        <f>INDEX('feed pars'!$AC$6:$AC$47,MATCH($A18,'feed pars'!$B$6:$B$47,0))</f>
        <v>20.9</v>
      </c>
      <c r="AH18" s="37">
        <f>INDEX('feed pars'!$AD$6:$AD$47,MATCH($A18,'feed pars'!$B$6:$B$47,0))</f>
        <v>17.3</v>
      </c>
      <c r="AJ18" s="28" t="str">
        <f>'feed pars'!$B21</f>
        <v>linseed</v>
      </c>
      <c r="AK18" t="s">
        <v>21</v>
      </c>
      <c r="AL18" t="s">
        <v>292</v>
      </c>
      <c r="AM18" s="37"/>
      <c r="AN18" s="37">
        <f>INDEX('feed pars'!$AE$6:$AE$47,MATCH($A18,'feed pars'!$B$6:$B$47,0))</f>
        <v>17.5</v>
      </c>
      <c r="AP18" s="28" t="str">
        <f>'feed pars'!$B21</f>
        <v>linseed</v>
      </c>
      <c r="AQ18" t="s">
        <v>375</v>
      </c>
      <c r="AS18" s="28"/>
    </row>
    <row r="19" spans="1:45" x14ac:dyDescent="0.25">
      <c r="A19" t="str">
        <f>'feed pars'!$B22</f>
        <v>vegetable oils</v>
      </c>
      <c r="B19" s="28">
        <f>INDEX('feed pars'!C$6:C$47,MATCH($A19,'feed pars'!$B$6:$B$47,0))</f>
        <v>100</v>
      </c>
      <c r="C19" s="28">
        <f>INDEX('feed pars'!D$6:D$47,MATCH($A19,'feed pars'!$B$6:$B$47,0))</f>
        <v>39.329599999999999</v>
      </c>
      <c r="D19" s="28">
        <f>INDEX('feed pars'!E$6:E$47,MATCH($A19,'feed pars'!$B$6:$B$47,0))</f>
        <v>0</v>
      </c>
      <c r="E19" s="28">
        <f>INDEX('feed pars'!F$6:F$47,MATCH($A19,'feed pars'!$B$6:$B$47,0))</f>
        <v>0</v>
      </c>
      <c r="F19" s="28">
        <f>INDEX('feed pars'!G$6:G$47,MATCH($A19,'feed pars'!$B$6:$B$47,0))</f>
        <v>0</v>
      </c>
      <c r="G19" s="28">
        <f>INDEX('feed pars'!H$6:H$47,MATCH($A19,'feed pars'!$B$6:$B$47,0))</f>
        <v>0</v>
      </c>
      <c r="H19" s="28"/>
      <c r="I19" s="28" t="str">
        <f>'feed pars'!$B22</f>
        <v>vegetable oils</v>
      </c>
      <c r="J19" t="s">
        <v>20</v>
      </c>
      <c r="L19" s="37">
        <f>INDEX('feed pars'!$O$6:$O$47,MATCH($A19,'feed pars'!$B$6:$B$47,0))</f>
        <v>36.6</v>
      </c>
      <c r="M19" s="37">
        <f>INDEX('feed pars'!$N$6:$N$47,MATCH($A19,'feed pars'!$B$6:$B$47,0))</f>
        <v>36.6</v>
      </c>
      <c r="N19" s="37">
        <f>INDEX('feed pars'!$Q$6:$Q$47,MATCH($A19,'feed pars'!$B$6:$B$47,0))</f>
        <v>1000</v>
      </c>
      <c r="P19" s="28" t="str">
        <f>'feed pars'!$B22</f>
        <v>vegetable oils</v>
      </c>
      <c r="Q19" t="s">
        <v>382</v>
      </c>
      <c r="S19" s="37">
        <f>INDEX('feed pars'!$O$6:$O$47,MATCH($A19,'feed pars'!$B$6:$B$47,0))</f>
        <v>36.6</v>
      </c>
      <c r="T19" s="37">
        <f>INDEX('feed pars'!$N$6:$N$47,MATCH($A19,'feed pars'!$B$6:$B$47,0))</f>
        <v>36.6</v>
      </c>
      <c r="U19" s="37">
        <f>INDEX('feed pars'!$Q$6:$Q$47,MATCH($A19,'feed pars'!$B$6:$B$47,0))</f>
        <v>1000</v>
      </c>
      <c r="W19" s="28" t="str">
        <f>'feed pars'!$B22</f>
        <v>vegetable oils</v>
      </c>
      <c r="X19" t="s">
        <v>378</v>
      </c>
      <c r="Z19" s="37">
        <f>INDEX('feed pars'!$O$6:$O$47,MATCH($A19,'feed pars'!$B$6:$B$47,0))</f>
        <v>36.6</v>
      </c>
      <c r="AA19" s="37">
        <f>INDEX('feed pars'!$N$6:$N$47,MATCH($A19,'feed pars'!$B$6:$B$47,0))</f>
        <v>36.6</v>
      </c>
      <c r="AB19" s="37">
        <f>INDEX('feed pars'!$Q$6:$Q$47,MATCH($A19,'feed pars'!$B$6:$B$47,0))</f>
        <v>1000</v>
      </c>
      <c r="AD19" s="28" t="str">
        <f>'feed pars'!$B22</f>
        <v>vegetable oils</v>
      </c>
      <c r="AE19" t="s">
        <v>21</v>
      </c>
      <c r="AF19" s="37"/>
      <c r="AG19" s="37">
        <f>INDEX('feed pars'!$AC$6:$AC$47,MATCH($A19,'feed pars'!$B$6:$B$47,0))</f>
        <v>34.5</v>
      </c>
      <c r="AH19" s="37">
        <f>INDEX('feed pars'!$AD$6:$AD$47,MATCH($A19,'feed pars'!$B$6:$B$47,0))</f>
        <v>29.8</v>
      </c>
      <c r="AJ19" s="28" t="str">
        <f>'feed pars'!$B22</f>
        <v>vegetable oils</v>
      </c>
      <c r="AK19" t="s">
        <v>21</v>
      </c>
      <c r="AL19" t="s">
        <v>292</v>
      </c>
      <c r="AM19" s="37"/>
      <c r="AN19" s="37">
        <f>INDEX('feed pars'!$AE$6:$AE$47,MATCH($A19,'feed pars'!$B$6:$B$47,0))</f>
        <v>29.8</v>
      </c>
      <c r="AP19" s="28" t="str">
        <f>'feed pars'!$B22</f>
        <v>vegetable oils</v>
      </c>
      <c r="AQ19" t="s">
        <v>375</v>
      </c>
      <c r="AS19" s="28">
        <f>INDEX('feed pars'!$AR$6:$AR$47,MATCH($A19,'feed pars'!$B$6:$B$47,0))</f>
        <v>38.080808080808083</v>
      </c>
    </row>
    <row r="20" spans="1:45" x14ac:dyDescent="0.25">
      <c r="A20" t="str">
        <f>'feed pars'!$B23</f>
        <v>straw</v>
      </c>
      <c r="B20" s="28">
        <f>INDEX('feed pars'!C$6:C$47,MATCH($A20,'feed pars'!$B$6:$B$47,0))</f>
        <v>85</v>
      </c>
      <c r="C20" s="28">
        <f>INDEX('feed pars'!D$6:D$47,MATCH($A20,'feed pars'!$B$6:$B$47,0))</f>
        <v>16.927627199999996</v>
      </c>
      <c r="D20" s="28">
        <f>INDEX('feed pars'!E$6:E$47,MATCH($A20,'feed pars'!$B$6:$B$47,0))</f>
        <v>6.6000000000000005</v>
      </c>
      <c r="E20" s="28">
        <f>INDEX('feed pars'!F$6:F$47,MATCH($A20,'feed pars'!$B$6:$B$47,0))</f>
        <v>1.1040000000000001</v>
      </c>
      <c r="F20" s="28">
        <f>INDEX('feed pars'!G$6:G$47,MATCH($A20,'feed pars'!$B$6:$B$47,0))</f>
        <v>0.26</v>
      </c>
      <c r="G20" s="28">
        <f>INDEX('feed pars'!H$6:H$47,MATCH($A20,'feed pars'!$B$6:$B$47,0))</f>
        <v>1.6800000000000002</v>
      </c>
      <c r="H20" s="28"/>
      <c r="I20" s="28" t="str">
        <f>'feed pars'!$B23</f>
        <v>straw</v>
      </c>
      <c r="J20" t="s">
        <v>20</v>
      </c>
      <c r="L20" s="37">
        <f>INDEX('feed pars'!$O$6:$O$47,MATCH($A20,'feed pars'!$B$6:$B$47,0))</f>
        <v>7.6</v>
      </c>
      <c r="M20" s="37">
        <f>INDEX('feed pars'!$N$6:$N$47,MATCH($A20,'feed pars'!$B$6:$B$47,0))</f>
        <v>6.6</v>
      </c>
      <c r="N20" s="37">
        <f>INDEX('feed pars'!$Q$6:$Q$47,MATCH($A20,'feed pars'!$B$6:$B$47,0))</f>
        <v>20</v>
      </c>
      <c r="P20" s="28" t="str">
        <f>'feed pars'!$B23</f>
        <v>straw</v>
      </c>
      <c r="Q20" t="s">
        <v>382</v>
      </c>
      <c r="S20" s="37">
        <f>INDEX('feed pars'!$O$6:$O$47,MATCH($A20,'feed pars'!$B$6:$B$47,0))</f>
        <v>7.6</v>
      </c>
      <c r="T20" s="37">
        <f>INDEX('feed pars'!$N$6:$N$47,MATCH($A20,'feed pars'!$B$6:$B$47,0))</f>
        <v>6.6</v>
      </c>
      <c r="U20" s="37">
        <f>INDEX('feed pars'!$Q$6:$Q$47,MATCH($A20,'feed pars'!$B$6:$B$47,0))</f>
        <v>20</v>
      </c>
      <c r="W20" s="28" t="str">
        <f>'feed pars'!$B23</f>
        <v>straw</v>
      </c>
      <c r="X20" t="s">
        <v>378</v>
      </c>
      <c r="Z20" s="37">
        <f>INDEX('feed pars'!$O$6:$O$47,MATCH($A20,'feed pars'!$B$6:$B$47,0))</f>
        <v>7.6</v>
      </c>
      <c r="AA20" s="37">
        <f>INDEX('feed pars'!$N$6:$N$47,MATCH($A20,'feed pars'!$B$6:$B$47,0))</f>
        <v>6.6</v>
      </c>
      <c r="AB20" s="37">
        <f>INDEX('feed pars'!$Q$6:$Q$47,MATCH($A20,'feed pars'!$B$6:$B$47,0))</f>
        <v>20</v>
      </c>
      <c r="AD20" s="28" t="str">
        <f>'feed pars'!$B23</f>
        <v>straw</v>
      </c>
      <c r="AE20" t="s">
        <v>21</v>
      </c>
      <c r="AF20" s="37"/>
      <c r="AG20" s="37"/>
      <c r="AH20" s="37"/>
      <c r="AJ20" s="28" t="str">
        <f>'feed pars'!$B23</f>
        <v>straw</v>
      </c>
      <c r="AK20" t="s">
        <v>21</v>
      </c>
      <c r="AL20" t="s">
        <v>292</v>
      </c>
      <c r="AM20" s="37"/>
      <c r="AN20" s="37"/>
      <c r="AP20" s="28" t="str">
        <f>'feed pars'!$B23</f>
        <v>straw</v>
      </c>
      <c r="AQ20" t="s">
        <v>375</v>
      </c>
      <c r="AS20" s="28"/>
    </row>
    <row r="21" spans="1:45" x14ac:dyDescent="0.25">
      <c r="A21" t="str">
        <f>'feed pars'!$B24</f>
        <v>soybeans</v>
      </c>
      <c r="B21" s="28">
        <f>INDEX('feed pars'!C$6:C$47,MATCH($A21,'feed pars'!$B$6:$B$47,0))</f>
        <v>87</v>
      </c>
      <c r="C21" s="28">
        <f>INDEX('feed pars'!D$6:D$47,MATCH($A21,'feed pars'!$B$6:$B$47,0))</f>
        <v>22.965976000000001</v>
      </c>
      <c r="D21" s="28">
        <f>INDEX('feed pars'!E$6:E$47,MATCH($A21,'feed pars'!$B$6:$B$47,0))</f>
        <v>5</v>
      </c>
      <c r="E21" s="28">
        <f>INDEX('feed pars'!F$6:F$47,MATCH($A21,'feed pars'!$B$6:$B$47,0))</f>
        <v>6.4</v>
      </c>
      <c r="F21" s="28">
        <f>INDEX('feed pars'!G$6:G$47,MATCH($A21,'feed pars'!$B$6:$B$47,0))</f>
        <v>0.63</v>
      </c>
      <c r="G21" s="28">
        <f>INDEX('feed pars'!H$6:H$47,MATCH($A21,'feed pars'!$B$6:$B$47,0))</f>
        <v>1.9</v>
      </c>
      <c r="H21" s="28"/>
      <c r="I21" s="28" t="str">
        <f>'feed pars'!$B24</f>
        <v>soybeans</v>
      </c>
      <c r="J21" t="s">
        <v>20</v>
      </c>
      <c r="L21" s="37">
        <f>INDEX('feed pars'!$O$6:$O$47,MATCH($A21,'feed pars'!$B$6:$B$47,0))</f>
        <v>18.399999999999999</v>
      </c>
      <c r="M21" s="37">
        <f>INDEX('feed pars'!$N$6:$N$47,MATCH($A21,'feed pars'!$B$6:$B$47,0))</f>
        <v>16.399999999999999</v>
      </c>
      <c r="N21" s="37">
        <f>INDEX('feed pars'!$Q$6:$Q$47,MATCH($A21,'feed pars'!$B$6:$B$47,0))</f>
        <v>180</v>
      </c>
      <c r="P21" s="28" t="str">
        <f>'feed pars'!$B24</f>
        <v>soybeans</v>
      </c>
      <c r="Q21" t="s">
        <v>382</v>
      </c>
      <c r="S21" s="37">
        <f>INDEX('feed pars'!$O$6:$O$47,MATCH($A21,'feed pars'!$B$6:$B$47,0))</f>
        <v>18.399999999999999</v>
      </c>
      <c r="T21" s="37">
        <f>INDEX('feed pars'!$N$6:$N$47,MATCH($A21,'feed pars'!$B$6:$B$47,0))</f>
        <v>16.399999999999999</v>
      </c>
      <c r="U21" s="37">
        <f>INDEX('feed pars'!$Q$6:$Q$47,MATCH($A21,'feed pars'!$B$6:$B$47,0))</f>
        <v>180</v>
      </c>
      <c r="W21" s="28" t="str">
        <f>'feed pars'!$B24</f>
        <v>soybeans</v>
      </c>
      <c r="X21" t="s">
        <v>378</v>
      </c>
      <c r="Z21" s="37">
        <f>INDEX('feed pars'!$O$6:$O$47,MATCH($A21,'feed pars'!$B$6:$B$47,0))</f>
        <v>18.399999999999999</v>
      </c>
      <c r="AA21" s="37">
        <f>INDEX('feed pars'!$N$6:$N$47,MATCH($A21,'feed pars'!$B$6:$B$47,0))</f>
        <v>16.399999999999999</v>
      </c>
      <c r="AB21" s="37">
        <f>INDEX('feed pars'!$Q$6:$Q$47,MATCH($A21,'feed pars'!$B$6:$B$47,0))</f>
        <v>180</v>
      </c>
      <c r="AD21" s="28" t="str">
        <f>'feed pars'!$B24</f>
        <v>soybeans</v>
      </c>
      <c r="AE21" t="s">
        <v>21</v>
      </c>
      <c r="AF21" s="37"/>
      <c r="AG21" s="37"/>
      <c r="AH21" s="37"/>
      <c r="AJ21" s="28" t="str">
        <f>'feed pars'!$B24</f>
        <v>soybeans</v>
      </c>
      <c r="AK21" t="s">
        <v>21</v>
      </c>
      <c r="AL21" t="s">
        <v>292</v>
      </c>
      <c r="AM21" s="37"/>
      <c r="AN21" s="37"/>
      <c r="AP21" s="28" t="str">
        <f>'feed pars'!$B24</f>
        <v>soybeans</v>
      </c>
      <c r="AQ21" t="s">
        <v>375</v>
      </c>
      <c r="AS21" s="28">
        <f>INDEX('feed pars'!$AR$6:$AR$47,MATCH($A21,'feed pars'!$B$6:$B$47,0))</f>
        <v>16</v>
      </c>
    </row>
    <row r="22" spans="1:45" x14ac:dyDescent="0.25">
      <c r="A22" t="str">
        <f>'feed pars'!$B25</f>
        <v>soybean meal</v>
      </c>
      <c r="B22" s="28">
        <f>INDEX('feed pars'!C$6:C$47,MATCH($A22,'feed pars'!$B$6:$B$47,0))</f>
        <v>87.5</v>
      </c>
      <c r="C22" s="28">
        <f>INDEX('feed pars'!D$6:D$47,MATCH($A22,'feed pars'!$B$6:$B$47,0))</f>
        <v>19.589487999999999</v>
      </c>
      <c r="D22" s="28">
        <f>INDEX('feed pars'!E$6:E$47,MATCH($A22,'feed pars'!$B$6:$B$47,0))</f>
        <v>7.1499999999999995</v>
      </c>
      <c r="E22" s="28">
        <f>INDEX('feed pars'!F$6:F$47,MATCH($A22,'feed pars'!$B$6:$B$47,0))</f>
        <v>8.2080000000000002</v>
      </c>
      <c r="F22" s="28">
        <f>INDEX('feed pars'!G$6:G$47,MATCH($A22,'feed pars'!$B$6:$B$47,0))</f>
        <v>0.71499999999999997</v>
      </c>
      <c r="G22" s="28">
        <f>INDEX('feed pars'!H$6:H$47,MATCH($A22,'feed pars'!$B$6:$B$47,0))</f>
        <v>2.3499999999999996</v>
      </c>
      <c r="H22" s="28"/>
      <c r="I22" s="28" t="str">
        <f>'feed pars'!$B25</f>
        <v>soybean meal</v>
      </c>
      <c r="J22" t="s">
        <v>20</v>
      </c>
      <c r="L22" s="37">
        <f>INDEX('feed pars'!$O$6:$O$47,MATCH($A22,'feed pars'!$B$6:$B$47,0))</f>
        <v>17.8</v>
      </c>
      <c r="M22" s="37">
        <f>INDEX('feed pars'!$N$6:$N$47,MATCH($A22,'feed pars'!$B$6:$B$47,0))</f>
        <v>14.6</v>
      </c>
      <c r="N22" s="37">
        <f>INDEX('feed pars'!$Q$6:$Q$47,MATCH($A22,'feed pars'!$B$6:$B$47,0))</f>
        <v>10</v>
      </c>
      <c r="P22" s="28" t="str">
        <f>'feed pars'!$B25</f>
        <v>soybean meal</v>
      </c>
      <c r="Q22" t="s">
        <v>382</v>
      </c>
      <c r="S22" s="37">
        <f>INDEX('feed pars'!$O$6:$O$47,MATCH($A22,'feed pars'!$B$6:$B$47,0))</f>
        <v>17.8</v>
      </c>
      <c r="T22" s="37">
        <f>INDEX('feed pars'!$N$6:$N$47,MATCH($A22,'feed pars'!$B$6:$B$47,0))</f>
        <v>14.6</v>
      </c>
      <c r="U22" s="37">
        <f>INDEX('feed pars'!$Q$6:$Q$47,MATCH($A22,'feed pars'!$B$6:$B$47,0))</f>
        <v>10</v>
      </c>
      <c r="W22" s="28" t="str">
        <f>'feed pars'!$B25</f>
        <v>soybean meal</v>
      </c>
      <c r="X22" t="s">
        <v>378</v>
      </c>
      <c r="Z22" s="37">
        <f>INDEX('feed pars'!$O$6:$O$47,MATCH($A22,'feed pars'!$B$6:$B$47,0))</f>
        <v>17.8</v>
      </c>
      <c r="AA22" s="37">
        <f>INDEX('feed pars'!$N$6:$N$47,MATCH($A22,'feed pars'!$B$6:$B$47,0))</f>
        <v>14.6</v>
      </c>
      <c r="AB22" s="37">
        <f>INDEX('feed pars'!$Q$6:$Q$47,MATCH($A22,'feed pars'!$B$6:$B$47,0))</f>
        <v>10</v>
      </c>
      <c r="AD22" s="28" t="str">
        <f>'feed pars'!$B25</f>
        <v>soybean meal</v>
      </c>
      <c r="AE22" t="s">
        <v>21</v>
      </c>
      <c r="AF22" s="37"/>
      <c r="AG22" s="37">
        <f>INDEX('feed pars'!$AC$6:$AC$47,MATCH($A22,'feed pars'!$B$6:$B$47,0))</f>
        <v>16.8</v>
      </c>
      <c r="AH22" s="37">
        <f>INDEX('feed pars'!$AD$6:$AD$47,MATCH($A22,'feed pars'!$B$6:$B$47,0))</f>
        <v>9.3000000000000007</v>
      </c>
      <c r="AJ22" s="28" t="str">
        <f>'feed pars'!$B25</f>
        <v>soybean meal</v>
      </c>
      <c r="AK22" t="s">
        <v>21</v>
      </c>
      <c r="AL22" t="s">
        <v>292</v>
      </c>
      <c r="AM22" s="37"/>
      <c r="AN22" s="37">
        <f>INDEX('feed pars'!$AE$6:$AE$47,MATCH($A22,'feed pars'!$B$6:$B$47,0))</f>
        <v>9.9</v>
      </c>
      <c r="AP22" s="28" t="str">
        <f>'feed pars'!$B25</f>
        <v>soybean meal</v>
      </c>
      <c r="AQ22" t="s">
        <v>375</v>
      </c>
      <c r="AS22" s="28">
        <f>INDEX('feed pars'!$AR$6:$AR$47,MATCH($A22,'feed pars'!$B$6:$B$47,0))</f>
        <v>10.459770114942529</v>
      </c>
    </row>
    <row r="23" spans="1:45" x14ac:dyDescent="0.25">
      <c r="A23" t="str">
        <f>'feed pars'!$B26</f>
        <v>soybean protein concentrate</v>
      </c>
      <c r="B23" s="28">
        <f>INDEX('feed pars'!C$6:C$47,MATCH($A23,'feed pars'!$B$6:$B$47,0))</f>
        <v>87.5</v>
      </c>
      <c r="C23" s="28">
        <f>INDEX('feed pars'!D$6:D$47,MATCH($A23,'feed pars'!$B$6:$B$47,0))</f>
        <v>20.560594400000003</v>
      </c>
      <c r="D23" s="28">
        <f>INDEX('feed pars'!E$6:E$47,MATCH($A23,'feed pars'!$B$6:$B$47,0))</f>
        <v>7.35</v>
      </c>
      <c r="E23" s="28">
        <f>INDEX('feed pars'!F$6:F$47,MATCH($A23,'feed pars'!$B$6:$B$47,0))</f>
        <v>9.2880000000000003</v>
      </c>
      <c r="F23" s="28">
        <f>INDEX('feed pars'!G$6:G$47,MATCH($A23,'feed pars'!$B$6:$B$47,0))</f>
        <v>0.78999999999999992</v>
      </c>
      <c r="G23" s="28">
        <f>INDEX('feed pars'!H$6:H$47,MATCH($A23,'feed pars'!$B$6:$B$47,0))</f>
        <v>2.4649999999999999</v>
      </c>
      <c r="H23" s="28"/>
      <c r="I23" s="28" t="str">
        <f>'feed pars'!$B26</f>
        <v>soybean protein concentrate</v>
      </c>
      <c r="J23" t="s">
        <v>20</v>
      </c>
      <c r="L23" s="28">
        <f>INDEX('feed pars'!$O$6:$O$47,MATCH($A23,'feed pars'!$B$6:$B$47,0))</f>
        <v>18.196692976000001</v>
      </c>
      <c r="M23" s="37">
        <f>INDEX('feed pars'!$N$6:$N$47,MATCH($A23,'feed pars'!$B$6:$B$47,0))</f>
        <v>13.4</v>
      </c>
      <c r="N23" s="37">
        <f>INDEX('feed pars'!$Q$6:$Q$47,MATCH($A23,'feed pars'!$B$6:$B$47,0))</f>
        <v>17</v>
      </c>
      <c r="P23" s="28" t="str">
        <f>'feed pars'!$B26</f>
        <v>soybean protein concentrate</v>
      </c>
      <c r="Q23" t="s">
        <v>382</v>
      </c>
      <c r="S23" s="37">
        <f>INDEX('feed pars'!$O$6:$O$47,MATCH($A23,'feed pars'!$B$6:$B$47,0))</f>
        <v>18.196692976000001</v>
      </c>
      <c r="T23" s="37">
        <f>INDEX('feed pars'!$N$6:$N$47,MATCH($A23,'feed pars'!$B$6:$B$47,0))</f>
        <v>13.4</v>
      </c>
      <c r="U23" s="37">
        <f>INDEX('feed pars'!$Q$6:$Q$47,MATCH($A23,'feed pars'!$B$6:$B$47,0))</f>
        <v>17</v>
      </c>
      <c r="W23" s="28" t="str">
        <f>'feed pars'!$B26</f>
        <v>soybean protein concentrate</v>
      </c>
      <c r="X23" t="s">
        <v>378</v>
      </c>
      <c r="Z23" s="37"/>
      <c r="AA23" s="37"/>
      <c r="AB23" s="37"/>
      <c r="AD23" s="28" t="str">
        <f>'feed pars'!$B26</f>
        <v>soybean protein concentrate</v>
      </c>
      <c r="AE23" t="s">
        <v>21</v>
      </c>
      <c r="AF23" s="37"/>
      <c r="AG23" s="37">
        <f>INDEX('feed pars'!$AC$6:$AC$47,MATCH($A23,'feed pars'!$B$6:$B$47,0))</f>
        <v>17.3</v>
      </c>
      <c r="AH23" s="37">
        <f>INDEX('feed pars'!$AD$6:$AD$47,MATCH($A23,'feed pars'!$B$6:$B$47,0))</f>
        <v>9.6999999999999993</v>
      </c>
      <c r="AJ23" s="28" t="str">
        <f>'feed pars'!$B26</f>
        <v>soybean protein concentrate</v>
      </c>
      <c r="AK23" t="s">
        <v>21</v>
      </c>
      <c r="AL23" t="s">
        <v>292</v>
      </c>
      <c r="AM23" s="37"/>
      <c r="AN23" s="37">
        <f>INDEX('feed pars'!$AE$6:$AE$47,MATCH($A23,'feed pars'!$B$6:$B$47,0))</f>
        <v>10.3</v>
      </c>
      <c r="AP23" s="28" t="str">
        <f>'feed pars'!$B26</f>
        <v>soybean protein concentrate</v>
      </c>
      <c r="AQ23" t="s">
        <v>375</v>
      </c>
      <c r="AS23" s="28"/>
    </row>
    <row r="24" spans="1:45" x14ac:dyDescent="0.25">
      <c r="A24" t="str">
        <f>'feed pars'!$B27</f>
        <v>rapeseed meal</v>
      </c>
      <c r="B24" s="28">
        <f>INDEX('feed pars'!C$6:C$47,MATCH($A24,'feed pars'!$B$6:$B$47,0))</f>
        <v>89.5</v>
      </c>
      <c r="C24" s="28">
        <f>INDEX('feed pars'!D$6:D$47,MATCH($A24,'feed pars'!$B$6:$B$47,0))</f>
        <v>19.4920008</v>
      </c>
      <c r="D24" s="28">
        <f>INDEX('feed pars'!E$6:E$47,MATCH($A24,'feed pars'!$B$6:$B$47,0))</f>
        <v>7.7</v>
      </c>
      <c r="E24" s="28">
        <f>INDEX('feed pars'!F$6:F$47,MATCH($A24,'feed pars'!$B$6:$B$47,0))</f>
        <v>6.152000000000001</v>
      </c>
      <c r="F24" s="28">
        <f>INDEX('feed pars'!G$6:G$47,MATCH($A24,'feed pars'!$B$6:$B$47,0))</f>
        <v>1.2450000000000001</v>
      </c>
      <c r="G24" s="28">
        <f>INDEX('feed pars'!H$6:H$47,MATCH($A24,'feed pars'!$B$6:$B$47,0))</f>
        <v>1.55</v>
      </c>
      <c r="H24" s="28"/>
      <c r="I24" s="28" t="str">
        <f>'feed pars'!$B27</f>
        <v>rapeseed meal</v>
      </c>
      <c r="J24" t="s">
        <v>20</v>
      </c>
      <c r="L24" s="37">
        <f>INDEX('feed pars'!$O$6:$O$47,MATCH($A24,'feed pars'!$B$6:$B$47,0))</f>
        <v>14.6</v>
      </c>
      <c r="M24" s="37">
        <f>INDEX('feed pars'!$N$6:$N$47,MATCH($A24,'feed pars'!$B$6:$B$47,0))</f>
        <v>12.2</v>
      </c>
      <c r="N24" s="37">
        <f>INDEX('feed pars'!$Q$6:$Q$47,MATCH($A24,'feed pars'!$B$6:$B$47,0))</f>
        <v>46</v>
      </c>
      <c r="P24" s="28" t="str">
        <f>'feed pars'!$B27</f>
        <v>rapeseed meal</v>
      </c>
      <c r="Q24" t="s">
        <v>382</v>
      </c>
      <c r="S24" s="37">
        <f>INDEX('feed pars'!$O$6:$O$47,MATCH($A24,'feed pars'!$B$6:$B$47,0))</f>
        <v>14.6</v>
      </c>
      <c r="T24" s="37">
        <f>INDEX('feed pars'!$N$6:$N$47,MATCH($A24,'feed pars'!$B$6:$B$47,0))</f>
        <v>12.2</v>
      </c>
      <c r="U24" s="37">
        <f>INDEX('feed pars'!$Q$6:$Q$47,MATCH($A24,'feed pars'!$B$6:$B$47,0))</f>
        <v>46</v>
      </c>
      <c r="W24" s="28" t="str">
        <f>'feed pars'!$B27</f>
        <v>rapeseed meal</v>
      </c>
      <c r="X24" t="s">
        <v>378</v>
      </c>
      <c r="Z24" s="37">
        <f>INDEX('feed pars'!$O$6:$O$47,MATCH($A24,'feed pars'!$B$6:$B$47,0))</f>
        <v>14.6</v>
      </c>
      <c r="AA24" s="37">
        <f>INDEX('feed pars'!$N$6:$N$47,MATCH($A24,'feed pars'!$B$6:$B$47,0))</f>
        <v>12.2</v>
      </c>
      <c r="AB24" s="37">
        <f>INDEX('feed pars'!$Q$6:$Q$47,MATCH($A24,'feed pars'!$B$6:$B$47,0))</f>
        <v>46</v>
      </c>
      <c r="AD24" s="28" t="str">
        <f>'feed pars'!$B27</f>
        <v>rapeseed meal</v>
      </c>
      <c r="AE24" t="s">
        <v>21</v>
      </c>
      <c r="AF24" s="37"/>
      <c r="AG24" s="37">
        <f>INDEX('feed pars'!$AC$6:$AC$47,MATCH($A24,'feed pars'!$B$6:$B$47,0))</f>
        <v>13.3</v>
      </c>
      <c r="AH24" s="37">
        <f>INDEX('feed pars'!$AD$6:$AD$47,MATCH($A24,'feed pars'!$B$6:$B$47,0))</f>
        <v>7.1</v>
      </c>
      <c r="AJ24" s="28" t="str">
        <f>'feed pars'!$B27</f>
        <v>rapeseed meal</v>
      </c>
      <c r="AK24" t="s">
        <v>21</v>
      </c>
      <c r="AL24" t="s">
        <v>292</v>
      </c>
      <c r="AM24" s="37"/>
      <c r="AN24" s="37">
        <f>INDEX('feed pars'!$AE$6:$AE$47,MATCH($A24,'feed pars'!$B$6:$B$47,0))</f>
        <v>7.7</v>
      </c>
      <c r="AP24" s="28" t="str">
        <f>'feed pars'!$B27</f>
        <v>rapeseed meal</v>
      </c>
      <c r="AQ24" t="s">
        <v>375</v>
      </c>
      <c r="AS24" s="28">
        <f>INDEX('feed pars'!$AR$6:$AR$47,MATCH($A24,'feed pars'!$B$6:$B$47,0))</f>
        <v>8.4444444444444446</v>
      </c>
    </row>
    <row r="25" spans="1:45" x14ac:dyDescent="0.25">
      <c r="A25" t="str">
        <f>'feed pars'!$B28</f>
        <v>sunflower seed meal</v>
      </c>
      <c r="B25" s="28">
        <f>INDEX('feed pars'!C$6:C$47,MATCH($A25,'feed pars'!$B$6:$B$47,0))</f>
        <v>91</v>
      </c>
      <c r="C25" s="28">
        <f>INDEX('feed pars'!D$6:D$47,MATCH($A25,'feed pars'!$B$6:$B$47,0))</f>
        <v>19.083224000000001</v>
      </c>
      <c r="D25" s="28">
        <f>INDEX('feed pars'!E$6:E$47,MATCH($A25,'feed pars'!$B$6:$B$47,0))</f>
        <v>7.75</v>
      </c>
      <c r="E25" s="28">
        <f>INDEX('feed pars'!F$6:F$47,MATCH($A25,'feed pars'!$B$6:$B$47,0))</f>
        <v>6.6640000000000006</v>
      </c>
      <c r="F25" s="28">
        <f>INDEX('feed pars'!G$6:G$47,MATCH($A25,'feed pars'!$B$6:$B$47,0))</f>
        <v>1.3050000000000002</v>
      </c>
      <c r="G25" s="28">
        <f>INDEX('feed pars'!H$6:H$47,MATCH($A25,'feed pars'!$B$6:$B$47,0))</f>
        <v>1.75</v>
      </c>
      <c r="H25" s="28"/>
      <c r="I25" s="28" t="str">
        <f>'feed pars'!$B28</f>
        <v>sunflower seed meal</v>
      </c>
      <c r="J25" t="s">
        <v>20</v>
      </c>
      <c r="L25" s="37">
        <f>INDEX('feed pars'!$O$6:$O$47,MATCH($A25,'feed pars'!$B$6:$B$47,0))</f>
        <v>14.1</v>
      </c>
      <c r="M25" s="37">
        <f>INDEX('feed pars'!$N$6:$N$47,MATCH($A25,'feed pars'!$B$6:$B$47,0))</f>
        <v>11.4</v>
      </c>
      <c r="N25" s="37">
        <f>INDEX('feed pars'!$Q$6:$Q$47,MATCH($A25,'feed pars'!$B$6:$B$47,0))</f>
        <v>10</v>
      </c>
      <c r="P25" s="28" t="str">
        <f>'feed pars'!$B28</f>
        <v>sunflower seed meal</v>
      </c>
      <c r="Q25" t="s">
        <v>382</v>
      </c>
      <c r="S25" s="37">
        <f>INDEX('feed pars'!$O$6:$O$47,MATCH($A25,'feed pars'!$B$6:$B$47,0))</f>
        <v>14.1</v>
      </c>
      <c r="T25" s="37">
        <f>INDEX('feed pars'!$N$6:$N$47,MATCH($A25,'feed pars'!$B$6:$B$47,0))</f>
        <v>11.4</v>
      </c>
      <c r="U25" s="37">
        <f>INDEX('feed pars'!$Q$6:$Q$47,MATCH($A25,'feed pars'!$B$6:$B$47,0))</f>
        <v>10</v>
      </c>
      <c r="W25" s="28" t="str">
        <f>'feed pars'!$B28</f>
        <v>sunflower seed meal</v>
      </c>
      <c r="X25" t="s">
        <v>378</v>
      </c>
      <c r="Z25" s="37">
        <f>INDEX('feed pars'!$O$6:$O$47,MATCH($A25,'feed pars'!$B$6:$B$47,0))</f>
        <v>14.1</v>
      </c>
      <c r="AA25" s="37">
        <f>INDEX('feed pars'!$N$6:$N$47,MATCH($A25,'feed pars'!$B$6:$B$47,0))</f>
        <v>11.4</v>
      </c>
      <c r="AB25" s="37">
        <f>INDEX('feed pars'!$Q$6:$Q$47,MATCH($A25,'feed pars'!$B$6:$B$47,0))</f>
        <v>10</v>
      </c>
      <c r="AD25" s="28" t="str">
        <f>'feed pars'!$B28</f>
        <v>sunflower seed meal</v>
      </c>
      <c r="AE25" t="s">
        <v>21</v>
      </c>
      <c r="AF25" s="37"/>
      <c r="AG25" s="37">
        <f>INDEX('feed pars'!$AC$6:$AC$47,MATCH($A25,'feed pars'!$B$6:$B$47,0))</f>
        <v>10.3</v>
      </c>
      <c r="AH25" s="37">
        <f>INDEX('feed pars'!$AD$6:$AD$47,MATCH($A25,'feed pars'!$B$6:$B$47,0))</f>
        <v>5.9</v>
      </c>
      <c r="AJ25" s="28" t="str">
        <f>'feed pars'!$B28</f>
        <v>sunflower seed meal</v>
      </c>
      <c r="AK25" t="s">
        <v>21</v>
      </c>
      <c r="AL25" t="s">
        <v>292</v>
      </c>
      <c r="AM25" s="37"/>
      <c r="AN25" s="37">
        <f>INDEX('feed pars'!$AE$6:$AE$47,MATCH($A25,'feed pars'!$B$6:$B$47,0))</f>
        <v>6.5</v>
      </c>
      <c r="AP25" s="28" t="str">
        <f>'feed pars'!$B28</f>
        <v>sunflower seed meal</v>
      </c>
      <c r="AQ25" t="s">
        <v>375</v>
      </c>
      <c r="AS25" s="28">
        <f>INDEX('feed pars'!$AR$6:$AR$47,MATCH($A25,'feed pars'!$B$6:$B$47,0))</f>
        <v>8.6</v>
      </c>
    </row>
    <row r="26" spans="1:45" x14ac:dyDescent="0.25">
      <c r="A26" t="str">
        <f>'feed pars'!$B29</f>
        <v>palm kernel expeller</v>
      </c>
      <c r="B26" s="28">
        <f>INDEX('feed pars'!C$6:C$47,MATCH($A26,'feed pars'!$B$6:$B$47,0))</f>
        <v>91</v>
      </c>
      <c r="C26" s="28">
        <f>INDEX('feed pars'!D$6:D$47,MATCH($A26,'feed pars'!$B$6:$B$47,0))</f>
        <v>19.581538399999999</v>
      </c>
      <c r="D26" s="28">
        <f>INDEX('feed pars'!E$6:E$47,MATCH($A26,'feed pars'!$B$6:$B$47,0))</f>
        <v>4.5</v>
      </c>
      <c r="E26" s="28">
        <f>INDEX('feed pars'!F$6:F$47,MATCH($A26,'feed pars'!$B$6:$B$47,0))</f>
        <v>2.5360000000000005</v>
      </c>
      <c r="F26" s="28">
        <f>INDEX('feed pars'!G$6:G$47,MATCH($A26,'feed pars'!$B$6:$B$47,0))</f>
        <v>0.64500000000000002</v>
      </c>
      <c r="G26" s="28">
        <f>INDEX('feed pars'!H$6:H$47,MATCH($A26,'feed pars'!$B$6:$B$47,0))</f>
        <v>0.77500000000000002</v>
      </c>
      <c r="H26" s="28"/>
      <c r="I26" s="28" t="str">
        <f>'feed pars'!$B29</f>
        <v>palm kernel expeller</v>
      </c>
      <c r="J26" t="s">
        <v>20</v>
      </c>
      <c r="L26" s="37">
        <f>INDEX('feed pars'!$O$6:$O$47,MATCH($A26,'feed pars'!$B$6:$B$47,0))</f>
        <v>15</v>
      </c>
      <c r="M26" s="37">
        <f>INDEX('feed pars'!$N$6:$N$47,MATCH($A26,'feed pars'!$B$6:$B$47,0))</f>
        <v>13.4</v>
      </c>
      <c r="N26" s="37">
        <f>INDEX('feed pars'!$Q$6:$Q$47,MATCH($A26,'feed pars'!$B$6:$B$47,0))</f>
        <v>97</v>
      </c>
      <c r="P26" s="28" t="str">
        <f>'feed pars'!$B29</f>
        <v>palm kernel expeller</v>
      </c>
      <c r="Q26" t="s">
        <v>382</v>
      </c>
      <c r="S26" s="37">
        <f>INDEX('feed pars'!$O$6:$O$47,MATCH($A26,'feed pars'!$B$6:$B$47,0))</f>
        <v>15</v>
      </c>
      <c r="T26" s="37">
        <f>INDEX('feed pars'!$N$6:$N$47,MATCH($A26,'feed pars'!$B$6:$B$47,0))</f>
        <v>13.4</v>
      </c>
      <c r="U26" s="37">
        <f>INDEX('feed pars'!$Q$6:$Q$47,MATCH($A26,'feed pars'!$B$6:$B$47,0))</f>
        <v>97</v>
      </c>
      <c r="W26" s="28" t="str">
        <f>'feed pars'!$B29</f>
        <v>palm kernel expeller</v>
      </c>
      <c r="X26" t="s">
        <v>378</v>
      </c>
      <c r="Z26" s="37">
        <f>INDEX('feed pars'!$O$6:$O$47,MATCH($A26,'feed pars'!$B$6:$B$47,0))</f>
        <v>15</v>
      </c>
      <c r="AA26" s="37">
        <f>INDEX('feed pars'!$N$6:$N$47,MATCH($A26,'feed pars'!$B$6:$B$47,0))</f>
        <v>13.4</v>
      </c>
      <c r="AB26" s="37">
        <f>INDEX('feed pars'!$Q$6:$Q$47,MATCH($A26,'feed pars'!$B$6:$B$47,0))</f>
        <v>97</v>
      </c>
      <c r="AD26" s="28" t="str">
        <f>'feed pars'!$B29</f>
        <v>palm kernel expeller</v>
      </c>
      <c r="AE26" t="s">
        <v>21</v>
      </c>
      <c r="AF26" s="37"/>
      <c r="AG26" s="37">
        <f>INDEX('feed pars'!$AC$6:$AC$47,MATCH($A26,'feed pars'!$B$6:$B$47,0))</f>
        <v>8.4</v>
      </c>
      <c r="AH26" s="37">
        <f>INDEX('feed pars'!$AD$6:$AD$47,MATCH($A26,'feed pars'!$B$6:$B$47,0))</f>
        <v>5.4</v>
      </c>
      <c r="AJ26" s="28" t="str">
        <f>'feed pars'!$B29</f>
        <v>palm kernel expeller</v>
      </c>
      <c r="AK26" t="s">
        <v>21</v>
      </c>
      <c r="AL26" t="s">
        <v>292</v>
      </c>
      <c r="AM26" s="37"/>
      <c r="AN26" s="37">
        <f>INDEX('feed pars'!$AE$6:$AE$47,MATCH($A26,'feed pars'!$B$6:$B$47,0))</f>
        <v>6.2</v>
      </c>
      <c r="AP26" s="28" t="str">
        <f>'feed pars'!$B29</f>
        <v>palm kernel expeller</v>
      </c>
      <c r="AQ26" t="s">
        <v>375</v>
      </c>
      <c r="AS26" s="28"/>
    </row>
    <row r="27" spans="1:45" x14ac:dyDescent="0.25">
      <c r="A27" t="str">
        <f>'feed pars'!$B30</f>
        <v>luzern meal</v>
      </c>
      <c r="B27" s="28">
        <f>INDEX('feed pars'!C$6:C$47,MATCH($A27,'feed pars'!$B$6:$B$47,0))</f>
        <v>90</v>
      </c>
      <c r="C27" s="28">
        <f>INDEX('feed pars'!D$6:D$47,MATCH($A27,'feed pars'!$B$6:$B$47,0))</f>
        <v>16.971140800000001</v>
      </c>
      <c r="D27" s="28">
        <f>INDEX('feed pars'!E$6:E$47,MATCH($A27,'feed pars'!$B$6:$B$47,0))</f>
        <v>11.700000000000001</v>
      </c>
      <c r="E27" s="28">
        <f>INDEX('feed pars'!F$6:F$47,MATCH($A27,'feed pars'!$B$6:$B$47,0))</f>
        <v>2.9279999999999999</v>
      </c>
      <c r="F27" s="28">
        <f>INDEX('feed pars'!G$6:G$47,MATCH($A27,'feed pars'!$B$6:$B$47,0))</f>
        <v>0.27</v>
      </c>
      <c r="G27" s="28">
        <f>INDEX('feed pars'!H$6:H$47,MATCH($A27,'feed pars'!$B$6:$B$47,0))</f>
        <v>2.56</v>
      </c>
      <c r="H27" s="28"/>
      <c r="I27" s="28" t="str">
        <f>'feed pars'!$B30</f>
        <v>luzern meal</v>
      </c>
      <c r="J27" t="s">
        <v>20</v>
      </c>
      <c r="L27" s="37">
        <f>INDEX('feed pars'!$O$6:$O$47,MATCH($A27,'feed pars'!$B$6:$B$47,0))</f>
        <v>10.7</v>
      </c>
      <c r="M27" s="37">
        <f>INDEX('feed pars'!$N$6:$N$47,MATCH($A27,'feed pars'!$B$6:$B$47,0))</f>
        <v>8.5</v>
      </c>
      <c r="N27" s="37">
        <f>INDEX('feed pars'!$Q$6:$Q$47,MATCH($A27,'feed pars'!$B$6:$B$47,0))</f>
        <v>27</v>
      </c>
      <c r="P27" s="28" t="str">
        <f>'feed pars'!$B30</f>
        <v>luzern meal</v>
      </c>
      <c r="Q27" t="s">
        <v>382</v>
      </c>
      <c r="S27" s="37">
        <f>INDEX('feed pars'!$O$6:$O$47,MATCH($A27,'feed pars'!$B$6:$B$47,0))</f>
        <v>10.7</v>
      </c>
      <c r="T27" s="37">
        <f>INDEX('feed pars'!$N$6:$N$47,MATCH($A27,'feed pars'!$B$6:$B$47,0))</f>
        <v>8.5</v>
      </c>
      <c r="U27" s="37">
        <f>INDEX('feed pars'!$Q$6:$Q$47,MATCH($A27,'feed pars'!$B$6:$B$47,0))</f>
        <v>27</v>
      </c>
      <c r="W27" s="28" t="str">
        <f>'feed pars'!$B30</f>
        <v>luzern meal</v>
      </c>
      <c r="X27" t="s">
        <v>378</v>
      </c>
      <c r="Z27" s="37">
        <f>INDEX('feed pars'!$O$6:$O$47,MATCH($A27,'feed pars'!$B$6:$B$47,0))</f>
        <v>10.7</v>
      </c>
      <c r="AA27" s="37">
        <f>INDEX('feed pars'!$N$6:$N$47,MATCH($A27,'feed pars'!$B$6:$B$47,0))</f>
        <v>8.5</v>
      </c>
      <c r="AB27" s="37">
        <f>INDEX('feed pars'!$Q$6:$Q$47,MATCH($A27,'feed pars'!$B$6:$B$47,0))</f>
        <v>27</v>
      </c>
      <c r="AD27" s="28" t="str">
        <f>'feed pars'!$B30</f>
        <v>luzern meal</v>
      </c>
      <c r="AE27" t="s">
        <v>21</v>
      </c>
      <c r="AF27" s="37"/>
      <c r="AG27" s="37"/>
      <c r="AH27" s="37"/>
      <c r="AJ27" s="28" t="str">
        <f>'feed pars'!$B30</f>
        <v>luzern meal</v>
      </c>
      <c r="AK27" t="s">
        <v>21</v>
      </c>
      <c r="AL27" t="s">
        <v>292</v>
      </c>
      <c r="AM27" s="37"/>
      <c r="AN27" s="37"/>
      <c r="AP27" s="28" t="str">
        <f>'feed pars'!$B30</f>
        <v>luzern meal</v>
      </c>
      <c r="AQ27" t="s">
        <v>375</v>
      </c>
      <c r="AS27" s="28"/>
    </row>
    <row r="28" spans="1:45" x14ac:dyDescent="0.25">
      <c r="A28" t="str">
        <f>'feed pars'!$B31</f>
        <v>wheat bran</v>
      </c>
      <c r="B28" s="28">
        <f>INDEX('feed pars'!C$6:C$47,MATCH($A28,'feed pars'!$B$6:$B$47,0))</f>
        <v>87</v>
      </c>
      <c r="C28" s="28">
        <f>INDEX('feed pars'!D$6:D$47,MATCH($A28,'feed pars'!$B$6:$B$47,0))</f>
        <v>18.194124000000002</v>
      </c>
      <c r="D28" s="28">
        <f>INDEX('feed pars'!E$6:E$47,MATCH($A28,'feed pars'!$B$6:$B$47,0))</f>
        <v>5.8999999999999995</v>
      </c>
      <c r="E28" s="28">
        <f>INDEX('feed pars'!F$6:F$47,MATCH($A28,'feed pars'!$B$6:$B$47,0))</f>
        <v>2.6399999999999997</v>
      </c>
      <c r="F28" s="28">
        <f>INDEX('feed pars'!G$6:G$47,MATCH($A28,'feed pars'!$B$6:$B$47,0))</f>
        <v>1.1950000000000001</v>
      </c>
      <c r="G28" s="28">
        <f>INDEX('feed pars'!H$6:H$47,MATCH($A28,'feed pars'!$B$6:$B$47,0))</f>
        <v>1.35</v>
      </c>
      <c r="H28" s="28"/>
      <c r="I28" s="28" t="str">
        <f>'feed pars'!$B31</f>
        <v>wheat bran</v>
      </c>
      <c r="J28" t="s">
        <v>20</v>
      </c>
      <c r="L28" s="37">
        <f>INDEX('feed pars'!$O$6:$O$47,MATCH($A28,'feed pars'!$B$6:$B$47,0))</f>
        <v>12.7</v>
      </c>
      <c r="M28" s="37">
        <f>INDEX('feed pars'!$N$6:$N$47,MATCH($A28,'feed pars'!$B$6:$B$47,0))</f>
        <v>11</v>
      </c>
      <c r="N28" s="37">
        <f>INDEX('feed pars'!$Q$6:$Q$47,MATCH($A28,'feed pars'!$B$6:$B$47,0))</f>
        <v>45</v>
      </c>
      <c r="P28" s="28" t="str">
        <f>'feed pars'!$B31</f>
        <v>wheat bran</v>
      </c>
      <c r="Q28" t="s">
        <v>382</v>
      </c>
      <c r="S28" s="37">
        <f>INDEX('feed pars'!$O$6:$O$47,MATCH($A28,'feed pars'!$B$6:$B$47,0))</f>
        <v>12.7</v>
      </c>
      <c r="T28" s="37">
        <f>INDEX('feed pars'!$N$6:$N$47,MATCH($A28,'feed pars'!$B$6:$B$47,0))</f>
        <v>11</v>
      </c>
      <c r="U28" s="37">
        <f>INDEX('feed pars'!$Q$6:$Q$47,MATCH($A28,'feed pars'!$B$6:$B$47,0))</f>
        <v>45</v>
      </c>
      <c r="W28" s="28" t="str">
        <f>'feed pars'!$B31</f>
        <v>wheat bran</v>
      </c>
      <c r="X28" t="s">
        <v>378</v>
      </c>
      <c r="Z28" s="37">
        <f>INDEX('feed pars'!$O$6:$O$47,MATCH($A28,'feed pars'!$B$6:$B$47,0))</f>
        <v>12.7</v>
      </c>
      <c r="AA28" s="37">
        <f>INDEX('feed pars'!$N$6:$N$47,MATCH($A28,'feed pars'!$B$6:$B$47,0))</f>
        <v>11</v>
      </c>
      <c r="AB28" s="37">
        <f>INDEX('feed pars'!$Q$6:$Q$47,MATCH($A28,'feed pars'!$B$6:$B$47,0))</f>
        <v>45</v>
      </c>
      <c r="AD28" s="28" t="str">
        <f>'feed pars'!$B31</f>
        <v>wheat bran</v>
      </c>
      <c r="AE28" t="s">
        <v>21</v>
      </c>
      <c r="AF28" s="37"/>
      <c r="AG28" s="37">
        <f>INDEX('feed pars'!$AC$6:$AC$47,MATCH($A28,'feed pars'!$B$6:$B$47,0))</f>
        <v>10.8</v>
      </c>
      <c r="AH28" s="37">
        <f>INDEX('feed pars'!$AD$6:$AD$47,MATCH($A28,'feed pars'!$B$6:$B$47,0))</f>
        <v>7.2</v>
      </c>
      <c r="AJ28" s="28" t="str">
        <f>'feed pars'!$B31</f>
        <v>wheat bran</v>
      </c>
      <c r="AK28" t="s">
        <v>21</v>
      </c>
      <c r="AL28" t="s">
        <v>292</v>
      </c>
      <c r="AM28" s="37"/>
      <c r="AN28" s="37">
        <f>INDEX('feed pars'!$AE$6:$AE$47,MATCH($A28,'feed pars'!$B$6:$B$47,0))</f>
        <v>7.8</v>
      </c>
      <c r="AP28" s="28" t="str">
        <f>'feed pars'!$B31</f>
        <v>wheat bran</v>
      </c>
      <c r="AQ28" t="s">
        <v>375</v>
      </c>
      <c r="AS28" s="28">
        <f>INDEX('feed pars'!$AR$6:$AR$47,MATCH($A28,'feed pars'!$B$6:$B$47,0))</f>
        <v>7.8160919540229887</v>
      </c>
    </row>
    <row r="29" spans="1:45" x14ac:dyDescent="0.25">
      <c r="A29" t="str">
        <f>'feed pars'!$B32</f>
        <v>wheat bran, fine</v>
      </c>
      <c r="B29" s="28">
        <f>INDEX('feed pars'!C$6:C$47,MATCH($A29,'feed pars'!$B$6:$B$47,0))</f>
        <v>87.8</v>
      </c>
      <c r="C29" s="28">
        <f>INDEX('feed pars'!D$6:D$47,MATCH($A29,'feed pars'!$B$6:$B$47,0))</f>
        <v>18.472360000000002</v>
      </c>
      <c r="D29" s="28">
        <f>INDEX('feed pars'!E$6:E$47,MATCH($A29,'feed pars'!$B$6:$B$47,0))</f>
        <v>3.3000000000000003</v>
      </c>
      <c r="E29" s="28">
        <f>INDEX('feed pars'!F$6:F$47,MATCH($A29,'feed pars'!$B$6:$B$47,0))</f>
        <v>2.6160000000000001</v>
      </c>
      <c r="F29" s="28">
        <f>INDEX('feed pars'!G$6:G$47,MATCH($A29,'feed pars'!$B$6:$B$47,0))</f>
        <v>0.81500000000000006</v>
      </c>
      <c r="G29" s="28">
        <f>INDEX('feed pars'!H$6:H$47,MATCH($A29,'feed pars'!$B$6:$B$47,0))</f>
        <v>0.96</v>
      </c>
      <c r="H29" s="28"/>
      <c r="I29" s="28" t="str">
        <f>'feed pars'!$B32</f>
        <v>wheat bran, fine</v>
      </c>
      <c r="J29" t="s">
        <v>20</v>
      </c>
      <c r="L29" s="28">
        <f>INDEX('feed pars'!$O$6:$O$47,MATCH($A29,'feed pars'!$B$6:$B$47,0))</f>
        <v>15.627616560000002</v>
      </c>
      <c r="M29" s="37">
        <f>INDEX('feed pars'!$N$6:$N$47,MATCH($A29,'feed pars'!$B$6:$B$47,0))</f>
        <v>13.3</v>
      </c>
      <c r="N29" s="37">
        <f>INDEX('feed pars'!$Q$6:$Q$47,MATCH($A29,'feed pars'!$B$6:$B$47,0))</f>
        <v>27</v>
      </c>
      <c r="P29" s="28" t="str">
        <f>'feed pars'!$B32</f>
        <v>wheat bran, fine</v>
      </c>
      <c r="Q29" t="s">
        <v>382</v>
      </c>
      <c r="S29" s="37">
        <f>INDEX('feed pars'!$O$6:$O$47,MATCH($A29,'feed pars'!$B$6:$B$47,0))</f>
        <v>15.627616560000002</v>
      </c>
      <c r="T29" s="37">
        <f>INDEX('feed pars'!$N$6:$N$47,MATCH($A29,'feed pars'!$B$6:$B$47,0))</f>
        <v>13.3</v>
      </c>
      <c r="U29" s="37">
        <f>INDEX('feed pars'!$Q$6:$Q$47,MATCH($A29,'feed pars'!$B$6:$B$47,0))</f>
        <v>27</v>
      </c>
      <c r="W29" s="28" t="str">
        <f>'feed pars'!$B32</f>
        <v>wheat bran, fine</v>
      </c>
      <c r="X29" t="s">
        <v>378</v>
      </c>
      <c r="Z29" s="37">
        <f>INDEX('feed pars'!$O$6:$O$47,MATCH($A29,'feed pars'!$B$6:$B$47,0))</f>
        <v>15.627616560000002</v>
      </c>
      <c r="AA29" s="37">
        <f>INDEX('feed pars'!$N$6:$N$47,MATCH($A29,'feed pars'!$B$6:$B$47,0))</f>
        <v>13.3</v>
      </c>
      <c r="AB29" s="37">
        <f>INDEX('feed pars'!$Q$6:$Q$47,MATCH($A29,'feed pars'!$B$6:$B$47,0))</f>
        <v>27</v>
      </c>
      <c r="AD29" s="28" t="str">
        <f>'feed pars'!$B32</f>
        <v>wheat bran, fine</v>
      </c>
      <c r="AE29" t="s">
        <v>21</v>
      </c>
      <c r="AF29" s="37"/>
      <c r="AG29" s="37">
        <f>INDEX('feed pars'!$AC$6:$AC$47,MATCH($A29,'feed pars'!$B$6:$B$47,0))</f>
        <v>17.5</v>
      </c>
      <c r="AH29" s="37">
        <f>INDEX('feed pars'!$AD$6:$AD$47,MATCH($A29,'feed pars'!$B$6:$B$47,0))</f>
        <v>8.6999999999999993</v>
      </c>
      <c r="AJ29" s="28" t="str">
        <f>'feed pars'!$B32</f>
        <v>wheat bran, fine</v>
      </c>
      <c r="AK29" t="s">
        <v>21</v>
      </c>
      <c r="AL29" t="s">
        <v>292</v>
      </c>
      <c r="AM29" s="37"/>
      <c r="AN29" s="37">
        <f>INDEX('feed pars'!$AE$6:$AE$47,MATCH($A29,'feed pars'!$B$6:$B$47,0))</f>
        <v>9.1999999999999993</v>
      </c>
      <c r="AP29" s="28" t="str">
        <f>'feed pars'!$B32</f>
        <v>wheat bran, fine</v>
      </c>
      <c r="AQ29" t="s">
        <v>375</v>
      </c>
      <c r="AS29" s="28">
        <f>INDEX('feed pars'!$AR$6:$AR$47,MATCH($A29,'feed pars'!$B$6:$B$47,0))</f>
        <v>14.022988505747126</v>
      </c>
    </row>
    <row r="30" spans="1:45" x14ac:dyDescent="0.25">
      <c r="A30" t="str">
        <f>'feed pars'!$B33</f>
        <v>oat hulls</v>
      </c>
      <c r="B30" s="28">
        <f>INDEX('feed pars'!C$6:C$47,MATCH($A30,'feed pars'!$B$6:$B$47,0))</f>
        <v>87.6</v>
      </c>
      <c r="C30" s="28">
        <f>INDEX('feed pars'!D$6:D$47,MATCH($A30,'feed pars'!$B$6:$B$47,0))</f>
        <v>16.941015999999998</v>
      </c>
      <c r="D30" s="28">
        <f>INDEX('feed pars'!E$6:E$47,MATCH($A30,'feed pars'!$B$6:$B$47,0))</f>
        <v>5</v>
      </c>
      <c r="E30" s="28">
        <f>INDEX('feed pars'!F$6:F$47,MATCH($A30,'feed pars'!$B$6:$B$47,0))</f>
        <v>0.48</v>
      </c>
      <c r="F30" s="28">
        <f>INDEX('feed pars'!G$6:G$47,MATCH($A30,'feed pars'!$B$6:$B$47,0))</f>
        <v>0.44</v>
      </c>
      <c r="G30" s="28">
        <f>INDEX('feed pars'!H$6:H$47,MATCH($A30,'feed pars'!$B$6:$B$47,0))</f>
        <v>0.6</v>
      </c>
      <c r="H30" s="28"/>
      <c r="I30" s="28" t="str">
        <f>'feed pars'!$B33</f>
        <v>oat hulls</v>
      </c>
      <c r="J30" t="s">
        <v>20</v>
      </c>
      <c r="L30" s="37">
        <f>INDEX('feed pars'!$O$6:$O$47,MATCH($A30,'feed pars'!$B$6:$B$47,0))</f>
        <v>6.2</v>
      </c>
      <c r="M30" s="37">
        <f>INDEX('feed pars'!$N$6:$N$47,MATCH($A30,'feed pars'!$B$6:$B$47,0))</f>
        <v>5.2</v>
      </c>
      <c r="N30" s="37">
        <f>INDEX('feed pars'!$Q$6:$Q$47,MATCH($A30,'feed pars'!$B$6:$B$47,0))</f>
        <v>20</v>
      </c>
      <c r="P30" s="28" t="str">
        <f>'feed pars'!$B33</f>
        <v>oat hulls</v>
      </c>
      <c r="Q30" t="s">
        <v>382</v>
      </c>
      <c r="S30" s="37">
        <f>INDEX('feed pars'!$O$6:$O$47,MATCH($A30,'feed pars'!$B$6:$B$47,0))</f>
        <v>6.2</v>
      </c>
      <c r="T30" s="37">
        <f>INDEX('feed pars'!$N$6:$N$47,MATCH($A30,'feed pars'!$B$6:$B$47,0))</f>
        <v>5.2</v>
      </c>
      <c r="U30" s="37">
        <f>INDEX('feed pars'!$Q$6:$Q$47,MATCH($A30,'feed pars'!$B$6:$B$47,0))</f>
        <v>20</v>
      </c>
      <c r="W30" s="28" t="str">
        <f>'feed pars'!$B33</f>
        <v>oat hulls</v>
      </c>
      <c r="X30" t="s">
        <v>378</v>
      </c>
      <c r="Z30" s="37">
        <f>INDEX('feed pars'!$O$6:$O$47,MATCH($A30,'feed pars'!$B$6:$B$47,0))</f>
        <v>6.2</v>
      </c>
      <c r="AA30" s="37">
        <f>INDEX('feed pars'!$N$6:$N$47,MATCH($A30,'feed pars'!$B$6:$B$47,0))</f>
        <v>5.2</v>
      </c>
      <c r="AB30" s="37">
        <f>INDEX('feed pars'!$Q$6:$Q$47,MATCH($A30,'feed pars'!$B$6:$B$47,0))</f>
        <v>20</v>
      </c>
      <c r="AD30" s="28" t="str">
        <f>'feed pars'!$B33</f>
        <v>oat hulls</v>
      </c>
      <c r="AE30" t="s">
        <v>21</v>
      </c>
      <c r="AF30" s="37"/>
      <c r="AG30" s="37"/>
      <c r="AH30" s="37"/>
      <c r="AJ30" s="28" t="str">
        <f>'feed pars'!$B33</f>
        <v>oat hulls</v>
      </c>
      <c r="AK30" t="s">
        <v>21</v>
      </c>
      <c r="AL30" t="s">
        <v>292</v>
      </c>
      <c r="AM30" s="37"/>
      <c r="AN30" s="37"/>
      <c r="AP30" s="28" t="str">
        <f>'feed pars'!$B33</f>
        <v>oat hulls</v>
      </c>
      <c r="AQ30" t="s">
        <v>375</v>
      </c>
      <c r="AS30" s="28"/>
    </row>
    <row r="31" spans="1:45" x14ac:dyDescent="0.25">
      <c r="A31" t="str">
        <f>'feed pars'!$B34</f>
        <v>oat bran</v>
      </c>
      <c r="B31" s="28">
        <f>INDEX('feed pars'!C$6:C$47,MATCH($A31,'feed pars'!$B$6:$B$47,0))</f>
        <v>87.6</v>
      </c>
      <c r="C31" s="28">
        <f>INDEX('feed pars'!D$6:D$47,MATCH($A31,'feed pars'!$B$6:$B$47,0))</f>
        <v>17.3422616</v>
      </c>
      <c r="D31" s="28">
        <f>INDEX('feed pars'!E$6:E$47,MATCH($A31,'feed pars'!$B$6:$B$47,0))</f>
        <v>5.5</v>
      </c>
      <c r="E31" s="28">
        <f>INDEX('feed pars'!F$6:F$47,MATCH($A31,'feed pars'!$B$6:$B$47,0))</f>
        <v>1.008</v>
      </c>
      <c r="F31" s="28">
        <f>INDEX('feed pars'!G$6:G$47,MATCH($A31,'feed pars'!$B$6:$B$47,0))</f>
        <v>0.77</v>
      </c>
      <c r="G31" s="28">
        <f>INDEX('feed pars'!H$6:H$47,MATCH($A31,'feed pars'!$B$6:$B$47,0))</f>
        <v>0</v>
      </c>
      <c r="H31" s="28"/>
      <c r="I31" s="28" t="str">
        <f>'feed pars'!$B34</f>
        <v>oat bran</v>
      </c>
      <c r="J31" t="s">
        <v>20</v>
      </c>
      <c r="L31" s="37">
        <f>INDEX('feed pars'!$O$6:$O$47,MATCH($A31,'feed pars'!$B$6:$B$47,0))</f>
        <v>8.4</v>
      </c>
      <c r="M31" s="37">
        <f>INDEX('feed pars'!$N$6:$N$47,MATCH($A31,'feed pars'!$B$6:$B$47,0))</f>
        <v>7.2</v>
      </c>
      <c r="N31" s="37">
        <f>INDEX('feed pars'!$Q$6:$Q$47,MATCH($A31,'feed pars'!$B$6:$B$47,0))</f>
        <v>32</v>
      </c>
      <c r="P31" s="28" t="str">
        <f>'feed pars'!$B34</f>
        <v>oat bran</v>
      </c>
      <c r="Q31" t="s">
        <v>382</v>
      </c>
      <c r="S31" s="37">
        <f>INDEX('feed pars'!$O$6:$O$47,MATCH($A31,'feed pars'!$B$6:$B$47,0))</f>
        <v>8.4</v>
      </c>
      <c r="T31" s="37">
        <f>INDEX('feed pars'!$N$6:$N$47,MATCH($A31,'feed pars'!$B$6:$B$47,0))</f>
        <v>7.2</v>
      </c>
      <c r="U31" s="37">
        <f>INDEX('feed pars'!$Q$6:$Q$47,MATCH($A31,'feed pars'!$B$6:$B$47,0))</f>
        <v>32</v>
      </c>
      <c r="W31" s="28" t="str">
        <f>'feed pars'!$B34</f>
        <v>oat bran</v>
      </c>
      <c r="X31" t="s">
        <v>378</v>
      </c>
      <c r="Z31" s="37">
        <f>INDEX('feed pars'!$O$6:$O$47,MATCH($A31,'feed pars'!$B$6:$B$47,0))</f>
        <v>8.4</v>
      </c>
      <c r="AA31" s="37">
        <f>INDEX('feed pars'!$N$6:$N$47,MATCH($A31,'feed pars'!$B$6:$B$47,0))</f>
        <v>7.2</v>
      </c>
      <c r="AB31" s="37">
        <f>INDEX('feed pars'!$Q$6:$Q$47,MATCH($A31,'feed pars'!$B$6:$B$47,0))</f>
        <v>32</v>
      </c>
      <c r="AD31" s="28" t="str">
        <f>'feed pars'!$B34</f>
        <v>oat bran</v>
      </c>
      <c r="AE31" t="s">
        <v>21</v>
      </c>
      <c r="AF31" s="37"/>
      <c r="AG31" s="37"/>
      <c r="AH31" s="37"/>
      <c r="AJ31" s="28" t="str">
        <f>'feed pars'!$B34</f>
        <v>oat bran</v>
      </c>
      <c r="AK31" t="s">
        <v>21</v>
      </c>
      <c r="AL31" t="s">
        <v>292</v>
      </c>
      <c r="AM31" s="37"/>
      <c r="AN31" s="37"/>
      <c r="AP31" s="28" t="str">
        <f>'feed pars'!$B34</f>
        <v>oat bran</v>
      </c>
      <c r="AQ31" t="s">
        <v>375</v>
      </c>
      <c r="AS31" s="28"/>
    </row>
    <row r="32" spans="1:45" x14ac:dyDescent="0.25">
      <c r="A32" t="str">
        <f>'feed pars'!$B35</f>
        <v>rye bran</v>
      </c>
      <c r="B32" s="28">
        <f>INDEX('feed pars'!C$6:C$47,MATCH($A32,'feed pars'!$B$6:$B$47,0))</f>
        <v>87.6</v>
      </c>
      <c r="C32" s="28">
        <f>INDEX('feed pars'!D$6:D$47,MATCH($A32,'feed pars'!$B$6:$B$47,0))</f>
        <v>18.340564000000001</v>
      </c>
      <c r="D32" s="28">
        <f>INDEX('feed pars'!E$6:E$47,MATCH($A32,'feed pars'!$B$6:$B$47,0))</f>
        <v>4.5</v>
      </c>
      <c r="E32" s="28">
        <f>INDEX('feed pars'!F$6:F$47,MATCH($A32,'feed pars'!$B$6:$B$47,0))</f>
        <v>2.56</v>
      </c>
      <c r="F32" s="28">
        <f>INDEX('feed pars'!G$6:G$47,MATCH($A32,'feed pars'!$B$6:$B$47,0))</f>
        <v>1.1100000000000001</v>
      </c>
      <c r="G32" s="28">
        <f>INDEX('feed pars'!H$6:H$47,MATCH($A32,'feed pars'!$B$6:$B$47,0))</f>
        <v>1.6</v>
      </c>
      <c r="I32" s="28" t="str">
        <f>'feed pars'!$B35</f>
        <v>rye bran</v>
      </c>
      <c r="J32" t="s">
        <v>20</v>
      </c>
      <c r="L32" s="37">
        <f>INDEX('feed pars'!$O$6:$O$47,MATCH($A32,'feed pars'!$B$6:$B$47,0))</f>
        <v>13.2</v>
      </c>
      <c r="M32" s="37">
        <f>INDEX('feed pars'!$N$6:$N$47,MATCH($A32,'feed pars'!$B$6:$B$47,0))</f>
        <v>11.6</v>
      </c>
      <c r="N32" s="37">
        <f>INDEX('feed pars'!$Q$6:$Q$47,MATCH($A32,'feed pars'!$B$6:$B$47,0))</f>
        <v>40</v>
      </c>
      <c r="P32" s="28" t="str">
        <f>'feed pars'!$B35</f>
        <v>rye bran</v>
      </c>
      <c r="Q32" t="s">
        <v>382</v>
      </c>
      <c r="S32" s="37">
        <f>INDEX('feed pars'!$O$6:$O$47,MATCH($A32,'feed pars'!$B$6:$B$47,0))</f>
        <v>13.2</v>
      </c>
      <c r="T32" s="37">
        <f>INDEX('feed pars'!$N$6:$N$47,MATCH($A32,'feed pars'!$B$6:$B$47,0))</f>
        <v>11.6</v>
      </c>
      <c r="U32" s="37">
        <f>INDEX('feed pars'!$Q$6:$Q$47,MATCH($A32,'feed pars'!$B$6:$B$47,0))</f>
        <v>40</v>
      </c>
      <c r="W32" s="28" t="str">
        <f>'feed pars'!$B35</f>
        <v>rye bran</v>
      </c>
      <c r="X32" t="s">
        <v>378</v>
      </c>
      <c r="Z32" s="37">
        <f>INDEX('feed pars'!$O$6:$O$47,MATCH($A32,'feed pars'!$B$6:$B$47,0))</f>
        <v>13.2</v>
      </c>
      <c r="AA32" s="37">
        <f>INDEX('feed pars'!$N$6:$N$47,MATCH($A32,'feed pars'!$B$6:$B$47,0))</f>
        <v>11.6</v>
      </c>
      <c r="AB32" s="37">
        <f>INDEX('feed pars'!$Q$6:$Q$47,MATCH($A32,'feed pars'!$B$6:$B$47,0))</f>
        <v>40</v>
      </c>
    </row>
    <row r="33" spans="1:45" x14ac:dyDescent="0.25">
      <c r="A33" t="str">
        <f>'feed pars'!$B36</f>
        <v>wheat distillers grain, dry</v>
      </c>
      <c r="B33" s="28">
        <f>INDEX('feed pars'!C$6:C$47,MATCH($A33,'feed pars'!$B$6:$B$47,0))</f>
        <v>90</v>
      </c>
      <c r="C33" s="28">
        <f>INDEX('feed pars'!D$6:D$47,MATCH($A33,'feed pars'!$B$6:$B$47,0))</f>
        <v>19.659779199999999</v>
      </c>
      <c r="D33" s="28">
        <f>INDEX('feed pars'!E$6:E$47,MATCH($A33,'feed pars'!$B$6:$B$47,0))</f>
        <v>4.05</v>
      </c>
      <c r="E33" s="28">
        <f>INDEX('feed pars'!F$6:F$47,MATCH($A33,'feed pars'!$B$6:$B$47,0))</f>
        <v>5.2799999999999994</v>
      </c>
      <c r="F33" s="28">
        <f>INDEX('feed pars'!G$6:G$47,MATCH($A33,'feed pars'!$B$6:$B$47,0))</f>
        <v>0.88</v>
      </c>
      <c r="G33" s="28">
        <f>INDEX('feed pars'!H$6:H$47,MATCH($A33,'feed pars'!$B$6:$B$47,0))</f>
        <v>1.165</v>
      </c>
      <c r="H33" s="28"/>
      <c r="I33" s="28" t="str">
        <f>'feed pars'!$B36</f>
        <v>wheat distillers grain, dry</v>
      </c>
      <c r="J33" t="s">
        <v>20</v>
      </c>
      <c r="L33" s="37">
        <f>INDEX('feed pars'!$O$6:$O$47,MATCH($A33,'feed pars'!$B$6:$B$47,0))</f>
        <v>15.7</v>
      </c>
      <c r="M33" s="37">
        <f>INDEX('feed pars'!$N$6:$N$47,MATCH($A33,'feed pars'!$B$6:$B$47,0))</f>
        <v>13.3</v>
      </c>
      <c r="N33" s="37">
        <f>INDEX('feed pars'!$Q$6:$Q$47,MATCH($A33,'feed pars'!$B$6:$B$47,0))</f>
        <v>45</v>
      </c>
      <c r="P33" s="28" t="str">
        <f>'feed pars'!$B36</f>
        <v>wheat distillers grain, dry</v>
      </c>
      <c r="Q33" t="s">
        <v>382</v>
      </c>
      <c r="S33" s="37">
        <f>INDEX('feed pars'!$O$6:$O$47,MATCH($A33,'feed pars'!$B$6:$B$47,0))</f>
        <v>15.7</v>
      </c>
      <c r="T33" s="37">
        <f>INDEX('feed pars'!$N$6:$N$47,MATCH($A33,'feed pars'!$B$6:$B$47,0))</f>
        <v>13.3</v>
      </c>
      <c r="U33" s="37">
        <f>INDEX('feed pars'!$Q$6:$Q$47,MATCH($A33,'feed pars'!$B$6:$B$47,0))</f>
        <v>45</v>
      </c>
      <c r="W33" s="28" t="str">
        <f>'feed pars'!$B36</f>
        <v>wheat distillers grain, dry</v>
      </c>
      <c r="X33" t="s">
        <v>378</v>
      </c>
      <c r="Z33" s="37">
        <f>INDEX('feed pars'!$O$6:$O$47,MATCH($A33,'feed pars'!$B$6:$B$47,0))</f>
        <v>15.7</v>
      </c>
      <c r="AA33" s="37">
        <f>INDEX('feed pars'!$N$6:$N$47,MATCH($A33,'feed pars'!$B$6:$B$47,0))</f>
        <v>13.3</v>
      </c>
      <c r="AB33" s="37">
        <f>INDEX('feed pars'!$Q$6:$Q$47,MATCH($A33,'feed pars'!$B$6:$B$47,0))</f>
        <v>45</v>
      </c>
      <c r="AD33" s="28" t="str">
        <f>'feed pars'!$B36</f>
        <v>wheat distillers grain, dry</v>
      </c>
      <c r="AE33" t="s">
        <v>21</v>
      </c>
      <c r="AF33" s="37"/>
      <c r="AG33" s="37">
        <f>INDEX('feed pars'!$AC$6:$AC$47,MATCH($A33,'feed pars'!$B$6:$B$47,0))</f>
        <v>13.9</v>
      </c>
      <c r="AH33" s="37">
        <f>INDEX('feed pars'!$AD$6:$AD$47,MATCH($A33,'feed pars'!$B$6:$B$47,0))</f>
        <v>8.1</v>
      </c>
      <c r="AJ33" s="28" t="str">
        <f>'feed pars'!$B36</f>
        <v>wheat distillers grain, dry</v>
      </c>
      <c r="AK33" t="s">
        <v>21</v>
      </c>
      <c r="AL33" t="s">
        <v>292</v>
      </c>
      <c r="AM33" s="37"/>
      <c r="AN33" s="37">
        <f>INDEX('feed pars'!$AE$6:$AE$47,MATCH($A33,'feed pars'!$B$6:$B$47,0))</f>
        <v>8.6999999999999993</v>
      </c>
      <c r="AP33" s="28" t="str">
        <f>'feed pars'!$B36</f>
        <v>wheat distillers grain, dry</v>
      </c>
      <c r="AQ33" t="s">
        <v>375</v>
      </c>
      <c r="AS33" s="28"/>
    </row>
    <row r="34" spans="1:45" x14ac:dyDescent="0.25">
      <c r="A34" t="str">
        <f>'feed pars'!$B37</f>
        <v>wheat distillers grain, wet</v>
      </c>
      <c r="B34" s="28">
        <f>INDEX('feed pars'!C$6:C$47,MATCH($A34,'feed pars'!$B$6:$B$47,0))</f>
        <v>11</v>
      </c>
      <c r="C34" s="28">
        <f>INDEX('feed pars'!D$6:D$47,MATCH($A34,'feed pars'!$B$6:$B$47,0))</f>
        <v>18.8602168</v>
      </c>
      <c r="D34" s="28">
        <f>INDEX('feed pars'!E$6:E$47,MATCH($A34,'feed pars'!$B$6:$B$47,0))</f>
        <v>6.8000000000000007</v>
      </c>
      <c r="E34" s="28">
        <f>INDEX('feed pars'!F$6:F$47,MATCH($A34,'feed pars'!$B$6:$B$47,0))</f>
        <v>4.4800000000000004</v>
      </c>
      <c r="F34" s="28">
        <f>INDEX('feed pars'!G$6:G$47,MATCH($A34,'feed pars'!$B$6:$B$47,0))</f>
        <v>1.0900000000000001</v>
      </c>
      <c r="G34" s="28">
        <f>INDEX('feed pars'!H$6:H$47,MATCH($A34,'feed pars'!$B$6:$B$47,0))</f>
        <v>0</v>
      </c>
      <c r="H34" s="28"/>
      <c r="I34" s="28" t="str">
        <f>'feed pars'!$B37</f>
        <v>wheat distillers grain, wet</v>
      </c>
      <c r="J34" t="s">
        <v>20</v>
      </c>
      <c r="L34" s="37"/>
      <c r="M34" s="37"/>
      <c r="N34" s="37"/>
      <c r="P34" s="28" t="str">
        <f>'feed pars'!$B37</f>
        <v>wheat distillers grain, wet</v>
      </c>
      <c r="Q34" t="s">
        <v>382</v>
      </c>
      <c r="S34" s="37"/>
      <c r="T34" s="37"/>
      <c r="U34" s="37"/>
      <c r="W34" s="28" t="str">
        <f>'feed pars'!$B37</f>
        <v>wheat distillers grain, wet</v>
      </c>
      <c r="X34" t="s">
        <v>378</v>
      </c>
      <c r="Z34" s="37"/>
      <c r="AA34" s="37"/>
      <c r="AB34" s="37"/>
      <c r="AD34" s="28" t="str">
        <f>'feed pars'!$B37</f>
        <v>wheat distillers grain, wet</v>
      </c>
      <c r="AE34" t="s">
        <v>21</v>
      </c>
      <c r="AF34" s="37"/>
      <c r="AG34" s="37">
        <f>INDEX('feed pars'!$AC$6:$AC$47,MATCH($A34,'feed pars'!$B$6:$B$47,0))</f>
        <v>13.017208210412599</v>
      </c>
      <c r="AH34" s="37">
        <f>INDEX('feed pars'!$AD$6:$AD$47,MATCH($A34,'feed pars'!$B$6:$B$47,0))</f>
        <v>8.1999999999999993</v>
      </c>
      <c r="AJ34" s="28" t="str">
        <f>'feed pars'!$B37</f>
        <v>wheat distillers grain, wet</v>
      </c>
      <c r="AK34" t="s">
        <v>21</v>
      </c>
      <c r="AL34" t="s">
        <v>292</v>
      </c>
      <c r="AM34" s="37"/>
      <c r="AN34" s="37">
        <f>INDEX('feed pars'!$AE$6:$AE$47,MATCH($A34,'feed pars'!$B$6:$B$47,0))</f>
        <v>8.9</v>
      </c>
      <c r="AP34" s="28" t="str">
        <f>'feed pars'!$B37</f>
        <v>wheat distillers grain, wet</v>
      </c>
      <c r="AQ34" t="s">
        <v>375</v>
      </c>
      <c r="AS34" s="28"/>
    </row>
    <row r="35" spans="1:45" x14ac:dyDescent="0.25">
      <c r="A35" t="str">
        <f>'feed pars'!$B38</f>
        <v>barley brewers grain</v>
      </c>
      <c r="B35" s="28">
        <f>INDEX('feed pars'!C$6:C$47,MATCH($A35,'feed pars'!$B$6:$B$47,0))</f>
        <v>90</v>
      </c>
      <c r="C35" s="28">
        <f>INDEX('feed pars'!D$6:D$47,MATCH($A35,'feed pars'!$B$6:$B$47,0))</f>
        <v>19.848896</v>
      </c>
      <c r="D35" s="28">
        <f>INDEX('feed pars'!E$6:E$47,MATCH($A35,'feed pars'!$B$6:$B$47,0))</f>
        <v>4.3</v>
      </c>
      <c r="E35" s="28">
        <f>INDEX('feed pars'!F$6:F$47,MATCH($A35,'feed pars'!$B$6:$B$47,0))</f>
        <v>3.984</v>
      </c>
      <c r="F35" s="28">
        <f>INDEX('feed pars'!G$6:G$47,MATCH($A35,'feed pars'!$B$6:$B$47,0))</f>
        <v>0.56000000000000005</v>
      </c>
      <c r="G35" s="28">
        <f>INDEX('feed pars'!H$6:H$47,MATCH($A35,'feed pars'!$B$6:$B$47,0))</f>
        <v>0.19500000000000001</v>
      </c>
      <c r="H35" s="28"/>
      <c r="I35" s="28" t="str">
        <f>'feed pars'!$B38</f>
        <v>barley brewers grain</v>
      </c>
      <c r="J35" t="s">
        <v>20</v>
      </c>
      <c r="L35" s="37">
        <f>INDEX('feed pars'!$O$6:$O$47,MATCH($A35,'feed pars'!$B$6:$B$47,0))</f>
        <v>13.6</v>
      </c>
      <c r="M35" s="37">
        <f>INDEX('feed pars'!$N$6:$N$47,MATCH($A35,'feed pars'!$B$6:$B$47,0))</f>
        <v>11.6</v>
      </c>
      <c r="N35" s="37">
        <f>INDEX('feed pars'!$Q$6:$Q$47,MATCH($A35,'feed pars'!$B$6:$B$47,0))</f>
        <v>80</v>
      </c>
      <c r="P35" s="28" t="str">
        <f>'feed pars'!$B38</f>
        <v>barley brewers grain</v>
      </c>
      <c r="Q35" t="s">
        <v>382</v>
      </c>
      <c r="S35" s="37">
        <f>INDEX('feed pars'!$O$6:$O$47,MATCH($A35,'feed pars'!$B$6:$B$47,0))</f>
        <v>13.6</v>
      </c>
      <c r="T35" s="37">
        <f>INDEX('feed pars'!$N$6:$N$47,MATCH($A35,'feed pars'!$B$6:$B$47,0))</f>
        <v>11.6</v>
      </c>
      <c r="U35" s="37">
        <f>INDEX('feed pars'!$Q$6:$Q$47,MATCH($A35,'feed pars'!$B$6:$B$47,0))</f>
        <v>80</v>
      </c>
      <c r="W35" s="28" t="str">
        <f>'feed pars'!$B38</f>
        <v>barley brewers grain</v>
      </c>
      <c r="X35" t="s">
        <v>378</v>
      </c>
      <c r="Z35" s="37">
        <f>INDEX('feed pars'!$O$6:$O$47,MATCH($A35,'feed pars'!$B$6:$B$47,0))</f>
        <v>13.6</v>
      </c>
      <c r="AA35" s="37">
        <f>INDEX('feed pars'!$N$6:$N$47,MATCH($A35,'feed pars'!$B$6:$B$47,0))</f>
        <v>11.6</v>
      </c>
      <c r="AB35" s="37">
        <f>INDEX('feed pars'!$Q$6:$Q$47,MATCH($A35,'feed pars'!$B$6:$B$47,0))</f>
        <v>80</v>
      </c>
      <c r="AD35" s="28" t="str">
        <f>'feed pars'!$B38</f>
        <v>barley brewers grain</v>
      </c>
      <c r="AE35" t="s">
        <v>21</v>
      </c>
      <c r="AF35" s="37"/>
      <c r="AG35" s="37">
        <f>INDEX('feed pars'!$AC$6:$AC$47,MATCH($A35,'feed pars'!$B$6:$B$47,0))</f>
        <v>10.6</v>
      </c>
      <c r="AH35" s="37">
        <f>INDEX('feed pars'!$AD$6:$AD$47,MATCH($A35,'feed pars'!$B$6:$B$47,0))</f>
        <v>6.6</v>
      </c>
      <c r="AJ35" s="28" t="str">
        <f>'feed pars'!$B38</f>
        <v>barley brewers grain</v>
      </c>
      <c r="AK35" t="s">
        <v>21</v>
      </c>
      <c r="AL35" t="s">
        <v>292</v>
      </c>
      <c r="AM35" s="37"/>
      <c r="AN35" s="37">
        <f>INDEX('feed pars'!$AE$6:$AE$47,MATCH($A35,'feed pars'!$B$6:$B$47,0))</f>
        <v>7.0888888888888877</v>
      </c>
      <c r="AP35" s="28" t="str">
        <f>'feed pars'!$B38</f>
        <v>barley brewers grain</v>
      </c>
      <c r="AQ35" t="s">
        <v>375</v>
      </c>
      <c r="AS35" s="28"/>
    </row>
    <row r="36" spans="1:45" x14ac:dyDescent="0.25">
      <c r="A36" t="str">
        <f>'feed pars'!$B39</f>
        <v>maize gluten meal</v>
      </c>
      <c r="B36" s="28">
        <f>INDEX('feed pars'!C$6:C$47,MATCH($A36,'feed pars'!$B$6:$B$47,0))</f>
        <v>89.666666666666671</v>
      </c>
      <c r="C36" s="28">
        <f>INDEX('feed pars'!D$6:D$47,MATCH($A36,'feed pars'!$B$6:$B$47,0))</f>
        <v>22.900705599999998</v>
      </c>
      <c r="D36" s="28">
        <f>INDEX('feed pars'!E$6:E$47,MATCH($A36,'feed pars'!$B$6:$B$47,0))</f>
        <v>1.95</v>
      </c>
      <c r="E36" s="28">
        <f>INDEX('feed pars'!F$6:F$47,MATCH($A36,'feed pars'!$B$6:$B$47,0))</f>
        <v>10.792</v>
      </c>
      <c r="F36" s="28">
        <f>INDEX('feed pars'!G$6:G$47,MATCH($A36,'feed pars'!$B$6:$B$47,0))</f>
        <v>0.48499999999999999</v>
      </c>
      <c r="G36" s="28">
        <f>INDEX('feed pars'!H$6:H$47,MATCH($A36,'feed pars'!$B$6:$B$47,0))</f>
        <v>0.32499999999999996</v>
      </c>
      <c r="H36" s="28"/>
      <c r="I36" s="28" t="str">
        <f>'feed pars'!$B39</f>
        <v>maize gluten meal</v>
      </c>
      <c r="J36" t="s">
        <v>20</v>
      </c>
      <c r="L36" s="37">
        <f>INDEX('feed pars'!$O$6:$O$47,MATCH($A36,'feed pars'!$B$6:$B$47,0))</f>
        <v>19.600000000000001</v>
      </c>
      <c r="M36" s="37">
        <f>INDEX('feed pars'!$N$6:$N$47,MATCH($A36,'feed pars'!$B$6:$B$47,0))</f>
        <v>16</v>
      </c>
      <c r="N36" s="37">
        <f>INDEX('feed pars'!$Q$6:$Q$47,MATCH($A36,'feed pars'!$B$6:$B$47,0))</f>
        <v>24</v>
      </c>
      <c r="P36" s="28" t="str">
        <f>'feed pars'!$B39</f>
        <v>maize gluten meal</v>
      </c>
      <c r="Q36" t="s">
        <v>382</v>
      </c>
      <c r="S36" s="37">
        <f>INDEX('feed pars'!$O$6:$O$47,MATCH($A36,'feed pars'!$B$6:$B$47,0))</f>
        <v>19.600000000000001</v>
      </c>
      <c r="T36" s="37">
        <f>INDEX('feed pars'!$N$6:$N$47,MATCH($A36,'feed pars'!$B$6:$B$47,0))</f>
        <v>16</v>
      </c>
      <c r="U36" s="37">
        <f>INDEX('feed pars'!$Q$6:$Q$47,MATCH($A36,'feed pars'!$B$6:$B$47,0))</f>
        <v>24</v>
      </c>
      <c r="W36" s="28" t="str">
        <f>'feed pars'!$B39</f>
        <v>maize gluten meal</v>
      </c>
      <c r="X36" t="s">
        <v>378</v>
      </c>
      <c r="Z36" s="37">
        <f>INDEX('feed pars'!$O$6:$O$47,MATCH($A36,'feed pars'!$B$6:$B$47,0))</f>
        <v>19.600000000000001</v>
      </c>
      <c r="AA36" s="37">
        <f>INDEX('feed pars'!$N$6:$N$47,MATCH($A36,'feed pars'!$B$6:$B$47,0))</f>
        <v>16</v>
      </c>
      <c r="AB36" s="37">
        <f>INDEX('feed pars'!$Q$6:$Q$47,MATCH($A36,'feed pars'!$B$6:$B$47,0))</f>
        <v>24</v>
      </c>
      <c r="AD36" s="28" t="str">
        <f>'feed pars'!$B39</f>
        <v>maize gluten meal</v>
      </c>
      <c r="AE36" t="s">
        <v>21</v>
      </c>
      <c r="AF36" s="37"/>
      <c r="AG36" s="37">
        <f>INDEX('feed pars'!$AC$6:$AC$47,MATCH($A36,'feed pars'!$B$6:$B$47,0))</f>
        <v>21.4</v>
      </c>
      <c r="AH36" s="37">
        <f>INDEX('feed pars'!$AD$6:$AD$47,MATCH($A36,'feed pars'!$B$6:$B$47,0))</f>
        <v>12.9</v>
      </c>
      <c r="AJ36" s="28" t="str">
        <f>'feed pars'!$B39</f>
        <v>maize gluten meal</v>
      </c>
      <c r="AK36" t="s">
        <v>21</v>
      </c>
      <c r="AL36" t="s">
        <v>292</v>
      </c>
      <c r="AM36" s="37"/>
      <c r="AN36" s="37">
        <f>INDEX('feed pars'!$AE$6:$AE$47,MATCH($A36,'feed pars'!$B$6:$B$47,0))</f>
        <v>13.3</v>
      </c>
      <c r="AP36" s="28" t="str">
        <f>'feed pars'!$B39</f>
        <v>maize gluten meal</v>
      </c>
      <c r="AQ36" t="s">
        <v>375</v>
      </c>
      <c r="AS36" s="28">
        <f>INDEX('feed pars'!$AR$6:$AR$47,MATCH($A36,'feed pars'!$B$6:$B$47,0))</f>
        <v>16.321839080459771</v>
      </c>
    </row>
    <row r="37" spans="1:45" x14ac:dyDescent="0.25">
      <c r="A37" t="str">
        <f>'feed pars'!$B40</f>
        <v>sugar beet molasses</v>
      </c>
      <c r="B37" s="28">
        <f>INDEX('feed pars'!C$6:C$47,MATCH($A37,'feed pars'!$B$6:$B$47,0))</f>
        <v>75.5</v>
      </c>
      <c r="C37" s="28">
        <f>INDEX('feed pars'!D$6:D$47,MATCH($A37,'feed pars'!$B$6:$B$47,0))</f>
        <v>16.1615368</v>
      </c>
      <c r="D37" s="28">
        <f>INDEX('feed pars'!E$6:E$47,MATCH($A37,'feed pars'!$B$6:$B$47,0))</f>
        <v>11.899999999999999</v>
      </c>
      <c r="E37" s="28">
        <f>INDEX('feed pars'!F$6:F$47,MATCH($A37,'feed pars'!$B$6:$B$47,0))</f>
        <v>2.2080000000000002</v>
      </c>
      <c r="F37" s="28">
        <f>INDEX('feed pars'!G$6:G$47,MATCH($A37,'feed pars'!$B$6:$B$47,0))</f>
        <v>0.03</v>
      </c>
      <c r="G37" s="28">
        <f>INDEX('feed pars'!H$6:H$47,MATCH($A37,'feed pars'!$B$6:$B$47,0))</f>
        <v>3.6500000000000004</v>
      </c>
      <c r="H37" s="28"/>
      <c r="I37" s="28" t="str">
        <f>'feed pars'!$B40</f>
        <v>sugar beet molasses</v>
      </c>
      <c r="J37" t="s">
        <v>20</v>
      </c>
      <c r="L37" s="37">
        <f>INDEX('feed pars'!$O$6:$O$47,MATCH($A37,'feed pars'!$B$6:$B$47,0))</f>
        <v>14.1</v>
      </c>
      <c r="M37" s="37">
        <f>INDEX('feed pars'!$N$6:$N$47,MATCH($A37,'feed pars'!$B$6:$B$47,0))</f>
        <v>12.4</v>
      </c>
      <c r="N37" s="37">
        <f>INDEX('feed pars'!$Q$6:$Q$47,MATCH($A37,'feed pars'!$B$6:$B$47,0))</f>
        <v>0</v>
      </c>
      <c r="P37" s="28" t="str">
        <f>'feed pars'!$B40</f>
        <v>sugar beet molasses</v>
      </c>
      <c r="Q37" t="s">
        <v>382</v>
      </c>
      <c r="S37" s="37">
        <f>INDEX('feed pars'!$O$6:$O$47,MATCH($A37,'feed pars'!$B$6:$B$47,0))</f>
        <v>14.1</v>
      </c>
      <c r="T37" s="37">
        <f>INDEX('feed pars'!$N$6:$N$47,MATCH($A37,'feed pars'!$B$6:$B$47,0))</f>
        <v>12.4</v>
      </c>
      <c r="U37" s="37">
        <f>INDEX('feed pars'!$Q$6:$Q$47,MATCH($A37,'feed pars'!$B$6:$B$47,0))</f>
        <v>0</v>
      </c>
      <c r="W37" s="28" t="str">
        <f>'feed pars'!$B40</f>
        <v>sugar beet molasses</v>
      </c>
      <c r="X37" t="s">
        <v>378</v>
      </c>
      <c r="Z37" s="37">
        <f>INDEX('feed pars'!$O$6:$O$47,MATCH($A37,'feed pars'!$B$6:$B$47,0))</f>
        <v>14.1</v>
      </c>
      <c r="AA37" s="37">
        <f>INDEX('feed pars'!$N$6:$N$47,MATCH($A37,'feed pars'!$B$6:$B$47,0))</f>
        <v>12.4</v>
      </c>
      <c r="AB37" s="37">
        <f>INDEX('feed pars'!$Q$6:$Q$47,MATCH($A37,'feed pars'!$B$6:$B$47,0))</f>
        <v>0</v>
      </c>
      <c r="AD37" s="28" t="str">
        <f>'feed pars'!$B40</f>
        <v>sugar beet molasses</v>
      </c>
      <c r="AE37" t="s">
        <v>21</v>
      </c>
      <c r="AF37" s="37"/>
      <c r="AG37" s="37">
        <f>INDEX('feed pars'!$AC$6:$AC$47,MATCH($A37,'feed pars'!$B$6:$B$47,0))</f>
        <v>13.1</v>
      </c>
      <c r="AH37" s="37">
        <f>INDEX('feed pars'!$AD$6:$AD$47,MATCH($A37,'feed pars'!$B$6:$B$47,0))</f>
        <v>8.6999999999999993</v>
      </c>
      <c r="AJ37" s="28" t="str">
        <f>'feed pars'!$B40</f>
        <v>sugar beet molasses</v>
      </c>
      <c r="AK37" t="s">
        <v>21</v>
      </c>
      <c r="AL37" t="s">
        <v>292</v>
      </c>
      <c r="AM37" s="37"/>
      <c r="AN37" s="37">
        <f>INDEX('feed pars'!$AE$6:$AE$47,MATCH($A37,'feed pars'!$B$6:$B$47,0))</f>
        <v>9</v>
      </c>
      <c r="AP37" s="28" t="str">
        <f>'feed pars'!$B40</f>
        <v>sugar beet molasses</v>
      </c>
      <c r="AQ37" t="s">
        <v>375</v>
      </c>
      <c r="AS37" s="28"/>
    </row>
    <row r="38" spans="1:45" x14ac:dyDescent="0.25">
      <c r="A38" t="str">
        <f>'feed pars'!$B41</f>
        <v>sugar beet pulp</v>
      </c>
      <c r="B38" s="28">
        <f>INDEX('feed pars'!C$6:C$47,MATCH($A38,'feed pars'!$B$6:$B$47,0))</f>
        <v>89.5</v>
      </c>
      <c r="C38" s="28">
        <f>INDEX('feed pars'!D$6:D$47,MATCH($A38,'feed pars'!$B$6:$B$47,0))</f>
        <v>17.334312000000001</v>
      </c>
      <c r="D38" s="28">
        <f>INDEX('feed pars'!E$6:E$47,MATCH($A38,'feed pars'!$B$6:$B$47,0))</f>
        <v>7.1499999999999995</v>
      </c>
      <c r="E38" s="28">
        <f>INDEX('feed pars'!F$6:F$47,MATCH($A38,'feed pars'!$B$6:$B$47,0))</f>
        <v>1.448</v>
      </c>
      <c r="F38" s="28">
        <f>INDEX('feed pars'!G$6:G$47,MATCH($A38,'feed pars'!$B$6:$B$47,0))</f>
        <v>0.1</v>
      </c>
      <c r="G38" s="28">
        <f>INDEX('feed pars'!H$6:H$47,MATCH($A38,'feed pars'!$B$6:$B$47,0))</f>
        <v>0.48499999999999999</v>
      </c>
      <c r="H38" s="28"/>
      <c r="I38" s="28" t="str">
        <f>'feed pars'!$B41</f>
        <v>sugar beet pulp</v>
      </c>
      <c r="J38" t="s">
        <v>20</v>
      </c>
      <c r="L38" s="37">
        <f>INDEX('feed pars'!$O$6:$O$47,MATCH($A38,'feed pars'!$B$6:$B$47,0))</f>
        <v>14.7</v>
      </c>
      <c r="M38" s="37">
        <f>INDEX('feed pars'!$N$6:$N$47,MATCH($A38,'feed pars'!$B$6:$B$47,0))</f>
        <v>12.3</v>
      </c>
      <c r="N38" s="37">
        <f>INDEX('feed pars'!$Q$6:$Q$47,MATCH($A38,'feed pars'!$B$6:$B$47,0))</f>
        <v>32</v>
      </c>
      <c r="P38" s="28" t="str">
        <f>'feed pars'!$B41</f>
        <v>sugar beet pulp</v>
      </c>
      <c r="Q38" t="s">
        <v>382</v>
      </c>
      <c r="S38" s="37">
        <f>INDEX('feed pars'!$O$6:$O$47,MATCH($A38,'feed pars'!$B$6:$B$47,0))</f>
        <v>14.7</v>
      </c>
      <c r="T38" s="37">
        <f>INDEX('feed pars'!$N$6:$N$47,MATCH($A38,'feed pars'!$B$6:$B$47,0))</f>
        <v>12.3</v>
      </c>
      <c r="U38" s="37">
        <f>INDEX('feed pars'!$Q$6:$Q$47,MATCH($A38,'feed pars'!$B$6:$B$47,0))</f>
        <v>32</v>
      </c>
      <c r="W38" s="28" t="str">
        <f>'feed pars'!$B41</f>
        <v>sugar beet pulp</v>
      </c>
      <c r="X38" t="s">
        <v>378</v>
      </c>
      <c r="Z38" s="37">
        <f>INDEX('feed pars'!$O$6:$O$47,MATCH($A38,'feed pars'!$B$6:$B$47,0))</f>
        <v>14.7</v>
      </c>
      <c r="AA38" s="37">
        <f>INDEX('feed pars'!$N$6:$N$47,MATCH($A38,'feed pars'!$B$6:$B$47,0))</f>
        <v>12.3</v>
      </c>
      <c r="AB38" s="37">
        <f>INDEX('feed pars'!$Q$6:$Q$47,MATCH($A38,'feed pars'!$B$6:$B$47,0))</f>
        <v>32</v>
      </c>
      <c r="AD38" s="28" t="str">
        <f>'feed pars'!$B41</f>
        <v>sugar beet pulp</v>
      </c>
      <c r="AE38" t="s">
        <v>21</v>
      </c>
      <c r="AF38" s="37"/>
      <c r="AG38" s="37">
        <f>INDEX('feed pars'!$AC$6:$AC$47,MATCH($A38,'feed pars'!$B$6:$B$47,0))</f>
        <v>12.2</v>
      </c>
      <c r="AH38" s="37">
        <f>INDEX('feed pars'!$AD$6:$AD$47,MATCH($A38,'feed pars'!$B$6:$B$47,0))</f>
        <v>6.9</v>
      </c>
      <c r="AJ38" s="28" t="str">
        <f>'feed pars'!$B41</f>
        <v>sugar beet pulp</v>
      </c>
      <c r="AK38" t="s">
        <v>21</v>
      </c>
      <c r="AL38" t="s">
        <v>292</v>
      </c>
      <c r="AM38" s="37"/>
      <c r="AN38" s="37">
        <f>INDEX('feed pars'!$AE$6:$AE$47,MATCH($A38,'feed pars'!$B$6:$B$47,0))</f>
        <v>8</v>
      </c>
      <c r="AP38" s="28" t="str">
        <f>'feed pars'!$B41</f>
        <v>sugar beet pulp</v>
      </c>
      <c r="AQ38" t="s">
        <v>375</v>
      </c>
      <c r="AS38" s="28"/>
    </row>
    <row r="39" spans="1:45" x14ac:dyDescent="0.25">
      <c r="A39" t="str">
        <f>'feed pars'!$B42</f>
        <v>whey</v>
      </c>
      <c r="B39" s="28">
        <f>INDEX('feed pars'!C$6:C$47,MATCH($A39,'feed pars'!$B$6:$B$47,0))</f>
        <v>6.25</v>
      </c>
      <c r="C39" s="28">
        <f>INDEX('feed pars'!D$6:D$47,MATCH($A39,'feed pars'!$B$6:$B$47,0))</f>
        <v>16.464040000000001</v>
      </c>
      <c r="D39" s="28">
        <f>INDEX('feed pars'!E$6:E$47,MATCH($A39,'feed pars'!$B$6:$B$47,0))</f>
        <v>9.3000000000000007</v>
      </c>
      <c r="E39" s="28">
        <f>INDEX('feed pars'!F$6:F$47,MATCH($A39,'feed pars'!$B$6:$B$47,0))</f>
        <v>1.8800000000000001</v>
      </c>
      <c r="F39" s="28">
        <f>INDEX('feed pars'!G$6:G$47,MATCH($A39,'feed pars'!$B$6:$B$47,0))</f>
        <v>0.76</v>
      </c>
      <c r="G39" s="28">
        <f>INDEX('feed pars'!H$6:H$47,MATCH($A39,'feed pars'!$B$6:$B$47,0))</f>
        <v>2.355</v>
      </c>
      <c r="H39" s="28"/>
      <c r="I39" s="28" t="str">
        <f>'feed pars'!$B42</f>
        <v>whey</v>
      </c>
      <c r="J39" t="s">
        <v>20</v>
      </c>
      <c r="L39" s="37">
        <f>INDEX('feed pars'!$O$6:$O$47,MATCH($A39,'feed pars'!$B$6:$B$47,0))</f>
        <v>15.1</v>
      </c>
      <c r="M39" s="37">
        <f>INDEX('feed pars'!$N$6:$N$47,MATCH($A39,'feed pars'!$B$6:$B$47,0))</f>
        <v>13.6</v>
      </c>
      <c r="N39" s="37">
        <f>INDEX('feed pars'!$Q$6:$Q$47,MATCH($A39,'feed pars'!$B$6:$B$47,0))</f>
        <v>10</v>
      </c>
      <c r="P39" s="28" t="str">
        <f>'feed pars'!$B42</f>
        <v>whey</v>
      </c>
      <c r="Q39" t="s">
        <v>382</v>
      </c>
      <c r="S39" s="37">
        <f>INDEX('feed pars'!$O$6:$O$47,MATCH($A39,'feed pars'!$B$6:$B$47,0))</f>
        <v>15.1</v>
      </c>
      <c r="T39" s="37">
        <f>INDEX('feed pars'!$N$6:$N$47,MATCH($A39,'feed pars'!$B$6:$B$47,0))</f>
        <v>13.6</v>
      </c>
      <c r="U39" s="37">
        <f>INDEX('feed pars'!$Q$6:$Q$47,MATCH($A39,'feed pars'!$B$6:$B$47,0))</f>
        <v>10</v>
      </c>
      <c r="W39" s="28" t="str">
        <f>'feed pars'!$B42</f>
        <v>whey</v>
      </c>
      <c r="X39" t="s">
        <v>378</v>
      </c>
      <c r="Z39" s="37">
        <f>INDEX('feed pars'!$O$6:$O$47,MATCH($A39,'feed pars'!$B$6:$B$47,0))</f>
        <v>15.1</v>
      </c>
      <c r="AA39" s="37">
        <f>INDEX('feed pars'!$N$6:$N$47,MATCH($A39,'feed pars'!$B$6:$B$47,0))</f>
        <v>13.6</v>
      </c>
      <c r="AB39" s="37">
        <f>INDEX('feed pars'!$Q$6:$Q$47,MATCH($A39,'feed pars'!$B$6:$B$47,0))</f>
        <v>10</v>
      </c>
      <c r="AD39" s="28" t="str">
        <f>'feed pars'!$B42</f>
        <v>whey</v>
      </c>
      <c r="AE39" t="s">
        <v>21</v>
      </c>
      <c r="AF39" s="37"/>
      <c r="AG39" s="37">
        <f>INDEX('feed pars'!$AC$6:$AC$47,MATCH($A39,'feed pars'!$B$6:$B$47,0))</f>
        <v>15.205346051464064</v>
      </c>
      <c r="AH39" s="37">
        <f>INDEX('feed pars'!$AD$6:$AD$47,MATCH($A39,'feed pars'!$B$6:$B$47,0))</f>
        <v>12.4</v>
      </c>
      <c r="AJ39" s="28" t="str">
        <f>'feed pars'!$B42</f>
        <v>whey</v>
      </c>
      <c r="AK39" t="s">
        <v>21</v>
      </c>
      <c r="AL39" t="s">
        <v>292</v>
      </c>
      <c r="AM39" s="37"/>
      <c r="AN39" s="37">
        <f>INDEX('feed pars'!$AE$6:$AE$47,MATCH($A39,'feed pars'!$B$6:$B$47,0))</f>
        <v>12.2</v>
      </c>
      <c r="AP39" s="28" t="str">
        <f>'feed pars'!$B42</f>
        <v>whey</v>
      </c>
      <c r="AQ39" t="s">
        <v>375</v>
      </c>
      <c r="AS39" s="28"/>
    </row>
    <row r="40" spans="1:45" x14ac:dyDescent="0.25">
      <c r="A40" t="str">
        <f>'feed pars'!$B43</f>
        <v>whey powder</v>
      </c>
      <c r="B40" s="28">
        <f>INDEX('feed pars'!C$6:C$47,MATCH($A40,'feed pars'!$B$6:$B$47,0))</f>
        <v>97</v>
      </c>
      <c r="C40" s="28">
        <f>INDEX('feed pars'!D$6:D$47,MATCH($A40,'feed pars'!$B$6:$B$47,0))</f>
        <v>16.975324799999999</v>
      </c>
      <c r="D40" s="28">
        <f>INDEX('feed pars'!E$6:E$47,MATCH($A40,'feed pars'!$B$6:$B$47,0))</f>
        <v>8.6</v>
      </c>
      <c r="E40" s="28">
        <f>INDEX('feed pars'!F$6:F$47,MATCH($A40,'feed pars'!$B$6:$B$47,0))</f>
        <v>2.048</v>
      </c>
      <c r="F40" s="28">
        <f>INDEX('feed pars'!G$6:G$47,MATCH($A40,'feed pars'!$B$6:$B$47,0))</f>
        <v>0.67999999999999994</v>
      </c>
      <c r="G40" s="28">
        <f>INDEX('feed pars'!H$6:H$47,MATCH($A40,'feed pars'!$B$6:$B$47,0))</f>
        <v>2.1</v>
      </c>
      <c r="H40" s="28"/>
      <c r="I40" s="28" t="str">
        <f>'feed pars'!$B43</f>
        <v>whey powder</v>
      </c>
      <c r="J40" t="s">
        <v>20</v>
      </c>
      <c r="L40" s="28">
        <f>INDEX('feed pars'!$O$6:$O$47,MATCH($A40,'feed pars'!$B$6:$B$47,0))</f>
        <v>15.4048817384</v>
      </c>
      <c r="M40" s="37">
        <f>INDEX('feed pars'!$N$6:$N$47,MATCH($A40,'feed pars'!$B$6:$B$47,0))</f>
        <v>12.3</v>
      </c>
      <c r="N40" s="37">
        <f>INDEX('feed pars'!$Q$6:$Q$47,MATCH($A40,'feed pars'!$B$6:$B$47,0))</f>
        <v>13</v>
      </c>
      <c r="P40" s="28" t="str">
        <f>'feed pars'!$B43</f>
        <v>whey powder</v>
      </c>
      <c r="Q40" t="s">
        <v>382</v>
      </c>
      <c r="S40" s="37">
        <f>INDEX('feed pars'!$O$6:$O$47,MATCH($A40,'feed pars'!$B$6:$B$47,0))</f>
        <v>15.4048817384</v>
      </c>
      <c r="T40" s="37">
        <f>INDEX('feed pars'!$N$6:$N$47,MATCH($A40,'feed pars'!$B$6:$B$47,0))</f>
        <v>12.3</v>
      </c>
      <c r="U40" s="37">
        <f>INDEX('feed pars'!$Q$6:$Q$47,MATCH($A40,'feed pars'!$B$6:$B$47,0))</f>
        <v>13</v>
      </c>
      <c r="W40" s="28" t="str">
        <f>'feed pars'!$B43</f>
        <v>whey powder</v>
      </c>
      <c r="X40" t="s">
        <v>378</v>
      </c>
      <c r="Z40" s="37"/>
      <c r="AA40" s="37"/>
      <c r="AB40" s="37"/>
      <c r="AD40" s="28" t="str">
        <f>'feed pars'!$B43</f>
        <v>whey powder</v>
      </c>
      <c r="AE40" t="s">
        <v>21</v>
      </c>
      <c r="AF40" s="37"/>
      <c r="AG40" s="37">
        <f>INDEX('feed pars'!$AC$6:$AC$47,MATCH($A40,'feed pars'!$B$6:$B$47,0))</f>
        <v>15.3</v>
      </c>
      <c r="AH40" s="37">
        <f>INDEX('feed pars'!$AD$6:$AD$47,MATCH($A40,'feed pars'!$B$6:$B$47,0))</f>
        <v>12.4</v>
      </c>
      <c r="AJ40" s="28" t="str">
        <f>'feed pars'!$B43</f>
        <v>whey powder</v>
      </c>
      <c r="AK40" t="s">
        <v>21</v>
      </c>
      <c r="AL40" t="s">
        <v>292</v>
      </c>
      <c r="AM40" s="37"/>
      <c r="AN40" s="37">
        <f>INDEX('feed pars'!$AE$6:$AE$47,MATCH($A40,'feed pars'!$B$6:$B$47,0))</f>
        <v>12.2</v>
      </c>
      <c r="AP40" s="28" t="str">
        <f>'feed pars'!$B43</f>
        <v>whey powder</v>
      </c>
      <c r="AQ40" t="s">
        <v>375</v>
      </c>
      <c r="AS40" s="28"/>
    </row>
    <row r="41" spans="1:45" x14ac:dyDescent="0.25">
      <c r="A41" t="str">
        <f>'feed pars'!$B44</f>
        <v>potatoe protein</v>
      </c>
      <c r="B41" s="28">
        <f>INDEX('feed pars'!C$6:C$47,MATCH($A41,'feed pars'!$B$6:$B$47,0))</f>
        <v>91</v>
      </c>
      <c r="C41" s="28">
        <f>INDEX('feed pars'!D$6:D$47,MATCH($A41,'feed pars'!$B$6:$B$47,0))</f>
        <v>23.055932000000002</v>
      </c>
      <c r="D41" s="28">
        <f>INDEX('feed pars'!E$6:E$47,MATCH($A41,'feed pars'!$B$6:$B$47,0))</f>
        <v>2.8000000000000003</v>
      </c>
      <c r="E41" s="28">
        <f>INDEX('feed pars'!F$6:F$47,MATCH($A41,'feed pars'!$B$6:$B$47,0))</f>
        <v>13.48</v>
      </c>
      <c r="F41" s="28">
        <f>INDEX('feed pars'!G$6:G$47,MATCH($A41,'feed pars'!$B$6:$B$47,0))</f>
        <v>0.435</v>
      </c>
      <c r="G41" s="28">
        <f>INDEX('feed pars'!H$6:H$47,MATCH($A41,'feed pars'!$B$6:$B$47,0))</f>
        <v>0.81499999999999995</v>
      </c>
      <c r="H41" s="28"/>
      <c r="I41" s="28" t="str">
        <f>'feed pars'!$B44</f>
        <v>potatoe protein</v>
      </c>
      <c r="J41" t="s">
        <v>20</v>
      </c>
      <c r="L41" s="37">
        <f>INDEX('feed pars'!$O$6:$O$47,MATCH($A41,'feed pars'!$B$6:$B$47,0))</f>
        <v>19.7</v>
      </c>
      <c r="M41" s="37">
        <f>INDEX('feed pars'!$N$6:$N$47,MATCH($A41,'feed pars'!$B$6:$B$47,0))</f>
        <v>15.5</v>
      </c>
      <c r="N41" s="37">
        <f>INDEX('feed pars'!$Q$6:$Q$47,MATCH($A41,'feed pars'!$B$6:$B$47,0))</f>
        <v>33</v>
      </c>
      <c r="P41" s="28" t="str">
        <f>'feed pars'!$B44</f>
        <v>potatoe protein</v>
      </c>
      <c r="Q41" t="s">
        <v>382</v>
      </c>
      <c r="S41" s="37">
        <f>INDEX('feed pars'!$O$6:$O$47,MATCH($A41,'feed pars'!$B$6:$B$47,0))</f>
        <v>19.7</v>
      </c>
      <c r="T41" s="37">
        <f>INDEX('feed pars'!$N$6:$N$47,MATCH($A41,'feed pars'!$B$6:$B$47,0))</f>
        <v>15.5</v>
      </c>
      <c r="U41" s="37">
        <f>INDEX('feed pars'!$Q$6:$Q$47,MATCH($A41,'feed pars'!$B$6:$B$47,0))</f>
        <v>33</v>
      </c>
      <c r="W41" s="28" t="str">
        <f>'feed pars'!$B44</f>
        <v>potatoe protein</v>
      </c>
      <c r="X41" t="s">
        <v>378</v>
      </c>
      <c r="Z41" s="37">
        <f>INDEX('feed pars'!$O$6:$O$47,MATCH($A41,'feed pars'!$B$6:$B$47,0))</f>
        <v>19.7</v>
      </c>
      <c r="AA41" s="37">
        <f>INDEX('feed pars'!$N$6:$N$47,MATCH($A41,'feed pars'!$B$6:$B$47,0))</f>
        <v>15.5</v>
      </c>
      <c r="AB41" s="37">
        <f>INDEX('feed pars'!$Q$6:$Q$47,MATCH($A41,'feed pars'!$B$6:$B$47,0))</f>
        <v>33</v>
      </c>
      <c r="AD41" s="28" t="str">
        <f>'feed pars'!$B44</f>
        <v>potatoe protein</v>
      </c>
      <c r="AE41" t="s">
        <v>21</v>
      </c>
      <c r="AF41" s="37"/>
      <c r="AG41" s="37">
        <f>INDEX('feed pars'!$AC$6:$AC$47,MATCH($A41,'feed pars'!$B$6:$B$47,0))</f>
        <v>20.8</v>
      </c>
      <c r="AH41" s="37">
        <f>INDEX('feed pars'!$AD$6:$AD$47,MATCH($A41,'feed pars'!$B$6:$B$47,0))</f>
        <v>11.1</v>
      </c>
      <c r="AJ41" s="28" t="str">
        <f>'feed pars'!$B44</f>
        <v>potatoe protein</v>
      </c>
      <c r="AK41" t="s">
        <v>21</v>
      </c>
      <c r="AL41" t="s">
        <v>292</v>
      </c>
      <c r="AM41" s="37"/>
      <c r="AN41" s="37">
        <f>INDEX('feed pars'!$AE$6:$AE$47,MATCH($A41,'feed pars'!$B$6:$B$47,0))</f>
        <v>11.3</v>
      </c>
      <c r="AP41" s="28" t="str">
        <f>'feed pars'!$B44</f>
        <v>potatoe protein</v>
      </c>
      <c r="AQ41" t="s">
        <v>375</v>
      </c>
      <c r="AS41" s="28">
        <f>INDEX('feed pars'!$AR$6:$AR$47,MATCH($A41,'feed pars'!$B$6:$B$47,0))</f>
        <v>16</v>
      </c>
    </row>
    <row r="42" spans="1:45" x14ac:dyDescent="0.25">
      <c r="A42" s="37" t="str">
        <f>'feed pars'!$B46</f>
        <v>fish meal</v>
      </c>
      <c r="B42" s="28">
        <f>INDEX('feed pars'!C$6:C$47,MATCH($A42,'feed pars'!$B$6:$B$47,0))</f>
        <v>92.05</v>
      </c>
      <c r="C42" s="28">
        <f>INDEX('feed pars'!D$6:D$47,MATCH($A42,'feed pars'!$B$6:$B$47,0))</f>
        <v>22.254696000000003</v>
      </c>
      <c r="D42" s="28">
        <f>INDEX('feed pars'!E$6:E$47,MATCH($A42,'feed pars'!$B$6:$B$47,0))</f>
        <v>13.55</v>
      </c>
      <c r="E42" s="28">
        <f>INDEX('feed pars'!F$6:F$47,MATCH($A42,'feed pars'!$B$6:$B$47,0))</f>
        <v>12.112000000000002</v>
      </c>
      <c r="F42" s="28">
        <f>INDEX('feed pars'!G$6:G$47,MATCH($A42,'feed pars'!$B$6:$B$47,0))</f>
        <v>2.3499999999999996</v>
      </c>
      <c r="G42" s="28">
        <f>INDEX('feed pars'!H$6:H$47,MATCH($A42,'feed pars'!$B$6:$B$47,0))</f>
        <v>1.1950000000000001</v>
      </c>
      <c r="H42" s="28"/>
      <c r="I42" s="28" t="str">
        <f>'feed pars'!$B46</f>
        <v>fish meal</v>
      </c>
      <c r="J42" s="37" t="s">
        <v>20</v>
      </c>
      <c r="K42" s="37"/>
      <c r="L42" s="28">
        <f>INDEX('feed pars'!$O$6:$O$47,MATCH($A42,'feed pars'!$B$6:$B$47,0))</f>
        <v>21.750544919999999</v>
      </c>
      <c r="M42" s="37">
        <f>INDEX('feed pars'!$N$6:$N$47,MATCH($A42,'feed pars'!$B$6:$B$47,0))</f>
        <v>14.8</v>
      </c>
      <c r="N42" s="37">
        <f>INDEX('feed pars'!$Q$6:$Q$47,MATCH($A42,'feed pars'!$B$6:$B$47,0))</f>
        <v>110</v>
      </c>
      <c r="O42" s="37"/>
      <c r="P42" s="28" t="str">
        <f>'feed pars'!$B46</f>
        <v>fish meal</v>
      </c>
      <c r="Q42" s="37" t="s">
        <v>382</v>
      </c>
      <c r="R42" s="37"/>
      <c r="S42" s="37">
        <f>INDEX('feed pars'!$O$6:$O$47,MATCH($A42,'feed pars'!$B$6:$B$47,0))</f>
        <v>21.750544919999999</v>
      </c>
      <c r="T42" s="37">
        <f>INDEX('feed pars'!$N$6:$N$47,MATCH($A42,'feed pars'!$B$6:$B$47,0))</f>
        <v>14.8</v>
      </c>
      <c r="U42" s="37">
        <f>INDEX('feed pars'!$Q$6:$Q$47,MATCH($A42,'feed pars'!$B$6:$B$47,0))</f>
        <v>110</v>
      </c>
      <c r="V42" s="37"/>
      <c r="W42" s="28" t="str">
        <f>'feed pars'!$B46</f>
        <v>fish meal</v>
      </c>
      <c r="X42" s="37" t="s">
        <v>378</v>
      </c>
      <c r="Y42" s="37"/>
      <c r="Z42" s="37"/>
      <c r="AA42" s="37"/>
      <c r="AB42" s="37"/>
      <c r="AC42" s="37"/>
      <c r="AD42" s="28" t="str">
        <f>'feed pars'!$B46</f>
        <v>fish meal</v>
      </c>
      <c r="AE42" s="37" t="s">
        <v>21</v>
      </c>
      <c r="AF42" s="37"/>
      <c r="AG42" s="37">
        <f>INDEX('feed pars'!$AC$6:$AC$47,MATCH($A42,'feed pars'!$B$6:$B$47,0))</f>
        <v>19.5</v>
      </c>
      <c r="AH42" s="37">
        <f>INDEX('feed pars'!$AD$6:$AD$47,MATCH($A42,'feed pars'!$B$6:$B$47,0))</f>
        <v>10.8</v>
      </c>
      <c r="AI42" s="37"/>
      <c r="AJ42" s="28" t="str">
        <f>'feed pars'!$B46</f>
        <v>fish meal</v>
      </c>
      <c r="AK42" s="37" t="s">
        <v>21</v>
      </c>
      <c r="AL42" s="37" t="s">
        <v>292</v>
      </c>
      <c r="AM42" s="37"/>
      <c r="AN42" s="37">
        <f>INDEX('feed pars'!$AE$6:$AE$47,MATCH($A42,'feed pars'!$B$6:$B$47,0))</f>
        <v>10.8</v>
      </c>
      <c r="AP42" s="28" t="str">
        <f>'feed pars'!$B46</f>
        <v>fish meal</v>
      </c>
      <c r="AQ42" s="37" t="s">
        <v>375</v>
      </c>
      <c r="AR42" s="37"/>
      <c r="AS42" s="28">
        <f>INDEX('feed pars'!$AR$6:$AR$47,MATCH($A42,'feed pars'!$B$6:$B$47,0))</f>
        <v>13.695652173913043</v>
      </c>
    </row>
    <row r="43" spans="1:45" x14ac:dyDescent="0.25">
      <c r="A43" s="36" t="str">
        <f>'feed pars'!$B47</f>
        <v>minerals</v>
      </c>
      <c r="B43" s="57">
        <f>INDEX('feed pars'!C$6:C$47,MATCH($A43,'feed pars'!$B$6:$B$47,0))</f>
        <v>100</v>
      </c>
      <c r="C43" s="57">
        <f>INDEX('feed pars'!D$6:D$47,MATCH($A43,'feed pars'!$B$6:$B$47,0))</f>
        <v>0</v>
      </c>
      <c r="D43" s="57">
        <f>INDEX('feed pars'!E$6:E$47,MATCH($A43,'feed pars'!$B$6:$B$47,0))</f>
        <v>100</v>
      </c>
      <c r="E43" s="57">
        <f>INDEX('feed pars'!F$6:F$47,MATCH($A43,'feed pars'!$B$6:$B$47,0))</f>
        <v>0</v>
      </c>
      <c r="F43" s="57">
        <f>INDEX('feed pars'!G$6:G$47,MATCH($A43,'feed pars'!$B$6:$B$47,0))</f>
        <v>0</v>
      </c>
      <c r="G43" s="57">
        <f>INDEX('feed pars'!H$6:H$47,MATCH($A43,'feed pars'!$B$6:$B$47,0))</f>
        <v>0</v>
      </c>
      <c r="H43" s="28"/>
      <c r="I43" s="57" t="str">
        <f>'feed pars'!$B47</f>
        <v>minerals</v>
      </c>
      <c r="J43" s="36" t="s">
        <v>20</v>
      </c>
      <c r="K43" s="36"/>
      <c r="L43" s="36">
        <f>INDEX('feed pars'!$O$6:$O$47,MATCH($A43,'feed pars'!$B$6:$B$47,0))</f>
        <v>0</v>
      </c>
      <c r="M43" s="36">
        <f>INDEX('feed pars'!$N$6:$N$47,MATCH($A43,'feed pars'!$B$6:$B$47,0))</f>
        <v>0</v>
      </c>
      <c r="N43" s="36">
        <f>INDEX('feed pars'!$Q$6:$Q$47,MATCH($A43,'feed pars'!$B$6:$B$47,0))</f>
        <v>0</v>
      </c>
      <c r="P43" s="57" t="str">
        <f>'feed pars'!$B47</f>
        <v>minerals</v>
      </c>
      <c r="Q43" s="36" t="s">
        <v>382</v>
      </c>
      <c r="R43" s="36"/>
      <c r="S43" s="36">
        <f>INDEX('feed pars'!$O$6:$O$47,MATCH($A43,'feed pars'!$B$6:$B$47,0))</f>
        <v>0</v>
      </c>
      <c r="T43" s="36">
        <f>INDEX('feed pars'!$N$6:$N$47,MATCH($A43,'feed pars'!$B$6:$B$47,0))</f>
        <v>0</v>
      </c>
      <c r="U43" s="36">
        <f>INDEX('feed pars'!$Q$6:$Q$47,MATCH($A43,'feed pars'!$B$6:$B$47,0))</f>
        <v>0</v>
      </c>
      <c r="W43" s="57" t="str">
        <f>'feed pars'!$B47</f>
        <v>minerals</v>
      </c>
      <c r="X43" s="36" t="s">
        <v>378</v>
      </c>
      <c r="Y43" s="36"/>
      <c r="Z43" s="36">
        <f>INDEX('feed pars'!$O$6:$O$47,MATCH($A43,'feed pars'!$B$6:$B$47,0))</f>
        <v>0</v>
      </c>
      <c r="AA43" s="36">
        <f>INDEX('feed pars'!$N$6:$N$47,MATCH($A43,'feed pars'!$B$6:$B$47,0))</f>
        <v>0</v>
      </c>
      <c r="AB43" s="36">
        <f>INDEX('feed pars'!$Q$6:$Q$47,MATCH($A43,'feed pars'!$B$6:$B$47,0))</f>
        <v>0</v>
      </c>
      <c r="AD43" s="57" t="str">
        <f>'feed pars'!$B47</f>
        <v>minerals</v>
      </c>
      <c r="AE43" s="36" t="s">
        <v>21</v>
      </c>
      <c r="AF43" s="36"/>
      <c r="AG43" s="36">
        <f>INDEX('feed pars'!$AC$6:$AC$47,MATCH($A43,'feed pars'!$B$6:$B$47,0))</f>
        <v>0</v>
      </c>
      <c r="AH43" s="36">
        <f>INDEX('feed pars'!$AD$6:$AD$47,MATCH($A43,'feed pars'!$B$6:$B$47,0))</f>
        <v>0</v>
      </c>
      <c r="AJ43" s="57" t="str">
        <f>'feed pars'!$B47</f>
        <v>minerals</v>
      </c>
      <c r="AK43" s="36" t="s">
        <v>21</v>
      </c>
      <c r="AL43" s="36" t="s">
        <v>292</v>
      </c>
      <c r="AM43" s="36"/>
      <c r="AN43" s="36">
        <f>INDEX('feed pars'!$AE$6:$AE$47,MATCH($A43,'feed pars'!$B$6:$B$47,0))</f>
        <v>0</v>
      </c>
      <c r="AP43" s="57" t="str">
        <f>'feed pars'!$B47</f>
        <v>minerals</v>
      </c>
      <c r="AQ43" s="36" t="s">
        <v>375</v>
      </c>
      <c r="AR43" s="36"/>
      <c r="AS43" s="57">
        <f>INDEX('feed pars'!$AR$6:$AR$47,MATCH($A43,'feed pars'!$B$6:$B$47,0))</f>
        <v>0</v>
      </c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60"/>
  <sheetViews>
    <sheetView workbookViewId="0">
      <selection activeCell="C40" sqref="C40"/>
    </sheetView>
  </sheetViews>
  <sheetFormatPr defaultRowHeight="15" x14ac:dyDescent="0.25"/>
  <cols>
    <col min="1" max="1" width="28.140625" customWidth="1"/>
    <col min="3" max="3" width="24.5703125" customWidth="1"/>
  </cols>
  <sheetData>
    <row r="1" spans="1:41" x14ac:dyDescent="0.25">
      <c r="D1">
        <v>1</v>
      </c>
      <c r="E1">
        <v>2</v>
      </c>
      <c r="F1">
        <v>3</v>
      </c>
      <c r="G1">
        <v>4</v>
      </c>
      <c r="H1">
        <v>5</v>
      </c>
      <c r="I1">
        <v>6</v>
      </c>
      <c r="J1">
        <v>7</v>
      </c>
      <c r="K1">
        <v>8</v>
      </c>
      <c r="L1">
        <v>9</v>
      </c>
      <c r="M1">
        <v>10</v>
      </c>
      <c r="N1">
        <v>11</v>
      </c>
      <c r="O1">
        <v>12</v>
      </c>
      <c r="P1">
        <v>13</v>
      </c>
      <c r="Q1">
        <v>14</v>
      </c>
      <c r="R1">
        <v>15</v>
      </c>
      <c r="S1">
        <v>16</v>
      </c>
      <c r="T1">
        <v>17</v>
      </c>
      <c r="U1">
        <v>18</v>
      </c>
      <c r="V1">
        <v>19</v>
      </c>
      <c r="W1">
        <v>20</v>
      </c>
      <c r="X1">
        <v>21</v>
      </c>
      <c r="Y1">
        <v>22</v>
      </c>
      <c r="Z1">
        <v>23</v>
      </c>
      <c r="AA1">
        <v>24</v>
      </c>
      <c r="AB1">
        <v>25</v>
      </c>
      <c r="AC1">
        <v>26</v>
      </c>
      <c r="AD1">
        <v>27</v>
      </c>
      <c r="AE1">
        <v>28</v>
      </c>
      <c r="AF1">
        <v>29</v>
      </c>
      <c r="AG1">
        <v>30</v>
      </c>
      <c r="AH1">
        <v>31</v>
      </c>
      <c r="AI1">
        <v>32</v>
      </c>
      <c r="AJ1">
        <v>33</v>
      </c>
      <c r="AK1">
        <v>34</v>
      </c>
      <c r="AL1">
        <v>35</v>
      </c>
      <c r="AM1">
        <v>36</v>
      </c>
      <c r="AN1">
        <v>37</v>
      </c>
      <c r="AO1">
        <v>38</v>
      </c>
    </row>
    <row r="2" spans="1:41" ht="43.5" x14ac:dyDescent="0.25">
      <c r="A2" s="14" t="s">
        <v>54</v>
      </c>
      <c r="B2" s="15" t="s">
        <v>118</v>
      </c>
      <c r="C2" s="15" t="s">
        <v>121</v>
      </c>
      <c r="D2" s="15" t="s">
        <v>122</v>
      </c>
      <c r="E2" s="15" t="s">
        <v>117</v>
      </c>
      <c r="F2" s="15" t="s">
        <v>116</v>
      </c>
      <c r="G2" s="15" t="s">
        <v>115</v>
      </c>
      <c r="H2" s="15" t="s">
        <v>123</v>
      </c>
      <c r="I2" s="15" t="s">
        <v>124</v>
      </c>
      <c r="J2" s="15" t="s">
        <v>125</v>
      </c>
      <c r="K2" s="15" t="s">
        <v>119</v>
      </c>
      <c r="L2" s="15" t="s">
        <v>120</v>
      </c>
      <c r="M2" s="15" t="s">
        <v>126</v>
      </c>
      <c r="N2" s="15" t="s">
        <v>127</v>
      </c>
      <c r="O2" s="15" t="s">
        <v>128</v>
      </c>
      <c r="P2" s="15" t="s">
        <v>129</v>
      </c>
      <c r="Q2" s="15" t="s">
        <v>130</v>
      </c>
      <c r="R2" s="15" t="s">
        <v>131</v>
      </c>
      <c r="S2" s="15" t="s">
        <v>132</v>
      </c>
      <c r="T2" s="15" t="s">
        <v>133</v>
      </c>
      <c r="U2" s="15" t="s">
        <v>134</v>
      </c>
      <c r="V2" s="15" t="s">
        <v>135</v>
      </c>
      <c r="W2" s="15" t="s">
        <v>136</v>
      </c>
      <c r="X2" s="15" t="s">
        <v>137</v>
      </c>
      <c r="Y2" s="15" t="s">
        <v>138</v>
      </c>
      <c r="Z2" s="15" t="s">
        <v>139</v>
      </c>
      <c r="AA2" s="15" t="s">
        <v>140</v>
      </c>
      <c r="AB2" s="15" t="s">
        <v>141</v>
      </c>
      <c r="AC2" s="15" t="s">
        <v>142</v>
      </c>
      <c r="AD2" s="15" t="s">
        <v>143</v>
      </c>
      <c r="AE2" s="15" t="s">
        <v>144</v>
      </c>
      <c r="AF2" s="15" t="s">
        <v>145</v>
      </c>
      <c r="AG2" s="15" t="s">
        <v>146</v>
      </c>
      <c r="AH2" s="15" t="s">
        <v>147</v>
      </c>
      <c r="AI2" s="15" t="s">
        <v>148</v>
      </c>
      <c r="AJ2" s="15" t="s">
        <v>149</v>
      </c>
      <c r="AK2" s="15" t="s">
        <v>150</v>
      </c>
      <c r="AL2" s="15" t="s">
        <v>151</v>
      </c>
      <c r="AM2" s="15" t="s">
        <v>152</v>
      </c>
      <c r="AN2" s="15" t="s">
        <v>153</v>
      </c>
      <c r="AO2" s="15" t="s">
        <v>154</v>
      </c>
    </row>
    <row r="3" spans="1:41" x14ac:dyDescent="0.25">
      <c r="A3" t="s">
        <v>47</v>
      </c>
      <c r="B3" s="8">
        <v>1</v>
      </c>
      <c r="C3" s="9" t="s">
        <v>57</v>
      </c>
      <c r="D3" s="10">
        <v>11</v>
      </c>
      <c r="E3" s="10">
        <v>8.1999999999999993</v>
      </c>
      <c r="F3" s="10">
        <v>8.9</v>
      </c>
      <c r="G3" s="10">
        <v>10.8</v>
      </c>
      <c r="H3" s="10">
        <v>280</v>
      </c>
      <c r="I3" s="10">
        <v>45</v>
      </c>
      <c r="J3" s="10">
        <v>22</v>
      </c>
      <c r="K3" s="10"/>
      <c r="L3" s="10"/>
      <c r="M3" s="10"/>
      <c r="N3" s="10"/>
      <c r="O3" s="10">
        <v>68</v>
      </c>
      <c r="P3" s="10">
        <v>8.6999999999999993</v>
      </c>
      <c r="Q3" s="10">
        <v>9.6</v>
      </c>
      <c r="R3" s="10">
        <v>5.2</v>
      </c>
      <c r="S3" s="10">
        <v>6.7</v>
      </c>
      <c r="T3" s="10">
        <v>11.9</v>
      </c>
      <c r="U3" s="10">
        <v>4.2</v>
      </c>
      <c r="V3" s="10">
        <v>10</v>
      </c>
      <c r="W3" s="10">
        <v>5.7</v>
      </c>
      <c r="X3" s="10">
        <v>7.7</v>
      </c>
      <c r="Y3" s="10">
        <v>4.5</v>
      </c>
      <c r="Z3" s="10">
        <v>5.5</v>
      </c>
      <c r="AA3" s="10">
        <v>10</v>
      </c>
      <c r="AB3" s="10">
        <v>3.4</v>
      </c>
      <c r="AC3" s="10">
        <v>8</v>
      </c>
      <c r="AD3" s="10">
        <v>196</v>
      </c>
      <c r="AE3" s="10">
        <v>0.9</v>
      </c>
      <c r="AF3" s="10">
        <v>10.9</v>
      </c>
      <c r="AG3" s="10"/>
      <c r="AH3" s="10"/>
      <c r="AI3" s="10">
        <v>1.8</v>
      </c>
      <c r="AJ3" s="10"/>
      <c r="AK3" s="10"/>
      <c r="AL3" s="10"/>
      <c r="AM3" s="10"/>
      <c r="AN3" s="10">
        <v>20</v>
      </c>
      <c r="AO3" s="10">
        <v>20</v>
      </c>
    </row>
    <row r="4" spans="1:41" x14ac:dyDescent="0.25">
      <c r="B4" s="11">
        <v>2</v>
      </c>
      <c r="C4" s="12" t="s">
        <v>58</v>
      </c>
      <c r="D4" s="13">
        <v>28</v>
      </c>
      <c r="E4" s="13">
        <v>8.1999999999999993</v>
      </c>
      <c r="F4" s="13">
        <v>8.9</v>
      </c>
      <c r="G4" s="13">
        <v>10.9</v>
      </c>
      <c r="H4" s="13">
        <v>364</v>
      </c>
      <c r="I4" s="13">
        <v>43</v>
      </c>
      <c r="J4" s="13">
        <v>15</v>
      </c>
      <c r="K4" s="13">
        <v>71</v>
      </c>
      <c r="L4" s="13"/>
      <c r="M4" s="13">
        <v>15</v>
      </c>
      <c r="N4" s="13"/>
      <c r="O4" s="13">
        <v>80</v>
      </c>
      <c r="P4" s="13">
        <v>11.3</v>
      </c>
      <c r="Q4" s="13">
        <v>12.5</v>
      </c>
      <c r="R4" s="13">
        <v>6.8</v>
      </c>
      <c r="S4" s="13">
        <v>8.6999999999999993</v>
      </c>
      <c r="T4" s="13">
        <v>15.5</v>
      </c>
      <c r="U4" s="13">
        <v>5.4</v>
      </c>
      <c r="V4" s="13">
        <v>13</v>
      </c>
      <c r="W4" s="13">
        <v>7.5</v>
      </c>
      <c r="X4" s="13">
        <v>10</v>
      </c>
      <c r="Y4" s="13">
        <v>5.8</v>
      </c>
      <c r="Z4" s="13">
        <v>7.1</v>
      </c>
      <c r="AA4" s="13">
        <v>13</v>
      </c>
      <c r="AB4" s="13">
        <v>4.4000000000000004</v>
      </c>
      <c r="AC4" s="13">
        <v>10.4</v>
      </c>
      <c r="AD4" s="13">
        <v>255</v>
      </c>
      <c r="AE4" s="13">
        <v>1.1000000000000001</v>
      </c>
      <c r="AF4" s="13">
        <v>13.9</v>
      </c>
      <c r="AG4" s="13"/>
      <c r="AH4" s="13"/>
      <c r="AI4" s="13">
        <v>4.3</v>
      </c>
      <c r="AJ4" s="13"/>
      <c r="AK4" s="13"/>
      <c r="AL4" s="13"/>
      <c r="AM4" s="13"/>
      <c r="AN4" s="13">
        <v>20</v>
      </c>
      <c r="AO4" s="13">
        <v>20</v>
      </c>
    </row>
    <row r="5" spans="1:41" x14ac:dyDescent="0.25">
      <c r="A5" t="s">
        <v>46</v>
      </c>
      <c r="B5" s="8">
        <v>3</v>
      </c>
      <c r="C5" s="9" t="s">
        <v>59</v>
      </c>
      <c r="D5" s="10">
        <v>90</v>
      </c>
      <c r="E5" s="10">
        <v>8.1</v>
      </c>
      <c r="F5" s="10">
        <v>8.6999999999999993</v>
      </c>
      <c r="G5" s="10">
        <v>10.7</v>
      </c>
      <c r="H5" s="10">
        <v>340</v>
      </c>
      <c r="I5" s="10">
        <v>66</v>
      </c>
      <c r="J5" s="10"/>
      <c r="K5" s="10">
        <v>354</v>
      </c>
      <c r="L5" s="10"/>
      <c r="M5" s="10">
        <v>14</v>
      </c>
      <c r="N5" s="10"/>
      <c r="O5" s="10">
        <v>44</v>
      </c>
      <c r="P5" s="10">
        <v>10.6</v>
      </c>
      <c r="Q5" s="10">
        <v>11.7</v>
      </c>
      <c r="R5" s="10">
        <v>6.3</v>
      </c>
      <c r="S5" s="10">
        <v>8.1</v>
      </c>
      <c r="T5" s="10">
        <v>14.5</v>
      </c>
      <c r="U5" s="10">
        <v>5.0999999999999996</v>
      </c>
      <c r="V5" s="10">
        <v>12.1</v>
      </c>
      <c r="W5" s="10">
        <v>7</v>
      </c>
      <c r="X5" s="10">
        <v>9.3000000000000007</v>
      </c>
      <c r="Y5" s="10">
        <v>5.4</v>
      </c>
      <c r="Z5" s="10">
        <v>6.7</v>
      </c>
      <c r="AA5" s="10">
        <v>12.1</v>
      </c>
      <c r="AB5" s="10">
        <v>4.0999999999999996</v>
      </c>
      <c r="AC5" s="10">
        <v>9.6999999999999993</v>
      </c>
      <c r="AD5" s="10">
        <v>231</v>
      </c>
      <c r="AE5" s="10">
        <v>1</v>
      </c>
      <c r="AF5" s="10">
        <v>7.3</v>
      </c>
      <c r="AG5" s="10">
        <v>2.6</v>
      </c>
      <c r="AH5" s="10">
        <v>9.6</v>
      </c>
      <c r="AI5" s="10"/>
      <c r="AJ5" s="10"/>
      <c r="AK5" s="10">
        <v>0</v>
      </c>
      <c r="AL5" s="10"/>
      <c r="AM5" s="10"/>
      <c r="AN5" s="10">
        <v>20</v>
      </c>
      <c r="AO5" s="10">
        <v>20</v>
      </c>
    </row>
    <row r="6" spans="1:41" x14ac:dyDescent="0.25">
      <c r="A6" t="s">
        <v>49</v>
      </c>
      <c r="B6" s="11">
        <v>4</v>
      </c>
      <c r="C6" s="12" t="s">
        <v>60</v>
      </c>
      <c r="D6" s="13">
        <v>89</v>
      </c>
      <c r="E6" s="13">
        <v>6.9</v>
      </c>
      <c r="F6" s="13">
        <v>8</v>
      </c>
      <c r="G6" s="13">
        <v>11.6</v>
      </c>
      <c r="H6" s="13">
        <v>91</v>
      </c>
      <c r="I6" s="13">
        <v>10</v>
      </c>
      <c r="J6" s="13">
        <v>194</v>
      </c>
      <c r="K6" s="13">
        <v>454</v>
      </c>
      <c r="L6" s="13">
        <v>231</v>
      </c>
      <c r="M6" s="13">
        <v>0</v>
      </c>
      <c r="N6" s="13">
        <v>75</v>
      </c>
      <c r="O6" s="13">
        <v>77</v>
      </c>
      <c r="P6" s="13">
        <v>7.2</v>
      </c>
      <c r="Q6" s="13">
        <v>4.5</v>
      </c>
      <c r="R6" s="13">
        <v>1.7</v>
      </c>
      <c r="S6" s="13">
        <v>1.2</v>
      </c>
      <c r="T6" s="13">
        <v>2.9</v>
      </c>
      <c r="U6" s="13">
        <v>0.9</v>
      </c>
      <c r="V6" s="13">
        <v>6.2</v>
      </c>
      <c r="W6" s="13">
        <v>3.6</v>
      </c>
      <c r="X6" s="13">
        <v>1.4</v>
      </c>
      <c r="Y6" s="13">
        <v>1</v>
      </c>
      <c r="Z6" s="13">
        <v>0.3</v>
      </c>
      <c r="AA6" s="13">
        <v>1.2</v>
      </c>
      <c r="AB6" s="13">
        <v>0.4</v>
      </c>
      <c r="AC6" s="13">
        <v>2.6</v>
      </c>
      <c r="AD6" s="13">
        <v>48</v>
      </c>
      <c r="AE6" s="13">
        <v>11.4</v>
      </c>
      <c r="AF6" s="13">
        <v>1</v>
      </c>
      <c r="AG6" s="13">
        <v>2.2999999999999998</v>
      </c>
      <c r="AH6" s="13">
        <v>3.7</v>
      </c>
      <c r="AI6" s="13">
        <v>0.6</v>
      </c>
      <c r="AJ6" s="13">
        <v>54</v>
      </c>
      <c r="AK6" s="13">
        <v>0.1</v>
      </c>
      <c r="AL6" s="13">
        <v>6.9</v>
      </c>
      <c r="AM6" s="13">
        <v>16</v>
      </c>
      <c r="AN6" s="13">
        <v>20</v>
      </c>
      <c r="AO6" s="13">
        <v>20</v>
      </c>
    </row>
    <row r="7" spans="1:41" x14ac:dyDescent="0.25">
      <c r="B7" s="8">
        <v>5</v>
      </c>
      <c r="C7" s="9" t="s">
        <v>61</v>
      </c>
      <c r="D7" s="10">
        <v>8.1</v>
      </c>
      <c r="E7" s="10">
        <v>8</v>
      </c>
      <c r="F7" s="10">
        <v>8.5</v>
      </c>
      <c r="G7" s="10">
        <v>11.7</v>
      </c>
      <c r="H7" s="10">
        <v>371</v>
      </c>
      <c r="I7" s="10">
        <v>65</v>
      </c>
      <c r="J7" s="10">
        <v>90</v>
      </c>
      <c r="K7" s="10">
        <v>338</v>
      </c>
      <c r="L7" s="10"/>
      <c r="M7" s="10">
        <v>0</v>
      </c>
      <c r="N7" s="10"/>
      <c r="O7" s="10">
        <v>53</v>
      </c>
      <c r="P7" s="10">
        <v>11.5</v>
      </c>
      <c r="Q7" s="10">
        <v>12.7</v>
      </c>
      <c r="R7" s="10">
        <v>6.9</v>
      </c>
      <c r="S7" s="10">
        <v>8.9</v>
      </c>
      <c r="T7" s="10">
        <v>15.8</v>
      </c>
      <c r="U7" s="10">
        <v>5.5</v>
      </c>
      <c r="V7" s="10">
        <v>13.2</v>
      </c>
      <c r="W7" s="10">
        <v>7.6</v>
      </c>
      <c r="X7" s="10">
        <v>10.199999999999999</v>
      </c>
      <c r="Y7" s="10">
        <v>5.9</v>
      </c>
      <c r="Z7" s="10">
        <v>7.3</v>
      </c>
      <c r="AA7" s="10">
        <v>13.3</v>
      </c>
      <c r="AB7" s="10">
        <v>4.5</v>
      </c>
      <c r="AC7" s="10">
        <v>10.6</v>
      </c>
      <c r="AD7" s="10">
        <v>252</v>
      </c>
      <c r="AE7" s="10">
        <v>2.1</v>
      </c>
      <c r="AF7" s="10">
        <v>8.8000000000000007</v>
      </c>
      <c r="AG7" s="10">
        <v>3.1</v>
      </c>
      <c r="AH7" s="10">
        <v>11.7</v>
      </c>
      <c r="AI7" s="10">
        <v>2.21</v>
      </c>
      <c r="AJ7" s="10"/>
      <c r="AK7" s="10"/>
      <c r="AL7" s="10"/>
      <c r="AM7" s="10"/>
      <c r="AN7" s="10">
        <v>20</v>
      </c>
      <c r="AO7" s="10">
        <v>20</v>
      </c>
    </row>
    <row r="8" spans="1:41" x14ac:dyDescent="0.25">
      <c r="B8" s="11">
        <v>6</v>
      </c>
      <c r="C8" s="12" t="s">
        <v>56</v>
      </c>
      <c r="D8" s="13">
        <v>100</v>
      </c>
      <c r="E8" s="13">
        <v>29.8</v>
      </c>
      <c r="F8" s="13">
        <v>29.8</v>
      </c>
      <c r="G8" s="13">
        <v>34</v>
      </c>
      <c r="H8" s="13">
        <v>0</v>
      </c>
      <c r="I8" s="13">
        <v>1000</v>
      </c>
      <c r="J8" s="13">
        <v>0</v>
      </c>
      <c r="K8" s="13">
        <v>0</v>
      </c>
      <c r="L8" s="13">
        <v>0</v>
      </c>
      <c r="M8" s="13">
        <v>0</v>
      </c>
      <c r="N8" s="13">
        <v>0</v>
      </c>
      <c r="O8" s="13">
        <v>0</v>
      </c>
      <c r="P8" s="13">
        <v>0</v>
      </c>
      <c r="Q8" s="13">
        <v>0</v>
      </c>
      <c r="R8" s="13">
        <v>0</v>
      </c>
      <c r="S8" s="13">
        <v>0</v>
      </c>
      <c r="T8" s="13">
        <v>0</v>
      </c>
      <c r="U8" s="13">
        <v>0</v>
      </c>
      <c r="V8" s="13">
        <v>0</v>
      </c>
      <c r="W8" s="13">
        <v>0</v>
      </c>
      <c r="X8" s="13">
        <v>0</v>
      </c>
      <c r="Y8" s="13">
        <v>0</v>
      </c>
      <c r="Z8" s="13">
        <v>0</v>
      </c>
      <c r="AA8" s="13">
        <v>0</v>
      </c>
      <c r="AB8" s="13">
        <v>0</v>
      </c>
      <c r="AC8" s="13">
        <v>0</v>
      </c>
      <c r="AD8" s="13">
        <v>0</v>
      </c>
      <c r="AE8" s="13">
        <v>0</v>
      </c>
      <c r="AF8" s="13">
        <v>0</v>
      </c>
      <c r="AG8" s="13">
        <v>0</v>
      </c>
      <c r="AH8" s="13">
        <v>0</v>
      </c>
      <c r="AI8" s="13">
        <v>0</v>
      </c>
      <c r="AJ8" s="13">
        <v>0</v>
      </c>
      <c r="AK8" s="13">
        <v>0</v>
      </c>
      <c r="AL8" s="13">
        <v>0</v>
      </c>
      <c r="AM8" s="13">
        <v>0</v>
      </c>
      <c r="AN8" s="13">
        <v>0</v>
      </c>
      <c r="AO8" s="13">
        <v>0</v>
      </c>
    </row>
    <row r="9" spans="1:41" x14ac:dyDescent="0.25">
      <c r="A9" t="s">
        <v>53</v>
      </c>
      <c r="B9" s="8">
        <v>7</v>
      </c>
      <c r="C9" s="9" t="s">
        <v>62</v>
      </c>
      <c r="D9" s="10">
        <v>92</v>
      </c>
      <c r="E9" s="10">
        <v>10.8</v>
      </c>
      <c r="F9" s="10">
        <v>10.8</v>
      </c>
      <c r="G9" s="10">
        <v>17.5</v>
      </c>
      <c r="H9" s="10">
        <v>760</v>
      </c>
      <c r="I9" s="10">
        <v>105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135</v>
      </c>
      <c r="P9" s="10">
        <v>57.2</v>
      </c>
      <c r="Q9" s="10">
        <v>31.6</v>
      </c>
      <c r="R9" s="10">
        <v>21.6</v>
      </c>
      <c r="S9" s="10">
        <v>6.3</v>
      </c>
      <c r="T9" s="10">
        <v>28</v>
      </c>
      <c r="U9" s="10">
        <v>7.8</v>
      </c>
      <c r="V9" s="10">
        <v>38.5</v>
      </c>
      <c r="W9" s="10">
        <v>53.2</v>
      </c>
      <c r="X9" s="10">
        <v>29.1</v>
      </c>
      <c r="Y9" s="10">
        <v>20.100000000000001</v>
      </c>
      <c r="Z9" s="10">
        <v>5.4</v>
      </c>
      <c r="AA9" s="10">
        <v>25.5</v>
      </c>
      <c r="AB9" s="10">
        <v>6.9</v>
      </c>
      <c r="AC9" s="10">
        <v>35.4</v>
      </c>
      <c r="AD9" s="10">
        <v>676</v>
      </c>
      <c r="AE9" s="10">
        <v>39.1</v>
      </c>
      <c r="AF9" s="10">
        <v>24.7</v>
      </c>
      <c r="AG9" s="10">
        <v>2.2999999999999998</v>
      </c>
      <c r="AH9" s="10">
        <v>12</v>
      </c>
      <c r="AI9" s="10">
        <v>10</v>
      </c>
      <c r="AJ9" s="10">
        <v>6</v>
      </c>
      <c r="AK9" s="10">
        <v>2.4</v>
      </c>
      <c r="AL9" s="10">
        <v>4.5999999999999996</v>
      </c>
      <c r="AM9" s="10">
        <v>84</v>
      </c>
      <c r="AN9" s="10">
        <v>77</v>
      </c>
      <c r="AO9" s="10">
        <v>77</v>
      </c>
    </row>
    <row r="10" spans="1:41" x14ac:dyDescent="0.25">
      <c r="B10" s="11">
        <v>8</v>
      </c>
      <c r="C10" s="12" t="s">
        <v>63</v>
      </c>
      <c r="D10" s="13">
        <v>100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>
        <v>0</v>
      </c>
      <c r="L10" s="13">
        <v>0</v>
      </c>
      <c r="M10" s="13">
        <v>0</v>
      </c>
      <c r="N10" s="13">
        <v>0</v>
      </c>
      <c r="O10" s="13">
        <v>1000</v>
      </c>
      <c r="P10" s="13">
        <v>0</v>
      </c>
      <c r="Q10" s="13">
        <v>0</v>
      </c>
      <c r="R10" s="13">
        <v>0</v>
      </c>
      <c r="S10" s="13">
        <v>0</v>
      </c>
      <c r="T10" s="13">
        <v>0</v>
      </c>
      <c r="U10" s="13">
        <v>0</v>
      </c>
      <c r="V10" s="13">
        <v>0</v>
      </c>
      <c r="W10" s="13">
        <v>0</v>
      </c>
      <c r="X10" s="13">
        <v>0</v>
      </c>
      <c r="Y10" s="13">
        <v>0</v>
      </c>
      <c r="Z10" s="13">
        <v>0</v>
      </c>
      <c r="AA10" s="13">
        <v>0</v>
      </c>
      <c r="AB10" s="13">
        <v>0</v>
      </c>
      <c r="AC10" s="13">
        <v>0</v>
      </c>
      <c r="AD10" s="13">
        <v>0</v>
      </c>
      <c r="AE10" s="13">
        <v>375</v>
      </c>
      <c r="AF10" s="13">
        <v>0</v>
      </c>
      <c r="AG10" s="13">
        <v>0</v>
      </c>
      <c r="AH10" s="13">
        <v>0</v>
      </c>
      <c r="AI10" s="13">
        <v>0</v>
      </c>
      <c r="AJ10" s="13">
        <v>0</v>
      </c>
      <c r="AK10" s="13">
        <v>0</v>
      </c>
      <c r="AL10" s="13">
        <v>0</v>
      </c>
      <c r="AM10" s="13">
        <v>0</v>
      </c>
      <c r="AN10" s="13">
        <v>0</v>
      </c>
      <c r="AO10" s="13">
        <v>0</v>
      </c>
    </row>
    <row r="11" spans="1:41" x14ac:dyDescent="0.25">
      <c r="B11" s="8">
        <v>9</v>
      </c>
      <c r="C11" s="9" t="s">
        <v>64</v>
      </c>
      <c r="D11" s="10">
        <v>90</v>
      </c>
      <c r="E11" s="10">
        <v>3.9</v>
      </c>
      <c r="F11" s="10">
        <v>4.7</v>
      </c>
      <c r="G11" s="10">
        <v>7.7</v>
      </c>
      <c r="H11" s="10">
        <v>167</v>
      </c>
      <c r="I11" s="10">
        <v>34</v>
      </c>
      <c r="J11" s="10">
        <v>260</v>
      </c>
      <c r="K11" s="10">
        <v>542</v>
      </c>
      <c r="L11" s="10">
        <v>307</v>
      </c>
      <c r="M11" s="10">
        <v>0</v>
      </c>
      <c r="N11" s="10">
        <v>101</v>
      </c>
      <c r="O11" s="10">
        <v>87</v>
      </c>
      <c r="P11" s="10">
        <v>6.9</v>
      </c>
      <c r="Q11" s="10">
        <v>6.4</v>
      </c>
      <c r="R11" s="10">
        <v>2.4</v>
      </c>
      <c r="S11" s="10">
        <v>1.5</v>
      </c>
      <c r="T11" s="10">
        <v>3.8</v>
      </c>
      <c r="U11" s="10">
        <v>2.4</v>
      </c>
      <c r="V11" s="10">
        <v>8.5</v>
      </c>
      <c r="W11" s="10">
        <v>5.3</v>
      </c>
      <c r="X11" s="10">
        <v>4.9000000000000004</v>
      </c>
      <c r="Y11" s="10">
        <v>2</v>
      </c>
      <c r="Z11" s="10">
        <v>1.1000000000000001</v>
      </c>
      <c r="AA11" s="10">
        <v>3</v>
      </c>
      <c r="AB11" s="10">
        <v>1.9</v>
      </c>
      <c r="AC11" s="10">
        <v>6.6</v>
      </c>
      <c r="AD11" s="10">
        <v>87</v>
      </c>
      <c r="AE11" s="10">
        <v>6</v>
      </c>
      <c r="AF11" s="10">
        <v>3.1</v>
      </c>
      <c r="AG11" s="10">
        <v>1.9</v>
      </c>
      <c r="AH11" s="10">
        <v>23</v>
      </c>
      <c r="AI11" s="10">
        <v>4.3</v>
      </c>
      <c r="AJ11" s="10">
        <v>54</v>
      </c>
      <c r="AK11" s="10">
        <v>0.22</v>
      </c>
      <c r="AL11" s="10">
        <v>7.8</v>
      </c>
      <c r="AM11" s="10">
        <v>36</v>
      </c>
      <c r="AN11" s="10">
        <v>20</v>
      </c>
      <c r="AO11" s="10">
        <v>20</v>
      </c>
    </row>
    <row r="12" spans="1:41" x14ac:dyDescent="0.25">
      <c r="B12" s="11">
        <v>10</v>
      </c>
      <c r="C12" s="12" t="s">
        <v>65</v>
      </c>
      <c r="D12" s="13">
        <v>91</v>
      </c>
      <c r="E12" s="13">
        <v>1.1000000000000001</v>
      </c>
      <c r="F12" s="13">
        <v>1.6</v>
      </c>
      <c r="G12" s="13"/>
      <c r="H12" s="13">
        <v>42</v>
      </c>
      <c r="I12" s="13">
        <v>14</v>
      </c>
      <c r="J12" s="13">
        <v>418</v>
      </c>
      <c r="K12" s="13">
        <v>789</v>
      </c>
      <c r="L12" s="13">
        <v>501</v>
      </c>
      <c r="M12" s="13">
        <v>8</v>
      </c>
      <c r="N12" s="13">
        <v>16</v>
      </c>
      <c r="O12" s="13">
        <v>64</v>
      </c>
      <c r="P12" s="13">
        <v>0</v>
      </c>
      <c r="Q12" s="13">
        <v>0</v>
      </c>
      <c r="R12" s="13">
        <v>0</v>
      </c>
      <c r="S12" s="13">
        <v>0</v>
      </c>
      <c r="T12" s="13">
        <v>0</v>
      </c>
      <c r="U12" s="13">
        <v>0</v>
      </c>
      <c r="V12" s="13">
        <v>0</v>
      </c>
      <c r="W12" s="13">
        <v>0</v>
      </c>
      <c r="X12" s="13">
        <v>0</v>
      </c>
      <c r="Y12" s="13">
        <v>0</v>
      </c>
      <c r="Z12" s="13">
        <v>0</v>
      </c>
      <c r="AA12" s="13">
        <v>0</v>
      </c>
      <c r="AB12" s="13">
        <v>0</v>
      </c>
      <c r="AC12" s="13">
        <v>0</v>
      </c>
      <c r="AD12" s="13">
        <v>9</v>
      </c>
      <c r="AE12" s="13">
        <v>4.9000000000000004</v>
      </c>
      <c r="AF12" s="13">
        <v>0.8</v>
      </c>
      <c r="AG12" s="13">
        <v>0.7</v>
      </c>
      <c r="AH12" s="13">
        <v>10.3</v>
      </c>
      <c r="AI12" s="13">
        <v>0.33</v>
      </c>
      <c r="AJ12" s="13">
        <v>47</v>
      </c>
      <c r="AK12" s="13"/>
      <c r="AL12" s="13">
        <v>3.3</v>
      </c>
      <c r="AM12" s="13">
        <v>21</v>
      </c>
      <c r="AN12" s="13">
        <v>20</v>
      </c>
      <c r="AO12" s="13">
        <v>20</v>
      </c>
    </row>
    <row r="13" spans="1:41" x14ac:dyDescent="0.25">
      <c r="A13" t="s">
        <v>34</v>
      </c>
      <c r="B13" s="8">
        <v>11</v>
      </c>
      <c r="C13" s="9" t="s">
        <v>66</v>
      </c>
      <c r="D13" s="10">
        <v>87</v>
      </c>
      <c r="E13" s="10">
        <v>9</v>
      </c>
      <c r="F13" s="10">
        <v>9.4</v>
      </c>
      <c r="G13" s="10">
        <v>12.1</v>
      </c>
      <c r="H13" s="10">
        <v>111</v>
      </c>
      <c r="I13" s="10">
        <v>54</v>
      </c>
      <c r="J13" s="10">
        <v>138</v>
      </c>
      <c r="K13" s="10">
        <v>372</v>
      </c>
      <c r="L13" s="10">
        <v>169</v>
      </c>
      <c r="M13" s="10">
        <v>411</v>
      </c>
      <c r="N13" s="10">
        <v>13</v>
      </c>
      <c r="O13" s="10">
        <v>30</v>
      </c>
      <c r="P13" s="10">
        <v>4.7</v>
      </c>
      <c r="Q13" s="10">
        <v>3.9</v>
      </c>
      <c r="R13" s="10">
        <v>2</v>
      </c>
      <c r="S13" s="10">
        <v>3.7</v>
      </c>
      <c r="T13" s="10">
        <v>5.7</v>
      </c>
      <c r="U13" s="10">
        <v>1.4</v>
      </c>
      <c r="V13" s="10">
        <v>5.9</v>
      </c>
      <c r="W13" s="10">
        <v>3.4</v>
      </c>
      <c r="X13" s="10">
        <v>2.7</v>
      </c>
      <c r="Y13" s="10">
        <v>1.7</v>
      </c>
      <c r="Z13" s="10">
        <v>2.8</v>
      </c>
      <c r="AA13" s="10">
        <v>4.4000000000000004</v>
      </c>
      <c r="AB13" s="10">
        <v>1.1000000000000001</v>
      </c>
      <c r="AC13" s="10">
        <v>4.5</v>
      </c>
      <c r="AD13" s="10">
        <v>84</v>
      </c>
      <c r="AE13" s="10">
        <v>0.8</v>
      </c>
      <c r="AF13" s="10">
        <v>3.6</v>
      </c>
      <c r="AG13" s="10">
        <v>1.2</v>
      </c>
      <c r="AH13" s="10">
        <v>5.5</v>
      </c>
      <c r="AI13" s="10">
        <v>0.3</v>
      </c>
      <c r="AJ13" s="10">
        <v>43</v>
      </c>
      <c r="AK13" s="10">
        <v>0.03</v>
      </c>
      <c r="AL13" s="10">
        <v>2.7</v>
      </c>
      <c r="AM13" s="10">
        <v>31</v>
      </c>
      <c r="AN13" s="10">
        <v>32</v>
      </c>
      <c r="AO13" s="10">
        <v>32</v>
      </c>
    </row>
    <row r="14" spans="1:41" x14ac:dyDescent="0.25">
      <c r="B14" s="11">
        <v>12</v>
      </c>
      <c r="C14" s="12" t="s">
        <v>67</v>
      </c>
      <c r="D14" s="13">
        <v>87</v>
      </c>
      <c r="E14" s="13">
        <v>11.6</v>
      </c>
      <c r="F14" s="13">
        <v>11.8</v>
      </c>
      <c r="G14" s="13"/>
      <c r="H14" s="13">
        <v>124</v>
      </c>
      <c r="I14" s="13">
        <v>29</v>
      </c>
      <c r="J14" s="13">
        <v>47</v>
      </c>
      <c r="K14" s="13">
        <v>136</v>
      </c>
      <c r="L14" s="13">
        <v>54</v>
      </c>
      <c r="M14" s="13">
        <v>615</v>
      </c>
      <c r="N14" s="13">
        <v>14</v>
      </c>
      <c r="O14" s="13">
        <v>25</v>
      </c>
      <c r="P14" s="13">
        <v>5.2</v>
      </c>
      <c r="Q14" s="13">
        <v>4.4000000000000004</v>
      </c>
      <c r="R14" s="13">
        <v>2.2000000000000002</v>
      </c>
      <c r="S14" s="13">
        <v>3.9</v>
      </c>
      <c r="T14" s="13">
        <v>6.1</v>
      </c>
      <c r="U14" s="13">
        <v>1.6</v>
      </c>
      <c r="V14" s="13">
        <v>6.6</v>
      </c>
      <c r="W14" s="13">
        <v>4.0999999999999996</v>
      </c>
      <c r="X14" s="13">
        <v>3.5</v>
      </c>
      <c r="Y14" s="13">
        <v>1.9</v>
      </c>
      <c r="Z14" s="13">
        <v>3.3</v>
      </c>
      <c r="AA14" s="13">
        <v>5.2</v>
      </c>
      <c r="AB14" s="13">
        <v>1.3</v>
      </c>
      <c r="AC14" s="13">
        <v>5.3</v>
      </c>
      <c r="AD14" s="13">
        <v>102</v>
      </c>
      <c r="AE14" s="13">
        <v>1</v>
      </c>
      <c r="AF14" s="13">
        <v>3.4</v>
      </c>
      <c r="AG14" s="13"/>
      <c r="AH14" s="13"/>
      <c r="AI14" s="13"/>
      <c r="AJ14" s="13"/>
      <c r="AK14" s="13"/>
      <c r="AL14" s="13"/>
      <c r="AM14" s="13"/>
      <c r="AN14" s="13">
        <v>32</v>
      </c>
      <c r="AO14" s="13">
        <v>32</v>
      </c>
    </row>
    <row r="15" spans="1:41" x14ac:dyDescent="0.25">
      <c r="A15" t="s">
        <v>33</v>
      </c>
      <c r="B15" s="8">
        <v>13</v>
      </c>
      <c r="C15" s="9" t="s">
        <v>68</v>
      </c>
      <c r="D15" s="10">
        <v>87</v>
      </c>
      <c r="E15" s="10">
        <v>11</v>
      </c>
      <c r="F15" s="10">
        <v>11.2</v>
      </c>
      <c r="G15" s="10">
        <v>14.2</v>
      </c>
      <c r="H15" s="10">
        <v>116</v>
      </c>
      <c r="I15" s="10">
        <v>21</v>
      </c>
      <c r="J15" s="10">
        <v>53</v>
      </c>
      <c r="K15" s="10">
        <v>216</v>
      </c>
      <c r="L15" s="10">
        <v>63</v>
      </c>
      <c r="M15" s="10">
        <v>602</v>
      </c>
      <c r="N15" s="10">
        <v>25</v>
      </c>
      <c r="O15" s="10">
        <v>26</v>
      </c>
      <c r="P15" s="10">
        <v>4.4000000000000004</v>
      </c>
      <c r="Q15" s="10">
        <v>4</v>
      </c>
      <c r="R15" s="10">
        <v>2</v>
      </c>
      <c r="S15" s="10">
        <v>2.7</v>
      </c>
      <c r="T15" s="10">
        <v>4.7</v>
      </c>
      <c r="U15" s="10">
        <v>1.4</v>
      </c>
      <c r="V15" s="10">
        <v>6</v>
      </c>
      <c r="W15" s="10">
        <v>3.3</v>
      </c>
      <c r="X15" s="10">
        <v>3</v>
      </c>
      <c r="Y15" s="10">
        <v>1.7</v>
      </c>
      <c r="Z15" s="10">
        <v>2.2999999999999998</v>
      </c>
      <c r="AA15" s="10">
        <v>3.9</v>
      </c>
      <c r="AB15" s="10">
        <v>1.1000000000000001</v>
      </c>
      <c r="AC15" s="10">
        <v>4.8</v>
      </c>
      <c r="AD15" s="10">
        <v>93</v>
      </c>
      <c r="AE15" s="10">
        <v>0.5</v>
      </c>
      <c r="AF15" s="10">
        <v>3.5</v>
      </c>
      <c r="AG15" s="10">
        <v>1.2</v>
      </c>
      <c r="AH15" s="10">
        <v>5.7</v>
      </c>
      <c r="AI15" s="10">
        <v>0.4</v>
      </c>
      <c r="AJ15" s="10">
        <v>14</v>
      </c>
      <c r="AK15" s="10">
        <v>0.04</v>
      </c>
      <c r="AL15" s="10">
        <v>2.9</v>
      </c>
      <c r="AM15" s="10">
        <v>28</v>
      </c>
      <c r="AN15" s="10">
        <v>32</v>
      </c>
      <c r="AO15" s="10">
        <v>41</v>
      </c>
    </row>
    <row r="16" spans="1:41" x14ac:dyDescent="0.25">
      <c r="A16" t="s">
        <v>39</v>
      </c>
      <c r="B16" s="11">
        <v>14</v>
      </c>
      <c r="C16" s="12" t="s">
        <v>69</v>
      </c>
      <c r="D16" s="13">
        <v>91</v>
      </c>
      <c r="E16" s="13">
        <v>17.3</v>
      </c>
      <c r="F16" s="13">
        <v>17.5</v>
      </c>
      <c r="G16" s="13">
        <v>21.3</v>
      </c>
      <c r="H16" s="13">
        <v>227</v>
      </c>
      <c r="I16" s="13">
        <v>437</v>
      </c>
      <c r="J16" s="13">
        <v>80</v>
      </c>
      <c r="K16" s="13">
        <v>203</v>
      </c>
      <c r="L16" s="13">
        <v>83</v>
      </c>
      <c r="M16" s="13">
        <v>0</v>
      </c>
      <c r="N16" s="13">
        <v>29</v>
      </c>
      <c r="O16" s="13">
        <v>38</v>
      </c>
      <c r="P16" s="13">
        <v>9.8000000000000007</v>
      </c>
      <c r="Q16" s="13">
        <v>11.6</v>
      </c>
      <c r="R16" s="13">
        <v>4.8</v>
      </c>
      <c r="S16" s="13">
        <v>4.9000000000000004</v>
      </c>
      <c r="T16" s="13">
        <v>9.8000000000000007</v>
      </c>
      <c r="U16" s="13">
        <v>4.3</v>
      </c>
      <c r="V16" s="13">
        <v>13.3</v>
      </c>
      <c r="W16" s="13">
        <v>7.5</v>
      </c>
      <c r="X16" s="13">
        <v>8.8000000000000007</v>
      </c>
      <c r="Y16" s="13">
        <v>4.0999999999999996</v>
      </c>
      <c r="Z16" s="13">
        <v>3.6</v>
      </c>
      <c r="AA16" s="13">
        <v>7.7</v>
      </c>
      <c r="AB16" s="13">
        <v>3.3</v>
      </c>
      <c r="AC16" s="13">
        <v>10.3</v>
      </c>
      <c r="AD16" s="13">
        <v>193</v>
      </c>
      <c r="AE16" s="13">
        <v>2.6</v>
      </c>
      <c r="AF16" s="13">
        <v>5.7</v>
      </c>
      <c r="AG16" s="13">
        <v>4.0999999999999996</v>
      </c>
      <c r="AH16" s="13">
        <v>8.9</v>
      </c>
      <c r="AI16" s="13">
        <v>0.4</v>
      </c>
      <c r="AJ16" s="13">
        <v>30</v>
      </c>
      <c r="AK16" s="13">
        <v>0.4</v>
      </c>
      <c r="AL16" s="13">
        <v>14</v>
      </c>
      <c r="AM16" s="13">
        <v>50</v>
      </c>
      <c r="AN16" s="13">
        <v>20</v>
      </c>
      <c r="AO16" s="13">
        <v>20</v>
      </c>
    </row>
    <row r="17" spans="1:41" x14ac:dyDescent="0.25">
      <c r="B17" s="8">
        <v>15</v>
      </c>
      <c r="C17" s="9" t="s">
        <v>70</v>
      </c>
      <c r="D17" s="10">
        <v>90</v>
      </c>
      <c r="E17" s="10">
        <v>9.1999999999999993</v>
      </c>
      <c r="F17" s="10">
        <v>9.6999999999999993</v>
      </c>
      <c r="G17" s="10">
        <v>14.2</v>
      </c>
      <c r="H17" s="10">
        <v>342</v>
      </c>
      <c r="I17" s="10">
        <v>90</v>
      </c>
      <c r="J17" s="10">
        <v>113</v>
      </c>
      <c r="K17" s="10">
        <v>259</v>
      </c>
      <c r="L17" s="10">
        <v>157</v>
      </c>
      <c r="M17" s="10">
        <v>0</v>
      </c>
      <c r="N17" s="10">
        <v>38</v>
      </c>
      <c r="O17" s="10">
        <v>65</v>
      </c>
      <c r="P17" s="10">
        <v>12.9</v>
      </c>
      <c r="Q17" s="10">
        <v>13</v>
      </c>
      <c r="R17" s="10">
        <v>5.9</v>
      </c>
      <c r="S17" s="10">
        <v>6.6</v>
      </c>
      <c r="T17" s="10">
        <v>12.5</v>
      </c>
      <c r="U17" s="10">
        <v>5.2</v>
      </c>
      <c r="V17" s="10">
        <v>16.399999999999999</v>
      </c>
      <c r="W17" s="10">
        <v>9.9</v>
      </c>
      <c r="X17" s="10">
        <v>9.9</v>
      </c>
      <c r="Y17" s="10">
        <v>5</v>
      </c>
      <c r="Z17" s="10">
        <v>4.8</v>
      </c>
      <c r="AA17" s="10">
        <v>9.8000000000000007</v>
      </c>
      <c r="AB17" s="10">
        <v>4</v>
      </c>
      <c r="AC17" s="10">
        <v>12.7</v>
      </c>
      <c r="AD17" s="10">
        <v>301</v>
      </c>
      <c r="AE17" s="10">
        <v>4.7</v>
      </c>
      <c r="AF17" s="10">
        <v>9.1</v>
      </c>
      <c r="AG17" s="10">
        <v>5.5</v>
      </c>
      <c r="AH17" s="10">
        <v>13</v>
      </c>
      <c r="AI17" s="10">
        <v>0.9</v>
      </c>
      <c r="AJ17" s="10">
        <v>43</v>
      </c>
      <c r="AK17" s="10">
        <v>0.5</v>
      </c>
      <c r="AL17" s="10">
        <v>20</v>
      </c>
      <c r="AM17" s="10">
        <v>73</v>
      </c>
      <c r="AN17" s="10">
        <v>12</v>
      </c>
      <c r="AO17" s="10">
        <v>12</v>
      </c>
    </row>
    <row r="18" spans="1:41" x14ac:dyDescent="0.25">
      <c r="B18" s="11">
        <v>16</v>
      </c>
      <c r="C18" s="12" t="s">
        <v>71</v>
      </c>
      <c r="D18" s="13">
        <v>89</v>
      </c>
      <c r="E18" s="13">
        <v>10.3</v>
      </c>
      <c r="F18" s="13">
        <v>10.9</v>
      </c>
      <c r="G18" s="13">
        <v>15.4</v>
      </c>
      <c r="H18" s="13">
        <v>385</v>
      </c>
      <c r="I18" s="13">
        <v>95</v>
      </c>
      <c r="J18" s="13">
        <v>128</v>
      </c>
      <c r="K18" s="13">
        <v>214</v>
      </c>
      <c r="L18" s="13">
        <v>154</v>
      </c>
      <c r="M18" s="13">
        <v>0</v>
      </c>
      <c r="N18" s="13">
        <v>72</v>
      </c>
      <c r="O18" s="13">
        <v>39</v>
      </c>
      <c r="P18" s="13">
        <v>18.7</v>
      </c>
      <c r="Q18" s="13">
        <v>14.2</v>
      </c>
      <c r="R18" s="13">
        <v>3</v>
      </c>
      <c r="S18" s="13">
        <v>6.3</v>
      </c>
      <c r="T18" s="13">
        <v>9.3000000000000007</v>
      </c>
      <c r="U18" s="13">
        <v>2.7</v>
      </c>
      <c r="V18" s="13">
        <v>16.5</v>
      </c>
      <c r="W18" s="13">
        <v>15.3</v>
      </c>
      <c r="X18" s="13">
        <v>11.1</v>
      </c>
      <c r="Y18" s="13">
        <v>2.2999999999999998</v>
      </c>
      <c r="Z18" s="13">
        <v>4.8</v>
      </c>
      <c r="AA18" s="13">
        <v>7.1</v>
      </c>
      <c r="AB18" s="13">
        <v>2.1</v>
      </c>
      <c r="AC18" s="13">
        <v>12.2</v>
      </c>
      <c r="AD18" s="13">
        <v>316</v>
      </c>
      <c r="AE18" s="13">
        <v>3.8</v>
      </c>
      <c r="AF18" s="13">
        <v>4.3</v>
      </c>
      <c r="AG18" s="13">
        <v>1.9</v>
      </c>
      <c r="AH18" s="13">
        <v>13</v>
      </c>
      <c r="AI18" s="13">
        <v>0.5</v>
      </c>
      <c r="AJ18" s="13">
        <v>20</v>
      </c>
      <c r="AK18" s="13">
        <v>0.09</v>
      </c>
      <c r="AL18" s="13">
        <v>4.5</v>
      </c>
      <c r="AM18" s="13">
        <v>30</v>
      </c>
      <c r="AN18" s="13">
        <v>50</v>
      </c>
      <c r="AO18" s="13">
        <v>50</v>
      </c>
    </row>
    <row r="19" spans="1:41" x14ac:dyDescent="0.25">
      <c r="B19" s="8">
        <v>17</v>
      </c>
      <c r="C19" s="9" t="s">
        <v>72</v>
      </c>
      <c r="D19" s="10">
        <v>91</v>
      </c>
      <c r="E19" s="10">
        <v>4.0999999999999996</v>
      </c>
      <c r="F19" s="10">
        <v>4.8</v>
      </c>
      <c r="G19" s="10">
        <v>7.1</v>
      </c>
      <c r="H19" s="10">
        <v>185</v>
      </c>
      <c r="I19" s="10">
        <v>28</v>
      </c>
      <c r="J19" s="10">
        <v>283</v>
      </c>
      <c r="K19" s="10">
        <v>461</v>
      </c>
      <c r="L19" s="10">
        <v>326</v>
      </c>
      <c r="M19" s="10">
        <v>0</v>
      </c>
      <c r="N19" s="10">
        <v>46</v>
      </c>
      <c r="O19" s="10">
        <v>117</v>
      </c>
      <c r="P19" s="10">
        <v>8.5</v>
      </c>
      <c r="Q19" s="10">
        <v>7.5</v>
      </c>
      <c r="R19" s="10">
        <v>2.7</v>
      </c>
      <c r="S19" s="10">
        <v>2.5</v>
      </c>
      <c r="T19" s="10">
        <v>5.2</v>
      </c>
      <c r="U19" s="10">
        <v>2.6</v>
      </c>
      <c r="V19" s="10">
        <v>10.1</v>
      </c>
      <c r="W19" s="10">
        <v>5.3</v>
      </c>
      <c r="X19" s="10">
        <v>5</v>
      </c>
      <c r="Y19" s="10">
        <v>2.1</v>
      </c>
      <c r="Z19" s="10">
        <v>0.9</v>
      </c>
      <c r="AA19" s="10">
        <v>3</v>
      </c>
      <c r="AB19" s="10">
        <v>1.2</v>
      </c>
      <c r="AC19" s="10">
        <v>7</v>
      </c>
      <c r="AD19" s="10">
        <v>79</v>
      </c>
      <c r="AE19" s="10">
        <v>22.4</v>
      </c>
      <c r="AF19" s="10">
        <v>2.7</v>
      </c>
      <c r="AG19" s="10">
        <v>1.8</v>
      </c>
      <c r="AH19" s="10">
        <v>26.1</v>
      </c>
      <c r="AI19" s="10">
        <v>0.2</v>
      </c>
      <c r="AJ19" s="10">
        <v>62</v>
      </c>
      <c r="AK19" s="10">
        <v>0.28000000000000003</v>
      </c>
      <c r="AL19" s="10">
        <v>5.6</v>
      </c>
      <c r="AM19" s="10">
        <v>21</v>
      </c>
      <c r="AN19" s="10">
        <v>20</v>
      </c>
      <c r="AO19" s="10">
        <v>20</v>
      </c>
    </row>
    <row r="20" spans="1:41" x14ac:dyDescent="0.25">
      <c r="B20" s="11">
        <v>18</v>
      </c>
      <c r="C20" s="12" t="s">
        <v>73</v>
      </c>
      <c r="D20" s="13">
        <v>99.5</v>
      </c>
      <c r="E20" s="13">
        <v>14.2</v>
      </c>
      <c r="F20" s="13">
        <v>14.2</v>
      </c>
      <c r="G20" s="13">
        <v>17.8</v>
      </c>
      <c r="H20" s="13">
        <v>959</v>
      </c>
      <c r="I20" s="13">
        <v>0</v>
      </c>
      <c r="J20" s="13">
        <v>0</v>
      </c>
      <c r="K20" s="13">
        <v>0</v>
      </c>
      <c r="L20" s="13">
        <v>0</v>
      </c>
      <c r="M20" s="13">
        <v>0</v>
      </c>
      <c r="N20" s="13">
        <v>0</v>
      </c>
      <c r="O20" s="13">
        <v>0</v>
      </c>
      <c r="P20" s="13">
        <v>802</v>
      </c>
      <c r="Q20" s="13">
        <v>0</v>
      </c>
      <c r="R20" s="13">
        <v>0</v>
      </c>
      <c r="S20" s="13">
        <v>0</v>
      </c>
      <c r="T20" s="13">
        <v>0</v>
      </c>
      <c r="U20" s="13">
        <v>0</v>
      </c>
      <c r="V20" s="13">
        <v>0</v>
      </c>
      <c r="W20" s="13">
        <v>802</v>
      </c>
      <c r="X20" s="13">
        <v>0</v>
      </c>
      <c r="Y20" s="13">
        <v>0</v>
      </c>
      <c r="Z20" s="13">
        <v>0</v>
      </c>
      <c r="AA20" s="13">
        <v>0</v>
      </c>
      <c r="AB20" s="13">
        <v>0</v>
      </c>
      <c r="AC20" s="13">
        <v>0</v>
      </c>
      <c r="AD20" s="13">
        <v>959</v>
      </c>
      <c r="AE20" s="13">
        <v>0</v>
      </c>
      <c r="AF20" s="13">
        <v>0</v>
      </c>
      <c r="AG20" s="13">
        <v>0</v>
      </c>
      <c r="AH20" s="13">
        <v>0</v>
      </c>
      <c r="AI20" s="13">
        <v>0</v>
      </c>
      <c r="AJ20" s="13">
        <v>0</v>
      </c>
      <c r="AK20" s="13">
        <v>0</v>
      </c>
      <c r="AL20" s="13">
        <v>0</v>
      </c>
      <c r="AM20" s="13">
        <v>0</v>
      </c>
      <c r="AN20" s="13">
        <v>0</v>
      </c>
      <c r="AO20" s="13">
        <v>0</v>
      </c>
    </row>
    <row r="21" spans="1:41" x14ac:dyDescent="0.25">
      <c r="A21" t="s">
        <v>36</v>
      </c>
      <c r="B21" s="8">
        <v>19</v>
      </c>
      <c r="C21" s="9" t="s">
        <v>74</v>
      </c>
      <c r="D21" s="10">
        <v>87</v>
      </c>
      <c r="E21" s="10">
        <v>12.8</v>
      </c>
      <c r="F21" s="10">
        <v>13.2</v>
      </c>
      <c r="G21" s="10">
        <v>15.6</v>
      </c>
      <c r="H21" s="10">
        <v>94</v>
      </c>
      <c r="I21" s="10">
        <v>43</v>
      </c>
      <c r="J21" s="10">
        <v>25</v>
      </c>
      <c r="K21" s="10">
        <v>120</v>
      </c>
      <c r="L21" s="10">
        <v>30</v>
      </c>
      <c r="M21" s="10">
        <v>742</v>
      </c>
      <c r="N21" s="10">
        <v>19</v>
      </c>
      <c r="O21" s="10">
        <v>14</v>
      </c>
      <c r="P21" s="10">
        <v>2.8</v>
      </c>
      <c r="Q21" s="10">
        <v>3.5</v>
      </c>
      <c r="R21" s="10">
        <v>2</v>
      </c>
      <c r="S21" s="10">
        <v>2.2999999999999998</v>
      </c>
      <c r="T21" s="10">
        <v>4.3</v>
      </c>
      <c r="U21" s="10">
        <v>0.6</v>
      </c>
      <c r="V21" s="10">
        <v>4.7</v>
      </c>
      <c r="W21" s="10">
        <v>2.2000000000000002</v>
      </c>
      <c r="X21" s="10">
        <v>2.9</v>
      </c>
      <c r="Y21" s="10">
        <v>1.8</v>
      </c>
      <c r="Z21" s="10">
        <v>2</v>
      </c>
      <c r="AA21" s="10">
        <v>3.9</v>
      </c>
      <c r="AB21" s="10">
        <v>0.5</v>
      </c>
      <c r="AC21" s="10">
        <v>4.0999999999999996</v>
      </c>
      <c r="AD21" s="10">
        <v>81</v>
      </c>
      <c r="AE21" s="10">
        <v>0.1</v>
      </c>
      <c r="AF21" s="10">
        <v>3.2</v>
      </c>
      <c r="AG21" s="10">
        <v>1.2</v>
      </c>
      <c r="AH21" s="10">
        <v>4</v>
      </c>
      <c r="AI21" s="10">
        <v>0.3</v>
      </c>
      <c r="AJ21" s="10">
        <v>6</v>
      </c>
      <c r="AK21" s="10">
        <v>0.06</v>
      </c>
      <c r="AL21" s="10">
        <v>3.6</v>
      </c>
      <c r="AM21" s="10">
        <v>28</v>
      </c>
      <c r="AN21" s="10">
        <v>28</v>
      </c>
      <c r="AO21" s="10">
        <v>28</v>
      </c>
    </row>
    <row r="22" spans="1:41" x14ac:dyDescent="0.25">
      <c r="B22" s="11">
        <v>20</v>
      </c>
      <c r="C22" s="12" t="s">
        <v>75</v>
      </c>
      <c r="D22" s="13">
        <v>88</v>
      </c>
      <c r="E22" s="13">
        <v>8</v>
      </c>
      <c r="F22" s="13">
        <v>9.1999999999999993</v>
      </c>
      <c r="G22" s="13">
        <v>0</v>
      </c>
      <c r="H22" s="13">
        <v>279</v>
      </c>
      <c r="I22" s="13">
        <v>58</v>
      </c>
      <c r="J22" s="13">
        <v>83</v>
      </c>
      <c r="K22" s="13">
        <v>356</v>
      </c>
      <c r="L22" s="13">
        <v>102</v>
      </c>
      <c r="M22" s="13">
        <v>130</v>
      </c>
      <c r="N22" s="13">
        <v>6</v>
      </c>
      <c r="O22" s="13">
        <v>68</v>
      </c>
      <c r="P22" s="13">
        <v>7.1</v>
      </c>
      <c r="Q22" s="13">
        <v>9.6999999999999993</v>
      </c>
      <c r="R22" s="13">
        <v>4.9000000000000004</v>
      </c>
      <c r="S22" s="13">
        <v>5.4</v>
      </c>
      <c r="T22" s="13">
        <v>10.199999999999999</v>
      </c>
      <c r="U22" s="13">
        <v>1.9</v>
      </c>
      <c r="V22" s="13">
        <v>13.1</v>
      </c>
      <c r="W22" s="13">
        <v>4.0999999999999996</v>
      </c>
      <c r="X22" s="13">
        <v>6</v>
      </c>
      <c r="Y22" s="13">
        <v>3.7</v>
      </c>
      <c r="Z22" s="13">
        <v>3.2</v>
      </c>
      <c r="AA22" s="13">
        <v>6.8</v>
      </c>
      <c r="AB22" s="13">
        <v>1.3</v>
      </c>
      <c r="AC22" s="13">
        <v>8.6</v>
      </c>
      <c r="AD22" s="13">
        <v>173</v>
      </c>
      <c r="AE22" s="13">
        <v>2.4</v>
      </c>
      <c r="AF22" s="13">
        <v>9.5</v>
      </c>
      <c r="AG22" s="13">
        <v>3.3</v>
      </c>
      <c r="AH22" s="13">
        <v>14.1</v>
      </c>
      <c r="AI22" s="13">
        <v>6.1</v>
      </c>
      <c r="AJ22" s="13">
        <v>21</v>
      </c>
      <c r="AK22" s="13">
        <v>0.39</v>
      </c>
      <c r="AL22" s="13">
        <v>11.4</v>
      </c>
      <c r="AM22" s="13">
        <v>74</v>
      </c>
      <c r="AN22" s="13">
        <v>31</v>
      </c>
      <c r="AO22" s="13">
        <v>31</v>
      </c>
    </row>
    <row r="23" spans="1:41" x14ac:dyDescent="0.25">
      <c r="B23" s="8">
        <v>21</v>
      </c>
      <c r="C23" s="9" t="s">
        <v>76</v>
      </c>
      <c r="D23" s="10">
        <v>88</v>
      </c>
      <c r="E23" s="10">
        <v>7.8</v>
      </c>
      <c r="F23" s="10">
        <v>9</v>
      </c>
      <c r="G23" s="10">
        <v>12.6</v>
      </c>
      <c r="H23" s="10">
        <v>219</v>
      </c>
      <c r="I23" s="10">
        <v>31</v>
      </c>
      <c r="J23" s="10">
        <v>85</v>
      </c>
      <c r="K23" s="10">
        <v>384</v>
      </c>
      <c r="L23" s="10">
        <v>100</v>
      </c>
      <c r="M23" s="10">
        <v>205</v>
      </c>
      <c r="N23" s="10">
        <v>19</v>
      </c>
      <c r="O23" s="10">
        <v>70</v>
      </c>
      <c r="P23" s="10">
        <v>6.6</v>
      </c>
      <c r="Q23" s="10">
        <v>7.4</v>
      </c>
      <c r="R23" s="10">
        <v>3.7</v>
      </c>
      <c r="S23" s="10">
        <v>4.3</v>
      </c>
      <c r="T23" s="10">
        <v>8</v>
      </c>
      <c r="U23" s="10">
        <v>1.4</v>
      </c>
      <c r="V23" s="10">
        <v>10.1</v>
      </c>
      <c r="W23" s="10">
        <v>4.4000000000000004</v>
      </c>
      <c r="X23" s="10">
        <v>5.2</v>
      </c>
      <c r="Y23" s="10">
        <v>3.1</v>
      </c>
      <c r="Z23" s="10">
        <v>3</v>
      </c>
      <c r="AA23" s="10">
        <v>6.1</v>
      </c>
      <c r="AB23" s="10">
        <v>0.9</v>
      </c>
      <c r="AC23" s="10">
        <v>7.6</v>
      </c>
      <c r="AD23" s="10">
        <v>151</v>
      </c>
      <c r="AE23" s="10">
        <v>0.7</v>
      </c>
      <c r="AF23" s="10">
        <v>10.4</v>
      </c>
      <c r="AG23" s="10">
        <v>4.7</v>
      </c>
      <c r="AH23" s="10">
        <v>14</v>
      </c>
      <c r="AI23" s="10">
        <v>2.4</v>
      </c>
      <c r="AJ23" s="10">
        <v>23</v>
      </c>
      <c r="AK23" s="10">
        <v>0.15</v>
      </c>
      <c r="AL23" s="10">
        <v>5.4</v>
      </c>
      <c r="AM23" s="10">
        <v>82</v>
      </c>
      <c r="AN23" s="10">
        <v>22</v>
      </c>
      <c r="AO23" s="10">
        <v>22</v>
      </c>
    </row>
    <row r="24" spans="1:41" x14ac:dyDescent="0.25">
      <c r="A24" t="s">
        <v>374</v>
      </c>
      <c r="B24" s="11">
        <v>22</v>
      </c>
      <c r="C24" s="12" t="s">
        <v>77</v>
      </c>
      <c r="D24" s="13">
        <v>90</v>
      </c>
      <c r="E24" s="13">
        <v>12.9</v>
      </c>
      <c r="F24" s="13">
        <v>13.3</v>
      </c>
      <c r="G24" s="13">
        <v>17.8</v>
      </c>
      <c r="H24" s="13">
        <v>677</v>
      </c>
      <c r="I24" s="13">
        <v>71</v>
      </c>
      <c r="J24" s="13">
        <v>12</v>
      </c>
      <c r="K24" s="13">
        <v>26</v>
      </c>
      <c r="L24" s="13">
        <v>8</v>
      </c>
      <c r="M24" s="13">
        <v>192</v>
      </c>
      <c r="N24" s="13">
        <v>4</v>
      </c>
      <c r="O24" s="13">
        <v>21</v>
      </c>
      <c r="P24" s="13">
        <v>11.9</v>
      </c>
      <c r="Q24" s="13">
        <v>22.7</v>
      </c>
      <c r="R24" s="13">
        <v>16.3</v>
      </c>
      <c r="S24" s="13">
        <v>12.1</v>
      </c>
      <c r="T24" s="13">
        <v>28.4</v>
      </c>
      <c r="U24" s="13">
        <v>3.2</v>
      </c>
      <c r="V24" s="13">
        <v>31.2</v>
      </c>
      <c r="W24" s="13">
        <v>10.6</v>
      </c>
      <c r="X24" s="13">
        <v>20.9</v>
      </c>
      <c r="Y24" s="13">
        <v>15.5</v>
      </c>
      <c r="Z24" s="13">
        <v>11.1</v>
      </c>
      <c r="AA24" s="13">
        <v>26.7</v>
      </c>
      <c r="AB24" s="13">
        <v>2.8</v>
      </c>
      <c r="AC24" s="13">
        <v>28.4</v>
      </c>
      <c r="AD24" s="13">
        <v>623</v>
      </c>
      <c r="AE24" s="13">
        <v>0.3</v>
      </c>
      <c r="AF24" s="13">
        <v>6.4</v>
      </c>
      <c r="AG24" s="13">
        <v>1.6</v>
      </c>
      <c r="AH24" s="13">
        <v>5.5</v>
      </c>
      <c r="AI24" s="13">
        <v>0.8</v>
      </c>
      <c r="AJ24" s="13">
        <v>11</v>
      </c>
      <c r="AK24" s="13">
        <v>0.09</v>
      </c>
      <c r="AL24" s="13">
        <v>11</v>
      </c>
      <c r="AM24" s="13">
        <v>39</v>
      </c>
      <c r="AN24" s="13">
        <v>19</v>
      </c>
      <c r="AO24" s="13">
        <v>19</v>
      </c>
    </row>
    <row r="25" spans="1:41" x14ac:dyDescent="0.25">
      <c r="A25" t="s">
        <v>48</v>
      </c>
      <c r="B25" s="8">
        <v>23</v>
      </c>
      <c r="C25" s="9" t="s">
        <v>78</v>
      </c>
      <c r="D25" s="10">
        <v>76</v>
      </c>
      <c r="E25" s="10">
        <v>8.6999999999999993</v>
      </c>
      <c r="F25" s="10">
        <v>9</v>
      </c>
      <c r="G25" s="10">
        <v>12.9</v>
      </c>
      <c r="H25" s="10">
        <v>145</v>
      </c>
      <c r="I25" s="10">
        <v>2</v>
      </c>
      <c r="J25" s="10">
        <v>0</v>
      </c>
      <c r="K25" s="10">
        <v>0</v>
      </c>
      <c r="L25" s="10">
        <v>0</v>
      </c>
      <c r="M25" s="10">
        <v>0</v>
      </c>
      <c r="N25" s="10">
        <v>616</v>
      </c>
      <c r="O25" s="10">
        <v>129</v>
      </c>
      <c r="P25" s="10">
        <v>2.1</v>
      </c>
      <c r="Q25" s="10">
        <v>0.9</v>
      </c>
      <c r="R25" s="10">
        <v>0.3</v>
      </c>
      <c r="S25" s="10">
        <v>0.9</v>
      </c>
      <c r="T25" s="10">
        <v>1.2</v>
      </c>
      <c r="U25" s="10">
        <v>1.1000000000000001</v>
      </c>
      <c r="V25" s="10">
        <v>2.5</v>
      </c>
      <c r="W25" s="10">
        <v>1.6</v>
      </c>
      <c r="X25" s="10">
        <v>0.7</v>
      </c>
      <c r="Y25" s="10">
        <v>0.3</v>
      </c>
      <c r="Z25" s="10">
        <v>0.7</v>
      </c>
      <c r="AA25" s="10">
        <v>0.9</v>
      </c>
      <c r="AB25" s="10">
        <v>0.8</v>
      </c>
      <c r="AC25" s="10">
        <v>1.9</v>
      </c>
      <c r="AD25" s="10">
        <v>75</v>
      </c>
      <c r="AE25" s="10">
        <v>5.4</v>
      </c>
      <c r="AF25" s="10">
        <v>0.4</v>
      </c>
      <c r="AG25" s="10">
        <v>0.3</v>
      </c>
      <c r="AH25" s="10">
        <v>28</v>
      </c>
      <c r="AI25" s="10">
        <v>4.0999999999999996</v>
      </c>
      <c r="AJ25" s="10">
        <v>17</v>
      </c>
      <c r="AK25" s="10">
        <v>0.1</v>
      </c>
      <c r="AL25" s="10">
        <v>4.0999999999999996</v>
      </c>
      <c r="AM25" s="10">
        <v>16</v>
      </c>
      <c r="AN25" s="10">
        <v>20</v>
      </c>
      <c r="AO25" s="10">
        <v>20</v>
      </c>
    </row>
    <row r="26" spans="1:41" x14ac:dyDescent="0.25">
      <c r="B26" s="11">
        <v>24</v>
      </c>
      <c r="C26" s="12" t="s">
        <v>79</v>
      </c>
      <c r="D26" s="13">
        <v>74</v>
      </c>
      <c r="E26" s="13">
        <v>8.6999999999999993</v>
      </c>
      <c r="F26" s="13">
        <v>9</v>
      </c>
      <c r="G26" s="13">
        <v>12.9</v>
      </c>
      <c r="H26" s="13">
        <v>55</v>
      </c>
      <c r="I26" s="13">
        <v>15</v>
      </c>
      <c r="J26" s="13">
        <v>0</v>
      </c>
      <c r="K26" s="13">
        <v>0</v>
      </c>
      <c r="L26" s="13">
        <v>0</v>
      </c>
      <c r="M26" s="13">
        <v>0</v>
      </c>
      <c r="N26" s="13">
        <v>640</v>
      </c>
      <c r="O26" s="13">
        <v>140</v>
      </c>
      <c r="P26" s="13">
        <v>0.2</v>
      </c>
      <c r="Q26" s="13">
        <v>0.8</v>
      </c>
      <c r="R26" s="13">
        <v>0.2</v>
      </c>
      <c r="S26" s="13">
        <v>0.5</v>
      </c>
      <c r="T26" s="13">
        <v>0.7</v>
      </c>
      <c r="U26" s="13">
        <v>0.1</v>
      </c>
      <c r="V26" s="13">
        <v>1.7</v>
      </c>
      <c r="W26" s="13">
        <v>0.2</v>
      </c>
      <c r="X26" s="13">
        <v>0.6</v>
      </c>
      <c r="Y26" s="13">
        <v>0.2</v>
      </c>
      <c r="Z26" s="13">
        <v>0.4</v>
      </c>
      <c r="AA26" s="13">
        <v>0.6</v>
      </c>
      <c r="AB26" s="13">
        <v>0.1</v>
      </c>
      <c r="AC26" s="13">
        <v>1.3</v>
      </c>
      <c r="AD26" s="13">
        <v>25</v>
      </c>
      <c r="AE26" s="13">
        <v>5.4</v>
      </c>
      <c r="AF26" s="13">
        <v>0.7</v>
      </c>
      <c r="AG26" s="13">
        <v>4</v>
      </c>
      <c r="AH26" s="13">
        <v>49</v>
      </c>
      <c r="AI26" s="13">
        <v>2.2999999999999998</v>
      </c>
      <c r="AJ26" s="13">
        <v>13</v>
      </c>
      <c r="AK26" s="13">
        <v>0.4</v>
      </c>
      <c r="AL26" s="13">
        <v>4.5999999999999996</v>
      </c>
      <c r="AM26" s="13">
        <v>8</v>
      </c>
      <c r="AN26" s="13">
        <v>20</v>
      </c>
      <c r="AO26" s="13">
        <v>20</v>
      </c>
    </row>
    <row r="27" spans="1:41" x14ac:dyDescent="0.25">
      <c r="B27" s="8">
        <v>25</v>
      </c>
      <c r="C27" s="9" t="s">
        <v>80</v>
      </c>
      <c r="D27" s="10">
        <v>99.5</v>
      </c>
      <c r="E27" s="10">
        <v>17.399999999999999</v>
      </c>
      <c r="F27" s="10">
        <v>17.399999999999999</v>
      </c>
      <c r="G27" s="10">
        <v>10.9</v>
      </c>
      <c r="H27" s="10">
        <v>587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  <c r="P27" s="10">
        <v>0</v>
      </c>
      <c r="Q27" s="10">
        <v>0</v>
      </c>
      <c r="R27" s="10">
        <v>995</v>
      </c>
      <c r="S27" s="10">
        <v>0</v>
      </c>
      <c r="T27" s="10">
        <v>995</v>
      </c>
      <c r="U27" s="10">
        <v>0</v>
      </c>
      <c r="V27" s="10">
        <v>0</v>
      </c>
      <c r="W27" s="10">
        <v>0</v>
      </c>
      <c r="X27" s="10">
        <v>0</v>
      </c>
      <c r="Y27" s="10">
        <v>995</v>
      </c>
      <c r="Z27" s="10">
        <v>0</v>
      </c>
      <c r="AA27" s="10">
        <v>995</v>
      </c>
      <c r="AB27" s="10">
        <v>0</v>
      </c>
      <c r="AC27" s="10">
        <v>0</v>
      </c>
      <c r="AD27" s="10">
        <v>587</v>
      </c>
      <c r="AE27" s="10">
        <v>0</v>
      </c>
      <c r="AF27" s="10">
        <v>0</v>
      </c>
      <c r="AG27" s="10">
        <v>0</v>
      </c>
      <c r="AH27" s="10">
        <v>0</v>
      </c>
      <c r="AI27" s="10">
        <v>0</v>
      </c>
      <c r="AJ27" s="10">
        <v>0</v>
      </c>
      <c r="AK27" s="10">
        <v>0</v>
      </c>
      <c r="AL27" s="10">
        <v>0</v>
      </c>
      <c r="AM27" s="10">
        <v>0</v>
      </c>
      <c r="AN27" s="10">
        <v>0</v>
      </c>
      <c r="AO27" s="10">
        <v>0</v>
      </c>
    </row>
    <row r="28" spans="1:41" x14ac:dyDescent="0.25">
      <c r="B28" s="11">
        <v>26</v>
      </c>
      <c r="C28" s="12" t="s">
        <v>81</v>
      </c>
      <c r="D28" s="13">
        <v>88</v>
      </c>
      <c r="E28" s="13">
        <v>17.399999999999999</v>
      </c>
      <c r="F28" s="13">
        <v>17.399999999999999</v>
      </c>
      <c r="G28" s="13">
        <v>10.9</v>
      </c>
      <c r="H28" s="13">
        <v>587</v>
      </c>
      <c r="I28" s="13">
        <v>0</v>
      </c>
      <c r="J28" s="13">
        <v>0</v>
      </c>
      <c r="K28" s="13">
        <v>0</v>
      </c>
      <c r="L28" s="13">
        <v>0</v>
      </c>
      <c r="M28" s="13">
        <v>0</v>
      </c>
      <c r="N28" s="13">
        <v>0</v>
      </c>
      <c r="O28" s="13">
        <v>0</v>
      </c>
      <c r="P28" s="13">
        <v>0</v>
      </c>
      <c r="Q28" s="13">
        <v>0</v>
      </c>
      <c r="R28" s="13">
        <v>870</v>
      </c>
      <c r="S28" s="13">
        <v>0</v>
      </c>
      <c r="T28" s="13">
        <v>870</v>
      </c>
      <c r="U28" s="13">
        <v>0</v>
      </c>
      <c r="V28" s="13">
        <v>0</v>
      </c>
      <c r="W28" s="13">
        <v>0</v>
      </c>
      <c r="X28" s="13">
        <v>0</v>
      </c>
      <c r="Y28" s="13">
        <v>653</v>
      </c>
      <c r="Z28" s="13">
        <v>0</v>
      </c>
      <c r="AA28" s="13">
        <v>653</v>
      </c>
      <c r="AB28" s="13">
        <v>0</v>
      </c>
      <c r="AC28" s="13">
        <v>0</v>
      </c>
      <c r="AD28" s="13">
        <v>587</v>
      </c>
      <c r="AE28" s="13">
        <v>0</v>
      </c>
      <c r="AF28" s="13">
        <v>0</v>
      </c>
      <c r="AG28" s="13">
        <v>0</v>
      </c>
      <c r="AH28" s="13">
        <v>0</v>
      </c>
      <c r="AI28" s="13">
        <v>0</v>
      </c>
      <c r="AJ28" s="13">
        <v>0</v>
      </c>
      <c r="AK28" s="13">
        <v>0</v>
      </c>
      <c r="AL28" s="13">
        <v>0</v>
      </c>
      <c r="AM28" s="13">
        <v>0</v>
      </c>
      <c r="AN28" s="13">
        <v>0</v>
      </c>
      <c r="AO28" s="13">
        <v>0</v>
      </c>
    </row>
    <row r="29" spans="1:41" x14ac:dyDescent="0.25">
      <c r="B29" s="8">
        <v>27</v>
      </c>
      <c r="C29" s="9" t="s">
        <v>82</v>
      </c>
      <c r="D29" s="10">
        <v>100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1000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  <c r="Y29" s="10">
        <v>0</v>
      </c>
      <c r="Z29" s="10">
        <v>0</v>
      </c>
      <c r="AA29" s="10">
        <v>0</v>
      </c>
      <c r="AB29" s="10">
        <v>0</v>
      </c>
      <c r="AC29" s="10">
        <v>0</v>
      </c>
      <c r="AD29" s="10">
        <v>0</v>
      </c>
      <c r="AE29" s="10">
        <v>195</v>
      </c>
      <c r="AF29" s="10">
        <v>230</v>
      </c>
      <c r="AG29" s="10">
        <v>0</v>
      </c>
      <c r="AH29" s="10">
        <v>0</v>
      </c>
      <c r="AI29" s="10">
        <v>0</v>
      </c>
      <c r="AJ29" s="10">
        <v>0</v>
      </c>
      <c r="AK29" s="10">
        <v>0</v>
      </c>
      <c r="AL29" s="10">
        <v>0</v>
      </c>
      <c r="AM29" s="10">
        <v>0</v>
      </c>
      <c r="AN29" s="10">
        <v>83</v>
      </c>
      <c r="AO29" s="10">
        <v>83</v>
      </c>
    </row>
    <row r="30" spans="1:41" x14ac:dyDescent="0.25">
      <c r="A30" t="s">
        <v>304</v>
      </c>
      <c r="B30" s="11">
        <v>28</v>
      </c>
      <c r="C30" s="12" t="s">
        <v>83</v>
      </c>
      <c r="D30" s="13">
        <v>100</v>
      </c>
      <c r="E30" s="13">
        <v>29.8</v>
      </c>
      <c r="F30" s="13">
        <v>29.8</v>
      </c>
      <c r="G30" s="13">
        <v>34</v>
      </c>
      <c r="H30" s="13">
        <v>0</v>
      </c>
      <c r="I30" s="13">
        <v>1000</v>
      </c>
      <c r="J30" s="13">
        <v>0</v>
      </c>
      <c r="K30" s="13">
        <v>0</v>
      </c>
      <c r="L30" s="13">
        <v>0</v>
      </c>
      <c r="M30" s="13">
        <v>0</v>
      </c>
      <c r="N30" s="13">
        <v>0</v>
      </c>
      <c r="O30" s="13">
        <v>0</v>
      </c>
      <c r="P30" s="13">
        <v>0</v>
      </c>
      <c r="Q30" s="13">
        <v>0</v>
      </c>
      <c r="R30" s="13">
        <v>0</v>
      </c>
      <c r="S30" s="13">
        <v>0</v>
      </c>
      <c r="T30" s="13">
        <v>0</v>
      </c>
      <c r="U30" s="13">
        <v>0</v>
      </c>
      <c r="V30" s="13">
        <v>0</v>
      </c>
      <c r="W30" s="13">
        <v>0</v>
      </c>
      <c r="X30" s="13">
        <v>0</v>
      </c>
      <c r="Y30" s="13">
        <v>0</v>
      </c>
      <c r="Z30" s="13">
        <v>0</v>
      </c>
      <c r="AA30" s="13">
        <v>0</v>
      </c>
      <c r="AB30" s="13">
        <v>0</v>
      </c>
      <c r="AC30" s="13">
        <v>0</v>
      </c>
      <c r="AD30" s="13">
        <v>0</v>
      </c>
      <c r="AE30" s="13">
        <v>0</v>
      </c>
      <c r="AF30" s="13">
        <v>0</v>
      </c>
      <c r="AG30" s="13">
        <v>0</v>
      </c>
      <c r="AH30" s="13">
        <v>0</v>
      </c>
      <c r="AI30" s="13">
        <v>0</v>
      </c>
      <c r="AJ30" s="13">
        <v>0</v>
      </c>
      <c r="AK30" s="13">
        <v>0</v>
      </c>
      <c r="AL30" s="13">
        <v>0</v>
      </c>
      <c r="AM30" s="13">
        <v>0</v>
      </c>
      <c r="AN30" s="13">
        <v>0</v>
      </c>
      <c r="AO30" s="13">
        <v>0</v>
      </c>
    </row>
    <row r="31" spans="1:41" x14ac:dyDescent="0.25">
      <c r="A31" t="s">
        <v>43</v>
      </c>
      <c r="B31" s="8">
        <v>29</v>
      </c>
      <c r="C31" s="9" t="s">
        <v>84</v>
      </c>
      <c r="D31" s="10">
        <v>91</v>
      </c>
      <c r="E31" s="10">
        <v>5.4</v>
      </c>
      <c r="F31" s="10">
        <v>6.2</v>
      </c>
      <c r="G31" s="10"/>
      <c r="H31" s="10">
        <v>163</v>
      </c>
      <c r="I31" s="10">
        <v>94</v>
      </c>
      <c r="J31" s="10">
        <v>62</v>
      </c>
      <c r="K31" s="10">
        <v>726</v>
      </c>
      <c r="L31" s="10">
        <v>445</v>
      </c>
      <c r="M31" s="10">
        <v>0</v>
      </c>
      <c r="N31" s="10">
        <v>22</v>
      </c>
      <c r="O31" s="10">
        <v>46</v>
      </c>
      <c r="P31" s="10">
        <v>4.5</v>
      </c>
      <c r="Q31" s="10">
        <v>4.9000000000000004</v>
      </c>
      <c r="R31" s="10">
        <v>2.9</v>
      </c>
      <c r="S31" s="10">
        <v>1.8</v>
      </c>
      <c r="T31" s="10">
        <v>4.7</v>
      </c>
      <c r="U31" s="10">
        <v>1.1000000000000001</v>
      </c>
      <c r="V31" s="10">
        <v>8.1</v>
      </c>
      <c r="W31" s="10">
        <v>1.7</v>
      </c>
      <c r="X31" s="10">
        <v>2.5</v>
      </c>
      <c r="Y31" s="10">
        <v>2</v>
      </c>
      <c r="Z31" s="10">
        <v>0.8</v>
      </c>
      <c r="AA31" s="10">
        <v>2.8</v>
      </c>
      <c r="AB31" s="10">
        <v>0.6</v>
      </c>
      <c r="AC31" s="10">
        <v>5.3</v>
      </c>
      <c r="AD31" s="10">
        <v>88</v>
      </c>
      <c r="AE31" s="10">
        <v>4.2</v>
      </c>
      <c r="AF31" s="10">
        <v>6.4</v>
      </c>
      <c r="AG31" s="10">
        <v>3.3</v>
      </c>
      <c r="AH31" s="10">
        <v>7.5</v>
      </c>
      <c r="AI31" s="10">
        <v>0.1</v>
      </c>
      <c r="AJ31" s="10">
        <v>260</v>
      </c>
      <c r="AK31" s="10"/>
      <c r="AL31" s="10">
        <v>25</v>
      </c>
      <c r="AM31" s="10">
        <v>47</v>
      </c>
      <c r="AN31" s="10">
        <v>31</v>
      </c>
      <c r="AO31" s="10">
        <v>31</v>
      </c>
    </row>
    <row r="32" spans="1:41" x14ac:dyDescent="0.25">
      <c r="B32" s="11">
        <v>30</v>
      </c>
      <c r="C32" s="12" t="s">
        <v>85</v>
      </c>
      <c r="D32" s="13">
        <v>16.5</v>
      </c>
      <c r="E32" s="13">
        <v>11.9</v>
      </c>
      <c r="F32" s="13">
        <v>11.7</v>
      </c>
      <c r="G32" s="13">
        <v>14.1</v>
      </c>
      <c r="H32" s="13">
        <v>29</v>
      </c>
      <c r="I32" s="13">
        <v>0</v>
      </c>
      <c r="J32" s="13">
        <v>0</v>
      </c>
      <c r="K32" s="13">
        <v>0</v>
      </c>
      <c r="L32" s="13">
        <v>0</v>
      </c>
      <c r="M32" s="13">
        <v>0</v>
      </c>
      <c r="N32" s="13">
        <v>880</v>
      </c>
      <c r="O32" s="13">
        <v>90</v>
      </c>
      <c r="P32" s="13">
        <v>2.1</v>
      </c>
      <c r="Q32" s="13">
        <v>1.7</v>
      </c>
      <c r="R32" s="13">
        <v>0.5</v>
      </c>
      <c r="S32" s="13">
        <v>0.5</v>
      </c>
      <c r="T32" s="13">
        <v>1</v>
      </c>
      <c r="U32" s="13">
        <v>0.4</v>
      </c>
      <c r="V32" s="13">
        <v>1.5</v>
      </c>
      <c r="W32" s="13">
        <v>1.9</v>
      </c>
      <c r="X32" s="13">
        <v>1.4</v>
      </c>
      <c r="Y32" s="13">
        <v>0.4</v>
      </c>
      <c r="Z32" s="13">
        <v>0.4</v>
      </c>
      <c r="AA32" s="13">
        <v>0.9</v>
      </c>
      <c r="AB32" s="13">
        <v>0.3</v>
      </c>
      <c r="AC32" s="13">
        <v>1.3</v>
      </c>
      <c r="AD32" s="13">
        <v>23</v>
      </c>
      <c r="AE32" s="13">
        <v>7</v>
      </c>
      <c r="AF32" s="13">
        <v>7</v>
      </c>
      <c r="AG32" s="13">
        <v>1</v>
      </c>
      <c r="AH32" s="13">
        <v>25</v>
      </c>
      <c r="AI32" s="13">
        <v>9</v>
      </c>
      <c r="AJ32" s="13"/>
      <c r="AK32" s="13"/>
      <c r="AL32" s="13"/>
      <c r="AM32" s="13"/>
      <c r="AN32" s="13">
        <v>90</v>
      </c>
      <c r="AO32" s="13">
        <v>90</v>
      </c>
    </row>
    <row r="33" spans="1:41" x14ac:dyDescent="0.25">
      <c r="A33" t="s">
        <v>52</v>
      </c>
      <c r="B33" s="8">
        <v>31</v>
      </c>
      <c r="C33" s="9" t="s">
        <v>86</v>
      </c>
      <c r="D33" s="10">
        <v>92</v>
      </c>
      <c r="E33" s="10">
        <v>11.1</v>
      </c>
      <c r="F33" s="10">
        <v>11.3</v>
      </c>
      <c r="G33" s="10">
        <v>17.100000000000001</v>
      </c>
      <c r="H33" s="10">
        <v>841</v>
      </c>
      <c r="I33" s="10">
        <v>10</v>
      </c>
      <c r="J33" s="10">
        <v>9</v>
      </c>
      <c r="K33" s="10">
        <v>65</v>
      </c>
      <c r="L33" s="10">
        <v>19</v>
      </c>
      <c r="M33" s="10">
        <v>7</v>
      </c>
      <c r="N33" s="10">
        <v>10</v>
      </c>
      <c r="O33" s="10">
        <v>28</v>
      </c>
      <c r="P33" s="10">
        <v>63.8</v>
      </c>
      <c r="Q33" s="10">
        <v>46.7</v>
      </c>
      <c r="R33" s="10">
        <v>18.8</v>
      </c>
      <c r="S33" s="10">
        <v>11.2</v>
      </c>
      <c r="T33" s="10">
        <v>30</v>
      </c>
      <c r="U33" s="10">
        <v>10.3</v>
      </c>
      <c r="V33" s="10">
        <v>55.5</v>
      </c>
      <c r="W33" s="10">
        <v>56.8</v>
      </c>
      <c r="X33" s="10">
        <v>42</v>
      </c>
      <c r="Y33" s="10">
        <v>17.100000000000001</v>
      </c>
      <c r="Z33" s="10">
        <v>8.6999999999999993</v>
      </c>
      <c r="AA33" s="10">
        <v>25.8</v>
      </c>
      <c r="AB33" s="10">
        <v>7.7</v>
      </c>
      <c r="AC33" s="10">
        <v>49.4</v>
      </c>
      <c r="AD33" s="10">
        <v>732</v>
      </c>
      <c r="AE33" s="10">
        <v>0.5</v>
      </c>
      <c r="AF33" s="10">
        <v>4.3</v>
      </c>
      <c r="AG33" s="10">
        <v>0.5</v>
      </c>
      <c r="AH33" s="10">
        <v>7.4</v>
      </c>
      <c r="AI33" s="10">
        <v>0.3</v>
      </c>
      <c r="AJ33" s="10">
        <v>4</v>
      </c>
      <c r="AK33" s="10"/>
      <c r="AL33" s="10">
        <v>11</v>
      </c>
      <c r="AM33" s="10">
        <v>21</v>
      </c>
      <c r="AN33" s="10">
        <v>20</v>
      </c>
      <c r="AO33" s="10">
        <v>20</v>
      </c>
    </row>
    <row r="34" spans="1:41" x14ac:dyDescent="0.25">
      <c r="B34" s="11">
        <v>32</v>
      </c>
      <c r="C34" s="12" t="s">
        <v>87</v>
      </c>
      <c r="D34" s="13">
        <v>18</v>
      </c>
      <c r="E34" s="13">
        <v>10.5</v>
      </c>
      <c r="F34" s="13">
        <v>10.8</v>
      </c>
      <c r="G34" s="13">
        <v>14.4</v>
      </c>
      <c r="H34" s="13">
        <v>127</v>
      </c>
      <c r="I34" s="13">
        <v>13</v>
      </c>
      <c r="J34" s="13">
        <v>47</v>
      </c>
      <c r="K34" s="13">
        <v>116</v>
      </c>
      <c r="L34" s="13">
        <v>60</v>
      </c>
      <c r="M34" s="13">
        <v>470</v>
      </c>
      <c r="N34" s="13">
        <v>21</v>
      </c>
      <c r="O34" s="13">
        <v>71</v>
      </c>
      <c r="P34" s="13">
        <v>6.6</v>
      </c>
      <c r="Q34" s="13">
        <v>5.0999999999999996</v>
      </c>
      <c r="R34" s="13">
        <v>2</v>
      </c>
      <c r="S34" s="13">
        <v>1.7</v>
      </c>
      <c r="T34" s="13">
        <v>3.7</v>
      </c>
      <c r="U34" s="13">
        <v>1.2</v>
      </c>
      <c r="V34" s="13">
        <v>6.6</v>
      </c>
      <c r="W34" s="13">
        <v>5.0999999999999996</v>
      </c>
      <c r="X34" s="13">
        <v>3.9</v>
      </c>
      <c r="Y34" s="13">
        <v>1.7</v>
      </c>
      <c r="Z34" s="13">
        <v>1.2</v>
      </c>
      <c r="AA34" s="13">
        <v>2.9</v>
      </c>
      <c r="AB34" s="13">
        <v>0.9</v>
      </c>
      <c r="AC34" s="13">
        <v>5.0999999999999996</v>
      </c>
      <c r="AD34" s="13">
        <v>96</v>
      </c>
      <c r="AE34" s="13">
        <v>1.9</v>
      </c>
      <c r="AF34" s="13">
        <v>2.2999999999999998</v>
      </c>
      <c r="AG34" s="13"/>
      <c r="AH34" s="13"/>
      <c r="AI34" s="13"/>
      <c r="AJ34" s="13"/>
      <c r="AK34" s="13"/>
      <c r="AL34" s="13"/>
      <c r="AM34" s="13"/>
      <c r="AN34" s="13">
        <v>20</v>
      </c>
      <c r="AO34" s="13">
        <v>20</v>
      </c>
    </row>
    <row r="35" spans="1:41" x14ac:dyDescent="0.25">
      <c r="A35" t="s">
        <v>31</v>
      </c>
      <c r="B35" s="8">
        <v>33</v>
      </c>
      <c r="C35" s="9" t="s">
        <v>88</v>
      </c>
      <c r="D35" s="10">
        <v>92</v>
      </c>
      <c r="E35" s="10">
        <v>18</v>
      </c>
      <c r="F35" s="10">
        <v>18.5</v>
      </c>
      <c r="G35" s="10">
        <v>22.1</v>
      </c>
      <c r="H35" s="10">
        <v>207</v>
      </c>
      <c r="I35" s="10">
        <v>455</v>
      </c>
      <c r="J35" s="10">
        <v>89</v>
      </c>
      <c r="K35" s="10">
        <v>190</v>
      </c>
      <c r="L35" s="10">
        <v>134</v>
      </c>
      <c r="M35" s="10">
        <v>0</v>
      </c>
      <c r="N35" s="10">
        <v>55</v>
      </c>
      <c r="O35" s="10">
        <v>43</v>
      </c>
      <c r="P35" s="10">
        <v>12.9</v>
      </c>
      <c r="Q35" s="10">
        <v>9.9</v>
      </c>
      <c r="R35" s="10">
        <v>4.5</v>
      </c>
      <c r="S35" s="10">
        <v>5.0999999999999996</v>
      </c>
      <c r="T35" s="10">
        <v>9.6</v>
      </c>
      <c r="U35" s="10">
        <v>2.7</v>
      </c>
      <c r="V35" s="10">
        <v>10.8</v>
      </c>
      <c r="W35" s="10">
        <v>10.1</v>
      </c>
      <c r="X35" s="10">
        <v>7</v>
      </c>
      <c r="Y35" s="10">
        <v>3.6</v>
      </c>
      <c r="Z35" s="10">
        <v>4.0999999999999996</v>
      </c>
      <c r="AA35" s="10">
        <v>7.7</v>
      </c>
      <c r="AB35" s="10">
        <v>2</v>
      </c>
      <c r="AC35" s="10">
        <v>7.6</v>
      </c>
      <c r="AD35" s="10">
        <v>149</v>
      </c>
      <c r="AE35" s="10">
        <v>5.8</v>
      </c>
      <c r="AF35" s="10">
        <v>7.6</v>
      </c>
      <c r="AG35" s="10">
        <v>3.5</v>
      </c>
      <c r="AH35" s="10">
        <v>10</v>
      </c>
      <c r="AI35" s="10">
        <v>0.2</v>
      </c>
      <c r="AJ35" s="10">
        <v>42</v>
      </c>
      <c r="AK35" s="10"/>
      <c r="AL35" s="10">
        <v>4.0999999999999996</v>
      </c>
      <c r="AM35" s="10">
        <v>42</v>
      </c>
      <c r="AN35" s="10">
        <v>30</v>
      </c>
      <c r="AO35" s="10">
        <v>30</v>
      </c>
    </row>
    <row r="36" spans="1:41" x14ac:dyDescent="0.25">
      <c r="B36" s="11">
        <v>34</v>
      </c>
      <c r="C36" s="12" t="s">
        <v>89</v>
      </c>
      <c r="D36" s="13">
        <v>89</v>
      </c>
      <c r="E36" s="13">
        <v>9.6999999999999993</v>
      </c>
      <c r="F36" s="13">
        <v>10.199999999999999</v>
      </c>
      <c r="G36" s="13">
        <v>14.3</v>
      </c>
      <c r="H36" s="13">
        <v>331</v>
      </c>
      <c r="I36" s="13">
        <v>164</v>
      </c>
      <c r="J36" s="13">
        <v>122</v>
      </c>
      <c r="K36" s="13">
        <v>275</v>
      </c>
      <c r="L36" s="13">
        <v>192</v>
      </c>
      <c r="M36" s="13">
        <v>0</v>
      </c>
      <c r="N36" s="13">
        <v>77</v>
      </c>
      <c r="O36" s="13">
        <v>68</v>
      </c>
      <c r="P36" s="13">
        <v>17.7</v>
      </c>
      <c r="Q36" s="13">
        <v>14.2</v>
      </c>
      <c r="R36" s="13">
        <v>6.8</v>
      </c>
      <c r="S36" s="13">
        <v>8</v>
      </c>
      <c r="T36" s="13">
        <v>14.8</v>
      </c>
      <c r="U36" s="13">
        <v>4</v>
      </c>
      <c r="V36" s="13">
        <v>16.7</v>
      </c>
      <c r="W36" s="13">
        <v>13.3</v>
      </c>
      <c r="X36" s="13">
        <v>10.7</v>
      </c>
      <c r="Y36" s="13">
        <v>5.9</v>
      </c>
      <c r="Z36" s="13">
        <v>6.5</v>
      </c>
      <c r="AA36" s="13">
        <v>12.4</v>
      </c>
      <c r="AB36" s="13">
        <v>3.2</v>
      </c>
      <c r="AC36" s="13">
        <v>12.9</v>
      </c>
      <c r="AD36" s="13">
        <v>258</v>
      </c>
      <c r="AE36" s="13">
        <v>8.1</v>
      </c>
      <c r="AF36" s="13">
        <v>12</v>
      </c>
      <c r="AG36" s="13">
        <v>4.7</v>
      </c>
      <c r="AH36" s="13">
        <v>13.5</v>
      </c>
      <c r="AI36" s="13">
        <v>0.1</v>
      </c>
      <c r="AJ36" s="13">
        <v>61</v>
      </c>
      <c r="AK36" s="13"/>
      <c r="AL36" s="13">
        <v>7.3</v>
      </c>
      <c r="AM36" s="13">
        <v>59</v>
      </c>
      <c r="AN36" s="13">
        <v>32</v>
      </c>
      <c r="AO36" s="13">
        <v>32</v>
      </c>
    </row>
    <row r="37" spans="1:41" x14ac:dyDescent="0.25">
      <c r="B37" s="8">
        <v>35</v>
      </c>
      <c r="C37" s="9" t="s">
        <v>90</v>
      </c>
      <c r="D37" s="10">
        <v>89</v>
      </c>
      <c r="E37" s="10">
        <v>10.5</v>
      </c>
      <c r="F37" s="10">
        <v>11</v>
      </c>
      <c r="G37" s="10">
        <v>15.1</v>
      </c>
      <c r="H37" s="10">
        <v>276</v>
      </c>
      <c r="I37" s="10">
        <v>200</v>
      </c>
      <c r="J37" s="10">
        <v>62</v>
      </c>
      <c r="K37" s="10">
        <v>254</v>
      </c>
      <c r="L37" s="10">
        <v>180</v>
      </c>
      <c r="M37" s="10">
        <v>0</v>
      </c>
      <c r="N37" s="10">
        <v>74</v>
      </c>
      <c r="O37" s="10">
        <v>58</v>
      </c>
      <c r="P37" s="10">
        <v>14.8</v>
      </c>
      <c r="Q37" s="10">
        <v>11.8</v>
      </c>
      <c r="R37" s="10">
        <v>5.7</v>
      </c>
      <c r="S37" s="10">
        <v>6.7</v>
      </c>
      <c r="T37" s="10">
        <v>12.4</v>
      </c>
      <c r="U37" s="10">
        <v>3.3</v>
      </c>
      <c r="V37" s="10">
        <v>14</v>
      </c>
      <c r="W37" s="10">
        <v>11.1</v>
      </c>
      <c r="X37" s="10">
        <v>8.9</v>
      </c>
      <c r="Y37" s="10">
        <v>4.9000000000000004</v>
      </c>
      <c r="Z37" s="10">
        <v>5.4</v>
      </c>
      <c r="AA37" s="10">
        <v>10.4</v>
      </c>
      <c r="AB37" s="10">
        <v>2.7</v>
      </c>
      <c r="AC37" s="10">
        <v>10.7</v>
      </c>
      <c r="AD37" s="10">
        <v>215</v>
      </c>
      <c r="AE37" s="10">
        <v>7.8</v>
      </c>
      <c r="AF37" s="10">
        <v>11.5</v>
      </c>
      <c r="AG37" s="10">
        <v>4.5</v>
      </c>
      <c r="AH37" s="10">
        <v>13</v>
      </c>
      <c r="AI37" s="10">
        <v>0.1</v>
      </c>
      <c r="AJ37" s="10">
        <v>59</v>
      </c>
      <c r="AK37" s="10">
        <v>0.11</v>
      </c>
      <c r="AL37" s="10">
        <v>7</v>
      </c>
      <c r="AM37" s="10">
        <v>53</v>
      </c>
      <c r="AN37" s="10">
        <v>32</v>
      </c>
      <c r="AO37" s="10">
        <v>32</v>
      </c>
    </row>
    <row r="38" spans="1:41" x14ac:dyDescent="0.25">
      <c r="A38" t="s">
        <v>32</v>
      </c>
      <c r="B38" s="11">
        <v>36</v>
      </c>
      <c r="C38" s="12" t="s">
        <v>91</v>
      </c>
      <c r="D38" s="13">
        <v>89</v>
      </c>
      <c r="E38" s="13">
        <v>7.1</v>
      </c>
      <c r="F38" s="13">
        <v>7.7</v>
      </c>
      <c r="G38" s="13">
        <v>11.5</v>
      </c>
      <c r="H38" s="13">
        <v>380</v>
      </c>
      <c r="I38" s="13">
        <v>26</v>
      </c>
      <c r="J38" s="13">
        <v>139</v>
      </c>
      <c r="K38" s="13">
        <v>319</v>
      </c>
      <c r="L38" s="13">
        <v>221</v>
      </c>
      <c r="M38" s="13">
        <v>0</v>
      </c>
      <c r="N38" s="13">
        <v>87</v>
      </c>
      <c r="O38" s="13">
        <v>79</v>
      </c>
      <c r="P38" s="13">
        <v>20.3</v>
      </c>
      <c r="Q38" s="13">
        <v>16.3</v>
      </c>
      <c r="R38" s="13">
        <v>7.8</v>
      </c>
      <c r="S38" s="13">
        <v>9.1999999999999993</v>
      </c>
      <c r="T38" s="13">
        <v>17</v>
      </c>
      <c r="U38" s="13">
        <v>4.5999999999999996</v>
      </c>
      <c r="V38" s="13">
        <v>19.2</v>
      </c>
      <c r="W38" s="13">
        <v>15.2</v>
      </c>
      <c r="X38" s="13">
        <v>12.2</v>
      </c>
      <c r="Y38" s="13">
        <v>6.8</v>
      </c>
      <c r="Z38" s="13">
        <v>7.5</v>
      </c>
      <c r="AA38" s="13">
        <v>14.3</v>
      </c>
      <c r="AB38" s="13">
        <v>3.7</v>
      </c>
      <c r="AC38" s="13">
        <v>14.8</v>
      </c>
      <c r="AD38" s="13">
        <v>300</v>
      </c>
      <c r="AE38" s="13">
        <v>9.6</v>
      </c>
      <c r="AF38" s="13">
        <v>12.9</v>
      </c>
      <c r="AG38" s="13">
        <v>5.3</v>
      </c>
      <c r="AH38" s="13">
        <v>15</v>
      </c>
      <c r="AI38" s="13">
        <v>0.4</v>
      </c>
      <c r="AJ38" s="13">
        <v>76</v>
      </c>
      <c r="AK38" s="13">
        <v>0.09</v>
      </c>
      <c r="AL38" s="13">
        <v>6.4</v>
      </c>
      <c r="AM38" s="13">
        <v>73</v>
      </c>
      <c r="AN38" s="13">
        <v>32</v>
      </c>
      <c r="AO38" s="13">
        <v>32</v>
      </c>
    </row>
    <row r="39" spans="1:41" x14ac:dyDescent="0.25">
      <c r="B39" s="8">
        <v>37</v>
      </c>
      <c r="C39" s="9" t="s">
        <v>92</v>
      </c>
      <c r="D39" s="10">
        <v>87</v>
      </c>
      <c r="E39" s="10">
        <v>13.5</v>
      </c>
      <c r="F39" s="10">
        <v>13.5</v>
      </c>
      <c r="G39" s="10">
        <v>15.5</v>
      </c>
      <c r="H39" s="10">
        <v>88</v>
      </c>
      <c r="I39" s="10">
        <v>14</v>
      </c>
      <c r="J39" s="10">
        <v>12</v>
      </c>
      <c r="K39" s="10">
        <v>59</v>
      </c>
      <c r="L39" s="10">
        <v>15</v>
      </c>
      <c r="M39" s="10">
        <v>882</v>
      </c>
      <c r="N39" s="10">
        <v>5</v>
      </c>
      <c r="O39" s="10">
        <v>10</v>
      </c>
      <c r="P39" s="10">
        <v>3.2</v>
      </c>
      <c r="Q39" s="10">
        <v>3</v>
      </c>
      <c r="R39" s="10">
        <v>2.1</v>
      </c>
      <c r="S39" s="10">
        <v>2.1</v>
      </c>
      <c r="T39" s="10">
        <v>4.2</v>
      </c>
      <c r="U39" s="10">
        <v>1</v>
      </c>
      <c r="V39" s="10">
        <v>5.2</v>
      </c>
      <c r="W39" s="10">
        <v>2.5</v>
      </c>
      <c r="X39" s="10">
        <v>2.2999999999999998</v>
      </c>
      <c r="Y39" s="10">
        <v>1.8</v>
      </c>
      <c r="Z39" s="10">
        <v>1.5</v>
      </c>
      <c r="AA39" s="10">
        <v>3.3</v>
      </c>
      <c r="AB39" s="10">
        <v>0.8</v>
      </c>
      <c r="AC39" s="10">
        <v>4</v>
      </c>
      <c r="AD39" s="10">
        <v>79</v>
      </c>
      <c r="AE39" s="10">
        <v>0.5</v>
      </c>
      <c r="AF39" s="10">
        <v>2.2999999999999998</v>
      </c>
      <c r="AG39" s="10">
        <v>1.5</v>
      </c>
      <c r="AH39" s="10">
        <v>2.5</v>
      </c>
      <c r="AI39" s="10">
        <v>0.4</v>
      </c>
      <c r="AJ39" s="10">
        <v>13</v>
      </c>
      <c r="AK39" s="10">
        <v>0.3</v>
      </c>
      <c r="AL39" s="10">
        <v>24</v>
      </c>
      <c r="AM39" s="10">
        <v>19</v>
      </c>
      <c r="AN39" s="10">
        <v>20</v>
      </c>
      <c r="AO39" s="10">
        <v>20</v>
      </c>
    </row>
    <row r="40" spans="1:41" x14ac:dyDescent="0.25">
      <c r="A40" t="s">
        <v>306</v>
      </c>
      <c r="B40" s="11">
        <v>38</v>
      </c>
      <c r="C40" s="12" t="s">
        <v>93</v>
      </c>
      <c r="D40" s="13">
        <v>87</v>
      </c>
      <c r="E40" s="13">
        <v>11.3</v>
      </c>
      <c r="F40" s="13">
        <v>11.5</v>
      </c>
      <c r="G40" s="13">
        <v>14.8</v>
      </c>
      <c r="H40" s="13">
        <v>103</v>
      </c>
      <c r="I40" s="13">
        <v>14</v>
      </c>
      <c r="J40" s="13">
        <v>22</v>
      </c>
      <c r="K40" s="13">
        <v>161</v>
      </c>
      <c r="L40" s="13">
        <v>36</v>
      </c>
      <c r="M40" s="13">
        <v>616</v>
      </c>
      <c r="N40" s="13">
        <v>36</v>
      </c>
      <c r="O40" s="13">
        <v>21</v>
      </c>
      <c r="P40" s="13">
        <v>4</v>
      </c>
      <c r="Q40" s="13">
        <v>3.5</v>
      </c>
      <c r="R40" s="13">
        <v>1.6</v>
      </c>
      <c r="S40" s="13">
        <v>2.2999999999999998</v>
      </c>
      <c r="T40" s="13">
        <v>4</v>
      </c>
      <c r="U40" s="13">
        <v>1</v>
      </c>
      <c r="V40" s="13">
        <v>5</v>
      </c>
      <c r="W40" s="13">
        <v>2.9</v>
      </c>
      <c r="X40" s="13">
        <v>2.5</v>
      </c>
      <c r="Y40" s="13">
        <v>1.3</v>
      </c>
      <c r="Z40" s="13">
        <v>1.9</v>
      </c>
      <c r="AA40" s="13">
        <v>3.3</v>
      </c>
      <c r="AB40" s="13">
        <v>0.8</v>
      </c>
      <c r="AC40" s="13">
        <v>3.8</v>
      </c>
      <c r="AD40" s="13">
        <v>79</v>
      </c>
      <c r="AE40" s="13">
        <v>0.5</v>
      </c>
      <c r="AF40" s="13">
        <v>3.2</v>
      </c>
      <c r="AG40" s="13">
        <v>1.1000000000000001</v>
      </c>
      <c r="AH40" s="13">
        <v>5.6</v>
      </c>
      <c r="AI40" s="13">
        <v>0.4</v>
      </c>
      <c r="AJ40" s="13">
        <v>28</v>
      </c>
      <c r="AK40" s="13">
        <v>0.03</v>
      </c>
      <c r="AL40" s="13">
        <v>3.5</v>
      </c>
      <c r="AM40" s="13">
        <v>34</v>
      </c>
      <c r="AN40" s="13">
        <v>30</v>
      </c>
      <c r="AO40" s="13">
        <v>50</v>
      </c>
    </row>
    <row r="41" spans="1:41" x14ac:dyDescent="0.25">
      <c r="A41" t="s">
        <v>35</v>
      </c>
      <c r="B41" s="8">
        <v>39</v>
      </c>
      <c r="C41" s="9" t="s">
        <v>94</v>
      </c>
      <c r="D41" s="10">
        <v>87</v>
      </c>
      <c r="E41" s="10">
        <v>11.9</v>
      </c>
      <c r="F41" s="10">
        <v>12</v>
      </c>
      <c r="G41" s="10">
        <v>14.9</v>
      </c>
      <c r="H41" s="10">
        <v>110</v>
      </c>
      <c r="I41" s="10">
        <v>15</v>
      </c>
      <c r="J41" s="10">
        <v>27</v>
      </c>
      <c r="K41" s="10">
        <v>146</v>
      </c>
      <c r="L41" s="10">
        <v>37</v>
      </c>
      <c r="M41" s="10">
        <v>686</v>
      </c>
      <c r="N41" s="10">
        <v>31</v>
      </c>
      <c r="O41" s="10">
        <v>22</v>
      </c>
      <c r="P41" s="10">
        <v>4.5</v>
      </c>
      <c r="Q41" s="10">
        <v>3.7</v>
      </c>
      <c r="R41" s="10">
        <v>2</v>
      </c>
      <c r="S41" s="10">
        <v>2.9</v>
      </c>
      <c r="T41" s="10">
        <v>4.9000000000000004</v>
      </c>
      <c r="U41" s="10">
        <v>1.4</v>
      </c>
      <c r="V41" s="10">
        <v>5.4</v>
      </c>
      <c r="W41" s="10">
        <v>3.7</v>
      </c>
      <c r="X41" s="10">
        <v>3</v>
      </c>
      <c r="Y41" s="10">
        <v>1.8</v>
      </c>
      <c r="Z41" s="10">
        <v>2.6</v>
      </c>
      <c r="AA41" s="10">
        <v>4.5</v>
      </c>
      <c r="AB41" s="10">
        <v>1.2</v>
      </c>
      <c r="AC41" s="10">
        <v>4.5999999999999996</v>
      </c>
      <c r="AD41" s="10">
        <v>96</v>
      </c>
      <c r="AE41" s="10">
        <v>0.5</v>
      </c>
      <c r="AF41" s="10">
        <v>3.6</v>
      </c>
      <c r="AG41" s="10">
        <v>1.2</v>
      </c>
      <c r="AH41" s="10">
        <v>6.2</v>
      </c>
      <c r="AI41" s="10">
        <v>0.3</v>
      </c>
      <c r="AJ41" s="10">
        <v>28</v>
      </c>
      <c r="AK41" s="10"/>
      <c r="AL41" s="10">
        <v>4</v>
      </c>
      <c r="AM41" s="10">
        <v>37</v>
      </c>
      <c r="AN41" s="10">
        <v>30</v>
      </c>
      <c r="AO41" s="10">
        <v>48</v>
      </c>
    </row>
    <row r="42" spans="1:41" x14ac:dyDescent="0.25">
      <c r="B42" s="11">
        <v>40</v>
      </c>
      <c r="C42" s="12" t="s">
        <v>95</v>
      </c>
      <c r="D42" s="13">
        <v>100</v>
      </c>
      <c r="E42" s="13">
        <v>0</v>
      </c>
      <c r="F42" s="13">
        <v>0</v>
      </c>
      <c r="G42" s="13">
        <v>0</v>
      </c>
      <c r="H42" s="13">
        <v>0</v>
      </c>
      <c r="I42" s="13">
        <v>0</v>
      </c>
      <c r="J42" s="13">
        <v>0</v>
      </c>
      <c r="K42" s="13">
        <v>0</v>
      </c>
      <c r="L42" s="13">
        <v>0</v>
      </c>
      <c r="M42" s="13">
        <v>0</v>
      </c>
      <c r="N42" s="13">
        <v>0</v>
      </c>
      <c r="O42" s="13">
        <v>1000</v>
      </c>
      <c r="P42" s="13">
        <v>0</v>
      </c>
      <c r="Q42" s="13">
        <v>0</v>
      </c>
      <c r="R42" s="13">
        <v>0</v>
      </c>
      <c r="S42" s="13">
        <v>0</v>
      </c>
      <c r="T42" s="13">
        <v>0</v>
      </c>
      <c r="U42" s="13">
        <v>0</v>
      </c>
      <c r="V42" s="13">
        <v>0</v>
      </c>
      <c r="W42" s="13">
        <v>0</v>
      </c>
      <c r="X42" s="13">
        <v>0</v>
      </c>
      <c r="Y42" s="13">
        <v>0</v>
      </c>
      <c r="Z42" s="13">
        <v>0</v>
      </c>
      <c r="AA42" s="13">
        <v>0</v>
      </c>
      <c r="AB42" s="13">
        <v>0</v>
      </c>
      <c r="AC42" s="13">
        <v>0</v>
      </c>
      <c r="AD42" s="13">
        <v>0</v>
      </c>
      <c r="AE42" s="13">
        <v>0</v>
      </c>
      <c r="AF42" s="13">
        <v>0</v>
      </c>
      <c r="AG42" s="13">
        <v>0</v>
      </c>
      <c r="AH42" s="13">
        <v>0</v>
      </c>
      <c r="AI42" s="13">
        <v>393</v>
      </c>
      <c r="AJ42" s="13">
        <v>0</v>
      </c>
      <c r="AK42" s="13">
        <v>0</v>
      </c>
      <c r="AL42" s="13">
        <v>0</v>
      </c>
      <c r="AM42" s="13">
        <v>0</v>
      </c>
      <c r="AN42" s="13">
        <v>0</v>
      </c>
      <c r="AO42" s="13">
        <v>0</v>
      </c>
    </row>
    <row r="43" spans="1:41" x14ac:dyDescent="0.25">
      <c r="B43" s="8">
        <v>41</v>
      </c>
      <c r="C43" s="9" t="s">
        <v>96</v>
      </c>
      <c r="D43" s="10">
        <v>95</v>
      </c>
      <c r="E43" s="10">
        <v>12</v>
      </c>
      <c r="F43" s="10">
        <v>11.9</v>
      </c>
      <c r="G43" s="10">
        <v>16</v>
      </c>
      <c r="H43" s="10">
        <v>360</v>
      </c>
      <c r="I43" s="10">
        <v>17</v>
      </c>
      <c r="J43" s="10">
        <v>0</v>
      </c>
      <c r="K43" s="10">
        <v>0</v>
      </c>
      <c r="L43" s="10">
        <v>0</v>
      </c>
      <c r="M43" s="10">
        <v>0</v>
      </c>
      <c r="N43" s="10">
        <v>505</v>
      </c>
      <c r="O43" s="10">
        <v>86</v>
      </c>
      <c r="P43" s="10">
        <v>28.3</v>
      </c>
      <c r="Q43" s="10">
        <v>15.7</v>
      </c>
      <c r="R43" s="10">
        <v>10.199999999999999</v>
      </c>
      <c r="S43" s="10">
        <v>2.8</v>
      </c>
      <c r="T43" s="10">
        <v>13.1</v>
      </c>
      <c r="U43" s="10">
        <v>4.7</v>
      </c>
      <c r="V43" s="10">
        <v>22.2</v>
      </c>
      <c r="W43" s="10">
        <v>27.5</v>
      </c>
      <c r="X43" s="10">
        <v>14.3</v>
      </c>
      <c r="Y43" s="10">
        <v>9.9</v>
      </c>
      <c r="Z43" s="10">
        <v>2.4</v>
      </c>
      <c r="AA43" s="10">
        <v>12.3</v>
      </c>
      <c r="AB43" s="10">
        <v>3.6</v>
      </c>
      <c r="AC43" s="10">
        <v>19.8</v>
      </c>
      <c r="AD43" s="10">
        <v>320</v>
      </c>
      <c r="AE43" s="10">
        <v>13.7</v>
      </c>
      <c r="AF43" s="10">
        <v>10.199999999999999</v>
      </c>
      <c r="AG43" s="10">
        <v>1.2</v>
      </c>
      <c r="AH43" s="10">
        <v>14</v>
      </c>
      <c r="AI43" s="10">
        <v>5.6</v>
      </c>
      <c r="AJ43" s="10">
        <v>2</v>
      </c>
      <c r="AK43" s="10">
        <v>0.1</v>
      </c>
      <c r="AL43" s="10">
        <v>3</v>
      </c>
      <c r="AM43" s="10">
        <v>44</v>
      </c>
      <c r="AN43" s="10">
        <v>90</v>
      </c>
      <c r="AO43" s="10">
        <v>90</v>
      </c>
    </row>
    <row r="44" spans="1:41" x14ac:dyDescent="0.25">
      <c r="B44" s="11">
        <v>42</v>
      </c>
      <c r="C44" s="12" t="s">
        <v>97</v>
      </c>
      <c r="D44" s="13">
        <v>88</v>
      </c>
      <c r="E44" s="13">
        <v>9.1999999999999993</v>
      </c>
      <c r="F44" s="13">
        <v>9.9</v>
      </c>
      <c r="G44" s="13">
        <v>14.5</v>
      </c>
      <c r="H44" s="13">
        <v>494</v>
      </c>
      <c r="I44" s="13">
        <v>19</v>
      </c>
      <c r="J44" s="13">
        <v>70</v>
      </c>
      <c r="K44" s="13">
        <v>142</v>
      </c>
      <c r="L44" s="13">
        <v>85</v>
      </c>
      <c r="M44" s="13">
        <v>0</v>
      </c>
      <c r="N44" s="13">
        <v>97</v>
      </c>
      <c r="O44" s="13">
        <v>74</v>
      </c>
      <c r="P44" s="13">
        <v>30.3</v>
      </c>
      <c r="Q44" s="13">
        <v>19.3</v>
      </c>
      <c r="R44" s="13">
        <v>7.1</v>
      </c>
      <c r="S44" s="13">
        <v>7.4</v>
      </c>
      <c r="T44" s="13">
        <v>14.4</v>
      </c>
      <c r="U44" s="13">
        <v>6.4</v>
      </c>
      <c r="V44" s="13">
        <v>23.8</v>
      </c>
      <c r="W44" s="13">
        <v>27.3</v>
      </c>
      <c r="X44" s="13">
        <v>16.600000000000001</v>
      </c>
      <c r="Y44" s="13">
        <v>6.5</v>
      </c>
      <c r="Z44" s="13">
        <v>6.4</v>
      </c>
      <c r="AA44" s="13">
        <v>12.8</v>
      </c>
      <c r="AB44" s="13">
        <v>5.7</v>
      </c>
      <c r="AC44" s="13">
        <v>20.9</v>
      </c>
      <c r="AD44" s="13">
        <v>430</v>
      </c>
      <c r="AE44" s="13">
        <v>3.9</v>
      </c>
      <c r="AF44" s="13">
        <v>7.1</v>
      </c>
      <c r="AG44" s="13">
        <v>3.3</v>
      </c>
      <c r="AH44" s="13">
        <v>24</v>
      </c>
      <c r="AI44" s="13">
        <v>0.05</v>
      </c>
      <c r="AJ44" s="13">
        <v>40</v>
      </c>
      <c r="AK44" s="13"/>
      <c r="AL44" s="13"/>
      <c r="AM44" s="13"/>
      <c r="AN44" s="13">
        <v>20</v>
      </c>
      <c r="AO44" s="13">
        <v>20</v>
      </c>
    </row>
    <row r="45" spans="1:41" x14ac:dyDescent="0.25">
      <c r="A45" t="s">
        <v>40</v>
      </c>
      <c r="B45" s="8">
        <v>43</v>
      </c>
      <c r="C45" s="9" t="s">
        <v>98</v>
      </c>
      <c r="D45" s="10">
        <v>88</v>
      </c>
      <c r="E45" s="10">
        <v>9.3000000000000007</v>
      </c>
      <c r="F45" s="10">
        <v>9.9</v>
      </c>
      <c r="G45" s="10">
        <v>14.6</v>
      </c>
      <c r="H45" s="10">
        <v>516</v>
      </c>
      <c r="I45" s="10">
        <v>21</v>
      </c>
      <c r="J45" s="10">
        <v>68</v>
      </c>
      <c r="K45" s="10">
        <v>139</v>
      </c>
      <c r="L45" s="10">
        <v>83</v>
      </c>
      <c r="M45" s="10">
        <v>0</v>
      </c>
      <c r="N45" s="10">
        <v>94</v>
      </c>
      <c r="O45" s="10">
        <v>73</v>
      </c>
      <c r="P45" s="10">
        <v>31.6</v>
      </c>
      <c r="Q45" s="10">
        <v>20.100000000000001</v>
      </c>
      <c r="R45" s="10">
        <v>7.3</v>
      </c>
      <c r="S45" s="10">
        <v>7.6</v>
      </c>
      <c r="T45" s="10">
        <v>14.9</v>
      </c>
      <c r="U45" s="10">
        <v>6.7</v>
      </c>
      <c r="V45" s="10">
        <v>24.9</v>
      </c>
      <c r="W45" s="10">
        <v>28.4</v>
      </c>
      <c r="X45" s="10">
        <v>17.5</v>
      </c>
      <c r="Y45" s="10">
        <v>6.7</v>
      </c>
      <c r="Z45" s="10">
        <v>6.5</v>
      </c>
      <c r="AA45" s="10">
        <v>13.3</v>
      </c>
      <c r="AB45" s="10">
        <v>6</v>
      </c>
      <c r="AC45" s="10">
        <v>21.9</v>
      </c>
      <c r="AD45" s="10">
        <v>454</v>
      </c>
      <c r="AE45" s="10">
        <v>3.9</v>
      </c>
      <c r="AF45" s="10">
        <v>7.1</v>
      </c>
      <c r="AG45" s="10">
        <v>3.3</v>
      </c>
      <c r="AH45" s="10">
        <v>24</v>
      </c>
      <c r="AI45" s="10">
        <v>0.3</v>
      </c>
      <c r="AJ45" s="10">
        <v>43</v>
      </c>
      <c r="AK45" s="10">
        <v>0.22</v>
      </c>
      <c r="AL45" s="10">
        <v>21</v>
      </c>
      <c r="AM45" s="10">
        <v>53</v>
      </c>
      <c r="AN45" s="10">
        <v>32</v>
      </c>
      <c r="AO45" s="10">
        <v>32</v>
      </c>
    </row>
    <row r="46" spans="1:41" x14ac:dyDescent="0.25">
      <c r="B46" s="11">
        <v>44</v>
      </c>
      <c r="C46" s="12" t="s">
        <v>99</v>
      </c>
      <c r="D46" s="13">
        <v>88</v>
      </c>
      <c r="E46" s="13">
        <v>9.6</v>
      </c>
      <c r="F46" s="13">
        <v>10.1</v>
      </c>
      <c r="G46" s="13">
        <v>14.7</v>
      </c>
      <c r="H46" s="13">
        <v>539</v>
      </c>
      <c r="I46" s="13">
        <v>17</v>
      </c>
      <c r="J46" s="13">
        <v>44</v>
      </c>
      <c r="K46" s="13">
        <v>102</v>
      </c>
      <c r="L46" s="13">
        <v>55</v>
      </c>
      <c r="M46" s="13">
        <v>0</v>
      </c>
      <c r="N46" s="13">
        <v>105</v>
      </c>
      <c r="O46" s="13">
        <v>72</v>
      </c>
      <c r="P46" s="13">
        <v>32.9</v>
      </c>
      <c r="Q46" s="13">
        <v>20.9</v>
      </c>
      <c r="R46" s="13">
        <v>7.5</v>
      </c>
      <c r="S46" s="13">
        <v>7.8</v>
      </c>
      <c r="T46" s="13">
        <v>15.4</v>
      </c>
      <c r="U46" s="13">
        <v>7</v>
      </c>
      <c r="V46" s="13">
        <v>26</v>
      </c>
      <c r="W46" s="13">
        <v>30.3</v>
      </c>
      <c r="X46" s="13">
        <v>18.600000000000001</v>
      </c>
      <c r="Y46" s="13">
        <v>7</v>
      </c>
      <c r="Z46" s="13">
        <v>6.9</v>
      </c>
      <c r="AA46" s="13">
        <v>14</v>
      </c>
      <c r="AB46" s="13">
        <v>6.4</v>
      </c>
      <c r="AC46" s="13">
        <v>23.4</v>
      </c>
      <c r="AD46" s="13">
        <v>485</v>
      </c>
      <c r="AE46" s="13">
        <v>4</v>
      </c>
      <c r="AF46" s="13">
        <v>7.7</v>
      </c>
      <c r="AG46" s="13">
        <v>3.6</v>
      </c>
      <c r="AH46" s="13">
        <v>25</v>
      </c>
      <c r="AI46" s="13">
        <v>0.5</v>
      </c>
      <c r="AJ46" s="13">
        <v>54</v>
      </c>
      <c r="AK46" s="13">
        <v>0.19</v>
      </c>
      <c r="AL46" s="13">
        <v>18</v>
      </c>
      <c r="AM46" s="13">
        <v>55</v>
      </c>
      <c r="AN46" s="13">
        <v>32</v>
      </c>
      <c r="AO46" s="13">
        <v>32</v>
      </c>
    </row>
    <row r="47" spans="1:41" x14ac:dyDescent="0.25">
      <c r="A47" t="s">
        <v>41</v>
      </c>
      <c r="B47" s="8">
        <v>45</v>
      </c>
      <c r="C47" s="9" t="s">
        <v>100</v>
      </c>
      <c r="D47" s="10">
        <v>87</v>
      </c>
      <c r="E47" s="10">
        <v>9.6999999999999993</v>
      </c>
      <c r="F47" s="10">
        <v>10.3</v>
      </c>
      <c r="G47" s="10">
        <v>14.8</v>
      </c>
      <c r="H47" s="10">
        <v>609</v>
      </c>
      <c r="I47" s="10">
        <v>27</v>
      </c>
      <c r="J47" s="10">
        <v>38</v>
      </c>
      <c r="K47" s="10">
        <v>102</v>
      </c>
      <c r="L47" s="10">
        <v>55</v>
      </c>
      <c r="M47" s="10">
        <v>0</v>
      </c>
      <c r="N47" s="10">
        <v>105</v>
      </c>
      <c r="O47" s="10">
        <v>74</v>
      </c>
      <c r="P47" s="10">
        <v>37.200000000000003</v>
      </c>
      <c r="Q47" s="10">
        <v>23.6</v>
      </c>
      <c r="R47" s="10">
        <v>8.5</v>
      </c>
      <c r="S47" s="10">
        <v>8.8000000000000007</v>
      </c>
      <c r="T47" s="10">
        <v>17.399999999999999</v>
      </c>
      <c r="U47" s="10">
        <v>7.9</v>
      </c>
      <c r="V47" s="10">
        <v>29.4</v>
      </c>
      <c r="W47" s="10">
        <v>34.200000000000003</v>
      </c>
      <c r="X47" s="10">
        <v>21</v>
      </c>
      <c r="Y47" s="10">
        <v>7.9</v>
      </c>
      <c r="Z47" s="10">
        <v>7.8</v>
      </c>
      <c r="AA47" s="10">
        <v>15.8</v>
      </c>
      <c r="AB47" s="10">
        <v>7.2</v>
      </c>
      <c r="AC47" s="10">
        <v>26.4</v>
      </c>
      <c r="AD47" s="10">
        <v>548</v>
      </c>
      <c r="AE47" s="10">
        <v>2.7</v>
      </c>
      <c r="AF47" s="10">
        <v>8.6999999999999993</v>
      </c>
      <c r="AG47" s="10">
        <v>3.8</v>
      </c>
      <c r="AH47" s="10">
        <v>25</v>
      </c>
      <c r="AI47" s="10">
        <v>0.4</v>
      </c>
      <c r="AJ47" s="10">
        <v>54</v>
      </c>
      <c r="AK47" s="10"/>
      <c r="AL47" s="10">
        <v>26</v>
      </c>
      <c r="AM47" s="10">
        <v>65</v>
      </c>
      <c r="AN47" s="10">
        <v>32</v>
      </c>
      <c r="AO47" s="10">
        <v>32</v>
      </c>
    </row>
    <row r="48" spans="1:41" x14ac:dyDescent="0.25">
      <c r="A48" t="s">
        <v>42</v>
      </c>
      <c r="B48" s="11">
        <v>46</v>
      </c>
      <c r="C48" s="12" t="s">
        <v>101</v>
      </c>
      <c r="D48" s="13">
        <v>90</v>
      </c>
      <c r="E48" s="13">
        <v>5.9</v>
      </c>
      <c r="F48" s="13">
        <v>6.5</v>
      </c>
      <c r="G48" s="13">
        <v>9.4</v>
      </c>
      <c r="H48" s="13">
        <v>373</v>
      </c>
      <c r="I48" s="13">
        <v>19</v>
      </c>
      <c r="J48" s="13">
        <v>236</v>
      </c>
      <c r="K48" s="13">
        <v>400</v>
      </c>
      <c r="L48" s="13">
        <v>276</v>
      </c>
      <c r="M48" s="13">
        <v>0</v>
      </c>
      <c r="N48" s="13">
        <v>63</v>
      </c>
      <c r="O48" s="13">
        <v>75</v>
      </c>
      <c r="P48" s="13">
        <v>13.2</v>
      </c>
      <c r="Q48" s="13">
        <v>13.4</v>
      </c>
      <c r="R48" s="13">
        <v>8.5</v>
      </c>
      <c r="S48" s="13">
        <v>6.4</v>
      </c>
      <c r="T48" s="13">
        <v>14.9</v>
      </c>
      <c r="U48" s="13">
        <v>4.5999999999999996</v>
      </c>
      <c r="V48" s="13">
        <v>18.3</v>
      </c>
      <c r="W48" s="13">
        <v>10.8</v>
      </c>
      <c r="X48" s="13">
        <v>10.9</v>
      </c>
      <c r="Y48" s="13">
        <v>7.8</v>
      </c>
      <c r="Z48" s="13">
        <v>5.2</v>
      </c>
      <c r="AA48" s="13">
        <v>13.1</v>
      </c>
      <c r="AB48" s="13">
        <v>3.9</v>
      </c>
      <c r="AC48" s="13">
        <v>15.2</v>
      </c>
      <c r="AD48" s="13">
        <v>306</v>
      </c>
      <c r="AE48" s="13">
        <v>4.0999999999999996</v>
      </c>
      <c r="AF48" s="13">
        <v>12.6</v>
      </c>
      <c r="AG48" s="13">
        <v>6.7</v>
      </c>
      <c r="AH48" s="13">
        <v>17</v>
      </c>
      <c r="AI48" s="13">
        <v>0.3</v>
      </c>
      <c r="AJ48" s="13">
        <v>47</v>
      </c>
      <c r="AK48" s="13">
        <v>0.15</v>
      </c>
      <c r="AL48" s="13">
        <v>36</v>
      </c>
      <c r="AM48" s="13">
        <v>110</v>
      </c>
      <c r="AN48" s="13">
        <v>19</v>
      </c>
      <c r="AO48" s="13">
        <v>19</v>
      </c>
    </row>
    <row r="49" spans="1:41" x14ac:dyDescent="0.25">
      <c r="B49" s="8">
        <v>47</v>
      </c>
      <c r="C49" s="9" t="s">
        <v>102</v>
      </c>
      <c r="D49" s="10">
        <v>87</v>
      </c>
      <c r="E49" s="10">
        <v>12.7</v>
      </c>
      <c r="F49" s="10">
        <v>12.8</v>
      </c>
      <c r="G49" s="10">
        <v>15.3</v>
      </c>
      <c r="H49" s="10">
        <v>109</v>
      </c>
      <c r="I49" s="10">
        <v>34</v>
      </c>
      <c r="J49" s="10">
        <v>27</v>
      </c>
      <c r="K49" s="10">
        <v>108</v>
      </c>
      <c r="L49" s="10">
        <v>43</v>
      </c>
      <c r="M49" s="10">
        <v>741</v>
      </c>
      <c r="N49" s="10">
        <v>12</v>
      </c>
      <c r="O49" s="10">
        <v>17</v>
      </c>
      <c r="P49" s="10">
        <v>2.5</v>
      </c>
      <c r="Q49" s="10">
        <v>3.6</v>
      </c>
      <c r="R49" s="10">
        <v>1.8</v>
      </c>
      <c r="S49" s="10">
        <v>2</v>
      </c>
      <c r="T49" s="10">
        <v>3.8</v>
      </c>
      <c r="U49" s="10">
        <v>1.1000000000000001</v>
      </c>
      <c r="V49" s="10">
        <v>5.9</v>
      </c>
      <c r="W49" s="10">
        <v>1.9</v>
      </c>
      <c r="X49" s="10">
        <v>2.7</v>
      </c>
      <c r="Y49" s="10">
        <v>1.5</v>
      </c>
      <c r="Z49" s="10">
        <v>1.5</v>
      </c>
      <c r="AA49" s="10">
        <v>3.1</v>
      </c>
      <c r="AB49" s="10">
        <v>0.9</v>
      </c>
      <c r="AC49" s="10">
        <v>4.8</v>
      </c>
      <c r="AD49" s="10">
        <v>86</v>
      </c>
      <c r="AE49" s="10">
        <v>0.3</v>
      </c>
      <c r="AF49" s="10">
        <v>2.9</v>
      </c>
      <c r="AG49" s="10">
        <v>1.4</v>
      </c>
      <c r="AH49" s="10">
        <v>3.5</v>
      </c>
      <c r="AI49" s="10">
        <v>0.1</v>
      </c>
      <c r="AJ49" s="10">
        <v>16</v>
      </c>
      <c r="AK49" s="10">
        <v>0.12</v>
      </c>
      <c r="AL49" s="10">
        <v>7</v>
      </c>
      <c r="AM49" s="10">
        <v>20</v>
      </c>
      <c r="AN49" s="10">
        <v>25</v>
      </c>
      <c r="AO49" s="10">
        <v>25</v>
      </c>
    </row>
    <row r="50" spans="1:41" x14ac:dyDescent="0.25">
      <c r="B50" s="11">
        <v>48</v>
      </c>
      <c r="C50" s="12" t="s">
        <v>103</v>
      </c>
      <c r="D50" s="13">
        <v>99</v>
      </c>
      <c r="E50" s="13">
        <v>12.3</v>
      </c>
      <c r="F50" s="13">
        <v>12.3</v>
      </c>
      <c r="G50" s="13">
        <v>15.5</v>
      </c>
      <c r="H50" s="13">
        <v>735</v>
      </c>
      <c r="I50" s="13">
        <v>0</v>
      </c>
      <c r="J50" s="13">
        <v>0</v>
      </c>
      <c r="K50" s="13">
        <v>0</v>
      </c>
      <c r="L50" s="13">
        <v>0</v>
      </c>
      <c r="M50" s="13">
        <v>0</v>
      </c>
      <c r="N50" s="13">
        <v>0</v>
      </c>
      <c r="O50" s="13">
        <v>0</v>
      </c>
      <c r="P50" s="13">
        <v>0</v>
      </c>
      <c r="Q50" s="13">
        <v>995</v>
      </c>
      <c r="R50" s="13">
        <v>0</v>
      </c>
      <c r="S50" s="13">
        <v>0</v>
      </c>
      <c r="T50" s="13">
        <v>0</v>
      </c>
      <c r="U50" s="13">
        <v>0</v>
      </c>
      <c r="V50" s="13">
        <v>0</v>
      </c>
      <c r="W50" s="13">
        <v>0</v>
      </c>
      <c r="X50" s="13">
        <v>995</v>
      </c>
      <c r="Y50" s="13">
        <v>0</v>
      </c>
      <c r="Z50" s="13">
        <v>0</v>
      </c>
      <c r="AA50" s="13">
        <v>0</v>
      </c>
      <c r="AB50" s="13">
        <v>0</v>
      </c>
      <c r="AC50" s="13">
        <v>0</v>
      </c>
      <c r="AD50" s="13">
        <v>735</v>
      </c>
      <c r="AE50" s="13">
        <v>0</v>
      </c>
      <c r="AF50" s="13">
        <v>0</v>
      </c>
      <c r="AG50" s="13">
        <v>0</v>
      </c>
      <c r="AH50" s="13">
        <v>0</v>
      </c>
      <c r="AI50" s="13">
        <v>0</v>
      </c>
      <c r="AJ50" s="13">
        <v>0</v>
      </c>
      <c r="AK50" s="13">
        <v>0</v>
      </c>
      <c r="AL50" s="13">
        <v>0</v>
      </c>
      <c r="AM50" s="13">
        <v>0</v>
      </c>
      <c r="AN50" s="13">
        <v>0</v>
      </c>
      <c r="AO50" s="13">
        <v>0</v>
      </c>
    </row>
    <row r="51" spans="1:41" x14ac:dyDescent="0.25">
      <c r="B51" s="8">
        <v>49</v>
      </c>
      <c r="C51" s="9" t="s">
        <v>104</v>
      </c>
      <c r="D51" s="10">
        <v>99</v>
      </c>
      <c r="E51" s="10">
        <v>20.100000000000001</v>
      </c>
      <c r="F51" s="10">
        <v>20.100000000000001</v>
      </c>
      <c r="G51" s="10"/>
      <c r="H51" s="10">
        <v>857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  <c r="P51" s="10">
        <v>0</v>
      </c>
      <c r="Q51" s="10">
        <v>0</v>
      </c>
      <c r="R51" s="10">
        <v>0</v>
      </c>
      <c r="S51" s="10">
        <v>0</v>
      </c>
      <c r="T51" s="10">
        <v>0</v>
      </c>
      <c r="U51" s="10">
        <v>990</v>
      </c>
      <c r="V51" s="10">
        <v>0</v>
      </c>
      <c r="W51" s="10">
        <v>0</v>
      </c>
      <c r="X51" s="10">
        <v>0</v>
      </c>
      <c r="Y51" s="10">
        <v>0</v>
      </c>
      <c r="Z51" s="10">
        <v>0</v>
      </c>
      <c r="AA51" s="10">
        <v>0</v>
      </c>
      <c r="AB51" s="10">
        <v>990</v>
      </c>
      <c r="AC51" s="10">
        <v>0</v>
      </c>
      <c r="AD51" s="10">
        <v>857</v>
      </c>
      <c r="AE51" s="10">
        <v>0</v>
      </c>
      <c r="AF51" s="10">
        <v>0</v>
      </c>
      <c r="AG51" s="10">
        <v>0</v>
      </c>
      <c r="AH51" s="10">
        <v>0</v>
      </c>
      <c r="AI51" s="10">
        <v>0</v>
      </c>
      <c r="AJ51" s="10">
        <v>0</v>
      </c>
      <c r="AK51" s="10">
        <v>0</v>
      </c>
      <c r="AL51" s="10">
        <v>0</v>
      </c>
      <c r="AM51" s="10">
        <v>0</v>
      </c>
      <c r="AN51" s="10">
        <v>0</v>
      </c>
      <c r="AO51" s="10">
        <v>0</v>
      </c>
    </row>
    <row r="52" spans="1:41" x14ac:dyDescent="0.25">
      <c r="A52" t="s">
        <v>50</v>
      </c>
      <c r="B52" s="11">
        <v>50</v>
      </c>
      <c r="C52" s="12" t="s">
        <v>105</v>
      </c>
      <c r="D52" s="13">
        <v>5.5</v>
      </c>
      <c r="E52" s="13">
        <v>12.4</v>
      </c>
      <c r="F52" s="13">
        <v>12.2</v>
      </c>
      <c r="G52" s="13">
        <v>15.6</v>
      </c>
      <c r="H52" s="13">
        <v>115</v>
      </c>
      <c r="I52" s="13">
        <v>19</v>
      </c>
      <c r="J52" s="13">
        <v>0</v>
      </c>
      <c r="K52" s="13">
        <v>0</v>
      </c>
      <c r="L52" s="13">
        <v>0</v>
      </c>
      <c r="M52" s="13">
        <v>0</v>
      </c>
      <c r="N52" s="13">
        <v>768</v>
      </c>
      <c r="O52" s="13">
        <v>86</v>
      </c>
      <c r="P52" s="13">
        <v>8.5</v>
      </c>
      <c r="Q52" s="13">
        <v>6.6</v>
      </c>
      <c r="R52" s="13">
        <v>1.8</v>
      </c>
      <c r="S52" s="13">
        <v>2</v>
      </c>
      <c r="T52" s="13">
        <v>3.8</v>
      </c>
      <c r="U52" s="13">
        <v>1.5</v>
      </c>
      <c r="V52" s="13">
        <v>5.9</v>
      </c>
      <c r="W52" s="13">
        <v>7.6</v>
      </c>
      <c r="X52" s="13">
        <v>5.6</v>
      </c>
      <c r="Y52" s="13">
        <v>1.7</v>
      </c>
      <c r="Z52" s="13">
        <v>1.8</v>
      </c>
      <c r="AA52" s="13">
        <v>3.4</v>
      </c>
      <c r="AB52" s="13">
        <v>1.3</v>
      </c>
      <c r="AC52" s="13">
        <v>5.0999999999999996</v>
      </c>
      <c r="AD52" s="13">
        <v>93</v>
      </c>
      <c r="AE52" s="13">
        <v>8.6999999999999993</v>
      </c>
      <c r="AF52" s="13">
        <v>7.3</v>
      </c>
      <c r="AG52" s="13">
        <v>1.3</v>
      </c>
      <c r="AH52" s="13">
        <v>23.1</v>
      </c>
      <c r="AI52" s="13">
        <v>7.7</v>
      </c>
      <c r="AJ52" s="13">
        <v>3</v>
      </c>
      <c r="AK52" s="13">
        <v>0.05</v>
      </c>
      <c r="AL52" s="13">
        <v>22</v>
      </c>
      <c r="AM52" s="13">
        <v>17</v>
      </c>
      <c r="AN52" s="13">
        <v>90</v>
      </c>
      <c r="AO52" s="13">
        <v>90</v>
      </c>
    </row>
    <row r="53" spans="1:41" x14ac:dyDescent="0.25">
      <c r="B53" s="8">
        <v>51</v>
      </c>
      <c r="C53" s="9" t="s">
        <v>106</v>
      </c>
      <c r="D53" s="10">
        <v>98</v>
      </c>
      <c r="E53" s="10">
        <v>11.6</v>
      </c>
      <c r="F53" s="10">
        <v>11.5</v>
      </c>
      <c r="G53" s="10">
        <v>15</v>
      </c>
      <c r="H53" s="10">
        <v>99</v>
      </c>
      <c r="I53" s="10">
        <v>22</v>
      </c>
      <c r="J53" s="10">
        <v>0</v>
      </c>
      <c r="K53" s="10">
        <v>0</v>
      </c>
      <c r="L53" s="10">
        <v>0</v>
      </c>
      <c r="M53" s="10">
        <v>0</v>
      </c>
      <c r="N53" s="10">
        <v>643</v>
      </c>
      <c r="O53" s="10">
        <v>120</v>
      </c>
      <c r="P53" s="10">
        <v>7.4</v>
      </c>
      <c r="Q53" s="10">
        <v>5.5</v>
      </c>
      <c r="R53" s="10">
        <v>1.5</v>
      </c>
      <c r="S53" s="10">
        <v>1.7</v>
      </c>
      <c r="T53" s="10">
        <v>3.2</v>
      </c>
      <c r="U53" s="10">
        <v>1.2</v>
      </c>
      <c r="V53" s="10">
        <v>4.9000000000000004</v>
      </c>
      <c r="W53" s="10">
        <v>6.6</v>
      </c>
      <c r="X53" s="10">
        <v>4.7</v>
      </c>
      <c r="Y53" s="10">
        <v>1.4</v>
      </c>
      <c r="Z53" s="10">
        <v>1.5</v>
      </c>
      <c r="AA53" s="10">
        <v>2.9</v>
      </c>
      <c r="AB53" s="10">
        <v>1</v>
      </c>
      <c r="AC53" s="10">
        <v>4.3</v>
      </c>
      <c r="AD53" s="10">
        <v>80</v>
      </c>
      <c r="AE53" s="10">
        <v>17.2</v>
      </c>
      <c r="AF53" s="10">
        <v>10.3</v>
      </c>
      <c r="AG53" s="10">
        <v>1.5</v>
      </c>
      <c r="AH53" s="10">
        <v>21.4</v>
      </c>
      <c r="AI53" s="10">
        <v>7.1</v>
      </c>
      <c r="AJ53" s="10">
        <v>3</v>
      </c>
      <c r="AK53" s="10">
        <v>0.2</v>
      </c>
      <c r="AL53" s="10">
        <v>1.6</v>
      </c>
      <c r="AM53" s="10">
        <v>65</v>
      </c>
      <c r="AN53" s="10">
        <v>90</v>
      </c>
      <c r="AO53" s="10">
        <v>90</v>
      </c>
    </row>
    <row r="54" spans="1:41" x14ac:dyDescent="0.25">
      <c r="A54" t="s">
        <v>51</v>
      </c>
      <c r="B54" s="11">
        <v>52</v>
      </c>
      <c r="C54" s="12" t="s">
        <v>107</v>
      </c>
      <c r="D54" s="13">
        <v>97</v>
      </c>
      <c r="E54" s="13">
        <v>12.4</v>
      </c>
      <c r="F54" s="13">
        <v>12.2</v>
      </c>
      <c r="G54" s="13">
        <v>14.9</v>
      </c>
      <c r="H54" s="13">
        <v>131</v>
      </c>
      <c r="I54" s="13">
        <v>22</v>
      </c>
      <c r="J54" s="13">
        <v>0</v>
      </c>
      <c r="K54" s="13">
        <v>0</v>
      </c>
      <c r="L54" s="13">
        <v>0</v>
      </c>
      <c r="M54" s="13">
        <v>0</v>
      </c>
      <c r="N54" s="13">
        <v>756</v>
      </c>
      <c r="O54" s="13">
        <v>90</v>
      </c>
      <c r="P54" s="13">
        <v>9.6999999999999993</v>
      </c>
      <c r="Q54" s="13">
        <v>7.5</v>
      </c>
      <c r="R54" s="13">
        <v>2.1</v>
      </c>
      <c r="S54" s="13">
        <v>2.2999999999999998</v>
      </c>
      <c r="T54" s="13">
        <v>4.3</v>
      </c>
      <c r="U54" s="13">
        <v>1.7</v>
      </c>
      <c r="V54" s="13">
        <v>6.7</v>
      </c>
      <c r="W54" s="13">
        <v>8.6</v>
      </c>
      <c r="X54" s="13">
        <v>6.4</v>
      </c>
      <c r="Y54" s="13">
        <v>1.9</v>
      </c>
      <c r="Z54" s="13">
        <v>2</v>
      </c>
      <c r="AA54" s="13">
        <v>3.9</v>
      </c>
      <c r="AB54" s="13">
        <v>1.5</v>
      </c>
      <c r="AC54" s="13">
        <v>5.8</v>
      </c>
      <c r="AD54" s="13">
        <v>106</v>
      </c>
      <c r="AE54" s="13">
        <v>8.5</v>
      </c>
      <c r="AF54" s="13">
        <v>7.2</v>
      </c>
      <c r="AG54" s="13">
        <v>1.5</v>
      </c>
      <c r="AH54" s="13">
        <v>21</v>
      </c>
      <c r="AI54" s="13">
        <v>6.6</v>
      </c>
      <c r="AJ54" s="13">
        <v>3.1</v>
      </c>
      <c r="AK54" s="13">
        <v>0.31</v>
      </c>
      <c r="AL54" s="13">
        <v>2</v>
      </c>
      <c r="AM54" s="13">
        <v>21</v>
      </c>
      <c r="AN54" s="13">
        <v>90</v>
      </c>
      <c r="AO54" s="13">
        <v>90</v>
      </c>
    </row>
    <row r="55" spans="1:41" x14ac:dyDescent="0.25">
      <c r="A55" t="s">
        <v>17</v>
      </c>
      <c r="B55" s="8">
        <v>53</v>
      </c>
      <c r="C55" s="9" t="s">
        <v>108</v>
      </c>
      <c r="D55" s="10">
        <v>87</v>
      </c>
      <c r="E55" s="10">
        <v>12.1</v>
      </c>
      <c r="F55" s="10">
        <v>12.3</v>
      </c>
      <c r="G55" s="10">
        <v>15.2</v>
      </c>
      <c r="H55" s="10">
        <v>121</v>
      </c>
      <c r="I55" s="10">
        <v>17</v>
      </c>
      <c r="J55" s="10">
        <v>26</v>
      </c>
      <c r="K55" s="10">
        <v>143</v>
      </c>
      <c r="L55" s="10">
        <v>36</v>
      </c>
      <c r="M55" s="10">
        <v>698</v>
      </c>
      <c r="N55" s="10">
        <v>27</v>
      </c>
      <c r="O55" s="10">
        <v>18</v>
      </c>
      <c r="P55" s="10">
        <v>3.5</v>
      </c>
      <c r="Q55" s="10">
        <v>3.7</v>
      </c>
      <c r="R55" s="10">
        <v>2</v>
      </c>
      <c r="S55" s="10">
        <v>3</v>
      </c>
      <c r="T55" s="10">
        <v>5</v>
      </c>
      <c r="U55" s="10">
        <v>1.5</v>
      </c>
      <c r="V55" s="10">
        <v>5.4</v>
      </c>
      <c r="W55" s="10">
        <v>2.8</v>
      </c>
      <c r="X55" s="10">
        <v>3.1</v>
      </c>
      <c r="Y55" s="10">
        <v>1.8</v>
      </c>
      <c r="Z55" s="10">
        <v>2.7</v>
      </c>
      <c r="AA55" s="10">
        <v>4.5</v>
      </c>
      <c r="AB55" s="10">
        <v>1.3</v>
      </c>
      <c r="AC55" s="10">
        <v>4.5999999999999996</v>
      </c>
      <c r="AD55" s="10">
        <v>107</v>
      </c>
      <c r="AE55" s="10">
        <v>0.5</v>
      </c>
      <c r="AF55" s="10">
        <v>3.2</v>
      </c>
      <c r="AG55" s="10">
        <v>1.2</v>
      </c>
      <c r="AH55" s="10">
        <v>5.8</v>
      </c>
      <c r="AI55" s="10">
        <v>0.4</v>
      </c>
      <c r="AJ55" s="10">
        <v>29</v>
      </c>
      <c r="AK55" s="10">
        <v>0.06</v>
      </c>
      <c r="AL55" s="10">
        <v>3.2</v>
      </c>
      <c r="AM55" s="10">
        <v>40</v>
      </c>
      <c r="AN55" s="10">
        <v>30</v>
      </c>
      <c r="AO55" s="10">
        <v>45</v>
      </c>
    </row>
    <row r="56" spans="1:41" x14ac:dyDescent="0.25">
      <c r="A56" t="s">
        <v>45</v>
      </c>
      <c r="B56" s="11">
        <v>54</v>
      </c>
      <c r="C56" s="12" t="s">
        <v>109</v>
      </c>
      <c r="D56" s="13">
        <v>88</v>
      </c>
      <c r="E56" s="13">
        <v>8.6999999999999993</v>
      </c>
      <c r="F56" s="13">
        <v>9.1999999999999993</v>
      </c>
      <c r="G56" s="13">
        <v>13.9</v>
      </c>
      <c r="H56" s="13">
        <v>176</v>
      </c>
      <c r="I56" s="13">
        <v>40</v>
      </c>
      <c r="J56" s="13">
        <v>80</v>
      </c>
      <c r="K56" s="13">
        <v>356</v>
      </c>
      <c r="L56" s="13">
        <v>104</v>
      </c>
      <c r="M56" s="13">
        <v>314</v>
      </c>
      <c r="N56" s="13">
        <v>70</v>
      </c>
      <c r="O56" s="13">
        <v>49</v>
      </c>
      <c r="P56" s="13">
        <v>7</v>
      </c>
      <c r="Q56" s="13">
        <v>5.6</v>
      </c>
      <c r="R56" s="13">
        <v>2.7</v>
      </c>
      <c r="S56" s="13">
        <v>3.5</v>
      </c>
      <c r="T56" s="13">
        <v>6.2</v>
      </c>
      <c r="U56" s="13">
        <v>2.2999999999999998</v>
      </c>
      <c r="V56" s="13">
        <v>7.9</v>
      </c>
      <c r="W56" s="13">
        <v>5.3</v>
      </c>
      <c r="X56" s="13">
        <v>4</v>
      </c>
      <c r="Y56" s="13">
        <v>2.2000000000000002</v>
      </c>
      <c r="Z56" s="13">
        <v>2.7</v>
      </c>
      <c r="AA56" s="13">
        <v>4.9000000000000004</v>
      </c>
      <c r="AB56" s="13">
        <v>1.8</v>
      </c>
      <c r="AC56" s="13">
        <v>6.2</v>
      </c>
      <c r="AD56" s="13">
        <v>133</v>
      </c>
      <c r="AE56" s="13">
        <v>0.9</v>
      </c>
      <c r="AF56" s="13">
        <v>11.9</v>
      </c>
      <c r="AG56" s="13">
        <v>4.2</v>
      </c>
      <c r="AH56" s="13">
        <v>13</v>
      </c>
      <c r="AI56" s="13">
        <v>0.3</v>
      </c>
      <c r="AJ56" s="13">
        <v>145</v>
      </c>
      <c r="AK56" s="13">
        <v>7.0000000000000007E-2</v>
      </c>
      <c r="AL56" s="13">
        <v>13</v>
      </c>
      <c r="AM56" s="13">
        <v>106</v>
      </c>
      <c r="AN56" s="13">
        <v>25</v>
      </c>
      <c r="AO56" s="13">
        <v>50</v>
      </c>
    </row>
    <row r="57" spans="1:41" x14ac:dyDescent="0.25">
      <c r="A57" t="s">
        <v>44</v>
      </c>
      <c r="B57" s="8">
        <v>55</v>
      </c>
      <c r="C57" s="9" t="s">
        <v>110</v>
      </c>
      <c r="D57" s="10">
        <v>87</v>
      </c>
      <c r="E57" s="10">
        <v>7.2</v>
      </c>
      <c r="F57" s="10">
        <v>7.8</v>
      </c>
      <c r="G57" s="10">
        <v>11.1</v>
      </c>
      <c r="H57" s="10">
        <v>170</v>
      </c>
      <c r="I57" s="10">
        <v>40</v>
      </c>
      <c r="J57" s="10">
        <v>105</v>
      </c>
      <c r="K57" s="10">
        <v>455</v>
      </c>
      <c r="L57" s="10">
        <v>136</v>
      </c>
      <c r="M57" s="10">
        <v>227</v>
      </c>
      <c r="N57" s="10">
        <v>76</v>
      </c>
      <c r="O57" s="10">
        <v>58</v>
      </c>
      <c r="P57" s="10">
        <v>6.7</v>
      </c>
      <c r="Q57" s="10">
        <v>5.3</v>
      </c>
      <c r="R57" s="10">
        <v>2.6</v>
      </c>
      <c r="S57" s="10">
        <v>3.6</v>
      </c>
      <c r="T57" s="10">
        <v>6.2</v>
      </c>
      <c r="U57" s="10">
        <v>2.2000000000000002</v>
      </c>
      <c r="V57" s="10">
        <v>7.6</v>
      </c>
      <c r="W57" s="10">
        <v>4.5999999999999996</v>
      </c>
      <c r="X57" s="10">
        <v>3.4</v>
      </c>
      <c r="Y57" s="10">
        <v>2</v>
      </c>
      <c r="Z57" s="10">
        <v>2.6</v>
      </c>
      <c r="AA57" s="10">
        <v>4.5999999999999996</v>
      </c>
      <c r="AB57" s="10">
        <v>1.7</v>
      </c>
      <c r="AC57" s="10">
        <v>5.5</v>
      </c>
      <c r="AD57" s="10">
        <v>115</v>
      </c>
      <c r="AE57" s="10">
        <v>1.1000000000000001</v>
      </c>
      <c r="AF57" s="10">
        <v>11.9</v>
      </c>
      <c r="AG57" s="10">
        <v>4.5</v>
      </c>
      <c r="AH57" s="10">
        <v>15</v>
      </c>
      <c r="AI57" s="10">
        <v>0.1</v>
      </c>
      <c r="AJ57" s="10">
        <v>111</v>
      </c>
      <c r="AK57" s="10">
        <v>0.05</v>
      </c>
      <c r="AL57" s="10">
        <v>12</v>
      </c>
      <c r="AM57" s="10">
        <v>89</v>
      </c>
      <c r="AN57" s="10">
        <v>25</v>
      </c>
      <c r="AO57" s="10">
        <v>50</v>
      </c>
    </row>
    <row r="58" spans="1:41" x14ac:dyDescent="0.25">
      <c r="A58" t="s">
        <v>37</v>
      </c>
      <c r="B58" s="11">
        <v>56</v>
      </c>
      <c r="C58" s="12" t="s">
        <v>111</v>
      </c>
      <c r="D58" s="13">
        <v>87</v>
      </c>
      <c r="E58" s="13">
        <v>11.2</v>
      </c>
      <c r="F58" s="13">
        <v>11.5</v>
      </c>
      <c r="G58" s="13">
        <v>14.7</v>
      </c>
      <c r="H58" s="13">
        <v>239</v>
      </c>
      <c r="I58" s="13">
        <v>12</v>
      </c>
      <c r="J58" s="13">
        <v>60</v>
      </c>
      <c r="K58" s="13">
        <v>139</v>
      </c>
      <c r="L58" s="13">
        <v>69</v>
      </c>
      <c r="M58" s="13">
        <v>516</v>
      </c>
      <c r="N58" s="13">
        <v>45</v>
      </c>
      <c r="O58" s="13">
        <v>35</v>
      </c>
      <c r="P58" s="13">
        <v>17.3</v>
      </c>
      <c r="Q58" s="13">
        <v>9.1</v>
      </c>
      <c r="R58" s="13">
        <v>2.2999999999999998</v>
      </c>
      <c r="S58" s="13">
        <v>3.2</v>
      </c>
      <c r="T58" s="13">
        <v>5.5</v>
      </c>
      <c r="U58" s="13">
        <v>2.1</v>
      </c>
      <c r="V58" s="13">
        <v>11.3</v>
      </c>
      <c r="W58" s="13">
        <v>14.4</v>
      </c>
      <c r="X58" s="13">
        <v>6.9</v>
      </c>
      <c r="Y58" s="13">
        <v>1.8</v>
      </c>
      <c r="Z58" s="13">
        <v>2.2999999999999998</v>
      </c>
      <c r="AA58" s="13">
        <v>4.0999999999999996</v>
      </c>
      <c r="AB58" s="13">
        <v>1.5</v>
      </c>
      <c r="AC58" s="13">
        <v>8.6999999999999993</v>
      </c>
      <c r="AD58" s="13">
        <v>191</v>
      </c>
      <c r="AE58" s="13">
        <v>0.9</v>
      </c>
      <c r="AF58" s="13">
        <v>4.5999999999999996</v>
      </c>
      <c r="AG58" s="13">
        <v>1.3</v>
      </c>
      <c r="AH58" s="13">
        <v>12</v>
      </c>
      <c r="AI58" s="13">
        <v>0.2</v>
      </c>
      <c r="AJ58" s="13">
        <v>16</v>
      </c>
      <c r="AK58" s="13"/>
      <c r="AL58" s="13">
        <v>6.7</v>
      </c>
      <c r="AM58" s="13">
        <v>39</v>
      </c>
      <c r="AN58" s="13">
        <v>47</v>
      </c>
      <c r="AO58" s="13">
        <v>47</v>
      </c>
    </row>
    <row r="59" spans="1:41" x14ac:dyDescent="0.25">
      <c r="A59" t="s">
        <v>38</v>
      </c>
      <c r="B59" s="8">
        <v>57</v>
      </c>
      <c r="C59" s="9" t="s">
        <v>112</v>
      </c>
      <c r="D59" s="10">
        <v>87</v>
      </c>
      <c r="E59" s="10">
        <v>10.7</v>
      </c>
      <c r="F59" s="10">
        <v>10.9</v>
      </c>
      <c r="G59" s="10">
        <v>13.8</v>
      </c>
      <c r="H59" s="10">
        <v>311</v>
      </c>
      <c r="I59" s="10">
        <v>13</v>
      </c>
      <c r="J59" s="10">
        <v>87</v>
      </c>
      <c r="K59" s="10">
        <v>160</v>
      </c>
      <c r="L59" s="10">
        <v>106</v>
      </c>
      <c r="M59" s="10">
        <v>433</v>
      </c>
      <c r="N59" s="10">
        <v>43</v>
      </c>
      <c r="O59" s="10">
        <v>41</v>
      </c>
      <c r="P59" s="10">
        <v>20</v>
      </c>
      <c r="Q59" s="10">
        <v>11.1</v>
      </c>
      <c r="R59" s="10">
        <v>2.2000000000000002</v>
      </c>
      <c r="S59" s="10">
        <v>4</v>
      </c>
      <c r="T59" s="10">
        <v>6.2</v>
      </c>
      <c r="U59" s="10">
        <v>2.6</v>
      </c>
      <c r="V59" s="10">
        <v>14.1</v>
      </c>
      <c r="W59" s="10">
        <v>17.600000000000001</v>
      </c>
      <c r="X59" s="10">
        <v>9.1999999999999993</v>
      </c>
      <c r="Y59" s="10">
        <v>1.8</v>
      </c>
      <c r="Z59" s="10">
        <v>3</v>
      </c>
      <c r="AA59" s="10">
        <v>4.9000000000000004</v>
      </c>
      <c r="AB59" s="10">
        <v>2.1</v>
      </c>
      <c r="AC59" s="10">
        <v>11.6</v>
      </c>
      <c r="AD59" s="10">
        <v>261</v>
      </c>
      <c r="AE59" s="10">
        <v>1.7</v>
      </c>
      <c r="AF59" s="10">
        <v>6.8</v>
      </c>
      <c r="AG59" s="10">
        <v>1.8</v>
      </c>
      <c r="AH59" s="10">
        <v>16</v>
      </c>
      <c r="AI59" s="10">
        <v>0.3</v>
      </c>
      <c r="AJ59" s="10">
        <v>22</v>
      </c>
      <c r="AK59" s="10">
        <v>0.02</v>
      </c>
      <c r="AL59" s="10">
        <v>15</v>
      </c>
      <c r="AM59" s="10">
        <v>53</v>
      </c>
      <c r="AN59" s="10">
        <v>37</v>
      </c>
      <c r="AO59" s="10">
        <v>37</v>
      </c>
    </row>
    <row r="60" spans="1:41" x14ac:dyDescent="0.25">
      <c r="B60" s="11">
        <v>58</v>
      </c>
      <c r="C60" s="12" t="s">
        <v>113</v>
      </c>
      <c r="D60" s="13">
        <v>12</v>
      </c>
      <c r="E60" s="13">
        <v>9.5</v>
      </c>
      <c r="F60" s="13">
        <v>9.9</v>
      </c>
      <c r="G60" s="13">
        <v>14.8</v>
      </c>
      <c r="H60" s="13">
        <v>369</v>
      </c>
      <c r="I60" s="13">
        <v>18</v>
      </c>
      <c r="J60" s="13">
        <v>24</v>
      </c>
      <c r="K60" s="13"/>
      <c r="L60" s="13"/>
      <c r="M60" s="13"/>
      <c r="N60" s="13"/>
      <c r="O60" s="13">
        <v>60</v>
      </c>
      <c r="P60" s="13">
        <v>22.6</v>
      </c>
      <c r="Q60" s="13">
        <v>15.9</v>
      </c>
      <c r="R60" s="13">
        <v>5.6</v>
      </c>
      <c r="S60" s="13">
        <v>2.2999999999999998</v>
      </c>
      <c r="T60" s="13">
        <v>7.8</v>
      </c>
      <c r="U60" s="13">
        <v>3.8</v>
      </c>
      <c r="V60" s="13">
        <v>17.5</v>
      </c>
      <c r="W60" s="13">
        <v>16.7</v>
      </c>
      <c r="X60" s="13">
        <v>10.5</v>
      </c>
      <c r="Y60" s="13">
        <v>3.8</v>
      </c>
      <c r="Z60" s="13">
        <v>1.1000000000000001</v>
      </c>
      <c r="AA60" s="13">
        <v>4.9000000000000004</v>
      </c>
      <c r="AB60" s="13">
        <v>2.1</v>
      </c>
      <c r="AC60" s="13">
        <v>11.5</v>
      </c>
      <c r="AD60" s="13">
        <v>255</v>
      </c>
      <c r="AE60" s="13">
        <v>2.6</v>
      </c>
      <c r="AF60" s="13">
        <v>11.6</v>
      </c>
      <c r="AG60" s="13">
        <v>1.8</v>
      </c>
      <c r="AH60" s="13">
        <v>18.100000000000001</v>
      </c>
      <c r="AI60" s="13"/>
      <c r="AJ60" s="13">
        <v>12</v>
      </c>
      <c r="AK60" s="13">
        <v>0.1</v>
      </c>
      <c r="AL60" s="13">
        <v>22</v>
      </c>
      <c r="AM60" s="13">
        <v>54</v>
      </c>
      <c r="AN60" s="13">
        <v>20</v>
      </c>
      <c r="AO60" s="13">
        <v>20</v>
      </c>
    </row>
  </sheetData>
  <hyperlinks>
    <hyperlink ref="C4" r:id="rId1" display="https://www.slu.se/globalassets/ew/org/inst/huv/verktyg/fodertabeller/gristabell/Agrodrank27.pdf"/>
    <hyperlink ref="C5" r:id="rId2" display="https://www.slu.se/globalassets/ew/org/inst/huv/verktyg/fodertabeller/gristabell/Agrodrank90.pdf"/>
    <hyperlink ref="C6" r:id="rId3" display="https://www.slu.se/globalassets/ew/org/inst/huv/verktyg/fodertabeller/gristabell/Betfiber_omelasserad.pdf"/>
    <hyperlink ref="C7" r:id="rId4" display="https://www.slu.se/globalassets/ew/org/inst/huv/verktyg/fodertabeller/gristabell/Drank_SBI.pdf"/>
    <hyperlink ref="C8" r:id="rId5" display="https://www.slu.se/globalassets/ew/org/inst/huv/verktyg/fodertabeller/gristabell/Fetter_animala.pdf"/>
    <hyperlink ref="C9" r:id="rId6" display="https://www.slu.se/globalassets/ew/org/inst/huv/verktyg/fodertabeller/gristabell/Fiskmjol.pdf"/>
    <hyperlink ref="C10" r:id="rId7" display="https://www.slu.se/globalassets/ew/org/inst/huv/verktyg/fodertabeller/gristabell/Foderkalk.pdf"/>
    <hyperlink ref="C11" r:id="rId8" display="https://www.slu.se/globalassets/ew/org/inst/huv/verktyg/fodertabeller/gristabell/Grasmjol.pdf"/>
    <hyperlink ref="C12" r:id="rId9" display="https://www.slu.se/globalassets/ew/org/inst/huv/verktyg/fodertabeller/gristabell/Halm_vete.pdf"/>
    <hyperlink ref="C13" r:id="rId10" display="https://www.slu.se/globalassets/ew/org/inst/huv/verktyg/fodertabeller/gristabell/Havre.pdf"/>
    <hyperlink ref="C14" r:id="rId11" display="https://www.slu.se/globalassets/ew/org/inst/huv/verktyg/fodertabeller/gristabell/Havre_skalad.pdf"/>
    <hyperlink ref="C15" r:id="rId12" display="https://www.slu.se/globalassets/ew/org/inst/huv/verktyg/fodertabeller/gristabell/Korn.pdf"/>
    <hyperlink ref="C16" r:id="rId13" display="https://www.slu.se/globalassets/ew/org/inst/huv/verktyg/fodertabeller/gristabell/Linfro.pdf"/>
    <hyperlink ref="C17" r:id="rId14" display="https://www.slu.se/globalassets/ew/org/inst/huv/verktyg/fodertabeller/gristabell/Linfroexpeller.pdf"/>
    <hyperlink ref="C18" r:id="rId15" display="https://www.slu.se/globalassets/ew/org/inst/huv/verktyg/fodertabeller/gristabell/Lupin_vit.pdf"/>
    <hyperlink ref="C19" r:id="rId16" display="https://www.slu.se/globalassets/ew/org/inst/huv/verktyg/fodertabeller/gristabell/Lusernmjol.pdf"/>
    <hyperlink ref="C20" r:id="rId17" display="https://www.slu.se/globalassets/ew/org/inst/huv/verktyg/fodertabeller/gristabell/Lysin_L-HCL.pdf"/>
    <hyperlink ref="C21" r:id="rId18" display="https://www.slu.se/globalassets/ew/org/inst/huv/verktyg/fodertabeller/gristabell/Majs.pdf"/>
    <hyperlink ref="C22" r:id="rId19" display="https://www.slu.se/globalassets/ew/org/inst/huv/verktyg/fodertabeller/gristabell/Majsdrank.pdf"/>
    <hyperlink ref="C23" r:id="rId20" display="https://www.slu.se/globalassets/ew/org/inst/huv/verktyg/fodertabeller/gristabell/Majsglutenfoder.pdf"/>
    <hyperlink ref="C24" r:id="rId21" display="https://www.slu.se/globalassets/ew/org/inst/huv/verktyg/fodertabeller/gristabell/Majsglutenmjol.pdf"/>
    <hyperlink ref="C25" r:id="rId22" display="https://www.slu.se/globalassets/ew/org/inst/huv/verktyg/fodertabeller/gristabell/Melass_bet.pdf"/>
    <hyperlink ref="C26" r:id="rId23" display="https://www.slu.se/globalassets/ew/org/inst/huv/verktyg/fodertabeller/gristabell/Melass_ror.pdf"/>
    <hyperlink ref="C27" r:id="rId24" display="https://www.slu.se/globalassets/ew/org/inst/huv/verktyg/fodertabeller/gristabell/Metionin.pdf"/>
    <hyperlink ref="C28" r:id="rId25" display="https://www.slu.se/globalassets/ew/org/inst/huv/verktyg/fodertabeller/gristabell/Metioninhydroxyanalog.pdf"/>
    <hyperlink ref="C29" r:id="rId26" display="https://www.slu.se/globalassets/ew/org/inst/huv/verktyg/fodertabeller/gristabell/Monokalciumfosfat.pdf"/>
    <hyperlink ref="C30" r:id="rId27" display="https://www.slu.se/globalassets/ew/org/inst/huv/verktyg/fodertabeller/gristabell/Oljor_vegetabila.pdf"/>
    <hyperlink ref="C31" r:id="rId28" display="https://www.slu.se/globalassets/ew/org/inst/huv/verktyg/fodertabeller/gristabell/Palmkarnkaka.pdf"/>
    <hyperlink ref="C32" r:id="rId29" display="https://www.slu.se/globalassets/ew/org/inst/huv/verktyg/fodertabeller/gristabell/Permeatvassle.pdf"/>
    <hyperlink ref="C33" r:id="rId30" display="https://www.slu.se/globalassets/ew/org/inst/huv/verktyg/fodertabeller/gristabell/Potatisproteinkoncentrat.pdf"/>
    <hyperlink ref="C34" r:id="rId31" display="https://www.slu.se/globalassets/ew/org/inst/huv/verktyg/fodertabeller/gristabell/Potatispulpa.pdf"/>
    <hyperlink ref="C35" r:id="rId32" display="https://www.slu.se/globalassets/ew/org/inst/huv/verktyg/fodertabeller/gristabell/Rapsfro.pdf"/>
    <hyperlink ref="C36" r:id="rId33" display="https://www.slu.se/globalassets/ew/org/inst/huv/verktyg/fodertabeller/gristabell/Rapskaka.pdf"/>
    <hyperlink ref="C37" r:id="rId34" display="https://www.slu.se/globalassets/ew/org/inst/huv/verktyg/fodertabeller/gristabell/Rapskaka_kallpressad.pdf"/>
    <hyperlink ref="C38" r:id="rId35" display="https://www.slu.se/globalassets/ew/org/inst/huv/verktyg/fodertabeller/gristabell/Rapsmjol.pdf"/>
    <hyperlink ref="C39" r:id="rId36" display="https://www.slu.se/globalassets/ew/org/inst/huv/verktyg/fodertabeller/gristabell/Ris_knackt.pdf"/>
    <hyperlink ref="C40" r:id="rId37" display="https://www.slu.se/globalassets/ew/org/inst/huv/verktyg/fodertabeller/gristabell/Rag.pdf"/>
    <hyperlink ref="C41" r:id="rId38" display="https://www.slu.se/globalassets/ew/org/inst/huv/verktyg/fodertabeller/gristabell/Ragvete.pdf"/>
    <hyperlink ref="C42" r:id="rId39" display="https://www.slu.se/globalassets/ew/org/inst/huv/verktyg/fodertabeller/gristabell/Salt.pdf"/>
    <hyperlink ref="C43" r:id="rId40" display="https://www.slu.se/globalassets/ew/org/inst/huv/verktyg/fodertabeller/gristabell/Skummjolkspulver.pdf"/>
    <hyperlink ref="C44" r:id="rId41" display="https://www.slu.se/globalassets/ew/org/inst/huv/verktyg/fodertabeller/gristabell/Sojamjol43Rp.pdf"/>
    <hyperlink ref="C45" r:id="rId42" display="https://www.slu.se/globalassets/ew/org/inst/huv/verktyg/fodertabeller/gristabell/Sojamjol45Rp.pdf"/>
    <hyperlink ref="C46" r:id="rId43" display="https://www.slu.se/globalassets/ew/org/inst/huv/verktyg/fodertabeller/gristabell/Sojamjol47Rp.pdf"/>
    <hyperlink ref="C47" r:id="rId44" display="https://www.slu.se/globalassets/ew/org/inst/huv/verktyg/fodertabeller/gristabell/Sojaprotein-Hamlet_310.pdf"/>
    <hyperlink ref="C48" r:id="rId45" display="https://www.slu.se/globalassets/ew/org/inst/huv/verktyg/fodertabeller/gristabell/Solrosmjol.pdf"/>
    <hyperlink ref="C49" r:id="rId46" display="https://www.slu.se/globalassets/ew/org/inst/huv/verktyg/fodertabeller/gristabell/Sorgum.pdf"/>
    <hyperlink ref="C50" r:id="rId47" display="https://www.slu.se/globalassets/ew/org/inst/huv/verktyg/fodertabeller/gristabell/Treonin_L.pdf"/>
    <hyperlink ref="C51" r:id="rId48" display="https://www.slu.se/globalassets/ew/org/inst/huv/verktyg/fodertabeller/gristabell/Tryptofan_L.pdf"/>
    <hyperlink ref="C52" r:id="rId49" display="https://www.slu.se/globalassets/ew/org/inst/huv/verktyg/fodertabeller/gristabell/Vassle.pdf"/>
    <hyperlink ref="C53" r:id="rId50" display="https://www.slu.se/globalassets/ew/org/inst/huv/verktyg/fodertabeller/gristabell/Vasslepulver_sur_vassle.pdf"/>
    <hyperlink ref="C54" r:id="rId51" display="https://www.slu.se/globalassets/ew/org/inst/huv/verktyg/fodertabeller/gristabell/Vasslepulver_sot_vassle.pdf"/>
    <hyperlink ref="C55" r:id="rId52" display="https://www.slu.se/globalassets/ew/org/inst/huv/verktyg/fodertabeller/gristabell/Vete.pdf"/>
    <hyperlink ref="C56" r:id="rId53" display="https://www.slu.se/globalassets/ew/org/inst/huv/verktyg/fodertabeller/gristabell/Vetefodermjol.pdf"/>
    <hyperlink ref="C57" r:id="rId54" display="https://www.slu.se/globalassets/ew/org/inst/huv/verktyg/fodertabeller/gristabell/Vetekli.pdf"/>
    <hyperlink ref="C58" r:id="rId55" display="https://www.slu.se/globalassets/ew/org/inst/huv/verktyg/fodertabeller/gristabell/Arter.pdf"/>
    <hyperlink ref="C59" r:id="rId56" display="https://www.slu.se/globalassets/ew/org/inst/huv/verktyg/fodertabeller/gristabell/Akerbona_vitblommig.pdf"/>
    <hyperlink ref="C60" r:id="rId57" display="https://www.slu.se/globalassets/ew/org/inst/huv/verktyg/fodertabeller/gristabell/Oljast.pdf"/>
    <hyperlink ref="C3" r:id="rId58" display="https://www.slu.se/globalassets/ew/org/inst/huv/verktyg/fodertabeller/gristabell/Agrodrank10.pdf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120"/>
  <sheetViews>
    <sheetView topLeftCell="A25" workbookViewId="0">
      <selection activeCell="A53" sqref="A53"/>
    </sheetView>
  </sheetViews>
  <sheetFormatPr defaultRowHeight="15" x14ac:dyDescent="0.25"/>
  <cols>
    <col min="1" max="1" width="19.42578125" customWidth="1"/>
    <col min="3" max="3" width="39.5703125" customWidth="1"/>
  </cols>
  <sheetData>
    <row r="1" spans="1:34" x14ac:dyDescent="0.25">
      <c r="D1">
        <v>1</v>
      </c>
      <c r="E1">
        <v>2</v>
      </c>
      <c r="F1">
        <v>3</v>
      </c>
      <c r="G1">
        <v>4</v>
      </c>
      <c r="H1">
        <v>5</v>
      </c>
      <c r="I1">
        <v>6</v>
      </c>
      <c r="J1">
        <v>7</v>
      </c>
      <c r="K1">
        <v>8</v>
      </c>
      <c r="L1">
        <v>9</v>
      </c>
      <c r="M1">
        <v>10</v>
      </c>
      <c r="N1">
        <v>11</v>
      </c>
      <c r="O1">
        <v>12</v>
      </c>
      <c r="P1">
        <v>13</v>
      </c>
      <c r="Q1">
        <v>14</v>
      </c>
      <c r="R1">
        <v>15</v>
      </c>
      <c r="S1">
        <v>16</v>
      </c>
      <c r="T1">
        <v>17</v>
      </c>
      <c r="U1">
        <v>18</v>
      </c>
      <c r="V1">
        <v>19</v>
      </c>
      <c r="W1">
        <v>20</v>
      </c>
      <c r="X1">
        <v>21</v>
      </c>
      <c r="Y1">
        <v>22</v>
      </c>
      <c r="Z1">
        <v>23</v>
      </c>
      <c r="AA1">
        <v>24</v>
      </c>
      <c r="AB1">
        <v>25</v>
      </c>
      <c r="AC1">
        <v>26</v>
      </c>
      <c r="AD1">
        <v>27</v>
      </c>
      <c r="AE1">
        <v>28</v>
      </c>
      <c r="AF1">
        <v>29</v>
      </c>
      <c r="AG1">
        <v>30</v>
      </c>
      <c r="AH1">
        <v>31</v>
      </c>
    </row>
    <row r="2" spans="1:34" ht="57.75" x14ac:dyDescent="0.25">
      <c r="A2" s="4" t="s">
        <v>54</v>
      </c>
      <c r="B2" s="15" t="s">
        <v>118</v>
      </c>
      <c r="C2" s="15" t="s">
        <v>121</v>
      </c>
      <c r="D2" s="15" t="s">
        <v>122</v>
      </c>
      <c r="E2" s="15" t="s">
        <v>272</v>
      </c>
      <c r="F2" s="15" t="s">
        <v>273</v>
      </c>
      <c r="G2" s="15" t="s">
        <v>274</v>
      </c>
      <c r="H2" s="15" t="s">
        <v>275</v>
      </c>
      <c r="I2" s="15" t="s">
        <v>276</v>
      </c>
      <c r="J2" s="15" t="s">
        <v>277</v>
      </c>
      <c r="K2" s="15" t="s">
        <v>124</v>
      </c>
      <c r="L2" s="15" t="s">
        <v>125</v>
      </c>
      <c r="M2" s="15" t="s">
        <v>128</v>
      </c>
      <c r="N2" s="15" t="s">
        <v>278</v>
      </c>
      <c r="O2" s="15" t="s">
        <v>279</v>
      </c>
      <c r="P2" s="15" t="s">
        <v>280</v>
      </c>
      <c r="Q2" s="15" t="s">
        <v>281</v>
      </c>
      <c r="R2" s="15" t="s">
        <v>282</v>
      </c>
      <c r="S2" s="15" t="s">
        <v>283</v>
      </c>
      <c r="T2" s="15" t="s">
        <v>284</v>
      </c>
      <c r="U2" s="15" t="s">
        <v>285</v>
      </c>
      <c r="V2" s="15" t="s">
        <v>286</v>
      </c>
      <c r="W2" s="15" t="s">
        <v>127</v>
      </c>
      <c r="X2" s="15" t="s">
        <v>287</v>
      </c>
      <c r="Y2" s="15" t="s">
        <v>126</v>
      </c>
      <c r="Z2" s="15" t="s">
        <v>119</v>
      </c>
      <c r="AA2" s="15" t="s">
        <v>288</v>
      </c>
      <c r="AB2" s="15" t="s">
        <v>144</v>
      </c>
      <c r="AC2" s="15" t="s">
        <v>145</v>
      </c>
      <c r="AD2" s="15" t="s">
        <v>146</v>
      </c>
      <c r="AE2" s="15" t="s">
        <v>147</v>
      </c>
      <c r="AF2" s="15" t="s">
        <v>148</v>
      </c>
      <c r="AG2" s="15" t="s">
        <v>289</v>
      </c>
      <c r="AH2" s="15" t="s">
        <v>148</v>
      </c>
    </row>
    <row r="3" spans="1:34" x14ac:dyDescent="0.25">
      <c r="B3" s="8">
        <v>1</v>
      </c>
      <c r="C3" s="10" t="s">
        <v>155</v>
      </c>
      <c r="D3" s="10">
        <v>50</v>
      </c>
      <c r="E3" s="10">
        <v>7.9</v>
      </c>
      <c r="F3" s="10"/>
      <c r="G3" s="10"/>
      <c r="H3" s="10">
        <v>18</v>
      </c>
      <c r="I3" s="10">
        <v>8.9</v>
      </c>
      <c r="J3" s="10">
        <v>60</v>
      </c>
      <c r="K3" s="10">
        <v>110</v>
      </c>
      <c r="L3" s="10">
        <v>330</v>
      </c>
      <c r="M3" s="10">
        <v>40</v>
      </c>
      <c r="N3" s="10">
        <v>460</v>
      </c>
      <c r="O3" s="10">
        <v>30</v>
      </c>
      <c r="P3" s="10">
        <v>75</v>
      </c>
      <c r="Q3" s="10">
        <v>15</v>
      </c>
      <c r="R3" s="10">
        <v>60</v>
      </c>
      <c r="S3" s="10">
        <v>44</v>
      </c>
      <c r="T3" s="10"/>
      <c r="U3" s="10"/>
      <c r="V3" s="10"/>
      <c r="W3" s="10"/>
      <c r="X3" s="10"/>
      <c r="Y3" s="10"/>
      <c r="Z3" s="10"/>
      <c r="AA3" s="10"/>
      <c r="AB3" s="10">
        <v>12</v>
      </c>
      <c r="AC3" s="10">
        <v>0.6</v>
      </c>
      <c r="AD3" s="10"/>
      <c r="AE3" s="10"/>
      <c r="AF3" s="10"/>
      <c r="AG3" s="10"/>
      <c r="AH3" s="15"/>
    </row>
    <row r="4" spans="1:34" x14ac:dyDescent="0.25">
      <c r="B4" s="11">
        <v>2</v>
      </c>
      <c r="C4" s="13" t="s">
        <v>156</v>
      </c>
      <c r="D4" s="13">
        <v>85</v>
      </c>
      <c r="E4" s="13">
        <v>7.9</v>
      </c>
      <c r="F4" s="13"/>
      <c r="G4" s="13"/>
      <c r="H4" s="13">
        <v>90</v>
      </c>
      <c r="I4" s="13">
        <v>9.6</v>
      </c>
      <c r="J4" s="13">
        <v>150</v>
      </c>
      <c r="K4" s="13">
        <v>70</v>
      </c>
      <c r="L4" s="13">
        <v>230</v>
      </c>
      <c r="M4" s="13">
        <v>70</v>
      </c>
      <c r="N4" s="13">
        <v>480</v>
      </c>
      <c r="O4" s="13">
        <v>60</v>
      </c>
      <c r="P4" s="13">
        <v>35</v>
      </c>
      <c r="Q4" s="13">
        <v>50</v>
      </c>
      <c r="R4" s="13">
        <v>55</v>
      </c>
      <c r="S4" s="13">
        <v>53</v>
      </c>
      <c r="T4" s="13"/>
      <c r="U4" s="13"/>
      <c r="V4" s="13"/>
      <c r="W4" s="13"/>
      <c r="X4" s="13"/>
      <c r="Y4" s="13"/>
      <c r="Z4" s="13"/>
      <c r="AA4" s="13"/>
      <c r="AB4" s="13">
        <v>14.1</v>
      </c>
      <c r="AC4" s="13">
        <v>1.2</v>
      </c>
      <c r="AD4" s="13"/>
      <c r="AE4" s="13"/>
      <c r="AF4" s="13"/>
      <c r="AG4" s="13"/>
      <c r="AH4" s="13"/>
    </row>
    <row r="5" spans="1:34" x14ac:dyDescent="0.25">
      <c r="B5" s="8">
        <v>3</v>
      </c>
      <c r="C5" s="10" t="s">
        <v>157</v>
      </c>
      <c r="D5" s="10">
        <v>90</v>
      </c>
      <c r="E5" s="10">
        <v>12.8</v>
      </c>
      <c r="F5" s="10"/>
      <c r="G5" s="10"/>
      <c r="H5" s="10">
        <v>213</v>
      </c>
      <c r="I5" s="10">
        <v>14.6</v>
      </c>
      <c r="J5" s="10">
        <v>250</v>
      </c>
      <c r="K5" s="10">
        <v>80</v>
      </c>
      <c r="L5" s="10">
        <v>170</v>
      </c>
      <c r="M5" s="10">
        <v>60</v>
      </c>
      <c r="N5" s="10">
        <v>440</v>
      </c>
      <c r="O5" s="10">
        <v>85</v>
      </c>
      <c r="P5" s="10">
        <v>90</v>
      </c>
      <c r="Q5" s="10">
        <v>30</v>
      </c>
      <c r="R5" s="10">
        <v>80</v>
      </c>
      <c r="S5" s="10">
        <v>73</v>
      </c>
      <c r="T5" s="10"/>
      <c r="U5" s="10"/>
      <c r="V5" s="10"/>
      <c r="W5" s="10"/>
      <c r="X5" s="10"/>
      <c r="Y5" s="10"/>
      <c r="Z5" s="10"/>
      <c r="AA5" s="10"/>
      <c r="AB5" s="10">
        <v>1.8</v>
      </c>
      <c r="AC5" s="10">
        <v>7.7</v>
      </c>
      <c r="AD5" s="10">
        <v>4.4000000000000004</v>
      </c>
      <c r="AE5" s="10">
        <v>10</v>
      </c>
      <c r="AF5" s="10">
        <v>0.3</v>
      </c>
      <c r="AG5" s="10"/>
      <c r="AH5" s="10">
        <v>0.3</v>
      </c>
    </row>
    <row r="6" spans="1:34" x14ac:dyDescent="0.25">
      <c r="B6" s="11">
        <v>4</v>
      </c>
      <c r="C6" s="13" t="s">
        <v>158</v>
      </c>
      <c r="D6" s="13">
        <v>90</v>
      </c>
      <c r="E6" s="13">
        <v>11.2</v>
      </c>
      <c r="F6" s="13"/>
      <c r="G6" s="13"/>
      <c r="H6" s="13">
        <v>221</v>
      </c>
      <c r="I6" s="13">
        <v>13.4</v>
      </c>
      <c r="J6" s="13">
        <v>260</v>
      </c>
      <c r="K6" s="13">
        <v>10</v>
      </c>
      <c r="L6" s="13">
        <v>180</v>
      </c>
      <c r="M6" s="13">
        <v>60</v>
      </c>
      <c r="N6" s="13">
        <v>490</v>
      </c>
      <c r="O6" s="13">
        <v>85</v>
      </c>
      <c r="P6" s="13">
        <v>90</v>
      </c>
      <c r="Q6" s="13">
        <v>30</v>
      </c>
      <c r="R6" s="13">
        <v>80</v>
      </c>
      <c r="S6" s="13">
        <v>72</v>
      </c>
      <c r="T6" s="13"/>
      <c r="U6" s="13"/>
      <c r="V6" s="13"/>
      <c r="W6" s="13"/>
      <c r="X6" s="13"/>
      <c r="Y6" s="13"/>
      <c r="Z6" s="13"/>
      <c r="AA6" s="13"/>
      <c r="AB6" s="13">
        <v>2.2000000000000002</v>
      </c>
      <c r="AC6" s="13">
        <v>12.2</v>
      </c>
      <c r="AD6" s="13"/>
      <c r="AE6" s="13"/>
      <c r="AF6" s="13"/>
      <c r="AG6" s="13"/>
      <c r="AH6" s="13"/>
    </row>
    <row r="7" spans="1:34" x14ac:dyDescent="0.25">
      <c r="B7" s="8">
        <v>5</v>
      </c>
      <c r="C7" s="10" t="s">
        <v>159</v>
      </c>
      <c r="D7" s="10">
        <v>84</v>
      </c>
      <c r="E7" s="10">
        <v>12.4</v>
      </c>
      <c r="F7" s="10">
        <v>78</v>
      </c>
      <c r="G7" s="10">
        <v>-16</v>
      </c>
      <c r="H7" s="10">
        <v>90</v>
      </c>
      <c r="I7" s="10">
        <v>14.1</v>
      </c>
      <c r="J7" s="10">
        <v>116</v>
      </c>
      <c r="K7" s="10">
        <v>43</v>
      </c>
      <c r="L7" s="10">
        <v>100</v>
      </c>
      <c r="M7" s="10">
        <v>28</v>
      </c>
      <c r="N7" s="10">
        <v>713</v>
      </c>
      <c r="O7" s="10">
        <v>78</v>
      </c>
      <c r="P7" s="10">
        <v>82</v>
      </c>
      <c r="Q7" s="10">
        <v>30</v>
      </c>
      <c r="R7" s="10">
        <v>83</v>
      </c>
      <c r="S7" s="10">
        <v>81</v>
      </c>
      <c r="T7" s="10"/>
      <c r="U7" s="10">
        <v>82</v>
      </c>
      <c r="V7" s="10">
        <v>71</v>
      </c>
      <c r="W7" s="10">
        <v>18</v>
      </c>
      <c r="X7" s="10"/>
      <c r="Y7" s="10">
        <v>434</v>
      </c>
      <c r="Z7" s="10">
        <v>277</v>
      </c>
      <c r="AA7" s="10">
        <v>20</v>
      </c>
      <c r="AB7" s="10">
        <v>0.6</v>
      </c>
      <c r="AC7" s="10">
        <v>4</v>
      </c>
      <c r="AD7" s="10">
        <v>1.3</v>
      </c>
      <c r="AE7" s="10">
        <v>5.6</v>
      </c>
      <c r="AF7" s="10">
        <v>0.3</v>
      </c>
      <c r="AG7" s="10"/>
      <c r="AH7" s="10">
        <v>0.3</v>
      </c>
    </row>
    <row r="8" spans="1:34" x14ac:dyDescent="0.25">
      <c r="B8" s="11">
        <v>6</v>
      </c>
      <c r="C8" s="13" t="s">
        <v>160</v>
      </c>
      <c r="D8" s="13">
        <v>14</v>
      </c>
      <c r="E8" s="13">
        <v>10.199999999999999</v>
      </c>
      <c r="F8" s="13">
        <v>74</v>
      </c>
      <c r="G8" s="13">
        <v>46</v>
      </c>
      <c r="H8" s="13">
        <v>138</v>
      </c>
      <c r="I8" s="13">
        <v>12.3</v>
      </c>
      <c r="J8" s="13">
        <v>180</v>
      </c>
      <c r="K8" s="13">
        <v>30</v>
      </c>
      <c r="L8" s="13">
        <v>130</v>
      </c>
      <c r="M8" s="13">
        <v>180</v>
      </c>
      <c r="N8" s="13">
        <v>480</v>
      </c>
      <c r="O8" s="13"/>
      <c r="P8" s="13">
        <v>50</v>
      </c>
      <c r="Q8" s="13">
        <v>80</v>
      </c>
      <c r="R8" s="13">
        <v>80</v>
      </c>
      <c r="S8" s="13">
        <v>78</v>
      </c>
      <c r="T8" s="13"/>
      <c r="U8" s="13">
        <v>74</v>
      </c>
      <c r="V8" s="13">
        <v>73</v>
      </c>
      <c r="W8" s="13">
        <v>120</v>
      </c>
      <c r="X8" s="13"/>
      <c r="Y8" s="13">
        <v>0</v>
      </c>
      <c r="Z8" s="13"/>
      <c r="AA8" s="13"/>
      <c r="AB8" s="13">
        <v>15</v>
      </c>
      <c r="AC8" s="13">
        <v>2.8</v>
      </c>
      <c r="AD8" s="13">
        <v>3</v>
      </c>
      <c r="AE8" s="13">
        <v>37</v>
      </c>
      <c r="AF8" s="13">
        <v>10</v>
      </c>
      <c r="AG8" s="13"/>
      <c r="AH8" s="13">
        <v>10</v>
      </c>
    </row>
    <row r="9" spans="1:34" x14ac:dyDescent="0.25">
      <c r="B9" s="8">
        <v>7</v>
      </c>
      <c r="C9" s="10" t="s">
        <v>161</v>
      </c>
      <c r="D9" s="10">
        <v>85</v>
      </c>
      <c r="E9" s="10">
        <v>15.6</v>
      </c>
      <c r="F9" s="10"/>
      <c r="G9" s="10"/>
      <c r="H9" s="10">
        <v>113</v>
      </c>
      <c r="I9" s="10">
        <v>16</v>
      </c>
      <c r="J9" s="10">
        <v>150</v>
      </c>
      <c r="K9" s="10">
        <v>300</v>
      </c>
      <c r="L9" s="10">
        <v>210</v>
      </c>
      <c r="M9" s="10">
        <v>50</v>
      </c>
      <c r="N9" s="10">
        <v>290</v>
      </c>
      <c r="O9" s="10">
        <v>75</v>
      </c>
      <c r="P9" s="10">
        <v>90</v>
      </c>
      <c r="Q9" s="10">
        <v>30</v>
      </c>
      <c r="R9" s="10">
        <v>60</v>
      </c>
      <c r="S9" s="10">
        <v>65</v>
      </c>
      <c r="T9" s="10"/>
      <c r="U9" s="10"/>
      <c r="V9" s="10"/>
      <c r="W9" s="10"/>
      <c r="X9" s="10"/>
      <c r="Y9" s="10"/>
      <c r="Z9" s="10"/>
      <c r="AA9" s="10"/>
      <c r="AB9" s="10">
        <v>5.9</v>
      </c>
      <c r="AC9" s="10">
        <v>3.5</v>
      </c>
      <c r="AD9" s="10"/>
      <c r="AE9" s="10"/>
      <c r="AF9" s="10"/>
      <c r="AG9" s="10"/>
      <c r="AH9" s="10"/>
    </row>
    <row r="10" spans="1:34" x14ac:dyDescent="0.25">
      <c r="B10" s="11">
        <v>8</v>
      </c>
      <c r="C10" s="13" t="s">
        <v>162</v>
      </c>
      <c r="D10" s="13">
        <v>92</v>
      </c>
      <c r="E10" s="13">
        <v>10.9</v>
      </c>
      <c r="F10" s="13"/>
      <c r="G10" s="13"/>
      <c r="H10" s="13">
        <v>221</v>
      </c>
      <c r="I10" s="13">
        <v>12.5</v>
      </c>
      <c r="J10" s="13">
        <v>270</v>
      </c>
      <c r="K10" s="13">
        <v>70</v>
      </c>
      <c r="L10" s="13">
        <v>200</v>
      </c>
      <c r="M10" s="13">
        <v>70</v>
      </c>
      <c r="N10" s="13">
        <v>390</v>
      </c>
      <c r="O10" s="13">
        <v>82</v>
      </c>
      <c r="P10" s="13">
        <v>95</v>
      </c>
      <c r="Q10" s="13">
        <v>25</v>
      </c>
      <c r="R10" s="13">
        <v>60</v>
      </c>
      <c r="S10" s="13">
        <v>60</v>
      </c>
      <c r="T10" s="13"/>
      <c r="U10" s="13">
        <v>58</v>
      </c>
      <c r="V10" s="13">
        <v>86</v>
      </c>
      <c r="W10" s="13">
        <v>54</v>
      </c>
      <c r="X10" s="13"/>
      <c r="Y10" s="13">
        <v>15</v>
      </c>
      <c r="Z10" s="13"/>
      <c r="AA10" s="13"/>
      <c r="AB10" s="13">
        <v>2.2000000000000002</v>
      </c>
      <c r="AC10" s="13">
        <v>11.9</v>
      </c>
      <c r="AD10" s="13">
        <v>6.4</v>
      </c>
      <c r="AE10" s="13">
        <v>18</v>
      </c>
      <c r="AF10" s="13">
        <v>0.2</v>
      </c>
      <c r="AG10" s="13"/>
      <c r="AH10" s="13">
        <v>0.2</v>
      </c>
    </row>
    <row r="11" spans="1:34" x14ac:dyDescent="0.25">
      <c r="B11" s="8">
        <v>9</v>
      </c>
      <c r="C11" s="10" t="s">
        <v>163</v>
      </c>
      <c r="D11" s="10">
        <v>92</v>
      </c>
      <c r="E11" s="10">
        <v>13.2</v>
      </c>
      <c r="F11" s="10">
        <v>162</v>
      </c>
      <c r="G11" s="10">
        <v>210</v>
      </c>
      <c r="H11" s="10">
        <v>374</v>
      </c>
      <c r="I11" s="10">
        <v>15.6</v>
      </c>
      <c r="J11" s="10">
        <v>440</v>
      </c>
      <c r="K11" s="10">
        <v>70</v>
      </c>
      <c r="L11" s="10">
        <v>100</v>
      </c>
      <c r="M11" s="10">
        <v>70</v>
      </c>
      <c r="N11" s="10">
        <v>320</v>
      </c>
      <c r="O11" s="10">
        <v>85</v>
      </c>
      <c r="P11" s="10">
        <v>90</v>
      </c>
      <c r="Q11" s="10">
        <v>30</v>
      </c>
      <c r="R11" s="10">
        <v>70</v>
      </c>
      <c r="S11" s="10">
        <v>74</v>
      </c>
      <c r="T11" s="10">
        <v>44</v>
      </c>
      <c r="U11" s="10">
        <v>58</v>
      </c>
      <c r="V11" s="10">
        <v>86</v>
      </c>
      <c r="W11" s="10">
        <v>54</v>
      </c>
      <c r="X11" s="10"/>
      <c r="Y11" s="10">
        <v>15</v>
      </c>
      <c r="Z11" s="10">
        <v>257</v>
      </c>
      <c r="AA11" s="10">
        <v>60</v>
      </c>
      <c r="AB11" s="10">
        <v>2.2000000000000002</v>
      </c>
      <c r="AC11" s="10">
        <v>11.9</v>
      </c>
      <c r="AD11" s="10">
        <v>6.4</v>
      </c>
      <c r="AE11" s="10">
        <v>18</v>
      </c>
      <c r="AF11" s="10">
        <v>0.2</v>
      </c>
      <c r="AG11" s="10">
        <v>71</v>
      </c>
      <c r="AH11" s="10">
        <v>0.2</v>
      </c>
    </row>
    <row r="12" spans="1:34" x14ac:dyDescent="0.25">
      <c r="B12" s="11">
        <v>10</v>
      </c>
      <c r="C12" s="13" t="s">
        <v>164</v>
      </c>
      <c r="D12" s="13">
        <v>92</v>
      </c>
      <c r="E12" s="13">
        <v>15.3</v>
      </c>
      <c r="F12" s="13"/>
      <c r="G12" s="13"/>
      <c r="H12" s="13">
        <v>168</v>
      </c>
      <c r="I12" s="13">
        <v>16.5</v>
      </c>
      <c r="J12" s="13">
        <v>240</v>
      </c>
      <c r="K12" s="13">
        <v>250</v>
      </c>
      <c r="L12" s="13">
        <v>250</v>
      </c>
      <c r="M12" s="13">
        <v>50</v>
      </c>
      <c r="N12" s="13">
        <v>210</v>
      </c>
      <c r="O12" s="13">
        <v>70</v>
      </c>
      <c r="P12" s="13">
        <v>90</v>
      </c>
      <c r="Q12" s="13">
        <v>60</v>
      </c>
      <c r="R12" s="13">
        <v>60</v>
      </c>
      <c r="S12" s="13">
        <v>70</v>
      </c>
      <c r="T12" s="13"/>
      <c r="U12" s="13"/>
      <c r="V12" s="13"/>
      <c r="W12" s="13"/>
      <c r="X12" s="13"/>
      <c r="Y12" s="13"/>
      <c r="Z12" s="13">
        <v>400</v>
      </c>
      <c r="AA12" s="13">
        <v>150</v>
      </c>
      <c r="AB12" s="13">
        <v>1.6</v>
      </c>
      <c r="AC12" s="13">
        <v>9.8000000000000007</v>
      </c>
      <c r="AD12" s="13">
        <v>4.0999999999999996</v>
      </c>
      <c r="AE12" s="13">
        <v>11.8</v>
      </c>
      <c r="AF12" s="13">
        <v>0.1</v>
      </c>
      <c r="AG12" s="13"/>
      <c r="AH12" s="13">
        <v>0.1</v>
      </c>
    </row>
    <row r="13" spans="1:34" x14ac:dyDescent="0.25">
      <c r="B13" s="8">
        <v>11</v>
      </c>
      <c r="C13" s="10" t="s">
        <v>165</v>
      </c>
      <c r="D13" s="10">
        <v>92</v>
      </c>
      <c r="E13" s="10">
        <v>8.8000000000000007</v>
      </c>
      <c r="F13" s="10"/>
      <c r="G13" s="10"/>
      <c r="H13" s="10">
        <v>230</v>
      </c>
      <c r="I13" s="10">
        <v>10.8</v>
      </c>
      <c r="J13" s="10">
        <v>280</v>
      </c>
      <c r="K13" s="10">
        <v>10</v>
      </c>
      <c r="L13" s="10">
        <v>300</v>
      </c>
      <c r="M13" s="10">
        <v>60</v>
      </c>
      <c r="N13" s="10">
        <v>350</v>
      </c>
      <c r="O13" s="10">
        <v>82</v>
      </c>
      <c r="P13" s="10">
        <v>90</v>
      </c>
      <c r="Q13" s="10">
        <v>25</v>
      </c>
      <c r="R13" s="10">
        <v>60</v>
      </c>
      <c r="S13" s="10">
        <v>59</v>
      </c>
      <c r="T13" s="10"/>
      <c r="U13" s="10"/>
      <c r="V13" s="10"/>
      <c r="W13" s="10">
        <v>15</v>
      </c>
      <c r="X13" s="10"/>
      <c r="Y13" s="10">
        <v>54</v>
      </c>
      <c r="Z13" s="10"/>
      <c r="AA13" s="10"/>
      <c r="AB13" s="10">
        <v>2.1</v>
      </c>
      <c r="AC13" s="10">
        <v>12.6</v>
      </c>
      <c r="AD13" s="10">
        <v>6.9</v>
      </c>
      <c r="AE13" s="10">
        <v>19</v>
      </c>
      <c r="AF13" s="10">
        <v>0.2</v>
      </c>
      <c r="AG13" s="10"/>
      <c r="AH13" s="10">
        <v>0.2</v>
      </c>
    </row>
    <row r="14" spans="1:34" x14ac:dyDescent="0.25">
      <c r="B14" s="11">
        <v>12</v>
      </c>
      <c r="C14" s="13" t="s">
        <v>166</v>
      </c>
      <c r="D14" s="13">
        <v>90</v>
      </c>
      <c r="E14" s="13">
        <v>12</v>
      </c>
      <c r="F14" s="13">
        <v>167</v>
      </c>
      <c r="G14" s="13">
        <v>244</v>
      </c>
      <c r="H14" s="13">
        <v>417</v>
      </c>
      <c r="I14" s="13">
        <v>14.7</v>
      </c>
      <c r="J14" s="13">
        <v>490</v>
      </c>
      <c r="K14" s="13">
        <v>10</v>
      </c>
      <c r="L14" s="13">
        <v>110</v>
      </c>
      <c r="M14" s="13">
        <v>80</v>
      </c>
      <c r="N14" s="13">
        <v>310</v>
      </c>
      <c r="O14" s="13">
        <v>85</v>
      </c>
      <c r="P14" s="13">
        <v>90</v>
      </c>
      <c r="Q14" s="13">
        <v>30</v>
      </c>
      <c r="R14" s="13">
        <v>70</v>
      </c>
      <c r="S14" s="13">
        <v>73</v>
      </c>
      <c r="T14" s="13"/>
      <c r="U14" s="13">
        <v>59</v>
      </c>
      <c r="V14" s="13">
        <v>82</v>
      </c>
      <c r="W14" s="13">
        <v>15</v>
      </c>
      <c r="X14" s="13"/>
      <c r="Y14" s="13">
        <v>54</v>
      </c>
      <c r="Z14" s="13">
        <v>260</v>
      </c>
      <c r="AA14" s="13">
        <v>60</v>
      </c>
      <c r="AB14" s="13">
        <v>2.1</v>
      </c>
      <c r="AC14" s="13">
        <v>12.6</v>
      </c>
      <c r="AD14" s="13">
        <v>6.5</v>
      </c>
      <c r="AE14" s="13">
        <v>19</v>
      </c>
      <c r="AF14" s="13">
        <v>0.2</v>
      </c>
      <c r="AG14" s="13"/>
      <c r="AH14" s="13">
        <v>0.2</v>
      </c>
    </row>
    <row r="15" spans="1:34" x14ac:dyDescent="0.25">
      <c r="B15" s="8">
        <v>13</v>
      </c>
      <c r="C15" s="10" t="s">
        <v>167</v>
      </c>
      <c r="D15" s="10">
        <v>90</v>
      </c>
      <c r="E15" s="10">
        <v>12.6</v>
      </c>
      <c r="F15" s="10">
        <v>94</v>
      </c>
      <c r="G15" s="10">
        <v>-89</v>
      </c>
      <c r="H15" s="10">
        <v>30</v>
      </c>
      <c r="I15" s="10">
        <v>14.5</v>
      </c>
      <c r="J15" s="10">
        <v>70</v>
      </c>
      <c r="K15" s="10">
        <v>26</v>
      </c>
      <c r="L15" s="10">
        <v>132</v>
      </c>
      <c r="M15" s="10">
        <v>65</v>
      </c>
      <c r="N15" s="10">
        <v>707</v>
      </c>
      <c r="O15" s="10">
        <v>43</v>
      </c>
      <c r="P15" s="10">
        <v>81</v>
      </c>
      <c r="Q15" s="10">
        <v>79</v>
      </c>
      <c r="R15" s="10">
        <v>92</v>
      </c>
      <c r="S15" s="10"/>
      <c r="T15" s="10">
        <v>75</v>
      </c>
      <c r="U15" s="10">
        <v>66</v>
      </c>
      <c r="V15" s="10">
        <v>79</v>
      </c>
      <c r="W15" s="10">
        <v>243</v>
      </c>
      <c r="X15" s="10">
        <v>238</v>
      </c>
      <c r="Y15" s="10">
        <v>60</v>
      </c>
      <c r="Z15" s="10">
        <v>195</v>
      </c>
      <c r="AA15" s="10"/>
      <c r="AB15" s="10">
        <v>15.5</v>
      </c>
      <c r="AC15" s="10">
        <v>1.3</v>
      </c>
      <c r="AD15" s="10">
        <v>1.8</v>
      </c>
      <c r="AE15" s="10">
        <v>10.7</v>
      </c>
      <c r="AF15" s="10"/>
      <c r="AG15" s="10"/>
      <c r="AH15" s="10"/>
    </row>
    <row r="16" spans="1:34" x14ac:dyDescent="0.25">
      <c r="B16" s="11">
        <v>14</v>
      </c>
      <c r="C16" s="13" t="s">
        <v>168</v>
      </c>
      <c r="D16" s="13">
        <v>99</v>
      </c>
      <c r="E16" s="13">
        <v>31.5</v>
      </c>
      <c r="F16" s="13">
        <v>0</v>
      </c>
      <c r="G16" s="13">
        <v>0</v>
      </c>
      <c r="H16" s="13">
        <v>0</v>
      </c>
      <c r="I16" s="13"/>
      <c r="J16" s="13">
        <v>0</v>
      </c>
      <c r="K16" s="13">
        <v>1000</v>
      </c>
      <c r="L16" s="13">
        <v>0</v>
      </c>
      <c r="M16" s="13">
        <v>0</v>
      </c>
      <c r="N16" s="13">
        <v>0</v>
      </c>
      <c r="O16" s="13"/>
      <c r="P16" s="13"/>
      <c r="Q16" s="13"/>
      <c r="R16" s="13"/>
      <c r="S16" s="13"/>
      <c r="T16" s="13"/>
      <c r="U16" s="13"/>
      <c r="V16" s="13"/>
      <c r="W16" s="13">
        <v>0</v>
      </c>
      <c r="X16" s="13"/>
      <c r="Y16" s="13">
        <v>0</v>
      </c>
      <c r="Z16" s="13">
        <v>0</v>
      </c>
      <c r="AA16" s="13">
        <v>0</v>
      </c>
      <c r="AB16" s="13">
        <v>0</v>
      </c>
      <c r="AC16" s="13">
        <v>0</v>
      </c>
      <c r="AD16" s="13">
        <v>0</v>
      </c>
      <c r="AE16" s="13">
        <v>0</v>
      </c>
      <c r="AF16" s="13">
        <v>0</v>
      </c>
      <c r="AG16" s="13"/>
      <c r="AH16" s="13">
        <v>0</v>
      </c>
    </row>
    <row r="17" spans="1:34" x14ac:dyDescent="0.25">
      <c r="B17" s="8">
        <v>15</v>
      </c>
      <c r="C17" s="10" t="s">
        <v>169</v>
      </c>
      <c r="D17" s="10">
        <v>12</v>
      </c>
      <c r="E17" s="10">
        <v>12.5</v>
      </c>
      <c r="F17" s="10">
        <v>87</v>
      </c>
      <c r="G17" s="10">
        <v>-71</v>
      </c>
      <c r="H17" s="10">
        <v>48</v>
      </c>
      <c r="I17" s="10">
        <v>14.3</v>
      </c>
      <c r="J17" s="10">
        <v>80</v>
      </c>
      <c r="K17" s="10">
        <v>10</v>
      </c>
      <c r="L17" s="10">
        <v>70</v>
      </c>
      <c r="M17" s="10">
        <v>90</v>
      </c>
      <c r="N17" s="10">
        <v>750</v>
      </c>
      <c r="O17" s="10">
        <v>60</v>
      </c>
      <c r="P17" s="10">
        <v>0</v>
      </c>
      <c r="Q17" s="10">
        <v>70</v>
      </c>
      <c r="R17" s="10">
        <v>95</v>
      </c>
      <c r="S17" s="10">
        <v>89</v>
      </c>
      <c r="T17" s="10"/>
      <c r="U17" s="10">
        <v>82</v>
      </c>
      <c r="V17" s="10">
        <v>61</v>
      </c>
      <c r="W17" s="10">
        <v>610</v>
      </c>
      <c r="X17" s="10"/>
      <c r="Y17" s="10">
        <v>0</v>
      </c>
      <c r="Z17" s="10"/>
      <c r="AA17" s="10"/>
      <c r="AB17" s="10">
        <v>2.2999999999999998</v>
      </c>
      <c r="AC17" s="10">
        <v>1.6</v>
      </c>
      <c r="AD17" s="10">
        <v>1.3</v>
      </c>
      <c r="AE17" s="10">
        <v>15</v>
      </c>
      <c r="AF17" s="10">
        <v>1.5</v>
      </c>
      <c r="AG17" s="10">
        <v>346</v>
      </c>
      <c r="AH17" s="10">
        <v>1.5</v>
      </c>
    </row>
    <row r="18" spans="1:34" x14ac:dyDescent="0.25">
      <c r="B18" s="11">
        <v>16</v>
      </c>
      <c r="C18" s="13" t="s">
        <v>170</v>
      </c>
      <c r="D18" s="13">
        <v>90</v>
      </c>
      <c r="E18" s="13">
        <v>10.6</v>
      </c>
      <c r="F18" s="13">
        <v>89</v>
      </c>
      <c r="G18" s="13">
        <v>-150</v>
      </c>
      <c r="H18" s="13">
        <v>0</v>
      </c>
      <c r="I18" s="13">
        <v>14.5</v>
      </c>
      <c r="J18" s="13">
        <v>3</v>
      </c>
      <c r="K18" s="13">
        <v>5</v>
      </c>
      <c r="L18" s="13">
        <v>815</v>
      </c>
      <c r="M18" s="13">
        <v>7</v>
      </c>
      <c r="N18" s="13">
        <v>170</v>
      </c>
      <c r="O18" s="13">
        <v>0</v>
      </c>
      <c r="P18" s="13">
        <v>40</v>
      </c>
      <c r="Q18" s="13">
        <v>90</v>
      </c>
      <c r="R18" s="13">
        <v>60</v>
      </c>
      <c r="S18" s="13">
        <v>90</v>
      </c>
      <c r="T18" s="13"/>
      <c r="U18" s="13">
        <v>0</v>
      </c>
      <c r="V18" s="13">
        <v>0</v>
      </c>
      <c r="W18" s="13"/>
      <c r="X18" s="13"/>
      <c r="Y18" s="13"/>
      <c r="Z18" s="13"/>
      <c r="AA18" s="13"/>
      <c r="AB18" s="13"/>
      <c r="AC18" s="13"/>
      <c r="AD18" s="13"/>
      <c r="AE18" s="13"/>
      <c r="AF18" s="13"/>
      <c r="AG18" s="13"/>
      <c r="AH18" s="13"/>
    </row>
    <row r="19" spans="1:34" x14ac:dyDescent="0.25">
      <c r="B19" s="8">
        <v>17</v>
      </c>
      <c r="C19" s="10" t="s">
        <v>171</v>
      </c>
      <c r="D19" s="10">
        <v>15</v>
      </c>
      <c r="E19" s="10">
        <v>10.6</v>
      </c>
      <c r="F19" s="10">
        <v>71</v>
      </c>
      <c r="G19" s="10">
        <v>12</v>
      </c>
      <c r="H19" s="10">
        <v>100</v>
      </c>
      <c r="I19" s="10">
        <v>12.6</v>
      </c>
      <c r="J19" s="10">
        <v>140</v>
      </c>
      <c r="K19" s="10">
        <v>30</v>
      </c>
      <c r="L19" s="10">
        <v>200</v>
      </c>
      <c r="M19" s="10">
        <v>130</v>
      </c>
      <c r="N19" s="10">
        <v>500</v>
      </c>
      <c r="O19" s="10"/>
      <c r="P19" s="10">
        <v>58</v>
      </c>
      <c r="Q19" s="10">
        <v>58</v>
      </c>
      <c r="R19" s="10">
        <v>88</v>
      </c>
      <c r="S19" s="10">
        <v>72</v>
      </c>
      <c r="T19" s="10"/>
      <c r="U19" s="10">
        <v>80</v>
      </c>
      <c r="V19" s="10">
        <v>63</v>
      </c>
      <c r="W19" s="10">
        <v>10</v>
      </c>
      <c r="X19" s="10"/>
      <c r="Y19" s="10">
        <v>0</v>
      </c>
      <c r="Z19" s="10"/>
      <c r="AA19" s="10"/>
      <c r="AB19" s="10">
        <v>19.399999999999999</v>
      </c>
      <c r="AC19" s="10">
        <v>4.3</v>
      </c>
      <c r="AD19" s="10">
        <v>2.8</v>
      </c>
      <c r="AE19" s="10">
        <v>30</v>
      </c>
      <c r="AF19" s="10">
        <v>2.5</v>
      </c>
      <c r="AG19" s="10"/>
      <c r="AH19" s="10">
        <v>2.5</v>
      </c>
    </row>
    <row r="20" spans="1:34" x14ac:dyDescent="0.25">
      <c r="B20" s="11">
        <v>18</v>
      </c>
      <c r="C20" s="13" t="s">
        <v>172</v>
      </c>
      <c r="D20" s="13">
        <v>16</v>
      </c>
      <c r="E20" s="13">
        <v>12.7</v>
      </c>
      <c r="F20" s="13">
        <v>90</v>
      </c>
      <c r="G20" s="13">
        <v>-93</v>
      </c>
      <c r="H20" s="13">
        <v>36</v>
      </c>
      <c r="I20" s="13">
        <v>14.5</v>
      </c>
      <c r="J20" s="13">
        <v>60</v>
      </c>
      <c r="K20" s="13">
        <v>10</v>
      </c>
      <c r="L20" s="13">
        <v>68</v>
      </c>
      <c r="M20" s="13">
        <v>78</v>
      </c>
      <c r="N20" s="13">
        <v>784</v>
      </c>
      <c r="O20" s="13">
        <v>60</v>
      </c>
      <c r="P20" s="13">
        <v>0</v>
      </c>
      <c r="Q20" s="13">
        <v>65</v>
      </c>
      <c r="R20" s="13">
        <v>95</v>
      </c>
      <c r="S20" s="13">
        <v>90</v>
      </c>
      <c r="T20" s="13"/>
      <c r="U20" s="13">
        <v>80</v>
      </c>
      <c r="V20" s="13">
        <v>82</v>
      </c>
      <c r="W20" s="13">
        <v>680</v>
      </c>
      <c r="X20" s="13"/>
      <c r="Y20" s="13">
        <v>0</v>
      </c>
      <c r="Z20" s="13"/>
      <c r="AA20" s="13"/>
      <c r="AB20" s="13">
        <v>1.8</v>
      </c>
      <c r="AC20" s="13">
        <v>1.7</v>
      </c>
      <c r="AD20" s="13">
        <v>1.4</v>
      </c>
      <c r="AE20" s="13">
        <v>21</v>
      </c>
      <c r="AF20" s="13">
        <v>2</v>
      </c>
      <c r="AG20" s="13"/>
      <c r="AH20" s="13">
        <v>1.5</v>
      </c>
    </row>
    <row r="21" spans="1:34" x14ac:dyDescent="0.25">
      <c r="B21" s="8">
        <v>19</v>
      </c>
      <c r="C21" s="10" t="s">
        <v>173</v>
      </c>
      <c r="D21" s="10">
        <v>90</v>
      </c>
      <c r="E21" s="10">
        <v>7.3</v>
      </c>
      <c r="F21" s="10">
        <v>43</v>
      </c>
      <c r="G21" s="10">
        <v>-9</v>
      </c>
      <c r="H21" s="10">
        <v>47</v>
      </c>
      <c r="I21" s="10">
        <v>8.4</v>
      </c>
      <c r="J21" s="10">
        <v>105</v>
      </c>
      <c r="K21" s="10">
        <v>20</v>
      </c>
      <c r="L21" s="10">
        <v>450</v>
      </c>
      <c r="M21" s="10">
        <v>71</v>
      </c>
      <c r="N21" s="10">
        <v>354</v>
      </c>
      <c r="O21" s="10">
        <v>45</v>
      </c>
      <c r="P21" s="10">
        <v>40</v>
      </c>
      <c r="Q21" s="10">
        <v>50</v>
      </c>
      <c r="R21" s="10">
        <v>50</v>
      </c>
      <c r="S21" s="10">
        <v>49</v>
      </c>
      <c r="T21" s="10"/>
      <c r="U21" s="10">
        <v>60</v>
      </c>
      <c r="V21" s="10">
        <v>0</v>
      </c>
      <c r="W21" s="10">
        <v>0</v>
      </c>
      <c r="X21" s="10"/>
      <c r="Y21" s="10">
        <v>0</v>
      </c>
      <c r="Z21" s="10"/>
      <c r="AA21" s="10"/>
      <c r="AB21" s="10">
        <v>13</v>
      </c>
      <c r="AC21" s="10">
        <v>2.4</v>
      </c>
      <c r="AD21" s="10">
        <v>3.9</v>
      </c>
      <c r="AE21" s="10">
        <v>14</v>
      </c>
      <c r="AF21" s="10">
        <v>0.1</v>
      </c>
      <c r="AG21" s="10"/>
      <c r="AH21" s="10">
        <v>0.1</v>
      </c>
    </row>
    <row r="22" spans="1:34" x14ac:dyDescent="0.25">
      <c r="B22" s="11">
        <v>20</v>
      </c>
      <c r="C22" s="13" t="s">
        <v>174</v>
      </c>
      <c r="D22" s="13">
        <v>89</v>
      </c>
      <c r="E22" s="13">
        <v>6.9</v>
      </c>
      <c r="F22" s="13">
        <v>47</v>
      </c>
      <c r="G22" s="13">
        <v>-35</v>
      </c>
      <c r="H22" s="13">
        <v>29</v>
      </c>
      <c r="I22" s="13">
        <v>8.6</v>
      </c>
      <c r="J22" s="13">
        <v>73</v>
      </c>
      <c r="K22" s="13">
        <v>20</v>
      </c>
      <c r="L22" s="13">
        <v>400</v>
      </c>
      <c r="M22" s="13">
        <v>64</v>
      </c>
      <c r="N22" s="13">
        <v>443</v>
      </c>
      <c r="O22" s="13">
        <v>40</v>
      </c>
      <c r="P22" s="13">
        <v>40</v>
      </c>
      <c r="Q22" s="13">
        <v>55</v>
      </c>
      <c r="R22" s="13">
        <v>50</v>
      </c>
      <c r="S22" s="13">
        <v>51</v>
      </c>
      <c r="T22" s="13"/>
      <c r="U22" s="13">
        <v>60</v>
      </c>
      <c r="V22" s="13">
        <v>0</v>
      </c>
      <c r="W22" s="13">
        <v>0</v>
      </c>
      <c r="X22" s="13"/>
      <c r="Y22" s="13">
        <v>0</v>
      </c>
      <c r="Z22" s="13"/>
      <c r="AA22" s="13"/>
      <c r="AB22" s="13">
        <v>3.3</v>
      </c>
      <c r="AC22" s="13">
        <v>1.4</v>
      </c>
      <c r="AD22" s="13">
        <v>1.4</v>
      </c>
      <c r="AE22" s="13">
        <v>25</v>
      </c>
      <c r="AF22" s="13">
        <v>1</v>
      </c>
      <c r="AG22" s="13"/>
      <c r="AH22" s="13">
        <v>1</v>
      </c>
    </row>
    <row r="23" spans="1:34" x14ac:dyDescent="0.25">
      <c r="B23" s="8">
        <v>21</v>
      </c>
      <c r="C23" s="10" t="s">
        <v>175</v>
      </c>
      <c r="D23" s="10">
        <v>80</v>
      </c>
      <c r="E23" s="10">
        <v>8.3000000000000007</v>
      </c>
      <c r="F23" s="10">
        <v>54</v>
      </c>
      <c r="G23" s="10">
        <v>4</v>
      </c>
      <c r="H23" s="10">
        <v>50</v>
      </c>
      <c r="I23" s="10">
        <v>10.3</v>
      </c>
      <c r="J23" s="10">
        <v>119</v>
      </c>
      <c r="K23" s="10">
        <v>20</v>
      </c>
      <c r="L23" s="10">
        <v>400</v>
      </c>
      <c r="M23" s="10">
        <v>60</v>
      </c>
      <c r="N23" s="10">
        <v>401</v>
      </c>
      <c r="O23" s="10">
        <v>42</v>
      </c>
      <c r="P23" s="10">
        <v>40</v>
      </c>
      <c r="Q23" s="10">
        <v>65</v>
      </c>
      <c r="R23" s="10">
        <v>62</v>
      </c>
      <c r="S23" s="10">
        <v>61</v>
      </c>
      <c r="T23" s="10"/>
      <c r="U23" s="10">
        <v>80</v>
      </c>
      <c r="V23" s="10">
        <v>0</v>
      </c>
      <c r="W23" s="10">
        <v>0</v>
      </c>
      <c r="X23" s="10"/>
      <c r="Y23" s="10">
        <v>0</v>
      </c>
      <c r="Z23" s="10"/>
      <c r="AA23" s="10"/>
      <c r="AB23" s="10">
        <v>3.3</v>
      </c>
      <c r="AC23" s="10">
        <v>1.1000000000000001</v>
      </c>
      <c r="AD23" s="10">
        <v>1.3</v>
      </c>
      <c r="AE23" s="10">
        <v>19</v>
      </c>
      <c r="AF23" s="10">
        <v>3</v>
      </c>
      <c r="AG23" s="10"/>
      <c r="AH23" s="10">
        <v>3</v>
      </c>
    </row>
    <row r="24" spans="1:34" x14ac:dyDescent="0.25">
      <c r="A24" t="s">
        <v>296</v>
      </c>
      <c r="B24" s="11">
        <v>22</v>
      </c>
      <c r="C24" s="13" t="s">
        <v>176</v>
      </c>
      <c r="D24" s="13">
        <v>85</v>
      </c>
      <c r="E24" s="13">
        <v>6.6</v>
      </c>
      <c r="F24" s="13">
        <v>45</v>
      </c>
      <c r="G24" s="13">
        <v>-60</v>
      </c>
      <c r="H24" s="13">
        <v>0</v>
      </c>
      <c r="I24" s="13">
        <v>7.6</v>
      </c>
      <c r="J24" s="13">
        <v>69</v>
      </c>
      <c r="K24" s="13">
        <v>20</v>
      </c>
      <c r="L24" s="13">
        <v>436</v>
      </c>
      <c r="M24" s="13">
        <v>66</v>
      </c>
      <c r="N24" s="13">
        <v>409</v>
      </c>
      <c r="O24" s="13">
        <v>0</v>
      </c>
      <c r="P24" s="13">
        <v>40</v>
      </c>
      <c r="Q24" s="13">
        <v>55</v>
      </c>
      <c r="R24" s="13">
        <v>45</v>
      </c>
      <c r="S24" s="13">
        <v>47</v>
      </c>
      <c r="T24" s="13">
        <v>25</v>
      </c>
      <c r="U24" s="13">
        <v>23</v>
      </c>
      <c r="V24" s="13">
        <v>0</v>
      </c>
      <c r="W24" s="13">
        <v>0</v>
      </c>
      <c r="X24" s="13"/>
      <c r="Y24" s="13">
        <v>0</v>
      </c>
      <c r="Z24" s="13">
        <v>748</v>
      </c>
      <c r="AA24" s="13">
        <v>120</v>
      </c>
      <c r="AB24" s="13">
        <v>7.5</v>
      </c>
      <c r="AC24" s="13">
        <v>2.6</v>
      </c>
      <c r="AD24" s="13">
        <v>2.8</v>
      </c>
      <c r="AE24" s="13">
        <v>16.8</v>
      </c>
      <c r="AF24" s="13">
        <v>3</v>
      </c>
      <c r="AG24" s="13">
        <v>162</v>
      </c>
      <c r="AH24" s="13">
        <v>3</v>
      </c>
    </row>
    <row r="25" spans="1:34" x14ac:dyDescent="0.25">
      <c r="B25" s="8">
        <v>23</v>
      </c>
      <c r="C25" s="10" t="s">
        <v>177</v>
      </c>
      <c r="D25" s="10">
        <v>59</v>
      </c>
      <c r="E25" s="10">
        <v>7.9</v>
      </c>
      <c r="F25" s="10">
        <v>63</v>
      </c>
      <c r="G25" s="10">
        <v>-74</v>
      </c>
      <c r="H25" s="10">
        <v>0</v>
      </c>
      <c r="I25" s="10">
        <v>10.4</v>
      </c>
      <c r="J25" s="10">
        <v>40</v>
      </c>
      <c r="K25" s="10">
        <v>15</v>
      </c>
      <c r="L25" s="10">
        <v>408</v>
      </c>
      <c r="M25" s="10">
        <v>100</v>
      </c>
      <c r="N25" s="10">
        <v>437</v>
      </c>
      <c r="O25" s="10">
        <v>0</v>
      </c>
      <c r="P25" s="10">
        <v>35</v>
      </c>
      <c r="Q25" s="10">
        <v>75</v>
      </c>
      <c r="R25" s="10">
        <v>65</v>
      </c>
      <c r="S25" s="10">
        <v>65</v>
      </c>
      <c r="T25" s="10">
        <v>34</v>
      </c>
      <c r="U25" s="10">
        <v>80</v>
      </c>
      <c r="V25" s="10">
        <v>0</v>
      </c>
      <c r="W25" s="10">
        <v>0</v>
      </c>
      <c r="X25" s="10"/>
      <c r="Y25" s="10">
        <v>0</v>
      </c>
      <c r="Z25" s="10"/>
      <c r="AA25" s="10"/>
      <c r="AB25" s="10">
        <v>3.3</v>
      </c>
      <c r="AC25" s="10">
        <v>1.1000000000000001</v>
      </c>
      <c r="AD25" s="10">
        <v>1.3</v>
      </c>
      <c r="AE25" s="10">
        <v>19</v>
      </c>
      <c r="AF25" s="10">
        <v>28.1</v>
      </c>
      <c r="AG25" s="10"/>
      <c r="AH25" s="10">
        <v>28</v>
      </c>
    </row>
    <row r="26" spans="1:34" x14ac:dyDescent="0.25">
      <c r="B26" s="11">
        <v>24</v>
      </c>
      <c r="C26" s="13" t="s">
        <v>178</v>
      </c>
      <c r="D26" s="13">
        <v>74</v>
      </c>
      <c r="E26" s="13">
        <v>8.1999999999999993</v>
      </c>
      <c r="F26" s="13">
        <v>59</v>
      </c>
      <c r="G26" s="13">
        <v>-67</v>
      </c>
      <c r="H26" s="13">
        <v>0</v>
      </c>
      <c r="I26" s="13">
        <v>9.8000000000000007</v>
      </c>
      <c r="J26" s="13">
        <v>40</v>
      </c>
      <c r="K26" s="13">
        <v>15</v>
      </c>
      <c r="L26" s="13">
        <v>421</v>
      </c>
      <c r="M26" s="13">
        <v>73</v>
      </c>
      <c r="N26" s="13">
        <v>451</v>
      </c>
      <c r="O26" s="13">
        <v>0</v>
      </c>
      <c r="P26" s="13">
        <v>35</v>
      </c>
      <c r="Q26" s="13">
        <v>65</v>
      </c>
      <c r="R26" s="13">
        <v>62</v>
      </c>
      <c r="S26" s="13">
        <v>73</v>
      </c>
      <c r="T26" s="13"/>
      <c r="U26" s="13">
        <v>80</v>
      </c>
      <c r="V26" s="13">
        <v>0</v>
      </c>
      <c r="W26" s="13">
        <v>0</v>
      </c>
      <c r="X26" s="13"/>
      <c r="Y26" s="13">
        <v>0</v>
      </c>
      <c r="Z26" s="13"/>
      <c r="AA26" s="13"/>
      <c r="AB26" s="13">
        <v>3.2</v>
      </c>
      <c r="AC26" s="13">
        <v>1.8</v>
      </c>
      <c r="AD26" s="13"/>
      <c r="AE26" s="13"/>
      <c r="AF26" s="13"/>
      <c r="AG26" s="13"/>
      <c r="AH26" s="13"/>
    </row>
    <row r="27" spans="1:34" x14ac:dyDescent="0.25">
      <c r="B27" s="8">
        <v>25</v>
      </c>
      <c r="C27" s="10" t="s">
        <v>179</v>
      </c>
      <c r="D27" s="10">
        <v>93</v>
      </c>
      <c r="E27" s="10">
        <v>17.7</v>
      </c>
      <c r="F27" s="10"/>
      <c r="G27" s="10"/>
      <c r="H27" s="10">
        <v>140</v>
      </c>
      <c r="I27" s="10">
        <v>18.2</v>
      </c>
      <c r="J27" s="10">
        <v>200</v>
      </c>
      <c r="K27" s="10">
        <v>350</v>
      </c>
      <c r="L27" s="10">
        <v>170</v>
      </c>
      <c r="M27" s="10">
        <v>50</v>
      </c>
      <c r="N27" s="10">
        <v>230</v>
      </c>
      <c r="O27" s="10">
        <v>70</v>
      </c>
      <c r="P27" s="10">
        <v>90</v>
      </c>
      <c r="Q27" s="10">
        <v>30</v>
      </c>
      <c r="R27" s="10">
        <v>80</v>
      </c>
      <c r="S27" s="10">
        <v>73</v>
      </c>
      <c r="T27" s="10"/>
      <c r="U27" s="10"/>
      <c r="V27" s="10"/>
      <c r="W27" s="10"/>
      <c r="X27" s="10"/>
      <c r="Y27" s="10"/>
      <c r="Z27" s="10"/>
      <c r="AA27" s="10"/>
      <c r="AB27" s="10">
        <v>1.7</v>
      </c>
      <c r="AC27" s="10">
        <v>6</v>
      </c>
      <c r="AD27" s="10"/>
      <c r="AE27" s="10"/>
      <c r="AF27" s="10"/>
      <c r="AG27" s="10"/>
      <c r="AH27" s="10"/>
    </row>
    <row r="28" spans="1:34" x14ac:dyDescent="0.25">
      <c r="B28" s="11">
        <v>26</v>
      </c>
      <c r="C28" s="13" t="s">
        <v>180</v>
      </c>
      <c r="D28" s="13">
        <v>37</v>
      </c>
      <c r="E28" s="13">
        <v>9.1</v>
      </c>
      <c r="F28" s="13">
        <v>58</v>
      </c>
      <c r="G28" s="13">
        <v>-8</v>
      </c>
      <c r="H28" s="13">
        <v>69</v>
      </c>
      <c r="I28" s="13">
        <v>11.2</v>
      </c>
      <c r="J28" s="13">
        <v>107</v>
      </c>
      <c r="K28" s="13">
        <v>25</v>
      </c>
      <c r="L28" s="13">
        <v>313</v>
      </c>
      <c r="M28" s="13">
        <v>72</v>
      </c>
      <c r="N28" s="13">
        <v>483</v>
      </c>
      <c r="O28" s="13"/>
      <c r="P28" s="13">
        <v>54</v>
      </c>
      <c r="Q28" s="13">
        <v>62</v>
      </c>
      <c r="R28" s="13">
        <v>68</v>
      </c>
      <c r="S28" s="13">
        <v>63</v>
      </c>
      <c r="T28" s="13"/>
      <c r="U28" s="13">
        <v>80</v>
      </c>
      <c r="V28" s="13">
        <v>19</v>
      </c>
      <c r="W28" s="13"/>
      <c r="X28" s="13"/>
      <c r="Y28" s="13"/>
      <c r="Z28" s="13">
        <v>536</v>
      </c>
      <c r="AA28" s="13">
        <v>90</v>
      </c>
      <c r="AB28" s="13">
        <v>4.5</v>
      </c>
      <c r="AC28" s="13">
        <v>2.9</v>
      </c>
      <c r="AD28" s="13">
        <v>1.4</v>
      </c>
      <c r="AE28" s="13">
        <v>20.100000000000001</v>
      </c>
      <c r="AF28" s="13">
        <v>1.5</v>
      </c>
      <c r="AG28" s="13"/>
      <c r="AH28" s="13">
        <v>0.5</v>
      </c>
    </row>
    <row r="29" spans="1:34" x14ac:dyDescent="0.25">
      <c r="A29" t="s">
        <v>588</v>
      </c>
      <c r="B29" s="8">
        <v>27</v>
      </c>
      <c r="C29" s="10" t="s">
        <v>181</v>
      </c>
      <c r="D29" s="10">
        <v>87</v>
      </c>
      <c r="E29" s="10">
        <v>7.2</v>
      </c>
      <c r="F29" s="10">
        <v>56</v>
      </c>
      <c r="G29" s="10">
        <v>-28</v>
      </c>
      <c r="H29" s="10">
        <v>35</v>
      </c>
      <c r="I29" s="10">
        <v>8.4</v>
      </c>
      <c r="J29" s="10">
        <v>63</v>
      </c>
      <c r="K29" s="10">
        <v>32</v>
      </c>
      <c r="L29" s="10">
        <v>290</v>
      </c>
      <c r="M29" s="10">
        <v>55</v>
      </c>
      <c r="N29" s="10">
        <v>560</v>
      </c>
      <c r="O29" s="10">
        <v>56</v>
      </c>
      <c r="P29" s="10">
        <v>65</v>
      </c>
      <c r="Q29" s="10">
        <v>30</v>
      </c>
      <c r="R29" s="10">
        <v>55</v>
      </c>
      <c r="S29" s="10">
        <v>48</v>
      </c>
      <c r="T29" s="10"/>
      <c r="U29" s="10">
        <v>67</v>
      </c>
      <c r="V29" s="10">
        <v>77</v>
      </c>
      <c r="W29" s="10"/>
      <c r="X29" s="10"/>
      <c r="Y29" s="10"/>
      <c r="Z29" s="10"/>
      <c r="AA29" s="10"/>
      <c r="AB29" s="10">
        <v>2</v>
      </c>
      <c r="AC29" s="10">
        <v>7.7</v>
      </c>
      <c r="AD29" s="10"/>
      <c r="AE29" s="10"/>
      <c r="AF29" s="10"/>
      <c r="AG29" s="10"/>
      <c r="AH29" s="10"/>
    </row>
    <row r="30" spans="1:34" x14ac:dyDescent="0.25">
      <c r="A30" t="s">
        <v>34</v>
      </c>
      <c r="B30" s="11">
        <v>28</v>
      </c>
      <c r="C30" s="13" t="s">
        <v>182</v>
      </c>
      <c r="D30" s="13">
        <v>85</v>
      </c>
      <c r="E30" s="13">
        <v>11.7</v>
      </c>
      <c r="F30" s="13">
        <v>67</v>
      </c>
      <c r="G30" s="13">
        <v>-2</v>
      </c>
      <c r="H30" s="13">
        <v>88</v>
      </c>
      <c r="I30" s="13">
        <v>13.3</v>
      </c>
      <c r="J30" s="13">
        <v>110</v>
      </c>
      <c r="K30" s="13">
        <v>61</v>
      </c>
      <c r="L30" s="13">
        <v>141</v>
      </c>
      <c r="M30" s="13">
        <v>34</v>
      </c>
      <c r="N30" s="13">
        <v>654</v>
      </c>
      <c r="O30" s="13">
        <v>80</v>
      </c>
      <c r="P30" s="13">
        <v>88</v>
      </c>
      <c r="Q30" s="13">
        <v>30</v>
      </c>
      <c r="R30" s="13">
        <v>76</v>
      </c>
      <c r="S30" s="13">
        <v>75</v>
      </c>
      <c r="T30" s="13">
        <v>37</v>
      </c>
      <c r="U30" s="13">
        <v>86</v>
      </c>
      <c r="V30" s="13">
        <v>73</v>
      </c>
      <c r="W30" s="13">
        <v>10</v>
      </c>
      <c r="X30" s="13">
        <v>21</v>
      </c>
      <c r="Y30" s="13">
        <v>338</v>
      </c>
      <c r="Z30" s="13">
        <v>358</v>
      </c>
      <c r="AA30" s="13">
        <v>30</v>
      </c>
      <c r="AB30" s="13">
        <v>0.7</v>
      </c>
      <c r="AC30" s="13">
        <v>3.7</v>
      </c>
      <c r="AD30" s="13">
        <v>1.2</v>
      </c>
      <c r="AE30" s="13">
        <v>5.3</v>
      </c>
      <c r="AF30" s="13">
        <v>0.1</v>
      </c>
      <c r="AG30" s="13">
        <v>-32</v>
      </c>
      <c r="AH30" s="13">
        <v>0.1</v>
      </c>
    </row>
    <row r="31" spans="1:34" x14ac:dyDescent="0.25">
      <c r="A31" t="s">
        <v>587</v>
      </c>
      <c r="B31" s="8">
        <v>29</v>
      </c>
      <c r="C31" s="10" t="s">
        <v>183</v>
      </c>
      <c r="D31" s="10">
        <v>87</v>
      </c>
      <c r="E31" s="10">
        <v>5.2</v>
      </c>
      <c r="F31" s="10"/>
      <c r="G31" s="10"/>
      <c r="H31" s="10">
        <v>9</v>
      </c>
      <c r="I31" s="10">
        <v>6.2</v>
      </c>
      <c r="J31" s="10">
        <v>30</v>
      </c>
      <c r="K31" s="10">
        <v>20</v>
      </c>
      <c r="L31" s="10">
        <v>340</v>
      </c>
      <c r="M31" s="10">
        <v>50</v>
      </c>
      <c r="N31" s="10">
        <v>560</v>
      </c>
      <c r="O31" s="10">
        <v>30</v>
      </c>
      <c r="P31" s="10">
        <v>80</v>
      </c>
      <c r="Q31" s="10">
        <v>35</v>
      </c>
      <c r="R31" s="10">
        <v>35</v>
      </c>
      <c r="S31" s="10">
        <v>36</v>
      </c>
      <c r="T31" s="10"/>
      <c r="U31" s="10"/>
      <c r="V31" s="10"/>
      <c r="W31" s="10">
        <v>11</v>
      </c>
      <c r="X31" s="10"/>
      <c r="Y31" s="10">
        <v>130</v>
      </c>
      <c r="Z31" s="10">
        <v>780</v>
      </c>
      <c r="AA31" s="10">
        <v>80</v>
      </c>
      <c r="AB31" s="10">
        <v>1.2</v>
      </c>
      <c r="AC31" s="10">
        <v>4.4000000000000004</v>
      </c>
      <c r="AD31" s="10">
        <v>1</v>
      </c>
      <c r="AE31" s="10">
        <v>6</v>
      </c>
      <c r="AF31" s="10">
        <v>0.3</v>
      </c>
      <c r="AG31" s="10"/>
      <c r="AH31" s="10">
        <v>0.3</v>
      </c>
    </row>
    <row r="32" spans="1:34" x14ac:dyDescent="0.25">
      <c r="B32" s="11">
        <v>30</v>
      </c>
      <c r="C32" s="13" t="s">
        <v>67</v>
      </c>
      <c r="D32" s="13">
        <v>87</v>
      </c>
      <c r="E32" s="13">
        <v>13.1</v>
      </c>
      <c r="F32" s="13">
        <v>75</v>
      </c>
      <c r="G32" s="13">
        <v>37</v>
      </c>
      <c r="H32" s="13">
        <v>118</v>
      </c>
      <c r="I32" s="13">
        <v>14.8</v>
      </c>
      <c r="J32" s="13">
        <v>160</v>
      </c>
      <c r="K32" s="13">
        <v>67</v>
      </c>
      <c r="L32" s="13">
        <v>33</v>
      </c>
      <c r="M32" s="13">
        <v>23</v>
      </c>
      <c r="N32" s="13">
        <v>717</v>
      </c>
      <c r="O32" s="13">
        <v>74</v>
      </c>
      <c r="P32" s="13">
        <v>80</v>
      </c>
      <c r="Q32" s="13">
        <v>25</v>
      </c>
      <c r="R32" s="13">
        <v>80</v>
      </c>
      <c r="S32" s="13">
        <v>77</v>
      </c>
      <c r="T32" s="13">
        <v>87</v>
      </c>
      <c r="U32" s="13">
        <v>88</v>
      </c>
      <c r="V32" s="13">
        <v>77</v>
      </c>
      <c r="W32" s="13">
        <v>13</v>
      </c>
      <c r="X32" s="13"/>
      <c r="Y32" s="13">
        <v>637</v>
      </c>
      <c r="Z32" s="13">
        <v>94</v>
      </c>
      <c r="AA32" s="13"/>
      <c r="AB32" s="13">
        <v>0.8</v>
      </c>
      <c r="AC32" s="13">
        <v>4.5999999999999996</v>
      </c>
      <c r="AD32" s="13">
        <v>1.3</v>
      </c>
      <c r="AE32" s="13">
        <v>4</v>
      </c>
      <c r="AF32" s="13"/>
      <c r="AG32" s="13"/>
      <c r="AH32" s="13"/>
    </row>
    <row r="33" spans="1:34" x14ac:dyDescent="0.25">
      <c r="B33" s="8">
        <v>31</v>
      </c>
      <c r="C33" s="10" t="s">
        <v>184</v>
      </c>
      <c r="D33" s="10">
        <v>50</v>
      </c>
      <c r="E33" s="10">
        <v>13.5</v>
      </c>
      <c r="F33" s="10"/>
      <c r="G33" s="10"/>
      <c r="H33" s="10">
        <v>48</v>
      </c>
      <c r="I33" s="10">
        <v>15.1</v>
      </c>
      <c r="J33" s="10">
        <v>80</v>
      </c>
      <c r="K33" s="10">
        <v>50</v>
      </c>
      <c r="L33" s="10">
        <v>50</v>
      </c>
      <c r="M33" s="10">
        <v>30</v>
      </c>
      <c r="N33" s="10">
        <v>790</v>
      </c>
      <c r="O33" s="10">
        <v>60</v>
      </c>
      <c r="P33" s="10">
        <v>80</v>
      </c>
      <c r="Q33" s="10">
        <v>30</v>
      </c>
      <c r="R33" s="10">
        <v>90</v>
      </c>
      <c r="S33" s="10">
        <v>84</v>
      </c>
      <c r="T33" s="10"/>
      <c r="U33" s="10"/>
      <c r="V33" s="10"/>
      <c r="W33" s="10"/>
      <c r="X33" s="10"/>
      <c r="Y33" s="10"/>
      <c r="Z33" s="10"/>
      <c r="AA33" s="10"/>
      <c r="AB33" s="10">
        <v>1</v>
      </c>
      <c r="AC33" s="10">
        <v>4</v>
      </c>
      <c r="AD33" s="10"/>
      <c r="AE33" s="10"/>
      <c r="AF33" s="10"/>
      <c r="AG33" s="10"/>
      <c r="AH33" s="10"/>
    </row>
    <row r="34" spans="1:34" x14ac:dyDescent="0.25">
      <c r="B34" s="11">
        <v>32</v>
      </c>
      <c r="C34" s="13" t="s">
        <v>185</v>
      </c>
      <c r="D34" s="13">
        <v>82</v>
      </c>
      <c r="E34" s="13">
        <v>10.7</v>
      </c>
      <c r="F34" s="13">
        <v>91</v>
      </c>
      <c r="G34" s="13">
        <v>-107</v>
      </c>
      <c r="H34" s="13">
        <v>0</v>
      </c>
      <c r="I34" s="13">
        <v>12</v>
      </c>
      <c r="J34" s="13">
        <v>43</v>
      </c>
      <c r="K34" s="13">
        <v>0</v>
      </c>
      <c r="L34" s="13">
        <v>79</v>
      </c>
      <c r="M34" s="13">
        <v>30</v>
      </c>
      <c r="N34" s="13">
        <v>848</v>
      </c>
      <c r="O34" s="13">
        <v>0</v>
      </c>
      <c r="P34" s="13">
        <v>0</v>
      </c>
      <c r="Q34" s="13">
        <v>47</v>
      </c>
      <c r="R34" s="13">
        <v>80</v>
      </c>
      <c r="S34" s="13">
        <v>74</v>
      </c>
      <c r="T34" s="13">
        <v>36</v>
      </c>
      <c r="U34" s="13">
        <v>49</v>
      </c>
      <c r="V34" s="13">
        <v>82</v>
      </c>
      <c r="W34" s="13">
        <v>457</v>
      </c>
      <c r="X34" s="13"/>
      <c r="Y34" s="13">
        <v>0</v>
      </c>
      <c r="Z34" s="13">
        <v>288</v>
      </c>
      <c r="AA34" s="13"/>
      <c r="AB34" s="13">
        <v>4.5</v>
      </c>
      <c r="AC34" s="13">
        <v>1</v>
      </c>
      <c r="AD34" s="13"/>
      <c r="AE34" s="13"/>
      <c r="AF34" s="13"/>
      <c r="AG34" s="13"/>
      <c r="AH34" s="13"/>
    </row>
    <row r="35" spans="1:34" x14ac:dyDescent="0.25">
      <c r="B35" s="8">
        <v>33</v>
      </c>
      <c r="C35" s="10" t="s">
        <v>186</v>
      </c>
      <c r="D35" s="10">
        <v>90</v>
      </c>
      <c r="E35" s="10">
        <v>14.6</v>
      </c>
      <c r="F35" s="10">
        <v>110</v>
      </c>
      <c r="G35" s="10">
        <v>332</v>
      </c>
      <c r="H35" s="10">
        <v>450</v>
      </c>
      <c r="I35" s="10">
        <v>17.7</v>
      </c>
      <c r="J35" s="10">
        <v>500</v>
      </c>
      <c r="K35" s="10">
        <v>10</v>
      </c>
      <c r="L35" s="10">
        <v>20</v>
      </c>
      <c r="M35" s="10">
        <v>70</v>
      </c>
      <c r="N35" s="10">
        <v>400</v>
      </c>
      <c r="O35" s="10">
        <v>90</v>
      </c>
      <c r="P35" s="10">
        <v>75</v>
      </c>
      <c r="Q35" s="10">
        <v>90</v>
      </c>
      <c r="R35" s="10">
        <v>90</v>
      </c>
      <c r="S35" s="10">
        <v>90</v>
      </c>
      <c r="T35" s="10"/>
      <c r="U35" s="10">
        <v>80</v>
      </c>
      <c r="V35" s="10">
        <v>82</v>
      </c>
      <c r="W35" s="10"/>
      <c r="X35" s="10"/>
      <c r="Y35" s="10"/>
      <c r="Z35" s="10"/>
      <c r="AA35" s="10"/>
      <c r="AB35" s="10">
        <v>2.2000000000000002</v>
      </c>
      <c r="AC35" s="10">
        <v>15.6</v>
      </c>
      <c r="AD35" s="10">
        <v>2.6</v>
      </c>
      <c r="AE35" s="10">
        <v>24</v>
      </c>
      <c r="AF35" s="10">
        <v>2.4</v>
      </c>
      <c r="AG35" s="10"/>
      <c r="AH35" s="10">
        <v>2.4</v>
      </c>
    </row>
    <row r="36" spans="1:34" x14ac:dyDescent="0.25">
      <c r="B36" s="11">
        <v>34</v>
      </c>
      <c r="C36" s="13" t="s">
        <v>187</v>
      </c>
      <c r="D36" s="13">
        <v>88</v>
      </c>
      <c r="E36" s="13">
        <v>15.3</v>
      </c>
      <c r="F36" s="13">
        <v>3</v>
      </c>
      <c r="G36" s="13">
        <v>865</v>
      </c>
      <c r="H36" s="13">
        <v>783</v>
      </c>
      <c r="I36" s="13">
        <v>19.5</v>
      </c>
      <c r="J36" s="13">
        <v>870</v>
      </c>
      <c r="K36" s="13">
        <v>0</v>
      </c>
      <c r="L36" s="13">
        <v>0</v>
      </c>
      <c r="M36" s="13">
        <v>100</v>
      </c>
      <c r="N36" s="13">
        <v>30</v>
      </c>
      <c r="O36" s="13">
        <v>90</v>
      </c>
      <c r="P36" s="13">
        <v>0</v>
      </c>
      <c r="Q36" s="13">
        <v>0</v>
      </c>
      <c r="R36" s="13">
        <v>100</v>
      </c>
      <c r="S36" s="13">
        <v>91</v>
      </c>
      <c r="T36" s="13"/>
      <c r="U36" s="13">
        <v>100</v>
      </c>
      <c r="V36" s="13">
        <v>82</v>
      </c>
      <c r="W36" s="13">
        <v>0</v>
      </c>
      <c r="X36" s="13"/>
      <c r="Y36" s="13">
        <v>0</v>
      </c>
      <c r="Z36" s="13"/>
      <c r="AA36" s="13"/>
      <c r="AB36" s="13">
        <v>34</v>
      </c>
      <c r="AC36" s="13">
        <v>19</v>
      </c>
      <c r="AD36" s="13">
        <v>0.1</v>
      </c>
      <c r="AE36" s="13">
        <v>0</v>
      </c>
      <c r="AF36" s="13">
        <v>0.2</v>
      </c>
      <c r="AG36" s="13"/>
      <c r="AH36" s="13">
        <v>0.2</v>
      </c>
    </row>
    <row r="37" spans="1:34" x14ac:dyDescent="0.25">
      <c r="B37" s="8">
        <v>35</v>
      </c>
      <c r="C37" s="10" t="s">
        <v>188</v>
      </c>
      <c r="D37" s="10">
        <v>94</v>
      </c>
      <c r="E37" s="10">
        <v>14.7</v>
      </c>
      <c r="F37" s="10">
        <v>125</v>
      </c>
      <c r="G37" s="10">
        <v>32</v>
      </c>
      <c r="H37" s="10">
        <v>178</v>
      </c>
      <c r="I37" s="10">
        <v>16.5</v>
      </c>
      <c r="J37" s="10">
        <v>223</v>
      </c>
      <c r="K37" s="10">
        <v>113</v>
      </c>
      <c r="L37" s="10">
        <v>115</v>
      </c>
      <c r="M37" s="10">
        <v>57</v>
      </c>
      <c r="N37" s="10">
        <v>492</v>
      </c>
      <c r="O37" s="10">
        <v>80</v>
      </c>
      <c r="P37" s="10">
        <v>95</v>
      </c>
      <c r="Q37" s="10">
        <v>65</v>
      </c>
      <c r="R37" s="10">
        <v>85</v>
      </c>
      <c r="S37" s="10">
        <v>82</v>
      </c>
      <c r="T37" s="10">
        <v>56</v>
      </c>
      <c r="U37" s="10">
        <v>54</v>
      </c>
      <c r="V37" s="10">
        <v>83</v>
      </c>
      <c r="W37" s="10">
        <v>110</v>
      </c>
      <c r="X37" s="10"/>
      <c r="Y37" s="10">
        <v>6</v>
      </c>
      <c r="Z37" s="10">
        <v>388</v>
      </c>
      <c r="AA37" s="10"/>
      <c r="AB37" s="10">
        <v>1</v>
      </c>
      <c r="AC37" s="10">
        <v>5.4</v>
      </c>
      <c r="AD37" s="10">
        <v>3.3</v>
      </c>
      <c r="AE37" s="10">
        <v>21</v>
      </c>
      <c r="AF37" s="10">
        <v>1</v>
      </c>
      <c r="AG37" s="10">
        <v>202</v>
      </c>
      <c r="AH37" s="10">
        <v>1</v>
      </c>
    </row>
    <row r="38" spans="1:34" x14ac:dyDescent="0.25">
      <c r="B38" s="11">
        <v>36</v>
      </c>
      <c r="C38" s="13" t="s">
        <v>189</v>
      </c>
      <c r="D38" s="13">
        <v>92</v>
      </c>
      <c r="E38" s="13">
        <v>12</v>
      </c>
      <c r="F38" s="13">
        <v>153</v>
      </c>
      <c r="G38" s="13">
        <v>26</v>
      </c>
      <c r="H38" s="13">
        <v>208</v>
      </c>
      <c r="I38" s="13">
        <v>14.3</v>
      </c>
      <c r="J38" s="13">
        <v>260</v>
      </c>
      <c r="K38" s="13">
        <v>10</v>
      </c>
      <c r="L38" s="13">
        <v>160</v>
      </c>
      <c r="M38" s="13">
        <v>70</v>
      </c>
      <c r="N38" s="13">
        <v>500</v>
      </c>
      <c r="O38" s="13">
        <v>80</v>
      </c>
      <c r="P38" s="13">
        <v>80</v>
      </c>
      <c r="Q38" s="13">
        <v>60</v>
      </c>
      <c r="R38" s="13">
        <v>85</v>
      </c>
      <c r="S38" s="13">
        <v>79</v>
      </c>
      <c r="T38" s="13"/>
      <c r="U38" s="13">
        <v>46</v>
      </c>
      <c r="V38" s="13">
        <v>82</v>
      </c>
      <c r="W38" s="13">
        <v>112</v>
      </c>
      <c r="X38" s="13"/>
      <c r="Y38" s="13">
        <v>19</v>
      </c>
      <c r="Z38" s="13">
        <v>580</v>
      </c>
      <c r="AA38" s="13"/>
      <c r="AB38" s="13">
        <v>1.4</v>
      </c>
      <c r="AC38" s="13">
        <v>6.4</v>
      </c>
      <c r="AD38" s="13">
        <v>3.6</v>
      </c>
      <c r="AE38" s="13">
        <v>23</v>
      </c>
      <c r="AF38" s="13">
        <v>0.6</v>
      </c>
      <c r="AG38" s="13"/>
      <c r="AH38" s="13">
        <v>0.6</v>
      </c>
    </row>
    <row r="39" spans="1:34" x14ac:dyDescent="0.25">
      <c r="B39" s="8">
        <v>37</v>
      </c>
      <c r="C39" s="10" t="s">
        <v>190</v>
      </c>
      <c r="D39" s="10">
        <v>7</v>
      </c>
      <c r="E39" s="10">
        <v>12.5</v>
      </c>
      <c r="F39" s="10">
        <v>72</v>
      </c>
      <c r="G39" s="10">
        <v>184</v>
      </c>
      <c r="H39" s="10">
        <v>210</v>
      </c>
      <c r="I39" s="10">
        <v>14.4</v>
      </c>
      <c r="J39" s="10">
        <v>300</v>
      </c>
      <c r="K39" s="10">
        <v>120</v>
      </c>
      <c r="L39" s="10">
        <v>90</v>
      </c>
      <c r="M39" s="10">
        <v>40</v>
      </c>
      <c r="N39" s="10">
        <v>450</v>
      </c>
      <c r="O39" s="10">
        <v>70</v>
      </c>
      <c r="P39" s="10">
        <v>80</v>
      </c>
      <c r="Q39" s="10">
        <v>60</v>
      </c>
      <c r="R39" s="10">
        <v>65</v>
      </c>
      <c r="S39" s="10">
        <v>68</v>
      </c>
      <c r="T39" s="10"/>
      <c r="U39" s="10">
        <v>82</v>
      </c>
      <c r="V39" s="10">
        <v>77</v>
      </c>
      <c r="W39" s="10"/>
      <c r="X39" s="10"/>
      <c r="Y39" s="10"/>
      <c r="Z39" s="10"/>
      <c r="AA39" s="10"/>
      <c r="AB39" s="10">
        <v>2.5</v>
      </c>
      <c r="AC39" s="10">
        <v>7.5</v>
      </c>
      <c r="AD39" s="10">
        <v>2</v>
      </c>
      <c r="AE39" s="10">
        <v>1</v>
      </c>
      <c r="AF39" s="10">
        <v>0.3</v>
      </c>
      <c r="AG39" s="10"/>
      <c r="AH39" s="10">
        <v>0.3</v>
      </c>
    </row>
    <row r="40" spans="1:34" x14ac:dyDescent="0.25">
      <c r="A40" t="s">
        <v>303</v>
      </c>
      <c r="B40" s="11">
        <v>38</v>
      </c>
      <c r="C40" s="13" t="s">
        <v>191</v>
      </c>
      <c r="D40" s="13">
        <v>90</v>
      </c>
      <c r="E40" s="13">
        <v>11.6</v>
      </c>
      <c r="F40" s="13">
        <v>141</v>
      </c>
      <c r="G40" s="13">
        <v>20</v>
      </c>
      <c r="H40" s="13">
        <v>180</v>
      </c>
      <c r="I40" s="13">
        <v>13.6</v>
      </c>
      <c r="J40" s="13">
        <v>240</v>
      </c>
      <c r="K40" s="13">
        <v>80</v>
      </c>
      <c r="L40" s="13">
        <v>170</v>
      </c>
      <c r="M40" s="13">
        <v>40</v>
      </c>
      <c r="N40" s="13">
        <v>470</v>
      </c>
      <c r="O40" s="13">
        <v>75</v>
      </c>
      <c r="P40" s="13">
        <v>85</v>
      </c>
      <c r="Q40" s="13">
        <v>55</v>
      </c>
      <c r="R40" s="13">
        <v>65</v>
      </c>
      <c r="S40" s="13">
        <v>67</v>
      </c>
      <c r="T40" s="13"/>
      <c r="U40" s="13">
        <v>38</v>
      </c>
      <c r="V40" s="13">
        <v>78</v>
      </c>
      <c r="W40" s="13">
        <v>20</v>
      </c>
      <c r="X40" s="13">
        <v>29</v>
      </c>
      <c r="Y40" s="13">
        <v>100</v>
      </c>
      <c r="Z40" s="13">
        <v>460</v>
      </c>
      <c r="AA40" s="13">
        <v>60</v>
      </c>
      <c r="AB40" s="13">
        <v>2</v>
      </c>
      <c r="AC40" s="13">
        <v>5.5</v>
      </c>
      <c r="AD40" s="13">
        <v>2</v>
      </c>
      <c r="AE40" s="13">
        <v>1</v>
      </c>
      <c r="AF40" s="13">
        <v>0.3</v>
      </c>
      <c r="AG40" s="13"/>
      <c r="AH40" s="13">
        <v>0.3</v>
      </c>
    </row>
    <row r="41" spans="1:34" x14ac:dyDescent="0.25">
      <c r="B41" s="8">
        <v>39</v>
      </c>
      <c r="C41" s="10" t="s">
        <v>192</v>
      </c>
      <c r="D41" s="10">
        <v>90</v>
      </c>
      <c r="E41" s="10">
        <v>11.8</v>
      </c>
      <c r="F41" s="10">
        <v>155</v>
      </c>
      <c r="G41" s="10">
        <v>40</v>
      </c>
      <c r="H41" s="10">
        <v>210</v>
      </c>
      <c r="I41" s="10">
        <v>13.9</v>
      </c>
      <c r="J41" s="10">
        <v>280</v>
      </c>
      <c r="K41" s="10">
        <v>80</v>
      </c>
      <c r="L41" s="10">
        <v>170</v>
      </c>
      <c r="M41" s="10">
        <v>40</v>
      </c>
      <c r="N41" s="10">
        <v>430</v>
      </c>
      <c r="O41" s="10">
        <v>75</v>
      </c>
      <c r="P41" s="10">
        <v>85</v>
      </c>
      <c r="Q41" s="10">
        <v>55</v>
      </c>
      <c r="R41" s="10">
        <v>65</v>
      </c>
      <c r="S41" s="10">
        <v>67</v>
      </c>
      <c r="T41" s="10">
        <v>36</v>
      </c>
      <c r="U41" s="10">
        <v>38</v>
      </c>
      <c r="V41" s="10">
        <v>78</v>
      </c>
      <c r="W41" s="10"/>
      <c r="X41" s="10"/>
      <c r="Y41" s="10"/>
      <c r="Z41" s="10">
        <v>483</v>
      </c>
      <c r="AA41" s="10"/>
      <c r="AB41" s="10">
        <v>2</v>
      </c>
      <c r="AC41" s="10">
        <v>5.5</v>
      </c>
      <c r="AD41" s="10">
        <v>1.5</v>
      </c>
      <c r="AE41" s="10">
        <v>1</v>
      </c>
      <c r="AF41" s="10">
        <v>0.6</v>
      </c>
      <c r="AG41" s="10"/>
      <c r="AH41" s="10">
        <v>0.6</v>
      </c>
    </row>
    <row r="42" spans="1:34" x14ac:dyDescent="0.25">
      <c r="B42" s="11">
        <v>40</v>
      </c>
      <c r="C42" s="13" t="s">
        <v>193</v>
      </c>
      <c r="D42" s="13">
        <v>37</v>
      </c>
      <c r="E42" s="13">
        <v>9.8000000000000007</v>
      </c>
      <c r="F42" s="13">
        <v>61</v>
      </c>
      <c r="G42" s="13">
        <v>-9</v>
      </c>
      <c r="H42" s="13">
        <v>75</v>
      </c>
      <c r="I42" s="13">
        <v>11.8</v>
      </c>
      <c r="J42" s="13">
        <v>113</v>
      </c>
      <c r="K42" s="13">
        <v>23</v>
      </c>
      <c r="L42" s="13">
        <v>295</v>
      </c>
      <c r="M42" s="13">
        <v>68</v>
      </c>
      <c r="N42" s="13">
        <v>501</v>
      </c>
      <c r="O42" s="13"/>
      <c r="P42" s="13">
        <v>60</v>
      </c>
      <c r="Q42" s="13">
        <v>60</v>
      </c>
      <c r="R42" s="13">
        <v>75</v>
      </c>
      <c r="S42" s="13">
        <v>72</v>
      </c>
      <c r="T42" s="13">
        <v>45</v>
      </c>
      <c r="U42" s="13">
        <v>80</v>
      </c>
      <c r="V42" s="13">
        <v>17</v>
      </c>
      <c r="W42" s="13">
        <v>18</v>
      </c>
      <c r="X42" s="13">
        <v>31</v>
      </c>
      <c r="Y42" s="13">
        <v>204</v>
      </c>
      <c r="Z42" s="13">
        <v>559</v>
      </c>
      <c r="AA42" s="13"/>
      <c r="AB42" s="13">
        <v>4.7</v>
      </c>
      <c r="AC42" s="13">
        <v>2.7</v>
      </c>
      <c r="AD42" s="13">
        <v>1.4</v>
      </c>
      <c r="AE42" s="13">
        <v>18.2</v>
      </c>
      <c r="AF42" s="13">
        <v>0.7</v>
      </c>
      <c r="AG42" s="13">
        <v>239</v>
      </c>
      <c r="AH42" s="13">
        <v>1.6</v>
      </c>
    </row>
    <row r="43" spans="1:34" x14ac:dyDescent="0.25">
      <c r="B43" s="8">
        <v>41</v>
      </c>
      <c r="C43" s="10" t="s">
        <v>194</v>
      </c>
      <c r="D43" s="10">
        <v>87</v>
      </c>
      <c r="E43" s="10">
        <v>10.3</v>
      </c>
      <c r="F43" s="10">
        <v>70</v>
      </c>
      <c r="G43" s="10">
        <v>28</v>
      </c>
      <c r="H43" s="10">
        <v>105</v>
      </c>
      <c r="I43" s="10">
        <v>11.8</v>
      </c>
      <c r="J43" s="10">
        <v>140</v>
      </c>
      <c r="K43" s="10">
        <v>50</v>
      </c>
      <c r="L43" s="10">
        <v>160</v>
      </c>
      <c r="M43" s="10">
        <v>60</v>
      </c>
      <c r="N43" s="10">
        <v>590</v>
      </c>
      <c r="O43" s="10">
        <v>75</v>
      </c>
      <c r="P43" s="10">
        <v>75</v>
      </c>
      <c r="Q43" s="10">
        <v>30</v>
      </c>
      <c r="R43" s="10">
        <v>70</v>
      </c>
      <c r="S43" s="10">
        <v>64</v>
      </c>
      <c r="T43" s="10"/>
      <c r="U43" s="10">
        <v>79</v>
      </c>
      <c r="V43" s="10">
        <v>82</v>
      </c>
      <c r="W43" s="10"/>
      <c r="X43" s="10"/>
      <c r="Y43" s="10"/>
      <c r="Z43" s="10"/>
      <c r="AA43" s="10"/>
      <c r="AB43" s="10">
        <v>1.1000000000000001</v>
      </c>
      <c r="AC43" s="10">
        <v>8</v>
      </c>
      <c r="AD43" s="10"/>
      <c r="AE43" s="10"/>
      <c r="AF43" s="10"/>
      <c r="AG43" s="10"/>
      <c r="AH43" s="10"/>
    </row>
    <row r="44" spans="1:34" x14ac:dyDescent="0.25">
      <c r="A44" t="s">
        <v>33</v>
      </c>
      <c r="B44" s="11">
        <v>42</v>
      </c>
      <c r="C44" s="13" t="s">
        <v>195</v>
      </c>
      <c r="D44" s="13">
        <v>87</v>
      </c>
      <c r="E44" s="13">
        <v>13.2</v>
      </c>
      <c r="F44" s="13">
        <v>90</v>
      </c>
      <c r="G44" s="13">
        <v>-29</v>
      </c>
      <c r="H44" s="13">
        <v>93</v>
      </c>
      <c r="I44" s="13">
        <v>15</v>
      </c>
      <c r="J44" s="13">
        <v>122</v>
      </c>
      <c r="K44" s="13">
        <v>27</v>
      </c>
      <c r="L44" s="13">
        <v>62</v>
      </c>
      <c r="M44" s="13">
        <v>28</v>
      </c>
      <c r="N44" s="13">
        <v>761</v>
      </c>
      <c r="O44" s="13">
        <v>76</v>
      </c>
      <c r="P44" s="13">
        <v>75</v>
      </c>
      <c r="Q44" s="13">
        <v>30</v>
      </c>
      <c r="R44" s="13">
        <v>89</v>
      </c>
      <c r="S44" s="13">
        <v>86</v>
      </c>
      <c r="T44" s="13">
        <v>53</v>
      </c>
      <c r="U44" s="13">
        <v>78</v>
      </c>
      <c r="V44" s="13">
        <v>69</v>
      </c>
      <c r="W44" s="13">
        <v>24</v>
      </c>
      <c r="X44" s="13">
        <v>22</v>
      </c>
      <c r="Y44" s="13">
        <v>518</v>
      </c>
      <c r="Z44" s="13">
        <v>229</v>
      </c>
      <c r="AA44" s="13">
        <v>20</v>
      </c>
      <c r="AB44" s="13">
        <v>0.4</v>
      </c>
      <c r="AC44" s="13">
        <v>4</v>
      </c>
      <c r="AD44" s="13">
        <v>1.3</v>
      </c>
      <c r="AE44" s="13">
        <v>5.9</v>
      </c>
      <c r="AF44" s="13">
        <v>0.3</v>
      </c>
      <c r="AG44" s="13">
        <v>15</v>
      </c>
      <c r="AH44" s="13">
        <v>0.3</v>
      </c>
    </row>
    <row r="45" spans="1:34" x14ac:dyDescent="0.25">
      <c r="B45" s="8">
        <v>43</v>
      </c>
      <c r="C45" s="10" t="s">
        <v>196</v>
      </c>
      <c r="D45" s="10">
        <v>86</v>
      </c>
      <c r="E45" s="10">
        <v>12.2</v>
      </c>
      <c r="F45" s="10">
        <v>84</v>
      </c>
      <c r="G45" s="10">
        <v>174</v>
      </c>
      <c r="H45" s="10">
        <v>281</v>
      </c>
      <c r="I45" s="10">
        <v>14.7</v>
      </c>
      <c r="J45" s="10">
        <v>351</v>
      </c>
      <c r="K45" s="10">
        <v>36</v>
      </c>
      <c r="L45" s="10">
        <v>137</v>
      </c>
      <c r="M45" s="10">
        <v>70</v>
      </c>
      <c r="N45" s="10">
        <v>406</v>
      </c>
      <c r="O45" s="10">
        <v>80</v>
      </c>
      <c r="P45" s="10">
        <v>75</v>
      </c>
      <c r="Q45" s="10">
        <v>70</v>
      </c>
      <c r="R45" s="10">
        <v>75</v>
      </c>
      <c r="S45" s="10">
        <v>76</v>
      </c>
      <c r="T45" s="10"/>
      <c r="U45" s="10">
        <v>70</v>
      </c>
      <c r="V45" s="10">
        <v>47</v>
      </c>
      <c r="W45" s="10">
        <v>150</v>
      </c>
      <c r="X45" s="10">
        <v>23</v>
      </c>
      <c r="Y45" s="10">
        <v>50</v>
      </c>
      <c r="Z45" s="10">
        <v>422</v>
      </c>
      <c r="AA45" s="10">
        <v>30</v>
      </c>
      <c r="AB45" s="10">
        <v>2.6</v>
      </c>
      <c r="AC45" s="10">
        <v>8.8000000000000007</v>
      </c>
      <c r="AD45" s="10">
        <v>2</v>
      </c>
      <c r="AE45" s="10">
        <v>22</v>
      </c>
      <c r="AF45" s="10">
        <v>0.8</v>
      </c>
      <c r="AG45" s="10"/>
      <c r="AH45" s="10">
        <v>0.8</v>
      </c>
    </row>
    <row r="46" spans="1:34" x14ac:dyDescent="0.25">
      <c r="B46" s="11">
        <v>44</v>
      </c>
      <c r="C46" s="13" t="s">
        <v>197</v>
      </c>
      <c r="D46" s="13">
        <v>12</v>
      </c>
      <c r="E46" s="13">
        <v>12.4</v>
      </c>
      <c r="F46" s="13">
        <v>90</v>
      </c>
      <c r="G46" s="13">
        <v>-53</v>
      </c>
      <c r="H46" s="13">
        <v>63</v>
      </c>
      <c r="I46" s="13">
        <v>14.4</v>
      </c>
      <c r="J46" s="13">
        <v>105</v>
      </c>
      <c r="K46" s="13">
        <v>10</v>
      </c>
      <c r="L46" s="13">
        <v>100</v>
      </c>
      <c r="M46" s="13">
        <v>60</v>
      </c>
      <c r="N46" s="13">
        <v>725</v>
      </c>
      <c r="O46" s="13">
        <v>60</v>
      </c>
      <c r="P46" s="13">
        <v>0</v>
      </c>
      <c r="Q46" s="13">
        <v>75</v>
      </c>
      <c r="R46" s="13">
        <v>95</v>
      </c>
      <c r="S46" s="13">
        <v>87</v>
      </c>
      <c r="T46" s="13"/>
      <c r="U46" s="13">
        <v>80</v>
      </c>
      <c r="V46" s="13">
        <v>61</v>
      </c>
      <c r="W46" s="13">
        <v>400</v>
      </c>
      <c r="X46" s="13"/>
      <c r="Y46" s="13">
        <v>0</v>
      </c>
      <c r="Z46" s="13">
        <v>440</v>
      </c>
      <c r="AA46" s="13">
        <v>100</v>
      </c>
      <c r="AB46" s="13">
        <v>4.2</v>
      </c>
      <c r="AC46" s="13">
        <v>2.8</v>
      </c>
      <c r="AD46" s="13">
        <v>1</v>
      </c>
      <c r="AE46" s="13">
        <v>18</v>
      </c>
      <c r="AF46" s="13">
        <v>1.1000000000000001</v>
      </c>
      <c r="AG46" s="13"/>
      <c r="AH46" s="13">
        <v>1.7</v>
      </c>
    </row>
    <row r="47" spans="1:34" x14ac:dyDescent="0.25">
      <c r="A47" t="s">
        <v>39</v>
      </c>
      <c r="B47" s="8">
        <v>45</v>
      </c>
      <c r="C47" s="10" t="s">
        <v>198</v>
      </c>
      <c r="D47" s="10">
        <v>93</v>
      </c>
      <c r="E47" s="10">
        <v>20.100000000000001</v>
      </c>
      <c r="F47" s="10">
        <v>51</v>
      </c>
      <c r="G47" s="10">
        <v>154</v>
      </c>
      <c r="H47" s="10">
        <v>206</v>
      </c>
      <c r="I47" s="10">
        <v>20.8</v>
      </c>
      <c r="J47" s="10">
        <v>240</v>
      </c>
      <c r="K47" s="10">
        <v>380</v>
      </c>
      <c r="L47" s="10">
        <v>70</v>
      </c>
      <c r="M47" s="10">
        <v>40</v>
      </c>
      <c r="N47" s="10">
        <v>270</v>
      </c>
      <c r="O47" s="10">
        <v>86</v>
      </c>
      <c r="P47" s="10">
        <v>90</v>
      </c>
      <c r="Q47" s="10">
        <v>30</v>
      </c>
      <c r="R47" s="10">
        <v>80</v>
      </c>
      <c r="S47" s="10">
        <v>82</v>
      </c>
      <c r="T47" s="10"/>
      <c r="U47" s="10">
        <v>82</v>
      </c>
      <c r="V47" s="10">
        <v>70</v>
      </c>
      <c r="W47" s="10">
        <v>26</v>
      </c>
      <c r="X47" s="10"/>
      <c r="Y47" s="10">
        <v>54</v>
      </c>
      <c r="Z47" s="10">
        <v>140</v>
      </c>
      <c r="AA47" s="10"/>
      <c r="AB47" s="10">
        <v>2.8</v>
      </c>
      <c r="AC47" s="10">
        <v>5.7</v>
      </c>
      <c r="AD47" s="10">
        <v>3.9</v>
      </c>
      <c r="AE47" s="10">
        <v>9</v>
      </c>
      <c r="AF47" s="10">
        <v>0.4</v>
      </c>
      <c r="AG47" s="10"/>
      <c r="AH47" s="10">
        <v>0.4</v>
      </c>
    </row>
    <row r="48" spans="1:34" x14ac:dyDescent="0.25">
      <c r="B48" s="11">
        <v>46</v>
      </c>
      <c r="C48" s="13" t="s">
        <v>199</v>
      </c>
      <c r="D48" s="13">
        <v>90</v>
      </c>
      <c r="E48" s="13">
        <v>16.2</v>
      </c>
      <c r="F48" s="13">
        <v>78</v>
      </c>
      <c r="G48" s="13">
        <v>178</v>
      </c>
      <c r="H48" s="13">
        <v>255</v>
      </c>
      <c r="I48" s="13">
        <v>17.8</v>
      </c>
      <c r="J48" s="13">
        <v>297</v>
      </c>
      <c r="K48" s="13">
        <v>198</v>
      </c>
      <c r="L48" s="13">
        <v>93</v>
      </c>
      <c r="M48" s="13">
        <v>50</v>
      </c>
      <c r="N48" s="13">
        <v>362</v>
      </c>
      <c r="O48" s="13">
        <v>86</v>
      </c>
      <c r="P48" s="13">
        <v>90</v>
      </c>
      <c r="Q48" s="13">
        <v>30</v>
      </c>
      <c r="R48" s="13">
        <v>80</v>
      </c>
      <c r="S48" s="13">
        <v>82</v>
      </c>
      <c r="T48" s="13">
        <v>50</v>
      </c>
      <c r="U48" s="13">
        <v>79</v>
      </c>
      <c r="V48" s="13">
        <v>83</v>
      </c>
      <c r="W48" s="13">
        <v>54</v>
      </c>
      <c r="X48" s="13"/>
      <c r="Y48" s="13">
        <v>26</v>
      </c>
      <c r="Z48" s="13">
        <v>465</v>
      </c>
      <c r="AA48" s="13"/>
      <c r="AB48" s="13">
        <v>3.7</v>
      </c>
      <c r="AC48" s="13">
        <v>8.6</v>
      </c>
      <c r="AD48" s="13">
        <v>5.2</v>
      </c>
      <c r="AE48" s="13">
        <v>11</v>
      </c>
      <c r="AF48" s="13">
        <v>0.8</v>
      </c>
      <c r="AG48" s="13"/>
      <c r="AH48" s="13">
        <v>0.8</v>
      </c>
    </row>
    <row r="49" spans="1:34" x14ac:dyDescent="0.25">
      <c r="B49" s="8">
        <v>47</v>
      </c>
      <c r="C49" s="10" t="s">
        <v>200</v>
      </c>
      <c r="D49" s="10">
        <v>90</v>
      </c>
      <c r="E49" s="10">
        <v>12.5</v>
      </c>
      <c r="F49" s="10">
        <v>151</v>
      </c>
      <c r="G49" s="10">
        <v>175</v>
      </c>
      <c r="H49" s="10">
        <v>344</v>
      </c>
      <c r="I49" s="10">
        <v>15.1</v>
      </c>
      <c r="J49" s="10">
        <v>400</v>
      </c>
      <c r="K49" s="10">
        <v>20</v>
      </c>
      <c r="L49" s="10">
        <v>110</v>
      </c>
      <c r="M49" s="10">
        <v>60</v>
      </c>
      <c r="N49" s="10">
        <v>410</v>
      </c>
      <c r="O49" s="10">
        <v>86</v>
      </c>
      <c r="P49" s="10">
        <v>70</v>
      </c>
      <c r="Q49" s="10">
        <v>30</v>
      </c>
      <c r="R49" s="10">
        <v>80</v>
      </c>
      <c r="S49" s="10">
        <v>76</v>
      </c>
      <c r="T49" s="10"/>
      <c r="U49" s="10">
        <v>60</v>
      </c>
      <c r="V49" s="10">
        <v>83</v>
      </c>
      <c r="W49" s="10">
        <v>54</v>
      </c>
      <c r="X49" s="10"/>
      <c r="Y49" s="10">
        <v>26</v>
      </c>
      <c r="Z49" s="10"/>
      <c r="AA49" s="10"/>
      <c r="AB49" s="10">
        <v>3.9</v>
      </c>
      <c r="AC49" s="10">
        <v>8.8000000000000007</v>
      </c>
      <c r="AD49" s="10">
        <v>5.2</v>
      </c>
      <c r="AE49" s="10">
        <v>11</v>
      </c>
      <c r="AF49" s="10">
        <v>0.8</v>
      </c>
      <c r="AG49" s="10">
        <v>34</v>
      </c>
      <c r="AH49" s="10">
        <v>0.8</v>
      </c>
    </row>
    <row r="50" spans="1:34" x14ac:dyDescent="0.25">
      <c r="B50" s="11">
        <v>48</v>
      </c>
      <c r="C50" s="13" t="s">
        <v>201</v>
      </c>
      <c r="D50" s="13">
        <v>87</v>
      </c>
      <c r="E50" s="13">
        <v>13.6</v>
      </c>
      <c r="F50" s="13">
        <v>139</v>
      </c>
      <c r="G50" s="13">
        <v>265</v>
      </c>
      <c r="H50" s="13">
        <v>390</v>
      </c>
      <c r="I50" s="13">
        <v>16.600000000000001</v>
      </c>
      <c r="J50" s="13">
        <v>453</v>
      </c>
      <c r="K50" s="13">
        <v>49</v>
      </c>
      <c r="L50" s="13">
        <v>163</v>
      </c>
      <c r="M50" s="13">
        <v>48</v>
      </c>
      <c r="N50" s="13">
        <v>287</v>
      </c>
      <c r="O50" s="13">
        <v>86</v>
      </c>
      <c r="P50" s="13">
        <v>75</v>
      </c>
      <c r="Q50" s="13">
        <v>70</v>
      </c>
      <c r="R50" s="13">
        <v>80</v>
      </c>
      <c r="S50" s="13">
        <v>81</v>
      </c>
      <c r="T50" s="13"/>
      <c r="U50" s="13">
        <v>72</v>
      </c>
      <c r="V50" s="13">
        <v>95</v>
      </c>
      <c r="W50" s="13">
        <v>50</v>
      </c>
      <c r="X50" s="13"/>
      <c r="Y50" s="13">
        <v>220</v>
      </c>
      <c r="Z50" s="13">
        <v>263</v>
      </c>
      <c r="AA50" s="13"/>
      <c r="AB50" s="13">
        <v>3.6</v>
      </c>
      <c r="AC50" s="13">
        <v>7.5</v>
      </c>
      <c r="AD50" s="13">
        <v>3.1</v>
      </c>
      <c r="AE50" s="13">
        <v>14</v>
      </c>
      <c r="AF50" s="13">
        <v>0.2</v>
      </c>
      <c r="AG50" s="13"/>
      <c r="AH50" s="13">
        <v>0.2</v>
      </c>
    </row>
    <row r="51" spans="1:34" x14ac:dyDescent="0.25">
      <c r="B51" s="8">
        <v>49</v>
      </c>
      <c r="C51" s="10" t="s">
        <v>202</v>
      </c>
      <c r="D51" s="10">
        <v>13</v>
      </c>
      <c r="E51" s="10">
        <v>10.1</v>
      </c>
      <c r="F51" s="10">
        <v>66</v>
      </c>
      <c r="G51" s="10">
        <v>57</v>
      </c>
      <c r="H51" s="10">
        <v>138</v>
      </c>
      <c r="I51" s="10">
        <v>12.3</v>
      </c>
      <c r="J51" s="10">
        <v>180</v>
      </c>
      <c r="K51" s="10">
        <v>30</v>
      </c>
      <c r="L51" s="10">
        <v>220</v>
      </c>
      <c r="M51" s="10">
        <v>130</v>
      </c>
      <c r="N51" s="10">
        <v>440</v>
      </c>
      <c r="O51" s="10"/>
      <c r="P51" s="10">
        <v>58</v>
      </c>
      <c r="Q51" s="10">
        <v>62</v>
      </c>
      <c r="R51" s="10">
        <v>79</v>
      </c>
      <c r="S51" s="10">
        <v>74</v>
      </c>
      <c r="T51" s="10"/>
      <c r="U51" s="10">
        <v>80</v>
      </c>
      <c r="V51" s="10">
        <v>61</v>
      </c>
      <c r="W51" s="10">
        <v>10</v>
      </c>
      <c r="X51" s="10"/>
      <c r="Y51" s="10">
        <v>60</v>
      </c>
      <c r="Z51" s="10"/>
      <c r="AA51" s="10"/>
      <c r="AB51" s="10">
        <v>10.199999999999999</v>
      </c>
      <c r="AC51" s="10">
        <v>2.6</v>
      </c>
      <c r="AD51" s="10">
        <v>2.2999999999999998</v>
      </c>
      <c r="AE51" s="10">
        <v>32</v>
      </c>
      <c r="AF51" s="10">
        <v>0.5</v>
      </c>
      <c r="AG51" s="10"/>
      <c r="AH51" s="10">
        <v>0.5</v>
      </c>
    </row>
    <row r="52" spans="1:34" x14ac:dyDescent="0.25">
      <c r="A52" t="s">
        <v>374</v>
      </c>
      <c r="B52" s="11">
        <v>50</v>
      </c>
      <c r="C52" s="13" t="s">
        <v>203</v>
      </c>
      <c r="D52" s="13">
        <v>92</v>
      </c>
      <c r="E52" s="13">
        <v>16</v>
      </c>
      <c r="F52" s="13">
        <v>476</v>
      </c>
      <c r="G52" s="13">
        <v>82</v>
      </c>
      <c r="H52" s="13">
        <v>598</v>
      </c>
      <c r="I52" s="13">
        <v>19.600000000000001</v>
      </c>
      <c r="J52" s="13">
        <v>672</v>
      </c>
      <c r="K52" s="13">
        <v>24</v>
      </c>
      <c r="L52" s="13">
        <v>22</v>
      </c>
      <c r="M52" s="13">
        <v>18</v>
      </c>
      <c r="N52" s="13">
        <v>264</v>
      </c>
      <c r="O52" s="13">
        <v>89</v>
      </c>
      <c r="P52" s="13">
        <v>85</v>
      </c>
      <c r="Q52" s="13">
        <v>30</v>
      </c>
      <c r="R52" s="13">
        <v>95</v>
      </c>
      <c r="S52" s="13">
        <v>88</v>
      </c>
      <c r="T52" s="13">
        <v>71</v>
      </c>
      <c r="U52" s="13">
        <v>19</v>
      </c>
      <c r="V52" s="13">
        <v>97</v>
      </c>
      <c r="W52" s="13">
        <v>0</v>
      </c>
      <c r="X52" s="13">
        <v>12</v>
      </c>
      <c r="Y52" s="13">
        <v>150</v>
      </c>
      <c r="Z52" s="13">
        <v>140</v>
      </c>
      <c r="AA52" s="13">
        <v>10</v>
      </c>
      <c r="AB52" s="13">
        <v>0.4</v>
      </c>
      <c r="AC52" s="13">
        <v>3.3</v>
      </c>
      <c r="AD52" s="13">
        <v>1.2</v>
      </c>
      <c r="AE52" s="13">
        <v>1</v>
      </c>
      <c r="AF52" s="13">
        <v>0.6</v>
      </c>
      <c r="AG52" s="13"/>
      <c r="AH52" s="13">
        <v>0.6</v>
      </c>
    </row>
    <row r="53" spans="1:34" x14ac:dyDescent="0.25">
      <c r="A53" t="s">
        <v>12</v>
      </c>
      <c r="B53" s="8">
        <v>51</v>
      </c>
      <c r="C53" s="10" t="s">
        <v>204</v>
      </c>
      <c r="D53" s="10">
        <v>22</v>
      </c>
      <c r="E53" s="10">
        <v>10.4</v>
      </c>
      <c r="F53" s="10">
        <v>76</v>
      </c>
      <c r="G53" s="10">
        <v>-40</v>
      </c>
      <c r="H53" s="10">
        <v>62</v>
      </c>
      <c r="I53" s="10">
        <v>12.6</v>
      </c>
      <c r="J53" s="10">
        <v>99</v>
      </c>
      <c r="K53" s="10">
        <v>22</v>
      </c>
      <c r="L53" s="10">
        <v>299</v>
      </c>
      <c r="M53" s="10">
        <v>65</v>
      </c>
      <c r="N53" s="10">
        <v>515</v>
      </c>
      <c r="O53" s="10"/>
      <c r="P53" s="10">
        <v>71</v>
      </c>
      <c r="Q53" s="10">
        <v>74</v>
      </c>
      <c r="R53" s="10">
        <v>76</v>
      </c>
      <c r="S53" s="10">
        <v>71</v>
      </c>
      <c r="T53" s="10">
        <v>35</v>
      </c>
      <c r="U53" s="10">
        <v>70</v>
      </c>
      <c r="V53" s="10">
        <v>57</v>
      </c>
      <c r="W53" s="10"/>
      <c r="X53" s="10"/>
      <c r="Y53" s="10"/>
      <c r="Z53" s="10">
        <v>617</v>
      </c>
      <c r="AA53" s="10"/>
      <c r="AB53" s="10">
        <v>6.5</v>
      </c>
      <c r="AC53" s="10">
        <v>2.5</v>
      </c>
      <c r="AD53" s="10">
        <v>1.3</v>
      </c>
      <c r="AE53" s="10">
        <v>16</v>
      </c>
      <c r="AF53" s="10">
        <v>0.4</v>
      </c>
      <c r="AG53" s="10">
        <v>299</v>
      </c>
      <c r="AH53" s="10">
        <v>0.2</v>
      </c>
    </row>
    <row r="54" spans="1:34" x14ac:dyDescent="0.25">
      <c r="B54" s="11">
        <v>52</v>
      </c>
      <c r="C54" s="13" t="s">
        <v>205</v>
      </c>
      <c r="D54" s="13">
        <v>32</v>
      </c>
      <c r="E54" s="13">
        <v>11</v>
      </c>
      <c r="F54" s="13">
        <v>82</v>
      </c>
      <c r="G54" s="13">
        <v>-55</v>
      </c>
      <c r="H54" s="13">
        <v>54</v>
      </c>
      <c r="I54" s="13">
        <v>13</v>
      </c>
      <c r="J54" s="13">
        <v>91</v>
      </c>
      <c r="K54" s="13">
        <v>22</v>
      </c>
      <c r="L54" s="13">
        <v>231</v>
      </c>
      <c r="M54" s="13">
        <v>44</v>
      </c>
      <c r="N54" s="13">
        <v>612</v>
      </c>
      <c r="O54" s="13"/>
      <c r="P54" s="13">
        <v>71</v>
      </c>
      <c r="Q54" s="13">
        <v>68</v>
      </c>
      <c r="R54" s="13">
        <v>80</v>
      </c>
      <c r="S54" s="13">
        <v>75</v>
      </c>
      <c r="T54" s="13">
        <v>31</v>
      </c>
      <c r="U54" s="13">
        <v>67</v>
      </c>
      <c r="V54" s="13">
        <v>67</v>
      </c>
      <c r="W54" s="13">
        <v>75</v>
      </c>
      <c r="X54" s="13">
        <v>28</v>
      </c>
      <c r="Y54" s="13">
        <v>223</v>
      </c>
      <c r="Z54" s="13">
        <v>496</v>
      </c>
      <c r="AA54" s="13"/>
      <c r="AB54" s="13">
        <v>2.4</v>
      </c>
      <c r="AC54" s="13">
        <v>2.2999999999999998</v>
      </c>
      <c r="AD54" s="13">
        <v>1.2</v>
      </c>
      <c r="AE54" s="13">
        <v>11.1</v>
      </c>
      <c r="AF54" s="13">
        <v>0.4</v>
      </c>
      <c r="AG54" s="13">
        <v>174</v>
      </c>
      <c r="AH54" s="13">
        <v>0.2</v>
      </c>
    </row>
    <row r="55" spans="1:34" x14ac:dyDescent="0.25">
      <c r="A55" t="s">
        <v>36</v>
      </c>
      <c r="B55" s="8">
        <v>53</v>
      </c>
      <c r="C55" s="10" t="s">
        <v>206</v>
      </c>
      <c r="D55" s="10">
        <v>48</v>
      </c>
      <c r="E55" s="10">
        <v>12.8</v>
      </c>
      <c r="F55" s="10"/>
      <c r="G55" s="10"/>
      <c r="H55" s="10">
        <v>73</v>
      </c>
      <c r="I55" s="10">
        <v>14.5</v>
      </c>
      <c r="J55" s="10">
        <v>111</v>
      </c>
      <c r="K55" s="10">
        <v>40</v>
      </c>
      <c r="L55" s="10">
        <v>63</v>
      </c>
      <c r="M55" s="10">
        <v>23</v>
      </c>
      <c r="N55" s="10">
        <v>763</v>
      </c>
      <c r="O55" s="10">
        <v>66</v>
      </c>
      <c r="P55" s="10">
        <v>60</v>
      </c>
      <c r="Q55" s="10">
        <v>63</v>
      </c>
      <c r="R55" s="10">
        <v>85</v>
      </c>
      <c r="S55" s="10">
        <v>80</v>
      </c>
      <c r="T55" s="10"/>
      <c r="U55" s="10">
        <v>0</v>
      </c>
      <c r="V55" s="10">
        <v>0</v>
      </c>
      <c r="W55" s="10">
        <v>27</v>
      </c>
      <c r="X55" s="10"/>
      <c r="Y55" s="10">
        <v>550</v>
      </c>
      <c r="Z55" s="10">
        <v>280</v>
      </c>
      <c r="AA55" s="10">
        <v>20</v>
      </c>
      <c r="AB55" s="10">
        <v>0.5</v>
      </c>
      <c r="AC55" s="10">
        <v>3.6</v>
      </c>
      <c r="AD55" s="10">
        <v>0.5</v>
      </c>
      <c r="AE55" s="10">
        <v>5.3</v>
      </c>
      <c r="AF55" s="10">
        <v>0.2</v>
      </c>
      <c r="AG55" s="10"/>
      <c r="AH55" s="10">
        <v>0.2</v>
      </c>
    </row>
    <row r="56" spans="1:34" x14ac:dyDescent="0.25">
      <c r="B56" s="11">
        <v>54</v>
      </c>
      <c r="C56" s="13" t="s">
        <v>207</v>
      </c>
      <c r="D56" s="13">
        <v>87</v>
      </c>
      <c r="E56" s="13">
        <v>14.6</v>
      </c>
      <c r="F56" s="13">
        <v>122</v>
      </c>
      <c r="G56" s="13">
        <v>-89</v>
      </c>
      <c r="H56" s="13">
        <v>73</v>
      </c>
      <c r="I56" s="13">
        <v>16.399999999999999</v>
      </c>
      <c r="J56" s="13">
        <v>100</v>
      </c>
      <c r="K56" s="13">
        <v>50</v>
      </c>
      <c r="L56" s="13">
        <v>25</v>
      </c>
      <c r="M56" s="13">
        <v>15</v>
      </c>
      <c r="N56" s="13">
        <v>810</v>
      </c>
      <c r="O56" s="13">
        <v>73</v>
      </c>
      <c r="P56" s="13">
        <v>85</v>
      </c>
      <c r="Q56" s="13">
        <v>30</v>
      </c>
      <c r="R56" s="13">
        <v>93</v>
      </c>
      <c r="S56" s="13">
        <v>89</v>
      </c>
      <c r="T56" s="13">
        <v>54</v>
      </c>
      <c r="U56" s="13">
        <v>47</v>
      </c>
      <c r="V56" s="13">
        <v>90</v>
      </c>
      <c r="W56" s="13">
        <v>17</v>
      </c>
      <c r="X56" s="13"/>
      <c r="Y56" s="13">
        <v>712</v>
      </c>
      <c r="Z56" s="13">
        <v>94</v>
      </c>
      <c r="AA56" s="13">
        <v>10</v>
      </c>
      <c r="AB56" s="13">
        <v>0.1</v>
      </c>
      <c r="AC56" s="13">
        <v>3</v>
      </c>
      <c r="AD56" s="13">
        <v>1.2</v>
      </c>
      <c r="AE56" s="13">
        <v>3.8</v>
      </c>
      <c r="AF56" s="13">
        <v>0.1</v>
      </c>
      <c r="AG56" s="13"/>
      <c r="AH56" s="13">
        <v>0.1</v>
      </c>
    </row>
    <row r="57" spans="1:34" x14ac:dyDescent="0.25">
      <c r="B57" s="8">
        <v>55</v>
      </c>
      <c r="C57" s="10" t="s">
        <v>208</v>
      </c>
      <c r="D57" s="10">
        <v>13</v>
      </c>
      <c r="E57" s="10">
        <v>21.7</v>
      </c>
      <c r="F57" s="10">
        <v>39</v>
      </c>
      <c r="G57" s="10">
        <v>200</v>
      </c>
      <c r="H57" s="10">
        <v>252</v>
      </c>
      <c r="I57" s="10">
        <v>22.7</v>
      </c>
      <c r="J57" s="10">
        <v>265</v>
      </c>
      <c r="K57" s="10">
        <v>310</v>
      </c>
      <c r="L57" s="10">
        <v>0</v>
      </c>
      <c r="M57" s="10">
        <v>60</v>
      </c>
      <c r="N57" s="10">
        <v>365</v>
      </c>
      <c r="O57" s="10">
        <v>95</v>
      </c>
      <c r="P57" s="10">
        <v>100</v>
      </c>
      <c r="Q57" s="10">
        <v>0</v>
      </c>
      <c r="R57" s="10">
        <v>100</v>
      </c>
      <c r="S57" s="10">
        <v>99</v>
      </c>
      <c r="T57" s="10"/>
      <c r="U57" s="10">
        <v>100</v>
      </c>
      <c r="V57" s="10">
        <v>100</v>
      </c>
      <c r="W57" s="10">
        <v>365</v>
      </c>
      <c r="X57" s="10"/>
      <c r="Y57" s="10">
        <v>0</v>
      </c>
      <c r="Z57" s="10">
        <v>0</v>
      </c>
      <c r="AA57" s="10">
        <v>0</v>
      </c>
      <c r="AB57" s="10">
        <v>10</v>
      </c>
      <c r="AC57" s="10">
        <v>7.4</v>
      </c>
      <c r="AD57" s="10">
        <v>0.9</v>
      </c>
      <c r="AE57" s="10">
        <v>11</v>
      </c>
      <c r="AF57" s="10">
        <v>3.2</v>
      </c>
      <c r="AG57" s="10">
        <v>64</v>
      </c>
      <c r="AH57" s="10">
        <v>3.2</v>
      </c>
    </row>
    <row r="58" spans="1:34" x14ac:dyDescent="0.25">
      <c r="B58" s="11">
        <v>56</v>
      </c>
      <c r="C58" s="13" t="s">
        <v>209</v>
      </c>
      <c r="D58" s="13">
        <v>8</v>
      </c>
      <c r="E58" s="13">
        <v>14.9</v>
      </c>
      <c r="F58" s="13">
        <v>52</v>
      </c>
      <c r="G58" s="13">
        <v>252</v>
      </c>
      <c r="H58" s="13">
        <v>289</v>
      </c>
      <c r="I58" s="13">
        <v>17</v>
      </c>
      <c r="J58" s="13">
        <v>340</v>
      </c>
      <c r="K58" s="13">
        <v>55</v>
      </c>
      <c r="L58" s="13">
        <v>0</v>
      </c>
      <c r="M58" s="13">
        <v>115</v>
      </c>
      <c r="N58" s="13">
        <v>490</v>
      </c>
      <c r="O58" s="13">
        <v>85</v>
      </c>
      <c r="P58" s="13">
        <v>100</v>
      </c>
      <c r="Q58" s="13">
        <v>0</v>
      </c>
      <c r="R58" s="13">
        <v>100</v>
      </c>
      <c r="S58" s="13">
        <v>94</v>
      </c>
      <c r="T58" s="13"/>
      <c r="U58" s="13">
        <v>100</v>
      </c>
      <c r="V58" s="13">
        <v>100</v>
      </c>
      <c r="W58" s="13">
        <v>490</v>
      </c>
      <c r="X58" s="13"/>
      <c r="Y58" s="13">
        <v>0</v>
      </c>
      <c r="Z58" s="13">
        <v>0</v>
      </c>
      <c r="AA58" s="13">
        <v>0</v>
      </c>
      <c r="AB58" s="13">
        <v>16</v>
      </c>
      <c r="AC58" s="13">
        <v>11</v>
      </c>
      <c r="AD58" s="13">
        <v>1.1000000000000001</v>
      </c>
      <c r="AE58" s="13">
        <v>18</v>
      </c>
      <c r="AF58" s="13"/>
      <c r="AG58" s="13"/>
      <c r="AH58" s="13"/>
    </row>
    <row r="59" spans="1:34" x14ac:dyDescent="0.25">
      <c r="A59" t="s">
        <v>50</v>
      </c>
      <c r="B59" s="8">
        <v>57</v>
      </c>
      <c r="C59" s="10" t="s">
        <v>210</v>
      </c>
      <c r="D59" s="10">
        <v>7</v>
      </c>
      <c r="E59" s="10">
        <v>13.6</v>
      </c>
      <c r="F59" s="10">
        <v>82</v>
      </c>
      <c r="G59" s="10">
        <v>-18</v>
      </c>
      <c r="H59" s="10">
        <v>85</v>
      </c>
      <c r="I59" s="10">
        <v>15.1</v>
      </c>
      <c r="J59" s="10">
        <v>120</v>
      </c>
      <c r="K59" s="10">
        <v>10</v>
      </c>
      <c r="L59" s="10">
        <v>0</v>
      </c>
      <c r="M59" s="10">
        <v>100</v>
      </c>
      <c r="N59" s="10">
        <v>770</v>
      </c>
      <c r="O59" s="10">
        <v>71</v>
      </c>
      <c r="P59" s="10">
        <v>100</v>
      </c>
      <c r="Q59" s="10">
        <v>0</v>
      </c>
      <c r="R59" s="10">
        <v>100</v>
      </c>
      <c r="S59" s="10">
        <v>96</v>
      </c>
      <c r="T59" s="10"/>
      <c r="U59" s="10">
        <v>100</v>
      </c>
      <c r="V59" s="10">
        <v>100</v>
      </c>
      <c r="W59" s="10">
        <v>770</v>
      </c>
      <c r="X59" s="10"/>
      <c r="Y59" s="10">
        <v>0</v>
      </c>
      <c r="Z59" s="10">
        <v>0</v>
      </c>
      <c r="AA59" s="10">
        <v>0</v>
      </c>
      <c r="AB59" s="10">
        <v>7.2</v>
      </c>
      <c r="AC59" s="10">
        <v>7.9</v>
      </c>
      <c r="AD59" s="10">
        <v>1.4</v>
      </c>
      <c r="AE59" s="10">
        <v>24</v>
      </c>
      <c r="AF59" s="10">
        <v>10.6</v>
      </c>
      <c r="AG59" s="10"/>
      <c r="AH59" s="10">
        <v>10</v>
      </c>
    </row>
    <row r="60" spans="1:34" x14ac:dyDescent="0.25">
      <c r="B60" s="11">
        <v>58</v>
      </c>
      <c r="C60" s="13" t="s">
        <v>211</v>
      </c>
      <c r="D60" s="13">
        <v>6</v>
      </c>
      <c r="E60" s="13">
        <v>13.5</v>
      </c>
      <c r="F60" s="13">
        <v>91</v>
      </c>
      <c r="G60" s="13">
        <v>-99</v>
      </c>
      <c r="H60" s="13">
        <v>20</v>
      </c>
      <c r="I60" s="13">
        <v>14.8</v>
      </c>
      <c r="J60" s="13">
        <v>54</v>
      </c>
      <c r="K60" s="13">
        <v>5</v>
      </c>
      <c r="L60" s="13">
        <v>0</v>
      </c>
      <c r="M60" s="13">
        <v>87</v>
      </c>
      <c r="N60" s="13">
        <v>854</v>
      </c>
      <c r="O60" s="13">
        <v>37</v>
      </c>
      <c r="P60" s="13">
        <v>100</v>
      </c>
      <c r="Q60" s="13">
        <v>0</v>
      </c>
      <c r="R60" s="13">
        <v>100</v>
      </c>
      <c r="S60" s="13">
        <v>96</v>
      </c>
      <c r="T60" s="13"/>
      <c r="U60" s="13">
        <v>100</v>
      </c>
      <c r="V60" s="13">
        <v>100</v>
      </c>
      <c r="W60" s="13">
        <v>854</v>
      </c>
      <c r="X60" s="13"/>
      <c r="Y60" s="13">
        <v>0</v>
      </c>
      <c r="Z60" s="13">
        <v>0</v>
      </c>
      <c r="AA60" s="13">
        <v>0</v>
      </c>
      <c r="AB60" s="13">
        <v>4.5999999999999996</v>
      </c>
      <c r="AC60" s="13">
        <v>7.4</v>
      </c>
      <c r="AD60" s="13">
        <v>1.4</v>
      </c>
      <c r="AE60" s="13">
        <v>13</v>
      </c>
      <c r="AF60" s="13">
        <v>8.3000000000000007</v>
      </c>
      <c r="AG60" s="13"/>
      <c r="AH60" s="13">
        <v>8.6</v>
      </c>
    </row>
    <row r="61" spans="1:34" x14ac:dyDescent="0.25">
      <c r="B61" s="8">
        <v>59</v>
      </c>
      <c r="C61" s="10" t="s">
        <v>212</v>
      </c>
      <c r="D61" s="10">
        <v>12</v>
      </c>
      <c r="E61" s="10">
        <v>12.1</v>
      </c>
      <c r="F61" s="10">
        <v>88</v>
      </c>
      <c r="G61" s="10">
        <v>-49</v>
      </c>
      <c r="H61" s="10">
        <v>63</v>
      </c>
      <c r="I61" s="10">
        <v>13.9</v>
      </c>
      <c r="J61" s="10">
        <v>105</v>
      </c>
      <c r="K61" s="10">
        <v>10</v>
      </c>
      <c r="L61" s="10">
        <v>110</v>
      </c>
      <c r="M61" s="10">
        <v>80</v>
      </c>
      <c r="N61" s="10">
        <v>695</v>
      </c>
      <c r="O61" s="10">
        <v>60</v>
      </c>
      <c r="P61" s="10">
        <v>0</v>
      </c>
      <c r="Q61" s="10">
        <v>75</v>
      </c>
      <c r="R61" s="10">
        <v>95</v>
      </c>
      <c r="S61" s="10">
        <v>87</v>
      </c>
      <c r="T61" s="10"/>
      <c r="U61" s="10">
        <v>80</v>
      </c>
      <c r="V61" s="10">
        <v>65</v>
      </c>
      <c r="W61" s="10">
        <v>600</v>
      </c>
      <c r="X61" s="10"/>
      <c r="Y61" s="10">
        <v>0</v>
      </c>
      <c r="Z61" s="10">
        <v>90</v>
      </c>
      <c r="AA61" s="10">
        <v>0</v>
      </c>
      <c r="AB61" s="10">
        <v>3.3</v>
      </c>
      <c r="AC61" s="10">
        <v>2.8</v>
      </c>
      <c r="AD61" s="10">
        <v>2</v>
      </c>
      <c r="AE61" s="10">
        <v>28</v>
      </c>
      <c r="AF61" s="10">
        <v>10.4</v>
      </c>
      <c r="AG61" s="10"/>
      <c r="AH61" s="10">
        <v>10.4</v>
      </c>
    </row>
    <row r="62" spans="1:34" x14ac:dyDescent="0.25">
      <c r="A62" t="s">
        <v>43</v>
      </c>
      <c r="B62" s="11">
        <v>60</v>
      </c>
      <c r="C62" s="13" t="s">
        <v>213</v>
      </c>
      <c r="D62" s="13">
        <v>91</v>
      </c>
      <c r="E62" s="13">
        <v>13.4</v>
      </c>
      <c r="F62" s="13">
        <v>115</v>
      </c>
      <c r="G62" s="13">
        <v>-35</v>
      </c>
      <c r="H62" s="13">
        <v>126</v>
      </c>
      <c r="I62" s="13">
        <v>15</v>
      </c>
      <c r="J62" s="13">
        <v>154</v>
      </c>
      <c r="K62" s="13">
        <v>97</v>
      </c>
      <c r="L62" s="13">
        <v>228</v>
      </c>
      <c r="M62" s="13">
        <v>44</v>
      </c>
      <c r="N62" s="13">
        <v>477</v>
      </c>
      <c r="O62" s="13">
        <v>82</v>
      </c>
      <c r="P62" s="13">
        <v>90</v>
      </c>
      <c r="Q62" s="13">
        <v>40</v>
      </c>
      <c r="R62" s="13">
        <v>90</v>
      </c>
      <c r="S62" s="13">
        <v>80</v>
      </c>
      <c r="T62" s="13"/>
      <c r="U62" s="13">
        <v>38</v>
      </c>
      <c r="V62" s="13">
        <v>73</v>
      </c>
      <c r="W62" s="13">
        <v>150</v>
      </c>
      <c r="X62" s="13">
        <v>19</v>
      </c>
      <c r="Y62" s="13">
        <v>0</v>
      </c>
      <c r="Z62" s="13">
        <v>620</v>
      </c>
      <c r="AA62" s="13"/>
      <c r="AB62" s="13">
        <v>2.1</v>
      </c>
      <c r="AC62" s="13">
        <v>6.5</v>
      </c>
      <c r="AD62" s="13">
        <v>3.1</v>
      </c>
      <c r="AE62" s="13">
        <v>8</v>
      </c>
      <c r="AF62" s="13">
        <v>0.1</v>
      </c>
      <c r="AG62" s="13"/>
      <c r="AH62" s="13">
        <v>0.1</v>
      </c>
    </row>
    <row r="63" spans="1:34" x14ac:dyDescent="0.25">
      <c r="B63" s="8">
        <v>61</v>
      </c>
      <c r="C63" s="10" t="s">
        <v>214</v>
      </c>
      <c r="D63" s="10">
        <v>91</v>
      </c>
      <c r="E63" s="10">
        <v>12.5</v>
      </c>
      <c r="F63" s="10">
        <v>151</v>
      </c>
      <c r="G63" s="10">
        <v>-30</v>
      </c>
      <c r="H63" s="10">
        <v>166</v>
      </c>
      <c r="I63" s="10">
        <v>14.7</v>
      </c>
      <c r="J63" s="10">
        <v>202</v>
      </c>
      <c r="K63" s="10">
        <v>13</v>
      </c>
      <c r="L63" s="10">
        <v>168</v>
      </c>
      <c r="M63" s="10">
        <v>46</v>
      </c>
      <c r="N63" s="10">
        <v>571</v>
      </c>
      <c r="O63" s="10">
        <v>82</v>
      </c>
      <c r="P63" s="10">
        <v>75</v>
      </c>
      <c r="Q63" s="10">
        <v>50</v>
      </c>
      <c r="R63" s="10">
        <v>90</v>
      </c>
      <c r="S63" s="10">
        <v>80</v>
      </c>
      <c r="T63" s="10"/>
      <c r="U63" s="10">
        <v>38</v>
      </c>
      <c r="V63" s="10">
        <v>82</v>
      </c>
      <c r="W63" s="10">
        <v>150</v>
      </c>
      <c r="X63" s="10"/>
      <c r="Y63" s="10">
        <v>50</v>
      </c>
      <c r="Z63" s="10">
        <v>620</v>
      </c>
      <c r="AA63" s="10"/>
      <c r="AB63" s="10">
        <v>2.1</v>
      </c>
      <c r="AC63" s="10">
        <v>6.5</v>
      </c>
      <c r="AD63" s="10">
        <v>3.1</v>
      </c>
      <c r="AE63" s="10">
        <v>8</v>
      </c>
      <c r="AF63" s="10">
        <v>0.1</v>
      </c>
      <c r="AG63" s="10"/>
      <c r="AH63" s="10">
        <v>0.1</v>
      </c>
    </row>
    <row r="64" spans="1:34" x14ac:dyDescent="0.25">
      <c r="B64" s="11">
        <v>62</v>
      </c>
      <c r="C64" s="13" t="s">
        <v>215</v>
      </c>
      <c r="D64" s="13">
        <v>6</v>
      </c>
      <c r="E64" s="13">
        <v>11.4</v>
      </c>
      <c r="F64" s="13">
        <v>94</v>
      </c>
      <c r="G64" s="13">
        <v>52</v>
      </c>
      <c r="H64" s="13">
        <v>160</v>
      </c>
      <c r="I64" s="13">
        <v>13.3</v>
      </c>
      <c r="J64" s="13">
        <v>200</v>
      </c>
      <c r="K64" s="13">
        <v>7</v>
      </c>
      <c r="L64" s="13">
        <v>59</v>
      </c>
      <c r="M64" s="13">
        <v>113</v>
      </c>
      <c r="N64" s="13">
        <v>621</v>
      </c>
      <c r="O64" s="13">
        <v>80</v>
      </c>
      <c r="P64" s="13">
        <v>65</v>
      </c>
      <c r="Q64" s="13">
        <v>60</v>
      </c>
      <c r="R64" s="13">
        <v>81</v>
      </c>
      <c r="S64" s="13">
        <v>80</v>
      </c>
      <c r="T64" s="13"/>
      <c r="U64" s="13">
        <v>74</v>
      </c>
      <c r="V64" s="13">
        <v>82</v>
      </c>
      <c r="W64" s="13"/>
      <c r="X64" s="13"/>
      <c r="Y64" s="13"/>
      <c r="Z64" s="13"/>
      <c r="AA64" s="13"/>
      <c r="AB64" s="13">
        <v>2.8</v>
      </c>
      <c r="AC64" s="13">
        <v>7.3</v>
      </c>
      <c r="AD64" s="13">
        <v>0</v>
      </c>
      <c r="AE64" s="13">
        <v>55</v>
      </c>
      <c r="AF64" s="13">
        <v>0.6</v>
      </c>
      <c r="AG64" s="13"/>
      <c r="AH64" s="13">
        <v>0.6</v>
      </c>
    </row>
    <row r="65" spans="1:34" x14ac:dyDescent="0.25">
      <c r="A65" t="s">
        <v>600</v>
      </c>
      <c r="B65" s="8">
        <v>63</v>
      </c>
      <c r="C65" s="10" t="s">
        <v>216</v>
      </c>
      <c r="D65" s="10">
        <v>23</v>
      </c>
      <c r="E65" s="10">
        <v>13.1</v>
      </c>
      <c r="F65" s="10">
        <v>92</v>
      </c>
      <c r="G65" s="10">
        <v>-70</v>
      </c>
      <c r="H65" s="10">
        <v>50</v>
      </c>
      <c r="I65" s="10">
        <v>14.9</v>
      </c>
      <c r="J65" s="10">
        <v>90</v>
      </c>
      <c r="K65" s="10">
        <v>10</v>
      </c>
      <c r="L65" s="10">
        <v>25</v>
      </c>
      <c r="M65" s="10">
        <v>55</v>
      </c>
      <c r="N65" s="10">
        <v>820</v>
      </c>
      <c r="O65" s="10">
        <v>55</v>
      </c>
      <c r="P65" s="10">
        <v>0</v>
      </c>
      <c r="Q65" s="10">
        <v>55</v>
      </c>
      <c r="R65" s="10">
        <v>95</v>
      </c>
      <c r="S65" s="10">
        <v>90</v>
      </c>
      <c r="T65" s="10"/>
      <c r="U65" s="10">
        <v>80</v>
      </c>
      <c r="V65" s="10">
        <v>65</v>
      </c>
      <c r="W65" s="10">
        <v>0</v>
      </c>
      <c r="X65" s="10">
        <v>26</v>
      </c>
      <c r="Y65" s="10">
        <v>740</v>
      </c>
      <c r="Z65" s="10">
        <v>73</v>
      </c>
      <c r="AA65" s="10">
        <v>14</v>
      </c>
      <c r="AB65" s="10">
        <v>0.3</v>
      </c>
      <c r="AC65" s="10">
        <v>2.2999999999999998</v>
      </c>
      <c r="AD65" s="10">
        <v>1.4</v>
      </c>
      <c r="AE65" s="10">
        <v>22</v>
      </c>
      <c r="AF65" s="10">
        <v>0.6</v>
      </c>
      <c r="AG65" s="10">
        <v>404</v>
      </c>
      <c r="AH65" s="10">
        <v>0.6</v>
      </c>
    </row>
    <row r="66" spans="1:34" x14ac:dyDescent="0.25">
      <c r="B66" s="11">
        <v>64</v>
      </c>
      <c r="C66" s="13" t="s">
        <v>217</v>
      </c>
      <c r="D66" s="13">
        <v>14</v>
      </c>
      <c r="E66" s="13">
        <v>10.8</v>
      </c>
      <c r="F66" s="13">
        <v>95</v>
      </c>
      <c r="G66" s="13">
        <v>-7</v>
      </c>
      <c r="H66" s="13">
        <v>50</v>
      </c>
      <c r="I66" s="13">
        <v>12.7</v>
      </c>
      <c r="J66" s="13">
        <v>160</v>
      </c>
      <c r="K66" s="13">
        <v>5</v>
      </c>
      <c r="L66" s="13">
        <v>180</v>
      </c>
      <c r="M66" s="13">
        <v>80</v>
      </c>
      <c r="N66" s="13">
        <v>575</v>
      </c>
      <c r="O66" s="13">
        <v>31</v>
      </c>
      <c r="P66" s="13">
        <v>0</v>
      </c>
      <c r="Q66" s="13">
        <v>73</v>
      </c>
      <c r="R66" s="13">
        <v>93</v>
      </c>
      <c r="S66" s="13"/>
      <c r="T66" s="13"/>
      <c r="U66" s="13">
        <v>70</v>
      </c>
      <c r="V66" s="13">
        <v>77</v>
      </c>
      <c r="W66" s="13">
        <v>10</v>
      </c>
      <c r="X66" s="13"/>
      <c r="Y66" s="13">
        <v>300</v>
      </c>
      <c r="Z66" s="13"/>
      <c r="AA66" s="13"/>
      <c r="AB66" s="13">
        <v>2</v>
      </c>
      <c r="AC66" s="13">
        <v>2.9</v>
      </c>
      <c r="AD66" s="13">
        <v>2.4</v>
      </c>
      <c r="AE66" s="13">
        <v>5</v>
      </c>
      <c r="AF66" s="13">
        <v>0.3</v>
      </c>
      <c r="AG66" s="13"/>
      <c r="AH66" s="13">
        <v>0.3</v>
      </c>
    </row>
    <row r="67" spans="1:34" x14ac:dyDescent="0.25">
      <c r="A67" t="s">
        <v>52</v>
      </c>
      <c r="B67" s="8">
        <v>65</v>
      </c>
      <c r="C67" s="10" t="s">
        <v>218</v>
      </c>
      <c r="D67" s="10">
        <v>90</v>
      </c>
      <c r="E67" s="10">
        <v>15.5</v>
      </c>
      <c r="F67" s="10">
        <v>418</v>
      </c>
      <c r="G67" s="10">
        <v>323</v>
      </c>
      <c r="H67" s="10">
        <v>751</v>
      </c>
      <c r="I67" s="10">
        <v>19.7</v>
      </c>
      <c r="J67" s="10">
        <v>844</v>
      </c>
      <c r="K67" s="10">
        <v>33</v>
      </c>
      <c r="L67" s="10">
        <v>4</v>
      </c>
      <c r="M67" s="10">
        <v>28</v>
      </c>
      <c r="N67" s="10">
        <v>91</v>
      </c>
      <c r="O67" s="10">
        <v>89</v>
      </c>
      <c r="P67" s="10"/>
      <c r="Q67" s="10">
        <v>55</v>
      </c>
      <c r="R67" s="10">
        <v>90</v>
      </c>
      <c r="S67" s="10"/>
      <c r="T67" s="10">
        <v>49</v>
      </c>
      <c r="U67" s="10">
        <v>40</v>
      </c>
      <c r="V67" s="10">
        <v>95</v>
      </c>
      <c r="W67" s="10"/>
      <c r="X67" s="10">
        <v>15</v>
      </c>
      <c r="Y67" s="10"/>
      <c r="Z67" s="10">
        <v>20</v>
      </c>
      <c r="AA67" s="10"/>
      <c r="AB67" s="10">
        <v>1.1000000000000001</v>
      </c>
      <c r="AC67" s="10">
        <v>4.4000000000000004</v>
      </c>
      <c r="AD67" s="10">
        <v>1.1000000000000001</v>
      </c>
      <c r="AE67" s="10">
        <v>8.9</v>
      </c>
      <c r="AF67" s="10">
        <v>0.6</v>
      </c>
      <c r="AG67" s="10"/>
      <c r="AH67" s="10">
        <v>0.6</v>
      </c>
    </row>
    <row r="68" spans="1:34" x14ac:dyDescent="0.25">
      <c r="A68" t="s">
        <v>298</v>
      </c>
      <c r="B68" s="11">
        <v>66</v>
      </c>
      <c r="C68" s="13" t="s">
        <v>219</v>
      </c>
      <c r="D68" s="13">
        <v>94</v>
      </c>
      <c r="E68" s="13">
        <v>15.6</v>
      </c>
      <c r="F68" s="13">
        <v>80</v>
      </c>
      <c r="G68" s="13">
        <v>180</v>
      </c>
      <c r="H68" s="13">
        <v>268</v>
      </c>
      <c r="I68" s="13">
        <v>17.3</v>
      </c>
      <c r="J68" s="13">
        <v>315</v>
      </c>
      <c r="K68" s="13">
        <v>174</v>
      </c>
      <c r="L68" s="13">
        <v>117</v>
      </c>
      <c r="M68" s="13">
        <v>67</v>
      </c>
      <c r="N68" s="13">
        <v>327</v>
      </c>
      <c r="O68" s="13">
        <v>85</v>
      </c>
      <c r="P68" s="13">
        <v>95</v>
      </c>
      <c r="Q68" s="13">
        <v>30</v>
      </c>
      <c r="R68" s="13">
        <v>80</v>
      </c>
      <c r="S68" s="13">
        <v>77</v>
      </c>
      <c r="T68" s="13">
        <v>39</v>
      </c>
      <c r="U68" s="13">
        <v>74</v>
      </c>
      <c r="V68" s="13">
        <v>70</v>
      </c>
      <c r="W68" s="13">
        <v>20</v>
      </c>
      <c r="X68" s="13">
        <v>53</v>
      </c>
      <c r="Y68" s="13">
        <v>10</v>
      </c>
      <c r="Z68" s="13"/>
      <c r="AA68" s="13"/>
      <c r="AB68" s="13">
        <v>8</v>
      </c>
      <c r="AC68" s="13">
        <v>11</v>
      </c>
      <c r="AD68" s="13">
        <v>5</v>
      </c>
      <c r="AE68" s="13">
        <v>13</v>
      </c>
      <c r="AF68" s="13">
        <v>0.5</v>
      </c>
      <c r="AG68" s="13">
        <v>-60</v>
      </c>
      <c r="AH68" s="13">
        <v>0.5</v>
      </c>
    </row>
    <row r="69" spans="1:34" x14ac:dyDescent="0.25">
      <c r="B69" s="8">
        <v>67</v>
      </c>
      <c r="C69" s="10" t="s">
        <v>220</v>
      </c>
      <c r="D69" s="10">
        <v>94</v>
      </c>
      <c r="E69" s="10">
        <v>15.5</v>
      </c>
      <c r="F69" s="10">
        <v>171</v>
      </c>
      <c r="G69" s="10">
        <v>87</v>
      </c>
      <c r="H69" s="10">
        <v>288</v>
      </c>
      <c r="I69" s="10">
        <v>17.2</v>
      </c>
      <c r="J69" s="10">
        <v>339</v>
      </c>
      <c r="K69" s="10">
        <v>169</v>
      </c>
      <c r="L69" s="10">
        <v>137</v>
      </c>
      <c r="M69" s="10">
        <v>66</v>
      </c>
      <c r="N69" s="10">
        <v>289</v>
      </c>
      <c r="O69" s="10">
        <v>85</v>
      </c>
      <c r="P69" s="10">
        <v>95</v>
      </c>
      <c r="Q69" s="10">
        <v>30</v>
      </c>
      <c r="R69" s="10">
        <v>80</v>
      </c>
      <c r="S69" s="10">
        <v>77</v>
      </c>
      <c r="T69" s="10">
        <v>39</v>
      </c>
      <c r="U69" s="10">
        <v>40</v>
      </c>
      <c r="V69" s="10">
        <v>82</v>
      </c>
      <c r="W69" s="10">
        <v>20</v>
      </c>
      <c r="X69" s="10">
        <v>53</v>
      </c>
      <c r="Y69" s="10">
        <v>6</v>
      </c>
      <c r="Z69" s="10">
        <v>311</v>
      </c>
      <c r="AA69" s="10"/>
      <c r="AB69" s="10">
        <v>7.5</v>
      </c>
      <c r="AC69" s="10">
        <v>12.4</v>
      </c>
      <c r="AD69" s="10">
        <v>4.2</v>
      </c>
      <c r="AE69" s="10">
        <v>13.2</v>
      </c>
      <c r="AF69" s="10">
        <v>0.8</v>
      </c>
      <c r="AG69" s="10">
        <v>-42</v>
      </c>
      <c r="AH69" s="10">
        <v>0.5</v>
      </c>
    </row>
    <row r="70" spans="1:34" x14ac:dyDescent="0.25">
      <c r="B70" s="11">
        <v>68</v>
      </c>
      <c r="C70" s="13" t="s">
        <v>221</v>
      </c>
      <c r="D70" s="13">
        <v>21</v>
      </c>
      <c r="E70" s="13">
        <v>11.1</v>
      </c>
      <c r="F70" s="13">
        <v>80</v>
      </c>
      <c r="G70" s="13">
        <v>5</v>
      </c>
      <c r="H70" s="13">
        <v>102</v>
      </c>
      <c r="I70" s="13">
        <v>13.5</v>
      </c>
      <c r="J70" s="13">
        <v>142</v>
      </c>
      <c r="K70" s="13">
        <v>30</v>
      </c>
      <c r="L70" s="13">
        <v>261</v>
      </c>
      <c r="M70" s="13">
        <v>100</v>
      </c>
      <c r="N70" s="13">
        <v>467</v>
      </c>
      <c r="O70" s="13"/>
      <c r="P70" s="13">
        <v>50</v>
      </c>
      <c r="Q70" s="13">
        <v>79</v>
      </c>
      <c r="R70" s="13">
        <v>86</v>
      </c>
      <c r="S70" s="13">
        <v>81</v>
      </c>
      <c r="T70" s="13"/>
      <c r="U70" s="13">
        <v>80</v>
      </c>
      <c r="V70" s="13">
        <v>82</v>
      </c>
      <c r="W70" s="13"/>
      <c r="X70" s="13"/>
      <c r="Y70" s="13"/>
      <c r="Z70" s="13"/>
      <c r="AA70" s="13"/>
      <c r="AB70" s="13">
        <v>10</v>
      </c>
      <c r="AC70" s="13">
        <v>2.8</v>
      </c>
      <c r="AD70" s="13"/>
      <c r="AE70" s="13"/>
      <c r="AF70" s="13"/>
      <c r="AG70" s="13"/>
      <c r="AH70" s="13"/>
    </row>
    <row r="71" spans="1:34" x14ac:dyDescent="0.25">
      <c r="B71" s="8">
        <v>69</v>
      </c>
      <c r="C71" s="10" t="s">
        <v>222</v>
      </c>
      <c r="D71" s="10">
        <v>90</v>
      </c>
      <c r="E71" s="10">
        <v>12.4</v>
      </c>
      <c r="F71" s="10">
        <v>112</v>
      </c>
      <c r="G71" s="10">
        <v>231</v>
      </c>
      <c r="H71" s="10">
        <v>340</v>
      </c>
      <c r="I71" s="10">
        <v>14.8</v>
      </c>
      <c r="J71" s="10">
        <v>400</v>
      </c>
      <c r="K71" s="10">
        <v>45</v>
      </c>
      <c r="L71" s="10">
        <v>123</v>
      </c>
      <c r="M71" s="10">
        <v>77</v>
      </c>
      <c r="N71" s="10">
        <v>355</v>
      </c>
      <c r="O71" s="10">
        <v>85</v>
      </c>
      <c r="P71" s="10">
        <v>67</v>
      </c>
      <c r="Q71" s="10">
        <v>30</v>
      </c>
      <c r="R71" s="10">
        <v>80</v>
      </c>
      <c r="S71" s="10">
        <v>77</v>
      </c>
      <c r="T71" s="10">
        <v>47</v>
      </c>
      <c r="U71" s="10">
        <v>72</v>
      </c>
      <c r="V71" s="10">
        <v>82</v>
      </c>
      <c r="W71" s="10">
        <v>20</v>
      </c>
      <c r="X71" s="10">
        <v>50</v>
      </c>
      <c r="Y71" s="10">
        <v>13</v>
      </c>
      <c r="Z71" s="10">
        <v>243</v>
      </c>
      <c r="AA71" s="10"/>
      <c r="AB71" s="10">
        <v>7.9</v>
      </c>
      <c r="AC71" s="10">
        <v>14.4</v>
      </c>
      <c r="AD71" s="10">
        <v>5.6</v>
      </c>
      <c r="AE71" s="10">
        <v>15.8</v>
      </c>
      <c r="AF71" s="10">
        <v>0.1</v>
      </c>
      <c r="AG71" s="10">
        <v>-13</v>
      </c>
      <c r="AH71" s="10">
        <v>0.1</v>
      </c>
    </row>
    <row r="72" spans="1:34" x14ac:dyDescent="0.25">
      <c r="A72" t="s">
        <v>32</v>
      </c>
      <c r="B72" s="11">
        <v>70</v>
      </c>
      <c r="C72" s="13" t="s">
        <v>223</v>
      </c>
      <c r="D72" s="13">
        <v>90</v>
      </c>
      <c r="E72" s="13">
        <v>12.2</v>
      </c>
      <c r="F72" s="13">
        <v>221</v>
      </c>
      <c r="G72" s="13">
        <v>79</v>
      </c>
      <c r="H72" s="13">
        <v>331</v>
      </c>
      <c r="I72" s="13">
        <v>14.6</v>
      </c>
      <c r="J72" s="13">
        <v>389</v>
      </c>
      <c r="K72" s="13">
        <v>46</v>
      </c>
      <c r="L72" s="13">
        <v>140</v>
      </c>
      <c r="M72" s="13">
        <v>75</v>
      </c>
      <c r="N72" s="13">
        <v>350</v>
      </c>
      <c r="O72" s="13">
        <v>85</v>
      </c>
      <c r="P72" s="13">
        <v>67</v>
      </c>
      <c r="Q72" s="13">
        <v>30</v>
      </c>
      <c r="R72" s="13">
        <v>80</v>
      </c>
      <c r="S72" s="13">
        <v>77</v>
      </c>
      <c r="T72" s="13">
        <v>47</v>
      </c>
      <c r="U72" s="13">
        <v>35</v>
      </c>
      <c r="V72" s="13">
        <v>87</v>
      </c>
      <c r="W72" s="13">
        <v>20</v>
      </c>
      <c r="X72" s="13">
        <v>50</v>
      </c>
      <c r="Y72" s="13">
        <v>6</v>
      </c>
      <c r="Z72" s="13">
        <v>332</v>
      </c>
      <c r="AA72" s="13"/>
      <c r="AB72" s="13">
        <v>8</v>
      </c>
      <c r="AC72" s="13">
        <v>12</v>
      </c>
      <c r="AD72" s="13">
        <v>6</v>
      </c>
      <c r="AE72" s="13">
        <v>16</v>
      </c>
      <c r="AF72" s="13">
        <v>0.3</v>
      </c>
      <c r="AG72" s="13">
        <v>1</v>
      </c>
      <c r="AH72" s="13">
        <v>0.1</v>
      </c>
    </row>
    <row r="73" spans="1:34" x14ac:dyDescent="0.25">
      <c r="A73" t="s">
        <v>31</v>
      </c>
      <c r="B73" s="8">
        <v>71</v>
      </c>
      <c r="C73" s="10" t="s">
        <v>224</v>
      </c>
      <c r="D73" s="10">
        <v>93</v>
      </c>
      <c r="E73" s="10">
        <v>22.1</v>
      </c>
      <c r="F73" s="10">
        <v>56</v>
      </c>
      <c r="G73" s="10">
        <v>111</v>
      </c>
      <c r="H73" s="10">
        <v>170</v>
      </c>
      <c r="I73" s="10">
        <v>22.1</v>
      </c>
      <c r="J73" s="10">
        <v>210</v>
      </c>
      <c r="K73" s="10">
        <v>460</v>
      </c>
      <c r="L73" s="10">
        <v>80</v>
      </c>
      <c r="M73" s="10">
        <v>50</v>
      </c>
      <c r="N73" s="10">
        <v>200</v>
      </c>
      <c r="O73" s="10">
        <v>81</v>
      </c>
      <c r="P73" s="10">
        <v>95</v>
      </c>
      <c r="Q73" s="10">
        <v>25</v>
      </c>
      <c r="R73" s="10">
        <v>80</v>
      </c>
      <c r="S73" s="10">
        <v>82</v>
      </c>
      <c r="T73" s="10">
        <v>45</v>
      </c>
      <c r="U73" s="10">
        <v>68</v>
      </c>
      <c r="V73" s="10">
        <v>64</v>
      </c>
      <c r="W73" s="10">
        <v>10</v>
      </c>
      <c r="X73" s="10">
        <v>26</v>
      </c>
      <c r="Y73" s="10">
        <v>10</v>
      </c>
      <c r="Z73" s="10">
        <v>120</v>
      </c>
      <c r="AA73" s="10">
        <v>30</v>
      </c>
      <c r="AB73" s="10">
        <v>4.3</v>
      </c>
      <c r="AC73" s="10">
        <v>8.6</v>
      </c>
      <c r="AD73" s="10">
        <v>2.4</v>
      </c>
      <c r="AE73" s="10">
        <v>8.1999999999999993</v>
      </c>
      <c r="AF73" s="10">
        <v>0.1</v>
      </c>
      <c r="AG73" s="10"/>
      <c r="AH73" s="10">
        <v>0.1</v>
      </c>
    </row>
    <row r="74" spans="1:34" x14ac:dyDescent="0.25">
      <c r="B74" s="11">
        <v>72</v>
      </c>
      <c r="C74" s="13" t="s">
        <v>225</v>
      </c>
      <c r="D74" s="13">
        <v>35</v>
      </c>
      <c r="E74" s="13">
        <v>7.6</v>
      </c>
      <c r="F74" s="13">
        <v>54</v>
      </c>
      <c r="G74" s="13">
        <v>-90</v>
      </c>
      <c r="H74" s="13">
        <v>0</v>
      </c>
      <c r="I74" s="13">
        <v>9.1999999999999993</v>
      </c>
      <c r="J74" s="13">
        <v>30</v>
      </c>
      <c r="K74" s="13">
        <v>20</v>
      </c>
      <c r="L74" s="13">
        <v>410</v>
      </c>
      <c r="M74" s="13">
        <v>10</v>
      </c>
      <c r="N74" s="13">
        <v>530</v>
      </c>
      <c r="O74" s="13">
        <v>0</v>
      </c>
      <c r="P74" s="13">
        <v>70</v>
      </c>
      <c r="Q74" s="13">
        <v>45</v>
      </c>
      <c r="R74" s="13">
        <v>60</v>
      </c>
      <c r="S74" s="13">
        <v>52</v>
      </c>
      <c r="T74" s="13">
        <v>3</v>
      </c>
      <c r="U74" s="13">
        <v>0</v>
      </c>
      <c r="V74" s="13">
        <v>0</v>
      </c>
      <c r="W74" s="13"/>
      <c r="X74" s="13"/>
      <c r="Y74" s="13"/>
      <c r="Z74" s="13"/>
      <c r="AA74" s="13"/>
      <c r="AB74" s="13">
        <v>0.9</v>
      </c>
      <c r="AC74" s="13">
        <v>0.3</v>
      </c>
      <c r="AD74" s="13"/>
      <c r="AE74" s="13"/>
      <c r="AF74" s="13"/>
      <c r="AG74" s="13"/>
      <c r="AH74" s="13"/>
    </row>
    <row r="75" spans="1:34" x14ac:dyDescent="0.25">
      <c r="B75" s="8">
        <v>73</v>
      </c>
      <c r="C75" s="10" t="s">
        <v>226</v>
      </c>
      <c r="D75" s="10">
        <v>89</v>
      </c>
      <c r="E75" s="10">
        <v>12.7</v>
      </c>
      <c r="F75" s="10">
        <v>99</v>
      </c>
      <c r="G75" s="10">
        <v>-77</v>
      </c>
      <c r="H75" s="10">
        <v>51</v>
      </c>
      <c r="I75" s="10">
        <v>14.5</v>
      </c>
      <c r="J75" s="10">
        <v>82</v>
      </c>
      <c r="K75" s="10">
        <v>19</v>
      </c>
      <c r="L75" s="10">
        <v>112</v>
      </c>
      <c r="M75" s="10">
        <v>51</v>
      </c>
      <c r="N75" s="10">
        <v>736</v>
      </c>
      <c r="O75" s="10">
        <v>62</v>
      </c>
      <c r="P75" s="10">
        <v>50</v>
      </c>
      <c r="Q75" s="10">
        <v>45</v>
      </c>
      <c r="R75" s="10">
        <v>95</v>
      </c>
      <c r="S75" s="10">
        <v>85</v>
      </c>
      <c r="T75" s="10"/>
      <c r="U75" s="10">
        <v>70</v>
      </c>
      <c r="V75" s="10">
        <v>90</v>
      </c>
      <c r="W75" s="10">
        <v>0</v>
      </c>
      <c r="X75" s="10"/>
      <c r="Y75" s="10">
        <v>691</v>
      </c>
      <c r="Z75" s="10">
        <v>160</v>
      </c>
      <c r="AA75" s="10"/>
      <c r="AB75" s="10">
        <v>0.7</v>
      </c>
      <c r="AC75" s="10">
        <v>2.9</v>
      </c>
      <c r="AD75" s="10">
        <v>1.5</v>
      </c>
      <c r="AE75" s="10">
        <v>3.6</v>
      </c>
      <c r="AF75" s="10">
        <v>0.6</v>
      </c>
      <c r="AG75" s="10"/>
      <c r="AH75" s="10">
        <v>0.6</v>
      </c>
    </row>
    <row r="76" spans="1:34" x14ac:dyDescent="0.25">
      <c r="B76" s="11">
        <v>74</v>
      </c>
      <c r="C76" s="13" t="s">
        <v>227</v>
      </c>
      <c r="D76" s="13">
        <v>87</v>
      </c>
      <c r="E76" s="13">
        <v>14.4</v>
      </c>
      <c r="F76" s="13">
        <v>110</v>
      </c>
      <c r="G76" s="13">
        <v>-96</v>
      </c>
      <c r="H76" s="13">
        <v>50</v>
      </c>
      <c r="I76" s="13">
        <v>16.2</v>
      </c>
      <c r="J76" s="13">
        <v>81</v>
      </c>
      <c r="K76" s="13">
        <v>10</v>
      </c>
      <c r="L76" s="13">
        <v>8</v>
      </c>
      <c r="M76" s="13">
        <v>5</v>
      </c>
      <c r="N76" s="13">
        <v>896</v>
      </c>
      <c r="O76" s="13">
        <v>62</v>
      </c>
      <c r="P76" s="13">
        <v>50</v>
      </c>
      <c r="Q76" s="13">
        <v>45</v>
      </c>
      <c r="R76" s="13">
        <v>95</v>
      </c>
      <c r="S76" s="13">
        <v>91</v>
      </c>
      <c r="T76" s="13">
        <v>80</v>
      </c>
      <c r="U76" s="13">
        <v>70</v>
      </c>
      <c r="V76" s="13">
        <v>90</v>
      </c>
      <c r="W76" s="13">
        <v>0</v>
      </c>
      <c r="X76" s="13"/>
      <c r="Y76" s="13">
        <v>850</v>
      </c>
      <c r="Z76" s="13">
        <v>13</v>
      </c>
      <c r="AA76" s="13"/>
      <c r="AB76" s="13">
        <v>0.3</v>
      </c>
      <c r="AC76" s="13">
        <v>1.1000000000000001</v>
      </c>
      <c r="AD76" s="13">
        <v>1.2</v>
      </c>
      <c r="AE76" s="13">
        <v>1.5</v>
      </c>
      <c r="AF76" s="13">
        <v>0.8</v>
      </c>
      <c r="AG76" s="13"/>
      <c r="AH76" s="13">
        <v>0.8</v>
      </c>
    </row>
    <row r="77" spans="1:34" x14ac:dyDescent="0.25">
      <c r="B77" s="8">
        <v>75</v>
      </c>
      <c r="C77" s="10" t="s">
        <v>228</v>
      </c>
      <c r="D77" s="10">
        <v>9</v>
      </c>
      <c r="E77" s="10">
        <v>10.9</v>
      </c>
      <c r="F77" s="10">
        <v>79</v>
      </c>
      <c r="G77" s="10">
        <v>-21</v>
      </c>
      <c r="H77" s="10">
        <v>72</v>
      </c>
      <c r="I77" s="10">
        <v>12.7</v>
      </c>
      <c r="J77" s="10">
        <v>120</v>
      </c>
      <c r="K77" s="10">
        <v>10</v>
      </c>
      <c r="L77" s="10">
        <v>110</v>
      </c>
      <c r="M77" s="10">
        <v>110</v>
      </c>
      <c r="N77" s="10">
        <v>650</v>
      </c>
      <c r="O77" s="10">
        <v>60</v>
      </c>
      <c r="P77" s="10">
        <v>0</v>
      </c>
      <c r="Q77" s="10">
        <v>60</v>
      </c>
      <c r="R77" s="10">
        <v>90</v>
      </c>
      <c r="S77" s="10">
        <v>81</v>
      </c>
      <c r="T77" s="10"/>
      <c r="U77" s="10">
        <v>80</v>
      </c>
      <c r="V77" s="10">
        <v>61</v>
      </c>
      <c r="W77" s="10">
        <v>400</v>
      </c>
      <c r="X77" s="10"/>
      <c r="Y77" s="10">
        <v>0</v>
      </c>
      <c r="Z77" s="10"/>
      <c r="AA77" s="10"/>
      <c r="AB77" s="10">
        <v>4.2</v>
      </c>
      <c r="AC77" s="10">
        <v>2.8</v>
      </c>
      <c r="AD77" s="10">
        <v>1</v>
      </c>
      <c r="AE77" s="10">
        <v>18</v>
      </c>
      <c r="AF77" s="10">
        <v>1.1000000000000001</v>
      </c>
      <c r="AG77" s="10"/>
      <c r="AH77" s="10">
        <v>1.1000000000000001</v>
      </c>
    </row>
    <row r="78" spans="1:34" x14ac:dyDescent="0.25">
      <c r="A78" t="s">
        <v>631</v>
      </c>
      <c r="B78" s="11">
        <v>76</v>
      </c>
      <c r="C78" s="13" t="s">
        <v>229</v>
      </c>
      <c r="D78" s="13">
        <v>87</v>
      </c>
      <c r="E78" s="13">
        <v>11.6</v>
      </c>
      <c r="F78" s="13">
        <v>78</v>
      </c>
      <c r="G78" s="13">
        <v>34</v>
      </c>
      <c r="H78" s="13">
        <v>120</v>
      </c>
      <c r="I78" s="13">
        <v>13.2</v>
      </c>
      <c r="J78" s="13">
        <v>160</v>
      </c>
      <c r="K78" s="13">
        <v>40</v>
      </c>
      <c r="L78" s="13">
        <v>55</v>
      </c>
      <c r="M78" s="13">
        <v>45</v>
      </c>
      <c r="N78" s="13">
        <v>700</v>
      </c>
      <c r="O78" s="13">
        <v>75</v>
      </c>
      <c r="P78" s="13">
        <v>70</v>
      </c>
      <c r="Q78" s="13">
        <v>30</v>
      </c>
      <c r="R78" s="13">
        <v>75</v>
      </c>
      <c r="S78" s="13">
        <v>72</v>
      </c>
      <c r="T78" s="13"/>
      <c r="U78" s="13">
        <v>82</v>
      </c>
      <c r="V78" s="13">
        <v>83</v>
      </c>
      <c r="W78" s="13">
        <v>153</v>
      </c>
      <c r="X78" s="13"/>
      <c r="Y78" s="13">
        <v>167</v>
      </c>
      <c r="Z78" s="13"/>
      <c r="AA78" s="13"/>
      <c r="AB78" s="13">
        <v>1.1000000000000001</v>
      </c>
      <c r="AC78" s="13">
        <v>11.1</v>
      </c>
      <c r="AD78" s="13">
        <v>3.5</v>
      </c>
      <c r="AE78" s="13">
        <v>16</v>
      </c>
      <c r="AF78" s="13">
        <v>0.1</v>
      </c>
      <c r="AG78" s="13"/>
      <c r="AH78" s="13">
        <v>0.1</v>
      </c>
    </row>
    <row r="79" spans="1:34" x14ac:dyDescent="0.25">
      <c r="A79" t="s">
        <v>306</v>
      </c>
      <c r="B79" s="8">
        <v>77</v>
      </c>
      <c r="C79" s="10" t="s">
        <v>230</v>
      </c>
      <c r="D79" s="10">
        <v>87</v>
      </c>
      <c r="E79" s="10">
        <v>13.9</v>
      </c>
      <c r="F79" s="10">
        <v>95</v>
      </c>
      <c r="G79" s="10">
        <v>-57</v>
      </c>
      <c r="H79" s="10">
        <v>80</v>
      </c>
      <c r="I79" s="10">
        <v>15.8</v>
      </c>
      <c r="J79" s="10">
        <v>100</v>
      </c>
      <c r="K79" s="10">
        <v>20</v>
      </c>
      <c r="L79" s="10">
        <v>25</v>
      </c>
      <c r="M79" s="10">
        <v>20</v>
      </c>
      <c r="N79" s="10">
        <v>835</v>
      </c>
      <c r="O79" s="10">
        <v>80</v>
      </c>
      <c r="P79" s="10">
        <v>60</v>
      </c>
      <c r="Q79" s="10">
        <v>30</v>
      </c>
      <c r="R79" s="10">
        <v>92</v>
      </c>
      <c r="S79" s="10">
        <v>89</v>
      </c>
      <c r="T79" s="10">
        <v>47</v>
      </c>
      <c r="U79" s="10">
        <v>82</v>
      </c>
      <c r="V79" s="10">
        <v>83</v>
      </c>
      <c r="W79" s="10">
        <v>70</v>
      </c>
      <c r="X79" s="10"/>
      <c r="Y79" s="10">
        <v>640</v>
      </c>
      <c r="Z79" s="10">
        <v>136</v>
      </c>
      <c r="AA79" s="10"/>
      <c r="AB79" s="10">
        <v>0.4</v>
      </c>
      <c r="AC79" s="10">
        <v>3.4</v>
      </c>
      <c r="AD79" s="10">
        <v>1</v>
      </c>
      <c r="AE79" s="10">
        <v>5.5</v>
      </c>
      <c r="AF79" s="10">
        <v>0.1</v>
      </c>
      <c r="AG79" s="10"/>
      <c r="AH79" s="10">
        <v>0.1</v>
      </c>
    </row>
    <row r="80" spans="1:34" x14ac:dyDescent="0.25">
      <c r="A80" t="s">
        <v>35</v>
      </c>
      <c r="B80" s="11">
        <v>78</v>
      </c>
      <c r="C80" s="13" t="s">
        <v>231</v>
      </c>
      <c r="D80" s="13">
        <v>87</v>
      </c>
      <c r="E80" s="13">
        <v>14</v>
      </c>
      <c r="F80" s="13">
        <v>95</v>
      </c>
      <c r="G80" s="13">
        <v>-31</v>
      </c>
      <c r="H80" s="13">
        <v>98</v>
      </c>
      <c r="I80" s="13">
        <v>15.8</v>
      </c>
      <c r="J80" s="13">
        <v>123</v>
      </c>
      <c r="K80" s="13">
        <v>26</v>
      </c>
      <c r="L80" s="13">
        <v>33</v>
      </c>
      <c r="M80" s="13">
        <v>19</v>
      </c>
      <c r="N80" s="13">
        <v>799</v>
      </c>
      <c r="O80" s="13">
        <v>80</v>
      </c>
      <c r="P80" s="13">
        <v>65</v>
      </c>
      <c r="Q80" s="13">
        <v>30</v>
      </c>
      <c r="R80" s="13">
        <v>92</v>
      </c>
      <c r="S80" s="13">
        <v>89</v>
      </c>
      <c r="T80" s="13">
        <v>56</v>
      </c>
      <c r="U80" s="13">
        <v>83</v>
      </c>
      <c r="V80" s="13">
        <v>90</v>
      </c>
      <c r="W80" s="13">
        <v>32</v>
      </c>
      <c r="X80" s="13">
        <v>20</v>
      </c>
      <c r="Y80" s="13">
        <v>609</v>
      </c>
      <c r="Z80" s="13">
        <v>148</v>
      </c>
      <c r="AA80" s="13"/>
      <c r="AB80" s="13">
        <v>0.4</v>
      </c>
      <c r="AC80" s="13">
        <v>4</v>
      </c>
      <c r="AD80" s="13">
        <v>1.4</v>
      </c>
      <c r="AE80" s="13">
        <v>5.4</v>
      </c>
      <c r="AF80" s="13">
        <v>0.1</v>
      </c>
      <c r="AG80" s="13"/>
      <c r="AH80" s="13">
        <v>0.1</v>
      </c>
    </row>
    <row r="81" spans="1:34" x14ac:dyDescent="0.25">
      <c r="B81" s="8">
        <v>79</v>
      </c>
      <c r="C81" s="10" t="s">
        <v>232</v>
      </c>
      <c r="D81" s="10">
        <v>78</v>
      </c>
      <c r="E81" s="10">
        <v>11.4</v>
      </c>
      <c r="F81" s="10">
        <v>78</v>
      </c>
      <c r="G81" s="10">
        <v>-76</v>
      </c>
      <c r="H81" s="10">
        <v>21</v>
      </c>
      <c r="I81" s="10">
        <v>12.7</v>
      </c>
      <c r="J81" s="10">
        <v>55</v>
      </c>
      <c r="K81" s="10">
        <v>0</v>
      </c>
      <c r="L81" s="10">
        <v>0</v>
      </c>
      <c r="M81" s="10">
        <v>142</v>
      </c>
      <c r="N81" s="10">
        <v>803</v>
      </c>
      <c r="O81" s="10">
        <v>38</v>
      </c>
      <c r="P81" s="10"/>
      <c r="Q81" s="10"/>
      <c r="R81" s="10">
        <v>91</v>
      </c>
      <c r="S81" s="10">
        <v>86</v>
      </c>
      <c r="T81" s="10"/>
      <c r="U81" s="10">
        <v>100</v>
      </c>
      <c r="V81" s="10">
        <v>100</v>
      </c>
      <c r="W81" s="10">
        <v>618</v>
      </c>
      <c r="X81" s="10"/>
      <c r="Y81" s="10">
        <v>0</v>
      </c>
      <c r="Z81" s="10"/>
      <c r="AA81" s="10"/>
      <c r="AB81" s="10">
        <v>8</v>
      </c>
      <c r="AC81" s="10">
        <v>0.8</v>
      </c>
      <c r="AD81" s="10">
        <v>4.4000000000000004</v>
      </c>
      <c r="AE81" s="10">
        <v>50</v>
      </c>
      <c r="AF81" s="10">
        <v>2.4</v>
      </c>
      <c r="AG81" s="10"/>
      <c r="AH81" s="10">
        <v>11.6</v>
      </c>
    </row>
    <row r="82" spans="1:34" x14ac:dyDescent="0.25">
      <c r="B82" s="11">
        <v>80</v>
      </c>
      <c r="C82" s="13" t="s">
        <v>233</v>
      </c>
      <c r="D82" s="13">
        <v>93</v>
      </c>
      <c r="E82" s="13">
        <v>22.1</v>
      </c>
      <c r="F82" s="13"/>
      <c r="G82" s="13"/>
      <c r="H82" s="13">
        <v>170</v>
      </c>
      <c r="I82" s="13">
        <v>22.1</v>
      </c>
      <c r="J82" s="13">
        <v>210</v>
      </c>
      <c r="K82" s="13">
        <v>460</v>
      </c>
      <c r="L82" s="13">
        <v>80</v>
      </c>
      <c r="M82" s="13">
        <v>50</v>
      </c>
      <c r="N82" s="13">
        <v>200</v>
      </c>
      <c r="O82" s="13">
        <v>81</v>
      </c>
      <c r="P82" s="13">
        <v>95</v>
      </c>
      <c r="Q82" s="13">
        <v>25</v>
      </c>
      <c r="R82" s="13">
        <v>80</v>
      </c>
      <c r="S82" s="13">
        <v>82</v>
      </c>
      <c r="T82" s="13"/>
      <c r="U82" s="13"/>
      <c r="V82" s="13"/>
      <c r="W82" s="13"/>
      <c r="X82" s="13"/>
      <c r="Y82" s="13"/>
      <c r="Z82" s="13"/>
      <c r="AA82" s="13"/>
      <c r="AB82" s="13">
        <v>4.3</v>
      </c>
      <c r="AC82" s="13">
        <v>8.6</v>
      </c>
      <c r="AD82" s="13"/>
      <c r="AE82" s="13"/>
      <c r="AF82" s="13"/>
      <c r="AG82" s="13"/>
      <c r="AH82" s="13"/>
    </row>
    <row r="83" spans="1:34" x14ac:dyDescent="0.25">
      <c r="B83" s="8">
        <v>81</v>
      </c>
      <c r="C83" s="10" t="s">
        <v>234</v>
      </c>
      <c r="D83" s="10">
        <v>90</v>
      </c>
      <c r="E83" s="10">
        <v>14.4</v>
      </c>
      <c r="F83" s="10"/>
      <c r="G83" s="10"/>
      <c r="H83" s="10">
        <v>405</v>
      </c>
      <c r="I83" s="10">
        <v>16.899999999999999</v>
      </c>
      <c r="J83" s="10">
        <v>450</v>
      </c>
      <c r="K83" s="10">
        <v>90</v>
      </c>
      <c r="L83" s="10">
        <v>80</v>
      </c>
      <c r="M83" s="10">
        <v>120</v>
      </c>
      <c r="N83" s="10">
        <v>260</v>
      </c>
      <c r="O83" s="10">
        <v>90</v>
      </c>
      <c r="P83" s="10">
        <v>95</v>
      </c>
      <c r="Q83" s="10">
        <v>60</v>
      </c>
      <c r="R83" s="10">
        <v>75</v>
      </c>
      <c r="S83" s="10">
        <v>83</v>
      </c>
      <c r="T83" s="10"/>
      <c r="U83" s="10">
        <v>70</v>
      </c>
      <c r="V83" s="10">
        <v>83</v>
      </c>
      <c r="W83" s="10">
        <v>100</v>
      </c>
      <c r="X83" s="10"/>
      <c r="Y83" s="10">
        <v>25</v>
      </c>
      <c r="Z83" s="10"/>
      <c r="AA83" s="10"/>
      <c r="AB83" s="10">
        <v>18.899999999999999</v>
      </c>
      <c r="AC83" s="10">
        <v>11.4</v>
      </c>
      <c r="AD83" s="10">
        <v>6.4</v>
      </c>
      <c r="AE83" s="10">
        <v>7</v>
      </c>
      <c r="AF83" s="10">
        <v>0.1</v>
      </c>
      <c r="AG83" s="10"/>
      <c r="AH83" s="10">
        <v>0.1</v>
      </c>
    </row>
    <row r="84" spans="1:34" x14ac:dyDescent="0.25">
      <c r="B84" s="11">
        <v>82</v>
      </c>
      <c r="C84" s="13" t="s">
        <v>235</v>
      </c>
      <c r="D84" s="13">
        <v>94</v>
      </c>
      <c r="E84" s="13">
        <v>23.2</v>
      </c>
      <c r="F84" s="13"/>
      <c r="G84" s="13"/>
      <c r="H84" s="13">
        <v>198</v>
      </c>
      <c r="I84" s="13">
        <v>23.2</v>
      </c>
      <c r="J84" s="13">
        <v>220</v>
      </c>
      <c r="K84" s="13">
        <v>500</v>
      </c>
      <c r="L84" s="13">
        <v>70</v>
      </c>
      <c r="M84" s="13">
        <v>60</v>
      </c>
      <c r="N84" s="13">
        <v>150</v>
      </c>
      <c r="O84" s="13">
        <v>90</v>
      </c>
      <c r="P84" s="13">
        <v>95</v>
      </c>
      <c r="Q84" s="13">
        <v>30</v>
      </c>
      <c r="R84" s="13">
        <v>70</v>
      </c>
      <c r="S84" s="13">
        <v>85</v>
      </c>
      <c r="T84" s="13"/>
      <c r="U84" s="13"/>
      <c r="V84" s="13"/>
      <c r="W84" s="13"/>
      <c r="X84" s="13"/>
      <c r="Y84" s="13"/>
      <c r="Z84" s="13"/>
      <c r="AA84" s="13"/>
      <c r="AB84" s="13">
        <v>12.8</v>
      </c>
      <c r="AC84" s="13">
        <v>6.4</v>
      </c>
      <c r="AD84" s="13"/>
      <c r="AE84" s="13"/>
      <c r="AF84" s="13"/>
      <c r="AG84" s="13"/>
      <c r="AH84" s="13"/>
    </row>
    <row r="85" spans="1:34" x14ac:dyDescent="0.25">
      <c r="B85" s="8">
        <v>83</v>
      </c>
      <c r="C85" s="10" t="s">
        <v>236</v>
      </c>
      <c r="D85" s="10">
        <v>90</v>
      </c>
      <c r="E85" s="10">
        <v>12.5</v>
      </c>
      <c r="F85" s="10"/>
      <c r="G85" s="10"/>
      <c r="H85" s="10">
        <v>450</v>
      </c>
      <c r="I85" s="10">
        <v>15.5</v>
      </c>
      <c r="J85" s="10">
        <v>500</v>
      </c>
      <c r="K85" s="10">
        <v>15</v>
      </c>
      <c r="L85" s="10">
        <v>85</v>
      </c>
      <c r="M85" s="10">
        <v>135</v>
      </c>
      <c r="N85" s="10">
        <v>265</v>
      </c>
      <c r="O85" s="10">
        <v>90</v>
      </c>
      <c r="P85" s="10">
        <v>95</v>
      </c>
      <c r="Q85" s="10">
        <v>60</v>
      </c>
      <c r="R85" s="10">
        <v>70</v>
      </c>
      <c r="S85" s="10">
        <v>81</v>
      </c>
      <c r="T85" s="10"/>
      <c r="U85" s="10">
        <v>70</v>
      </c>
      <c r="V85" s="10">
        <v>77</v>
      </c>
      <c r="W85" s="10">
        <v>100</v>
      </c>
      <c r="X85" s="10"/>
      <c r="Y85" s="10">
        <v>25</v>
      </c>
      <c r="Z85" s="10"/>
      <c r="AA85" s="10"/>
      <c r="AB85" s="10">
        <v>18.899999999999999</v>
      </c>
      <c r="AC85" s="10">
        <v>11.4</v>
      </c>
      <c r="AD85" s="10">
        <v>6.4</v>
      </c>
      <c r="AE85" s="10">
        <v>7</v>
      </c>
      <c r="AF85" s="10">
        <v>0.1</v>
      </c>
      <c r="AG85" s="10"/>
      <c r="AH85" s="10">
        <v>0.1</v>
      </c>
    </row>
    <row r="86" spans="1:34" x14ac:dyDescent="0.25">
      <c r="B86" s="11">
        <v>84</v>
      </c>
      <c r="C86" s="13" t="s">
        <v>237</v>
      </c>
      <c r="D86" s="13">
        <v>90</v>
      </c>
      <c r="E86" s="13">
        <v>9.5</v>
      </c>
      <c r="F86" s="13">
        <v>31</v>
      </c>
      <c r="G86" s="13">
        <v>9</v>
      </c>
      <c r="H86" s="13">
        <v>0</v>
      </c>
      <c r="I86" s="13">
        <v>9.6999999999999993</v>
      </c>
      <c r="J86" s="13">
        <v>133</v>
      </c>
      <c r="K86" s="13">
        <v>152</v>
      </c>
      <c r="L86" s="13">
        <v>74</v>
      </c>
      <c r="M86" s="13">
        <v>51</v>
      </c>
      <c r="N86" s="13">
        <v>590</v>
      </c>
      <c r="O86" s="13">
        <v>0</v>
      </c>
      <c r="P86" s="13">
        <v>89</v>
      </c>
      <c r="Q86" s="13">
        <v>14</v>
      </c>
      <c r="R86" s="13">
        <v>48</v>
      </c>
      <c r="S86" s="13">
        <v>43</v>
      </c>
      <c r="T86" s="13">
        <v>44</v>
      </c>
      <c r="U86" s="13">
        <v>46</v>
      </c>
      <c r="V86" s="13">
        <v>0</v>
      </c>
      <c r="W86" s="13"/>
      <c r="X86" s="13"/>
      <c r="Y86" s="13"/>
      <c r="Z86" s="13">
        <v>293</v>
      </c>
      <c r="AA86" s="13"/>
      <c r="AB86" s="13">
        <v>2.4</v>
      </c>
      <c r="AC86" s="13">
        <v>2.6</v>
      </c>
      <c r="AD86" s="13"/>
      <c r="AE86" s="13"/>
      <c r="AF86" s="13"/>
      <c r="AG86" s="13"/>
      <c r="AH86" s="13"/>
    </row>
    <row r="87" spans="1:34" x14ac:dyDescent="0.25">
      <c r="B87" s="8">
        <v>85</v>
      </c>
      <c r="C87" s="10" t="s">
        <v>238</v>
      </c>
      <c r="D87" s="10">
        <v>24</v>
      </c>
      <c r="E87" s="10">
        <v>12.8</v>
      </c>
      <c r="F87" s="10">
        <v>92</v>
      </c>
      <c r="G87" s="10">
        <v>-99</v>
      </c>
      <c r="H87" s="10">
        <v>27</v>
      </c>
      <c r="I87" s="10">
        <v>14.4</v>
      </c>
      <c r="J87" s="10">
        <v>60</v>
      </c>
      <c r="K87" s="10">
        <v>10</v>
      </c>
      <c r="L87" s="10">
        <v>60</v>
      </c>
      <c r="M87" s="10">
        <v>50</v>
      </c>
      <c r="N87" s="10">
        <v>820</v>
      </c>
      <c r="O87" s="10">
        <v>45</v>
      </c>
      <c r="P87" s="10"/>
      <c r="Q87" s="10">
        <v>70</v>
      </c>
      <c r="R87" s="10">
        <v>95</v>
      </c>
      <c r="S87" s="10">
        <v>90</v>
      </c>
      <c r="T87" s="10"/>
      <c r="U87" s="10">
        <v>80</v>
      </c>
      <c r="V87" s="10">
        <v>61</v>
      </c>
      <c r="W87" s="10">
        <v>650</v>
      </c>
      <c r="X87" s="10"/>
      <c r="Y87" s="10">
        <v>0</v>
      </c>
      <c r="Z87" s="10"/>
      <c r="AA87" s="10"/>
      <c r="AB87" s="10">
        <v>2.2000000000000002</v>
      </c>
      <c r="AC87" s="10">
        <v>1.4</v>
      </c>
      <c r="AD87" s="10">
        <v>1.2</v>
      </c>
      <c r="AE87" s="10">
        <v>10</v>
      </c>
      <c r="AF87" s="10">
        <v>1</v>
      </c>
      <c r="AG87" s="10"/>
      <c r="AH87" s="10">
        <v>1</v>
      </c>
    </row>
    <row r="88" spans="1:34" x14ac:dyDescent="0.25">
      <c r="B88" s="11">
        <v>86</v>
      </c>
      <c r="C88" s="13" t="s">
        <v>239</v>
      </c>
      <c r="D88" s="13">
        <v>14</v>
      </c>
      <c r="E88" s="13">
        <v>11.7</v>
      </c>
      <c r="F88" s="13">
        <v>87</v>
      </c>
      <c r="G88" s="13">
        <v>-44</v>
      </c>
      <c r="H88" s="13">
        <v>74</v>
      </c>
      <c r="I88" s="13">
        <v>13.8</v>
      </c>
      <c r="J88" s="13">
        <v>107</v>
      </c>
      <c r="K88" s="13">
        <v>10</v>
      </c>
      <c r="L88" s="13">
        <v>197</v>
      </c>
      <c r="M88" s="13">
        <v>65</v>
      </c>
      <c r="N88" s="13">
        <v>621</v>
      </c>
      <c r="O88" s="13">
        <v>69</v>
      </c>
      <c r="P88" s="13"/>
      <c r="Q88" s="13">
        <v>70</v>
      </c>
      <c r="R88" s="13">
        <v>90</v>
      </c>
      <c r="S88" s="13">
        <v>83</v>
      </c>
      <c r="T88" s="13"/>
      <c r="U88" s="13">
        <v>75</v>
      </c>
      <c r="V88" s="13">
        <v>75</v>
      </c>
      <c r="W88" s="13"/>
      <c r="X88" s="13"/>
      <c r="Y88" s="13"/>
      <c r="Z88" s="13"/>
      <c r="AA88" s="13"/>
      <c r="AB88" s="13">
        <v>7</v>
      </c>
      <c r="AC88" s="13">
        <v>1</v>
      </c>
      <c r="AD88" s="13">
        <v>1.4</v>
      </c>
      <c r="AE88" s="13">
        <v>6</v>
      </c>
      <c r="AF88" s="13">
        <v>0.8</v>
      </c>
      <c r="AG88" s="13"/>
      <c r="AH88" s="13">
        <v>0.8</v>
      </c>
    </row>
    <row r="89" spans="1:34" ht="30" x14ac:dyDescent="0.25">
      <c r="B89" s="8">
        <v>87</v>
      </c>
      <c r="C89" s="10" t="s">
        <v>240</v>
      </c>
      <c r="D89" s="10">
        <v>27</v>
      </c>
      <c r="E89" s="10">
        <v>12.8</v>
      </c>
      <c r="F89" s="10">
        <v>100</v>
      </c>
      <c r="G89" s="10">
        <v>-69</v>
      </c>
      <c r="H89" s="10">
        <v>80</v>
      </c>
      <c r="I89" s="10">
        <v>15.3</v>
      </c>
      <c r="J89" s="10">
        <v>108</v>
      </c>
      <c r="K89" s="10">
        <v>8</v>
      </c>
      <c r="L89" s="10">
        <v>176</v>
      </c>
      <c r="M89" s="10">
        <v>73</v>
      </c>
      <c r="N89" s="10">
        <v>635</v>
      </c>
      <c r="O89" s="10">
        <v>74</v>
      </c>
      <c r="P89" s="10"/>
      <c r="Q89" s="10">
        <v>96</v>
      </c>
      <c r="R89" s="10">
        <v>95</v>
      </c>
      <c r="S89" s="10"/>
      <c r="T89" s="10">
        <v>74</v>
      </c>
      <c r="U89" s="10">
        <v>61</v>
      </c>
      <c r="V89" s="10">
        <v>70</v>
      </c>
      <c r="W89" s="10">
        <v>38</v>
      </c>
      <c r="X89" s="10"/>
      <c r="Y89" s="10">
        <v>5</v>
      </c>
      <c r="Z89" s="10">
        <v>445</v>
      </c>
      <c r="AA89" s="10">
        <v>28</v>
      </c>
      <c r="AB89" s="10">
        <v>8.8000000000000007</v>
      </c>
      <c r="AC89" s="10">
        <v>0.8</v>
      </c>
      <c r="AD89" s="10">
        <v>1.7</v>
      </c>
      <c r="AE89" s="10">
        <v>13.7</v>
      </c>
      <c r="AF89" s="10">
        <v>1.4</v>
      </c>
      <c r="AG89" s="10"/>
      <c r="AH89" s="10">
        <v>0.8</v>
      </c>
    </row>
    <row r="90" spans="1:34" x14ac:dyDescent="0.25">
      <c r="A90" t="s">
        <v>48</v>
      </c>
      <c r="B90" s="11">
        <v>88</v>
      </c>
      <c r="C90" s="13" t="s">
        <v>241</v>
      </c>
      <c r="D90" s="13">
        <v>75</v>
      </c>
      <c r="E90" s="13">
        <v>12.4</v>
      </c>
      <c r="F90" s="13">
        <v>76</v>
      </c>
      <c r="G90" s="13">
        <v>3</v>
      </c>
      <c r="H90" s="13">
        <v>92</v>
      </c>
      <c r="I90" s="13">
        <v>14.1</v>
      </c>
      <c r="J90" s="13">
        <v>131</v>
      </c>
      <c r="K90" s="13"/>
      <c r="L90" s="13"/>
      <c r="M90" s="13">
        <v>109</v>
      </c>
      <c r="N90" s="13">
        <v>760</v>
      </c>
      <c r="O90" s="13">
        <v>70</v>
      </c>
      <c r="P90" s="13"/>
      <c r="Q90" s="13"/>
      <c r="R90" s="13">
        <v>94</v>
      </c>
      <c r="S90" s="13">
        <v>90</v>
      </c>
      <c r="T90" s="13"/>
      <c r="U90" s="13">
        <v>100</v>
      </c>
      <c r="V90" s="13">
        <v>100</v>
      </c>
      <c r="W90" s="13">
        <v>590</v>
      </c>
      <c r="X90" s="13"/>
      <c r="Y90" s="13"/>
      <c r="Z90" s="13">
        <v>0</v>
      </c>
      <c r="AA90" s="13"/>
      <c r="AB90" s="13">
        <v>2</v>
      </c>
      <c r="AC90" s="13">
        <v>0.2</v>
      </c>
      <c r="AD90" s="13">
        <v>0.1</v>
      </c>
      <c r="AE90" s="13">
        <v>45</v>
      </c>
      <c r="AF90" s="13">
        <v>12</v>
      </c>
      <c r="AG90" s="13">
        <v>1200</v>
      </c>
      <c r="AH90" s="13">
        <v>12</v>
      </c>
    </row>
    <row r="91" spans="1:34" x14ac:dyDescent="0.25">
      <c r="B91" s="8">
        <v>89</v>
      </c>
      <c r="C91" s="10" t="s">
        <v>242</v>
      </c>
      <c r="D91" s="10">
        <v>19</v>
      </c>
      <c r="E91" s="10">
        <v>10.1</v>
      </c>
      <c r="F91" s="10">
        <v>69</v>
      </c>
      <c r="G91" s="10">
        <v>24</v>
      </c>
      <c r="H91" s="10">
        <v>106</v>
      </c>
      <c r="I91" s="10">
        <v>12.1</v>
      </c>
      <c r="J91" s="10">
        <v>146</v>
      </c>
      <c r="K91" s="10">
        <v>30</v>
      </c>
      <c r="L91" s="10">
        <v>150</v>
      </c>
      <c r="M91" s="10">
        <v>173</v>
      </c>
      <c r="N91" s="10">
        <v>501</v>
      </c>
      <c r="O91" s="10"/>
      <c r="P91" s="10">
        <v>50</v>
      </c>
      <c r="Q91" s="10">
        <v>80</v>
      </c>
      <c r="R91" s="10">
        <v>80</v>
      </c>
      <c r="S91" s="10"/>
      <c r="T91" s="10"/>
      <c r="U91" s="10">
        <v>80</v>
      </c>
      <c r="V91" s="10">
        <v>73</v>
      </c>
      <c r="W91" s="10">
        <v>120</v>
      </c>
      <c r="X91" s="10"/>
      <c r="Y91" s="10"/>
      <c r="Z91" s="10"/>
      <c r="AA91" s="10"/>
      <c r="AB91" s="10">
        <v>13</v>
      </c>
      <c r="AC91" s="10">
        <v>2.7</v>
      </c>
      <c r="AD91" s="10">
        <v>4.0999999999999996</v>
      </c>
      <c r="AE91" s="10">
        <v>30</v>
      </c>
      <c r="AF91" s="10">
        <v>9.6999999999999993</v>
      </c>
      <c r="AG91" s="10"/>
      <c r="AH91" s="10">
        <v>9.6999999999999993</v>
      </c>
    </row>
    <row r="92" spans="1:34" x14ac:dyDescent="0.25">
      <c r="B92" s="11">
        <v>90</v>
      </c>
      <c r="C92" s="13" t="s">
        <v>243</v>
      </c>
      <c r="D92" s="13">
        <v>91</v>
      </c>
      <c r="E92" s="13">
        <v>12.5</v>
      </c>
      <c r="F92" s="13">
        <v>97</v>
      </c>
      <c r="G92" s="13">
        <v>-56</v>
      </c>
      <c r="H92" s="13">
        <v>77</v>
      </c>
      <c r="I92" s="13">
        <v>14.5</v>
      </c>
      <c r="J92" s="13">
        <v>111</v>
      </c>
      <c r="K92" s="13">
        <v>23</v>
      </c>
      <c r="L92" s="13">
        <v>120</v>
      </c>
      <c r="M92" s="13">
        <v>86</v>
      </c>
      <c r="N92" s="13">
        <v>660</v>
      </c>
      <c r="O92" s="13">
        <v>69</v>
      </c>
      <c r="P92" s="13"/>
      <c r="Q92" s="13">
        <v>95</v>
      </c>
      <c r="R92" s="13">
        <v>95</v>
      </c>
      <c r="S92" s="13"/>
      <c r="T92" s="13">
        <v>72</v>
      </c>
      <c r="U92" s="13">
        <v>69</v>
      </c>
      <c r="V92" s="13">
        <v>82</v>
      </c>
      <c r="W92" s="13">
        <v>242</v>
      </c>
      <c r="X92" s="13">
        <v>164</v>
      </c>
      <c r="Y92" s="13">
        <v>0</v>
      </c>
      <c r="Z92" s="13">
        <v>334</v>
      </c>
      <c r="AA92" s="13">
        <v>14</v>
      </c>
      <c r="AB92" s="13">
        <v>9.5</v>
      </c>
      <c r="AC92" s="13">
        <v>0.7</v>
      </c>
      <c r="AD92" s="13">
        <v>1.3</v>
      </c>
      <c r="AE92" s="13">
        <v>21</v>
      </c>
      <c r="AF92" s="13">
        <v>5.5</v>
      </c>
      <c r="AG92" s="13">
        <v>495</v>
      </c>
      <c r="AH92" s="13">
        <v>5.5</v>
      </c>
    </row>
    <row r="93" spans="1:34" x14ac:dyDescent="0.25">
      <c r="A93" t="s">
        <v>49</v>
      </c>
      <c r="B93" s="8">
        <v>91</v>
      </c>
      <c r="C93" s="10" t="s">
        <v>244</v>
      </c>
      <c r="D93" s="10">
        <v>90</v>
      </c>
      <c r="E93" s="10">
        <v>12.3</v>
      </c>
      <c r="F93" s="10">
        <v>107</v>
      </c>
      <c r="G93" s="10">
        <v>-96</v>
      </c>
      <c r="H93" s="10">
        <v>59</v>
      </c>
      <c r="I93" s="10">
        <v>14.7</v>
      </c>
      <c r="J93" s="10">
        <v>90</v>
      </c>
      <c r="K93" s="10">
        <v>32</v>
      </c>
      <c r="L93" s="10">
        <v>187</v>
      </c>
      <c r="M93" s="10">
        <v>66</v>
      </c>
      <c r="N93" s="10">
        <v>625</v>
      </c>
      <c r="O93" s="10">
        <v>65</v>
      </c>
      <c r="P93" s="10"/>
      <c r="Q93" s="10">
        <v>95</v>
      </c>
      <c r="R93" s="10">
        <v>94</v>
      </c>
      <c r="S93" s="10">
        <v>89</v>
      </c>
      <c r="T93" s="10">
        <v>69</v>
      </c>
      <c r="U93" s="10">
        <v>46</v>
      </c>
      <c r="V93" s="10">
        <v>80</v>
      </c>
      <c r="W93" s="10">
        <v>100</v>
      </c>
      <c r="X93" s="10">
        <v>239</v>
      </c>
      <c r="Y93" s="10"/>
      <c r="Z93" s="10">
        <v>454</v>
      </c>
      <c r="AA93" s="10"/>
      <c r="AB93" s="10">
        <v>7</v>
      </c>
      <c r="AC93" s="10">
        <v>1</v>
      </c>
      <c r="AD93" s="10">
        <v>1.4</v>
      </c>
      <c r="AE93" s="10">
        <v>6</v>
      </c>
      <c r="AF93" s="10">
        <v>0.8</v>
      </c>
      <c r="AG93" s="10"/>
      <c r="AH93" s="10">
        <v>0.8</v>
      </c>
    </row>
    <row r="94" spans="1:34" x14ac:dyDescent="0.25">
      <c r="A94" t="s">
        <v>307</v>
      </c>
      <c r="B94" s="11">
        <v>92</v>
      </c>
      <c r="C94" s="13" t="s">
        <v>245</v>
      </c>
      <c r="D94" s="13">
        <v>87</v>
      </c>
      <c r="E94" s="13">
        <v>16.399999999999999</v>
      </c>
      <c r="F94" s="13">
        <v>69</v>
      </c>
      <c r="G94" s="13">
        <v>273</v>
      </c>
      <c r="H94" s="13">
        <v>360</v>
      </c>
      <c r="I94" s="13">
        <v>18.399999999999999</v>
      </c>
      <c r="J94" s="13">
        <v>400</v>
      </c>
      <c r="K94" s="13">
        <v>180</v>
      </c>
      <c r="L94" s="13">
        <v>60</v>
      </c>
      <c r="M94" s="13">
        <v>50</v>
      </c>
      <c r="N94" s="13">
        <v>310</v>
      </c>
      <c r="O94" s="13">
        <v>90</v>
      </c>
      <c r="P94" s="13">
        <v>90</v>
      </c>
      <c r="Q94" s="13">
        <v>40</v>
      </c>
      <c r="R94" s="13">
        <v>70</v>
      </c>
      <c r="S94" s="13">
        <v>80</v>
      </c>
      <c r="T94" s="13"/>
      <c r="U94" s="13">
        <v>79</v>
      </c>
      <c r="V94" s="13">
        <v>60</v>
      </c>
      <c r="W94" s="13">
        <v>50</v>
      </c>
      <c r="X94" s="13"/>
      <c r="Y94" s="13">
        <v>150</v>
      </c>
      <c r="Z94" s="13">
        <v>101</v>
      </c>
      <c r="AA94" s="13"/>
      <c r="AB94" s="13">
        <v>2.6</v>
      </c>
      <c r="AC94" s="13">
        <v>6.3</v>
      </c>
      <c r="AD94" s="13">
        <v>2.8</v>
      </c>
      <c r="AE94" s="13">
        <v>19</v>
      </c>
      <c r="AF94" s="13">
        <v>0.3</v>
      </c>
      <c r="AG94" s="13"/>
      <c r="AH94" s="13">
        <v>0.1</v>
      </c>
    </row>
    <row r="95" spans="1:34" x14ac:dyDescent="0.25">
      <c r="A95" t="s">
        <v>40</v>
      </c>
      <c r="B95" s="8">
        <v>93</v>
      </c>
      <c r="C95" s="10" t="s">
        <v>246</v>
      </c>
      <c r="D95" s="10">
        <v>87</v>
      </c>
      <c r="E95" s="10">
        <v>14.6</v>
      </c>
      <c r="F95" s="10">
        <v>182</v>
      </c>
      <c r="G95" s="10">
        <v>261</v>
      </c>
      <c r="H95" s="10">
        <v>469</v>
      </c>
      <c r="I95" s="10">
        <v>17.8</v>
      </c>
      <c r="J95" s="10">
        <v>510</v>
      </c>
      <c r="K95" s="10">
        <v>10</v>
      </c>
      <c r="L95" s="10">
        <v>60</v>
      </c>
      <c r="M95" s="10">
        <v>70</v>
      </c>
      <c r="N95" s="10">
        <v>350</v>
      </c>
      <c r="O95" s="10">
        <v>92</v>
      </c>
      <c r="P95" s="10">
        <v>50</v>
      </c>
      <c r="Q95" s="10">
        <v>70</v>
      </c>
      <c r="R95" s="10">
        <v>92</v>
      </c>
      <c r="S95" s="10">
        <v>90</v>
      </c>
      <c r="T95" s="10">
        <v>72</v>
      </c>
      <c r="U95" s="10">
        <v>64</v>
      </c>
      <c r="V95" s="10">
        <v>92</v>
      </c>
      <c r="W95" s="10">
        <v>121</v>
      </c>
      <c r="X95" s="10">
        <v>51</v>
      </c>
      <c r="Y95" s="10">
        <v>62</v>
      </c>
      <c r="Z95" s="10">
        <v>95</v>
      </c>
      <c r="AA95" s="10"/>
      <c r="AB95" s="10">
        <v>3.2</v>
      </c>
      <c r="AC95" s="10">
        <v>7.2</v>
      </c>
      <c r="AD95" s="10">
        <v>2.7</v>
      </c>
      <c r="AE95" s="10">
        <v>23</v>
      </c>
      <c r="AF95" s="10">
        <v>0.3</v>
      </c>
      <c r="AG95" s="10"/>
      <c r="AH95" s="10">
        <v>0.3</v>
      </c>
    </row>
    <row r="96" spans="1:34" x14ac:dyDescent="0.25">
      <c r="B96" s="11">
        <v>94</v>
      </c>
      <c r="C96" s="13" t="s">
        <v>247</v>
      </c>
      <c r="D96" s="13">
        <v>87</v>
      </c>
      <c r="E96" s="13">
        <v>13.8</v>
      </c>
      <c r="F96" s="13">
        <v>292</v>
      </c>
      <c r="G96" s="13">
        <v>79</v>
      </c>
      <c r="H96" s="13">
        <v>437</v>
      </c>
      <c r="I96" s="13">
        <v>16.899999999999999</v>
      </c>
      <c r="J96" s="13">
        <v>475</v>
      </c>
      <c r="K96" s="13">
        <v>8</v>
      </c>
      <c r="L96" s="13">
        <v>60</v>
      </c>
      <c r="M96" s="13">
        <v>70</v>
      </c>
      <c r="N96" s="13">
        <v>387</v>
      </c>
      <c r="O96" s="13">
        <v>92</v>
      </c>
      <c r="P96" s="13">
        <v>50</v>
      </c>
      <c r="Q96" s="13">
        <v>70</v>
      </c>
      <c r="R96" s="13">
        <v>81</v>
      </c>
      <c r="S96" s="13"/>
      <c r="T96" s="13">
        <v>50</v>
      </c>
      <c r="U96" s="13">
        <v>30</v>
      </c>
      <c r="V96" s="13">
        <v>90</v>
      </c>
      <c r="W96" s="13"/>
      <c r="X96" s="13">
        <v>53</v>
      </c>
      <c r="Y96" s="13"/>
      <c r="Z96" s="13"/>
      <c r="AA96" s="13"/>
      <c r="AB96" s="13">
        <v>4.9000000000000004</v>
      </c>
      <c r="AC96" s="13">
        <v>6.6</v>
      </c>
      <c r="AD96" s="13">
        <v>3.5</v>
      </c>
      <c r="AE96" s="13">
        <v>22</v>
      </c>
      <c r="AF96" s="13">
        <v>0.2</v>
      </c>
      <c r="AG96" s="13"/>
      <c r="AH96" s="13"/>
    </row>
    <row r="97" spans="1:34" x14ac:dyDescent="0.25">
      <c r="B97" s="8">
        <v>95</v>
      </c>
      <c r="C97" s="10" t="s">
        <v>248</v>
      </c>
      <c r="D97" s="10">
        <v>92</v>
      </c>
      <c r="E97" s="10">
        <v>11.7</v>
      </c>
      <c r="F97" s="10">
        <v>89</v>
      </c>
      <c r="G97" s="10">
        <v>194</v>
      </c>
      <c r="H97" s="10">
        <v>275</v>
      </c>
      <c r="I97" s="10">
        <v>13.6</v>
      </c>
      <c r="J97" s="10">
        <v>320</v>
      </c>
      <c r="K97" s="10">
        <v>90</v>
      </c>
      <c r="L97" s="10">
        <v>235</v>
      </c>
      <c r="M97" s="10">
        <v>70</v>
      </c>
      <c r="N97" s="10">
        <v>285</v>
      </c>
      <c r="O97" s="10">
        <v>86</v>
      </c>
      <c r="P97" s="10">
        <v>90</v>
      </c>
      <c r="Q97" s="10">
        <v>30</v>
      </c>
      <c r="R97" s="10">
        <v>60</v>
      </c>
      <c r="S97" s="10">
        <v>64</v>
      </c>
      <c r="T97" s="10"/>
      <c r="U97" s="10">
        <v>74</v>
      </c>
      <c r="V97" s="10">
        <v>89</v>
      </c>
      <c r="W97" s="10">
        <v>69</v>
      </c>
      <c r="X97" s="10"/>
      <c r="Y97" s="10">
        <v>42</v>
      </c>
      <c r="Z97" s="10">
        <v>380</v>
      </c>
      <c r="AA97" s="10"/>
      <c r="AB97" s="10">
        <v>4.3</v>
      </c>
      <c r="AC97" s="10">
        <v>13</v>
      </c>
      <c r="AD97" s="10">
        <v>6.5</v>
      </c>
      <c r="AE97" s="10">
        <v>17.399999999999999</v>
      </c>
      <c r="AF97" s="10">
        <v>0.2</v>
      </c>
      <c r="AG97" s="10"/>
      <c r="AH97" s="10">
        <v>0.2</v>
      </c>
    </row>
    <row r="98" spans="1:34" x14ac:dyDescent="0.25">
      <c r="B98" s="11">
        <v>96</v>
      </c>
      <c r="C98" s="13" t="s">
        <v>249</v>
      </c>
      <c r="D98" s="13">
        <v>92</v>
      </c>
      <c r="E98" s="13">
        <v>12.8</v>
      </c>
      <c r="F98" s="13">
        <v>100</v>
      </c>
      <c r="G98" s="13">
        <v>265</v>
      </c>
      <c r="H98" s="13">
        <v>369</v>
      </c>
      <c r="I98" s="13">
        <v>15.1</v>
      </c>
      <c r="J98" s="13">
        <v>410</v>
      </c>
      <c r="K98" s="13">
        <v>80</v>
      </c>
      <c r="L98" s="13">
        <v>160</v>
      </c>
      <c r="M98" s="13">
        <v>70</v>
      </c>
      <c r="N98" s="13">
        <v>280</v>
      </c>
      <c r="O98" s="13">
        <v>90</v>
      </c>
      <c r="P98" s="13">
        <v>90</v>
      </c>
      <c r="Q98" s="13">
        <v>30</v>
      </c>
      <c r="R98" s="13">
        <v>60</v>
      </c>
      <c r="S98" s="13">
        <v>71</v>
      </c>
      <c r="T98" s="13"/>
      <c r="U98" s="13">
        <v>74</v>
      </c>
      <c r="V98" s="13">
        <v>85</v>
      </c>
      <c r="W98" s="13">
        <v>69</v>
      </c>
      <c r="X98" s="13">
        <v>66</v>
      </c>
      <c r="Y98" s="13">
        <v>42</v>
      </c>
      <c r="Z98" s="13">
        <v>280</v>
      </c>
      <c r="AA98" s="13"/>
      <c r="AB98" s="13">
        <v>3.7</v>
      </c>
      <c r="AC98" s="13">
        <v>11.1</v>
      </c>
      <c r="AD98" s="13">
        <v>6</v>
      </c>
      <c r="AE98" s="13">
        <v>17.2</v>
      </c>
      <c r="AF98" s="13">
        <v>0.2</v>
      </c>
      <c r="AG98" s="13"/>
      <c r="AH98" s="13">
        <v>0.2</v>
      </c>
    </row>
    <row r="99" spans="1:34" x14ac:dyDescent="0.25">
      <c r="B99" s="8">
        <v>97</v>
      </c>
      <c r="C99" s="10" t="s">
        <v>250</v>
      </c>
      <c r="D99" s="10">
        <v>93</v>
      </c>
      <c r="E99" s="10">
        <v>15.2</v>
      </c>
      <c r="F99" s="10">
        <v>29</v>
      </c>
      <c r="G99" s="10">
        <v>118</v>
      </c>
      <c r="H99" s="10">
        <v>145</v>
      </c>
      <c r="I99" s="10">
        <v>15.8</v>
      </c>
      <c r="J99" s="10">
        <v>170</v>
      </c>
      <c r="K99" s="10">
        <v>300</v>
      </c>
      <c r="L99" s="10">
        <v>300</v>
      </c>
      <c r="M99" s="10">
        <v>40</v>
      </c>
      <c r="N99" s="10">
        <v>190</v>
      </c>
      <c r="O99" s="10">
        <v>85</v>
      </c>
      <c r="P99" s="10">
        <v>95</v>
      </c>
      <c r="Q99" s="10">
        <v>30</v>
      </c>
      <c r="R99" s="10">
        <v>30</v>
      </c>
      <c r="S99" s="10">
        <v>60</v>
      </c>
      <c r="T99" s="10"/>
      <c r="U99" s="10">
        <v>85</v>
      </c>
      <c r="V99" s="10">
        <v>60</v>
      </c>
      <c r="W99" s="10">
        <v>230</v>
      </c>
      <c r="X99" s="10"/>
      <c r="Y99" s="10">
        <v>150</v>
      </c>
      <c r="Z99" s="10"/>
      <c r="AA99" s="10"/>
      <c r="AB99" s="10">
        <v>2.2000000000000002</v>
      </c>
      <c r="AC99" s="10">
        <v>6.1</v>
      </c>
      <c r="AD99" s="10">
        <v>3.8</v>
      </c>
      <c r="AE99" s="10">
        <v>9</v>
      </c>
      <c r="AF99" s="10">
        <v>0.7</v>
      </c>
      <c r="AG99" s="10"/>
      <c r="AH99" s="10">
        <v>0.7</v>
      </c>
    </row>
    <row r="100" spans="1:34" x14ac:dyDescent="0.25">
      <c r="B100" s="11">
        <v>98</v>
      </c>
      <c r="C100" s="13" t="s">
        <v>251</v>
      </c>
      <c r="D100" s="13">
        <v>92</v>
      </c>
      <c r="E100" s="13">
        <v>8</v>
      </c>
      <c r="F100" s="13">
        <v>78</v>
      </c>
      <c r="G100" s="13">
        <v>175</v>
      </c>
      <c r="H100" s="13">
        <v>247</v>
      </c>
      <c r="I100" s="13">
        <v>10.1</v>
      </c>
      <c r="J100" s="13">
        <v>290</v>
      </c>
      <c r="K100" s="13">
        <v>10</v>
      </c>
      <c r="L100" s="13">
        <v>370</v>
      </c>
      <c r="M100" s="13">
        <v>60</v>
      </c>
      <c r="N100" s="13">
        <v>270</v>
      </c>
      <c r="O100" s="13">
        <v>85</v>
      </c>
      <c r="P100" s="13">
        <v>90</v>
      </c>
      <c r="Q100" s="13">
        <v>30</v>
      </c>
      <c r="R100" s="13">
        <v>40</v>
      </c>
      <c r="S100" s="13">
        <v>50</v>
      </c>
      <c r="T100" s="13"/>
      <c r="U100" s="13">
        <v>74</v>
      </c>
      <c r="V100" s="13">
        <v>85</v>
      </c>
      <c r="W100" s="13">
        <v>69</v>
      </c>
      <c r="X100" s="13"/>
      <c r="Y100" s="13">
        <v>42</v>
      </c>
      <c r="Z100" s="13">
        <v>410</v>
      </c>
      <c r="AA100" s="13"/>
      <c r="AB100" s="13">
        <v>3.7</v>
      </c>
      <c r="AC100" s="13">
        <v>10.4</v>
      </c>
      <c r="AD100" s="13">
        <v>5.6</v>
      </c>
      <c r="AE100" s="13">
        <v>15</v>
      </c>
      <c r="AF100" s="13">
        <v>0.2</v>
      </c>
      <c r="AG100" s="13"/>
      <c r="AH100" s="13">
        <v>0.2</v>
      </c>
    </row>
    <row r="101" spans="1:34" x14ac:dyDescent="0.25">
      <c r="A101" t="s">
        <v>42</v>
      </c>
      <c r="B101" s="8">
        <v>99</v>
      </c>
      <c r="C101" s="10" t="s">
        <v>252</v>
      </c>
      <c r="D101" s="10">
        <v>92</v>
      </c>
      <c r="E101" s="10">
        <v>11.4</v>
      </c>
      <c r="F101" s="10">
        <v>109</v>
      </c>
      <c r="G101" s="10">
        <v>301</v>
      </c>
      <c r="H101" s="10">
        <v>414</v>
      </c>
      <c r="I101" s="10">
        <v>14.1</v>
      </c>
      <c r="J101" s="10">
        <v>460</v>
      </c>
      <c r="K101" s="10">
        <v>10</v>
      </c>
      <c r="L101" s="10">
        <v>170</v>
      </c>
      <c r="M101" s="10">
        <v>80</v>
      </c>
      <c r="N101" s="10">
        <v>280</v>
      </c>
      <c r="O101" s="10">
        <v>90</v>
      </c>
      <c r="P101" s="10">
        <v>90</v>
      </c>
      <c r="Q101" s="10">
        <v>30</v>
      </c>
      <c r="R101" s="10">
        <v>60</v>
      </c>
      <c r="S101" s="10">
        <v>70</v>
      </c>
      <c r="T101" s="10"/>
      <c r="U101" s="10">
        <v>74</v>
      </c>
      <c r="V101" s="10">
        <v>85</v>
      </c>
      <c r="W101" s="10">
        <v>69</v>
      </c>
      <c r="X101" s="10"/>
      <c r="Y101" s="10">
        <v>42</v>
      </c>
      <c r="Z101" s="10">
        <v>280</v>
      </c>
      <c r="AA101" s="10"/>
      <c r="AB101" s="10">
        <v>4.5</v>
      </c>
      <c r="AC101" s="10">
        <v>13.5</v>
      </c>
      <c r="AD101" s="10">
        <v>6.7</v>
      </c>
      <c r="AE101" s="10">
        <v>18</v>
      </c>
      <c r="AF101" s="10">
        <v>0.2</v>
      </c>
      <c r="AG101" s="10">
        <v>222</v>
      </c>
      <c r="AH101" s="10">
        <v>0.2</v>
      </c>
    </row>
    <row r="102" spans="1:34" x14ac:dyDescent="0.25">
      <c r="B102" s="11">
        <v>100</v>
      </c>
      <c r="C102" s="13" t="s">
        <v>253</v>
      </c>
      <c r="D102" s="13">
        <v>87</v>
      </c>
      <c r="E102" s="13">
        <v>14.4</v>
      </c>
      <c r="F102" s="13">
        <v>145</v>
      </c>
      <c r="G102" s="13">
        <v>-99</v>
      </c>
      <c r="H102" s="13">
        <v>94</v>
      </c>
      <c r="I102" s="13">
        <v>16.2</v>
      </c>
      <c r="J102" s="13">
        <v>120</v>
      </c>
      <c r="K102" s="13">
        <v>30</v>
      </c>
      <c r="L102" s="13">
        <v>25</v>
      </c>
      <c r="M102" s="13">
        <v>20</v>
      </c>
      <c r="N102" s="13">
        <v>805</v>
      </c>
      <c r="O102" s="13">
        <v>78</v>
      </c>
      <c r="P102" s="13">
        <v>85</v>
      </c>
      <c r="Q102" s="13">
        <v>30</v>
      </c>
      <c r="R102" s="13">
        <v>93</v>
      </c>
      <c r="S102" s="13">
        <v>89</v>
      </c>
      <c r="T102" s="13"/>
      <c r="U102" s="13">
        <v>30</v>
      </c>
      <c r="V102" s="13">
        <v>90</v>
      </c>
      <c r="W102" s="13">
        <v>11</v>
      </c>
      <c r="X102" s="13"/>
      <c r="Y102" s="13">
        <v>749</v>
      </c>
      <c r="Z102" s="13"/>
      <c r="AA102" s="13"/>
      <c r="AB102" s="13">
        <v>0.5</v>
      </c>
      <c r="AC102" s="13">
        <v>3.1</v>
      </c>
      <c r="AD102" s="13">
        <v>1.4</v>
      </c>
      <c r="AE102" s="13">
        <v>4</v>
      </c>
      <c r="AF102" s="13">
        <v>0.1</v>
      </c>
      <c r="AG102" s="13"/>
      <c r="AH102" s="13">
        <v>0.1</v>
      </c>
    </row>
    <row r="103" spans="1:34" x14ac:dyDescent="0.25">
      <c r="B103" s="8">
        <v>101</v>
      </c>
      <c r="C103" s="10" t="s">
        <v>254</v>
      </c>
      <c r="D103" s="10">
        <v>50</v>
      </c>
      <c r="E103" s="10">
        <v>7.5</v>
      </c>
      <c r="F103" s="10">
        <v>45</v>
      </c>
      <c r="G103" s="10">
        <v>-76</v>
      </c>
      <c r="H103" s="10">
        <v>0</v>
      </c>
      <c r="I103" s="10">
        <v>8.5</v>
      </c>
      <c r="J103" s="10">
        <v>30</v>
      </c>
      <c r="K103" s="10">
        <v>50</v>
      </c>
      <c r="L103" s="10">
        <v>270</v>
      </c>
      <c r="M103" s="10">
        <v>30</v>
      </c>
      <c r="N103" s="10">
        <v>620</v>
      </c>
      <c r="O103" s="10">
        <v>0</v>
      </c>
      <c r="P103" s="10">
        <v>65</v>
      </c>
      <c r="Q103" s="10">
        <v>20</v>
      </c>
      <c r="R103" s="10">
        <v>60</v>
      </c>
      <c r="S103" s="10">
        <v>47</v>
      </c>
      <c r="T103" s="10"/>
      <c r="U103" s="10">
        <v>0</v>
      </c>
      <c r="V103" s="10">
        <v>0</v>
      </c>
      <c r="W103" s="10"/>
      <c r="X103" s="10"/>
      <c r="Y103" s="10"/>
      <c r="Z103" s="10"/>
      <c r="AA103" s="10"/>
      <c r="AB103" s="10">
        <v>10</v>
      </c>
      <c r="AC103" s="10">
        <v>0.6</v>
      </c>
      <c r="AD103" s="10"/>
      <c r="AE103" s="10"/>
      <c r="AF103" s="10"/>
      <c r="AG103" s="10"/>
      <c r="AH103" s="10"/>
    </row>
    <row r="104" spans="1:34" x14ac:dyDescent="0.25">
      <c r="B104" s="11">
        <v>102</v>
      </c>
      <c r="C104" s="13" t="s">
        <v>255</v>
      </c>
      <c r="D104" s="13">
        <v>88</v>
      </c>
      <c r="E104" s="13">
        <v>13.1</v>
      </c>
      <c r="F104" s="13">
        <v>93</v>
      </c>
      <c r="G104" s="13">
        <v>-124</v>
      </c>
      <c r="H104" s="13">
        <v>3</v>
      </c>
      <c r="I104" s="13">
        <v>14.7</v>
      </c>
      <c r="J104" s="13">
        <v>32</v>
      </c>
      <c r="K104" s="13">
        <v>8</v>
      </c>
      <c r="L104" s="13">
        <v>44</v>
      </c>
      <c r="M104" s="13">
        <v>62</v>
      </c>
      <c r="N104" s="13">
        <v>854</v>
      </c>
      <c r="O104" s="13">
        <v>10</v>
      </c>
      <c r="P104" s="13">
        <v>70</v>
      </c>
      <c r="Q104" s="13">
        <v>55</v>
      </c>
      <c r="R104" s="13">
        <v>95</v>
      </c>
      <c r="S104" s="13">
        <v>90</v>
      </c>
      <c r="T104" s="13"/>
      <c r="U104" s="13">
        <v>80</v>
      </c>
      <c r="V104" s="13">
        <v>77</v>
      </c>
      <c r="W104" s="13">
        <v>50</v>
      </c>
      <c r="X104" s="13"/>
      <c r="Y104" s="13">
        <v>750</v>
      </c>
      <c r="Z104" s="13">
        <v>80</v>
      </c>
      <c r="AA104" s="13"/>
      <c r="AB104" s="13">
        <v>2.4</v>
      </c>
      <c r="AC104" s="13">
        <v>1.2</v>
      </c>
      <c r="AD104" s="13">
        <v>1.3</v>
      </c>
      <c r="AE104" s="13">
        <v>9</v>
      </c>
      <c r="AF104" s="13">
        <v>0.2</v>
      </c>
      <c r="AG104" s="13"/>
      <c r="AH104" s="13">
        <v>0.2</v>
      </c>
    </row>
    <row r="105" spans="1:34" x14ac:dyDescent="0.25">
      <c r="B105" s="8">
        <v>103</v>
      </c>
      <c r="C105" s="10" t="s">
        <v>256</v>
      </c>
      <c r="D105" s="10">
        <v>50</v>
      </c>
      <c r="E105" s="10">
        <v>12.4</v>
      </c>
      <c r="F105" s="10">
        <v>85</v>
      </c>
      <c r="G105" s="10">
        <v>-133</v>
      </c>
      <c r="H105" s="10">
        <v>0</v>
      </c>
      <c r="I105" s="10">
        <v>13.8</v>
      </c>
      <c r="J105" s="10">
        <v>10</v>
      </c>
      <c r="K105" s="10">
        <v>10</v>
      </c>
      <c r="L105" s="10"/>
      <c r="M105" s="10">
        <v>30</v>
      </c>
      <c r="N105" s="10">
        <v>950</v>
      </c>
      <c r="O105" s="10">
        <v>0</v>
      </c>
      <c r="P105" s="10">
        <v>0</v>
      </c>
      <c r="Q105" s="10">
        <v>0</v>
      </c>
      <c r="R105" s="10">
        <v>84</v>
      </c>
      <c r="S105" s="10">
        <v>82</v>
      </c>
      <c r="T105" s="10"/>
      <c r="U105" s="10">
        <v>100</v>
      </c>
      <c r="V105" s="10">
        <v>100</v>
      </c>
      <c r="W105" s="10"/>
      <c r="X105" s="10"/>
      <c r="Y105" s="10"/>
      <c r="Z105" s="10"/>
      <c r="AA105" s="10"/>
      <c r="AB105" s="10">
        <v>5.6</v>
      </c>
      <c r="AC105" s="10">
        <v>0.9</v>
      </c>
      <c r="AD105" s="10">
        <v>1</v>
      </c>
      <c r="AE105" s="10">
        <v>6</v>
      </c>
      <c r="AF105" s="10">
        <v>0.2</v>
      </c>
      <c r="AG105" s="10"/>
      <c r="AH105" s="10">
        <v>0.2</v>
      </c>
    </row>
    <row r="106" spans="1:34" x14ac:dyDescent="0.25">
      <c r="B106" s="11">
        <v>104</v>
      </c>
      <c r="C106" s="13" t="s">
        <v>257</v>
      </c>
      <c r="D106" s="13">
        <v>89</v>
      </c>
      <c r="E106" s="13">
        <v>6.4</v>
      </c>
      <c r="F106" s="13"/>
      <c r="G106" s="13"/>
      <c r="H106" s="13">
        <v>0</v>
      </c>
      <c r="I106" s="13">
        <v>7</v>
      </c>
      <c r="J106" s="13">
        <v>60</v>
      </c>
      <c r="K106" s="13">
        <v>40</v>
      </c>
      <c r="L106" s="13">
        <v>50</v>
      </c>
      <c r="M106" s="13">
        <v>190</v>
      </c>
      <c r="N106" s="13">
        <v>660</v>
      </c>
      <c r="O106" s="13">
        <v>0</v>
      </c>
      <c r="P106" s="13">
        <v>95</v>
      </c>
      <c r="Q106" s="13">
        <v>0</v>
      </c>
      <c r="R106" s="13">
        <v>50</v>
      </c>
      <c r="S106" s="13">
        <v>45</v>
      </c>
      <c r="T106" s="13"/>
      <c r="U106" s="13"/>
      <c r="V106" s="13"/>
      <c r="W106" s="13"/>
      <c r="X106" s="13"/>
      <c r="Y106" s="13"/>
      <c r="Z106" s="13"/>
      <c r="AA106" s="13"/>
      <c r="AB106" s="13">
        <v>9.5</v>
      </c>
      <c r="AC106" s="13">
        <v>1.6</v>
      </c>
      <c r="AD106" s="13"/>
      <c r="AE106" s="13"/>
      <c r="AF106" s="13"/>
      <c r="AG106" s="13"/>
      <c r="AH106" s="13"/>
    </row>
    <row r="107" spans="1:34" x14ac:dyDescent="0.25">
      <c r="B107" s="8">
        <v>105</v>
      </c>
      <c r="C107" s="10" t="s">
        <v>258</v>
      </c>
      <c r="D107" s="10">
        <v>98</v>
      </c>
      <c r="E107" s="10"/>
      <c r="F107" s="10">
        <v>0</v>
      </c>
      <c r="G107" s="10">
        <v>2900</v>
      </c>
      <c r="H107" s="10">
        <v>2320</v>
      </c>
      <c r="I107" s="10"/>
      <c r="J107" s="10">
        <v>2900</v>
      </c>
      <c r="K107" s="10">
        <v>0</v>
      </c>
      <c r="L107" s="10">
        <v>0</v>
      </c>
      <c r="M107" s="10">
        <v>0</v>
      </c>
      <c r="N107" s="10">
        <v>0</v>
      </c>
      <c r="O107" s="10">
        <v>80</v>
      </c>
      <c r="P107" s="10"/>
      <c r="Q107" s="10"/>
      <c r="R107" s="10"/>
      <c r="S107" s="10"/>
      <c r="T107" s="10"/>
      <c r="U107" s="10">
        <v>100</v>
      </c>
      <c r="V107" s="10">
        <v>100</v>
      </c>
      <c r="W107" s="10">
        <v>0</v>
      </c>
      <c r="X107" s="10"/>
      <c r="Y107" s="10">
        <v>0</v>
      </c>
      <c r="Z107" s="10">
        <v>0</v>
      </c>
      <c r="AA107" s="10">
        <v>0</v>
      </c>
      <c r="AB107" s="10">
        <v>0</v>
      </c>
      <c r="AC107" s="10">
        <v>0</v>
      </c>
      <c r="AD107" s="10">
        <v>0</v>
      </c>
      <c r="AE107" s="10">
        <v>0</v>
      </c>
      <c r="AF107" s="10">
        <v>0</v>
      </c>
      <c r="AG107" s="10"/>
      <c r="AH107" s="10"/>
    </row>
    <row r="108" spans="1:34" x14ac:dyDescent="0.25">
      <c r="B108" s="11">
        <v>106</v>
      </c>
      <c r="C108" s="13" t="s">
        <v>259</v>
      </c>
      <c r="D108" s="13">
        <v>93</v>
      </c>
      <c r="E108" s="13">
        <v>20.8</v>
      </c>
      <c r="F108" s="13"/>
      <c r="G108" s="13"/>
      <c r="H108" s="13">
        <v>176</v>
      </c>
      <c r="I108" s="13">
        <v>21</v>
      </c>
      <c r="J108" s="13">
        <v>220</v>
      </c>
      <c r="K108" s="13">
        <v>450</v>
      </c>
      <c r="L108" s="13">
        <v>80</v>
      </c>
      <c r="M108" s="13">
        <v>70</v>
      </c>
      <c r="N108" s="13">
        <v>180</v>
      </c>
      <c r="O108" s="13">
        <v>80</v>
      </c>
      <c r="P108" s="13">
        <v>90</v>
      </c>
      <c r="Q108" s="13">
        <v>30</v>
      </c>
      <c r="R108" s="13">
        <v>80</v>
      </c>
      <c r="S108" s="13">
        <v>81</v>
      </c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</row>
    <row r="109" spans="1:34" x14ac:dyDescent="0.25">
      <c r="B109" s="8">
        <v>107</v>
      </c>
      <c r="C109" s="10" t="s">
        <v>260</v>
      </c>
      <c r="D109" s="10">
        <v>90</v>
      </c>
      <c r="E109" s="10">
        <v>10.7</v>
      </c>
      <c r="F109" s="10"/>
      <c r="G109" s="10"/>
      <c r="H109" s="10">
        <v>349</v>
      </c>
      <c r="I109" s="10">
        <v>13.2</v>
      </c>
      <c r="J109" s="10">
        <v>410</v>
      </c>
      <c r="K109" s="10">
        <v>20</v>
      </c>
      <c r="L109" s="10">
        <v>160</v>
      </c>
      <c r="M109" s="10">
        <v>140</v>
      </c>
      <c r="N109" s="10">
        <v>270</v>
      </c>
      <c r="O109" s="10">
        <v>85</v>
      </c>
      <c r="P109" s="10">
        <v>90</v>
      </c>
      <c r="Q109" s="10">
        <v>30</v>
      </c>
      <c r="R109" s="10">
        <v>70</v>
      </c>
      <c r="S109" s="10">
        <v>70</v>
      </c>
      <c r="T109" s="10"/>
      <c r="U109" s="10"/>
      <c r="V109" s="10"/>
      <c r="W109" s="10"/>
      <c r="X109" s="10"/>
      <c r="Y109" s="10"/>
      <c r="Z109" s="10"/>
      <c r="AA109" s="10"/>
      <c r="AB109" s="10">
        <v>24</v>
      </c>
      <c r="AC109" s="10">
        <v>14</v>
      </c>
      <c r="AD109" s="10"/>
      <c r="AE109" s="10"/>
      <c r="AF109" s="10"/>
      <c r="AG109" s="10"/>
      <c r="AH109" s="10"/>
    </row>
    <row r="110" spans="1:34" x14ac:dyDescent="0.25">
      <c r="B110" s="11">
        <v>108</v>
      </c>
      <c r="C110" s="13" t="s">
        <v>261</v>
      </c>
      <c r="D110" s="13">
        <v>85</v>
      </c>
      <c r="E110" s="13">
        <v>6.4</v>
      </c>
      <c r="F110" s="13"/>
      <c r="G110" s="13"/>
      <c r="H110" s="13">
        <v>94</v>
      </c>
      <c r="I110" s="13">
        <v>8</v>
      </c>
      <c r="J110" s="13">
        <v>170</v>
      </c>
      <c r="K110" s="13">
        <v>20</v>
      </c>
      <c r="L110" s="13">
        <v>330</v>
      </c>
      <c r="M110" s="13">
        <v>80</v>
      </c>
      <c r="N110" s="13">
        <v>400</v>
      </c>
      <c r="O110" s="13">
        <v>55</v>
      </c>
      <c r="P110" s="13">
        <v>40</v>
      </c>
      <c r="Q110" s="13">
        <v>48</v>
      </c>
      <c r="R110" s="13">
        <v>40</v>
      </c>
      <c r="S110" s="13">
        <v>46</v>
      </c>
      <c r="T110" s="13"/>
      <c r="U110" s="13"/>
      <c r="V110" s="13"/>
      <c r="W110" s="13"/>
      <c r="X110" s="13"/>
      <c r="Y110" s="13"/>
      <c r="Z110" s="13"/>
      <c r="AA110" s="13"/>
      <c r="AB110" s="13">
        <v>3.5</v>
      </c>
      <c r="AC110" s="13">
        <v>0.6</v>
      </c>
      <c r="AD110" s="13"/>
      <c r="AE110" s="13"/>
      <c r="AF110" s="13"/>
      <c r="AG110" s="13"/>
      <c r="AH110" s="13"/>
    </row>
    <row r="111" spans="1:34" x14ac:dyDescent="0.25">
      <c r="A111" t="s">
        <v>46</v>
      </c>
      <c r="B111" s="8">
        <v>109</v>
      </c>
      <c r="C111" s="10" t="s">
        <v>262</v>
      </c>
      <c r="D111" s="10">
        <v>90</v>
      </c>
      <c r="E111" s="10">
        <v>13.3</v>
      </c>
      <c r="F111" s="10">
        <v>116</v>
      </c>
      <c r="G111" s="10">
        <v>142</v>
      </c>
      <c r="H111" s="10">
        <v>272</v>
      </c>
      <c r="I111" s="10">
        <v>15.7</v>
      </c>
      <c r="J111" s="10">
        <v>320</v>
      </c>
      <c r="K111" s="10">
        <v>45</v>
      </c>
      <c r="L111" s="10">
        <v>106</v>
      </c>
      <c r="M111" s="10">
        <v>37</v>
      </c>
      <c r="N111" s="10">
        <v>492</v>
      </c>
      <c r="O111" s="10">
        <v>85</v>
      </c>
      <c r="P111" s="10">
        <v>80</v>
      </c>
      <c r="Q111" s="10">
        <v>60</v>
      </c>
      <c r="R111" s="10">
        <v>80</v>
      </c>
      <c r="S111" s="10">
        <v>84</v>
      </c>
      <c r="T111" s="10">
        <v>49</v>
      </c>
      <c r="U111" s="10">
        <v>70</v>
      </c>
      <c r="V111" s="10">
        <v>82</v>
      </c>
      <c r="W111" s="10"/>
      <c r="X111" s="10">
        <v>19</v>
      </c>
      <c r="Y111" s="10">
        <v>0</v>
      </c>
      <c r="Z111" s="10">
        <v>270</v>
      </c>
      <c r="AA111" s="10"/>
      <c r="AB111" s="10">
        <v>2.6</v>
      </c>
      <c r="AC111" s="10">
        <v>10.3</v>
      </c>
      <c r="AD111" s="10">
        <v>3</v>
      </c>
      <c r="AE111" s="10">
        <v>13.7</v>
      </c>
      <c r="AF111" s="10">
        <v>1.6</v>
      </c>
      <c r="AG111" s="10"/>
      <c r="AH111" s="10"/>
    </row>
    <row r="112" spans="1:34" x14ac:dyDescent="0.25">
      <c r="B112" s="11">
        <v>110</v>
      </c>
      <c r="C112" s="13" t="s">
        <v>263</v>
      </c>
      <c r="D112" s="13">
        <v>87</v>
      </c>
      <c r="E112" s="13">
        <v>15.8</v>
      </c>
      <c r="F112" s="13">
        <v>99</v>
      </c>
      <c r="G112" s="13">
        <v>150</v>
      </c>
      <c r="H112" s="13">
        <v>276</v>
      </c>
      <c r="I112" s="13">
        <v>18.2</v>
      </c>
      <c r="J112" s="13">
        <v>300</v>
      </c>
      <c r="K112" s="13">
        <v>90</v>
      </c>
      <c r="L112" s="13">
        <v>25</v>
      </c>
      <c r="M112" s="13">
        <v>45</v>
      </c>
      <c r="N112" s="13">
        <v>540</v>
      </c>
      <c r="O112" s="13">
        <v>92</v>
      </c>
      <c r="P112" s="13">
        <v>90</v>
      </c>
      <c r="Q112" s="13">
        <v>30</v>
      </c>
      <c r="R112" s="13">
        <v>92</v>
      </c>
      <c r="S112" s="13">
        <v>90</v>
      </c>
      <c r="T112" s="13"/>
      <c r="U112" s="13">
        <v>80</v>
      </c>
      <c r="V112" s="13">
        <v>89</v>
      </c>
      <c r="W112" s="13"/>
      <c r="X112" s="13"/>
      <c r="Y112" s="13"/>
      <c r="Z112" s="13"/>
      <c r="AA112" s="13"/>
      <c r="AB112" s="13">
        <v>1.3</v>
      </c>
      <c r="AC112" s="13">
        <v>11.2</v>
      </c>
      <c r="AD112" s="13">
        <v>3.1</v>
      </c>
      <c r="AE112" s="13">
        <v>12</v>
      </c>
      <c r="AF112" s="13">
        <v>0.1</v>
      </c>
      <c r="AG112" s="13"/>
      <c r="AH112" s="13">
        <v>0.1</v>
      </c>
    </row>
    <row r="113" spans="1:34" x14ac:dyDescent="0.25">
      <c r="A113" t="s">
        <v>44</v>
      </c>
      <c r="B113" s="8">
        <v>111</v>
      </c>
      <c r="C113" s="10" t="s">
        <v>264</v>
      </c>
      <c r="D113" s="10">
        <v>87</v>
      </c>
      <c r="E113" s="10">
        <v>11</v>
      </c>
      <c r="F113" s="10">
        <v>73</v>
      </c>
      <c r="G113" s="10">
        <v>36</v>
      </c>
      <c r="H113" s="10">
        <v>125</v>
      </c>
      <c r="I113" s="10">
        <v>12.7</v>
      </c>
      <c r="J113" s="10">
        <v>160</v>
      </c>
      <c r="K113" s="10">
        <v>45</v>
      </c>
      <c r="L113" s="10">
        <v>115</v>
      </c>
      <c r="M113" s="10">
        <v>60</v>
      </c>
      <c r="N113" s="10">
        <v>620</v>
      </c>
      <c r="O113" s="10">
        <v>78</v>
      </c>
      <c r="P113" s="10">
        <v>80</v>
      </c>
      <c r="Q113" s="10">
        <v>30</v>
      </c>
      <c r="R113" s="10">
        <v>73</v>
      </c>
      <c r="S113" s="10">
        <v>69</v>
      </c>
      <c r="T113" s="10">
        <v>44</v>
      </c>
      <c r="U113" s="10">
        <v>77</v>
      </c>
      <c r="V113" s="10">
        <v>68</v>
      </c>
      <c r="W113" s="10">
        <v>56</v>
      </c>
      <c r="X113" s="10">
        <v>25</v>
      </c>
      <c r="Y113" s="10">
        <v>210</v>
      </c>
      <c r="Z113" s="10">
        <v>464</v>
      </c>
      <c r="AA113" s="10"/>
      <c r="AB113" s="10">
        <v>1.7</v>
      </c>
      <c r="AC113" s="10">
        <v>12</v>
      </c>
      <c r="AD113" s="10">
        <v>5.3</v>
      </c>
      <c r="AE113" s="10">
        <v>12</v>
      </c>
      <c r="AF113" s="10">
        <v>0.5</v>
      </c>
      <c r="AG113" s="10"/>
      <c r="AH113" s="10">
        <v>0.5</v>
      </c>
    </row>
    <row r="114" spans="1:34" x14ac:dyDescent="0.25">
      <c r="A114" t="s">
        <v>17</v>
      </c>
      <c r="B114" s="11">
        <v>112</v>
      </c>
      <c r="C114" s="13" t="s">
        <v>265</v>
      </c>
      <c r="D114" s="13">
        <v>87</v>
      </c>
      <c r="E114" s="13">
        <v>14.1</v>
      </c>
      <c r="F114" s="13">
        <v>95</v>
      </c>
      <c r="G114" s="13">
        <v>-33</v>
      </c>
      <c r="H114" s="13">
        <v>98</v>
      </c>
      <c r="I114" s="13">
        <v>16</v>
      </c>
      <c r="J114" s="13">
        <v>121</v>
      </c>
      <c r="K114" s="13">
        <v>25</v>
      </c>
      <c r="L114" s="13">
        <v>30</v>
      </c>
      <c r="M114" s="13">
        <v>18</v>
      </c>
      <c r="N114" s="13">
        <v>806</v>
      </c>
      <c r="O114" s="13">
        <v>81</v>
      </c>
      <c r="P114" s="13">
        <v>70</v>
      </c>
      <c r="Q114" s="13">
        <v>30</v>
      </c>
      <c r="R114" s="13">
        <v>92</v>
      </c>
      <c r="S114" s="13">
        <v>88</v>
      </c>
      <c r="T114" s="13">
        <v>55</v>
      </c>
      <c r="U114" s="13">
        <v>84</v>
      </c>
      <c r="V114" s="13">
        <v>89</v>
      </c>
      <c r="W114" s="13">
        <v>31</v>
      </c>
      <c r="X114" s="13">
        <v>26</v>
      </c>
      <c r="Y114" s="13">
        <v>644</v>
      </c>
      <c r="Z114" s="13">
        <v>138</v>
      </c>
      <c r="AA114" s="13"/>
      <c r="AB114" s="13">
        <v>0.3</v>
      </c>
      <c r="AC114" s="13">
        <v>3.7</v>
      </c>
      <c r="AD114" s="13">
        <v>1.3</v>
      </c>
      <c r="AE114" s="13">
        <v>4.7</v>
      </c>
      <c r="AF114" s="13">
        <v>0.2</v>
      </c>
      <c r="AG114" s="13">
        <v>13</v>
      </c>
      <c r="AH114" s="13">
        <v>0.2</v>
      </c>
    </row>
    <row r="115" spans="1:34" x14ac:dyDescent="0.25">
      <c r="B115" s="8">
        <v>113</v>
      </c>
      <c r="C115" s="10" t="s">
        <v>266</v>
      </c>
      <c r="D115" s="10">
        <v>87</v>
      </c>
      <c r="E115" s="10">
        <v>13.9</v>
      </c>
      <c r="F115" s="10">
        <v>101</v>
      </c>
      <c r="G115" s="10">
        <v>141</v>
      </c>
      <c r="H115" s="10">
        <v>264</v>
      </c>
      <c r="I115" s="10">
        <v>16.399999999999999</v>
      </c>
      <c r="J115" s="10">
        <v>300</v>
      </c>
      <c r="K115" s="10">
        <v>20</v>
      </c>
      <c r="L115" s="10">
        <v>70</v>
      </c>
      <c r="M115" s="10">
        <v>40</v>
      </c>
      <c r="N115" s="10">
        <v>570</v>
      </c>
      <c r="O115" s="10">
        <v>88</v>
      </c>
      <c r="P115" s="10">
        <v>70</v>
      </c>
      <c r="Q115" s="10">
        <v>40</v>
      </c>
      <c r="R115" s="10">
        <v>92</v>
      </c>
      <c r="S115" s="10">
        <v>87</v>
      </c>
      <c r="T115" s="10"/>
      <c r="U115" s="10">
        <v>80</v>
      </c>
      <c r="V115" s="10">
        <v>82</v>
      </c>
      <c r="W115" s="10"/>
      <c r="X115" s="10"/>
      <c r="Y115" s="10"/>
      <c r="Z115" s="10"/>
      <c r="AA115" s="10"/>
      <c r="AB115" s="10">
        <v>1.5</v>
      </c>
      <c r="AC115" s="10">
        <v>5.2</v>
      </c>
      <c r="AD115" s="10"/>
      <c r="AE115" s="10"/>
      <c r="AF115" s="10"/>
      <c r="AG115" s="10"/>
      <c r="AH115" s="10"/>
    </row>
    <row r="116" spans="1:34" x14ac:dyDescent="0.25">
      <c r="B116" s="11">
        <v>114</v>
      </c>
      <c r="C116" s="13" t="s">
        <v>267</v>
      </c>
      <c r="D116" s="13">
        <v>19</v>
      </c>
      <c r="E116" s="13">
        <v>12.2</v>
      </c>
      <c r="F116" s="13">
        <v>77</v>
      </c>
      <c r="G116" s="13">
        <v>39</v>
      </c>
      <c r="H116" s="13">
        <v>152</v>
      </c>
      <c r="I116" s="13">
        <v>14.7</v>
      </c>
      <c r="J116" s="13">
        <v>183</v>
      </c>
      <c r="K116" s="13">
        <v>28</v>
      </c>
      <c r="L116" s="13">
        <v>213</v>
      </c>
      <c r="M116" s="13">
        <v>49</v>
      </c>
      <c r="N116" s="13">
        <v>527</v>
      </c>
      <c r="O116" s="13">
        <v>83</v>
      </c>
      <c r="P116" s="13">
        <v>65</v>
      </c>
      <c r="Q116" s="13">
        <v>60</v>
      </c>
      <c r="R116" s="13">
        <v>90</v>
      </c>
      <c r="S116" s="13"/>
      <c r="T116" s="13"/>
      <c r="U116" s="13">
        <v>80</v>
      </c>
      <c r="V116" s="13">
        <v>53</v>
      </c>
      <c r="W116" s="13">
        <v>60</v>
      </c>
      <c r="X116" s="13">
        <v>102</v>
      </c>
      <c r="Y116" s="13">
        <v>160</v>
      </c>
      <c r="Z116" s="13">
        <v>310</v>
      </c>
      <c r="AA116" s="13">
        <v>60</v>
      </c>
      <c r="AB116" s="13">
        <v>11</v>
      </c>
      <c r="AC116" s="13">
        <v>2.7</v>
      </c>
      <c r="AD116" s="13">
        <v>2.2999999999999998</v>
      </c>
      <c r="AE116" s="13">
        <v>20</v>
      </c>
      <c r="AF116" s="13">
        <v>1.1000000000000001</v>
      </c>
      <c r="AG116" s="13"/>
      <c r="AH116" s="13">
        <v>0.4</v>
      </c>
    </row>
    <row r="117" spans="1:34" x14ac:dyDescent="0.25">
      <c r="A117" t="s">
        <v>37</v>
      </c>
      <c r="B117" s="8">
        <v>115</v>
      </c>
      <c r="C117" s="10" t="s">
        <v>268</v>
      </c>
      <c r="D117" s="10">
        <v>87</v>
      </c>
      <c r="E117" s="10">
        <v>13.8</v>
      </c>
      <c r="F117" s="10">
        <v>97</v>
      </c>
      <c r="G117" s="10">
        <v>69</v>
      </c>
      <c r="H117" s="10">
        <v>199</v>
      </c>
      <c r="I117" s="10">
        <v>16</v>
      </c>
      <c r="J117" s="10">
        <v>226</v>
      </c>
      <c r="K117" s="10">
        <v>17</v>
      </c>
      <c r="L117" s="10">
        <v>78</v>
      </c>
      <c r="M117" s="10">
        <v>33</v>
      </c>
      <c r="N117" s="10">
        <v>646</v>
      </c>
      <c r="O117" s="10">
        <v>88</v>
      </c>
      <c r="P117" s="10">
        <v>70</v>
      </c>
      <c r="Q117" s="10">
        <v>40</v>
      </c>
      <c r="R117" s="10">
        <v>92</v>
      </c>
      <c r="S117" s="10">
        <v>87</v>
      </c>
      <c r="T117" s="10">
        <v>55</v>
      </c>
      <c r="U117" s="10">
        <v>80</v>
      </c>
      <c r="V117" s="10">
        <v>78</v>
      </c>
      <c r="W117" s="10">
        <v>50</v>
      </c>
      <c r="X117" s="10">
        <v>38</v>
      </c>
      <c r="Y117" s="10">
        <v>550</v>
      </c>
      <c r="Z117" s="10">
        <v>100</v>
      </c>
      <c r="AA117" s="10"/>
      <c r="AB117" s="10">
        <v>0.9</v>
      </c>
      <c r="AC117" s="10">
        <v>4.3</v>
      </c>
      <c r="AD117" s="10">
        <v>1.3</v>
      </c>
      <c r="AE117" s="10">
        <v>11.1</v>
      </c>
      <c r="AF117" s="10">
        <v>0.3</v>
      </c>
      <c r="AG117" s="10">
        <v>113</v>
      </c>
      <c r="AH117" s="10">
        <v>0.3</v>
      </c>
    </row>
    <row r="118" spans="1:34" x14ac:dyDescent="0.25">
      <c r="B118" s="11">
        <v>116</v>
      </c>
      <c r="C118" s="13" t="s">
        <v>269</v>
      </c>
      <c r="D118" s="13">
        <v>31</v>
      </c>
      <c r="E118" s="13">
        <v>10</v>
      </c>
      <c r="F118" s="13">
        <v>65</v>
      </c>
      <c r="G118" s="13">
        <v>5</v>
      </c>
      <c r="H118" s="13">
        <v>89</v>
      </c>
      <c r="I118" s="13">
        <v>12.2</v>
      </c>
      <c r="J118" s="13">
        <v>128</v>
      </c>
      <c r="K118" s="13">
        <v>30</v>
      </c>
      <c r="L118" s="13">
        <v>291</v>
      </c>
      <c r="M118" s="13">
        <v>71</v>
      </c>
      <c r="N118" s="13">
        <v>480</v>
      </c>
      <c r="O118" s="13"/>
      <c r="P118" s="13">
        <v>60</v>
      </c>
      <c r="Q118" s="13">
        <v>62</v>
      </c>
      <c r="R118" s="13">
        <v>76</v>
      </c>
      <c r="S118" s="13">
        <v>73</v>
      </c>
      <c r="T118" s="13"/>
      <c r="U118" s="13">
        <v>80</v>
      </c>
      <c r="V118" s="13">
        <v>43</v>
      </c>
      <c r="W118" s="13"/>
      <c r="X118" s="13"/>
      <c r="Y118" s="13"/>
      <c r="Z118" s="13">
        <v>499</v>
      </c>
      <c r="AA118" s="13"/>
      <c r="AB118" s="13">
        <v>8</v>
      </c>
      <c r="AC118" s="13">
        <v>2.8</v>
      </c>
      <c r="AD118" s="13">
        <v>2.1</v>
      </c>
      <c r="AE118" s="13">
        <v>19.600000000000001</v>
      </c>
      <c r="AF118" s="13"/>
      <c r="AG118" s="13"/>
      <c r="AH118" s="13"/>
    </row>
    <row r="119" spans="1:34" ht="30" x14ac:dyDescent="0.25">
      <c r="B119" s="8">
        <v>117</v>
      </c>
      <c r="C119" s="10" t="s">
        <v>270</v>
      </c>
      <c r="D119" s="10">
        <v>31</v>
      </c>
      <c r="E119" s="10">
        <v>9</v>
      </c>
      <c r="F119" s="10">
        <v>57</v>
      </c>
      <c r="G119" s="10">
        <v>10</v>
      </c>
      <c r="H119" s="10">
        <v>83</v>
      </c>
      <c r="I119" s="10">
        <v>11</v>
      </c>
      <c r="J119" s="10">
        <v>122</v>
      </c>
      <c r="K119" s="10">
        <v>30</v>
      </c>
      <c r="L119" s="10">
        <v>299</v>
      </c>
      <c r="M119" s="10">
        <v>74</v>
      </c>
      <c r="N119" s="10">
        <v>475</v>
      </c>
      <c r="O119" s="10"/>
      <c r="P119" s="10">
        <v>54</v>
      </c>
      <c r="Q119" s="10">
        <v>57</v>
      </c>
      <c r="R119" s="10">
        <v>67</v>
      </c>
      <c r="S119" s="10">
        <v>64</v>
      </c>
      <c r="T119" s="10"/>
      <c r="U119" s="10">
        <v>80</v>
      </c>
      <c r="V119" s="10">
        <v>33</v>
      </c>
      <c r="W119" s="10"/>
      <c r="X119" s="10"/>
      <c r="Y119" s="10"/>
      <c r="Z119" s="10">
        <v>535</v>
      </c>
      <c r="AA119" s="10"/>
      <c r="AB119" s="10">
        <v>6.2</v>
      </c>
      <c r="AC119" s="10">
        <v>2.9</v>
      </c>
      <c r="AD119" s="10">
        <v>1.7</v>
      </c>
      <c r="AE119" s="10">
        <v>20</v>
      </c>
      <c r="AF119" s="10"/>
      <c r="AG119" s="10"/>
      <c r="AH119" s="10"/>
    </row>
    <row r="120" spans="1:34" x14ac:dyDescent="0.25">
      <c r="B120" s="11">
        <v>118</v>
      </c>
      <c r="C120" s="13" t="s">
        <v>271</v>
      </c>
      <c r="D120" s="13">
        <v>18</v>
      </c>
      <c r="E120" s="13">
        <v>9.1999999999999993</v>
      </c>
      <c r="F120" s="13">
        <v>51</v>
      </c>
      <c r="G120" s="13">
        <v>80</v>
      </c>
      <c r="H120" s="13">
        <v>149</v>
      </c>
      <c r="I120" s="13">
        <v>11.4</v>
      </c>
      <c r="J120" s="13">
        <v>192</v>
      </c>
      <c r="K120" s="13">
        <v>36</v>
      </c>
      <c r="L120" s="13">
        <v>299</v>
      </c>
      <c r="M120" s="13">
        <v>114</v>
      </c>
      <c r="N120" s="13">
        <v>359</v>
      </c>
      <c r="O120" s="13"/>
      <c r="P120" s="13">
        <v>56</v>
      </c>
      <c r="Q120" s="13">
        <v>54</v>
      </c>
      <c r="R120" s="13">
        <v>70</v>
      </c>
      <c r="S120" s="13">
        <v>64</v>
      </c>
      <c r="T120" s="13"/>
      <c r="U120" s="13">
        <v>80</v>
      </c>
      <c r="V120" s="13">
        <v>28</v>
      </c>
      <c r="W120" s="13"/>
      <c r="X120" s="13"/>
      <c r="Y120" s="13"/>
      <c r="Z120" s="13"/>
      <c r="AA120" s="13"/>
      <c r="AB120" s="13">
        <v>13</v>
      </c>
      <c r="AC120" s="13">
        <v>4.7</v>
      </c>
      <c r="AD120" s="13">
        <v>2.5</v>
      </c>
      <c r="AE120" s="13">
        <v>17</v>
      </c>
      <c r="AF120" s="13">
        <v>2.7</v>
      </c>
      <c r="AG120" s="13"/>
      <c r="AH120" s="13">
        <v>2.7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AE61"/>
  <sheetViews>
    <sheetView workbookViewId="0">
      <selection activeCell="K2" sqref="K2"/>
    </sheetView>
  </sheetViews>
  <sheetFormatPr defaultRowHeight="15" x14ac:dyDescent="0.25"/>
  <cols>
    <col min="1" max="1" width="17.5703125" customWidth="1"/>
    <col min="3" max="3" width="44.28515625" customWidth="1"/>
    <col min="11" max="11" width="10.140625" customWidth="1"/>
  </cols>
  <sheetData>
    <row r="2" spans="2:31" ht="57.75" x14ac:dyDescent="0.25">
      <c r="B2" s="15" t="s">
        <v>118</v>
      </c>
      <c r="C2" s="15" t="s">
        <v>121</v>
      </c>
      <c r="D2" s="15" t="s">
        <v>324</v>
      </c>
      <c r="E2" s="15" t="s">
        <v>273</v>
      </c>
      <c r="F2" s="15" t="s">
        <v>274</v>
      </c>
      <c r="G2" s="15" t="s">
        <v>394</v>
      </c>
      <c r="H2" s="15" t="s">
        <v>395</v>
      </c>
      <c r="I2" s="15" t="s">
        <v>396</v>
      </c>
      <c r="J2" s="15" t="s">
        <v>397</v>
      </c>
      <c r="K2" s="15" t="s">
        <v>398</v>
      </c>
      <c r="L2" s="15" t="s">
        <v>399</v>
      </c>
      <c r="M2" s="15" t="s">
        <v>400</v>
      </c>
      <c r="N2" s="15" t="s">
        <v>401</v>
      </c>
      <c r="O2" s="15" t="s">
        <v>402</v>
      </c>
      <c r="P2" s="15" t="s">
        <v>403</v>
      </c>
      <c r="Q2" s="15" t="s">
        <v>404</v>
      </c>
      <c r="R2" s="15" t="s">
        <v>405</v>
      </c>
      <c r="S2" s="15" t="s">
        <v>406</v>
      </c>
      <c r="T2" s="15" t="s">
        <v>407</v>
      </c>
      <c r="U2" s="15" t="s">
        <v>119</v>
      </c>
      <c r="V2" s="15" t="s">
        <v>408</v>
      </c>
      <c r="W2" s="15" t="s">
        <v>144</v>
      </c>
      <c r="X2" s="15" t="s">
        <v>145</v>
      </c>
      <c r="Y2" s="15" t="s">
        <v>146</v>
      </c>
      <c r="Z2" s="15" t="s">
        <v>147</v>
      </c>
      <c r="AA2" s="15" t="s">
        <v>148</v>
      </c>
      <c r="AB2" s="15" t="s">
        <v>289</v>
      </c>
    </row>
    <row r="3" spans="2:31" x14ac:dyDescent="0.25">
      <c r="B3" s="8">
        <v>1</v>
      </c>
      <c r="C3" s="23" t="s">
        <v>409</v>
      </c>
      <c r="D3" s="10">
        <v>9.4</v>
      </c>
      <c r="E3" s="10">
        <v>72</v>
      </c>
      <c r="F3" s="10">
        <v>-22</v>
      </c>
      <c r="G3" s="10">
        <v>64</v>
      </c>
      <c r="H3" s="10">
        <v>11.4</v>
      </c>
      <c r="I3" s="10">
        <v>101</v>
      </c>
      <c r="J3" s="10"/>
      <c r="K3" s="10">
        <v>48</v>
      </c>
      <c r="L3" s="10">
        <v>803</v>
      </c>
      <c r="M3" s="10">
        <v>63</v>
      </c>
      <c r="N3" s="10">
        <v>66</v>
      </c>
      <c r="O3" s="10">
        <v>43</v>
      </c>
      <c r="P3" s="10">
        <v>80</v>
      </c>
      <c r="Q3" s="10">
        <v>82</v>
      </c>
      <c r="R3" s="10"/>
      <c r="S3" s="10"/>
      <c r="T3" s="10"/>
      <c r="U3" s="10">
        <v>626</v>
      </c>
      <c r="V3" s="10"/>
      <c r="W3" s="10"/>
      <c r="X3" s="10"/>
      <c r="Y3" s="10"/>
      <c r="Z3" s="10"/>
      <c r="AA3" s="10"/>
      <c r="AB3" s="10"/>
      <c r="AD3">
        <f>SUM(I3,K3:L3)</f>
        <v>952</v>
      </c>
      <c r="AE3">
        <f>1000-AD3</f>
        <v>48</v>
      </c>
    </row>
    <row r="4" spans="2:31" x14ac:dyDescent="0.25">
      <c r="B4" s="11">
        <v>2</v>
      </c>
      <c r="C4" s="24" t="s">
        <v>410</v>
      </c>
      <c r="D4" s="13">
        <v>9.4</v>
      </c>
      <c r="E4" s="13">
        <v>72</v>
      </c>
      <c r="F4" s="13">
        <v>-26</v>
      </c>
      <c r="G4" s="13">
        <v>60</v>
      </c>
      <c r="H4" s="13">
        <v>11.4</v>
      </c>
      <c r="I4" s="13">
        <v>97</v>
      </c>
      <c r="J4" s="13"/>
      <c r="K4" s="13">
        <v>58</v>
      </c>
      <c r="L4" s="13">
        <v>808</v>
      </c>
      <c r="M4" s="13">
        <v>62</v>
      </c>
      <c r="N4" s="13">
        <v>66</v>
      </c>
      <c r="O4" s="13">
        <v>43</v>
      </c>
      <c r="P4" s="13">
        <v>80</v>
      </c>
      <c r="Q4" s="13">
        <v>82</v>
      </c>
      <c r="R4" s="13"/>
      <c r="S4" s="13"/>
      <c r="T4" s="13"/>
      <c r="U4" s="13">
        <v>612</v>
      </c>
      <c r="V4" s="13"/>
      <c r="W4" s="13"/>
      <c r="X4" s="13"/>
      <c r="Y4" s="13"/>
      <c r="Z4" s="13"/>
      <c r="AA4" s="13"/>
      <c r="AB4" s="13"/>
      <c r="AD4">
        <f t="shared" ref="AD4:AD61" si="0">SUM(I4,K4:L4)</f>
        <v>963</v>
      </c>
      <c r="AE4">
        <f t="shared" ref="AE4:AE61" si="1">1000-AD4</f>
        <v>37</v>
      </c>
    </row>
    <row r="5" spans="2:31" x14ac:dyDescent="0.25">
      <c r="B5" s="8">
        <v>3</v>
      </c>
      <c r="C5" s="23" t="s">
        <v>411</v>
      </c>
      <c r="D5" s="10">
        <v>6.1</v>
      </c>
      <c r="E5" s="10">
        <v>51</v>
      </c>
      <c r="F5" s="10">
        <v>6</v>
      </c>
      <c r="G5" s="10">
        <v>56</v>
      </c>
      <c r="H5" s="10">
        <v>8.1999999999999993</v>
      </c>
      <c r="I5" s="10">
        <v>93</v>
      </c>
      <c r="J5" s="10"/>
      <c r="K5" s="10">
        <v>58</v>
      </c>
      <c r="L5" s="10">
        <v>814</v>
      </c>
      <c r="M5" s="10">
        <v>60</v>
      </c>
      <c r="N5" s="10">
        <v>44</v>
      </c>
      <c r="O5" s="10">
        <v>20</v>
      </c>
      <c r="P5" s="10">
        <v>80</v>
      </c>
      <c r="Q5" s="10">
        <v>82</v>
      </c>
      <c r="R5" s="10"/>
      <c r="S5" s="10"/>
      <c r="T5" s="10"/>
      <c r="U5" s="10">
        <v>622</v>
      </c>
      <c r="V5" s="10"/>
      <c r="W5" s="10"/>
      <c r="X5" s="10"/>
      <c r="Y5" s="10"/>
      <c r="Z5" s="10"/>
      <c r="AA5" s="10"/>
      <c r="AB5" s="10"/>
      <c r="AD5">
        <f t="shared" si="0"/>
        <v>965</v>
      </c>
      <c r="AE5">
        <f t="shared" si="1"/>
        <v>35</v>
      </c>
    </row>
    <row r="6" spans="2:31" x14ac:dyDescent="0.25">
      <c r="B6" s="11">
        <v>4</v>
      </c>
      <c r="C6" s="24" t="s">
        <v>412</v>
      </c>
      <c r="D6" s="13">
        <v>9.4</v>
      </c>
      <c r="E6" s="13">
        <v>72</v>
      </c>
      <c r="F6" s="13">
        <v>12</v>
      </c>
      <c r="G6" s="13">
        <v>95</v>
      </c>
      <c r="H6" s="13">
        <v>11.6</v>
      </c>
      <c r="I6" s="13">
        <v>135</v>
      </c>
      <c r="J6" s="13"/>
      <c r="K6" s="13">
        <v>68</v>
      </c>
      <c r="L6" s="13">
        <v>753</v>
      </c>
      <c r="M6" s="13">
        <v>71</v>
      </c>
      <c r="N6" s="13">
        <v>66</v>
      </c>
      <c r="O6" s="13">
        <v>43</v>
      </c>
      <c r="P6" s="13">
        <v>80</v>
      </c>
      <c r="Q6" s="13">
        <v>82</v>
      </c>
      <c r="R6" s="13"/>
      <c r="S6" s="13"/>
      <c r="T6" s="13"/>
      <c r="U6" s="13">
        <v>521</v>
      </c>
      <c r="V6" s="13"/>
      <c r="W6" s="13"/>
      <c r="X6" s="13"/>
      <c r="Y6" s="13"/>
      <c r="Z6" s="13"/>
      <c r="AA6" s="13"/>
      <c r="AB6" s="13"/>
      <c r="AD6">
        <f t="shared" si="0"/>
        <v>956</v>
      </c>
      <c r="AE6">
        <f t="shared" si="1"/>
        <v>44</v>
      </c>
    </row>
    <row r="7" spans="2:31" x14ac:dyDescent="0.25">
      <c r="B7" s="8">
        <v>5</v>
      </c>
      <c r="C7" s="23" t="s">
        <v>413</v>
      </c>
      <c r="D7" s="10">
        <v>10.5</v>
      </c>
      <c r="E7" s="10">
        <v>78</v>
      </c>
      <c r="F7" s="10">
        <v>-24</v>
      </c>
      <c r="G7" s="10">
        <v>72</v>
      </c>
      <c r="H7" s="10">
        <v>12.5</v>
      </c>
      <c r="I7" s="10">
        <v>110</v>
      </c>
      <c r="J7" s="10"/>
      <c r="K7" s="10">
        <v>76</v>
      </c>
      <c r="L7" s="10">
        <v>790</v>
      </c>
      <c r="M7" s="10">
        <v>65</v>
      </c>
      <c r="N7" s="10">
        <v>73</v>
      </c>
      <c r="O7" s="10">
        <v>51</v>
      </c>
      <c r="P7" s="10">
        <v>80</v>
      </c>
      <c r="Q7" s="10">
        <v>82</v>
      </c>
      <c r="R7" s="10"/>
      <c r="S7" s="10"/>
      <c r="T7" s="10"/>
      <c r="U7" s="10">
        <v>593</v>
      </c>
      <c r="V7" s="10"/>
      <c r="W7" s="10"/>
      <c r="X7" s="10"/>
      <c r="Y7" s="10"/>
      <c r="Z7" s="10"/>
      <c r="AA7" s="10"/>
      <c r="AB7" s="10"/>
      <c r="AD7">
        <f t="shared" si="0"/>
        <v>976</v>
      </c>
      <c r="AE7">
        <f t="shared" si="1"/>
        <v>24</v>
      </c>
    </row>
    <row r="8" spans="2:31" x14ac:dyDescent="0.25">
      <c r="B8" s="11">
        <v>6</v>
      </c>
      <c r="C8" s="24" t="s">
        <v>414</v>
      </c>
      <c r="D8" s="13">
        <v>11.1</v>
      </c>
      <c r="E8" s="13">
        <v>81</v>
      </c>
      <c r="F8" s="13">
        <v>27</v>
      </c>
      <c r="G8" s="13">
        <v>125</v>
      </c>
      <c r="H8" s="13">
        <v>13.2</v>
      </c>
      <c r="I8" s="13">
        <v>167</v>
      </c>
      <c r="J8" s="13"/>
      <c r="K8" s="13">
        <v>86</v>
      </c>
      <c r="L8" s="13">
        <v>707</v>
      </c>
      <c r="M8" s="13">
        <v>75</v>
      </c>
      <c r="N8" s="13">
        <v>78</v>
      </c>
      <c r="O8" s="13">
        <v>55</v>
      </c>
      <c r="P8" s="13">
        <v>80</v>
      </c>
      <c r="Q8" s="13">
        <v>82</v>
      </c>
      <c r="R8" s="13"/>
      <c r="S8" s="13"/>
      <c r="T8" s="13"/>
      <c r="U8" s="13">
        <v>491</v>
      </c>
      <c r="V8" s="13"/>
      <c r="W8" s="13"/>
      <c r="X8" s="13"/>
      <c r="Y8" s="13"/>
      <c r="Z8" s="13"/>
      <c r="AA8" s="13"/>
      <c r="AB8" s="13"/>
      <c r="AD8">
        <f t="shared" si="0"/>
        <v>960</v>
      </c>
      <c r="AE8">
        <f t="shared" si="1"/>
        <v>40</v>
      </c>
    </row>
    <row r="9" spans="2:31" x14ac:dyDescent="0.25">
      <c r="B9" s="8">
        <v>7</v>
      </c>
      <c r="C9" s="23" t="s">
        <v>415</v>
      </c>
      <c r="D9" s="10">
        <v>11</v>
      </c>
      <c r="E9" s="10">
        <v>80</v>
      </c>
      <c r="F9" s="10">
        <v>52</v>
      </c>
      <c r="G9" s="10">
        <v>147</v>
      </c>
      <c r="H9" s="10">
        <v>13.2</v>
      </c>
      <c r="I9" s="10">
        <v>190</v>
      </c>
      <c r="J9" s="10"/>
      <c r="K9" s="25">
        <f>AVERAGE(K$3:K$8)</f>
        <v>65.666666666666671</v>
      </c>
      <c r="L9" s="10">
        <v>673</v>
      </c>
      <c r="M9" s="10">
        <v>77</v>
      </c>
      <c r="N9" s="10">
        <v>77</v>
      </c>
      <c r="O9" s="10">
        <v>54</v>
      </c>
      <c r="P9" s="10">
        <v>80</v>
      </c>
      <c r="Q9" s="10">
        <v>82</v>
      </c>
      <c r="R9" s="10">
        <v>130</v>
      </c>
      <c r="S9" s="10"/>
      <c r="T9" s="10"/>
      <c r="U9" s="10">
        <v>480</v>
      </c>
      <c r="V9" s="10">
        <v>29</v>
      </c>
      <c r="W9" s="10"/>
      <c r="X9" s="10"/>
      <c r="Y9" s="10"/>
      <c r="Z9" s="10"/>
      <c r="AA9" s="10"/>
      <c r="AB9" s="10"/>
      <c r="AD9" s="19">
        <f t="shared" si="0"/>
        <v>928.66666666666674</v>
      </c>
      <c r="AE9" s="19">
        <f t="shared" si="1"/>
        <v>71.333333333333258</v>
      </c>
    </row>
    <row r="10" spans="2:31" x14ac:dyDescent="0.25">
      <c r="B10" s="11">
        <v>8</v>
      </c>
      <c r="C10" s="24" t="s">
        <v>416</v>
      </c>
      <c r="D10" s="13">
        <v>10.1</v>
      </c>
      <c r="E10" s="13">
        <v>76</v>
      </c>
      <c r="F10" s="13">
        <v>-38</v>
      </c>
      <c r="G10" s="13">
        <v>55</v>
      </c>
      <c r="H10" s="13">
        <v>12</v>
      </c>
      <c r="I10" s="13">
        <v>92</v>
      </c>
      <c r="J10" s="13"/>
      <c r="K10" s="26">
        <f t="shared" ref="K10:K14" si="2">AVERAGE(K$3:K$8)</f>
        <v>65.666666666666671</v>
      </c>
      <c r="L10" s="13">
        <v>816</v>
      </c>
      <c r="M10" s="13">
        <v>60</v>
      </c>
      <c r="N10" s="13">
        <v>71</v>
      </c>
      <c r="O10" s="13">
        <v>48</v>
      </c>
      <c r="P10" s="13">
        <v>80</v>
      </c>
      <c r="Q10" s="13">
        <v>82</v>
      </c>
      <c r="R10" s="13"/>
      <c r="S10" s="13"/>
      <c r="T10" s="13"/>
      <c r="U10" s="13">
        <v>540</v>
      </c>
      <c r="V10" s="13">
        <v>40</v>
      </c>
      <c r="W10" s="13"/>
      <c r="X10" s="13"/>
      <c r="Y10" s="13"/>
      <c r="Z10" s="13"/>
      <c r="AA10" s="13"/>
      <c r="AB10" s="13"/>
      <c r="AD10" s="19">
        <f t="shared" si="0"/>
        <v>973.66666666666674</v>
      </c>
      <c r="AE10" s="19">
        <f t="shared" si="1"/>
        <v>26.333333333333258</v>
      </c>
    </row>
    <row r="11" spans="2:31" x14ac:dyDescent="0.25">
      <c r="B11" s="8">
        <v>9</v>
      </c>
      <c r="C11" s="23" t="s">
        <v>417</v>
      </c>
      <c r="D11" s="10">
        <v>9.5</v>
      </c>
      <c r="E11" s="10">
        <v>72</v>
      </c>
      <c r="F11" s="10">
        <v>-14</v>
      </c>
      <c r="G11" s="10">
        <v>72</v>
      </c>
      <c r="H11" s="10">
        <v>11.6</v>
      </c>
      <c r="I11" s="10">
        <v>110</v>
      </c>
      <c r="J11" s="10"/>
      <c r="K11" s="25">
        <f t="shared" si="2"/>
        <v>65.666666666666671</v>
      </c>
      <c r="L11" s="10">
        <v>789</v>
      </c>
      <c r="M11" s="10">
        <v>65</v>
      </c>
      <c r="N11" s="10">
        <v>67</v>
      </c>
      <c r="O11" s="10">
        <v>44</v>
      </c>
      <c r="P11" s="10">
        <v>80</v>
      </c>
      <c r="Q11" s="10">
        <v>82</v>
      </c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D11" s="19">
        <f t="shared" si="0"/>
        <v>964.66666666666674</v>
      </c>
      <c r="AE11" s="19">
        <f t="shared" si="1"/>
        <v>35.333333333333258</v>
      </c>
    </row>
    <row r="12" spans="2:31" x14ac:dyDescent="0.25">
      <c r="B12" s="11">
        <v>10</v>
      </c>
      <c r="C12" s="24" t="s">
        <v>418</v>
      </c>
      <c r="D12" s="13">
        <v>10.5</v>
      </c>
      <c r="E12" s="13">
        <v>78</v>
      </c>
      <c r="F12" s="13">
        <v>32</v>
      </c>
      <c r="G12" s="13">
        <v>128</v>
      </c>
      <c r="H12" s="13">
        <v>12.8</v>
      </c>
      <c r="I12" s="13">
        <v>170</v>
      </c>
      <c r="J12" s="13"/>
      <c r="K12" s="26">
        <f>AVERAGE(K$3:K$8)</f>
        <v>65.666666666666671</v>
      </c>
      <c r="L12" s="13">
        <v>702</v>
      </c>
      <c r="M12" s="13">
        <v>75</v>
      </c>
      <c r="N12" s="13">
        <v>74</v>
      </c>
      <c r="O12" s="13">
        <v>51</v>
      </c>
      <c r="P12" s="13">
        <v>80</v>
      </c>
      <c r="Q12" s="13">
        <v>82</v>
      </c>
      <c r="R12" s="13">
        <v>70</v>
      </c>
      <c r="S12" s="13">
        <v>41</v>
      </c>
      <c r="T12" s="13"/>
      <c r="U12" s="13">
        <v>510</v>
      </c>
      <c r="V12" s="13">
        <v>33</v>
      </c>
      <c r="W12" s="13"/>
      <c r="X12" s="13"/>
      <c r="Y12" s="13"/>
      <c r="Z12" s="13"/>
      <c r="AA12" s="13"/>
      <c r="AB12" s="13"/>
      <c r="AD12" s="19">
        <f t="shared" si="0"/>
        <v>937.66666666666674</v>
      </c>
      <c r="AE12" s="19">
        <f t="shared" si="1"/>
        <v>62.333333333333258</v>
      </c>
    </row>
    <row r="13" spans="2:31" x14ac:dyDescent="0.25">
      <c r="B13" s="8">
        <v>11</v>
      </c>
      <c r="C13" s="23" t="s">
        <v>419</v>
      </c>
      <c r="D13" s="10">
        <v>10.8</v>
      </c>
      <c r="E13" s="10">
        <v>78</v>
      </c>
      <c r="F13" s="10">
        <v>74</v>
      </c>
      <c r="G13" s="10">
        <v>166</v>
      </c>
      <c r="H13" s="10">
        <v>13.1</v>
      </c>
      <c r="I13" s="10">
        <v>210</v>
      </c>
      <c r="J13" s="10"/>
      <c r="K13" s="25">
        <f t="shared" si="2"/>
        <v>65.666666666666671</v>
      </c>
      <c r="L13" s="10">
        <v>643</v>
      </c>
      <c r="M13" s="10">
        <v>79</v>
      </c>
      <c r="N13" s="10">
        <v>76</v>
      </c>
      <c r="O13" s="10">
        <v>53</v>
      </c>
      <c r="P13" s="10">
        <v>80</v>
      </c>
      <c r="Q13" s="10">
        <v>82</v>
      </c>
      <c r="R13" s="10">
        <v>80</v>
      </c>
      <c r="S13" s="10"/>
      <c r="T13" s="10"/>
      <c r="U13" s="10">
        <v>470</v>
      </c>
      <c r="V13" s="10">
        <v>33</v>
      </c>
      <c r="W13" s="10"/>
      <c r="X13" s="10"/>
      <c r="Y13" s="10"/>
      <c r="Z13" s="10"/>
      <c r="AA13" s="10"/>
      <c r="AB13" s="10"/>
      <c r="AD13" s="19">
        <f t="shared" si="0"/>
        <v>918.66666666666674</v>
      </c>
      <c r="AE13" s="19">
        <f t="shared" si="1"/>
        <v>81.333333333333258</v>
      </c>
    </row>
    <row r="14" spans="2:31" x14ac:dyDescent="0.25">
      <c r="B14" s="11">
        <v>12</v>
      </c>
      <c r="C14" s="24" t="s">
        <v>420</v>
      </c>
      <c r="D14" s="13">
        <v>11.5</v>
      </c>
      <c r="E14" s="13">
        <v>82</v>
      </c>
      <c r="F14" s="13">
        <v>68</v>
      </c>
      <c r="G14" s="13">
        <v>166</v>
      </c>
      <c r="H14" s="13">
        <v>13.7</v>
      </c>
      <c r="I14" s="13">
        <v>210</v>
      </c>
      <c r="J14" s="13"/>
      <c r="K14" s="26">
        <f t="shared" si="2"/>
        <v>65.666666666666671</v>
      </c>
      <c r="L14" s="13">
        <v>643</v>
      </c>
      <c r="M14" s="13">
        <v>79</v>
      </c>
      <c r="N14" s="13">
        <v>81</v>
      </c>
      <c r="O14" s="13">
        <v>58</v>
      </c>
      <c r="P14" s="13">
        <v>80</v>
      </c>
      <c r="Q14" s="13">
        <v>82</v>
      </c>
      <c r="R14" s="13">
        <v>200</v>
      </c>
      <c r="S14" s="13"/>
      <c r="T14" s="13"/>
      <c r="U14" s="13">
        <v>420</v>
      </c>
      <c r="V14" s="13">
        <v>24</v>
      </c>
      <c r="W14" s="13"/>
      <c r="X14" s="13"/>
      <c r="Y14" s="13"/>
      <c r="Z14" s="13"/>
      <c r="AA14" s="13"/>
      <c r="AB14" s="13"/>
      <c r="AD14" s="19">
        <f t="shared" si="0"/>
        <v>918.66666666666674</v>
      </c>
      <c r="AE14" s="19">
        <f t="shared" si="1"/>
        <v>81.333333333333258</v>
      </c>
    </row>
    <row r="15" spans="2:31" x14ac:dyDescent="0.25">
      <c r="B15" s="8">
        <v>13</v>
      </c>
      <c r="C15" s="23" t="s">
        <v>421</v>
      </c>
      <c r="D15" s="10">
        <v>9.8000000000000007</v>
      </c>
      <c r="E15" s="10">
        <v>70</v>
      </c>
      <c r="F15" s="10">
        <v>83</v>
      </c>
      <c r="G15" s="10">
        <v>160</v>
      </c>
      <c r="H15" s="10">
        <v>12.4</v>
      </c>
      <c r="I15" s="10">
        <v>204</v>
      </c>
      <c r="J15" s="10"/>
      <c r="K15" s="10">
        <v>100</v>
      </c>
      <c r="L15" s="10">
        <v>652</v>
      </c>
      <c r="M15" s="10">
        <v>79</v>
      </c>
      <c r="N15" s="10">
        <v>69</v>
      </c>
      <c r="O15" s="10">
        <v>46</v>
      </c>
      <c r="P15" s="10">
        <v>80</v>
      </c>
      <c r="Q15" s="10">
        <v>82</v>
      </c>
      <c r="R15" s="10">
        <v>40</v>
      </c>
      <c r="S15" s="10">
        <v>84</v>
      </c>
      <c r="T15" s="10">
        <v>15</v>
      </c>
      <c r="U15" s="10">
        <v>390</v>
      </c>
      <c r="V15" s="10">
        <v>60</v>
      </c>
      <c r="W15" s="10">
        <v>17</v>
      </c>
      <c r="X15" s="10">
        <v>3</v>
      </c>
      <c r="Y15" s="10">
        <v>2.2000000000000002</v>
      </c>
      <c r="Z15" s="10">
        <v>28</v>
      </c>
      <c r="AA15" s="10">
        <v>1.4</v>
      </c>
      <c r="AB15" s="10"/>
      <c r="AD15">
        <f t="shared" si="0"/>
        <v>956</v>
      </c>
      <c r="AE15">
        <f t="shared" si="1"/>
        <v>44</v>
      </c>
    </row>
    <row r="16" spans="2:31" x14ac:dyDescent="0.25">
      <c r="B16" s="11">
        <v>14</v>
      </c>
      <c r="C16" s="24" t="s">
        <v>422</v>
      </c>
      <c r="D16" s="13">
        <v>9.8000000000000007</v>
      </c>
      <c r="E16" s="13">
        <v>70</v>
      </c>
      <c r="F16" s="13">
        <v>61</v>
      </c>
      <c r="G16" s="13">
        <v>140</v>
      </c>
      <c r="H16" s="13">
        <v>12.2</v>
      </c>
      <c r="I16" s="13">
        <v>182</v>
      </c>
      <c r="J16" s="13"/>
      <c r="K16" s="13">
        <v>100</v>
      </c>
      <c r="L16" s="13">
        <v>684</v>
      </c>
      <c r="M16" s="13">
        <v>77</v>
      </c>
      <c r="N16" s="13">
        <v>69</v>
      </c>
      <c r="O16" s="13">
        <v>46</v>
      </c>
      <c r="P16" s="13">
        <v>80</v>
      </c>
      <c r="Q16" s="13">
        <v>82</v>
      </c>
      <c r="R16" s="13">
        <v>40</v>
      </c>
      <c r="S16" s="13">
        <v>84</v>
      </c>
      <c r="T16" s="13">
        <v>15</v>
      </c>
      <c r="U16" s="13">
        <v>390</v>
      </c>
      <c r="V16" s="13">
        <v>60</v>
      </c>
      <c r="W16" s="13">
        <v>17</v>
      </c>
      <c r="X16" s="13">
        <v>3</v>
      </c>
      <c r="Y16" s="13">
        <v>2.2000000000000002</v>
      </c>
      <c r="Z16" s="13">
        <v>28</v>
      </c>
      <c r="AA16" s="13">
        <v>1.4</v>
      </c>
      <c r="AB16" s="13"/>
      <c r="AD16">
        <f t="shared" si="0"/>
        <v>966</v>
      </c>
      <c r="AE16">
        <f t="shared" si="1"/>
        <v>34</v>
      </c>
    </row>
    <row r="17" spans="2:31" x14ac:dyDescent="0.25">
      <c r="B17" s="8">
        <v>15</v>
      </c>
      <c r="C17" s="23" t="s">
        <v>423</v>
      </c>
      <c r="D17" s="10">
        <v>9.3000000000000007</v>
      </c>
      <c r="E17" s="10">
        <v>67</v>
      </c>
      <c r="F17" s="10">
        <v>56</v>
      </c>
      <c r="G17" s="10">
        <v>130</v>
      </c>
      <c r="H17" s="10">
        <v>11.8</v>
      </c>
      <c r="I17" s="10">
        <v>172</v>
      </c>
      <c r="J17" s="10"/>
      <c r="K17" s="10">
        <v>100</v>
      </c>
      <c r="L17" s="10">
        <v>699</v>
      </c>
      <c r="M17" s="10">
        <v>76</v>
      </c>
      <c r="N17" s="10">
        <v>66</v>
      </c>
      <c r="O17" s="10">
        <v>43</v>
      </c>
      <c r="P17" s="10">
        <v>80</v>
      </c>
      <c r="Q17" s="10">
        <v>82</v>
      </c>
      <c r="R17" s="10">
        <v>40</v>
      </c>
      <c r="S17" s="10"/>
      <c r="T17" s="10">
        <v>15</v>
      </c>
      <c r="U17" s="10">
        <v>460</v>
      </c>
      <c r="V17" s="10">
        <v>90</v>
      </c>
      <c r="W17" s="10">
        <v>17</v>
      </c>
      <c r="X17" s="10">
        <v>3</v>
      </c>
      <c r="Y17" s="10">
        <v>2.2000000000000002</v>
      </c>
      <c r="Z17" s="10">
        <v>28</v>
      </c>
      <c r="AA17" s="10">
        <v>1.4</v>
      </c>
      <c r="AB17" s="10"/>
      <c r="AD17">
        <f t="shared" si="0"/>
        <v>971</v>
      </c>
      <c r="AE17">
        <f t="shared" si="1"/>
        <v>29</v>
      </c>
    </row>
    <row r="18" spans="2:31" x14ac:dyDescent="0.25">
      <c r="B18" s="11">
        <v>16</v>
      </c>
      <c r="C18" s="24" t="s">
        <v>424</v>
      </c>
      <c r="D18" s="13">
        <v>9.3000000000000007</v>
      </c>
      <c r="E18" s="13">
        <v>67</v>
      </c>
      <c r="F18" s="13">
        <v>34</v>
      </c>
      <c r="G18" s="13">
        <v>110</v>
      </c>
      <c r="H18" s="13">
        <v>11.6</v>
      </c>
      <c r="I18" s="13">
        <v>150</v>
      </c>
      <c r="J18" s="13"/>
      <c r="K18" s="13">
        <v>100</v>
      </c>
      <c r="L18" s="13">
        <v>731</v>
      </c>
      <c r="M18" s="13">
        <v>73</v>
      </c>
      <c r="N18" s="13">
        <v>66</v>
      </c>
      <c r="O18" s="13">
        <v>43</v>
      </c>
      <c r="P18" s="13">
        <v>80</v>
      </c>
      <c r="Q18" s="13">
        <v>82</v>
      </c>
      <c r="R18" s="13">
        <v>40</v>
      </c>
      <c r="S18" s="13"/>
      <c r="T18" s="13">
        <v>15</v>
      </c>
      <c r="U18" s="13">
        <v>460</v>
      </c>
      <c r="V18" s="13">
        <v>90</v>
      </c>
      <c r="W18" s="13">
        <v>17</v>
      </c>
      <c r="X18" s="13">
        <v>3</v>
      </c>
      <c r="Y18" s="13">
        <v>2.2000000000000002</v>
      </c>
      <c r="Z18" s="13">
        <v>28</v>
      </c>
      <c r="AA18" s="13">
        <v>1.4</v>
      </c>
      <c r="AB18" s="13"/>
      <c r="AD18">
        <f t="shared" si="0"/>
        <v>981</v>
      </c>
      <c r="AE18">
        <f t="shared" si="1"/>
        <v>19</v>
      </c>
    </row>
    <row r="19" spans="2:31" x14ac:dyDescent="0.25">
      <c r="B19" s="8">
        <v>17</v>
      </c>
      <c r="C19" s="23" t="s">
        <v>425</v>
      </c>
      <c r="D19" s="10">
        <v>10.199999999999999</v>
      </c>
      <c r="E19" s="10">
        <v>71</v>
      </c>
      <c r="F19" s="10">
        <v>121</v>
      </c>
      <c r="G19" s="10">
        <v>200</v>
      </c>
      <c r="H19" s="10">
        <v>12.9</v>
      </c>
      <c r="I19" s="10">
        <v>246</v>
      </c>
      <c r="J19" s="10"/>
      <c r="K19" s="10">
        <v>100</v>
      </c>
      <c r="L19" s="10">
        <v>591</v>
      </c>
      <c r="M19" s="10">
        <v>81</v>
      </c>
      <c r="N19" s="10">
        <v>72</v>
      </c>
      <c r="O19" s="10">
        <v>49</v>
      </c>
      <c r="P19" s="10">
        <v>80</v>
      </c>
      <c r="Q19" s="10">
        <v>82</v>
      </c>
      <c r="R19" s="10">
        <v>40</v>
      </c>
      <c r="S19" s="10"/>
      <c r="T19" s="10">
        <v>15</v>
      </c>
      <c r="U19" s="10">
        <v>360</v>
      </c>
      <c r="V19" s="10">
        <v>50</v>
      </c>
      <c r="W19" s="10">
        <v>16</v>
      </c>
      <c r="X19" s="10">
        <v>2.8</v>
      </c>
      <c r="Y19" s="10">
        <v>2</v>
      </c>
      <c r="Z19" s="10">
        <v>30</v>
      </c>
      <c r="AA19" s="10">
        <v>1.5</v>
      </c>
      <c r="AB19" s="10"/>
      <c r="AD19">
        <f t="shared" si="0"/>
        <v>937</v>
      </c>
      <c r="AE19">
        <f t="shared" si="1"/>
        <v>63</v>
      </c>
    </row>
    <row r="20" spans="2:31" x14ac:dyDescent="0.25">
      <c r="B20" s="11">
        <v>18</v>
      </c>
      <c r="C20" s="24" t="s">
        <v>426</v>
      </c>
      <c r="D20" s="13">
        <v>10.199999999999999</v>
      </c>
      <c r="E20" s="13">
        <v>72</v>
      </c>
      <c r="F20" s="13">
        <v>89</v>
      </c>
      <c r="G20" s="13">
        <v>170</v>
      </c>
      <c r="H20" s="13">
        <v>12.7</v>
      </c>
      <c r="I20" s="13">
        <v>214</v>
      </c>
      <c r="J20" s="13"/>
      <c r="K20" s="13">
        <v>100</v>
      </c>
      <c r="L20" s="13">
        <v>638</v>
      </c>
      <c r="M20" s="13">
        <v>79</v>
      </c>
      <c r="N20" s="13">
        <v>72</v>
      </c>
      <c r="O20" s="13">
        <v>49</v>
      </c>
      <c r="P20" s="13">
        <v>80</v>
      </c>
      <c r="Q20" s="13">
        <v>82</v>
      </c>
      <c r="R20" s="13">
        <v>40</v>
      </c>
      <c r="S20" s="13"/>
      <c r="T20" s="13">
        <v>15</v>
      </c>
      <c r="U20" s="13">
        <v>360</v>
      </c>
      <c r="V20" s="13">
        <v>50</v>
      </c>
      <c r="W20" s="13">
        <v>16</v>
      </c>
      <c r="X20" s="13">
        <v>2.8</v>
      </c>
      <c r="Y20" s="13">
        <v>2</v>
      </c>
      <c r="Z20" s="13">
        <v>30</v>
      </c>
      <c r="AA20" s="13">
        <v>1.5</v>
      </c>
      <c r="AB20" s="13"/>
      <c r="AD20">
        <f t="shared" si="0"/>
        <v>952</v>
      </c>
      <c r="AE20">
        <f t="shared" si="1"/>
        <v>48</v>
      </c>
    </row>
    <row r="21" spans="2:31" x14ac:dyDescent="0.25">
      <c r="B21" s="8">
        <v>19</v>
      </c>
      <c r="C21" s="23" t="s">
        <v>427</v>
      </c>
      <c r="D21" s="10">
        <v>10.9</v>
      </c>
      <c r="E21" s="10">
        <v>71</v>
      </c>
      <c r="F21" s="10">
        <v>22</v>
      </c>
      <c r="G21" s="10">
        <v>105</v>
      </c>
      <c r="H21" s="10">
        <v>13</v>
      </c>
      <c r="I21" s="10">
        <v>145</v>
      </c>
      <c r="J21" s="10">
        <v>286</v>
      </c>
      <c r="K21" s="10">
        <v>76</v>
      </c>
      <c r="L21" s="10">
        <v>710</v>
      </c>
      <c r="M21" s="10">
        <v>72</v>
      </c>
      <c r="N21" s="10">
        <v>74</v>
      </c>
      <c r="O21" s="10">
        <v>54</v>
      </c>
      <c r="P21" s="10">
        <v>80</v>
      </c>
      <c r="Q21" s="10">
        <v>82</v>
      </c>
      <c r="R21" s="10">
        <v>66.900000000000006</v>
      </c>
      <c r="S21" s="10"/>
      <c r="T21" s="10">
        <v>69</v>
      </c>
      <c r="U21" s="10">
        <v>530</v>
      </c>
      <c r="V21" s="10"/>
      <c r="W21" s="10">
        <v>6</v>
      </c>
      <c r="X21" s="10">
        <v>2.8</v>
      </c>
      <c r="Y21" s="10">
        <v>1.8</v>
      </c>
      <c r="Z21" s="10">
        <v>24</v>
      </c>
      <c r="AA21" s="10"/>
      <c r="AB21" s="10"/>
      <c r="AD21">
        <f t="shared" si="0"/>
        <v>931</v>
      </c>
      <c r="AE21">
        <f t="shared" si="1"/>
        <v>69</v>
      </c>
    </row>
    <row r="22" spans="2:31" x14ac:dyDescent="0.25">
      <c r="B22" s="11">
        <v>20</v>
      </c>
      <c r="C22" s="24" t="s">
        <v>428</v>
      </c>
      <c r="D22" s="13">
        <v>11.7</v>
      </c>
      <c r="E22" s="13">
        <v>73</v>
      </c>
      <c r="F22" s="13">
        <v>31</v>
      </c>
      <c r="G22" s="13">
        <v>117</v>
      </c>
      <c r="H22" s="13">
        <v>13.7</v>
      </c>
      <c r="I22" s="13">
        <v>158</v>
      </c>
      <c r="J22" s="13">
        <v>251</v>
      </c>
      <c r="K22" s="13">
        <v>75</v>
      </c>
      <c r="L22" s="13">
        <v>691</v>
      </c>
      <c r="M22" s="13">
        <v>74</v>
      </c>
      <c r="N22" s="13">
        <v>77</v>
      </c>
      <c r="O22" s="13">
        <v>59</v>
      </c>
      <c r="P22" s="13">
        <v>80</v>
      </c>
      <c r="Q22" s="13">
        <v>82</v>
      </c>
      <c r="R22" s="13">
        <v>104</v>
      </c>
      <c r="S22" s="13"/>
      <c r="T22" s="13"/>
      <c r="U22" s="13">
        <v>495</v>
      </c>
      <c r="V22" s="13"/>
      <c r="W22" s="13">
        <v>5.5</v>
      </c>
      <c r="X22" s="13">
        <v>2.8</v>
      </c>
      <c r="Y22" s="13">
        <v>1.8</v>
      </c>
      <c r="Z22" s="13">
        <v>24.5</v>
      </c>
      <c r="AA22" s="13"/>
      <c r="AB22" s="13"/>
      <c r="AD22">
        <f t="shared" si="0"/>
        <v>924</v>
      </c>
      <c r="AE22">
        <f t="shared" si="1"/>
        <v>76</v>
      </c>
    </row>
    <row r="23" spans="2:31" x14ac:dyDescent="0.25">
      <c r="B23" s="8">
        <v>21</v>
      </c>
      <c r="C23" s="23" t="s">
        <v>429</v>
      </c>
      <c r="D23" s="10">
        <v>8</v>
      </c>
      <c r="E23" s="10">
        <v>62</v>
      </c>
      <c r="F23" s="10">
        <v>-1</v>
      </c>
      <c r="G23" s="10">
        <v>68</v>
      </c>
      <c r="H23" s="10">
        <v>10.1</v>
      </c>
      <c r="I23" s="10">
        <v>106</v>
      </c>
      <c r="J23" s="10"/>
      <c r="K23" s="10">
        <v>77</v>
      </c>
      <c r="L23" s="10">
        <v>768</v>
      </c>
      <c r="M23" s="10">
        <v>64</v>
      </c>
      <c r="N23" s="10">
        <v>63</v>
      </c>
      <c r="O23" s="10">
        <v>34</v>
      </c>
      <c r="P23" s="10">
        <v>80</v>
      </c>
      <c r="Q23" s="10">
        <v>82</v>
      </c>
      <c r="R23" s="10">
        <v>126</v>
      </c>
      <c r="S23" s="10"/>
      <c r="T23" s="10"/>
      <c r="U23" s="10">
        <v>625</v>
      </c>
      <c r="V23" s="10"/>
      <c r="W23" s="10">
        <v>6.4</v>
      </c>
      <c r="X23" s="10">
        <v>2.2999999999999998</v>
      </c>
      <c r="Y23" s="10">
        <v>1.7</v>
      </c>
      <c r="Z23" s="10">
        <v>17</v>
      </c>
      <c r="AA23" s="10"/>
      <c r="AB23" s="10"/>
      <c r="AD23">
        <f t="shared" si="0"/>
        <v>951</v>
      </c>
      <c r="AE23">
        <f t="shared" si="1"/>
        <v>49</v>
      </c>
    </row>
    <row r="24" spans="2:31" x14ac:dyDescent="0.25">
      <c r="B24" s="11">
        <v>22</v>
      </c>
      <c r="C24" s="24" t="s">
        <v>430</v>
      </c>
      <c r="D24" s="13">
        <v>9.1999999999999993</v>
      </c>
      <c r="E24" s="13">
        <v>66</v>
      </c>
      <c r="F24" s="13">
        <v>6</v>
      </c>
      <c r="G24" s="13">
        <v>81</v>
      </c>
      <c r="H24" s="13">
        <v>11.4</v>
      </c>
      <c r="I24" s="13">
        <v>120</v>
      </c>
      <c r="J24" s="13">
        <v>328</v>
      </c>
      <c r="K24" s="13">
        <v>72</v>
      </c>
      <c r="L24" s="13">
        <v>747</v>
      </c>
      <c r="M24" s="13">
        <v>68</v>
      </c>
      <c r="N24" s="13">
        <v>67</v>
      </c>
      <c r="O24" s="13">
        <v>42</v>
      </c>
      <c r="P24" s="13">
        <v>80</v>
      </c>
      <c r="Q24" s="13">
        <v>82</v>
      </c>
      <c r="R24" s="13">
        <v>26</v>
      </c>
      <c r="S24" s="13"/>
      <c r="T24" s="13">
        <v>272</v>
      </c>
      <c r="U24" s="13">
        <v>599</v>
      </c>
      <c r="V24" s="13"/>
      <c r="W24" s="13">
        <v>6.8</v>
      </c>
      <c r="X24" s="13">
        <v>2.5</v>
      </c>
      <c r="Y24" s="13">
        <v>1.8</v>
      </c>
      <c r="Z24" s="13">
        <v>21</v>
      </c>
      <c r="AA24" s="13"/>
      <c r="AB24" s="13"/>
      <c r="AD24">
        <f t="shared" si="0"/>
        <v>939</v>
      </c>
      <c r="AE24">
        <f t="shared" si="1"/>
        <v>61</v>
      </c>
    </row>
    <row r="25" spans="2:31" x14ac:dyDescent="0.25">
      <c r="B25" s="8">
        <v>23</v>
      </c>
      <c r="C25" s="23" t="s">
        <v>431</v>
      </c>
      <c r="D25" s="10">
        <v>10.1</v>
      </c>
      <c r="E25" s="10">
        <v>69</v>
      </c>
      <c r="F25" s="10">
        <v>14</v>
      </c>
      <c r="G25" s="10">
        <v>94</v>
      </c>
      <c r="H25" s="10">
        <v>12.2</v>
      </c>
      <c r="I25" s="10">
        <v>133</v>
      </c>
      <c r="J25" s="10">
        <v>302</v>
      </c>
      <c r="K25" s="10">
        <v>78</v>
      </c>
      <c r="L25" s="10">
        <v>728</v>
      </c>
      <c r="M25" s="10">
        <v>70</v>
      </c>
      <c r="N25" s="10">
        <v>71</v>
      </c>
      <c r="O25" s="10">
        <v>48</v>
      </c>
      <c r="P25" s="10">
        <v>80</v>
      </c>
      <c r="Q25" s="10">
        <v>82</v>
      </c>
      <c r="R25" s="10">
        <v>48.1</v>
      </c>
      <c r="S25" s="10"/>
      <c r="T25" s="10">
        <v>85.5</v>
      </c>
      <c r="U25" s="10">
        <v>569</v>
      </c>
      <c r="V25" s="10"/>
      <c r="W25" s="10">
        <v>6.3</v>
      </c>
      <c r="X25" s="10">
        <v>2.7</v>
      </c>
      <c r="Y25" s="10">
        <v>1.8</v>
      </c>
      <c r="Z25" s="10">
        <v>23.4</v>
      </c>
      <c r="AA25" s="10"/>
      <c r="AB25" s="10"/>
      <c r="AD25">
        <f t="shared" si="0"/>
        <v>939</v>
      </c>
      <c r="AE25">
        <f t="shared" si="1"/>
        <v>61</v>
      </c>
    </row>
    <row r="26" spans="2:31" x14ac:dyDescent="0.25">
      <c r="B26" s="11">
        <v>24</v>
      </c>
      <c r="C26" s="24" t="s">
        <v>432</v>
      </c>
      <c r="D26" s="13">
        <v>10.3</v>
      </c>
      <c r="E26" s="13">
        <v>70</v>
      </c>
      <c r="F26" s="13">
        <v>12</v>
      </c>
      <c r="G26" s="13">
        <v>93</v>
      </c>
      <c r="H26" s="13">
        <v>12.4</v>
      </c>
      <c r="I26" s="13">
        <v>132</v>
      </c>
      <c r="J26" s="13">
        <v>296</v>
      </c>
      <c r="K26" s="13">
        <v>73</v>
      </c>
      <c r="L26" s="13">
        <v>729</v>
      </c>
      <c r="M26" s="13">
        <v>70</v>
      </c>
      <c r="N26" s="13">
        <v>71</v>
      </c>
      <c r="O26" s="13">
        <v>50</v>
      </c>
      <c r="P26" s="13">
        <v>80</v>
      </c>
      <c r="Q26" s="13">
        <v>82</v>
      </c>
      <c r="R26" s="13">
        <v>55.8</v>
      </c>
      <c r="S26" s="13"/>
      <c r="T26" s="13">
        <v>41</v>
      </c>
      <c r="U26" s="13">
        <v>563</v>
      </c>
      <c r="V26" s="13"/>
      <c r="W26" s="13">
        <v>6.3</v>
      </c>
      <c r="X26" s="13">
        <v>2.6</v>
      </c>
      <c r="Y26" s="13">
        <v>1.8</v>
      </c>
      <c r="Z26" s="13">
        <v>20</v>
      </c>
      <c r="AA26" s="13"/>
      <c r="AB26" s="13"/>
      <c r="AD26">
        <f t="shared" si="0"/>
        <v>934</v>
      </c>
      <c r="AE26">
        <f t="shared" si="1"/>
        <v>66</v>
      </c>
    </row>
    <row r="27" spans="2:31" x14ac:dyDescent="0.25">
      <c r="B27" s="8">
        <v>25</v>
      </c>
      <c r="C27" s="23" t="s">
        <v>433</v>
      </c>
      <c r="D27" s="10">
        <v>10.3</v>
      </c>
      <c r="E27" s="10">
        <v>70</v>
      </c>
      <c r="F27" s="10">
        <v>17</v>
      </c>
      <c r="G27" s="10">
        <v>97</v>
      </c>
      <c r="H27" s="10">
        <v>12.4</v>
      </c>
      <c r="I27" s="10">
        <v>137</v>
      </c>
      <c r="J27" s="10">
        <v>298</v>
      </c>
      <c r="K27" s="10">
        <v>80</v>
      </c>
      <c r="L27" s="10">
        <v>722</v>
      </c>
      <c r="M27" s="10">
        <v>71</v>
      </c>
      <c r="N27" s="10">
        <v>71</v>
      </c>
      <c r="O27" s="10">
        <v>50</v>
      </c>
      <c r="P27" s="10">
        <v>80</v>
      </c>
      <c r="Q27" s="10">
        <v>82</v>
      </c>
      <c r="R27" s="10">
        <v>41.8</v>
      </c>
      <c r="S27" s="10"/>
      <c r="T27" s="10">
        <v>124</v>
      </c>
      <c r="U27" s="10">
        <v>558</v>
      </c>
      <c r="V27" s="10"/>
      <c r="W27" s="10">
        <v>5.8</v>
      </c>
      <c r="X27" s="10">
        <v>2.7</v>
      </c>
      <c r="Y27" s="10">
        <v>1.8</v>
      </c>
      <c r="Z27" s="10">
        <v>23.9</v>
      </c>
      <c r="AA27" s="10"/>
      <c r="AB27" s="10"/>
      <c r="AD27">
        <f t="shared" si="0"/>
        <v>939</v>
      </c>
      <c r="AE27">
        <f t="shared" si="1"/>
        <v>61</v>
      </c>
    </row>
    <row r="28" spans="2:31" x14ac:dyDescent="0.25">
      <c r="B28" s="11">
        <v>26</v>
      </c>
      <c r="C28" s="24" t="s">
        <v>434</v>
      </c>
      <c r="D28" s="13">
        <v>10.1</v>
      </c>
      <c r="E28" s="13">
        <v>69</v>
      </c>
      <c r="F28" s="13">
        <v>21</v>
      </c>
      <c r="G28" s="13">
        <v>100</v>
      </c>
      <c r="H28" s="13">
        <v>12.3</v>
      </c>
      <c r="I28" s="13">
        <v>140</v>
      </c>
      <c r="J28" s="13">
        <v>289</v>
      </c>
      <c r="K28" s="13">
        <v>83</v>
      </c>
      <c r="L28" s="13">
        <v>718</v>
      </c>
      <c r="M28" s="13">
        <v>72</v>
      </c>
      <c r="N28" s="13">
        <v>71</v>
      </c>
      <c r="O28" s="13">
        <v>48</v>
      </c>
      <c r="P28" s="13">
        <v>80</v>
      </c>
      <c r="Q28" s="13">
        <v>82</v>
      </c>
      <c r="R28" s="13">
        <v>28.6</v>
      </c>
      <c r="S28" s="13"/>
      <c r="T28" s="13"/>
      <c r="U28" s="13">
        <v>538</v>
      </c>
      <c r="V28" s="13"/>
      <c r="W28" s="13">
        <v>7.8</v>
      </c>
      <c r="X28" s="13">
        <v>2.7</v>
      </c>
      <c r="Y28" s="13">
        <v>2</v>
      </c>
      <c r="Z28" s="13">
        <v>23.8</v>
      </c>
      <c r="AA28" s="13"/>
      <c r="AB28" s="13"/>
      <c r="AD28">
        <f t="shared" si="0"/>
        <v>941</v>
      </c>
      <c r="AE28">
        <f t="shared" si="1"/>
        <v>59</v>
      </c>
    </row>
    <row r="29" spans="2:31" x14ac:dyDescent="0.25">
      <c r="B29" s="8">
        <v>27</v>
      </c>
      <c r="C29" s="23" t="s">
        <v>435</v>
      </c>
      <c r="D29" s="10">
        <v>10.199999999999999</v>
      </c>
      <c r="E29" s="10">
        <v>69</v>
      </c>
      <c r="F29" s="10">
        <v>14</v>
      </c>
      <c r="G29" s="10">
        <v>94</v>
      </c>
      <c r="H29" s="10">
        <v>12.3</v>
      </c>
      <c r="I29" s="10">
        <v>134</v>
      </c>
      <c r="J29" s="10">
        <v>262</v>
      </c>
      <c r="K29" s="10">
        <v>76</v>
      </c>
      <c r="L29" s="10">
        <v>727</v>
      </c>
      <c r="M29" s="10">
        <v>70</v>
      </c>
      <c r="N29" s="10">
        <v>71</v>
      </c>
      <c r="O29" s="10">
        <v>49</v>
      </c>
      <c r="P29" s="10">
        <v>80</v>
      </c>
      <c r="Q29" s="10">
        <v>82</v>
      </c>
      <c r="R29" s="10">
        <v>98.7</v>
      </c>
      <c r="S29" s="10"/>
      <c r="T29" s="10"/>
      <c r="U29" s="10">
        <v>544</v>
      </c>
      <c r="V29" s="10"/>
      <c r="W29" s="10">
        <v>7.7</v>
      </c>
      <c r="X29" s="10">
        <v>2.6</v>
      </c>
      <c r="Y29" s="10">
        <v>2</v>
      </c>
      <c r="Z29" s="10">
        <v>19.399999999999999</v>
      </c>
      <c r="AA29" s="10"/>
      <c r="AB29" s="10"/>
      <c r="AD29">
        <f t="shared" si="0"/>
        <v>937</v>
      </c>
      <c r="AE29">
        <f t="shared" si="1"/>
        <v>63</v>
      </c>
    </row>
    <row r="30" spans="2:31" x14ac:dyDescent="0.25">
      <c r="B30" s="11">
        <v>28</v>
      </c>
      <c r="C30" s="24" t="s">
        <v>436</v>
      </c>
      <c r="D30" s="13">
        <v>10.1</v>
      </c>
      <c r="E30" s="13">
        <v>69</v>
      </c>
      <c r="F30" s="13">
        <v>23</v>
      </c>
      <c r="G30" s="13">
        <v>102</v>
      </c>
      <c r="H30" s="13">
        <v>12.3</v>
      </c>
      <c r="I30" s="13">
        <v>142</v>
      </c>
      <c r="J30" s="13">
        <v>293</v>
      </c>
      <c r="K30" s="13">
        <v>88</v>
      </c>
      <c r="L30" s="13">
        <v>714</v>
      </c>
      <c r="M30" s="13">
        <v>72</v>
      </c>
      <c r="N30" s="13">
        <v>71</v>
      </c>
      <c r="O30" s="13">
        <v>48</v>
      </c>
      <c r="P30" s="13">
        <v>80</v>
      </c>
      <c r="Q30" s="13">
        <v>82</v>
      </c>
      <c r="R30" s="13">
        <v>13.8</v>
      </c>
      <c r="S30" s="13"/>
      <c r="T30" s="13"/>
      <c r="U30" s="13">
        <v>537</v>
      </c>
      <c r="V30" s="13"/>
      <c r="W30" s="13">
        <v>7.7</v>
      </c>
      <c r="X30" s="13">
        <v>2.7</v>
      </c>
      <c r="Y30" s="13">
        <v>1.9</v>
      </c>
      <c r="Z30" s="13">
        <v>24.6</v>
      </c>
      <c r="AA30" s="13"/>
      <c r="AB30" s="13"/>
      <c r="AD30">
        <f t="shared" si="0"/>
        <v>944</v>
      </c>
      <c r="AE30">
        <f t="shared" si="1"/>
        <v>56</v>
      </c>
    </row>
    <row r="31" spans="2:31" x14ac:dyDescent="0.25">
      <c r="B31" s="8">
        <v>29</v>
      </c>
      <c r="C31" s="23" t="s">
        <v>437</v>
      </c>
      <c r="D31" s="10">
        <v>10.199999999999999</v>
      </c>
      <c r="E31" s="10">
        <v>69</v>
      </c>
      <c r="F31" s="10">
        <v>14</v>
      </c>
      <c r="G31" s="10">
        <v>94</v>
      </c>
      <c r="H31" s="10">
        <v>12.3</v>
      </c>
      <c r="I31" s="10">
        <v>134</v>
      </c>
      <c r="J31" s="10">
        <v>297</v>
      </c>
      <c r="K31" s="10">
        <v>74</v>
      </c>
      <c r="L31" s="10">
        <v>727</v>
      </c>
      <c r="M31" s="10">
        <v>70</v>
      </c>
      <c r="N31" s="10">
        <v>71</v>
      </c>
      <c r="O31" s="10">
        <v>49</v>
      </c>
      <c r="P31" s="10">
        <v>80</v>
      </c>
      <c r="Q31" s="10">
        <v>82</v>
      </c>
      <c r="R31" s="10">
        <v>47</v>
      </c>
      <c r="S31" s="10"/>
      <c r="T31" s="10">
        <v>96.6</v>
      </c>
      <c r="U31" s="10">
        <v>573</v>
      </c>
      <c r="V31" s="10"/>
      <c r="W31" s="10">
        <v>6</v>
      </c>
      <c r="X31" s="10">
        <v>2.7</v>
      </c>
      <c r="Y31" s="10">
        <v>1.8</v>
      </c>
      <c r="Z31" s="10">
        <v>22</v>
      </c>
      <c r="AA31" s="10"/>
      <c r="AB31" s="10"/>
      <c r="AD31">
        <f t="shared" si="0"/>
        <v>935</v>
      </c>
      <c r="AE31">
        <f t="shared" si="1"/>
        <v>65</v>
      </c>
    </row>
    <row r="32" spans="2:31" x14ac:dyDescent="0.25">
      <c r="B32" s="11">
        <v>30</v>
      </c>
      <c r="C32" s="24" t="s">
        <v>438</v>
      </c>
      <c r="D32" s="13">
        <v>9.9</v>
      </c>
      <c r="E32" s="13">
        <v>68</v>
      </c>
      <c r="F32" s="13">
        <v>99</v>
      </c>
      <c r="G32" s="13">
        <v>173</v>
      </c>
      <c r="H32" s="13">
        <v>12.5</v>
      </c>
      <c r="I32" s="13">
        <v>218</v>
      </c>
      <c r="J32" s="13"/>
      <c r="K32" s="13">
        <v>83</v>
      </c>
      <c r="L32" s="13">
        <v>640</v>
      </c>
      <c r="M32" s="13">
        <v>80</v>
      </c>
      <c r="N32" s="13">
        <v>70</v>
      </c>
      <c r="O32" s="13">
        <v>47</v>
      </c>
      <c r="P32" s="13">
        <v>80</v>
      </c>
      <c r="Q32" s="13">
        <v>82</v>
      </c>
      <c r="R32" s="13"/>
      <c r="S32" s="13"/>
      <c r="T32" s="13"/>
      <c r="U32" s="13">
        <v>409</v>
      </c>
      <c r="V32" s="13">
        <v>38</v>
      </c>
      <c r="W32" s="13">
        <v>13</v>
      </c>
      <c r="X32" s="13">
        <v>3</v>
      </c>
      <c r="Y32" s="13">
        <v>2.4</v>
      </c>
      <c r="Z32" s="13">
        <v>22</v>
      </c>
      <c r="AA32" s="13">
        <v>0.6</v>
      </c>
      <c r="AB32" s="13"/>
      <c r="AD32">
        <f t="shared" si="0"/>
        <v>941</v>
      </c>
      <c r="AE32">
        <f t="shared" si="1"/>
        <v>59</v>
      </c>
    </row>
    <row r="33" spans="2:31" x14ac:dyDescent="0.25">
      <c r="B33" s="8">
        <v>31</v>
      </c>
      <c r="C33" s="23" t="s">
        <v>439</v>
      </c>
      <c r="D33" s="10">
        <v>9.1</v>
      </c>
      <c r="E33" s="10">
        <v>66</v>
      </c>
      <c r="F33" s="10">
        <v>-19</v>
      </c>
      <c r="G33" s="10">
        <v>56</v>
      </c>
      <c r="H33" s="10">
        <v>11.1</v>
      </c>
      <c r="I33" s="10">
        <v>93.5</v>
      </c>
      <c r="J33" s="10">
        <v>317</v>
      </c>
      <c r="K33" s="10">
        <v>62</v>
      </c>
      <c r="L33" s="10">
        <v>813</v>
      </c>
      <c r="M33" s="10">
        <v>60</v>
      </c>
      <c r="N33" s="10">
        <v>64</v>
      </c>
      <c r="O33" s="10">
        <v>41</v>
      </c>
      <c r="P33" s="10">
        <v>80</v>
      </c>
      <c r="Q33" s="10">
        <v>82</v>
      </c>
      <c r="R33" s="10">
        <v>142</v>
      </c>
      <c r="S33" s="10"/>
      <c r="T33" s="10"/>
      <c r="U33" s="10">
        <v>652</v>
      </c>
      <c r="V33" s="10"/>
      <c r="W33" s="10">
        <v>3.7</v>
      </c>
      <c r="X33" s="10">
        <v>2.1</v>
      </c>
      <c r="Y33" s="10">
        <v>1.2</v>
      </c>
      <c r="Z33" s="10">
        <v>18.100000000000001</v>
      </c>
      <c r="AA33" s="10"/>
      <c r="AB33" s="10"/>
      <c r="AD33" s="19">
        <f t="shared" si="0"/>
        <v>968.5</v>
      </c>
      <c r="AE33" s="19">
        <f t="shared" si="1"/>
        <v>31.5</v>
      </c>
    </row>
    <row r="34" spans="2:31" x14ac:dyDescent="0.25">
      <c r="B34" s="11">
        <v>32</v>
      </c>
      <c r="C34" s="24" t="s">
        <v>440</v>
      </c>
      <c r="D34" s="13">
        <v>9.3000000000000007</v>
      </c>
      <c r="E34" s="13">
        <v>67</v>
      </c>
      <c r="F34" s="13">
        <v>-19</v>
      </c>
      <c r="G34" s="13">
        <v>58</v>
      </c>
      <c r="H34" s="13">
        <v>11.3</v>
      </c>
      <c r="I34" s="13">
        <v>95.5</v>
      </c>
      <c r="J34" s="13">
        <v>330</v>
      </c>
      <c r="K34" s="13">
        <v>59</v>
      </c>
      <c r="L34" s="13">
        <v>811</v>
      </c>
      <c r="M34" s="13">
        <v>61</v>
      </c>
      <c r="N34" s="13">
        <v>66</v>
      </c>
      <c r="O34" s="13">
        <v>43</v>
      </c>
      <c r="P34" s="13">
        <v>80</v>
      </c>
      <c r="Q34" s="13">
        <v>82</v>
      </c>
      <c r="R34" s="13">
        <v>144</v>
      </c>
      <c r="S34" s="13"/>
      <c r="T34" s="13"/>
      <c r="U34" s="13">
        <v>616</v>
      </c>
      <c r="V34" s="13"/>
      <c r="W34" s="13">
        <v>4.3</v>
      </c>
      <c r="X34" s="13">
        <v>2.1</v>
      </c>
      <c r="Y34" s="13">
        <v>1.4</v>
      </c>
      <c r="Z34" s="13">
        <v>16.399999999999999</v>
      </c>
      <c r="AA34" s="13"/>
      <c r="AB34" s="13"/>
      <c r="AD34" s="19">
        <f t="shared" si="0"/>
        <v>965.5</v>
      </c>
      <c r="AE34" s="19">
        <f t="shared" si="1"/>
        <v>34.5</v>
      </c>
    </row>
    <row r="35" spans="2:31" x14ac:dyDescent="0.25">
      <c r="B35" s="8">
        <v>33</v>
      </c>
      <c r="C35" s="23" t="s">
        <v>441</v>
      </c>
      <c r="D35" s="10">
        <v>9.1999999999999993</v>
      </c>
      <c r="E35" s="10">
        <v>66</v>
      </c>
      <c r="F35" s="10">
        <v>-18</v>
      </c>
      <c r="G35" s="10">
        <v>58</v>
      </c>
      <c r="H35" s="10">
        <v>11.2</v>
      </c>
      <c r="I35" s="10">
        <v>95.3</v>
      </c>
      <c r="J35" s="10">
        <v>271</v>
      </c>
      <c r="K35" s="10">
        <v>60</v>
      </c>
      <c r="L35" s="10">
        <v>811</v>
      </c>
      <c r="M35" s="10">
        <v>61</v>
      </c>
      <c r="N35" s="10">
        <v>65</v>
      </c>
      <c r="O35" s="10">
        <v>42</v>
      </c>
      <c r="P35" s="10">
        <v>80</v>
      </c>
      <c r="Q35" s="10">
        <v>82</v>
      </c>
      <c r="R35" s="10">
        <v>133</v>
      </c>
      <c r="S35" s="10"/>
      <c r="T35" s="10"/>
      <c r="U35" s="10">
        <v>656</v>
      </c>
      <c r="V35" s="10"/>
      <c r="W35" s="10">
        <v>3.7</v>
      </c>
      <c r="X35" s="10">
        <v>2.1</v>
      </c>
      <c r="Y35" s="10">
        <v>1.2</v>
      </c>
      <c r="Z35" s="10">
        <v>19</v>
      </c>
      <c r="AA35" s="10"/>
      <c r="AB35" s="10"/>
      <c r="AD35" s="19">
        <f t="shared" si="0"/>
        <v>966.3</v>
      </c>
      <c r="AE35" s="19">
        <f t="shared" si="1"/>
        <v>33.700000000000045</v>
      </c>
    </row>
    <row r="36" spans="2:31" x14ac:dyDescent="0.25">
      <c r="B36" s="11">
        <v>34</v>
      </c>
      <c r="C36" s="24" t="s">
        <v>442</v>
      </c>
      <c r="D36" s="13">
        <v>9.4</v>
      </c>
      <c r="E36" s="13">
        <v>67</v>
      </c>
      <c r="F36" s="13">
        <v>79</v>
      </c>
      <c r="G36" s="13">
        <v>153</v>
      </c>
      <c r="H36" s="13">
        <v>12</v>
      </c>
      <c r="I36" s="13">
        <v>196</v>
      </c>
      <c r="J36" s="13"/>
      <c r="K36" s="13">
        <v>100</v>
      </c>
      <c r="L36" s="13">
        <v>636</v>
      </c>
      <c r="M36" s="13">
        <v>78</v>
      </c>
      <c r="N36" s="13">
        <v>68</v>
      </c>
      <c r="O36" s="13">
        <v>43</v>
      </c>
      <c r="P36" s="13">
        <v>80</v>
      </c>
      <c r="Q36" s="13">
        <v>82</v>
      </c>
      <c r="R36" s="13"/>
      <c r="S36" s="13">
        <v>90</v>
      </c>
      <c r="T36" s="13"/>
      <c r="U36" s="13">
        <v>370</v>
      </c>
      <c r="V36" s="13">
        <v>72</v>
      </c>
      <c r="W36" s="13"/>
      <c r="X36" s="13"/>
      <c r="Y36" s="13"/>
      <c r="Z36" s="13"/>
      <c r="AA36" s="13"/>
      <c r="AB36" s="13"/>
      <c r="AD36">
        <f t="shared" si="0"/>
        <v>932</v>
      </c>
      <c r="AE36">
        <f t="shared" si="1"/>
        <v>68</v>
      </c>
    </row>
    <row r="37" spans="2:31" x14ac:dyDescent="0.25">
      <c r="B37" s="8">
        <v>35</v>
      </c>
      <c r="C37" s="23" t="s">
        <v>443</v>
      </c>
      <c r="D37" s="10">
        <v>10.199999999999999</v>
      </c>
      <c r="E37" s="10">
        <v>72</v>
      </c>
      <c r="F37" s="10">
        <v>89</v>
      </c>
      <c r="G37" s="10">
        <v>170</v>
      </c>
      <c r="H37" s="10">
        <v>12.7</v>
      </c>
      <c r="I37" s="10">
        <v>214</v>
      </c>
      <c r="J37" s="10"/>
      <c r="K37" s="10">
        <v>90</v>
      </c>
      <c r="L37" s="10">
        <v>638</v>
      </c>
      <c r="M37" s="10">
        <v>79</v>
      </c>
      <c r="N37" s="10">
        <v>72</v>
      </c>
      <c r="O37" s="10">
        <v>49</v>
      </c>
      <c r="P37" s="10">
        <v>80</v>
      </c>
      <c r="Q37" s="10">
        <v>82</v>
      </c>
      <c r="R37" s="10">
        <v>65</v>
      </c>
      <c r="S37" s="10">
        <v>120</v>
      </c>
      <c r="T37" s="10">
        <v>25</v>
      </c>
      <c r="U37" s="10">
        <v>430</v>
      </c>
      <c r="V37" s="10">
        <v>70</v>
      </c>
      <c r="W37" s="10">
        <v>15</v>
      </c>
      <c r="X37" s="10">
        <v>3</v>
      </c>
      <c r="Y37" s="10">
        <v>2.8</v>
      </c>
      <c r="Z37" s="10">
        <v>25</v>
      </c>
      <c r="AA37" s="10">
        <v>0.4</v>
      </c>
      <c r="AB37" s="10"/>
      <c r="AD37">
        <f t="shared" si="0"/>
        <v>942</v>
      </c>
      <c r="AE37">
        <f t="shared" si="1"/>
        <v>58</v>
      </c>
    </row>
    <row r="38" spans="2:31" x14ac:dyDescent="0.25">
      <c r="B38" s="11">
        <v>36</v>
      </c>
      <c r="C38" s="24" t="s">
        <v>444</v>
      </c>
      <c r="D38" s="13">
        <v>10.199999999999999</v>
      </c>
      <c r="E38" s="13">
        <v>72</v>
      </c>
      <c r="F38" s="13">
        <v>69</v>
      </c>
      <c r="G38" s="13">
        <v>150</v>
      </c>
      <c r="H38" s="13">
        <v>12.6</v>
      </c>
      <c r="I38" s="13">
        <v>193</v>
      </c>
      <c r="J38" s="13"/>
      <c r="K38" s="13">
        <v>90</v>
      </c>
      <c r="L38" s="13">
        <v>668</v>
      </c>
      <c r="M38" s="13">
        <v>78</v>
      </c>
      <c r="N38" s="13">
        <v>72</v>
      </c>
      <c r="O38" s="13">
        <v>49</v>
      </c>
      <c r="P38" s="13">
        <v>80</v>
      </c>
      <c r="Q38" s="13">
        <v>82</v>
      </c>
      <c r="R38" s="13">
        <v>65</v>
      </c>
      <c r="S38" s="13">
        <v>120</v>
      </c>
      <c r="T38" s="13">
        <v>25</v>
      </c>
      <c r="U38" s="13">
        <v>430</v>
      </c>
      <c r="V38" s="13">
        <v>70</v>
      </c>
      <c r="W38" s="13">
        <v>15</v>
      </c>
      <c r="X38" s="13">
        <v>3</v>
      </c>
      <c r="Y38" s="13">
        <v>2.8</v>
      </c>
      <c r="Z38" s="13">
        <v>25</v>
      </c>
      <c r="AA38" s="13">
        <v>0.4</v>
      </c>
      <c r="AB38" s="13"/>
      <c r="AD38">
        <f t="shared" si="0"/>
        <v>951</v>
      </c>
      <c r="AE38">
        <f t="shared" si="1"/>
        <v>49</v>
      </c>
    </row>
    <row r="39" spans="2:31" x14ac:dyDescent="0.25">
      <c r="B39" s="8">
        <v>37</v>
      </c>
      <c r="C39" s="23" t="s">
        <v>445</v>
      </c>
      <c r="D39" s="10">
        <v>9.8000000000000007</v>
      </c>
      <c r="E39" s="10">
        <v>70</v>
      </c>
      <c r="F39" s="10">
        <v>51</v>
      </c>
      <c r="G39" s="10">
        <v>130</v>
      </c>
      <c r="H39" s="10">
        <v>12.2</v>
      </c>
      <c r="I39" s="10">
        <v>172</v>
      </c>
      <c r="J39" s="10"/>
      <c r="K39" s="10">
        <v>90</v>
      </c>
      <c r="L39" s="10">
        <v>699</v>
      </c>
      <c r="M39" s="10">
        <v>76</v>
      </c>
      <c r="N39" s="10">
        <v>69</v>
      </c>
      <c r="O39" s="10">
        <v>46</v>
      </c>
      <c r="P39" s="10">
        <v>80</v>
      </c>
      <c r="Q39" s="10">
        <v>82</v>
      </c>
      <c r="R39" s="10">
        <v>65</v>
      </c>
      <c r="S39" s="10"/>
      <c r="T39" s="10">
        <v>25</v>
      </c>
      <c r="U39" s="10">
        <v>460</v>
      </c>
      <c r="V39" s="10">
        <v>80</v>
      </c>
      <c r="W39" s="10">
        <v>15</v>
      </c>
      <c r="X39" s="10">
        <v>3</v>
      </c>
      <c r="Y39" s="10">
        <v>2.8</v>
      </c>
      <c r="Z39" s="10">
        <v>25</v>
      </c>
      <c r="AA39" s="10">
        <v>0.4</v>
      </c>
      <c r="AB39" s="10"/>
      <c r="AD39">
        <f t="shared" si="0"/>
        <v>961</v>
      </c>
      <c r="AE39">
        <f t="shared" si="1"/>
        <v>39</v>
      </c>
    </row>
    <row r="40" spans="2:31" x14ac:dyDescent="0.25">
      <c r="B40" s="11">
        <v>38</v>
      </c>
      <c r="C40" s="24" t="s">
        <v>446</v>
      </c>
      <c r="D40" s="13">
        <v>9.8000000000000007</v>
      </c>
      <c r="E40" s="13">
        <v>70</v>
      </c>
      <c r="F40" s="13">
        <v>31</v>
      </c>
      <c r="G40" s="13">
        <v>110</v>
      </c>
      <c r="H40" s="13">
        <v>12.1</v>
      </c>
      <c r="I40" s="13">
        <v>151</v>
      </c>
      <c r="J40" s="13"/>
      <c r="K40" s="13">
        <v>90</v>
      </c>
      <c r="L40" s="13">
        <v>730</v>
      </c>
      <c r="M40" s="13">
        <v>73</v>
      </c>
      <c r="N40" s="13">
        <v>69</v>
      </c>
      <c r="O40" s="13">
        <v>46</v>
      </c>
      <c r="P40" s="13">
        <v>80</v>
      </c>
      <c r="Q40" s="13">
        <v>82</v>
      </c>
      <c r="R40" s="13">
        <v>65</v>
      </c>
      <c r="S40" s="13"/>
      <c r="T40" s="13">
        <v>25</v>
      </c>
      <c r="U40" s="13">
        <v>460</v>
      </c>
      <c r="V40" s="13">
        <v>80</v>
      </c>
      <c r="W40" s="13">
        <v>15</v>
      </c>
      <c r="X40" s="13">
        <v>3</v>
      </c>
      <c r="Y40" s="13">
        <v>2.8</v>
      </c>
      <c r="Z40" s="13">
        <v>25</v>
      </c>
      <c r="AA40" s="13">
        <v>0.4</v>
      </c>
      <c r="AB40" s="13"/>
      <c r="AD40">
        <f t="shared" si="0"/>
        <v>971</v>
      </c>
      <c r="AE40">
        <f t="shared" si="1"/>
        <v>29</v>
      </c>
    </row>
    <row r="41" spans="2:31" x14ac:dyDescent="0.25">
      <c r="B41" s="8">
        <v>39</v>
      </c>
      <c r="C41" s="23" t="s">
        <v>447</v>
      </c>
      <c r="D41" s="10">
        <v>10.7</v>
      </c>
      <c r="E41" s="10">
        <v>74</v>
      </c>
      <c r="F41" s="10">
        <v>96</v>
      </c>
      <c r="G41" s="10">
        <v>180</v>
      </c>
      <c r="H41" s="10">
        <v>13.1</v>
      </c>
      <c r="I41" s="10">
        <v>225</v>
      </c>
      <c r="J41" s="10"/>
      <c r="K41" s="10">
        <v>90</v>
      </c>
      <c r="L41" s="10">
        <v>622</v>
      </c>
      <c r="M41" s="10">
        <v>80</v>
      </c>
      <c r="N41" s="10">
        <v>75</v>
      </c>
      <c r="O41" s="10">
        <v>52</v>
      </c>
      <c r="P41" s="10">
        <v>80</v>
      </c>
      <c r="Q41" s="10">
        <v>82</v>
      </c>
      <c r="R41" s="10">
        <v>65</v>
      </c>
      <c r="S41" s="10"/>
      <c r="T41" s="10">
        <v>25</v>
      </c>
      <c r="U41" s="10">
        <v>400</v>
      </c>
      <c r="V41" s="10">
        <v>40</v>
      </c>
      <c r="W41" s="10">
        <v>15</v>
      </c>
      <c r="X41" s="10">
        <v>3</v>
      </c>
      <c r="Y41" s="10">
        <v>2.8</v>
      </c>
      <c r="Z41" s="10">
        <v>25</v>
      </c>
      <c r="AA41" s="10">
        <v>0.4</v>
      </c>
      <c r="AB41" s="10"/>
      <c r="AD41">
        <f t="shared" si="0"/>
        <v>937</v>
      </c>
      <c r="AE41">
        <f t="shared" si="1"/>
        <v>63</v>
      </c>
    </row>
    <row r="42" spans="2:31" x14ac:dyDescent="0.25">
      <c r="B42" s="11">
        <v>40</v>
      </c>
      <c r="C42" s="24" t="s">
        <v>448</v>
      </c>
      <c r="D42" s="13">
        <v>10.7</v>
      </c>
      <c r="E42" s="13">
        <v>73</v>
      </c>
      <c r="F42" s="13">
        <v>128</v>
      </c>
      <c r="G42" s="13">
        <v>210</v>
      </c>
      <c r="H42" s="13">
        <v>13.2</v>
      </c>
      <c r="I42" s="13">
        <v>257</v>
      </c>
      <c r="J42" s="13"/>
      <c r="K42" s="13">
        <v>90</v>
      </c>
      <c r="L42" s="13">
        <v>575</v>
      </c>
      <c r="M42" s="13">
        <v>82</v>
      </c>
      <c r="N42" s="13">
        <v>75</v>
      </c>
      <c r="O42" s="13">
        <v>52</v>
      </c>
      <c r="P42" s="13">
        <v>80</v>
      </c>
      <c r="Q42" s="13">
        <v>82</v>
      </c>
      <c r="R42" s="13">
        <v>65</v>
      </c>
      <c r="S42" s="13"/>
      <c r="T42" s="13">
        <v>25</v>
      </c>
      <c r="U42" s="13">
        <v>400</v>
      </c>
      <c r="V42" s="13">
        <v>40</v>
      </c>
      <c r="W42" s="13">
        <v>15</v>
      </c>
      <c r="X42" s="13">
        <v>3</v>
      </c>
      <c r="Y42" s="13">
        <v>2.8</v>
      </c>
      <c r="Z42" s="13">
        <v>25</v>
      </c>
      <c r="AA42" s="13">
        <v>0.4</v>
      </c>
      <c r="AB42" s="13"/>
      <c r="AD42">
        <f t="shared" si="0"/>
        <v>922</v>
      </c>
      <c r="AE42">
        <f t="shared" si="1"/>
        <v>78</v>
      </c>
    </row>
    <row r="43" spans="2:31" x14ac:dyDescent="0.25">
      <c r="B43" s="8">
        <v>41</v>
      </c>
      <c r="C43" s="23" t="s">
        <v>449</v>
      </c>
      <c r="D43" s="10">
        <v>9.9</v>
      </c>
      <c r="E43" s="10">
        <v>70</v>
      </c>
      <c r="F43" s="10">
        <v>92</v>
      </c>
      <c r="G43" s="10">
        <v>170</v>
      </c>
      <c r="H43" s="10">
        <v>12.5</v>
      </c>
      <c r="I43" s="10">
        <v>214</v>
      </c>
      <c r="J43" s="10"/>
      <c r="K43" s="10">
        <v>90</v>
      </c>
      <c r="L43" s="10">
        <v>638</v>
      </c>
      <c r="M43" s="10">
        <v>79</v>
      </c>
      <c r="N43" s="10">
        <v>70</v>
      </c>
      <c r="O43" s="10">
        <v>47</v>
      </c>
      <c r="P43" s="10">
        <v>80</v>
      </c>
      <c r="Q43" s="10">
        <v>82</v>
      </c>
      <c r="R43" s="10">
        <v>65</v>
      </c>
      <c r="S43" s="10"/>
      <c r="T43" s="10">
        <v>25</v>
      </c>
      <c r="U43" s="10">
        <v>430</v>
      </c>
      <c r="V43" s="10">
        <v>70</v>
      </c>
      <c r="W43" s="10">
        <v>15</v>
      </c>
      <c r="X43" s="10">
        <v>3</v>
      </c>
      <c r="Y43" s="10">
        <v>2.8</v>
      </c>
      <c r="Z43" s="10">
        <v>25</v>
      </c>
      <c r="AA43" s="10">
        <v>0.4</v>
      </c>
      <c r="AB43" s="10"/>
      <c r="AD43">
        <f t="shared" si="0"/>
        <v>942</v>
      </c>
      <c r="AE43">
        <f t="shared" si="1"/>
        <v>58</v>
      </c>
    </row>
    <row r="44" spans="2:31" x14ac:dyDescent="0.25">
      <c r="B44" s="11">
        <v>42</v>
      </c>
      <c r="C44" s="24" t="s">
        <v>450</v>
      </c>
      <c r="D44" s="13">
        <v>9.9</v>
      </c>
      <c r="E44" s="13">
        <v>70</v>
      </c>
      <c r="F44" s="13">
        <v>71</v>
      </c>
      <c r="G44" s="13">
        <v>150</v>
      </c>
      <c r="H44" s="13">
        <v>12.4</v>
      </c>
      <c r="I44" s="13">
        <v>193</v>
      </c>
      <c r="J44" s="13"/>
      <c r="K44" s="13">
        <v>90</v>
      </c>
      <c r="L44" s="13">
        <v>668</v>
      </c>
      <c r="M44" s="13">
        <v>78</v>
      </c>
      <c r="N44" s="13">
        <v>70</v>
      </c>
      <c r="O44" s="13">
        <v>47</v>
      </c>
      <c r="P44" s="13">
        <v>80</v>
      </c>
      <c r="Q44" s="13">
        <v>82</v>
      </c>
      <c r="R44" s="13">
        <v>65</v>
      </c>
      <c r="S44" s="13"/>
      <c r="T44" s="13">
        <v>25</v>
      </c>
      <c r="U44" s="13">
        <v>430</v>
      </c>
      <c r="V44" s="13">
        <v>70</v>
      </c>
      <c r="W44" s="13">
        <v>15</v>
      </c>
      <c r="X44" s="13">
        <v>3</v>
      </c>
      <c r="Y44" s="13">
        <v>2.8</v>
      </c>
      <c r="Z44" s="13">
        <v>25</v>
      </c>
      <c r="AA44" s="13">
        <v>0.4</v>
      </c>
      <c r="AB44" s="13"/>
      <c r="AD44">
        <f t="shared" si="0"/>
        <v>951</v>
      </c>
      <c r="AE44">
        <f t="shared" si="1"/>
        <v>49</v>
      </c>
    </row>
    <row r="45" spans="2:31" x14ac:dyDescent="0.25">
      <c r="B45" s="8">
        <v>43</v>
      </c>
      <c r="C45" s="23" t="s">
        <v>451</v>
      </c>
      <c r="D45" s="10">
        <v>9.5</v>
      </c>
      <c r="E45" s="10">
        <v>68</v>
      </c>
      <c r="F45" s="10">
        <v>64</v>
      </c>
      <c r="G45" s="10">
        <v>140</v>
      </c>
      <c r="H45" s="10">
        <v>12</v>
      </c>
      <c r="I45" s="10">
        <v>182</v>
      </c>
      <c r="J45" s="10"/>
      <c r="K45" s="10">
        <v>90</v>
      </c>
      <c r="L45" s="10">
        <v>684</v>
      </c>
      <c r="M45" s="10">
        <v>77</v>
      </c>
      <c r="N45" s="10">
        <v>67</v>
      </c>
      <c r="O45" s="10">
        <v>44</v>
      </c>
      <c r="P45" s="10">
        <v>80</v>
      </c>
      <c r="Q45" s="10">
        <v>82</v>
      </c>
      <c r="R45" s="10">
        <v>65</v>
      </c>
      <c r="S45" s="10"/>
      <c r="T45" s="10">
        <v>25</v>
      </c>
      <c r="U45" s="10">
        <v>460</v>
      </c>
      <c r="V45" s="10">
        <v>80</v>
      </c>
      <c r="W45" s="10">
        <v>15</v>
      </c>
      <c r="X45" s="10">
        <v>3</v>
      </c>
      <c r="Y45" s="10">
        <v>2.8</v>
      </c>
      <c r="Z45" s="10">
        <v>25</v>
      </c>
      <c r="AA45" s="10">
        <v>0.4</v>
      </c>
      <c r="AB45" s="10"/>
      <c r="AD45">
        <f t="shared" si="0"/>
        <v>956</v>
      </c>
      <c r="AE45">
        <f t="shared" si="1"/>
        <v>44</v>
      </c>
    </row>
    <row r="46" spans="2:31" x14ac:dyDescent="0.25">
      <c r="B46" s="11">
        <v>44</v>
      </c>
      <c r="C46" s="24" t="s">
        <v>452</v>
      </c>
      <c r="D46" s="13">
        <v>9.3000000000000007</v>
      </c>
      <c r="E46" s="13">
        <v>67</v>
      </c>
      <c r="F46" s="13">
        <v>45</v>
      </c>
      <c r="G46" s="13">
        <v>120</v>
      </c>
      <c r="H46" s="13">
        <v>11.7</v>
      </c>
      <c r="I46" s="13">
        <v>161</v>
      </c>
      <c r="J46" s="13"/>
      <c r="K46" s="13">
        <v>90</v>
      </c>
      <c r="L46" s="13">
        <v>715</v>
      </c>
      <c r="M46" s="13">
        <v>74</v>
      </c>
      <c r="N46" s="13">
        <v>66</v>
      </c>
      <c r="O46" s="13">
        <v>43</v>
      </c>
      <c r="P46" s="13">
        <v>80</v>
      </c>
      <c r="Q46" s="13">
        <v>82</v>
      </c>
      <c r="R46" s="13">
        <v>65</v>
      </c>
      <c r="S46" s="13"/>
      <c r="T46" s="13">
        <v>25</v>
      </c>
      <c r="U46" s="13">
        <v>460</v>
      </c>
      <c r="V46" s="13">
        <v>80</v>
      </c>
      <c r="W46" s="13">
        <v>15</v>
      </c>
      <c r="X46" s="13">
        <v>3</v>
      </c>
      <c r="Y46" s="13">
        <v>2.8</v>
      </c>
      <c r="Z46" s="13">
        <v>25</v>
      </c>
      <c r="AA46" s="13">
        <v>0.4</v>
      </c>
      <c r="AB46" s="13"/>
      <c r="AD46">
        <f t="shared" si="0"/>
        <v>966</v>
      </c>
      <c r="AE46">
        <f t="shared" si="1"/>
        <v>34</v>
      </c>
    </row>
    <row r="47" spans="2:31" x14ac:dyDescent="0.25">
      <c r="B47" s="8">
        <v>45</v>
      </c>
      <c r="C47" s="23" t="s">
        <v>453</v>
      </c>
      <c r="D47" s="10">
        <v>10.4</v>
      </c>
      <c r="E47" s="10">
        <v>72</v>
      </c>
      <c r="F47" s="10">
        <v>130</v>
      </c>
      <c r="G47" s="10">
        <v>210</v>
      </c>
      <c r="H47" s="10">
        <v>13</v>
      </c>
      <c r="I47" s="10">
        <v>257</v>
      </c>
      <c r="J47" s="10"/>
      <c r="K47" s="10">
        <v>90</v>
      </c>
      <c r="L47" s="10">
        <v>575</v>
      </c>
      <c r="M47" s="10">
        <v>82</v>
      </c>
      <c r="N47" s="10">
        <v>73</v>
      </c>
      <c r="O47" s="10">
        <v>50</v>
      </c>
      <c r="P47" s="10">
        <v>80</v>
      </c>
      <c r="Q47" s="10">
        <v>82</v>
      </c>
      <c r="R47" s="10">
        <v>65</v>
      </c>
      <c r="S47" s="10"/>
      <c r="T47" s="10">
        <v>25</v>
      </c>
      <c r="U47" s="10">
        <v>400</v>
      </c>
      <c r="V47" s="10">
        <v>40</v>
      </c>
      <c r="W47" s="10">
        <v>15</v>
      </c>
      <c r="X47" s="10">
        <v>3</v>
      </c>
      <c r="Y47" s="10">
        <v>2.8</v>
      </c>
      <c r="Z47" s="10">
        <v>25</v>
      </c>
      <c r="AA47" s="10">
        <v>0.4</v>
      </c>
      <c r="AB47" s="10"/>
      <c r="AD47">
        <f t="shared" si="0"/>
        <v>922</v>
      </c>
      <c r="AE47">
        <f t="shared" si="1"/>
        <v>78</v>
      </c>
    </row>
    <row r="48" spans="2:31" x14ac:dyDescent="0.25">
      <c r="B48" s="11">
        <v>46</v>
      </c>
      <c r="C48" s="24" t="s">
        <v>454</v>
      </c>
      <c r="D48" s="13">
        <v>10.4</v>
      </c>
      <c r="E48" s="13">
        <v>72</v>
      </c>
      <c r="F48" s="13">
        <v>99</v>
      </c>
      <c r="G48" s="13">
        <v>180</v>
      </c>
      <c r="H48" s="13">
        <v>12.9</v>
      </c>
      <c r="I48" s="13">
        <v>225</v>
      </c>
      <c r="J48" s="13"/>
      <c r="K48" s="13">
        <v>90</v>
      </c>
      <c r="L48" s="13">
        <v>622</v>
      </c>
      <c r="M48" s="13">
        <v>80</v>
      </c>
      <c r="N48" s="13">
        <v>73</v>
      </c>
      <c r="O48" s="13">
        <v>50</v>
      </c>
      <c r="P48" s="13">
        <v>80</v>
      </c>
      <c r="Q48" s="13">
        <v>82</v>
      </c>
      <c r="R48" s="13">
        <v>65</v>
      </c>
      <c r="S48" s="13"/>
      <c r="T48" s="13">
        <v>25</v>
      </c>
      <c r="U48" s="13">
        <v>400</v>
      </c>
      <c r="V48" s="13">
        <v>40</v>
      </c>
      <c r="W48" s="13">
        <v>15</v>
      </c>
      <c r="X48" s="13">
        <v>3</v>
      </c>
      <c r="Y48" s="13">
        <v>2.8</v>
      </c>
      <c r="Z48" s="13">
        <v>25</v>
      </c>
      <c r="AA48" s="13">
        <v>0.4</v>
      </c>
      <c r="AB48" s="13"/>
      <c r="AD48">
        <f t="shared" si="0"/>
        <v>937</v>
      </c>
      <c r="AE48">
        <f t="shared" si="1"/>
        <v>63</v>
      </c>
    </row>
    <row r="49" spans="2:31" x14ac:dyDescent="0.25">
      <c r="B49" s="8">
        <v>47</v>
      </c>
      <c r="C49" s="23" t="s">
        <v>455</v>
      </c>
      <c r="D49" s="10">
        <v>10.199999999999999</v>
      </c>
      <c r="E49" s="10">
        <v>72</v>
      </c>
      <c r="F49" s="10">
        <v>26</v>
      </c>
      <c r="G49" s="10">
        <v>110</v>
      </c>
      <c r="H49" s="10">
        <v>12.4</v>
      </c>
      <c r="I49" s="10">
        <v>150</v>
      </c>
      <c r="J49" s="10"/>
      <c r="K49" s="10">
        <v>80</v>
      </c>
      <c r="L49" s="10">
        <v>731</v>
      </c>
      <c r="M49" s="10">
        <v>73</v>
      </c>
      <c r="N49" s="10">
        <v>72</v>
      </c>
      <c r="O49" s="10">
        <v>49</v>
      </c>
      <c r="P49" s="10">
        <v>80</v>
      </c>
      <c r="Q49" s="10">
        <v>82</v>
      </c>
      <c r="R49" s="10">
        <v>110</v>
      </c>
      <c r="S49" s="10">
        <v>32</v>
      </c>
      <c r="T49" s="10">
        <v>0</v>
      </c>
      <c r="U49" s="10">
        <v>610</v>
      </c>
      <c r="V49" s="10">
        <v>40</v>
      </c>
      <c r="W49" s="10">
        <v>6</v>
      </c>
      <c r="X49" s="10">
        <v>3.5</v>
      </c>
      <c r="Y49" s="10">
        <v>1.4</v>
      </c>
      <c r="Z49" s="10">
        <v>27</v>
      </c>
      <c r="AA49" s="10">
        <v>1.5</v>
      </c>
      <c r="AB49" s="10"/>
      <c r="AD49">
        <f t="shared" si="0"/>
        <v>961</v>
      </c>
      <c r="AE49">
        <f t="shared" si="1"/>
        <v>39</v>
      </c>
    </row>
    <row r="50" spans="2:31" x14ac:dyDescent="0.25">
      <c r="B50" s="11">
        <v>48</v>
      </c>
      <c r="C50" s="24" t="s">
        <v>456</v>
      </c>
      <c r="D50" s="13">
        <v>10.199999999999999</v>
      </c>
      <c r="E50" s="13">
        <v>72</v>
      </c>
      <c r="F50" s="13">
        <v>-15</v>
      </c>
      <c r="G50" s="13">
        <v>70</v>
      </c>
      <c r="H50" s="13">
        <v>12.2</v>
      </c>
      <c r="I50" s="13">
        <v>108</v>
      </c>
      <c r="J50" s="13"/>
      <c r="K50" s="13">
        <v>80</v>
      </c>
      <c r="L50" s="13">
        <v>792</v>
      </c>
      <c r="M50" s="13">
        <v>65</v>
      </c>
      <c r="N50" s="13">
        <v>72</v>
      </c>
      <c r="O50" s="13">
        <v>49</v>
      </c>
      <c r="P50" s="13">
        <v>80</v>
      </c>
      <c r="Q50" s="13">
        <v>82</v>
      </c>
      <c r="R50" s="13">
        <v>110</v>
      </c>
      <c r="S50" s="13">
        <v>32</v>
      </c>
      <c r="T50" s="13">
        <v>0</v>
      </c>
      <c r="U50" s="13">
        <v>610</v>
      </c>
      <c r="V50" s="13">
        <v>40</v>
      </c>
      <c r="W50" s="13">
        <v>6</v>
      </c>
      <c r="X50" s="13">
        <v>3.5</v>
      </c>
      <c r="Y50" s="13">
        <v>1.4</v>
      </c>
      <c r="Z50" s="13">
        <v>27</v>
      </c>
      <c r="AA50" s="13">
        <v>1.5</v>
      </c>
      <c r="AB50" s="13"/>
      <c r="AD50">
        <f t="shared" si="0"/>
        <v>980</v>
      </c>
      <c r="AE50">
        <f t="shared" si="1"/>
        <v>20</v>
      </c>
    </row>
    <row r="51" spans="2:31" x14ac:dyDescent="0.25">
      <c r="B51" s="8">
        <v>49</v>
      </c>
      <c r="C51" s="23" t="s">
        <v>457</v>
      </c>
      <c r="D51" s="10">
        <v>9.5</v>
      </c>
      <c r="E51" s="10">
        <v>68</v>
      </c>
      <c r="F51" s="10">
        <v>-9</v>
      </c>
      <c r="G51" s="10">
        <v>70</v>
      </c>
      <c r="H51" s="10">
        <v>11.6</v>
      </c>
      <c r="I51" s="10">
        <v>108</v>
      </c>
      <c r="J51" s="10"/>
      <c r="K51" s="10">
        <v>80</v>
      </c>
      <c r="L51" s="10">
        <v>792</v>
      </c>
      <c r="M51" s="10">
        <v>65</v>
      </c>
      <c r="N51" s="10">
        <v>67</v>
      </c>
      <c r="O51" s="10">
        <v>44</v>
      </c>
      <c r="P51" s="10">
        <v>80</v>
      </c>
      <c r="Q51" s="10">
        <v>82</v>
      </c>
      <c r="R51" s="10">
        <v>110</v>
      </c>
      <c r="S51" s="10"/>
      <c r="T51" s="10">
        <v>0</v>
      </c>
      <c r="U51" s="10">
        <v>670</v>
      </c>
      <c r="V51" s="10">
        <v>50</v>
      </c>
      <c r="W51" s="10">
        <v>6</v>
      </c>
      <c r="X51" s="10">
        <v>3.5</v>
      </c>
      <c r="Y51" s="10">
        <v>1.4</v>
      </c>
      <c r="Z51" s="10">
        <v>27</v>
      </c>
      <c r="AA51" s="10">
        <v>1.5</v>
      </c>
      <c r="AB51" s="10"/>
      <c r="AD51">
        <f t="shared" si="0"/>
        <v>980</v>
      </c>
      <c r="AE51">
        <f t="shared" si="1"/>
        <v>20</v>
      </c>
    </row>
    <row r="52" spans="2:31" x14ac:dyDescent="0.25">
      <c r="B52" s="11">
        <v>50</v>
      </c>
      <c r="C52" s="24" t="s">
        <v>458</v>
      </c>
      <c r="D52" s="13">
        <v>9.5</v>
      </c>
      <c r="E52" s="13">
        <v>68</v>
      </c>
      <c r="F52" s="13">
        <v>-40</v>
      </c>
      <c r="G52" s="13">
        <v>40</v>
      </c>
      <c r="H52" s="13">
        <v>11.4</v>
      </c>
      <c r="I52" s="13">
        <v>76</v>
      </c>
      <c r="J52" s="13"/>
      <c r="K52" s="13">
        <v>80</v>
      </c>
      <c r="L52" s="13">
        <v>839</v>
      </c>
      <c r="M52" s="13">
        <v>53</v>
      </c>
      <c r="N52" s="13">
        <v>67</v>
      </c>
      <c r="O52" s="13">
        <v>44</v>
      </c>
      <c r="P52" s="13">
        <v>80</v>
      </c>
      <c r="Q52" s="13">
        <v>82</v>
      </c>
      <c r="R52" s="13">
        <v>110</v>
      </c>
      <c r="S52" s="13"/>
      <c r="T52" s="13">
        <v>0</v>
      </c>
      <c r="U52" s="13">
        <v>670</v>
      </c>
      <c r="V52" s="13">
        <v>50</v>
      </c>
      <c r="W52" s="13">
        <v>6</v>
      </c>
      <c r="X52" s="13">
        <v>3.5</v>
      </c>
      <c r="Y52" s="13">
        <v>1.4</v>
      </c>
      <c r="Z52" s="13">
        <v>27</v>
      </c>
      <c r="AA52" s="13">
        <v>1.5</v>
      </c>
      <c r="AB52" s="13"/>
      <c r="AD52">
        <f t="shared" si="0"/>
        <v>995</v>
      </c>
      <c r="AE52">
        <f t="shared" si="1"/>
        <v>5</v>
      </c>
    </row>
    <row r="53" spans="2:31" x14ac:dyDescent="0.25">
      <c r="B53" s="8">
        <v>51</v>
      </c>
      <c r="C53" s="23" t="s">
        <v>459</v>
      </c>
      <c r="D53" s="10">
        <v>11</v>
      </c>
      <c r="E53" s="10">
        <v>76</v>
      </c>
      <c r="F53" s="10">
        <v>19</v>
      </c>
      <c r="G53" s="10">
        <v>110</v>
      </c>
      <c r="H53" s="10">
        <v>13.1</v>
      </c>
      <c r="I53" s="10">
        <v>150</v>
      </c>
      <c r="J53" s="10"/>
      <c r="K53" s="10">
        <v>80</v>
      </c>
      <c r="L53" s="10">
        <v>731</v>
      </c>
      <c r="M53" s="10">
        <v>73</v>
      </c>
      <c r="N53" s="10">
        <v>77</v>
      </c>
      <c r="O53" s="10">
        <v>54</v>
      </c>
      <c r="P53" s="10">
        <v>80</v>
      </c>
      <c r="Q53" s="10">
        <v>82</v>
      </c>
      <c r="R53" s="10">
        <v>110</v>
      </c>
      <c r="S53" s="10"/>
      <c r="T53" s="10">
        <v>0</v>
      </c>
      <c r="U53" s="10">
        <v>550</v>
      </c>
      <c r="V53" s="10">
        <v>30</v>
      </c>
      <c r="W53" s="10">
        <v>6</v>
      </c>
      <c r="X53" s="10">
        <v>3.5</v>
      </c>
      <c r="Y53" s="10">
        <v>1.4</v>
      </c>
      <c r="Z53" s="10">
        <v>27</v>
      </c>
      <c r="AA53" s="10">
        <v>1.5</v>
      </c>
      <c r="AB53" s="10"/>
      <c r="AD53">
        <f t="shared" si="0"/>
        <v>961</v>
      </c>
      <c r="AE53">
        <f t="shared" si="1"/>
        <v>39</v>
      </c>
    </row>
    <row r="54" spans="2:31" x14ac:dyDescent="0.25">
      <c r="B54" s="11">
        <v>52</v>
      </c>
      <c r="C54" s="24" t="s">
        <v>460</v>
      </c>
      <c r="D54" s="13">
        <v>11</v>
      </c>
      <c r="E54" s="13">
        <v>76</v>
      </c>
      <c r="F54" s="13">
        <v>62</v>
      </c>
      <c r="G54" s="13">
        <v>150</v>
      </c>
      <c r="H54" s="13">
        <v>13.2</v>
      </c>
      <c r="I54" s="13">
        <v>193</v>
      </c>
      <c r="J54" s="13"/>
      <c r="K54" s="13">
        <v>80</v>
      </c>
      <c r="L54" s="13">
        <v>668</v>
      </c>
      <c r="M54" s="13">
        <v>78</v>
      </c>
      <c r="N54" s="13">
        <v>77</v>
      </c>
      <c r="O54" s="13">
        <v>54</v>
      </c>
      <c r="P54" s="13">
        <v>80</v>
      </c>
      <c r="Q54" s="13">
        <v>82</v>
      </c>
      <c r="R54" s="13">
        <v>110</v>
      </c>
      <c r="S54" s="13"/>
      <c r="T54" s="13">
        <v>0</v>
      </c>
      <c r="U54" s="13">
        <v>550</v>
      </c>
      <c r="V54" s="13">
        <v>30</v>
      </c>
      <c r="W54" s="13">
        <v>6</v>
      </c>
      <c r="X54" s="13">
        <v>3.5</v>
      </c>
      <c r="Y54" s="13">
        <v>1.4</v>
      </c>
      <c r="Z54" s="13">
        <v>27</v>
      </c>
      <c r="AA54" s="13">
        <v>1.5</v>
      </c>
      <c r="AB54" s="13"/>
      <c r="AD54">
        <f t="shared" si="0"/>
        <v>941</v>
      </c>
      <c r="AE54">
        <f t="shared" si="1"/>
        <v>59</v>
      </c>
    </row>
    <row r="55" spans="2:31" x14ac:dyDescent="0.25">
      <c r="B55" s="8">
        <v>53</v>
      </c>
      <c r="C55" s="23" t="s">
        <v>461</v>
      </c>
      <c r="D55" s="10">
        <v>10.6</v>
      </c>
      <c r="E55" s="10">
        <v>74</v>
      </c>
      <c r="F55" s="10">
        <v>23</v>
      </c>
      <c r="G55" s="10">
        <v>110</v>
      </c>
      <c r="H55" s="10">
        <v>12.8</v>
      </c>
      <c r="I55" s="10">
        <v>150</v>
      </c>
      <c r="J55" s="10"/>
      <c r="K55" s="10">
        <v>80</v>
      </c>
      <c r="L55" s="10">
        <v>731</v>
      </c>
      <c r="M55" s="10">
        <v>73</v>
      </c>
      <c r="N55" s="10">
        <v>74</v>
      </c>
      <c r="O55" s="10">
        <v>52</v>
      </c>
      <c r="P55" s="10">
        <v>80</v>
      </c>
      <c r="Q55" s="10">
        <v>82</v>
      </c>
      <c r="R55" s="10">
        <v>110</v>
      </c>
      <c r="S55" s="10"/>
      <c r="T55" s="10">
        <v>0</v>
      </c>
      <c r="U55" s="10">
        <v>610</v>
      </c>
      <c r="V55" s="10">
        <v>40</v>
      </c>
      <c r="W55" s="10">
        <v>6</v>
      </c>
      <c r="X55" s="10">
        <v>3.5</v>
      </c>
      <c r="Y55" s="10">
        <v>1.4</v>
      </c>
      <c r="Z55" s="10">
        <v>27</v>
      </c>
      <c r="AA55" s="10">
        <v>1.5</v>
      </c>
      <c r="AB55" s="10"/>
      <c r="AD55">
        <f t="shared" si="0"/>
        <v>961</v>
      </c>
      <c r="AE55">
        <f t="shared" si="1"/>
        <v>39</v>
      </c>
    </row>
    <row r="56" spans="2:31" x14ac:dyDescent="0.25">
      <c r="B56" s="11">
        <v>54</v>
      </c>
      <c r="C56" s="24" t="s">
        <v>462</v>
      </c>
      <c r="D56" s="13">
        <v>10.6</v>
      </c>
      <c r="E56" s="13">
        <v>74</v>
      </c>
      <c r="F56" s="13">
        <v>-19</v>
      </c>
      <c r="G56" s="13">
        <v>70</v>
      </c>
      <c r="H56" s="13">
        <v>12.6</v>
      </c>
      <c r="I56" s="13">
        <v>108</v>
      </c>
      <c r="J56" s="13"/>
      <c r="K56" s="13">
        <v>80</v>
      </c>
      <c r="L56" s="13">
        <v>792</v>
      </c>
      <c r="M56" s="13">
        <v>65</v>
      </c>
      <c r="N56" s="13">
        <v>74</v>
      </c>
      <c r="O56" s="13">
        <v>52</v>
      </c>
      <c r="P56" s="13">
        <v>80</v>
      </c>
      <c r="Q56" s="13">
        <v>82</v>
      </c>
      <c r="R56" s="13">
        <v>110</v>
      </c>
      <c r="S56" s="13"/>
      <c r="T56" s="13">
        <v>0</v>
      </c>
      <c r="U56" s="13">
        <v>610</v>
      </c>
      <c r="V56" s="13">
        <v>40</v>
      </c>
      <c r="W56" s="13">
        <v>6</v>
      </c>
      <c r="X56" s="13">
        <v>3.5</v>
      </c>
      <c r="Y56" s="13">
        <v>1.4</v>
      </c>
      <c r="Z56" s="13">
        <v>27</v>
      </c>
      <c r="AA56" s="13">
        <v>1.5</v>
      </c>
      <c r="AB56" s="13"/>
      <c r="AD56">
        <f t="shared" si="0"/>
        <v>980</v>
      </c>
      <c r="AE56">
        <f t="shared" si="1"/>
        <v>20</v>
      </c>
    </row>
    <row r="57" spans="2:31" x14ac:dyDescent="0.25">
      <c r="B57" s="8">
        <v>55</v>
      </c>
      <c r="C57" s="23" t="s">
        <v>463</v>
      </c>
      <c r="D57" s="10">
        <v>10.199999999999999</v>
      </c>
      <c r="E57" s="10">
        <v>72</v>
      </c>
      <c r="F57" s="10">
        <v>-15</v>
      </c>
      <c r="G57" s="10">
        <v>70</v>
      </c>
      <c r="H57" s="10">
        <v>12.2</v>
      </c>
      <c r="I57" s="10">
        <v>108</v>
      </c>
      <c r="J57" s="10"/>
      <c r="K57" s="10">
        <v>80</v>
      </c>
      <c r="L57" s="10">
        <v>792</v>
      </c>
      <c r="M57" s="10">
        <v>65</v>
      </c>
      <c r="N57" s="10">
        <v>72</v>
      </c>
      <c r="O57" s="10">
        <v>49</v>
      </c>
      <c r="P57" s="10">
        <v>80</v>
      </c>
      <c r="Q57" s="10">
        <v>82</v>
      </c>
      <c r="R57" s="10">
        <v>110</v>
      </c>
      <c r="S57" s="10"/>
      <c r="T57" s="10">
        <v>0</v>
      </c>
      <c r="U57" s="10">
        <v>670</v>
      </c>
      <c r="V57" s="10">
        <v>50</v>
      </c>
      <c r="W57" s="10">
        <v>6</v>
      </c>
      <c r="X57" s="10">
        <v>3.5</v>
      </c>
      <c r="Y57" s="10">
        <v>1.4</v>
      </c>
      <c r="Z57" s="10">
        <v>27</v>
      </c>
      <c r="AA57" s="10">
        <v>1.5</v>
      </c>
      <c r="AB57" s="10"/>
      <c r="AD57">
        <f t="shared" si="0"/>
        <v>980</v>
      </c>
      <c r="AE57">
        <f t="shared" si="1"/>
        <v>20</v>
      </c>
    </row>
    <row r="58" spans="2:31" x14ac:dyDescent="0.25">
      <c r="B58" s="11">
        <v>56</v>
      </c>
      <c r="C58" s="24" t="s">
        <v>464</v>
      </c>
      <c r="D58" s="13">
        <v>10.199999999999999</v>
      </c>
      <c r="E58" s="13">
        <v>72</v>
      </c>
      <c r="F58" s="13">
        <v>-47</v>
      </c>
      <c r="G58" s="13">
        <v>40</v>
      </c>
      <c r="H58" s="13">
        <v>12.1</v>
      </c>
      <c r="I58" s="13">
        <v>76</v>
      </c>
      <c r="J58" s="13"/>
      <c r="K58" s="13">
        <v>80</v>
      </c>
      <c r="L58" s="13">
        <v>839</v>
      </c>
      <c r="M58" s="13">
        <v>53</v>
      </c>
      <c r="N58" s="13">
        <v>72</v>
      </c>
      <c r="O58" s="13">
        <v>49</v>
      </c>
      <c r="P58" s="13">
        <v>80</v>
      </c>
      <c r="Q58" s="13">
        <v>82</v>
      </c>
      <c r="R58" s="13">
        <v>110</v>
      </c>
      <c r="S58" s="13"/>
      <c r="T58" s="13">
        <v>0</v>
      </c>
      <c r="U58" s="13">
        <v>670</v>
      </c>
      <c r="V58" s="13">
        <v>50</v>
      </c>
      <c r="W58" s="13">
        <v>6</v>
      </c>
      <c r="X58" s="13">
        <v>3.5</v>
      </c>
      <c r="Y58" s="13">
        <v>1.4</v>
      </c>
      <c r="Z58" s="13">
        <v>27</v>
      </c>
      <c r="AA58" s="13">
        <v>1.5</v>
      </c>
      <c r="AB58" s="13"/>
      <c r="AD58">
        <f t="shared" si="0"/>
        <v>995</v>
      </c>
      <c r="AE58">
        <f t="shared" si="1"/>
        <v>5</v>
      </c>
    </row>
    <row r="59" spans="2:31" x14ac:dyDescent="0.25">
      <c r="B59" s="8">
        <v>57</v>
      </c>
      <c r="C59" s="23" t="s">
        <v>465</v>
      </c>
      <c r="D59" s="10">
        <v>11</v>
      </c>
      <c r="E59" s="10">
        <v>76</v>
      </c>
      <c r="F59" s="10">
        <v>62</v>
      </c>
      <c r="G59" s="10">
        <v>150</v>
      </c>
      <c r="H59" s="10">
        <v>13.2</v>
      </c>
      <c r="I59" s="10">
        <v>193</v>
      </c>
      <c r="J59" s="10"/>
      <c r="K59" s="10">
        <v>80</v>
      </c>
      <c r="L59" s="10">
        <v>668</v>
      </c>
      <c r="M59" s="10">
        <v>78</v>
      </c>
      <c r="N59" s="10">
        <v>77</v>
      </c>
      <c r="O59" s="10">
        <v>54</v>
      </c>
      <c r="P59" s="10">
        <v>80</v>
      </c>
      <c r="Q59" s="10">
        <v>82</v>
      </c>
      <c r="R59" s="10">
        <v>110</v>
      </c>
      <c r="S59" s="10"/>
      <c r="T59" s="10">
        <v>0</v>
      </c>
      <c r="U59" s="10">
        <v>550</v>
      </c>
      <c r="V59" s="10">
        <v>30</v>
      </c>
      <c r="W59" s="10">
        <v>6</v>
      </c>
      <c r="X59" s="10">
        <v>3.5</v>
      </c>
      <c r="Y59" s="10">
        <v>1.4</v>
      </c>
      <c r="Z59" s="10">
        <v>27</v>
      </c>
      <c r="AA59" s="10">
        <v>1.5</v>
      </c>
      <c r="AB59" s="10"/>
      <c r="AD59">
        <f t="shared" si="0"/>
        <v>941</v>
      </c>
      <c r="AE59">
        <f t="shared" si="1"/>
        <v>59</v>
      </c>
    </row>
    <row r="60" spans="2:31" x14ac:dyDescent="0.25">
      <c r="B60" s="11">
        <v>58</v>
      </c>
      <c r="C60" s="24" t="s">
        <v>466</v>
      </c>
      <c r="D60" s="13">
        <v>11</v>
      </c>
      <c r="E60" s="13">
        <v>76</v>
      </c>
      <c r="F60" s="13">
        <v>19</v>
      </c>
      <c r="G60" s="13">
        <v>110</v>
      </c>
      <c r="H60" s="13">
        <v>13.1</v>
      </c>
      <c r="I60" s="13">
        <v>150</v>
      </c>
      <c r="J60" s="13"/>
      <c r="K60" s="13">
        <v>80</v>
      </c>
      <c r="L60" s="13">
        <v>731</v>
      </c>
      <c r="M60" s="13">
        <v>73</v>
      </c>
      <c r="N60" s="13">
        <v>77</v>
      </c>
      <c r="O60" s="13">
        <v>54</v>
      </c>
      <c r="P60" s="13">
        <v>80</v>
      </c>
      <c r="Q60" s="13">
        <v>82</v>
      </c>
      <c r="R60" s="13">
        <v>110</v>
      </c>
      <c r="S60" s="13"/>
      <c r="T60" s="13">
        <v>0</v>
      </c>
      <c r="U60" s="13">
        <v>550</v>
      </c>
      <c r="V60" s="13">
        <v>30</v>
      </c>
      <c r="W60" s="13">
        <v>6</v>
      </c>
      <c r="X60" s="13">
        <v>3.5</v>
      </c>
      <c r="Y60" s="13">
        <v>1.4</v>
      </c>
      <c r="Z60" s="13">
        <v>27</v>
      </c>
      <c r="AA60" s="13">
        <v>1.5</v>
      </c>
      <c r="AB60" s="13"/>
      <c r="AD60">
        <f t="shared" si="0"/>
        <v>961</v>
      </c>
      <c r="AE60">
        <f t="shared" si="1"/>
        <v>39</v>
      </c>
    </row>
    <row r="61" spans="2:31" x14ac:dyDescent="0.25">
      <c r="B61" s="8">
        <v>59</v>
      </c>
      <c r="C61" s="23" t="s">
        <v>467</v>
      </c>
      <c r="D61" s="10">
        <v>10.5</v>
      </c>
      <c r="E61" s="10">
        <v>69</v>
      </c>
      <c r="F61" s="10">
        <v>137</v>
      </c>
      <c r="G61" s="10">
        <v>212</v>
      </c>
      <c r="H61" s="10">
        <v>13.1</v>
      </c>
      <c r="I61" s="10">
        <v>259</v>
      </c>
      <c r="J61" s="10"/>
      <c r="K61" s="10">
        <v>113</v>
      </c>
      <c r="L61" s="10">
        <v>544</v>
      </c>
      <c r="M61" s="10">
        <v>82</v>
      </c>
      <c r="N61" s="10">
        <v>72</v>
      </c>
      <c r="O61" s="10">
        <v>51</v>
      </c>
      <c r="P61" s="10">
        <v>80</v>
      </c>
      <c r="Q61" s="10">
        <v>82</v>
      </c>
      <c r="R61" s="10"/>
      <c r="S61" s="10">
        <v>114</v>
      </c>
      <c r="T61" s="10"/>
      <c r="U61" s="10">
        <v>276</v>
      </c>
      <c r="V61" s="10">
        <v>72</v>
      </c>
      <c r="W61" s="10">
        <v>18</v>
      </c>
      <c r="X61" s="10">
        <v>4.0999999999999996</v>
      </c>
      <c r="Y61" s="10">
        <v>2.2000000000000002</v>
      </c>
      <c r="Z61" s="10">
        <v>29</v>
      </c>
      <c r="AA61" s="10">
        <v>1.4</v>
      </c>
      <c r="AB61" s="10"/>
      <c r="AD61">
        <f t="shared" si="0"/>
        <v>916</v>
      </c>
      <c r="AE61">
        <f t="shared" si="1"/>
        <v>84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N56"/>
  <sheetViews>
    <sheetView workbookViewId="0">
      <selection activeCell="C31" sqref="C31:J31"/>
    </sheetView>
  </sheetViews>
  <sheetFormatPr defaultRowHeight="15" x14ac:dyDescent="0.25"/>
  <cols>
    <col min="3" max="3" width="39.7109375" customWidth="1"/>
  </cols>
  <sheetData>
    <row r="2" spans="1:14" ht="29.25" x14ac:dyDescent="0.25">
      <c r="A2" s="4" t="s">
        <v>54</v>
      </c>
      <c r="B2" s="15" t="s">
        <v>118</v>
      </c>
      <c r="C2" s="15" t="s">
        <v>522</v>
      </c>
      <c r="D2" s="15" t="s">
        <v>323</v>
      </c>
      <c r="E2" s="15" t="s">
        <v>497</v>
      </c>
      <c r="F2" s="15" t="s">
        <v>498</v>
      </c>
      <c r="G2" s="15" t="s">
        <v>499</v>
      </c>
      <c r="H2" s="15" t="s">
        <v>500</v>
      </c>
      <c r="I2" s="15" t="s">
        <v>501</v>
      </c>
      <c r="J2" s="15" t="s">
        <v>502</v>
      </c>
      <c r="K2" s="15" t="s">
        <v>503</v>
      </c>
      <c r="L2" s="15" t="s">
        <v>504</v>
      </c>
      <c r="M2" s="15" t="s">
        <v>505</v>
      </c>
      <c r="N2" s="15" t="s">
        <v>506</v>
      </c>
    </row>
    <row r="3" spans="1:14" x14ac:dyDescent="0.25">
      <c r="B3" s="8">
        <v>1</v>
      </c>
      <c r="C3" s="10" t="s">
        <v>507</v>
      </c>
      <c r="D3" s="10">
        <v>50</v>
      </c>
      <c r="E3" s="10">
        <v>3</v>
      </c>
      <c r="F3" s="10">
        <v>13</v>
      </c>
      <c r="G3" s="10">
        <v>6</v>
      </c>
      <c r="H3" s="10">
        <v>0.3</v>
      </c>
      <c r="I3" s="10"/>
      <c r="J3" s="10">
        <v>6</v>
      </c>
      <c r="K3" s="10">
        <v>26</v>
      </c>
      <c r="L3" s="10">
        <v>12</v>
      </c>
      <c r="M3" s="10">
        <v>0.6</v>
      </c>
      <c r="N3" s="10">
        <v>0</v>
      </c>
    </row>
    <row r="4" spans="1:14" x14ac:dyDescent="0.25">
      <c r="B4" s="11">
        <v>2</v>
      </c>
      <c r="C4" s="13" t="s">
        <v>508</v>
      </c>
      <c r="D4" s="13">
        <v>85</v>
      </c>
      <c r="E4" s="13">
        <v>6</v>
      </c>
      <c r="F4" s="13">
        <v>94</v>
      </c>
      <c r="G4" s="13">
        <v>12</v>
      </c>
      <c r="H4" s="13">
        <v>1</v>
      </c>
      <c r="I4" s="13"/>
      <c r="J4" s="13">
        <v>7.1</v>
      </c>
      <c r="K4" s="13">
        <v>111</v>
      </c>
      <c r="L4" s="13">
        <v>14.1</v>
      </c>
      <c r="M4" s="13">
        <v>1.2</v>
      </c>
      <c r="N4" s="13">
        <v>0</v>
      </c>
    </row>
    <row r="5" spans="1:14" x14ac:dyDescent="0.25">
      <c r="B5" s="8">
        <v>3</v>
      </c>
      <c r="C5" s="10" t="s">
        <v>509</v>
      </c>
      <c r="D5" s="10">
        <v>90</v>
      </c>
      <c r="E5" s="10">
        <v>7.1</v>
      </c>
      <c r="F5" s="10">
        <v>47</v>
      </c>
      <c r="G5" s="10">
        <v>13</v>
      </c>
      <c r="H5" s="10">
        <v>2.4</v>
      </c>
      <c r="I5" s="10">
        <v>3.9</v>
      </c>
      <c r="J5" s="10">
        <v>7.1</v>
      </c>
      <c r="K5" s="10">
        <v>47</v>
      </c>
      <c r="L5" s="10">
        <v>13</v>
      </c>
      <c r="M5" s="10">
        <v>2.4</v>
      </c>
      <c r="N5" s="10">
        <v>3.9</v>
      </c>
    </row>
    <row r="6" spans="1:14" x14ac:dyDescent="0.25">
      <c r="B6" s="11">
        <v>4</v>
      </c>
      <c r="C6" s="13" t="s">
        <v>510</v>
      </c>
      <c r="D6" s="13">
        <v>90</v>
      </c>
      <c r="E6" s="13">
        <v>12.2</v>
      </c>
      <c r="F6" s="13">
        <v>394</v>
      </c>
      <c r="G6" s="13">
        <v>2</v>
      </c>
      <c r="H6" s="13">
        <v>14</v>
      </c>
      <c r="I6" s="13">
        <v>2.2999999999999998</v>
      </c>
      <c r="J6" s="13">
        <v>13.6</v>
      </c>
      <c r="K6" s="13">
        <v>438</v>
      </c>
      <c r="L6" s="13">
        <v>2.2000000000000002</v>
      </c>
      <c r="M6" s="13">
        <v>15.6</v>
      </c>
      <c r="N6" s="13">
        <v>2.6</v>
      </c>
    </row>
    <row r="7" spans="1:14" x14ac:dyDescent="0.25">
      <c r="B7" s="8">
        <v>5</v>
      </c>
      <c r="C7" s="10" t="s">
        <v>167</v>
      </c>
      <c r="D7" s="10">
        <v>90</v>
      </c>
      <c r="E7" s="10">
        <v>10.9</v>
      </c>
      <c r="F7" s="10">
        <v>31</v>
      </c>
      <c r="G7" s="10">
        <v>14</v>
      </c>
      <c r="H7" s="10">
        <v>1.2</v>
      </c>
      <c r="I7" s="10">
        <v>1.6</v>
      </c>
      <c r="J7" s="10">
        <v>12.1</v>
      </c>
      <c r="K7" s="10">
        <v>34</v>
      </c>
      <c r="L7" s="10">
        <v>15.6</v>
      </c>
      <c r="M7" s="10">
        <v>1.3</v>
      </c>
      <c r="N7" s="10">
        <v>1.8</v>
      </c>
    </row>
    <row r="8" spans="1:14" x14ac:dyDescent="0.25">
      <c r="B8" s="11">
        <v>6</v>
      </c>
      <c r="C8" s="13" t="s">
        <v>523</v>
      </c>
      <c r="D8" s="13">
        <v>90</v>
      </c>
      <c r="E8" s="13">
        <v>9.6</v>
      </c>
      <c r="F8" s="13">
        <v>202</v>
      </c>
      <c r="G8" s="13">
        <v>0.9</v>
      </c>
      <c r="H8" s="13">
        <v>6.6</v>
      </c>
      <c r="I8" s="13">
        <v>2.2999999999999998</v>
      </c>
      <c r="J8" s="13">
        <v>10.7</v>
      </c>
      <c r="K8" s="13">
        <v>224</v>
      </c>
      <c r="L8" s="13">
        <v>1</v>
      </c>
      <c r="M8" s="13">
        <v>7.3</v>
      </c>
      <c r="N8" s="13">
        <v>2.6</v>
      </c>
    </row>
    <row r="9" spans="1:14" x14ac:dyDescent="0.25">
      <c r="B9" s="8">
        <v>7</v>
      </c>
      <c r="C9" s="10" t="s">
        <v>524</v>
      </c>
      <c r="D9" s="10">
        <v>8</v>
      </c>
      <c r="E9" s="10">
        <v>0.9</v>
      </c>
      <c r="F9" s="10">
        <v>20</v>
      </c>
      <c r="G9" s="10">
        <v>0.2</v>
      </c>
      <c r="H9" s="10">
        <v>0.7</v>
      </c>
      <c r="I9" s="10">
        <v>0.2</v>
      </c>
      <c r="J9" s="10">
        <v>11.3</v>
      </c>
      <c r="K9" s="10">
        <v>250</v>
      </c>
      <c r="L9" s="10">
        <v>2.5</v>
      </c>
      <c r="M9" s="10">
        <v>8.8000000000000007</v>
      </c>
      <c r="N9" s="10">
        <v>2.5</v>
      </c>
    </row>
    <row r="10" spans="1:14" x14ac:dyDescent="0.25">
      <c r="B10" s="11">
        <v>8</v>
      </c>
      <c r="C10" s="13" t="s">
        <v>525</v>
      </c>
      <c r="D10" s="13">
        <v>91</v>
      </c>
      <c r="E10" s="13">
        <v>11</v>
      </c>
      <c r="F10" s="13">
        <v>621</v>
      </c>
      <c r="G10" s="13">
        <v>54</v>
      </c>
      <c r="H10" s="13">
        <v>35</v>
      </c>
      <c r="I10" s="13">
        <v>1.9</v>
      </c>
      <c r="J10" s="13">
        <v>12.1</v>
      </c>
      <c r="K10" s="13">
        <v>682</v>
      </c>
      <c r="L10" s="13">
        <v>59.3</v>
      </c>
      <c r="M10" s="13">
        <v>38.5</v>
      </c>
      <c r="N10" s="13">
        <v>2.1</v>
      </c>
    </row>
    <row r="11" spans="1:14" x14ac:dyDescent="0.25">
      <c r="B11" s="8">
        <v>9</v>
      </c>
      <c r="C11" s="10" t="s">
        <v>526</v>
      </c>
      <c r="D11" s="10">
        <v>94</v>
      </c>
      <c r="E11" s="10">
        <v>12.2</v>
      </c>
      <c r="F11" s="10">
        <v>712</v>
      </c>
      <c r="G11" s="10">
        <v>30</v>
      </c>
      <c r="H11" s="10">
        <v>21</v>
      </c>
      <c r="I11" s="10">
        <v>1.9</v>
      </c>
      <c r="J11" s="10">
        <v>13</v>
      </c>
      <c r="K11" s="10">
        <v>757</v>
      </c>
      <c r="L11" s="10">
        <v>31.9</v>
      </c>
      <c r="M11" s="10">
        <v>22.3</v>
      </c>
      <c r="N11" s="10">
        <v>2</v>
      </c>
    </row>
    <row r="12" spans="1:14" x14ac:dyDescent="0.25">
      <c r="B12" s="11">
        <v>10</v>
      </c>
      <c r="C12" s="13" t="s">
        <v>511</v>
      </c>
      <c r="D12" s="13">
        <v>91</v>
      </c>
      <c r="E12" s="13">
        <v>12.8</v>
      </c>
      <c r="F12" s="13">
        <v>612</v>
      </c>
      <c r="G12" s="13">
        <v>32</v>
      </c>
      <c r="H12" s="13">
        <v>22</v>
      </c>
      <c r="I12" s="13">
        <v>2</v>
      </c>
      <c r="J12" s="13">
        <v>14.1</v>
      </c>
      <c r="K12" s="13">
        <v>673</v>
      </c>
      <c r="L12" s="13">
        <v>35.200000000000003</v>
      </c>
      <c r="M12" s="13">
        <v>24.2</v>
      </c>
      <c r="N12" s="13">
        <v>2.2000000000000002</v>
      </c>
    </row>
    <row r="13" spans="1:14" x14ac:dyDescent="0.25">
      <c r="B13" s="8">
        <v>11</v>
      </c>
      <c r="C13" s="10" t="s">
        <v>512</v>
      </c>
      <c r="D13" s="10">
        <v>90</v>
      </c>
      <c r="E13" s="10">
        <v>6.6</v>
      </c>
      <c r="F13" s="10">
        <v>29</v>
      </c>
      <c r="G13" s="10">
        <v>3.3</v>
      </c>
      <c r="H13" s="10">
        <v>1.4</v>
      </c>
      <c r="I13" s="10">
        <v>1.4</v>
      </c>
      <c r="J13" s="10">
        <v>6.6</v>
      </c>
      <c r="K13" s="10">
        <v>29</v>
      </c>
      <c r="L13" s="10">
        <v>3.3</v>
      </c>
      <c r="M13" s="10">
        <v>1.4</v>
      </c>
      <c r="N13" s="10">
        <v>1.4</v>
      </c>
    </row>
    <row r="14" spans="1:14" x14ac:dyDescent="0.25">
      <c r="B14" s="11">
        <v>12</v>
      </c>
      <c r="C14" s="13" t="s">
        <v>527</v>
      </c>
      <c r="D14" s="13">
        <v>87</v>
      </c>
      <c r="E14" s="13">
        <v>5.0999999999999996</v>
      </c>
      <c r="F14" s="13">
        <v>24</v>
      </c>
      <c r="G14" s="13">
        <v>1.7</v>
      </c>
      <c r="H14" s="13">
        <v>6.7</v>
      </c>
      <c r="I14" s="13"/>
      <c r="J14" s="13">
        <v>5.9</v>
      </c>
      <c r="K14" s="13">
        <v>28</v>
      </c>
      <c r="L14" s="13">
        <v>2</v>
      </c>
      <c r="M14" s="13">
        <v>7.7</v>
      </c>
      <c r="N14" s="13">
        <v>0</v>
      </c>
    </row>
    <row r="15" spans="1:14" x14ac:dyDescent="0.25">
      <c r="B15" s="8">
        <v>13</v>
      </c>
      <c r="C15" s="10" t="s">
        <v>528</v>
      </c>
      <c r="D15" s="10">
        <v>87</v>
      </c>
      <c r="E15" s="10">
        <v>9.6999999999999993</v>
      </c>
      <c r="F15" s="10">
        <v>75</v>
      </c>
      <c r="G15" s="10">
        <v>0.7</v>
      </c>
      <c r="H15" s="10">
        <v>3.3</v>
      </c>
      <c r="I15" s="10">
        <v>1.1000000000000001</v>
      </c>
      <c r="J15" s="10">
        <v>11.1</v>
      </c>
      <c r="K15" s="10">
        <v>86</v>
      </c>
      <c r="L15" s="10">
        <v>0.8</v>
      </c>
      <c r="M15" s="10">
        <v>3.8</v>
      </c>
      <c r="N15" s="10">
        <v>1.3</v>
      </c>
    </row>
    <row r="16" spans="1:14" x14ac:dyDescent="0.25">
      <c r="B16" s="11">
        <v>14</v>
      </c>
      <c r="C16" s="13" t="s">
        <v>529</v>
      </c>
      <c r="D16" s="13">
        <v>87</v>
      </c>
      <c r="E16" s="13">
        <v>10.4</v>
      </c>
      <c r="F16" s="13">
        <v>104</v>
      </c>
      <c r="G16" s="13">
        <v>0.7</v>
      </c>
      <c r="H16" s="13">
        <v>4</v>
      </c>
      <c r="I16" s="13">
        <v>1.1000000000000001</v>
      </c>
      <c r="J16" s="13">
        <v>12</v>
      </c>
      <c r="K16" s="13">
        <v>120</v>
      </c>
      <c r="L16" s="13">
        <v>0.8</v>
      </c>
      <c r="M16" s="13">
        <v>4.5999999999999996</v>
      </c>
      <c r="N16" s="13">
        <v>1.3</v>
      </c>
    </row>
    <row r="17" spans="2:14" x14ac:dyDescent="0.25">
      <c r="B17" s="8">
        <v>15</v>
      </c>
      <c r="C17" s="10" t="s">
        <v>185</v>
      </c>
      <c r="D17" s="10">
        <v>82</v>
      </c>
      <c r="E17" s="10">
        <v>8.3000000000000007</v>
      </c>
      <c r="F17" s="10">
        <v>7</v>
      </c>
      <c r="G17" s="10">
        <v>3.7</v>
      </c>
      <c r="H17" s="10">
        <v>0.8</v>
      </c>
      <c r="I17" s="10"/>
      <c r="J17" s="10">
        <v>10.1</v>
      </c>
      <c r="K17" s="10">
        <v>9</v>
      </c>
      <c r="L17" s="10">
        <v>4.5</v>
      </c>
      <c r="M17" s="10">
        <v>1</v>
      </c>
      <c r="N17" s="10">
        <v>0</v>
      </c>
    </row>
    <row r="18" spans="2:14" x14ac:dyDescent="0.25">
      <c r="B18" s="11">
        <v>16</v>
      </c>
      <c r="C18" s="13" t="s">
        <v>530</v>
      </c>
      <c r="D18" s="13">
        <v>87</v>
      </c>
      <c r="E18" s="13">
        <v>7.7</v>
      </c>
      <c r="F18" s="13">
        <v>87</v>
      </c>
      <c r="G18" s="13"/>
      <c r="H18" s="13"/>
      <c r="I18" s="13"/>
      <c r="J18" s="13">
        <v>8.9</v>
      </c>
      <c r="K18" s="13">
        <v>100</v>
      </c>
      <c r="L18" s="13">
        <v>0</v>
      </c>
      <c r="M18" s="13">
        <v>0</v>
      </c>
      <c r="N18" s="13">
        <v>0</v>
      </c>
    </row>
    <row r="19" spans="2:14" x14ac:dyDescent="0.25">
      <c r="B19" s="8">
        <v>17</v>
      </c>
      <c r="C19" s="10" t="s">
        <v>531</v>
      </c>
      <c r="D19" s="10">
        <v>87</v>
      </c>
      <c r="E19" s="10">
        <v>11</v>
      </c>
      <c r="F19" s="10">
        <v>73</v>
      </c>
      <c r="G19" s="10">
        <v>0.4</v>
      </c>
      <c r="H19" s="10">
        <v>3.5</v>
      </c>
      <c r="I19" s="10">
        <v>1.1000000000000001</v>
      </c>
      <c r="J19" s="10">
        <v>12.6</v>
      </c>
      <c r="K19" s="10">
        <v>84</v>
      </c>
      <c r="L19" s="10">
        <v>0.5</v>
      </c>
      <c r="M19" s="10">
        <v>4</v>
      </c>
      <c r="N19" s="10">
        <v>1.3</v>
      </c>
    </row>
    <row r="20" spans="2:14" x14ac:dyDescent="0.25">
      <c r="B20" s="11">
        <v>18</v>
      </c>
      <c r="C20" s="13" t="s">
        <v>532</v>
      </c>
      <c r="D20" s="13">
        <v>93</v>
      </c>
      <c r="E20" s="13">
        <v>15.6</v>
      </c>
      <c r="F20" s="13">
        <v>180</v>
      </c>
      <c r="G20" s="13">
        <v>2.6</v>
      </c>
      <c r="H20" s="13">
        <v>5.3</v>
      </c>
      <c r="I20" s="13">
        <v>3.6</v>
      </c>
      <c r="J20" s="13">
        <v>16.8</v>
      </c>
      <c r="K20" s="13">
        <v>194</v>
      </c>
      <c r="L20" s="13">
        <v>2.8</v>
      </c>
      <c r="M20" s="13">
        <v>5.7</v>
      </c>
      <c r="N20" s="13">
        <v>3.9</v>
      </c>
    </row>
    <row r="21" spans="2:14" x14ac:dyDescent="0.25">
      <c r="B21" s="8">
        <v>19</v>
      </c>
      <c r="C21" s="10" t="s">
        <v>533</v>
      </c>
      <c r="D21" s="10">
        <v>90</v>
      </c>
      <c r="E21" s="10">
        <v>12.9</v>
      </c>
      <c r="F21" s="10">
        <v>223</v>
      </c>
      <c r="G21" s="10">
        <v>3.3</v>
      </c>
      <c r="H21" s="10">
        <v>7.7</v>
      </c>
      <c r="I21" s="10">
        <v>4.7</v>
      </c>
      <c r="J21" s="10">
        <v>14.3</v>
      </c>
      <c r="K21" s="10">
        <v>248</v>
      </c>
      <c r="L21" s="10">
        <v>3.7</v>
      </c>
      <c r="M21" s="10">
        <v>8.6</v>
      </c>
      <c r="N21" s="10">
        <v>5.2</v>
      </c>
    </row>
    <row r="22" spans="2:14" x14ac:dyDescent="0.25">
      <c r="B22" s="11">
        <v>20</v>
      </c>
      <c r="C22" s="13" t="s">
        <v>513</v>
      </c>
      <c r="D22" s="13">
        <v>87</v>
      </c>
      <c r="E22" s="13">
        <v>10.8</v>
      </c>
      <c r="F22" s="13">
        <v>343</v>
      </c>
      <c r="G22" s="13">
        <v>3.1</v>
      </c>
      <c r="H22" s="13">
        <v>6.5</v>
      </c>
      <c r="I22" s="13">
        <v>2.7</v>
      </c>
      <c r="J22" s="13">
        <v>12.4</v>
      </c>
      <c r="K22" s="13">
        <v>394</v>
      </c>
      <c r="L22" s="13">
        <v>3.6</v>
      </c>
      <c r="M22" s="13">
        <v>7.5</v>
      </c>
      <c r="N22" s="13">
        <v>3.1</v>
      </c>
    </row>
    <row r="23" spans="2:14" x14ac:dyDescent="0.25">
      <c r="B23" s="8">
        <v>21</v>
      </c>
      <c r="C23" s="10" t="s">
        <v>534</v>
      </c>
      <c r="D23" s="10">
        <v>87</v>
      </c>
      <c r="E23" s="10">
        <v>12.1</v>
      </c>
      <c r="F23" s="10">
        <v>55</v>
      </c>
      <c r="G23" s="10">
        <v>0.3</v>
      </c>
      <c r="H23" s="10">
        <v>2.7</v>
      </c>
      <c r="I23" s="10">
        <v>1.1000000000000001</v>
      </c>
      <c r="J23" s="10">
        <v>13.9</v>
      </c>
      <c r="K23" s="10">
        <v>63</v>
      </c>
      <c r="L23" s="10">
        <v>0.3</v>
      </c>
      <c r="M23" s="10">
        <v>3.1</v>
      </c>
      <c r="N23" s="10">
        <v>1.3</v>
      </c>
    </row>
    <row r="24" spans="2:14" x14ac:dyDescent="0.25">
      <c r="B24" s="11">
        <v>22</v>
      </c>
      <c r="C24" s="13" t="s">
        <v>514</v>
      </c>
      <c r="D24" s="13">
        <v>92</v>
      </c>
      <c r="E24" s="13">
        <v>13</v>
      </c>
      <c r="F24" s="13">
        <v>552</v>
      </c>
      <c r="G24" s="13">
        <v>0.4</v>
      </c>
      <c r="H24" s="13">
        <v>3</v>
      </c>
      <c r="I24" s="13">
        <v>1.1000000000000001</v>
      </c>
      <c r="J24" s="13">
        <v>14.1</v>
      </c>
      <c r="K24" s="13">
        <v>600</v>
      </c>
      <c r="L24" s="13">
        <v>0.4</v>
      </c>
      <c r="M24" s="13">
        <v>3.3</v>
      </c>
      <c r="N24" s="13">
        <v>1.2</v>
      </c>
    </row>
    <row r="25" spans="2:14" x14ac:dyDescent="0.25">
      <c r="B25" s="8">
        <v>23</v>
      </c>
      <c r="C25" s="10" t="s">
        <v>535</v>
      </c>
      <c r="D25" s="10">
        <v>9</v>
      </c>
      <c r="E25" s="10">
        <v>1.2</v>
      </c>
      <c r="F25" s="10">
        <v>28</v>
      </c>
      <c r="G25" s="10">
        <v>1.3</v>
      </c>
      <c r="H25" s="10">
        <v>0.9</v>
      </c>
      <c r="I25" s="10">
        <v>0.1</v>
      </c>
      <c r="J25" s="10">
        <v>13.3</v>
      </c>
      <c r="K25" s="10">
        <v>311</v>
      </c>
      <c r="L25" s="10">
        <v>14.4</v>
      </c>
      <c r="M25" s="10">
        <v>10</v>
      </c>
      <c r="N25" s="10">
        <v>1.1000000000000001</v>
      </c>
    </row>
    <row r="26" spans="2:14" x14ac:dyDescent="0.25">
      <c r="B26" s="11">
        <v>24</v>
      </c>
      <c r="C26" s="13" t="s">
        <v>515</v>
      </c>
      <c r="D26" s="13">
        <v>12</v>
      </c>
      <c r="E26" s="13">
        <v>1.4</v>
      </c>
      <c r="F26" s="13">
        <v>8</v>
      </c>
      <c r="G26" s="13">
        <v>0.4</v>
      </c>
      <c r="H26" s="13">
        <v>0.3</v>
      </c>
      <c r="I26" s="13">
        <v>0.2</v>
      </c>
      <c r="J26" s="13">
        <v>11.7</v>
      </c>
      <c r="K26" s="13">
        <v>67</v>
      </c>
      <c r="L26" s="13">
        <v>3.3</v>
      </c>
      <c r="M26" s="13">
        <v>2.5</v>
      </c>
      <c r="N26" s="13">
        <v>1.7</v>
      </c>
    </row>
    <row r="27" spans="2:14" x14ac:dyDescent="0.25">
      <c r="B27" s="8">
        <v>25</v>
      </c>
      <c r="C27" s="10" t="s">
        <v>536</v>
      </c>
      <c r="D27" s="10">
        <v>91</v>
      </c>
      <c r="E27" s="10">
        <v>11.3</v>
      </c>
      <c r="F27" s="10">
        <v>103</v>
      </c>
      <c r="G27" s="10">
        <v>1.9</v>
      </c>
      <c r="H27" s="10">
        <v>5.9</v>
      </c>
      <c r="I27" s="10">
        <v>2.8</v>
      </c>
      <c r="J27" s="10">
        <v>12.4</v>
      </c>
      <c r="K27" s="10">
        <v>113</v>
      </c>
      <c r="L27" s="10">
        <v>2.1</v>
      </c>
      <c r="M27" s="10">
        <v>6.5</v>
      </c>
      <c r="N27" s="10">
        <v>3.1</v>
      </c>
    </row>
    <row r="28" spans="2:14" x14ac:dyDescent="0.25">
      <c r="B28" s="11">
        <v>26</v>
      </c>
      <c r="C28" s="13" t="s">
        <v>218</v>
      </c>
      <c r="D28" s="13">
        <v>90</v>
      </c>
      <c r="E28" s="13">
        <v>13.1</v>
      </c>
      <c r="F28" s="13">
        <v>685</v>
      </c>
      <c r="G28" s="13">
        <v>1</v>
      </c>
      <c r="H28" s="13">
        <v>4</v>
      </c>
      <c r="I28" s="13">
        <v>1</v>
      </c>
      <c r="J28" s="13">
        <v>14.6</v>
      </c>
      <c r="K28" s="13">
        <v>761</v>
      </c>
      <c r="L28" s="13">
        <v>1.1000000000000001</v>
      </c>
      <c r="M28" s="13">
        <v>4.4000000000000004</v>
      </c>
      <c r="N28" s="13">
        <v>1.1000000000000001</v>
      </c>
    </row>
    <row r="29" spans="2:14" x14ac:dyDescent="0.25">
      <c r="B29" s="8">
        <v>27</v>
      </c>
      <c r="C29" s="10" t="s">
        <v>537</v>
      </c>
      <c r="D29" s="10">
        <v>94</v>
      </c>
      <c r="E29" s="10">
        <v>12.1</v>
      </c>
      <c r="F29" s="10">
        <v>248</v>
      </c>
      <c r="G29" s="10">
        <v>7.5</v>
      </c>
      <c r="H29" s="10">
        <v>10.3</v>
      </c>
      <c r="I29" s="10">
        <v>4.7</v>
      </c>
      <c r="J29" s="10">
        <v>12.9</v>
      </c>
      <c r="K29" s="10">
        <v>264</v>
      </c>
      <c r="L29" s="10">
        <v>8</v>
      </c>
      <c r="M29" s="10">
        <v>11</v>
      </c>
      <c r="N29" s="10">
        <v>5</v>
      </c>
    </row>
    <row r="30" spans="2:14" x14ac:dyDescent="0.25">
      <c r="B30" s="11">
        <v>28</v>
      </c>
      <c r="C30" s="13" t="s">
        <v>538</v>
      </c>
      <c r="D30" s="13">
        <v>94</v>
      </c>
      <c r="E30" s="13">
        <v>12.1</v>
      </c>
      <c r="F30" s="13">
        <v>268</v>
      </c>
      <c r="G30" s="13">
        <v>7.1</v>
      </c>
      <c r="H30" s="13">
        <v>11.7</v>
      </c>
      <c r="I30" s="13">
        <v>3.9</v>
      </c>
      <c r="J30" s="13">
        <v>12.9</v>
      </c>
      <c r="K30" s="13">
        <v>285</v>
      </c>
      <c r="L30" s="13">
        <v>7.6</v>
      </c>
      <c r="M30" s="13">
        <v>12.4</v>
      </c>
      <c r="N30" s="13">
        <v>4.0999999999999996</v>
      </c>
    </row>
    <row r="31" spans="2:14" x14ac:dyDescent="0.25">
      <c r="B31" s="8">
        <v>29</v>
      </c>
      <c r="C31" s="10" t="s">
        <v>539</v>
      </c>
      <c r="D31" s="10">
        <v>93</v>
      </c>
      <c r="E31" s="10">
        <v>16.5</v>
      </c>
      <c r="F31" s="10">
        <v>154</v>
      </c>
      <c r="G31" s="10">
        <v>4</v>
      </c>
      <c r="H31" s="10">
        <v>8</v>
      </c>
      <c r="I31" s="10">
        <v>2.2000000000000002</v>
      </c>
      <c r="J31" s="10">
        <v>17.7</v>
      </c>
      <c r="K31" s="10">
        <v>166</v>
      </c>
      <c r="L31" s="10">
        <v>4.3</v>
      </c>
      <c r="M31" s="10">
        <v>8.6</v>
      </c>
      <c r="N31" s="10">
        <v>2.4</v>
      </c>
    </row>
    <row r="32" spans="2:14" x14ac:dyDescent="0.25">
      <c r="B32" s="11">
        <v>30</v>
      </c>
      <c r="C32" s="13" t="s">
        <v>540</v>
      </c>
      <c r="D32" s="13">
        <v>87</v>
      </c>
      <c r="E32" s="13">
        <v>10.9</v>
      </c>
      <c r="F32" s="13">
        <v>41</v>
      </c>
      <c r="G32" s="13">
        <v>0.6</v>
      </c>
      <c r="H32" s="13">
        <v>2.6</v>
      </c>
      <c r="I32" s="13">
        <v>1.3</v>
      </c>
      <c r="J32" s="13">
        <v>12.5</v>
      </c>
      <c r="K32" s="13">
        <v>47</v>
      </c>
      <c r="L32" s="13">
        <v>0.7</v>
      </c>
      <c r="M32" s="13">
        <v>3</v>
      </c>
      <c r="N32" s="13">
        <v>1.5</v>
      </c>
    </row>
    <row r="33" spans="2:14" x14ac:dyDescent="0.25">
      <c r="B33" s="8">
        <v>31</v>
      </c>
      <c r="C33" s="10" t="s">
        <v>541</v>
      </c>
      <c r="D33" s="10">
        <v>89</v>
      </c>
      <c r="E33" s="10">
        <v>11.9</v>
      </c>
      <c r="F33" s="10">
        <v>39</v>
      </c>
      <c r="G33" s="10">
        <v>0.3</v>
      </c>
      <c r="H33" s="10">
        <v>1</v>
      </c>
      <c r="I33" s="10">
        <v>1</v>
      </c>
      <c r="J33" s="10">
        <v>13.4</v>
      </c>
      <c r="K33" s="10">
        <v>44</v>
      </c>
      <c r="L33" s="10">
        <v>0.3</v>
      </c>
      <c r="M33" s="10">
        <v>1.1000000000000001</v>
      </c>
      <c r="N33" s="10">
        <v>1.1000000000000001</v>
      </c>
    </row>
    <row r="34" spans="2:14" x14ac:dyDescent="0.25">
      <c r="B34" s="11">
        <v>32</v>
      </c>
      <c r="C34" s="13" t="s">
        <v>542</v>
      </c>
      <c r="D34" s="13">
        <v>87</v>
      </c>
      <c r="E34" s="13">
        <v>9</v>
      </c>
      <c r="F34" s="13">
        <v>104</v>
      </c>
      <c r="G34" s="13">
        <v>1</v>
      </c>
      <c r="H34" s="13">
        <v>9.6999999999999993</v>
      </c>
      <c r="I34" s="13">
        <v>3</v>
      </c>
      <c r="J34" s="13">
        <v>10.3</v>
      </c>
      <c r="K34" s="13">
        <v>120</v>
      </c>
      <c r="L34" s="13">
        <v>1.1000000000000001</v>
      </c>
      <c r="M34" s="13">
        <v>11.1</v>
      </c>
      <c r="N34" s="13">
        <v>3.4</v>
      </c>
    </row>
    <row r="35" spans="2:14" x14ac:dyDescent="0.25">
      <c r="B35" s="8">
        <v>33</v>
      </c>
      <c r="C35" s="10" t="s">
        <v>543</v>
      </c>
      <c r="D35" s="10">
        <v>87</v>
      </c>
      <c r="E35" s="10">
        <v>11.6</v>
      </c>
      <c r="F35" s="10">
        <v>55</v>
      </c>
      <c r="G35" s="10">
        <v>0.4</v>
      </c>
      <c r="H35" s="10">
        <v>3.1</v>
      </c>
      <c r="I35" s="10">
        <v>1</v>
      </c>
      <c r="J35" s="10">
        <v>13.3</v>
      </c>
      <c r="K35" s="10">
        <v>63</v>
      </c>
      <c r="L35" s="10">
        <v>0.5</v>
      </c>
      <c r="M35" s="10">
        <v>3.6</v>
      </c>
      <c r="N35" s="10">
        <v>1.1000000000000001</v>
      </c>
    </row>
    <row r="36" spans="2:14" x14ac:dyDescent="0.25">
      <c r="B36" s="11">
        <v>34</v>
      </c>
      <c r="C36" s="13" t="s">
        <v>544</v>
      </c>
      <c r="D36" s="13">
        <v>87</v>
      </c>
      <c r="E36" s="13">
        <v>11.7</v>
      </c>
      <c r="F36" s="13">
        <v>77</v>
      </c>
      <c r="G36" s="13">
        <v>0.3</v>
      </c>
      <c r="H36" s="13">
        <v>3.5</v>
      </c>
      <c r="I36" s="13">
        <v>1.3</v>
      </c>
      <c r="J36" s="13">
        <v>13.4</v>
      </c>
      <c r="K36" s="13">
        <v>89</v>
      </c>
      <c r="L36" s="13">
        <v>0.3</v>
      </c>
      <c r="M36" s="13">
        <v>4</v>
      </c>
      <c r="N36" s="13">
        <v>1.5</v>
      </c>
    </row>
    <row r="37" spans="2:14" x14ac:dyDescent="0.25">
      <c r="B37" s="8">
        <v>35</v>
      </c>
      <c r="C37" s="10" t="s">
        <v>516</v>
      </c>
      <c r="D37" s="10">
        <v>78</v>
      </c>
      <c r="E37" s="10">
        <v>8.6999999999999993</v>
      </c>
      <c r="F37" s="10">
        <v>0</v>
      </c>
      <c r="G37" s="10">
        <v>6.2</v>
      </c>
      <c r="H37" s="10">
        <v>0.6</v>
      </c>
      <c r="I37" s="10">
        <v>3.4</v>
      </c>
      <c r="J37" s="10">
        <v>11.2</v>
      </c>
      <c r="K37" s="10">
        <v>0</v>
      </c>
      <c r="L37" s="10">
        <v>7.9</v>
      </c>
      <c r="M37" s="10">
        <v>0.8</v>
      </c>
      <c r="N37" s="10">
        <v>4.4000000000000004</v>
      </c>
    </row>
    <row r="38" spans="2:14" x14ac:dyDescent="0.25">
      <c r="B38" s="11">
        <v>36</v>
      </c>
      <c r="C38" s="13" t="s">
        <v>545</v>
      </c>
      <c r="D38" s="13">
        <v>75</v>
      </c>
      <c r="E38" s="13">
        <v>8.9</v>
      </c>
      <c r="F38" s="13">
        <v>69</v>
      </c>
      <c r="G38" s="13">
        <v>1.5</v>
      </c>
      <c r="H38" s="13">
        <v>0.1</v>
      </c>
      <c r="I38" s="13">
        <v>0.1</v>
      </c>
      <c r="J38" s="13">
        <v>11.9</v>
      </c>
      <c r="K38" s="13">
        <v>92</v>
      </c>
      <c r="L38" s="13">
        <v>2</v>
      </c>
      <c r="M38" s="13">
        <v>0.1</v>
      </c>
      <c r="N38" s="13">
        <v>0.1</v>
      </c>
    </row>
    <row r="39" spans="2:14" x14ac:dyDescent="0.25">
      <c r="B39" s="8">
        <v>37</v>
      </c>
      <c r="C39" s="10" t="s">
        <v>546</v>
      </c>
      <c r="D39" s="10">
        <v>91</v>
      </c>
      <c r="E39" s="10">
        <v>11.3</v>
      </c>
      <c r="F39" s="10">
        <v>66</v>
      </c>
      <c r="G39" s="10">
        <v>7</v>
      </c>
      <c r="H39" s="10">
        <v>1.1000000000000001</v>
      </c>
      <c r="I39" s="10">
        <v>1.1000000000000001</v>
      </c>
      <c r="J39" s="10">
        <v>12.4</v>
      </c>
      <c r="K39" s="10">
        <v>73</v>
      </c>
      <c r="L39" s="10">
        <v>7.7</v>
      </c>
      <c r="M39" s="10">
        <v>1.2</v>
      </c>
      <c r="N39" s="10">
        <v>1.2</v>
      </c>
    </row>
    <row r="40" spans="2:14" x14ac:dyDescent="0.25">
      <c r="B40" s="11">
        <v>38</v>
      </c>
      <c r="C40" s="13" t="s">
        <v>547</v>
      </c>
      <c r="D40" s="13">
        <v>90</v>
      </c>
      <c r="E40" s="13">
        <v>11.5</v>
      </c>
      <c r="F40" s="13">
        <v>49</v>
      </c>
      <c r="G40" s="13">
        <v>6.3</v>
      </c>
      <c r="H40" s="13">
        <v>0.9</v>
      </c>
      <c r="I40" s="13">
        <v>1.3</v>
      </c>
      <c r="J40" s="13">
        <v>12.8</v>
      </c>
      <c r="K40" s="13">
        <v>54</v>
      </c>
      <c r="L40" s="13">
        <v>7</v>
      </c>
      <c r="M40" s="13">
        <v>1</v>
      </c>
      <c r="N40" s="13">
        <v>1.4</v>
      </c>
    </row>
    <row r="41" spans="2:14" x14ac:dyDescent="0.25">
      <c r="B41" s="8">
        <v>39</v>
      </c>
      <c r="C41" s="10" t="s">
        <v>517</v>
      </c>
      <c r="D41" s="10">
        <v>87</v>
      </c>
      <c r="E41" s="10">
        <v>12.1</v>
      </c>
      <c r="F41" s="10">
        <v>299</v>
      </c>
      <c r="G41" s="10">
        <v>2.2999999999999998</v>
      </c>
      <c r="H41" s="10">
        <v>5.5</v>
      </c>
      <c r="I41" s="10">
        <v>2.5</v>
      </c>
      <c r="J41" s="10">
        <v>13.9</v>
      </c>
      <c r="K41" s="10">
        <v>344</v>
      </c>
      <c r="L41" s="10">
        <v>2.6</v>
      </c>
      <c r="M41" s="10">
        <v>6.3</v>
      </c>
      <c r="N41" s="10">
        <v>2.9</v>
      </c>
    </row>
    <row r="42" spans="2:14" x14ac:dyDescent="0.25">
      <c r="B42" s="11">
        <v>40</v>
      </c>
      <c r="C42" s="13" t="s">
        <v>518</v>
      </c>
      <c r="D42" s="13">
        <v>87</v>
      </c>
      <c r="E42" s="13">
        <v>11.7</v>
      </c>
      <c r="F42" s="13">
        <v>390</v>
      </c>
      <c r="G42" s="13">
        <v>2.8</v>
      </c>
      <c r="H42" s="13">
        <v>6.3</v>
      </c>
      <c r="I42" s="13">
        <v>2.2999999999999998</v>
      </c>
      <c r="J42" s="13">
        <v>13.4</v>
      </c>
      <c r="K42" s="13">
        <v>448</v>
      </c>
      <c r="L42" s="13">
        <v>3.2</v>
      </c>
      <c r="M42" s="13">
        <v>7.2</v>
      </c>
      <c r="N42" s="13">
        <v>2.6</v>
      </c>
    </row>
    <row r="43" spans="2:14" x14ac:dyDescent="0.25">
      <c r="B43" s="8">
        <v>41</v>
      </c>
      <c r="C43" s="10" t="s">
        <v>548</v>
      </c>
      <c r="D43" s="10">
        <v>92</v>
      </c>
      <c r="E43" s="10">
        <v>8.6</v>
      </c>
      <c r="F43" s="10">
        <v>247</v>
      </c>
      <c r="G43" s="10">
        <v>3.2</v>
      </c>
      <c r="H43" s="10">
        <v>9.8000000000000007</v>
      </c>
      <c r="I43" s="10">
        <v>5.2</v>
      </c>
      <c r="J43" s="10">
        <v>9.3000000000000007</v>
      </c>
      <c r="K43" s="10">
        <v>268</v>
      </c>
      <c r="L43" s="10">
        <v>3.5</v>
      </c>
      <c r="M43" s="10">
        <v>10.7</v>
      </c>
      <c r="N43" s="10">
        <v>5.7</v>
      </c>
    </row>
    <row r="44" spans="2:14" x14ac:dyDescent="0.25">
      <c r="B44" s="11">
        <v>42</v>
      </c>
      <c r="C44" s="13" t="s">
        <v>549</v>
      </c>
      <c r="D44" s="13">
        <v>92</v>
      </c>
      <c r="E44" s="13">
        <v>9.8000000000000007</v>
      </c>
      <c r="F44" s="13">
        <v>326</v>
      </c>
      <c r="G44" s="13">
        <v>2.9</v>
      </c>
      <c r="H44" s="13">
        <v>9.8000000000000007</v>
      </c>
      <c r="I44" s="13">
        <v>5.2</v>
      </c>
      <c r="J44" s="13">
        <v>10.7</v>
      </c>
      <c r="K44" s="13">
        <v>354</v>
      </c>
      <c r="L44" s="13">
        <v>3.2</v>
      </c>
      <c r="M44" s="13">
        <v>10.7</v>
      </c>
      <c r="N44" s="13">
        <v>5.7</v>
      </c>
    </row>
    <row r="45" spans="2:14" x14ac:dyDescent="0.25">
      <c r="B45" s="8">
        <v>43</v>
      </c>
      <c r="C45" s="10" t="s">
        <v>519</v>
      </c>
      <c r="D45" s="10">
        <v>87</v>
      </c>
      <c r="E45" s="10">
        <v>11.7</v>
      </c>
      <c r="F45" s="10">
        <v>71</v>
      </c>
      <c r="G45" s="10">
        <v>0.4</v>
      </c>
      <c r="H45" s="10">
        <v>2.7</v>
      </c>
      <c r="I45" s="10">
        <v>1.2</v>
      </c>
      <c r="J45" s="10">
        <v>13.4</v>
      </c>
      <c r="K45" s="10">
        <v>82</v>
      </c>
      <c r="L45" s="10">
        <v>0.5</v>
      </c>
      <c r="M45" s="10">
        <v>3.1</v>
      </c>
      <c r="N45" s="10">
        <v>1.4</v>
      </c>
    </row>
    <row r="46" spans="2:14" x14ac:dyDescent="0.25">
      <c r="B46" s="11">
        <v>44</v>
      </c>
      <c r="C46" s="13" t="s">
        <v>550</v>
      </c>
      <c r="D46" s="13">
        <v>90</v>
      </c>
      <c r="E46" s="13">
        <v>6.3</v>
      </c>
      <c r="F46" s="13">
        <v>0</v>
      </c>
      <c r="G46" s="13">
        <v>3.3</v>
      </c>
      <c r="H46" s="13">
        <v>1.1000000000000001</v>
      </c>
      <c r="I46" s="13">
        <v>1.3</v>
      </c>
      <c r="J46" s="13">
        <v>6.3</v>
      </c>
      <c r="K46" s="13">
        <v>0</v>
      </c>
      <c r="L46" s="13">
        <v>3.3</v>
      </c>
      <c r="M46" s="13">
        <v>1.1000000000000001</v>
      </c>
      <c r="N46" s="13">
        <v>1.3</v>
      </c>
    </row>
    <row r="47" spans="2:14" x14ac:dyDescent="0.25">
      <c r="B47" s="8">
        <v>45</v>
      </c>
      <c r="C47" s="10" t="s">
        <v>551</v>
      </c>
      <c r="D47" s="10">
        <v>90</v>
      </c>
      <c r="E47" s="10">
        <v>8.1999999999999993</v>
      </c>
      <c r="F47" s="10">
        <v>50</v>
      </c>
      <c r="G47" s="10">
        <v>3.3</v>
      </c>
      <c r="H47" s="10">
        <v>1.1000000000000001</v>
      </c>
      <c r="I47" s="10">
        <v>1.3</v>
      </c>
      <c r="J47" s="10">
        <v>8.1999999999999993</v>
      </c>
      <c r="K47" s="10">
        <v>50</v>
      </c>
      <c r="L47" s="10">
        <v>3.3</v>
      </c>
      <c r="M47" s="10">
        <v>1.1000000000000001</v>
      </c>
      <c r="N47" s="10">
        <v>1.3</v>
      </c>
    </row>
    <row r="48" spans="2:14" x14ac:dyDescent="0.25">
      <c r="B48" s="11">
        <v>46</v>
      </c>
      <c r="C48" s="13" t="s">
        <v>552</v>
      </c>
      <c r="D48" s="13">
        <v>88</v>
      </c>
      <c r="E48" s="13">
        <v>10.6</v>
      </c>
      <c r="F48" s="13">
        <v>0</v>
      </c>
      <c r="G48" s="13">
        <v>2.1</v>
      </c>
      <c r="H48" s="13">
        <v>1</v>
      </c>
      <c r="I48" s="13">
        <v>1.1000000000000001</v>
      </c>
      <c r="J48" s="13">
        <v>12</v>
      </c>
      <c r="K48" s="13">
        <v>0</v>
      </c>
      <c r="L48" s="13">
        <v>2.4</v>
      </c>
      <c r="M48" s="13">
        <v>1.1000000000000001</v>
      </c>
      <c r="N48" s="13">
        <v>1.3</v>
      </c>
    </row>
    <row r="49" spans="2:14" x14ac:dyDescent="0.25">
      <c r="B49" s="8">
        <v>47</v>
      </c>
      <c r="C49" s="10" t="s">
        <v>520</v>
      </c>
      <c r="D49" s="10">
        <v>89</v>
      </c>
      <c r="E49" s="10">
        <v>4.3</v>
      </c>
      <c r="F49" s="10">
        <v>22</v>
      </c>
      <c r="G49" s="10">
        <v>8.5</v>
      </c>
      <c r="H49" s="10">
        <v>1.4</v>
      </c>
      <c r="I49" s="10"/>
      <c r="J49" s="10">
        <v>4.8</v>
      </c>
      <c r="K49" s="10">
        <v>25</v>
      </c>
      <c r="L49" s="10">
        <v>9.6</v>
      </c>
      <c r="M49" s="10">
        <v>1.6</v>
      </c>
      <c r="N49" s="10">
        <v>0</v>
      </c>
    </row>
    <row r="50" spans="2:14" x14ac:dyDescent="0.25">
      <c r="B50" s="11">
        <v>48</v>
      </c>
      <c r="C50" s="13" t="s">
        <v>521</v>
      </c>
      <c r="D50" s="13">
        <v>100</v>
      </c>
      <c r="E50" s="13">
        <v>31.3</v>
      </c>
      <c r="F50" s="13">
        <v>0</v>
      </c>
      <c r="G50" s="13">
        <v>0</v>
      </c>
      <c r="H50" s="13">
        <v>0</v>
      </c>
      <c r="I50" s="13">
        <v>0</v>
      </c>
      <c r="J50" s="13">
        <v>31.3</v>
      </c>
      <c r="K50" s="13">
        <v>0</v>
      </c>
      <c r="L50" s="13">
        <v>0</v>
      </c>
      <c r="M50" s="13">
        <v>0</v>
      </c>
      <c r="N50" s="13">
        <v>0</v>
      </c>
    </row>
    <row r="51" spans="2:14" x14ac:dyDescent="0.25">
      <c r="B51" s="8">
        <v>49</v>
      </c>
      <c r="C51" s="10" t="s">
        <v>553</v>
      </c>
      <c r="D51" s="10">
        <v>87</v>
      </c>
      <c r="E51" s="10">
        <v>12.7</v>
      </c>
      <c r="F51" s="10">
        <v>218</v>
      </c>
      <c r="G51" s="10">
        <v>1.1000000000000001</v>
      </c>
      <c r="H51" s="10">
        <v>9.6999999999999993</v>
      </c>
      <c r="I51" s="10">
        <v>2.7</v>
      </c>
      <c r="J51" s="10">
        <v>14.6</v>
      </c>
      <c r="K51" s="10">
        <v>251</v>
      </c>
      <c r="L51" s="10">
        <v>1.3</v>
      </c>
      <c r="M51" s="10">
        <v>11.1</v>
      </c>
      <c r="N51" s="10">
        <v>3.1</v>
      </c>
    </row>
    <row r="52" spans="2:14" x14ac:dyDescent="0.25">
      <c r="B52" s="11">
        <v>50</v>
      </c>
      <c r="C52" s="13" t="s">
        <v>554</v>
      </c>
      <c r="D52" s="13">
        <v>87</v>
      </c>
      <c r="E52" s="13">
        <v>8.5</v>
      </c>
      <c r="F52" s="13">
        <v>104</v>
      </c>
      <c r="G52" s="13">
        <v>1.5</v>
      </c>
      <c r="H52" s="13">
        <v>10.4</v>
      </c>
      <c r="I52" s="13">
        <v>4.5999999999999996</v>
      </c>
      <c r="J52" s="13">
        <v>9.8000000000000007</v>
      </c>
      <c r="K52" s="13">
        <v>120</v>
      </c>
      <c r="L52" s="13">
        <v>1.7</v>
      </c>
      <c r="M52" s="13">
        <v>12</v>
      </c>
      <c r="N52" s="13">
        <v>5.3</v>
      </c>
    </row>
    <row r="53" spans="2:14" x14ac:dyDescent="0.25">
      <c r="B53" s="8">
        <v>51</v>
      </c>
      <c r="C53" s="10" t="s">
        <v>555</v>
      </c>
      <c r="D53" s="10">
        <v>87</v>
      </c>
      <c r="E53" s="10">
        <v>11.4</v>
      </c>
      <c r="F53" s="10">
        <v>88</v>
      </c>
      <c r="G53" s="10">
        <v>0.3</v>
      </c>
      <c r="H53" s="10">
        <v>3.2</v>
      </c>
      <c r="I53" s="10">
        <v>1.3</v>
      </c>
      <c r="J53" s="10">
        <v>13.1</v>
      </c>
      <c r="K53" s="10">
        <v>101</v>
      </c>
      <c r="L53" s="10">
        <v>0.3</v>
      </c>
      <c r="M53" s="10">
        <v>3.7</v>
      </c>
      <c r="N53" s="10">
        <v>1.5</v>
      </c>
    </row>
    <row r="54" spans="2:14" x14ac:dyDescent="0.25">
      <c r="B54" s="11">
        <v>52</v>
      </c>
      <c r="C54" s="13" t="s">
        <v>556</v>
      </c>
      <c r="D54" s="13">
        <v>87</v>
      </c>
      <c r="E54" s="13">
        <v>11.4</v>
      </c>
      <c r="F54" s="13">
        <v>218</v>
      </c>
      <c r="G54" s="13">
        <v>1.3</v>
      </c>
      <c r="H54" s="13">
        <v>4.5</v>
      </c>
      <c r="I54" s="13"/>
      <c r="J54" s="13">
        <v>13.1</v>
      </c>
      <c r="K54" s="13">
        <v>251</v>
      </c>
      <c r="L54" s="13">
        <v>1.5</v>
      </c>
      <c r="M54" s="13">
        <v>5.2</v>
      </c>
      <c r="N54" s="13">
        <v>0</v>
      </c>
    </row>
    <row r="55" spans="2:14" x14ac:dyDescent="0.25">
      <c r="B55" s="8">
        <v>53</v>
      </c>
      <c r="C55" s="10" t="s">
        <v>557</v>
      </c>
      <c r="D55" s="10">
        <v>87</v>
      </c>
      <c r="E55" s="10">
        <v>11.1</v>
      </c>
      <c r="F55" s="10">
        <v>218</v>
      </c>
      <c r="G55" s="10">
        <v>3</v>
      </c>
      <c r="H55" s="10">
        <v>3.6</v>
      </c>
      <c r="I55" s="10">
        <v>1.1000000000000001</v>
      </c>
      <c r="J55" s="10">
        <v>12.8</v>
      </c>
      <c r="K55" s="10">
        <v>251</v>
      </c>
      <c r="L55" s="10">
        <v>3.4</v>
      </c>
      <c r="M55" s="10">
        <v>4.0999999999999996</v>
      </c>
      <c r="N55" s="10">
        <v>1.3</v>
      </c>
    </row>
    <row r="56" spans="2:14" x14ac:dyDescent="0.25">
      <c r="B56" s="11">
        <v>54</v>
      </c>
      <c r="C56" s="13" t="s">
        <v>558</v>
      </c>
      <c r="D56" s="13">
        <v>87</v>
      </c>
      <c r="E56" s="13">
        <v>11.1</v>
      </c>
      <c r="F56" s="13">
        <v>176</v>
      </c>
      <c r="G56" s="13">
        <v>0.8</v>
      </c>
      <c r="H56" s="13">
        <v>3.7</v>
      </c>
      <c r="I56" s="13">
        <v>1.1000000000000001</v>
      </c>
      <c r="J56" s="13">
        <v>12.8</v>
      </c>
      <c r="K56" s="13">
        <v>202</v>
      </c>
      <c r="L56" s="13">
        <v>0.9</v>
      </c>
      <c r="M56" s="13">
        <v>4.3</v>
      </c>
      <c r="N56" s="13">
        <v>1.3</v>
      </c>
    </row>
  </sheetData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41"/>
  <sheetViews>
    <sheetView workbookViewId="0">
      <selection activeCell="E31" sqref="E31"/>
    </sheetView>
  </sheetViews>
  <sheetFormatPr defaultRowHeight="15" x14ac:dyDescent="0.25"/>
  <cols>
    <col min="1" max="1" width="16.85546875" customWidth="1"/>
    <col min="3" max="3" width="33" customWidth="1"/>
  </cols>
  <sheetData>
    <row r="1" spans="1:21" x14ac:dyDescent="0.25">
      <c r="D1">
        <v>1</v>
      </c>
      <c r="E1">
        <v>2</v>
      </c>
      <c r="F1">
        <v>3</v>
      </c>
      <c r="G1">
        <v>4</v>
      </c>
      <c r="H1">
        <v>5</v>
      </c>
      <c r="I1">
        <v>6</v>
      </c>
      <c r="J1">
        <v>7</v>
      </c>
      <c r="K1">
        <v>8</v>
      </c>
      <c r="L1">
        <v>9</v>
      </c>
      <c r="M1">
        <v>10</v>
      </c>
      <c r="N1">
        <v>11</v>
      </c>
      <c r="O1">
        <v>12</v>
      </c>
      <c r="P1">
        <v>13</v>
      </c>
      <c r="Q1">
        <v>14</v>
      </c>
      <c r="R1">
        <v>15</v>
      </c>
      <c r="S1">
        <v>16</v>
      </c>
      <c r="T1">
        <v>17</v>
      </c>
      <c r="U1">
        <v>18</v>
      </c>
    </row>
    <row r="2" spans="1:21" ht="29.25" x14ac:dyDescent="0.25">
      <c r="A2" s="4" t="s">
        <v>54</v>
      </c>
      <c r="B2" s="15" t="s">
        <v>118</v>
      </c>
      <c r="C2" s="15" t="s">
        <v>121</v>
      </c>
      <c r="D2" s="15" t="s">
        <v>323</v>
      </c>
      <c r="E2" s="15" t="s">
        <v>324</v>
      </c>
      <c r="F2" s="15" t="s">
        <v>325</v>
      </c>
      <c r="G2" s="15" t="s">
        <v>326</v>
      </c>
      <c r="H2" s="15" t="s">
        <v>327</v>
      </c>
      <c r="I2" s="15" t="s">
        <v>328</v>
      </c>
      <c r="J2" s="15" t="s">
        <v>329</v>
      </c>
      <c r="K2" s="15" t="s">
        <v>330</v>
      </c>
      <c r="L2" s="15" t="s">
        <v>126</v>
      </c>
      <c r="M2" s="15" t="s">
        <v>127</v>
      </c>
      <c r="N2" s="15" t="s">
        <v>125</v>
      </c>
      <c r="O2" s="15" t="s">
        <v>144</v>
      </c>
      <c r="P2" s="15" t="s">
        <v>331</v>
      </c>
      <c r="Q2" s="15" t="s">
        <v>332</v>
      </c>
      <c r="R2" s="15" t="s">
        <v>147</v>
      </c>
      <c r="S2" s="15" t="s">
        <v>148</v>
      </c>
      <c r="T2" s="15" t="s">
        <v>333</v>
      </c>
      <c r="U2" s="15" t="s">
        <v>334</v>
      </c>
    </row>
    <row r="3" spans="1:21" x14ac:dyDescent="0.25">
      <c r="A3" t="s">
        <v>304</v>
      </c>
      <c r="B3" s="8">
        <v>1</v>
      </c>
      <c r="C3" s="10" t="s">
        <v>335</v>
      </c>
      <c r="D3" s="10">
        <v>99</v>
      </c>
      <c r="E3" s="10">
        <v>37.700000000000003</v>
      </c>
      <c r="F3" s="10">
        <v>0</v>
      </c>
      <c r="G3" s="10">
        <v>0</v>
      </c>
      <c r="H3" s="10">
        <v>0</v>
      </c>
      <c r="I3" s="10">
        <v>0</v>
      </c>
      <c r="J3" s="10">
        <v>965</v>
      </c>
      <c r="K3" s="10">
        <v>170</v>
      </c>
      <c r="L3" s="10">
        <v>0</v>
      </c>
      <c r="M3" s="10">
        <v>0</v>
      </c>
      <c r="N3" s="10">
        <v>0</v>
      </c>
      <c r="O3" s="10">
        <v>0</v>
      </c>
      <c r="P3" s="10">
        <v>0</v>
      </c>
      <c r="Q3" s="10">
        <v>0</v>
      </c>
      <c r="R3" s="10">
        <v>0</v>
      </c>
      <c r="S3" s="10">
        <v>0</v>
      </c>
      <c r="T3" s="10">
        <v>0</v>
      </c>
      <c r="U3" s="10">
        <v>0</v>
      </c>
    </row>
    <row r="4" spans="1:21" x14ac:dyDescent="0.25">
      <c r="B4" s="11">
        <v>2</v>
      </c>
      <c r="C4" s="13" t="s">
        <v>336</v>
      </c>
      <c r="D4" s="13">
        <v>99</v>
      </c>
      <c r="E4" s="13">
        <v>37.700000000000003</v>
      </c>
      <c r="F4" s="13">
        <v>0</v>
      </c>
      <c r="G4" s="13">
        <v>0</v>
      </c>
      <c r="H4" s="13">
        <v>0</v>
      </c>
      <c r="I4" s="13">
        <v>0</v>
      </c>
      <c r="J4" s="13">
        <v>975</v>
      </c>
      <c r="K4" s="13">
        <v>300</v>
      </c>
      <c r="L4" s="13">
        <v>0</v>
      </c>
      <c r="M4" s="13">
        <v>0</v>
      </c>
      <c r="N4" s="13">
        <v>0</v>
      </c>
      <c r="O4" s="13">
        <v>0</v>
      </c>
      <c r="P4" s="13">
        <v>0</v>
      </c>
      <c r="Q4" s="13">
        <v>0</v>
      </c>
      <c r="R4" s="13">
        <v>0</v>
      </c>
      <c r="S4" s="13">
        <v>0</v>
      </c>
      <c r="T4" s="13">
        <v>0</v>
      </c>
      <c r="U4" s="13">
        <v>0</v>
      </c>
    </row>
    <row r="5" spans="1:21" x14ac:dyDescent="0.25">
      <c r="B5" s="8">
        <v>3</v>
      </c>
      <c r="C5" s="10" t="s">
        <v>337</v>
      </c>
      <c r="D5" s="10">
        <v>100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213</v>
      </c>
      <c r="P5" s="10">
        <v>187</v>
      </c>
      <c r="Q5" s="10">
        <v>165</v>
      </c>
      <c r="R5" s="10">
        <v>1</v>
      </c>
      <c r="S5" s="10">
        <v>0.6</v>
      </c>
      <c r="T5" s="10">
        <v>0.13</v>
      </c>
      <c r="U5" s="10">
        <v>0</v>
      </c>
    </row>
    <row r="6" spans="1:21" x14ac:dyDescent="0.25">
      <c r="B6" s="11">
        <v>4</v>
      </c>
      <c r="C6" s="13" t="s">
        <v>338</v>
      </c>
      <c r="D6" s="13">
        <v>100</v>
      </c>
      <c r="E6" s="13">
        <v>0</v>
      </c>
      <c r="F6" s="13">
        <v>0</v>
      </c>
      <c r="G6" s="13">
        <v>0</v>
      </c>
      <c r="H6" s="13">
        <v>0</v>
      </c>
      <c r="I6" s="13">
        <v>0</v>
      </c>
      <c r="J6" s="13">
        <v>0</v>
      </c>
      <c r="K6" s="13">
        <v>0</v>
      </c>
      <c r="L6" s="13">
        <v>0</v>
      </c>
      <c r="M6" s="13">
        <v>0</v>
      </c>
      <c r="N6" s="13">
        <v>0</v>
      </c>
      <c r="O6" s="13">
        <v>0</v>
      </c>
      <c r="P6" s="13">
        <v>208</v>
      </c>
      <c r="Q6" s="13">
        <v>208</v>
      </c>
      <c r="R6" s="13">
        <v>0</v>
      </c>
      <c r="S6" s="13">
        <v>310</v>
      </c>
      <c r="T6" s="13">
        <v>0</v>
      </c>
      <c r="U6" s="13">
        <v>0</v>
      </c>
    </row>
    <row r="7" spans="1:21" x14ac:dyDescent="0.25">
      <c r="B7" s="8">
        <v>5</v>
      </c>
      <c r="C7" s="10" t="s">
        <v>339</v>
      </c>
      <c r="D7" s="10">
        <v>100</v>
      </c>
      <c r="E7" s="10">
        <v>15.4</v>
      </c>
      <c r="F7" s="10">
        <v>587</v>
      </c>
      <c r="G7" s="10">
        <v>0</v>
      </c>
      <c r="H7" s="10">
        <v>980</v>
      </c>
      <c r="I7" s="10">
        <v>980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</row>
    <row r="8" spans="1:21" x14ac:dyDescent="0.25">
      <c r="A8" t="s">
        <v>53</v>
      </c>
      <c r="B8" s="11">
        <v>6</v>
      </c>
      <c r="C8" s="13" t="s">
        <v>340</v>
      </c>
      <c r="D8" s="13">
        <v>92</v>
      </c>
      <c r="E8" s="13">
        <v>12.6</v>
      </c>
      <c r="F8" s="13">
        <v>621</v>
      </c>
      <c r="G8" s="13">
        <v>48.1</v>
      </c>
      <c r="H8" s="13">
        <v>17.7</v>
      </c>
      <c r="I8" s="13">
        <v>23.4</v>
      </c>
      <c r="J8" s="13">
        <v>50</v>
      </c>
      <c r="K8" s="13">
        <v>0.8</v>
      </c>
      <c r="L8" s="13">
        <v>0</v>
      </c>
      <c r="M8" s="13">
        <v>0</v>
      </c>
      <c r="N8" s="13">
        <v>0</v>
      </c>
      <c r="O8" s="13">
        <v>41</v>
      </c>
      <c r="P8" s="13">
        <v>26</v>
      </c>
      <c r="Q8" s="13">
        <v>21</v>
      </c>
      <c r="R8" s="13">
        <v>9</v>
      </c>
      <c r="S8" s="13">
        <v>6</v>
      </c>
      <c r="T8" s="13">
        <v>9</v>
      </c>
      <c r="U8" s="13">
        <v>0</v>
      </c>
    </row>
    <row r="9" spans="1:21" x14ac:dyDescent="0.25">
      <c r="B9" s="8">
        <v>7</v>
      </c>
      <c r="C9" s="10" t="s">
        <v>341</v>
      </c>
      <c r="D9" s="10">
        <v>92</v>
      </c>
      <c r="E9" s="10">
        <v>10.8</v>
      </c>
      <c r="F9" s="10">
        <v>653</v>
      </c>
      <c r="G9" s="10">
        <v>50.1</v>
      </c>
      <c r="H9" s="10">
        <v>18.399999999999999</v>
      </c>
      <c r="I9" s="10">
        <v>24.2</v>
      </c>
      <c r="J9" s="10">
        <v>18</v>
      </c>
      <c r="K9" s="10">
        <v>0.3</v>
      </c>
      <c r="L9" s="10">
        <v>0</v>
      </c>
      <c r="M9" s="10">
        <v>0</v>
      </c>
      <c r="N9" s="10">
        <v>0</v>
      </c>
      <c r="O9" s="10">
        <v>41</v>
      </c>
      <c r="P9" s="10">
        <v>26</v>
      </c>
      <c r="Q9" s="10">
        <v>21</v>
      </c>
      <c r="R9" s="10">
        <v>9</v>
      </c>
      <c r="S9" s="10">
        <v>6</v>
      </c>
      <c r="T9" s="10">
        <v>9</v>
      </c>
      <c r="U9" s="10">
        <v>0</v>
      </c>
    </row>
    <row r="10" spans="1:21" x14ac:dyDescent="0.25">
      <c r="B10" s="11">
        <v>8</v>
      </c>
      <c r="C10" s="13" t="s">
        <v>342</v>
      </c>
      <c r="D10" s="13">
        <v>92</v>
      </c>
      <c r="E10" s="13">
        <v>13.6</v>
      </c>
      <c r="F10" s="13">
        <v>661</v>
      </c>
      <c r="G10" s="13">
        <v>51.5</v>
      </c>
      <c r="H10" s="13">
        <v>18.899999999999999</v>
      </c>
      <c r="I10" s="13">
        <v>24.9</v>
      </c>
      <c r="J10" s="13">
        <v>100</v>
      </c>
      <c r="K10" s="13">
        <v>1.2</v>
      </c>
      <c r="L10" s="13">
        <v>0</v>
      </c>
      <c r="M10" s="13">
        <v>0</v>
      </c>
      <c r="N10" s="13">
        <v>0</v>
      </c>
      <c r="O10" s="13">
        <v>41</v>
      </c>
      <c r="P10" s="13">
        <v>26</v>
      </c>
      <c r="Q10" s="13">
        <v>21</v>
      </c>
      <c r="R10" s="13">
        <v>9</v>
      </c>
      <c r="S10" s="13">
        <v>6</v>
      </c>
      <c r="T10" s="13">
        <v>9</v>
      </c>
      <c r="U10" s="13">
        <v>0</v>
      </c>
    </row>
    <row r="11" spans="1:21" x14ac:dyDescent="0.25">
      <c r="B11" s="8">
        <v>9</v>
      </c>
      <c r="C11" s="10" t="s">
        <v>343</v>
      </c>
      <c r="D11" s="10">
        <v>100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375</v>
      </c>
      <c r="P11" s="10">
        <v>0</v>
      </c>
      <c r="Q11" s="10">
        <v>0</v>
      </c>
      <c r="R11" s="10">
        <v>0.6</v>
      </c>
      <c r="S11" s="10">
        <v>0.2</v>
      </c>
      <c r="T11" s="10">
        <v>0</v>
      </c>
      <c r="U11" s="10">
        <v>0</v>
      </c>
    </row>
    <row r="12" spans="1:21" x14ac:dyDescent="0.25">
      <c r="A12" t="s">
        <v>34</v>
      </c>
      <c r="B12" s="11">
        <v>10</v>
      </c>
      <c r="C12" s="13" t="s">
        <v>344</v>
      </c>
      <c r="D12" s="13">
        <v>87</v>
      </c>
      <c r="E12" s="13">
        <v>10.7</v>
      </c>
      <c r="F12" s="13">
        <v>104</v>
      </c>
      <c r="G12" s="13">
        <v>4.5</v>
      </c>
      <c r="H12" s="13">
        <v>1.8</v>
      </c>
      <c r="I12" s="13">
        <v>4.8</v>
      </c>
      <c r="J12" s="13">
        <v>52</v>
      </c>
      <c r="K12" s="13">
        <v>21</v>
      </c>
      <c r="L12" s="13">
        <v>400</v>
      </c>
      <c r="M12" s="13">
        <v>10</v>
      </c>
      <c r="N12" s="13">
        <v>87</v>
      </c>
      <c r="O12" s="13">
        <v>0.8</v>
      </c>
      <c r="P12" s="13">
        <v>3.4</v>
      </c>
      <c r="Q12" s="13">
        <v>0.8</v>
      </c>
      <c r="R12" s="13">
        <v>4.5</v>
      </c>
      <c r="S12" s="13">
        <v>0.8</v>
      </c>
      <c r="T12" s="13">
        <v>1.1000000000000001</v>
      </c>
      <c r="U12" s="13">
        <v>0</v>
      </c>
    </row>
    <row r="13" spans="1:21" x14ac:dyDescent="0.25">
      <c r="B13" s="8">
        <v>11</v>
      </c>
      <c r="C13" s="10" t="s">
        <v>345</v>
      </c>
      <c r="D13" s="10">
        <v>87</v>
      </c>
      <c r="E13" s="10">
        <v>13.8</v>
      </c>
      <c r="F13" s="10">
        <v>132</v>
      </c>
      <c r="G13" s="10">
        <v>5.5</v>
      </c>
      <c r="H13" s="10">
        <v>2.2999999999999998</v>
      </c>
      <c r="I13" s="10">
        <v>6</v>
      </c>
      <c r="J13" s="10">
        <v>65</v>
      </c>
      <c r="K13" s="10">
        <v>25</v>
      </c>
      <c r="L13" s="10">
        <v>400</v>
      </c>
      <c r="M13" s="10">
        <v>10</v>
      </c>
      <c r="N13" s="10">
        <v>25</v>
      </c>
      <c r="O13" s="10">
        <v>0.7</v>
      </c>
      <c r="P13" s="10">
        <v>3.6</v>
      </c>
      <c r="Q13" s="10">
        <v>0.9</v>
      </c>
      <c r="R13" s="10">
        <v>4.5</v>
      </c>
      <c r="S13" s="10">
        <v>0.8</v>
      </c>
      <c r="T13" s="10">
        <v>1.1000000000000001</v>
      </c>
      <c r="U13" s="10">
        <v>0</v>
      </c>
    </row>
    <row r="14" spans="1:21" x14ac:dyDescent="0.25">
      <c r="B14" s="11">
        <v>12</v>
      </c>
      <c r="C14" s="13" t="s">
        <v>346</v>
      </c>
      <c r="D14" s="13">
        <v>87</v>
      </c>
      <c r="E14" s="13">
        <v>10</v>
      </c>
      <c r="F14" s="13">
        <v>100</v>
      </c>
      <c r="G14" s="13">
        <v>3.7</v>
      </c>
      <c r="H14" s="13">
        <v>1.8</v>
      </c>
      <c r="I14" s="13">
        <v>4.3</v>
      </c>
      <c r="J14" s="13">
        <v>52</v>
      </c>
      <c r="K14" s="13">
        <v>21</v>
      </c>
      <c r="L14" s="13">
        <v>380</v>
      </c>
      <c r="M14" s="13">
        <v>8</v>
      </c>
      <c r="N14" s="13">
        <v>104</v>
      </c>
      <c r="O14" s="13">
        <v>0.8</v>
      </c>
      <c r="P14" s="13">
        <v>3.4</v>
      </c>
      <c r="Q14" s="13">
        <v>0.8</v>
      </c>
      <c r="R14" s="13">
        <v>4.5</v>
      </c>
      <c r="S14" s="13">
        <v>0.8</v>
      </c>
      <c r="T14" s="13">
        <v>1.1000000000000001</v>
      </c>
      <c r="U14" s="13">
        <v>0</v>
      </c>
    </row>
    <row r="15" spans="1:21" x14ac:dyDescent="0.25">
      <c r="B15" s="8">
        <v>13</v>
      </c>
      <c r="C15" s="10" t="s">
        <v>347</v>
      </c>
      <c r="D15" s="10">
        <v>87</v>
      </c>
      <c r="E15" s="10">
        <v>11.1</v>
      </c>
      <c r="F15" s="10">
        <v>109</v>
      </c>
      <c r="G15" s="10">
        <v>4.7</v>
      </c>
      <c r="H15" s="10">
        <v>1.8</v>
      </c>
      <c r="I15" s="10">
        <v>5</v>
      </c>
      <c r="J15" s="10">
        <v>52</v>
      </c>
      <c r="K15" s="10">
        <v>21</v>
      </c>
      <c r="L15" s="10">
        <v>420</v>
      </c>
      <c r="M15" s="10">
        <v>12</v>
      </c>
      <c r="N15" s="10">
        <v>78</v>
      </c>
      <c r="O15" s="10">
        <v>0.8</v>
      </c>
      <c r="P15" s="10">
        <v>3.4</v>
      </c>
      <c r="Q15" s="10">
        <v>0.8</v>
      </c>
      <c r="R15" s="10">
        <v>4.5</v>
      </c>
      <c r="S15" s="10">
        <v>0.8</v>
      </c>
      <c r="T15" s="10">
        <v>1.1000000000000001</v>
      </c>
      <c r="U15" s="10">
        <v>0</v>
      </c>
    </row>
    <row r="16" spans="1:21" x14ac:dyDescent="0.25">
      <c r="B16" s="11">
        <v>14</v>
      </c>
      <c r="C16" s="13" t="s">
        <v>348</v>
      </c>
      <c r="D16" s="13">
        <v>87</v>
      </c>
      <c r="E16" s="13">
        <v>1.7</v>
      </c>
      <c r="F16" s="13">
        <v>46</v>
      </c>
      <c r="G16" s="13">
        <v>1.4</v>
      </c>
      <c r="H16" s="13">
        <v>0.7</v>
      </c>
      <c r="I16" s="13">
        <v>1.3</v>
      </c>
      <c r="J16" s="13">
        <v>14</v>
      </c>
      <c r="K16" s="13">
        <v>0</v>
      </c>
      <c r="L16" s="13">
        <v>0</v>
      </c>
      <c r="M16" s="13">
        <v>0</v>
      </c>
      <c r="N16" s="13">
        <v>287</v>
      </c>
      <c r="O16" s="13">
        <v>1.3</v>
      </c>
      <c r="P16" s="13">
        <v>1</v>
      </c>
      <c r="Q16" s="13">
        <v>0</v>
      </c>
      <c r="R16" s="13">
        <v>5.3</v>
      </c>
      <c r="S16" s="13">
        <v>0.4</v>
      </c>
      <c r="T16" s="13">
        <v>1</v>
      </c>
      <c r="U16" s="13">
        <v>0</v>
      </c>
    </row>
    <row r="17" spans="1:21" x14ac:dyDescent="0.25">
      <c r="B17" s="8">
        <v>15</v>
      </c>
      <c r="C17" s="10" t="s">
        <v>349</v>
      </c>
      <c r="D17" s="10">
        <v>100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3</v>
      </c>
      <c r="P17" s="10">
        <v>0</v>
      </c>
      <c r="Q17" s="10">
        <v>0</v>
      </c>
      <c r="R17" s="10">
        <v>0</v>
      </c>
      <c r="S17" s="10">
        <v>390</v>
      </c>
      <c r="T17" s="10">
        <v>600</v>
      </c>
      <c r="U17" s="10">
        <v>0</v>
      </c>
    </row>
    <row r="18" spans="1:21" x14ac:dyDescent="0.25">
      <c r="A18" t="s">
        <v>33</v>
      </c>
      <c r="B18" s="11">
        <v>16</v>
      </c>
      <c r="C18" s="13" t="s">
        <v>350</v>
      </c>
      <c r="D18" s="13">
        <v>87</v>
      </c>
      <c r="E18" s="13">
        <v>11.8</v>
      </c>
      <c r="F18" s="13">
        <v>104</v>
      </c>
      <c r="G18" s="13">
        <v>3.8</v>
      </c>
      <c r="H18" s="13">
        <v>1.8</v>
      </c>
      <c r="I18" s="13">
        <v>4.0999999999999996</v>
      </c>
      <c r="J18" s="13">
        <v>25</v>
      </c>
      <c r="K18" s="13">
        <v>10</v>
      </c>
      <c r="L18" s="13">
        <v>490</v>
      </c>
      <c r="M18" s="13">
        <v>26</v>
      </c>
      <c r="N18" s="13">
        <v>41</v>
      </c>
      <c r="O18" s="13">
        <v>0.5</v>
      </c>
      <c r="P18" s="13">
        <v>3.5</v>
      </c>
      <c r="Q18" s="13">
        <v>1.7</v>
      </c>
      <c r="R18" s="13">
        <v>4.8</v>
      </c>
      <c r="S18" s="13">
        <v>0.4</v>
      </c>
      <c r="T18" s="13">
        <v>1.5</v>
      </c>
      <c r="U18" s="13">
        <v>0</v>
      </c>
    </row>
    <row r="19" spans="1:21" x14ac:dyDescent="0.25">
      <c r="B19" s="8">
        <v>17</v>
      </c>
      <c r="C19" s="10" t="s">
        <v>351</v>
      </c>
      <c r="D19" s="10">
        <v>87</v>
      </c>
      <c r="E19" s="10">
        <v>11.1</v>
      </c>
      <c r="F19" s="10">
        <v>100</v>
      </c>
      <c r="G19" s="10">
        <v>3.7</v>
      </c>
      <c r="H19" s="10">
        <v>1.7</v>
      </c>
      <c r="I19" s="10">
        <v>4</v>
      </c>
      <c r="J19" s="10">
        <v>25</v>
      </c>
      <c r="K19" s="10">
        <v>10</v>
      </c>
      <c r="L19" s="10">
        <v>450</v>
      </c>
      <c r="M19" s="10">
        <v>22</v>
      </c>
      <c r="N19" s="10">
        <v>71</v>
      </c>
      <c r="O19" s="10">
        <v>0.5</v>
      </c>
      <c r="P19" s="10">
        <v>3.5</v>
      </c>
      <c r="Q19" s="10">
        <v>1.7</v>
      </c>
      <c r="R19" s="10">
        <v>4.8</v>
      </c>
      <c r="S19" s="10">
        <v>0.4</v>
      </c>
      <c r="T19" s="10">
        <v>1.5</v>
      </c>
      <c r="U19" s="10">
        <v>0</v>
      </c>
    </row>
    <row r="20" spans="1:21" x14ac:dyDescent="0.25">
      <c r="B20" s="11">
        <v>18</v>
      </c>
      <c r="C20" s="13" t="s">
        <v>352</v>
      </c>
      <c r="D20" s="13">
        <v>87</v>
      </c>
      <c r="E20" s="13">
        <v>12.2</v>
      </c>
      <c r="F20" s="13">
        <v>117</v>
      </c>
      <c r="G20" s="13">
        <v>4.0999999999999996</v>
      </c>
      <c r="H20" s="13">
        <v>2</v>
      </c>
      <c r="I20" s="13">
        <v>4.5</v>
      </c>
      <c r="J20" s="13">
        <v>25</v>
      </c>
      <c r="K20" s="13">
        <v>10</v>
      </c>
      <c r="L20" s="13">
        <v>517</v>
      </c>
      <c r="M20" s="13">
        <v>28</v>
      </c>
      <c r="N20" s="13">
        <v>37</v>
      </c>
      <c r="O20" s="13">
        <v>0.5</v>
      </c>
      <c r="P20" s="13">
        <v>3.5</v>
      </c>
      <c r="Q20" s="13">
        <v>1.7</v>
      </c>
      <c r="R20" s="13">
        <v>4.8</v>
      </c>
      <c r="S20" s="13">
        <v>0.4</v>
      </c>
      <c r="T20" s="13">
        <v>1.5</v>
      </c>
      <c r="U20" s="13">
        <v>0</v>
      </c>
    </row>
    <row r="21" spans="1:21" x14ac:dyDescent="0.25">
      <c r="B21" s="8">
        <v>19</v>
      </c>
      <c r="C21" s="10" t="s">
        <v>353</v>
      </c>
      <c r="D21" s="10">
        <v>95</v>
      </c>
      <c r="E21" s="10">
        <v>9.8000000000000007</v>
      </c>
      <c r="F21" s="10">
        <v>530</v>
      </c>
      <c r="G21" s="10">
        <v>29</v>
      </c>
      <c r="H21" s="10">
        <v>8.1</v>
      </c>
      <c r="I21" s="10">
        <v>13.9</v>
      </c>
      <c r="J21" s="10">
        <v>104</v>
      </c>
      <c r="K21" s="10">
        <v>15</v>
      </c>
      <c r="L21" s="10">
        <v>0</v>
      </c>
      <c r="M21" s="10">
        <v>0</v>
      </c>
      <c r="N21" s="10">
        <v>0</v>
      </c>
      <c r="O21" s="10">
        <v>100</v>
      </c>
      <c r="P21" s="10">
        <v>45</v>
      </c>
      <c r="Q21" s="10">
        <v>36</v>
      </c>
      <c r="R21" s="10">
        <v>6</v>
      </c>
      <c r="S21" s="10">
        <v>7</v>
      </c>
      <c r="T21" s="10">
        <v>7.5</v>
      </c>
      <c r="U21" s="10">
        <v>0</v>
      </c>
    </row>
    <row r="22" spans="1:21" x14ac:dyDescent="0.25">
      <c r="B22" s="11">
        <v>20</v>
      </c>
      <c r="C22" s="13" t="s">
        <v>354</v>
      </c>
      <c r="D22" s="13">
        <v>93</v>
      </c>
      <c r="E22" s="13">
        <v>11</v>
      </c>
      <c r="F22" s="13">
        <v>590</v>
      </c>
      <c r="G22" s="13">
        <v>30</v>
      </c>
      <c r="H22" s="13">
        <v>8.4</v>
      </c>
      <c r="I22" s="13">
        <v>16.399999999999999</v>
      </c>
      <c r="J22" s="13">
        <v>79</v>
      </c>
      <c r="K22" s="13">
        <v>12</v>
      </c>
      <c r="L22" s="13">
        <v>0</v>
      </c>
      <c r="M22" s="13">
        <v>0</v>
      </c>
      <c r="N22" s="13">
        <v>0</v>
      </c>
      <c r="O22" s="13">
        <v>80</v>
      </c>
      <c r="P22" s="13">
        <v>37</v>
      </c>
      <c r="Q22" s="13">
        <v>30</v>
      </c>
      <c r="R22" s="13">
        <v>5</v>
      </c>
      <c r="S22" s="13">
        <v>6</v>
      </c>
      <c r="T22" s="13">
        <v>7</v>
      </c>
      <c r="U22" s="13">
        <v>0</v>
      </c>
    </row>
    <row r="23" spans="1:21" x14ac:dyDescent="0.25">
      <c r="B23" s="8">
        <v>21</v>
      </c>
      <c r="C23" s="10" t="s">
        <v>355</v>
      </c>
      <c r="D23" s="10">
        <v>93</v>
      </c>
      <c r="E23" s="10">
        <v>11.4</v>
      </c>
      <c r="F23" s="10">
        <v>648</v>
      </c>
      <c r="G23" s="10">
        <v>37</v>
      </c>
      <c r="H23" s="10">
        <v>10.4</v>
      </c>
      <c r="I23" s="10">
        <v>17.8</v>
      </c>
      <c r="J23" s="10">
        <v>100</v>
      </c>
      <c r="K23" s="10">
        <v>15</v>
      </c>
      <c r="L23" s="10">
        <v>0</v>
      </c>
      <c r="M23" s="10">
        <v>0</v>
      </c>
      <c r="N23" s="10">
        <v>0</v>
      </c>
      <c r="O23" s="10">
        <v>76</v>
      </c>
      <c r="P23" s="10">
        <v>40</v>
      </c>
      <c r="Q23" s="10">
        <v>30</v>
      </c>
      <c r="R23" s="10">
        <v>10</v>
      </c>
      <c r="S23" s="10">
        <v>7.2</v>
      </c>
      <c r="T23" s="10">
        <v>7.4</v>
      </c>
      <c r="U23" s="10">
        <v>0</v>
      </c>
    </row>
    <row r="24" spans="1:21" x14ac:dyDescent="0.25">
      <c r="B24" s="11">
        <v>22</v>
      </c>
      <c r="C24" s="13" t="s">
        <v>356</v>
      </c>
      <c r="D24" s="13">
        <v>90</v>
      </c>
      <c r="E24" s="13">
        <v>6.67</v>
      </c>
      <c r="F24" s="13">
        <v>193</v>
      </c>
      <c r="G24" s="13">
        <v>8.6999999999999993</v>
      </c>
      <c r="H24" s="13">
        <v>2.9</v>
      </c>
      <c r="I24" s="13">
        <v>5.4</v>
      </c>
      <c r="J24" s="13">
        <v>36</v>
      </c>
      <c r="K24" s="13">
        <v>5</v>
      </c>
      <c r="L24" s="13">
        <v>45</v>
      </c>
      <c r="M24" s="13">
        <v>51</v>
      </c>
      <c r="N24" s="13">
        <v>193</v>
      </c>
      <c r="O24" s="13">
        <v>14</v>
      </c>
      <c r="P24" s="13">
        <v>2.5</v>
      </c>
      <c r="Q24" s="13">
        <v>2.2000000000000002</v>
      </c>
      <c r="R24" s="13">
        <v>22</v>
      </c>
      <c r="S24" s="13">
        <v>1.3</v>
      </c>
      <c r="T24" s="13">
        <v>4.7</v>
      </c>
      <c r="U24" s="13">
        <v>280</v>
      </c>
    </row>
    <row r="25" spans="1:21" x14ac:dyDescent="0.25">
      <c r="B25" s="8">
        <v>23</v>
      </c>
      <c r="C25" s="10" t="s">
        <v>357</v>
      </c>
      <c r="D25" s="10">
        <v>100</v>
      </c>
      <c r="E25" s="10">
        <v>16.7</v>
      </c>
      <c r="F25" s="10">
        <v>934</v>
      </c>
      <c r="G25" s="10">
        <v>780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  <c r="P25" s="10">
        <v>0</v>
      </c>
      <c r="Q25" s="10">
        <v>0</v>
      </c>
      <c r="R25" s="10">
        <v>0</v>
      </c>
      <c r="S25" s="10">
        <v>0</v>
      </c>
      <c r="T25" s="10">
        <v>0</v>
      </c>
      <c r="U25" s="10">
        <v>0</v>
      </c>
    </row>
    <row r="26" spans="1:21" x14ac:dyDescent="0.25">
      <c r="A26" t="s">
        <v>36</v>
      </c>
      <c r="B26" s="11">
        <v>24</v>
      </c>
      <c r="C26" s="13" t="s">
        <v>358</v>
      </c>
      <c r="D26" s="13">
        <v>87</v>
      </c>
      <c r="E26" s="13">
        <v>13.8</v>
      </c>
      <c r="F26" s="13">
        <v>87</v>
      </c>
      <c r="G26" s="13">
        <v>2.4</v>
      </c>
      <c r="H26" s="13">
        <v>1.8</v>
      </c>
      <c r="I26" s="13">
        <v>3.8</v>
      </c>
      <c r="J26" s="13">
        <v>40</v>
      </c>
      <c r="K26" s="13">
        <v>32</v>
      </c>
      <c r="L26" s="13">
        <v>650</v>
      </c>
      <c r="M26" s="13">
        <v>16.3</v>
      </c>
      <c r="N26" s="13">
        <v>0.1</v>
      </c>
      <c r="O26" s="13">
        <v>2.5</v>
      </c>
      <c r="P26" s="13">
        <v>0.5</v>
      </c>
      <c r="Q26" s="13">
        <v>3.3</v>
      </c>
      <c r="R26" s="13">
        <v>0.3</v>
      </c>
      <c r="S26" s="13">
        <v>0.4</v>
      </c>
      <c r="T26" s="13">
        <v>50</v>
      </c>
      <c r="U26" s="13">
        <v>0</v>
      </c>
    </row>
    <row r="27" spans="1:21" x14ac:dyDescent="0.25">
      <c r="A27" t="s">
        <v>374</v>
      </c>
      <c r="B27" s="8">
        <v>25</v>
      </c>
      <c r="C27" s="10" t="s">
        <v>359</v>
      </c>
      <c r="D27" s="10">
        <v>87</v>
      </c>
      <c r="E27" s="10">
        <v>14.2</v>
      </c>
      <c r="F27" s="10">
        <v>644</v>
      </c>
      <c r="G27" s="10">
        <v>10.8</v>
      </c>
      <c r="H27" s="10">
        <v>15.2</v>
      </c>
      <c r="I27" s="10">
        <v>26.8</v>
      </c>
      <c r="J27" s="10">
        <v>39</v>
      </c>
      <c r="K27" s="10">
        <v>20</v>
      </c>
      <c r="L27" s="10">
        <v>123</v>
      </c>
      <c r="M27" s="10">
        <v>6</v>
      </c>
      <c r="N27" s="10">
        <v>8.6999999999999993</v>
      </c>
      <c r="O27" s="10">
        <v>1.6</v>
      </c>
      <c r="P27" s="10">
        <v>4</v>
      </c>
      <c r="Q27" s="10">
        <v>1.9</v>
      </c>
      <c r="R27" s="10">
        <v>3.5</v>
      </c>
      <c r="S27" s="10">
        <v>2</v>
      </c>
      <c r="T27" s="10">
        <v>5</v>
      </c>
      <c r="U27" s="10">
        <v>290</v>
      </c>
    </row>
    <row r="28" spans="1:21" x14ac:dyDescent="0.25">
      <c r="B28" s="11">
        <v>26</v>
      </c>
      <c r="C28" s="13" t="s">
        <v>360</v>
      </c>
      <c r="D28" s="13">
        <v>100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>
        <v>0</v>
      </c>
      <c r="L28" s="13">
        <v>0</v>
      </c>
      <c r="M28" s="13">
        <v>0</v>
      </c>
      <c r="N28" s="13">
        <v>0</v>
      </c>
      <c r="O28" s="13">
        <v>160</v>
      </c>
      <c r="P28" s="13">
        <v>210</v>
      </c>
      <c r="Q28" s="13">
        <v>190</v>
      </c>
      <c r="R28" s="13">
        <v>0.7</v>
      </c>
      <c r="S28" s="13">
        <v>0.6</v>
      </c>
      <c r="T28" s="13">
        <v>0</v>
      </c>
      <c r="U28" s="13">
        <v>0</v>
      </c>
    </row>
    <row r="29" spans="1:21" x14ac:dyDescent="0.25">
      <c r="B29" s="8">
        <v>27</v>
      </c>
      <c r="C29" s="10" t="s">
        <v>361</v>
      </c>
      <c r="D29" s="10">
        <v>100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270</v>
      </c>
      <c r="T29" s="10">
        <v>0</v>
      </c>
      <c r="U29" s="10">
        <v>0</v>
      </c>
    </row>
    <row r="30" spans="1:21" x14ac:dyDescent="0.25">
      <c r="A30" t="s">
        <v>52</v>
      </c>
      <c r="B30" s="11">
        <v>28</v>
      </c>
      <c r="C30" s="13" t="s">
        <v>362</v>
      </c>
      <c r="D30" s="13">
        <v>90</v>
      </c>
      <c r="E30" s="13">
        <v>14.4</v>
      </c>
      <c r="F30" s="13">
        <v>790</v>
      </c>
      <c r="G30" s="13">
        <v>64</v>
      </c>
      <c r="H30" s="13">
        <v>18</v>
      </c>
      <c r="I30" s="13">
        <v>31</v>
      </c>
      <c r="J30" s="13">
        <v>40</v>
      </c>
      <c r="K30" s="13">
        <v>0.4</v>
      </c>
      <c r="L30" s="13">
        <v>0</v>
      </c>
      <c r="M30" s="13">
        <v>0</v>
      </c>
      <c r="N30" s="13">
        <v>0</v>
      </c>
      <c r="O30" s="13">
        <v>0.3</v>
      </c>
      <c r="P30" s="13">
        <v>4</v>
      </c>
      <c r="Q30" s="13">
        <v>2</v>
      </c>
      <c r="R30" s="13">
        <v>1</v>
      </c>
      <c r="S30" s="13">
        <v>0.1</v>
      </c>
      <c r="T30" s="13">
        <v>2.1</v>
      </c>
      <c r="U30" s="13">
        <v>0</v>
      </c>
    </row>
    <row r="31" spans="1:21" x14ac:dyDescent="0.25">
      <c r="A31" t="s">
        <v>32</v>
      </c>
      <c r="B31" s="8">
        <v>29</v>
      </c>
      <c r="C31" s="10" t="s">
        <v>363</v>
      </c>
      <c r="D31" s="10">
        <v>90</v>
      </c>
      <c r="E31" s="10">
        <v>7.6</v>
      </c>
      <c r="F31" s="10">
        <v>348</v>
      </c>
      <c r="G31" s="10">
        <v>19.5</v>
      </c>
      <c r="H31" s="10">
        <v>7.1</v>
      </c>
      <c r="I31" s="10">
        <v>15.9</v>
      </c>
      <c r="J31" s="10">
        <v>23</v>
      </c>
      <c r="K31" s="10">
        <v>7</v>
      </c>
      <c r="L31" s="10">
        <v>40</v>
      </c>
      <c r="M31" s="10">
        <v>78</v>
      </c>
      <c r="N31" s="10">
        <v>120</v>
      </c>
      <c r="O31" s="10">
        <v>5</v>
      </c>
      <c r="P31" s="10">
        <v>10</v>
      </c>
      <c r="Q31" s="10">
        <v>2.8</v>
      </c>
      <c r="R31" s="10">
        <v>14</v>
      </c>
      <c r="S31" s="10">
        <v>0.8</v>
      </c>
      <c r="T31" s="10">
        <v>0.13</v>
      </c>
      <c r="U31" s="10">
        <v>0</v>
      </c>
    </row>
    <row r="32" spans="1:21" x14ac:dyDescent="0.25">
      <c r="A32" t="s">
        <v>306</v>
      </c>
      <c r="B32" s="11">
        <v>30</v>
      </c>
      <c r="C32" s="13" t="s">
        <v>364</v>
      </c>
      <c r="D32" s="13">
        <v>87</v>
      </c>
      <c r="E32" s="13">
        <v>11.2</v>
      </c>
      <c r="F32" s="13">
        <v>96</v>
      </c>
      <c r="G32" s="13">
        <v>3.9</v>
      </c>
      <c r="H32" s="13">
        <v>1.7</v>
      </c>
      <c r="I32" s="13">
        <v>4.2</v>
      </c>
      <c r="J32" s="13">
        <v>16</v>
      </c>
      <c r="K32" s="13">
        <v>7</v>
      </c>
      <c r="L32" s="13">
        <v>568</v>
      </c>
      <c r="M32" s="13">
        <v>55</v>
      </c>
      <c r="N32" s="13">
        <v>26</v>
      </c>
      <c r="O32" s="13">
        <v>0.6</v>
      </c>
      <c r="P32" s="13">
        <v>3.3</v>
      </c>
      <c r="Q32" s="13">
        <v>1.7</v>
      </c>
      <c r="R32" s="13">
        <v>4.5999999999999996</v>
      </c>
      <c r="S32" s="13">
        <v>0.2</v>
      </c>
      <c r="T32" s="13">
        <v>0.3</v>
      </c>
      <c r="U32" s="13">
        <v>0</v>
      </c>
    </row>
    <row r="33" spans="1:21" x14ac:dyDescent="0.25">
      <c r="A33" t="s">
        <v>35</v>
      </c>
      <c r="B33" s="8">
        <v>31</v>
      </c>
      <c r="C33" s="10" t="s">
        <v>365</v>
      </c>
      <c r="D33" s="10">
        <v>89</v>
      </c>
      <c r="E33" s="10">
        <v>13</v>
      </c>
      <c r="F33" s="10">
        <v>115</v>
      </c>
      <c r="G33" s="10">
        <v>4.2</v>
      </c>
      <c r="H33" s="10">
        <v>2.8</v>
      </c>
      <c r="I33" s="10">
        <v>2.1</v>
      </c>
      <c r="J33" s="10">
        <v>4.9000000000000004</v>
      </c>
      <c r="K33" s="10">
        <v>8</v>
      </c>
      <c r="L33" s="10">
        <v>550</v>
      </c>
      <c r="M33" s="10">
        <v>60</v>
      </c>
      <c r="N33" s="10">
        <v>21</v>
      </c>
      <c r="O33" s="10">
        <v>0.6</v>
      </c>
      <c r="P33" s="10">
        <v>3.3</v>
      </c>
      <c r="Q33" s="10">
        <v>0</v>
      </c>
      <c r="R33" s="10">
        <v>1.7</v>
      </c>
      <c r="S33" s="10">
        <v>4.5999999999999996</v>
      </c>
      <c r="T33" s="10">
        <v>0.2</v>
      </c>
      <c r="U33" s="10">
        <v>0.5</v>
      </c>
    </row>
    <row r="34" spans="1:21" x14ac:dyDescent="0.25">
      <c r="B34" s="11">
        <v>32</v>
      </c>
      <c r="C34" s="13" t="s">
        <v>366</v>
      </c>
      <c r="D34" s="13">
        <v>99</v>
      </c>
      <c r="E34" s="13">
        <v>34</v>
      </c>
      <c r="F34" s="13">
        <v>0</v>
      </c>
      <c r="G34" s="13">
        <v>0</v>
      </c>
      <c r="H34" s="13">
        <v>0</v>
      </c>
      <c r="I34" s="13">
        <v>0</v>
      </c>
      <c r="J34" s="13">
        <v>990</v>
      </c>
      <c r="K34" s="13">
        <v>40</v>
      </c>
      <c r="L34" s="13">
        <v>0</v>
      </c>
      <c r="M34" s="13">
        <v>0</v>
      </c>
      <c r="N34" s="13">
        <v>0</v>
      </c>
      <c r="O34" s="13">
        <v>0</v>
      </c>
      <c r="P34" s="13">
        <v>0</v>
      </c>
      <c r="Q34" s="13">
        <v>0</v>
      </c>
      <c r="R34" s="13">
        <v>0</v>
      </c>
      <c r="S34" s="13">
        <v>0</v>
      </c>
      <c r="T34" s="13">
        <v>0</v>
      </c>
      <c r="U34" s="13">
        <v>0</v>
      </c>
    </row>
    <row r="35" spans="1:21" x14ac:dyDescent="0.25">
      <c r="A35" t="s">
        <v>40</v>
      </c>
      <c r="B35" s="8">
        <v>33</v>
      </c>
      <c r="C35" s="10" t="s">
        <v>367</v>
      </c>
      <c r="D35" s="10">
        <v>87</v>
      </c>
      <c r="E35" s="10">
        <v>9.1</v>
      </c>
      <c r="F35" s="10">
        <v>440</v>
      </c>
      <c r="G35" s="10">
        <v>27.5</v>
      </c>
      <c r="H35" s="10">
        <v>6.4</v>
      </c>
      <c r="I35" s="10">
        <v>13.1</v>
      </c>
      <c r="J35" s="10">
        <v>13</v>
      </c>
      <c r="K35" s="10">
        <v>6</v>
      </c>
      <c r="L35" s="10">
        <v>64</v>
      </c>
      <c r="M35" s="10">
        <v>93</v>
      </c>
      <c r="N35" s="10">
        <v>60</v>
      </c>
      <c r="O35" s="10">
        <v>2</v>
      </c>
      <c r="P35" s="10">
        <v>6</v>
      </c>
      <c r="Q35" s="10">
        <v>1.8</v>
      </c>
      <c r="R35" s="10">
        <v>20</v>
      </c>
      <c r="S35" s="10">
        <v>0.02</v>
      </c>
      <c r="T35" s="10">
        <v>0.1</v>
      </c>
      <c r="U35" s="10">
        <v>0</v>
      </c>
    </row>
    <row r="36" spans="1:21" x14ac:dyDescent="0.25">
      <c r="B36" s="11">
        <v>34</v>
      </c>
      <c r="C36" s="13" t="s">
        <v>368</v>
      </c>
      <c r="D36" s="13">
        <v>99</v>
      </c>
      <c r="E36" s="13">
        <v>36</v>
      </c>
      <c r="F36" s="13">
        <v>0</v>
      </c>
      <c r="G36" s="13">
        <v>0</v>
      </c>
      <c r="H36" s="13">
        <v>0</v>
      </c>
      <c r="I36" s="13">
        <v>0</v>
      </c>
      <c r="J36" s="13">
        <v>990</v>
      </c>
      <c r="K36" s="13">
        <v>524</v>
      </c>
      <c r="L36" s="13">
        <v>0</v>
      </c>
      <c r="M36" s="13">
        <v>0</v>
      </c>
      <c r="N36" s="13">
        <v>0</v>
      </c>
      <c r="O36" s="13">
        <v>0</v>
      </c>
      <c r="P36" s="13">
        <v>0</v>
      </c>
      <c r="Q36" s="13">
        <v>0</v>
      </c>
      <c r="R36" s="13">
        <v>0</v>
      </c>
      <c r="S36" s="13">
        <v>0</v>
      </c>
      <c r="T36" s="13">
        <v>0</v>
      </c>
      <c r="U36" s="13">
        <v>0</v>
      </c>
    </row>
    <row r="37" spans="1:21" x14ac:dyDescent="0.25">
      <c r="A37" t="s">
        <v>17</v>
      </c>
      <c r="B37" s="8">
        <v>35</v>
      </c>
      <c r="C37" s="10" t="s">
        <v>369</v>
      </c>
      <c r="D37" s="10">
        <v>87</v>
      </c>
      <c r="E37" s="10">
        <v>12.8</v>
      </c>
      <c r="F37" s="10">
        <v>113</v>
      </c>
      <c r="G37" s="10">
        <v>3.1</v>
      </c>
      <c r="H37" s="10">
        <v>1.8</v>
      </c>
      <c r="I37" s="10">
        <v>4.2</v>
      </c>
      <c r="J37" s="10">
        <v>19</v>
      </c>
      <c r="K37" s="10">
        <v>8</v>
      </c>
      <c r="L37" s="10">
        <v>580</v>
      </c>
      <c r="M37" s="10">
        <v>78</v>
      </c>
      <c r="N37" s="10">
        <v>21</v>
      </c>
      <c r="O37" s="10">
        <v>0.6</v>
      </c>
      <c r="P37" s="10">
        <v>3.3</v>
      </c>
      <c r="Q37" s="10">
        <v>1.8</v>
      </c>
      <c r="R37" s="10">
        <v>4</v>
      </c>
      <c r="S37" s="10">
        <v>0.4</v>
      </c>
      <c r="T37" s="10">
        <v>0.8</v>
      </c>
      <c r="U37" s="10">
        <v>0</v>
      </c>
    </row>
    <row r="38" spans="1:21" x14ac:dyDescent="0.25">
      <c r="A38" t="s">
        <v>45</v>
      </c>
      <c r="B38" s="11">
        <v>36</v>
      </c>
      <c r="C38" s="13" t="s">
        <v>370</v>
      </c>
      <c r="D38" s="13">
        <v>87</v>
      </c>
      <c r="E38" s="13">
        <v>12.2</v>
      </c>
      <c r="F38" s="13">
        <v>169</v>
      </c>
      <c r="G38" s="13">
        <v>5.9</v>
      </c>
      <c r="H38" s="13">
        <v>2.8</v>
      </c>
      <c r="I38" s="13">
        <v>6.3</v>
      </c>
      <c r="J38" s="13">
        <v>44</v>
      </c>
      <c r="K38" s="13">
        <v>15</v>
      </c>
      <c r="L38" s="13">
        <v>419</v>
      </c>
      <c r="M38" s="13">
        <v>60</v>
      </c>
      <c r="N38" s="13">
        <v>26</v>
      </c>
      <c r="O38" s="13">
        <v>0.8</v>
      </c>
      <c r="P38" s="13">
        <v>4</v>
      </c>
      <c r="Q38" s="13">
        <v>1.5</v>
      </c>
      <c r="R38" s="13">
        <v>5.0999999999999996</v>
      </c>
      <c r="S38" s="13">
        <v>0.5</v>
      </c>
      <c r="T38" s="13">
        <v>1.4</v>
      </c>
      <c r="U38" s="13">
        <v>0</v>
      </c>
    </row>
    <row r="39" spans="1:21" x14ac:dyDescent="0.25">
      <c r="B39" s="8">
        <v>37</v>
      </c>
      <c r="C39" s="10" t="s">
        <v>371</v>
      </c>
      <c r="D39" s="10">
        <v>87</v>
      </c>
      <c r="E39" s="10">
        <v>9.4</v>
      </c>
      <c r="F39" s="10">
        <v>157</v>
      </c>
      <c r="G39" s="10">
        <v>5.7</v>
      </c>
      <c r="H39" s="10">
        <v>2.6</v>
      </c>
      <c r="I39" s="10">
        <v>5.8</v>
      </c>
      <c r="J39" s="10">
        <v>39</v>
      </c>
      <c r="K39" s="10">
        <v>12</v>
      </c>
      <c r="L39" s="10">
        <v>270</v>
      </c>
      <c r="M39" s="10">
        <v>66</v>
      </c>
      <c r="N39" s="10">
        <v>65</v>
      </c>
      <c r="O39" s="10">
        <v>0.8</v>
      </c>
      <c r="P39" s="10">
        <v>4</v>
      </c>
      <c r="Q39" s="10">
        <v>1.5</v>
      </c>
      <c r="R39" s="10">
        <v>5.0999999999999996</v>
      </c>
      <c r="S39" s="10">
        <v>0.5</v>
      </c>
      <c r="T39" s="10">
        <v>1.4</v>
      </c>
      <c r="U39" s="10">
        <v>0</v>
      </c>
    </row>
    <row r="40" spans="1:21" x14ac:dyDescent="0.25">
      <c r="A40" t="s">
        <v>44</v>
      </c>
      <c r="B40" s="11">
        <v>38</v>
      </c>
      <c r="C40" s="13" t="s">
        <v>372</v>
      </c>
      <c r="D40" s="13">
        <v>87</v>
      </c>
      <c r="E40" s="13">
        <v>6.8</v>
      </c>
      <c r="F40" s="13">
        <v>157</v>
      </c>
      <c r="G40" s="13">
        <v>6.4</v>
      </c>
      <c r="H40" s="13">
        <v>2.5</v>
      </c>
      <c r="I40" s="13">
        <v>5.8</v>
      </c>
      <c r="J40" s="13">
        <v>45</v>
      </c>
      <c r="K40" s="13">
        <v>12</v>
      </c>
      <c r="L40" s="13">
        <v>135</v>
      </c>
      <c r="M40" s="13">
        <v>55</v>
      </c>
      <c r="N40" s="13">
        <v>100</v>
      </c>
      <c r="O40" s="13">
        <v>1.5</v>
      </c>
      <c r="P40" s="13">
        <v>11.5</v>
      </c>
      <c r="Q40" s="13">
        <v>6</v>
      </c>
      <c r="R40" s="13">
        <v>9.9</v>
      </c>
      <c r="S40" s="13">
        <v>0.8</v>
      </c>
      <c r="T40" s="13">
        <v>0.3</v>
      </c>
      <c r="U40" s="13">
        <v>0</v>
      </c>
    </row>
    <row r="41" spans="1:21" x14ac:dyDescent="0.25">
      <c r="A41" t="s">
        <v>37</v>
      </c>
      <c r="B41" s="8">
        <v>39</v>
      </c>
      <c r="C41" s="10" t="s">
        <v>373</v>
      </c>
      <c r="D41" s="10">
        <v>87</v>
      </c>
      <c r="E41" s="10">
        <v>11</v>
      </c>
      <c r="F41" s="10">
        <v>226</v>
      </c>
      <c r="G41" s="10">
        <v>15.8</v>
      </c>
      <c r="H41" s="10">
        <v>2.2999999999999998</v>
      </c>
      <c r="I41" s="10">
        <v>5.6</v>
      </c>
      <c r="J41" s="10">
        <v>13</v>
      </c>
      <c r="K41" s="10">
        <v>2.7</v>
      </c>
      <c r="L41" s="10">
        <v>416</v>
      </c>
      <c r="M41" s="10">
        <v>56</v>
      </c>
      <c r="N41" s="10">
        <v>61</v>
      </c>
      <c r="O41" s="10">
        <v>1.2</v>
      </c>
      <c r="P41" s="10">
        <v>3.5</v>
      </c>
      <c r="Q41" s="10">
        <v>1.2</v>
      </c>
      <c r="R41" s="10">
        <v>10.199999999999999</v>
      </c>
      <c r="S41" s="10">
        <v>0.4</v>
      </c>
      <c r="T41" s="10">
        <v>0.6</v>
      </c>
      <c r="U41" s="10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default</vt:lpstr>
      <vt:lpstr>references</vt:lpstr>
      <vt:lpstr>feed pars</vt:lpstr>
      <vt:lpstr>feed pars csv</vt:lpstr>
      <vt:lpstr>pigs</vt:lpstr>
      <vt:lpstr>ruminants</vt:lpstr>
      <vt:lpstr>ruminants, roughage</vt:lpstr>
      <vt:lpstr>horses</vt:lpstr>
      <vt:lpstr>poultry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2023-10-26T20:11:05Z</dcterms:modified>
</cp:coreProperties>
</file>