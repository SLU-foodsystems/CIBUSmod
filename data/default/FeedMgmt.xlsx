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references" sheetId="9" r:id="rId1"/>
    <sheet name="default" sheetId="1" r:id="rId2"/>
    <sheet name="feed pars" sheetId="2" r:id="rId3"/>
    <sheet name="feed pars csv" sheetId="8" r:id="rId4"/>
    <sheet name="max SNG" sheetId="10" r:id="rId5"/>
    <sheet name="pigs" sheetId="3" r:id="rId6"/>
    <sheet name="ruminants" sheetId="4" r:id="rId7"/>
    <sheet name="ruminants, roughage" sheetId="6" r:id="rId8"/>
    <sheet name="horses" sheetId="7" r:id="rId9"/>
    <sheet name="poultry" sheetId="5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" i="1" l="1"/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4" i="1"/>
  <c r="Q113" i="1"/>
  <c r="Q112" i="1"/>
  <c r="Q111" i="1"/>
  <c r="Q110" i="1"/>
  <c r="P112" i="1"/>
  <c r="P111" i="1"/>
  <c r="P110" i="1"/>
  <c r="O114" i="1"/>
  <c r="O113" i="1"/>
  <c r="O112" i="1"/>
  <c r="O111" i="1"/>
  <c r="O110" i="1"/>
  <c r="N114" i="1"/>
  <c r="N113" i="1"/>
  <c r="N111" i="1"/>
  <c r="N110" i="1"/>
  <c r="E111" i="1"/>
  <c r="E110" i="1"/>
  <c r="B110" i="1"/>
  <c r="A114" i="1"/>
  <c r="A113" i="1"/>
  <c r="A112" i="1"/>
  <c r="A111" i="1"/>
  <c r="M114" i="1"/>
  <c r="M113" i="1"/>
  <c r="M112" i="1"/>
  <c r="M111" i="1"/>
  <c r="M110" i="1"/>
  <c r="A110" i="1"/>
  <c r="Q107" i="1"/>
  <c r="Q106" i="1"/>
  <c r="Q105" i="1"/>
  <c r="Q104" i="1"/>
  <c r="Q103" i="1"/>
  <c r="P105" i="1"/>
  <c r="P104" i="1"/>
  <c r="P103" i="1"/>
  <c r="O107" i="1"/>
  <c r="N107" i="1"/>
  <c r="O106" i="1"/>
  <c r="N106" i="1"/>
  <c r="O105" i="1"/>
  <c r="O104" i="1"/>
  <c r="N104" i="1"/>
  <c r="O103" i="1"/>
  <c r="N103" i="1"/>
  <c r="M107" i="1"/>
  <c r="M106" i="1"/>
  <c r="M105" i="1"/>
  <c r="M104" i="1"/>
  <c r="M103" i="1"/>
  <c r="E104" i="1"/>
  <c r="E103" i="1"/>
  <c r="B103" i="1"/>
  <c r="A107" i="1"/>
  <c r="A106" i="1"/>
  <c r="A105" i="1"/>
  <c r="A104" i="1"/>
  <c r="A103" i="1"/>
  <c r="N98" i="1"/>
  <c r="N92" i="1"/>
  <c r="N91" i="1"/>
  <c r="N112" i="1" l="1"/>
  <c r="N105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<sst xmlns="http://schemas.openxmlformats.org/spreadsheetml/2006/main" count="1567" uniqueCount="651">
  <si>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</si>
  <si>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</si>
  <si>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</si>
  <si>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</si>
  <si>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</si>
  <si>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</si>
  <si>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</si>
  <si>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</si>
  <si>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</si>
  <si>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</si>
  <si>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</si>
  <si>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</si>
  <si>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</si>
  <si>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</si>
  <si>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</si>
  <si>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</si>
  <si>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</si>
  <si>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</si>
  <si>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</si>
  <si>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</si>
  <si>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</si>
  <si>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</si>
  <si>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</si>
  <si>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</si>
  <si>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</si>
  <si>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</si>
  <si>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</si>
  <si>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</si>
  <si>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</si>
  <si>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</si>
  <si>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</si>
  <si>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</si>
  <si>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</si>
  <si>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</si>
  <si>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</si>
  <si>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</si>
  <si>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</si>
  <si>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</si>
  <si>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</si>
  <si>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</si>
  <si>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</si>
  <si>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</si>
  <si>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</si>
  <si>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</si>
  <si>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</si>
  <si>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</si>
  <si>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</si>
  <si>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</si>
  <si>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</si>
  <si>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</si>
  <si>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</si>
  <si>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</si>
  <si>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</si>
  <si>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</si>
  <si>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</si>
  <si>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</si>
  <si>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</si>
  <si>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</si>
  <si>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</si>
  <si>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</si>
  <si>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</si>
  <si>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</si>
  <si>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</si>
  <si>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</si>
  <si>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</si>
  <si>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</si>
  <si>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</si>
  <si>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</si>
  <si>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</si>
  <si>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</si>
  <si>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</si>
  <si>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</si>
  <si>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</si>
  <si>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</si>
  <si>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</si>
  <si>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</si>
  <si>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</si>
  <si>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</si>
  <si>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</si>
  <si>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</si>
  <si>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</si>
  <si>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</si>
  <si>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</si>
  <si>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</si>
  <si>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</si>
  <si>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</si>
  <si>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</si>
  <si>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</si>
  <si>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</si>
  <si>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</si>
  <si>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</si>
  <si>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</si>
  <si>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</si>
  <si>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</si>
  <si>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</si>
  <si>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</si>
  <si>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</si>
  <si>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</si>
  <si>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</si>
  <si>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</si>
  <si>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</si>
  <si>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</si>
  <si>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</si>
  <si>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</si>
  <si>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</si>
  <si>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</si>
  <si>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</si>
  <si>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</si>
  <si>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</si>
  <si>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</si>
  <si>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</si>
  <si>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</si>
  <si>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</si>
  <si>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</si>
  <si>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</si>
  <si>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</si>
  <si>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</si>
  <si>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</si>
  <si>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</si>
  <si>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</si>
  <si>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</si>
  <si>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</si>
  <si>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</si>
  <si>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</si>
  <si>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</si>
  <si>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</si>
  <si>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</si>
  <si>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</si>
  <si>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</si>
  <si>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</si>
  <si>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</si>
  <si>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</si>
  <si>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</si>
  <si>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</si>
  <si>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</si>
  <si>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</si>
  <si>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</si>
  <si>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</si>
  <si>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</si>
  <si>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</si>
  <si>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</si>
  <si>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</si>
  <si>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</si>
  <si>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</si>
  <si>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</si>
  <si>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</si>
  <si>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</si>
  <si>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</si>
  <si>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</si>
  <si>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</si>
  <si>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</si>
  <si>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</si>
  <si>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</si>
  <si>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</si>
  <si>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</si>
  <si>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</si>
  <si>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</si>
  <si>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</si>
  <si>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</si>
  <si>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</si>
  <si>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</si>
  <si>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</si>
  <si>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</si>
  <si>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</si>
  <si>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</si>
  <si>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</si>
  <si>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</si>
  <si>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</si>
  <si>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</si>
  <si>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</si>
  <si>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</si>
  <si>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</si>
  <si>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</si>
  <si>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</si>
  <si>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</si>
  <si>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</si>
  <si>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</si>
  <si>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</si>
  <si>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</si>
  <si>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</si>
  <si>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</si>
  <si>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</si>
  <si>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</si>
  <si>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</si>
  <si>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</si>
  <si>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</si>
  <si>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</si>
  <si>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</si>
  <si>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</si>
  <si>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</si>
  <si>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</si>
  <si>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</si>
  <si>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</si>
  <si>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</si>
  <si>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</si>
  <si>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</si>
  <si>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</si>
  <si>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</si>
  <si>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</si>
  <si>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</si>
  <si>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</si>
  <si>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</si>
  <si>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</si>
  <si>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</si>
  <si>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</si>
  <si>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</si>
  <si>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</si>
  <si>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</si>
  <si>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</si>
  <si>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</si>
  <si>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</si>
  <si>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</si>
  <si>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</si>
  <si>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</si>
  <si>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</si>
  <si>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</si>
  <si>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</si>
  <si>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</si>
  <si>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</si>
  <si>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</si>
  <si>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</si>
  <si>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</si>
  <si>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</si>
  <si>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</si>
  <si>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</si>
  <si>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</si>
  <si>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</si>
  <si>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</si>
  <si>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</si>
  <si>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</si>
  <si>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</si>
  <si>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</si>
  <si>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</si>
  <si>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</si>
  <si>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</si>
  <si>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</si>
  <si>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</si>
  <si>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</si>
  <si>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</si>
  <si>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</si>
  <si>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</si>
  <si>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</si>
  <si>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</si>
  <si>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</si>
  <si>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</si>
  <si>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</si>
  <si>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</si>
  <si>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</si>
  <si>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</si>
  <si>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</si>
  <si>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</si>
  <si>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</si>
  <si>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</si>
  <si>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</si>
  <si>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</si>
  <si>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</si>
  <si>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</si>
  <si>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</si>
  <si>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</si>
  <si>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</si>
  <si>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</si>
  <si>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</si>
  <si>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</si>
  <si>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</si>
  <si>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</si>
  <si>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</si>
  <si>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</si>
  <si>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</si>
  <si>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</si>
  <si>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</si>
  <si>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</si>
  <si>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</si>
  <si>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</si>
  <si>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</si>
  <si>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</si>
  <si>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</si>
  <si>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</si>
  <si>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</si>
  <si>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</si>
  <si>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</si>
  <si>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</si>
  <si>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</si>
  <si>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</si>
  <si>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</si>
  <si>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</si>
  <si>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</si>
  <si>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</si>
  <si>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</si>
  <si>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</si>
  <si>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</si>
  <si>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</si>
  <si>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</si>
  <si>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</si>
  <si>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</si>
  <si>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</si>
  <si>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</si>
  <si>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</si>
  <si>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</si>
  <si>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</si>
  <si>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</si>
  <si>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</si>
  <si>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</si>
  <si>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</si>
  <si>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</si>
  <si>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</si>
  <si>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</si>
  <si>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</si>
  <si>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</si>
  <si>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</si>
  <si>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</si>
  <si>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</si>
  <si>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</si>
  <si>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</si>
  <si>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</si>
  <si>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</si>
  <si>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</si>
  <si>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</si>
  <si>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</si>
  <si>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</si>
  <si>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</si>
  <si>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</si>
  <si>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</si>
  <si>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</si>
  <si>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</si>
  <si>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</si>
  <si>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</si>
  <si>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</si>
  <si>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</si>
  <si>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</si>
  <si>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</si>
  <si>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</si>
  <si>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</si>
  <si>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</si>
  <si>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</si>
  <si>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</si>
  <si>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</si>
  <si>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</si>
  <si>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</si>
  <si>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</si>
  <si>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</si>
  <si>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</si>
  <si>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</si>
  <si>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</si>
  <si>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</si>
  <si>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</si>
  <si>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</si>
  <si>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</si>
  <si>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</si>
  <si>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</si>
  <si>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</si>
  <si>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</si>
  <si>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</si>
  <si>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</si>
  <si>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</si>
  <si>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</si>
  <si>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</si>
  <si>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</si>
  <si>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</si>
  <si>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</si>
  <si>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</si>
  <si>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</si>
  <si>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</si>
  <si>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</si>
  <si>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</si>
  <si>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</si>
  <si>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</si>
  <si>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</si>
  <si>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</si>
  <si>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</si>
  <si>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</si>
  <si>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</si>
  <si>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</si>
  <si>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</si>
  <si>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</si>
  <si>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</si>
  <si>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</si>
  <si>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</si>
  <si>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</si>
  <si>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</si>
  <si>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</si>
  <si>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</si>
  <si>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</si>
  <si>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</si>
  <si>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</si>
  <si>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</si>
  <si>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</si>
  <si>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</si>
  <si>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</si>
  <si>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</si>
  <si>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</si>
  <si>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</si>
  <si>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</si>
  <si>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</si>
  <si>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</si>
  <si>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</si>
  <si>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</si>
  <si>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</si>
  <si>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</si>
  <si>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</si>
  <si>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</si>
  <si>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</si>
  <si>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</si>
  <si>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</si>
  <si>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</si>
  <si>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</si>
  <si>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</si>
  <si>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</si>
  <si>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</si>
  <si>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</si>
  <si>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</si>
  <si>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</si>
  <si>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</si>
  <si>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</si>
  <si>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</si>
  <si>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</si>
  <si>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</si>
  <si>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</si>
  <si>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</si>
  <si>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</si>
  <si>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</si>
  <si>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</si>
  <si>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</si>
  <si>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</si>
  <si>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</si>
  <si>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</si>
  <si>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</si>
  <si>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</si>
  <si>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</si>
  <si>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</si>
  <si>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</si>
  <si>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</si>
  <si>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</si>
  <si>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</si>
  <si>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</si>
  <si>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</si>
  <si>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</si>
  <si>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</si>
  <si>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</si>
  <si>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</si>
  <si>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</si>
  <si>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</si>
  <si>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</si>
  <si>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</si>
  <si>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</si>
  <si>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</si>
  <si>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</si>
  <si>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</si>
  <si>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</si>
  <si>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</si>
  <si>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</si>
  <si>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</si>
  <si>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</si>
  <si>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</si>
  <si>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</si>
  <si>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</si>
  <si>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</si>
  <si>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</si>
  <si>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</si>
  <si>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</si>
  <si>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</si>
  <si>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</si>
  <si>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</si>
  <si>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</si>
  <si>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</si>
  <si>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</si>
  <si>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</si>
  <si>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</si>
  <si>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</si>
  <si>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</si>
  <si>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</si>
  <si>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</si>
  <si>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</si>
  <si>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</si>
  <si>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</si>
  <si>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</si>
  <si>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</si>
  <si>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</si>
  <si>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</si>
  <si>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</si>
  <si>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</si>
  <si>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</si>
  <si>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</si>
  <si>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</si>
  <si>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</si>
  <si>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</si>
  <si>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</si>
  <si>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</si>
  <si>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</si>
  <si>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</si>
  <si>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</si>
  <si>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</si>
  <si>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</si>
  <si>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</si>
  <si>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</si>
  <si>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</si>
  <si>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</si>
  <si>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</si>
  <si>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</si>
  <si>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</si>
  <si>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</si>
  <si>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</si>
  <si>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</si>
  <si>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</si>
  <si>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</si>
  <si>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</si>
  <si>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</si>
  <si>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</si>
  <si>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</si>
  <si>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</si>
  <si>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</si>
  <si>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</si>
  <si>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</si>
  <si>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</si>
  <si>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</si>
  <si>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</si>
  <si>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</si>
  <si>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</si>
  <si>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</si>
  <si>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</si>
  <si>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</si>
  <si>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</si>
  <si>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</si>
  <si>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</si>
  <si>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</si>
  <si>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</si>
  <si>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</si>
  <si>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</si>
  <si>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</si>
  <si>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</si>
  <si>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</si>
  <si>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</si>
  <si>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</si>
  <si>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</si>
  <si>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</si>
  <si>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</si>
  <si>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</si>
  <si>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</si>
  <si>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</si>
  <si>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</si>
  <si>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</si>
  <si>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</si>
  <si>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</si>
  <si>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</si>
  <si>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</si>
  <si>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</si>
  <si>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</si>
  <si>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</si>
  <si>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</si>
  <si>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</si>
  <si>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</si>
  <si>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</si>
  <si>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</si>
  <si>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</si>
  <si>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</si>
  <si>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</si>
  <si>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</si>
  <si>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</si>
  <si>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</si>
  <si>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</si>
  <si>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</si>
  <si>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</si>
  <si>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</si>
  <si>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</si>
  <si>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</si>
  <si>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</si>
  <si>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</si>
  <si>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</si>
  <si>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</si>
  <si>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</si>
  <si>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</si>
  <si>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</si>
  <si>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</si>
  <si>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</si>
  <si>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</si>
  <si>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</si>
  <si>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</si>
  <si>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</si>
  <si>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</si>
  <si>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</si>
  <si>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</si>
  <si>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</si>
  <si>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</si>
  <si>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</si>
  <si>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</si>
  <si>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</si>
  <si>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</si>
  <si>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</si>
  <si>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</si>
  <si>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</si>
  <si>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</si>
  <si>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</si>
  <si>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</si>
  <si>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</si>
  <si>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</si>
  <si>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</si>
  <si>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</si>
  <si>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</si>
  <si>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</si>
  <si>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</si>
  <si>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</si>
  <si>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</si>
  <si>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</si>
  <si>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</si>
  <si>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</si>
  <si>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</si>
  <si>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</si>
  <si>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</si>
  <si>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</si>
  <si>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</si>
  <si>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</si>
  <si>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</si>
  <si>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</si>
  <si>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</si>
  <si>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</si>
  <si>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</si>
  <si>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</si>
  <si>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</si>
  <si>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</si>
  <si>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</si>
  <si>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</si>
  <si>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</si>
  <si>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</si>
  <si>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</si>
  <si>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</si>
  <si>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</si>
  <si>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</si>
  <si>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</si>
  <si>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</si>
  <si>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</si>
  <si>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</si>
  <si>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</si>
  <si>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</si>
  <si>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</si>
  <si>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</si>
  <si>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</si>
  <si>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</si>
  <si>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</si>
  <si>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</si>
  <si>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</si>
  <si>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</si>
  <si>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</si>
  <si>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</si>
  <si>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</si>
  <si>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</si>
  <si>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</si>
  <si>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</si>
  <si>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r>
      <rPr>
        <b/>
        <sz val="11"/>
        <color rgb="FF00B0F0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Setting this parameter too close to 100% may cause problems.</t>
    </r>
  </si>
  <si>
    <t>milling by-products from wheat, barley or rye</t>
  </si>
  <si>
    <t>milling by-products from oats</t>
  </si>
  <si>
    <t>add as crop product?</t>
  </si>
  <si>
    <t>f_crop_group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</si>
</sst>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636</v>
      </c>
    </row>
    <row r="2" spans="1:1" x14ac:dyDescent="0.25">
      <c r="A2" t="s">
        <v>640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abSelected="1" zoomScale="80" zoomScaleNormal="80" workbookViewId="0">
      <pane ySplit="1" topLeftCell="A57" activePane="bottomLeft" state="frozen"/>
      <selection pane="bottomLeft" activeCell="I77" sqref="I77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630</v>
      </c>
      <c r="H1" s="4" t="s">
        <v>650</v>
      </c>
      <c r="I1" s="4" t="s">
        <v>1</v>
      </c>
      <c r="J1" s="4" t="s">
        <v>8</v>
      </c>
      <c r="K1" s="4" t="s">
        <v>641</v>
      </c>
      <c r="L1" s="4" t="s">
        <v>582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583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643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644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584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 t="s">
        <v>649</v>
      </c>
    </row>
    <row r="31" spans="1:16" x14ac:dyDescent="0.25">
      <c r="F31" t="s">
        <v>43</v>
      </c>
      <c r="J31" t="s">
        <v>647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647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585</v>
      </c>
      <c r="J33" t="s">
        <v>648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586</v>
      </c>
      <c r="J34" t="s">
        <v>648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629</v>
      </c>
      <c r="J35" t="s">
        <v>647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598</v>
      </c>
      <c r="J44" t="s">
        <v>598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645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373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373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373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375</v>
      </c>
    </row>
    <row r="68" spans="1:17" x14ac:dyDescent="0.25">
      <c r="A68" s="1" t="s">
        <v>320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646</v>
      </c>
    </row>
    <row r="70" spans="1:17" x14ac:dyDescent="0.25">
      <c r="A70" t="s">
        <v>19</v>
      </c>
      <c r="H70" t="s">
        <v>318</v>
      </c>
      <c r="I70" t="s">
        <v>28</v>
      </c>
      <c r="M70" t="s">
        <v>319</v>
      </c>
      <c r="N70" s="3">
        <v>90</v>
      </c>
      <c r="O70" t="s">
        <v>23</v>
      </c>
      <c r="P70" s="3"/>
    </row>
    <row r="71" spans="1:17" x14ac:dyDescent="0.25">
      <c r="A71" t="s">
        <v>19</v>
      </c>
      <c r="B71" t="s">
        <v>313</v>
      </c>
      <c r="E71" t="s">
        <v>314</v>
      </c>
      <c r="H71" t="s">
        <v>318</v>
      </c>
      <c r="I71" t="s">
        <v>28</v>
      </c>
      <c r="M71" t="s">
        <v>319</v>
      </c>
      <c r="N71" s="3">
        <v>5</v>
      </c>
      <c r="O71" t="s">
        <v>23</v>
      </c>
      <c r="P71" s="3"/>
    </row>
    <row r="72" spans="1:17" x14ac:dyDescent="0.25">
      <c r="A72" t="s">
        <v>19</v>
      </c>
      <c r="B72" t="s">
        <v>313</v>
      </c>
      <c r="E72" t="s">
        <v>315</v>
      </c>
      <c r="H72" t="s">
        <v>318</v>
      </c>
      <c r="I72" t="s">
        <v>28</v>
      </c>
      <c r="M72" t="s">
        <v>319</v>
      </c>
      <c r="N72" s="3">
        <v>5</v>
      </c>
      <c r="O72" t="s">
        <v>23</v>
      </c>
      <c r="P72" s="3"/>
    </row>
    <row r="73" spans="1:17" x14ac:dyDescent="0.25">
      <c r="A73" t="s">
        <v>19</v>
      </c>
      <c r="E73" t="s">
        <v>316</v>
      </c>
      <c r="H73" t="s">
        <v>318</v>
      </c>
      <c r="I73" t="s">
        <v>28</v>
      </c>
      <c r="M73" t="s">
        <v>319</v>
      </c>
      <c r="N73" s="3">
        <v>0</v>
      </c>
      <c r="O73" t="s">
        <v>23</v>
      </c>
      <c r="P73" s="3"/>
    </row>
    <row r="74" spans="1:17" x14ac:dyDescent="0.25">
      <c r="A74" t="s">
        <v>19</v>
      </c>
      <c r="B74" t="s">
        <v>313</v>
      </c>
      <c r="E74" t="s">
        <v>317</v>
      </c>
      <c r="H74" t="s">
        <v>318</v>
      </c>
      <c r="I74" t="s">
        <v>28</v>
      </c>
      <c r="M74" t="s">
        <v>319</v>
      </c>
      <c r="N74" s="3">
        <v>0</v>
      </c>
      <c r="O74" t="s">
        <v>23</v>
      </c>
      <c r="P74" s="3"/>
    </row>
    <row r="75" spans="1:17" x14ac:dyDescent="0.25">
      <c r="N75" s="3"/>
      <c r="P75" s="3"/>
    </row>
    <row r="76" spans="1:17" x14ac:dyDescent="0.25">
      <c r="A76" t="s">
        <v>19</v>
      </c>
      <c r="B76" t="s">
        <v>313</v>
      </c>
      <c r="E76" t="s">
        <v>314</v>
      </c>
      <c r="H76" t="s">
        <v>318</v>
      </c>
      <c r="I76" t="s">
        <v>28</v>
      </c>
      <c r="L76">
        <v>811</v>
      </c>
      <c r="M76" t="s">
        <v>319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313</v>
      </c>
      <c r="E77" t="s">
        <v>315</v>
      </c>
      <c r="H77" t="s">
        <v>318</v>
      </c>
      <c r="I77" t="s">
        <v>28</v>
      </c>
      <c r="L77">
        <v>811</v>
      </c>
      <c r="M77" t="s">
        <v>319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316</v>
      </c>
      <c r="H78" t="s">
        <v>318</v>
      </c>
      <c r="I78" t="s">
        <v>28</v>
      </c>
      <c r="L78">
        <v>811</v>
      </c>
      <c r="M78" t="s">
        <v>319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313</v>
      </c>
      <c r="E79" t="s">
        <v>317</v>
      </c>
      <c r="H79" t="s">
        <v>318</v>
      </c>
      <c r="I79" t="s">
        <v>28</v>
      </c>
      <c r="L79">
        <v>811</v>
      </c>
      <c r="M79" t="s">
        <v>319</v>
      </c>
      <c r="N79" s="3">
        <v>0</v>
      </c>
      <c r="O79" t="s">
        <v>23</v>
      </c>
      <c r="P79" s="3"/>
    </row>
    <row r="80" spans="1:17" x14ac:dyDescent="0.25">
      <c r="A80" t="s">
        <v>19</v>
      </c>
      <c r="B80" t="s">
        <v>313</v>
      </c>
      <c r="E80" t="s">
        <v>314</v>
      </c>
      <c r="H80" t="s">
        <v>318</v>
      </c>
      <c r="I80" t="s">
        <v>28</v>
      </c>
      <c r="L80">
        <v>812</v>
      </c>
      <c r="M80" t="s">
        <v>319</v>
      </c>
      <c r="N80" s="3">
        <v>50</v>
      </c>
      <c r="O80" t="s">
        <v>23</v>
      </c>
      <c r="P80" s="3"/>
    </row>
    <row r="81" spans="1:17" x14ac:dyDescent="0.25">
      <c r="A81" t="s">
        <v>19</v>
      </c>
      <c r="B81" t="s">
        <v>313</v>
      </c>
      <c r="E81" t="s">
        <v>315</v>
      </c>
      <c r="H81" t="s">
        <v>318</v>
      </c>
      <c r="I81" t="s">
        <v>28</v>
      </c>
      <c r="L81">
        <v>812</v>
      </c>
      <c r="M81" t="s">
        <v>319</v>
      </c>
      <c r="N81" s="3">
        <v>50</v>
      </c>
      <c r="O81" t="s">
        <v>23</v>
      </c>
      <c r="P81" s="3"/>
    </row>
    <row r="82" spans="1:17" x14ac:dyDescent="0.25">
      <c r="A82" t="s">
        <v>19</v>
      </c>
      <c r="E82" t="s">
        <v>316</v>
      </c>
      <c r="H82" t="s">
        <v>318</v>
      </c>
      <c r="I82" t="s">
        <v>28</v>
      </c>
      <c r="L82">
        <v>812</v>
      </c>
      <c r="M82" t="s">
        <v>319</v>
      </c>
      <c r="N82" s="3">
        <v>0</v>
      </c>
      <c r="O82" t="s">
        <v>23</v>
      </c>
      <c r="P82" s="3"/>
    </row>
    <row r="83" spans="1:17" x14ac:dyDescent="0.25">
      <c r="A83" t="s">
        <v>19</v>
      </c>
      <c r="B83" t="s">
        <v>313</v>
      </c>
      <c r="E83" t="s">
        <v>317</v>
      </c>
      <c r="H83" t="s">
        <v>318</v>
      </c>
      <c r="I83" t="s">
        <v>28</v>
      </c>
      <c r="L83">
        <v>812</v>
      </c>
      <c r="M83" t="s">
        <v>319</v>
      </c>
      <c r="N83" s="3">
        <v>0</v>
      </c>
      <c r="O83" t="s">
        <v>23</v>
      </c>
      <c r="P83" s="3"/>
    </row>
    <row r="84" spans="1:17" x14ac:dyDescent="0.25">
      <c r="N84" s="3"/>
      <c r="P84" s="3"/>
    </row>
    <row r="85" spans="1:17" x14ac:dyDescent="0.25">
      <c r="A85" t="s">
        <v>376</v>
      </c>
      <c r="H85" t="s">
        <v>318</v>
      </c>
      <c r="I85" t="s">
        <v>28</v>
      </c>
      <c r="M85" t="s">
        <v>319</v>
      </c>
      <c r="N85" s="3">
        <v>10</v>
      </c>
      <c r="O85" t="s">
        <v>23</v>
      </c>
      <c r="P85" s="3"/>
    </row>
    <row r="86" spans="1:17" x14ac:dyDescent="0.25">
      <c r="A86" t="s">
        <v>380</v>
      </c>
      <c r="H86" t="s">
        <v>318</v>
      </c>
      <c r="I86" t="s">
        <v>28</v>
      </c>
      <c r="M86" t="s">
        <v>319</v>
      </c>
      <c r="N86" s="3">
        <v>90</v>
      </c>
      <c r="O86" t="s">
        <v>23</v>
      </c>
      <c r="P86" s="3"/>
    </row>
    <row r="87" spans="1:17" x14ac:dyDescent="0.25">
      <c r="N87" s="3"/>
      <c r="P87" s="3"/>
    </row>
    <row r="88" spans="1:17" x14ac:dyDescent="0.25">
      <c r="A88" s="1" t="s">
        <v>379</v>
      </c>
      <c r="B88" s="1"/>
      <c r="C88" s="1"/>
      <c r="D88" s="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M89" s="6" t="s">
        <v>377</v>
      </c>
      <c r="N89" s="6">
        <v>0</v>
      </c>
      <c r="O89" s="6" t="s">
        <v>23</v>
      </c>
      <c r="P89" s="6" t="s">
        <v>29</v>
      </c>
    </row>
    <row r="90" spans="1:17" x14ac:dyDescent="0.25">
      <c r="M90" s="6" t="s">
        <v>378</v>
      </c>
      <c r="N90" s="6">
        <v>0</v>
      </c>
      <c r="O90" s="6" t="s">
        <v>23</v>
      </c>
      <c r="P90" s="6" t="s">
        <v>29</v>
      </c>
    </row>
    <row r="91" spans="1:17" x14ac:dyDescent="0.25">
      <c r="A91" t="s">
        <v>19</v>
      </c>
      <c r="B91" t="s">
        <v>313</v>
      </c>
      <c r="E91" t="s">
        <v>314</v>
      </c>
      <c r="G91" t="s">
        <v>631</v>
      </c>
      <c r="M91" s="21" t="s">
        <v>377</v>
      </c>
      <c r="N91" s="21">
        <f>(0.8*20+0.2*2)</f>
        <v>16.399999999999999</v>
      </c>
      <c r="O91" s="21" t="s">
        <v>23</v>
      </c>
      <c r="P91" s="21" t="s">
        <v>381</v>
      </c>
      <c r="Q91" t="s">
        <v>638</v>
      </c>
    </row>
    <row r="92" spans="1:17" x14ac:dyDescent="0.25">
      <c r="A92" t="s">
        <v>19</v>
      </c>
      <c r="G92" t="s">
        <v>631</v>
      </c>
      <c r="M92" s="21" t="s">
        <v>377</v>
      </c>
      <c r="N92" s="21">
        <f>(0.6*20+0.4*2)</f>
        <v>12.8</v>
      </c>
      <c r="O92" s="21" t="s">
        <v>23</v>
      </c>
      <c r="P92" s="21" t="s">
        <v>382</v>
      </c>
      <c r="Q92" t="s">
        <v>638</v>
      </c>
    </row>
    <row r="93" spans="1:17" x14ac:dyDescent="0.25">
      <c r="A93" t="s">
        <v>380</v>
      </c>
      <c r="G93" t="s">
        <v>631</v>
      </c>
      <c r="M93" s="21" t="s">
        <v>377</v>
      </c>
      <c r="N93" s="21">
        <v>2</v>
      </c>
      <c r="O93" s="21" t="s">
        <v>23</v>
      </c>
      <c r="P93" s="21" t="s">
        <v>383</v>
      </c>
      <c r="Q93" t="s">
        <v>638</v>
      </c>
    </row>
    <row r="94" spans="1:17" x14ac:dyDescent="0.25">
      <c r="A94" t="s">
        <v>376</v>
      </c>
      <c r="G94" t="s">
        <v>631</v>
      </c>
      <c r="M94" s="21" t="s">
        <v>377</v>
      </c>
      <c r="N94" s="21">
        <v>2</v>
      </c>
      <c r="O94" s="21" t="s">
        <v>23</v>
      </c>
      <c r="P94" s="21" t="s">
        <v>383</v>
      </c>
      <c r="Q94" t="s">
        <v>638</v>
      </c>
    </row>
    <row r="95" spans="1:17" x14ac:dyDescent="0.25">
      <c r="M95" s="21"/>
      <c r="N95" s="21"/>
      <c r="O95" s="21"/>
      <c r="P95" s="21"/>
    </row>
    <row r="96" spans="1:17" x14ac:dyDescent="0.25">
      <c r="A96" t="s">
        <v>19</v>
      </c>
      <c r="B96" t="s">
        <v>313</v>
      </c>
      <c r="E96" t="s">
        <v>314</v>
      </c>
      <c r="G96" t="s">
        <v>631</v>
      </c>
      <c r="M96" s="21" t="s">
        <v>378</v>
      </c>
      <c r="N96" s="21">
        <v>5</v>
      </c>
      <c r="O96" s="21" t="s">
        <v>23</v>
      </c>
      <c r="P96" s="21" t="s">
        <v>384</v>
      </c>
      <c r="Q96" t="s">
        <v>638</v>
      </c>
    </row>
    <row r="97" spans="1:17" x14ac:dyDescent="0.25">
      <c r="A97" t="s">
        <v>19</v>
      </c>
      <c r="E97" t="s">
        <v>316</v>
      </c>
      <c r="G97" t="s">
        <v>631</v>
      </c>
      <c r="M97" s="21" t="s">
        <v>378</v>
      </c>
      <c r="N97" s="21">
        <v>5</v>
      </c>
      <c r="O97" s="21" t="s">
        <v>23</v>
      </c>
      <c r="P97" s="21" t="s">
        <v>384</v>
      </c>
      <c r="Q97" t="s">
        <v>638</v>
      </c>
    </row>
    <row r="98" spans="1:17" x14ac:dyDescent="0.25">
      <c r="A98" t="s">
        <v>19</v>
      </c>
      <c r="G98" t="s">
        <v>631</v>
      </c>
      <c r="M98" s="21" t="s">
        <v>378</v>
      </c>
      <c r="N98" s="21">
        <f>0.9*5+0.1*15</f>
        <v>6</v>
      </c>
      <c r="O98" s="21" t="s">
        <v>23</v>
      </c>
      <c r="P98" s="21" t="s">
        <v>385</v>
      </c>
      <c r="Q98" t="s">
        <v>638</v>
      </c>
    </row>
    <row r="99" spans="1:17" x14ac:dyDescent="0.25">
      <c r="A99" t="s">
        <v>380</v>
      </c>
      <c r="G99" t="s">
        <v>631</v>
      </c>
      <c r="M99" s="21" t="s">
        <v>378</v>
      </c>
      <c r="N99" s="21">
        <v>15</v>
      </c>
      <c r="O99" s="21" t="s">
        <v>23</v>
      </c>
      <c r="P99" s="21"/>
      <c r="Q99" t="s">
        <v>638</v>
      </c>
    </row>
    <row r="100" spans="1:17" x14ac:dyDescent="0.25">
      <c r="A100" t="s">
        <v>376</v>
      </c>
      <c r="G100" t="s">
        <v>631</v>
      </c>
      <c r="M100" s="21" t="s">
        <v>378</v>
      </c>
      <c r="N100" s="21">
        <v>15</v>
      </c>
      <c r="O100" s="21" t="s">
        <v>23</v>
      </c>
      <c r="P100" s="21"/>
      <c r="Q100" t="s">
        <v>638</v>
      </c>
    </row>
    <row r="101" spans="1:17" x14ac:dyDescent="0.25">
      <c r="M101" s="21"/>
      <c r="N101" s="21"/>
      <c r="O101" s="21"/>
      <c r="P101" s="21"/>
    </row>
    <row r="102" spans="1:17" x14ac:dyDescent="0.25">
      <c r="A102" s="22"/>
      <c r="B102" s="22"/>
      <c r="E102" s="22"/>
      <c r="G102" t="s">
        <v>301</v>
      </c>
      <c r="M102" s="21" t="s">
        <v>377</v>
      </c>
      <c r="N102" s="21">
        <v>5</v>
      </c>
      <c r="O102" s="21" t="s">
        <v>23</v>
      </c>
      <c r="P102" s="21"/>
      <c r="Q102" t="s">
        <v>638</v>
      </c>
    </row>
    <row r="103" spans="1:17" x14ac:dyDescent="0.25">
      <c r="A103" s="22" t="str">
        <f>A96</f>
        <v>cattle</v>
      </c>
      <c r="B103" s="22" t="str">
        <f>B96</f>
        <v>dairy</v>
      </c>
      <c r="E103" s="22" t="str">
        <f t="shared" ref="E103:E104" si="0">E96</f>
        <v>cows</v>
      </c>
      <c r="G103" t="s">
        <v>301</v>
      </c>
      <c r="M103" s="22" t="str">
        <f t="shared" ref="M103:Q107" si="1">M96</f>
        <v>feeding_losses</v>
      </c>
      <c r="N103" s="22">
        <f t="shared" si="1"/>
        <v>5</v>
      </c>
      <c r="O103" s="22" t="str">
        <f t="shared" si="1"/>
        <v>%</v>
      </c>
      <c r="P103" s="22" t="str">
        <f t="shared" si="1"/>
        <v>No feeding on pasture</v>
      </c>
      <c r="Q103" s="22" t="str">
        <f t="shared" si="1"/>
        <v>Cederberg &amp; Henriksson (2020)</v>
      </c>
    </row>
    <row r="104" spans="1:17" x14ac:dyDescent="0.25">
      <c r="A104" s="22" t="str">
        <f t="shared" ref="A104:A107" si="2">A97</f>
        <v>cattle</v>
      </c>
      <c r="E104" s="22" t="str">
        <f t="shared" si="0"/>
        <v>bulls</v>
      </c>
      <c r="G104" t="s">
        <v>301</v>
      </c>
      <c r="M104" s="22" t="str">
        <f t="shared" si="1"/>
        <v>feeding_losses</v>
      </c>
      <c r="N104" s="22">
        <f t="shared" si="1"/>
        <v>5</v>
      </c>
      <c r="O104" s="22" t="str">
        <f t="shared" si="1"/>
        <v>%</v>
      </c>
      <c r="P104" s="22" t="str">
        <f t="shared" si="1"/>
        <v>No feeding on pasture</v>
      </c>
      <c r="Q104" s="22" t="str">
        <f t="shared" si="1"/>
        <v>Cederberg &amp; Henriksson (2020)</v>
      </c>
    </row>
    <row r="105" spans="1:17" x14ac:dyDescent="0.25">
      <c r="A105" s="22" t="str">
        <f t="shared" si="2"/>
        <v>cattle</v>
      </c>
      <c r="G105" t="s">
        <v>301</v>
      </c>
      <c r="M105" s="22" t="str">
        <f t="shared" si="1"/>
        <v>feeding_losses</v>
      </c>
      <c r="N105" s="22">
        <f t="shared" si="1"/>
        <v>6</v>
      </c>
      <c r="O105" s="22" t="str">
        <f t="shared" si="1"/>
        <v>%</v>
      </c>
      <c r="P105" s="22" t="str">
        <f t="shared" si="1"/>
        <v>10% feeding on pasture</v>
      </c>
      <c r="Q105" s="22" t="str">
        <f t="shared" si="1"/>
        <v>Cederberg &amp; Henriksson (2020)</v>
      </c>
    </row>
    <row r="106" spans="1:17" x14ac:dyDescent="0.25">
      <c r="A106" s="22" t="str">
        <f t="shared" si="2"/>
        <v>sheep</v>
      </c>
      <c r="G106" t="s">
        <v>301</v>
      </c>
      <c r="M106" s="22" t="str">
        <f t="shared" si="1"/>
        <v>feeding_losses</v>
      </c>
      <c r="N106" s="22">
        <f t="shared" si="1"/>
        <v>15</v>
      </c>
      <c r="O106" s="22" t="str">
        <f t="shared" si="1"/>
        <v>%</v>
      </c>
      <c r="P106" s="22"/>
      <c r="Q106" s="22" t="str">
        <f t="shared" si="1"/>
        <v>Cederberg &amp; Henriksson (2020)</v>
      </c>
    </row>
    <row r="107" spans="1:17" x14ac:dyDescent="0.25">
      <c r="A107" s="22" t="str">
        <f t="shared" si="2"/>
        <v>horses</v>
      </c>
      <c r="G107" t="s">
        <v>301</v>
      </c>
      <c r="M107" s="22" t="str">
        <f t="shared" si="1"/>
        <v>feeding_losses</v>
      </c>
      <c r="N107" s="22">
        <f t="shared" si="1"/>
        <v>15</v>
      </c>
      <c r="O107" s="22" t="str">
        <f t="shared" si="1"/>
        <v>%</v>
      </c>
      <c r="P107" s="22"/>
      <c r="Q107" s="22" t="str">
        <f t="shared" si="1"/>
        <v>Cederberg &amp; Henriksson (2020)</v>
      </c>
    </row>
    <row r="108" spans="1:17" x14ac:dyDescent="0.25">
      <c r="A108" s="22"/>
      <c r="M108" s="22"/>
      <c r="N108" s="22"/>
      <c r="O108" s="22"/>
      <c r="P108" s="22"/>
      <c r="Q108" s="22"/>
    </row>
    <row r="109" spans="1:17" x14ac:dyDescent="0.25">
      <c r="G109" t="s">
        <v>632</v>
      </c>
      <c r="M109" s="21" t="s">
        <v>377</v>
      </c>
      <c r="N109" s="21">
        <v>5</v>
      </c>
      <c r="O109" s="21" t="s">
        <v>23</v>
      </c>
      <c r="P109" s="21"/>
      <c r="Q109" t="s">
        <v>638</v>
      </c>
    </row>
    <row r="110" spans="1:17" x14ac:dyDescent="0.25">
      <c r="A110" s="22" t="str">
        <f>A96</f>
        <v>cattle</v>
      </c>
      <c r="B110" s="22" t="str">
        <f>B96</f>
        <v>dairy</v>
      </c>
      <c r="E110" s="22" t="str">
        <f t="shared" ref="E110:E111" si="3">E96</f>
        <v>cows</v>
      </c>
      <c r="G110" t="s">
        <v>632</v>
      </c>
      <c r="M110" s="22" t="str">
        <f t="shared" ref="M110:Q114" si="4">M96</f>
        <v>feeding_losses</v>
      </c>
      <c r="N110" s="22">
        <f t="shared" si="4"/>
        <v>5</v>
      </c>
      <c r="O110" s="22" t="str">
        <f t="shared" si="4"/>
        <v>%</v>
      </c>
      <c r="P110" s="22" t="str">
        <f t="shared" si="4"/>
        <v>No feeding on pasture</v>
      </c>
      <c r="Q110" s="22" t="str">
        <f t="shared" si="4"/>
        <v>Cederberg &amp; Henriksson (2020)</v>
      </c>
    </row>
    <row r="111" spans="1:17" x14ac:dyDescent="0.25">
      <c r="A111" s="22" t="str">
        <f t="shared" ref="A111:A114" si="5">A97</f>
        <v>cattle</v>
      </c>
      <c r="E111" s="22" t="str">
        <f t="shared" si="3"/>
        <v>bulls</v>
      </c>
      <c r="G111" t="s">
        <v>632</v>
      </c>
      <c r="M111" s="22" t="str">
        <f t="shared" si="4"/>
        <v>feeding_losses</v>
      </c>
      <c r="N111" s="22">
        <f t="shared" si="4"/>
        <v>5</v>
      </c>
      <c r="O111" s="22" t="str">
        <f t="shared" si="4"/>
        <v>%</v>
      </c>
      <c r="P111" s="22" t="str">
        <f t="shared" si="4"/>
        <v>No feeding on pasture</v>
      </c>
      <c r="Q111" s="22" t="str">
        <f t="shared" si="4"/>
        <v>Cederberg &amp; Henriksson (2020)</v>
      </c>
    </row>
    <row r="112" spans="1:17" x14ac:dyDescent="0.25">
      <c r="A112" s="22" t="str">
        <f t="shared" si="5"/>
        <v>cattle</v>
      </c>
      <c r="G112" t="s">
        <v>632</v>
      </c>
      <c r="M112" s="22" t="str">
        <f t="shared" si="4"/>
        <v>feeding_losses</v>
      </c>
      <c r="N112" s="22">
        <f t="shared" si="4"/>
        <v>6</v>
      </c>
      <c r="O112" s="22" t="str">
        <f t="shared" si="4"/>
        <v>%</v>
      </c>
      <c r="P112" s="22" t="str">
        <f t="shared" si="4"/>
        <v>10% feeding on pasture</v>
      </c>
      <c r="Q112" s="22" t="str">
        <f t="shared" si="4"/>
        <v>Cederberg &amp; Henriksson (2020)</v>
      </c>
    </row>
    <row r="113" spans="1:17" x14ac:dyDescent="0.25">
      <c r="A113" s="22" t="str">
        <f t="shared" si="5"/>
        <v>sheep</v>
      </c>
      <c r="G113" t="s">
        <v>632</v>
      </c>
      <c r="M113" s="22" t="str">
        <f t="shared" si="4"/>
        <v>feeding_losses</v>
      </c>
      <c r="N113" s="22">
        <f t="shared" si="4"/>
        <v>15</v>
      </c>
      <c r="O113" s="22" t="str">
        <f t="shared" si="4"/>
        <v>%</v>
      </c>
      <c r="P113" s="21"/>
      <c r="Q113" s="22" t="str">
        <f t="shared" ref="Q113:Q114" si="6">Q99</f>
        <v>Cederberg &amp; Henriksson (2020)</v>
      </c>
    </row>
    <row r="114" spans="1:17" x14ac:dyDescent="0.25">
      <c r="A114" s="22" t="str">
        <f t="shared" si="5"/>
        <v>horses</v>
      </c>
      <c r="G114" t="s">
        <v>632</v>
      </c>
      <c r="M114" s="22" t="str">
        <f t="shared" si="4"/>
        <v>feeding_losses</v>
      </c>
      <c r="N114" s="22">
        <f t="shared" si="4"/>
        <v>15</v>
      </c>
      <c r="O114" s="22" t="str">
        <f t="shared" si="4"/>
        <v>%</v>
      </c>
      <c r="P114" s="21"/>
      <c r="Q114" s="22" t="str">
        <f t="shared" si="6"/>
        <v>Cederberg &amp; Henriksson (2020)</v>
      </c>
    </row>
    <row r="115" spans="1:17" x14ac:dyDescent="0.25">
      <c r="N115" s="3"/>
      <c r="P115" s="21"/>
    </row>
    <row r="116" spans="1:17" x14ac:dyDescent="0.25">
      <c r="A116" s="3"/>
      <c r="G116" t="s">
        <v>633</v>
      </c>
      <c r="M116" s="21" t="s">
        <v>377</v>
      </c>
      <c r="N116" s="21"/>
      <c r="P116" s="3" t="s">
        <v>635</v>
      </c>
    </row>
    <row r="117" spans="1:17" x14ac:dyDescent="0.25">
      <c r="A117" s="3"/>
      <c r="G117" t="s">
        <v>633</v>
      </c>
      <c r="M117" s="21" t="s">
        <v>378</v>
      </c>
      <c r="N117" s="21">
        <v>2</v>
      </c>
      <c r="O117" s="21" t="s">
        <v>23</v>
      </c>
      <c r="P117" s="3" t="s">
        <v>639</v>
      </c>
      <c r="Q117" t="s">
        <v>637</v>
      </c>
    </row>
    <row r="118" spans="1:17" x14ac:dyDescent="0.25">
      <c r="A118" s="3"/>
      <c r="M118" s="21"/>
      <c r="N118" s="21"/>
      <c r="O118" s="21"/>
      <c r="P118" s="3"/>
    </row>
    <row r="119" spans="1:17" x14ac:dyDescent="0.25">
      <c r="A119" s="3"/>
      <c r="G119" t="s">
        <v>634</v>
      </c>
      <c r="M119" s="21" t="s">
        <v>377</v>
      </c>
      <c r="N119" s="21"/>
      <c r="P119" s="3" t="s">
        <v>635</v>
      </c>
    </row>
    <row r="120" spans="1:17" x14ac:dyDescent="0.25">
      <c r="A120" s="3"/>
      <c r="G120" t="s">
        <v>634</v>
      </c>
      <c r="M120" s="21" t="s">
        <v>378</v>
      </c>
      <c r="N120" s="21">
        <v>3</v>
      </c>
      <c r="O120" s="21" t="s">
        <v>23</v>
      </c>
      <c r="P120" s="3" t="s">
        <v>639</v>
      </c>
      <c r="Q120" t="s">
        <v>637</v>
      </c>
    </row>
    <row r="121" spans="1:17" x14ac:dyDescent="0.25">
      <c r="N121" s="3"/>
      <c r="P121" s="21"/>
    </row>
    <row r="122" spans="1:17" x14ac:dyDescent="0.25">
      <c r="A122" s="1" t="s">
        <v>599</v>
      </c>
      <c r="B122" s="1"/>
      <c r="C122" s="1"/>
      <c r="D122" s="1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t="s">
        <v>19</v>
      </c>
      <c r="N123" s="21"/>
      <c r="P123" s="21" t="s">
        <v>600</v>
      </c>
    </row>
    <row r="124" spans="1:17" x14ac:dyDescent="0.25">
      <c r="A124" s="3" t="s">
        <v>380</v>
      </c>
      <c r="B124" s="3"/>
      <c r="C124" s="3"/>
      <c r="D124" s="3"/>
      <c r="E124" s="3" t="s">
        <v>484</v>
      </c>
      <c r="F124" s="3"/>
      <c r="G124" s="3"/>
      <c r="H124" s="3"/>
      <c r="I124" s="3"/>
      <c r="J124" s="3"/>
      <c r="K124" s="3"/>
      <c r="L124" s="3"/>
      <c r="M124" s="3" t="s">
        <v>485</v>
      </c>
      <c r="N124" s="3">
        <v>4.5</v>
      </c>
      <c r="O124" s="3" t="s">
        <v>486</v>
      </c>
      <c r="P124" s="3"/>
    </row>
    <row r="125" spans="1:17" x14ac:dyDescent="0.25">
      <c r="A125" s="3" t="s">
        <v>380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 t="s">
        <v>485</v>
      </c>
      <c r="N125" s="3">
        <v>6.5</v>
      </c>
      <c r="O125" s="3" t="s">
        <v>486</v>
      </c>
      <c r="P125" s="3"/>
    </row>
    <row r="126" spans="1:17" x14ac:dyDescent="0.25">
      <c r="A126" t="s">
        <v>376</v>
      </c>
      <c r="M126" t="s">
        <v>487</v>
      </c>
      <c r="N126" s="21">
        <v>18</v>
      </c>
      <c r="O126" t="s">
        <v>488</v>
      </c>
      <c r="P126" s="3"/>
      <c r="Q126" t="s">
        <v>489</v>
      </c>
    </row>
    <row r="127" spans="1:17" x14ac:dyDescent="0.25">
      <c r="A127" t="s">
        <v>20</v>
      </c>
      <c r="M127" t="s">
        <v>487</v>
      </c>
      <c r="N127" s="21">
        <v>1.5</v>
      </c>
      <c r="O127" t="s">
        <v>488</v>
      </c>
      <c r="P127" s="3"/>
      <c r="Q127" t="s">
        <v>489</v>
      </c>
    </row>
    <row r="128" spans="1:17" x14ac:dyDescent="0.25">
      <c r="A128" t="s">
        <v>373</v>
      </c>
      <c r="M128" t="s">
        <v>487</v>
      </c>
      <c r="N128" s="21">
        <v>0</v>
      </c>
      <c r="O128" t="s">
        <v>488</v>
      </c>
      <c r="P128" s="3"/>
      <c r="Q128" t="s">
        <v>489</v>
      </c>
    </row>
    <row r="129" spans="1:17" x14ac:dyDescent="0.25">
      <c r="N129" s="21"/>
      <c r="P129" s="3"/>
    </row>
    <row r="130" spans="1:17" x14ac:dyDescent="0.25">
      <c r="M130" t="s">
        <v>601</v>
      </c>
      <c r="N130" s="21">
        <v>1</v>
      </c>
      <c r="O130" s="21" t="s">
        <v>602</v>
      </c>
      <c r="P130" s="21" t="s">
        <v>603</v>
      </c>
      <c r="Q130" s="21"/>
    </row>
    <row r="131" spans="1:17" x14ac:dyDescent="0.25">
      <c r="A131" t="s">
        <v>19</v>
      </c>
      <c r="M131" t="s">
        <v>601</v>
      </c>
      <c r="N131" s="21">
        <v>1</v>
      </c>
      <c r="O131" s="21" t="s">
        <v>602</v>
      </c>
      <c r="P131" s="21"/>
      <c r="Q131" s="21"/>
    </row>
    <row r="132" spans="1:17" x14ac:dyDescent="0.25">
      <c r="A132" t="s">
        <v>19</v>
      </c>
      <c r="B132" t="s">
        <v>313</v>
      </c>
      <c r="E132" t="s">
        <v>314</v>
      </c>
      <c r="M132" t="s">
        <v>601</v>
      </c>
      <c r="N132" s="21">
        <v>1</v>
      </c>
      <c r="O132" s="21" t="s">
        <v>602</v>
      </c>
      <c r="P132" s="21"/>
      <c r="Q132" s="21"/>
    </row>
    <row r="133" spans="1:17" x14ac:dyDescent="0.25">
      <c r="A133" t="s">
        <v>19</v>
      </c>
      <c r="B133" t="s">
        <v>313</v>
      </c>
      <c r="E133" t="s">
        <v>316</v>
      </c>
      <c r="M133" t="s">
        <v>601</v>
      </c>
      <c r="N133" s="21">
        <v>1</v>
      </c>
      <c r="O133" s="21" t="s">
        <v>602</v>
      </c>
      <c r="P133" s="21"/>
      <c r="Q133" s="21"/>
    </row>
    <row r="134" spans="1:17" x14ac:dyDescent="0.25">
      <c r="A134" t="s">
        <v>19</v>
      </c>
      <c r="B134" t="s">
        <v>604</v>
      </c>
      <c r="E134" t="s">
        <v>316</v>
      </c>
      <c r="M134" t="s">
        <v>601</v>
      </c>
      <c r="N134" s="21">
        <v>1</v>
      </c>
      <c r="O134" s="21" t="s">
        <v>602</v>
      </c>
      <c r="P134" s="21"/>
      <c r="Q134" s="21"/>
    </row>
    <row r="135" spans="1:17" x14ac:dyDescent="0.25">
      <c r="N135" s="3"/>
      <c r="P135" s="3"/>
    </row>
    <row r="136" spans="1:17" x14ac:dyDescent="0.25">
      <c r="A136" s="1" t="s">
        <v>21</v>
      </c>
      <c r="B136" s="1"/>
      <c r="C136" s="1"/>
      <c r="D136" s="1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 t="s">
        <v>293</v>
      </c>
      <c r="Q136" s="2"/>
    </row>
    <row r="137" spans="1:17" x14ac:dyDescent="0.25">
      <c r="L137" s="103" t="s">
        <v>616</v>
      </c>
    </row>
    <row r="138" spans="1:17" x14ac:dyDescent="0.25">
      <c r="M138" t="s">
        <v>374</v>
      </c>
      <c r="N138" s="21" t="s">
        <v>613</v>
      </c>
      <c r="O138" t="s">
        <v>597</v>
      </c>
      <c r="P138" s="3"/>
    </row>
    <row r="139" spans="1:17" x14ac:dyDescent="0.25">
      <c r="M139" t="s">
        <v>475</v>
      </c>
      <c r="N139" s="21" t="s">
        <v>613</v>
      </c>
      <c r="O139" t="s">
        <v>596</v>
      </c>
      <c r="P139" s="3"/>
    </row>
    <row r="140" spans="1:17" x14ac:dyDescent="0.25">
      <c r="M140" s="37" t="s">
        <v>607</v>
      </c>
      <c r="N140" s="21" t="s">
        <v>613</v>
      </c>
    </row>
    <row r="141" spans="1:17" x14ac:dyDescent="0.25">
      <c r="M141" s="37" t="s">
        <v>608</v>
      </c>
      <c r="N141" s="21" t="s">
        <v>613</v>
      </c>
    </row>
    <row r="142" spans="1:17" x14ac:dyDescent="0.25">
      <c r="M142" s="37" t="s">
        <v>609</v>
      </c>
      <c r="N142" s="21" t="s">
        <v>613</v>
      </c>
    </row>
    <row r="143" spans="1:17" x14ac:dyDescent="0.25">
      <c r="M143" s="37" t="s">
        <v>610</v>
      </c>
      <c r="N143" s="21" t="s">
        <v>613</v>
      </c>
      <c r="P143" s="3"/>
    </row>
    <row r="144" spans="1:17" x14ac:dyDescent="0.25">
      <c r="L144" s="103" t="s">
        <v>615</v>
      </c>
    </row>
    <row r="145" spans="12:16" x14ac:dyDescent="0.25">
      <c r="M145" t="s">
        <v>17</v>
      </c>
      <c r="N145" s="21" t="s">
        <v>614</v>
      </c>
      <c r="O145" t="s">
        <v>621</v>
      </c>
      <c r="P145" s="21" t="s">
        <v>594</v>
      </c>
    </row>
    <row r="146" spans="12:16" x14ac:dyDescent="0.25">
      <c r="M146" t="s">
        <v>587</v>
      </c>
      <c r="N146" s="21" t="s">
        <v>614</v>
      </c>
      <c r="O146" t="s">
        <v>595</v>
      </c>
      <c r="P146" s="3"/>
    </row>
    <row r="147" spans="12:16" x14ac:dyDescent="0.25">
      <c r="M147" t="s">
        <v>476</v>
      </c>
      <c r="N147" s="21" t="s">
        <v>614</v>
      </c>
      <c r="O147" t="s">
        <v>477</v>
      </c>
      <c r="P147" s="21" t="s">
        <v>478</v>
      </c>
    </row>
    <row r="148" spans="12:16" x14ac:dyDescent="0.25">
      <c r="L148" s="103" t="s">
        <v>617</v>
      </c>
    </row>
    <row r="149" spans="12:16" x14ac:dyDescent="0.25">
      <c r="M149" t="s">
        <v>17</v>
      </c>
      <c r="N149" s="21" t="s">
        <v>624</v>
      </c>
      <c r="O149" t="s">
        <v>621</v>
      </c>
      <c r="P149" s="21" t="s">
        <v>594</v>
      </c>
    </row>
    <row r="150" spans="12:16" x14ac:dyDescent="0.25">
      <c r="M150" t="s">
        <v>587</v>
      </c>
      <c r="N150" s="21" t="s">
        <v>624</v>
      </c>
      <c r="O150" t="s">
        <v>595</v>
      </c>
      <c r="P150" s="3"/>
    </row>
    <row r="151" spans="12:16" x14ac:dyDescent="0.25">
      <c r="L151" s="103" t="s">
        <v>618</v>
      </c>
    </row>
    <row r="152" spans="12:16" x14ac:dyDescent="0.25">
      <c r="M152" t="s">
        <v>17</v>
      </c>
      <c r="N152" s="21" t="s">
        <v>625</v>
      </c>
      <c r="O152" t="s">
        <v>621</v>
      </c>
      <c r="P152" s="21" t="s">
        <v>594</v>
      </c>
    </row>
    <row r="153" spans="12:16" x14ac:dyDescent="0.25">
      <c r="M153" t="s">
        <v>587</v>
      </c>
      <c r="N153" s="21" t="s">
        <v>625</v>
      </c>
      <c r="O153" t="s">
        <v>595</v>
      </c>
      <c r="P153" s="3"/>
    </row>
    <row r="154" spans="12:16" x14ac:dyDescent="0.25">
      <c r="L154" s="103" t="s">
        <v>619</v>
      </c>
    </row>
    <row r="155" spans="12:16" x14ac:dyDescent="0.25">
      <c r="M155" t="s">
        <v>17</v>
      </c>
      <c r="N155" s="21" t="s">
        <v>626</v>
      </c>
      <c r="O155" t="s">
        <v>622</v>
      </c>
      <c r="P155" s="21" t="s">
        <v>594</v>
      </c>
    </row>
    <row r="156" spans="12:16" x14ac:dyDescent="0.25">
      <c r="M156" t="s">
        <v>587</v>
      </c>
      <c r="N156" s="21" t="s">
        <v>626</v>
      </c>
      <c r="O156" t="s">
        <v>595</v>
      </c>
      <c r="P156" s="3"/>
    </row>
    <row r="157" spans="12:16" x14ac:dyDescent="0.25">
      <c r="L157" s="103" t="s">
        <v>620</v>
      </c>
    </row>
    <row r="158" spans="12:16" x14ac:dyDescent="0.25">
      <c r="M158" t="s">
        <v>612</v>
      </c>
      <c r="N158" s="21" t="s">
        <v>627</v>
      </c>
      <c r="O158" t="s">
        <v>623</v>
      </c>
      <c r="P158" s="2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16" activePane="bottomRight" state="frozen"/>
      <selection activeCell="B1" sqref="B1"/>
      <selection pane="topRight" activeCell="C1" sqref="C1"/>
      <selection pane="bottomLeft" activeCell="B6" sqref="B6"/>
      <selection pane="bottomRight" activeCell="B35" activeCellId="1" sqref="A31:XFD32 A35:XFD35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470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468</v>
      </c>
      <c r="L3" s="42"/>
      <c r="M3" s="42"/>
      <c r="N3" s="42"/>
      <c r="O3" s="42"/>
      <c r="P3" s="42"/>
      <c r="Q3" s="42"/>
      <c r="R3" s="42"/>
      <c r="S3" s="42"/>
      <c r="T3" s="56" t="s">
        <v>482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482</v>
      </c>
      <c r="AJ3" s="42">
        <f>1/6.25</f>
        <v>0.16</v>
      </c>
      <c r="AK3" s="42"/>
      <c r="AL3" s="42"/>
      <c r="AP3" s="41" t="s">
        <v>373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565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565</v>
      </c>
      <c r="AC4" s="46" t="s">
        <v>564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386</v>
      </c>
      <c r="E5" s="48" t="s">
        <v>606</v>
      </c>
      <c r="F5" s="48" t="s">
        <v>479</v>
      </c>
      <c r="G5" s="48" t="s">
        <v>480</v>
      </c>
      <c r="H5" s="49" t="s">
        <v>481</v>
      </c>
      <c r="I5" s="51" t="s">
        <v>471</v>
      </c>
      <c r="K5" s="45" t="s">
        <v>290</v>
      </c>
      <c r="L5" s="47" t="s">
        <v>54</v>
      </c>
      <c r="M5" s="48" t="s">
        <v>474</v>
      </c>
      <c r="N5" s="48" t="s">
        <v>473</v>
      </c>
      <c r="O5" s="48" t="s">
        <v>491</v>
      </c>
      <c r="P5" s="47" t="s">
        <v>389</v>
      </c>
      <c r="Q5" s="48" t="s">
        <v>390</v>
      </c>
      <c r="R5" s="48" t="s">
        <v>391</v>
      </c>
      <c r="S5" s="48" t="s">
        <v>277</v>
      </c>
      <c r="T5" s="49" t="s">
        <v>466</v>
      </c>
      <c r="U5" s="48" t="s">
        <v>479</v>
      </c>
      <c r="V5" s="48" t="s">
        <v>480</v>
      </c>
      <c r="W5" s="49" t="s">
        <v>481</v>
      </c>
      <c r="X5" s="77" t="s">
        <v>471</v>
      </c>
      <c r="Z5" s="45" t="s">
        <v>290</v>
      </c>
      <c r="AA5" s="47" t="s">
        <v>54</v>
      </c>
      <c r="AB5" s="48" t="s">
        <v>474</v>
      </c>
      <c r="AC5" s="71" t="s">
        <v>491</v>
      </c>
      <c r="AD5" s="48" t="s">
        <v>116</v>
      </c>
      <c r="AE5" s="48" t="s">
        <v>115</v>
      </c>
      <c r="AF5" s="47" t="s">
        <v>389</v>
      </c>
      <c r="AG5" s="48" t="s">
        <v>390</v>
      </c>
      <c r="AH5" s="48" t="s">
        <v>472</v>
      </c>
      <c r="AI5" s="49" t="s">
        <v>466</v>
      </c>
      <c r="AJ5" s="48" t="s">
        <v>479</v>
      </c>
      <c r="AK5" s="48" t="s">
        <v>480</v>
      </c>
      <c r="AL5" s="49" t="s">
        <v>481</v>
      </c>
      <c r="AM5" s="77" t="s">
        <v>471</v>
      </c>
      <c r="AN5" s="70" t="s">
        <v>558</v>
      </c>
      <c r="AO5" s="4"/>
      <c r="AP5" s="45" t="s">
        <v>290</v>
      </c>
      <c r="AQ5" s="95" t="s">
        <v>54</v>
      </c>
      <c r="AR5" s="94" t="s">
        <v>605</v>
      </c>
      <c r="AS5" s="51" t="s">
        <v>471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469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469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467</v>
      </c>
      <c r="Y8" t="s">
        <v>469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469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469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387</v>
      </c>
      <c r="Y10" s="7" t="s">
        <v>469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469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469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490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557</v>
      </c>
      <c r="AO12" t="s">
        <v>469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490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559</v>
      </c>
      <c r="AO13" t="s">
        <v>469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490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560</v>
      </c>
      <c r="AO14" t="s">
        <v>469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490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561</v>
      </c>
      <c r="AO15" t="s">
        <v>469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490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469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490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562</v>
      </c>
      <c r="AO17" t="s">
        <v>469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490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563</v>
      </c>
      <c r="AO18" t="s">
        <v>469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490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469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469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490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566</v>
      </c>
      <c r="AO20" t="s">
        <v>469</v>
      </c>
      <c r="AP20" s="45"/>
      <c r="AQ20" s="27"/>
      <c r="AR20" s="38">
        <v>16.8</v>
      </c>
      <c r="AS20" t="s">
        <v>566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490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567</v>
      </c>
      <c r="AO21" t="s">
        <v>469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469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469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469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469</v>
      </c>
      <c r="AP24" s="45"/>
      <c r="AQ24" s="27"/>
      <c r="AR24" s="38">
        <v>16</v>
      </c>
      <c r="AS24" s="7" t="s">
        <v>628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568</v>
      </c>
      <c r="AO25" t="s">
        <v>469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569</v>
      </c>
      <c r="Y26" t="s">
        <v>469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569</v>
      </c>
      <c r="AO26" t="s">
        <v>469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570</v>
      </c>
      <c r="AO27" t="s">
        <v>469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571</v>
      </c>
      <c r="AO28" t="s">
        <v>469</v>
      </c>
      <c r="AP28" s="45"/>
      <c r="AQ28" s="27"/>
      <c r="AR28" s="38">
        <v>8.6</v>
      </c>
      <c r="AS28" t="s">
        <v>571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469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469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469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572</v>
      </c>
      <c r="AO31" t="s">
        <v>469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483</v>
      </c>
      <c r="Y32" s="7" t="s">
        <v>469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483</v>
      </c>
      <c r="AO32" t="s">
        <v>469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585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586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629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573</v>
      </c>
      <c r="AO36" t="s">
        <v>469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469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575</v>
      </c>
      <c r="AN38" s="75" t="s">
        <v>574</v>
      </c>
      <c r="AO38" t="s">
        <v>469</v>
      </c>
      <c r="AP38" s="45"/>
      <c r="AQ38" s="27"/>
      <c r="AR38" s="38"/>
    </row>
    <row r="39" spans="2:44" x14ac:dyDescent="0.25">
      <c r="B39" t="s">
        <v>372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576</v>
      </c>
      <c r="AO39" t="s">
        <v>469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577</v>
      </c>
      <c r="AO40" t="s">
        <v>469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578</v>
      </c>
      <c r="AO41" t="s">
        <v>469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469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579</v>
      </c>
      <c r="Y43" t="s">
        <v>469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579</v>
      </c>
      <c r="AO43" t="s">
        <v>469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580</v>
      </c>
      <c r="AO44" t="s">
        <v>469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598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581</v>
      </c>
      <c r="Y46" t="s">
        <v>469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581</v>
      </c>
      <c r="AO46" t="s">
        <v>469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494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493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492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388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588</v>
      </c>
      <c r="I1" s="4" t="s">
        <v>589</v>
      </c>
      <c r="P1" s="4" t="s">
        <v>591</v>
      </c>
      <c r="W1" s="4" t="s">
        <v>590</v>
      </c>
      <c r="AD1" s="4" t="s">
        <v>592</v>
      </c>
      <c r="AJ1" s="4" t="s">
        <v>593</v>
      </c>
      <c r="AP1" s="4" t="s">
        <v>611</v>
      </c>
    </row>
    <row r="2" spans="1:45" x14ac:dyDescent="0.25">
      <c r="A2" s="36" t="s">
        <v>0</v>
      </c>
      <c r="B2" s="36" t="s">
        <v>374</v>
      </c>
      <c r="C2" s="36" t="s">
        <v>475</v>
      </c>
      <c r="D2" s="36" t="s">
        <v>607</v>
      </c>
      <c r="E2" s="36" t="s">
        <v>608</v>
      </c>
      <c r="F2" s="36" t="s">
        <v>609</v>
      </c>
      <c r="G2" s="36" t="s">
        <v>610</v>
      </c>
      <c r="H2" s="37"/>
      <c r="I2" s="36" t="s">
        <v>0</v>
      </c>
      <c r="J2" s="36" t="s">
        <v>18</v>
      </c>
      <c r="K2" s="36" t="s">
        <v>15</v>
      </c>
      <c r="L2" s="36" t="s">
        <v>587</v>
      </c>
      <c r="M2" s="36" t="s">
        <v>17</v>
      </c>
      <c r="N2" s="36" t="s">
        <v>476</v>
      </c>
      <c r="P2" s="36" t="s">
        <v>0</v>
      </c>
      <c r="Q2" s="36" t="s">
        <v>18</v>
      </c>
      <c r="R2" s="36" t="s">
        <v>15</v>
      </c>
      <c r="S2" s="36" t="s">
        <v>587</v>
      </c>
      <c r="T2" s="36" t="s">
        <v>17</v>
      </c>
      <c r="U2" s="36" t="s">
        <v>476</v>
      </c>
      <c r="W2" s="36" t="s">
        <v>0</v>
      </c>
      <c r="X2" s="36" t="s">
        <v>18</v>
      </c>
      <c r="Y2" s="36" t="s">
        <v>15</v>
      </c>
      <c r="Z2" s="36" t="s">
        <v>587</v>
      </c>
      <c r="AA2" s="36" t="s">
        <v>17</v>
      </c>
      <c r="AB2" s="36" t="s">
        <v>476</v>
      </c>
      <c r="AD2" s="36" t="s">
        <v>0</v>
      </c>
      <c r="AE2" s="36" t="s">
        <v>18</v>
      </c>
      <c r="AF2" s="36" t="s">
        <v>15</v>
      </c>
      <c r="AG2" s="36" t="s">
        <v>587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587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612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380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376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373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380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376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373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380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376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373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380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376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373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380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376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373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380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376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373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380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376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373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380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376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373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380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376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373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380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376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373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380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376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373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380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376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373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380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376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373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380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376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373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380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376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373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380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376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373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380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376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373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380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376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373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380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376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373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380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376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373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380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376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373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380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376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373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380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376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373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380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376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373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380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376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373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380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376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373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380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376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373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380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376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373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380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376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373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380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376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380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376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373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380</v>
      </c>
      <c r="S34" s="37"/>
      <c r="T34" s="37"/>
      <c r="U34" s="37"/>
      <c r="W34" s="28" t="str">
        <f>'feed pars'!$B37</f>
        <v>wheat distillers grain, wet</v>
      </c>
      <c r="X34" t="s">
        <v>376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373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380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376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373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380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376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373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380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376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373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380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376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373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380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376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373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380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376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373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380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376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373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380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376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373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380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376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373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5" sqref="F25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372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9" workbookViewId="0">
      <selection activeCell="C29" sqref="C29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586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585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372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598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629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322</v>
      </c>
      <c r="E2" s="15" t="s">
        <v>272</v>
      </c>
      <c r="F2" s="15" t="s">
        <v>273</v>
      </c>
      <c r="G2" s="15" t="s">
        <v>392</v>
      </c>
      <c r="H2" s="15" t="s">
        <v>393</v>
      </c>
      <c r="I2" s="15" t="s">
        <v>394</v>
      </c>
      <c r="J2" s="15" t="s">
        <v>395</v>
      </c>
      <c r="K2" s="15" t="s">
        <v>396</v>
      </c>
      <c r="L2" s="15" t="s">
        <v>397</v>
      </c>
      <c r="M2" s="15" t="s">
        <v>398</v>
      </c>
      <c r="N2" s="15" t="s">
        <v>399</v>
      </c>
      <c r="O2" s="15" t="s">
        <v>400</v>
      </c>
      <c r="P2" s="15" t="s">
        <v>401</v>
      </c>
      <c r="Q2" s="15" t="s">
        <v>402</v>
      </c>
      <c r="R2" s="15" t="s">
        <v>403</v>
      </c>
      <c r="S2" s="15" t="s">
        <v>404</v>
      </c>
      <c r="T2" s="15" t="s">
        <v>405</v>
      </c>
      <c r="U2" s="15" t="s">
        <v>118</v>
      </c>
      <c r="V2" s="15" t="s">
        <v>406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407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408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409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410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411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412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413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414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415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416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417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418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419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420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421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422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423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424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425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426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427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428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429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430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431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432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433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434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435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436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437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438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439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440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441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442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443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444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445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446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447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448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449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450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451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452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453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454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455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456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457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458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459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460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461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462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463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464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465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520</v>
      </c>
      <c r="D2" s="15" t="s">
        <v>321</v>
      </c>
      <c r="E2" s="15" t="s">
        <v>495</v>
      </c>
      <c r="F2" s="15" t="s">
        <v>496</v>
      </c>
      <c r="G2" s="15" t="s">
        <v>497</v>
      </c>
      <c r="H2" s="15" t="s">
        <v>498</v>
      </c>
      <c r="I2" s="15" t="s">
        <v>499</v>
      </c>
      <c r="J2" s="15" t="s">
        <v>500</v>
      </c>
      <c r="K2" s="15" t="s">
        <v>501</v>
      </c>
      <c r="L2" s="15" t="s">
        <v>502</v>
      </c>
      <c r="M2" s="15" t="s">
        <v>503</v>
      </c>
      <c r="N2" s="15" t="s">
        <v>504</v>
      </c>
    </row>
    <row r="3" spans="1:14" x14ac:dyDescent="0.25">
      <c r="B3" s="8">
        <v>1</v>
      </c>
      <c r="C3" s="10" t="s">
        <v>505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506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507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508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521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522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523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524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509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510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525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526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527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528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529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530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531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511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532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512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533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513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534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535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536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537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538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539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540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541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542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514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543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544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545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515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516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546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547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517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548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549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550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518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519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551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552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553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554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555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556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321</v>
      </c>
      <c r="E2" s="15" t="s">
        <v>322</v>
      </c>
      <c r="F2" s="15" t="s">
        <v>323</v>
      </c>
      <c r="G2" s="15" t="s">
        <v>324</v>
      </c>
      <c r="H2" s="15" t="s">
        <v>325</v>
      </c>
      <c r="I2" s="15" t="s">
        <v>326</v>
      </c>
      <c r="J2" s="15" t="s">
        <v>327</v>
      </c>
      <c r="K2" s="15" t="s">
        <v>328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329</v>
      </c>
      <c r="Q2" s="15" t="s">
        <v>330</v>
      </c>
      <c r="R2" s="15" t="s">
        <v>146</v>
      </c>
      <c r="S2" s="15" t="s">
        <v>147</v>
      </c>
      <c r="T2" s="15" t="s">
        <v>331</v>
      </c>
      <c r="U2" s="15" t="s">
        <v>332</v>
      </c>
    </row>
    <row r="3" spans="1:21" x14ac:dyDescent="0.25">
      <c r="A3" t="s">
        <v>303</v>
      </c>
      <c r="B3" s="8">
        <v>1</v>
      </c>
      <c r="C3" s="10" t="s">
        <v>333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334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335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336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337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338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339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340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341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342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343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344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345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346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347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348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349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350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351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352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353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354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355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356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372</v>
      </c>
      <c r="B27" s="8">
        <v>25</v>
      </c>
      <c r="C27" s="10" t="s">
        <v>357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358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359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360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361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362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363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364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365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366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367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368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369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370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371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default</vt:lpstr>
      <vt:lpstr>feed pars</vt:lpstr>
      <vt:lpstr>feed pars csv</vt:lpstr>
      <vt:lpstr>max SNG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2023-12-05T20:00:50Z</dcterms:modified>
</cp:coreProperties>
</file>