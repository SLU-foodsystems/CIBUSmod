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25200" windowHeight="9000"/>
  </bookViews>
  <sheets>
    <sheet name="default" sheetId="1" r:id="rId1"/>
    <sheet name="feed rations" sheetId="8" r:id="rId2"/>
    <sheet name="feed rations organic" sheetId="10" r:id="rId3"/>
    <sheet name="Kontroll" sheetId="2" r:id="rId4"/>
    <sheet name="Slaktstat" sheetId="3" r:id="rId5"/>
    <sheet name="Sheet2" sheetId="7" r:id="rId6"/>
    <sheet name="Energi rek" sheetId="5" r:id="rId7"/>
    <sheet name="references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10" l="1"/>
  <c r="O31" i="10"/>
  <c r="O30" i="10"/>
  <c r="O29" i="10"/>
  <c r="O28" i="10"/>
  <c r="O27" i="10"/>
  <c r="O26" i="10"/>
  <c r="O25" i="10"/>
  <c r="O24" i="10"/>
  <c r="O23" i="10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2" i="1"/>
  <c r="E161" i="1"/>
  <c r="E160" i="1"/>
  <c r="E159" i="1"/>
  <c r="E158" i="1"/>
  <c r="E157" i="1"/>
  <c r="E156" i="1"/>
  <c r="E155" i="1"/>
  <c r="E154" i="1"/>
  <c r="E145" i="1"/>
  <c r="E146" i="1"/>
  <c r="E147" i="1"/>
  <c r="E148" i="1"/>
  <c r="E149" i="1"/>
  <c r="E150" i="1"/>
  <c r="E151" i="1"/>
  <c r="E152" i="1"/>
  <c r="E144" i="1"/>
  <c r="N32" i="10"/>
  <c r="M32" i="10"/>
  <c r="L32" i="10"/>
  <c r="L24" i="10"/>
  <c r="M24" i="10"/>
  <c r="N24" i="10"/>
  <c r="L25" i="10"/>
  <c r="M25" i="10"/>
  <c r="N25" i="10"/>
  <c r="L26" i="10"/>
  <c r="M26" i="10"/>
  <c r="N26" i="10"/>
  <c r="L27" i="10"/>
  <c r="M27" i="10"/>
  <c r="N27" i="10"/>
  <c r="L28" i="10"/>
  <c r="M28" i="10"/>
  <c r="N28" i="10"/>
  <c r="L29" i="10"/>
  <c r="M29" i="10"/>
  <c r="N29" i="10"/>
  <c r="L30" i="10"/>
  <c r="M30" i="10"/>
  <c r="N30" i="10"/>
  <c r="L31" i="10"/>
  <c r="M31" i="10"/>
  <c r="N31" i="10"/>
  <c r="N23" i="10"/>
  <c r="L23" i="10"/>
  <c r="M23" i="10"/>
  <c r="E94" i="1" l="1"/>
  <c r="O33" i="8" l="1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M25" i="8"/>
  <c r="M24" i="8"/>
  <c r="M33" i="8"/>
  <c r="M32" i="8" l="1"/>
  <c r="M31" i="8"/>
  <c r="M30" i="8"/>
  <c r="M29" i="8"/>
  <c r="M28" i="8"/>
  <c r="M27" i="8"/>
  <c r="M26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N44" i="8" l="1"/>
  <c r="M44" i="8"/>
  <c r="H45" i="8"/>
  <c r="I41" i="8" s="1"/>
  <c r="F45" i="8"/>
  <c r="G40" i="8" s="1"/>
  <c r="D45" i="8"/>
  <c r="E8" i="8" s="1"/>
  <c r="O44" i="8" l="1"/>
  <c r="T18" i="8" s="1"/>
  <c r="Q32" i="8"/>
  <c r="E71" i="1" s="1"/>
  <c r="R17" i="8"/>
  <c r="E92" i="1" s="1"/>
  <c r="Q19" i="8"/>
  <c r="E73" i="1" s="1"/>
  <c r="Q25" i="8"/>
  <c r="E79" i="1" s="1"/>
  <c r="Q20" i="8"/>
  <c r="E74" i="1" s="1"/>
  <c r="Q28" i="8"/>
  <c r="E82" i="1" s="1"/>
  <c r="Q23" i="8"/>
  <c r="E77" i="1" s="1"/>
  <c r="Q14" i="8"/>
  <c r="E68" i="1" s="1"/>
  <c r="Q22" i="8"/>
  <c r="E76" i="1" s="1"/>
  <c r="Q30" i="8"/>
  <c r="Q16" i="8"/>
  <c r="E70" i="1" s="1"/>
  <c r="Q24" i="8"/>
  <c r="E78" i="1" s="1"/>
  <c r="Q29" i="8"/>
  <c r="Q21" i="8"/>
  <c r="E75" i="1" s="1"/>
  <c r="Q17" i="8"/>
  <c r="E72" i="1" s="1"/>
  <c r="Q13" i="8"/>
  <c r="E67" i="1" s="1"/>
  <c r="Q9" i="8"/>
  <c r="E63" i="1" s="1"/>
  <c r="Q8" i="8"/>
  <c r="G14" i="8"/>
  <c r="G23" i="8"/>
  <c r="G18" i="8"/>
  <c r="G38" i="8"/>
  <c r="I27" i="8"/>
  <c r="G9" i="8"/>
  <c r="G26" i="8"/>
  <c r="G20" i="8"/>
  <c r="G32" i="8"/>
  <c r="G41" i="8"/>
  <c r="I23" i="8"/>
  <c r="G10" i="8"/>
  <c r="G27" i="8"/>
  <c r="G17" i="8"/>
  <c r="G25" i="8"/>
  <c r="I10" i="8"/>
  <c r="I17" i="8"/>
  <c r="G13" i="8"/>
  <c r="G22" i="8"/>
  <c r="G29" i="8"/>
  <c r="G37" i="8"/>
  <c r="I14" i="8"/>
  <c r="I18" i="8"/>
  <c r="I25" i="8"/>
  <c r="I38" i="8"/>
  <c r="I42" i="8"/>
  <c r="G11" i="8"/>
  <c r="G15" i="8"/>
  <c r="G21" i="8"/>
  <c r="G36" i="8"/>
  <c r="G19" i="8"/>
  <c r="G30" i="8"/>
  <c r="G28" i="8"/>
  <c r="G39" i="8"/>
  <c r="I8" i="8"/>
  <c r="I12" i="8"/>
  <c r="I33" i="8"/>
  <c r="I16" i="8"/>
  <c r="I34" i="8"/>
  <c r="I24" i="8"/>
  <c r="I31" i="8"/>
  <c r="I35" i="8"/>
  <c r="I40" i="8"/>
  <c r="G42" i="8"/>
  <c r="I11" i="8"/>
  <c r="I15" i="8"/>
  <c r="I21" i="8"/>
  <c r="I36" i="8"/>
  <c r="I19" i="8"/>
  <c r="I30" i="8"/>
  <c r="I28" i="8"/>
  <c r="I39" i="8"/>
  <c r="G8" i="8"/>
  <c r="G12" i="8"/>
  <c r="G33" i="8"/>
  <c r="G16" i="8"/>
  <c r="G34" i="8"/>
  <c r="G24" i="8"/>
  <c r="G31" i="8"/>
  <c r="G35" i="8"/>
  <c r="I9" i="8"/>
  <c r="I13" i="8"/>
  <c r="I26" i="8"/>
  <c r="I22" i="8"/>
  <c r="I20" i="8"/>
  <c r="I29" i="8"/>
  <c r="I32" i="8"/>
  <c r="I37" i="8"/>
  <c r="E40" i="8"/>
  <c r="E31" i="8"/>
  <c r="E13" i="8"/>
  <c r="E15" i="8"/>
  <c r="E30" i="8"/>
  <c r="E35" i="8"/>
  <c r="E24" i="8"/>
  <c r="E23" i="8"/>
  <c r="E11" i="8"/>
  <c r="E39" i="8"/>
  <c r="E20" i="8"/>
  <c r="E21" i="8"/>
  <c r="E33" i="8"/>
  <c r="E28" i="8"/>
  <c r="E19" i="8"/>
  <c r="E22" i="8"/>
  <c r="E10" i="8"/>
  <c r="E42" i="8"/>
  <c r="E38" i="8"/>
  <c r="E25" i="8"/>
  <c r="E18" i="8"/>
  <c r="E17" i="8"/>
  <c r="E34" i="8"/>
  <c r="E12" i="8"/>
  <c r="E27" i="8"/>
  <c r="E9" i="8"/>
  <c r="E41" i="8"/>
  <c r="E37" i="8"/>
  <c r="E32" i="8"/>
  <c r="E29" i="8"/>
  <c r="E14" i="8"/>
  <c r="E36" i="8"/>
  <c r="E16" i="8"/>
  <c r="E26" i="8"/>
  <c r="T21" i="8" l="1"/>
  <c r="S33" i="8"/>
  <c r="E115" i="1" s="1"/>
  <c r="S8" i="8"/>
  <c r="E101" i="1"/>
  <c r="T16" i="8"/>
  <c r="T19" i="8"/>
  <c r="E127" i="1" s="1"/>
  <c r="T22" i="8"/>
  <c r="E129" i="1" s="1"/>
  <c r="T17" i="8"/>
  <c r="E126" i="1" s="1"/>
  <c r="T31" i="8"/>
  <c r="T12" i="8"/>
  <c r="E123" i="1" s="1"/>
  <c r="T15" i="8"/>
  <c r="T33" i="8"/>
  <c r="E133" i="1" s="1"/>
  <c r="T25" i="8"/>
  <c r="E132" i="1" s="1"/>
  <c r="T24" i="8"/>
  <c r="E131" i="1" s="1"/>
  <c r="T10" i="8"/>
  <c r="E121" i="1" s="1"/>
  <c r="T30" i="8"/>
  <c r="E136" i="1" s="1"/>
  <c r="T32" i="8"/>
  <c r="T13" i="8"/>
  <c r="E124" i="1" s="1"/>
  <c r="T26" i="8"/>
  <c r="E134" i="1" s="1"/>
  <c r="T29" i="8"/>
  <c r="T11" i="8"/>
  <c r="E122" i="1" s="1"/>
  <c r="T14" i="8"/>
  <c r="E125" i="1" s="1"/>
  <c r="E62" i="1"/>
  <c r="T27" i="8"/>
  <c r="T8" i="8"/>
  <c r="T20" i="8"/>
  <c r="E128" i="1" s="1"/>
  <c r="T23" i="8"/>
  <c r="E130" i="1" s="1"/>
  <c r="T28" i="8"/>
  <c r="E135" i="1" s="1"/>
  <c r="T9" i="8"/>
  <c r="E120" i="1" s="1"/>
  <c r="Q26" i="8"/>
  <c r="E80" i="1" s="1"/>
  <c r="Q12" i="8"/>
  <c r="E66" i="1" s="1"/>
  <c r="Q15" i="8"/>
  <c r="E69" i="1" s="1"/>
  <c r="Q27" i="8"/>
  <c r="E81" i="1" s="1"/>
  <c r="Q10" i="8"/>
  <c r="E64" i="1" s="1"/>
  <c r="Q18" i="8"/>
  <c r="Q11" i="8"/>
  <c r="E65" i="1" s="1"/>
  <c r="Q31" i="8"/>
  <c r="E83" i="1" s="1"/>
  <c r="Q33" i="8"/>
  <c r="R18" i="8"/>
  <c r="E93" i="1" s="1"/>
  <c r="R27" i="8"/>
  <c r="R8" i="8"/>
  <c r="R15" i="8"/>
  <c r="R25" i="8"/>
  <c r="R20" i="8"/>
  <c r="R10" i="8"/>
  <c r="E87" i="1" s="1"/>
  <c r="R14" i="8"/>
  <c r="E90" i="1" s="1"/>
  <c r="R13" i="8"/>
  <c r="E89" i="1" s="1"/>
  <c r="R11" i="8"/>
  <c r="R9" i="8"/>
  <c r="E86" i="1" s="1"/>
  <c r="R28" i="8"/>
  <c r="E96" i="1" s="1"/>
  <c r="R31" i="8"/>
  <c r="E99" i="1" s="1"/>
  <c r="R22" i="8"/>
  <c r="R29" i="8"/>
  <c r="E97" i="1" s="1"/>
  <c r="R23" i="8"/>
  <c r="E95" i="1" s="1"/>
  <c r="R21" i="8"/>
  <c r="R16" i="8"/>
  <c r="R19" i="8"/>
  <c r="R26" i="8"/>
  <c r="R30" i="8"/>
  <c r="E98" i="1" s="1"/>
  <c r="R33" i="8"/>
  <c r="R12" i="8"/>
  <c r="E88" i="1" s="1"/>
  <c r="R24" i="8"/>
  <c r="R32" i="8"/>
  <c r="E91" i="1" s="1"/>
  <c r="S12" i="8"/>
  <c r="E105" i="1" s="1"/>
  <c r="S32" i="8"/>
  <c r="S26" i="8"/>
  <c r="E116" i="1" s="1"/>
  <c r="S17" i="8"/>
  <c r="E108" i="1" s="1"/>
  <c r="S28" i="8"/>
  <c r="E117" i="1" s="1"/>
  <c r="S27" i="8"/>
  <c r="S23" i="8"/>
  <c r="E112" i="1" s="1"/>
  <c r="S19" i="8"/>
  <c r="E109" i="1" s="1"/>
  <c r="S15" i="8"/>
  <c r="S11" i="8"/>
  <c r="E104" i="1" s="1"/>
  <c r="S22" i="8"/>
  <c r="E111" i="1" s="1"/>
  <c r="S29" i="8"/>
  <c r="S13" i="8"/>
  <c r="E106" i="1" s="1"/>
  <c r="S24" i="8"/>
  <c r="E113" i="1" s="1"/>
  <c r="S10" i="8"/>
  <c r="E103" i="1" s="1"/>
  <c r="S18" i="8"/>
  <c r="S25" i="8"/>
  <c r="E114" i="1" s="1"/>
  <c r="S9" i="8"/>
  <c r="E102" i="1" s="1"/>
  <c r="S20" i="8"/>
  <c r="E110" i="1" s="1"/>
  <c r="S31" i="8"/>
  <c r="S30" i="8"/>
  <c r="E118" i="1" s="1"/>
  <c r="S14" i="8"/>
  <c r="E107" i="1" s="1"/>
  <c r="S21" i="8"/>
  <c r="S16" i="8"/>
  <c r="E52" i="1"/>
  <c r="E51" i="1"/>
  <c r="E85" i="1" l="1"/>
  <c r="R44" i="8"/>
  <c r="T44" i="8"/>
  <c r="E119" i="1"/>
  <c r="Q44" i="8"/>
  <c r="S44" i="8"/>
  <c r="S20" i="5"/>
  <c r="S21" i="5"/>
  <c r="S22" i="5"/>
  <c r="S23" i="5"/>
  <c r="S24" i="5"/>
  <c r="S25" i="5"/>
  <c r="S26" i="5"/>
  <c r="S27" i="5"/>
  <c r="S19" i="5"/>
  <c r="R20" i="5" l="1"/>
  <c r="R21" i="5"/>
  <c r="R22" i="5"/>
  <c r="R23" i="5"/>
  <c r="R24" i="5"/>
  <c r="R25" i="5"/>
  <c r="R26" i="5"/>
  <c r="R27" i="5"/>
  <c r="R19" i="5"/>
  <c r="Q6" i="5" l="1"/>
  <c r="Q7" i="5"/>
  <c r="Q8" i="5"/>
  <c r="Q9" i="5"/>
  <c r="Q5" i="5"/>
  <c r="F6" i="5" l="1"/>
  <c r="F7" i="5"/>
  <c r="F8" i="5"/>
  <c r="F9" i="5"/>
  <c r="F5" i="5"/>
  <c r="E21" i="1"/>
  <c r="E22" i="1"/>
  <c r="E20" i="1"/>
  <c r="C25" i="3" l="1"/>
  <c r="C24" i="3"/>
  <c r="C23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5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Q6" i="3"/>
  <c r="R6" i="3"/>
  <c r="S6" i="3"/>
  <c r="O7" i="3"/>
  <c r="P7" i="3"/>
  <c r="Q7" i="3"/>
  <c r="R7" i="3"/>
  <c r="S7" i="3"/>
  <c r="O8" i="3"/>
  <c r="P8" i="3"/>
  <c r="Q8" i="3"/>
  <c r="R8" i="3"/>
  <c r="S8" i="3"/>
  <c r="O9" i="3"/>
  <c r="P9" i="3"/>
  <c r="Q9" i="3"/>
  <c r="R9" i="3"/>
  <c r="S9" i="3"/>
  <c r="Q10" i="3"/>
  <c r="R10" i="3"/>
  <c r="S10" i="3"/>
  <c r="Q11" i="3"/>
  <c r="R11" i="3"/>
  <c r="S11" i="3"/>
  <c r="Q12" i="3"/>
  <c r="R12" i="3"/>
  <c r="S12" i="3"/>
  <c r="Q13" i="3"/>
  <c r="R13" i="3"/>
  <c r="S13" i="3"/>
  <c r="O14" i="3"/>
  <c r="P14" i="3"/>
  <c r="Q14" i="3"/>
  <c r="R14" i="3"/>
  <c r="S14" i="3"/>
  <c r="O15" i="3"/>
  <c r="P15" i="3"/>
  <c r="Q15" i="3"/>
  <c r="R15" i="3"/>
  <c r="S15" i="3"/>
  <c r="O16" i="3"/>
  <c r="P16" i="3"/>
  <c r="Q16" i="3"/>
  <c r="R16" i="3"/>
  <c r="S16" i="3"/>
  <c r="O17" i="3"/>
  <c r="P17" i="3"/>
  <c r="Q17" i="3"/>
  <c r="R17" i="3"/>
  <c r="S17" i="3"/>
  <c r="O18" i="3"/>
  <c r="P18" i="3"/>
  <c r="Q18" i="3"/>
  <c r="R18" i="3"/>
  <c r="S18" i="3"/>
  <c r="O21" i="3"/>
  <c r="P21" i="3"/>
  <c r="Q21" i="3"/>
  <c r="R21" i="3"/>
  <c r="S21" i="3"/>
  <c r="O19" i="3"/>
  <c r="P19" i="3"/>
  <c r="Q19" i="3"/>
  <c r="R19" i="3"/>
  <c r="S19" i="3"/>
  <c r="O20" i="3"/>
  <c r="P20" i="3"/>
  <c r="Q20" i="3"/>
  <c r="R20" i="3"/>
  <c r="S20" i="3"/>
  <c r="Q5" i="3"/>
  <c r="R5" i="3"/>
  <c r="S5" i="3"/>
  <c r="C4" i="2" l="1"/>
  <c r="C7" i="2" l="1"/>
  <c r="C6" i="2"/>
  <c r="C13" i="2"/>
  <c r="C14" i="2"/>
  <c r="E3" i="1"/>
  <c r="E4" i="1" s="1"/>
  <c r="E5" i="1"/>
  <c r="E6" i="1" s="1"/>
  <c r="G13" i="2"/>
  <c r="E36" i="1"/>
  <c r="E37" i="1" s="1"/>
  <c r="E34" i="1"/>
  <c r="E35" i="1" s="1"/>
  <c r="E7" i="1"/>
  <c r="J9" i="2"/>
  <c r="J7" i="2"/>
  <c r="E8" i="1" l="1"/>
</calcChain>
</file>

<file path=xl/sharedStrings.xml><?xml version="1.0" encoding="utf-8"?>
<sst xmlns="http://schemas.openxmlformats.org/spreadsheetml/2006/main" count="1022" uniqueCount="284">
  <si>
    <t>parameter</t>
  </si>
  <si>
    <t>value</t>
  </si>
  <si>
    <t>litters_per_sow</t>
  </si>
  <si>
    <t>unit</t>
  </si>
  <si>
    <t>description</t>
  </si>
  <si>
    <t>source</t>
  </si>
  <si>
    <t>Suggor</t>
  </si>
  <si>
    <t>Galtar</t>
  </si>
  <si>
    <t>Slaktgrisar</t>
  </si>
  <si>
    <t>Smågrisar</t>
  </si>
  <si>
    <t>2016-2020</t>
  </si>
  <si>
    <t>kullar per sugga</t>
  </si>
  <si>
    <t>lev. Födda per kull</t>
  </si>
  <si>
    <t>sows</t>
  </si>
  <si>
    <t>boars</t>
  </si>
  <si>
    <t>piglets</t>
  </si>
  <si>
    <t>mortality_0towean</t>
  </si>
  <si>
    <t>calculated from nr of sows and boars in national statistics</t>
  </si>
  <si>
    <t>JO0103F01</t>
  </si>
  <si>
    <t>live_per_litter</t>
  </si>
  <si>
    <t>dead_per_litter</t>
  </si>
  <si>
    <t>f_animal</t>
  </si>
  <si>
    <t>mortality</t>
  </si>
  <si>
    <t>%</t>
  </si>
  <si>
    <t>growing pigs</t>
  </si>
  <si>
    <t>finishing pigs</t>
  </si>
  <si>
    <t>per year</t>
  </si>
  <si>
    <t>conventional</t>
  </si>
  <si>
    <t>organic</t>
  </si>
  <si>
    <t>mortality_weantodelivery</t>
  </si>
  <si>
    <t>Zira et al 2020</t>
  </si>
  <si>
    <t>nr</t>
  </si>
  <si>
    <t>gilts</t>
  </si>
  <si>
    <t>weaning_age</t>
  </si>
  <si>
    <t>post_weaning_nursing_period</t>
  </si>
  <si>
    <t>growing_period</t>
  </si>
  <si>
    <t>finishing_period</t>
  </si>
  <si>
    <t>days</t>
  </si>
  <si>
    <t>age_at_first_farrowing</t>
  </si>
  <si>
    <t>Slakt</t>
  </si>
  <si>
    <t>Slaktgris</t>
  </si>
  <si>
    <t>Unggalt</t>
  </si>
  <si>
    <t>Unggris</t>
  </si>
  <si>
    <t>dödl. Föd-avv.</t>
  </si>
  <si>
    <t>st</t>
  </si>
  <si>
    <t>Avvanda per sugga</t>
  </si>
  <si>
    <t>WinPig 2016-2020</t>
  </si>
  <si>
    <t>boars_per_sows+gilts</t>
  </si>
  <si>
    <t>f_prod_system</t>
  </si>
  <si>
    <t>Kvantitet, 1 000 ton</t>
  </si>
  <si>
    <t>Slaktade hela kroppar, 1 000-tal</t>
  </si>
  <si>
    <t>Ko</t>
  </si>
  <si>
    <t>Ungko</t>
  </si>
  <si>
    <t>Kviga</t>
  </si>
  <si>
    <t>Stut</t>
  </si>
  <si>
    <t>Summa tjur</t>
  </si>
  <si>
    <t>Ungtjur</t>
  </si>
  <si>
    <t>Yngre tjur</t>
  </si>
  <si>
    <t>Äldre tjur</t>
  </si>
  <si>
    <t>Mellankalv</t>
  </si>
  <si>
    <t>Häst</t>
  </si>
  <si>
    <t>Tackor och baggar</t>
  </si>
  <si>
    <t>Lamm</t>
  </si>
  <si>
    <t>Djurkategori</t>
  </si>
  <si>
    <t>Slaktvikt, kg</t>
  </si>
  <si>
    <t>slaughter_weight</t>
  </si>
  <si>
    <t>kg CW</t>
  </si>
  <si>
    <t>JO0604B1</t>
  </si>
  <si>
    <t>f_feed</t>
  </si>
  <si>
    <t>wheat</t>
  </si>
  <si>
    <t>share_in_ration</t>
  </si>
  <si>
    <t>Mortality</t>
  </si>
  <si>
    <t>Fertility</t>
  </si>
  <si>
    <t>Growth stages</t>
  </si>
  <si>
    <t>Slaughter</t>
  </si>
  <si>
    <t>birth_weight</t>
  </si>
  <si>
    <t>kg</t>
  </si>
  <si>
    <t xml:space="preserve">Svensson, Ohlsson &amp; Mattsson. (2011). Kan grisar med låg födelsevikt bli lönsamma tillväxt- och slaktgrisar?. Svenska Pig Nr 49 Maj 2011
</t>
  </si>
  <si>
    <t>live_weight</t>
  </si>
  <si>
    <t>Live weights</t>
  </si>
  <si>
    <t>calculated from slughter weight assuming 75% slaughter yield</t>
  </si>
  <si>
    <t>live_weight_slaughter</t>
  </si>
  <si>
    <t>live_weight_delivery</t>
  </si>
  <si>
    <t>Tabell1. Vägledande norm för utfodring av växande grisar.</t>
  </si>
  <si>
    <t>Vikt</t>
  </si>
  <si>
    <t>MJ NEv/dag</t>
  </si>
  <si>
    <t>MJ OE/dag</t>
  </si>
  <si>
    <t>a En högre slutgiva ger högre tillväxt och något sämre klassning.</t>
  </si>
  <si>
    <t>25.9 - 28.5</t>
  </si>
  <si>
    <t>34.5 – 38a</t>
  </si>
  <si>
    <t>Tabell 2. Exempel på foderkurva för växande grisar (modifierad efter Vils 2008, 1FEsv =
8,8MJ NEv för smågrisar och 9,0 MJ NEv för slaktgrisar).</t>
  </si>
  <si>
    <t>Tillväxt, g/dag
i intervallet</t>
  </si>
  <si>
    <t>Dag från avvänjning</t>
  </si>
  <si>
    <t>Dag från insättning</t>
  </si>
  <si>
    <t>b En högre slutgiva ger högre tillväxt och något sämre klassning.</t>
  </si>
  <si>
    <t>a Avvänjningsgrisarna sätts in på en lägre giva än den som normalt anges för vikten i tabell 1.</t>
  </si>
  <si>
    <t>Vikt, kg</t>
  </si>
  <si>
    <t>Till slakt</t>
  </si>
  <si>
    <t>34.5 – 38</t>
  </si>
  <si>
    <t>live_weight_weaning</t>
  </si>
  <si>
    <t>Feed rations</t>
  </si>
  <si>
    <t>MJ NE/kg</t>
  </si>
  <si>
    <t>feed_energy_per_growth</t>
  </si>
  <si>
    <t>Feed requirements</t>
  </si>
  <si>
    <t>Göransson, L., Lindberg, J.E. (2011). Näringsrekommendationer ver. 2011.1 - Energi</t>
  </si>
  <si>
    <t>Simonsson, A. (2006). Fodermedel och näringsrekommendationer för gris. HUV Rapport 266. SLU</t>
  </si>
  <si>
    <t>Tabell 13. Energinorm for avelsgalt</t>
  </si>
  <si>
    <t>MJ ME/dag</t>
  </si>
  <si>
    <t>MJ NEs/dag</t>
  </si>
  <si>
    <t>Tabell 6. Vägledande norm för utfodring av växande korsningsgyltor.</t>
  </si>
  <si>
    <t>Eller fri tilldelning till 30 kg</t>
  </si>
  <si>
    <t>Tabell 12. Energinorm for digivande sugga, MJ ME per dag</t>
  </si>
  <si>
    <t>Kull-storlek</t>
  </si>
  <si>
    <t>Levande-vikt, kg</t>
  </si>
  <si>
    <t>est.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</si>
  <si>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</si>
  <si>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</si>
  <si>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</si>
  <si>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</si>
  <si>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</si>
  <si>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</si>
  <si>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</si>
  <si>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</si>
  <si>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</si>
  <si>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</si>
  <si>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</si>
  <si>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</si>
  <si>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</si>
  <si>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</si>
  <si>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</si>
  <si>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</si>
  <si>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</si>
  <si>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</si>
  <si>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</si>
  <si>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</si>
  <si>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</si>
  <si>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</si>
  <si>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</si>
  <si>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</si>
  <si>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</si>
  <si>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</si>
  <si>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MJ NEs/dag</t>
  </si>
  <si>
    <t>Residuals</t>
  </si>
  <si>
    <t>Standard Residuals</t>
  </si>
  <si>
    <t>PROBABILITY OUTPUT</t>
  </si>
  <si>
    <t>Percentile</t>
  </si>
  <si>
    <t xml:space="preserve">MJ NE = </t>
  </si>
  <si>
    <t>+</t>
  </si>
  <si>
    <t>LS *</t>
  </si>
  <si>
    <t>LW *</t>
  </si>
  <si>
    <t>LS = litter size, LW = live weight</t>
  </si>
  <si>
    <t>Assume same proportion dead/live as in conventional</t>
  </si>
  <si>
    <t>gestation_period</t>
  </si>
  <si>
    <t>Tabell 3: 420 MJ / (31.5kg@delivery - 10kg@weaning)</t>
  </si>
  <si>
    <t>org/conv ratio from Zira et al 2020</t>
  </si>
  <si>
    <t>branchstandard</t>
  </si>
  <si>
    <t>dif org/conv?</t>
  </si>
  <si>
    <t>Fallback</t>
  </si>
  <si>
    <t>barley</t>
  </si>
  <si>
    <t>oats</t>
  </si>
  <si>
    <t>triticale</t>
  </si>
  <si>
    <t>rapeseed</t>
  </si>
  <si>
    <t>linseed</t>
  </si>
  <si>
    <t>maize</t>
  </si>
  <si>
    <t>Fodersammansättning till sugga, smågris och slaktgris</t>
  </si>
  <si>
    <t>Råvara</t>
  </si>
  <si>
    <t>Kg råvara per djurslag</t>
  </si>
  <si>
    <t>Per årssugga inkl. rekrytering</t>
  </si>
  <si>
    <t>Per smågris</t>
  </si>
  <si>
    <t>Per slaktgris</t>
  </si>
  <si>
    <t>Premix</t>
  </si>
  <si>
    <t>Vete</t>
  </si>
  <si>
    <t>Korn</t>
  </si>
  <si>
    <t>Havre</t>
  </si>
  <si>
    <t>Rågvete</t>
  </si>
  <si>
    <t>Betmelass</t>
  </si>
  <si>
    <t>Betfiber</t>
  </si>
  <si>
    <t>Palmkärnexpeller</t>
  </si>
  <si>
    <t>Rapsfrö</t>
  </si>
  <si>
    <t>Linfrö</t>
  </si>
  <si>
    <t>Majs</t>
  </si>
  <si>
    <t>Vetekli</t>
  </si>
  <si>
    <t>Vetefodermjöl</t>
  </si>
  <si>
    <t>Havremjöl</t>
  </si>
  <si>
    <t>Maltgroddar</t>
  </si>
  <si>
    <t>Solrosmjöl</t>
  </si>
  <si>
    <t>Ärtor</t>
  </si>
  <si>
    <t>Åkerböna</t>
  </si>
  <si>
    <t>Sojamjöl</t>
  </si>
  <si>
    <t>Rapsmjöl</t>
  </si>
  <si>
    <t>Drank, torr</t>
  </si>
  <si>
    <t>Vasslepulver</t>
  </si>
  <si>
    <t>Sojaprotein koncentrat</t>
  </si>
  <si>
    <t>Potatisprotein</t>
  </si>
  <si>
    <t>Fiskmjöl</t>
  </si>
  <si>
    <t>Olja / Fett</t>
  </si>
  <si>
    <t>Vatten</t>
  </si>
  <si>
    <t>Drank, blöt</t>
  </si>
  <si>
    <t>Vassle</t>
  </si>
  <si>
    <t>Fodernjölk</t>
  </si>
  <si>
    <t>Biprodukt etanolindustri</t>
  </si>
  <si>
    <t>Biprodukt mejeriindustri</t>
  </si>
  <si>
    <t>Biprodukt
spannmålsförädling</t>
  </si>
  <si>
    <t>Bioprodukt
potatisindustri</t>
  </si>
  <si>
    <t>Biprodukt
bryggeriindustri</t>
  </si>
  <si>
    <t>Biprodukt bageri- o
pastaindustri</t>
  </si>
  <si>
    <t>Summa kg blött foder</t>
  </si>
  <si>
    <t>%DM</t>
  </si>
  <si>
    <t>feed</t>
  </si>
  <si>
    <t>sugar beet molasses</t>
  </si>
  <si>
    <t>sugar beet pulp</t>
  </si>
  <si>
    <t>palm kernel expeller</t>
  </si>
  <si>
    <t>wheat bran</t>
  </si>
  <si>
    <t>siktat vetekli</t>
  </si>
  <si>
    <t>wheat bran, fine</t>
  </si>
  <si>
    <t>sunflower seed meal</t>
  </si>
  <si>
    <t>peas</t>
  </si>
  <si>
    <t>broad beans</t>
  </si>
  <si>
    <t>soybean meal</t>
  </si>
  <si>
    <t>rapeseed meal</t>
  </si>
  <si>
    <t>soybean protein concentrate</t>
  </si>
  <si>
    <t>potatoe protein</t>
  </si>
  <si>
    <t>fish meal</t>
  </si>
  <si>
    <t>wheat distillers grain, dry</t>
  </si>
  <si>
    <t>wheat distillers grain, wet</t>
  </si>
  <si>
    <t>whey</t>
  </si>
  <si>
    <t>Summa exkl. vatten</t>
  </si>
  <si>
    <t>barley brewers grain</t>
  </si>
  <si>
    <t>sows, gilts</t>
  </si>
  <si>
    <t>whey powder</t>
  </si>
  <si>
    <t>Sows, gilts and boars</t>
  </si>
  <si>
    <t>Piglets</t>
  </si>
  <si>
    <t>see feed rations sheet</t>
  </si>
  <si>
    <t>vegetable oils</t>
  </si>
  <si>
    <t>total, kg DM</t>
  </si>
  <si>
    <t>Feed rations, kg dry matter</t>
  </si>
  <si>
    <t>Feed rations, % of DM</t>
  </si>
  <si>
    <t>growing/ finishing pigs</t>
  </si>
  <si>
    <t>Source: Birgit Landquist (2023) Komplettering till RISE Rapport 2020:59:</t>
  </si>
  <si>
    <t>Uppdaterad och utökad livscykelanalys av svensk grisproduktion. RISE</t>
  </si>
  <si>
    <t>excluded</t>
  </si>
  <si>
    <r>
      <rPr>
        <b/>
        <sz val="10"/>
        <color theme="1"/>
        <rFont val="Calibri"/>
        <family val="2"/>
        <scheme val="minor"/>
      </rPr>
      <t xml:space="preserve">Etanolindustri: </t>
    </r>
    <r>
      <rPr>
        <sz val="10"/>
        <color theme="1"/>
        <rFont val="Calibri"/>
        <family val="2"/>
        <scheme val="minor"/>
      </rPr>
      <t xml:space="preserve">Ts-halten varierar mellan 8–27% på de produkter vi har räknat med, fyra olika drank: St1, Agroetanol, Drank Skåne och Drank Lidköping. Baserat på svaren från foderoptimerarna räknade vi ut en medel-ts på 8,7% och volymen 306 447 ton. 
</t>
    </r>
    <r>
      <rPr>
        <b/>
        <sz val="10"/>
        <color theme="1"/>
        <rFont val="Calibri"/>
        <family val="2"/>
        <scheme val="minor"/>
      </rPr>
      <t>Mejerindustri:</t>
    </r>
    <r>
      <rPr>
        <sz val="10"/>
        <color theme="1"/>
        <rFont val="Calibri"/>
        <family val="2"/>
        <scheme val="minor"/>
      </rPr>
      <t xml:space="preserve"> Ts-halten varierar mellan 5–16 % på de produkter vi har räknat med. Det är fodermjölk, permeat och vassle från cirka 10 mejerier. Medel-ts blev 7,8 % och mängden 317 407 ton. </t>
    </r>
  </si>
  <si>
    <t>E-mail from Birgit Landquist (RISE) 2023-10-16</t>
  </si>
  <si>
    <t>Landquist et al. 2020. Uppdaterad och utökad livscykelanalys av svensk grisproduktion. RISE</t>
  </si>
  <si>
    <t>Landquist et al. 2020</t>
  </si>
  <si>
    <t>rapeseed cake</t>
  </si>
  <si>
    <t>No inclusion</t>
  </si>
  <si>
    <t>replacement_rate</t>
  </si>
  <si>
    <t>Niels Andresen, Ingela Löfquist &amp; Stefan Lundmark (2024) Ekologiska foderstater med lokala eller globala proteinråvaror – konsekvenser för odling, foderstat, ekonomi och marknaden. HIR Skåne</t>
  </si>
  <si>
    <t>https://www.slu.se/ew-nyheter/2024/10/mojligt-med-svensk-proteinforsorjning-till-ekologisk-djurproduktion/</t>
  </si>
  <si>
    <t>Foder, kg</t>
  </si>
  <si>
    <r>
      <t xml:space="preserve">Difoder, kg
</t>
    </r>
    <r>
      <rPr>
        <sz val="11"/>
        <color indexed="8"/>
        <rFont val="Calibri"/>
        <family val="1"/>
        <charset val="204"/>
      </rPr>
      <t>9,7 MJ NE/kg</t>
    </r>
  </si>
  <si>
    <r>
      <t xml:space="preserve">Dräktighetsfoder, kg
</t>
    </r>
    <r>
      <rPr>
        <sz val="11"/>
        <color indexed="8"/>
        <rFont val="Calibri"/>
        <family val="1"/>
        <charset val="204"/>
      </rPr>
      <t>9,2 MJ NE/kg</t>
    </r>
  </si>
  <si>
    <r>
      <t xml:space="preserve">Smågrisfoder, kg /gris
</t>
    </r>
    <r>
      <rPr>
        <sz val="11"/>
        <color indexed="8"/>
        <rFont val="Calibri"/>
        <family val="1"/>
        <charset val="204"/>
      </rPr>
      <t>9,6 MJ NE/kg</t>
    </r>
  </si>
  <si>
    <t>Rapskaka</t>
  </si>
  <si>
    <t>Koncentrat</t>
  </si>
  <si>
    <t>varav fiskmjöl</t>
  </si>
  <si>
    <t>varav potatisprotein</t>
  </si>
  <si>
    <t>varav spannmåls- baserade  o övriga råvaror</t>
  </si>
  <si>
    <t>Summa foderbehov, kg</t>
  </si>
  <si>
    <t>Globala fodermedel</t>
  </si>
  <si>
    <t>Slaktgris, enhetsfoder
9,7 MJ NE/kg</t>
  </si>
  <si>
    <t>Slaktgris, fasfoder I
9,5 MJ NE/kg</t>
  </si>
  <si>
    <t>Slaktgris, fasfoder II
9,6 MJ NE/kg</t>
  </si>
  <si>
    <t>Ärter</t>
  </si>
  <si>
    <t>Mineraler + vitaminer, kg</t>
  </si>
  <si>
    <t>varav sojaexpeller/sojaböna</t>
  </si>
  <si>
    <t>Lokala fodermedel</t>
  </si>
  <si>
    <t>Ärt</t>
  </si>
  <si>
    <t>Mineraler &amp; vitaminer</t>
  </si>
  <si>
    <t>Fiskmjöl 65% rp</t>
  </si>
  <si>
    <r>
      <t xml:space="preserve">Difoder, kg
</t>
    </r>
    <r>
      <rPr>
        <sz val="11"/>
        <color indexed="8"/>
        <rFont val="Calibri"/>
        <family val="1"/>
        <charset val="204"/>
      </rPr>
      <t>9,9 MJ NE/kg</t>
    </r>
  </si>
  <si>
    <r>
      <t xml:space="preserve">Dräktighetsfoder, kg
</t>
    </r>
    <r>
      <rPr>
        <sz val="11"/>
        <color indexed="8"/>
        <rFont val="Calibri"/>
        <family val="1"/>
        <charset val="204"/>
      </rPr>
      <t>9,3 MJ NE/kg</t>
    </r>
  </si>
  <si>
    <t>Smågrisfoder, kg per gris
9,5 MJ NE/kg</t>
  </si>
  <si>
    <t>Slaktgris, enhetsfoder
9,8 MJ NE/kg</t>
  </si>
  <si>
    <t>Slaktgris, fasfoder I
9,8 MJ NE/kg</t>
  </si>
  <si>
    <t>Slaktgris, fasfoder II
9,8 MJ NE/kg</t>
  </si>
  <si>
    <t>DM</t>
  </si>
  <si>
    <t>minerals</t>
  </si>
  <si>
    <t>Growing and finishing pigs</t>
  </si>
  <si>
    <t>Organic rations</t>
  </si>
  <si>
    <t>Conventional rations</t>
  </si>
  <si>
    <t>see feed rations organic sheet</t>
  </si>
  <si>
    <t>Andresen et al.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</si>
</sst>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%"/>
    <numFmt numFmtId="166" formatCode="#,##0.000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1"/>
      <color indexed="8"/>
      <name val="Arial"/>
      <family val="2"/>
    </font>
    <font>
      <sz val="12"/>
      <color indexed="8"/>
      <name val="Times New Roman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  <charset val="204"/>
    </font>
    <font>
      <sz val="11"/>
      <color indexed="8"/>
      <name val="Calibri"/>
      <family val="1"/>
      <charset val="204"/>
    </font>
    <font>
      <b/>
      <sz val="11"/>
      <color indexed="8"/>
      <name val="Calibri"/>
      <family val="1"/>
      <charset val="204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C1C1C1"/>
      </right>
      <top style="thin">
        <color rgb="FF000000"/>
      </top>
      <bottom/>
      <diagonal/>
    </border>
    <border>
      <left style="thin">
        <color rgb="FFC1C1C1"/>
      </left>
      <right style="thin">
        <color rgb="FFC1C1C1"/>
      </right>
      <top style="thin">
        <color rgb="FF000000"/>
      </top>
      <bottom/>
      <diagonal/>
    </border>
    <border>
      <left style="thin">
        <color rgb="FFC1C1C1"/>
      </left>
      <right style="thin">
        <color rgb="FFC1C1C1"/>
      </right>
      <top/>
      <bottom style="thin">
        <color rgb="FF000000"/>
      </bottom>
      <diagonal/>
    </border>
    <border>
      <left style="thin">
        <color rgb="FFC1C1C1"/>
      </left>
      <right/>
      <top style="thin">
        <color rgb="FF000000"/>
      </top>
      <bottom/>
      <diagonal/>
    </border>
    <border>
      <left style="thin">
        <color rgb="FFC1C1C1"/>
      </left>
      <right/>
      <top/>
      <bottom style="thin">
        <color rgb="FF000000"/>
      </bottom>
      <diagonal/>
    </border>
    <border>
      <left/>
      <right style="thin">
        <color rgb="FFC1C1C1"/>
      </right>
      <top/>
      <bottom style="thin">
        <color rgb="FF000000"/>
      </bottom>
      <diagonal/>
    </border>
    <border>
      <left/>
      <right/>
      <top/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/>
      <right/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9" fontId="0" fillId="0" borderId="0" xfId="1" applyFont="1"/>
    <xf numFmtId="165" fontId="0" fillId="0" borderId="0" xfId="1" applyNumberFormat="1" applyFont="1"/>
    <xf numFmtId="166" fontId="0" fillId="0" borderId="0" xfId="0" applyNumberFormat="1"/>
    <xf numFmtId="0" fontId="0" fillId="2" borderId="0" xfId="0" applyFill="1"/>
    <xf numFmtId="3" fontId="0" fillId="2" borderId="0" xfId="0" applyNumberFormat="1" applyFill="1"/>
    <xf numFmtId="3" fontId="2" fillId="2" borderId="0" xfId="0" applyNumberFormat="1" applyFont="1" applyFill="1"/>
    <xf numFmtId="167" fontId="2" fillId="2" borderId="0" xfId="0" applyNumberFormat="1" applyFont="1" applyFill="1"/>
    <xf numFmtId="167" fontId="0" fillId="2" borderId="0" xfId="0" applyNumberFormat="1" applyFill="1"/>
    <xf numFmtId="1" fontId="0" fillId="0" borderId="0" xfId="0" applyNumberFormat="1"/>
    <xf numFmtId="0" fontId="3" fillId="2" borderId="0" xfId="0" applyFont="1" applyFill="1"/>
    <xf numFmtId="0" fontId="0" fillId="0" borderId="0" xfId="0" applyAlignment="1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wrapText="1"/>
    </xf>
    <xf numFmtId="1" fontId="5" fillId="3" borderId="2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1" fontId="5" fillId="3" borderId="3" xfId="0" applyNumberFormat="1" applyFont="1" applyFill="1" applyBorder="1" applyAlignment="1">
      <alignment horizontal="center" vertical="top" shrinkToFi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8" fillId="3" borderId="2" xfId="0" applyNumberFormat="1" applyFont="1" applyFill="1" applyBorder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4" fontId="8" fillId="3" borderId="0" xfId="0" applyNumberFormat="1" applyFont="1" applyFill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1" fontId="5" fillId="3" borderId="10" xfId="0" applyNumberFormat="1" applyFont="1" applyFill="1" applyBorder="1" applyAlignment="1">
      <alignment horizontal="center" vertical="top" shrinkToFit="1"/>
    </xf>
    <xf numFmtId="1" fontId="5" fillId="0" borderId="11" xfId="0" applyNumberFormat="1" applyFont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center" vertical="top" shrinkToFit="1"/>
    </xf>
    <xf numFmtId="0" fontId="1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right" vertical="top" wrapText="1"/>
    </xf>
    <xf numFmtId="0" fontId="8" fillId="0" borderId="13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/>
    <xf numFmtId="0" fontId="7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" fontId="12" fillId="0" borderId="0" xfId="0" applyNumberFormat="1" applyFont="1" applyAlignment="1">
      <alignment horizontal="center" vertical="top" shrinkToFit="1"/>
    </xf>
    <xf numFmtId="0" fontId="12" fillId="0" borderId="0" xfId="0" applyFont="1" applyAlignment="1">
      <alignment horizontal="center" vertical="top" wrapText="1"/>
    </xf>
    <xf numFmtId="1" fontId="12" fillId="3" borderId="10" xfId="0" applyNumberFormat="1" applyFont="1" applyFill="1" applyBorder="1" applyAlignment="1">
      <alignment horizontal="center" vertical="top" shrinkToFit="1"/>
    </xf>
    <xf numFmtId="0" fontId="12" fillId="3" borderId="10" xfId="0" applyFont="1" applyFill="1" applyBorder="1" applyAlignment="1">
      <alignment horizontal="center" vertical="top" wrapText="1"/>
    </xf>
    <xf numFmtId="1" fontId="12" fillId="3" borderId="10" xfId="0" applyNumberFormat="1" applyFont="1" applyFill="1" applyBorder="1" applyAlignment="1">
      <alignment horizontal="right" vertical="top" indent="3" shrinkToFit="1"/>
    </xf>
    <xf numFmtId="0" fontId="12" fillId="0" borderId="11" xfId="0" applyFont="1" applyBorder="1" applyAlignment="1">
      <alignment horizontal="center" vertical="top" wrapText="1"/>
    </xf>
    <xf numFmtId="1" fontId="12" fillId="0" borderId="11" xfId="0" applyNumberFormat="1" applyFont="1" applyBorder="1" applyAlignment="1">
      <alignment horizontal="right" vertical="top" indent="3" shrinkToFit="1"/>
    </xf>
    <xf numFmtId="0" fontId="12" fillId="0" borderId="11" xfId="0" applyFont="1" applyBorder="1" applyAlignment="1">
      <alignment horizontal="left" vertical="top" wrapText="1" indent="3"/>
    </xf>
    <xf numFmtId="0" fontId="12" fillId="3" borderId="10" xfId="0" applyFont="1" applyFill="1" applyBorder="1" applyAlignment="1">
      <alignment horizontal="left" vertical="top" wrapText="1" indent="3"/>
    </xf>
    <xf numFmtId="1" fontId="12" fillId="0" borderId="12" xfId="0" applyNumberFormat="1" applyFont="1" applyBorder="1" applyAlignment="1">
      <alignment horizontal="center" vertical="top" shrinkToFit="1"/>
    </xf>
    <xf numFmtId="0" fontId="12" fillId="0" borderId="12" xfId="0" applyFont="1" applyBorder="1" applyAlignment="1">
      <alignment horizontal="left" vertical="top" wrapText="1" indent="3"/>
    </xf>
    <xf numFmtId="0" fontId="12" fillId="0" borderId="12" xfId="0" applyFont="1" applyBorder="1" applyAlignment="1">
      <alignment horizontal="center" vertical="top" wrapText="1"/>
    </xf>
    <xf numFmtId="1" fontId="12" fillId="0" borderId="12" xfId="0" applyNumberFormat="1" applyFont="1" applyBorder="1" applyAlignment="1">
      <alignment horizontal="right" vertical="top" indent="3" shrinkToFit="1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 indent="3"/>
    </xf>
    <xf numFmtId="2" fontId="0" fillId="0" borderId="0" xfId="0" applyNumberFormat="1"/>
    <xf numFmtId="0" fontId="8" fillId="3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6" fillId="0" borderId="0" xfId="0" applyFont="1" applyAlignment="1"/>
    <xf numFmtId="0" fontId="8" fillId="3" borderId="0" xfId="0" applyFont="1" applyFill="1" applyAlignment="1">
      <alignment horizontal="left" vertical="top" wrapText="1" indent="2"/>
    </xf>
    <xf numFmtId="0" fontId="8" fillId="3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/>
    </xf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6" xfId="0" applyFill="1" applyBorder="1" applyAlignment="1"/>
    <xf numFmtId="0" fontId="14" fillId="0" borderId="17" xfId="0" applyFont="1" applyFill="1" applyBorder="1" applyAlignment="1">
      <alignment horizontal="center"/>
    </xf>
    <xf numFmtId="0" fontId="14" fillId="0" borderId="17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4" fillId="0" borderId="0" xfId="0" applyNumberFormat="1" applyFont="1" applyAlignment="1">
      <alignment horizontal="left" wrapText="1"/>
    </xf>
    <xf numFmtId="0" fontId="15" fillId="0" borderId="0" xfId="0" applyFont="1"/>
    <xf numFmtId="0" fontId="16" fillId="0" borderId="0" xfId="0" applyFont="1"/>
    <xf numFmtId="1" fontId="16" fillId="0" borderId="0" xfId="0" applyNumberFormat="1" applyFont="1"/>
    <xf numFmtId="0" fontId="3" fillId="0" borderId="0" xfId="0" applyFont="1"/>
    <xf numFmtId="0" fontId="2" fillId="0" borderId="0" xfId="0" applyFont="1" applyAlignment="1">
      <alignment wrapText="1"/>
    </xf>
    <xf numFmtId="0" fontId="17" fillId="0" borderId="0" xfId="2"/>
    <xf numFmtId="0" fontId="0" fillId="6" borderId="0" xfId="0" applyFill="1"/>
    <xf numFmtId="0" fontId="16" fillId="6" borderId="0" xfId="0" applyFont="1" applyFill="1"/>
    <xf numFmtId="2" fontId="16" fillId="6" borderId="0" xfId="0" applyNumberFormat="1" applyFont="1" applyFill="1"/>
    <xf numFmtId="164" fontId="0" fillId="0" borderId="21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0" fillId="0" borderId="22" xfId="0" applyBorder="1"/>
    <xf numFmtId="0" fontId="0" fillId="0" borderId="21" xfId="0" applyBorder="1"/>
    <xf numFmtId="2" fontId="0" fillId="0" borderId="22" xfId="0" applyNumberFormat="1" applyBorder="1"/>
    <xf numFmtId="0" fontId="18" fillId="0" borderId="0" xfId="0" applyFo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0" xfId="0" applyFont="1" applyBorder="1" applyAlignment="1">
      <alignment wrapText="1"/>
    </xf>
    <xf numFmtId="0" fontId="0" fillId="5" borderId="21" xfId="0" applyFill="1" applyBorder="1"/>
    <xf numFmtId="9" fontId="0" fillId="0" borderId="0" xfId="1" applyFont="1" applyBorder="1"/>
    <xf numFmtId="9" fontId="0" fillId="0" borderId="22" xfId="1" applyFont="1" applyBorder="1"/>
    <xf numFmtId="0" fontId="2" fillId="0" borderId="0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14" xfId="0" applyFont="1" applyBorder="1"/>
    <xf numFmtId="0" fontId="2" fillId="0" borderId="24" xfId="0" applyFont="1" applyBorder="1"/>
    <xf numFmtId="0" fontId="0" fillId="5" borderId="18" xfId="0" applyFill="1" applyBorder="1"/>
    <xf numFmtId="0" fontId="0" fillId="0" borderId="19" xfId="0" applyBorder="1"/>
    <xf numFmtId="9" fontId="0" fillId="0" borderId="19" xfId="1" applyFont="1" applyBorder="1"/>
    <xf numFmtId="9" fontId="0" fillId="0" borderId="20" xfId="1" applyFont="1" applyBorder="1"/>
    <xf numFmtId="0" fontId="0" fillId="0" borderId="25" xfId="0" applyBorder="1"/>
    <xf numFmtId="0" fontId="0" fillId="0" borderId="26" xfId="0" applyBorder="1"/>
    <xf numFmtId="1" fontId="2" fillId="0" borderId="25" xfId="0" applyNumberFormat="1" applyFont="1" applyBorder="1"/>
    <xf numFmtId="1" fontId="2" fillId="0" borderId="26" xfId="0" applyNumberFormat="1" applyFont="1" applyBorder="1"/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24" xfId="0" applyFont="1" applyBorder="1" applyAlignment="1">
      <alignment wrapText="1"/>
    </xf>
    <xf numFmtId="1" fontId="2" fillId="0" borderId="0" xfId="0" applyNumberFormat="1" applyFont="1" applyBorder="1"/>
    <xf numFmtId="164" fontId="0" fillId="0" borderId="22" xfId="0" applyNumberFormat="1" applyBorder="1"/>
    <xf numFmtId="0" fontId="2" fillId="0" borderId="15" xfId="0" applyFont="1" applyBorder="1" applyAlignment="1">
      <alignment wrapText="1"/>
    </xf>
    <xf numFmtId="2" fontId="0" fillId="0" borderId="21" xfId="0" applyNumberFormat="1" applyBorder="1"/>
    <xf numFmtId="1" fontId="2" fillId="0" borderId="15" xfId="0" applyNumberFormat="1" applyFont="1" applyBorder="1"/>
    <xf numFmtId="2" fontId="0" fillId="0" borderId="19" xfId="0" applyNumberFormat="1" applyBorder="1"/>
    <xf numFmtId="0" fontId="2" fillId="0" borderId="21" xfId="0" applyFont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19" fillId="0" borderId="0" xfId="0" applyFont="1"/>
    <xf numFmtId="0" fontId="14" fillId="0" borderId="18" xfId="0" applyFont="1" applyBorder="1"/>
    <xf numFmtId="0" fontId="0" fillId="0" borderId="20" xfId="0" applyBorder="1"/>
    <xf numFmtId="0" fontId="20" fillId="0" borderId="0" xfId="0" applyFont="1" applyBorder="1" applyAlignment="1">
      <alignment horizontal="left" vertical="center" wrapText="1"/>
    </xf>
    <xf numFmtId="0" fontId="15" fillId="0" borderId="21" xfId="0" applyFont="1" applyBorder="1"/>
    <xf numFmtId="0" fontId="15" fillId="0" borderId="0" xfId="0" applyFont="1" applyBorder="1"/>
    <xf numFmtId="9" fontId="15" fillId="0" borderId="0" xfId="1" applyFont="1" applyBorder="1"/>
    <xf numFmtId="9" fontId="15" fillId="0" borderId="22" xfId="1" applyFont="1" applyBorder="1"/>
    <xf numFmtId="0" fontId="15" fillId="0" borderId="21" xfId="0" applyFont="1" applyFill="1" applyBorder="1"/>
    <xf numFmtId="0" fontId="15" fillId="0" borderId="23" xfId="0" applyFont="1" applyBorder="1"/>
    <xf numFmtId="0" fontId="15" fillId="0" borderId="14" xfId="0" applyFont="1" applyBorder="1"/>
    <xf numFmtId="9" fontId="15" fillId="0" borderId="14" xfId="1" applyFont="1" applyBorder="1"/>
    <xf numFmtId="9" fontId="15" fillId="0" borderId="24" xfId="1" applyFont="1" applyBorder="1"/>
    <xf numFmtId="0" fontId="20" fillId="0" borderId="2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6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wrapText="1"/>
    </xf>
    <xf numFmtId="0" fontId="8" fillId="4" borderId="2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8" fillId="4" borderId="4" xfId="0" applyFont="1" applyFill="1" applyBorder="1" applyAlignment="1">
      <alignment horizontal="center" vertical="top" wrapText="1"/>
    </xf>
    <xf numFmtId="0" fontId="8" fillId="4" borderId="9" xfId="0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3" xfId="0" applyBorder="1"/>
    <xf numFmtId="164" fontId="0" fillId="0" borderId="14" xfId="0" applyNumberFormat="1" applyBorder="1"/>
    <xf numFmtId="164" fontId="0" fillId="0" borderId="24" xfId="0" applyNumberFormat="1" applyBorder="1"/>
    <xf numFmtId="0" fontId="0" fillId="7" borderId="0" xfId="0" applyFill="1"/>
    <xf numFmtId="2" fontId="0" fillId="7" borderId="0" xfId="0" applyNumberForma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Kull-storlek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'Energi rek'!$O$19:$O$27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Sheet2!$C$26:$C$34</c:f>
              <c:numCache>
                <c:formatCode>General</c:formatCode>
                <c:ptCount val="9"/>
                <c:pt idx="0">
                  <c:v>-0.1730769230769269</c:v>
                </c:pt>
                <c:pt idx="1">
                  <c:v>0.1538461538461533</c:v>
                </c:pt>
                <c:pt idx="2">
                  <c:v>-0.2692307692307665</c:v>
                </c:pt>
                <c:pt idx="3">
                  <c:v>0.1153846153846132</c:v>
                </c:pt>
                <c:pt idx="4">
                  <c:v>0.4423076923076934</c:v>
                </c:pt>
                <c:pt idx="5">
                  <c:v>1.9230769230773603E-2</c:v>
                </c:pt>
                <c:pt idx="6">
                  <c:v>7.6923076923080203E-2</c:v>
                </c:pt>
                <c:pt idx="7">
                  <c:v>-0.34615384615385381</c:v>
                </c:pt>
                <c:pt idx="8">
                  <c:v>-1.9230769230773603E-2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56-43AC-B630-C0C282D2F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1840"/>
        <c:axId val="1948299728"/>
      </c:scatterChart>
      <c:valAx>
        <c:axId val="194828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Kull-storlek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99728"/>
        <c:crosses val="autoZero"/>
        <c:crossBetween val="midCat"/>
      </c:valAx>
      <c:valAx>
        <c:axId val="1948299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81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Levande-vikt, kg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'Energi rek'!$P$19:$P$27</c:f>
              <c:numCache>
                <c:formatCode>General</c:formatCode>
                <c:ptCount val="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xVal>
          <c:yVal>
            <c:numRef>
              <c:f>Sheet2!$C$26:$C$34</c:f>
              <c:numCache>
                <c:formatCode>General</c:formatCode>
                <c:ptCount val="9"/>
                <c:pt idx="0">
                  <c:v>-0.1730769230769269</c:v>
                </c:pt>
                <c:pt idx="1">
                  <c:v>0.1538461538461533</c:v>
                </c:pt>
                <c:pt idx="2">
                  <c:v>-0.2692307692307665</c:v>
                </c:pt>
                <c:pt idx="3">
                  <c:v>0.1153846153846132</c:v>
                </c:pt>
                <c:pt idx="4">
                  <c:v>0.4423076923076934</c:v>
                </c:pt>
                <c:pt idx="5">
                  <c:v>1.9230769230773603E-2</c:v>
                </c:pt>
                <c:pt idx="6">
                  <c:v>7.6923076923080203E-2</c:v>
                </c:pt>
                <c:pt idx="7">
                  <c:v>-0.34615384615385381</c:v>
                </c:pt>
                <c:pt idx="8">
                  <c:v>-1.9230769230773603E-2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9D-4E9B-903B-AFF4D3599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02640"/>
        <c:axId val="1948279760"/>
      </c:scatterChart>
      <c:valAx>
        <c:axId val="194830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Levande-vikt, 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79760"/>
        <c:crosses val="autoZero"/>
        <c:crossBetween val="midCat"/>
      </c:valAx>
      <c:valAx>
        <c:axId val="1948279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302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Kull-storlek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MJ NEs/dag</c:v>
          </c:tx>
          <c:spPr>
            <a:ln w="19050">
              <a:noFill/>
            </a:ln>
          </c:spPr>
          <c:xVal>
            <c:numRef>
              <c:f>'Energi rek'!$O$19:$O$27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'Energi rek'!$R$19:$R$27</c:f>
              <c:numCache>
                <c:formatCode>0.0</c:formatCode>
                <c:ptCount val="9"/>
                <c:pt idx="0">
                  <c:v>41.25</c:v>
                </c:pt>
                <c:pt idx="1">
                  <c:v>52.5</c:v>
                </c:pt>
                <c:pt idx="2">
                  <c:v>63</c:v>
                </c:pt>
                <c:pt idx="3">
                  <c:v>62.25</c:v>
                </c:pt>
                <c:pt idx="4">
                  <c:v>73.5</c:v>
                </c:pt>
                <c:pt idx="5">
                  <c:v>84</c:v>
                </c:pt>
                <c:pt idx="6">
                  <c:v>72</c:v>
                </c:pt>
                <c:pt idx="7">
                  <c:v>82.5</c:v>
                </c:pt>
                <c:pt idx="8">
                  <c:v>93.75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4B-4272-A4EE-91B6BFCB5103}"/>
            </c:ext>
          </c:extLst>
        </c:ser>
        <c:ser>
          <c:idx val="1"/>
          <c:order val="1"/>
          <c:tx>
            <c:v>Predicted MJ NEs/dag</c:v>
          </c:tx>
          <c:spPr>
            <a:ln w="19050">
              <a:noFill/>
            </a:ln>
          </c:spPr>
          <c:xVal>
            <c:numRef>
              <c:f>'Energi rek'!$O$19:$O$27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Sheet2!$B$26:$B$34</c:f>
              <c:numCache>
                <c:formatCode>General</c:formatCode>
                <c:ptCount val="9"/>
                <c:pt idx="0">
                  <c:v>41.423076923076927</c:v>
                </c:pt>
                <c:pt idx="1">
                  <c:v>52.346153846153847</c:v>
                </c:pt>
                <c:pt idx="2">
                  <c:v>63.269230769230766</c:v>
                </c:pt>
                <c:pt idx="3">
                  <c:v>62.134615384615387</c:v>
                </c:pt>
                <c:pt idx="4">
                  <c:v>73.057692307692307</c:v>
                </c:pt>
                <c:pt idx="5">
                  <c:v>83.980769230769226</c:v>
                </c:pt>
                <c:pt idx="6">
                  <c:v>71.92307692307692</c:v>
                </c:pt>
                <c:pt idx="7">
                  <c:v>82.846153846153854</c:v>
                </c:pt>
                <c:pt idx="8">
                  <c:v>93.769230769230774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4B-4272-A4EE-91B6BFCB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9328"/>
        <c:axId val="1948296400"/>
      </c:scatterChart>
      <c:valAx>
        <c:axId val="194828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Kull-storlek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96400"/>
        <c:crosses val="autoZero"/>
        <c:crossBetween val="midCat"/>
      </c:valAx>
      <c:valAx>
        <c:axId val="1948296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MJ NEs/dag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48289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Levande-vikt, kg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MJ NEs/dag</c:v>
          </c:tx>
          <c:spPr>
            <a:ln w="19050">
              <a:noFill/>
            </a:ln>
          </c:spPr>
          <c:xVal>
            <c:numRef>
              <c:f>'Energi rek'!$P$19:$P$27</c:f>
              <c:numCache>
                <c:formatCode>General</c:formatCode>
                <c:ptCount val="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xVal>
          <c:yVal>
            <c:numRef>
              <c:f>'Energi rek'!$R$19:$R$27</c:f>
              <c:numCache>
                <c:formatCode>0.0</c:formatCode>
                <c:ptCount val="9"/>
                <c:pt idx="0">
                  <c:v>41.25</c:v>
                </c:pt>
                <c:pt idx="1">
                  <c:v>52.5</c:v>
                </c:pt>
                <c:pt idx="2">
                  <c:v>63</c:v>
                </c:pt>
                <c:pt idx="3">
                  <c:v>62.25</c:v>
                </c:pt>
                <c:pt idx="4">
                  <c:v>73.5</c:v>
                </c:pt>
                <c:pt idx="5">
                  <c:v>84</c:v>
                </c:pt>
                <c:pt idx="6">
                  <c:v>72</c:v>
                </c:pt>
                <c:pt idx="7">
                  <c:v>82.5</c:v>
                </c:pt>
                <c:pt idx="8">
                  <c:v>93.75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2C-4AF7-B642-28644BB22F11}"/>
            </c:ext>
          </c:extLst>
        </c:ser>
        <c:ser>
          <c:idx val="1"/>
          <c:order val="1"/>
          <c:tx>
            <c:v>Predicted MJ NEs/dag</c:v>
          </c:tx>
          <c:spPr>
            <a:ln w="19050">
              <a:noFill/>
            </a:ln>
          </c:spPr>
          <c:xVal>
            <c:numRef>
              <c:f>'Energi rek'!$P$19:$P$27</c:f>
              <c:numCache>
                <c:formatCode>General</c:formatCode>
                <c:ptCount val="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xVal>
          <c:yVal>
            <c:numRef>
              <c:f>Sheet2!$B$26:$B$34</c:f>
              <c:numCache>
                <c:formatCode>General</c:formatCode>
                <c:ptCount val="9"/>
                <c:pt idx="0">
                  <c:v>41.423076923076927</c:v>
                </c:pt>
                <c:pt idx="1">
                  <c:v>52.346153846153847</c:v>
                </c:pt>
                <c:pt idx="2">
                  <c:v>63.269230769230766</c:v>
                </c:pt>
                <c:pt idx="3">
                  <c:v>62.134615384615387</c:v>
                </c:pt>
                <c:pt idx="4">
                  <c:v>73.057692307692307</c:v>
                </c:pt>
                <c:pt idx="5">
                  <c:v>83.980769230769226</c:v>
                </c:pt>
                <c:pt idx="6">
                  <c:v>71.92307692307692</c:v>
                </c:pt>
                <c:pt idx="7">
                  <c:v>82.846153846153854</c:v>
                </c:pt>
                <c:pt idx="8">
                  <c:v>93.769230769230774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2C-4AF7-B642-28644BB2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93488"/>
        <c:axId val="1948295984"/>
      </c:scatterChart>
      <c:valAx>
        <c:axId val="194829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Levande-vikt, 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95984"/>
        <c:crosses val="autoZero"/>
        <c:crossBetween val="midCat"/>
      </c:valAx>
      <c:valAx>
        <c:axId val="1948295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MJ NEs/dag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48293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Sheet2!$F$26:$F$34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Sheet2!$G$26:$G$34</c:f>
              <c:numCache>
                <c:formatCode>General</c:formatCode>
                <c:ptCount val="9"/>
                <c:pt idx="0">
                  <c:v>41.25</c:v>
                </c:pt>
                <c:pt idx="1">
                  <c:v>52.5</c:v>
                </c:pt>
                <c:pt idx="2">
                  <c:v>62.25</c:v>
                </c:pt>
                <c:pt idx="3">
                  <c:v>63</c:v>
                </c:pt>
                <c:pt idx="4">
                  <c:v>72</c:v>
                </c:pt>
                <c:pt idx="5">
                  <c:v>73.5</c:v>
                </c:pt>
                <c:pt idx="6">
                  <c:v>82.5</c:v>
                </c:pt>
                <c:pt idx="7">
                  <c:v>84</c:v>
                </c:pt>
                <c:pt idx="8">
                  <c:v>93.75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8-4AC5-8673-12EED112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9328"/>
        <c:axId val="1948284752"/>
      </c:scatterChart>
      <c:valAx>
        <c:axId val="194828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84752"/>
        <c:crosses val="autoZero"/>
        <c:crossBetween val="midCat"/>
      </c:valAx>
      <c:valAx>
        <c:axId val="1948284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MJ NEs/dag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89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'Energi rek'!$C$4</c:f>
              <c:strCache>
                <c:ptCount val="1"/>
                <c:pt idx="0">
                  <c:v>MJ NEv/dag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57830271216098"/>
                  <c:y val="-5.06722076407115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rek'!$B$5:$B$9</c:f>
              <c:numCache>
                <c:formatCode>0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'Energi rek'!$C$5:$C$9</c:f>
              <c:numCache>
                <c:formatCode>0.0</c:formatCode>
                <c:ptCount val="5"/>
                <c:pt idx="0">
                  <c:v>6.2</c:v>
                </c:pt>
                <c:pt idx="1">
                  <c:v>8.3000000000000007</c:v>
                </c:pt>
                <c:pt idx="2">
                  <c:v>10.4</c:v>
                </c:pt>
                <c:pt idx="3">
                  <c:v>12.4</c:v>
                </c:pt>
                <c:pt idx="4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3-49D7-9F81-4CEE91319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34287"/>
        <c:axId val="1037527215"/>
      </c:scatterChart>
      <c:valAx>
        <c:axId val="103753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7215"/>
        <c:crosses val="autoZero"/>
        <c:crossBetween val="midCat"/>
      </c:valAx>
      <c:valAx>
        <c:axId val="10375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3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MJ NEv/dag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3184601924759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rek'!$C$28:$C$33</c:f>
              <c:numCache>
                <c:formatCode>General</c:formatCode>
                <c:ptCount val="6"/>
                <c:pt idx="0" formatCode="0">
                  <c:v>11</c:v>
                </c:pt>
                <c:pt idx="1">
                  <c:v>13.3</c:v>
                </c:pt>
                <c:pt idx="2">
                  <c:v>16.7</c:v>
                </c:pt>
                <c:pt idx="3">
                  <c:v>20.6</c:v>
                </c:pt>
                <c:pt idx="4" formatCode="0">
                  <c:v>25</c:v>
                </c:pt>
                <c:pt idx="5" formatCode="0">
                  <c:v>30</c:v>
                </c:pt>
              </c:numCache>
            </c:numRef>
          </c:xVal>
          <c:yVal>
            <c:numRef>
              <c:f>'Energi rek'!$D$28:$D$33</c:f>
              <c:numCache>
                <c:formatCode>General</c:formatCode>
                <c:ptCount val="6"/>
                <c:pt idx="0">
                  <c:v>6.6</c:v>
                </c:pt>
                <c:pt idx="1">
                  <c:v>7.7</c:v>
                </c:pt>
                <c:pt idx="2">
                  <c:v>9.1999999999999993</c:v>
                </c:pt>
                <c:pt idx="3">
                  <c:v>10.7</c:v>
                </c:pt>
                <c:pt idx="4">
                  <c:v>12.4</c:v>
                </c:pt>
                <c:pt idx="5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E-4094-9A4B-5E60E4B9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30959"/>
        <c:axId val="1037521807"/>
      </c:scatterChart>
      <c:valAx>
        <c:axId val="103753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1807"/>
        <c:crosses val="autoZero"/>
        <c:crossBetween val="midCat"/>
      </c:valAx>
      <c:valAx>
        <c:axId val="10375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3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'Energi rek'!$Q$4</c:f>
              <c:strCache>
                <c:ptCount val="1"/>
                <c:pt idx="0">
                  <c:v>MJ NEs/dag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026496687914009E-2"/>
                  <c:y val="0.2139051989362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rek'!$O$5:$O$9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</c:numCache>
            </c:numRef>
          </c:xVal>
          <c:yVal>
            <c:numRef>
              <c:f>'Energi rek'!$Q$5:$Q$9</c:f>
              <c:numCache>
                <c:formatCode>General</c:formatCode>
                <c:ptCount val="5"/>
                <c:pt idx="0">
                  <c:v>19.5</c:v>
                </c:pt>
                <c:pt idx="1">
                  <c:v>21.75</c:v>
                </c:pt>
                <c:pt idx="2">
                  <c:v>23.25</c:v>
                </c:pt>
                <c:pt idx="3">
                  <c:v>24.75</c:v>
                </c:pt>
                <c:pt idx="4">
                  <c:v>26.25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5-4D15-8280-B6F0B7F0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2256"/>
        <c:axId val="1948283504"/>
      </c:scatterChart>
      <c:valAx>
        <c:axId val="194828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3504"/>
        <c:crosses val="autoZero"/>
        <c:crossBetween val="midCat"/>
      </c:valAx>
      <c:valAx>
        <c:axId val="19482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'Energi rek'!$C$48</c:f>
              <c:strCache>
                <c:ptCount val="1"/>
                <c:pt idx="0">
                  <c:v>MJ NEv/dag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15179352580927"/>
                  <c:y val="-1.807017543859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rek'!$B$55:$B$60</c:f>
              <c:numCache>
                <c:formatCode>0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  <c:pt idx="5" formatCode="General">
                  <c:v>60</c:v>
                </c:pt>
              </c:numCache>
            </c:numRef>
          </c:xVal>
          <c:yVal>
            <c:numRef>
              <c:f>'Energi rek'!$C$55:$C$60</c:f>
              <c:numCache>
                <c:formatCode>General</c:formatCode>
                <c:ptCount val="6"/>
                <c:pt idx="0">
                  <c:v>14.8</c:v>
                </c:pt>
                <c:pt idx="1">
                  <c:v>16.5</c:v>
                </c:pt>
                <c:pt idx="2">
                  <c:v>18.2</c:v>
                </c:pt>
                <c:pt idx="3">
                  <c:v>19.899999999999999</c:v>
                </c:pt>
                <c:pt idx="4">
                  <c:v>21.6</c:v>
                </c:pt>
                <c:pt idx="5">
                  <c:v>23.3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EB-4908-B04E-3615DE19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04304"/>
        <c:axId val="1948303056"/>
      </c:scatterChart>
      <c:valAx>
        <c:axId val="19483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03056"/>
        <c:crosses val="autoZero"/>
        <c:crossBetween val="midCat"/>
      </c:valAx>
      <c:valAx>
        <c:axId val="19483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0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</xdr:row>
      <xdr:rowOff>180975</xdr:rowOff>
    </xdr:from>
    <xdr:to>
      <xdr:col>10</xdr:col>
      <xdr:colOff>276225</xdr:colOff>
      <xdr:row>13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19050</xdr:rowOff>
    </xdr:from>
    <xdr:to>
      <xdr:col>11</xdr:col>
      <xdr:colOff>466725</xdr:colOff>
      <xdr:row>36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76200</xdr:colOff>
      <xdr:row>2</xdr:row>
      <xdr:rowOff>180975</xdr:rowOff>
    </xdr:from>
    <xdr:to>
      <xdr:col>21</xdr:col>
      <xdr:colOff>361950</xdr:colOff>
      <xdr:row>13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257175</xdr:colOff>
      <xdr:row>47</xdr:row>
      <xdr:rowOff>47625</xdr:rowOff>
    </xdr:from>
    <xdr:to>
      <xdr:col>9</xdr:col>
      <xdr:colOff>104775</xdr:colOff>
      <xdr:row>58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1"/>
  <sheetViews>
    <sheetView tabSelected="1" zoomScale="80" zoomScaleNormal="80" workbookViewId="0">
      <pane ySplit="1" topLeftCell="A126" activePane="bottomLeft" state="frozen"/>
      <selection pane="bottomLeft" activeCell="B147" sqref="B147"/>
    </sheetView>
  </sheetViews>
  <sheetFormatPr defaultRowHeight="15" x14ac:dyDescent="0.25"/>
  <cols>
    <col min="1" max="1" width="14.28515625" bestFit="1" customWidth="1"/>
    <col min="2" max="2" width="15.5703125" customWidth="1"/>
    <col min="3" max="3" width="24" customWidth="1"/>
    <col min="4" max="4" width="24.5703125" bestFit="1" customWidth="1"/>
    <col min="7" max="7" width="28.7109375" customWidth="1"/>
    <col min="8" max="8" width="31.42578125" bestFit="1" customWidth="1"/>
  </cols>
  <sheetData>
    <row r="1" spans="1:16" x14ac:dyDescent="0.25">
      <c r="A1" t="s">
        <v>48</v>
      </c>
      <c r="B1" t="s">
        <v>21</v>
      </c>
      <c r="C1" t="s">
        <v>68</v>
      </c>
      <c r="D1" t="s">
        <v>0</v>
      </c>
      <c r="E1" t="s">
        <v>1</v>
      </c>
      <c r="F1" t="s">
        <v>3</v>
      </c>
      <c r="G1" t="s">
        <v>4</v>
      </c>
      <c r="H1" t="s">
        <v>5</v>
      </c>
    </row>
    <row r="2" spans="1:16" x14ac:dyDescent="0.25">
      <c r="A2" s="14" t="s">
        <v>72</v>
      </c>
      <c r="B2" s="8"/>
      <c r="C2" s="8"/>
      <c r="D2" s="8"/>
      <c r="E2" s="8"/>
      <c r="F2" s="8"/>
      <c r="G2" s="8"/>
      <c r="H2" s="8"/>
    </row>
    <row r="3" spans="1:16" x14ac:dyDescent="0.25">
      <c r="A3" t="s">
        <v>27</v>
      </c>
      <c r="D3" t="s">
        <v>2</v>
      </c>
      <c r="E3" s="3">
        <f>AVERAGE(2.23,2.24,2.23,2.23,2.24)</f>
        <v>2.2340000000000004</v>
      </c>
      <c r="F3" t="s">
        <v>31</v>
      </c>
      <c r="H3" t="s">
        <v>46</v>
      </c>
    </row>
    <row r="4" spans="1:16" x14ac:dyDescent="0.25">
      <c r="A4" t="s">
        <v>28</v>
      </c>
      <c r="D4" t="s">
        <v>2</v>
      </c>
      <c r="E4" s="3">
        <f>2.1/2.3*E3</f>
        <v>2.0397391304347829</v>
      </c>
      <c r="F4" t="s">
        <v>31</v>
      </c>
      <c r="H4" t="s">
        <v>154</v>
      </c>
    </row>
    <row r="5" spans="1:16" x14ac:dyDescent="0.25">
      <c r="A5" t="s">
        <v>27</v>
      </c>
      <c r="D5" t="s">
        <v>19</v>
      </c>
      <c r="E5" s="3">
        <f>AVERAGE(14,14.5,14.6,14.8,15)</f>
        <v>14.580000000000002</v>
      </c>
      <c r="F5" t="s">
        <v>31</v>
      </c>
      <c r="H5" t="s">
        <v>46</v>
      </c>
    </row>
    <row r="6" spans="1:16" x14ac:dyDescent="0.25">
      <c r="A6" t="s">
        <v>28</v>
      </c>
      <c r="D6" t="s">
        <v>19</v>
      </c>
      <c r="E6" s="3">
        <f>12.4/14.6*E5</f>
        <v>12.383013698630139</v>
      </c>
      <c r="F6" t="s">
        <v>31</v>
      </c>
      <c r="H6" t="s">
        <v>154</v>
      </c>
    </row>
    <row r="7" spans="1:16" x14ac:dyDescent="0.25">
      <c r="A7" t="s">
        <v>27</v>
      </c>
      <c r="D7" t="s">
        <v>20</v>
      </c>
      <c r="E7" s="3">
        <f>AVERAGE(1.2,1.2,1.3,1.3,1.3)</f>
        <v>1.26</v>
      </c>
      <c r="F7" t="s">
        <v>31</v>
      </c>
      <c r="H7" t="s">
        <v>46</v>
      </c>
    </row>
    <row r="8" spans="1:16" x14ac:dyDescent="0.25">
      <c r="A8" t="s">
        <v>28</v>
      </c>
      <c r="D8" t="s">
        <v>20</v>
      </c>
      <c r="E8" s="3">
        <f>E7/E5*E6</f>
        <v>1.0701369863013699</v>
      </c>
      <c r="F8" t="s">
        <v>31</v>
      </c>
      <c r="G8" t="s">
        <v>151</v>
      </c>
    </row>
    <row r="9" spans="1:16" x14ac:dyDescent="0.25">
      <c r="A9" t="s">
        <v>27</v>
      </c>
      <c r="D9" t="s">
        <v>38</v>
      </c>
      <c r="E9" s="3">
        <v>354</v>
      </c>
      <c r="F9" t="s">
        <v>37</v>
      </c>
      <c r="H9" t="s">
        <v>30</v>
      </c>
    </row>
    <row r="10" spans="1:16" x14ac:dyDescent="0.25">
      <c r="A10" t="s">
        <v>28</v>
      </c>
      <c r="D10" t="s">
        <v>38</v>
      </c>
      <c r="E10" s="3">
        <v>367</v>
      </c>
      <c r="F10" t="s">
        <v>37</v>
      </c>
      <c r="H10" t="s">
        <v>30</v>
      </c>
    </row>
    <row r="11" spans="1:16" x14ac:dyDescent="0.25">
      <c r="A11" t="s">
        <v>27</v>
      </c>
      <c r="D11" t="s">
        <v>247</v>
      </c>
      <c r="E11">
        <v>50</v>
      </c>
      <c r="F11" t="s">
        <v>23</v>
      </c>
      <c r="G11" t="s">
        <v>26</v>
      </c>
      <c r="H11" t="s">
        <v>30</v>
      </c>
    </row>
    <row r="12" spans="1:16" x14ac:dyDescent="0.25">
      <c r="A12" t="s">
        <v>28</v>
      </c>
      <c r="D12" t="s">
        <v>247</v>
      </c>
      <c r="E12">
        <v>40</v>
      </c>
      <c r="F12" t="s">
        <v>23</v>
      </c>
      <c r="G12" t="s">
        <v>26</v>
      </c>
      <c r="H12" t="s">
        <v>30</v>
      </c>
      <c r="P12" s="13"/>
    </row>
    <row r="13" spans="1:16" x14ac:dyDescent="0.25">
      <c r="D13" t="s">
        <v>152</v>
      </c>
      <c r="E13" s="13">
        <v>115</v>
      </c>
      <c r="F13" t="s">
        <v>37</v>
      </c>
      <c r="P13" s="13"/>
    </row>
    <row r="14" spans="1:16" x14ac:dyDescent="0.25">
      <c r="D14" t="s">
        <v>47</v>
      </c>
      <c r="E14">
        <v>1.0999999999999999E-2</v>
      </c>
      <c r="F14" t="s">
        <v>31</v>
      </c>
      <c r="G14" t="s">
        <v>17</v>
      </c>
      <c r="H14" t="s">
        <v>18</v>
      </c>
    </row>
    <row r="16" spans="1:16" x14ac:dyDescent="0.25">
      <c r="A16" s="14" t="s">
        <v>79</v>
      </c>
      <c r="B16" s="8"/>
      <c r="C16" s="8"/>
      <c r="D16" s="8"/>
      <c r="E16" s="8"/>
      <c r="F16" s="8"/>
      <c r="G16" s="8"/>
      <c r="H16" s="8"/>
    </row>
    <row r="17" spans="1:13" x14ac:dyDescent="0.25">
      <c r="D17" t="s">
        <v>75</v>
      </c>
      <c r="E17">
        <v>1.5</v>
      </c>
      <c r="F17" t="s">
        <v>76</v>
      </c>
      <c r="H17" s="15" t="s">
        <v>77</v>
      </c>
    </row>
    <row r="18" spans="1:13" x14ac:dyDescent="0.25">
      <c r="D18" t="s">
        <v>99</v>
      </c>
      <c r="E18">
        <v>10</v>
      </c>
      <c r="F18" t="s">
        <v>76</v>
      </c>
      <c r="G18" t="s">
        <v>155</v>
      </c>
      <c r="H18" s="15"/>
    </row>
    <row r="19" spans="1:13" x14ac:dyDescent="0.25">
      <c r="D19" t="s">
        <v>82</v>
      </c>
      <c r="E19">
        <v>30</v>
      </c>
      <c r="F19" t="s">
        <v>76</v>
      </c>
      <c r="G19" t="s">
        <v>155</v>
      </c>
      <c r="H19" t="s">
        <v>46</v>
      </c>
    </row>
    <row r="20" spans="1:13" x14ac:dyDescent="0.25">
      <c r="B20" t="s">
        <v>13</v>
      </c>
      <c r="D20" t="s">
        <v>78</v>
      </c>
      <c r="E20" s="13">
        <f>E45/0.75</f>
        <v>240.64979221760481</v>
      </c>
      <c r="F20" t="s">
        <v>76</v>
      </c>
      <c r="G20" t="s">
        <v>80</v>
      </c>
      <c r="H20" s="15"/>
    </row>
    <row r="21" spans="1:13" x14ac:dyDescent="0.25">
      <c r="B21" t="s">
        <v>14</v>
      </c>
      <c r="D21" t="s">
        <v>78</v>
      </c>
      <c r="E21" s="13">
        <f t="shared" ref="E21:E22" si="0">E46/0.75</f>
        <v>205.63847429519072</v>
      </c>
      <c r="F21" t="s">
        <v>76</v>
      </c>
      <c r="G21" t="s">
        <v>80</v>
      </c>
      <c r="H21" s="15"/>
    </row>
    <row r="22" spans="1:13" x14ac:dyDescent="0.25">
      <c r="D22" t="s">
        <v>81</v>
      </c>
      <c r="E22" s="13">
        <f t="shared" si="0"/>
        <v>122.41258802745277</v>
      </c>
      <c r="F22" t="s">
        <v>76</v>
      </c>
      <c r="G22" t="s">
        <v>80</v>
      </c>
      <c r="H22" s="15"/>
    </row>
    <row r="23" spans="1:13" x14ac:dyDescent="0.25">
      <c r="A23" s="14" t="s">
        <v>73</v>
      </c>
      <c r="B23" s="8"/>
      <c r="C23" s="8"/>
      <c r="D23" s="8"/>
      <c r="E23" s="8"/>
      <c r="F23" s="8"/>
      <c r="G23" s="8"/>
      <c r="H23" s="8"/>
    </row>
    <row r="24" spans="1:13" x14ac:dyDescent="0.25">
      <c r="A24" t="s">
        <v>27</v>
      </c>
      <c r="D24" t="s">
        <v>33</v>
      </c>
      <c r="E24">
        <v>33</v>
      </c>
      <c r="F24" t="s">
        <v>37</v>
      </c>
      <c r="H24" t="s">
        <v>30</v>
      </c>
    </row>
    <row r="25" spans="1:13" x14ac:dyDescent="0.25">
      <c r="A25" t="s">
        <v>28</v>
      </c>
      <c r="D25" t="s">
        <v>33</v>
      </c>
      <c r="E25">
        <v>42</v>
      </c>
      <c r="F25" t="s">
        <v>37</v>
      </c>
      <c r="H25" t="s">
        <v>30</v>
      </c>
    </row>
    <row r="26" spans="1:13" x14ac:dyDescent="0.25">
      <c r="A26" t="s">
        <v>27</v>
      </c>
      <c r="D26" t="s">
        <v>34</v>
      </c>
      <c r="E26">
        <v>42</v>
      </c>
      <c r="F26" t="s">
        <v>37</v>
      </c>
      <c r="H26" t="s">
        <v>30</v>
      </c>
    </row>
    <row r="27" spans="1:13" x14ac:dyDescent="0.25">
      <c r="A27" t="s">
        <v>28</v>
      </c>
      <c r="D27" t="s">
        <v>34</v>
      </c>
      <c r="E27">
        <v>38.5</v>
      </c>
      <c r="F27" t="s">
        <v>37</v>
      </c>
      <c r="H27" t="s">
        <v>30</v>
      </c>
    </row>
    <row r="28" spans="1:13" x14ac:dyDescent="0.25">
      <c r="A28" t="s">
        <v>27</v>
      </c>
      <c r="D28" t="s">
        <v>35</v>
      </c>
      <c r="E28">
        <v>37</v>
      </c>
      <c r="F28" t="s">
        <v>37</v>
      </c>
      <c r="H28" t="s">
        <v>30</v>
      </c>
    </row>
    <row r="29" spans="1:13" x14ac:dyDescent="0.25">
      <c r="A29" t="s">
        <v>28</v>
      </c>
      <c r="D29" t="s">
        <v>35</v>
      </c>
      <c r="E29">
        <v>38</v>
      </c>
      <c r="F29" t="s">
        <v>37</v>
      </c>
      <c r="H29" t="s">
        <v>30</v>
      </c>
    </row>
    <row r="30" spans="1:13" x14ac:dyDescent="0.25">
      <c r="A30" t="s">
        <v>27</v>
      </c>
      <c r="D30" t="s">
        <v>36</v>
      </c>
      <c r="E30">
        <v>67</v>
      </c>
      <c r="F30" t="s">
        <v>37</v>
      </c>
      <c r="H30" t="s">
        <v>30</v>
      </c>
    </row>
    <row r="31" spans="1:13" x14ac:dyDescent="0.25">
      <c r="A31" t="s">
        <v>28</v>
      </c>
      <c r="D31" t="s">
        <v>36</v>
      </c>
      <c r="E31">
        <v>68</v>
      </c>
      <c r="F31" t="s">
        <v>37</v>
      </c>
      <c r="H31" t="s">
        <v>30</v>
      </c>
      <c r="M31" s="6"/>
    </row>
    <row r="33" spans="1:14" x14ac:dyDescent="0.25">
      <c r="A33" s="14" t="s">
        <v>71</v>
      </c>
      <c r="B33" s="8"/>
      <c r="C33" s="8"/>
      <c r="D33" s="8"/>
      <c r="E33" s="8"/>
      <c r="F33" s="8"/>
      <c r="G33" s="8"/>
      <c r="H33" s="8"/>
    </row>
    <row r="34" spans="1:14" x14ac:dyDescent="0.25">
      <c r="A34" t="s">
        <v>27</v>
      </c>
      <c r="D34" t="s">
        <v>16</v>
      </c>
      <c r="E34">
        <f>AVERAGE(17.1,16.9,17.6,17.7,17.2)</f>
        <v>17.3</v>
      </c>
      <c r="F34" t="s">
        <v>23</v>
      </c>
      <c r="H34" t="s">
        <v>46</v>
      </c>
      <c r="N34" s="62"/>
    </row>
    <row r="35" spans="1:14" x14ac:dyDescent="0.25">
      <c r="A35" t="s">
        <v>28</v>
      </c>
      <c r="D35" t="s">
        <v>16</v>
      </c>
      <c r="E35" s="3">
        <f>21/18*E34</f>
        <v>20.183333333333337</v>
      </c>
      <c r="F35" t="s">
        <v>23</v>
      </c>
      <c r="H35" t="s">
        <v>154</v>
      </c>
    </row>
    <row r="36" spans="1:14" x14ac:dyDescent="0.25">
      <c r="A36" t="s">
        <v>27</v>
      </c>
      <c r="D36" t="s">
        <v>29</v>
      </c>
      <c r="E36" s="3">
        <f>AVERAGE(2.1,2,2,2,2)</f>
        <v>2.02</v>
      </c>
      <c r="F36" t="s">
        <v>23</v>
      </c>
      <c r="H36" t="s">
        <v>46</v>
      </c>
      <c r="M36" s="13"/>
    </row>
    <row r="37" spans="1:14" x14ac:dyDescent="0.25">
      <c r="A37" t="s">
        <v>28</v>
      </c>
      <c r="D37" t="s">
        <v>29</v>
      </c>
      <c r="E37" s="3">
        <f>4/2*E36</f>
        <v>4.04</v>
      </c>
      <c r="F37" t="s">
        <v>23</v>
      </c>
      <c r="H37" t="s">
        <v>154</v>
      </c>
    </row>
    <row r="38" spans="1:14" x14ac:dyDescent="0.25">
      <c r="B38" t="s">
        <v>13</v>
      </c>
      <c r="D38" t="s">
        <v>22</v>
      </c>
      <c r="E38">
        <v>7</v>
      </c>
      <c r="F38" t="s">
        <v>23</v>
      </c>
      <c r="G38" t="s">
        <v>26</v>
      </c>
      <c r="H38" t="s">
        <v>30</v>
      </c>
    </row>
    <row r="39" spans="1:14" x14ac:dyDescent="0.25">
      <c r="A39" t="s">
        <v>27</v>
      </c>
      <c r="B39" t="s">
        <v>24</v>
      </c>
      <c r="D39" t="s">
        <v>22</v>
      </c>
      <c r="E39" s="3">
        <v>1</v>
      </c>
      <c r="F39" t="s">
        <v>23</v>
      </c>
      <c r="H39" t="s">
        <v>30</v>
      </c>
    </row>
    <row r="40" spans="1:14" x14ac:dyDescent="0.25">
      <c r="A40" t="s">
        <v>28</v>
      </c>
      <c r="B40" t="s">
        <v>24</v>
      </c>
      <c r="D40" t="s">
        <v>22</v>
      </c>
      <c r="E40">
        <v>1.9</v>
      </c>
      <c r="F40" t="s">
        <v>23</v>
      </c>
      <c r="H40" t="s">
        <v>30</v>
      </c>
    </row>
    <row r="41" spans="1:14" x14ac:dyDescent="0.25">
      <c r="A41" t="s">
        <v>27</v>
      </c>
      <c r="B41" t="s">
        <v>25</v>
      </c>
      <c r="D41" t="s">
        <v>22</v>
      </c>
      <c r="E41">
        <v>1.8</v>
      </c>
      <c r="F41" t="s">
        <v>23</v>
      </c>
      <c r="H41" t="s">
        <v>30</v>
      </c>
    </row>
    <row r="42" spans="1:14" x14ac:dyDescent="0.25">
      <c r="A42" t="s">
        <v>28</v>
      </c>
      <c r="B42" t="s">
        <v>25</v>
      </c>
      <c r="D42" t="s">
        <v>22</v>
      </c>
      <c r="E42">
        <v>1.6</v>
      </c>
      <c r="F42" t="s">
        <v>23</v>
      </c>
      <c r="H42" t="s">
        <v>30</v>
      </c>
    </row>
    <row r="44" spans="1:14" x14ac:dyDescent="0.25">
      <c r="A44" s="14" t="s">
        <v>74</v>
      </c>
      <c r="B44" s="8"/>
      <c r="C44" s="8"/>
      <c r="D44" s="8"/>
      <c r="E44" s="8"/>
      <c r="F44" s="8"/>
      <c r="G44" s="8"/>
      <c r="H44" s="8"/>
    </row>
    <row r="45" spans="1:14" x14ac:dyDescent="0.25">
      <c r="B45" t="s">
        <v>13</v>
      </c>
      <c r="D45" t="s">
        <v>65</v>
      </c>
      <c r="E45" s="13">
        <v>180.4873441632036</v>
      </c>
      <c r="F45" t="s">
        <v>66</v>
      </c>
      <c r="H45" t="s">
        <v>67</v>
      </c>
    </row>
    <row r="46" spans="1:14" x14ac:dyDescent="0.25">
      <c r="B46" t="s">
        <v>14</v>
      </c>
      <c r="D46" t="s">
        <v>65</v>
      </c>
      <c r="E46" s="13">
        <v>154.22885572139305</v>
      </c>
      <c r="F46" t="s">
        <v>66</v>
      </c>
      <c r="H46" t="s">
        <v>67</v>
      </c>
    </row>
    <row r="47" spans="1:14" x14ac:dyDescent="0.25">
      <c r="B47" t="s">
        <v>25</v>
      </c>
      <c r="D47" t="s">
        <v>65</v>
      </c>
      <c r="E47" s="13">
        <v>91.809441020589574</v>
      </c>
      <c r="F47" t="s">
        <v>66</v>
      </c>
      <c r="H47" t="s">
        <v>67</v>
      </c>
    </row>
    <row r="48" spans="1:14" x14ac:dyDescent="0.25">
      <c r="D48" s="88" t="s">
        <v>65</v>
      </c>
      <c r="E48" s="89">
        <v>0</v>
      </c>
      <c r="F48" s="88"/>
      <c r="G48" s="88" t="s">
        <v>157</v>
      </c>
    </row>
    <row r="49" spans="1:8" x14ac:dyDescent="0.25">
      <c r="A49" s="14" t="s">
        <v>103</v>
      </c>
      <c r="B49" s="8"/>
      <c r="C49" s="8"/>
      <c r="D49" s="8"/>
      <c r="E49" s="8"/>
      <c r="F49" s="8"/>
      <c r="G49" s="8"/>
      <c r="H49" s="8"/>
    </row>
    <row r="50" spans="1:8" x14ac:dyDescent="0.25">
      <c r="B50" t="s">
        <v>15</v>
      </c>
      <c r="D50" t="s">
        <v>102</v>
      </c>
      <c r="E50" s="3">
        <v>19.5</v>
      </c>
      <c r="F50" t="s">
        <v>101</v>
      </c>
      <c r="G50" t="s">
        <v>153</v>
      </c>
      <c r="H50" t="s">
        <v>244</v>
      </c>
    </row>
    <row r="51" spans="1:8" x14ac:dyDescent="0.25">
      <c r="B51" t="s">
        <v>24</v>
      </c>
      <c r="D51" t="s">
        <v>102</v>
      </c>
      <c r="E51" s="3">
        <f>AVERAGE(26.4,25.7,25.4,25.8,25.3)</f>
        <v>25.72</v>
      </c>
      <c r="F51" t="s">
        <v>101</v>
      </c>
      <c r="G51" s="87" t="s">
        <v>156</v>
      </c>
      <c r="H51" t="s">
        <v>46</v>
      </c>
    </row>
    <row r="52" spans="1:8" x14ac:dyDescent="0.25">
      <c r="B52" t="s">
        <v>25</v>
      </c>
      <c r="D52" t="s">
        <v>102</v>
      </c>
      <c r="E52" s="3">
        <f>AVERAGE(26.4,25.7,25.4,25.8,25.3)</f>
        <v>25.72</v>
      </c>
      <c r="F52" t="s">
        <v>101</v>
      </c>
      <c r="G52" s="87" t="s">
        <v>156</v>
      </c>
      <c r="H52" t="s">
        <v>46</v>
      </c>
    </row>
    <row r="53" spans="1:8" x14ac:dyDescent="0.25">
      <c r="E53" s="13"/>
    </row>
    <row r="54" spans="1:8" x14ac:dyDescent="0.25">
      <c r="A54" s="14" t="s">
        <v>100</v>
      </c>
      <c r="B54" s="8"/>
      <c r="C54" s="8"/>
      <c r="D54" s="8"/>
      <c r="E54" s="8"/>
      <c r="F54" s="8"/>
      <c r="G54" s="8"/>
      <c r="H54" s="8"/>
    </row>
    <row r="55" spans="1:8" x14ac:dyDescent="0.25">
      <c r="D55" s="88"/>
      <c r="E55" s="88"/>
      <c r="F55" s="88"/>
      <c r="G55" s="88"/>
    </row>
    <row r="56" spans="1:8" x14ac:dyDescent="0.25">
      <c r="A56" s="170" t="s">
        <v>281</v>
      </c>
      <c r="B56" s="170"/>
      <c r="C56" s="170"/>
      <c r="D56" s="170"/>
      <c r="E56" s="171"/>
      <c r="F56" s="170"/>
      <c r="G56" s="170" t="s">
        <v>232</v>
      </c>
      <c r="H56" s="170" t="s">
        <v>244</v>
      </c>
    </row>
    <row r="57" spans="1:8" x14ac:dyDescent="0.25">
      <c r="A57" s="88" t="s">
        <v>27</v>
      </c>
      <c r="D57" s="88" t="s">
        <v>70</v>
      </c>
      <c r="E57" s="88">
        <v>0</v>
      </c>
      <c r="F57" s="88"/>
      <c r="G57" s="88" t="s">
        <v>157</v>
      </c>
    </row>
    <row r="58" spans="1:8" x14ac:dyDescent="0.25">
      <c r="A58" s="88" t="s">
        <v>27</v>
      </c>
      <c r="B58" s="88" t="s">
        <v>15</v>
      </c>
      <c r="D58" s="88" t="s">
        <v>70</v>
      </c>
      <c r="E58" s="89">
        <v>0</v>
      </c>
      <c r="F58" s="88"/>
      <c r="G58" s="88" t="s">
        <v>157</v>
      </c>
    </row>
    <row r="59" spans="1:8" x14ac:dyDescent="0.25">
      <c r="A59" s="88" t="s">
        <v>27</v>
      </c>
      <c r="B59" s="88" t="s">
        <v>24</v>
      </c>
      <c r="D59" s="88" t="s">
        <v>70</v>
      </c>
      <c r="E59" s="89">
        <v>0</v>
      </c>
      <c r="F59" s="88"/>
      <c r="G59" s="88" t="s">
        <v>157</v>
      </c>
    </row>
    <row r="60" spans="1:8" x14ac:dyDescent="0.25">
      <c r="A60" s="88" t="s">
        <v>27</v>
      </c>
      <c r="B60" s="88" t="s">
        <v>25</v>
      </c>
      <c r="D60" s="88" t="s">
        <v>70</v>
      </c>
      <c r="E60" s="89">
        <v>0</v>
      </c>
      <c r="F60" s="88"/>
      <c r="G60" s="88" t="s">
        <v>157</v>
      </c>
    </row>
    <row r="61" spans="1:8" x14ac:dyDescent="0.25">
      <c r="A61" s="93" t="s">
        <v>230</v>
      </c>
      <c r="B61" s="93"/>
      <c r="C61" s="93"/>
      <c r="D61" s="94"/>
      <c r="E61" s="94"/>
      <c r="F61" s="94"/>
      <c r="G61" s="94"/>
      <c r="H61" s="93"/>
    </row>
    <row r="62" spans="1:8" x14ac:dyDescent="0.25">
      <c r="A62" t="s">
        <v>27</v>
      </c>
      <c r="C62" t="s">
        <v>69</v>
      </c>
      <c r="D62" t="s">
        <v>70</v>
      </c>
      <c r="E62" s="62">
        <f>INDEX('feed rations'!$Q$8:$T$43,MATCH(C62,'feed rations'!$L$8:$L$43,0),MATCH(B62,'feed rations'!$Q$7:$T$7,0))</f>
        <v>39.939446969082496</v>
      </c>
      <c r="F62" t="s">
        <v>23</v>
      </c>
    </row>
    <row r="63" spans="1:8" x14ac:dyDescent="0.25">
      <c r="A63" t="s">
        <v>27</v>
      </c>
      <c r="C63" t="s">
        <v>158</v>
      </c>
      <c r="D63" t="s">
        <v>70</v>
      </c>
      <c r="E63" s="62">
        <f>INDEX('feed rations'!$Q$8:$T$43,MATCH(C63,'feed rations'!$L$8:$L$43,0),MATCH(B63,'feed rations'!$Q$7:$T$7,0))</f>
        <v>33.588951440574981</v>
      </c>
      <c r="F63" t="s">
        <v>23</v>
      </c>
    </row>
    <row r="64" spans="1:8" x14ac:dyDescent="0.25">
      <c r="A64" t="s">
        <v>27</v>
      </c>
      <c r="C64" t="s">
        <v>159</v>
      </c>
      <c r="D64" t="s">
        <v>70</v>
      </c>
      <c r="E64" s="62">
        <f>INDEX('feed rations'!$Q$8:$T$43,MATCH(C64,'feed rations'!$L$8:$L$43,0),MATCH(B64,'feed rations'!$Q$7:$T$7,0))</f>
        <v>4.876686724200181</v>
      </c>
      <c r="F64" t="s">
        <v>23</v>
      </c>
    </row>
    <row r="65" spans="1:6" x14ac:dyDescent="0.25">
      <c r="A65" t="s">
        <v>27</v>
      </c>
      <c r="C65" t="s">
        <v>160</v>
      </c>
      <c r="D65" t="s">
        <v>70</v>
      </c>
      <c r="E65" s="62">
        <f>INDEX('feed rations'!$Q$8:$T$43,MATCH(C65,'feed rations'!$L$8:$L$43,0),MATCH(B65,'feed rations'!$Q$7:$T$7,0))</f>
        <v>0.44754403481583932</v>
      </c>
      <c r="F65" t="s">
        <v>23</v>
      </c>
    </row>
    <row r="66" spans="1:6" x14ac:dyDescent="0.25">
      <c r="A66" t="s">
        <v>27</v>
      </c>
      <c r="C66" t="s">
        <v>163</v>
      </c>
      <c r="D66" t="s">
        <v>70</v>
      </c>
      <c r="E66" s="62">
        <f>INDEX('feed rations'!$Q$8:$T$43,MATCH(C66,'feed rations'!$L$8:$L$43,0),MATCH(B66,'feed rations'!$Q$7:$T$7,0))</f>
        <v>0.22377201740791966</v>
      </c>
      <c r="F66" t="s">
        <v>23</v>
      </c>
    </row>
    <row r="67" spans="1:6" x14ac:dyDescent="0.25">
      <c r="A67" t="s">
        <v>27</v>
      </c>
      <c r="C67" t="s">
        <v>216</v>
      </c>
      <c r="D67" t="s">
        <v>70</v>
      </c>
      <c r="E67" s="62">
        <f>INDEX('feed rations'!$Q$8:$T$43,MATCH(C67,'feed rations'!$L$8:$L$43,0),MATCH(B67,'feed rations'!$Q$7:$T$7,0))</f>
        <v>0.78553488869540378</v>
      </c>
      <c r="F67" t="s">
        <v>23</v>
      </c>
    </row>
    <row r="68" spans="1:6" x14ac:dyDescent="0.25">
      <c r="A68" t="s">
        <v>27</v>
      </c>
      <c r="C68" t="s">
        <v>217</v>
      </c>
      <c r="D68" t="s">
        <v>70</v>
      </c>
      <c r="E68" s="62">
        <f>INDEX('feed rations'!$Q$8:$T$43,MATCH(C68,'feed rations'!$L$8:$L$43,0),MATCH(B68,'feed rations'!$Q$7:$T$7,0))</f>
        <v>9.9145180126604351E-2</v>
      </c>
      <c r="F68" t="s">
        <v>23</v>
      </c>
    </row>
    <row r="69" spans="1:6" x14ac:dyDescent="0.25">
      <c r="A69" t="s">
        <v>27</v>
      </c>
      <c r="C69" t="s">
        <v>161</v>
      </c>
      <c r="D69" t="s">
        <v>70</v>
      </c>
      <c r="E69" s="62">
        <f>INDEX('feed rations'!$Q$8:$T$43,MATCH(C69,'feed rations'!$L$8:$L$43,0),MATCH(B69,'feed rations'!$Q$7:$T$7,0))</f>
        <v>0.35109057903656365</v>
      </c>
      <c r="F69" t="s">
        <v>23</v>
      </c>
    </row>
    <row r="70" spans="1:6" x14ac:dyDescent="0.25">
      <c r="A70" t="s">
        <v>27</v>
      </c>
      <c r="C70" t="s">
        <v>162</v>
      </c>
      <c r="D70" t="s">
        <v>70</v>
      </c>
      <c r="E70" s="62">
        <f>INDEX('feed rations'!$Q$8:$T$43,MATCH(C70,'feed rations'!$L$8:$L$43,0),MATCH(B70,'feed rations'!$Q$7:$T$7,0))</f>
        <v>0.13063835499034929</v>
      </c>
      <c r="F70" t="s">
        <v>23</v>
      </c>
    </row>
    <row r="71" spans="1:6" x14ac:dyDescent="0.25">
      <c r="A71" t="s">
        <v>27</v>
      </c>
      <c r="C71" t="s">
        <v>233</v>
      </c>
      <c r="D71" t="s">
        <v>70</v>
      </c>
      <c r="E71" s="62">
        <f>INDEX('feed rations'!$Q$8:$T$43,MATCH(C71,'feed rations'!$L$8:$L$43,0),MATCH(B71,'feed rations'!$Q$7:$T$7,0))</f>
        <v>0.20636553329519458</v>
      </c>
      <c r="F71" t="s">
        <v>23</v>
      </c>
    </row>
    <row r="72" spans="1:6" x14ac:dyDescent="0.25">
      <c r="A72" t="s">
        <v>27</v>
      </c>
      <c r="C72" t="s">
        <v>218</v>
      </c>
      <c r="D72" t="s">
        <v>70</v>
      </c>
      <c r="E72" s="62">
        <f>INDEX('feed rations'!$Q$8:$T$43,MATCH(C72,'feed rations'!$L$8:$L$43,0),MATCH(B72,'feed rations'!$Q$7:$T$7,0))</f>
        <v>6.9956121304172738</v>
      </c>
      <c r="F72" t="s">
        <v>23</v>
      </c>
    </row>
    <row r="73" spans="1:6" x14ac:dyDescent="0.25">
      <c r="A73" t="s">
        <v>27</v>
      </c>
      <c r="C73" t="s">
        <v>219</v>
      </c>
      <c r="D73" t="s">
        <v>70</v>
      </c>
      <c r="E73" s="62">
        <f>INDEX('feed rations'!$Q$8:$T$43,MATCH(C73,'feed rations'!$L$8:$L$43,0),MATCH(B73,'feed rations'!$Q$7:$T$7,0))</f>
        <v>3.2865954280882512</v>
      </c>
      <c r="F73" t="s">
        <v>23</v>
      </c>
    </row>
    <row r="74" spans="1:6" x14ac:dyDescent="0.25">
      <c r="A74" t="s">
        <v>27</v>
      </c>
      <c r="C74" t="s">
        <v>215</v>
      </c>
      <c r="D74" t="s">
        <v>70</v>
      </c>
      <c r="E74" s="62">
        <f>INDEX('feed rations'!$Q$8:$T$43,MATCH(C74,'feed rations'!$L$8:$L$43,0),MATCH(B74,'feed rations'!$Q$7:$T$7,0))</f>
        <v>0.44906934527932563</v>
      </c>
      <c r="F74" t="s">
        <v>23</v>
      </c>
    </row>
    <row r="75" spans="1:6" x14ac:dyDescent="0.25">
      <c r="A75" t="s">
        <v>27</v>
      </c>
      <c r="C75" t="s">
        <v>211</v>
      </c>
      <c r="D75" t="s">
        <v>70</v>
      </c>
      <c r="E75" s="62">
        <f>INDEX('feed rations'!$Q$8:$T$43,MATCH(C75,'feed rations'!$L$8:$L$43,0),MATCH(B75,'feed rations'!$Q$7:$T$7,0))</f>
        <v>0.13063835499034929</v>
      </c>
      <c r="F75" t="s">
        <v>23</v>
      </c>
    </row>
    <row r="76" spans="1:6" x14ac:dyDescent="0.25">
      <c r="A76" t="s">
        <v>27</v>
      </c>
      <c r="C76" t="s">
        <v>212</v>
      </c>
      <c r="D76" t="s">
        <v>70</v>
      </c>
      <c r="E76" s="62">
        <f>INDEX('feed rations'!$Q$8:$T$43,MATCH(C76,'feed rations'!$L$8:$L$43,0),MATCH(B76,'feed rations'!$Q$7:$T$7,0))</f>
        <v>3.1145942422939523</v>
      </c>
      <c r="F76" t="s">
        <v>23</v>
      </c>
    </row>
    <row r="77" spans="1:6" x14ac:dyDescent="0.25">
      <c r="A77" t="s">
        <v>27</v>
      </c>
      <c r="C77" t="s">
        <v>214</v>
      </c>
      <c r="D77" t="s">
        <v>70</v>
      </c>
      <c r="E77" s="62">
        <f>INDEX('feed rations'!$Q$8:$T$43,MATCH(C77,'feed rations'!$L$8:$L$43,0),MATCH(B77,'feed rations'!$Q$7:$T$7,0))</f>
        <v>2.3450302513926982</v>
      </c>
      <c r="F77" t="s">
        <v>23</v>
      </c>
    </row>
    <row r="78" spans="1:6" x14ac:dyDescent="0.25">
      <c r="A78" t="s">
        <v>27</v>
      </c>
      <c r="C78" t="s">
        <v>223</v>
      </c>
      <c r="D78" t="s">
        <v>70</v>
      </c>
      <c r="E78" s="62">
        <f>INDEX('feed rations'!$Q$8:$T$43,MATCH(C78,'feed rations'!$L$8:$L$43,0),MATCH(B78,'feed rations'!$Q$7:$T$7,0))</f>
        <v>0.13727794171375987</v>
      </c>
      <c r="F78" t="s">
        <v>23</v>
      </c>
    </row>
    <row r="79" spans="1:6" x14ac:dyDescent="0.25">
      <c r="A79" t="s">
        <v>27</v>
      </c>
      <c r="C79" t="s">
        <v>224</v>
      </c>
      <c r="D79" t="s">
        <v>70</v>
      </c>
      <c r="E79" s="62">
        <f>INDEX('feed rations'!$Q$8:$T$43,MATCH(C79,'feed rations'!$L$8:$L$43,0),MATCH(B79,'feed rations'!$Q$7:$T$7,0))</f>
        <v>0.59612721878837949</v>
      </c>
      <c r="F79" t="s">
        <v>23</v>
      </c>
    </row>
    <row r="80" spans="1:6" x14ac:dyDescent="0.25">
      <c r="A80" t="s">
        <v>27</v>
      </c>
      <c r="C80" t="s">
        <v>209</v>
      </c>
      <c r="D80" t="s">
        <v>70</v>
      </c>
      <c r="E80" s="62">
        <f>INDEX('feed rations'!$Q$8:$T$43,MATCH(C80,'feed rations'!$L$8:$L$43,0),MATCH(B80,'feed rations'!$Q$7:$T$7,0))</f>
        <v>0.35458982068809092</v>
      </c>
      <c r="F80" t="s">
        <v>23</v>
      </c>
    </row>
    <row r="81" spans="1:8" x14ac:dyDescent="0.25">
      <c r="A81" t="s">
        <v>27</v>
      </c>
      <c r="C81" t="s">
        <v>210</v>
      </c>
      <c r="D81" t="s">
        <v>70</v>
      </c>
      <c r="E81" s="62">
        <f>INDEX('feed rations'!$Q$8:$T$43,MATCH(C81,'feed rations'!$L$8:$L$43,0),MATCH(B81,'feed rations'!$Q$7:$T$7,0))</f>
        <v>0.69473405404551813</v>
      </c>
      <c r="F81" t="s">
        <v>23</v>
      </c>
    </row>
    <row r="82" spans="1:8" x14ac:dyDescent="0.25">
      <c r="A82" t="s">
        <v>27</v>
      </c>
      <c r="C82" t="s">
        <v>225</v>
      </c>
      <c r="D82" t="s">
        <v>70</v>
      </c>
      <c r="E82" s="62">
        <f>INDEX('feed rations'!$Q$8:$T$43,MATCH(C82,'feed rations'!$L$8:$L$43,0),MATCH(B82,'feed rations'!$Q$7:$T$7,0))</f>
        <v>1.0649538207770974</v>
      </c>
      <c r="F82" t="s">
        <v>23</v>
      </c>
    </row>
    <row r="83" spans="1:8" x14ac:dyDescent="0.25">
      <c r="A83" t="s">
        <v>27</v>
      </c>
      <c r="C83" t="s">
        <v>222</v>
      </c>
      <c r="D83" t="s">
        <v>70</v>
      </c>
      <c r="E83" s="62">
        <f>INDEX('feed rations'!$Q$8:$T$43,MATCH(C83,'feed rations'!$L$8:$L$43,0),MATCH(B83,'feed rations'!$Q$7:$T$7,0))</f>
        <v>0.18160166929977128</v>
      </c>
      <c r="F83" t="s">
        <v>23</v>
      </c>
    </row>
    <row r="84" spans="1:8" x14ac:dyDescent="0.25">
      <c r="A84" s="93" t="s">
        <v>231</v>
      </c>
      <c r="B84" s="93"/>
      <c r="C84" s="93"/>
      <c r="D84" s="94"/>
      <c r="E84" s="95"/>
      <c r="F84" s="94"/>
      <c r="G84" s="94"/>
      <c r="H84" s="93"/>
    </row>
    <row r="85" spans="1:8" x14ac:dyDescent="0.25">
      <c r="A85" t="s">
        <v>27</v>
      </c>
      <c r="B85" t="s">
        <v>15</v>
      </c>
      <c r="C85" t="s">
        <v>69</v>
      </c>
      <c r="D85" t="s">
        <v>70</v>
      </c>
      <c r="E85" s="62">
        <f>INDEX('feed rations'!$Q$8:$T$43,MATCH(C85,'feed rations'!$L$8:$L$43,0),MATCH(B85,'feed rations'!$Q$7:$T$7,0))</f>
        <v>37.344664381805039</v>
      </c>
      <c r="F85" t="s">
        <v>23</v>
      </c>
    </row>
    <row r="86" spans="1:8" x14ac:dyDescent="0.25">
      <c r="A86" t="s">
        <v>27</v>
      </c>
      <c r="B86" t="s">
        <v>15</v>
      </c>
      <c r="C86" t="s">
        <v>158</v>
      </c>
      <c r="D86" t="s">
        <v>70</v>
      </c>
      <c r="E86" s="62">
        <f>INDEX('feed rations'!$Q$8:$T$43,MATCH(C86,'feed rations'!$L$8:$L$43,0),MATCH(B86,'feed rations'!$Q$7:$T$7,0))</f>
        <v>33.835769741903896</v>
      </c>
      <c r="F86" t="s">
        <v>23</v>
      </c>
    </row>
    <row r="87" spans="1:8" x14ac:dyDescent="0.25">
      <c r="A87" t="s">
        <v>27</v>
      </c>
      <c r="B87" t="s">
        <v>15</v>
      </c>
      <c r="C87" t="s">
        <v>159</v>
      </c>
      <c r="D87" t="s">
        <v>70</v>
      </c>
      <c r="E87" s="62">
        <f>INDEX('feed rations'!$Q$8:$T$43,MATCH(C87,'feed rations'!$L$8:$L$43,0),MATCH(B87,'feed rations'!$Q$7:$T$7,0))</f>
        <v>7.2684246112238</v>
      </c>
      <c r="F87" t="s">
        <v>23</v>
      </c>
    </row>
    <row r="88" spans="1:8" x14ac:dyDescent="0.25">
      <c r="A88" t="s">
        <v>27</v>
      </c>
      <c r="B88" t="s">
        <v>15</v>
      </c>
      <c r="C88" t="s">
        <v>163</v>
      </c>
      <c r="D88" t="s">
        <v>70</v>
      </c>
      <c r="E88" s="62">
        <f>INDEX('feed rations'!$Q$8:$T$43,MATCH(C88,'feed rations'!$L$8:$L$43,0),MATCH(B88,'feed rations'!$Q$7:$T$7,0))</f>
        <v>1.7544473199505721</v>
      </c>
      <c r="F88" t="s">
        <v>23</v>
      </c>
    </row>
    <row r="89" spans="1:8" x14ac:dyDescent="0.25">
      <c r="A89" t="s">
        <v>27</v>
      </c>
      <c r="B89" t="s">
        <v>15</v>
      </c>
      <c r="C89" t="s">
        <v>216</v>
      </c>
      <c r="D89" t="s">
        <v>70</v>
      </c>
      <c r="E89" s="62">
        <f>INDEX('feed rations'!$Q$8:$T$43,MATCH(C89,'feed rations'!$L$8:$L$43,0),MATCH(B89,'feed rations'!$Q$7:$T$7,0))</f>
        <v>0.24772096710265556</v>
      </c>
      <c r="F89" t="s">
        <v>23</v>
      </c>
    </row>
    <row r="90" spans="1:8" x14ac:dyDescent="0.25">
      <c r="A90" t="s">
        <v>27</v>
      </c>
      <c r="B90" t="s">
        <v>15</v>
      </c>
      <c r="C90" t="s">
        <v>217</v>
      </c>
      <c r="D90" t="s">
        <v>70</v>
      </c>
      <c r="E90" s="62">
        <f>INDEX('feed rations'!$Q$8:$T$43,MATCH(C90,'feed rations'!$L$8:$L$43,0),MATCH(B90,'feed rations'!$Q$7:$T$7,0))</f>
        <v>0.74316290130796658</v>
      </c>
      <c r="F90" t="s">
        <v>23</v>
      </c>
    </row>
    <row r="91" spans="1:8" x14ac:dyDescent="0.25">
      <c r="A91" t="s">
        <v>27</v>
      </c>
      <c r="B91" t="s">
        <v>15</v>
      </c>
      <c r="C91" t="s">
        <v>233</v>
      </c>
      <c r="D91" t="s">
        <v>70</v>
      </c>
      <c r="E91" s="62">
        <f>INDEX('feed rations'!$Q$8:$T$43,MATCH(C91,'feed rations'!$L$8:$L$43,0),MATCH(B91,'feed rations'!$Q$7:$T$7,0))</f>
        <v>1.4571821594273857</v>
      </c>
      <c r="F91" t="s">
        <v>23</v>
      </c>
    </row>
    <row r="92" spans="1:8" x14ac:dyDescent="0.25">
      <c r="A92" t="s">
        <v>27</v>
      </c>
      <c r="B92" t="s">
        <v>15</v>
      </c>
      <c r="C92" t="s">
        <v>218</v>
      </c>
      <c r="D92" t="s">
        <v>70</v>
      </c>
      <c r="E92" s="62">
        <f>INDEX('feed rations'!$Q$8:$T$43,MATCH(C92,'feed rations'!$L$8:$L$43,0),MATCH(B92,'feed rations'!$Q$7:$T$7,0))</f>
        <v>7.1809936816581557</v>
      </c>
      <c r="F92" t="s">
        <v>23</v>
      </c>
    </row>
    <row r="93" spans="1:8" x14ac:dyDescent="0.25">
      <c r="A93" t="s">
        <v>27</v>
      </c>
      <c r="B93" t="s">
        <v>15</v>
      </c>
      <c r="C93" t="s">
        <v>220</v>
      </c>
      <c r="D93" t="s">
        <v>70</v>
      </c>
      <c r="E93" s="62">
        <f>INDEX('feed rations'!$Q$8:$T$43,MATCH(C93,'feed rations'!$L$8:$L$43,0),MATCH(B93,'feed rations'!$Q$7:$T$7,0))</f>
        <v>2.2819472616632859</v>
      </c>
      <c r="F93" t="s">
        <v>23</v>
      </c>
    </row>
    <row r="94" spans="1:8" x14ac:dyDescent="0.25">
      <c r="A94" t="s">
        <v>27</v>
      </c>
      <c r="B94" t="s">
        <v>15</v>
      </c>
      <c r="C94" t="s">
        <v>219</v>
      </c>
      <c r="D94" t="s">
        <v>70</v>
      </c>
      <c r="E94" s="62">
        <f>INDEX('feed rations'!$Q$8:$T$43,MATCH(C94,'feed rations'!$L$8:$L$43,0),MATCH(B94,'feed rations'!$Q$7:$T$7,0))</f>
        <v>0</v>
      </c>
      <c r="F94" t="s">
        <v>23</v>
      </c>
      <c r="G94" t="s">
        <v>246</v>
      </c>
    </row>
    <row r="95" spans="1:8" x14ac:dyDescent="0.25">
      <c r="A95" t="s">
        <v>27</v>
      </c>
      <c r="B95" t="s">
        <v>15</v>
      </c>
      <c r="C95" t="s">
        <v>214</v>
      </c>
      <c r="D95" t="s">
        <v>70</v>
      </c>
      <c r="E95" s="62">
        <f>INDEX('feed rations'!$Q$8:$T$43,MATCH(C95,'feed rations'!$L$8:$L$43,0),MATCH(B95,'feed rations'!$Q$7:$T$7,0))</f>
        <v>1.2823203002960992</v>
      </c>
      <c r="F95" t="s">
        <v>23</v>
      </c>
    </row>
    <row r="96" spans="1:8" x14ac:dyDescent="0.25">
      <c r="A96" t="s">
        <v>27</v>
      </c>
      <c r="B96" t="s">
        <v>15</v>
      </c>
      <c r="C96" t="s">
        <v>225</v>
      </c>
      <c r="D96" t="s">
        <v>70</v>
      </c>
      <c r="E96" s="62">
        <f>INDEX('feed rations'!$Q$8:$T$43,MATCH(C96,'feed rations'!$L$8:$L$43,0),MATCH(B96,'feed rations'!$Q$7:$T$7,0))</f>
        <v>1.7626075400433656</v>
      </c>
      <c r="F96" t="s">
        <v>23</v>
      </c>
    </row>
    <row r="97" spans="1:8" x14ac:dyDescent="0.25">
      <c r="A97" t="s">
        <v>27</v>
      </c>
      <c r="B97" t="s">
        <v>15</v>
      </c>
      <c r="C97" t="s">
        <v>229</v>
      </c>
      <c r="D97" t="s">
        <v>70</v>
      </c>
      <c r="E97" s="62">
        <f>INDEX('feed rations'!$Q$8:$T$43,MATCH(C97,'feed rations'!$L$8:$L$43,0),MATCH(B97,'feed rations'!$Q$7:$T$7,0))</f>
        <v>0.2826933389289128</v>
      </c>
      <c r="F97" t="s">
        <v>23</v>
      </c>
    </row>
    <row r="98" spans="1:8" x14ac:dyDescent="0.25">
      <c r="A98" t="s">
        <v>27</v>
      </c>
      <c r="B98" t="s">
        <v>15</v>
      </c>
      <c r="C98" t="s">
        <v>221</v>
      </c>
      <c r="D98" t="s">
        <v>70</v>
      </c>
      <c r="E98" s="62">
        <f>INDEX('feed rations'!$Q$8:$T$43,MATCH(C98,'feed rations'!$L$8:$L$43,0),MATCH(B98,'feed rations'!$Q$7:$T$7,0))</f>
        <v>1.3406075866731948</v>
      </c>
      <c r="F98" t="s">
        <v>23</v>
      </c>
    </row>
    <row r="99" spans="1:8" x14ac:dyDescent="0.25">
      <c r="A99" t="s">
        <v>27</v>
      </c>
      <c r="B99" t="s">
        <v>15</v>
      </c>
      <c r="C99" t="s">
        <v>222</v>
      </c>
      <c r="D99" t="s">
        <v>70</v>
      </c>
      <c r="E99" s="62">
        <f>INDEX('feed rations'!$Q$8:$T$43,MATCH(C99,'feed rations'!$L$8:$L$43,0),MATCH(B99,'feed rations'!$Q$7:$T$7,0))</f>
        <v>3.2174582080156675</v>
      </c>
      <c r="F99" t="s">
        <v>23</v>
      </c>
    </row>
    <row r="100" spans="1:8" x14ac:dyDescent="0.25">
      <c r="A100" s="93" t="s">
        <v>279</v>
      </c>
      <c r="B100" s="93"/>
      <c r="C100" s="93"/>
      <c r="D100" s="94"/>
      <c r="E100" s="95"/>
      <c r="F100" s="94"/>
      <c r="G100" s="94"/>
      <c r="H100" s="93"/>
    </row>
    <row r="101" spans="1:8" x14ac:dyDescent="0.25">
      <c r="A101" t="s">
        <v>27</v>
      </c>
      <c r="B101" t="s">
        <v>24</v>
      </c>
      <c r="C101" t="s">
        <v>69</v>
      </c>
      <c r="D101" t="s">
        <v>70</v>
      </c>
      <c r="E101" s="62">
        <f>INDEX('feed rations'!$Q$8:$T$43,MATCH(C101,'feed rations'!$L$8:$L$43,0),MATCH(B101,'feed rations'!$Q$7:$T$7,0))</f>
        <v>31.302145183860713</v>
      </c>
      <c r="F101" t="s">
        <v>23</v>
      </c>
    </row>
    <row r="102" spans="1:8" x14ac:dyDescent="0.25">
      <c r="A102" t="s">
        <v>27</v>
      </c>
      <c r="B102" t="s">
        <v>24</v>
      </c>
      <c r="C102" t="s">
        <v>158</v>
      </c>
      <c r="D102" t="s">
        <v>70</v>
      </c>
      <c r="E102" s="62">
        <f>INDEX('feed rations'!$Q$8:$T$43,MATCH(C102,'feed rations'!$L$8:$L$43,0),MATCH(B102,'feed rations'!$Q$7:$T$7,0))</f>
        <v>24.045914241116183</v>
      </c>
      <c r="F102" t="s">
        <v>23</v>
      </c>
    </row>
    <row r="103" spans="1:8" x14ac:dyDescent="0.25">
      <c r="A103" t="s">
        <v>27</v>
      </c>
      <c r="B103" t="s">
        <v>24</v>
      </c>
      <c r="C103" t="s">
        <v>159</v>
      </c>
      <c r="D103" t="s">
        <v>70</v>
      </c>
      <c r="E103" s="62">
        <f>INDEX('feed rations'!$Q$8:$T$43,MATCH(C103,'feed rations'!$L$8:$L$43,0),MATCH(B103,'feed rations'!$Q$7:$T$7,0))</f>
        <v>4.0526821754690197</v>
      </c>
      <c r="F103" t="s">
        <v>23</v>
      </c>
    </row>
    <row r="104" spans="1:8" x14ac:dyDescent="0.25">
      <c r="A104" t="s">
        <v>27</v>
      </c>
      <c r="B104" t="s">
        <v>24</v>
      </c>
      <c r="C104" t="s">
        <v>160</v>
      </c>
      <c r="D104" t="s">
        <v>70</v>
      </c>
      <c r="E104" s="62">
        <f>INDEX('feed rations'!$Q$8:$T$43,MATCH(C104,'feed rations'!$L$8:$L$43,0),MATCH(B104,'feed rations'!$Q$7:$T$7,0))</f>
        <v>3.7825033637710859</v>
      </c>
      <c r="F104" t="s">
        <v>23</v>
      </c>
    </row>
    <row r="105" spans="1:8" x14ac:dyDescent="0.25">
      <c r="A105" t="s">
        <v>27</v>
      </c>
      <c r="B105" t="s">
        <v>24</v>
      </c>
      <c r="C105" t="s">
        <v>163</v>
      </c>
      <c r="D105" t="s">
        <v>70</v>
      </c>
      <c r="E105" s="62">
        <f>INDEX('feed rations'!$Q$8:$T$43,MATCH(C105,'feed rations'!$L$8:$L$43,0),MATCH(B105,'feed rations'!$Q$7:$T$7,0))</f>
        <v>7.7193946199409905E-2</v>
      </c>
      <c r="F105" t="s">
        <v>23</v>
      </c>
    </row>
    <row r="106" spans="1:8" x14ac:dyDescent="0.25">
      <c r="A106" t="s">
        <v>27</v>
      </c>
      <c r="B106" t="s">
        <v>24</v>
      </c>
      <c r="C106" t="s">
        <v>216</v>
      </c>
      <c r="D106" t="s">
        <v>70</v>
      </c>
      <c r="E106" s="62">
        <f>INDEX('feed rations'!$Q$8:$T$43,MATCH(C106,'feed rations'!$L$8:$L$43,0),MATCH(B106,'feed rations'!$Q$7:$T$7,0))</f>
        <v>0.45777805304301217</v>
      </c>
      <c r="F106" t="s">
        <v>23</v>
      </c>
    </row>
    <row r="107" spans="1:8" x14ac:dyDescent="0.25">
      <c r="A107" t="s">
        <v>27</v>
      </c>
      <c r="B107" t="s">
        <v>24</v>
      </c>
      <c r="C107" t="s">
        <v>217</v>
      </c>
      <c r="D107" t="s">
        <v>70</v>
      </c>
      <c r="E107" s="62">
        <f>INDEX('feed rations'!$Q$8:$T$43,MATCH(C107,'feed rations'!$L$8:$L$43,0),MATCH(B107,'feed rations'!$Q$7:$T$7,0))</f>
        <v>7.74407873064429</v>
      </c>
      <c r="F107" t="s">
        <v>23</v>
      </c>
    </row>
    <row r="108" spans="1:8" x14ac:dyDescent="0.25">
      <c r="A108" t="s">
        <v>27</v>
      </c>
      <c r="B108" t="s">
        <v>24</v>
      </c>
      <c r="C108" t="s">
        <v>218</v>
      </c>
      <c r="D108" t="s">
        <v>70</v>
      </c>
      <c r="E108" s="62">
        <f>INDEX('feed rations'!$Q$8:$T$43,MATCH(C108,'feed rations'!$L$8:$L$43,0),MATCH(B108,'feed rations'!$Q$7:$T$7,0))</f>
        <v>2.8436095530201233</v>
      </c>
      <c r="F108" t="s">
        <v>23</v>
      </c>
    </row>
    <row r="109" spans="1:8" x14ac:dyDescent="0.25">
      <c r="A109" t="s">
        <v>27</v>
      </c>
      <c r="B109" t="s">
        <v>24</v>
      </c>
      <c r="C109" t="s">
        <v>219</v>
      </c>
      <c r="D109" t="s">
        <v>70</v>
      </c>
      <c r="E109" s="62">
        <f>INDEX('feed rations'!$Q$8:$T$43,MATCH(C109,'feed rations'!$L$8:$L$43,0),MATCH(B109,'feed rations'!$Q$7:$T$7,0))</f>
        <v>3.5141197601242991</v>
      </c>
      <c r="F109" t="s">
        <v>23</v>
      </c>
    </row>
    <row r="110" spans="1:8" x14ac:dyDescent="0.25">
      <c r="A110" t="s">
        <v>27</v>
      </c>
      <c r="B110" t="s">
        <v>24</v>
      </c>
      <c r="C110" t="s">
        <v>215</v>
      </c>
      <c r="D110" t="s">
        <v>70</v>
      </c>
      <c r="E110" s="62">
        <f>INDEX('feed rations'!$Q$8:$T$43,MATCH(C110,'feed rations'!$L$8:$L$43,0),MATCH(B110,'feed rations'!$Q$7:$T$7,0))</f>
        <v>0.16336393265456514</v>
      </c>
      <c r="F110" t="s">
        <v>23</v>
      </c>
    </row>
    <row r="111" spans="1:8" x14ac:dyDescent="0.25">
      <c r="A111" t="s">
        <v>27</v>
      </c>
      <c r="B111" t="s">
        <v>24</v>
      </c>
      <c r="C111" t="s">
        <v>212</v>
      </c>
      <c r="D111" t="s">
        <v>70</v>
      </c>
      <c r="E111" s="62">
        <f>INDEX('feed rations'!$Q$8:$T$43,MATCH(C111,'feed rations'!$L$8:$L$43,0),MATCH(B111,'feed rations'!$Q$7:$T$7,0))</f>
        <v>8.277704323848349</v>
      </c>
      <c r="F111" t="s">
        <v>23</v>
      </c>
    </row>
    <row r="112" spans="1:8" x14ac:dyDescent="0.25">
      <c r="A112" t="s">
        <v>27</v>
      </c>
      <c r="B112" t="s">
        <v>24</v>
      </c>
      <c r="C112" t="s">
        <v>214</v>
      </c>
      <c r="D112" t="s">
        <v>70</v>
      </c>
      <c r="E112" s="62">
        <f>INDEX('feed rations'!$Q$8:$T$43,MATCH(C112,'feed rations'!$L$8:$L$43,0),MATCH(B112,'feed rations'!$Q$7:$T$7,0))</f>
        <v>0.86888069675614876</v>
      </c>
      <c r="F112" t="s">
        <v>23</v>
      </c>
    </row>
    <row r="113" spans="1:6" x14ac:dyDescent="0.25">
      <c r="A113" t="s">
        <v>27</v>
      </c>
      <c r="B113" t="s">
        <v>24</v>
      </c>
      <c r="C113" t="s">
        <v>223</v>
      </c>
      <c r="D113" t="s">
        <v>70</v>
      </c>
      <c r="E113" s="62">
        <f>INDEX('feed rations'!$Q$8:$T$43,MATCH(C113,'feed rations'!$L$8:$L$43,0),MATCH(B113,'feed rations'!$Q$7:$T$7,0))</f>
        <v>0.16156872460341609</v>
      </c>
      <c r="F113" t="s">
        <v>23</v>
      </c>
    </row>
    <row r="114" spans="1:6" x14ac:dyDescent="0.25">
      <c r="A114" t="s">
        <v>27</v>
      </c>
      <c r="B114" t="s">
        <v>24</v>
      </c>
      <c r="C114" t="s">
        <v>224</v>
      </c>
      <c r="D114" t="s">
        <v>70</v>
      </c>
      <c r="E114" s="62">
        <f>INDEX('feed rations'!$Q$8:$T$43,MATCH(C114,'feed rations'!$L$8:$L$43,0),MATCH(B114,'feed rations'!$Q$7:$T$7,0))</f>
        <v>4.6933021685215648</v>
      </c>
      <c r="F114" t="s">
        <v>23</v>
      </c>
    </row>
    <row r="115" spans="1:6" x14ac:dyDescent="0.25">
      <c r="A115" t="s">
        <v>27</v>
      </c>
      <c r="B115" t="s">
        <v>24</v>
      </c>
      <c r="C115" t="s">
        <v>227</v>
      </c>
      <c r="D115" t="s">
        <v>70</v>
      </c>
      <c r="E115" s="62">
        <f>INDEX('feed rations'!$Q$8:$T$43,MATCH(C115,'feed rations'!$L$8:$L$43,0),MATCH(B115,'feed rations'!$Q$7:$T$7,0))</f>
        <v>3.554511941275154</v>
      </c>
      <c r="F115" t="s">
        <v>23</v>
      </c>
    </row>
    <row r="116" spans="1:6" x14ac:dyDescent="0.25">
      <c r="A116" t="s">
        <v>27</v>
      </c>
      <c r="B116" t="s">
        <v>24</v>
      </c>
      <c r="C116" t="s">
        <v>209</v>
      </c>
      <c r="D116" t="s">
        <v>70</v>
      </c>
      <c r="E116" s="62">
        <f>INDEX('feed rations'!$Q$8:$T$43,MATCH(C116,'feed rations'!$L$8:$L$43,0),MATCH(B116,'feed rations'!$Q$7:$T$7,0))</f>
        <v>0.10232685891549684</v>
      </c>
      <c r="F116" t="s">
        <v>23</v>
      </c>
    </row>
    <row r="117" spans="1:6" x14ac:dyDescent="0.25">
      <c r="A117" t="s">
        <v>27</v>
      </c>
      <c r="B117" t="s">
        <v>24</v>
      </c>
      <c r="C117" t="s">
        <v>225</v>
      </c>
      <c r="D117" t="s">
        <v>70</v>
      </c>
      <c r="E117" s="62">
        <f>INDEX('feed rations'!$Q$8:$T$43,MATCH(C117,'feed rations'!$L$8:$L$43,0),MATCH(B117,'feed rations'!$Q$7:$T$7,0))</f>
        <v>4.3583163461771495</v>
      </c>
      <c r="F117" t="s">
        <v>23</v>
      </c>
    </row>
    <row r="118" spans="1:6" x14ac:dyDescent="0.25">
      <c r="A118" t="s">
        <v>27</v>
      </c>
      <c r="B118" t="s">
        <v>24</v>
      </c>
      <c r="C118" t="s">
        <v>221</v>
      </c>
      <c r="D118" t="s">
        <v>70</v>
      </c>
      <c r="E118" s="62">
        <f>INDEX('feed rations'!$Q$8:$T$43,MATCH(C118,'feed rations'!$L$8:$L$43,0),MATCH(B118,'feed rations'!$Q$7:$T$7,0))</f>
        <v>0</v>
      </c>
      <c r="F118" t="s">
        <v>23</v>
      </c>
    </row>
    <row r="119" spans="1:6" x14ac:dyDescent="0.25">
      <c r="A119" t="s">
        <v>27</v>
      </c>
      <c r="B119" t="s">
        <v>25</v>
      </c>
      <c r="C119" t="s">
        <v>69</v>
      </c>
      <c r="D119" t="s">
        <v>70</v>
      </c>
      <c r="E119" s="62">
        <f>INDEX('feed rations'!$Q$8:$T$43,MATCH(C119,'feed rations'!$L$8:$L$43,0),MATCH(B119,'feed rations'!$Q$7:$T$7,0))</f>
        <v>31.302145183860713</v>
      </c>
      <c r="F119" t="s">
        <v>23</v>
      </c>
    </row>
    <row r="120" spans="1:6" x14ac:dyDescent="0.25">
      <c r="A120" t="s">
        <v>27</v>
      </c>
      <c r="B120" t="s">
        <v>25</v>
      </c>
      <c r="C120" t="s">
        <v>158</v>
      </c>
      <c r="D120" t="s">
        <v>70</v>
      </c>
      <c r="E120" s="62">
        <f>INDEX('feed rations'!$Q$8:$T$43,MATCH(C120,'feed rations'!$L$8:$L$43,0),MATCH(B120,'feed rations'!$Q$7:$T$7,0))</f>
        <v>24.045914241116183</v>
      </c>
      <c r="F120" t="s">
        <v>23</v>
      </c>
    </row>
    <row r="121" spans="1:6" x14ac:dyDescent="0.25">
      <c r="A121" t="s">
        <v>27</v>
      </c>
      <c r="B121" t="s">
        <v>25</v>
      </c>
      <c r="C121" t="s">
        <v>159</v>
      </c>
      <c r="D121" t="s">
        <v>70</v>
      </c>
      <c r="E121" s="62">
        <f>INDEX('feed rations'!$Q$8:$T$43,MATCH(C121,'feed rations'!$L$8:$L$43,0),MATCH(B121,'feed rations'!$Q$7:$T$7,0))</f>
        <v>4.0526821754690197</v>
      </c>
      <c r="F121" t="s">
        <v>23</v>
      </c>
    </row>
    <row r="122" spans="1:6" x14ac:dyDescent="0.25">
      <c r="A122" t="s">
        <v>27</v>
      </c>
      <c r="B122" t="s">
        <v>25</v>
      </c>
      <c r="C122" t="s">
        <v>160</v>
      </c>
      <c r="D122" t="s">
        <v>70</v>
      </c>
      <c r="E122" s="62">
        <f>INDEX('feed rations'!$Q$8:$T$43,MATCH(C122,'feed rations'!$L$8:$L$43,0),MATCH(B122,'feed rations'!$Q$7:$T$7,0))</f>
        <v>3.7825033637710859</v>
      </c>
      <c r="F122" t="s">
        <v>23</v>
      </c>
    </row>
    <row r="123" spans="1:6" x14ac:dyDescent="0.25">
      <c r="A123" t="s">
        <v>27</v>
      </c>
      <c r="B123" t="s">
        <v>25</v>
      </c>
      <c r="C123" t="s">
        <v>163</v>
      </c>
      <c r="D123" t="s">
        <v>70</v>
      </c>
      <c r="E123" s="62">
        <f>INDEX('feed rations'!$Q$8:$T$43,MATCH(C123,'feed rations'!$L$8:$L$43,0),MATCH(B123,'feed rations'!$Q$7:$T$7,0))</f>
        <v>7.7193946199409905E-2</v>
      </c>
      <c r="F123" t="s">
        <v>23</v>
      </c>
    </row>
    <row r="124" spans="1:6" x14ac:dyDescent="0.25">
      <c r="A124" t="s">
        <v>27</v>
      </c>
      <c r="B124" t="s">
        <v>25</v>
      </c>
      <c r="C124" t="s">
        <v>216</v>
      </c>
      <c r="D124" t="s">
        <v>70</v>
      </c>
      <c r="E124" s="62">
        <f>INDEX('feed rations'!$Q$8:$T$43,MATCH(C124,'feed rations'!$L$8:$L$43,0),MATCH(B124,'feed rations'!$Q$7:$T$7,0))</f>
        <v>0.45777805304301217</v>
      </c>
      <c r="F124" t="s">
        <v>23</v>
      </c>
    </row>
    <row r="125" spans="1:6" x14ac:dyDescent="0.25">
      <c r="A125" t="s">
        <v>27</v>
      </c>
      <c r="B125" t="s">
        <v>25</v>
      </c>
      <c r="C125" t="s">
        <v>217</v>
      </c>
      <c r="D125" t="s">
        <v>70</v>
      </c>
      <c r="E125" s="62">
        <f>INDEX('feed rations'!$Q$8:$T$43,MATCH(C125,'feed rations'!$L$8:$L$43,0),MATCH(B125,'feed rations'!$Q$7:$T$7,0))</f>
        <v>7.74407873064429</v>
      </c>
      <c r="F125" t="s">
        <v>23</v>
      </c>
    </row>
    <row r="126" spans="1:6" x14ac:dyDescent="0.25">
      <c r="A126" t="s">
        <v>27</v>
      </c>
      <c r="B126" t="s">
        <v>25</v>
      </c>
      <c r="C126" t="s">
        <v>218</v>
      </c>
      <c r="D126" t="s">
        <v>70</v>
      </c>
      <c r="E126" s="62">
        <f>INDEX('feed rations'!$Q$8:$T$43,MATCH(C126,'feed rations'!$L$8:$L$43,0),MATCH(B126,'feed rations'!$Q$7:$T$7,0))</f>
        <v>2.8436095530201233</v>
      </c>
      <c r="F126" t="s">
        <v>23</v>
      </c>
    </row>
    <row r="127" spans="1:6" x14ac:dyDescent="0.25">
      <c r="A127" t="s">
        <v>27</v>
      </c>
      <c r="B127" t="s">
        <v>25</v>
      </c>
      <c r="C127" t="s">
        <v>219</v>
      </c>
      <c r="D127" t="s">
        <v>70</v>
      </c>
      <c r="E127" s="62">
        <f>INDEX('feed rations'!$Q$8:$T$43,MATCH(C127,'feed rations'!$L$8:$L$43,0),MATCH(B127,'feed rations'!$Q$7:$T$7,0))</f>
        <v>3.5141197601242991</v>
      </c>
      <c r="F127" t="s">
        <v>23</v>
      </c>
    </row>
    <row r="128" spans="1:6" x14ac:dyDescent="0.25">
      <c r="A128" t="s">
        <v>27</v>
      </c>
      <c r="B128" t="s">
        <v>25</v>
      </c>
      <c r="C128" t="s">
        <v>215</v>
      </c>
      <c r="D128" t="s">
        <v>70</v>
      </c>
      <c r="E128" s="62">
        <f>INDEX('feed rations'!$Q$8:$T$43,MATCH(C128,'feed rations'!$L$8:$L$43,0),MATCH(B128,'feed rations'!$Q$7:$T$7,0))</f>
        <v>0.16336393265456514</v>
      </c>
      <c r="F128" t="s">
        <v>23</v>
      </c>
    </row>
    <row r="129" spans="1:8" x14ac:dyDescent="0.25">
      <c r="A129" t="s">
        <v>27</v>
      </c>
      <c r="B129" t="s">
        <v>25</v>
      </c>
      <c r="C129" t="s">
        <v>212</v>
      </c>
      <c r="D129" t="s">
        <v>70</v>
      </c>
      <c r="E129" s="62">
        <f>INDEX('feed rations'!$Q$8:$T$43,MATCH(C129,'feed rations'!$L$8:$L$43,0),MATCH(B129,'feed rations'!$Q$7:$T$7,0))</f>
        <v>8.277704323848349</v>
      </c>
      <c r="F129" t="s">
        <v>23</v>
      </c>
    </row>
    <row r="130" spans="1:8" x14ac:dyDescent="0.25">
      <c r="A130" t="s">
        <v>27</v>
      </c>
      <c r="B130" t="s">
        <v>25</v>
      </c>
      <c r="C130" t="s">
        <v>214</v>
      </c>
      <c r="D130" t="s">
        <v>70</v>
      </c>
      <c r="E130" s="62">
        <f>INDEX('feed rations'!$Q$8:$T$43,MATCH(C130,'feed rations'!$L$8:$L$43,0),MATCH(B130,'feed rations'!$Q$7:$T$7,0))</f>
        <v>0.86888069675614876</v>
      </c>
      <c r="F130" t="s">
        <v>23</v>
      </c>
    </row>
    <row r="131" spans="1:8" x14ac:dyDescent="0.25">
      <c r="A131" t="s">
        <v>27</v>
      </c>
      <c r="B131" t="s">
        <v>25</v>
      </c>
      <c r="C131" t="s">
        <v>223</v>
      </c>
      <c r="D131" t="s">
        <v>70</v>
      </c>
      <c r="E131" s="62">
        <f>INDEX('feed rations'!$Q$8:$T$43,MATCH(C131,'feed rations'!$L$8:$L$43,0),MATCH(B131,'feed rations'!$Q$7:$T$7,0))</f>
        <v>0.16156872460341609</v>
      </c>
      <c r="F131" t="s">
        <v>23</v>
      </c>
    </row>
    <row r="132" spans="1:8" x14ac:dyDescent="0.25">
      <c r="A132" t="s">
        <v>27</v>
      </c>
      <c r="B132" t="s">
        <v>25</v>
      </c>
      <c r="C132" t="s">
        <v>224</v>
      </c>
      <c r="D132" t="s">
        <v>70</v>
      </c>
      <c r="E132" s="62">
        <f>INDEX('feed rations'!$Q$8:$T$43,MATCH(C132,'feed rations'!$L$8:$L$43,0),MATCH(B132,'feed rations'!$Q$7:$T$7,0))</f>
        <v>4.6933021685215648</v>
      </c>
      <c r="F132" t="s">
        <v>23</v>
      </c>
    </row>
    <row r="133" spans="1:8" x14ac:dyDescent="0.25">
      <c r="A133" t="s">
        <v>27</v>
      </c>
      <c r="B133" t="s">
        <v>25</v>
      </c>
      <c r="C133" t="s">
        <v>227</v>
      </c>
      <c r="D133" t="s">
        <v>70</v>
      </c>
      <c r="E133" s="62">
        <f>INDEX('feed rations'!$Q$8:$T$43,MATCH(C133,'feed rations'!$L$8:$L$43,0),MATCH(B133,'feed rations'!$Q$7:$T$7,0))</f>
        <v>3.554511941275154</v>
      </c>
      <c r="F133" t="s">
        <v>23</v>
      </c>
    </row>
    <row r="134" spans="1:8" x14ac:dyDescent="0.25">
      <c r="A134" t="s">
        <v>27</v>
      </c>
      <c r="B134" t="s">
        <v>25</v>
      </c>
      <c r="C134" t="s">
        <v>209</v>
      </c>
      <c r="D134" t="s">
        <v>70</v>
      </c>
      <c r="E134" s="62">
        <f>INDEX('feed rations'!$Q$8:$T$43,MATCH(C134,'feed rations'!$L$8:$L$43,0),MATCH(B134,'feed rations'!$Q$7:$T$7,0))</f>
        <v>0.10232685891549684</v>
      </c>
      <c r="F134" t="s">
        <v>23</v>
      </c>
    </row>
    <row r="135" spans="1:8" x14ac:dyDescent="0.25">
      <c r="A135" t="s">
        <v>27</v>
      </c>
      <c r="B135" t="s">
        <v>25</v>
      </c>
      <c r="C135" t="s">
        <v>225</v>
      </c>
      <c r="D135" t="s">
        <v>70</v>
      </c>
      <c r="E135" s="62">
        <f>INDEX('feed rations'!$Q$8:$T$43,MATCH(C135,'feed rations'!$L$8:$L$43,0),MATCH(B135,'feed rations'!$Q$7:$T$7,0))</f>
        <v>4.3583163461771495</v>
      </c>
      <c r="F135" t="s">
        <v>23</v>
      </c>
    </row>
    <row r="136" spans="1:8" x14ac:dyDescent="0.25">
      <c r="A136" t="s">
        <v>27</v>
      </c>
      <c r="B136" t="s">
        <v>25</v>
      </c>
      <c r="C136" t="s">
        <v>221</v>
      </c>
      <c r="D136" t="s">
        <v>70</v>
      </c>
      <c r="E136" s="62">
        <f>INDEX('feed rations'!$Q$8:$T$43,MATCH(C136,'feed rations'!$L$8:$L$43,0),MATCH(B136,'feed rations'!$Q$7:$T$7,0))</f>
        <v>0</v>
      </c>
      <c r="F136" t="s">
        <v>23</v>
      </c>
    </row>
    <row r="137" spans="1:8" x14ac:dyDescent="0.25">
      <c r="E137" s="62"/>
    </row>
    <row r="138" spans="1:8" x14ac:dyDescent="0.25">
      <c r="A138" s="170" t="s">
        <v>280</v>
      </c>
      <c r="B138" s="170"/>
      <c r="C138" s="170"/>
      <c r="D138" s="170"/>
      <c r="E138" s="171"/>
      <c r="F138" s="170"/>
      <c r="G138" s="170" t="s">
        <v>282</v>
      </c>
      <c r="H138" s="170" t="s">
        <v>283</v>
      </c>
    </row>
    <row r="139" spans="1:8" x14ac:dyDescent="0.25">
      <c r="A139" s="88" t="s">
        <v>28</v>
      </c>
      <c r="D139" s="88" t="s">
        <v>70</v>
      </c>
      <c r="E139" s="88">
        <v>0</v>
      </c>
      <c r="F139" s="88"/>
      <c r="G139" s="88" t="s">
        <v>157</v>
      </c>
    </row>
    <row r="140" spans="1:8" x14ac:dyDescent="0.25">
      <c r="A140" s="88" t="s">
        <v>28</v>
      </c>
      <c r="B140" s="88" t="s">
        <v>15</v>
      </c>
      <c r="D140" s="88" t="s">
        <v>70</v>
      </c>
      <c r="E140" s="89">
        <v>0</v>
      </c>
      <c r="F140" s="88"/>
      <c r="G140" s="88" t="s">
        <v>157</v>
      </c>
    </row>
    <row r="141" spans="1:8" x14ac:dyDescent="0.25">
      <c r="A141" s="88" t="s">
        <v>28</v>
      </c>
      <c r="B141" s="88" t="s">
        <v>24</v>
      </c>
      <c r="D141" s="88" t="s">
        <v>70</v>
      </c>
      <c r="E141" s="89">
        <v>0</v>
      </c>
      <c r="F141" s="88"/>
      <c r="G141" s="88" t="s">
        <v>157</v>
      </c>
    </row>
    <row r="142" spans="1:8" x14ac:dyDescent="0.25">
      <c r="A142" s="88" t="s">
        <v>28</v>
      </c>
      <c r="B142" s="88" t="s">
        <v>25</v>
      </c>
      <c r="D142" s="88" t="s">
        <v>70</v>
      </c>
      <c r="E142" s="89">
        <v>0</v>
      </c>
      <c r="F142" s="88"/>
      <c r="G142" s="88" t="s">
        <v>157</v>
      </c>
    </row>
    <row r="143" spans="1:8" x14ac:dyDescent="0.25">
      <c r="A143" s="93" t="s">
        <v>230</v>
      </c>
      <c r="B143" s="93"/>
      <c r="C143" s="93"/>
      <c r="D143" s="94"/>
      <c r="E143" s="94"/>
      <c r="F143" s="94"/>
      <c r="G143" s="94"/>
      <c r="H143" s="93"/>
    </row>
    <row r="144" spans="1:8" x14ac:dyDescent="0.25">
      <c r="A144" t="s">
        <v>28</v>
      </c>
      <c r="C144" t="s">
        <v>158</v>
      </c>
      <c r="D144" t="s">
        <v>70</v>
      </c>
      <c r="E144" s="62">
        <f>INDEX('feed rations organic'!$L$23:$O$31,MATCH(C144,'feed rations organic'!$K$23:$K$31,0),MATCH(B144,'feed rations organic'!$L$22:$O$22,0))</f>
        <v>47.281143414000326</v>
      </c>
    </row>
    <row r="145" spans="1:8" x14ac:dyDescent="0.25">
      <c r="A145" t="s">
        <v>28</v>
      </c>
      <c r="C145" t="s">
        <v>69</v>
      </c>
      <c r="D145" t="s">
        <v>70</v>
      </c>
      <c r="E145" s="62">
        <f>INDEX('feed rations organic'!$L$23:$O$31,MATCH(C145,'feed rations organic'!$K$23:$K$31,0),MATCH(B145,'feed rations organic'!$L$22:$O$22,0))</f>
        <v>15.085268799740131</v>
      </c>
    </row>
    <row r="146" spans="1:8" x14ac:dyDescent="0.25">
      <c r="A146" t="s">
        <v>28</v>
      </c>
      <c r="C146" t="s">
        <v>159</v>
      </c>
      <c r="D146" t="s">
        <v>70</v>
      </c>
      <c r="E146" s="62">
        <f>INDEX('feed rations organic'!$L$23:$O$31,MATCH(C146,'feed rations organic'!$K$23:$K$31,0),MATCH(B146,'feed rations organic'!$L$22:$O$22,0))</f>
        <v>9.9171674516810135</v>
      </c>
    </row>
    <row r="147" spans="1:8" x14ac:dyDescent="0.25">
      <c r="A147" t="s">
        <v>28</v>
      </c>
      <c r="C147" t="s">
        <v>245</v>
      </c>
      <c r="D147" t="s">
        <v>70</v>
      </c>
      <c r="E147" s="62">
        <f>INDEX('feed rations organic'!$L$23:$O$31,MATCH(C147,'feed rations organic'!$K$23:$K$31,0),MATCH(B147,'feed rations organic'!$L$22:$O$22,0))</f>
        <v>4.4827026149098588</v>
      </c>
    </row>
    <row r="148" spans="1:8" x14ac:dyDescent="0.25">
      <c r="A148" t="s">
        <v>28</v>
      </c>
      <c r="C148" t="s">
        <v>217</v>
      </c>
      <c r="D148" t="s">
        <v>70</v>
      </c>
      <c r="E148" s="62">
        <f>INDEX('feed rations organic'!$L$23:$O$31,MATCH(C148,'feed rations organic'!$K$23:$K$31,0),MATCH(B148,'feed rations organic'!$L$22:$O$22,0))</f>
        <v>11.803638135455579</v>
      </c>
    </row>
    <row r="149" spans="1:8" x14ac:dyDescent="0.25">
      <c r="A149" t="s">
        <v>28</v>
      </c>
      <c r="C149" t="s">
        <v>216</v>
      </c>
      <c r="D149" t="s">
        <v>70</v>
      </c>
      <c r="E149" s="62">
        <f>INDEX('feed rations organic'!$L$23:$O$31,MATCH(C149,'feed rations organic'!$K$23:$K$31,0),MATCH(B149,'feed rations organic'!$L$22:$O$22,0))</f>
        <v>9.3186616858859832</v>
      </c>
    </row>
    <row r="150" spans="1:8" x14ac:dyDescent="0.25">
      <c r="A150" t="s">
        <v>28</v>
      </c>
      <c r="C150" t="s">
        <v>221</v>
      </c>
      <c r="D150" t="s">
        <v>70</v>
      </c>
      <c r="E150" s="62">
        <f>INDEX('feed rations organic'!$L$23:$O$31,MATCH(C150,'feed rations organic'!$K$23:$K$31,0),MATCH(B150,'feed rations organic'!$L$22:$O$22,0))</f>
        <v>0</v>
      </c>
    </row>
    <row r="151" spans="1:8" x14ac:dyDescent="0.25">
      <c r="A151" t="s">
        <v>28</v>
      </c>
      <c r="C151" t="s">
        <v>222</v>
      </c>
      <c r="D151" t="s">
        <v>70</v>
      </c>
      <c r="E151" s="62">
        <f>INDEX('feed rations organic'!$L$23:$O$31,MATCH(C151,'feed rations organic'!$K$23:$K$31,0),MATCH(B151,'feed rations organic'!$L$22:$O$22,0))</f>
        <v>0</v>
      </c>
    </row>
    <row r="152" spans="1:8" x14ac:dyDescent="0.25">
      <c r="A152" t="s">
        <v>28</v>
      </c>
      <c r="C152" t="s">
        <v>278</v>
      </c>
      <c r="D152" t="s">
        <v>70</v>
      </c>
      <c r="E152" s="62">
        <f>INDEX('feed rations organic'!$L$23:$O$31,MATCH(C152,'feed rations organic'!$K$23:$K$31,0),MATCH(B152,'feed rations organic'!$L$22:$O$22,0))</f>
        <v>2.1114178983271072</v>
      </c>
    </row>
    <row r="153" spans="1:8" x14ac:dyDescent="0.25">
      <c r="A153" s="93" t="s">
        <v>231</v>
      </c>
      <c r="B153" s="93"/>
      <c r="C153" s="93"/>
      <c r="D153" s="94"/>
      <c r="E153" s="95"/>
      <c r="F153" s="94"/>
      <c r="G153" s="94"/>
      <c r="H153" s="93"/>
    </row>
    <row r="154" spans="1:8" x14ac:dyDescent="0.25">
      <c r="A154" t="s">
        <v>28</v>
      </c>
      <c r="B154" t="s">
        <v>15</v>
      </c>
      <c r="C154" t="s">
        <v>158</v>
      </c>
      <c r="D154" t="s">
        <v>70</v>
      </c>
      <c r="E154" s="62">
        <f>INDEX('feed rations organic'!$L$23:$O$31,MATCH(C154,'feed rations organic'!$K$23:$K$31,0),MATCH(B154,'feed rations organic'!$L$22:$O$22,0))</f>
        <v>41.687927339524443</v>
      </c>
    </row>
    <row r="155" spans="1:8" x14ac:dyDescent="0.25">
      <c r="A155" t="s">
        <v>28</v>
      </c>
      <c r="B155" t="s">
        <v>15</v>
      </c>
      <c r="C155" t="s">
        <v>69</v>
      </c>
      <c r="D155" t="s">
        <v>70</v>
      </c>
      <c r="E155" s="62">
        <f>INDEX('feed rations organic'!$L$23:$O$31,MATCH(C155,'feed rations organic'!$K$23:$K$31,0),MATCH(B155,'feed rations organic'!$L$22:$O$22,0))</f>
        <v>24.135115828145729</v>
      </c>
    </row>
    <row r="156" spans="1:8" x14ac:dyDescent="0.25">
      <c r="A156" t="s">
        <v>28</v>
      </c>
      <c r="B156" t="s">
        <v>15</v>
      </c>
      <c r="C156" t="s">
        <v>159</v>
      </c>
      <c r="D156" t="s">
        <v>70</v>
      </c>
      <c r="E156" s="62">
        <f>INDEX('feed rations organic'!$L$23:$O$31,MATCH(C156,'feed rations organic'!$K$23:$K$31,0),MATCH(B156,'feed rations organic'!$L$22:$O$22,0))</f>
        <v>0</v>
      </c>
    </row>
    <row r="157" spans="1:8" x14ac:dyDescent="0.25">
      <c r="A157" t="s">
        <v>28</v>
      </c>
      <c r="B157" t="s">
        <v>15</v>
      </c>
      <c r="C157" t="s">
        <v>245</v>
      </c>
      <c r="D157" t="s">
        <v>70</v>
      </c>
      <c r="E157" s="62">
        <f>INDEX('feed rations organic'!$L$23:$O$31,MATCH(C157,'feed rations organic'!$K$23:$K$31,0),MATCH(B157,'feed rations organic'!$L$22:$O$22,0))</f>
        <v>0</v>
      </c>
    </row>
    <row r="158" spans="1:8" x14ac:dyDescent="0.25">
      <c r="A158" t="s">
        <v>28</v>
      </c>
      <c r="B158" t="s">
        <v>15</v>
      </c>
      <c r="C158" t="s">
        <v>217</v>
      </c>
      <c r="D158" t="s">
        <v>70</v>
      </c>
      <c r="E158" s="62">
        <f>INDEX('feed rations organic'!$L$23:$O$31,MATCH(C158,'feed rations organic'!$K$23:$K$31,0),MATCH(B158,'feed rations organic'!$L$22:$O$22,0))</f>
        <v>11.49351974691295</v>
      </c>
    </row>
    <row r="159" spans="1:8" x14ac:dyDescent="0.25">
      <c r="A159" t="s">
        <v>28</v>
      </c>
      <c r="B159" t="s">
        <v>15</v>
      </c>
      <c r="C159" t="s">
        <v>216</v>
      </c>
      <c r="D159" t="s">
        <v>70</v>
      </c>
      <c r="E159" s="62">
        <f>INDEX('feed rations organic'!$L$23:$O$31,MATCH(C159,'feed rations organic'!$K$23:$K$31,0),MATCH(B159,'feed rations organic'!$L$22:$O$22,0))</f>
        <v>10.192366568017146</v>
      </c>
    </row>
    <row r="160" spans="1:8" x14ac:dyDescent="0.25">
      <c r="A160" t="s">
        <v>28</v>
      </c>
      <c r="B160" t="s">
        <v>15</v>
      </c>
      <c r="C160" t="s">
        <v>221</v>
      </c>
      <c r="D160" t="s">
        <v>70</v>
      </c>
      <c r="E160" s="62">
        <f>INDEX('feed rations organic'!$L$23:$O$31,MATCH(C160,'feed rations organic'!$K$23:$K$31,0),MATCH(B160,'feed rations organic'!$L$22:$O$22,0))</f>
        <v>3.9902030819471377</v>
      </c>
    </row>
    <row r="161" spans="1:8" x14ac:dyDescent="0.25">
      <c r="A161" t="s">
        <v>28</v>
      </c>
      <c r="B161" t="s">
        <v>15</v>
      </c>
      <c r="C161" t="s">
        <v>222</v>
      </c>
      <c r="D161" t="s">
        <v>70</v>
      </c>
      <c r="E161" s="62">
        <f>INDEX('feed rations organic'!$L$23:$O$31,MATCH(C161,'feed rations organic'!$K$23:$K$31,0),MATCH(B161,'feed rations organic'!$L$22:$O$22,0))</f>
        <v>4.9290743953464649</v>
      </c>
    </row>
    <row r="162" spans="1:8" x14ac:dyDescent="0.25">
      <c r="A162" t="s">
        <v>28</v>
      </c>
      <c r="B162" t="s">
        <v>15</v>
      </c>
      <c r="C162" t="s">
        <v>278</v>
      </c>
      <c r="D162" t="s">
        <v>70</v>
      </c>
      <c r="E162" s="62">
        <f>INDEX('feed rations organic'!$L$23:$O$31,MATCH(C162,'feed rations organic'!$K$23:$K$31,0),MATCH(B162,'feed rations organic'!$L$22:$O$22,0))</f>
        <v>3.5717930401061331</v>
      </c>
    </row>
    <row r="163" spans="1:8" x14ac:dyDescent="0.25">
      <c r="A163" s="93" t="s">
        <v>279</v>
      </c>
      <c r="B163" s="93"/>
      <c r="C163" s="93"/>
      <c r="D163" s="94"/>
      <c r="E163" s="95"/>
      <c r="F163" s="94"/>
      <c r="G163" s="94"/>
      <c r="H163" s="93"/>
    </row>
    <row r="164" spans="1:8" x14ac:dyDescent="0.25">
      <c r="A164" t="s">
        <v>28</v>
      </c>
      <c r="B164" t="s">
        <v>24</v>
      </c>
      <c r="C164" t="s">
        <v>158</v>
      </c>
      <c r="D164" t="s">
        <v>70</v>
      </c>
      <c r="E164" s="62">
        <f>INDEX('feed rations organic'!$L$23:$O$31,MATCH(C164,'feed rations organic'!$K$23:$K$31,0),MATCH(B164,'feed rations organic'!$L$22:$O$22,0))</f>
        <v>31.818428527490816</v>
      </c>
    </row>
    <row r="165" spans="1:8" x14ac:dyDescent="0.25">
      <c r="A165" t="s">
        <v>28</v>
      </c>
      <c r="B165" t="s">
        <v>24</v>
      </c>
      <c r="C165" t="s">
        <v>69</v>
      </c>
      <c r="D165" t="s">
        <v>70</v>
      </c>
      <c r="E165" s="62">
        <f>INDEX('feed rations organic'!$L$23:$O$31,MATCH(C165,'feed rations organic'!$K$23:$K$31,0),MATCH(B165,'feed rations organic'!$L$22:$O$22,0))</f>
        <v>22.541295026504805</v>
      </c>
    </row>
    <row r="166" spans="1:8" x14ac:dyDescent="0.25">
      <c r="A166" t="s">
        <v>28</v>
      </c>
      <c r="B166" t="s">
        <v>24</v>
      </c>
      <c r="C166" t="s">
        <v>159</v>
      </c>
      <c r="D166" t="s">
        <v>70</v>
      </c>
      <c r="E166" s="62">
        <f>INDEX('feed rations organic'!$L$23:$O$31,MATCH(C166,'feed rations organic'!$K$23:$K$31,0),MATCH(B166,'feed rations organic'!$L$22:$O$22,0))</f>
        <v>0</v>
      </c>
    </row>
    <row r="167" spans="1:8" x14ac:dyDescent="0.25">
      <c r="A167" t="s">
        <v>28</v>
      </c>
      <c r="B167" t="s">
        <v>24</v>
      </c>
      <c r="C167" t="s">
        <v>245</v>
      </c>
      <c r="D167" t="s">
        <v>70</v>
      </c>
      <c r="E167" s="62">
        <f>INDEX('feed rations organic'!$L$23:$O$31,MATCH(C167,'feed rations organic'!$K$23:$K$31,0),MATCH(B167,'feed rations organic'!$L$22:$O$22,0))</f>
        <v>12.171403759520922</v>
      </c>
    </row>
    <row r="168" spans="1:8" x14ac:dyDescent="0.25">
      <c r="A168" t="s">
        <v>28</v>
      </c>
      <c r="B168" t="s">
        <v>24</v>
      </c>
      <c r="C168" t="s">
        <v>217</v>
      </c>
      <c r="D168" t="s">
        <v>70</v>
      </c>
      <c r="E168" s="62">
        <f>INDEX('feed rations organic'!$L$23:$O$31,MATCH(C168,'feed rations organic'!$K$23:$K$31,0),MATCH(B168,'feed rations organic'!$L$22:$O$22,0))</f>
        <v>18.569192915166536</v>
      </c>
    </row>
    <row r="169" spans="1:8" x14ac:dyDescent="0.25">
      <c r="A169" t="s">
        <v>28</v>
      </c>
      <c r="B169" t="s">
        <v>24</v>
      </c>
      <c r="C169" t="s">
        <v>216</v>
      </c>
      <c r="D169" t="s">
        <v>70</v>
      </c>
      <c r="E169" s="62">
        <f>INDEX('feed rations organic'!$L$23:$O$31,MATCH(C169,'feed rations organic'!$K$23:$K$31,0),MATCH(B169,'feed rations organic'!$L$22:$O$22,0))</f>
        <v>12.225679807500949</v>
      </c>
    </row>
    <row r="170" spans="1:8" x14ac:dyDescent="0.25">
      <c r="A170" t="s">
        <v>28</v>
      </c>
      <c r="B170" t="s">
        <v>24</v>
      </c>
      <c r="C170" t="s">
        <v>221</v>
      </c>
      <c r="D170" t="s">
        <v>70</v>
      </c>
      <c r="E170" s="62">
        <f>INDEX('feed rations organic'!$L$23:$O$31,MATCH(C170,'feed rations organic'!$K$23:$K$31,0),MATCH(B170,'feed rations organic'!$L$22:$O$22,0))</f>
        <v>0.45772800463155622</v>
      </c>
    </row>
    <row r="171" spans="1:8" x14ac:dyDescent="0.25">
      <c r="A171" t="s">
        <v>28</v>
      </c>
      <c r="B171" t="s">
        <v>24</v>
      </c>
      <c r="C171" t="s">
        <v>222</v>
      </c>
      <c r="D171" t="s">
        <v>70</v>
      </c>
      <c r="E171" s="62">
        <f>INDEX('feed rations organic'!$L$23:$O$31,MATCH(C171,'feed rations organic'!$K$23:$K$31,0),MATCH(B171,'feed rations organic'!$L$22:$O$22,0))</f>
        <v>0</v>
      </c>
    </row>
    <row r="172" spans="1:8" x14ac:dyDescent="0.25">
      <c r="A172" t="s">
        <v>28</v>
      </c>
      <c r="B172" t="s">
        <v>24</v>
      </c>
      <c r="C172" t="s">
        <v>278</v>
      </c>
      <c r="D172" t="s">
        <v>70</v>
      </c>
      <c r="E172" s="62">
        <f>INDEX('feed rations organic'!$L$23:$O$31,MATCH(C172,'feed rations organic'!$K$23:$K$31,0),MATCH(B172,'feed rations organic'!$L$22:$O$22,0))</f>
        <v>2.2162719591844118</v>
      </c>
    </row>
    <row r="173" spans="1:8" x14ac:dyDescent="0.25">
      <c r="A173" t="s">
        <v>28</v>
      </c>
      <c r="B173" t="s">
        <v>25</v>
      </c>
      <c r="C173" t="s">
        <v>158</v>
      </c>
      <c r="D173" t="s">
        <v>70</v>
      </c>
      <c r="E173" s="62">
        <f>INDEX('feed rations organic'!$L$23:$O$31,MATCH(C173,'feed rations organic'!$K$23:$K$31,0),MATCH(B173,'feed rations organic'!$L$22:$O$22,0))</f>
        <v>31.818428527490816</v>
      </c>
    </row>
    <row r="174" spans="1:8" x14ac:dyDescent="0.25">
      <c r="A174" t="s">
        <v>28</v>
      </c>
      <c r="B174" t="s">
        <v>25</v>
      </c>
      <c r="C174" t="s">
        <v>69</v>
      </c>
      <c r="D174" t="s">
        <v>70</v>
      </c>
      <c r="E174" s="62">
        <f>INDEX('feed rations organic'!$L$23:$O$31,MATCH(C174,'feed rations organic'!$K$23:$K$31,0),MATCH(B174,'feed rations organic'!$L$22:$O$22,0))</f>
        <v>22.541295026504805</v>
      </c>
    </row>
    <row r="175" spans="1:8" x14ac:dyDescent="0.25">
      <c r="A175" t="s">
        <v>28</v>
      </c>
      <c r="B175" t="s">
        <v>25</v>
      </c>
      <c r="C175" t="s">
        <v>159</v>
      </c>
      <c r="D175" t="s">
        <v>70</v>
      </c>
      <c r="E175" s="62">
        <f>INDEX('feed rations organic'!$L$23:$O$31,MATCH(C175,'feed rations organic'!$K$23:$K$31,0),MATCH(B175,'feed rations organic'!$L$22:$O$22,0))</f>
        <v>0</v>
      </c>
    </row>
    <row r="176" spans="1:8" x14ac:dyDescent="0.25">
      <c r="A176" t="s">
        <v>28</v>
      </c>
      <c r="B176" t="s">
        <v>25</v>
      </c>
      <c r="C176" t="s">
        <v>245</v>
      </c>
      <c r="D176" t="s">
        <v>70</v>
      </c>
      <c r="E176" s="62">
        <f>INDEX('feed rations organic'!$L$23:$O$31,MATCH(C176,'feed rations organic'!$K$23:$K$31,0),MATCH(B176,'feed rations organic'!$L$22:$O$22,0))</f>
        <v>12.171403759520922</v>
      </c>
    </row>
    <row r="177" spans="1:5" x14ac:dyDescent="0.25">
      <c r="A177" t="s">
        <v>28</v>
      </c>
      <c r="B177" t="s">
        <v>25</v>
      </c>
      <c r="C177" t="s">
        <v>217</v>
      </c>
      <c r="D177" t="s">
        <v>70</v>
      </c>
      <c r="E177" s="62">
        <f>INDEX('feed rations organic'!$L$23:$O$31,MATCH(C177,'feed rations organic'!$K$23:$K$31,0),MATCH(B177,'feed rations organic'!$L$22:$O$22,0))</f>
        <v>18.569192915166536</v>
      </c>
    </row>
    <row r="178" spans="1:5" x14ac:dyDescent="0.25">
      <c r="A178" t="s">
        <v>28</v>
      </c>
      <c r="B178" t="s">
        <v>25</v>
      </c>
      <c r="C178" t="s">
        <v>216</v>
      </c>
      <c r="D178" t="s">
        <v>70</v>
      </c>
      <c r="E178" s="62">
        <f>INDEX('feed rations organic'!$L$23:$O$31,MATCH(C178,'feed rations organic'!$K$23:$K$31,0),MATCH(B178,'feed rations organic'!$L$22:$O$22,0))</f>
        <v>12.225679807500949</v>
      </c>
    </row>
    <row r="179" spans="1:5" x14ac:dyDescent="0.25">
      <c r="A179" t="s">
        <v>28</v>
      </c>
      <c r="B179" t="s">
        <v>25</v>
      </c>
      <c r="C179" t="s">
        <v>221</v>
      </c>
      <c r="D179" t="s">
        <v>70</v>
      </c>
      <c r="E179" s="62">
        <f>INDEX('feed rations organic'!$L$23:$O$31,MATCH(C179,'feed rations organic'!$K$23:$K$31,0),MATCH(B179,'feed rations organic'!$L$22:$O$22,0))</f>
        <v>0.45772800463155622</v>
      </c>
    </row>
    <row r="180" spans="1:5" x14ac:dyDescent="0.25">
      <c r="A180" t="s">
        <v>28</v>
      </c>
      <c r="B180" t="s">
        <v>25</v>
      </c>
      <c r="C180" t="s">
        <v>222</v>
      </c>
      <c r="D180" t="s">
        <v>70</v>
      </c>
      <c r="E180" s="62">
        <f>INDEX('feed rations organic'!$L$23:$O$31,MATCH(C180,'feed rations organic'!$K$23:$K$31,0),MATCH(B180,'feed rations organic'!$L$22:$O$22,0))</f>
        <v>0</v>
      </c>
    </row>
    <row r="181" spans="1:5" x14ac:dyDescent="0.25">
      <c r="A181" t="s">
        <v>28</v>
      </c>
      <c r="B181" t="s">
        <v>25</v>
      </c>
      <c r="C181" t="s">
        <v>278</v>
      </c>
      <c r="D181" t="s">
        <v>70</v>
      </c>
      <c r="E181" s="62">
        <f>INDEX('feed rations organic'!$L$23:$O$31,MATCH(C181,'feed rations organic'!$K$23:$K$31,0),MATCH(B181,'feed rations organic'!$L$22:$O$22,0))</f>
        <v>2.2162719591844118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52"/>
  <sheetViews>
    <sheetView topLeftCell="D3" workbookViewId="0">
      <selection activeCell="Q12" sqref="Q12"/>
    </sheetView>
  </sheetViews>
  <sheetFormatPr defaultRowHeight="15" x14ac:dyDescent="0.25"/>
  <cols>
    <col min="2" max="2" width="20" customWidth="1"/>
    <col min="3" max="3" width="31" customWidth="1"/>
    <col min="4" max="4" width="16.7109375" customWidth="1"/>
    <col min="5" max="5" width="6" customWidth="1"/>
    <col min="6" max="6" width="13.42578125" customWidth="1"/>
    <col min="7" max="7" width="4.85546875" customWidth="1"/>
    <col min="8" max="8" width="14" customWidth="1"/>
    <col min="9" max="9" width="5.42578125" customWidth="1"/>
    <col min="10" max="10" width="8.28515625" customWidth="1"/>
    <col min="12" max="12" width="27.7109375" customWidth="1"/>
    <col min="13" max="15" width="13.28515625" customWidth="1"/>
    <col min="17" max="20" width="10.28515625" customWidth="1"/>
  </cols>
  <sheetData>
    <row r="5" spans="2:22" ht="15" customHeight="1" x14ac:dyDescent="0.25">
      <c r="C5" s="90" t="s">
        <v>164</v>
      </c>
    </row>
    <row r="6" spans="2:22" x14ac:dyDescent="0.25">
      <c r="C6" s="103" t="s">
        <v>165</v>
      </c>
      <c r="D6" s="104" t="s">
        <v>166</v>
      </c>
      <c r="E6" s="104"/>
      <c r="F6" s="104"/>
      <c r="G6" s="104"/>
      <c r="H6" s="104"/>
      <c r="I6" s="105"/>
      <c r="J6" s="111"/>
      <c r="M6" s="90" t="s">
        <v>235</v>
      </c>
      <c r="Q6" s="90" t="s">
        <v>236</v>
      </c>
    </row>
    <row r="7" spans="2:22" ht="36.75" customHeight="1" x14ac:dyDescent="0.25">
      <c r="B7" s="4" t="s">
        <v>208</v>
      </c>
      <c r="C7" s="113"/>
      <c r="D7" s="126" t="s">
        <v>167</v>
      </c>
      <c r="E7" s="126" t="s">
        <v>23</v>
      </c>
      <c r="F7" s="126" t="s">
        <v>168</v>
      </c>
      <c r="G7" s="126" t="s">
        <v>23</v>
      </c>
      <c r="H7" s="126" t="s">
        <v>169</v>
      </c>
      <c r="I7" s="127" t="s">
        <v>23</v>
      </c>
      <c r="J7" s="134" t="s">
        <v>207</v>
      </c>
      <c r="L7" s="91" t="s">
        <v>208</v>
      </c>
      <c r="M7" s="124" t="s">
        <v>228</v>
      </c>
      <c r="N7" s="130" t="s">
        <v>15</v>
      </c>
      <c r="O7" s="125" t="s">
        <v>237</v>
      </c>
      <c r="P7" s="91"/>
      <c r="Q7" s="124">
        <v>0</v>
      </c>
      <c r="R7" s="130" t="s">
        <v>15</v>
      </c>
      <c r="S7" s="130" t="s">
        <v>24</v>
      </c>
      <c r="T7" s="125" t="s">
        <v>25</v>
      </c>
      <c r="U7" s="107"/>
      <c r="V7" s="92"/>
    </row>
    <row r="8" spans="2:22" x14ac:dyDescent="0.25">
      <c r="B8" t="s">
        <v>69</v>
      </c>
      <c r="C8" s="108" t="s">
        <v>171</v>
      </c>
      <c r="D8" s="78">
        <v>517.6</v>
      </c>
      <c r="E8" s="109">
        <f t="shared" ref="E8:E42" si="0">D8/D$45</f>
        <v>0.31776045183866414</v>
      </c>
      <c r="F8" s="78">
        <v>14.9</v>
      </c>
      <c r="G8" s="109">
        <f t="shared" ref="G8:G42" si="1">F8/F$45</f>
        <v>0.27090909090909093</v>
      </c>
      <c r="H8" s="78">
        <v>81.099999999999994</v>
      </c>
      <c r="I8" s="110">
        <f t="shared" ref="I8:I42" si="2">H8/H$45</f>
        <v>0.15836750634641669</v>
      </c>
      <c r="J8" s="135">
        <v>86</v>
      </c>
      <c r="L8" t="s">
        <v>69</v>
      </c>
      <c r="M8" s="96">
        <f>D8*($J8/100)</f>
        <v>445.13600000000002</v>
      </c>
      <c r="N8" s="98">
        <f>F8*($J8/100)</f>
        <v>12.814</v>
      </c>
      <c r="O8" s="129">
        <f>H8*($J8/100)</f>
        <v>69.745999999999995</v>
      </c>
      <c r="Q8" s="131">
        <f t="shared" ref="Q8:Q33" si="3">M8/M$44*100</f>
        <v>39.939446969082496</v>
      </c>
      <c r="R8" s="97">
        <f t="shared" ref="R8:R33" si="4">N8/N$44*100</f>
        <v>37.344664381805039</v>
      </c>
      <c r="S8" s="133">
        <f t="shared" ref="S8:S33" si="5">O8/O$44*100</f>
        <v>31.302145183860713</v>
      </c>
      <c r="T8" s="101">
        <f t="shared" ref="T8:T33" si="6">O8/O$44*100</f>
        <v>31.302145183860713</v>
      </c>
      <c r="U8" s="97"/>
    </row>
    <row r="9" spans="2:22" x14ac:dyDescent="0.25">
      <c r="B9" t="s">
        <v>158</v>
      </c>
      <c r="C9" s="108" t="s">
        <v>172</v>
      </c>
      <c r="D9" s="78">
        <v>435.3</v>
      </c>
      <c r="E9" s="109">
        <f t="shared" si="0"/>
        <v>0.267235557738351</v>
      </c>
      <c r="F9" s="78">
        <v>13.5</v>
      </c>
      <c r="G9" s="109">
        <f t="shared" si="1"/>
        <v>0.24545454545454545</v>
      </c>
      <c r="H9" s="78">
        <v>62.3</v>
      </c>
      <c r="I9" s="110">
        <f t="shared" si="2"/>
        <v>0.12165592657684045</v>
      </c>
      <c r="J9" s="135">
        <v>86</v>
      </c>
      <c r="L9" t="s">
        <v>158</v>
      </c>
      <c r="M9" s="96">
        <f>D9*($J9/100)</f>
        <v>374.358</v>
      </c>
      <c r="N9" s="98">
        <f>F9*($J9/100)</f>
        <v>11.61</v>
      </c>
      <c r="O9" s="129">
        <f>H9*($J9/100)</f>
        <v>53.577999999999996</v>
      </c>
      <c r="Q9" s="131">
        <f t="shared" si="3"/>
        <v>33.588951440574981</v>
      </c>
      <c r="R9" s="97">
        <f t="shared" si="4"/>
        <v>33.835769741903896</v>
      </c>
      <c r="S9" s="97">
        <f t="shared" si="5"/>
        <v>24.045914241116183</v>
      </c>
      <c r="T9" s="101">
        <f t="shared" si="6"/>
        <v>24.045914241116183</v>
      </c>
      <c r="U9" s="97"/>
    </row>
    <row r="10" spans="2:22" x14ac:dyDescent="0.25">
      <c r="B10" t="s">
        <v>159</v>
      </c>
      <c r="C10" s="108" t="s">
        <v>173</v>
      </c>
      <c r="D10" s="78">
        <v>63.2</v>
      </c>
      <c r="E10" s="109">
        <f t="shared" si="0"/>
        <v>3.8799189637178461E-2</v>
      </c>
      <c r="F10" s="78">
        <v>2.7</v>
      </c>
      <c r="G10" s="109">
        <f t="shared" si="1"/>
        <v>4.9090909090909095E-2</v>
      </c>
      <c r="H10" s="78">
        <v>10.5</v>
      </c>
      <c r="I10" s="110">
        <f t="shared" si="2"/>
        <v>2.0503807850029289E-2</v>
      </c>
      <c r="J10" s="135">
        <v>86</v>
      </c>
      <c r="L10" t="s">
        <v>159</v>
      </c>
      <c r="M10" s="96">
        <f>D10*($J10/100)+D36*($J36/100)</f>
        <v>54.352000000000004</v>
      </c>
      <c r="N10" s="98">
        <f>F10*($J10/100)+F36*($J36/100)</f>
        <v>2.4940000000000002</v>
      </c>
      <c r="O10" s="129">
        <f>H10*($J10/100)+H36*($J36/100)</f>
        <v>9.0299999999999994</v>
      </c>
      <c r="Q10" s="131">
        <f t="shared" si="3"/>
        <v>4.876686724200181</v>
      </c>
      <c r="R10" s="97">
        <f t="shared" si="4"/>
        <v>7.2684246112238</v>
      </c>
      <c r="S10" s="97">
        <f t="shared" si="5"/>
        <v>4.0526821754690197</v>
      </c>
      <c r="T10" s="101">
        <f t="shared" si="6"/>
        <v>4.0526821754690197</v>
      </c>
      <c r="U10" s="97"/>
    </row>
    <row r="11" spans="2:22" x14ac:dyDescent="0.25">
      <c r="B11" t="s">
        <v>160</v>
      </c>
      <c r="C11" s="108" t="s">
        <v>174</v>
      </c>
      <c r="D11" s="78">
        <v>5.8</v>
      </c>
      <c r="E11" s="109">
        <f t="shared" si="0"/>
        <v>3.5606851249309346E-3</v>
      </c>
      <c r="F11" s="78">
        <v>0</v>
      </c>
      <c r="G11" s="109">
        <f t="shared" si="1"/>
        <v>0</v>
      </c>
      <c r="H11" s="78">
        <v>9.8000000000000007</v>
      </c>
      <c r="I11" s="110">
        <f t="shared" si="2"/>
        <v>1.9136887326694007E-2</v>
      </c>
      <c r="J11" s="135">
        <v>86</v>
      </c>
      <c r="L11" t="s">
        <v>160</v>
      </c>
      <c r="M11" s="96">
        <f t="shared" ref="M11:M21" si="7">D11*($J11/100)</f>
        <v>4.9879999999999995</v>
      </c>
      <c r="N11" s="98">
        <f t="shared" ref="N11:N21" si="8">F11*($J11/100)</f>
        <v>0</v>
      </c>
      <c r="O11" s="129">
        <f t="shared" ref="O11:O21" si="9">H11*($J11/100)</f>
        <v>8.4280000000000008</v>
      </c>
      <c r="Q11" s="131">
        <f t="shared" si="3"/>
        <v>0.44754403481583932</v>
      </c>
      <c r="R11" s="97">
        <f t="shared" si="4"/>
        <v>0</v>
      </c>
      <c r="S11" s="97">
        <f t="shared" si="5"/>
        <v>3.7825033637710859</v>
      </c>
      <c r="T11" s="101">
        <f t="shared" si="6"/>
        <v>3.7825033637710859</v>
      </c>
      <c r="U11" s="97"/>
    </row>
    <row r="12" spans="2:22" x14ac:dyDescent="0.25">
      <c r="B12" t="s">
        <v>163</v>
      </c>
      <c r="C12" s="108" t="s">
        <v>180</v>
      </c>
      <c r="D12" s="78">
        <v>2.9</v>
      </c>
      <c r="E12" s="109">
        <f t="shared" si="0"/>
        <v>1.7803425624654673E-3</v>
      </c>
      <c r="F12" s="78">
        <v>0.7</v>
      </c>
      <c r="G12" s="109">
        <f t="shared" si="1"/>
        <v>1.2727272727272726E-2</v>
      </c>
      <c r="H12" s="78">
        <v>0.2</v>
      </c>
      <c r="I12" s="110">
        <f t="shared" si="2"/>
        <v>3.905487209529389E-4</v>
      </c>
      <c r="J12" s="135">
        <v>86</v>
      </c>
      <c r="L12" t="s">
        <v>163</v>
      </c>
      <c r="M12" s="96">
        <f t="shared" si="7"/>
        <v>2.4939999999999998</v>
      </c>
      <c r="N12" s="98">
        <f t="shared" si="8"/>
        <v>0.60199999999999998</v>
      </c>
      <c r="O12" s="129">
        <f t="shared" si="9"/>
        <v>0.17200000000000001</v>
      </c>
      <c r="Q12" s="131">
        <f t="shared" si="3"/>
        <v>0.22377201740791966</v>
      </c>
      <c r="R12" s="97">
        <f t="shared" si="4"/>
        <v>1.7544473199505721</v>
      </c>
      <c r="S12" s="97">
        <f t="shared" si="5"/>
        <v>7.7193946199409905E-2</v>
      </c>
      <c r="T12" s="101">
        <f t="shared" si="6"/>
        <v>7.7193946199409905E-2</v>
      </c>
      <c r="U12" s="97"/>
    </row>
    <row r="13" spans="2:22" x14ac:dyDescent="0.25">
      <c r="B13" t="s">
        <v>216</v>
      </c>
      <c r="C13" s="108" t="s">
        <v>186</v>
      </c>
      <c r="D13" s="78">
        <v>10.3</v>
      </c>
      <c r="E13" s="109">
        <f t="shared" si="0"/>
        <v>6.3232856528945914E-3</v>
      </c>
      <c r="F13" s="78">
        <v>0.1</v>
      </c>
      <c r="G13" s="109">
        <f t="shared" si="1"/>
        <v>1.8181818181818182E-3</v>
      </c>
      <c r="H13" s="78">
        <v>1.2</v>
      </c>
      <c r="I13" s="110">
        <f t="shared" si="2"/>
        <v>2.3432923257176333E-3</v>
      </c>
      <c r="J13" s="135">
        <v>85</v>
      </c>
      <c r="L13" t="s">
        <v>216</v>
      </c>
      <c r="M13" s="96">
        <f t="shared" si="7"/>
        <v>8.7550000000000008</v>
      </c>
      <c r="N13" s="98">
        <f t="shared" si="8"/>
        <v>8.5000000000000006E-2</v>
      </c>
      <c r="O13" s="129">
        <f t="shared" si="9"/>
        <v>1.02</v>
      </c>
      <c r="Q13" s="131">
        <f t="shared" si="3"/>
        <v>0.78553488869540378</v>
      </c>
      <c r="R13" s="97">
        <f t="shared" si="4"/>
        <v>0.24772096710265556</v>
      </c>
      <c r="S13" s="97">
        <f t="shared" si="5"/>
        <v>0.45777805304301217</v>
      </c>
      <c r="T13" s="101">
        <f t="shared" si="6"/>
        <v>0.45777805304301217</v>
      </c>
      <c r="U13" s="97"/>
    </row>
    <row r="14" spans="2:22" x14ac:dyDescent="0.25">
      <c r="B14" t="s">
        <v>217</v>
      </c>
      <c r="C14" s="108" t="s">
        <v>187</v>
      </c>
      <c r="D14" s="78">
        <v>1.3</v>
      </c>
      <c r="E14" s="109">
        <f t="shared" si="0"/>
        <v>7.9808459696727846E-4</v>
      </c>
      <c r="F14" s="78">
        <v>0.3</v>
      </c>
      <c r="G14" s="109">
        <f t="shared" si="1"/>
        <v>5.4545454545454541E-3</v>
      </c>
      <c r="H14" s="78">
        <v>20.3</v>
      </c>
      <c r="I14" s="110">
        <f t="shared" si="2"/>
        <v>3.9640695176723299E-2</v>
      </c>
      <c r="J14" s="135">
        <v>85</v>
      </c>
      <c r="L14" t="s">
        <v>217</v>
      </c>
      <c r="M14" s="96">
        <f t="shared" si="7"/>
        <v>1.105</v>
      </c>
      <c r="N14" s="98">
        <f t="shared" si="8"/>
        <v>0.255</v>
      </c>
      <c r="O14" s="129">
        <f t="shared" si="9"/>
        <v>17.254999999999999</v>
      </c>
      <c r="Q14" s="131">
        <f t="shared" si="3"/>
        <v>9.9145180126604351E-2</v>
      </c>
      <c r="R14" s="97">
        <f t="shared" si="4"/>
        <v>0.74316290130796658</v>
      </c>
      <c r="S14" s="97">
        <f t="shared" si="5"/>
        <v>7.74407873064429</v>
      </c>
      <c r="T14" s="101">
        <f t="shared" si="6"/>
        <v>7.74407873064429</v>
      </c>
      <c r="U14" s="97"/>
    </row>
    <row r="15" spans="2:22" x14ac:dyDescent="0.25">
      <c r="B15" t="s">
        <v>161</v>
      </c>
      <c r="C15" s="108" t="s">
        <v>178</v>
      </c>
      <c r="D15" s="78">
        <v>4.3</v>
      </c>
      <c r="E15" s="109">
        <f t="shared" si="0"/>
        <v>2.6398182822763828E-3</v>
      </c>
      <c r="F15" s="78">
        <v>0</v>
      </c>
      <c r="G15" s="109">
        <f t="shared" si="1"/>
        <v>0</v>
      </c>
      <c r="H15" s="78">
        <v>0</v>
      </c>
      <c r="I15" s="110">
        <f t="shared" si="2"/>
        <v>0</v>
      </c>
      <c r="J15" s="135">
        <v>91</v>
      </c>
      <c r="L15" t="s">
        <v>161</v>
      </c>
      <c r="M15" s="96">
        <f t="shared" si="7"/>
        <v>3.9129999999999998</v>
      </c>
      <c r="N15" s="98">
        <f t="shared" si="8"/>
        <v>0</v>
      </c>
      <c r="O15" s="129">
        <f t="shared" si="9"/>
        <v>0</v>
      </c>
      <c r="Q15" s="131">
        <f t="shared" si="3"/>
        <v>0.35109057903656365</v>
      </c>
      <c r="R15" s="97">
        <f t="shared" si="4"/>
        <v>0</v>
      </c>
      <c r="S15" s="97">
        <f t="shared" si="5"/>
        <v>0</v>
      </c>
      <c r="T15" s="101">
        <f t="shared" si="6"/>
        <v>0</v>
      </c>
      <c r="U15" s="97"/>
    </row>
    <row r="16" spans="2:22" x14ac:dyDescent="0.25">
      <c r="B16" t="s">
        <v>162</v>
      </c>
      <c r="C16" s="108" t="s">
        <v>179</v>
      </c>
      <c r="D16" s="78">
        <v>1.6</v>
      </c>
      <c r="E16" s="109">
        <f t="shared" si="0"/>
        <v>9.8225796549818905E-4</v>
      </c>
      <c r="F16" s="78">
        <v>0</v>
      </c>
      <c r="G16" s="109">
        <f t="shared" si="1"/>
        <v>0</v>
      </c>
      <c r="H16" s="78">
        <v>0</v>
      </c>
      <c r="I16" s="110">
        <f t="shared" si="2"/>
        <v>0</v>
      </c>
      <c r="J16" s="135">
        <v>91</v>
      </c>
      <c r="L16" t="s">
        <v>162</v>
      </c>
      <c r="M16" s="96">
        <f t="shared" si="7"/>
        <v>1.4560000000000002</v>
      </c>
      <c r="N16" s="98">
        <f t="shared" si="8"/>
        <v>0</v>
      </c>
      <c r="O16" s="129">
        <f t="shared" si="9"/>
        <v>0</v>
      </c>
      <c r="Q16" s="131">
        <f t="shared" si="3"/>
        <v>0.13063835499034929</v>
      </c>
      <c r="R16" s="97">
        <f t="shared" si="4"/>
        <v>0</v>
      </c>
      <c r="S16" s="97">
        <f t="shared" si="5"/>
        <v>0</v>
      </c>
      <c r="T16" s="101">
        <f t="shared" si="6"/>
        <v>0</v>
      </c>
      <c r="U16" s="97"/>
    </row>
    <row r="17" spans="1:21" x14ac:dyDescent="0.25">
      <c r="B17" t="s">
        <v>218</v>
      </c>
      <c r="C17" s="108" t="s">
        <v>188</v>
      </c>
      <c r="D17" s="78">
        <v>88.6</v>
      </c>
      <c r="E17" s="109">
        <f t="shared" si="0"/>
        <v>5.4392534839462207E-2</v>
      </c>
      <c r="F17" s="78">
        <v>2.8</v>
      </c>
      <c r="G17" s="109">
        <f t="shared" si="1"/>
        <v>5.0909090909090904E-2</v>
      </c>
      <c r="H17" s="78">
        <v>7.2</v>
      </c>
      <c r="I17" s="110">
        <f t="shared" si="2"/>
        <v>1.4059753954305799E-2</v>
      </c>
      <c r="J17" s="135">
        <v>88</v>
      </c>
      <c r="L17" t="s">
        <v>218</v>
      </c>
      <c r="M17" s="96">
        <f t="shared" si="7"/>
        <v>77.967999999999989</v>
      </c>
      <c r="N17" s="98">
        <f t="shared" si="8"/>
        <v>2.464</v>
      </c>
      <c r="O17" s="129">
        <f t="shared" si="9"/>
        <v>6.3360000000000003</v>
      </c>
      <c r="Q17" s="131">
        <f t="shared" si="3"/>
        <v>6.9956121304172738</v>
      </c>
      <c r="R17" s="97">
        <f t="shared" si="4"/>
        <v>7.1809936816581557</v>
      </c>
      <c r="S17" s="97">
        <f t="shared" si="5"/>
        <v>2.8436095530201233</v>
      </c>
      <c r="T17" s="101">
        <f t="shared" si="6"/>
        <v>2.8436095530201233</v>
      </c>
      <c r="U17" s="97"/>
    </row>
    <row r="18" spans="1:21" x14ac:dyDescent="0.25">
      <c r="B18" t="s">
        <v>220</v>
      </c>
      <c r="C18" s="108" t="s">
        <v>192</v>
      </c>
      <c r="D18" s="78">
        <v>0</v>
      </c>
      <c r="E18" s="109">
        <f t="shared" si="0"/>
        <v>0</v>
      </c>
      <c r="F18" s="78">
        <v>0.9</v>
      </c>
      <c r="G18" s="109">
        <f t="shared" si="1"/>
        <v>1.6363636363636365E-2</v>
      </c>
      <c r="H18" s="78">
        <v>0</v>
      </c>
      <c r="I18" s="110">
        <f t="shared" si="2"/>
        <v>0</v>
      </c>
      <c r="J18" s="135">
        <v>87</v>
      </c>
      <c r="L18" t="s">
        <v>220</v>
      </c>
      <c r="M18" s="96">
        <f t="shared" si="7"/>
        <v>0</v>
      </c>
      <c r="N18" s="98">
        <f t="shared" si="8"/>
        <v>0.78300000000000003</v>
      </c>
      <c r="O18" s="129">
        <f t="shared" si="9"/>
        <v>0</v>
      </c>
      <c r="Q18" s="131">
        <f t="shared" si="3"/>
        <v>0</v>
      </c>
      <c r="R18" s="97">
        <f t="shared" si="4"/>
        <v>2.2819472616632859</v>
      </c>
      <c r="S18" s="97">
        <f t="shared" si="5"/>
        <v>0</v>
      </c>
      <c r="T18" s="101">
        <f t="shared" si="6"/>
        <v>0</v>
      </c>
      <c r="U18" s="97"/>
    </row>
    <row r="19" spans="1:21" x14ac:dyDescent="0.25">
      <c r="B19" t="s">
        <v>219</v>
      </c>
      <c r="C19" s="108" t="s">
        <v>189</v>
      </c>
      <c r="D19" s="78">
        <v>40.700000000000003</v>
      </c>
      <c r="E19" s="109">
        <f t="shared" si="0"/>
        <v>2.4986186997360181E-2</v>
      </c>
      <c r="F19" s="78">
        <v>0</v>
      </c>
      <c r="G19" s="109">
        <f t="shared" si="1"/>
        <v>0</v>
      </c>
      <c r="H19" s="78">
        <v>8.6999999999999993</v>
      </c>
      <c r="I19" s="110">
        <f t="shared" si="2"/>
        <v>1.698886936145284E-2</v>
      </c>
      <c r="J19" s="135">
        <v>90</v>
      </c>
      <c r="L19" t="s">
        <v>219</v>
      </c>
      <c r="M19" s="96">
        <f t="shared" si="7"/>
        <v>36.630000000000003</v>
      </c>
      <c r="N19" s="98">
        <f t="shared" si="8"/>
        <v>0</v>
      </c>
      <c r="O19" s="129">
        <f t="shared" si="9"/>
        <v>7.8299999999999992</v>
      </c>
      <c r="Q19" s="131">
        <f t="shared" si="3"/>
        <v>3.2865954280882512</v>
      </c>
      <c r="R19" s="97">
        <f t="shared" si="4"/>
        <v>0</v>
      </c>
      <c r="S19" s="97">
        <f t="shared" si="5"/>
        <v>3.5141197601242991</v>
      </c>
      <c r="T19" s="101">
        <f t="shared" si="6"/>
        <v>3.5141197601242991</v>
      </c>
      <c r="U19" s="97"/>
    </row>
    <row r="20" spans="1:21" x14ac:dyDescent="0.25">
      <c r="B20" t="s">
        <v>215</v>
      </c>
      <c r="C20" s="108" t="s">
        <v>185</v>
      </c>
      <c r="D20" s="78">
        <v>5.5</v>
      </c>
      <c r="E20" s="109">
        <f t="shared" si="0"/>
        <v>3.3765117564000242E-3</v>
      </c>
      <c r="F20" s="78">
        <v>0</v>
      </c>
      <c r="G20" s="109">
        <f t="shared" si="1"/>
        <v>0</v>
      </c>
      <c r="H20" s="78">
        <v>0.4</v>
      </c>
      <c r="I20" s="110">
        <f t="shared" si="2"/>
        <v>7.810974419058778E-4</v>
      </c>
      <c r="J20" s="135">
        <v>91</v>
      </c>
      <c r="L20" t="s">
        <v>215</v>
      </c>
      <c r="M20" s="96">
        <f t="shared" si="7"/>
        <v>5.0049999999999999</v>
      </c>
      <c r="N20" s="98">
        <f t="shared" si="8"/>
        <v>0</v>
      </c>
      <c r="O20" s="129">
        <f t="shared" si="9"/>
        <v>0.36400000000000005</v>
      </c>
      <c r="Q20" s="131">
        <f t="shared" si="3"/>
        <v>0.44906934527932563</v>
      </c>
      <c r="R20" s="97">
        <f t="shared" si="4"/>
        <v>0</v>
      </c>
      <c r="S20" s="97">
        <f t="shared" si="5"/>
        <v>0.16336393265456514</v>
      </c>
      <c r="T20" s="101">
        <f t="shared" si="6"/>
        <v>0.16336393265456514</v>
      </c>
      <c r="U20" s="97"/>
    </row>
    <row r="21" spans="1:21" x14ac:dyDescent="0.25">
      <c r="B21" t="s">
        <v>211</v>
      </c>
      <c r="C21" s="108" t="s">
        <v>177</v>
      </c>
      <c r="D21" s="78">
        <v>1.6</v>
      </c>
      <c r="E21" s="109">
        <f t="shared" si="0"/>
        <v>9.8225796549818905E-4</v>
      </c>
      <c r="F21" s="78">
        <v>0</v>
      </c>
      <c r="G21" s="109">
        <f t="shared" si="1"/>
        <v>0</v>
      </c>
      <c r="H21" s="78">
        <v>0</v>
      </c>
      <c r="I21" s="110">
        <f t="shared" si="2"/>
        <v>0</v>
      </c>
      <c r="J21" s="135">
        <v>91</v>
      </c>
      <c r="L21" t="s">
        <v>211</v>
      </c>
      <c r="M21" s="96">
        <f t="shared" si="7"/>
        <v>1.4560000000000002</v>
      </c>
      <c r="N21" s="98">
        <f t="shared" si="8"/>
        <v>0</v>
      </c>
      <c r="O21" s="129">
        <f t="shared" si="9"/>
        <v>0</v>
      </c>
      <c r="Q21" s="131">
        <f t="shared" si="3"/>
        <v>0.13063835499034929</v>
      </c>
      <c r="R21" s="97">
        <f t="shared" si="4"/>
        <v>0</v>
      </c>
      <c r="S21" s="97">
        <f t="shared" si="5"/>
        <v>0</v>
      </c>
      <c r="T21" s="101">
        <f t="shared" si="6"/>
        <v>0</v>
      </c>
      <c r="U21" s="97"/>
    </row>
    <row r="22" spans="1:21" x14ac:dyDescent="0.25">
      <c r="B22" t="s">
        <v>212</v>
      </c>
      <c r="C22" s="108" t="s">
        <v>181</v>
      </c>
      <c r="D22" s="78">
        <v>39.9</v>
      </c>
      <c r="E22" s="109">
        <f t="shared" si="0"/>
        <v>2.4495058014611083E-2</v>
      </c>
      <c r="F22" s="78">
        <v>0</v>
      </c>
      <c r="G22" s="109">
        <f t="shared" si="1"/>
        <v>0</v>
      </c>
      <c r="H22" s="78">
        <v>3.3</v>
      </c>
      <c r="I22" s="110">
        <f t="shared" si="2"/>
        <v>6.444053895723491E-3</v>
      </c>
      <c r="J22" s="135">
        <v>87</v>
      </c>
      <c r="L22" t="s">
        <v>212</v>
      </c>
      <c r="M22" s="96">
        <f>D22*($J22/100)+D39*($J39/100)</f>
        <v>34.713000000000001</v>
      </c>
      <c r="N22" s="98">
        <f>F22*($J22/100)+F39*($J39/100)</f>
        <v>0</v>
      </c>
      <c r="O22" s="129">
        <f>H22*($J22/100)+H39*($J39/100)</f>
        <v>18.443999999999999</v>
      </c>
      <c r="Q22" s="131">
        <f t="shared" si="3"/>
        <v>3.1145942422939523</v>
      </c>
      <c r="R22" s="97">
        <f t="shared" si="4"/>
        <v>0</v>
      </c>
      <c r="S22" s="97">
        <f t="shared" si="5"/>
        <v>8.277704323848349</v>
      </c>
      <c r="T22" s="101">
        <f t="shared" si="6"/>
        <v>8.277704323848349</v>
      </c>
      <c r="U22" s="97"/>
    </row>
    <row r="23" spans="1:21" x14ac:dyDescent="0.25">
      <c r="A23" s="87" t="s">
        <v>213</v>
      </c>
      <c r="B23" t="s">
        <v>214</v>
      </c>
      <c r="C23" s="108" t="s">
        <v>182</v>
      </c>
      <c r="D23" s="78">
        <v>29.7</v>
      </c>
      <c r="E23" s="109">
        <f t="shared" si="0"/>
        <v>1.8233163484560132E-2</v>
      </c>
      <c r="F23" s="78">
        <v>0.5</v>
      </c>
      <c r="G23" s="109">
        <f t="shared" si="1"/>
        <v>9.0909090909090905E-3</v>
      </c>
      <c r="H23" s="78">
        <v>2.2000000000000002</v>
      </c>
      <c r="I23" s="110">
        <f t="shared" si="2"/>
        <v>4.2960359304823276E-3</v>
      </c>
      <c r="J23" s="135">
        <v>88</v>
      </c>
      <c r="L23" t="s">
        <v>214</v>
      </c>
      <c r="M23" s="96">
        <f>D23*($J23/100)</f>
        <v>26.135999999999999</v>
      </c>
      <c r="N23" s="98">
        <f>F23*($J23/100)</f>
        <v>0.44</v>
      </c>
      <c r="O23" s="129">
        <f>H23*($J23/100)</f>
        <v>1.9360000000000002</v>
      </c>
      <c r="Q23" s="131">
        <f t="shared" si="3"/>
        <v>2.3450302513926982</v>
      </c>
      <c r="R23" s="97">
        <f t="shared" si="4"/>
        <v>1.2823203002960992</v>
      </c>
      <c r="S23" s="97">
        <f t="shared" si="5"/>
        <v>0.86888069675614876</v>
      </c>
      <c r="T23" s="101">
        <f t="shared" si="6"/>
        <v>0.86888069675614876</v>
      </c>
      <c r="U23" s="97"/>
    </row>
    <row r="24" spans="1:21" x14ac:dyDescent="0.25">
      <c r="B24" t="s">
        <v>223</v>
      </c>
      <c r="C24" s="108" t="s">
        <v>190</v>
      </c>
      <c r="D24" s="78">
        <v>1.7</v>
      </c>
      <c r="E24" s="109">
        <f t="shared" si="0"/>
        <v>1.0436490883418256E-3</v>
      </c>
      <c r="F24" s="78">
        <v>0</v>
      </c>
      <c r="G24" s="109">
        <f t="shared" si="1"/>
        <v>0</v>
      </c>
      <c r="H24" s="78">
        <v>0.4</v>
      </c>
      <c r="I24" s="110">
        <f t="shared" si="2"/>
        <v>7.810974419058778E-4</v>
      </c>
      <c r="J24" s="135">
        <v>90</v>
      </c>
      <c r="L24" t="s">
        <v>223</v>
      </c>
      <c r="M24" s="96">
        <f>D24*($J24/100)</f>
        <v>1.53</v>
      </c>
      <c r="N24" s="98">
        <f>F24*($J24/100)</f>
        <v>0</v>
      </c>
      <c r="O24" s="129">
        <f>H24*($J24/100)</f>
        <v>0.36000000000000004</v>
      </c>
      <c r="Q24" s="131">
        <f t="shared" si="3"/>
        <v>0.13727794171375987</v>
      </c>
      <c r="R24" s="97">
        <f t="shared" si="4"/>
        <v>0</v>
      </c>
      <c r="S24" s="97">
        <f t="shared" si="5"/>
        <v>0.16156872460341609</v>
      </c>
      <c r="T24" s="101">
        <f t="shared" si="6"/>
        <v>0.16156872460341609</v>
      </c>
      <c r="U24" s="97"/>
    </row>
    <row r="25" spans="1:21" x14ac:dyDescent="0.25">
      <c r="B25" t="s">
        <v>224</v>
      </c>
      <c r="C25" s="108" t="s">
        <v>197</v>
      </c>
      <c r="D25" s="78">
        <v>60.4</v>
      </c>
      <c r="E25" s="109">
        <f t="shared" si="0"/>
        <v>3.7080238197556632E-2</v>
      </c>
      <c r="F25" s="78">
        <v>0</v>
      </c>
      <c r="G25" s="109">
        <f t="shared" si="1"/>
        <v>0</v>
      </c>
      <c r="H25" s="78">
        <v>0</v>
      </c>
      <c r="I25" s="110">
        <f t="shared" si="2"/>
        <v>0</v>
      </c>
      <c r="J25" s="135">
        <v>11</v>
      </c>
      <c r="L25" t="s">
        <v>224</v>
      </c>
      <c r="M25" s="96">
        <f>D25*($J25/100)+D37*($J37/100)</f>
        <v>6.6440000000000001</v>
      </c>
      <c r="N25" s="98">
        <f>F25*($J25/100)+F37*($J37/100)</f>
        <v>0</v>
      </c>
      <c r="O25" s="129">
        <f>H25*($J25/100)+H37*($J37/100)</f>
        <v>10.4574</v>
      </c>
      <c r="Q25" s="131">
        <f t="shared" si="3"/>
        <v>0.59612721878837949</v>
      </c>
      <c r="R25" s="97">
        <f t="shared" si="4"/>
        <v>0</v>
      </c>
      <c r="S25" s="97">
        <f t="shared" si="5"/>
        <v>4.6933021685215648</v>
      </c>
      <c r="T25" s="101">
        <f t="shared" si="6"/>
        <v>4.6933021685215648</v>
      </c>
      <c r="U25" s="97"/>
    </row>
    <row r="26" spans="1:21" x14ac:dyDescent="0.25">
      <c r="B26" t="s">
        <v>209</v>
      </c>
      <c r="C26" s="108" t="s">
        <v>175</v>
      </c>
      <c r="D26" s="78">
        <v>5.2</v>
      </c>
      <c r="E26" s="109">
        <f t="shared" si="0"/>
        <v>3.1923383878691139E-3</v>
      </c>
      <c r="F26" s="78">
        <v>0</v>
      </c>
      <c r="G26" s="109">
        <f t="shared" si="1"/>
        <v>0</v>
      </c>
      <c r="H26" s="78">
        <v>0.3</v>
      </c>
      <c r="I26" s="110">
        <f t="shared" si="2"/>
        <v>5.8582308142940832E-4</v>
      </c>
      <c r="J26" s="135">
        <v>76</v>
      </c>
      <c r="L26" t="s">
        <v>209</v>
      </c>
      <c r="M26" s="96">
        <f>D26*($J26/100)</f>
        <v>3.9520000000000004</v>
      </c>
      <c r="N26" s="98">
        <f>F26*($J26/100)</f>
        <v>0</v>
      </c>
      <c r="O26" s="129">
        <f>H26*($J26/100)</f>
        <v>0.22799999999999998</v>
      </c>
      <c r="Q26" s="131">
        <f t="shared" si="3"/>
        <v>0.35458982068809092</v>
      </c>
      <c r="R26" s="97">
        <f t="shared" si="4"/>
        <v>0</v>
      </c>
      <c r="S26" s="97">
        <f t="shared" si="5"/>
        <v>0.10232685891549684</v>
      </c>
      <c r="T26" s="101">
        <f t="shared" si="6"/>
        <v>0.10232685891549684</v>
      </c>
      <c r="U26" s="97"/>
    </row>
    <row r="27" spans="1:21" x14ac:dyDescent="0.25">
      <c r="B27" t="s">
        <v>210</v>
      </c>
      <c r="C27" s="108" t="s">
        <v>176</v>
      </c>
      <c r="D27" s="78">
        <v>8.6999999999999993</v>
      </c>
      <c r="E27" s="109">
        <f t="shared" si="0"/>
        <v>5.3410276873964019E-3</v>
      </c>
      <c r="F27" s="78">
        <v>0</v>
      </c>
      <c r="G27" s="109">
        <f t="shared" si="1"/>
        <v>0</v>
      </c>
      <c r="H27" s="78">
        <v>0</v>
      </c>
      <c r="I27" s="110">
        <f t="shared" si="2"/>
        <v>0</v>
      </c>
      <c r="J27" s="135">
        <v>89</v>
      </c>
      <c r="L27" t="s">
        <v>210</v>
      </c>
      <c r="M27" s="96">
        <f>D27*($J27/100)</f>
        <v>7.7429999999999994</v>
      </c>
      <c r="N27" s="98">
        <f>F27*($J27/100)</f>
        <v>0</v>
      </c>
      <c r="O27" s="129">
        <f>H27*($J27/100)</f>
        <v>0</v>
      </c>
      <c r="Q27" s="131">
        <f t="shared" si="3"/>
        <v>0.69473405404551813</v>
      </c>
      <c r="R27" s="97">
        <f t="shared" si="4"/>
        <v>0</v>
      </c>
      <c r="S27" s="97">
        <f t="shared" si="5"/>
        <v>0</v>
      </c>
      <c r="T27" s="101">
        <f t="shared" si="6"/>
        <v>0</v>
      </c>
      <c r="U27" s="97"/>
    </row>
    <row r="28" spans="1:21" x14ac:dyDescent="0.25">
      <c r="B28" t="s">
        <v>225</v>
      </c>
      <c r="C28" s="108" t="s">
        <v>198</v>
      </c>
      <c r="D28" s="78">
        <v>188.4</v>
      </c>
      <c r="E28" s="109">
        <f t="shared" si="0"/>
        <v>0.11566087543741174</v>
      </c>
      <c r="F28" s="78">
        <v>9.6</v>
      </c>
      <c r="G28" s="109">
        <f t="shared" si="1"/>
        <v>0.17454545454545453</v>
      </c>
      <c r="H28" s="78">
        <v>0</v>
      </c>
      <c r="I28" s="110">
        <f t="shared" si="2"/>
        <v>0</v>
      </c>
      <c r="J28" s="135">
        <v>6.3</v>
      </c>
      <c r="L28" t="s">
        <v>225</v>
      </c>
      <c r="M28" s="96">
        <f>D28*($J28/100)+D38*($J38/100)</f>
        <v>11.869200000000001</v>
      </c>
      <c r="N28" s="98">
        <f>F28*($J28/100)+F38*($J38/100)</f>
        <v>0.6048</v>
      </c>
      <c r="O28" s="129">
        <f>H28*($J28/100)+H38*($J38/100)</f>
        <v>9.7110000000000003</v>
      </c>
      <c r="Q28" s="131">
        <f t="shared" si="3"/>
        <v>1.0649538207770974</v>
      </c>
      <c r="R28" s="97">
        <f t="shared" si="4"/>
        <v>1.7626075400433656</v>
      </c>
      <c r="S28" s="97">
        <f t="shared" si="5"/>
        <v>4.3583163461771495</v>
      </c>
      <c r="T28" s="101">
        <f t="shared" si="6"/>
        <v>4.3583163461771495</v>
      </c>
      <c r="U28" s="97"/>
    </row>
    <row r="29" spans="1:21" x14ac:dyDescent="0.25">
      <c r="B29" t="s">
        <v>229</v>
      </c>
      <c r="C29" s="108" t="s">
        <v>191</v>
      </c>
      <c r="D29" s="78">
        <v>0</v>
      </c>
      <c r="E29" s="109">
        <f t="shared" si="0"/>
        <v>0</v>
      </c>
      <c r="F29" s="78">
        <v>0.1</v>
      </c>
      <c r="G29" s="109">
        <f t="shared" si="1"/>
        <v>1.8181818181818182E-3</v>
      </c>
      <c r="H29" s="78">
        <v>0</v>
      </c>
      <c r="I29" s="110">
        <f t="shared" si="2"/>
        <v>0</v>
      </c>
      <c r="J29" s="135">
        <v>97</v>
      </c>
      <c r="L29" t="s">
        <v>229</v>
      </c>
      <c r="M29" s="96">
        <f>D29*($J29/100)</f>
        <v>0</v>
      </c>
      <c r="N29" s="98">
        <f>F29*($J29/100)</f>
        <v>9.7000000000000003E-2</v>
      </c>
      <c r="O29" s="129">
        <f>H29*($J29/100)</f>
        <v>0</v>
      </c>
      <c r="Q29" s="131">
        <f t="shared" si="3"/>
        <v>0</v>
      </c>
      <c r="R29" s="97">
        <f t="shared" si="4"/>
        <v>0.2826933389289128</v>
      </c>
      <c r="S29" s="97">
        <f t="shared" si="5"/>
        <v>0</v>
      </c>
      <c r="T29" s="101">
        <f t="shared" si="6"/>
        <v>0</v>
      </c>
      <c r="U29" s="97"/>
    </row>
    <row r="30" spans="1:21" x14ac:dyDescent="0.25">
      <c r="B30" t="s">
        <v>221</v>
      </c>
      <c r="C30" s="108" t="s">
        <v>193</v>
      </c>
      <c r="D30" s="78">
        <v>0</v>
      </c>
      <c r="E30" s="109">
        <f t="shared" si="0"/>
        <v>0</v>
      </c>
      <c r="F30" s="78">
        <v>0.5</v>
      </c>
      <c r="G30" s="109">
        <f t="shared" si="1"/>
        <v>9.0909090909090905E-3</v>
      </c>
      <c r="H30" s="78">
        <v>0</v>
      </c>
      <c r="I30" s="110">
        <f t="shared" si="2"/>
        <v>0</v>
      </c>
      <c r="J30" s="135">
        <v>92</v>
      </c>
      <c r="L30" t="s">
        <v>221</v>
      </c>
      <c r="M30" s="96">
        <f>D30*($J30/100)</f>
        <v>0</v>
      </c>
      <c r="N30" s="98">
        <f>F30*($J30/100)</f>
        <v>0.46</v>
      </c>
      <c r="O30" s="129">
        <f>H30*($J30/100)</f>
        <v>0</v>
      </c>
      <c r="Q30" s="131">
        <f t="shared" si="3"/>
        <v>0</v>
      </c>
      <c r="R30" s="97">
        <f t="shared" si="4"/>
        <v>1.3406075866731948</v>
      </c>
      <c r="S30" s="97">
        <f t="shared" si="5"/>
        <v>0</v>
      </c>
      <c r="T30" s="101">
        <f t="shared" si="6"/>
        <v>0</v>
      </c>
      <c r="U30" s="97"/>
    </row>
    <row r="31" spans="1:21" x14ac:dyDescent="0.25">
      <c r="B31" t="s">
        <v>222</v>
      </c>
      <c r="C31" s="108" t="s">
        <v>194</v>
      </c>
      <c r="D31" s="78">
        <v>2.2000000000000002</v>
      </c>
      <c r="E31" s="109">
        <f t="shared" si="0"/>
        <v>1.3506047025600098E-3</v>
      </c>
      <c r="F31" s="78">
        <v>1.2</v>
      </c>
      <c r="G31" s="109">
        <f t="shared" si="1"/>
        <v>2.1818181818181816E-2</v>
      </c>
      <c r="H31" s="78">
        <v>0</v>
      </c>
      <c r="I31" s="110">
        <f t="shared" si="2"/>
        <v>0</v>
      </c>
      <c r="J31" s="135">
        <v>92</v>
      </c>
      <c r="L31" t="s">
        <v>222</v>
      </c>
      <c r="M31" s="96">
        <f>D31*($J31/100)</f>
        <v>2.0240000000000005</v>
      </c>
      <c r="N31" s="98">
        <f>F31*($J31/100)</f>
        <v>1.1040000000000001</v>
      </c>
      <c r="O31" s="129">
        <f>H31*($J31/100)</f>
        <v>0</v>
      </c>
      <c r="Q31" s="131">
        <f t="shared" si="3"/>
        <v>0.18160166929977128</v>
      </c>
      <c r="R31" s="97">
        <f t="shared" si="4"/>
        <v>3.2174582080156675</v>
      </c>
      <c r="S31" s="97">
        <f t="shared" si="5"/>
        <v>0</v>
      </c>
      <c r="T31" s="101">
        <f t="shared" si="6"/>
        <v>0</v>
      </c>
      <c r="U31" s="97"/>
    </row>
    <row r="32" spans="1:21" x14ac:dyDescent="0.25">
      <c r="B32" t="s">
        <v>233</v>
      </c>
      <c r="C32" s="108" t="s">
        <v>195</v>
      </c>
      <c r="D32" s="78">
        <v>2.2999999999999998</v>
      </c>
      <c r="E32" s="109">
        <f t="shared" si="0"/>
        <v>1.4119958254036463E-3</v>
      </c>
      <c r="F32" s="78">
        <v>0.5</v>
      </c>
      <c r="G32" s="109">
        <f t="shared" si="1"/>
        <v>9.0909090909090905E-3</v>
      </c>
      <c r="H32" s="78">
        <v>0</v>
      </c>
      <c r="I32" s="110">
        <f t="shared" si="2"/>
        <v>0</v>
      </c>
      <c r="J32" s="135">
        <v>100</v>
      </c>
      <c r="L32" t="s">
        <v>233</v>
      </c>
      <c r="M32" s="96">
        <f>D32*($J32/100)</f>
        <v>2.2999999999999998</v>
      </c>
      <c r="N32" s="98">
        <f>F32*($J32/100)</f>
        <v>0.5</v>
      </c>
      <c r="O32" s="129">
        <f>H32*($J32/100)</f>
        <v>0</v>
      </c>
      <c r="Q32" s="131">
        <f t="shared" si="3"/>
        <v>0.20636553329519458</v>
      </c>
      <c r="R32" s="97">
        <f t="shared" si="4"/>
        <v>1.4571821594273857</v>
      </c>
      <c r="S32" s="97">
        <f t="shared" si="5"/>
        <v>0</v>
      </c>
      <c r="T32" s="101">
        <f t="shared" si="6"/>
        <v>0</v>
      </c>
      <c r="U32" s="97"/>
    </row>
    <row r="33" spans="1:21" x14ac:dyDescent="0.25">
      <c r="B33" s="87" t="s">
        <v>240</v>
      </c>
      <c r="C33" s="140" t="s">
        <v>170</v>
      </c>
      <c r="D33" s="141">
        <v>62.6</v>
      </c>
      <c r="E33" s="142">
        <f t="shared" si="0"/>
        <v>3.8430842900116641E-2</v>
      </c>
      <c r="F33" s="141">
        <v>1.8</v>
      </c>
      <c r="G33" s="142">
        <f t="shared" si="1"/>
        <v>3.272727272727273E-2</v>
      </c>
      <c r="H33" s="141">
        <v>11</v>
      </c>
      <c r="I33" s="143">
        <f t="shared" si="2"/>
        <v>2.1480179652411637E-2</v>
      </c>
      <c r="J33" s="135"/>
      <c r="L33" t="s">
        <v>227</v>
      </c>
      <c r="M33" s="100">
        <f>D41*($J41/100)</f>
        <v>0</v>
      </c>
      <c r="N33" s="78">
        <f>F41*($J41/100)</f>
        <v>0</v>
      </c>
      <c r="O33" s="99">
        <f>H41*($J41/100)</f>
        <v>7.9200000000000008</v>
      </c>
      <c r="Q33" s="131">
        <f t="shared" si="3"/>
        <v>0</v>
      </c>
      <c r="R33" s="97">
        <f t="shared" si="4"/>
        <v>0</v>
      </c>
      <c r="S33" s="97">
        <f t="shared" si="5"/>
        <v>3.554511941275154</v>
      </c>
      <c r="T33" s="101">
        <f t="shared" si="6"/>
        <v>3.554511941275154</v>
      </c>
      <c r="U33" s="97"/>
    </row>
    <row r="34" spans="1:21" x14ac:dyDescent="0.25">
      <c r="B34" s="87" t="s">
        <v>240</v>
      </c>
      <c r="C34" s="140" t="s">
        <v>184</v>
      </c>
      <c r="D34" s="141">
        <v>5.8</v>
      </c>
      <c r="E34" s="142">
        <f t="shared" si="0"/>
        <v>3.5606851249309346E-3</v>
      </c>
      <c r="F34" s="141">
        <v>0.2</v>
      </c>
      <c r="G34" s="142">
        <f t="shared" si="1"/>
        <v>3.6363636363636364E-3</v>
      </c>
      <c r="H34" s="141">
        <v>1.4</v>
      </c>
      <c r="I34" s="143">
        <f t="shared" si="2"/>
        <v>2.7338410466705718E-3</v>
      </c>
      <c r="J34" s="135"/>
      <c r="M34" s="100"/>
      <c r="N34" s="78"/>
      <c r="O34" s="99"/>
      <c r="Q34" s="100"/>
      <c r="R34" s="78"/>
      <c r="S34" s="78"/>
      <c r="T34" s="99"/>
      <c r="U34" s="78"/>
    </row>
    <row r="35" spans="1:21" x14ac:dyDescent="0.25">
      <c r="B35" s="87" t="s">
        <v>240</v>
      </c>
      <c r="C35" s="140" t="s">
        <v>199</v>
      </c>
      <c r="D35" s="141">
        <v>43.3</v>
      </c>
      <c r="E35" s="142">
        <f t="shared" si="0"/>
        <v>2.6582356191294735E-2</v>
      </c>
      <c r="F35" s="141">
        <v>4.5</v>
      </c>
      <c r="G35" s="142">
        <f t="shared" si="1"/>
        <v>8.1818181818181818E-2</v>
      </c>
      <c r="H35" s="141">
        <v>0</v>
      </c>
      <c r="I35" s="143">
        <f t="shared" si="2"/>
        <v>0</v>
      </c>
      <c r="J35" s="135"/>
      <c r="M35" s="100"/>
      <c r="N35" s="78"/>
      <c r="O35" s="99"/>
      <c r="Q35" s="100"/>
      <c r="R35" s="78"/>
      <c r="S35" s="78"/>
      <c r="T35" s="99"/>
      <c r="U35" s="78"/>
    </row>
    <row r="36" spans="1:21" x14ac:dyDescent="0.25">
      <c r="B36" t="s">
        <v>159</v>
      </c>
      <c r="C36" s="108" t="s">
        <v>183</v>
      </c>
      <c r="D36" s="78">
        <v>0</v>
      </c>
      <c r="E36" s="109">
        <f t="shared" si="0"/>
        <v>0</v>
      </c>
      <c r="F36" s="78">
        <v>0.2</v>
      </c>
      <c r="G36" s="109">
        <f t="shared" si="1"/>
        <v>3.6363636363636364E-3</v>
      </c>
      <c r="H36" s="78">
        <v>0</v>
      </c>
      <c r="I36" s="110">
        <f t="shared" si="2"/>
        <v>0</v>
      </c>
      <c r="J36" s="135">
        <v>86</v>
      </c>
      <c r="M36" s="100"/>
      <c r="N36" s="78"/>
      <c r="O36" s="99"/>
      <c r="Q36" s="100"/>
      <c r="R36" s="78"/>
      <c r="S36" s="78"/>
      <c r="T36" s="99"/>
      <c r="U36" s="78"/>
    </row>
    <row r="37" spans="1:21" x14ac:dyDescent="0.25">
      <c r="A37" s="87"/>
      <c r="B37" t="s">
        <v>224</v>
      </c>
      <c r="C37" s="116" t="s">
        <v>200</v>
      </c>
      <c r="D37" s="117">
        <v>0</v>
      </c>
      <c r="E37" s="118">
        <f t="shared" si="0"/>
        <v>0</v>
      </c>
      <c r="F37" s="117">
        <v>0</v>
      </c>
      <c r="G37" s="118">
        <f t="shared" si="1"/>
        <v>0</v>
      </c>
      <c r="H37" s="117">
        <v>120.2</v>
      </c>
      <c r="I37" s="119">
        <f t="shared" si="2"/>
        <v>0.23471978129271626</v>
      </c>
      <c r="J37" s="135">
        <v>8.6999999999999993</v>
      </c>
      <c r="M37" s="100"/>
      <c r="N37" s="78"/>
      <c r="O37" s="99"/>
      <c r="Q37" s="100"/>
      <c r="R37" s="78"/>
      <c r="S37" s="78"/>
      <c r="T37" s="99"/>
      <c r="U37" s="78"/>
    </row>
    <row r="38" spans="1:21" x14ac:dyDescent="0.25">
      <c r="B38" t="s">
        <v>225</v>
      </c>
      <c r="C38" s="108" t="s">
        <v>201</v>
      </c>
      <c r="D38" s="78">
        <v>0</v>
      </c>
      <c r="E38" s="109">
        <f t="shared" si="0"/>
        <v>0</v>
      </c>
      <c r="F38" s="78">
        <v>0</v>
      </c>
      <c r="G38" s="109">
        <f t="shared" si="1"/>
        <v>0</v>
      </c>
      <c r="H38" s="78">
        <v>124.5</v>
      </c>
      <c r="I38" s="110">
        <f t="shared" si="2"/>
        <v>0.24311657879320445</v>
      </c>
      <c r="J38" s="135">
        <v>7.8</v>
      </c>
      <c r="M38" s="100"/>
      <c r="N38" s="78"/>
      <c r="O38" s="99"/>
      <c r="Q38" s="100"/>
      <c r="R38" s="78"/>
      <c r="S38" s="78"/>
      <c r="T38" s="99"/>
      <c r="U38" s="78"/>
    </row>
    <row r="39" spans="1:21" x14ac:dyDescent="0.25">
      <c r="B39" t="s">
        <v>212</v>
      </c>
      <c r="C39" s="108" t="s">
        <v>202</v>
      </c>
      <c r="D39" s="78">
        <v>0</v>
      </c>
      <c r="E39" s="109">
        <f t="shared" si="0"/>
        <v>0</v>
      </c>
      <c r="F39" s="78">
        <v>0</v>
      </c>
      <c r="G39" s="109">
        <f t="shared" si="1"/>
        <v>0</v>
      </c>
      <c r="H39" s="78">
        <v>17.899999999999999</v>
      </c>
      <c r="I39" s="110">
        <f t="shared" si="2"/>
        <v>3.4954110525288025E-2</v>
      </c>
      <c r="J39" s="135">
        <v>87</v>
      </c>
      <c r="M39" s="100"/>
      <c r="N39" s="78"/>
      <c r="O39" s="99"/>
      <c r="Q39" s="100"/>
      <c r="R39" s="78"/>
      <c r="S39" s="78"/>
      <c r="T39" s="99"/>
      <c r="U39" s="78"/>
    </row>
    <row r="40" spans="1:21" x14ac:dyDescent="0.25">
      <c r="B40" s="87" t="s">
        <v>240</v>
      </c>
      <c r="C40" s="144" t="s">
        <v>203</v>
      </c>
      <c r="D40" s="141">
        <v>0</v>
      </c>
      <c r="E40" s="142">
        <f t="shared" si="0"/>
        <v>0</v>
      </c>
      <c r="F40" s="141">
        <v>0</v>
      </c>
      <c r="G40" s="142">
        <f t="shared" si="1"/>
        <v>0</v>
      </c>
      <c r="H40" s="141">
        <v>15.7</v>
      </c>
      <c r="I40" s="143">
        <f t="shared" si="2"/>
        <v>3.0658074594805698E-2</v>
      </c>
      <c r="J40" s="135">
        <v>91</v>
      </c>
      <c r="M40" s="100"/>
      <c r="N40" s="78"/>
      <c r="O40" s="99"/>
      <c r="Q40" s="100"/>
      <c r="R40" s="78"/>
      <c r="S40" s="78"/>
      <c r="T40" s="99"/>
      <c r="U40" s="78"/>
    </row>
    <row r="41" spans="1:21" x14ac:dyDescent="0.25">
      <c r="B41" t="s">
        <v>227</v>
      </c>
      <c r="C41" s="108" t="s">
        <v>204</v>
      </c>
      <c r="D41" s="78">
        <v>0</v>
      </c>
      <c r="E41" s="109">
        <f t="shared" si="0"/>
        <v>0</v>
      </c>
      <c r="F41" s="78">
        <v>0</v>
      </c>
      <c r="G41" s="109">
        <f t="shared" si="1"/>
        <v>0</v>
      </c>
      <c r="H41" s="78">
        <v>8.8000000000000007</v>
      </c>
      <c r="I41" s="110">
        <f t="shared" si="2"/>
        <v>1.718414372192931E-2</v>
      </c>
      <c r="J41" s="135">
        <v>90</v>
      </c>
      <c r="M41" s="100"/>
      <c r="N41" s="78"/>
      <c r="O41" s="99"/>
      <c r="Q41" s="100"/>
      <c r="R41" s="78"/>
      <c r="S41" s="78"/>
      <c r="T41" s="99"/>
      <c r="U41" s="78"/>
    </row>
    <row r="42" spans="1:21" x14ac:dyDescent="0.25">
      <c r="B42" s="87" t="s">
        <v>240</v>
      </c>
      <c r="C42" s="145" t="s">
        <v>205</v>
      </c>
      <c r="D42" s="146">
        <v>0</v>
      </c>
      <c r="E42" s="147">
        <f t="shared" si="0"/>
        <v>0</v>
      </c>
      <c r="F42" s="146">
        <v>0</v>
      </c>
      <c r="G42" s="147">
        <f t="shared" si="1"/>
        <v>0</v>
      </c>
      <c r="H42" s="146">
        <v>4.7</v>
      </c>
      <c r="I42" s="148">
        <f t="shared" si="2"/>
        <v>9.1778949423940628E-3</v>
      </c>
      <c r="J42" s="135"/>
      <c r="M42" s="100"/>
      <c r="N42" s="78"/>
      <c r="O42" s="99"/>
      <c r="Q42" s="100"/>
      <c r="R42" s="78"/>
      <c r="S42" s="78"/>
      <c r="T42" s="99"/>
      <c r="U42" s="78"/>
    </row>
    <row r="43" spans="1:21" x14ac:dyDescent="0.25">
      <c r="C43" s="120" t="s">
        <v>196</v>
      </c>
      <c r="D43" s="77">
        <v>2746.2</v>
      </c>
      <c r="E43" s="77"/>
      <c r="F43" s="77">
        <v>79.900000000000006</v>
      </c>
      <c r="G43" s="77"/>
      <c r="H43" s="77">
        <v>330.2</v>
      </c>
      <c r="I43" s="121"/>
      <c r="J43" s="135"/>
      <c r="M43" s="100"/>
      <c r="N43" s="78"/>
      <c r="O43" s="99"/>
      <c r="Q43" s="100"/>
      <c r="R43" s="78"/>
      <c r="S43" s="78"/>
      <c r="T43" s="99"/>
      <c r="U43" s="78"/>
    </row>
    <row r="44" spans="1:21" x14ac:dyDescent="0.25">
      <c r="C44" s="106" t="s">
        <v>206</v>
      </c>
      <c r="D44" s="111">
        <v>4375.1000000000004</v>
      </c>
      <c r="E44" s="111"/>
      <c r="F44" s="111">
        <v>134.9</v>
      </c>
      <c r="G44" s="111"/>
      <c r="H44" s="111">
        <v>842.3</v>
      </c>
      <c r="I44" s="112"/>
      <c r="J44" s="135"/>
      <c r="L44" s="4" t="s">
        <v>234</v>
      </c>
      <c r="M44" s="122">
        <f>SUM(M8:M43)</f>
        <v>1114.5272</v>
      </c>
      <c r="N44" s="132">
        <f>SUM(N8:N43)</f>
        <v>34.312800000000003</v>
      </c>
      <c r="O44" s="123">
        <f>SUM(O8:O43)</f>
        <v>222.81540000000004</v>
      </c>
      <c r="Q44" s="122">
        <f>SUM(Q8:Q43)</f>
        <v>100</v>
      </c>
      <c r="R44" s="132">
        <f t="shared" ref="R44:T44" si="10">SUM(R8:R43)</f>
        <v>100</v>
      </c>
      <c r="S44" s="132">
        <f t="shared" si="10"/>
        <v>100</v>
      </c>
      <c r="T44" s="123">
        <f t="shared" si="10"/>
        <v>100</v>
      </c>
      <c r="U44" s="128"/>
    </row>
    <row r="45" spans="1:21" x14ac:dyDescent="0.25">
      <c r="C45" s="113" t="s">
        <v>226</v>
      </c>
      <c r="D45" s="114">
        <f>SUM(D8:D42)</f>
        <v>1628.9</v>
      </c>
      <c r="E45" s="114"/>
      <c r="F45" s="114">
        <f>SUM(F8:F42)</f>
        <v>55</v>
      </c>
      <c r="G45" s="114"/>
      <c r="H45" s="114">
        <f>SUM(H8:H42)</f>
        <v>512.1</v>
      </c>
      <c r="I45" s="115"/>
      <c r="J45" s="135"/>
    </row>
    <row r="46" spans="1:21" x14ac:dyDescent="0.25">
      <c r="L46" s="102"/>
      <c r="M46" s="87"/>
      <c r="N46" s="87"/>
      <c r="O46" s="87"/>
    </row>
    <row r="47" spans="1:21" x14ac:dyDescent="0.25">
      <c r="C47" s="136" t="s">
        <v>238</v>
      </c>
      <c r="L47" s="102"/>
      <c r="M47" s="87"/>
      <c r="N47" s="87"/>
      <c r="O47" s="87"/>
    </row>
    <row r="48" spans="1:21" x14ac:dyDescent="0.25">
      <c r="C48" s="136" t="s">
        <v>239</v>
      </c>
      <c r="L48" s="102"/>
      <c r="M48" s="87"/>
      <c r="N48" s="87"/>
      <c r="O48" s="87"/>
    </row>
    <row r="49" spans="3:15" x14ac:dyDescent="0.25">
      <c r="L49" s="87"/>
      <c r="M49" s="87"/>
      <c r="N49" s="87"/>
      <c r="O49" s="87"/>
    </row>
    <row r="50" spans="3:15" x14ac:dyDescent="0.25">
      <c r="L50" s="102"/>
      <c r="M50" s="87"/>
      <c r="N50" s="87"/>
      <c r="O50" s="87"/>
    </row>
    <row r="51" spans="3:15" x14ac:dyDescent="0.25">
      <c r="C51" s="137" t="s">
        <v>242</v>
      </c>
      <c r="D51" s="117"/>
      <c r="E51" s="117"/>
      <c r="F51" s="117"/>
      <c r="G51" s="117"/>
      <c r="H51" s="117"/>
      <c r="I51" s="138"/>
      <c r="J51" s="78"/>
    </row>
    <row r="52" spans="3:15" ht="91.5" customHeight="1" x14ac:dyDescent="0.25">
      <c r="C52" s="149" t="s">
        <v>241</v>
      </c>
      <c r="D52" s="150"/>
      <c r="E52" s="150"/>
      <c r="F52" s="150"/>
      <c r="G52" s="150"/>
      <c r="H52" s="150"/>
      <c r="I52" s="151"/>
      <c r="J52" s="139"/>
    </row>
  </sheetData>
  <mergeCells count="1">
    <mergeCell ref="C52:I5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"/>
  <sheetViews>
    <sheetView workbookViewId="0">
      <selection activeCell="H27" sqref="H27"/>
    </sheetView>
  </sheetViews>
  <sheetFormatPr defaultRowHeight="15" x14ac:dyDescent="0.25"/>
  <cols>
    <col min="2" max="5" width="21" customWidth="1"/>
    <col min="7" max="9" width="21.7109375" customWidth="1"/>
    <col min="14" max="14" width="9.140625" customWidth="1"/>
  </cols>
  <sheetData>
    <row r="2" spans="2:11" x14ac:dyDescent="0.25">
      <c r="B2" t="s">
        <v>248</v>
      </c>
    </row>
    <row r="3" spans="2:11" x14ac:dyDescent="0.25">
      <c r="B3" t="s">
        <v>249</v>
      </c>
    </row>
    <row r="5" spans="2:11" x14ac:dyDescent="0.25">
      <c r="B5" s="90" t="s">
        <v>260</v>
      </c>
    </row>
    <row r="6" spans="2:11" ht="30" x14ac:dyDescent="0.25">
      <c r="B6" s="79" t="s">
        <v>250</v>
      </c>
      <c r="C6" s="79" t="s">
        <v>251</v>
      </c>
      <c r="D6" s="79" t="s">
        <v>252</v>
      </c>
      <c r="E6" s="79" t="s">
        <v>253</v>
      </c>
      <c r="G6" s="79" t="s">
        <v>261</v>
      </c>
      <c r="H6" s="79" t="s">
        <v>262</v>
      </c>
      <c r="I6" s="79" t="s">
        <v>263</v>
      </c>
      <c r="J6" s="79"/>
      <c r="K6" s="79"/>
    </row>
    <row r="7" spans="2:11" x14ac:dyDescent="0.25">
      <c r="B7" t="s">
        <v>172</v>
      </c>
      <c r="C7">
        <v>454</v>
      </c>
      <c r="D7">
        <v>431</v>
      </c>
      <c r="E7">
        <v>30</v>
      </c>
      <c r="G7">
        <v>165.9</v>
      </c>
      <c r="H7">
        <v>41.6</v>
      </c>
      <c r="I7">
        <v>61.3</v>
      </c>
    </row>
    <row r="8" spans="2:11" x14ac:dyDescent="0.25">
      <c r="B8" t="s">
        <v>171</v>
      </c>
      <c r="G8">
        <v>25.6</v>
      </c>
      <c r="H8">
        <v>39.9</v>
      </c>
      <c r="I8">
        <v>50.4</v>
      </c>
    </row>
    <row r="9" spans="2:11" x14ac:dyDescent="0.25">
      <c r="B9" t="s">
        <v>173</v>
      </c>
      <c r="C9">
        <v>97</v>
      </c>
      <c r="D9">
        <v>108</v>
      </c>
      <c r="E9">
        <v>4</v>
      </c>
    </row>
    <row r="10" spans="2:11" x14ac:dyDescent="0.25">
      <c r="B10" t="s">
        <v>254</v>
      </c>
    </row>
    <row r="11" spans="2:11" x14ac:dyDescent="0.25">
      <c r="B11" t="s">
        <v>187</v>
      </c>
      <c r="D11">
        <v>20</v>
      </c>
      <c r="G11">
        <v>8.5</v>
      </c>
    </row>
    <row r="12" spans="2:11" x14ac:dyDescent="0.25">
      <c r="B12" t="s">
        <v>264</v>
      </c>
    </row>
    <row r="13" spans="2:11" x14ac:dyDescent="0.25">
      <c r="B13" t="s">
        <v>255</v>
      </c>
      <c r="C13">
        <v>184</v>
      </c>
      <c r="D13">
        <v>140</v>
      </c>
      <c r="E13">
        <v>11</v>
      </c>
      <c r="G13">
        <v>56</v>
      </c>
      <c r="H13">
        <v>32.5</v>
      </c>
      <c r="I13">
        <v>34.299999999999997</v>
      </c>
    </row>
    <row r="14" spans="2:11" x14ac:dyDescent="0.25">
      <c r="B14" t="s">
        <v>266</v>
      </c>
      <c r="C14">
        <v>99</v>
      </c>
      <c r="D14">
        <v>75</v>
      </c>
      <c r="E14">
        <v>0.6</v>
      </c>
      <c r="G14">
        <v>48.4</v>
      </c>
      <c r="H14">
        <v>22.8</v>
      </c>
      <c r="I14">
        <v>20.6</v>
      </c>
    </row>
    <row r="15" spans="2:11" x14ac:dyDescent="0.25">
      <c r="B15" t="s">
        <v>256</v>
      </c>
      <c r="C15">
        <v>15</v>
      </c>
      <c r="D15">
        <v>11</v>
      </c>
      <c r="E15">
        <v>4.4000000000000004</v>
      </c>
    </row>
    <row r="16" spans="2:11" x14ac:dyDescent="0.25">
      <c r="B16" t="s">
        <v>257</v>
      </c>
      <c r="C16">
        <v>12</v>
      </c>
      <c r="D16">
        <v>8</v>
      </c>
      <c r="E16">
        <v>1.1000000000000001</v>
      </c>
    </row>
    <row r="17" spans="2:15" x14ac:dyDescent="0.25">
      <c r="B17" t="s">
        <v>258</v>
      </c>
      <c r="C17">
        <v>60</v>
      </c>
      <c r="D17">
        <v>46</v>
      </c>
      <c r="E17">
        <v>4.9000000000000004</v>
      </c>
    </row>
    <row r="18" spans="2:15" x14ac:dyDescent="0.25">
      <c r="B18" t="s">
        <v>265</v>
      </c>
      <c r="G18">
        <v>5.0999999999999996</v>
      </c>
    </row>
    <row r="19" spans="2:15" x14ac:dyDescent="0.25">
      <c r="B19" t="s">
        <v>259</v>
      </c>
      <c r="C19">
        <v>735</v>
      </c>
      <c r="D19">
        <v>698</v>
      </c>
      <c r="E19">
        <v>45</v>
      </c>
      <c r="G19">
        <v>256</v>
      </c>
      <c r="H19">
        <v>114</v>
      </c>
      <c r="I19">
        <v>146</v>
      </c>
    </row>
    <row r="21" spans="2:15" x14ac:dyDescent="0.25">
      <c r="B21" s="90" t="s">
        <v>267</v>
      </c>
    </row>
    <row r="22" spans="2:15" ht="30" customHeight="1" x14ac:dyDescent="0.25">
      <c r="B22" s="79" t="s">
        <v>250</v>
      </c>
      <c r="C22" s="79" t="s">
        <v>271</v>
      </c>
      <c r="D22" s="79" t="s">
        <v>272</v>
      </c>
      <c r="E22" s="79" t="s">
        <v>273</v>
      </c>
      <c r="F22" s="79"/>
      <c r="G22" s="79" t="s">
        <v>274</v>
      </c>
      <c r="H22" s="79" t="s">
        <v>275</v>
      </c>
      <c r="I22" s="79" t="s">
        <v>276</v>
      </c>
      <c r="J22" s="79" t="s">
        <v>277</v>
      </c>
      <c r="K22" s="164" t="s">
        <v>208</v>
      </c>
      <c r="L22" s="165">
        <v>0</v>
      </c>
      <c r="M22" s="165" t="s">
        <v>15</v>
      </c>
      <c r="N22" s="165" t="s">
        <v>24</v>
      </c>
      <c r="O22" s="166" t="s">
        <v>25</v>
      </c>
    </row>
    <row r="23" spans="2:15" x14ac:dyDescent="0.25">
      <c r="B23" t="s">
        <v>172</v>
      </c>
      <c r="C23">
        <v>260</v>
      </c>
      <c r="D23">
        <v>417</v>
      </c>
      <c r="E23">
        <v>19</v>
      </c>
      <c r="G23">
        <v>77</v>
      </c>
      <c r="H23">
        <v>36.200000000000003</v>
      </c>
      <c r="I23">
        <v>50.4</v>
      </c>
      <c r="J23">
        <v>0.86</v>
      </c>
      <c r="K23" s="100" t="s">
        <v>158</v>
      </c>
      <c r="L23" s="98">
        <f>(C23*J23+D23*J23) / (SUMPRODUCT(C$23:C$31,J$23:J$31) + SUMPRODUCT(D$23:D$31,J$23:J$31)) * 100</f>
        <v>47.281143414000326</v>
      </c>
      <c r="M23" s="98">
        <f>(E23*J23) / (SUMPRODUCT(E$23:E$31,J$23:J$31)) * 100</f>
        <v>41.687927339524443</v>
      </c>
      <c r="N23" s="98">
        <f>(G23*J23 + H23*J23+I23*J23) / (SUMPRODUCT(G$23:G$31,J$23:J$31) + SUMPRODUCT(H$23:H$31,J$23:J$31) + SUMPRODUCT(I$23:I$31,J$23:J$31)) * 100</f>
        <v>31.818428527490816</v>
      </c>
      <c r="O23" s="129">
        <f>N23</f>
        <v>31.818428527490816</v>
      </c>
    </row>
    <row r="24" spans="2:15" x14ac:dyDescent="0.25">
      <c r="B24" t="s">
        <v>171</v>
      </c>
      <c r="C24">
        <v>216</v>
      </c>
      <c r="E24">
        <v>11</v>
      </c>
      <c r="G24">
        <v>60</v>
      </c>
      <c r="H24">
        <v>24.2</v>
      </c>
      <c r="I24">
        <v>31.7</v>
      </c>
      <c r="J24">
        <v>0.86</v>
      </c>
      <c r="K24" s="100" t="s">
        <v>69</v>
      </c>
      <c r="L24" s="98">
        <f t="shared" ref="L24:L31" si="0">(C24*J24+D24*J24) / (SUMPRODUCT(C$23:C$31,J$23:J$31) + SUMPRODUCT(D$23:D$31,J$23:J$31)) * 100</f>
        <v>15.085268799740131</v>
      </c>
      <c r="M24" s="98">
        <f t="shared" ref="M24:M31" si="1">(E24*J24) / (SUMPRODUCT(E$23:E$31,J$23:J$31)) * 100</f>
        <v>24.135115828145729</v>
      </c>
      <c r="N24" s="98">
        <f t="shared" ref="N24:N31" si="2">(G24*J24 + H24*J24+I24*J24) / (SUMPRODUCT(G$23:G$31,J$23:J$31) + SUMPRODUCT(H$23:H$31,J$23:J$31) + SUMPRODUCT(I$23:I$31,J$23:J$31)) * 100</f>
        <v>22.541295026504805</v>
      </c>
      <c r="O24" s="129">
        <f t="shared" ref="O24:O31" si="3">N24</f>
        <v>22.541295026504805</v>
      </c>
    </row>
    <row r="25" spans="2:15" x14ac:dyDescent="0.25">
      <c r="B25" t="s">
        <v>173</v>
      </c>
      <c r="D25">
        <v>142</v>
      </c>
      <c r="J25">
        <v>0.86</v>
      </c>
      <c r="K25" s="100" t="s">
        <v>159</v>
      </c>
      <c r="L25" s="98">
        <f t="shared" si="0"/>
        <v>9.9171674516810135</v>
      </c>
      <c r="M25" s="98">
        <f t="shared" si="1"/>
        <v>0</v>
      </c>
      <c r="N25" s="98">
        <f t="shared" si="2"/>
        <v>0</v>
      </c>
      <c r="O25" s="129">
        <f t="shared" si="3"/>
        <v>0</v>
      </c>
    </row>
    <row r="26" spans="2:15" x14ac:dyDescent="0.25">
      <c r="B26" t="s">
        <v>254</v>
      </c>
      <c r="C26">
        <v>32</v>
      </c>
      <c r="D26">
        <v>28</v>
      </c>
      <c r="G26">
        <v>29</v>
      </c>
      <c r="H26">
        <v>12.2</v>
      </c>
      <c r="I26">
        <v>17.3</v>
      </c>
      <c r="J26">
        <v>0.92</v>
      </c>
      <c r="K26" s="100" t="s">
        <v>245</v>
      </c>
      <c r="L26" s="98">
        <f t="shared" si="0"/>
        <v>4.4827026149098588</v>
      </c>
      <c r="M26" s="98">
        <f t="shared" si="1"/>
        <v>0</v>
      </c>
      <c r="N26" s="98">
        <f t="shared" si="2"/>
        <v>12.171403759520922</v>
      </c>
      <c r="O26" s="129">
        <f t="shared" si="3"/>
        <v>12.171403759520922</v>
      </c>
    </row>
    <row r="27" spans="2:15" x14ac:dyDescent="0.25">
      <c r="B27" t="s">
        <v>187</v>
      </c>
      <c r="C27">
        <v>101</v>
      </c>
      <c r="D27">
        <v>70</v>
      </c>
      <c r="E27">
        <v>5.3</v>
      </c>
      <c r="G27">
        <v>51</v>
      </c>
      <c r="H27">
        <v>21.1</v>
      </c>
      <c r="I27">
        <v>24.5</v>
      </c>
      <c r="J27">
        <v>0.85</v>
      </c>
      <c r="K27" s="100" t="s">
        <v>217</v>
      </c>
      <c r="L27" s="98">
        <f t="shared" si="0"/>
        <v>11.803638135455579</v>
      </c>
      <c r="M27" s="98">
        <f t="shared" si="1"/>
        <v>11.49351974691295</v>
      </c>
      <c r="N27" s="98">
        <f t="shared" si="2"/>
        <v>18.569192915166536</v>
      </c>
      <c r="O27" s="129">
        <f t="shared" si="3"/>
        <v>18.569192915166536</v>
      </c>
    </row>
    <row r="28" spans="2:15" x14ac:dyDescent="0.25">
      <c r="B28" t="s">
        <v>268</v>
      </c>
      <c r="C28">
        <v>100</v>
      </c>
      <c r="D28">
        <v>35</v>
      </c>
      <c r="E28">
        <v>4.7</v>
      </c>
      <c r="G28">
        <v>33</v>
      </c>
      <c r="H28">
        <v>13.3</v>
      </c>
      <c r="I28">
        <v>17.3</v>
      </c>
      <c r="J28">
        <v>0.85</v>
      </c>
      <c r="K28" s="100" t="s">
        <v>216</v>
      </c>
      <c r="L28" s="98">
        <f t="shared" si="0"/>
        <v>9.3186616858859832</v>
      </c>
      <c r="M28" s="98">
        <f t="shared" si="1"/>
        <v>10.192366568017146</v>
      </c>
      <c r="N28" s="98">
        <f t="shared" si="2"/>
        <v>12.225679807500949</v>
      </c>
      <c r="O28" s="129">
        <f t="shared" si="3"/>
        <v>12.225679807500949</v>
      </c>
    </row>
    <row r="29" spans="2:15" x14ac:dyDescent="0.25">
      <c r="B29" t="s">
        <v>270</v>
      </c>
      <c r="E29">
        <v>1.7</v>
      </c>
      <c r="G29">
        <v>0</v>
      </c>
      <c r="H29">
        <v>2.2000000000000002</v>
      </c>
      <c r="I29">
        <v>0</v>
      </c>
      <c r="J29">
        <v>0.92</v>
      </c>
      <c r="K29" s="100" t="s">
        <v>221</v>
      </c>
      <c r="L29" s="98">
        <f t="shared" si="0"/>
        <v>0</v>
      </c>
      <c r="M29" s="98">
        <f t="shared" si="1"/>
        <v>3.9902030819471377</v>
      </c>
      <c r="N29" s="98">
        <f t="shared" si="2"/>
        <v>0.45772800463155622</v>
      </c>
      <c r="O29" s="129">
        <f t="shared" si="3"/>
        <v>0.45772800463155622</v>
      </c>
    </row>
    <row r="30" spans="2:15" x14ac:dyDescent="0.25">
      <c r="B30" t="s">
        <v>193</v>
      </c>
      <c r="E30">
        <v>2.1</v>
      </c>
      <c r="J30">
        <v>0.92</v>
      </c>
      <c r="K30" s="100" t="s">
        <v>222</v>
      </c>
      <c r="L30" s="98">
        <f t="shared" si="0"/>
        <v>0</v>
      </c>
      <c r="M30" s="98">
        <f t="shared" si="1"/>
        <v>4.9290743953464649</v>
      </c>
      <c r="N30" s="98">
        <f t="shared" si="2"/>
        <v>0</v>
      </c>
      <c r="O30" s="129">
        <f t="shared" si="3"/>
        <v>0</v>
      </c>
    </row>
    <row r="31" spans="2:15" x14ac:dyDescent="0.25">
      <c r="B31" t="s">
        <v>269</v>
      </c>
      <c r="C31">
        <v>13</v>
      </c>
      <c r="D31">
        <v>13</v>
      </c>
      <c r="E31">
        <v>1.4</v>
      </c>
      <c r="G31">
        <v>5</v>
      </c>
      <c r="H31">
        <v>1.9</v>
      </c>
      <c r="I31">
        <v>2.9</v>
      </c>
      <c r="J31">
        <v>1</v>
      </c>
      <c r="K31" s="100" t="s">
        <v>278</v>
      </c>
      <c r="L31" s="98">
        <f t="shared" si="0"/>
        <v>2.1114178983271072</v>
      </c>
      <c r="M31" s="98">
        <f t="shared" si="1"/>
        <v>3.5717930401061331</v>
      </c>
      <c r="N31" s="98">
        <f t="shared" si="2"/>
        <v>2.2162719591844118</v>
      </c>
      <c r="O31" s="129">
        <f t="shared" si="3"/>
        <v>2.2162719591844118</v>
      </c>
    </row>
    <row r="32" spans="2:15" x14ac:dyDescent="0.25">
      <c r="B32" t="s">
        <v>259</v>
      </c>
      <c r="C32">
        <v>722</v>
      </c>
      <c r="D32">
        <v>690</v>
      </c>
      <c r="E32">
        <v>45</v>
      </c>
      <c r="G32">
        <v>255</v>
      </c>
      <c r="H32">
        <v>111</v>
      </c>
      <c r="I32">
        <v>144</v>
      </c>
      <c r="K32" s="167"/>
      <c r="L32" s="168">
        <f>SUM(L23:L31)</f>
        <v>99.999999999999986</v>
      </c>
      <c r="M32" s="168">
        <f>SUM(M23:M31)</f>
        <v>100</v>
      </c>
      <c r="N32" s="168">
        <f>SUM(N23:N31)</f>
        <v>100.00000000000001</v>
      </c>
      <c r="O32" s="169">
        <f>SUM(O23:O31)</f>
        <v>100.00000000000001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9"/>
  <sheetViews>
    <sheetView workbookViewId="0">
      <selection activeCell="G17" sqref="G17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0.140625" customWidth="1"/>
  </cols>
  <sheetData>
    <row r="3" spans="1:11" x14ac:dyDescent="0.25">
      <c r="E3" t="s">
        <v>10</v>
      </c>
    </row>
    <row r="4" spans="1:11" x14ac:dyDescent="0.25">
      <c r="A4" t="s">
        <v>13</v>
      </c>
      <c r="B4" s="2">
        <v>101963.579065</v>
      </c>
      <c r="C4" s="5">
        <f>SUM(B4:B5)/E4</f>
        <v>1.0165291176973343</v>
      </c>
      <c r="D4" s="1" t="s">
        <v>6</v>
      </c>
      <c r="E4" s="2">
        <v>133382.79999999999</v>
      </c>
      <c r="H4" t="s">
        <v>11</v>
      </c>
      <c r="J4">
        <v>2.2999999999999998</v>
      </c>
      <c r="K4" t="s">
        <v>44</v>
      </c>
    </row>
    <row r="5" spans="1:11" x14ac:dyDescent="0.25">
      <c r="A5" t="s">
        <v>32</v>
      </c>
      <c r="B5" s="2">
        <v>33623.920935000002</v>
      </c>
      <c r="C5" s="2"/>
      <c r="H5" t="s">
        <v>12</v>
      </c>
      <c r="J5">
        <v>14.6</v>
      </c>
      <c r="K5" t="s">
        <v>44</v>
      </c>
    </row>
    <row r="6" spans="1:11" x14ac:dyDescent="0.25">
      <c r="A6" t="s">
        <v>14</v>
      </c>
      <c r="B6" s="2">
        <v>1491.4625000000001</v>
      </c>
      <c r="C6" s="5">
        <f>B6/E6</f>
        <v>0.99643405932656348</v>
      </c>
      <c r="D6" s="1" t="s">
        <v>7</v>
      </c>
      <c r="E6" s="2">
        <v>1496.8</v>
      </c>
      <c r="H6" t="s">
        <v>43</v>
      </c>
      <c r="J6">
        <v>18</v>
      </c>
      <c r="K6" t="s">
        <v>23</v>
      </c>
    </row>
    <row r="7" spans="1:11" x14ac:dyDescent="0.25">
      <c r="A7" t="s">
        <v>15</v>
      </c>
      <c r="B7" s="2">
        <v>525417.78027300001</v>
      </c>
      <c r="C7" s="5">
        <f>SUM(B7:B9)/SUM(E7:E8)</f>
        <v>1.0119657032679843</v>
      </c>
      <c r="D7" s="1" t="s">
        <v>9</v>
      </c>
      <c r="E7" s="2">
        <v>374972.8</v>
      </c>
      <c r="H7" t="s">
        <v>45</v>
      </c>
      <c r="J7">
        <f>J4*J5*(1-J6/100)</f>
        <v>27.535600000000002</v>
      </c>
    </row>
    <row r="8" spans="1:11" x14ac:dyDescent="0.25">
      <c r="A8" t="s">
        <v>24</v>
      </c>
      <c r="B8" s="2">
        <v>269503.54615800001</v>
      </c>
      <c r="C8" s="2"/>
      <c r="D8" s="1" t="s">
        <v>8</v>
      </c>
      <c r="E8" s="2">
        <v>876801.8</v>
      </c>
    </row>
    <row r="9" spans="1:11" x14ac:dyDescent="0.25">
      <c r="A9" t="s">
        <v>25</v>
      </c>
      <c r="B9" s="2">
        <v>471831.63699099998</v>
      </c>
      <c r="C9" s="2"/>
      <c r="J9">
        <f>J7*0.95</f>
        <v>26.158820000000002</v>
      </c>
    </row>
    <row r="11" spans="1:11" x14ac:dyDescent="0.25">
      <c r="A11" s="4" t="s">
        <v>39</v>
      </c>
    </row>
    <row r="12" spans="1:11" x14ac:dyDescent="0.25">
      <c r="D12" t="s">
        <v>7</v>
      </c>
      <c r="E12" s="3">
        <v>1.206</v>
      </c>
    </row>
    <row r="13" spans="1:11" x14ac:dyDescent="0.25">
      <c r="A13" t="s">
        <v>13</v>
      </c>
      <c r="B13" s="3">
        <v>44.057295000000003</v>
      </c>
      <c r="C13" s="5">
        <f>B13/E14</f>
        <v>1.0402648044956555</v>
      </c>
      <c r="D13" t="s">
        <v>40</v>
      </c>
      <c r="E13" s="3">
        <v>2514.0419999999999</v>
      </c>
      <c r="G13">
        <f>E12*1000/E6</f>
        <v>0.80571886691608763</v>
      </c>
      <c r="J13" s="7"/>
    </row>
    <row r="14" spans="1:11" x14ac:dyDescent="0.25">
      <c r="A14" t="s">
        <v>25</v>
      </c>
      <c r="B14" s="3">
        <v>2576.014737</v>
      </c>
      <c r="C14" s="5">
        <f>B14/SUM(E13,E15:E16)</f>
        <v>1.0141702461632223</v>
      </c>
      <c r="D14" t="s">
        <v>6</v>
      </c>
      <c r="E14" s="3">
        <v>42.352000000000004</v>
      </c>
    </row>
    <row r="15" spans="1:11" x14ac:dyDescent="0.25">
      <c r="D15" t="s">
        <v>41</v>
      </c>
      <c r="E15" s="3">
        <v>20.3</v>
      </c>
    </row>
    <row r="16" spans="1:11" x14ac:dyDescent="0.25">
      <c r="D16" t="s">
        <v>42</v>
      </c>
      <c r="E16" s="3">
        <v>5.68</v>
      </c>
    </row>
    <row r="19" spans="2:2" x14ac:dyDescent="0.25">
      <c r="B19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25"/>
  <sheetViews>
    <sheetView workbookViewId="0">
      <selection activeCell="H18" sqref="H18"/>
    </sheetView>
  </sheetViews>
  <sheetFormatPr defaultRowHeight="15" x14ac:dyDescent="0.25"/>
  <cols>
    <col min="2" max="2" width="16.7109375" bestFit="1" customWidth="1"/>
  </cols>
  <sheetData>
    <row r="3" spans="2:22" x14ac:dyDescent="0.25">
      <c r="B3" s="4" t="s">
        <v>63</v>
      </c>
      <c r="C3" s="4" t="s">
        <v>49</v>
      </c>
      <c r="D3" s="4"/>
      <c r="E3" s="4"/>
      <c r="F3" s="4"/>
      <c r="G3" s="4"/>
      <c r="H3" s="4"/>
      <c r="I3" s="4" t="s">
        <v>50</v>
      </c>
      <c r="J3" s="4"/>
      <c r="K3" s="4"/>
      <c r="L3" s="4"/>
      <c r="M3" s="4"/>
      <c r="N3" s="4"/>
      <c r="O3" s="4" t="s">
        <v>64</v>
      </c>
      <c r="P3" s="4"/>
      <c r="Q3" s="4"/>
      <c r="R3" s="4"/>
      <c r="S3" s="4"/>
    </row>
    <row r="4" spans="2:22" x14ac:dyDescent="0.25">
      <c r="B4" s="4"/>
      <c r="C4" s="4">
        <v>2016</v>
      </c>
      <c r="D4" s="4">
        <v>2017</v>
      </c>
      <c r="E4" s="4">
        <v>2018</v>
      </c>
      <c r="F4" s="4">
        <v>2019</v>
      </c>
      <c r="G4" s="4">
        <v>2020</v>
      </c>
      <c r="H4" s="4" t="s">
        <v>10</v>
      </c>
      <c r="I4" s="4">
        <v>2016</v>
      </c>
      <c r="J4" s="4">
        <v>2017</v>
      </c>
      <c r="K4" s="4">
        <v>2018</v>
      </c>
      <c r="L4" s="4">
        <v>2019</v>
      </c>
      <c r="M4" s="4">
        <v>2020</v>
      </c>
      <c r="N4" s="4" t="s">
        <v>10</v>
      </c>
      <c r="O4" s="4">
        <v>2016</v>
      </c>
      <c r="P4" s="4">
        <v>2017</v>
      </c>
      <c r="Q4" s="4">
        <v>2018</v>
      </c>
      <c r="R4" s="4">
        <v>2019</v>
      </c>
      <c r="S4" s="4">
        <v>2020</v>
      </c>
      <c r="T4" s="4" t="s">
        <v>10</v>
      </c>
      <c r="U4" s="4"/>
      <c r="V4" s="4"/>
    </row>
    <row r="5" spans="2:22" x14ac:dyDescent="0.25">
      <c r="B5" t="s">
        <v>51</v>
      </c>
      <c r="C5" s="2"/>
      <c r="D5" s="2"/>
      <c r="E5" s="2">
        <v>33.799999999999997</v>
      </c>
      <c r="F5" s="2">
        <v>34.25</v>
      </c>
      <c r="G5" s="2">
        <v>34</v>
      </c>
      <c r="H5" s="2">
        <f>AVERAGE(C5:G5)</f>
        <v>34.016666666666666</v>
      </c>
      <c r="I5" s="2"/>
      <c r="J5" s="2"/>
      <c r="K5" s="2">
        <v>104.68</v>
      </c>
      <c r="L5" s="2">
        <v>105.17</v>
      </c>
      <c r="M5" s="2">
        <v>103.26</v>
      </c>
      <c r="N5" s="2">
        <f t="shared" ref="N5:N21" si="0">AVERAGE(I5:M5)</f>
        <v>104.37</v>
      </c>
      <c r="O5" s="2"/>
      <c r="P5" s="2"/>
      <c r="Q5" s="2">
        <f>E5/K5*1000</f>
        <v>322.88880397401596</v>
      </c>
      <c r="R5" s="2">
        <f>F5/L5*1000</f>
        <v>325.66321194256915</v>
      </c>
      <c r="S5" s="2">
        <f>G5/M5*1000</f>
        <v>329.26593066046871</v>
      </c>
      <c r="T5" s="2">
        <f>SUM(C5:G5)/SUM(I5:M5)*1000</f>
        <v>325.92379674874644</v>
      </c>
    </row>
    <row r="6" spans="2:22" x14ac:dyDescent="0.25">
      <c r="B6" t="s">
        <v>52</v>
      </c>
      <c r="C6" s="2"/>
      <c r="D6" s="2"/>
      <c r="E6" s="2">
        <v>10.45</v>
      </c>
      <c r="F6" s="2">
        <v>10.65</v>
      </c>
      <c r="G6" s="2">
        <v>10.32</v>
      </c>
      <c r="H6" s="2">
        <f t="shared" ref="H6:H21" si="1">AVERAGE(C6:G6)</f>
        <v>10.473333333333334</v>
      </c>
      <c r="I6" s="2"/>
      <c r="J6" s="2"/>
      <c r="K6" s="2">
        <v>36.04</v>
      </c>
      <c r="L6" s="2">
        <v>36.380000000000003</v>
      </c>
      <c r="M6" s="2">
        <v>34.81</v>
      </c>
      <c r="N6" s="2">
        <f t="shared" si="0"/>
        <v>35.743333333333332</v>
      </c>
      <c r="O6" s="2"/>
      <c r="P6" s="2"/>
      <c r="Q6" s="2">
        <f t="shared" ref="Q6:Q20" si="2">E6/K6*1000</f>
        <v>289.9556048834628</v>
      </c>
      <c r="R6" s="2">
        <f t="shared" ref="R6:R20" si="3">F6/L6*1000</f>
        <v>292.74326553051128</v>
      </c>
      <c r="S6" s="2">
        <f t="shared" ref="S6:S20" si="4">G6/M6*1000</f>
        <v>296.46653260557309</v>
      </c>
      <c r="T6" s="2">
        <f t="shared" ref="T6:T21" si="5">SUM(C6:G6)/SUM(I6:M6)*1000</f>
        <v>293.01501445491004</v>
      </c>
    </row>
    <row r="7" spans="2:22" x14ac:dyDescent="0.25">
      <c r="B7" t="s">
        <v>53</v>
      </c>
      <c r="C7" s="2">
        <v>16.88</v>
      </c>
      <c r="D7" s="2">
        <v>16.600000000000001</v>
      </c>
      <c r="E7" s="2">
        <v>17.8</v>
      </c>
      <c r="F7" s="2">
        <v>19.059999999999999</v>
      </c>
      <c r="G7" s="2">
        <v>20.85</v>
      </c>
      <c r="H7" s="2">
        <f t="shared" si="1"/>
        <v>18.238</v>
      </c>
      <c r="I7" s="2">
        <v>55.34</v>
      </c>
      <c r="J7" s="2">
        <v>53.89</v>
      </c>
      <c r="K7" s="2">
        <v>58.76</v>
      </c>
      <c r="L7" s="2">
        <v>62.58</v>
      </c>
      <c r="M7" s="2">
        <v>68.17</v>
      </c>
      <c r="N7" s="2">
        <f t="shared" si="0"/>
        <v>59.748000000000005</v>
      </c>
      <c r="O7" s="2">
        <f t="shared" ref="O7:P9" si="6">C7/I7*1000</f>
        <v>305.0234911456451</v>
      </c>
      <c r="P7" s="2">
        <f t="shared" si="6"/>
        <v>308.03488587864172</v>
      </c>
      <c r="Q7" s="2">
        <f t="shared" si="2"/>
        <v>302.92716133424102</v>
      </c>
      <c r="R7" s="2">
        <f t="shared" si="3"/>
        <v>304.57015020773412</v>
      </c>
      <c r="S7" s="2">
        <f t="shared" si="4"/>
        <v>305.85301452251724</v>
      </c>
      <c r="T7" s="2">
        <f t="shared" si="5"/>
        <v>305.24871125393315</v>
      </c>
    </row>
    <row r="8" spans="2:22" x14ac:dyDescent="0.25">
      <c r="B8" t="s">
        <v>54</v>
      </c>
      <c r="C8" s="2">
        <v>11.26</v>
      </c>
      <c r="D8" s="2">
        <v>11.97</v>
      </c>
      <c r="E8" s="2">
        <v>11.56</v>
      </c>
      <c r="F8" s="2">
        <v>11.11</v>
      </c>
      <c r="G8" s="2">
        <v>11.19</v>
      </c>
      <c r="H8" s="2">
        <f t="shared" si="1"/>
        <v>11.417999999999999</v>
      </c>
      <c r="I8" s="2">
        <v>34.33</v>
      </c>
      <c r="J8" s="2">
        <v>36.24</v>
      </c>
      <c r="K8" s="2">
        <v>35.590000000000003</v>
      </c>
      <c r="L8" s="2">
        <v>34.06</v>
      </c>
      <c r="M8" s="2">
        <v>34.03</v>
      </c>
      <c r="N8" s="2">
        <f t="shared" si="0"/>
        <v>34.85</v>
      </c>
      <c r="O8" s="2">
        <f t="shared" si="6"/>
        <v>327.99300903000295</v>
      </c>
      <c r="P8" s="2">
        <f t="shared" si="6"/>
        <v>330.29801324503313</v>
      </c>
      <c r="Q8" s="2">
        <f t="shared" si="2"/>
        <v>324.81033998314132</v>
      </c>
      <c r="R8" s="2">
        <f t="shared" si="3"/>
        <v>326.18907809747498</v>
      </c>
      <c r="S8" s="2">
        <f t="shared" si="4"/>
        <v>328.82750514252132</v>
      </c>
      <c r="T8" s="2">
        <f t="shared" si="5"/>
        <v>327.63271162123385</v>
      </c>
    </row>
    <row r="9" spans="2:22" x14ac:dyDescent="0.25">
      <c r="B9" t="s">
        <v>55</v>
      </c>
      <c r="C9" s="2">
        <v>57.96</v>
      </c>
      <c r="D9" s="2">
        <v>60.89</v>
      </c>
      <c r="E9" s="2">
        <v>60.75</v>
      </c>
      <c r="F9" s="2">
        <v>62.26</v>
      </c>
      <c r="G9" s="2">
        <v>62.53</v>
      </c>
      <c r="H9" s="2">
        <f t="shared" si="1"/>
        <v>60.878</v>
      </c>
      <c r="I9" s="2">
        <v>167.92</v>
      </c>
      <c r="J9" s="2">
        <v>174.33</v>
      </c>
      <c r="K9" s="2">
        <v>175.18</v>
      </c>
      <c r="L9" s="2">
        <v>180.01</v>
      </c>
      <c r="M9" s="2">
        <v>180.71</v>
      </c>
      <c r="N9" s="2">
        <f t="shared" si="0"/>
        <v>175.63000000000002</v>
      </c>
      <c r="O9" s="2">
        <f t="shared" si="6"/>
        <v>345.16436398284901</v>
      </c>
      <c r="P9" s="2">
        <f t="shared" si="6"/>
        <v>349.28010095795332</v>
      </c>
      <c r="Q9" s="2">
        <f t="shared" si="2"/>
        <v>346.78616280397307</v>
      </c>
      <c r="R9" s="2">
        <f t="shared" si="3"/>
        <v>345.86967390700516</v>
      </c>
      <c r="S9" s="2">
        <f t="shared" si="4"/>
        <v>346.02401637983507</v>
      </c>
      <c r="T9" s="2">
        <f t="shared" si="5"/>
        <v>346.62643056425435</v>
      </c>
    </row>
    <row r="10" spans="2:22" x14ac:dyDescent="0.25">
      <c r="B10" t="s">
        <v>56</v>
      </c>
      <c r="C10" s="2"/>
      <c r="D10" s="2"/>
      <c r="E10" s="2">
        <v>52</v>
      </c>
      <c r="F10" s="2">
        <v>52.89</v>
      </c>
      <c r="G10" s="2">
        <v>53.15</v>
      </c>
      <c r="H10" s="2">
        <f t="shared" si="1"/>
        <v>52.68</v>
      </c>
      <c r="I10" s="2"/>
      <c r="J10" s="2"/>
      <c r="K10" s="2">
        <v>152.05000000000001</v>
      </c>
      <c r="L10" s="2">
        <v>154.99</v>
      </c>
      <c r="M10" s="2">
        <v>155.82</v>
      </c>
      <c r="N10" s="2">
        <f t="shared" si="0"/>
        <v>154.28666666666666</v>
      </c>
      <c r="O10" s="2"/>
      <c r="P10" s="2"/>
      <c r="Q10" s="2">
        <f t="shared" si="2"/>
        <v>341.99276553765208</v>
      </c>
      <c r="R10" s="2">
        <f t="shared" si="3"/>
        <v>341.24782244015739</v>
      </c>
      <c r="S10" s="2">
        <f t="shared" si="4"/>
        <v>341.09870363239634</v>
      </c>
      <c r="T10" s="2">
        <f t="shared" si="5"/>
        <v>341.44233677569889</v>
      </c>
    </row>
    <row r="11" spans="2:22" x14ac:dyDescent="0.25">
      <c r="B11" t="s">
        <v>57</v>
      </c>
      <c r="C11" s="2"/>
      <c r="D11" s="2"/>
      <c r="E11" s="2">
        <v>7.32</v>
      </c>
      <c r="F11" s="2">
        <v>7.81</v>
      </c>
      <c r="G11" s="2">
        <v>7.67</v>
      </c>
      <c r="H11" s="2">
        <f t="shared" si="1"/>
        <v>7.5999999999999988</v>
      </c>
      <c r="I11" s="2"/>
      <c r="J11" s="2"/>
      <c r="K11" s="2">
        <v>20.260000000000002</v>
      </c>
      <c r="L11" s="2">
        <v>21.89</v>
      </c>
      <c r="M11" s="2">
        <v>21.5</v>
      </c>
      <c r="N11" s="2">
        <f t="shared" si="0"/>
        <v>21.216666666666669</v>
      </c>
      <c r="O11" s="2"/>
      <c r="P11" s="2"/>
      <c r="Q11" s="2">
        <f t="shared" si="2"/>
        <v>361.30306021717666</v>
      </c>
      <c r="R11" s="2">
        <f t="shared" si="3"/>
        <v>356.78391959798995</v>
      </c>
      <c r="S11" s="2">
        <f t="shared" si="4"/>
        <v>356.74418604651163</v>
      </c>
      <c r="T11" s="2">
        <f t="shared" si="5"/>
        <v>358.20895522388054</v>
      </c>
    </row>
    <row r="12" spans="2:22" x14ac:dyDescent="0.25">
      <c r="B12" t="s">
        <v>58</v>
      </c>
      <c r="C12" s="2"/>
      <c r="D12" s="2"/>
      <c r="E12" s="2">
        <v>1.42</v>
      </c>
      <c r="F12" s="2">
        <v>1.56</v>
      </c>
      <c r="G12" s="2">
        <v>1.71</v>
      </c>
      <c r="H12" s="2">
        <f t="shared" si="1"/>
        <v>1.5633333333333332</v>
      </c>
      <c r="I12" s="2"/>
      <c r="J12" s="2"/>
      <c r="K12" s="2">
        <v>2.88</v>
      </c>
      <c r="L12" s="2">
        <v>3.13</v>
      </c>
      <c r="M12" s="2">
        <v>3.39</v>
      </c>
      <c r="N12" s="2">
        <f t="shared" si="0"/>
        <v>3.1333333333333333</v>
      </c>
      <c r="O12" s="2"/>
      <c r="P12" s="2"/>
      <c r="Q12" s="2">
        <f t="shared" si="2"/>
        <v>493.05555555555554</v>
      </c>
      <c r="R12" s="2">
        <f t="shared" si="3"/>
        <v>498.40255591054319</v>
      </c>
      <c r="S12" s="2">
        <f t="shared" si="4"/>
        <v>504.42477876106193</v>
      </c>
      <c r="T12" s="2">
        <f t="shared" si="5"/>
        <v>498.93617021276589</v>
      </c>
    </row>
    <row r="13" spans="2:22" x14ac:dyDescent="0.25">
      <c r="B13" t="s">
        <v>59</v>
      </c>
      <c r="C13" s="2"/>
      <c r="D13" s="2"/>
      <c r="E13" s="2">
        <v>2.52</v>
      </c>
      <c r="F13" s="2">
        <v>2.4300000000000002</v>
      </c>
      <c r="G13" s="2">
        <v>2.21</v>
      </c>
      <c r="H13" s="2">
        <f t="shared" si="1"/>
        <v>2.3866666666666667</v>
      </c>
      <c r="I13" s="2"/>
      <c r="J13" s="2"/>
      <c r="K13" s="2">
        <v>15.34</v>
      </c>
      <c r="L13" s="2">
        <v>14.82</v>
      </c>
      <c r="M13" s="2">
        <v>13.41</v>
      </c>
      <c r="N13" s="2">
        <f t="shared" si="0"/>
        <v>14.523333333333333</v>
      </c>
      <c r="O13" s="2"/>
      <c r="P13" s="2"/>
      <c r="Q13" s="2">
        <f t="shared" si="2"/>
        <v>164.27640156453717</v>
      </c>
      <c r="R13" s="2">
        <f t="shared" si="3"/>
        <v>163.96761133603241</v>
      </c>
      <c r="S13" s="2">
        <f t="shared" si="4"/>
        <v>164.80238627889634</v>
      </c>
      <c r="T13" s="2">
        <f t="shared" si="5"/>
        <v>164.33325682809271</v>
      </c>
    </row>
    <row r="14" spans="2:22" x14ac:dyDescent="0.25">
      <c r="B14" s="8" t="s">
        <v>6</v>
      </c>
      <c r="C14" s="12">
        <v>8.83</v>
      </c>
      <c r="D14" s="12">
        <v>8.44</v>
      </c>
      <c r="E14" s="12">
        <v>8.35</v>
      </c>
      <c r="F14" s="12">
        <v>6.72</v>
      </c>
      <c r="G14" s="12">
        <v>5.88</v>
      </c>
      <c r="H14" s="11">
        <f t="shared" si="1"/>
        <v>7.6440000000000001</v>
      </c>
      <c r="I14" s="9">
        <v>49.54</v>
      </c>
      <c r="J14" s="9">
        <v>46.63</v>
      </c>
      <c r="K14" s="9">
        <v>46.11</v>
      </c>
      <c r="L14" s="9">
        <v>37.39</v>
      </c>
      <c r="M14" s="9">
        <v>32.090000000000003</v>
      </c>
      <c r="N14" s="10">
        <f t="shared" si="0"/>
        <v>42.352000000000004</v>
      </c>
      <c r="O14" s="9">
        <f t="shared" ref="O14:P21" si="7">C14/I14*1000</f>
        <v>178.23980621719824</v>
      </c>
      <c r="P14" s="9">
        <f t="shared" si="7"/>
        <v>180.99935663735792</v>
      </c>
      <c r="Q14" s="9">
        <f t="shared" si="2"/>
        <v>181.08870093255257</v>
      </c>
      <c r="R14" s="9">
        <f t="shared" si="3"/>
        <v>179.72719978603905</v>
      </c>
      <c r="S14" s="9">
        <f t="shared" si="4"/>
        <v>183.23465253973197</v>
      </c>
      <c r="T14" s="10">
        <f t="shared" si="5"/>
        <v>180.4873441632036</v>
      </c>
    </row>
    <row r="15" spans="2:22" x14ac:dyDescent="0.25">
      <c r="B15" s="8" t="s">
        <v>7</v>
      </c>
      <c r="C15" s="12">
        <v>0.19</v>
      </c>
      <c r="D15" s="12">
        <v>0.2</v>
      </c>
      <c r="E15" s="12">
        <v>0.19</v>
      </c>
      <c r="F15" s="12">
        <v>0.18</v>
      </c>
      <c r="G15" s="12">
        <v>0.17</v>
      </c>
      <c r="H15" s="11">
        <f t="shared" si="1"/>
        <v>0.186</v>
      </c>
      <c r="I15" s="9">
        <v>1.26</v>
      </c>
      <c r="J15" s="9">
        <v>1.31</v>
      </c>
      <c r="K15" s="9">
        <v>1.18</v>
      </c>
      <c r="L15" s="9">
        <v>1.19</v>
      </c>
      <c r="M15" s="9">
        <v>1.0900000000000001</v>
      </c>
      <c r="N15" s="10">
        <f t="shared" si="0"/>
        <v>1.206</v>
      </c>
      <c r="O15" s="9">
        <f t="shared" si="7"/>
        <v>150.79365079365078</v>
      </c>
      <c r="P15" s="9">
        <f t="shared" si="7"/>
        <v>152.67175572519085</v>
      </c>
      <c r="Q15" s="9">
        <f t="shared" si="2"/>
        <v>161.0169491525424</v>
      </c>
      <c r="R15" s="9">
        <f t="shared" si="3"/>
        <v>151.26050420168067</v>
      </c>
      <c r="S15" s="9">
        <f t="shared" si="4"/>
        <v>155.9633027522936</v>
      </c>
      <c r="T15" s="10">
        <f t="shared" si="5"/>
        <v>154.22885572139305</v>
      </c>
    </row>
    <row r="16" spans="2:22" x14ac:dyDescent="0.25">
      <c r="B16" s="8" t="s">
        <v>41</v>
      </c>
      <c r="C16" s="12">
        <v>1.93</v>
      </c>
      <c r="D16" s="12">
        <v>2</v>
      </c>
      <c r="E16" s="12">
        <v>2.0099999999999998</v>
      </c>
      <c r="F16" s="12">
        <v>1.66</v>
      </c>
      <c r="G16" s="12">
        <v>1.44</v>
      </c>
      <c r="H16" s="11">
        <f t="shared" si="1"/>
        <v>1.8079999999999998</v>
      </c>
      <c r="I16" s="9">
        <v>21.9</v>
      </c>
      <c r="J16" s="9">
        <v>22.49</v>
      </c>
      <c r="K16" s="9">
        <v>22.42</v>
      </c>
      <c r="L16" s="9">
        <v>18.61</v>
      </c>
      <c r="M16" s="9">
        <v>16.079999999999998</v>
      </c>
      <c r="N16" s="10">
        <f t="shared" si="0"/>
        <v>20.3</v>
      </c>
      <c r="O16" s="9">
        <f t="shared" si="7"/>
        <v>88.12785388127854</v>
      </c>
      <c r="P16" s="9">
        <f t="shared" si="7"/>
        <v>88.928412627834604</v>
      </c>
      <c r="Q16" s="9">
        <f t="shared" si="2"/>
        <v>89.652096342551275</v>
      </c>
      <c r="R16" s="9">
        <f t="shared" si="3"/>
        <v>89.199355185384206</v>
      </c>
      <c r="S16" s="9">
        <f t="shared" si="4"/>
        <v>89.552238805970163</v>
      </c>
      <c r="T16" s="10">
        <f t="shared" si="5"/>
        <v>89.064039408866989</v>
      </c>
    </row>
    <row r="17" spans="2:20" x14ac:dyDescent="0.25">
      <c r="B17" s="8" t="s">
        <v>42</v>
      </c>
      <c r="C17" s="12">
        <v>0.24</v>
      </c>
      <c r="D17" s="12">
        <v>0.2</v>
      </c>
      <c r="E17" s="12">
        <v>0.17</v>
      </c>
      <c r="F17" s="12">
        <v>0.15</v>
      </c>
      <c r="G17" s="12">
        <v>0.11</v>
      </c>
      <c r="H17" s="11">
        <f t="shared" si="1"/>
        <v>0.17399999999999999</v>
      </c>
      <c r="I17" s="9">
        <v>7.8</v>
      </c>
      <c r="J17" s="9">
        <v>6.47</v>
      </c>
      <c r="K17" s="9">
        <v>5.5</v>
      </c>
      <c r="L17" s="9">
        <v>5.0999999999999996</v>
      </c>
      <c r="M17" s="9">
        <v>3.53</v>
      </c>
      <c r="N17" s="10">
        <f t="shared" si="0"/>
        <v>5.68</v>
      </c>
      <c r="O17" s="9">
        <f t="shared" si="7"/>
        <v>30.769230769230766</v>
      </c>
      <c r="P17" s="9">
        <f t="shared" si="7"/>
        <v>30.911901081916543</v>
      </c>
      <c r="Q17" s="9">
        <f t="shared" si="2"/>
        <v>30.90909090909091</v>
      </c>
      <c r="R17" s="9">
        <f t="shared" si="3"/>
        <v>29.411764705882351</v>
      </c>
      <c r="S17" s="9">
        <f t="shared" si="4"/>
        <v>31.161473087818699</v>
      </c>
      <c r="T17" s="10">
        <f t="shared" si="5"/>
        <v>30.633802816901408</v>
      </c>
    </row>
    <row r="18" spans="2:20" x14ac:dyDescent="0.25">
      <c r="B18" s="8" t="s">
        <v>40</v>
      </c>
      <c r="C18" s="9">
        <v>222</v>
      </c>
      <c r="D18" s="9">
        <v>229.07</v>
      </c>
      <c r="E18" s="9">
        <v>237.78</v>
      </c>
      <c r="F18" s="9">
        <v>230.3</v>
      </c>
      <c r="G18" s="9">
        <v>236.93</v>
      </c>
      <c r="H18" s="10">
        <f t="shared" si="1"/>
        <v>231.21600000000004</v>
      </c>
      <c r="I18" s="9">
        <v>2450.58</v>
      </c>
      <c r="J18" s="9">
        <v>2495.7600000000002</v>
      </c>
      <c r="K18" s="9">
        <v>2563.0500000000002</v>
      </c>
      <c r="L18" s="9">
        <v>2507.41</v>
      </c>
      <c r="M18" s="9">
        <v>2553.41</v>
      </c>
      <c r="N18" s="10">
        <f t="shared" si="0"/>
        <v>2514.0419999999999</v>
      </c>
      <c r="O18" s="9">
        <f t="shared" si="7"/>
        <v>90.590798912910415</v>
      </c>
      <c r="P18" s="9">
        <f t="shared" si="7"/>
        <v>91.783665096002807</v>
      </c>
      <c r="Q18" s="9">
        <f t="shared" si="2"/>
        <v>92.772283022180602</v>
      </c>
      <c r="R18" s="9">
        <f t="shared" si="3"/>
        <v>91.847763229786921</v>
      </c>
      <c r="S18" s="9">
        <f t="shared" si="4"/>
        <v>92.789642086464767</v>
      </c>
      <c r="T18" s="11">
        <f t="shared" si="5"/>
        <v>91.969823893156928</v>
      </c>
    </row>
    <row r="19" spans="2:20" x14ac:dyDescent="0.25">
      <c r="B19" t="s">
        <v>61</v>
      </c>
      <c r="C19" s="2">
        <v>0.95</v>
      </c>
      <c r="D19" s="2">
        <v>1.06</v>
      </c>
      <c r="E19" s="2">
        <v>1.19</v>
      </c>
      <c r="F19" s="2">
        <v>1.08</v>
      </c>
      <c r="G19" s="2">
        <v>0.95</v>
      </c>
      <c r="H19" s="2">
        <f t="shared" si="1"/>
        <v>1.0459999999999998</v>
      </c>
      <c r="I19" s="2">
        <v>33.31</v>
      </c>
      <c r="J19" s="2">
        <v>37.69</v>
      </c>
      <c r="K19" s="2">
        <v>43.17</v>
      </c>
      <c r="L19" s="2">
        <v>38.39</v>
      </c>
      <c r="M19" s="2">
        <v>33.4</v>
      </c>
      <c r="N19" s="2">
        <f t="shared" si="0"/>
        <v>37.192</v>
      </c>
      <c r="O19" s="2">
        <f t="shared" si="7"/>
        <v>28.519963974782343</v>
      </c>
      <c r="P19" s="2">
        <f t="shared" si="7"/>
        <v>28.124170867604143</v>
      </c>
      <c r="Q19" s="2">
        <f t="shared" si="2"/>
        <v>27.565438962242293</v>
      </c>
      <c r="R19" s="2">
        <f t="shared" si="3"/>
        <v>28.132326126595469</v>
      </c>
      <c r="S19" s="2">
        <f t="shared" si="4"/>
        <v>28.443113772455089</v>
      </c>
      <c r="T19" s="2">
        <f t="shared" si="5"/>
        <v>28.124327812432778</v>
      </c>
    </row>
    <row r="20" spans="2:20" x14ac:dyDescent="0.25">
      <c r="B20" t="s">
        <v>62</v>
      </c>
      <c r="C20" s="2">
        <v>4.09</v>
      </c>
      <c r="D20" s="2">
        <v>4.21</v>
      </c>
      <c r="E20" s="2">
        <v>4.43</v>
      </c>
      <c r="F20" s="2">
        <v>4.0199999999999996</v>
      </c>
      <c r="G20" s="2">
        <v>3.94</v>
      </c>
      <c r="H20" s="2">
        <f t="shared" si="1"/>
        <v>4.1379999999999999</v>
      </c>
      <c r="I20" s="2">
        <v>218.41</v>
      </c>
      <c r="J20" s="2">
        <v>224.29</v>
      </c>
      <c r="K20" s="2">
        <v>237.92</v>
      </c>
      <c r="L20" s="2">
        <v>213.94</v>
      </c>
      <c r="M20" s="2">
        <v>207.28</v>
      </c>
      <c r="N20" s="2">
        <f t="shared" si="0"/>
        <v>220.36799999999999</v>
      </c>
      <c r="O20" s="2">
        <f t="shared" si="7"/>
        <v>18.726248798131955</v>
      </c>
      <c r="P20" s="2">
        <f t="shared" si="7"/>
        <v>18.770341967987875</v>
      </c>
      <c r="Q20" s="2">
        <f t="shared" si="2"/>
        <v>18.619704102219234</v>
      </c>
      <c r="R20" s="2">
        <f t="shared" si="3"/>
        <v>18.790315041600447</v>
      </c>
      <c r="S20" s="2">
        <f t="shared" si="4"/>
        <v>19.008104978772675</v>
      </c>
      <c r="T20" s="2">
        <f t="shared" si="5"/>
        <v>18.777680970013797</v>
      </c>
    </row>
    <row r="21" spans="2:20" x14ac:dyDescent="0.25">
      <c r="B21" t="s">
        <v>60</v>
      </c>
      <c r="C21" s="2">
        <v>0.76</v>
      </c>
      <c r="D21" s="2">
        <v>0.64</v>
      </c>
      <c r="E21" s="2">
        <v>0.6</v>
      </c>
      <c r="F21" s="2">
        <v>0.53</v>
      </c>
      <c r="G21" s="2">
        <v>0.44</v>
      </c>
      <c r="H21" s="2">
        <f t="shared" si="1"/>
        <v>0.59400000000000008</v>
      </c>
      <c r="I21" s="2">
        <v>2.67</v>
      </c>
      <c r="J21" s="2">
        <v>2.27</v>
      </c>
      <c r="K21" s="2">
        <v>2.11</v>
      </c>
      <c r="L21" s="2">
        <v>1.85</v>
      </c>
      <c r="M21" s="2">
        <v>1.53</v>
      </c>
      <c r="N21" s="2">
        <f t="shared" si="0"/>
        <v>2.0859999999999994</v>
      </c>
      <c r="O21" s="2">
        <f t="shared" si="7"/>
        <v>284.64419475655433</v>
      </c>
      <c r="P21" s="2">
        <f t="shared" si="7"/>
        <v>281.93832599118946</v>
      </c>
      <c r="Q21" s="2">
        <f>E21/K21*1000</f>
        <v>284.36018957345971</v>
      </c>
      <c r="R21" s="2">
        <f>F21/L21*1000</f>
        <v>286.48648648648651</v>
      </c>
      <c r="S21" s="2">
        <f>G21/M21*1000</f>
        <v>287.58169934640523</v>
      </c>
      <c r="T21" s="2">
        <f t="shared" si="5"/>
        <v>284.75551294343251</v>
      </c>
    </row>
    <row r="23" spans="2:20" x14ac:dyDescent="0.25">
      <c r="B23" t="s">
        <v>13</v>
      </c>
      <c r="C23" s="2">
        <f>T14</f>
        <v>180.4873441632036</v>
      </c>
    </row>
    <row r="24" spans="2:20" x14ac:dyDescent="0.25">
      <c r="B24" t="s">
        <v>14</v>
      </c>
      <c r="C24" s="2">
        <f>T15</f>
        <v>154.22885572139305</v>
      </c>
    </row>
    <row r="25" spans="2:20" x14ac:dyDescent="0.25">
      <c r="B25" t="s">
        <v>25</v>
      </c>
      <c r="C25" s="3">
        <f>SUM(C16:G18)/SUM(I16:M18)*1000</f>
        <v>91.809441020589574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B19" sqref="B19"/>
    </sheetView>
  </sheetViews>
  <sheetFormatPr defaultRowHeight="15" x14ac:dyDescent="0.25"/>
  <sheetData>
    <row r="1" spans="1:9" x14ac:dyDescent="0.25">
      <c r="A1" t="s">
        <v>115</v>
      </c>
    </row>
    <row r="2" spans="1:9" ht="15.75" thickBot="1" x14ac:dyDescent="0.3"/>
    <row r="3" spans="1:9" x14ac:dyDescent="0.25">
      <c r="A3" s="83" t="s">
        <v>116</v>
      </c>
      <c r="B3" s="83"/>
    </row>
    <row r="4" spans="1:9" x14ac:dyDescent="0.25">
      <c r="A4" s="80" t="s">
        <v>117</v>
      </c>
      <c r="B4" s="80">
        <v>0.99999493252819649</v>
      </c>
    </row>
    <row r="5" spans="1:9" x14ac:dyDescent="0.25">
      <c r="A5" s="80" t="s">
        <v>118</v>
      </c>
      <c r="B5" s="80">
        <v>0.99998986508207222</v>
      </c>
    </row>
    <row r="6" spans="1:9" x14ac:dyDescent="0.25">
      <c r="A6" s="80" t="s">
        <v>119</v>
      </c>
      <c r="B6" s="80">
        <v>0.85713127437951109</v>
      </c>
    </row>
    <row r="7" spans="1:9" x14ac:dyDescent="0.25">
      <c r="A7" s="80" t="s">
        <v>120</v>
      </c>
      <c r="B7" s="80">
        <v>0.25677629550654923</v>
      </c>
    </row>
    <row r="8" spans="1:9" ht="15.75" thickBot="1" x14ac:dyDescent="0.3">
      <c r="A8" s="81" t="s">
        <v>121</v>
      </c>
      <c r="B8" s="81">
        <v>9</v>
      </c>
    </row>
    <row r="10" spans="1:9" ht="15.75" thickBot="1" x14ac:dyDescent="0.3">
      <c r="A10" t="s">
        <v>122</v>
      </c>
    </row>
    <row r="11" spans="1:9" x14ac:dyDescent="0.25">
      <c r="A11" s="82"/>
      <c r="B11" s="82" t="s">
        <v>127</v>
      </c>
      <c r="C11" s="82" t="s">
        <v>128</v>
      </c>
      <c r="D11" s="82" t="s">
        <v>129</v>
      </c>
      <c r="E11" s="82" t="s">
        <v>130</v>
      </c>
      <c r="F11" s="82" t="s">
        <v>131</v>
      </c>
    </row>
    <row r="12" spans="1:9" x14ac:dyDescent="0.25">
      <c r="A12" s="80" t="s">
        <v>123</v>
      </c>
      <c r="B12" s="80">
        <v>2</v>
      </c>
      <c r="C12" s="80">
        <v>45538.975961538461</v>
      </c>
      <c r="D12" s="80">
        <v>22769.48798076923</v>
      </c>
      <c r="E12" s="80">
        <v>345337.23437499604</v>
      </c>
      <c r="F12" s="80">
        <v>6.5557476191290817E-16</v>
      </c>
    </row>
    <row r="13" spans="1:9" x14ac:dyDescent="0.25">
      <c r="A13" s="80" t="s">
        <v>124</v>
      </c>
      <c r="B13" s="80">
        <v>7</v>
      </c>
      <c r="C13" s="80">
        <v>0.46153846153846678</v>
      </c>
      <c r="D13" s="80">
        <v>6.5934065934066685E-2</v>
      </c>
      <c r="E13" s="80"/>
      <c r="F13" s="80"/>
    </row>
    <row r="14" spans="1:9" ht="15.75" thickBot="1" x14ac:dyDescent="0.3">
      <c r="A14" s="81" t="s">
        <v>125</v>
      </c>
      <c r="B14" s="81">
        <v>9</v>
      </c>
      <c r="C14" s="81">
        <v>45539.4375</v>
      </c>
      <c r="D14" s="81"/>
      <c r="E14" s="81"/>
      <c r="F14" s="81"/>
    </row>
    <row r="15" spans="1:9" ht="15.75" thickBot="1" x14ac:dyDescent="0.3"/>
    <row r="16" spans="1:9" x14ac:dyDescent="0.25">
      <c r="A16" s="82"/>
      <c r="B16" s="82" t="s">
        <v>132</v>
      </c>
      <c r="C16" s="82" t="s">
        <v>120</v>
      </c>
      <c r="D16" s="82" t="s">
        <v>133</v>
      </c>
      <c r="E16" s="82" t="s">
        <v>134</v>
      </c>
      <c r="F16" s="82" t="s">
        <v>135</v>
      </c>
      <c r="G16" s="82" t="s">
        <v>136</v>
      </c>
      <c r="H16" s="82" t="s">
        <v>137</v>
      </c>
      <c r="I16" s="82" t="s">
        <v>138</v>
      </c>
    </row>
    <row r="17" spans="1:9" x14ac:dyDescent="0.25">
      <c r="A17" s="80" t="s">
        <v>126</v>
      </c>
      <c r="B17" s="80">
        <v>0</v>
      </c>
      <c r="C17" s="80" t="e">
        <v>#N/A</v>
      </c>
      <c r="D17" s="80" t="e">
        <v>#N/A</v>
      </c>
      <c r="E17" s="80" t="e">
        <v>#N/A</v>
      </c>
      <c r="F17" s="80" t="e">
        <v>#N/A</v>
      </c>
      <c r="G17" s="80" t="e">
        <v>#N/A</v>
      </c>
      <c r="H17" s="80" t="e">
        <v>#N/A</v>
      </c>
      <c r="I17" s="80" t="e">
        <v>#N/A</v>
      </c>
    </row>
    <row r="18" spans="1:9" x14ac:dyDescent="0.25">
      <c r="A18" s="80" t="s">
        <v>112</v>
      </c>
      <c r="B18" s="80">
        <v>5.4615384615384617</v>
      </c>
      <c r="C18" s="80">
        <v>4.1844907175076655E-2</v>
      </c>
      <c r="D18" s="80">
        <v>130.51859426256348</v>
      </c>
      <c r="E18" s="80">
        <v>4.0880236075111747E-13</v>
      </c>
      <c r="F18" s="80">
        <v>5.3625909792266269</v>
      </c>
      <c r="G18" s="80">
        <v>5.5604859438502965</v>
      </c>
      <c r="H18" s="80">
        <v>5.3625909792266269</v>
      </c>
      <c r="I18" s="80">
        <v>5.5604859438502965</v>
      </c>
    </row>
    <row r="19" spans="1:9" ht="15.75" thickBot="1" x14ac:dyDescent="0.3">
      <c r="A19" s="81" t="s">
        <v>113</v>
      </c>
      <c r="B19" s="81">
        <v>5.7692307692307696E-2</v>
      </c>
      <c r="C19" s="81">
        <v>1.9019421224538086E-3</v>
      </c>
      <c r="D19" s="81">
        <v>30.333366620996554</v>
      </c>
      <c r="E19" s="81">
        <v>1.0916662505710689E-8</v>
      </c>
      <c r="F19" s="81">
        <v>5.3194929224427562E-2</v>
      </c>
      <c r="G19" s="81">
        <v>6.2189686160187829E-2</v>
      </c>
      <c r="H19" s="81">
        <v>5.3194929224427562E-2</v>
      </c>
      <c r="I19" s="81">
        <v>6.2189686160187829E-2</v>
      </c>
    </row>
    <row r="23" spans="1:9" x14ac:dyDescent="0.25">
      <c r="A23" t="s">
        <v>139</v>
      </c>
      <c r="F23" t="s">
        <v>144</v>
      </c>
    </row>
    <row r="24" spans="1:9" ht="15.75" thickBot="1" x14ac:dyDescent="0.3"/>
    <row r="25" spans="1:9" x14ac:dyDescent="0.25">
      <c r="A25" s="82" t="s">
        <v>140</v>
      </c>
      <c r="B25" s="82" t="s">
        <v>141</v>
      </c>
      <c r="C25" s="82" t="s">
        <v>142</v>
      </c>
      <c r="D25" s="82" t="s">
        <v>143</v>
      </c>
      <c r="F25" s="82" t="s">
        <v>145</v>
      </c>
      <c r="G25" s="82" t="s">
        <v>108</v>
      </c>
    </row>
    <row r="26" spans="1:9" x14ac:dyDescent="0.25">
      <c r="A26" s="80">
        <v>1</v>
      </c>
      <c r="B26" s="80">
        <v>41.423076923076927</v>
      </c>
      <c r="C26" s="80">
        <v>-0.1730769230769269</v>
      </c>
      <c r="D26" s="80">
        <v>-0.76428699804761391</v>
      </c>
      <c r="F26" s="80">
        <v>5.5555555555555554</v>
      </c>
      <c r="G26" s="80">
        <v>41.25</v>
      </c>
    </row>
    <row r="27" spans="1:9" x14ac:dyDescent="0.25">
      <c r="A27" s="80">
        <v>2</v>
      </c>
      <c r="B27" s="80">
        <v>52.346153846153847</v>
      </c>
      <c r="C27" s="80">
        <v>0.1538461538461533</v>
      </c>
      <c r="D27" s="80">
        <v>0.67936622048675044</v>
      </c>
      <c r="F27" s="80">
        <v>16.666666666666664</v>
      </c>
      <c r="G27" s="80">
        <v>52.5</v>
      </c>
    </row>
    <row r="28" spans="1:9" x14ac:dyDescent="0.25">
      <c r="A28" s="80">
        <v>3</v>
      </c>
      <c r="B28" s="80">
        <v>63.269230769230766</v>
      </c>
      <c r="C28" s="80">
        <v>-0.2692307692307665</v>
      </c>
      <c r="D28" s="80">
        <v>-1.1888908858518055</v>
      </c>
      <c r="F28" s="80">
        <v>27.777777777777779</v>
      </c>
      <c r="G28" s="80">
        <v>62.25</v>
      </c>
    </row>
    <row r="29" spans="1:9" x14ac:dyDescent="0.25">
      <c r="A29" s="80">
        <v>4</v>
      </c>
      <c r="B29" s="80">
        <v>62.134615384615387</v>
      </c>
      <c r="C29" s="80">
        <v>0.1153846153846132</v>
      </c>
      <c r="D29" s="80">
        <v>0.50952466536505503</v>
      </c>
      <c r="F29" s="80">
        <v>38.888888888888886</v>
      </c>
      <c r="G29" s="80">
        <v>63</v>
      </c>
    </row>
    <row r="30" spans="1:9" x14ac:dyDescent="0.25">
      <c r="A30" s="80">
        <v>5</v>
      </c>
      <c r="B30" s="80">
        <v>73.057692307692307</v>
      </c>
      <c r="C30" s="80">
        <v>0.4423076923076934</v>
      </c>
      <c r="D30" s="80">
        <v>1.9531778838994194</v>
      </c>
      <c r="F30" s="80">
        <v>50</v>
      </c>
      <c r="G30" s="80">
        <v>72</v>
      </c>
    </row>
    <row r="31" spans="1:9" x14ac:dyDescent="0.25">
      <c r="A31" s="80">
        <v>6</v>
      </c>
      <c r="B31" s="80">
        <v>83.980769230769226</v>
      </c>
      <c r="C31" s="80">
        <v>1.9230769230773603E-2</v>
      </c>
      <c r="D31" s="80">
        <v>8.4920777560863414E-2</v>
      </c>
      <c r="F31" s="80">
        <v>61.111111111111114</v>
      </c>
      <c r="G31" s="80">
        <v>73.5</v>
      </c>
    </row>
    <row r="32" spans="1:9" x14ac:dyDescent="0.25">
      <c r="A32" s="80">
        <v>7</v>
      </c>
      <c r="B32" s="80">
        <v>71.92307692307692</v>
      </c>
      <c r="C32" s="80">
        <v>7.6923076923080203E-2</v>
      </c>
      <c r="D32" s="80">
        <v>0.33968311024339093</v>
      </c>
      <c r="F32" s="80">
        <v>72.222222222222214</v>
      </c>
      <c r="G32" s="80">
        <v>82.5</v>
      </c>
    </row>
    <row r="33" spans="1:7" x14ac:dyDescent="0.25">
      <c r="A33" s="80">
        <v>8</v>
      </c>
      <c r="B33" s="80">
        <v>82.846153846153854</v>
      </c>
      <c r="C33" s="80">
        <v>-0.34615384615385381</v>
      </c>
      <c r="D33" s="80">
        <v>-1.5285739960952278</v>
      </c>
      <c r="F33" s="80">
        <v>83.333333333333329</v>
      </c>
      <c r="G33" s="80">
        <v>84</v>
      </c>
    </row>
    <row r="34" spans="1:7" ht="15.75" thickBot="1" x14ac:dyDescent="0.3">
      <c r="A34" s="81">
        <v>9</v>
      </c>
      <c r="B34" s="81">
        <v>93.769230769230774</v>
      </c>
      <c r="C34" s="81">
        <v>-1.9230769230773603E-2</v>
      </c>
      <c r="D34" s="81">
        <v>-8.4920777560863414E-2</v>
      </c>
      <c r="F34" s="81">
        <v>94.444444444444443</v>
      </c>
      <c r="G34" s="81">
        <v>93.75</v>
      </c>
    </row>
  </sheetData>
  <sortState ref="G26:G34">
    <sortCondition ref="G26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0"/>
  <sheetViews>
    <sheetView topLeftCell="B1" workbookViewId="0">
      <selection activeCell="L41" sqref="L41"/>
    </sheetView>
  </sheetViews>
  <sheetFormatPr defaultRowHeight="15" x14ac:dyDescent="0.25"/>
  <cols>
    <col min="2" max="2" width="10.28515625" customWidth="1"/>
    <col min="3" max="3" width="11.85546875" customWidth="1"/>
    <col min="4" max="4" width="10.42578125" customWidth="1"/>
  </cols>
  <sheetData>
    <row r="2" spans="2:17" x14ac:dyDescent="0.25">
      <c r="B2" t="s">
        <v>104</v>
      </c>
      <c r="O2" t="s">
        <v>105</v>
      </c>
    </row>
    <row r="3" spans="2:17" ht="15.75" x14ac:dyDescent="0.25">
      <c r="B3" s="25" t="s">
        <v>83</v>
      </c>
      <c r="C3" s="25"/>
      <c r="D3" s="25"/>
      <c r="E3" s="25"/>
      <c r="O3" t="s">
        <v>106</v>
      </c>
    </row>
    <row r="4" spans="2:17" ht="30" x14ac:dyDescent="0.25">
      <c r="B4" s="16" t="s">
        <v>84</v>
      </c>
      <c r="C4" s="16" t="s">
        <v>85</v>
      </c>
      <c r="D4" s="17" t="s">
        <v>86</v>
      </c>
      <c r="E4" s="18"/>
      <c r="O4" s="77" t="s">
        <v>96</v>
      </c>
      <c r="P4" s="77" t="s">
        <v>107</v>
      </c>
      <c r="Q4" s="77" t="s">
        <v>108</v>
      </c>
    </row>
    <row r="5" spans="2:17" x14ac:dyDescent="0.25">
      <c r="B5" s="19">
        <v>10</v>
      </c>
      <c r="C5" s="26">
        <v>6.2</v>
      </c>
      <c r="D5" s="26">
        <v>8.3000000000000007</v>
      </c>
      <c r="E5" s="18"/>
      <c r="F5" s="3">
        <f>0.41*B5+2.2</f>
        <v>6.3</v>
      </c>
      <c r="O5">
        <v>100</v>
      </c>
      <c r="P5">
        <v>26</v>
      </c>
      <c r="Q5">
        <f>P5*0.75</f>
        <v>19.5</v>
      </c>
    </row>
    <row r="6" spans="2:17" x14ac:dyDescent="0.25">
      <c r="B6" s="20">
        <v>15</v>
      </c>
      <c r="C6" s="27">
        <v>8.3000000000000007</v>
      </c>
      <c r="D6" s="27">
        <v>11.2</v>
      </c>
      <c r="E6" s="18"/>
      <c r="F6" s="3">
        <f t="shared" ref="F6:F9" si="0">0.41*B6+2.2</f>
        <v>8.35</v>
      </c>
      <c r="O6">
        <v>150</v>
      </c>
      <c r="P6">
        <v>29</v>
      </c>
      <c r="Q6">
        <f t="shared" ref="Q6:Q9" si="1">P6*0.75</f>
        <v>21.75</v>
      </c>
    </row>
    <row r="7" spans="2:17" x14ac:dyDescent="0.25">
      <c r="B7" s="21">
        <v>20</v>
      </c>
      <c r="C7" s="28">
        <v>10.4</v>
      </c>
      <c r="D7" s="28">
        <v>14</v>
      </c>
      <c r="E7" s="18"/>
      <c r="F7" s="3">
        <f t="shared" si="0"/>
        <v>10.399999999999999</v>
      </c>
      <c r="O7">
        <v>200</v>
      </c>
      <c r="P7">
        <v>31</v>
      </c>
      <c r="Q7">
        <f t="shared" si="1"/>
        <v>23.25</v>
      </c>
    </row>
    <row r="8" spans="2:17" x14ac:dyDescent="0.25">
      <c r="B8" s="20">
        <v>25</v>
      </c>
      <c r="C8" s="27">
        <v>12.4</v>
      </c>
      <c r="D8" s="27">
        <v>16.5</v>
      </c>
      <c r="E8" s="18"/>
      <c r="F8" s="3">
        <f t="shared" si="0"/>
        <v>12.45</v>
      </c>
      <c r="O8" s="78">
        <v>250</v>
      </c>
      <c r="P8" s="78">
        <v>33</v>
      </c>
      <c r="Q8" s="78">
        <f t="shared" si="1"/>
        <v>24.75</v>
      </c>
    </row>
    <row r="9" spans="2:17" x14ac:dyDescent="0.25">
      <c r="B9" s="21">
        <v>30</v>
      </c>
      <c r="C9" s="28">
        <v>14.5</v>
      </c>
      <c r="D9" s="28">
        <v>19.3</v>
      </c>
      <c r="E9" s="18"/>
      <c r="F9" s="3">
        <f t="shared" si="0"/>
        <v>14.5</v>
      </c>
      <c r="O9" s="76">
        <v>300</v>
      </c>
      <c r="P9" s="76">
        <v>35</v>
      </c>
      <c r="Q9" s="76">
        <f t="shared" si="1"/>
        <v>26.25</v>
      </c>
    </row>
    <row r="10" spans="2:17" x14ac:dyDescent="0.25">
      <c r="B10" s="20">
        <v>35</v>
      </c>
      <c r="C10" s="27">
        <v>16.399999999999999</v>
      </c>
      <c r="D10" s="27">
        <v>21.9</v>
      </c>
      <c r="E10" s="18"/>
      <c r="F10" s="3"/>
    </row>
    <row r="11" spans="2:17" x14ac:dyDescent="0.25">
      <c r="B11" s="21">
        <v>40</v>
      </c>
      <c r="C11" s="28">
        <v>18.3</v>
      </c>
      <c r="D11" s="28">
        <v>24.4</v>
      </c>
      <c r="E11" s="18"/>
      <c r="F11" s="3"/>
    </row>
    <row r="12" spans="2:17" x14ac:dyDescent="0.25">
      <c r="B12" s="20">
        <v>45</v>
      </c>
      <c r="C12" s="27">
        <v>20.2</v>
      </c>
      <c r="D12" s="27">
        <v>26.9</v>
      </c>
      <c r="E12" s="18"/>
      <c r="F12" s="3"/>
    </row>
    <row r="13" spans="2:17" x14ac:dyDescent="0.25">
      <c r="B13" s="21">
        <v>50</v>
      </c>
      <c r="C13" s="28">
        <v>22.1</v>
      </c>
      <c r="D13" s="28">
        <v>29.5</v>
      </c>
      <c r="E13" s="18"/>
      <c r="F13" s="3"/>
    </row>
    <row r="14" spans="2:17" x14ac:dyDescent="0.25">
      <c r="B14" s="20">
        <v>55</v>
      </c>
      <c r="C14" s="27">
        <v>24</v>
      </c>
      <c r="D14" s="27">
        <v>32</v>
      </c>
      <c r="E14" s="18"/>
      <c r="F14" s="3"/>
    </row>
    <row r="15" spans="2:17" x14ac:dyDescent="0.25">
      <c r="B15" s="22">
        <v>60</v>
      </c>
      <c r="C15" s="29" t="s">
        <v>88</v>
      </c>
      <c r="D15" s="30" t="s">
        <v>89</v>
      </c>
      <c r="E15" s="18"/>
    </row>
    <row r="16" spans="2:17" x14ac:dyDescent="0.25">
      <c r="B16" s="24" t="s">
        <v>87</v>
      </c>
      <c r="C16" s="24"/>
      <c r="D16" s="24"/>
      <c r="E16" s="24"/>
      <c r="O16" t="s">
        <v>105</v>
      </c>
    </row>
    <row r="17" spans="2:20" ht="15.75" x14ac:dyDescent="0.25">
      <c r="B17" s="23"/>
      <c r="C17" s="23"/>
      <c r="D17" s="23"/>
      <c r="E17" s="23"/>
      <c r="O17" t="s">
        <v>111</v>
      </c>
    </row>
    <row r="18" spans="2:20" ht="30" x14ac:dyDescent="0.25">
      <c r="O18" s="79" t="s">
        <v>112</v>
      </c>
      <c r="P18" s="79" t="s">
        <v>113</v>
      </c>
      <c r="Q18" s="79" t="s">
        <v>107</v>
      </c>
      <c r="R18" s="79" t="s">
        <v>108</v>
      </c>
      <c r="S18" s="79" t="s">
        <v>114</v>
      </c>
    </row>
    <row r="19" spans="2:20" x14ac:dyDescent="0.25">
      <c r="O19">
        <v>6</v>
      </c>
      <c r="P19">
        <v>150</v>
      </c>
      <c r="Q19">
        <v>55</v>
      </c>
      <c r="R19" s="3">
        <f>Q19*0.75</f>
        <v>41.25</v>
      </c>
      <c r="S19" s="3">
        <f>O19*$Q$29+P19*$T$29</f>
        <v>41.46</v>
      </c>
    </row>
    <row r="20" spans="2:20" x14ac:dyDescent="0.25">
      <c r="O20">
        <v>8</v>
      </c>
      <c r="P20">
        <v>150</v>
      </c>
      <c r="Q20">
        <v>70</v>
      </c>
      <c r="R20" s="3">
        <f t="shared" ref="R20:R27" si="2">Q20*0.75</f>
        <v>52.5</v>
      </c>
      <c r="S20" s="3">
        <f t="shared" ref="S20:S27" si="3">O20*$Q$29+P20*$T$29</f>
        <v>52.38</v>
      </c>
    </row>
    <row r="21" spans="2:20" x14ac:dyDescent="0.25">
      <c r="B21" t="s">
        <v>104</v>
      </c>
      <c r="O21">
        <v>10</v>
      </c>
      <c r="P21">
        <v>150</v>
      </c>
      <c r="Q21">
        <v>84</v>
      </c>
      <c r="R21" s="3">
        <f t="shared" si="2"/>
        <v>63</v>
      </c>
      <c r="S21" s="3">
        <f t="shared" si="3"/>
        <v>63.300000000000004</v>
      </c>
    </row>
    <row r="22" spans="2:20" ht="15.75" x14ac:dyDescent="0.25">
      <c r="B22" s="39" t="s">
        <v>90</v>
      </c>
      <c r="C22" s="39"/>
      <c r="D22" s="39"/>
      <c r="E22" s="39"/>
      <c r="F22" s="39"/>
      <c r="G22" s="39"/>
      <c r="H22" s="39"/>
      <c r="O22">
        <v>9</v>
      </c>
      <c r="P22">
        <v>225</v>
      </c>
      <c r="Q22">
        <v>83</v>
      </c>
      <c r="R22" s="3">
        <f t="shared" si="2"/>
        <v>62.25</v>
      </c>
      <c r="S22" s="3">
        <f t="shared" si="3"/>
        <v>62.19</v>
      </c>
    </row>
    <row r="23" spans="2:20" x14ac:dyDescent="0.25">
      <c r="B23" s="40"/>
      <c r="C23" s="158" t="s">
        <v>96</v>
      </c>
      <c r="D23" s="160" t="s">
        <v>85</v>
      </c>
      <c r="E23" s="153" t="s">
        <v>86</v>
      </c>
      <c r="F23" s="155" t="s">
        <v>91</v>
      </c>
      <c r="G23" s="157"/>
      <c r="H23" s="31"/>
      <c r="O23">
        <v>11</v>
      </c>
      <c r="P23">
        <v>225</v>
      </c>
      <c r="Q23">
        <v>98</v>
      </c>
      <c r="R23" s="3">
        <f t="shared" si="2"/>
        <v>73.5</v>
      </c>
      <c r="S23" s="3">
        <f t="shared" si="3"/>
        <v>73.11</v>
      </c>
    </row>
    <row r="24" spans="2:20" x14ac:dyDescent="0.25">
      <c r="B24" s="41"/>
      <c r="C24" s="159"/>
      <c r="D24" s="161"/>
      <c r="E24" s="154"/>
      <c r="F24" s="156"/>
      <c r="G24" s="157"/>
      <c r="H24" s="18"/>
      <c r="O24">
        <v>13</v>
      </c>
      <c r="P24">
        <v>225</v>
      </c>
      <c r="Q24">
        <v>112</v>
      </c>
      <c r="R24" s="3">
        <f t="shared" si="2"/>
        <v>84</v>
      </c>
      <c r="S24" s="3">
        <f t="shared" si="3"/>
        <v>84.03</v>
      </c>
    </row>
    <row r="25" spans="2:20" ht="15" customHeight="1" x14ac:dyDescent="0.25">
      <c r="B25" s="163" t="s">
        <v>9</v>
      </c>
      <c r="C25" s="163"/>
      <c r="D25" s="163"/>
      <c r="E25" s="163"/>
      <c r="F25" s="163"/>
      <c r="G25" s="42"/>
      <c r="H25" s="18"/>
      <c r="O25">
        <v>10</v>
      </c>
      <c r="P25">
        <v>300</v>
      </c>
      <c r="Q25">
        <v>96</v>
      </c>
      <c r="R25" s="3">
        <f t="shared" si="2"/>
        <v>72</v>
      </c>
      <c r="S25" s="3">
        <f t="shared" si="3"/>
        <v>72</v>
      </c>
    </row>
    <row r="26" spans="2:20" ht="15" customHeight="1" x14ac:dyDescent="0.25">
      <c r="B26" s="152" t="s">
        <v>92</v>
      </c>
      <c r="C26" s="152"/>
      <c r="D26" s="152"/>
      <c r="E26" s="152"/>
      <c r="F26" s="152"/>
      <c r="G26" s="42"/>
      <c r="H26" s="18"/>
      <c r="O26">
        <v>12</v>
      </c>
      <c r="P26">
        <v>300</v>
      </c>
      <c r="Q26">
        <v>110</v>
      </c>
      <c r="R26" s="3">
        <f t="shared" si="2"/>
        <v>82.5</v>
      </c>
      <c r="S26" s="3">
        <f t="shared" si="3"/>
        <v>82.92</v>
      </c>
    </row>
    <row r="27" spans="2:20" x14ac:dyDescent="0.25">
      <c r="B27" s="20">
        <v>1</v>
      </c>
      <c r="C27" s="47">
        <v>10</v>
      </c>
      <c r="D27" s="48">
        <v>2.1</v>
      </c>
      <c r="E27" s="48">
        <v>2.8</v>
      </c>
      <c r="F27" s="60"/>
      <c r="G27" s="43"/>
      <c r="H27" s="86"/>
      <c r="O27">
        <v>14</v>
      </c>
      <c r="P27">
        <v>300</v>
      </c>
      <c r="Q27">
        <v>125</v>
      </c>
      <c r="R27" s="3">
        <f t="shared" si="2"/>
        <v>93.75</v>
      </c>
      <c r="S27" s="3">
        <f t="shared" si="3"/>
        <v>93.84</v>
      </c>
    </row>
    <row r="28" spans="2:20" x14ac:dyDescent="0.25">
      <c r="B28" s="32">
        <v>7</v>
      </c>
      <c r="C28" s="49">
        <v>11</v>
      </c>
      <c r="D28" s="50">
        <v>6.6</v>
      </c>
      <c r="E28" s="50">
        <v>8.8000000000000007</v>
      </c>
      <c r="F28" s="51">
        <v>143</v>
      </c>
      <c r="G28" s="43"/>
      <c r="H28" s="86"/>
    </row>
    <row r="29" spans="2:20" x14ac:dyDescent="0.25">
      <c r="B29" s="33">
        <v>14</v>
      </c>
      <c r="C29" s="52">
        <v>13.3</v>
      </c>
      <c r="D29" s="52">
        <v>7.7</v>
      </c>
      <c r="E29" s="52">
        <v>10.3</v>
      </c>
      <c r="F29" s="53">
        <v>329</v>
      </c>
      <c r="G29" s="43"/>
      <c r="H29" s="86"/>
      <c r="O29" t="s">
        <v>146</v>
      </c>
      <c r="P29" s="84" t="s">
        <v>148</v>
      </c>
      <c r="Q29" s="84">
        <v>5.46</v>
      </c>
      <c r="R29" s="85" t="s">
        <v>147</v>
      </c>
      <c r="S29" s="84" t="s">
        <v>149</v>
      </c>
      <c r="T29">
        <v>5.8000000000000003E-2</v>
      </c>
    </row>
    <row r="30" spans="2:20" x14ac:dyDescent="0.25">
      <c r="B30" s="32">
        <v>21</v>
      </c>
      <c r="C30" s="50">
        <v>16.7</v>
      </c>
      <c r="D30" s="50">
        <v>9.1999999999999993</v>
      </c>
      <c r="E30" s="50">
        <v>12.3</v>
      </c>
      <c r="F30" s="51">
        <v>486</v>
      </c>
      <c r="G30" s="43"/>
      <c r="H30" s="86"/>
      <c r="O30" t="s">
        <v>150</v>
      </c>
    </row>
    <row r="31" spans="2:20" x14ac:dyDescent="0.25">
      <c r="B31" s="33">
        <v>28</v>
      </c>
      <c r="C31" s="52">
        <v>20.6</v>
      </c>
      <c r="D31" s="54">
        <v>10.7</v>
      </c>
      <c r="E31" s="52">
        <v>14.3</v>
      </c>
      <c r="F31" s="53">
        <v>557</v>
      </c>
      <c r="G31" s="43"/>
      <c r="H31" s="86"/>
    </row>
    <row r="32" spans="2:20" x14ac:dyDescent="0.25">
      <c r="B32" s="32">
        <v>35</v>
      </c>
      <c r="C32" s="49">
        <v>25</v>
      </c>
      <c r="D32" s="55">
        <v>12.4</v>
      </c>
      <c r="E32" s="50">
        <v>16.5</v>
      </c>
      <c r="F32" s="51">
        <v>629</v>
      </c>
      <c r="G32" s="43"/>
      <c r="H32" s="86"/>
    </row>
    <row r="33" spans="2:18" x14ac:dyDescent="0.25">
      <c r="B33" s="34">
        <v>42</v>
      </c>
      <c r="C33" s="56">
        <v>30</v>
      </c>
      <c r="D33" s="57">
        <v>14.5</v>
      </c>
      <c r="E33" s="58">
        <v>19.3</v>
      </c>
      <c r="F33" s="59">
        <v>714</v>
      </c>
      <c r="G33" s="44"/>
      <c r="H33" s="86"/>
      <c r="R33" s="3"/>
    </row>
    <row r="34" spans="2:18" ht="15" customHeight="1" x14ac:dyDescent="0.25">
      <c r="B34" s="162" t="s">
        <v>8</v>
      </c>
      <c r="C34" s="162"/>
      <c r="D34" s="162"/>
      <c r="E34" s="162"/>
      <c r="F34" s="162"/>
      <c r="G34" s="42"/>
      <c r="H34" s="18"/>
      <c r="R34" s="13"/>
    </row>
    <row r="35" spans="2:18" ht="15" customHeight="1" x14ac:dyDescent="0.25">
      <c r="B35" s="152" t="s">
        <v>93</v>
      </c>
      <c r="C35" s="152"/>
      <c r="D35" s="152"/>
      <c r="E35" s="152"/>
      <c r="F35" s="152"/>
      <c r="G35" s="42"/>
      <c r="H35" s="18"/>
    </row>
    <row r="36" spans="2:18" x14ac:dyDescent="0.25">
      <c r="B36" s="20">
        <v>0</v>
      </c>
      <c r="C36" s="47">
        <v>30</v>
      </c>
      <c r="D36" s="61">
        <v>14.5</v>
      </c>
      <c r="E36" s="48">
        <v>19.3</v>
      </c>
      <c r="F36" s="60"/>
      <c r="G36" s="43"/>
      <c r="H36" s="18"/>
    </row>
    <row r="37" spans="2:18" x14ac:dyDescent="0.25">
      <c r="B37" s="32">
        <v>7</v>
      </c>
      <c r="C37" s="50">
        <v>35.5</v>
      </c>
      <c r="D37" s="55">
        <v>16.600000000000001</v>
      </c>
      <c r="E37" s="50">
        <v>22.1</v>
      </c>
      <c r="F37" s="51">
        <v>786</v>
      </c>
      <c r="G37" s="43"/>
      <c r="H37" s="18"/>
    </row>
    <row r="38" spans="2:18" x14ac:dyDescent="0.25">
      <c r="B38" s="33">
        <v>14</v>
      </c>
      <c r="C38" s="52">
        <v>41.4</v>
      </c>
      <c r="D38" s="54">
        <v>18.8</v>
      </c>
      <c r="E38" s="52">
        <v>25.1</v>
      </c>
      <c r="F38" s="53">
        <v>843</v>
      </c>
      <c r="G38" s="43"/>
      <c r="H38" s="18"/>
    </row>
    <row r="39" spans="2:18" x14ac:dyDescent="0.25">
      <c r="B39" s="32">
        <v>21</v>
      </c>
      <c r="C39" s="50">
        <v>47.7</v>
      </c>
      <c r="D39" s="55">
        <v>21.2</v>
      </c>
      <c r="E39" s="50">
        <v>28.3</v>
      </c>
      <c r="F39" s="51">
        <v>900</v>
      </c>
      <c r="G39" s="43"/>
      <c r="H39" s="18"/>
    </row>
    <row r="40" spans="2:18" x14ac:dyDescent="0.25">
      <c r="B40" s="33">
        <v>28</v>
      </c>
      <c r="C40" s="52">
        <v>54.3</v>
      </c>
      <c r="D40" s="54">
        <v>23.7</v>
      </c>
      <c r="E40" s="52">
        <v>31.6</v>
      </c>
      <c r="F40" s="53">
        <v>943</v>
      </c>
      <c r="G40" s="43"/>
      <c r="H40" s="18"/>
    </row>
    <row r="41" spans="2:18" x14ac:dyDescent="0.25">
      <c r="B41" s="32">
        <v>35</v>
      </c>
      <c r="C41" s="49">
        <v>61</v>
      </c>
      <c r="D41" s="55">
        <v>25.9</v>
      </c>
      <c r="E41" s="50">
        <v>34.5</v>
      </c>
      <c r="F41" s="51">
        <v>957</v>
      </c>
      <c r="G41" s="43"/>
      <c r="H41" s="18"/>
    </row>
    <row r="42" spans="2:18" x14ac:dyDescent="0.25">
      <c r="B42" s="35" t="s">
        <v>97</v>
      </c>
      <c r="C42" s="36"/>
      <c r="D42" s="37" t="s">
        <v>88</v>
      </c>
      <c r="E42" s="38" t="s">
        <v>98</v>
      </c>
      <c r="F42" s="36"/>
      <c r="G42" s="43"/>
      <c r="H42" s="18"/>
    </row>
    <row r="43" spans="2:18" ht="15" customHeight="1" x14ac:dyDescent="0.25">
      <c r="B43" s="46" t="s">
        <v>95</v>
      </c>
      <c r="C43" s="45"/>
      <c r="D43" s="45"/>
      <c r="E43" s="45"/>
      <c r="F43" s="45"/>
      <c r="G43" s="45"/>
      <c r="H43" s="45"/>
      <c r="I43" s="45"/>
      <c r="J43" s="45"/>
    </row>
    <row r="44" spans="2:18" x14ac:dyDescent="0.25">
      <c r="B44" t="s">
        <v>94</v>
      </c>
    </row>
    <row r="46" spans="2:18" x14ac:dyDescent="0.25">
      <c r="B46" t="s">
        <v>104</v>
      </c>
    </row>
    <row r="47" spans="2:18" ht="15" customHeight="1" x14ac:dyDescent="0.25">
      <c r="B47" s="67" t="s">
        <v>109</v>
      </c>
      <c r="C47" s="67"/>
      <c r="D47" s="67"/>
      <c r="E47" s="67"/>
    </row>
    <row r="48" spans="2:18" x14ac:dyDescent="0.25">
      <c r="B48" s="16" t="s">
        <v>84</v>
      </c>
      <c r="C48" s="16" t="s">
        <v>85</v>
      </c>
      <c r="D48" s="16" t="s">
        <v>86</v>
      </c>
      <c r="E48" s="18"/>
    </row>
    <row r="49" spans="2:5" x14ac:dyDescent="0.25">
      <c r="B49" s="19">
        <v>10</v>
      </c>
      <c r="C49" s="63">
        <v>6.2</v>
      </c>
      <c r="D49" s="63">
        <v>8.3000000000000007</v>
      </c>
      <c r="E49" s="18"/>
    </row>
    <row r="50" spans="2:5" x14ac:dyDescent="0.25">
      <c r="B50" s="20">
        <v>15</v>
      </c>
      <c r="C50" s="64">
        <v>8.3000000000000007</v>
      </c>
      <c r="D50" s="64">
        <v>11.1</v>
      </c>
      <c r="E50" s="18"/>
    </row>
    <row r="51" spans="2:5" x14ac:dyDescent="0.25">
      <c r="B51" s="21">
        <v>20</v>
      </c>
      <c r="C51" s="65">
        <v>10.4</v>
      </c>
      <c r="D51" s="65">
        <v>13.9</v>
      </c>
      <c r="E51" s="18"/>
    </row>
    <row r="52" spans="2:5" x14ac:dyDescent="0.25">
      <c r="B52" s="20">
        <v>25</v>
      </c>
      <c r="C52" s="64">
        <v>12.4</v>
      </c>
      <c r="D52" s="64">
        <v>16.5</v>
      </c>
      <c r="E52" s="18"/>
    </row>
    <row r="53" spans="2:5" x14ac:dyDescent="0.25">
      <c r="B53" s="22">
        <v>30</v>
      </c>
      <c r="C53" s="66">
        <v>14.5</v>
      </c>
      <c r="D53" s="66">
        <v>19.3</v>
      </c>
      <c r="E53" s="18"/>
    </row>
    <row r="54" spans="2:5" ht="15" customHeight="1" x14ac:dyDescent="0.25">
      <c r="B54" s="75" t="s">
        <v>110</v>
      </c>
      <c r="C54" s="75"/>
      <c r="D54" s="75"/>
    </row>
    <row r="55" spans="2:5" x14ac:dyDescent="0.25">
      <c r="B55" s="21">
        <v>35</v>
      </c>
      <c r="C55" s="68">
        <v>14.8</v>
      </c>
      <c r="D55" s="69">
        <v>19.7</v>
      </c>
    </row>
    <row r="56" spans="2:5" x14ac:dyDescent="0.25">
      <c r="B56" s="20">
        <v>40</v>
      </c>
      <c r="C56" s="70">
        <v>16.5</v>
      </c>
      <c r="D56" s="71">
        <v>22</v>
      </c>
    </row>
    <row r="57" spans="2:5" x14ac:dyDescent="0.25">
      <c r="B57" s="21">
        <v>45</v>
      </c>
      <c r="C57" s="68">
        <v>18.2</v>
      </c>
      <c r="D57" s="69">
        <v>24.2</v>
      </c>
    </row>
    <row r="58" spans="2:5" x14ac:dyDescent="0.25">
      <c r="B58" s="20">
        <v>50</v>
      </c>
      <c r="C58" s="70">
        <v>19.899999999999999</v>
      </c>
      <c r="D58" s="71">
        <v>26.5</v>
      </c>
    </row>
    <row r="59" spans="2:5" x14ac:dyDescent="0.25">
      <c r="B59" s="21">
        <v>55</v>
      </c>
      <c r="C59" s="68">
        <v>21.6</v>
      </c>
      <c r="D59" s="69">
        <v>28.8</v>
      </c>
    </row>
    <row r="60" spans="2:5" x14ac:dyDescent="0.25">
      <c r="B60" s="72">
        <v>60</v>
      </c>
      <c r="C60" s="73">
        <v>23.3</v>
      </c>
      <c r="D60" s="74">
        <v>31.1</v>
      </c>
    </row>
  </sheetData>
  <mergeCells count="9">
    <mergeCell ref="B35:F35"/>
    <mergeCell ref="E23:E24"/>
    <mergeCell ref="F23:F24"/>
    <mergeCell ref="G23:G24"/>
    <mergeCell ref="C23:C24"/>
    <mergeCell ref="D23:D24"/>
    <mergeCell ref="B34:F34"/>
    <mergeCell ref="B25:F25"/>
    <mergeCell ref="B26:F2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>
    <row r="1" spans="1:1" x14ac:dyDescent="0.25">
      <c r="A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</vt:lpstr>
      <vt:lpstr>feed rations</vt:lpstr>
      <vt:lpstr>feed rations organic</vt:lpstr>
      <vt:lpstr>Kontroll</vt:lpstr>
      <vt:lpstr>Slaktstat</vt:lpstr>
      <vt:lpstr>Sheet2</vt:lpstr>
      <vt:lpstr>Energi rek</vt:lpstr>
      <vt:lpstr>references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2023-01-13T12:14:39Z</dcterms:created>
  <dcterms:modified xsi:type="dcterms:W3CDTF">2025-03-19T20:43:51Z</dcterms:modified>
</cp:coreProperties>
</file>