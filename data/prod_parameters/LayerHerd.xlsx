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Documents\#1 Projekt\MISTRA Food Futures WP5\CIBUSmod Food Systems Model\CIBUSmod\data\prod_parameters\"/>
    </mc:Choice>
  </mc:AlternateContent>
  <bookViews>
    <workbookView xWindow="0" yWindow="0" windowWidth="28800" windowHeight="12300" activeTab="1"/>
  </bookViews>
  <sheets>
    <sheet name="default" sheetId="2" r:id="rId1"/>
    <sheet name="Feed ratio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5" i="3" l="1"/>
  <c r="Z16" i="3"/>
  <c r="Z17" i="3"/>
  <c r="Z14" i="3"/>
  <c r="Z13" i="3"/>
  <c r="Z6" i="3"/>
  <c r="Z7" i="3"/>
  <c r="Z8" i="3"/>
  <c r="Z9" i="3"/>
  <c r="Z10" i="3"/>
  <c r="Z11" i="3"/>
  <c r="Z12" i="3"/>
  <c r="Z5" i="3"/>
  <c r="AA17" i="3"/>
  <c r="AA19" i="3"/>
  <c r="Y19" i="3"/>
  <c r="Y15" i="3"/>
  <c r="Y16" i="3"/>
  <c r="Y17" i="3"/>
  <c r="Y14" i="3"/>
  <c r="Y13" i="3"/>
  <c r="Y6" i="3"/>
  <c r="Y7" i="3"/>
  <c r="Y8" i="3"/>
  <c r="Y9" i="3"/>
  <c r="Y10" i="3"/>
  <c r="Y11" i="3"/>
  <c r="Y12" i="3"/>
  <c r="Y5" i="3"/>
  <c r="X19" i="3"/>
  <c r="X15" i="3"/>
  <c r="X16" i="3"/>
  <c r="X17" i="3"/>
  <c r="X14" i="3"/>
  <c r="X13" i="3"/>
  <c r="X6" i="3"/>
  <c r="X7" i="3"/>
  <c r="X8" i="3"/>
  <c r="X9" i="3"/>
  <c r="X10" i="3"/>
  <c r="X11" i="3"/>
  <c r="X12" i="3"/>
  <c r="X5" i="3"/>
  <c r="W17" i="3" l="1"/>
  <c r="AB17" i="3" s="1"/>
  <c r="W16" i="3"/>
  <c r="AB16" i="3" s="1"/>
  <c r="W15" i="3"/>
  <c r="W14" i="3"/>
  <c r="W13" i="3"/>
  <c r="W7" i="3"/>
  <c r="AB15" i="3"/>
  <c r="AB14" i="3"/>
  <c r="AB13" i="3"/>
  <c r="AB12" i="3"/>
  <c r="AB11" i="3"/>
  <c r="AB10" i="3"/>
  <c r="AB9" i="3"/>
  <c r="AB8" i="3"/>
  <c r="AB7" i="3"/>
  <c r="AB6" i="3"/>
  <c r="AB5" i="3"/>
  <c r="AE13" i="3"/>
  <c r="AD13" i="3"/>
  <c r="AC13" i="3"/>
  <c r="E82" i="2"/>
  <c r="Z19" i="3" l="1"/>
  <c r="W19" i="3"/>
  <c r="W12" i="3"/>
  <c r="W11" i="3"/>
  <c r="W10" i="3"/>
  <c r="W9" i="3"/>
  <c r="W8" i="3"/>
  <c r="W6" i="3"/>
  <c r="AA5" i="3"/>
  <c r="W5" i="3"/>
  <c r="AA13" i="3"/>
  <c r="AF19" i="3"/>
  <c r="AF17" i="3"/>
  <c r="AF16" i="3"/>
  <c r="AF15" i="3"/>
  <c r="AF14" i="3"/>
  <c r="AF13" i="3"/>
  <c r="AF12" i="3"/>
  <c r="AF11" i="3"/>
  <c r="AF10" i="3"/>
  <c r="AF9" i="3"/>
  <c r="AF8" i="3"/>
  <c r="AF7" i="3"/>
  <c r="AF6" i="3"/>
  <c r="AF5" i="3"/>
  <c r="AA16" i="3"/>
  <c r="AA15" i="3"/>
  <c r="AA14" i="3"/>
  <c r="AA12" i="3"/>
  <c r="AA11" i="3"/>
  <c r="AA10" i="3"/>
  <c r="AA9" i="3"/>
  <c r="AA8" i="3"/>
  <c r="AA7" i="3"/>
  <c r="AA6" i="3"/>
  <c r="E110" i="2" l="1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09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43" i="2"/>
  <c r="E37" i="2"/>
  <c r="E38" i="2"/>
  <c r="E39" i="2"/>
  <c r="E40" i="2"/>
  <c r="E31" i="2"/>
  <c r="E32" i="2"/>
  <c r="E33" i="2"/>
  <c r="E34" i="2"/>
  <c r="E30" i="2"/>
  <c r="AE19" i="3" l="1"/>
  <c r="AD19" i="3"/>
  <c r="AC19" i="3"/>
  <c r="AE6" i="3"/>
  <c r="AE7" i="3"/>
  <c r="AE8" i="3"/>
  <c r="AE9" i="3"/>
  <c r="AE10" i="3"/>
  <c r="AE11" i="3"/>
  <c r="AE12" i="3"/>
  <c r="AE14" i="3"/>
  <c r="AE15" i="3"/>
  <c r="AE16" i="3"/>
  <c r="AE17" i="3"/>
  <c r="AE5" i="3"/>
  <c r="AD6" i="3"/>
  <c r="AD7" i="3"/>
  <c r="AD8" i="3"/>
  <c r="AD9" i="3"/>
  <c r="AD10" i="3"/>
  <c r="AD11" i="3"/>
  <c r="AD12" i="3"/>
  <c r="AD14" i="3"/>
  <c r="AD15" i="3"/>
  <c r="AD16" i="3"/>
  <c r="AD17" i="3"/>
  <c r="AD5" i="3"/>
  <c r="AC6" i="3"/>
  <c r="AC7" i="3"/>
  <c r="AC8" i="3"/>
  <c r="AC9" i="3"/>
  <c r="AC10" i="3"/>
  <c r="AC11" i="3"/>
  <c r="AC12" i="3"/>
  <c r="AC14" i="3"/>
  <c r="AC15" i="3"/>
  <c r="AC16" i="3"/>
  <c r="AC17" i="3"/>
  <c r="AC5" i="3"/>
  <c r="AB19" i="3"/>
  <c r="E36" i="2" s="1"/>
  <c r="L31" i="3"/>
  <c r="K31" i="3"/>
  <c r="L30" i="3"/>
  <c r="K30" i="3"/>
  <c r="J30" i="3"/>
  <c r="J31" i="3"/>
  <c r="I30" i="3"/>
  <c r="I31" i="3" s="1"/>
  <c r="F29" i="3"/>
  <c r="F30" i="3" s="1"/>
  <c r="F31" i="3" s="1"/>
  <c r="H30" i="3"/>
  <c r="G30" i="3"/>
  <c r="G31" i="3"/>
  <c r="H31" i="3"/>
  <c r="V6" i="3"/>
  <c r="V7" i="3"/>
  <c r="V8" i="3"/>
  <c r="V9" i="3"/>
  <c r="V10" i="3"/>
  <c r="V11" i="3"/>
  <c r="V12" i="3"/>
  <c r="V13" i="3"/>
  <c r="V14" i="3"/>
  <c r="V15" i="3"/>
  <c r="V16" i="3"/>
  <c r="V17" i="3"/>
  <c r="G25" i="3"/>
  <c r="H25" i="3"/>
  <c r="I25" i="3"/>
  <c r="Q6" i="3" s="1"/>
  <c r="J25" i="3"/>
  <c r="R7" i="3" s="1"/>
  <c r="K25" i="3"/>
  <c r="L25" i="3"/>
  <c r="F24" i="3"/>
  <c r="F25" i="3"/>
  <c r="N9" i="3" s="1"/>
  <c r="V5" i="3"/>
  <c r="O6" i="3"/>
  <c r="P6" i="3"/>
  <c r="S6" i="3"/>
  <c r="T6" i="3"/>
  <c r="O7" i="3"/>
  <c r="P7" i="3"/>
  <c r="Q7" i="3"/>
  <c r="S7" i="3"/>
  <c r="T7" i="3"/>
  <c r="O8" i="3"/>
  <c r="P8" i="3"/>
  <c r="S8" i="3"/>
  <c r="T8" i="3"/>
  <c r="O9" i="3"/>
  <c r="P9" i="3"/>
  <c r="Q9" i="3"/>
  <c r="S9" i="3"/>
  <c r="T9" i="3"/>
  <c r="O10" i="3"/>
  <c r="P10" i="3"/>
  <c r="S10" i="3"/>
  <c r="T10" i="3"/>
  <c r="O11" i="3"/>
  <c r="P11" i="3"/>
  <c r="Q11" i="3"/>
  <c r="S11" i="3"/>
  <c r="T11" i="3"/>
  <c r="O12" i="3"/>
  <c r="P12" i="3"/>
  <c r="S12" i="3"/>
  <c r="T12" i="3"/>
  <c r="O13" i="3"/>
  <c r="P13" i="3"/>
  <c r="Q13" i="3"/>
  <c r="R13" i="3"/>
  <c r="S13" i="3"/>
  <c r="T13" i="3"/>
  <c r="O14" i="3"/>
  <c r="P14" i="3"/>
  <c r="S14" i="3"/>
  <c r="T14" i="3"/>
  <c r="O15" i="3"/>
  <c r="P15" i="3"/>
  <c r="Q15" i="3"/>
  <c r="R15" i="3"/>
  <c r="S15" i="3"/>
  <c r="T15" i="3"/>
  <c r="O16" i="3"/>
  <c r="P16" i="3"/>
  <c r="S16" i="3"/>
  <c r="T16" i="3"/>
  <c r="O17" i="3"/>
  <c r="P17" i="3"/>
  <c r="Q17" i="3"/>
  <c r="R17" i="3"/>
  <c r="S17" i="3"/>
  <c r="T17" i="3"/>
  <c r="O18" i="3"/>
  <c r="P18" i="3"/>
  <c r="Q18" i="3"/>
  <c r="S18" i="3"/>
  <c r="T18" i="3"/>
  <c r="K24" i="3"/>
  <c r="L24" i="3"/>
  <c r="S5" i="3"/>
  <c r="N3" i="3"/>
  <c r="Q3" i="3"/>
  <c r="S3" i="3"/>
  <c r="N4" i="3"/>
  <c r="O4" i="3"/>
  <c r="P4" i="3"/>
  <c r="Q4" i="3"/>
  <c r="R4" i="3"/>
  <c r="S4" i="3"/>
  <c r="T4" i="3"/>
  <c r="S2" i="3"/>
  <c r="N2" i="3"/>
  <c r="J24" i="3"/>
  <c r="I24" i="3"/>
  <c r="O5" i="3"/>
  <c r="P5" i="3"/>
  <c r="H24" i="3"/>
  <c r="R18" i="3" l="1"/>
  <c r="R16" i="3"/>
  <c r="R14" i="3"/>
  <c r="R12" i="3"/>
  <c r="R10" i="3"/>
  <c r="R8" i="3"/>
  <c r="R6" i="3"/>
  <c r="R11" i="3"/>
  <c r="R9" i="3"/>
  <c r="Q16" i="3"/>
  <c r="Q14" i="3"/>
  <c r="Q12" i="3"/>
  <c r="Q10" i="3"/>
  <c r="Q8" i="3"/>
  <c r="N14" i="3"/>
  <c r="N10" i="3"/>
  <c r="N11" i="3"/>
  <c r="N7" i="3"/>
  <c r="N16" i="3"/>
  <c r="N12" i="3"/>
  <c r="N8" i="3"/>
  <c r="N18" i="3"/>
  <c r="N6" i="3"/>
  <c r="N15" i="3"/>
  <c r="N17" i="3"/>
  <c r="N13" i="3"/>
  <c r="T5" i="3"/>
  <c r="R5" i="3"/>
  <c r="N5" i="3"/>
  <c r="Q5" i="3"/>
  <c r="G24" i="3" l="1"/>
  <c r="E23" i="2" l="1"/>
  <c r="E20" i="2"/>
  <c r="F24" i="2" l="1"/>
  <c r="F25" i="2" s="1"/>
  <c r="F21" i="2"/>
  <c r="F22" i="2" s="1"/>
  <c r="E14" i="2" l="1"/>
  <c r="E9" i="2"/>
  <c r="E8" i="2"/>
  <c r="E7" i="2"/>
  <c r="E3" i="2"/>
  <c r="E10" i="2" l="1"/>
  <c r="E21" i="2"/>
  <c r="E22" i="2"/>
  <c r="E25" i="2"/>
  <c r="E24" i="2"/>
</calcChain>
</file>

<file path=xl/comments1.xml><?xml version="1.0" encoding="utf-8"?>
<comments xmlns="http://schemas.openxmlformats.org/spreadsheetml/2006/main">
  <authors>
    <author>Johan Karlsson</author>
  </authors>
  <commentList>
    <comment ref="AA19" authorId="0" shapeId="0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Assumed same as broiler parents for now.
Per inserted (grand)parent hen, includes feed for roosters (1 roaster per 12.5 hens) (Ida Ljungkvist, pers. comm.)
Parent hens: 24 weeks growing + 40 weeks egg laying --&gt; 448 days slaughter age.
Assuming same slaughter age for roosters</t>
        </r>
      </text>
    </comment>
  </commentList>
</comments>
</file>

<file path=xl/sharedStrings.xml><?xml version="1.0" encoding="utf-8"?>
<sst xmlns="http://schemas.openxmlformats.org/spreadsheetml/2006/main" count="725" uniqueCount="118">
  <si>
    <t>value</t>
  </si>
  <si>
    <t>source</t>
  </si>
  <si>
    <t>description</t>
  </si>
  <si>
    <t>unit</t>
  </si>
  <si>
    <t>nr</t>
  </si>
  <si>
    <t>rejections_at_slaughter</t>
  </si>
  <si>
    <t>%</t>
  </si>
  <si>
    <t>f_animal</t>
  </si>
  <si>
    <t>mortality</t>
  </si>
  <si>
    <t>weeks</t>
  </si>
  <si>
    <t>f_prod_system</t>
  </si>
  <si>
    <t>f_feed</t>
  </si>
  <si>
    <t>parameter</t>
  </si>
  <si>
    <t>Production system</t>
  </si>
  <si>
    <t>slaughter_weight</t>
  </si>
  <si>
    <t>kg CW</t>
  </si>
  <si>
    <t>Fallback</t>
  </si>
  <si>
    <t>wheat</t>
  </si>
  <si>
    <t>oats</t>
  </si>
  <si>
    <t>maize</t>
  </si>
  <si>
    <t>rapeseed</t>
  </si>
  <si>
    <t>soybean meal</t>
  </si>
  <si>
    <t>rapeseed meal</t>
  </si>
  <si>
    <t>vegetable oils</t>
  </si>
  <si>
    <t>minerals</t>
  </si>
  <si>
    <t>amino acids and vitamins</t>
  </si>
  <si>
    <t>Sojamjöl</t>
  </si>
  <si>
    <t>maize gluten meal</t>
  </si>
  <si>
    <t>Havre</t>
  </si>
  <si>
    <t>Majs</t>
  </si>
  <si>
    <t>Rapsmjöl</t>
  </si>
  <si>
    <t>DM</t>
  </si>
  <si>
    <t>A</t>
  </si>
  <si>
    <t>B</t>
  </si>
  <si>
    <t>On dry matter basis [% of DM]</t>
  </si>
  <si>
    <t>Ration DM:</t>
  </si>
  <si>
    <t>time_in_hen_house</t>
  </si>
  <si>
    <t>Avg och gård A, B in Sonesson and organic farm in Carlsson</t>
  </si>
  <si>
    <t>Sonesson et al 2008, Carlsson et al 2009</t>
  </si>
  <si>
    <t>Productivity</t>
  </si>
  <si>
    <t>egg_production</t>
  </si>
  <si>
    <t>conventional</t>
  </si>
  <si>
    <t>organic</t>
  </si>
  <si>
    <t>Sonesson et al 2008</t>
  </si>
  <si>
    <t>Carlsson et al 2009</t>
  </si>
  <si>
    <t>Avg gård A and B</t>
  </si>
  <si>
    <t>weeks_in_stage</t>
  </si>
  <si>
    <t>laying chicks</t>
  </si>
  <si>
    <t>laying hens (16-28 weeks)</t>
  </si>
  <si>
    <t>laying hens (29-59 weeks)</t>
  </si>
  <si>
    <t>laying hens (&gt;59 weeks)</t>
  </si>
  <si>
    <t>assumed for now</t>
  </si>
  <si>
    <t>???</t>
  </si>
  <si>
    <t>assumed for now. 2.3% for broilers</t>
  </si>
  <si>
    <t>kg/head/year</t>
  </si>
  <si>
    <t xml:space="preserve">Avg gård A and B   </t>
  </si>
  <si>
    <t>Höstvete och rågvete</t>
  </si>
  <si>
    <t>Korn</t>
  </si>
  <si>
    <t>Vetefodermjöl</t>
  </si>
  <si>
    <t>Vegetabiliska fettsyror</t>
  </si>
  <si>
    <t>Kalciumkarbonat</t>
  </si>
  <si>
    <t>Monokalciumfosfat</t>
  </si>
  <si>
    <t>Salt</t>
  </si>
  <si>
    <t>Förblandning tillsatser</t>
  </si>
  <si>
    <t>barley</t>
  </si>
  <si>
    <t>wheat bran, fine</t>
  </si>
  <si>
    <t>Ration DM (excl. minerals etc.):</t>
  </si>
  <si>
    <t>As fed [%]</t>
  </si>
  <si>
    <t>Sonesson 2008</t>
  </si>
  <si>
    <t>Feed:</t>
  </si>
  <si>
    <t>Farm:</t>
  </si>
  <si>
    <t>Source:</t>
  </si>
  <si>
    <t>Värp fri start</t>
  </si>
  <si>
    <t>Värp fri max</t>
  </si>
  <si>
    <t>Värp fri slut</t>
  </si>
  <si>
    <t>Värp 95</t>
  </si>
  <si>
    <t>Värp 110</t>
  </si>
  <si>
    <t>Carlsson</t>
  </si>
  <si>
    <t>N/A</t>
  </si>
  <si>
    <t>Värp grön stark</t>
  </si>
  <si>
    <t>värp grön trygg</t>
  </si>
  <si>
    <t>ärter</t>
  </si>
  <si>
    <t>potatisprotein</t>
  </si>
  <si>
    <t>rapsfrö</t>
  </si>
  <si>
    <t>rostade sojabönor</t>
  </si>
  <si>
    <t>majsgluten</t>
  </si>
  <si>
    <t>värmebehandlad rapsexpeller</t>
  </si>
  <si>
    <t>peas</t>
  </si>
  <si>
    <t>soybeans</t>
  </si>
  <si>
    <t>feed</t>
  </si>
  <si>
    <t>foder</t>
  </si>
  <si>
    <t>Final feed rations per animal[% of DM]</t>
  </si>
  <si>
    <t>Production system:</t>
  </si>
  <si>
    <t>Animal:</t>
  </si>
  <si>
    <t>breeding hens and roosters</t>
  </si>
  <si>
    <t>chicks_per_breeding hen</t>
  </si>
  <si>
    <t>roosters_per_breeding_hen</t>
  </si>
  <si>
    <t>potatoe protein</t>
  </si>
  <si>
    <t>Feed per head and year [kg DM]:</t>
  </si>
  <si>
    <t>Nr animals farm</t>
  </si>
  <si>
    <t>weeks with feed</t>
  </si>
  <si>
    <t>29-59</t>
  </si>
  <si>
    <t>60-79</t>
  </si>
  <si>
    <t>feed [kg/year]</t>
  </si>
  <si>
    <t>feed per animal [kg/year/head]</t>
  </si>
  <si>
    <t>feed per animal [kg DM/year/head]</t>
  </si>
  <si>
    <t>15-28</t>
  </si>
  <si>
    <t>16-35</t>
  </si>
  <si>
    <t>36-74</t>
  </si>
  <si>
    <t>15-45</t>
  </si>
  <si>
    <t>46-75</t>
  </si>
  <si>
    <t>Feed requirements</t>
  </si>
  <si>
    <t>kg DM/live animal/year</t>
  </si>
  <si>
    <t>Feed rations</t>
  </si>
  <si>
    <t>% of DM</t>
  </si>
  <si>
    <t>see Feed rations tab</t>
  </si>
  <si>
    <t>feed_per_head</t>
  </si>
  <si>
    <t>share_in_ration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</si>
</sst>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164" fontId="0" fillId="0" borderId="0" xfId="0" applyNumberFormat="1"/>
    <xf numFmtId="9" fontId="0" fillId="0" borderId="0" xfId="1" applyFont="1"/>
    <xf numFmtId="0" fontId="4" fillId="4" borderId="0" xfId="0" applyFont="1" applyFill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164" fontId="3" fillId="0" borderId="0" xfId="0" applyNumberFormat="1" applyFont="1"/>
    <xf numFmtId="164" fontId="0" fillId="5" borderId="0" xfId="0" applyNumberFormat="1" applyFill="1"/>
    <xf numFmtId="1" fontId="3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0" fontId="0" fillId="4" borderId="0" xfId="0" applyFill="1"/>
    <xf numFmtId="164" fontId="0" fillId="4" borderId="0" xfId="0" applyNumberFormat="1" applyFill="1"/>
    <xf numFmtId="0" fontId="3" fillId="4" borderId="0" xfId="0" applyFont="1" applyFill="1"/>
    <xf numFmtId="165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164" fontId="0" fillId="0" borderId="0" xfId="0" applyNumberFormat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1" fontId="0" fillId="0" borderId="4" xfId="0" applyNumberFormat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wrapText="1"/>
    </xf>
    <xf numFmtId="0" fontId="0" fillId="6" borderId="9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3" borderId="11" xfId="0" applyFill="1" applyBorder="1" applyAlignment="1">
      <alignment vertical="center"/>
    </xf>
    <xf numFmtId="164" fontId="0" fillId="0" borderId="9" xfId="0" applyNumberFormat="1" applyBorder="1"/>
    <xf numFmtId="164" fontId="0" fillId="0" borderId="10" xfId="0" applyNumberFormat="1" applyBorder="1"/>
    <xf numFmtId="0" fontId="0" fillId="4" borderId="0" xfId="0" applyFont="1" applyFill="1"/>
    <xf numFmtId="164" fontId="3" fillId="0" borderId="3" xfId="0" applyNumberFormat="1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164" fontId="3" fillId="0" borderId="11" xfId="0" applyNumberFormat="1" applyFont="1" applyBorder="1"/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zoomScale="80" zoomScaleNormal="80" workbookViewId="0">
      <selection activeCell="G27" sqref="G27"/>
    </sheetView>
  </sheetViews>
  <sheetFormatPr defaultRowHeight="15" x14ac:dyDescent="0.25"/>
  <cols>
    <col min="1" max="1" width="15.7109375" customWidth="1"/>
    <col min="2" max="2" width="28.85546875" bestFit="1" customWidth="1"/>
    <col min="3" max="3" width="19.85546875" bestFit="1" customWidth="1"/>
    <col min="4" max="4" width="27" customWidth="1"/>
    <col min="5" max="5" width="8.42578125" customWidth="1"/>
    <col min="6" max="6" width="19.85546875" bestFit="1" customWidth="1"/>
    <col min="7" max="7" width="44.140625" customWidth="1"/>
    <col min="8" max="8" width="23.85546875" customWidth="1"/>
  </cols>
  <sheetData>
    <row r="1" spans="1:8" x14ac:dyDescent="0.25">
      <c r="A1" t="s">
        <v>10</v>
      </c>
      <c r="B1" t="s">
        <v>7</v>
      </c>
      <c r="C1" t="s">
        <v>11</v>
      </c>
      <c r="D1" t="s">
        <v>12</v>
      </c>
      <c r="E1" t="s">
        <v>0</v>
      </c>
      <c r="F1" t="s">
        <v>3</v>
      </c>
      <c r="G1" t="s">
        <v>2</v>
      </c>
      <c r="H1" t="s">
        <v>1</v>
      </c>
    </row>
    <row r="2" spans="1:8" x14ac:dyDescent="0.25">
      <c r="A2" s="6" t="s">
        <v>13</v>
      </c>
      <c r="B2" s="6"/>
      <c r="C2" s="6"/>
      <c r="D2" s="6"/>
      <c r="E2" s="6"/>
      <c r="F2" s="6"/>
      <c r="G2" s="6"/>
      <c r="H2" s="6"/>
    </row>
    <row r="3" spans="1:8" x14ac:dyDescent="0.25">
      <c r="D3" t="s">
        <v>36</v>
      </c>
      <c r="E3" s="4">
        <f>(64+58+60)/3</f>
        <v>60.666666666666664</v>
      </c>
      <c r="F3" t="s">
        <v>9</v>
      </c>
      <c r="G3" t="s">
        <v>37</v>
      </c>
      <c r="H3" t="s">
        <v>38</v>
      </c>
    </row>
    <row r="4" spans="1:8" x14ac:dyDescent="0.25">
      <c r="D4" t="s">
        <v>95</v>
      </c>
      <c r="E4" s="13">
        <v>100</v>
      </c>
      <c r="F4" t="s">
        <v>4</v>
      </c>
      <c r="G4" s="8" t="s">
        <v>52</v>
      </c>
    </row>
    <row r="5" spans="1:8" x14ac:dyDescent="0.25">
      <c r="D5" t="s">
        <v>96</v>
      </c>
      <c r="E5" s="11">
        <v>12.5</v>
      </c>
      <c r="F5" t="s">
        <v>4</v>
      </c>
      <c r="G5" s="8" t="s">
        <v>52</v>
      </c>
    </row>
    <row r="6" spans="1:8" x14ac:dyDescent="0.25">
      <c r="E6" s="4"/>
    </row>
    <row r="7" spans="1:8" x14ac:dyDescent="0.25">
      <c r="B7" t="s">
        <v>47</v>
      </c>
      <c r="D7" t="s">
        <v>46</v>
      </c>
      <c r="E7" s="4">
        <f>15-0+1</f>
        <v>16</v>
      </c>
      <c r="F7" t="s">
        <v>9</v>
      </c>
    </row>
    <row r="8" spans="1:8" x14ac:dyDescent="0.25">
      <c r="B8" t="s">
        <v>48</v>
      </c>
      <c r="D8" t="s">
        <v>46</v>
      </c>
      <c r="E8" s="4">
        <f>28-16+1</f>
        <v>13</v>
      </c>
      <c r="F8" t="s">
        <v>9</v>
      </c>
    </row>
    <row r="9" spans="1:8" x14ac:dyDescent="0.25">
      <c r="B9" t="s">
        <v>49</v>
      </c>
      <c r="D9" t="s">
        <v>46</v>
      </c>
      <c r="E9" s="4">
        <f>59-29+1</f>
        <v>31</v>
      </c>
      <c r="F9" t="s">
        <v>9</v>
      </c>
    </row>
    <row r="10" spans="1:8" x14ac:dyDescent="0.25">
      <c r="B10" t="s">
        <v>50</v>
      </c>
      <c r="D10" t="s">
        <v>46</v>
      </c>
      <c r="E10" s="4">
        <f>(E3+E7)-60+1</f>
        <v>17.666666666666657</v>
      </c>
      <c r="F10" t="s">
        <v>9</v>
      </c>
    </row>
    <row r="11" spans="1:8" x14ac:dyDescent="0.25">
      <c r="E11" s="4"/>
    </row>
    <row r="12" spans="1:8" x14ac:dyDescent="0.25">
      <c r="A12" t="s">
        <v>41</v>
      </c>
      <c r="B12" t="s">
        <v>47</v>
      </c>
      <c r="D12" t="s">
        <v>8</v>
      </c>
      <c r="E12" s="11">
        <v>10</v>
      </c>
      <c r="F12" t="s">
        <v>6</v>
      </c>
      <c r="G12" s="8" t="s">
        <v>51</v>
      </c>
    </row>
    <row r="13" spans="1:8" x14ac:dyDescent="0.25">
      <c r="A13" t="s">
        <v>42</v>
      </c>
      <c r="B13" t="s">
        <v>47</v>
      </c>
      <c r="D13" t="s">
        <v>8</v>
      </c>
      <c r="E13" s="11">
        <v>10</v>
      </c>
      <c r="F13" t="s">
        <v>6</v>
      </c>
      <c r="G13" s="8" t="s">
        <v>51</v>
      </c>
    </row>
    <row r="14" spans="1:8" x14ac:dyDescent="0.25">
      <c r="A14" t="s">
        <v>41</v>
      </c>
      <c r="D14" t="s">
        <v>8</v>
      </c>
      <c r="E14" s="4">
        <f>(3.85+6.24)/2</f>
        <v>5.0449999999999999</v>
      </c>
      <c r="F14" t="s">
        <v>6</v>
      </c>
      <c r="G14" t="s">
        <v>45</v>
      </c>
      <c r="H14" t="s">
        <v>43</v>
      </c>
    </row>
    <row r="15" spans="1:8" x14ac:dyDescent="0.25">
      <c r="A15" t="s">
        <v>42</v>
      </c>
      <c r="D15" t="s">
        <v>8</v>
      </c>
      <c r="E15" s="4">
        <v>10</v>
      </c>
      <c r="F15" t="s">
        <v>6</v>
      </c>
      <c r="H15" t="s">
        <v>44</v>
      </c>
    </row>
    <row r="16" spans="1:8" x14ac:dyDescent="0.25">
      <c r="D16" t="s">
        <v>5</v>
      </c>
      <c r="E16" s="11">
        <v>5</v>
      </c>
      <c r="F16" t="s">
        <v>6</v>
      </c>
      <c r="G16" s="8" t="s">
        <v>53</v>
      </c>
    </row>
    <row r="17" spans="1:8" x14ac:dyDescent="0.25">
      <c r="E17" s="4"/>
    </row>
    <row r="18" spans="1:8" x14ac:dyDescent="0.25">
      <c r="A18" s="6" t="s">
        <v>39</v>
      </c>
      <c r="B18" s="16"/>
      <c r="C18" s="16"/>
      <c r="D18" s="16"/>
      <c r="E18" s="17"/>
      <c r="F18" s="16"/>
      <c r="G18" s="18"/>
      <c r="H18" s="16"/>
    </row>
    <row r="19" spans="1:8" x14ac:dyDescent="0.25">
      <c r="A19" s="10"/>
      <c r="D19" s="7" t="s">
        <v>40</v>
      </c>
      <c r="E19" s="14">
        <v>0</v>
      </c>
      <c r="F19" s="7" t="s">
        <v>54</v>
      </c>
      <c r="G19" s="7" t="s">
        <v>16</v>
      </c>
    </row>
    <row r="20" spans="1:8" x14ac:dyDescent="0.25">
      <c r="A20" t="s">
        <v>41</v>
      </c>
      <c r="B20" t="s">
        <v>48</v>
      </c>
      <c r="C20" s="8"/>
      <c r="D20" t="s">
        <v>40</v>
      </c>
      <c r="E20" s="12">
        <f>(22.5/64*52+20.2/58*52)/2</f>
        <v>18.195797413793102</v>
      </c>
      <c r="F20" t="s">
        <v>54</v>
      </c>
      <c r="G20" t="s">
        <v>55</v>
      </c>
      <c r="H20" t="s">
        <v>43</v>
      </c>
    </row>
    <row r="21" spans="1:8" x14ac:dyDescent="0.25">
      <c r="A21" t="s">
        <v>41</v>
      </c>
      <c r="B21" t="s">
        <v>49</v>
      </c>
      <c r="C21" s="8"/>
      <c r="D21" t="s">
        <v>40</v>
      </c>
      <c r="E21" s="15">
        <f>E20</f>
        <v>18.195797413793102</v>
      </c>
      <c r="F21" s="15" t="str">
        <f>F20</f>
        <v>kg/head/year</v>
      </c>
    </row>
    <row r="22" spans="1:8" x14ac:dyDescent="0.25">
      <c r="A22" t="s">
        <v>41</v>
      </c>
      <c r="B22" t="s">
        <v>50</v>
      </c>
      <c r="C22" s="8"/>
      <c r="D22" t="s">
        <v>40</v>
      </c>
      <c r="E22" s="15">
        <f>E20</f>
        <v>18.195797413793102</v>
      </c>
      <c r="F22" s="15" t="str">
        <f>F21</f>
        <v>kg/head/year</v>
      </c>
    </row>
    <row r="23" spans="1:8" x14ac:dyDescent="0.25">
      <c r="A23" t="s">
        <v>42</v>
      </c>
      <c r="B23" t="s">
        <v>48</v>
      </c>
      <c r="C23" s="8"/>
      <c r="D23" t="s">
        <v>40</v>
      </c>
      <c r="E23" s="12">
        <f>20/60*52</f>
        <v>17.333333333333332</v>
      </c>
      <c r="F23" t="s">
        <v>54</v>
      </c>
      <c r="H23" t="s">
        <v>44</v>
      </c>
    </row>
    <row r="24" spans="1:8" x14ac:dyDescent="0.25">
      <c r="A24" t="s">
        <v>42</v>
      </c>
      <c r="B24" t="s">
        <v>49</v>
      </c>
      <c r="C24" s="8"/>
      <c r="D24" t="s">
        <v>40</v>
      </c>
      <c r="E24" s="15">
        <f>E23</f>
        <v>17.333333333333332</v>
      </c>
      <c r="F24" s="15" t="str">
        <f>F23</f>
        <v>kg/head/year</v>
      </c>
    </row>
    <row r="25" spans="1:8" x14ac:dyDescent="0.25">
      <c r="A25" t="s">
        <v>42</v>
      </c>
      <c r="B25" t="s">
        <v>50</v>
      </c>
      <c r="C25" s="8"/>
      <c r="D25" t="s">
        <v>40</v>
      </c>
      <c r="E25" s="15">
        <f>E23</f>
        <v>17.333333333333332</v>
      </c>
      <c r="F25" s="15" t="str">
        <f>F24</f>
        <v>kg/head/year</v>
      </c>
    </row>
    <row r="27" spans="1:8" x14ac:dyDescent="0.25">
      <c r="D27" t="s">
        <v>14</v>
      </c>
      <c r="E27" s="8">
        <v>0</v>
      </c>
      <c r="F27" t="s">
        <v>15</v>
      </c>
      <c r="G27" s="8" t="s">
        <v>52</v>
      </c>
    </row>
    <row r="29" spans="1:8" x14ac:dyDescent="0.25">
      <c r="A29" s="6" t="s">
        <v>111</v>
      </c>
      <c r="B29" s="6"/>
      <c r="C29" s="6"/>
      <c r="D29" s="6"/>
      <c r="E29" s="6"/>
      <c r="F29" s="71" t="s">
        <v>112</v>
      </c>
      <c r="G29" s="6"/>
      <c r="H29" s="71" t="s">
        <v>115</v>
      </c>
    </row>
    <row r="30" spans="1:8" x14ac:dyDescent="0.25">
      <c r="A30" t="s">
        <v>41</v>
      </c>
      <c r="B30" t="s">
        <v>47</v>
      </c>
      <c r="D30" t="s">
        <v>116</v>
      </c>
      <c r="E30" s="4">
        <f>INDEX('Feed rations'!$W$19:$AA$19,MATCH(B30,'Feed rations'!$W$4:$AA$4,0))</f>
        <v>14.427074999999999</v>
      </c>
    </row>
    <row r="31" spans="1:8" x14ac:dyDescent="0.25">
      <c r="A31" t="s">
        <v>41</v>
      </c>
      <c r="B31" t="s">
        <v>48</v>
      </c>
      <c r="D31" t="s">
        <v>116</v>
      </c>
      <c r="E31" s="4">
        <f>INDEX('Feed rations'!$W$19:$AA$19,MATCH(B31,'Feed rations'!$W$4:$AA$4,0))</f>
        <v>35.955136032867976</v>
      </c>
    </row>
    <row r="32" spans="1:8" x14ac:dyDescent="0.25">
      <c r="A32" t="s">
        <v>41</v>
      </c>
      <c r="B32" t="s">
        <v>49</v>
      </c>
      <c r="D32" t="s">
        <v>116</v>
      </c>
      <c r="E32" s="4">
        <f>INDEX('Feed rations'!$W$19:$AA$19,MATCH(B32,'Feed rations'!$W$4:$AA$4,0))</f>
        <v>31.729574287646834</v>
      </c>
    </row>
    <row r="33" spans="1:8" x14ac:dyDescent="0.25">
      <c r="A33" t="s">
        <v>41</v>
      </c>
      <c r="B33" t="s">
        <v>50</v>
      </c>
      <c r="D33" t="s">
        <v>116</v>
      </c>
      <c r="E33" s="4">
        <f>INDEX('Feed rations'!$W$19:$AA$19,MATCH(B33,'Feed rations'!$W$4:$AA$4,0))</f>
        <v>36.30498550425397</v>
      </c>
    </row>
    <row r="34" spans="1:8" x14ac:dyDescent="0.25">
      <c r="A34" t="s">
        <v>41</v>
      </c>
      <c r="B34" t="s">
        <v>94</v>
      </c>
      <c r="D34" t="s">
        <v>116</v>
      </c>
      <c r="E34" s="4">
        <f>INDEX('Feed rations'!$W$19:$AA$19,MATCH(B34,'Feed rations'!$W$4:$AA$4,0))</f>
        <v>36.235119047619044</v>
      </c>
    </row>
    <row r="36" spans="1:8" x14ac:dyDescent="0.25">
      <c r="A36" t="s">
        <v>42</v>
      </c>
      <c r="B36" t="s">
        <v>47</v>
      </c>
      <c r="D36" t="s">
        <v>116</v>
      </c>
      <c r="E36" s="4">
        <f>INDEX('Feed rations'!$AB$19:$AF$19,MATCH(B36,'Feed rations'!$AB$4:$AF$4,0))</f>
        <v>14.427074999999999</v>
      </c>
    </row>
    <row r="37" spans="1:8" x14ac:dyDescent="0.25">
      <c r="A37" t="s">
        <v>42</v>
      </c>
      <c r="B37" t="s">
        <v>48</v>
      </c>
      <c r="D37" t="s">
        <v>116</v>
      </c>
      <c r="E37" s="4">
        <f>INDEX('Feed rations'!$AB$19:$AF$19,MATCH(B37,'Feed rations'!$AB$4:$AF$4,0))</f>
        <v>31.765466750719003</v>
      </c>
    </row>
    <row r="38" spans="1:8" x14ac:dyDescent="0.25">
      <c r="A38" t="s">
        <v>42</v>
      </c>
      <c r="B38" t="s">
        <v>49</v>
      </c>
      <c r="D38" t="s">
        <v>116</v>
      </c>
      <c r="E38" s="4">
        <f>INDEX('Feed rations'!$AB$19:$AF$19,MATCH(B38,'Feed rations'!$AB$4:$AF$4,0))</f>
        <v>34.907873896644638</v>
      </c>
    </row>
    <row r="39" spans="1:8" x14ac:dyDescent="0.25">
      <c r="A39" t="s">
        <v>42</v>
      </c>
      <c r="B39" t="s">
        <v>50</v>
      </c>
      <c r="D39" t="s">
        <v>116</v>
      </c>
      <c r="E39" s="4">
        <f>INDEX('Feed rations'!$AB$19:$AF$19,MATCH(B39,'Feed rations'!$AB$4:$AF$4,0))</f>
        <v>38.050281042570276</v>
      </c>
    </row>
    <row r="40" spans="1:8" x14ac:dyDescent="0.25">
      <c r="A40" t="s">
        <v>42</v>
      </c>
      <c r="B40" t="s">
        <v>94</v>
      </c>
      <c r="D40" t="s">
        <v>116</v>
      </c>
      <c r="E40" s="4">
        <f>INDEX('Feed rations'!$AB$19:$AF$19,MATCH(B40,'Feed rations'!$AB$4:$AF$4,0))</f>
        <v>36.235119047619044</v>
      </c>
    </row>
    <row r="42" spans="1:8" x14ac:dyDescent="0.25">
      <c r="A42" s="6" t="s">
        <v>113</v>
      </c>
      <c r="B42" s="6"/>
      <c r="C42" s="6"/>
      <c r="D42" s="6"/>
      <c r="E42" s="6"/>
      <c r="F42" s="71" t="s">
        <v>114</v>
      </c>
      <c r="G42" s="6"/>
      <c r="H42" s="71" t="s">
        <v>115</v>
      </c>
    </row>
    <row r="43" spans="1:8" x14ac:dyDescent="0.25">
      <c r="A43" t="s">
        <v>41</v>
      </c>
      <c r="B43" t="s">
        <v>47</v>
      </c>
      <c r="C43" t="s">
        <v>17</v>
      </c>
      <c r="D43" t="s">
        <v>117</v>
      </c>
      <c r="E43" s="4">
        <f>INDEX('Feed rations'!$W$5:$AA$17,MATCH(C43,'Feed rations'!$V$5:$V$17,0),MATCH(B43,'Feed rations'!$W$4:$AA$4,0))</f>
        <v>43.682112995233247</v>
      </c>
    </row>
    <row r="44" spans="1:8" x14ac:dyDescent="0.25">
      <c r="A44" t="s">
        <v>41</v>
      </c>
      <c r="B44" t="s">
        <v>47</v>
      </c>
      <c r="C44" t="s">
        <v>19</v>
      </c>
      <c r="D44" t="s">
        <v>117</v>
      </c>
      <c r="E44" s="4">
        <f>INDEX('Feed rations'!$W$5:$AA$17,MATCH(C44,'Feed rations'!$V$5:$V$17,0),MATCH(B44,'Feed rations'!$W$4:$AA$4,0))</f>
        <v>2.6881300304758931</v>
      </c>
    </row>
    <row r="45" spans="1:8" x14ac:dyDescent="0.25">
      <c r="A45" t="s">
        <v>41</v>
      </c>
      <c r="B45" t="s">
        <v>47</v>
      </c>
      <c r="C45" t="s">
        <v>18</v>
      </c>
      <c r="D45" t="s">
        <v>117</v>
      </c>
      <c r="E45" s="4">
        <f>INDEX('Feed rations'!$W$5:$AA$17,MATCH(C45,'Feed rations'!$V$5:$V$17,0),MATCH(B45,'Feed rations'!$W$4:$AA$4,0))</f>
        <v>16.800812690474331</v>
      </c>
    </row>
    <row r="46" spans="1:8" x14ac:dyDescent="0.25">
      <c r="A46" t="s">
        <v>41</v>
      </c>
      <c r="B46" t="s">
        <v>47</v>
      </c>
      <c r="C46" t="s">
        <v>64</v>
      </c>
      <c r="D46" t="s">
        <v>117</v>
      </c>
      <c r="E46" s="4">
        <f>INDEX('Feed rations'!$W$5:$AA$17,MATCH(C46,'Feed rations'!$V$5:$V$17,0),MATCH(B46,'Feed rations'!$W$4:$AA$4,0))</f>
        <v>3.920189627777344</v>
      </c>
    </row>
    <row r="47" spans="1:8" x14ac:dyDescent="0.25">
      <c r="A47" t="s">
        <v>41</v>
      </c>
      <c r="B47" t="s">
        <v>47</v>
      </c>
      <c r="C47" t="s">
        <v>87</v>
      </c>
      <c r="D47" t="s">
        <v>117</v>
      </c>
      <c r="E47" s="4">
        <f>INDEX('Feed rations'!$W$5:$AA$17,MATCH(C47,'Feed rations'!$V$5:$V$17,0),MATCH(B47,'Feed rations'!$W$4:$AA$4,0))</f>
        <v>0</v>
      </c>
    </row>
    <row r="48" spans="1:8" x14ac:dyDescent="0.25">
      <c r="A48" t="s">
        <v>41</v>
      </c>
      <c r="B48" t="s">
        <v>47</v>
      </c>
      <c r="C48" t="s">
        <v>20</v>
      </c>
      <c r="D48" t="s">
        <v>117</v>
      </c>
      <c r="E48" s="4">
        <f>INDEX('Feed rations'!$W$5:$AA$17,MATCH(C48,'Feed rations'!$V$5:$V$17,0),MATCH(B48,'Feed rations'!$W$4:$AA$4,0))</f>
        <v>0</v>
      </c>
    </row>
    <row r="49" spans="1:5" x14ac:dyDescent="0.25">
      <c r="A49" t="s">
        <v>41</v>
      </c>
      <c r="B49" t="s">
        <v>47</v>
      </c>
      <c r="C49" t="s">
        <v>21</v>
      </c>
      <c r="D49" t="s">
        <v>117</v>
      </c>
      <c r="E49" s="4">
        <f>INDEX('Feed rations'!$W$5:$AA$17,MATCH(C49,'Feed rations'!$V$5:$V$17,0),MATCH(B49,'Feed rations'!$W$4:$AA$4,0))</f>
        <v>27.048006043083014</v>
      </c>
    </row>
    <row r="50" spans="1:5" x14ac:dyDescent="0.25">
      <c r="A50" t="s">
        <v>41</v>
      </c>
      <c r="B50" t="s">
        <v>47</v>
      </c>
      <c r="C50" t="s">
        <v>88</v>
      </c>
      <c r="D50" t="s">
        <v>117</v>
      </c>
      <c r="E50" s="4">
        <f>INDEX('Feed rations'!$W$5:$AA$17,MATCH(C50,'Feed rations'!$V$5:$V$17,0),MATCH(B50,'Feed rations'!$W$4:$AA$4,0))</f>
        <v>0</v>
      </c>
    </row>
    <row r="51" spans="1:5" x14ac:dyDescent="0.25">
      <c r="A51" t="s">
        <v>41</v>
      </c>
      <c r="B51" t="s">
        <v>47</v>
      </c>
      <c r="C51" t="s">
        <v>22</v>
      </c>
      <c r="D51" t="s">
        <v>117</v>
      </c>
      <c r="E51" s="4">
        <f>INDEX('Feed rations'!$W$5:$AA$17,MATCH(C51,'Feed rations'!$V$5:$V$17,0),MATCH(B51,'Feed rations'!$W$4:$AA$4,0))</f>
        <v>0</v>
      </c>
    </row>
    <row r="52" spans="1:5" x14ac:dyDescent="0.25">
      <c r="A52" t="s">
        <v>41</v>
      </c>
      <c r="B52" t="s">
        <v>47</v>
      </c>
      <c r="C52" t="s">
        <v>65</v>
      </c>
      <c r="D52" t="s">
        <v>117</v>
      </c>
      <c r="E52" s="4">
        <f>INDEX('Feed rations'!$W$5:$AA$17,MATCH(C52,'Feed rations'!$V$5:$V$17,0),MATCH(B52,'Feed rations'!$W$4:$AA$4,0))</f>
        <v>0</v>
      </c>
    </row>
    <row r="53" spans="1:5" x14ac:dyDescent="0.25">
      <c r="A53" t="s">
        <v>41</v>
      </c>
      <c r="B53" t="s">
        <v>47</v>
      </c>
      <c r="C53" t="s">
        <v>23</v>
      </c>
      <c r="D53" t="s">
        <v>117</v>
      </c>
      <c r="E53" s="4">
        <f>INDEX('Feed rations'!$W$5:$AA$17,MATCH(C53,'Feed rations'!$V$5:$V$17,0),MATCH(B53,'Feed rations'!$W$4:$AA$4,0))</f>
        <v>5.8607486129561623</v>
      </c>
    </row>
    <row r="54" spans="1:5" x14ac:dyDescent="0.25">
      <c r="A54" t="s">
        <v>41</v>
      </c>
      <c r="B54" t="s">
        <v>47</v>
      </c>
      <c r="C54" t="s">
        <v>97</v>
      </c>
      <c r="D54" t="s">
        <v>117</v>
      </c>
      <c r="E54" s="4">
        <f>INDEX('Feed rations'!$W$5:$AA$17,MATCH(C54,'Feed rations'!$V$5:$V$17,0),MATCH(B54,'Feed rations'!$W$4:$AA$4,0))</f>
        <v>0</v>
      </c>
    </row>
    <row r="55" spans="1:5" x14ac:dyDescent="0.25">
      <c r="A55" t="s">
        <v>41</v>
      </c>
      <c r="B55" t="s">
        <v>47</v>
      </c>
      <c r="C55" t="s">
        <v>27</v>
      </c>
      <c r="D55" t="s">
        <v>117</v>
      </c>
      <c r="E55" s="4">
        <f>INDEX('Feed rations'!$W$5:$AA$17,MATCH(C55,'Feed rations'!$V$5:$V$17,0),MATCH(B55,'Feed rations'!$W$4:$AA$4,0))</f>
        <v>0</v>
      </c>
    </row>
    <row r="56" spans="1:5" x14ac:dyDescent="0.25">
      <c r="A56" t="s">
        <v>41</v>
      </c>
      <c r="B56" t="s">
        <v>48</v>
      </c>
      <c r="C56" t="s">
        <v>17</v>
      </c>
      <c r="D56" t="s">
        <v>117</v>
      </c>
      <c r="E56" s="4">
        <f>INDEX('Feed rations'!$W$5:$AA$17,MATCH(C56,'Feed rations'!$V$5:$V$17,0),MATCH(B56,'Feed rations'!$W$4:$AA$4,0))</f>
        <v>52.05847593594973</v>
      </c>
    </row>
    <row r="57" spans="1:5" x14ac:dyDescent="0.25">
      <c r="A57" t="s">
        <v>41</v>
      </c>
      <c r="B57" t="s">
        <v>48</v>
      </c>
      <c r="C57" t="s">
        <v>19</v>
      </c>
      <c r="D57" t="s">
        <v>117</v>
      </c>
      <c r="E57" s="4">
        <f>INDEX('Feed rations'!$W$5:$AA$17,MATCH(C57,'Feed rations'!$V$5:$V$17,0),MATCH(B57,'Feed rations'!$W$4:$AA$4,0))</f>
        <v>1.3440650152379465</v>
      </c>
    </row>
    <row r="58" spans="1:5" x14ac:dyDescent="0.25">
      <c r="A58" t="s">
        <v>41</v>
      </c>
      <c r="B58" t="s">
        <v>48</v>
      </c>
      <c r="C58" t="s">
        <v>18</v>
      </c>
      <c r="D58" t="s">
        <v>117</v>
      </c>
      <c r="E58" s="4">
        <f>INDEX('Feed rations'!$W$5:$AA$17,MATCH(C58,'Feed rations'!$V$5:$V$17,0),MATCH(B58,'Feed rations'!$W$4:$AA$4,0))</f>
        <v>12.963626223585813</v>
      </c>
    </row>
    <row r="59" spans="1:5" x14ac:dyDescent="0.25">
      <c r="A59" t="s">
        <v>41</v>
      </c>
      <c r="B59" t="s">
        <v>48</v>
      </c>
      <c r="C59" t="s">
        <v>64</v>
      </c>
      <c r="D59" t="s">
        <v>117</v>
      </c>
      <c r="E59" s="4">
        <f>INDEX('Feed rations'!$W$5:$AA$17,MATCH(C59,'Feed rations'!$V$5:$V$17,0),MATCH(B59,'Feed rations'!$W$4:$AA$4,0))</f>
        <v>1.960094813888672</v>
      </c>
    </row>
    <row r="60" spans="1:5" x14ac:dyDescent="0.25">
      <c r="A60" t="s">
        <v>41</v>
      </c>
      <c r="B60" t="s">
        <v>48</v>
      </c>
      <c r="C60" t="s">
        <v>87</v>
      </c>
      <c r="D60" t="s">
        <v>117</v>
      </c>
      <c r="E60" s="4">
        <f>INDEX('Feed rations'!$W$5:$AA$17,MATCH(C60,'Feed rations'!$V$5:$V$17,0),MATCH(B60,'Feed rations'!$W$4:$AA$4,0))</f>
        <v>0</v>
      </c>
    </row>
    <row r="61" spans="1:5" x14ac:dyDescent="0.25">
      <c r="A61" t="s">
        <v>41</v>
      </c>
      <c r="B61" t="s">
        <v>48</v>
      </c>
      <c r="C61" t="s">
        <v>20</v>
      </c>
      <c r="D61" t="s">
        <v>117</v>
      </c>
      <c r="E61" s="4">
        <f>INDEX('Feed rations'!$W$5:$AA$17,MATCH(C61,'Feed rations'!$V$5:$V$17,0),MATCH(B61,'Feed rations'!$W$4:$AA$4,0))</f>
        <v>0</v>
      </c>
    </row>
    <row r="62" spans="1:5" x14ac:dyDescent="0.25">
      <c r="A62" t="s">
        <v>41</v>
      </c>
      <c r="B62" t="s">
        <v>48</v>
      </c>
      <c r="C62" t="s">
        <v>21</v>
      </c>
      <c r="D62" t="s">
        <v>117</v>
      </c>
      <c r="E62" s="4">
        <f>INDEX('Feed rations'!$W$5:$AA$17,MATCH(C62,'Feed rations'!$V$5:$V$17,0),MATCH(B62,'Feed rations'!$W$4:$AA$4,0))</f>
        <v>24.343208405260931</v>
      </c>
    </row>
    <row r="63" spans="1:5" x14ac:dyDescent="0.25">
      <c r="A63" t="s">
        <v>41</v>
      </c>
      <c r="B63" t="s">
        <v>48</v>
      </c>
      <c r="C63" t="s">
        <v>88</v>
      </c>
      <c r="D63" t="s">
        <v>117</v>
      </c>
      <c r="E63" s="4">
        <f>INDEX('Feed rations'!$W$5:$AA$17,MATCH(C63,'Feed rations'!$V$5:$V$17,0),MATCH(B63,'Feed rations'!$W$4:$AA$4,0))</f>
        <v>0</v>
      </c>
    </row>
    <row r="64" spans="1:5" x14ac:dyDescent="0.25">
      <c r="A64" t="s">
        <v>41</v>
      </c>
      <c r="B64" t="s">
        <v>48</v>
      </c>
      <c r="C64" t="s">
        <v>22</v>
      </c>
      <c r="D64" t="s">
        <v>117</v>
      </c>
      <c r="E64" s="4">
        <f>INDEX('Feed rations'!$W$5:$AA$17,MATCH(C64,'Feed rations'!$V$5:$V$17,0),MATCH(B64,'Feed rations'!$W$4:$AA$4,0))</f>
        <v>1.7471204866054095</v>
      </c>
    </row>
    <row r="65" spans="1:5" x14ac:dyDescent="0.25">
      <c r="A65" t="s">
        <v>41</v>
      </c>
      <c r="B65" t="s">
        <v>48</v>
      </c>
      <c r="C65" t="s">
        <v>65</v>
      </c>
      <c r="D65" t="s">
        <v>117</v>
      </c>
      <c r="E65" s="4">
        <f>INDEX('Feed rations'!$W$5:$AA$17,MATCH(C65,'Feed rations'!$V$5:$V$17,0),MATCH(B65,'Feed rations'!$W$4:$AA$4,0))</f>
        <v>0</v>
      </c>
    </row>
    <row r="66" spans="1:5" x14ac:dyDescent="0.25">
      <c r="A66" t="s">
        <v>41</v>
      </c>
      <c r="B66" t="s">
        <v>48</v>
      </c>
      <c r="C66" t="s">
        <v>23</v>
      </c>
      <c r="D66" t="s">
        <v>117</v>
      </c>
      <c r="E66" s="4">
        <f>INDEX('Feed rations'!$W$5:$AA$17,MATCH(C66,'Feed rations'!$V$5:$V$17,0),MATCH(B66,'Feed rations'!$W$4:$AA$4,0))</f>
        <v>5.5834091194714803</v>
      </c>
    </row>
    <row r="67" spans="1:5" x14ac:dyDescent="0.25">
      <c r="A67" t="s">
        <v>41</v>
      </c>
      <c r="B67" t="s">
        <v>48</v>
      </c>
      <c r="C67" t="s">
        <v>97</v>
      </c>
      <c r="D67" t="s">
        <v>117</v>
      </c>
      <c r="E67" s="4">
        <f>INDEX('Feed rations'!$W$5:$AA$17,MATCH(C67,'Feed rations'!$V$5:$V$17,0),MATCH(B67,'Feed rations'!$W$4:$AA$4,0))</f>
        <v>0</v>
      </c>
    </row>
    <row r="68" spans="1:5" x14ac:dyDescent="0.25">
      <c r="A68" t="s">
        <v>41</v>
      </c>
      <c r="B68" t="s">
        <v>48</v>
      </c>
      <c r="C68" t="s">
        <v>27</v>
      </c>
      <c r="D68" t="s">
        <v>117</v>
      </c>
      <c r="E68" s="4">
        <f>INDEX('Feed rations'!$W$5:$AA$17,MATCH(C68,'Feed rations'!$V$5:$V$17,0),MATCH(B68,'Feed rations'!$W$4:$AA$4,0))</f>
        <v>0</v>
      </c>
    </row>
    <row r="69" spans="1:5" x14ac:dyDescent="0.25">
      <c r="A69" t="s">
        <v>41</v>
      </c>
      <c r="B69" t="s">
        <v>49</v>
      </c>
      <c r="C69" t="s">
        <v>17</v>
      </c>
      <c r="D69" t="s">
        <v>117</v>
      </c>
      <c r="E69" s="4">
        <f>INDEX('Feed rations'!$W$5:$AA$17,MATCH(C69,'Feed rations'!$V$5:$V$17,0),MATCH(B69,'Feed rations'!$W$4:$AA$4,0))</f>
        <v>55.910178622144024</v>
      </c>
    </row>
    <row r="70" spans="1:5" x14ac:dyDescent="0.25">
      <c r="A70" t="s">
        <v>41</v>
      </c>
      <c r="B70" t="s">
        <v>49</v>
      </c>
      <c r="C70" t="s">
        <v>19</v>
      </c>
      <c r="D70" t="s">
        <v>117</v>
      </c>
      <c r="E70" s="4">
        <f>INDEX('Feed rations'!$W$5:$AA$17,MATCH(C70,'Feed rations'!$V$5:$V$17,0),MATCH(B70,'Feed rations'!$W$4:$AA$4,0))</f>
        <v>1.3475047658841042</v>
      </c>
    </row>
    <row r="71" spans="1:5" x14ac:dyDescent="0.25">
      <c r="A71" t="s">
        <v>41</v>
      </c>
      <c r="B71" t="s">
        <v>49</v>
      </c>
      <c r="C71" t="s">
        <v>18</v>
      </c>
      <c r="D71" t="s">
        <v>117</v>
      </c>
      <c r="E71" s="4">
        <f>INDEX('Feed rations'!$W$5:$AA$17,MATCH(C71,'Feed rations'!$V$5:$V$17,0),MATCH(B71,'Feed rations'!$W$4:$AA$4,0))</f>
        <v>9.5448254250124034</v>
      </c>
    </row>
    <row r="72" spans="1:5" x14ac:dyDescent="0.25">
      <c r="A72" t="s">
        <v>41</v>
      </c>
      <c r="B72" t="s">
        <v>49</v>
      </c>
      <c r="C72" t="s">
        <v>64</v>
      </c>
      <c r="D72" t="s">
        <v>117</v>
      </c>
      <c r="E72" s="4">
        <f>INDEX('Feed rations'!$W$5:$AA$17,MATCH(C72,'Feed rations'!$V$5:$V$17,0),MATCH(B72,'Feed rations'!$W$4:$AA$4,0))</f>
        <v>3.2003238189747476</v>
      </c>
    </row>
    <row r="73" spans="1:5" x14ac:dyDescent="0.25">
      <c r="A73" t="s">
        <v>41</v>
      </c>
      <c r="B73" t="s">
        <v>49</v>
      </c>
      <c r="C73" t="s">
        <v>87</v>
      </c>
      <c r="D73" t="s">
        <v>117</v>
      </c>
      <c r="E73" s="4">
        <f>INDEX('Feed rations'!$W$5:$AA$17,MATCH(C73,'Feed rations'!$V$5:$V$17,0),MATCH(B73,'Feed rations'!$W$4:$AA$4,0))</f>
        <v>0</v>
      </c>
    </row>
    <row r="74" spans="1:5" x14ac:dyDescent="0.25">
      <c r="A74" t="s">
        <v>41</v>
      </c>
      <c r="B74" t="s">
        <v>49</v>
      </c>
      <c r="C74" t="s">
        <v>20</v>
      </c>
      <c r="D74" t="s">
        <v>117</v>
      </c>
      <c r="E74" s="4">
        <f>INDEX('Feed rations'!$W$5:$AA$17,MATCH(C74,'Feed rations'!$V$5:$V$17,0),MATCH(B74,'Feed rations'!$W$4:$AA$4,0))</f>
        <v>0</v>
      </c>
    </row>
    <row r="75" spans="1:5" x14ac:dyDescent="0.25">
      <c r="A75" t="s">
        <v>41</v>
      </c>
      <c r="B75" t="s">
        <v>49</v>
      </c>
      <c r="C75" t="s">
        <v>21</v>
      </c>
      <c r="D75" t="s">
        <v>117</v>
      </c>
      <c r="E75" s="4">
        <f>INDEX('Feed rations'!$W$5:$AA$17,MATCH(C75,'Feed rations'!$V$5:$V$17,0),MATCH(B75,'Feed rations'!$W$4:$AA$4,0))</f>
        <v>21.742772443376154</v>
      </c>
    </row>
    <row r="76" spans="1:5" x14ac:dyDescent="0.25">
      <c r="A76" t="s">
        <v>41</v>
      </c>
      <c r="B76" t="s">
        <v>49</v>
      </c>
      <c r="C76" t="s">
        <v>88</v>
      </c>
      <c r="D76" t="s">
        <v>117</v>
      </c>
      <c r="E76" s="4">
        <f>INDEX('Feed rations'!$W$5:$AA$17,MATCH(C76,'Feed rations'!$V$5:$V$17,0),MATCH(B76,'Feed rations'!$W$4:$AA$4,0))</f>
        <v>0</v>
      </c>
    </row>
    <row r="77" spans="1:5" x14ac:dyDescent="0.25">
      <c r="A77" t="s">
        <v>41</v>
      </c>
      <c r="B77" t="s">
        <v>49</v>
      </c>
      <c r="C77" t="s">
        <v>22</v>
      </c>
      <c r="D77" t="s">
        <v>117</v>
      </c>
      <c r="E77" s="4">
        <f>INDEX('Feed rations'!$W$5:$AA$17,MATCH(C77,'Feed rations'!$V$5:$V$17,0),MATCH(B77,'Feed rations'!$W$4:$AA$4,0))</f>
        <v>1.3343217197924386</v>
      </c>
    </row>
    <row r="78" spans="1:5" x14ac:dyDescent="0.25">
      <c r="A78" t="s">
        <v>41</v>
      </c>
      <c r="B78" t="s">
        <v>49</v>
      </c>
      <c r="C78" t="s">
        <v>65</v>
      </c>
      <c r="D78" t="s">
        <v>117</v>
      </c>
      <c r="E78" s="4">
        <f>INDEX('Feed rations'!$W$5:$AA$17,MATCH(C78,'Feed rations'!$V$5:$V$17,0),MATCH(B78,'Feed rations'!$W$4:$AA$4,0))</f>
        <v>1.3788420860209438</v>
      </c>
    </row>
    <row r="79" spans="1:5" x14ac:dyDescent="0.25">
      <c r="A79" t="s">
        <v>41</v>
      </c>
      <c r="B79" t="s">
        <v>49</v>
      </c>
      <c r="C79" t="s">
        <v>23</v>
      </c>
      <c r="D79" t="s">
        <v>117</v>
      </c>
      <c r="E79" s="4">
        <f>INDEX('Feed rations'!$W$5:$AA$17,MATCH(C79,'Feed rations'!$V$5:$V$17,0),MATCH(B79,'Feed rations'!$W$4:$AA$4,0))</f>
        <v>5.5412311187951762</v>
      </c>
    </row>
    <row r="80" spans="1:5" x14ac:dyDescent="0.25">
      <c r="A80" t="s">
        <v>41</v>
      </c>
      <c r="B80" t="s">
        <v>49</v>
      </c>
      <c r="C80" t="s">
        <v>97</v>
      </c>
      <c r="D80" t="s">
        <v>117</v>
      </c>
      <c r="E80" s="4">
        <f>INDEX('Feed rations'!$W$5:$AA$17,MATCH(C80,'Feed rations'!$V$5:$V$17,0),MATCH(B80,'Feed rations'!$W$4:$AA$4,0))</f>
        <v>0</v>
      </c>
    </row>
    <row r="81" spans="1:5" x14ac:dyDescent="0.25">
      <c r="A81" t="s">
        <v>41</v>
      </c>
      <c r="B81" t="s">
        <v>49</v>
      </c>
      <c r="C81" t="s">
        <v>27</v>
      </c>
      <c r="D81" t="s">
        <v>117</v>
      </c>
      <c r="E81" s="4">
        <f>INDEX('Feed rations'!$W$5:$AA$17,MATCH(C81,'Feed rations'!$V$5:$V$17,0),MATCH(B81,'Feed rations'!$W$4:$AA$4,0))</f>
        <v>0</v>
      </c>
    </row>
    <row r="82" spans="1:5" x14ac:dyDescent="0.25">
      <c r="A82" t="s">
        <v>41</v>
      </c>
      <c r="B82" t="s">
        <v>50</v>
      </c>
      <c r="C82" t="s">
        <v>17</v>
      </c>
      <c r="D82" t="s">
        <v>117</v>
      </c>
      <c r="E82" s="4">
        <f>INDEX('Feed rations'!$W$5:$AA$17,MATCH(C82,'Feed rations'!$V$5:$V$17,0),MATCH(B82,'Feed rations'!$W$4:$AA$4,0))</f>
        <v>58.797927209288808</v>
      </c>
    </row>
    <row r="83" spans="1:5" x14ac:dyDescent="0.25">
      <c r="A83" t="s">
        <v>41</v>
      </c>
      <c r="B83" t="s">
        <v>50</v>
      </c>
      <c r="C83" t="s">
        <v>19</v>
      </c>
      <c r="D83" t="s">
        <v>117</v>
      </c>
      <c r="E83" s="4">
        <f>INDEX('Feed rations'!$W$5:$AA$17,MATCH(C83,'Feed rations'!$V$5:$V$17,0),MATCH(B83,'Feed rations'!$W$4:$AA$4,0))</f>
        <v>1.3523075713499491</v>
      </c>
    </row>
    <row r="84" spans="1:5" x14ac:dyDescent="0.25">
      <c r="A84" t="s">
        <v>41</v>
      </c>
      <c r="B84" t="s">
        <v>50</v>
      </c>
      <c r="C84" t="s">
        <v>18</v>
      </c>
      <c r="D84" t="s">
        <v>117</v>
      </c>
      <c r="E84" s="4">
        <f>INDEX('Feed rations'!$W$5:$AA$17,MATCH(C84,'Feed rations'!$V$5:$V$17,0),MATCH(B84,'Feed rations'!$W$4:$AA$4,0))</f>
        <v>8.4519223209371823</v>
      </c>
    </row>
    <row r="85" spans="1:5" x14ac:dyDescent="0.25">
      <c r="A85" t="s">
        <v>41</v>
      </c>
      <c r="B85" t="s">
        <v>50</v>
      </c>
      <c r="C85" t="s">
        <v>64</v>
      </c>
      <c r="D85" t="s">
        <v>117</v>
      </c>
      <c r="E85" s="4">
        <f>INDEX('Feed rations'!$W$5:$AA$17,MATCH(C85,'Feed rations'!$V$5:$V$17,0),MATCH(B85,'Feed rations'!$W$4:$AA$4,0))</f>
        <v>2.1974998034436672</v>
      </c>
    </row>
    <row r="86" spans="1:5" x14ac:dyDescent="0.25">
      <c r="A86" t="s">
        <v>41</v>
      </c>
      <c r="B86" t="s">
        <v>50</v>
      </c>
      <c r="C86" t="s">
        <v>87</v>
      </c>
      <c r="D86" t="s">
        <v>117</v>
      </c>
      <c r="E86" s="4">
        <f>INDEX('Feed rations'!$W$5:$AA$17,MATCH(C86,'Feed rations'!$V$5:$V$17,0),MATCH(B86,'Feed rations'!$W$4:$AA$4,0))</f>
        <v>0</v>
      </c>
    </row>
    <row r="87" spans="1:5" x14ac:dyDescent="0.25">
      <c r="A87" t="s">
        <v>41</v>
      </c>
      <c r="B87" t="s">
        <v>50</v>
      </c>
      <c r="C87" t="s">
        <v>20</v>
      </c>
      <c r="D87" t="s">
        <v>117</v>
      </c>
      <c r="E87" s="4">
        <f>INDEX('Feed rations'!$W$5:$AA$17,MATCH(C87,'Feed rations'!$V$5:$V$17,0),MATCH(B87,'Feed rations'!$W$4:$AA$4,0))</f>
        <v>0</v>
      </c>
    </row>
    <row r="88" spans="1:5" x14ac:dyDescent="0.25">
      <c r="A88" t="s">
        <v>41</v>
      </c>
      <c r="B88" t="s">
        <v>50</v>
      </c>
      <c r="C88" t="s">
        <v>21</v>
      </c>
      <c r="D88" t="s">
        <v>117</v>
      </c>
      <c r="E88" s="4">
        <f>INDEX('Feed rations'!$W$5:$AA$17,MATCH(C88,'Feed rations'!$V$5:$V$17,0),MATCH(B88,'Feed rations'!$W$4:$AA$4,0))</f>
        <v>19.824838165705017</v>
      </c>
    </row>
    <row r="89" spans="1:5" x14ac:dyDescent="0.25">
      <c r="A89" t="s">
        <v>41</v>
      </c>
      <c r="B89" t="s">
        <v>50</v>
      </c>
      <c r="C89" t="s">
        <v>88</v>
      </c>
      <c r="D89" t="s">
        <v>117</v>
      </c>
      <c r="E89" s="4">
        <f>INDEX('Feed rations'!$W$5:$AA$17,MATCH(C89,'Feed rations'!$V$5:$V$17,0),MATCH(B89,'Feed rations'!$W$4:$AA$4,0))</f>
        <v>0</v>
      </c>
    </row>
    <row r="90" spans="1:5" x14ac:dyDescent="0.25">
      <c r="A90" t="s">
        <v>41</v>
      </c>
      <c r="B90" t="s">
        <v>50</v>
      </c>
      <c r="C90" t="s">
        <v>22</v>
      </c>
      <c r="D90" t="s">
        <v>117</v>
      </c>
      <c r="E90" s="4">
        <f>INDEX('Feed rations'!$W$5:$AA$17,MATCH(C90,'Feed rations'!$V$5:$V$17,0),MATCH(B90,'Feed rations'!$W$4:$AA$4,0))</f>
        <v>1.3343217197924386</v>
      </c>
    </row>
    <row r="91" spans="1:5" x14ac:dyDescent="0.25">
      <c r="A91" t="s">
        <v>41</v>
      </c>
      <c r="B91" t="s">
        <v>50</v>
      </c>
      <c r="C91" t="s">
        <v>65</v>
      </c>
      <c r="D91" t="s">
        <v>117</v>
      </c>
      <c r="E91" s="4">
        <f>INDEX('Feed rations'!$W$5:$AA$17,MATCH(C91,'Feed rations'!$V$5:$V$17,0),MATCH(B91,'Feed rations'!$W$4:$AA$4,0))</f>
        <v>2.8828262179940776</v>
      </c>
    </row>
    <row r="92" spans="1:5" x14ac:dyDescent="0.25">
      <c r="A92" t="s">
        <v>41</v>
      </c>
      <c r="B92" t="s">
        <v>50</v>
      </c>
      <c r="C92" t="s">
        <v>23</v>
      </c>
      <c r="D92" t="s">
        <v>117</v>
      </c>
      <c r="E92" s="4">
        <f>INDEX('Feed rations'!$W$5:$AA$17,MATCH(C92,'Feed rations'!$V$5:$V$17,0),MATCH(B92,'Feed rations'!$W$4:$AA$4,0))</f>
        <v>5.1583569914888532</v>
      </c>
    </row>
    <row r="93" spans="1:5" x14ac:dyDescent="0.25">
      <c r="A93" t="s">
        <v>41</v>
      </c>
      <c r="B93" t="s">
        <v>50</v>
      </c>
      <c r="C93" t="s">
        <v>97</v>
      </c>
      <c r="D93" t="s">
        <v>117</v>
      </c>
      <c r="E93" s="4">
        <f>INDEX('Feed rations'!$W$5:$AA$17,MATCH(C93,'Feed rations'!$V$5:$V$17,0),MATCH(B93,'Feed rations'!$W$4:$AA$4,0))</f>
        <v>0</v>
      </c>
    </row>
    <row r="94" spans="1:5" x14ac:dyDescent="0.25">
      <c r="A94" t="s">
        <v>41</v>
      </c>
      <c r="B94" t="s">
        <v>50</v>
      </c>
      <c r="C94" t="s">
        <v>27</v>
      </c>
      <c r="D94" t="s">
        <v>117</v>
      </c>
      <c r="E94" s="4">
        <f>INDEX('Feed rations'!$W$5:$AA$17,MATCH(C94,'Feed rations'!$V$5:$V$17,0),MATCH(B94,'Feed rations'!$W$4:$AA$4,0))</f>
        <v>0</v>
      </c>
    </row>
    <row r="95" spans="1:5" x14ac:dyDescent="0.25">
      <c r="A95" t="s">
        <v>41</v>
      </c>
      <c r="B95" t="s">
        <v>94</v>
      </c>
      <c r="C95" t="s">
        <v>17</v>
      </c>
      <c r="D95" t="s">
        <v>117</v>
      </c>
      <c r="E95" s="4">
        <f>INDEX('Feed rations'!$W$5:$AA$17,MATCH(C95,'Feed rations'!$V$5:$V$17,0),MATCH(B95,'Feed rations'!$W$4:$AA$4,0))</f>
        <v>58.797927209288808</v>
      </c>
    </row>
    <row r="96" spans="1:5" x14ac:dyDescent="0.25">
      <c r="A96" t="s">
        <v>41</v>
      </c>
      <c r="B96" t="s">
        <v>94</v>
      </c>
      <c r="C96" t="s">
        <v>19</v>
      </c>
      <c r="D96" t="s">
        <v>117</v>
      </c>
      <c r="E96" s="4">
        <f>INDEX('Feed rations'!$W$5:$AA$17,MATCH(C96,'Feed rations'!$V$5:$V$17,0),MATCH(B96,'Feed rations'!$W$4:$AA$4,0))</f>
        <v>1.3523075713499491</v>
      </c>
    </row>
    <row r="97" spans="1:5" x14ac:dyDescent="0.25">
      <c r="A97" t="s">
        <v>41</v>
      </c>
      <c r="B97" t="s">
        <v>94</v>
      </c>
      <c r="C97" t="s">
        <v>18</v>
      </c>
      <c r="D97" t="s">
        <v>117</v>
      </c>
      <c r="E97" s="4">
        <f>INDEX('Feed rations'!$W$5:$AA$17,MATCH(C97,'Feed rations'!$V$5:$V$17,0),MATCH(B97,'Feed rations'!$W$4:$AA$4,0))</f>
        <v>8.4519223209371823</v>
      </c>
    </row>
    <row r="98" spans="1:5" x14ac:dyDescent="0.25">
      <c r="A98" t="s">
        <v>41</v>
      </c>
      <c r="B98" t="s">
        <v>94</v>
      </c>
      <c r="C98" t="s">
        <v>64</v>
      </c>
      <c r="D98" t="s">
        <v>117</v>
      </c>
      <c r="E98" s="4">
        <f>INDEX('Feed rations'!$W$5:$AA$17,MATCH(C98,'Feed rations'!$V$5:$V$17,0),MATCH(B98,'Feed rations'!$W$4:$AA$4,0))</f>
        <v>2.1974998034436672</v>
      </c>
    </row>
    <row r="99" spans="1:5" x14ac:dyDescent="0.25">
      <c r="A99" t="s">
        <v>41</v>
      </c>
      <c r="B99" t="s">
        <v>94</v>
      </c>
      <c r="C99" t="s">
        <v>87</v>
      </c>
      <c r="D99" t="s">
        <v>117</v>
      </c>
      <c r="E99" s="4">
        <f>INDEX('Feed rations'!$W$5:$AA$17,MATCH(C99,'Feed rations'!$V$5:$V$17,0),MATCH(B99,'Feed rations'!$W$4:$AA$4,0))</f>
        <v>0</v>
      </c>
    </row>
    <row r="100" spans="1:5" x14ac:dyDescent="0.25">
      <c r="A100" t="s">
        <v>41</v>
      </c>
      <c r="B100" t="s">
        <v>94</v>
      </c>
      <c r="C100" t="s">
        <v>20</v>
      </c>
      <c r="D100" t="s">
        <v>117</v>
      </c>
      <c r="E100" s="4">
        <f>INDEX('Feed rations'!$W$5:$AA$17,MATCH(C100,'Feed rations'!$V$5:$V$17,0),MATCH(B100,'Feed rations'!$W$4:$AA$4,0))</f>
        <v>0</v>
      </c>
    </row>
    <row r="101" spans="1:5" x14ac:dyDescent="0.25">
      <c r="A101" t="s">
        <v>41</v>
      </c>
      <c r="B101" t="s">
        <v>94</v>
      </c>
      <c r="C101" t="s">
        <v>21</v>
      </c>
      <c r="D101" t="s">
        <v>117</v>
      </c>
      <c r="E101" s="4">
        <f>INDEX('Feed rations'!$W$5:$AA$17,MATCH(C101,'Feed rations'!$V$5:$V$17,0),MATCH(B101,'Feed rations'!$W$4:$AA$4,0))</f>
        <v>19.824838165705017</v>
      </c>
    </row>
    <row r="102" spans="1:5" x14ac:dyDescent="0.25">
      <c r="A102" t="s">
        <v>41</v>
      </c>
      <c r="B102" t="s">
        <v>94</v>
      </c>
      <c r="C102" t="s">
        <v>88</v>
      </c>
      <c r="D102" t="s">
        <v>117</v>
      </c>
      <c r="E102" s="4">
        <f>INDEX('Feed rations'!$W$5:$AA$17,MATCH(C102,'Feed rations'!$V$5:$V$17,0),MATCH(B102,'Feed rations'!$W$4:$AA$4,0))</f>
        <v>0</v>
      </c>
    </row>
    <row r="103" spans="1:5" x14ac:dyDescent="0.25">
      <c r="A103" t="s">
        <v>41</v>
      </c>
      <c r="B103" t="s">
        <v>94</v>
      </c>
      <c r="C103" t="s">
        <v>22</v>
      </c>
      <c r="D103" t="s">
        <v>117</v>
      </c>
      <c r="E103" s="4">
        <f>INDEX('Feed rations'!$W$5:$AA$17,MATCH(C103,'Feed rations'!$V$5:$V$17,0),MATCH(B103,'Feed rations'!$W$4:$AA$4,0))</f>
        <v>1.3343217197924386</v>
      </c>
    </row>
    <row r="104" spans="1:5" x14ac:dyDescent="0.25">
      <c r="A104" t="s">
        <v>41</v>
      </c>
      <c r="B104" t="s">
        <v>94</v>
      </c>
      <c r="C104" t="s">
        <v>65</v>
      </c>
      <c r="D104" t="s">
        <v>117</v>
      </c>
      <c r="E104" s="4">
        <f>INDEX('Feed rations'!$W$5:$AA$17,MATCH(C104,'Feed rations'!$V$5:$V$17,0),MATCH(B104,'Feed rations'!$W$4:$AA$4,0))</f>
        <v>2.8828262179940776</v>
      </c>
    </row>
    <row r="105" spans="1:5" x14ac:dyDescent="0.25">
      <c r="A105" t="s">
        <v>41</v>
      </c>
      <c r="B105" t="s">
        <v>94</v>
      </c>
      <c r="C105" t="s">
        <v>23</v>
      </c>
      <c r="D105" t="s">
        <v>117</v>
      </c>
      <c r="E105" s="4">
        <f>INDEX('Feed rations'!$W$5:$AA$17,MATCH(C105,'Feed rations'!$V$5:$V$17,0),MATCH(B105,'Feed rations'!$W$4:$AA$4,0))</f>
        <v>5.1583569914888532</v>
      </c>
    </row>
    <row r="106" spans="1:5" x14ac:dyDescent="0.25">
      <c r="A106" t="s">
        <v>41</v>
      </c>
      <c r="B106" t="s">
        <v>94</v>
      </c>
      <c r="C106" t="s">
        <v>97</v>
      </c>
      <c r="D106" t="s">
        <v>117</v>
      </c>
      <c r="E106" s="4">
        <f>INDEX('Feed rations'!$W$5:$AA$17,MATCH(C106,'Feed rations'!$V$5:$V$17,0),MATCH(B106,'Feed rations'!$W$4:$AA$4,0))</f>
        <v>0</v>
      </c>
    </row>
    <row r="107" spans="1:5" x14ac:dyDescent="0.25">
      <c r="A107" t="s">
        <v>41</v>
      </c>
      <c r="B107" t="s">
        <v>94</v>
      </c>
      <c r="C107" t="s">
        <v>27</v>
      </c>
      <c r="D107" t="s">
        <v>117</v>
      </c>
      <c r="E107" s="4">
        <f>INDEX('Feed rations'!$W$5:$AA$17,MATCH(C107,'Feed rations'!$V$5:$V$17,0),MATCH(B107,'Feed rations'!$W$4:$AA$4,0))</f>
        <v>0</v>
      </c>
    </row>
    <row r="108" spans="1:5" x14ac:dyDescent="0.25">
      <c r="E108" s="4"/>
    </row>
    <row r="109" spans="1:5" x14ac:dyDescent="0.25">
      <c r="A109" t="s">
        <v>42</v>
      </c>
      <c r="B109" t="s">
        <v>47</v>
      </c>
      <c r="C109" t="s">
        <v>17</v>
      </c>
      <c r="D109" t="s">
        <v>117</v>
      </c>
      <c r="E109" s="4">
        <f>INDEX('Feed rations'!$AB$5:$AF$17,MATCH(C109,'Feed rations'!$V$5:$V$17,0),MATCH(B109,'Feed rations'!$AB$4:$AF$4,0))</f>
        <v>43.682112995233247</v>
      </c>
    </row>
    <row r="110" spans="1:5" x14ac:dyDescent="0.25">
      <c r="A110" t="s">
        <v>42</v>
      </c>
      <c r="B110" t="s">
        <v>47</v>
      </c>
      <c r="C110" t="s">
        <v>19</v>
      </c>
      <c r="D110" t="s">
        <v>117</v>
      </c>
      <c r="E110" s="4">
        <f>INDEX('Feed rations'!$AB$5:$AF$17,MATCH(C110,'Feed rations'!$V$5:$V$17,0),MATCH(B110,'Feed rations'!$AB$4:$AF$4,0))</f>
        <v>2.6881300304758931</v>
      </c>
    </row>
    <row r="111" spans="1:5" x14ac:dyDescent="0.25">
      <c r="A111" t="s">
        <v>42</v>
      </c>
      <c r="B111" t="s">
        <v>47</v>
      </c>
      <c r="C111" t="s">
        <v>18</v>
      </c>
      <c r="D111" t="s">
        <v>117</v>
      </c>
      <c r="E111" s="4">
        <f>INDEX('Feed rations'!$AB$5:$AF$17,MATCH(C111,'Feed rations'!$V$5:$V$17,0),MATCH(B111,'Feed rations'!$AB$4:$AF$4,0))</f>
        <v>16.800812690474331</v>
      </c>
    </row>
    <row r="112" spans="1:5" x14ac:dyDescent="0.25">
      <c r="A112" t="s">
        <v>42</v>
      </c>
      <c r="B112" t="s">
        <v>47</v>
      </c>
      <c r="C112" t="s">
        <v>64</v>
      </c>
      <c r="D112" t="s">
        <v>117</v>
      </c>
      <c r="E112" s="4">
        <f>INDEX('Feed rations'!$AB$5:$AF$17,MATCH(C112,'Feed rations'!$V$5:$V$17,0),MATCH(B112,'Feed rations'!$AB$4:$AF$4,0))</f>
        <v>3.920189627777344</v>
      </c>
    </row>
    <row r="113" spans="1:5" x14ac:dyDescent="0.25">
      <c r="A113" t="s">
        <v>42</v>
      </c>
      <c r="B113" t="s">
        <v>47</v>
      </c>
      <c r="C113" t="s">
        <v>87</v>
      </c>
      <c r="D113" t="s">
        <v>117</v>
      </c>
      <c r="E113" s="4">
        <f>INDEX('Feed rations'!$AB$5:$AF$17,MATCH(C113,'Feed rations'!$V$5:$V$17,0),MATCH(B113,'Feed rations'!$AB$4:$AF$4,0))</f>
        <v>0</v>
      </c>
    </row>
    <row r="114" spans="1:5" x14ac:dyDescent="0.25">
      <c r="A114" t="s">
        <v>42</v>
      </c>
      <c r="B114" t="s">
        <v>47</v>
      </c>
      <c r="C114" t="s">
        <v>20</v>
      </c>
      <c r="D114" t="s">
        <v>117</v>
      </c>
      <c r="E114" s="4">
        <f>INDEX('Feed rations'!$AB$5:$AF$17,MATCH(C114,'Feed rations'!$V$5:$V$17,0),MATCH(B114,'Feed rations'!$AB$4:$AF$4,0))</f>
        <v>0</v>
      </c>
    </row>
    <row r="115" spans="1:5" x14ac:dyDescent="0.25">
      <c r="A115" t="s">
        <v>42</v>
      </c>
      <c r="B115" t="s">
        <v>47</v>
      </c>
      <c r="C115" t="s">
        <v>21</v>
      </c>
      <c r="D115" t="s">
        <v>117</v>
      </c>
      <c r="E115" s="4">
        <f>INDEX('Feed rations'!$AB$5:$AF$17,MATCH(C115,'Feed rations'!$V$5:$V$17,0),MATCH(B115,'Feed rations'!$AB$4:$AF$4,0))</f>
        <v>27.048006043083014</v>
      </c>
    </row>
    <row r="116" spans="1:5" x14ac:dyDescent="0.25">
      <c r="A116" t="s">
        <v>42</v>
      </c>
      <c r="B116" t="s">
        <v>47</v>
      </c>
      <c r="C116" t="s">
        <v>88</v>
      </c>
      <c r="D116" t="s">
        <v>117</v>
      </c>
      <c r="E116" s="4">
        <f>INDEX('Feed rations'!$AB$5:$AF$17,MATCH(C116,'Feed rations'!$V$5:$V$17,0),MATCH(B116,'Feed rations'!$AB$4:$AF$4,0))</f>
        <v>0</v>
      </c>
    </row>
    <row r="117" spans="1:5" x14ac:dyDescent="0.25">
      <c r="A117" t="s">
        <v>42</v>
      </c>
      <c r="B117" t="s">
        <v>47</v>
      </c>
      <c r="C117" t="s">
        <v>22</v>
      </c>
      <c r="D117" t="s">
        <v>117</v>
      </c>
      <c r="E117" s="4">
        <f>INDEX('Feed rations'!$AB$5:$AF$17,MATCH(C117,'Feed rations'!$V$5:$V$17,0),MATCH(B117,'Feed rations'!$AB$4:$AF$4,0))</f>
        <v>0</v>
      </c>
    </row>
    <row r="118" spans="1:5" x14ac:dyDescent="0.25">
      <c r="A118" t="s">
        <v>42</v>
      </c>
      <c r="B118" t="s">
        <v>47</v>
      </c>
      <c r="C118" t="s">
        <v>65</v>
      </c>
      <c r="D118" t="s">
        <v>117</v>
      </c>
      <c r="E118" s="4">
        <f>INDEX('Feed rations'!$AB$5:$AF$17,MATCH(C118,'Feed rations'!$V$5:$V$17,0),MATCH(B118,'Feed rations'!$AB$4:$AF$4,0))</f>
        <v>0</v>
      </c>
    </row>
    <row r="119" spans="1:5" x14ac:dyDescent="0.25">
      <c r="A119" t="s">
        <v>42</v>
      </c>
      <c r="B119" t="s">
        <v>47</v>
      </c>
      <c r="C119" t="s">
        <v>23</v>
      </c>
      <c r="D119" t="s">
        <v>117</v>
      </c>
      <c r="E119" s="4">
        <f>INDEX('Feed rations'!$AB$5:$AF$17,MATCH(C119,'Feed rations'!$V$5:$V$17,0),MATCH(B119,'Feed rations'!$AB$4:$AF$4,0))</f>
        <v>5.8607486129561623</v>
      </c>
    </row>
    <row r="120" spans="1:5" x14ac:dyDescent="0.25">
      <c r="A120" t="s">
        <v>42</v>
      </c>
      <c r="B120" t="s">
        <v>47</v>
      </c>
      <c r="C120" t="s">
        <v>97</v>
      </c>
      <c r="D120" t="s">
        <v>117</v>
      </c>
      <c r="E120" s="4">
        <f>INDEX('Feed rations'!$AB$5:$AF$17,MATCH(C120,'Feed rations'!$V$5:$V$17,0),MATCH(B120,'Feed rations'!$AB$4:$AF$4,0))</f>
        <v>0</v>
      </c>
    </row>
    <row r="121" spans="1:5" x14ac:dyDescent="0.25">
      <c r="A121" t="s">
        <v>42</v>
      </c>
      <c r="B121" t="s">
        <v>47</v>
      </c>
      <c r="C121" t="s">
        <v>27</v>
      </c>
      <c r="D121" t="s">
        <v>117</v>
      </c>
      <c r="E121" s="4">
        <f>INDEX('Feed rations'!$AB$5:$AF$17,MATCH(C121,'Feed rations'!$V$5:$V$17,0),MATCH(B121,'Feed rations'!$AB$4:$AF$4,0))</f>
        <v>0</v>
      </c>
    </row>
    <row r="122" spans="1:5" x14ac:dyDescent="0.25">
      <c r="A122" t="s">
        <v>42</v>
      </c>
      <c r="B122" t="s">
        <v>48</v>
      </c>
      <c r="C122" t="s">
        <v>17</v>
      </c>
      <c r="D122" t="s">
        <v>117</v>
      </c>
      <c r="E122" s="4">
        <f>INDEX('Feed rations'!$AB$5:$AF$17,MATCH(C122,'Feed rations'!$V$5:$V$17,0),MATCH(B122,'Feed rations'!$AB$4:$AF$4,0))</f>
        <v>58.016195973989106</v>
      </c>
    </row>
    <row r="123" spans="1:5" x14ac:dyDescent="0.25">
      <c r="A123" t="s">
        <v>42</v>
      </c>
      <c r="B123" t="s">
        <v>48</v>
      </c>
      <c r="C123" t="s">
        <v>19</v>
      </c>
      <c r="D123" t="s">
        <v>117</v>
      </c>
      <c r="E123" s="4">
        <f>INDEX('Feed rations'!$AB$5:$AF$17,MATCH(C123,'Feed rations'!$V$5:$V$17,0),MATCH(B123,'Feed rations'!$AB$4:$AF$4,0))</f>
        <v>0</v>
      </c>
    </row>
    <row r="124" spans="1:5" x14ac:dyDescent="0.25">
      <c r="A124" t="s">
        <v>42</v>
      </c>
      <c r="B124" t="s">
        <v>48</v>
      </c>
      <c r="C124" t="s">
        <v>18</v>
      </c>
      <c r="D124" t="s">
        <v>117</v>
      </c>
      <c r="E124" s="4">
        <f>INDEX('Feed rations'!$AB$5:$AF$17,MATCH(C124,'Feed rations'!$V$5:$V$17,0),MATCH(B124,'Feed rations'!$AB$4:$AF$4,0))</f>
        <v>13.254201084237993</v>
      </c>
    </row>
    <row r="125" spans="1:5" x14ac:dyDescent="0.25">
      <c r="A125" t="s">
        <v>42</v>
      </c>
      <c r="B125" t="s">
        <v>48</v>
      </c>
      <c r="C125" t="s">
        <v>64</v>
      </c>
      <c r="D125" t="s">
        <v>117</v>
      </c>
      <c r="E125" s="4">
        <f>INDEX('Feed rations'!$AB$5:$AF$17,MATCH(C125,'Feed rations'!$V$5:$V$17,0),MATCH(B125,'Feed rations'!$AB$4:$AF$4,0))</f>
        <v>5.1156565588286975</v>
      </c>
    </row>
    <row r="126" spans="1:5" x14ac:dyDescent="0.25">
      <c r="A126" t="s">
        <v>42</v>
      </c>
      <c r="B126" t="s">
        <v>48</v>
      </c>
      <c r="C126" t="s">
        <v>87</v>
      </c>
      <c r="D126" t="s">
        <v>117</v>
      </c>
      <c r="E126" s="4">
        <f>INDEX('Feed rations'!$AB$5:$AF$17,MATCH(C126,'Feed rations'!$V$5:$V$17,0),MATCH(B126,'Feed rations'!$AB$4:$AF$4,0))</f>
        <v>8.2737362949343645</v>
      </c>
    </row>
    <row r="127" spans="1:5" x14ac:dyDescent="0.25">
      <c r="A127" t="s">
        <v>42</v>
      </c>
      <c r="B127" t="s">
        <v>48</v>
      </c>
      <c r="C127" t="s">
        <v>20</v>
      </c>
      <c r="D127" t="s">
        <v>117</v>
      </c>
      <c r="E127" s="4">
        <f>INDEX('Feed rations'!$AB$5:$AF$17,MATCH(C127,'Feed rations'!$V$5:$V$17,0),MATCH(B127,'Feed rations'!$AB$4:$AF$4,0))</f>
        <v>3.6907353080344469</v>
      </c>
    </row>
    <row r="128" spans="1:5" x14ac:dyDescent="0.25">
      <c r="A128" t="s">
        <v>42</v>
      </c>
      <c r="B128" t="s">
        <v>48</v>
      </c>
      <c r="C128" t="s">
        <v>21</v>
      </c>
      <c r="D128" t="s">
        <v>117</v>
      </c>
      <c r="E128" s="4">
        <f>INDEX('Feed rations'!$AB$5:$AF$17,MATCH(C128,'Feed rations'!$V$5:$V$17,0),MATCH(B128,'Feed rations'!$AB$4:$AF$4,0))</f>
        <v>0</v>
      </c>
    </row>
    <row r="129" spans="1:5" x14ac:dyDescent="0.25">
      <c r="A129" t="s">
        <v>42</v>
      </c>
      <c r="B129" t="s">
        <v>48</v>
      </c>
      <c r="C129" t="s">
        <v>88</v>
      </c>
      <c r="D129" t="s">
        <v>117</v>
      </c>
      <c r="E129" s="4">
        <f>INDEX('Feed rations'!$AB$5:$AF$17,MATCH(C129,'Feed rations'!$V$5:$V$17,0),MATCH(B129,'Feed rations'!$AB$4:$AF$4,0))</f>
        <v>2.3523367897362411</v>
      </c>
    </row>
    <row r="130" spans="1:5" x14ac:dyDescent="0.25">
      <c r="A130" t="s">
        <v>42</v>
      </c>
      <c r="B130" t="s">
        <v>48</v>
      </c>
      <c r="C130" t="s">
        <v>22</v>
      </c>
      <c r="D130" t="s">
        <v>117</v>
      </c>
      <c r="E130" s="4">
        <f>INDEX('Feed rations'!$AB$5:$AF$17,MATCH(C130,'Feed rations'!$V$5:$V$17,0),MATCH(B130,'Feed rations'!$AB$4:$AF$4,0))</f>
        <v>1.5817437034433346</v>
      </c>
    </row>
    <row r="131" spans="1:5" x14ac:dyDescent="0.25">
      <c r="A131" t="s">
        <v>42</v>
      </c>
      <c r="B131" t="s">
        <v>48</v>
      </c>
      <c r="C131" t="s">
        <v>65</v>
      </c>
      <c r="D131" t="s">
        <v>117</v>
      </c>
      <c r="E131" s="4">
        <f>INDEX('Feed rations'!$AB$5:$AF$17,MATCH(C131,'Feed rations'!$V$5:$V$17,0),MATCH(B131,'Feed rations'!$AB$4:$AF$4,0))</f>
        <v>0</v>
      </c>
    </row>
    <row r="132" spans="1:5" x14ac:dyDescent="0.25">
      <c r="A132" t="s">
        <v>42</v>
      </c>
      <c r="B132" t="s">
        <v>48</v>
      </c>
      <c r="C132" t="s">
        <v>23</v>
      </c>
      <c r="D132" t="s">
        <v>117</v>
      </c>
      <c r="E132" s="4">
        <f>INDEX('Feed rations'!$AB$5:$AF$17,MATCH(C132,'Feed rations'!$V$5:$V$17,0),MATCH(B132,'Feed rations'!$AB$4:$AF$4,0))</f>
        <v>0</v>
      </c>
    </row>
    <row r="133" spans="1:5" x14ac:dyDescent="0.25">
      <c r="A133" t="s">
        <v>42</v>
      </c>
      <c r="B133" t="s">
        <v>48</v>
      </c>
      <c r="C133" t="s">
        <v>97</v>
      </c>
      <c r="D133" t="s">
        <v>117</v>
      </c>
      <c r="E133" s="4">
        <f>INDEX('Feed rations'!$AB$5:$AF$17,MATCH(C133,'Feed rations'!$V$5:$V$17,0),MATCH(B133,'Feed rations'!$AB$4:$AF$4,0))</f>
        <v>6.1512255133907452</v>
      </c>
    </row>
    <row r="134" spans="1:5" x14ac:dyDescent="0.25">
      <c r="A134" t="s">
        <v>42</v>
      </c>
      <c r="B134" t="s">
        <v>48</v>
      </c>
      <c r="C134" t="s">
        <v>27</v>
      </c>
      <c r="D134" t="s">
        <v>117</v>
      </c>
      <c r="E134" s="4">
        <f>INDEX('Feed rations'!$AB$5:$AF$17,MATCH(C134,'Feed rations'!$V$5:$V$17,0),MATCH(B134,'Feed rations'!$AB$4:$AF$4,0))</f>
        <v>1.5641687734050753</v>
      </c>
    </row>
    <row r="135" spans="1:5" x14ac:dyDescent="0.25">
      <c r="A135" t="s">
        <v>42</v>
      </c>
      <c r="B135" t="s">
        <v>49</v>
      </c>
      <c r="C135" t="s">
        <v>17</v>
      </c>
      <c r="D135" t="s">
        <v>117</v>
      </c>
      <c r="E135" s="4">
        <f>INDEX('Feed rations'!$AB$5:$AF$17,MATCH(C135,'Feed rations'!$V$5:$V$17,0),MATCH(B135,'Feed rations'!$AB$4:$AF$4,0))</f>
        <v>57.806020490924027</v>
      </c>
    </row>
    <row r="136" spans="1:5" x14ac:dyDescent="0.25">
      <c r="A136" t="s">
        <v>42</v>
      </c>
      <c r="B136" t="s">
        <v>49</v>
      </c>
      <c r="C136" t="s">
        <v>19</v>
      </c>
      <c r="D136" t="s">
        <v>117</v>
      </c>
      <c r="E136" s="4">
        <f>INDEX('Feed rations'!$AB$5:$AF$17,MATCH(C136,'Feed rations'!$V$5:$V$17,0),MATCH(B136,'Feed rations'!$AB$4:$AF$4,0))</f>
        <v>0</v>
      </c>
    </row>
    <row r="137" spans="1:5" x14ac:dyDescent="0.25">
      <c r="A137" t="s">
        <v>42</v>
      </c>
      <c r="B137" t="s">
        <v>49</v>
      </c>
      <c r="C137" t="s">
        <v>18</v>
      </c>
      <c r="D137" t="s">
        <v>117</v>
      </c>
      <c r="E137" s="4">
        <f>INDEX('Feed rations'!$AB$5:$AF$17,MATCH(C137,'Feed rations'!$V$5:$V$17,0),MATCH(B137,'Feed rations'!$AB$4:$AF$4,0))</f>
        <v>14.91384967080074</v>
      </c>
    </row>
    <row r="138" spans="1:5" x14ac:dyDescent="0.25">
      <c r="A138" t="s">
        <v>42</v>
      </c>
      <c r="B138" t="s">
        <v>49</v>
      </c>
      <c r="C138" t="s">
        <v>64</v>
      </c>
      <c r="D138" t="s">
        <v>117</v>
      </c>
      <c r="E138" s="4">
        <f>INDEX('Feed rations'!$AB$5:$AF$17,MATCH(C138,'Feed rations'!$V$5:$V$17,0),MATCH(B138,'Feed rations'!$AB$4:$AF$4,0))</f>
        <v>8.3761840506164251</v>
      </c>
    </row>
    <row r="139" spans="1:5" x14ac:dyDescent="0.25">
      <c r="A139" t="s">
        <v>42</v>
      </c>
      <c r="B139" t="s">
        <v>49</v>
      </c>
      <c r="C139" t="s">
        <v>87</v>
      </c>
      <c r="D139" t="s">
        <v>117</v>
      </c>
      <c r="E139" s="4">
        <f>INDEX('Feed rations'!$AB$5:$AF$17,MATCH(C139,'Feed rations'!$V$5:$V$17,0),MATCH(B139,'Feed rations'!$AB$4:$AF$4,0))</f>
        <v>4.1368681474671822</v>
      </c>
    </row>
    <row r="140" spans="1:5" x14ac:dyDescent="0.25">
      <c r="A140" t="s">
        <v>42</v>
      </c>
      <c r="B140" t="s">
        <v>49</v>
      </c>
      <c r="C140" t="s">
        <v>20</v>
      </c>
      <c r="D140" t="s">
        <v>117</v>
      </c>
      <c r="E140" s="4">
        <f>INDEX('Feed rations'!$AB$5:$AF$17,MATCH(C140,'Feed rations'!$V$5:$V$17,0),MATCH(B140,'Feed rations'!$AB$4:$AF$4,0))</f>
        <v>4.021954820011894</v>
      </c>
    </row>
    <row r="141" spans="1:5" x14ac:dyDescent="0.25">
      <c r="A141" t="s">
        <v>42</v>
      </c>
      <c r="B141" t="s">
        <v>49</v>
      </c>
      <c r="C141" t="s">
        <v>21</v>
      </c>
      <c r="D141" t="s">
        <v>117</v>
      </c>
      <c r="E141" s="4">
        <f>INDEX('Feed rations'!$AB$5:$AF$17,MATCH(C141,'Feed rations'!$V$5:$V$17,0),MATCH(B141,'Feed rations'!$AB$4:$AF$4,0))</f>
        <v>0</v>
      </c>
    </row>
    <row r="142" spans="1:5" x14ac:dyDescent="0.25">
      <c r="A142" t="s">
        <v>42</v>
      </c>
      <c r="B142" t="s">
        <v>49</v>
      </c>
      <c r="C142" t="s">
        <v>88</v>
      </c>
      <c r="D142" t="s">
        <v>117</v>
      </c>
      <c r="E142" s="4">
        <f>INDEX('Feed rations'!$AB$5:$AF$17,MATCH(C142,'Feed rations'!$V$5:$V$17,0),MATCH(B142,'Feed rations'!$AB$4:$AF$4,0))</f>
        <v>2.3652615404978614</v>
      </c>
    </row>
    <row r="143" spans="1:5" x14ac:dyDescent="0.25">
      <c r="A143" t="s">
        <v>42</v>
      </c>
      <c r="B143" t="s">
        <v>49</v>
      </c>
      <c r="C143" t="s">
        <v>22</v>
      </c>
      <c r="D143" t="s">
        <v>117</v>
      </c>
      <c r="E143" s="4">
        <f>INDEX('Feed rations'!$AB$5:$AF$17,MATCH(C143,'Feed rations'!$V$5:$V$17,0),MATCH(B143,'Feed rations'!$AB$4:$AF$4,0))</f>
        <v>0.7908718517216673</v>
      </c>
    </row>
    <row r="144" spans="1:5" x14ac:dyDescent="0.25">
      <c r="A144" t="s">
        <v>42</v>
      </c>
      <c r="B144" t="s">
        <v>49</v>
      </c>
      <c r="C144" t="s">
        <v>65</v>
      </c>
      <c r="D144" t="s">
        <v>117</v>
      </c>
      <c r="E144" s="4">
        <f>INDEX('Feed rations'!$AB$5:$AF$17,MATCH(C144,'Feed rations'!$V$5:$V$17,0),MATCH(B144,'Feed rations'!$AB$4:$AF$4,0))</f>
        <v>0</v>
      </c>
    </row>
    <row r="145" spans="1:5" x14ac:dyDescent="0.25">
      <c r="A145" t="s">
        <v>42</v>
      </c>
      <c r="B145" t="s">
        <v>49</v>
      </c>
      <c r="C145" t="s">
        <v>23</v>
      </c>
      <c r="D145" t="s">
        <v>117</v>
      </c>
      <c r="E145" s="4">
        <f>INDEX('Feed rations'!$AB$5:$AF$17,MATCH(C145,'Feed rations'!$V$5:$V$17,0),MATCH(B145,'Feed rations'!$AB$4:$AF$4,0))</f>
        <v>0</v>
      </c>
    </row>
    <row r="146" spans="1:5" x14ac:dyDescent="0.25">
      <c r="A146" t="s">
        <v>42</v>
      </c>
      <c r="B146" t="s">
        <v>49</v>
      </c>
      <c r="C146" t="s">
        <v>97</v>
      </c>
      <c r="D146" t="s">
        <v>117</v>
      </c>
      <c r="E146" s="4">
        <f>INDEX('Feed rations'!$AB$5:$AF$17,MATCH(C146,'Feed rations'!$V$5:$V$17,0),MATCH(B146,'Feed rations'!$AB$4:$AF$4,0))</f>
        <v>6.8069050412576626</v>
      </c>
    </row>
    <row r="147" spans="1:5" x14ac:dyDescent="0.25">
      <c r="A147" t="s">
        <v>42</v>
      </c>
      <c r="B147" t="s">
        <v>49</v>
      </c>
      <c r="C147" t="s">
        <v>27</v>
      </c>
      <c r="D147" t="s">
        <v>117</v>
      </c>
      <c r="E147" s="4">
        <f>INDEX('Feed rations'!$AB$5:$AF$17,MATCH(C147,'Feed rations'!$V$5:$V$17,0),MATCH(B147,'Feed rations'!$AB$4:$AF$4,0))</f>
        <v>0.78208438670253766</v>
      </c>
    </row>
    <row r="148" spans="1:5" x14ac:dyDescent="0.25">
      <c r="A148" t="s">
        <v>42</v>
      </c>
      <c r="B148" t="s">
        <v>50</v>
      </c>
      <c r="C148" t="s">
        <v>17</v>
      </c>
      <c r="D148" t="s">
        <v>117</v>
      </c>
      <c r="E148" s="4">
        <f>INDEX('Feed rations'!$AB$5:$AF$17,MATCH(C148,'Feed rations'!$V$5:$V$17,0),MATCH(B148,'Feed rations'!$AB$4:$AF$4,0))</f>
        <v>57.595845007858948</v>
      </c>
    </row>
    <row r="149" spans="1:5" x14ac:dyDescent="0.25">
      <c r="A149" t="s">
        <v>42</v>
      </c>
      <c r="B149" t="s">
        <v>50</v>
      </c>
      <c r="C149" t="s">
        <v>19</v>
      </c>
      <c r="D149" t="s">
        <v>117</v>
      </c>
      <c r="E149" s="4">
        <f>INDEX('Feed rations'!$AB$5:$AF$17,MATCH(C149,'Feed rations'!$V$5:$V$17,0),MATCH(B149,'Feed rations'!$AB$4:$AF$4,0))</f>
        <v>0</v>
      </c>
    </row>
    <row r="150" spans="1:5" x14ac:dyDescent="0.25">
      <c r="A150" t="s">
        <v>42</v>
      </c>
      <c r="B150" t="s">
        <v>50</v>
      </c>
      <c r="C150" t="s">
        <v>18</v>
      </c>
      <c r="D150" t="s">
        <v>117</v>
      </c>
      <c r="E150" s="4">
        <f>INDEX('Feed rations'!$AB$5:$AF$17,MATCH(C150,'Feed rations'!$V$5:$V$17,0),MATCH(B150,'Feed rations'!$AB$4:$AF$4,0))</f>
        <v>16.573498257363489</v>
      </c>
    </row>
    <row r="151" spans="1:5" x14ac:dyDescent="0.25">
      <c r="A151" t="s">
        <v>42</v>
      </c>
      <c r="B151" t="s">
        <v>50</v>
      </c>
      <c r="C151" t="s">
        <v>64</v>
      </c>
      <c r="D151" t="s">
        <v>117</v>
      </c>
      <c r="E151" s="4">
        <f>INDEX('Feed rations'!$AB$5:$AF$17,MATCH(C151,'Feed rations'!$V$5:$V$17,0),MATCH(B151,'Feed rations'!$AB$4:$AF$4,0))</f>
        <v>11.636711542404154</v>
      </c>
    </row>
    <row r="152" spans="1:5" x14ac:dyDescent="0.25">
      <c r="A152" t="s">
        <v>42</v>
      </c>
      <c r="B152" t="s">
        <v>50</v>
      </c>
      <c r="C152" t="s">
        <v>87</v>
      </c>
      <c r="D152" t="s">
        <v>117</v>
      </c>
      <c r="E152" s="4">
        <f>INDEX('Feed rations'!$AB$5:$AF$17,MATCH(C152,'Feed rations'!$V$5:$V$17,0),MATCH(B152,'Feed rations'!$AB$4:$AF$4,0))</f>
        <v>0</v>
      </c>
    </row>
    <row r="153" spans="1:5" x14ac:dyDescent="0.25">
      <c r="A153" t="s">
        <v>42</v>
      </c>
      <c r="B153" t="s">
        <v>50</v>
      </c>
      <c r="C153" t="s">
        <v>20</v>
      </c>
      <c r="D153" t="s">
        <v>117</v>
      </c>
      <c r="E153" s="4">
        <f>INDEX('Feed rations'!$AB$5:$AF$17,MATCH(C153,'Feed rations'!$V$5:$V$17,0),MATCH(B153,'Feed rations'!$AB$4:$AF$4,0))</f>
        <v>4.3531743319893401</v>
      </c>
    </row>
    <row r="154" spans="1:5" x14ac:dyDescent="0.25">
      <c r="A154" t="s">
        <v>42</v>
      </c>
      <c r="B154" t="s">
        <v>50</v>
      </c>
      <c r="C154" t="s">
        <v>21</v>
      </c>
      <c r="D154" t="s">
        <v>117</v>
      </c>
      <c r="E154" s="4">
        <f>INDEX('Feed rations'!$AB$5:$AF$17,MATCH(C154,'Feed rations'!$V$5:$V$17,0),MATCH(B154,'Feed rations'!$AB$4:$AF$4,0))</f>
        <v>0</v>
      </c>
    </row>
    <row r="155" spans="1:5" x14ac:dyDescent="0.25">
      <c r="A155" t="s">
        <v>42</v>
      </c>
      <c r="B155" t="s">
        <v>50</v>
      </c>
      <c r="C155" t="s">
        <v>88</v>
      </c>
      <c r="D155" t="s">
        <v>117</v>
      </c>
      <c r="E155" s="4">
        <f>INDEX('Feed rations'!$AB$5:$AF$17,MATCH(C155,'Feed rations'!$V$5:$V$17,0),MATCH(B155,'Feed rations'!$AB$4:$AF$4,0))</f>
        <v>2.3781862912594818</v>
      </c>
    </row>
    <row r="156" spans="1:5" x14ac:dyDescent="0.25">
      <c r="A156" t="s">
        <v>42</v>
      </c>
      <c r="B156" t="s">
        <v>50</v>
      </c>
      <c r="C156" t="s">
        <v>22</v>
      </c>
      <c r="D156" t="s">
        <v>117</v>
      </c>
      <c r="E156" s="4">
        <f>INDEX('Feed rations'!$AB$5:$AF$17,MATCH(C156,'Feed rations'!$V$5:$V$17,0),MATCH(B156,'Feed rations'!$AB$4:$AF$4,0))</f>
        <v>0</v>
      </c>
    </row>
    <row r="157" spans="1:5" x14ac:dyDescent="0.25">
      <c r="A157" t="s">
        <v>42</v>
      </c>
      <c r="B157" t="s">
        <v>50</v>
      </c>
      <c r="C157" t="s">
        <v>65</v>
      </c>
      <c r="D157" t="s">
        <v>117</v>
      </c>
      <c r="E157" s="4">
        <f>INDEX('Feed rations'!$AB$5:$AF$17,MATCH(C157,'Feed rations'!$V$5:$V$17,0),MATCH(B157,'Feed rations'!$AB$4:$AF$4,0))</f>
        <v>0</v>
      </c>
    </row>
    <row r="158" spans="1:5" x14ac:dyDescent="0.25">
      <c r="A158" t="s">
        <v>42</v>
      </c>
      <c r="B158" t="s">
        <v>50</v>
      </c>
      <c r="C158" t="s">
        <v>23</v>
      </c>
      <c r="D158" t="s">
        <v>117</v>
      </c>
      <c r="E158" s="4">
        <f>INDEX('Feed rations'!$AB$5:$AF$17,MATCH(C158,'Feed rations'!$V$5:$V$17,0),MATCH(B158,'Feed rations'!$AB$4:$AF$4,0))</f>
        <v>0</v>
      </c>
    </row>
    <row r="159" spans="1:5" x14ac:dyDescent="0.25">
      <c r="A159" t="s">
        <v>42</v>
      </c>
      <c r="B159" t="s">
        <v>50</v>
      </c>
      <c r="C159" t="s">
        <v>97</v>
      </c>
      <c r="D159" t="s">
        <v>117</v>
      </c>
      <c r="E159" s="4">
        <f>INDEX('Feed rations'!$AB$5:$AF$17,MATCH(C159,'Feed rations'!$V$5:$V$17,0),MATCH(B159,'Feed rations'!$AB$4:$AF$4,0))</f>
        <v>7.4625845691245809</v>
      </c>
    </row>
    <row r="160" spans="1:5" x14ac:dyDescent="0.25">
      <c r="A160" t="s">
        <v>42</v>
      </c>
      <c r="B160" t="s">
        <v>50</v>
      </c>
      <c r="C160" t="s">
        <v>27</v>
      </c>
      <c r="D160" t="s">
        <v>117</v>
      </c>
      <c r="E160" s="4">
        <f>INDEX('Feed rations'!$AB$5:$AF$17,MATCH(C160,'Feed rations'!$V$5:$V$17,0),MATCH(B160,'Feed rations'!$AB$4:$AF$4,0))</f>
        <v>0</v>
      </c>
    </row>
    <row r="161" spans="1:5" x14ac:dyDescent="0.25">
      <c r="A161" t="s">
        <v>42</v>
      </c>
      <c r="B161" t="s">
        <v>94</v>
      </c>
      <c r="C161" t="s">
        <v>17</v>
      </c>
      <c r="D161" t="s">
        <v>117</v>
      </c>
      <c r="E161" s="4">
        <f>INDEX('Feed rations'!$AB$5:$AF$17,MATCH(C161,'Feed rations'!$V$5:$V$17,0),MATCH(B161,'Feed rations'!$AB$4:$AF$4,0))</f>
        <v>57.595845007858948</v>
      </c>
    </row>
    <row r="162" spans="1:5" x14ac:dyDescent="0.25">
      <c r="A162" t="s">
        <v>42</v>
      </c>
      <c r="B162" t="s">
        <v>94</v>
      </c>
      <c r="C162" t="s">
        <v>19</v>
      </c>
      <c r="D162" t="s">
        <v>117</v>
      </c>
      <c r="E162" s="4">
        <f>INDEX('Feed rations'!$AB$5:$AF$17,MATCH(C162,'Feed rations'!$V$5:$V$17,0),MATCH(B162,'Feed rations'!$AB$4:$AF$4,0))</f>
        <v>0</v>
      </c>
    </row>
    <row r="163" spans="1:5" x14ac:dyDescent="0.25">
      <c r="A163" t="s">
        <v>42</v>
      </c>
      <c r="B163" t="s">
        <v>94</v>
      </c>
      <c r="C163" t="s">
        <v>18</v>
      </c>
      <c r="D163" t="s">
        <v>117</v>
      </c>
      <c r="E163" s="4">
        <f>INDEX('Feed rations'!$AB$5:$AF$17,MATCH(C163,'Feed rations'!$V$5:$V$17,0),MATCH(B163,'Feed rations'!$AB$4:$AF$4,0))</f>
        <v>16.573498257363489</v>
      </c>
    </row>
    <row r="164" spans="1:5" x14ac:dyDescent="0.25">
      <c r="A164" t="s">
        <v>42</v>
      </c>
      <c r="B164" t="s">
        <v>94</v>
      </c>
      <c r="C164" t="s">
        <v>64</v>
      </c>
      <c r="D164" t="s">
        <v>117</v>
      </c>
      <c r="E164" s="4">
        <f>INDEX('Feed rations'!$AB$5:$AF$17,MATCH(C164,'Feed rations'!$V$5:$V$17,0),MATCH(B164,'Feed rations'!$AB$4:$AF$4,0))</f>
        <v>11.636711542404154</v>
      </c>
    </row>
    <row r="165" spans="1:5" x14ac:dyDescent="0.25">
      <c r="A165" t="s">
        <v>42</v>
      </c>
      <c r="B165" t="s">
        <v>94</v>
      </c>
      <c r="C165" t="s">
        <v>87</v>
      </c>
      <c r="D165" t="s">
        <v>117</v>
      </c>
      <c r="E165" s="4">
        <f>INDEX('Feed rations'!$AB$5:$AF$17,MATCH(C165,'Feed rations'!$V$5:$V$17,0),MATCH(B165,'Feed rations'!$AB$4:$AF$4,0))</f>
        <v>0</v>
      </c>
    </row>
    <row r="166" spans="1:5" x14ac:dyDescent="0.25">
      <c r="A166" t="s">
        <v>42</v>
      </c>
      <c r="B166" t="s">
        <v>94</v>
      </c>
      <c r="C166" t="s">
        <v>20</v>
      </c>
      <c r="D166" t="s">
        <v>117</v>
      </c>
      <c r="E166" s="4">
        <f>INDEX('Feed rations'!$AB$5:$AF$17,MATCH(C166,'Feed rations'!$V$5:$V$17,0),MATCH(B166,'Feed rations'!$AB$4:$AF$4,0))</f>
        <v>4.3531743319893401</v>
      </c>
    </row>
    <row r="167" spans="1:5" x14ac:dyDescent="0.25">
      <c r="A167" t="s">
        <v>42</v>
      </c>
      <c r="B167" t="s">
        <v>94</v>
      </c>
      <c r="C167" t="s">
        <v>21</v>
      </c>
      <c r="D167" t="s">
        <v>117</v>
      </c>
      <c r="E167" s="4">
        <f>INDEX('Feed rations'!$AB$5:$AF$17,MATCH(C167,'Feed rations'!$V$5:$V$17,0),MATCH(B167,'Feed rations'!$AB$4:$AF$4,0))</f>
        <v>0</v>
      </c>
    </row>
    <row r="168" spans="1:5" x14ac:dyDescent="0.25">
      <c r="A168" t="s">
        <v>42</v>
      </c>
      <c r="B168" t="s">
        <v>94</v>
      </c>
      <c r="C168" t="s">
        <v>88</v>
      </c>
      <c r="D168" t="s">
        <v>117</v>
      </c>
      <c r="E168" s="4">
        <f>INDEX('Feed rations'!$AB$5:$AF$17,MATCH(C168,'Feed rations'!$V$5:$V$17,0),MATCH(B168,'Feed rations'!$AB$4:$AF$4,0))</f>
        <v>2.3781862912594818</v>
      </c>
    </row>
    <row r="169" spans="1:5" x14ac:dyDescent="0.25">
      <c r="A169" t="s">
        <v>42</v>
      </c>
      <c r="B169" t="s">
        <v>94</v>
      </c>
      <c r="C169" t="s">
        <v>22</v>
      </c>
      <c r="D169" t="s">
        <v>117</v>
      </c>
      <c r="E169" s="4">
        <f>INDEX('Feed rations'!$AB$5:$AF$17,MATCH(C169,'Feed rations'!$V$5:$V$17,0),MATCH(B169,'Feed rations'!$AB$4:$AF$4,0))</f>
        <v>0</v>
      </c>
    </row>
    <row r="170" spans="1:5" x14ac:dyDescent="0.25">
      <c r="A170" t="s">
        <v>42</v>
      </c>
      <c r="B170" t="s">
        <v>94</v>
      </c>
      <c r="C170" t="s">
        <v>65</v>
      </c>
      <c r="D170" t="s">
        <v>117</v>
      </c>
      <c r="E170" s="4">
        <f>INDEX('Feed rations'!$AB$5:$AF$17,MATCH(C170,'Feed rations'!$V$5:$V$17,0),MATCH(B170,'Feed rations'!$AB$4:$AF$4,0))</f>
        <v>0</v>
      </c>
    </row>
    <row r="171" spans="1:5" x14ac:dyDescent="0.25">
      <c r="A171" t="s">
        <v>42</v>
      </c>
      <c r="B171" t="s">
        <v>94</v>
      </c>
      <c r="C171" t="s">
        <v>23</v>
      </c>
      <c r="D171" t="s">
        <v>117</v>
      </c>
      <c r="E171" s="4">
        <f>INDEX('Feed rations'!$AB$5:$AF$17,MATCH(C171,'Feed rations'!$V$5:$V$17,0),MATCH(B171,'Feed rations'!$AB$4:$AF$4,0))</f>
        <v>0</v>
      </c>
    </row>
    <row r="172" spans="1:5" x14ac:dyDescent="0.25">
      <c r="A172" t="s">
        <v>42</v>
      </c>
      <c r="B172" t="s">
        <v>94</v>
      </c>
      <c r="C172" t="s">
        <v>97</v>
      </c>
      <c r="D172" t="s">
        <v>117</v>
      </c>
      <c r="E172" s="4">
        <f>INDEX('Feed rations'!$AB$5:$AF$17,MATCH(C172,'Feed rations'!$V$5:$V$17,0),MATCH(B172,'Feed rations'!$AB$4:$AF$4,0))</f>
        <v>7.4625845691245809</v>
      </c>
    </row>
    <row r="173" spans="1:5" x14ac:dyDescent="0.25">
      <c r="A173" t="s">
        <v>42</v>
      </c>
      <c r="B173" t="s">
        <v>94</v>
      </c>
      <c r="C173" t="s">
        <v>27</v>
      </c>
      <c r="D173" t="s">
        <v>117</v>
      </c>
      <c r="E173" s="4">
        <f>INDEX('Feed rations'!$AB$5:$AF$17,MATCH(C173,'Feed rations'!$V$5:$V$17,0),MATCH(B173,'Feed rations'!$AB$4:$AF$4,0))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G50"/>
  <sheetViews>
    <sheetView tabSelected="1" topLeftCell="M1" workbookViewId="0">
      <selection activeCell="V22" sqref="V22"/>
    </sheetView>
  </sheetViews>
  <sheetFormatPr defaultRowHeight="15" x14ac:dyDescent="0.25"/>
  <cols>
    <col min="2" max="2" width="23.5703125" customWidth="1"/>
    <col min="3" max="3" width="26.140625" customWidth="1"/>
    <col min="22" max="22" width="18.28515625" bestFit="1" customWidth="1"/>
    <col min="23" max="32" width="10.28515625" customWidth="1"/>
  </cols>
  <sheetData>
    <row r="1" spans="2:33" x14ac:dyDescent="0.25">
      <c r="F1" s="3" t="s">
        <v>67</v>
      </c>
      <c r="G1" s="2"/>
      <c r="H1" s="2"/>
      <c r="I1" s="2"/>
      <c r="J1" s="2"/>
      <c r="K1" s="2"/>
      <c r="L1" s="2"/>
      <c r="N1" s="3" t="s">
        <v>34</v>
      </c>
      <c r="O1" s="2"/>
      <c r="P1" s="2"/>
      <c r="Q1" s="2"/>
      <c r="R1" s="2"/>
      <c r="S1" s="2"/>
      <c r="T1" s="2"/>
    </row>
    <row r="2" spans="2:33" ht="19.5" customHeight="1" x14ac:dyDescent="0.25">
      <c r="D2" s="22"/>
      <c r="E2" s="23" t="s">
        <v>71</v>
      </c>
      <c r="F2" s="53" t="s">
        <v>68</v>
      </c>
      <c r="G2" s="54"/>
      <c r="H2" s="54"/>
      <c r="I2" s="54"/>
      <c r="J2" s="54"/>
      <c r="K2" s="63" t="s">
        <v>77</v>
      </c>
      <c r="L2" s="56"/>
      <c r="M2" s="22"/>
      <c r="N2" s="53" t="str">
        <f>F2</f>
        <v>Sonesson 2008</v>
      </c>
      <c r="O2" s="54"/>
      <c r="P2" s="54"/>
      <c r="Q2" s="54"/>
      <c r="R2" s="54"/>
      <c r="S2" s="63" t="str">
        <f>K2</f>
        <v>Carlsson</v>
      </c>
      <c r="T2" s="56"/>
      <c r="U2" s="22"/>
      <c r="W2" s="48" t="s">
        <v>91</v>
      </c>
      <c r="X2" s="49"/>
      <c r="Y2" s="49"/>
      <c r="Z2" s="49"/>
      <c r="AA2" s="49"/>
      <c r="AB2" s="49"/>
      <c r="AC2" s="49"/>
      <c r="AD2" s="49"/>
      <c r="AE2" s="49"/>
      <c r="AF2" s="49"/>
    </row>
    <row r="3" spans="2:33" ht="20.25" customHeight="1" x14ac:dyDescent="0.25">
      <c r="D3" s="22"/>
      <c r="E3" s="23" t="s">
        <v>70</v>
      </c>
      <c r="F3" s="53" t="s">
        <v>32</v>
      </c>
      <c r="G3" s="54"/>
      <c r="H3" s="54"/>
      <c r="I3" s="54" t="s">
        <v>33</v>
      </c>
      <c r="J3" s="54"/>
      <c r="K3" s="63" t="s">
        <v>78</v>
      </c>
      <c r="L3" s="56"/>
      <c r="M3" s="22"/>
      <c r="N3" s="53" t="str">
        <f t="shared" ref="N3:N4" si="0">F3</f>
        <v>A</v>
      </c>
      <c r="O3" s="54"/>
      <c r="P3" s="54"/>
      <c r="Q3" s="54" t="str">
        <f t="shared" ref="Q3:Q4" si="1">I3</f>
        <v>B</v>
      </c>
      <c r="R3" s="54"/>
      <c r="S3" s="63" t="str">
        <f t="shared" ref="S3:S4" si="2">K3</f>
        <v>N/A</v>
      </c>
      <c r="T3" s="56"/>
      <c r="U3" s="22"/>
      <c r="V3" s="23" t="s">
        <v>92</v>
      </c>
      <c r="W3" s="53" t="s">
        <v>41</v>
      </c>
      <c r="X3" s="54"/>
      <c r="Y3" s="54"/>
      <c r="Z3" s="54"/>
      <c r="AA3" s="68"/>
      <c r="AB3" s="63" t="s">
        <v>42</v>
      </c>
      <c r="AC3" s="55"/>
      <c r="AD3" s="55"/>
      <c r="AE3" s="55"/>
      <c r="AF3" s="56"/>
      <c r="AG3" s="21"/>
    </row>
    <row r="4" spans="2:33" ht="43.5" customHeight="1" x14ac:dyDescent="0.25">
      <c r="B4" s="1" t="s">
        <v>89</v>
      </c>
      <c r="C4" s="1" t="s">
        <v>90</v>
      </c>
      <c r="D4" s="1" t="s">
        <v>31</v>
      </c>
      <c r="E4" s="20" t="s">
        <v>69</v>
      </c>
      <c r="F4" s="50" t="s">
        <v>72</v>
      </c>
      <c r="G4" s="51" t="s">
        <v>73</v>
      </c>
      <c r="H4" s="51" t="s">
        <v>74</v>
      </c>
      <c r="I4" s="51" t="s">
        <v>75</v>
      </c>
      <c r="J4" s="51" t="s">
        <v>76</v>
      </c>
      <c r="K4" s="64" t="s">
        <v>79</v>
      </c>
      <c r="L4" s="52" t="s">
        <v>80</v>
      </c>
      <c r="M4" s="21"/>
      <c r="N4" s="50" t="str">
        <f t="shared" si="0"/>
        <v>Värp fri start</v>
      </c>
      <c r="O4" s="51" t="str">
        <f>G4</f>
        <v>Värp fri max</v>
      </c>
      <c r="P4" s="51" t="str">
        <f>H4</f>
        <v>Värp fri slut</v>
      </c>
      <c r="Q4" s="51" t="str">
        <f t="shared" si="1"/>
        <v>Värp 95</v>
      </c>
      <c r="R4" s="51" t="str">
        <f>J4</f>
        <v>Värp 110</v>
      </c>
      <c r="S4" s="64" t="str">
        <f t="shared" si="2"/>
        <v>Värp grön stark</v>
      </c>
      <c r="T4" s="52" t="str">
        <f>L4</f>
        <v>värp grön trygg</v>
      </c>
      <c r="V4" s="23" t="s">
        <v>93</v>
      </c>
      <c r="W4" s="76" t="s">
        <v>47</v>
      </c>
      <c r="X4" s="77" t="s">
        <v>48</v>
      </c>
      <c r="Y4" s="77" t="s">
        <v>49</v>
      </c>
      <c r="Z4" s="77" t="s">
        <v>50</v>
      </c>
      <c r="AA4" s="78" t="s">
        <v>94</v>
      </c>
      <c r="AB4" s="65" t="s">
        <v>47</v>
      </c>
      <c r="AC4" s="66" t="s">
        <v>48</v>
      </c>
      <c r="AD4" s="66" t="s">
        <v>49</v>
      </c>
      <c r="AE4" s="66" t="s">
        <v>50</v>
      </c>
      <c r="AF4" s="67" t="s">
        <v>94</v>
      </c>
    </row>
    <row r="5" spans="2:33" x14ac:dyDescent="0.25">
      <c r="B5" t="s">
        <v>17</v>
      </c>
      <c r="C5" t="s">
        <v>56</v>
      </c>
      <c r="D5">
        <v>0.86</v>
      </c>
      <c r="F5" s="24">
        <v>38.999999999999993</v>
      </c>
      <c r="G5" s="25">
        <v>35.199999999999996</v>
      </c>
      <c r="H5" s="25">
        <v>40.199999999999996</v>
      </c>
      <c r="I5" s="25">
        <v>54.3</v>
      </c>
      <c r="J5" s="25">
        <v>56.7</v>
      </c>
      <c r="K5" s="24">
        <v>49.9</v>
      </c>
      <c r="L5" s="26">
        <v>49</v>
      </c>
      <c r="N5" s="39">
        <f t="shared" ref="N5:T5" si="3">F5*$D5/F$25</f>
        <v>43.682112995233247</v>
      </c>
      <c r="O5" s="40">
        <f t="shared" si="3"/>
        <v>39.526806465933717</v>
      </c>
      <c r="P5" s="40">
        <f t="shared" si="3"/>
        <v>45.302303640223286</v>
      </c>
      <c r="Q5" s="40">
        <f t="shared" si="3"/>
        <v>60.43483887666622</v>
      </c>
      <c r="R5" s="40">
        <f t="shared" si="3"/>
        <v>72.29355077835433</v>
      </c>
      <c r="S5" s="39">
        <f t="shared" si="3"/>
        <v>58.016195973989106</v>
      </c>
      <c r="T5" s="41">
        <f t="shared" si="3"/>
        <v>57.595845007858948</v>
      </c>
      <c r="U5" s="4"/>
      <c r="V5" s="4" t="str">
        <f>B5</f>
        <v>wheat</v>
      </c>
      <c r="W5" s="39">
        <f>N5</f>
        <v>43.682112995233247</v>
      </c>
      <c r="X5" s="40">
        <f>(N5+Q5)/2</f>
        <v>52.05847593594973</v>
      </c>
      <c r="Y5" s="40">
        <f>(O5+R5)/2</f>
        <v>55.910178622144024</v>
      </c>
      <c r="Z5" s="40">
        <f>(P5+R5)/2</f>
        <v>58.797927209288808</v>
      </c>
      <c r="AA5" s="72">
        <f>Z5</f>
        <v>58.797927209288808</v>
      </c>
      <c r="AB5" s="40">
        <f>W5</f>
        <v>43.682112995233247</v>
      </c>
      <c r="AC5" s="40">
        <f>S5</f>
        <v>58.016195973989106</v>
      </c>
      <c r="AD5" s="40">
        <f>(S5+T5)/2</f>
        <v>57.806020490924027</v>
      </c>
      <c r="AE5" s="40">
        <f>T5</f>
        <v>57.595845007858948</v>
      </c>
      <c r="AF5" s="72">
        <f>AE5</f>
        <v>57.595845007858948</v>
      </c>
    </row>
    <row r="6" spans="2:33" x14ac:dyDescent="0.25">
      <c r="B6" t="s">
        <v>19</v>
      </c>
      <c r="C6" t="s">
        <v>29</v>
      </c>
      <c r="D6">
        <v>0.86</v>
      </c>
      <c r="F6" s="27">
        <v>2.4</v>
      </c>
      <c r="G6" s="28">
        <v>2.4</v>
      </c>
      <c r="H6" s="28">
        <v>2.4</v>
      </c>
      <c r="I6" s="28"/>
      <c r="J6" s="28"/>
      <c r="K6" s="27"/>
      <c r="L6" s="29"/>
      <c r="N6" s="42">
        <f t="shared" ref="N6:N18" si="4">F6*$D6/F$25</f>
        <v>2.6881300304758931</v>
      </c>
      <c r="O6" s="43">
        <f t="shared" ref="O6:O18" si="5">G6*$D6/G$25</f>
        <v>2.6950095317682083</v>
      </c>
      <c r="P6" s="43">
        <f t="shared" ref="P6:P18" si="6">H6*$D6/H$25</f>
        <v>2.7046151426998981</v>
      </c>
      <c r="Q6" s="43">
        <f t="shared" ref="Q6:Q18" si="7">I6*$D6/I$25</f>
        <v>0</v>
      </c>
      <c r="R6" s="43">
        <f t="shared" ref="R6:R18" si="8">J6*$D6/J$25</f>
        <v>0</v>
      </c>
      <c r="S6" s="42">
        <f t="shared" ref="S6:S18" si="9">K6*$D6/K$25</f>
        <v>0</v>
      </c>
      <c r="T6" s="44">
        <f t="shared" ref="T6:T18" si="10">L6*$D6/L$25</f>
        <v>0</v>
      </c>
      <c r="U6" s="4"/>
      <c r="V6" s="4" t="str">
        <f t="shared" ref="V6:V13" si="11">B6</f>
        <v>maize</v>
      </c>
      <c r="W6" s="42">
        <f t="shared" ref="W6:W12" si="12">N6</f>
        <v>2.6881300304758931</v>
      </c>
      <c r="X6" s="43">
        <f t="shared" ref="X6:X12" si="13">(N6+Q6)/2</f>
        <v>1.3440650152379465</v>
      </c>
      <c r="Y6" s="43">
        <f t="shared" ref="Y6:Y12" si="14">(O6+R6)/2</f>
        <v>1.3475047658841042</v>
      </c>
      <c r="Z6" s="43">
        <f t="shared" ref="Z6:Z12" si="15">(P6+R6)/2</f>
        <v>1.3523075713499491</v>
      </c>
      <c r="AA6" s="73">
        <f t="shared" ref="AA6:AA13" si="16">Z6</f>
        <v>1.3523075713499491</v>
      </c>
      <c r="AB6" s="43">
        <f t="shared" ref="AB6:AB17" si="17">W6</f>
        <v>2.6881300304758931</v>
      </c>
      <c r="AC6" s="43">
        <f t="shared" ref="AC6:AC12" si="18">S6</f>
        <v>0</v>
      </c>
      <c r="AD6" s="43">
        <f t="shared" ref="AD6:AD12" si="19">(S6+T6)/2</f>
        <v>0</v>
      </c>
      <c r="AE6" s="43">
        <f t="shared" ref="AE6:AE12" si="20">T6</f>
        <v>0</v>
      </c>
      <c r="AF6" s="73">
        <f t="shared" ref="AF6:AF13" si="21">AE6</f>
        <v>0</v>
      </c>
    </row>
    <row r="7" spans="2:33" x14ac:dyDescent="0.25">
      <c r="B7" t="s">
        <v>18</v>
      </c>
      <c r="C7" t="s">
        <v>28</v>
      </c>
      <c r="D7">
        <v>0.86</v>
      </c>
      <c r="F7" s="27">
        <v>15</v>
      </c>
      <c r="G7" s="28">
        <v>17</v>
      </c>
      <c r="H7" s="28">
        <v>15</v>
      </c>
      <c r="I7" s="28">
        <v>8.1999999999999993</v>
      </c>
      <c r="J7" s="28"/>
      <c r="K7" s="27">
        <v>11.4</v>
      </c>
      <c r="L7" s="29">
        <v>14.099999999999998</v>
      </c>
      <c r="N7" s="42">
        <f t="shared" si="4"/>
        <v>16.800812690474331</v>
      </c>
      <c r="O7" s="43">
        <f t="shared" si="5"/>
        <v>19.089650850024807</v>
      </c>
      <c r="P7" s="43">
        <f t="shared" si="6"/>
        <v>16.903844641874365</v>
      </c>
      <c r="Q7" s="43">
        <f t="shared" si="7"/>
        <v>9.1264397566972946</v>
      </c>
      <c r="R7" s="43">
        <f t="shared" si="8"/>
        <v>0</v>
      </c>
      <c r="S7" s="42">
        <f t="shared" si="9"/>
        <v>13.254201084237993</v>
      </c>
      <c r="T7" s="44">
        <f t="shared" si="10"/>
        <v>16.573498257363489</v>
      </c>
      <c r="U7" s="4"/>
      <c r="V7" s="4" t="str">
        <f t="shared" si="11"/>
        <v>oats</v>
      </c>
      <c r="W7" s="42">
        <f>N7</f>
        <v>16.800812690474331</v>
      </c>
      <c r="X7" s="43">
        <f t="shared" si="13"/>
        <v>12.963626223585813</v>
      </c>
      <c r="Y7" s="43">
        <f t="shared" si="14"/>
        <v>9.5448254250124034</v>
      </c>
      <c r="Z7" s="43">
        <f t="shared" si="15"/>
        <v>8.4519223209371823</v>
      </c>
      <c r="AA7" s="73">
        <f t="shared" si="16"/>
        <v>8.4519223209371823</v>
      </c>
      <c r="AB7" s="43">
        <f t="shared" si="17"/>
        <v>16.800812690474331</v>
      </c>
      <c r="AC7" s="43">
        <f t="shared" si="18"/>
        <v>13.254201084237993</v>
      </c>
      <c r="AD7" s="43">
        <f t="shared" si="19"/>
        <v>14.91384967080074</v>
      </c>
      <c r="AE7" s="43">
        <f t="shared" si="20"/>
        <v>16.573498257363489</v>
      </c>
      <c r="AF7" s="73">
        <f t="shared" si="21"/>
        <v>16.573498257363489</v>
      </c>
    </row>
    <row r="8" spans="2:33" x14ac:dyDescent="0.25">
      <c r="B8" t="s">
        <v>64</v>
      </c>
      <c r="C8" t="s">
        <v>57</v>
      </c>
      <c r="D8">
        <v>0.86</v>
      </c>
      <c r="F8" s="27">
        <v>3.5000000000000004</v>
      </c>
      <c r="G8" s="28">
        <v>5.7</v>
      </c>
      <c r="H8" s="28">
        <v>3.9</v>
      </c>
      <c r="I8" s="28"/>
      <c r="J8" s="28"/>
      <c r="K8" s="27">
        <v>4.3999999999999995</v>
      </c>
      <c r="L8" s="29">
        <v>9.9</v>
      </c>
      <c r="N8" s="42">
        <f t="shared" si="4"/>
        <v>3.920189627777344</v>
      </c>
      <c r="O8" s="43">
        <f t="shared" si="5"/>
        <v>6.4006476379494952</v>
      </c>
      <c r="P8" s="43">
        <f t="shared" si="6"/>
        <v>4.3949996068873345</v>
      </c>
      <c r="Q8" s="43">
        <f t="shared" si="7"/>
        <v>0</v>
      </c>
      <c r="R8" s="43">
        <f t="shared" si="8"/>
        <v>0</v>
      </c>
      <c r="S8" s="42">
        <f t="shared" si="9"/>
        <v>5.1156565588286975</v>
      </c>
      <c r="T8" s="44">
        <f t="shared" si="10"/>
        <v>11.636711542404154</v>
      </c>
      <c r="U8" s="4"/>
      <c r="V8" s="4" t="str">
        <f t="shared" si="11"/>
        <v>barley</v>
      </c>
      <c r="W8" s="42">
        <f t="shared" si="12"/>
        <v>3.920189627777344</v>
      </c>
      <c r="X8" s="43">
        <f t="shared" si="13"/>
        <v>1.960094813888672</v>
      </c>
      <c r="Y8" s="43">
        <f t="shared" si="14"/>
        <v>3.2003238189747476</v>
      </c>
      <c r="Z8" s="43">
        <f t="shared" si="15"/>
        <v>2.1974998034436672</v>
      </c>
      <c r="AA8" s="73">
        <f t="shared" si="16"/>
        <v>2.1974998034436672</v>
      </c>
      <c r="AB8" s="43">
        <f t="shared" si="17"/>
        <v>3.920189627777344</v>
      </c>
      <c r="AC8" s="43">
        <f t="shared" si="18"/>
        <v>5.1156565588286975</v>
      </c>
      <c r="AD8" s="43">
        <f t="shared" si="19"/>
        <v>8.3761840506164251</v>
      </c>
      <c r="AE8" s="43">
        <f t="shared" si="20"/>
        <v>11.636711542404154</v>
      </c>
      <c r="AF8" s="73">
        <f t="shared" si="21"/>
        <v>11.636711542404154</v>
      </c>
    </row>
    <row r="9" spans="2:33" x14ac:dyDescent="0.25">
      <c r="B9" t="s">
        <v>87</v>
      </c>
      <c r="C9" t="s">
        <v>81</v>
      </c>
      <c r="D9">
        <v>0.85</v>
      </c>
      <c r="F9" s="27"/>
      <c r="G9" s="28"/>
      <c r="H9" s="28"/>
      <c r="I9" s="28"/>
      <c r="J9" s="28"/>
      <c r="K9" s="27">
        <v>7.1999999999999993</v>
      </c>
      <c r="L9" s="29">
        <v>0</v>
      </c>
      <c r="N9" s="42">
        <f t="shared" si="4"/>
        <v>0</v>
      </c>
      <c r="O9" s="43">
        <f t="shared" si="5"/>
        <v>0</v>
      </c>
      <c r="P9" s="43">
        <f t="shared" si="6"/>
        <v>0</v>
      </c>
      <c r="Q9" s="43">
        <f t="shared" si="7"/>
        <v>0</v>
      </c>
      <c r="R9" s="43">
        <f t="shared" si="8"/>
        <v>0</v>
      </c>
      <c r="S9" s="42">
        <f t="shared" si="9"/>
        <v>8.2737362949343645</v>
      </c>
      <c r="T9" s="44">
        <f t="shared" si="10"/>
        <v>0</v>
      </c>
      <c r="U9" s="4"/>
      <c r="V9" s="4" t="str">
        <f t="shared" si="11"/>
        <v>peas</v>
      </c>
      <c r="W9" s="42">
        <f t="shared" si="12"/>
        <v>0</v>
      </c>
      <c r="X9" s="43">
        <f t="shared" si="13"/>
        <v>0</v>
      </c>
      <c r="Y9" s="43">
        <f t="shared" si="14"/>
        <v>0</v>
      </c>
      <c r="Z9" s="43">
        <f t="shared" si="15"/>
        <v>0</v>
      </c>
      <c r="AA9" s="73">
        <f t="shared" si="16"/>
        <v>0</v>
      </c>
      <c r="AB9" s="43">
        <f t="shared" si="17"/>
        <v>0</v>
      </c>
      <c r="AC9" s="43">
        <f t="shared" si="18"/>
        <v>8.2737362949343645</v>
      </c>
      <c r="AD9" s="43">
        <f t="shared" si="19"/>
        <v>4.1368681474671822</v>
      </c>
      <c r="AE9" s="43">
        <f t="shared" si="20"/>
        <v>0</v>
      </c>
      <c r="AF9" s="73">
        <f t="shared" si="21"/>
        <v>0</v>
      </c>
    </row>
    <row r="10" spans="2:33" x14ac:dyDescent="0.25">
      <c r="B10" t="s">
        <v>20</v>
      </c>
      <c r="C10" t="s">
        <v>83</v>
      </c>
      <c r="D10">
        <v>0.91</v>
      </c>
      <c r="F10" s="27"/>
      <c r="G10" s="28"/>
      <c r="H10" s="28"/>
      <c r="I10" s="28"/>
      <c r="J10" s="28"/>
      <c r="K10" s="27">
        <v>3</v>
      </c>
      <c r="L10" s="29">
        <v>3.5000000000000004</v>
      </c>
      <c r="N10" s="42">
        <f t="shared" si="4"/>
        <v>0</v>
      </c>
      <c r="O10" s="43">
        <f t="shared" si="5"/>
        <v>0</v>
      </c>
      <c r="P10" s="43">
        <f t="shared" si="6"/>
        <v>0</v>
      </c>
      <c r="Q10" s="43">
        <f t="shared" si="7"/>
        <v>0</v>
      </c>
      <c r="R10" s="43">
        <f t="shared" si="8"/>
        <v>0</v>
      </c>
      <c r="S10" s="42">
        <f t="shared" si="9"/>
        <v>3.6907353080344469</v>
      </c>
      <c r="T10" s="44">
        <f t="shared" si="10"/>
        <v>4.3531743319893401</v>
      </c>
      <c r="U10" s="4"/>
      <c r="V10" s="4" t="str">
        <f t="shared" si="11"/>
        <v>rapeseed</v>
      </c>
      <c r="W10" s="42">
        <f t="shared" si="12"/>
        <v>0</v>
      </c>
      <c r="X10" s="43">
        <f t="shared" si="13"/>
        <v>0</v>
      </c>
      <c r="Y10" s="43">
        <f t="shared" si="14"/>
        <v>0</v>
      </c>
      <c r="Z10" s="43">
        <f t="shared" si="15"/>
        <v>0</v>
      </c>
      <c r="AA10" s="73">
        <f t="shared" si="16"/>
        <v>0</v>
      </c>
      <c r="AB10" s="43">
        <f t="shared" si="17"/>
        <v>0</v>
      </c>
      <c r="AC10" s="43">
        <f t="shared" si="18"/>
        <v>3.6907353080344469</v>
      </c>
      <c r="AD10" s="43">
        <f t="shared" si="19"/>
        <v>4.021954820011894</v>
      </c>
      <c r="AE10" s="43">
        <f t="shared" si="20"/>
        <v>4.3531743319893401</v>
      </c>
      <c r="AF10" s="73">
        <f t="shared" si="21"/>
        <v>4.3531743319893401</v>
      </c>
    </row>
    <row r="11" spans="2:33" x14ac:dyDescent="0.25">
      <c r="B11" t="s">
        <v>21</v>
      </c>
      <c r="C11" t="s">
        <v>26</v>
      </c>
      <c r="D11">
        <v>0.88</v>
      </c>
      <c r="F11" s="27">
        <v>23.599999999999998</v>
      </c>
      <c r="G11" s="28">
        <v>20.7</v>
      </c>
      <c r="H11" s="28">
        <v>17.299999999999997</v>
      </c>
      <c r="I11" s="28">
        <v>19</v>
      </c>
      <c r="J11" s="28">
        <v>15.1</v>
      </c>
      <c r="K11" s="27"/>
      <c r="L11" s="29"/>
      <c r="N11" s="42">
        <f t="shared" si="4"/>
        <v>27.048006043083014</v>
      </c>
      <c r="O11" s="43">
        <f t="shared" si="5"/>
        <v>23.785025983861281</v>
      </c>
      <c r="P11" s="43">
        <f t="shared" si="6"/>
        <v>19.949157428519012</v>
      </c>
      <c r="Q11" s="43">
        <f t="shared" si="7"/>
        <v>21.638410767438849</v>
      </c>
      <c r="R11" s="43">
        <f t="shared" si="8"/>
        <v>19.700518902891027</v>
      </c>
      <c r="S11" s="42">
        <f t="shared" si="9"/>
        <v>0</v>
      </c>
      <c r="T11" s="44">
        <f t="shared" si="10"/>
        <v>0</v>
      </c>
      <c r="U11" s="4"/>
      <c r="V11" s="4" t="str">
        <f t="shared" si="11"/>
        <v>soybean meal</v>
      </c>
      <c r="W11" s="42">
        <f t="shared" si="12"/>
        <v>27.048006043083014</v>
      </c>
      <c r="X11" s="43">
        <f t="shared" si="13"/>
        <v>24.343208405260931</v>
      </c>
      <c r="Y11" s="43">
        <f t="shared" si="14"/>
        <v>21.742772443376154</v>
      </c>
      <c r="Z11" s="43">
        <f t="shared" si="15"/>
        <v>19.824838165705017</v>
      </c>
      <c r="AA11" s="73">
        <f t="shared" si="16"/>
        <v>19.824838165705017</v>
      </c>
      <c r="AB11" s="43">
        <f t="shared" si="17"/>
        <v>27.048006043083014</v>
      </c>
      <c r="AC11" s="43">
        <f t="shared" si="18"/>
        <v>0</v>
      </c>
      <c r="AD11" s="43">
        <f t="shared" si="19"/>
        <v>0</v>
      </c>
      <c r="AE11" s="43">
        <f t="shared" si="20"/>
        <v>0</v>
      </c>
      <c r="AF11" s="73">
        <f t="shared" si="21"/>
        <v>0</v>
      </c>
    </row>
    <row r="12" spans="2:33" x14ac:dyDescent="0.25">
      <c r="B12" t="s">
        <v>88</v>
      </c>
      <c r="C12" t="s">
        <v>84</v>
      </c>
      <c r="D12">
        <v>0.87</v>
      </c>
      <c r="F12" s="27"/>
      <c r="G12" s="28"/>
      <c r="H12" s="28"/>
      <c r="I12" s="28"/>
      <c r="J12" s="28"/>
      <c r="K12" s="27">
        <v>2</v>
      </c>
      <c r="L12" s="29">
        <v>2</v>
      </c>
      <c r="N12" s="42">
        <f t="shared" si="4"/>
        <v>0</v>
      </c>
      <c r="O12" s="43">
        <f t="shared" si="5"/>
        <v>0</v>
      </c>
      <c r="P12" s="43">
        <f t="shared" si="6"/>
        <v>0</v>
      </c>
      <c r="Q12" s="43">
        <f t="shared" si="7"/>
        <v>0</v>
      </c>
      <c r="R12" s="43">
        <f t="shared" si="8"/>
        <v>0</v>
      </c>
      <c r="S12" s="42">
        <f t="shared" si="9"/>
        <v>2.3523367897362411</v>
      </c>
      <c r="T12" s="44">
        <f t="shared" si="10"/>
        <v>2.3781862912594818</v>
      </c>
      <c r="U12" s="4"/>
      <c r="V12" s="4" t="str">
        <f t="shared" si="11"/>
        <v>soybeans</v>
      </c>
      <c r="W12" s="42">
        <f t="shared" si="12"/>
        <v>0</v>
      </c>
      <c r="X12" s="43">
        <f t="shared" si="13"/>
        <v>0</v>
      </c>
      <c r="Y12" s="43">
        <f t="shared" si="14"/>
        <v>0</v>
      </c>
      <c r="Z12" s="43">
        <f t="shared" si="15"/>
        <v>0</v>
      </c>
      <c r="AA12" s="73">
        <f t="shared" si="16"/>
        <v>0</v>
      </c>
      <c r="AB12" s="43">
        <f t="shared" si="17"/>
        <v>0</v>
      </c>
      <c r="AC12" s="43">
        <f t="shared" si="18"/>
        <v>2.3523367897362411</v>
      </c>
      <c r="AD12" s="43">
        <f t="shared" si="19"/>
        <v>2.3652615404978614</v>
      </c>
      <c r="AE12" s="43">
        <f t="shared" si="20"/>
        <v>2.3781862912594818</v>
      </c>
      <c r="AF12" s="73">
        <f t="shared" si="21"/>
        <v>2.3781862912594818</v>
      </c>
    </row>
    <row r="13" spans="2:33" x14ac:dyDescent="0.25">
      <c r="B13" t="s">
        <v>22</v>
      </c>
      <c r="C13" t="s">
        <v>30</v>
      </c>
      <c r="D13">
        <v>0.9</v>
      </c>
      <c r="F13" s="27"/>
      <c r="G13" s="28"/>
      <c r="H13" s="28"/>
      <c r="I13" s="28">
        <v>3</v>
      </c>
      <c r="J13" s="28">
        <v>2</v>
      </c>
      <c r="K13" s="27"/>
      <c r="L13" s="29"/>
      <c r="N13" s="42">
        <f t="shared" si="4"/>
        <v>0</v>
      </c>
      <c r="O13" s="43">
        <f t="shared" si="5"/>
        <v>0</v>
      </c>
      <c r="P13" s="43">
        <f t="shared" si="6"/>
        <v>0</v>
      </c>
      <c r="Q13" s="43">
        <f t="shared" si="7"/>
        <v>3.4942409732108191</v>
      </c>
      <c r="R13" s="43">
        <f t="shared" si="8"/>
        <v>2.6686434395848773</v>
      </c>
      <c r="S13" s="42">
        <f t="shared" si="9"/>
        <v>0</v>
      </c>
      <c r="T13" s="44">
        <f t="shared" si="10"/>
        <v>0</v>
      </c>
      <c r="U13" s="4"/>
      <c r="V13" s="4" t="str">
        <f t="shared" si="11"/>
        <v>rapeseed meal</v>
      </c>
      <c r="W13" s="42">
        <f>N13+N14</f>
        <v>0</v>
      </c>
      <c r="X13" s="43">
        <f>(N13+Q13+N14+Q14)/2</f>
        <v>1.7471204866054095</v>
      </c>
      <c r="Y13" s="43">
        <f>(O13+R13+O14+R14)/2</f>
        <v>1.3343217197924386</v>
      </c>
      <c r="Z13" s="43">
        <f>(P13+R13+P14+R14)/2</f>
        <v>1.3343217197924386</v>
      </c>
      <c r="AA13" s="73">
        <f t="shared" si="16"/>
        <v>1.3343217197924386</v>
      </c>
      <c r="AB13" s="43">
        <f t="shared" si="17"/>
        <v>0</v>
      </c>
      <c r="AC13" s="43">
        <f>S13+S14</f>
        <v>1.5817437034433346</v>
      </c>
      <c r="AD13" s="43">
        <f>(S13+S14+T13+T14)/2</f>
        <v>0.7908718517216673</v>
      </c>
      <c r="AE13" s="43">
        <f>T13+T14</f>
        <v>0</v>
      </c>
      <c r="AF13" s="73">
        <f t="shared" si="21"/>
        <v>0</v>
      </c>
    </row>
    <row r="14" spans="2:33" x14ac:dyDescent="0.25">
      <c r="B14" t="s">
        <v>22</v>
      </c>
      <c r="C14" t="s">
        <v>86</v>
      </c>
      <c r="D14">
        <v>0.9</v>
      </c>
      <c r="F14" s="27"/>
      <c r="G14" s="28"/>
      <c r="H14" s="28"/>
      <c r="I14" s="28"/>
      <c r="J14" s="28"/>
      <c r="K14" s="27">
        <v>1.3</v>
      </c>
      <c r="L14" s="29">
        <v>0</v>
      </c>
      <c r="N14" s="42">
        <f t="shared" si="4"/>
        <v>0</v>
      </c>
      <c r="O14" s="43">
        <f t="shared" si="5"/>
        <v>0</v>
      </c>
      <c r="P14" s="43">
        <f t="shared" si="6"/>
        <v>0</v>
      </c>
      <c r="Q14" s="43">
        <f t="shared" si="7"/>
        <v>0</v>
      </c>
      <c r="R14" s="43">
        <f t="shared" si="8"/>
        <v>0</v>
      </c>
      <c r="S14" s="42">
        <f t="shared" si="9"/>
        <v>1.5817437034433346</v>
      </c>
      <c r="T14" s="44">
        <f t="shared" si="10"/>
        <v>0</v>
      </c>
      <c r="U14" s="4"/>
      <c r="V14" s="4" t="str">
        <f>B15</f>
        <v>wheat bran, fine</v>
      </c>
      <c r="W14" s="42">
        <f>N15</f>
        <v>0</v>
      </c>
      <c r="X14" s="43">
        <f>(N15+Q15)/2</f>
        <v>0</v>
      </c>
      <c r="Y14" s="43">
        <f>(O15+R15)/2</f>
        <v>1.3788420860209438</v>
      </c>
      <c r="Z14" s="43">
        <f>(P15+R15)/2</f>
        <v>2.8828262179940776</v>
      </c>
      <c r="AA14" s="73">
        <f>Z14</f>
        <v>2.8828262179940776</v>
      </c>
      <c r="AB14" s="43">
        <f t="shared" si="17"/>
        <v>0</v>
      </c>
      <c r="AC14" s="43">
        <f>S15</f>
        <v>0</v>
      </c>
      <c r="AD14" s="43">
        <f>(S15+T15)/2</f>
        <v>0</v>
      </c>
      <c r="AE14" s="43">
        <f>T15</f>
        <v>0</v>
      </c>
      <c r="AF14" s="73">
        <f>AE14</f>
        <v>0</v>
      </c>
    </row>
    <row r="15" spans="2:33" x14ac:dyDescent="0.25">
      <c r="B15" t="s">
        <v>65</v>
      </c>
      <c r="C15" t="s">
        <v>58</v>
      </c>
      <c r="D15">
        <v>0.88</v>
      </c>
      <c r="F15" s="27">
        <v>0</v>
      </c>
      <c r="G15" s="28">
        <v>2.4</v>
      </c>
      <c r="H15" s="28">
        <v>5</v>
      </c>
      <c r="I15" s="28"/>
      <c r="J15" s="28"/>
      <c r="K15" s="27"/>
      <c r="L15" s="29"/>
      <c r="N15" s="42">
        <f t="shared" si="4"/>
        <v>0</v>
      </c>
      <c r="O15" s="43">
        <f t="shared" si="5"/>
        <v>2.7576841720418876</v>
      </c>
      <c r="P15" s="43">
        <f t="shared" si="6"/>
        <v>5.7656524359881551</v>
      </c>
      <c r="Q15" s="43">
        <f t="shared" si="7"/>
        <v>0</v>
      </c>
      <c r="R15" s="43">
        <f t="shared" si="8"/>
        <v>0</v>
      </c>
      <c r="S15" s="42">
        <f t="shared" si="9"/>
        <v>0</v>
      </c>
      <c r="T15" s="44">
        <f t="shared" si="10"/>
        <v>0</v>
      </c>
      <c r="U15" s="4"/>
      <c r="V15" s="4" t="str">
        <f>B16</f>
        <v>vegetable oils</v>
      </c>
      <c r="W15" s="42">
        <f t="shared" ref="W15:W17" si="22">N16</f>
        <v>5.8607486129561623</v>
      </c>
      <c r="X15" s="43">
        <f t="shared" ref="X15:X17" si="23">(N16+Q16)/2</f>
        <v>5.5834091194714803</v>
      </c>
      <c r="Y15" s="43">
        <f t="shared" ref="Y15:Y17" si="24">(O16+R16)/2</f>
        <v>5.5412311187951762</v>
      </c>
      <c r="Z15" s="43">
        <f t="shared" ref="Z15:Z17" si="25">(P16+R16)/2</f>
        <v>5.1583569914888532</v>
      </c>
      <c r="AA15" s="73">
        <f>Z15</f>
        <v>5.1583569914888532</v>
      </c>
      <c r="AB15" s="43">
        <f t="shared" si="17"/>
        <v>5.8607486129561623</v>
      </c>
      <c r="AC15" s="43">
        <f>S16</f>
        <v>0</v>
      </c>
      <c r="AD15" s="43">
        <f>(S16+T16)/2</f>
        <v>0</v>
      </c>
      <c r="AE15" s="43">
        <f>T16</f>
        <v>0</v>
      </c>
      <c r="AF15" s="73">
        <f>AE15</f>
        <v>0</v>
      </c>
    </row>
    <row r="16" spans="2:33" x14ac:dyDescent="0.25">
      <c r="B16" t="s">
        <v>23</v>
      </c>
      <c r="C16" t="s">
        <v>59</v>
      </c>
      <c r="D16">
        <v>1</v>
      </c>
      <c r="F16" s="27">
        <v>4.5</v>
      </c>
      <c r="G16" s="28">
        <v>4.3999999999999995</v>
      </c>
      <c r="H16" s="28">
        <v>3.8</v>
      </c>
      <c r="I16" s="28">
        <v>4.0999999999999996</v>
      </c>
      <c r="J16" s="28">
        <v>3.6</v>
      </c>
      <c r="K16" s="27"/>
      <c r="L16" s="29"/>
      <c r="N16" s="42">
        <f t="shared" si="4"/>
        <v>5.8607486129561623</v>
      </c>
      <c r="O16" s="43">
        <f t="shared" si="5"/>
        <v>5.7451753584205987</v>
      </c>
      <c r="P16" s="43">
        <f t="shared" si="6"/>
        <v>4.9794271038079518</v>
      </c>
      <c r="Q16" s="43">
        <f t="shared" si="7"/>
        <v>5.3060696259867983</v>
      </c>
      <c r="R16" s="43">
        <f t="shared" si="8"/>
        <v>5.3372868791697545</v>
      </c>
      <c r="S16" s="42">
        <f t="shared" si="9"/>
        <v>0</v>
      </c>
      <c r="T16" s="44">
        <f t="shared" si="10"/>
        <v>0</v>
      </c>
      <c r="U16" s="4"/>
      <c r="V16" s="4" t="str">
        <f>B17</f>
        <v>potatoe protein</v>
      </c>
      <c r="W16" s="42">
        <f t="shared" si="22"/>
        <v>0</v>
      </c>
      <c r="X16" s="43">
        <f t="shared" si="23"/>
        <v>0</v>
      </c>
      <c r="Y16" s="43">
        <f t="shared" si="24"/>
        <v>0</v>
      </c>
      <c r="Z16" s="43">
        <f t="shared" si="25"/>
        <v>0</v>
      </c>
      <c r="AA16" s="73">
        <f>Z16</f>
        <v>0</v>
      </c>
      <c r="AB16" s="43">
        <f t="shared" si="17"/>
        <v>0</v>
      </c>
      <c r="AC16" s="43">
        <f>S17</f>
        <v>6.1512255133907452</v>
      </c>
      <c r="AD16" s="43">
        <f>(S17+T17)/2</f>
        <v>6.8069050412576626</v>
      </c>
      <c r="AE16" s="43">
        <f>T17</f>
        <v>7.4625845691245809</v>
      </c>
      <c r="AF16" s="73">
        <f>AE16</f>
        <v>7.4625845691245809</v>
      </c>
    </row>
    <row r="17" spans="2:32" x14ac:dyDescent="0.25">
      <c r="B17" t="s">
        <v>97</v>
      </c>
      <c r="C17" t="s">
        <v>82</v>
      </c>
      <c r="D17">
        <v>0.91</v>
      </c>
      <c r="F17" s="27"/>
      <c r="G17" s="28"/>
      <c r="H17" s="28"/>
      <c r="I17" s="28"/>
      <c r="J17" s="28"/>
      <c r="K17" s="27">
        <v>5</v>
      </c>
      <c r="L17" s="29">
        <v>6</v>
      </c>
      <c r="N17" s="42">
        <f t="shared" si="4"/>
        <v>0</v>
      </c>
      <c r="O17" s="43">
        <f t="shared" si="5"/>
        <v>0</v>
      </c>
      <c r="P17" s="43">
        <f t="shared" si="6"/>
        <v>0</v>
      </c>
      <c r="Q17" s="43">
        <f t="shared" si="7"/>
        <v>0</v>
      </c>
      <c r="R17" s="43">
        <f t="shared" si="8"/>
        <v>0</v>
      </c>
      <c r="S17" s="42">
        <f t="shared" si="9"/>
        <v>6.1512255133907452</v>
      </c>
      <c r="T17" s="44">
        <f t="shared" si="10"/>
        <v>7.4625845691245809</v>
      </c>
      <c r="U17" s="4"/>
      <c r="V17" s="4" t="str">
        <f>B18</f>
        <v>maize gluten meal</v>
      </c>
      <c r="W17" s="45">
        <f t="shared" si="22"/>
        <v>0</v>
      </c>
      <c r="X17" s="46">
        <f t="shared" si="23"/>
        <v>0</v>
      </c>
      <c r="Y17" s="46">
        <f t="shared" si="24"/>
        <v>0</v>
      </c>
      <c r="Z17" s="46">
        <f t="shared" si="25"/>
        <v>0</v>
      </c>
      <c r="AA17" s="74">
        <f>Z17</f>
        <v>0</v>
      </c>
      <c r="AB17" s="46">
        <f t="shared" si="17"/>
        <v>0</v>
      </c>
      <c r="AC17" s="46">
        <f>S18</f>
        <v>1.5641687734050753</v>
      </c>
      <c r="AD17" s="46">
        <f>(S18+T18)/2</f>
        <v>0.78208438670253766</v>
      </c>
      <c r="AE17" s="46">
        <f>T18</f>
        <v>0</v>
      </c>
      <c r="AF17" s="74">
        <f>AE17</f>
        <v>0</v>
      </c>
    </row>
    <row r="18" spans="2:32" x14ac:dyDescent="0.25">
      <c r="B18" t="s">
        <v>27</v>
      </c>
      <c r="C18" t="s">
        <v>85</v>
      </c>
      <c r="D18">
        <v>0.89</v>
      </c>
      <c r="F18" s="27"/>
      <c r="G18" s="28"/>
      <c r="H18" s="28"/>
      <c r="I18" s="28"/>
      <c r="J18" s="28"/>
      <c r="K18" s="27">
        <v>1.3</v>
      </c>
      <c r="L18" s="29">
        <v>0</v>
      </c>
      <c r="N18" s="45">
        <f t="shared" si="4"/>
        <v>0</v>
      </c>
      <c r="O18" s="46">
        <f t="shared" si="5"/>
        <v>0</v>
      </c>
      <c r="P18" s="46">
        <f t="shared" si="6"/>
        <v>0</v>
      </c>
      <c r="Q18" s="46">
        <f t="shared" si="7"/>
        <v>0</v>
      </c>
      <c r="R18" s="46">
        <f t="shared" si="8"/>
        <v>0</v>
      </c>
      <c r="S18" s="45">
        <f t="shared" si="9"/>
        <v>1.5641687734050753</v>
      </c>
      <c r="T18" s="47">
        <f t="shared" si="10"/>
        <v>0</v>
      </c>
      <c r="U18" s="4"/>
      <c r="V18" s="4"/>
    </row>
    <row r="19" spans="2:32" x14ac:dyDescent="0.25">
      <c r="B19" t="s">
        <v>24</v>
      </c>
      <c r="C19" t="s">
        <v>60</v>
      </c>
      <c r="D19">
        <v>1</v>
      </c>
      <c r="F19" s="27">
        <v>9.9</v>
      </c>
      <c r="G19" s="28">
        <v>10.299999999999999</v>
      </c>
      <c r="H19" s="28">
        <v>10.6</v>
      </c>
      <c r="I19" s="28">
        <v>9.4</v>
      </c>
      <c r="J19" s="28">
        <v>10.8</v>
      </c>
      <c r="K19" s="27">
        <v>9.7000000000000011</v>
      </c>
      <c r="L19" s="29">
        <v>10.7</v>
      </c>
      <c r="N19" s="4"/>
      <c r="O19" s="4"/>
      <c r="P19" s="4"/>
      <c r="Q19" s="4"/>
      <c r="R19" s="4"/>
      <c r="S19" s="4"/>
      <c r="T19" s="4"/>
      <c r="U19" s="4"/>
      <c r="V19" s="57" t="s">
        <v>98</v>
      </c>
      <c r="W19" s="69">
        <f>(550+1650+2800)/1000/(15-0+1)*52*F24</f>
        <v>14.427074999999999</v>
      </c>
      <c r="X19" s="70">
        <f>(F31+I31)/2</f>
        <v>35.955136032867976</v>
      </c>
      <c r="Y19" s="70">
        <f>(G31+J31)/2</f>
        <v>31.729574287646834</v>
      </c>
      <c r="Z19" s="70">
        <f>H31</f>
        <v>36.30498550425397</v>
      </c>
      <c r="AA19" s="75">
        <f>48/448*365.25/(1+1/12.5)</f>
        <v>36.235119047619044</v>
      </c>
      <c r="AB19" s="69">
        <f>W19</f>
        <v>14.427074999999999</v>
      </c>
      <c r="AC19" s="70">
        <f>K31</f>
        <v>31.765466750719003</v>
      </c>
      <c r="AD19" s="70">
        <f>(K31+L31)/2</f>
        <v>34.907873896644638</v>
      </c>
      <c r="AE19" s="70">
        <f>L31</f>
        <v>38.050281042570276</v>
      </c>
      <c r="AF19" s="75">
        <f>AA19</f>
        <v>36.235119047619044</v>
      </c>
    </row>
    <row r="20" spans="2:32" x14ac:dyDescent="0.25">
      <c r="B20" t="s">
        <v>24</v>
      </c>
      <c r="C20" t="s">
        <v>61</v>
      </c>
      <c r="D20">
        <v>1</v>
      </c>
      <c r="F20" s="27">
        <v>1</v>
      </c>
      <c r="G20" s="28">
        <v>0.70000000000000007</v>
      </c>
      <c r="H20" s="28">
        <v>0.59</v>
      </c>
      <c r="I20" s="28">
        <v>1</v>
      </c>
      <c r="J20" s="28">
        <v>0.51</v>
      </c>
      <c r="K20" s="27">
        <v>1.44</v>
      </c>
      <c r="L20" s="29">
        <v>1.27</v>
      </c>
      <c r="N20" s="4"/>
      <c r="O20" s="4"/>
      <c r="P20" s="4"/>
      <c r="Q20" s="4"/>
      <c r="R20" s="4"/>
      <c r="S20" s="4"/>
      <c r="T20" s="4"/>
      <c r="U20" s="4"/>
    </row>
    <row r="21" spans="2:32" x14ac:dyDescent="0.25">
      <c r="B21" t="s">
        <v>24</v>
      </c>
      <c r="C21" t="s">
        <v>62</v>
      </c>
      <c r="D21">
        <v>1</v>
      </c>
      <c r="F21" s="27">
        <v>0.3</v>
      </c>
      <c r="G21" s="28">
        <v>0.3</v>
      </c>
      <c r="H21" s="28">
        <v>0.3</v>
      </c>
      <c r="I21" s="28">
        <v>0.2</v>
      </c>
      <c r="J21" s="28">
        <v>0.2</v>
      </c>
      <c r="K21" s="27">
        <v>0.3</v>
      </c>
      <c r="L21" s="29">
        <v>0.3</v>
      </c>
      <c r="N21" s="4"/>
      <c r="O21" s="4"/>
      <c r="P21" s="4"/>
      <c r="Q21" s="4"/>
      <c r="R21" s="4"/>
      <c r="S21" s="4"/>
      <c r="T21" s="4"/>
      <c r="U21" s="4"/>
      <c r="W21" s="8"/>
    </row>
    <row r="22" spans="2:32" x14ac:dyDescent="0.25">
      <c r="B22" t="s">
        <v>25</v>
      </c>
      <c r="C22" t="s">
        <v>63</v>
      </c>
      <c r="D22">
        <v>1</v>
      </c>
      <c r="F22" s="30">
        <v>0.8</v>
      </c>
      <c r="G22" s="31">
        <v>0.8</v>
      </c>
      <c r="H22" s="31">
        <v>0.8</v>
      </c>
      <c r="I22" s="31">
        <v>0.7</v>
      </c>
      <c r="J22" s="31">
        <v>0.9</v>
      </c>
      <c r="K22" s="30">
        <v>0.8</v>
      </c>
      <c r="L22" s="32">
        <v>0.3</v>
      </c>
      <c r="N22" s="4"/>
      <c r="O22" s="4"/>
      <c r="P22" s="4"/>
      <c r="Q22" s="4"/>
      <c r="R22" s="4"/>
      <c r="S22" s="4"/>
      <c r="T22" s="4"/>
      <c r="U22" s="4"/>
    </row>
    <row r="24" spans="2:32" x14ac:dyDescent="0.25">
      <c r="E24" s="9" t="s">
        <v>35</v>
      </c>
      <c r="F24" s="33">
        <f>SUMPRODUCT(F$5:F$22/100,$D$5:$D$22)</f>
        <v>0.88781999999999994</v>
      </c>
      <c r="G24" s="34">
        <f>SUMPRODUCT(G$5:G$22/100,$D$5:$D$22)</f>
        <v>0.88685999999999998</v>
      </c>
      <c r="H24" s="34">
        <f>SUMPRODUCT(H$5:H$22/100,$D$5:$D$22)</f>
        <v>0.88603999999999994</v>
      </c>
      <c r="I24" s="34">
        <f>SUMPRODUCT(I$5:I$22/100,$D$5:$D$22)</f>
        <v>0.88570000000000004</v>
      </c>
      <c r="J24" s="34">
        <f>SUMPRODUCT(J$5:J$22/100,$D$5:$D$22)</f>
        <v>0.79860000000000009</v>
      </c>
      <c r="K24" s="33">
        <f t="shared" ref="K24:L24" si="26">SUMPRODUCT(K$5:K$22/100,$D$5:$D$22)</f>
        <v>0.86208999999999991</v>
      </c>
      <c r="L24" s="35">
        <f t="shared" si="26"/>
        <v>0.85735000000000006</v>
      </c>
    </row>
    <row r="25" spans="2:32" x14ac:dyDescent="0.25">
      <c r="E25" s="9" t="s">
        <v>66</v>
      </c>
      <c r="F25" s="36">
        <f>SUMPRODUCT(F$5:F$18/100,$D$5:$D$18)</f>
        <v>0.76781999999999995</v>
      </c>
      <c r="G25" s="37">
        <f t="shared" ref="G25:L25" si="27">SUMPRODUCT(G$5:G$18/100,$D$5:$D$18)</f>
        <v>0.76585999999999999</v>
      </c>
      <c r="H25" s="37">
        <f t="shared" si="27"/>
        <v>0.76313999999999993</v>
      </c>
      <c r="I25" s="37">
        <f t="shared" si="27"/>
        <v>0.77270000000000005</v>
      </c>
      <c r="J25" s="37">
        <f t="shared" si="27"/>
        <v>0.6745000000000001</v>
      </c>
      <c r="K25" s="36">
        <f t="shared" si="27"/>
        <v>0.73968999999999996</v>
      </c>
      <c r="L25" s="38">
        <f t="shared" si="27"/>
        <v>0.73165000000000002</v>
      </c>
    </row>
    <row r="27" spans="2:32" x14ac:dyDescent="0.25">
      <c r="E27" s="9" t="s">
        <v>99</v>
      </c>
      <c r="F27" s="24">
        <v>31500</v>
      </c>
      <c r="G27" s="34"/>
      <c r="H27" s="34"/>
      <c r="I27" s="25">
        <v>12560</v>
      </c>
      <c r="J27" s="34"/>
      <c r="K27" s="24">
        <v>8300</v>
      </c>
      <c r="L27" s="26"/>
    </row>
    <row r="28" spans="2:32" x14ac:dyDescent="0.25">
      <c r="E28" s="58" t="s">
        <v>100</v>
      </c>
      <c r="F28" s="59" t="s">
        <v>106</v>
      </c>
      <c r="G28" s="60" t="s">
        <v>101</v>
      </c>
      <c r="H28" s="60" t="s">
        <v>102</v>
      </c>
      <c r="I28" s="60" t="s">
        <v>107</v>
      </c>
      <c r="J28" s="60" t="s">
        <v>108</v>
      </c>
      <c r="K28" s="59" t="s">
        <v>109</v>
      </c>
      <c r="L28" s="61" t="s">
        <v>110</v>
      </c>
    </row>
    <row r="29" spans="2:32" x14ac:dyDescent="0.25">
      <c r="E29" s="9" t="s">
        <v>103</v>
      </c>
      <c r="F29" s="62">
        <f>(20828+279029)</f>
        <v>299857</v>
      </c>
      <c r="G29" s="28">
        <v>799439</v>
      </c>
      <c r="H29" s="28">
        <v>496421</v>
      </c>
      <c r="I29" s="28">
        <v>221000</v>
      </c>
      <c r="J29" s="28">
        <v>303200</v>
      </c>
      <c r="K29" s="27">
        <v>182322</v>
      </c>
      <c r="L29" s="29">
        <v>212518</v>
      </c>
    </row>
    <row r="30" spans="2:32" x14ac:dyDescent="0.25">
      <c r="E30" s="9" t="s">
        <v>104</v>
      </c>
      <c r="F30" s="42">
        <f>F29/$F$27/(28-15+1)*52</f>
        <v>35.357287981859415</v>
      </c>
      <c r="G30" s="43">
        <f>G29/$F$27/(59-29+1)*52</f>
        <v>42.57125243215566</v>
      </c>
      <c r="H30" s="43">
        <f>H29/$F$27/(79-60+1)*52</f>
        <v>40.974431746031748</v>
      </c>
      <c r="I30" s="43">
        <f>I29/$I$27/(35-16+1)*52</f>
        <v>45.748407643312099</v>
      </c>
      <c r="J30" s="43">
        <f>J29/$I$27/(74-36+1)*52</f>
        <v>32.186836518046711</v>
      </c>
      <c r="K30" s="42">
        <f>K29/$K$27/(45-15+1)*52</f>
        <v>36.847042363000391</v>
      </c>
      <c r="L30" s="44">
        <f>L29/$K$27/(75-46+1)*52</f>
        <v>44.381269076305216</v>
      </c>
    </row>
    <row r="31" spans="2:32" x14ac:dyDescent="0.25">
      <c r="E31" s="9" t="s">
        <v>105</v>
      </c>
      <c r="F31" s="45">
        <f>F30*F24</f>
        <v>31.390907416054425</v>
      </c>
      <c r="G31" s="46">
        <f t="shared" ref="G31:J31" si="28">G30*G24</f>
        <v>37.754740931981566</v>
      </c>
      <c r="H31" s="46">
        <f t="shared" si="28"/>
        <v>36.30498550425397</v>
      </c>
      <c r="I31" s="46">
        <f t="shared" si="28"/>
        <v>40.519364649681528</v>
      </c>
      <c r="J31" s="46">
        <f t="shared" si="28"/>
        <v>25.704407643312106</v>
      </c>
      <c r="K31" s="45">
        <f t="shared" ref="K31" si="29">K30*K24</f>
        <v>31.765466750719003</v>
      </c>
      <c r="L31" s="47">
        <f t="shared" ref="L31" si="30">L30*L24</f>
        <v>38.050281042570276</v>
      </c>
    </row>
    <row r="32" spans="2:32" x14ac:dyDescent="0.25">
      <c r="F32" s="19"/>
      <c r="G32" s="19"/>
      <c r="H32" s="5"/>
      <c r="I32" s="5"/>
    </row>
    <row r="33" spans="6:10" x14ac:dyDescent="0.25">
      <c r="F33" s="19"/>
      <c r="G33" s="19"/>
      <c r="H33" s="19"/>
      <c r="I33" s="19"/>
      <c r="J33" s="19"/>
    </row>
    <row r="34" spans="6:10" x14ac:dyDescent="0.25">
      <c r="F34" s="19"/>
      <c r="G34" s="19"/>
      <c r="H34" s="5"/>
      <c r="I34" s="5"/>
    </row>
    <row r="35" spans="6:10" x14ac:dyDescent="0.25">
      <c r="F35" s="19"/>
      <c r="G35" s="19"/>
      <c r="H35" s="5"/>
      <c r="I35" s="5"/>
    </row>
    <row r="36" spans="6:10" x14ac:dyDescent="0.25">
      <c r="F36" s="19"/>
      <c r="G36" s="19"/>
      <c r="H36" s="5"/>
      <c r="I36" s="5"/>
    </row>
    <row r="37" spans="6:10" x14ac:dyDescent="0.25">
      <c r="F37" s="19"/>
      <c r="G37" s="19"/>
      <c r="H37" s="5"/>
      <c r="I37" s="5"/>
    </row>
    <row r="38" spans="6:10" x14ac:dyDescent="0.25">
      <c r="F38" s="19"/>
      <c r="G38" s="19"/>
      <c r="H38" s="5"/>
      <c r="I38" s="5"/>
    </row>
    <row r="39" spans="6:10" x14ac:dyDescent="0.25">
      <c r="F39" s="19"/>
      <c r="G39" s="19"/>
      <c r="H39" s="5"/>
      <c r="I39" s="5"/>
    </row>
    <row r="40" spans="6:10" x14ac:dyDescent="0.25">
      <c r="F40" s="19"/>
      <c r="G40" s="19"/>
      <c r="H40" s="5"/>
      <c r="I40" s="5"/>
    </row>
    <row r="41" spans="6:10" x14ac:dyDescent="0.25">
      <c r="F41" s="19"/>
      <c r="G41" s="19"/>
    </row>
    <row r="42" spans="6:10" x14ac:dyDescent="0.25">
      <c r="F42" s="19"/>
      <c r="G42" s="19"/>
    </row>
    <row r="43" spans="6:10" x14ac:dyDescent="0.25">
      <c r="F43" s="19"/>
      <c r="G43" s="19"/>
    </row>
    <row r="44" spans="6:10" x14ac:dyDescent="0.25">
      <c r="F44" s="19"/>
      <c r="G44" s="19"/>
    </row>
    <row r="45" spans="6:10" x14ac:dyDescent="0.25">
      <c r="F45" s="19"/>
      <c r="G45" s="19"/>
    </row>
    <row r="46" spans="6:10" x14ac:dyDescent="0.25">
      <c r="F46" s="19"/>
      <c r="G46" s="19"/>
    </row>
    <row r="47" spans="6:10" x14ac:dyDescent="0.25">
      <c r="F47" s="19"/>
      <c r="G47" s="19"/>
    </row>
    <row r="48" spans="6:10" x14ac:dyDescent="0.25">
      <c r="F48" s="19"/>
      <c r="G48" s="19"/>
    </row>
    <row r="49" spans="6:7" x14ac:dyDescent="0.25">
      <c r="F49" s="19"/>
      <c r="G49" s="19"/>
    </row>
    <row r="50" spans="6:7" x14ac:dyDescent="0.25">
      <c r="F50" s="19"/>
      <c r="G50" s="1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Feed rations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2023-05-30T05:07:13Z</dcterms:created>
  <dcterms:modified xsi:type="dcterms:W3CDTF">2023-09-20T14:05:33Z</dcterms:modified>
</cp:coreProperties>
</file>