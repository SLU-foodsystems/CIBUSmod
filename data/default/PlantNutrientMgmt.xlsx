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09" i="1" l="1"/>
  <c r="P310" i="1"/>
  <c r="P311" i="1"/>
  <c r="P312" i="1"/>
  <c r="P313" i="1"/>
  <c r="P314" i="1"/>
  <c r="P315" i="1"/>
  <c r="P308" i="1"/>
  <c r="P300" i="1"/>
  <c r="P301" i="1"/>
  <c r="P302" i="1"/>
  <c r="P303" i="1"/>
  <c r="P304" i="1"/>
  <c r="P305" i="1"/>
  <c r="P306" i="1"/>
  <c r="P307" i="1"/>
  <c r="P260" i="1"/>
  <c r="R141" i="1"/>
  <c r="P143" i="1"/>
  <c r="P142" i="1"/>
  <c r="P141" i="1"/>
  <c r="P138" i="1"/>
  <c r="R138" i="1"/>
  <c r="P139" i="1"/>
  <c r="P140" i="1"/>
  <c r="P407" i="1" l="1"/>
  <c r="P409" i="1" s="1"/>
  <c r="P406" i="1"/>
  <c r="P408" i="1" s="1"/>
  <c r="P401" i="1"/>
  <c r="P400" i="1"/>
  <c r="P415" i="1" l="1"/>
  <c r="P414" i="1"/>
  <c r="P387" i="1"/>
  <c r="P388" i="1"/>
  <c r="P386" i="1"/>
  <c r="P370" i="1"/>
  <c r="P371" i="1"/>
  <c r="P372" i="1"/>
  <c r="P373" i="1"/>
  <c r="P374" i="1"/>
  <c r="P375" i="1"/>
  <c r="P376" i="1"/>
  <c r="P377" i="1"/>
  <c r="P378" i="1"/>
  <c r="P379" i="1"/>
  <c r="P380" i="1"/>
  <c r="P369" i="1"/>
  <c r="P293" i="1"/>
  <c r="P294" i="1"/>
  <c r="P295" i="1"/>
  <c r="P296" i="1"/>
  <c r="P297" i="1"/>
  <c r="P298" i="1"/>
  <c r="P299" i="1"/>
  <c r="P285" i="1"/>
  <c r="P286" i="1"/>
  <c r="P287" i="1"/>
  <c r="P288" i="1"/>
  <c r="P289" i="1"/>
  <c r="P290" i="1"/>
  <c r="P291" i="1"/>
  <c r="P292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43" i="1"/>
  <c r="P244" i="1"/>
  <c r="P245" i="1"/>
  <c r="P246" i="1"/>
  <c r="P247" i="1"/>
  <c r="P248" i="1"/>
  <c r="P249" i="1"/>
  <c r="P235" i="1"/>
  <c r="P236" i="1"/>
  <c r="P237" i="1"/>
  <c r="P238" i="1"/>
  <c r="P239" i="1"/>
  <c r="P240" i="1"/>
  <c r="P241" i="1"/>
  <c r="P242" i="1"/>
  <c r="P234" i="1"/>
  <c r="P227" i="1"/>
  <c r="P228" i="1"/>
  <c r="P229" i="1"/>
  <c r="P230" i="1"/>
  <c r="P231" i="1"/>
  <c r="P232" i="1"/>
  <c r="P233" i="1"/>
  <c r="P226" i="1"/>
  <c r="P502" i="1" l="1"/>
  <c r="P500" i="1" l="1"/>
  <c r="P501" i="1"/>
  <c r="P499" i="1"/>
  <c r="P466" i="1"/>
  <c r="P465" i="1"/>
  <c r="P464" i="1"/>
  <c r="P163" i="1" l="1"/>
  <c r="P162" i="1"/>
  <c r="P151" i="1"/>
  <c r="P150" i="1"/>
  <c r="P170" i="1"/>
  <c r="S159" i="1" l="1"/>
  <c r="R159" i="1"/>
  <c r="P159" i="1"/>
  <c r="R125" i="1"/>
  <c r="R78" i="1" l="1"/>
  <c r="R81" i="1" s="1"/>
  <c r="R84" i="1" s="1"/>
  <c r="P80" i="1"/>
  <c r="P83" i="1" s="1"/>
  <c r="P86" i="1" s="1"/>
  <c r="P79" i="1"/>
  <c r="P82" i="1" s="1"/>
  <c r="P85" i="1" s="1"/>
  <c r="P78" i="1"/>
  <c r="P81" i="1" s="1"/>
  <c r="P84" i="1" s="1"/>
  <c r="R93" i="1" l="1"/>
  <c r="P95" i="1"/>
  <c r="P94" i="1"/>
  <c r="P93" i="1"/>
  <c r="R72" i="1"/>
  <c r="P74" i="1"/>
  <c r="P73" i="1"/>
  <c r="P72" i="1"/>
  <c r="P71" i="1"/>
  <c r="P70" i="1"/>
  <c r="R69" i="1"/>
  <c r="P69" i="1"/>
  <c r="R46" i="1"/>
  <c r="P48" i="1"/>
  <c r="P47" i="1"/>
  <c r="P46" i="1"/>
  <c r="R54" i="1"/>
  <c r="R106" i="1" s="1"/>
  <c r="P56" i="1"/>
  <c r="P111" i="1" s="1"/>
  <c r="P55" i="1"/>
  <c r="P107" i="1" s="1"/>
  <c r="P54" i="1"/>
  <c r="P98" i="1" s="1"/>
  <c r="R104" i="1"/>
  <c r="R96" i="1"/>
  <c r="R34" i="1"/>
  <c r="P35" i="1"/>
  <c r="P36" i="1"/>
  <c r="P37" i="1"/>
  <c r="P34" i="1"/>
  <c r="R98" i="1" l="1"/>
  <c r="P102" i="1"/>
  <c r="P103" i="1"/>
  <c r="R109" i="1"/>
  <c r="P100" i="1"/>
  <c r="R101" i="1"/>
  <c r="P110" i="1"/>
  <c r="P108" i="1"/>
  <c r="P106" i="1"/>
  <c r="P99" i="1"/>
  <c r="P109" i="1"/>
  <c r="P101" i="1"/>
  <c r="P161" i="1"/>
  <c r="P160" i="1"/>
  <c r="P126" i="1"/>
  <c r="P127" i="1"/>
  <c r="P125" i="1"/>
  <c r="P97" i="1"/>
  <c r="P96" i="1"/>
  <c r="P105" i="1"/>
  <c r="P104" i="1"/>
</calcChain>
</file>

<file path=xl/sharedStrings.xml><?xml version="1.0" encoding="utf-8"?>
<sst xmlns="http://schemas.openxmlformats.org/spreadsheetml/2006/main" count="1764" uniqueCount="278">
  <si>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</si>
  <si>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</si>
  <si>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</si>
  <si>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</si>
  <si>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</si>
  <si>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</si>
  <si>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</si>
  <si>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</si>
  <si>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</si>
  <si>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</si>
  <si>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</si>
  <si>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</si>
  <si>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</si>
  <si>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</si>
  <si>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</si>
  <si>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</si>
  <si>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</si>
  <si>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</si>
  <si>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</si>
  <si>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</si>
  <si>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</si>
  <si>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</si>
  <si>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</si>
  <si>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</si>
  <si>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</si>
  <si>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</si>
  <si>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</si>
  <si>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</si>
  <si>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</si>
  <si>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</si>
  <si>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</si>
  <si>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</si>
  <si>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</si>
  <si>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</si>
  <si>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</si>
  <si>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</si>
  <si>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</si>
  <si>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</si>
  <si>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</si>
  <si>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</si>
  <si>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</si>
  <si>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</si>
  <si>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</si>
  <si>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</si>
  <si>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</si>
  <si>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</si>
  <si>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</si>
  <si>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</si>
  <si>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</si>
  <si>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</si>
  <si>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</si>
  <si>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</si>
  <si>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</si>
  <si>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</si>
  <si>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</si>
  <si>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</si>
  <si>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</si>
  <si>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</si>
  <si>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</si>
  <si>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</si>
  <si>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</si>
  <si>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</si>
  <si>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</si>
  <si>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</si>
  <si>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</si>
  <si>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</si>
  <si>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</si>
  <si>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</si>
  <si>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</si>
  <si>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</si>
  <si>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</si>
  <si>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</si>
  <si>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</si>
  <si>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</si>
  <si>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</si>
  <si>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</si>
  <si>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</si>
  <si>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</si>
  <si>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</si>
  <si>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</si>
  <si>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</si>
  <si>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</si>
  <si>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</si>
  <si>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</si>
  <si>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</si>
  <si>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</si>
  <si>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</si>
  <si>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</si>
  <si>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</si>
  <si>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</si>
  <si>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</si>
  <si>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</si>
  <si>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</si>
  <si>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</si>
  <si>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</si>
  <si>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</si>
  <si>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</si>
  <si>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</si>
  <si>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</si>
  <si>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</si>
  <si>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</si>
  <si>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</si>
  <si>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</si>
  <si>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</si>
  <si>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</si>
  <si>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</si>
  <si>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</si>
  <si>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</si>
  <si>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</si>
  <si>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</si>
  <si>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</si>
  <si>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</si>
  <si>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</si>
  <si>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</si>
  <si>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</si>
  <si>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</si>
  <si>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</si>
  <si>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</si>
  <si>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</si>
  <si>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</si>
  <si>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</si>
  <si>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</si>
  <si>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</si>
  <si>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</si>
  <si>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</si>
  <si>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</si>
  <si>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</si>
  <si>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</si>
  <si>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</si>
  <si>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</si>
  <si>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</si>
  <si>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</si>
  <si>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</si>
  <si>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</si>
  <si>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</si>
  <si>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</si>
  <si>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</si>
  <si>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</si>
  <si>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</si>
  <si>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</si>
  <si>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</si>
  <si>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</si>
  <si>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</si>
  <si>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</si>
  <si>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</si>
  <si>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</si>
  <si>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</si>
  <si>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</si>
  <si>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</si>
  <si>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</si>
  <si>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</si>
  <si>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</si>
  <si>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</si>
  <si>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</si>
  <si>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</si>
  <si>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</si>
  <si>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</si>
  <si>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</si>
  <si>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</si>
  <si>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</si>
  <si>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</si>
  <si>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</si>
  <si>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</si>
  <si>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</si>
  <si>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</si>
  <si>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</si>
  <si>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</si>
  <si>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</si>
  <si>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</si>
  <si>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</si>
  <si>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</si>
  <si>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</si>
  <si>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</si>
  <si>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</si>
  <si>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</si>
  <si>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</si>
  <si>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</si>
  <si>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</si>
  <si>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</si>
  <si>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</si>
  <si>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</si>
  <si>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</si>
  <si>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</si>
  <si>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</si>
  <si>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</si>
  <si>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</si>
  <si>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</si>
  <si>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</si>
  <si>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</si>
  <si>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</si>
  <si>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</si>
  <si>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</si>
  <si>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</si>
  <si>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</si>
  <si>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</si>
  <si>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</si>
  <si>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</si>
  <si>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NITROGEN REQUIREMENTS</t>
  </si>
  <si>
    <t>PHOSPHOROUS REQUIREMENTS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</si>
  <si>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</si>
  <si>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</si>
  <si>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TAN recommendation</t>
  </si>
  <si>
    <t>P_rec_a</t>
  </si>
  <si>
    <t>P_rec_m</t>
  </si>
  <si>
    <t>f_P_class</t>
  </si>
  <si>
    <t>Assume same as ley with 0% legumes here!!!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</si>
  <si>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</si>
  <si>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</si>
  <si>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</si>
  <si>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</si>
  <si>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</si>
  <si>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</si>
  <si>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</si>
  <si>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</si>
  <si>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</si>
  <si>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</si>
  <si>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</si>
  <si>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</si>
  <si>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</si>
  <si>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</si>
  <si>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</si>
  <si>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POTASSIUM REQUIREMENTS</t>
  </si>
  <si>
    <t xml:space="preserve">Potassium requirements per hectare are calculated from recommendations as a function of yield in tonnes with the </t>
  </si>
  <si>
    <t>equation: K_req = max( K_rec_a*Y + K_rec_m, 0 ).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</si>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</sst>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2"/>
  <sheetViews>
    <sheetView tabSelected="1" zoomScale="80" zoomScaleNormal="80" workbookViewId="0">
      <pane ySplit="1" topLeftCell="A459" activePane="bottomLeft" state="frozen"/>
      <selection pane="bottomLeft" activeCell="R502" sqref="R502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8" width="28.42578125" customWidth="1"/>
    <col min="9" max="13" width="11.140625" customWidth="1"/>
    <col min="14" max="14" width="12.140625" bestFit="1" customWidth="1"/>
    <col min="15" max="15" width="23.7109375" customWidth="1"/>
    <col min="16" max="16" width="11" customWidth="1"/>
    <col min="17" max="17" width="9.5703125" bestFit="1" customWidth="1"/>
    <col min="18" max="18" width="35.42578125" customWidth="1"/>
    <col min="19" max="19" width="27.42578125" customWidth="1"/>
  </cols>
  <sheetData>
    <row r="1" spans="1:19" x14ac:dyDescent="0.25">
      <c r="A1" s="1" t="s">
        <v>0</v>
      </c>
      <c r="B1" s="1" t="s">
        <v>242</v>
      </c>
      <c r="C1" s="1" t="s">
        <v>186</v>
      </c>
      <c r="D1" s="1" t="s">
        <v>180</v>
      </c>
      <c r="E1" s="1" t="s">
        <v>86</v>
      </c>
      <c r="F1" s="1" t="s">
        <v>8</v>
      </c>
      <c r="G1" s="1" t="s">
        <v>151</v>
      </c>
      <c r="H1" s="1" t="s">
        <v>275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204</v>
      </c>
      <c r="N1" s="1" t="s">
        <v>123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5</v>
      </c>
    </row>
    <row r="3" spans="1:19" x14ac:dyDescent="0.25">
      <c r="A3" s="2" t="s">
        <v>116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x14ac:dyDescent="0.25">
      <c r="E4" t="s">
        <v>108</v>
      </c>
      <c r="O4" t="s">
        <v>113</v>
      </c>
      <c r="P4">
        <v>91</v>
      </c>
      <c r="Q4" t="s">
        <v>107</v>
      </c>
      <c r="R4" t="s">
        <v>114</v>
      </c>
      <c r="S4" t="s">
        <v>115</v>
      </c>
    </row>
    <row r="5" spans="1:19" x14ac:dyDescent="0.25">
      <c r="O5" t="s">
        <v>110</v>
      </c>
      <c r="P5">
        <v>22</v>
      </c>
      <c r="Q5" t="s">
        <v>109</v>
      </c>
      <c r="R5" t="s">
        <v>112</v>
      </c>
      <c r="S5" t="s">
        <v>111</v>
      </c>
    </row>
    <row r="7" spans="1:19" x14ac:dyDescent="0.25">
      <c r="A7" s="2" t="s">
        <v>154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19" x14ac:dyDescent="0.25">
      <c r="E8" t="s">
        <v>108</v>
      </c>
      <c r="O8" s="6" t="s">
        <v>150</v>
      </c>
      <c r="P8" s="6">
        <v>0</v>
      </c>
      <c r="Q8" s="6" t="s">
        <v>120</v>
      </c>
      <c r="R8" s="6" t="s">
        <v>155</v>
      </c>
    </row>
    <row r="9" spans="1:19" x14ac:dyDescent="0.25">
      <c r="E9" t="s">
        <v>153</v>
      </c>
      <c r="G9" t="s">
        <v>118</v>
      </c>
      <c r="O9" t="s">
        <v>150</v>
      </c>
      <c r="P9">
        <v>59</v>
      </c>
      <c r="Q9" t="s">
        <v>120</v>
      </c>
      <c r="R9" s="6" t="s">
        <v>122</v>
      </c>
      <c r="S9" t="s">
        <v>121</v>
      </c>
    </row>
    <row r="10" spans="1:19" x14ac:dyDescent="0.25">
      <c r="E10" t="s">
        <v>153</v>
      </c>
      <c r="G10" t="s">
        <v>119</v>
      </c>
      <c r="O10" t="s">
        <v>150</v>
      </c>
      <c r="P10">
        <v>7</v>
      </c>
      <c r="Q10" t="s">
        <v>120</v>
      </c>
      <c r="S10" t="s">
        <v>121</v>
      </c>
    </row>
    <row r="11" spans="1:19" x14ac:dyDescent="0.25">
      <c r="E11" t="s">
        <v>153</v>
      </c>
      <c r="G11" t="s">
        <v>227</v>
      </c>
      <c r="O11" t="s">
        <v>150</v>
      </c>
      <c r="P11">
        <v>34</v>
      </c>
      <c r="Q11" t="s">
        <v>120</v>
      </c>
      <c r="S11" t="s">
        <v>121</v>
      </c>
    </row>
    <row r="13" spans="1:19" x14ac:dyDescent="0.25">
      <c r="E13" t="s">
        <v>108</v>
      </c>
      <c r="O13" s="6" t="s">
        <v>230</v>
      </c>
      <c r="P13" s="6">
        <v>0</v>
      </c>
      <c r="Q13" s="6" t="s">
        <v>229</v>
      </c>
    </row>
    <row r="14" spans="1:19" x14ac:dyDescent="0.25">
      <c r="E14" t="s">
        <v>153</v>
      </c>
      <c r="G14" t="s">
        <v>228</v>
      </c>
      <c r="O14" t="s">
        <v>230</v>
      </c>
      <c r="P14">
        <v>100</v>
      </c>
      <c r="Q14" t="s">
        <v>229</v>
      </c>
      <c r="S14" t="s">
        <v>226</v>
      </c>
    </row>
    <row r="16" spans="1:19" x14ac:dyDescent="0.25">
      <c r="E16" t="s">
        <v>108</v>
      </c>
      <c r="O16" s="6" t="s">
        <v>231</v>
      </c>
      <c r="P16" s="6">
        <v>0</v>
      </c>
      <c r="Q16" s="6" t="s">
        <v>232</v>
      </c>
    </row>
    <row r="17" spans="1:19" x14ac:dyDescent="0.25">
      <c r="E17" t="s">
        <v>153</v>
      </c>
      <c r="G17" t="s">
        <v>233</v>
      </c>
      <c r="O17" s="6" t="s">
        <v>231</v>
      </c>
      <c r="P17" s="6">
        <v>100</v>
      </c>
      <c r="Q17" s="6" t="s">
        <v>232</v>
      </c>
    </row>
    <row r="19" spans="1:19" ht="21.75" customHeight="1" x14ac:dyDescent="0.25">
      <c r="A19" s="15" t="s">
        <v>197</v>
      </c>
      <c r="B19" s="15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19" x14ac:dyDescent="0.25">
      <c r="A20" s="2" t="s">
        <v>201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3"/>
      <c r="S20" s="3"/>
    </row>
    <row r="21" spans="1:19" x14ac:dyDescent="0.25">
      <c r="A21" s="18" t="s">
        <v>199</v>
      </c>
      <c r="B21" s="18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7"/>
      <c r="S21" s="17"/>
    </row>
    <row r="22" spans="1:19" x14ac:dyDescent="0.25">
      <c r="A22" s="18" t="s">
        <v>200</v>
      </c>
      <c r="B22" s="18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7"/>
      <c r="S22" s="17"/>
    </row>
    <row r="23" spans="1:19" x14ac:dyDescent="0.25">
      <c r="O23" s="5" t="s">
        <v>10</v>
      </c>
      <c r="P23" s="5">
        <v>0</v>
      </c>
      <c r="Q23" s="5"/>
      <c r="R23" s="5" t="s">
        <v>13</v>
      </c>
    </row>
    <row r="24" spans="1:19" x14ac:dyDescent="0.25">
      <c r="O24" s="5" t="s">
        <v>11</v>
      </c>
      <c r="P24" s="5">
        <v>0</v>
      </c>
      <c r="Q24" s="5"/>
      <c r="R24" s="5" t="s">
        <v>13</v>
      </c>
    </row>
    <row r="25" spans="1:19" x14ac:dyDescent="0.25">
      <c r="O25" s="5" t="s">
        <v>12</v>
      </c>
      <c r="P25" s="5">
        <v>0</v>
      </c>
      <c r="Q25" s="5"/>
      <c r="R25" s="5" t="s">
        <v>13</v>
      </c>
    </row>
    <row r="26" spans="1:19" x14ac:dyDescent="0.25">
      <c r="A26" t="s">
        <v>7</v>
      </c>
      <c r="O26" t="s">
        <v>10</v>
      </c>
      <c r="P26">
        <v>-0.80359999999999998</v>
      </c>
      <c r="R26" t="s">
        <v>97</v>
      </c>
    </row>
    <row r="27" spans="1:19" x14ac:dyDescent="0.25">
      <c r="A27" t="s">
        <v>7</v>
      </c>
      <c r="O27" t="s">
        <v>11</v>
      </c>
      <c r="P27">
        <v>24.088999999999999</v>
      </c>
    </row>
    <row r="28" spans="1:19" x14ac:dyDescent="0.25">
      <c r="A28" t="s">
        <v>7</v>
      </c>
      <c r="O28" t="s">
        <v>12</v>
      </c>
      <c r="P28">
        <v>50.213999999999999</v>
      </c>
    </row>
    <row r="29" spans="1:19" x14ac:dyDescent="0.25">
      <c r="A29" t="s">
        <v>7</v>
      </c>
      <c r="F29" t="s">
        <v>9</v>
      </c>
      <c r="O29" t="s">
        <v>12</v>
      </c>
      <c r="P29">
        <v>55.213999999999999</v>
      </c>
    </row>
    <row r="30" spans="1:19" x14ac:dyDescent="0.25">
      <c r="A30" t="s">
        <v>7</v>
      </c>
      <c r="D30" t="s">
        <v>92</v>
      </c>
      <c r="O30" t="s">
        <v>10</v>
      </c>
      <c r="P30">
        <v>-0.71430000000000005</v>
      </c>
      <c r="R30" t="s">
        <v>96</v>
      </c>
    </row>
    <row r="31" spans="1:19" x14ac:dyDescent="0.25">
      <c r="A31" t="s">
        <v>7</v>
      </c>
      <c r="D31" t="s">
        <v>92</v>
      </c>
      <c r="O31" t="s">
        <v>11</v>
      </c>
      <c r="P31">
        <v>23.143000000000001</v>
      </c>
    </row>
    <row r="32" spans="1:19" x14ac:dyDescent="0.25">
      <c r="A32" t="s">
        <v>7</v>
      </c>
      <c r="D32" t="s">
        <v>92</v>
      </c>
      <c r="O32" t="s">
        <v>12</v>
      </c>
      <c r="P32">
        <v>42.570999999999998</v>
      </c>
    </row>
    <row r="33" spans="1:18" x14ac:dyDescent="0.25">
      <c r="A33" t="s">
        <v>7</v>
      </c>
      <c r="D33" t="s">
        <v>92</v>
      </c>
      <c r="F33" t="s">
        <v>9</v>
      </c>
      <c r="O33" t="s">
        <v>12</v>
      </c>
      <c r="P33">
        <v>47.570999999999998</v>
      </c>
    </row>
    <row r="34" spans="1:18" x14ac:dyDescent="0.25">
      <c r="A34" t="s">
        <v>7</v>
      </c>
      <c r="D34" t="s">
        <v>91</v>
      </c>
      <c r="O34" t="s">
        <v>10</v>
      </c>
      <c r="P34" s="8">
        <f>P30</f>
        <v>-0.71430000000000005</v>
      </c>
      <c r="R34" s="8" t="str">
        <f>R30</f>
        <v>Höstvete foder/bröd, södra götaland</v>
      </c>
    </row>
    <row r="35" spans="1:18" x14ac:dyDescent="0.25">
      <c r="A35" t="s">
        <v>7</v>
      </c>
      <c r="D35" t="s">
        <v>91</v>
      </c>
      <c r="O35" t="s">
        <v>11</v>
      </c>
      <c r="P35" s="8">
        <f t="shared" ref="P35:P37" si="0">P31</f>
        <v>23.143000000000001</v>
      </c>
    </row>
    <row r="36" spans="1:18" x14ac:dyDescent="0.25">
      <c r="A36" t="s">
        <v>7</v>
      </c>
      <c r="D36" t="s">
        <v>91</v>
      </c>
      <c r="O36" t="s">
        <v>12</v>
      </c>
      <c r="P36" s="8">
        <f t="shared" si="0"/>
        <v>42.570999999999998</v>
      </c>
    </row>
    <row r="37" spans="1:18" x14ac:dyDescent="0.25">
      <c r="A37" t="s">
        <v>7</v>
      </c>
      <c r="D37" t="s">
        <v>91</v>
      </c>
      <c r="F37" t="s">
        <v>9</v>
      </c>
      <c r="O37" t="s">
        <v>12</v>
      </c>
      <c r="P37" s="8">
        <f t="shared" si="0"/>
        <v>47.570999999999998</v>
      </c>
    </row>
    <row r="38" spans="1:18" x14ac:dyDescent="0.25">
      <c r="A38" t="s">
        <v>14</v>
      </c>
      <c r="O38" t="s">
        <v>11</v>
      </c>
      <c r="P38">
        <v>20</v>
      </c>
    </row>
    <row r="39" spans="1:18" x14ac:dyDescent="0.25">
      <c r="A39" t="s">
        <v>14</v>
      </c>
      <c r="O39" t="s">
        <v>12</v>
      </c>
      <c r="P39">
        <v>70</v>
      </c>
    </row>
    <row r="40" spans="1:18" x14ac:dyDescent="0.25">
      <c r="A40" t="s">
        <v>25</v>
      </c>
      <c r="O40" t="s">
        <v>10</v>
      </c>
      <c r="P40">
        <v>-1.7857000000000001</v>
      </c>
      <c r="R40" t="s">
        <v>24</v>
      </c>
    </row>
    <row r="41" spans="1:18" x14ac:dyDescent="0.25">
      <c r="A41" t="s">
        <v>25</v>
      </c>
      <c r="O41" t="s">
        <v>11</v>
      </c>
      <c r="P41">
        <v>30.786000000000001</v>
      </c>
    </row>
    <row r="42" spans="1:18" x14ac:dyDescent="0.25">
      <c r="A42" t="s">
        <v>25</v>
      </c>
      <c r="O42" t="s">
        <v>12</v>
      </c>
      <c r="P42">
        <v>25</v>
      </c>
    </row>
    <row r="43" spans="1:18" x14ac:dyDescent="0.25">
      <c r="A43" t="s">
        <v>25</v>
      </c>
      <c r="D43" t="s">
        <v>92</v>
      </c>
      <c r="O43" t="s">
        <v>10</v>
      </c>
      <c r="P43">
        <v>-1.25</v>
      </c>
      <c r="R43" t="s">
        <v>99</v>
      </c>
    </row>
    <row r="44" spans="1:18" x14ac:dyDescent="0.25">
      <c r="A44" t="s">
        <v>25</v>
      </c>
      <c r="D44" t="s">
        <v>92</v>
      </c>
      <c r="O44" t="s">
        <v>11</v>
      </c>
      <c r="P44">
        <v>27.75</v>
      </c>
    </row>
    <row r="45" spans="1:18" x14ac:dyDescent="0.25">
      <c r="A45" t="s">
        <v>25</v>
      </c>
      <c r="D45" t="s">
        <v>92</v>
      </c>
      <c r="O45" t="s">
        <v>12</v>
      </c>
      <c r="P45">
        <v>18.25</v>
      </c>
    </row>
    <row r="46" spans="1:18" x14ac:dyDescent="0.25">
      <c r="A46" t="s">
        <v>25</v>
      </c>
      <c r="D46" t="s">
        <v>91</v>
      </c>
      <c r="O46" t="s">
        <v>10</v>
      </c>
      <c r="P46" s="8">
        <f>P43</f>
        <v>-1.25</v>
      </c>
      <c r="Q46" s="8"/>
      <c r="R46" s="8" t="str">
        <f>R43</f>
        <v>Råg, södra götaland</v>
      </c>
    </row>
    <row r="47" spans="1:18" x14ac:dyDescent="0.25">
      <c r="A47" t="s">
        <v>25</v>
      </c>
      <c r="D47" t="s">
        <v>91</v>
      </c>
      <c r="O47" t="s">
        <v>11</v>
      </c>
      <c r="P47" s="8">
        <f>P44</f>
        <v>27.75</v>
      </c>
      <c r="Q47" s="8"/>
      <c r="R47" s="8"/>
    </row>
    <row r="48" spans="1:18" x14ac:dyDescent="0.25">
      <c r="A48" t="s">
        <v>25</v>
      </c>
      <c r="D48" t="s">
        <v>91</v>
      </c>
      <c r="O48" t="s">
        <v>12</v>
      </c>
      <c r="P48" s="8">
        <f>P45</f>
        <v>18.25</v>
      </c>
      <c r="Q48" s="8"/>
      <c r="R48" s="8"/>
    </row>
    <row r="49" spans="1:18" x14ac:dyDescent="0.25">
      <c r="A49" t="s">
        <v>21</v>
      </c>
      <c r="O49" t="s">
        <v>11</v>
      </c>
      <c r="P49">
        <v>16.856999999999999</v>
      </c>
      <c r="R49" t="s">
        <v>20</v>
      </c>
    </row>
    <row r="50" spans="1:18" x14ac:dyDescent="0.25">
      <c r="A50" t="s">
        <v>21</v>
      </c>
      <c r="O50" t="s">
        <v>12</v>
      </c>
      <c r="P50">
        <v>59.143000000000001</v>
      </c>
    </row>
    <row r="51" spans="1:18" x14ac:dyDescent="0.25">
      <c r="A51" t="s">
        <v>21</v>
      </c>
      <c r="D51" t="s">
        <v>92</v>
      </c>
      <c r="O51" t="s">
        <v>10</v>
      </c>
      <c r="P51">
        <v>-0.71430000000000005</v>
      </c>
      <c r="R51" t="s">
        <v>98</v>
      </c>
    </row>
    <row r="52" spans="1:18" x14ac:dyDescent="0.25">
      <c r="A52" t="s">
        <v>21</v>
      </c>
      <c r="D52" t="s">
        <v>92</v>
      </c>
      <c r="O52" t="s">
        <v>11</v>
      </c>
      <c r="P52">
        <v>23.143000000000001</v>
      </c>
    </row>
    <row r="53" spans="1:18" x14ac:dyDescent="0.25">
      <c r="A53" t="s">
        <v>21</v>
      </c>
      <c r="D53" t="s">
        <v>92</v>
      </c>
      <c r="O53" t="s">
        <v>12</v>
      </c>
      <c r="P53">
        <v>37.570999999999998</v>
      </c>
    </row>
    <row r="54" spans="1:18" x14ac:dyDescent="0.25">
      <c r="A54" t="s">
        <v>21</v>
      </c>
      <c r="D54" t="s">
        <v>91</v>
      </c>
      <c r="O54" t="s">
        <v>10</v>
      </c>
      <c r="P54" s="8">
        <f>P51</f>
        <v>-0.71430000000000005</v>
      </c>
      <c r="R54" s="8" t="str">
        <f>R51</f>
        <v>Rågvete/höstkorn, södra götaland</v>
      </c>
    </row>
    <row r="55" spans="1:18" x14ac:dyDescent="0.25">
      <c r="A55" t="s">
        <v>21</v>
      </c>
      <c r="D55" t="s">
        <v>91</v>
      </c>
      <c r="O55" t="s">
        <v>11</v>
      </c>
      <c r="P55" s="8">
        <f>P52</f>
        <v>23.143000000000001</v>
      </c>
    </row>
    <row r="56" spans="1:18" x14ac:dyDescent="0.25">
      <c r="A56" t="s">
        <v>21</v>
      </c>
      <c r="D56" t="s">
        <v>91</v>
      </c>
      <c r="O56" t="s">
        <v>12</v>
      </c>
      <c r="P56" s="8">
        <f>P53</f>
        <v>37.570999999999998</v>
      </c>
    </row>
    <row r="57" spans="1:18" x14ac:dyDescent="0.25">
      <c r="A57" t="s">
        <v>15</v>
      </c>
      <c r="O57" t="s">
        <v>10</v>
      </c>
      <c r="P57">
        <v>-1.0713999999999999</v>
      </c>
      <c r="R57" t="s">
        <v>16</v>
      </c>
    </row>
    <row r="58" spans="1:18" x14ac:dyDescent="0.25">
      <c r="A58" t="s">
        <v>15</v>
      </c>
      <c r="O58" t="s">
        <v>11</v>
      </c>
      <c r="P58">
        <v>23.928999999999998</v>
      </c>
    </row>
    <row r="59" spans="1:18" x14ac:dyDescent="0.25">
      <c r="A59" t="s">
        <v>15</v>
      </c>
      <c r="O59" t="s">
        <v>12</v>
      </c>
      <c r="P59">
        <v>32</v>
      </c>
    </row>
    <row r="60" spans="1:18" x14ac:dyDescent="0.25">
      <c r="A60" t="s">
        <v>15</v>
      </c>
      <c r="F60" t="s">
        <v>9</v>
      </c>
      <c r="O60" t="s">
        <v>10</v>
      </c>
      <c r="P60" s="7">
        <v>1E-13</v>
      </c>
      <c r="R60" t="s">
        <v>17</v>
      </c>
    </row>
    <row r="61" spans="1:18" x14ac:dyDescent="0.25">
      <c r="A61" t="s">
        <v>15</v>
      </c>
      <c r="F61" t="s">
        <v>9</v>
      </c>
      <c r="O61" t="s">
        <v>11</v>
      </c>
      <c r="P61">
        <v>15</v>
      </c>
    </row>
    <row r="62" spans="1:18" x14ac:dyDescent="0.25">
      <c r="A62" t="s">
        <v>15</v>
      </c>
      <c r="F62" t="s">
        <v>9</v>
      </c>
      <c r="O62" t="s">
        <v>12</v>
      </c>
      <c r="P62">
        <v>45</v>
      </c>
    </row>
    <row r="63" spans="1:18" x14ac:dyDescent="0.25">
      <c r="A63" t="s">
        <v>15</v>
      </c>
      <c r="D63" t="s">
        <v>92</v>
      </c>
      <c r="O63" t="s">
        <v>10</v>
      </c>
      <c r="P63">
        <v>-1.25</v>
      </c>
      <c r="R63" t="s">
        <v>100</v>
      </c>
    </row>
    <row r="64" spans="1:18" x14ac:dyDescent="0.25">
      <c r="A64" t="s">
        <v>15</v>
      </c>
      <c r="D64" t="s">
        <v>92</v>
      </c>
      <c r="O64" t="s">
        <v>11</v>
      </c>
      <c r="P64">
        <v>25.25</v>
      </c>
    </row>
    <row r="65" spans="1:18" x14ac:dyDescent="0.25">
      <c r="A65" t="s">
        <v>15</v>
      </c>
      <c r="D65" t="s">
        <v>92</v>
      </c>
      <c r="O65" t="s">
        <v>12</v>
      </c>
      <c r="P65">
        <v>19.75</v>
      </c>
    </row>
    <row r="66" spans="1:18" x14ac:dyDescent="0.25">
      <c r="A66" t="s">
        <v>15</v>
      </c>
      <c r="D66" t="s">
        <v>92</v>
      </c>
      <c r="F66" t="s">
        <v>9</v>
      </c>
      <c r="O66" t="s">
        <v>10</v>
      </c>
      <c r="P66" s="7">
        <v>-2E-12</v>
      </c>
      <c r="R66" t="s">
        <v>101</v>
      </c>
    </row>
    <row r="67" spans="1:18" x14ac:dyDescent="0.25">
      <c r="A67" t="s">
        <v>15</v>
      </c>
      <c r="D67" t="s">
        <v>92</v>
      </c>
      <c r="F67" t="s">
        <v>9</v>
      </c>
      <c r="O67" t="s">
        <v>11</v>
      </c>
      <c r="P67">
        <v>15</v>
      </c>
    </row>
    <row r="68" spans="1:18" x14ac:dyDescent="0.25">
      <c r="A68" t="s">
        <v>15</v>
      </c>
      <c r="D68" t="s">
        <v>92</v>
      </c>
      <c r="F68" t="s">
        <v>9</v>
      </c>
      <c r="O68" t="s">
        <v>12</v>
      </c>
      <c r="P68">
        <v>45</v>
      </c>
    </row>
    <row r="69" spans="1:18" x14ac:dyDescent="0.25">
      <c r="A69" t="s">
        <v>15</v>
      </c>
      <c r="D69" t="s">
        <v>91</v>
      </c>
      <c r="O69" t="s">
        <v>10</v>
      </c>
      <c r="P69" s="8">
        <f t="shared" ref="P69:P74" si="1">P63</f>
        <v>-1.25</v>
      </c>
      <c r="R69" s="8" t="str">
        <f>R63</f>
        <v>Korn foder, södra götaland</v>
      </c>
    </row>
    <row r="70" spans="1:18" x14ac:dyDescent="0.25">
      <c r="A70" t="s">
        <v>15</v>
      </c>
      <c r="D70" t="s">
        <v>91</v>
      </c>
      <c r="O70" t="s">
        <v>11</v>
      </c>
      <c r="P70" s="8">
        <f t="shared" si="1"/>
        <v>25.25</v>
      </c>
    </row>
    <row r="71" spans="1:18" x14ac:dyDescent="0.25">
      <c r="A71" t="s">
        <v>15</v>
      </c>
      <c r="D71" t="s">
        <v>91</v>
      </c>
      <c r="O71" t="s">
        <v>12</v>
      </c>
      <c r="P71" s="8">
        <f t="shared" si="1"/>
        <v>19.75</v>
      </c>
    </row>
    <row r="72" spans="1:18" x14ac:dyDescent="0.25">
      <c r="A72" t="s">
        <v>15</v>
      </c>
      <c r="D72" t="s">
        <v>91</v>
      </c>
      <c r="F72" t="s">
        <v>9</v>
      </c>
      <c r="O72" t="s">
        <v>10</v>
      </c>
      <c r="P72" s="8">
        <f t="shared" si="1"/>
        <v>-2E-12</v>
      </c>
      <c r="R72" s="8" t="str">
        <f>R66</f>
        <v>Korn, malt södra götaland</v>
      </c>
    </row>
    <row r="73" spans="1:18" x14ac:dyDescent="0.25">
      <c r="A73" t="s">
        <v>15</v>
      </c>
      <c r="D73" t="s">
        <v>91</v>
      </c>
      <c r="F73" t="s">
        <v>9</v>
      </c>
      <c r="O73" t="s">
        <v>11</v>
      </c>
      <c r="P73" s="8">
        <f t="shared" si="1"/>
        <v>15</v>
      </c>
    </row>
    <row r="74" spans="1:18" x14ac:dyDescent="0.25">
      <c r="A74" t="s">
        <v>15</v>
      </c>
      <c r="D74" t="s">
        <v>91</v>
      </c>
      <c r="F74" t="s">
        <v>9</v>
      </c>
      <c r="O74" t="s">
        <v>12</v>
      </c>
      <c r="P74" s="8">
        <f t="shared" si="1"/>
        <v>45</v>
      </c>
    </row>
    <row r="75" spans="1:18" x14ac:dyDescent="0.25">
      <c r="A75" t="s">
        <v>15</v>
      </c>
      <c r="D75" t="s">
        <v>93</v>
      </c>
      <c r="O75" t="s">
        <v>10</v>
      </c>
      <c r="P75" s="4">
        <v>0</v>
      </c>
      <c r="R75" t="s">
        <v>103</v>
      </c>
    </row>
    <row r="76" spans="1:18" x14ac:dyDescent="0.25">
      <c r="A76" t="s">
        <v>15</v>
      </c>
      <c r="D76" t="s">
        <v>93</v>
      </c>
      <c r="O76" t="s">
        <v>11</v>
      </c>
      <c r="P76" s="4">
        <v>20</v>
      </c>
    </row>
    <row r="77" spans="1:18" x14ac:dyDescent="0.25">
      <c r="A77" t="s">
        <v>15</v>
      </c>
      <c r="D77" t="s">
        <v>93</v>
      </c>
      <c r="O77" t="s">
        <v>12</v>
      </c>
      <c r="P77" s="4">
        <v>35</v>
      </c>
    </row>
    <row r="78" spans="1:18" x14ac:dyDescent="0.25">
      <c r="A78" t="s">
        <v>15</v>
      </c>
      <c r="D78" t="s">
        <v>93</v>
      </c>
      <c r="F78" t="s">
        <v>9</v>
      </c>
      <c r="O78" t="s">
        <v>10</v>
      </c>
      <c r="P78" s="8">
        <f t="shared" ref="P78:P86" si="2">P75</f>
        <v>0</v>
      </c>
      <c r="R78" s="8" t="str">
        <f>R75</f>
        <v>Korn, norrland</v>
      </c>
    </row>
    <row r="79" spans="1:18" x14ac:dyDescent="0.25">
      <c r="A79" t="s">
        <v>15</v>
      </c>
      <c r="D79" t="s">
        <v>93</v>
      </c>
      <c r="F79" t="s">
        <v>9</v>
      </c>
      <c r="O79" t="s">
        <v>11</v>
      </c>
      <c r="P79" s="8">
        <f t="shared" si="2"/>
        <v>20</v>
      </c>
    </row>
    <row r="80" spans="1:18" x14ac:dyDescent="0.25">
      <c r="A80" t="s">
        <v>15</v>
      </c>
      <c r="D80" t="s">
        <v>93</v>
      </c>
      <c r="F80" t="s">
        <v>9</v>
      </c>
      <c r="O80" t="s">
        <v>12</v>
      </c>
      <c r="P80" s="8">
        <f t="shared" si="2"/>
        <v>35</v>
      </c>
    </row>
    <row r="81" spans="1:18" x14ac:dyDescent="0.25">
      <c r="A81" t="s">
        <v>15</v>
      </c>
      <c r="D81" t="s">
        <v>94</v>
      </c>
      <c r="O81" t="s">
        <v>10</v>
      </c>
      <c r="P81" s="8">
        <f t="shared" si="2"/>
        <v>0</v>
      </c>
      <c r="R81" s="8" t="str">
        <f>R78</f>
        <v>Korn, norrland</v>
      </c>
    </row>
    <row r="82" spans="1:18" x14ac:dyDescent="0.25">
      <c r="A82" t="s">
        <v>15</v>
      </c>
      <c r="D82" t="s">
        <v>94</v>
      </c>
      <c r="O82" t="s">
        <v>11</v>
      </c>
      <c r="P82" s="8">
        <f t="shared" si="2"/>
        <v>20</v>
      </c>
    </row>
    <row r="83" spans="1:18" x14ac:dyDescent="0.25">
      <c r="A83" t="s">
        <v>15</v>
      </c>
      <c r="D83" t="s">
        <v>94</v>
      </c>
      <c r="O83" t="s">
        <v>12</v>
      </c>
      <c r="P83" s="8">
        <f t="shared" si="2"/>
        <v>35</v>
      </c>
    </row>
    <row r="84" spans="1:18" x14ac:dyDescent="0.25">
      <c r="A84" t="s">
        <v>15</v>
      </c>
      <c r="D84" t="s">
        <v>94</v>
      </c>
      <c r="F84" t="s">
        <v>9</v>
      </c>
      <c r="O84" t="s">
        <v>10</v>
      </c>
      <c r="P84" s="8">
        <f t="shared" si="2"/>
        <v>0</v>
      </c>
      <c r="R84" s="8" t="str">
        <f>R81</f>
        <v>Korn, norrland</v>
      </c>
    </row>
    <row r="85" spans="1:18" x14ac:dyDescent="0.25">
      <c r="A85" t="s">
        <v>15</v>
      </c>
      <c r="D85" t="s">
        <v>94</v>
      </c>
      <c r="F85" t="s">
        <v>9</v>
      </c>
      <c r="O85" t="s">
        <v>11</v>
      </c>
      <c r="P85" s="8">
        <f t="shared" si="2"/>
        <v>20</v>
      </c>
    </row>
    <row r="86" spans="1:18" x14ac:dyDescent="0.25">
      <c r="A86" t="s">
        <v>15</v>
      </c>
      <c r="D86" t="s">
        <v>94</v>
      </c>
      <c r="F86" t="s">
        <v>9</v>
      </c>
      <c r="O86" t="s">
        <v>12</v>
      </c>
      <c r="P86" s="8">
        <f t="shared" si="2"/>
        <v>35</v>
      </c>
    </row>
    <row r="87" spans="1:18" x14ac:dyDescent="0.25">
      <c r="A87" t="s">
        <v>19</v>
      </c>
      <c r="O87" t="s">
        <v>10</v>
      </c>
      <c r="P87">
        <v>-1.0713999999999999</v>
      </c>
      <c r="R87" t="s">
        <v>18</v>
      </c>
    </row>
    <row r="88" spans="1:18" x14ac:dyDescent="0.25">
      <c r="A88" t="s">
        <v>19</v>
      </c>
      <c r="O88" t="s">
        <v>11</v>
      </c>
      <c r="P88">
        <v>23.928999999999998</v>
      </c>
    </row>
    <row r="89" spans="1:18" x14ac:dyDescent="0.25">
      <c r="A89" t="s">
        <v>19</v>
      </c>
      <c r="O89" t="s">
        <v>12</v>
      </c>
      <c r="P89">
        <v>22</v>
      </c>
    </row>
    <row r="90" spans="1:18" x14ac:dyDescent="0.25">
      <c r="A90" t="s">
        <v>19</v>
      </c>
      <c r="D90" t="s">
        <v>92</v>
      </c>
      <c r="O90" t="s">
        <v>10</v>
      </c>
      <c r="P90">
        <v>-1.25</v>
      </c>
      <c r="R90" t="s">
        <v>102</v>
      </c>
    </row>
    <row r="91" spans="1:18" x14ac:dyDescent="0.25">
      <c r="A91" t="s">
        <v>19</v>
      </c>
      <c r="D91" t="s">
        <v>92</v>
      </c>
      <c r="O91" t="s">
        <v>11</v>
      </c>
      <c r="P91">
        <v>25.25</v>
      </c>
    </row>
    <row r="92" spans="1:18" x14ac:dyDescent="0.25">
      <c r="A92" t="s">
        <v>19</v>
      </c>
      <c r="D92" t="s">
        <v>92</v>
      </c>
      <c r="O92" t="s">
        <v>12</v>
      </c>
      <c r="P92">
        <v>9.75</v>
      </c>
    </row>
    <row r="93" spans="1:18" x14ac:dyDescent="0.25">
      <c r="A93" t="s">
        <v>19</v>
      </c>
      <c r="D93" t="s">
        <v>91</v>
      </c>
      <c r="O93" t="s">
        <v>10</v>
      </c>
      <c r="P93" s="8">
        <f>P90</f>
        <v>-1.25</v>
      </c>
      <c r="R93" s="8" t="str">
        <f>R90</f>
        <v>Havre södra götaland</v>
      </c>
    </row>
    <row r="94" spans="1:18" x14ac:dyDescent="0.25">
      <c r="A94" t="s">
        <v>19</v>
      </c>
      <c r="D94" t="s">
        <v>91</v>
      </c>
      <c r="O94" t="s">
        <v>11</v>
      </c>
      <c r="P94" s="8">
        <f>P91</f>
        <v>25.25</v>
      </c>
    </row>
    <row r="95" spans="1:18" x14ac:dyDescent="0.25">
      <c r="A95" t="s">
        <v>19</v>
      </c>
      <c r="D95" t="s">
        <v>91</v>
      </c>
      <c r="O95" t="s">
        <v>12</v>
      </c>
      <c r="P95" s="8">
        <f>P92</f>
        <v>9.75</v>
      </c>
    </row>
    <row r="96" spans="1:18" x14ac:dyDescent="0.25">
      <c r="A96" t="s">
        <v>23</v>
      </c>
      <c r="O96" t="s">
        <v>11</v>
      </c>
      <c r="P96" s="8">
        <f>P49</f>
        <v>16.856999999999999</v>
      </c>
      <c r="R96" s="8" t="str">
        <f>R49</f>
        <v>Rågvete/höstkorn, norra  götaland och svealand</v>
      </c>
    </row>
    <row r="97" spans="1:18" x14ac:dyDescent="0.25">
      <c r="A97" t="s">
        <v>23</v>
      </c>
      <c r="O97" t="s">
        <v>12</v>
      </c>
      <c r="P97" s="8">
        <f>P50</f>
        <v>59.143000000000001</v>
      </c>
    </row>
    <row r="98" spans="1:18" x14ac:dyDescent="0.25">
      <c r="A98" t="s">
        <v>23</v>
      </c>
      <c r="D98" t="s">
        <v>92</v>
      </c>
      <c r="O98" t="s">
        <v>10</v>
      </c>
      <c r="P98" s="8">
        <f>P54</f>
        <v>-0.71430000000000005</v>
      </c>
      <c r="R98" s="8" t="str">
        <f>R54</f>
        <v>Rågvete/höstkorn, södra götaland</v>
      </c>
    </row>
    <row r="99" spans="1:18" x14ac:dyDescent="0.25">
      <c r="A99" t="s">
        <v>23</v>
      </c>
      <c r="D99" t="s">
        <v>92</v>
      </c>
      <c r="O99" t="s">
        <v>11</v>
      </c>
      <c r="P99" s="8">
        <f>P55</f>
        <v>23.143000000000001</v>
      </c>
    </row>
    <row r="100" spans="1:18" x14ac:dyDescent="0.25">
      <c r="A100" t="s">
        <v>23</v>
      </c>
      <c r="D100" t="s">
        <v>92</v>
      </c>
      <c r="O100" t="s">
        <v>12</v>
      </c>
      <c r="P100" s="8">
        <f>P56</f>
        <v>37.570999999999998</v>
      </c>
    </row>
    <row r="101" spans="1:18" x14ac:dyDescent="0.25">
      <c r="A101" t="s">
        <v>23</v>
      </c>
      <c r="D101" t="s">
        <v>91</v>
      </c>
      <c r="O101" t="s">
        <v>10</v>
      </c>
      <c r="P101" s="8">
        <f>P54</f>
        <v>-0.71430000000000005</v>
      </c>
      <c r="R101" s="8" t="str">
        <f>R54</f>
        <v>Rågvete/höstkorn, södra götaland</v>
      </c>
    </row>
    <row r="102" spans="1:18" x14ac:dyDescent="0.25">
      <c r="A102" t="s">
        <v>23</v>
      </c>
      <c r="D102" t="s">
        <v>91</v>
      </c>
      <c r="O102" t="s">
        <v>11</v>
      </c>
      <c r="P102" s="8">
        <f>P55</f>
        <v>23.143000000000001</v>
      </c>
    </row>
    <row r="103" spans="1:18" x14ac:dyDescent="0.25">
      <c r="A103" t="s">
        <v>23</v>
      </c>
      <c r="D103" t="s">
        <v>91</v>
      </c>
      <c r="O103" t="s">
        <v>12</v>
      </c>
      <c r="P103" s="8">
        <f>P56</f>
        <v>37.570999999999998</v>
      </c>
    </row>
    <row r="104" spans="1:18" x14ac:dyDescent="0.25">
      <c r="A104" t="s">
        <v>22</v>
      </c>
      <c r="O104" t="s">
        <v>11</v>
      </c>
      <c r="P104" s="8">
        <f>P49</f>
        <v>16.856999999999999</v>
      </c>
      <c r="R104" s="8" t="str">
        <f>R49</f>
        <v>Rågvete/höstkorn, norra  götaland och svealand</v>
      </c>
    </row>
    <row r="105" spans="1:18" x14ac:dyDescent="0.25">
      <c r="A105" t="s">
        <v>22</v>
      </c>
      <c r="O105" t="s">
        <v>12</v>
      </c>
      <c r="P105" s="8">
        <f>P50</f>
        <v>59.143000000000001</v>
      </c>
      <c r="R105" s="8"/>
    </row>
    <row r="106" spans="1:18" x14ac:dyDescent="0.25">
      <c r="A106" t="s">
        <v>22</v>
      </c>
      <c r="D106" t="s">
        <v>92</v>
      </c>
      <c r="O106" t="s">
        <v>10</v>
      </c>
      <c r="P106" s="8">
        <f>P54</f>
        <v>-0.71430000000000005</v>
      </c>
      <c r="R106" s="8" t="str">
        <f>R54</f>
        <v>Rågvete/höstkorn, södra götaland</v>
      </c>
    </row>
    <row r="107" spans="1:18" x14ac:dyDescent="0.25">
      <c r="A107" t="s">
        <v>22</v>
      </c>
      <c r="D107" t="s">
        <v>92</v>
      </c>
      <c r="O107" t="s">
        <v>11</v>
      </c>
      <c r="P107" s="8">
        <f>P55</f>
        <v>23.143000000000001</v>
      </c>
      <c r="R107" s="8"/>
    </row>
    <row r="108" spans="1:18" x14ac:dyDescent="0.25">
      <c r="A108" t="s">
        <v>22</v>
      </c>
      <c r="D108" t="s">
        <v>92</v>
      </c>
      <c r="O108" t="s">
        <v>12</v>
      </c>
      <c r="P108" s="8">
        <f>P56</f>
        <v>37.570999999999998</v>
      </c>
      <c r="R108" s="8"/>
    </row>
    <row r="109" spans="1:18" x14ac:dyDescent="0.25">
      <c r="A109" t="s">
        <v>22</v>
      </c>
      <c r="D109" t="s">
        <v>91</v>
      </c>
      <c r="O109" t="s">
        <v>10</v>
      </c>
      <c r="P109" s="8">
        <f>P54</f>
        <v>-0.71430000000000005</v>
      </c>
      <c r="R109" s="8" t="str">
        <f>R54</f>
        <v>Rågvete/höstkorn, södra götaland</v>
      </c>
    </row>
    <row r="110" spans="1:18" x14ac:dyDescent="0.25">
      <c r="A110" t="s">
        <v>22</v>
      </c>
      <c r="D110" t="s">
        <v>91</v>
      </c>
      <c r="O110" t="s">
        <v>11</v>
      </c>
      <c r="P110" s="8">
        <f>P55</f>
        <v>23.143000000000001</v>
      </c>
      <c r="R110" s="8"/>
    </row>
    <row r="111" spans="1:18" x14ac:dyDescent="0.25">
      <c r="A111" t="s">
        <v>22</v>
      </c>
      <c r="D111" t="s">
        <v>91</v>
      </c>
      <c r="O111" t="s">
        <v>12</v>
      </c>
      <c r="P111" s="8">
        <f>P56</f>
        <v>37.570999999999998</v>
      </c>
      <c r="R111" s="8"/>
    </row>
    <row r="112" spans="1:18" x14ac:dyDescent="0.25">
      <c r="A112" s="6" t="s">
        <v>27</v>
      </c>
      <c r="B112" s="6"/>
      <c r="C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R112" s="6"/>
    </row>
    <row r="113" spans="1:18" x14ac:dyDescent="0.25">
      <c r="A113" t="s">
        <v>26</v>
      </c>
      <c r="O113" t="s">
        <v>12</v>
      </c>
      <c r="P113">
        <v>50</v>
      </c>
      <c r="R113" t="s">
        <v>74</v>
      </c>
    </row>
    <row r="114" spans="1:18" x14ac:dyDescent="0.25">
      <c r="A114" t="s">
        <v>28</v>
      </c>
      <c r="O114" t="s">
        <v>12</v>
      </c>
      <c r="P114">
        <v>0</v>
      </c>
      <c r="R114" t="s">
        <v>73</v>
      </c>
    </row>
    <row r="115" spans="1:18" x14ac:dyDescent="0.25">
      <c r="A115" t="s">
        <v>29</v>
      </c>
      <c r="O115" t="s">
        <v>12</v>
      </c>
      <c r="P115">
        <v>0</v>
      </c>
      <c r="R115" t="s">
        <v>73</v>
      </c>
    </row>
    <row r="116" spans="1:18" x14ac:dyDescent="0.25">
      <c r="A116" t="s">
        <v>30</v>
      </c>
      <c r="O116" t="s">
        <v>12</v>
      </c>
      <c r="P116">
        <v>0</v>
      </c>
      <c r="R116" t="s">
        <v>73</v>
      </c>
    </row>
    <row r="117" spans="1:18" x14ac:dyDescent="0.25">
      <c r="A117" t="s">
        <v>31</v>
      </c>
      <c r="O117" t="s">
        <v>12</v>
      </c>
      <c r="P117">
        <v>30</v>
      </c>
      <c r="R117" t="s">
        <v>75</v>
      </c>
    </row>
    <row r="118" spans="1:18" x14ac:dyDescent="0.25">
      <c r="A118" t="s">
        <v>32</v>
      </c>
      <c r="O118" t="s">
        <v>11</v>
      </c>
      <c r="P118">
        <v>20</v>
      </c>
    </row>
    <row r="119" spans="1:18" x14ac:dyDescent="0.25">
      <c r="A119" t="s">
        <v>32</v>
      </c>
      <c r="O119" t="s">
        <v>12</v>
      </c>
      <c r="P119">
        <v>65</v>
      </c>
    </row>
    <row r="120" spans="1:18" x14ac:dyDescent="0.25">
      <c r="A120" t="s">
        <v>33</v>
      </c>
      <c r="O120" t="s">
        <v>11</v>
      </c>
      <c r="P120">
        <v>20</v>
      </c>
    </row>
    <row r="121" spans="1:18" x14ac:dyDescent="0.25">
      <c r="A121" t="s">
        <v>33</v>
      </c>
      <c r="O121" t="s">
        <v>12</v>
      </c>
      <c r="P121">
        <v>70</v>
      </c>
    </row>
    <row r="122" spans="1:18" x14ac:dyDescent="0.25">
      <c r="A122" t="s">
        <v>34</v>
      </c>
      <c r="O122" t="s">
        <v>10</v>
      </c>
      <c r="P122">
        <v>-2.5000000000000001E-2</v>
      </c>
      <c r="R122" t="s">
        <v>104</v>
      </c>
    </row>
    <row r="123" spans="1:18" x14ac:dyDescent="0.25">
      <c r="A123" t="s">
        <v>34</v>
      </c>
      <c r="O123" t="s">
        <v>11</v>
      </c>
      <c r="P123">
        <v>4.95</v>
      </c>
    </row>
    <row r="124" spans="1:18" x14ac:dyDescent="0.25">
      <c r="A124" t="s">
        <v>34</v>
      </c>
      <c r="O124" t="s">
        <v>12</v>
      </c>
      <c r="P124">
        <v>-31.5</v>
      </c>
    </row>
    <row r="125" spans="1:18" x14ac:dyDescent="0.25">
      <c r="A125" t="s">
        <v>35</v>
      </c>
      <c r="O125" t="s">
        <v>10</v>
      </c>
      <c r="P125" s="8">
        <f>P122</f>
        <v>-2.5000000000000001E-2</v>
      </c>
      <c r="R125" s="8" t="str">
        <f>R122</f>
        <v>Potatis</v>
      </c>
    </row>
    <row r="126" spans="1:18" x14ac:dyDescent="0.25">
      <c r="A126" t="s">
        <v>35</v>
      </c>
      <c r="O126" t="s">
        <v>11</v>
      </c>
      <c r="P126" s="8">
        <f t="shared" ref="P126:P127" si="3">P123</f>
        <v>4.95</v>
      </c>
    </row>
    <row r="127" spans="1:18" x14ac:dyDescent="0.25">
      <c r="A127" t="s">
        <v>35</v>
      </c>
      <c r="O127" t="s">
        <v>12</v>
      </c>
      <c r="P127" s="8">
        <f t="shared" si="3"/>
        <v>-31.5</v>
      </c>
    </row>
    <row r="128" spans="1:18" x14ac:dyDescent="0.25">
      <c r="A128" t="s">
        <v>36</v>
      </c>
      <c r="O128" t="s">
        <v>12</v>
      </c>
      <c r="P128">
        <v>110</v>
      </c>
      <c r="R128" t="s">
        <v>76</v>
      </c>
    </row>
    <row r="129" spans="1:19" x14ac:dyDescent="0.25">
      <c r="A129" s="6" t="s">
        <v>37</v>
      </c>
      <c r="B129" s="6"/>
      <c r="C129" s="6"/>
      <c r="G129" s="6"/>
      <c r="H129" s="6"/>
      <c r="I129" s="6"/>
      <c r="J129" s="6"/>
      <c r="K129" s="6"/>
      <c r="L129" s="6"/>
      <c r="M129" s="6"/>
      <c r="N129" s="6"/>
      <c r="O129" t="s">
        <v>12</v>
      </c>
      <c r="P129">
        <v>75</v>
      </c>
      <c r="R129" t="s">
        <v>267</v>
      </c>
      <c r="S129" t="s">
        <v>268</v>
      </c>
    </row>
    <row r="130" spans="1:19" x14ac:dyDescent="0.25">
      <c r="A130" s="9" t="s">
        <v>38</v>
      </c>
      <c r="B130" s="9"/>
      <c r="C130" s="9"/>
      <c r="G130" s="9"/>
      <c r="H130" s="9"/>
      <c r="I130" s="9"/>
      <c r="J130" s="9"/>
      <c r="K130" s="9"/>
      <c r="L130" s="9"/>
      <c r="M130" s="9"/>
      <c r="N130" s="9"/>
      <c r="O130" t="s">
        <v>10</v>
      </c>
      <c r="P130">
        <v>-1.4286000000000001</v>
      </c>
      <c r="R130" t="s">
        <v>77</v>
      </c>
    </row>
    <row r="131" spans="1:19" x14ac:dyDescent="0.25">
      <c r="A131" s="9" t="s">
        <v>38</v>
      </c>
      <c r="B131" s="9"/>
      <c r="C131" s="9"/>
      <c r="G131" s="9"/>
      <c r="H131" s="9"/>
      <c r="I131" s="9"/>
      <c r="J131" s="9"/>
      <c r="K131" s="9"/>
      <c r="L131" s="9"/>
      <c r="M131" s="9"/>
      <c r="N131" s="9"/>
      <c r="O131" t="s">
        <v>11</v>
      </c>
      <c r="P131">
        <v>40.713999999999999</v>
      </c>
    </row>
    <row r="132" spans="1:19" x14ac:dyDescent="0.25">
      <c r="A132" s="9" t="s">
        <v>38</v>
      </c>
      <c r="B132" s="9"/>
      <c r="C132" s="9"/>
      <c r="G132" s="9"/>
      <c r="H132" s="9"/>
      <c r="I132" s="9"/>
      <c r="J132" s="9"/>
      <c r="K132" s="9"/>
      <c r="L132" s="9"/>
      <c r="M132" s="9"/>
      <c r="N132" s="9"/>
      <c r="O132" t="s">
        <v>12</v>
      </c>
      <c r="P132">
        <v>-74.856999999999999</v>
      </c>
    </row>
    <row r="133" spans="1:19" x14ac:dyDescent="0.25">
      <c r="A133" s="9" t="s">
        <v>39</v>
      </c>
      <c r="B133" s="9"/>
      <c r="C133" s="10"/>
      <c r="G133" s="10"/>
      <c r="H133" s="10"/>
      <c r="I133" s="10"/>
      <c r="J133" s="10"/>
      <c r="K133" s="10"/>
      <c r="L133" s="10"/>
      <c r="M133" s="10"/>
      <c r="N133" s="10"/>
      <c r="O133" t="s">
        <v>12</v>
      </c>
      <c r="P133" s="4">
        <v>11</v>
      </c>
      <c r="Q133" s="4"/>
      <c r="R133" s="4" t="s">
        <v>191</v>
      </c>
    </row>
    <row r="134" spans="1:19" x14ac:dyDescent="0.25">
      <c r="A134" s="4" t="s">
        <v>71</v>
      </c>
      <c r="B134" s="4"/>
      <c r="C134" s="4"/>
      <c r="G134" s="4"/>
      <c r="H134" s="4"/>
      <c r="I134" s="4"/>
      <c r="J134" s="4"/>
      <c r="K134" s="4"/>
      <c r="L134" s="4"/>
      <c r="M134" s="4"/>
      <c r="N134" s="4"/>
      <c r="O134" t="s">
        <v>12</v>
      </c>
      <c r="P134">
        <v>0</v>
      </c>
      <c r="R134" t="s">
        <v>72</v>
      </c>
    </row>
    <row r="135" spans="1:19" x14ac:dyDescent="0.25">
      <c r="A135" s="4" t="s">
        <v>40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 t="s">
        <v>10</v>
      </c>
      <c r="P135" s="4">
        <v>-1.7857000000000001</v>
      </c>
      <c r="R135" s="6"/>
    </row>
    <row r="136" spans="1:19" x14ac:dyDescent="0.25">
      <c r="A136" s="4" t="s">
        <v>40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 t="s">
        <v>11</v>
      </c>
      <c r="P136" s="4">
        <v>43.570999999999998</v>
      </c>
      <c r="R136" s="6"/>
    </row>
    <row r="137" spans="1:19" x14ac:dyDescent="0.25">
      <c r="A137" s="4" t="s">
        <v>40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 t="s">
        <v>12</v>
      </c>
      <c r="P137" s="4">
        <v>-112.5</v>
      </c>
      <c r="R137" s="6"/>
    </row>
    <row r="138" spans="1:19" x14ac:dyDescent="0.25">
      <c r="A138" s="9" t="s">
        <v>41</v>
      </c>
      <c r="B138" s="10"/>
      <c r="C138" s="10"/>
      <c r="G138" s="10"/>
      <c r="H138" s="10"/>
      <c r="I138" s="10"/>
      <c r="J138" s="10"/>
      <c r="K138" s="10"/>
      <c r="L138" s="10"/>
      <c r="M138" s="10"/>
      <c r="N138" s="10"/>
      <c r="O138" t="s">
        <v>10</v>
      </c>
      <c r="P138" s="24">
        <f>P57</f>
        <v>-1.0713999999999999</v>
      </c>
      <c r="Q138" s="24"/>
      <c r="R138" s="24" t="str">
        <f>R57</f>
        <v>Korn, foder, norra götaland och svealand</v>
      </c>
    </row>
    <row r="139" spans="1:19" x14ac:dyDescent="0.25">
      <c r="A139" s="9" t="s">
        <v>41</v>
      </c>
      <c r="B139" s="10"/>
      <c r="C139" s="10"/>
      <c r="G139" s="10"/>
      <c r="H139" s="10"/>
      <c r="I139" s="10"/>
      <c r="J139" s="10"/>
      <c r="K139" s="10"/>
      <c r="L139" s="10"/>
      <c r="M139" s="10"/>
      <c r="N139" s="10"/>
      <c r="O139" t="s">
        <v>11</v>
      </c>
      <c r="P139" s="24">
        <f t="shared" ref="P139:P140" si="4">P58</f>
        <v>23.928999999999998</v>
      </c>
      <c r="Q139" s="24"/>
      <c r="R139" s="24"/>
    </row>
    <row r="140" spans="1:19" x14ac:dyDescent="0.25">
      <c r="A140" s="9" t="s">
        <v>41</v>
      </c>
      <c r="B140" s="10"/>
      <c r="C140" s="10"/>
      <c r="G140" s="10"/>
      <c r="H140" s="10"/>
      <c r="I140" s="10"/>
      <c r="J140" s="10"/>
      <c r="K140" s="10"/>
      <c r="L140" s="10"/>
      <c r="M140" s="10"/>
      <c r="N140" s="10"/>
      <c r="O140" t="s">
        <v>12</v>
      </c>
      <c r="P140" s="24">
        <f t="shared" si="4"/>
        <v>32</v>
      </c>
      <c r="Q140" s="24"/>
      <c r="R140" s="24"/>
    </row>
    <row r="141" spans="1:19" x14ac:dyDescent="0.25">
      <c r="A141" s="9" t="s">
        <v>42</v>
      </c>
      <c r="B141" s="10"/>
      <c r="C141" s="10"/>
      <c r="G141" s="10"/>
      <c r="H141" s="10"/>
      <c r="I141" s="10"/>
      <c r="J141" s="10"/>
      <c r="K141" s="10"/>
      <c r="L141" s="10"/>
      <c r="M141" s="10"/>
      <c r="N141" s="10"/>
      <c r="O141" t="s">
        <v>10</v>
      </c>
      <c r="P141" s="24">
        <f>P57</f>
        <v>-1.0713999999999999</v>
      </c>
      <c r="Q141" s="24"/>
      <c r="R141" s="24" t="str">
        <f>R57</f>
        <v>Korn, foder, norra götaland och svealand</v>
      </c>
    </row>
    <row r="142" spans="1:19" x14ac:dyDescent="0.25">
      <c r="A142" s="9" t="s">
        <v>42</v>
      </c>
      <c r="B142" s="10"/>
      <c r="C142" s="10"/>
      <c r="G142" s="10"/>
      <c r="H142" s="10"/>
      <c r="I142" s="10"/>
      <c r="J142" s="10"/>
      <c r="K142" s="10"/>
      <c r="L142" s="10"/>
      <c r="M142" s="10"/>
      <c r="N142" s="10"/>
      <c r="O142" t="s">
        <v>11</v>
      </c>
      <c r="P142" s="24">
        <f>P58</f>
        <v>23.928999999999998</v>
      </c>
      <c r="Q142" s="24"/>
      <c r="R142" s="24"/>
    </row>
    <row r="143" spans="1:19" x14ac:dyDescent="0.25">
      <c r="A143" s="9" t="s">
        <v>42</v>
      </c>
      <c r="B143" s="10"/>
      <c r="C143" s="10"/>
      <c r="G143" s="10"/>
      <c r="H143" s="10"/>
      <c r="I143" s="10"/>
      <c r="J143" s="10"/>
      <c r="K143" s="10"/>
      <c r="L143" s="10"/>
      <c r="M143" s="10"/>
      <c r="N143" s="10"/>
      <c r="O143" t="s">
        <v>12</v>
      </c>
      <c r="P143" s="24">
        <f>P59</f>
        <v>32</v>
      </c>
      <c r="Q143" s="24"/>
      <c r="R143" s="24"/>
    </row>
    <row r="144" spans="1:19" x14ac:dyDescent="0.25">
      <c r="A144" s="9" t="s">
        <v>43</v>
      </c>
      <c r="B144" s="9"/>
      <c r="C144" s="9"/>
      <c r="G144" s="9"/>
      <c r="H144" s="9"/>
      <c r="I144" s="9"/>
      <c r="J144" s="9"/>
      <c r="K144" s="9"/>
      <c r="L144" s="9"/>
      <c r="M144" s="9"/>
      <c r="N144" s="9"/>
      <c r="O144" t="s">
        <v>12</v>
      </c>
      <c r="P144">
        <v>0</v>
      </c>
      <c r="R144" t="s">
        <v>72</v>
      </c>
    </row>
    <row r="145" spans="1:19" x14ac:dyDescent="0.25">
      <c r="A145" s="9" t="s">
        <v>44</v>
      </c>
      <c r="B145" s="9"/>
      <c r="C145" s="9"/>
      <c r="G145" s="9"/>
      <c r="H145" s="9"/>
      <c r="I145" s="9"/>
      <c r="J145" s="9"/>
      <c r="K145" s="9"/>
      <c r="L145" s="9"/>
      <c r="M145" s="9"/>
      <c r="N145" s="9"/>
      <c r="O145" t="s">
        <v>12</v>
      </c>
      <c r="P145">
        <v>0</v>
      </c>
      <c r="R145" t="s">
        <v>72</v>
      </c>
    </row>
    <row r="146" spans="1:19" x14ac:dyDescent="0.25">
      <c r="A146" t="s">
        <v>45</v>
      </c>
      <c r="O146" t="s">
        <v>11</v>
      </c>
      <c r="P146">
        <v>2.5</v>
      </c>
      <c r="R146" t="s">
        <v>81</v>
      </c>
      <c r="S146" t="s">
        <v>82</v>
      </c>
    </row>
    <row r="147" spans="1:19" x14ac:dyDescent="0.25">
      <c r="A147" t="s">
        <v>45</v>
      </c>
      <c r="O147" t="s">
        <v>12</v>
      </c>
      <c r="P147">
        <v>25</v>
      </c>
    </row>
    <row r="148" spans="1:19" x14ac:dyDescent="0.25">
      <c r="A148" t="s">
        <v>46</v>
      </c>
      <c r="O148" t="s">
        <v>11</v>
      </c>
      <c r="P148">
        <v>1.3846000000000001</v>
      </c>
      <c r="R148" t="s">
        <v>81</v>
      </c>
      <c r="S148" t="s">
        <v>82</v>
      </c>
    </row>
    <row r="149" spans="1:19" x14ac:dyDescent="0.25">
      <c r="A149" t="s">
        <v>46</v>
      </c>
      <c r="O149" t="s">
        <v>12</v>
      </c>
      <c r="P149">
        <v>11.538</v>
      </c>
    </row>
    <row r="150" spans="1:19" x14ac:dyDescent="0.25">
      <c r="A150" s="4" t="s">
        <v>47</v>
      </c>
      <c r="B150" s="4"/>
      <c r="C150" s="4"/>
      <c r="G150" s="4"/>
      <c r="H150" s="4"/>
      <c r="I150" s="4"/>
      <c r="J150" s="4"/>
      <c r="K150" s="4"/>
      <c r="L150" s="4"/>
      <c r="M150" s="4"/>
      <c r="N150" s="4"/>
      <c r="O150" t="s">
        <v>11</v>
      </c>
      <c r="P150" s="8">
        <f>P148</f>
        <v>1.3846000000000001</v>
      </c>
      <c r="R150" s="6" t="s">
        <v>105</v>
      </c>
    </row>
    <row r="151" spans="1:19" x14ac:dyDescent="0.25">
      <c r="A151" s="4" t="s">
        <v>47</v>
      </c>
      <c r="B151" s="4"/>
      <c r="C151" s="4"/>
      <c r="G151" s="4"/>
      <c r="H151" s="4"/>
      <c r="I151" s="4"/>
      <c r="J151" s="4"/>
      <c r="K151" s="4"/>
      <c r="L151" s="4"/>
      <c r="M151" s="4"/>
      <c r="N151" s="4"/>
      <c r="O151" t="s">
        <v>12</v>
      </c>
      <c r="P151" s="8">
        <f>P149</f>
        <v>11.538</v>
      </c>
    </row>
    <row r="152" spans="1:19" x14ac:dyDescent="0.25">
      <c r="A152" s="4" t="s">
        <v>48</v>
      </c>
      <c r="B152" s="4"/>
      <c r="C152" s="4"/>
      <c r="G152" s="4"/>
      <c r="H152" s="4"/>
      <c r="I152" s="4"/>
      <c r="J152" s="4"/>
      <c r="K152" s="4"/>
      <c r="L152" s="4"/>
      <c r="M152" s="4"/>
      <c r="N152" s="4"/>
      <c r="O152" t="s">
        <v>11</v>
      </c>
      <c r="P152">
        <v>3.3332999999999999</v>
      </c>
      <c r="R152" t="s">
        <v>83</v>
      </c>
      <c r="S152" t="s">
        <v>82</v>
      </c>
    </row>
    <row r="153" spans="1:19" x14ac:dyDescent="0.25">
      <c r="A153" s="4" t="s">
        <v>48</v>
      </c>
      <c r="B153" s="4"/>
      <c r="C153" s="4"/>
      <c r="G153" s="4"/>
      <c r="H153" s="4"/>
      <c r="I153" s="4"/>
      <c r="J153" s="4"/>
      <c r="K153" s="4"/>
      <c r="L153" s="4"/>
      <c r="M153" s="4"/>
      <c r="N153" s="4"/>
      <c r="O153" t="s">
        <v>12</v>
      </c>
      <c r="P153">
        <v>33.332999999999998</v>
      </c>
    </row>
    <row r="154" spans="1:19" x14ac:dyDescent="0.25">
      <c r="A154" s="4" t="s">
        <v>49</v>
      </c>
      <c r="B154" s="4"/>
      <c r="C154" s="4"/>
      <c r="G154" s="4"/>
      <c r="H154" s="4"/>
      <c r="I154" s="4"/>
      <c r="J154" s="4"/>
      <c r="K154" s="4"/>
      <c r="L154" s="4"/>
      <c r="M154" s="4"/>
      <c r="N154" s="4"/>
      <c r="O154" t="s">
        <v>11</v>
      </c>
      <c r="P154">
        <v>3</v>
      </c>
      <c r="R154" t="s">
        <v>84</v>
      </c>
      <c r="S154" t="s">
        <v>82</v>
      </c>
    </row>
    <row r="155" spans="1:19" x14ac:dyDescent="0.25">
      <c r="A155" s="4" t="s">
        <v>49</v>
      </c>
      <c r="B155" s="4"/>
      <c r="C155" s="4"/>
      <c r="G155" s="4"/>
      <c r="H155" s="4"/>
      <c r="I155" s="4"/>
      <c r="J155" s="4"/>
      <c r="K155" s="4"/>
      <c r="L155" s="4"/>
      <c r="M155" s="4"/>
      <c r="N155" s="4"/>
      <c r="O155" t="s">
        <v>12</v>
      </c>
      <c r="P155">
        <v>90</v>
      </c>
    </row>
    <row r="156" spans="1:19" x14ac:dyDescent="0.25">
      <c r="A156" s="4" t="s">
        <v>50</v>
      </c>
      <c r="B156" s="4"/>
      <c r="C156" s="4"/>
      <c r="G156" s="4"/>
      <c r="H156" s="4"/>
      <c r="I156" s="4"/>
      <c r="J156" s="4"/>
      <c r="K156" s="4"/>
      <c r="L156" s="4"/>
      <c r="M156" s="4"/>
      <c r="N156" s="4"/>
      <c r="O156" s="4" t="s">
        <v>10</v>
      </c>
      <c r="P156">
        <v>1.7999999999999999E-2</v>
      </c>
      <c r="R156" t="s">
        <v>85</v>
      </c>
      <c r="S156" t="s">
        <v>82</v>
      </c>
    </row>
    <row r="157" spans="1:19" x14ac:dyDescent="0.25">
      <c r="A157" s="4" t="s">
        <v>50</v>
      </c>
      <c r="B157" s="4"/>
      <c r="C157" s="4"/>
      <c r="G157" s="4"/>
      <c r="H157" s="4"/>
      <c r="I157" s="4"/>
      <c r="J157" s="4"/>
      <c r="K157" s="4"/>
      <c r="L157" s="4"/>
      <c r="M157" s="4"/>
      <c r="N157" s="4"/>
      <c r="O157" t="s">
        <v>11</v>
      </c>
      <c r="P157">
        <v>1.2583</v>
      </c>
    </row>
    <row r="158" spans="1:19" x14ac:dyDescent="0.25">
      <c r="A158" s="4" t="s">
        <v>50</v>
      </c>
      <c r="B158" s="4"/>
      <c r="C158" s="4"/>
      <c r="G158" s="4"/>
      <c r="H158" s="4"/>
      <c r="I158" s="4"/>
      <c r="J158" s="4"/>
      <c r="K158" s="4"/>
      <c r="L158" s="4"/>
      <c r="M158" s="4"/>
      <c r="N158" s="4"/>
      <c r="O158" t="s">
        <v>12</v>
      </c>
      <c r="P158">
        <v>0</v>
      </c>
    </row>
    <row r="159" spans="1:19" x14ac:dyDescent="0.25">
      <c r="A159" s="4" t="s">
        <v>51</v>
      </c>
      <c r="B159" s="4"/>
      <c r="C159" s="4"/>
      <c r="G159" s="4"/>
      <c r="H159" s="4"/>
      <c r="I159" s="4"/>
      <c r="J159" s="4"/>
      <c r="K159" s="4"/>
      <c r="L159" s="4"/>
      <c r="M159" s="4"/>
      <c r="N159" s="4"/>
      <c r="O159" s="4" t="s">
        <v>10</v>
      </c>
      <c r="P159" s="8">
        <f>P156</f>
        <v>1.7999999999999999E-2</v>
      </c>
      <c r="R159" s="8" t="str">
        <f>R156</f>
        <v xml:space="preserve">yield in fresh weight 5% DM </v>
      </c>
      <c r="S159" s="8" t="str">
        <f>S156</f>
        <v>Yara (2018)</v>
      </c>
    </row>
    <row r="160" spans="1:19" x14ac:dyDescent="0.25">
      <c r="A160" s="4" t="s">
        <v>51</v>
      </c>
      <c r="B160" s="4"/>
      <c r="C160" s="4"/>
      <c r="G160" s="4"/>
      <c r="H160" s="4"/>
      <c r="I160" s="4"/>
      <c r="J160" s="4"/>
      <c r="K160" s="4"/>
      <c r="L160" s="4"/>
      <c r="M160" s="4"/>
      <c r="N160" s="4"/>
      <c r="O160" t="s">
        <v>11</v>
      </c>
      <c r="P160" s="8">
        <f>P157</f>
        <v>1.2583</v>
      </c>
      <c r="Q160" s="8"/>
      <c r="R160" s="8"/>
      <c r="S160" s="8"/>
    </row>
    <row r="161" spans="1:19" x14ac:dyDescent="0.25">
      <c r="A161" s="4" t="s">
        <v>51</v>
      </c>
      <c r="B161" s="4"/>
      <c r="C161" s="4"/>
      <c r="G161" s="4"/>
      <c r="H161" s="4"/>
      <c r="I161" s="4"/>
      <c r="J161" s="4"/>
      <c r="K161" s="4"/>
      <c r="L161" s="4"/>
      <c r="M161" s="4"/>
      <c r="N161" s="4"/>
      <c r="O161" t="s">
        <v>12</v>
      </c>
      <c r="P161" s="8">
        <f>P158</f>
        <v>0</v>
      </c>
      <c r="Q161" s="8"/>
      <c r="R161" s="8"/>
      <c r="S161" s="8"/>
    </row>
    <row r="162" spans="1:19" x14ac:dyDescent="0.25">
      <c r="A162" s="4" t="s">
        <v>52</v>
      </c>
      <c r="B162" s="4"/>
      <c r="C162" s="4"/>
      <c r="G162" s="4"/>
      <c r="H162" s="4"/>
      <c r="I162" s="4"/>
      <c r="J162" s="4"/>
      <c r="K162" s="4"/>
      <c r="L162" s="4"/>
      <c r="M162" s="4"/>
      <c r="N162" s="4"/>
      <c r="O162" t="s">
        <v>11</v>
      </c>
      <c r="P162" s="8">
        <f>P152</f>
        <v>3.3332999999999999</v>
      </c>
      <c r="R162" s="6" t="s">
        <v>106</v>
      </c>
    </row>
    <row r="163" spans="1:19" x14ac:dyDescent="0.25">
      <c r="A163" s="4" t="s">
        <v>52</v>
      </c>
      <c r="B163" s="4"/>
      <c r="C163" s="4"/>
      <c r="G163" s="4"/>
      <c r="H163" s="4"/>
      <c r="I163" s="4"/>
      <c r="J163" s="4"/>
      <c r="K163" s="4"/>
      <c r="L163" s="4"/>
      <c r="M163" s="4"/>
      <c r="N163" s="4"/>
      <c r="O163" t="s">
        <v>12</v>
      </c>
      <c r="P163" s="8">
        <f>P153</f>
        <v>33.332999999999998</v>
      </c>
    </row>
    <row r="164" spans="1:19" x14ac:dyDescent="0.25">
      <c r="A164" s="6" t="s">
        <v>53</v>
      </c>
      <c r="B164" s="6"/>
      <c r="C164" s="6"/>
      <c r="G164" s="6"/>
      <c r="H164" s="6"/>
      <c r="I164" s="6"/>
      <c r="J164" s="6"/>
      <c r="K164" s="6"/>
      <c r="L164" s="6"/>
      <c r="M164" s="6"/>
      <c r="N164" s="6"/>
    </row>
    <row r="165" spans="1:19" x14ac:dyDescent="0.25">
      <c r="A165" s="4" t="s">
        <v>54</v>
      </c>
      <c r="B165" s="4"/>
      <c r="C165" s="4"/>
      <c r="G165" s="4"/>
      <c r="H165" s="4"/>
      <c r="I165" s="4"/>
      <c r="J165" s="4"/>
      <c r="K165" s="4"/>
      <c r="L165" s="4"/>
      <c r="M165" s="4"/>
      <c r="N165" s="4"/>
      <c r="O165" t="s">
        <v>12</v>
      </c>
      <c r="P165">
        <v>65</v>
      </c>
      <c r="R165" t="s">
        <v>78</v>
      </c>
    </row>
    <row r="166" spans="1:19" x14ac:dyDescent="0.25">
      <c r="A166" s="6" t="s">
        <v>55</v>
      </c>
      <c r="B166" s="6"/>
      <c r="C166" s="6"/>
      <c r="G166" s="6"/>
      <c r="H166" s="6"/>
      <c r="I166" s="6"/>
      <c r="J166" s="6"/>
      <c r="K166" s="6"/>
      <c r="L166" s="6"/>
      <c r="M166" s="6"/>
      <c r="N166" s="6"/>
    </row>
    <row r="167" spans="1:19" x14ac:dyDescent="0.25">
      <c r="A167" s="4" t="s">
        <v>56</v>
      </c>
      <c r="B167" s="4"/>
      <c r="C167" s="4"/>
      <c r="G167" s="4"/>
      <c r="H167" s="4"/>
      <c r="I167" s="4"/>
      <c r="J167" s="4"/>
      <c r="K167" s="4"/>
      <c r="L167" s="4"/>
      <c r="M167" s="4"/>
      <c r="N167" s="4"/>
      <c r="O167" t="s">
        <v>12</v>
      </c>
      <c r="P167">
        <v>65</v>
      </c>
      <c r="R167" t="s">
        <v>79</v>
      </c>
    </row>
    <row r="168" spans="1:19" x14ac:dyDescent="0.25">
      <c r="A168" s="4" t="s">
        <v>57</v>
      </c>
      <c r="B168" s="4"/>
      <c r="C168" s="4"/>
      <c r="G168" s="4"/>
      <c r="H168" s="4"/>
      <c r="I168" s="4"/>
      <c r="J168" s="4"/>
      <c r="K168" s="4"/>
      <c r="L168" s="4"/>
      <c r="M168" s="4"/>
      <c r="N168" s="4"/>
      <c r="O168" t="s">
        <v>12</v>
      </c>
      <c r="P168">
        <v>100</v>
      </c>
      <c r="R168" t="s">
        <v>80</v>
      </c>
    </row>
    <row r="169" spans="1:19" x14ac:dyDescent="0.25">
      <c r="A169" s="4" t="s">
        <v>58</v>
      </c>
      <c r="B169" s="4"/>
      <c r="C169" s="4"/>
      <c r="G169" s="4"/>
      <c r="H169" s="4"/>
      <c r="I169" s="4"/>
      <c r="J169" s="4"/>
      <c r="K169" s="4"/>
      <c r="L169" s="4"/>
      <c r="M169" s="4"/>
      <c r="N169" s="4"/>
      <c r="O169" t="s">
        <v>12</v>
      </c>
      <c r="P169">
        <v>110</v>
      </c>
    </row>
    <row r="170" spans="1:19" x14ac:dyDescent="0.25">
      <c r="A170" s="4" t="s">
        <v>59</v>
      </c>
      <c r="B170" s="4"/>
      <c r="C170" s="4"/>
      <c r="G170" s="4"/>
      <c r="H170" s="4"/>
      <c r="I170" s="4"/>
      <c r="J170" s="4"/>
      <c r="K170" s="4"/>
      <c r="L170" s="4"/>
      <c r="M170" s="4"/>
      <c r="N170" s="4"/>
      <c r="O170" t="s">
        <v>12</v>
      </c>
      <c r="P170" s="8">
        <f>P168</f>
        <v>100</v>
      </c>
      <c r="R170" s="4" t="s">
        <v>269</v>
      </c>
    </row>
    <row r="171" spans="1:19" x14ac:dyDescent="0.25">
      <c r="A171" s="6" t="s">
        <v>60</v>
      </c>
      <c r="B171" s="6"/>
      <c r="C171" s="6"/>
      <c r="G171" s="6"/>
      <c r="H171" s="6"/>
      <c r="I171" s="6"/>
      <c r="J171" s="6"/>
      <c r="K171" s="6"/>
      <c r="L171" s="6"/>
      <c r="M171" s="6"/>
      <c r="N171" s="6"/>
    </row>
    <row r="172" spans="1:19" x14ac:dyDescent="0.25">
      <c r="A172" s="6" t="s">
        <v>61</v>
      </c>
      <c r="B172" s="6"/>
      <c r="C172" s="6"/>
      <c r="G172" s="6"/>
      <c r="H172" s="6"/>
      <c r="I172" s="6"/>
      <c r="J172" s="6"/>
      <c r="K172" s="6"/>
      <c r="L172" s="6"/>
      <c r="M172" s="6"/>
      <c r="N172" s="6"/>
    </row>
    <row r="173" spans="1:19" x14ac:dyDescent="0.25">
      <c r="A173" s="6" t="s">
        <v>62</v>
      </c>
      <c r="B173" s="6"/>
      <c r="C173" s="6"/>
      <c r="G173" s="6"/>
      <c r="H173" s="6"/>
      <c r="I173" s="6"/>
      <c r="J173" s="6"/>
      <c r="K173" s="6"/>
      <c r="L173" s="6"/>
      <c r="M173" s="6"/>
      <c r="N173" s="6"/>
    </row>
    <row r="174" spans="1:19" x14ac:dyDescent="0.25">
      <c r="A174" s="6" t="s">
        <v>63</v>
      </c>
      <c r="B174" s="6"/>
      <c r="C174" s="6"/>
      <c r="G174" s="6"/>
      <c r="H174" s="6"/>
      <c r="I174" s="6"/>
      <c r="J174" s="6"/>
      <c r="K174" s="6"/>
      <c r="L174" s="6"/>
      <c r="M174" s="6"/>
      <c r="N174" s="6"/>
    </row>
    <row r="175" spans="1:19" x14ac:dyDescent="0.25">
      <c r="A175" s="6" t="s">
        <v>64</v>
      </c>
      <c r="B175" s="6"/>
      <c r="C175" s="6"/>
      <c r="G175" s="6"/>
      <c r="H175" s="6"/>
      <c r="I175" s="6"/>
      <c r="J175" s="6"/>
      <c r="K175" s="6"/>
      <c r="L175" s="6"/>
      <c r="M175" s="6"/>
      <c r="N175" s="6"/>
    </row>
    <row r="176" spans="1:19" x14ac:dyDescent="0.25">
      <c r="A176" s="6" t="s">
        <v>65</v>
      </c>
      <c r="B176" s="6"/>
      <c r="C176" s="6"/>
      <c r="G176" s="6"/>
      <c r="H176" s="6"/>
      <c r="I176" s="6"/>
      <c r="J176" s="6"/>
      <c r="K176" s="6"/>
      <c r="L176" s="6"/>
      <c r="M176" s="6"/>
      <c r="N176" s="6"/>
    </row>
    <row r="177" spans="1:19" x14ac:dyDescent="0.25">
      <c r="A177" s="6" t="s">
        <v>66</v>
      </c>
      <c r="B177" s="6"/>
      <c r="C177" s="6"/>
      <c r="G177" s="6"/>
      <c r="H177" s="6"/>
      <c r="I177" s="6"/>
      <c r="J177" s="6"/>
      <c r="K177" s="6"/>
      <c r="L177" s="6"/>
      <c r="M177" s="6"/>
      <c r="N177" s="6"/>
    </row>
    <row r="178" spans="1:19" x14ac:dyDescent="0.25">
      <c r="A178" s="4" t="s">
        <v>67</v>
      </c>
      <c r="B178" s="4"/>
      <c r="C178" s="4"/>
      <c r="G178" s="4"/>
      <c r="H178" s="4"/>
      <c r="I178" s="4"/>
      <c r="J178" s="4"/>
      <c r="K178" s="4"/>
      <c r="L178" s="4"/>
      <c r="M178" s="4"/>
      <c r="N178" s="4"/>
      <c r="O178" t="s">
        <v>12</v>
      </c>
      <c r="P178">
        <v>0</v>
      </c>
      <c r="R178" t="s">
        <v>72</v>
      </c>
    </row>
    <row r="179" spans="1:19" x14ac:dyDescent="0.25">
      <c r="A179" s="6" t="s">
        <v>68</v>
      </c>
      <c r="B179" s="6"/>
      <c r="C179" s="6"/>
      <c r="G179" s="6"/>
      <c r="H179" s="6"/>
      <c r="I179" s="6"/>
      <c r="J179" s="6"/>
      <c r="K179" s="6"/>
      <c r="L179" s="6"/>
      <c r="M179" s="6"/>
      <c r="N179" s="6"/>
      <c r="R179" s="6" t="s">
        <v>205</v>
      </c>
    </row>
    <row r="180" spans="1:19" x14ac:dyDescent="0.25">
      <c r="A180" s="6" t="s">
        <v>68</v>
      </c>
      <c r="B180" s="6"/>
      <c r="C180" s="6"/>
      <c r="G180" s="6"/>
      <c r="H180" s="6"/>
      <c r="I180" s="6"/>
      <c r="J180" s="6"/>
      <c r="K180" s="6"/>
      <c r="L180" s="6"/>
      <c r="M180" s="6"/>
      <c r="N180" s="6"/>
    </row>
    <row r="181" spans="1:19" x14ac:dyDescent="0.25">
      <c r="A181" s="6" t="s">
        <v>68</v>
      </c>
      <c r="B181" s="6"/>
      <c r="C181" s="6"/>
      <c r="G181" s="6"/>
      <c r="H181" s="6"/>
      <c r="I181" s="6"/>
      <c r="J181" s="6"/>
      <c r="K181" s="6"/>
      <c r="L181" s="6"/>
      <c r="M181" s="6"/>
      <c r="N181" s="6"/>
    </row>
    <row r="182" spans="1:19" x14ac:dyDescent="0.25">
      <c r="A182" s="6" t="s">
        <v>69</v>
      </c>
      <c r="B182" s="6"/>
      <c r="C182" s="6"/>
      <c r="G182" s="6"/>
      <c r="H182" s="6"/>
      <c r="I182" s="6"/>
      <c r="J182" s="6"/>
      <c r="K182" s="6"/>
      <c r="L182" s="6"/>
      <c r="M182" s="6"/>
      <c r="N182" s="6"/>
    </row>
    <row r="183" spans="1:19" x14ac:dyDescent="0.25">
      <c r="A183" s="4" t="s">
        <v>70</v>
      </c>
      <c r="B183" s="4"/>
      <c r="C183" s="4"/>
      <c r="G183" s="4"/>
      <c r="H183" s="4"/>
      <c r="I183" s="4"/>
      <c r="J183" s="4"/>
      <c r="K183" s="4"/>
      <c r="L183" s="4"/>
      <c r="M183" s="4"/>
      <c r="N183" s="4"/>
      <c r="O183" t="s">
        <v>12</v>
      </c>
      <c r="P183">
        <v>0</v>
      </c>
      <c r="R183" t="s">
        <v>72</v>
      </c>
    </row>
    <row r="184" spans="1:19" x14ac:dyDescent="0.25">
      <c r="A184" s="4"/>
      <c r="B184" s="4"/>
      <c r="C184" s="4"/>
      <c r="G184" s="4"/>
      <c r="H184" s="4"/>
      <c r="I184" s="4"/>
      <c r="J184" s="4"/>
      <c r="K184" s="4"/>
      <c r="L184" s="4"/>
      <c r="M184" s="4"/>
      <c r="N184" s="4"/>
    </row>
    <row r="185" spans="1:19" x14ac:dyDescent="0.25">
      <c r="A185" s="2" t="s">
        <v>265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3"/>
      <c r="S185" s="3"/>
    </row>
    <row r="186" spans="1:19" x14ac:dyDescent="0.25">
      <c r="A186" s="4"/>
      <c r="B186" s="4"/>
      <c r="C186" s="4"/>
      <c r="G186" s="4"/>
      <c r="H186" s="4"/>
      <c r="I186" s="4"/>
      <c r="J186" s="4"/>
      <c r="K186" s="4"/>
      <c r="L186" s="4"/>
      <c r="M186" s="4"/>
      <c r="N186" s="4"/>
    </row>
    <row r="187" spans="1:19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 t="s">
        <v>262</v>
      </c>
      <c r="P187" s="5">
        <v>0</v>
      </c>
      <c r="Q187" s="5" t="s">
        <v>253</v>
      </c>
      <c r="R187" s="5" t="s">
        <v>13</v>
      </c>
    </row>
    <row r="188" spans="1:19" x14ac:dyDescent="0.25">
      <c r="A188" t="s">
        <v>28</v>
      </c>
      <c r="C188" s="4"/>
      <c r="G188" s="4"/>
      <c r="H188" s="4"/>
      <c r="I188" s="4"/>
      <c r="J188" s="4"/>
      <c r="K188" s="4"/>
      <c r="L188" s="4"/>
      <c r="M188" s="4"/>
      <c r="N188" s="4"/>
      <c r="O188" t="s">
        <v>262</v>
      </c>
      <c r="P188">
        <v>35</v>
      </c>
      <c r="R188" t="s">
        <v>254</v>
      </c>
      <c r="S188" t="s">
        <v>257</v>
      </c>
    </row>
    <row r="189" spans="1:19" x14ac:dyDescent="0.25">
      <c r="A189" t="s">
        <v>29</v>
      </c>
      <c r="C189" s="4"/>
      <c r="G189" s="4"/>
      <c r="H189" s="4"/>
      <c r="I189" s="4"/>
      <c r="J189" s="4"/>
      <c r="K189" s="4"/>
      <c r="L189" s="4"/>
      <c r="M189" s="4"/>
      <c r="N189" s="4"/>
      <c r="O189" t="s">
        <v>262</v>
      </c>
      <c r="P189">
        <v>35</v>
      </c>
      <c r="R189" t="s">
        <v>258</v>
      </c>
      <c r="S189" t="s">
        <v>257</v>
      </c>
    </row>
    <row r="190" spans="1:19" x14ac:dyDescent="0.25">
      <c r="A190" t="s">
        <v>30</v>
      </c>
      <c r="B190" s="4"/>
      <c r="C190" s="4"/>
      <c r="G190" s="4"/>
      <c r="H190" s="4"/>
      <c r="I190" s="4"/>
      <c r="J190" s="4"/>
      <c r="K190" s="4"/>
      <c r="L190" s="4"/>
      <c r="M190" s="4"/>
      <c r="N190" s="4"/>
      <c r="O190" t="s">
        <v>262</v>
      </c>
      <c r="P190">
        <v>25</v>
      </c>
      <c r="R190" t="s">
        <v>255</v>
      </c>
      <c r="S190" t="s">
        <v>257</v>
      </c>
    </row>
    <row r="191" spans="1:19" x14ac:dyDescent="0.25">
      <c r="A191" t="s">
        <v>31</v>
      </c>
      <c r="B191" s="4"/>
      <c r="C191" s="4"/>
      <c r="G191" s="4"/>
      <c r="H191" s="4"/>
      <c r="I191" s="4"/>
      <c r="J191" s="4"/>
      <c r="K191" s="4"/>
      <c r="L191" s="4"/>
      <c r="M191" s="4"/>
      <c r="N191" s="4"/>
      <c r="O191" t="s">
        <v>262</v>
      </c>
      <c r="P191">
        <v>25</v>
      </c>
      <c r="R191" t="s">
        <v>259</v>
      </c>
      <c r="S191" t="s">
        <v>257</v>
      </c>
    </row>
    <row r="192" spans="1:19" x14ac:dyDescent="0.25">
      <c r="A192" t="s">
        <v>32</v>
      </c>
      <c r="B192" s="4"/>
      <c r="C192" s="4"/>
      <c r="G192" s="4"/>
      <c r="H192" s="4"/>
      <c r="I192" s="4"/>
      <c r="J192" s="4"/>
      <c r="K192" s="4"/>
      <c r="L192" s="4"/>
      <c r="M192" s="4"/>
      <c r="N192" s="4"/>
      <c r="O192" t="s">
        <v>262</v>
      </c>
      <c r="P192">
        <v>40</v>
      </c>
      <c r="R192" t="s">
        <v>260</v>
      </c>
      <c r="S192" t="s">
        <v>257</v>
      </c>
    </row>
    <row r="193" spans="1:19" x14ac:dyDescent="0.25">
      <c r="A193" t="s">
        <v>33</v>
      </c>
      <c r="B193" s="4"/>
      <c r="C193" s="4"/>
      <c r="G193" s="4"/>
      <c r="H193" s="4"/>
      <c r="I193" s="4"/>
      <c r="J193" s="4"/>
      <c r="K193" s="4"/>
      <c r="L193" s="4"/>
      <c r="M193" s="4"/>
      <c r="N193" s="4"/>
      <c r="O193" t="s">
        <v>262</v>
      </c>
      <c r="P193">
        <v>20</v>
      </c>
      <c r="R193" t="s">
        <v>261</v>
      </c>
      <c r="S193" t="s">
        <v>257</v>
      </c>
    </row>
    <row r="194" spans="1:19" x14ac:dyDescent="0.25">
      <c r="A194" t="s">
        <v>34</v>
      </c>
      <c r="B194" s="4"/>
      <c r="C194" s="4"/>
      <c r="G194" s="4"/>
      <c r="H194" s="4"/>
      <c r="I194" s="4"/>
      <c r="J194" s="4"/>
      <c r="K194" s="4"/>
      <c r="L194" s="4"/>
      <c r="M194" s="4"/>
      <c r="N194" s="4"/>
      <c r="O194" t="s">
        <v>262</v>
      </c>
      <c r="P194">
        <v>10</v>
      </c>
      <c r="R194" t="s">
        <v>104</v>
      </c>
      <c r="S194" t="s">
        <v>257</v>
      </c>
    </row>
    <row r="195" spans="1:19" x14ac:dyDescent="0.25">
      <c r="A195" t="s">
        <v>35</v>
      </c>
      <c r="B195" s="4"/>
      <c r="C195" s="4"/>
      <c r="G195" s="4"/>
      <c r="H195" s="4"/>
      <c r="I195" s="4"/>
      <c r="J195" s="4"/>
      <c r="K195" s="4"/>
      <c r="L195" s="4"/>
      <c r="M195" s="4"/>
      <c r="N195" s="4"/>
      <c r="O195" t="s">
        <v>262</v>
      </c>
      <c r="P195">
        <v>10</v>
      </c>
      <c r="R195" t="s">
        <v>104</v>
      </c>
      <c r="S195" t="s">
        <v>257</v>
      </c>
    </row>
    <row r="196" spans="1:19" x14ac:dyDescent="0.25">
      <c r="A196" t="s">
        <v>36</v>
      </c>
      <c r="B196" s="4"/>
      <c r="C196" s="4"/>
      <c r="G196" s="4"/>
      <c r="H196" s="4"/>
      <c r="I196" s="4"/>
      <c r="J196" s="4"/>
      <c r="K196" s="4"/>
      <c r="L196" s="4"/>
      <c r="M196" s="4"/>
      <c r="N196" s="4"/>
      <c r="O196" t="s">
        <v>262</v>
      </c>
      <c r="P196">
        <v>25</v>
      </c>
    </row>
    <row r="197" spans="1:19" x14ac:dyDescent="0.25">
      <c r="A197" s="4" t="s">
        <v>37</v>
      </c>
      <c r="B197" s="4"/>
      <c r="C197" s="4"/>
      <c r="G197" s="4"/>
      <c r="H197" s="4"/>
      <c r="I197" s="4"/>
      <c r="J197" s="4"/>
      <c r="K197" s="4"/>
      <c r="L197" s="4"/>
      <c r="M197" s="4"/>
      <c r="N197" s="4"/>
      <c r="O197" t="s">
        <v>262</v>
      </c>
    </row>
    <row r="198" spans="1:19" x14ac:dyDescent="0.25">
      <c r="A198" s="9" t="s">
        <v>38</v>
      </c>
      <c r="B198" s="4"/>
      <c r="C198" s="4"/>
      <c r="E198" t="s">
        <v>153</v>
      </c>
      <c r="G198" s="4"/>
      <c r="H198" s="4"/>
      <c r="I198" s="4"/>
      <c r="J198" s="4"/>
      <c r="K198" s="4"/>
      <c r="L198" s="4"/>
      <c r="M198" s="4"/>
      <c r="N198" s="4"/>
      <c r="O198" t="s">
        <v>262</v>
      </c>
      <c r="P198" s="6">
        <v>20</v>
      </c>
      <c r="R198" t="s">
        <v>256</v>
      </c>
      <c r="S198" t="s">
        <v>257</v>
      </c>
    </row>
    <row r="199" spans="1:19" x14ac:dyDescent="0.25">
      <c r="A199" s="9" t="s">
        <v>38</v>
      </c>
      <c r="B199" s="4"/>
      <c r="C199" s="4"/>
      <c r="E199" t="s">
        <v>108</v>
      </c>
      <c r="G199" s="4"/>
      <c r="H199" s="4"/>
      <c r="I199" s="4"/>
      <c r="J199" s="4"/>
      <c r="K199" s="4"/>
      <c r="L199" s="4"/>
      <c r="M199" s="4"/>
      <c r="N199" s="4"/>
      <c r="O199" t="s">
        <v>262</v>
      </c>
      <c r="P199" s="6">
        <v>40</v>
      </c>
    </row>
    <row r="200" spans="1:19" x14ac:dyDescent="0.25">
      <c r="A200" s="9" t="s">
        <v>39</v>
      </c>
      <c r="B200" s="4"/>
      <c r="C200" s="4"/>
      <c r="E200" t="s">
        <v>153</v>
      </c>
      <c r="G200" s="4"/>
      <c r="H200" s="4"/>
      <c r="I200" s="4"/>
      <c r="J200" s="4"/>
      <c r="K200" s="4"/>
      <c r="L200" s="4"/>
      <c r="M200" s="4"/>
      <c r="N200" s="4"/>
      <c r="O200" t="s">
        <v>262</v>
      </c>
      <c r="P200" s="6">
        <v>10</v>
      </c>
    </row>
    <row r="201" spans="1:19" x14ac:dyDescent="0.25">
      <c r="A201" s="9" t="s">
        <v>39</v>
      </c>
      <c r="B201" s="4"/>
      <c r="C201" s="4"/>
      <c r="E201" t="s">
        <v>108</v>
      </c>
      <c r="G201" s="4"/>
      <c r="H201" s="4"/>
      <c r="I201" s="4"/>
      <c r="J201" s="4"/>
      <c r="K201" s="4"/>
      <c r="L201" s="4"/>
      <c r="M201" s="4"/>
      <c r="N201" s="4"/>
      <c r="O201" t="s">
        <v>262</v>
      </c>
      <c r="P201" s="6">
        <v>20</v>
      </c>
    </row>
    <row r="202" spans="1:19" x14ac:dyDescent="0.25">
      <c r="A202" s="4" t="s">
        <v>71</v>
      </c>
      <c r="E202" t="s">
        <v>153</v>
      </c>
      <c r="O202" t="s">
        <v>262</v>
      </c>
      <c r="P202" s="6">
        <v>10</v>
      </c>
    </row>
    <row r="203" spans="1:19" x14ac:dyDescent="0.25">
      <c r="A203" s="4" t="s">
        <v>71</v>
      </c>
      <c r="E203" t="s">
        <v>108</v>
      </c>
      <c r="O203" t="s">
        <v>262</v>
      </c>
      <c r="P203" s="6">
        <v>20</v>
      </c>
    </row>
    <row r="204" spans="1:19" x14ac:dyDescent="0.25">
      <c r="A204" s="4" t="s">
        <v>70</v>
      </c>
      <c r="O204" t="s">
        <v>262</v>
      </c>
      <c r="P204" s="6">
        <v>40</v>
      </c>
    </row>
    <row r="205" spans="1:19" x14ac:dyDescent="0.25">
      <c r="A205" s="4"/>
      <c r="P205" s="6"/>
    </row>
    <row r="206" spans="1:19" x14ac:dyDescent="0.25">
      <c r="A206" s="2" t="s">
        <v>271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3"/>
      <c r="S206" s="3"/>
    </row>
    <row r="207" spans="1:19" x14ac:dyDescent="0.25">
      <c r="A207" s="4"/>
    </row>
    <row r="208" spans="1:19" x14ac:dyDescent="0.25">
      <c r="A208" s="4"/>
      <c r="O208" t="s">
        <v>263</v>
      </c>
      <c r="P208" s="6">
        <v>40</v>
      </c>
      <c r="Q208" t="s">
        <v>264</v>
      </c>
      <c r="R208" t="s">
        <v>266</v>
      </c>
      <c r="S208" t="s">
        <v>270</v>
      </c>
    </row>
    <row r="209" spans="1:19" x14ac:dyDescent="0.25">
      <c r="A209" s="4"/>
      <c r="O209" t="s">
        <v>272</v>
      </c>
      <c r="P209" s="6">
        <v>40</v>
      </c>
      <c r="Q209" t="s">
        <v>264</v>
      </c>
      <c r="R209" t="s">
        <v>273</v>
      </c>
    </row>
    <row r="210" spans="1:19" x14ac:dyDescent="0.25">
      <c r="A210" s="4"/>
    </row>
    <row r="211" spans="1:19" ht="19.5" customHeight="1" x14ac:dyDescent="0.25">
      <c r="A211" s="15" t="s">
        <v>198</v>
      </c>
      <c r="B211" s="15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spans="1:19" x14ac:dyDescent="0.25">
      <c r="A212" s="2" t="s">
        <v>234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3"/>
      <c r="S212" s="3"/>
    </row>
    <row r="213" spans="1:19" x14ac:dyDescent="0.25">
      <c r="A213" s="19" t="s">
        <v>239</v>
      </c>
      <c r="B213" s="19"/>
    </row>
    <row r="214" spans="1:19" x14ac:dyDescent="0.25">
      <c r="A214" s="19" t="s">
        <v>240</v>
      </c>
      <c r="B214" s="19"/>
    </row>
    <row r="215" spans="1:19" x14ac:dyDescent="0.25">
      <c r="O215" s="5" t="s">
        <v>202</v>
      </c>
      <c r="P215" s="5">
        <v>0</v>
      </c>
      <c r="Q215" s="5" t="s">
        <v>247</v>
      </c>
      <c r="R215" s="5" t="s">
        <v>156</v>
      </c>
    </row>
    <row r="216" spans="1:19" x14ac:dyDescent="0.25">
      <c r="O216" s="5" t="s">
        <v>203</v>
      </c>
      <c r="P216" s="5">
        <v>0</v>
      </c>
      <c r="Q216" s="5" t="s">
        <v>109</v>
      </c>
      <c r="R216" s="5" t="s">
        <v>156</v>
      </c>
    </row>
    <row r="217" spans="1:19" x14ac:dyDescent="0.25">
      <c r="A217" s="21" t="s">
        <v>211</v>
      </c>
      <c r="B217" s="21"/>
      <c r="O217" s="5"/>
      <c r="P217" s="5"/>
      <c r="Q217" s="5"/>
      <c r="R217" s="5"/>
    </row>
    <row r="218" spans="1:19" x14ac:dyDescent="0.25">
      <c r="A218" t="s">
        <v>7</v>
      </c>
      <c r="M218" t="s">
        <v>206</v>
      </c>
      <c r="O218" t="s">
        <v>202</v>
      </c>
      <c r="P218">
        <v>3</v>
      </c>
    </row>
    <row r="219" spans="1:19" x14ac:dyDescent="0.25">
      <c r="A219" t="s">
        <v>7</v>
      </c>
      <c r="M219" t="s">
        <v>207</v>
      </c>
      <c r="O219" t="s">
        <v>202</v>
      </c>
      <c r="P219">
        <v>3</v>
      </c>
    </row>
    <row r="220" spans="1:19" x14ac:dyDescent="0.25">
      <c r="A220" t="s">
        <v>7</v>
      </c>
      <c r="M220" t="s">
        <v>208</v>
      </c>
      <c r="O220" t="s">
        <v>202</v>
      </c>
      <c r="P220">
        <v>3</v>
      </c>
    </row>
    <row r="221" spans="1:19" x14ac:dyDescent="0.25">
      <c r="A221" t="s">
        <v>7</v>
      </c>
      <c r="M221" t="s">
        <v>209</v>
      </c>
      <c r="O221" t="s">
        <v>202</v>
      </c>
      <c r="P221">
        <v>3</v>
      </c>
    </row>
    <row r="222" spans="1:19" x14ac:dyDescent="0.25">
      <c r="A222" t="s">
        <v>7</v>
      </c>
      <c r="M222" t="s">
        <v>206</v>
      </c>
      <c r="O222" t="s">
        <v>203</v>
      </c>
      <c r="P222">
        <v>9</v>
      </c>
    </row>
    <row r="223" spans="1:19" x14ac:dyDescent="0.25">
      <c r="A223" t="s">
        <v>7</v>
      </c>
      <c r="M223" t="s">
        <v>207</v>
      </c>
      <c r="O223" t="s">
        <v>203</v>
      </c>
      <c r="P223">
        <v>4</v>
      </c>
    </row>
    <row r="224" spans="1:19" x14ac:dyDescent="0.25">
      <c r="A224" t="s">
        <v>7</v>
      </c>
      <c r="M224" t="s">
        <v>208</v>
      </c>
      <c r="O224" t="s">
        <v>203</v>
      </c>
      <c r="P224">
        <v>-6</v>
      </c>
    </row>
    <row r="225" spans="1:16" x14ac:dyDescent="0.25">
      <c r="A225" t="s">
        <v>7</v>
      </c>
      <c r="M225" t="s">
        <v>209</v>
      </c>
      <c r="O225" t="s">
        <v>203</v>
      </c>
      <c r="P225">
        <v>-16</v>
      </c>
    </row>
    <row r="226" spans="1:16" x14ac:dyDescent="0.25">
      <c r="A226" t="s">
        <v>25</v>
      </c>
      <c r="M226" t="s">
        <v>206</v>
      </c>
      <c r="O226" t="s">
        <v>202</v>
      </c>
      <c r="P226" s="20">
        <f>P218</f>
        <v>3</v>
      </c>
    </row>
    <row r="227" spans="1:16" x14ac:dyDescent="0.25">
      <c r="A227" t="s">
        <v>25</v>
      </c>
      <c r="M227" t="s">
        <v>207</v>
      </c>
      <c r="O227" t="s">
        <v>202</v>
      </c>
      <c r="P227" s="20">
        <f t="shared" ref="P227:P233" si="5">P219</f>
        <v>3</v>
      </c>
    </row>
    <row r="228" spans="1:16" x14ac:dyDescent="0.25">
      <c r="A228" t="s">
        <v>25</v>
      </c>
      <c r="M228" t="s">
        <v>208</v>
      </c>
      <c r="O228" t="s">
        <v>202</v>
      </c>
      <c r="P228" s="20">
        <f t="shared" si="5"/>
        <v>3</v>
      </c>
    </row>
    <row r="229" spans="1:16" x14ac:dyDescent="0.25">
      <c r="A229" t="s">
        <v>25</v>
      </c>
      <c r="M229" t="s">
        <v>209</v>
      </c>
      <c r="O229" t="s">
        <v>202</v>
      </c>
      <c r="P229" s="20">
        <f t="shared" si="5"/>
        <v>3</v>
      </c>
    </row>
    <row r="230" spans="1:16" x14ac:dyDescent="0.25">
      <c r="A230" t="s">
        <v>25</v>
      </c>
      <c r="M230" t="s">
        <v>206</v>
      </c>
      <c r="O230" t="s">
        <v>203</v>
      </c>
      <c r="P230" s="20">
        <f t="shared" si="5"/>
        <v>9</v>
      </c>
    </row>
    <row r="231" spans="1:16" x14ac:dyDescent="0.25">
      <c r="A231" t="s">
        <v>25</v>
      </c>
      <c r="M231" t="s">
        <v>207</v>
      </c>
      <c r="O231" t="s">
        <v>203</v>
      </c>
      <c r="P231" s="20">
        <f t="shared" si="5"/>
        <v>4</v>
      </c>
    </row>
    <row r="232" spans="1:16" x14ac:dyDescent="0.25">
      <c r="A232" t="s">
        <v>25</v>
      </c>
      <c r="M232" t="s">
        <v>208</v>
      </c>
      <c r="O232" t="s">
        <v>203</v>
      </c>
      <c r="P232" s="20">
        <f t="shared" si="5"/>
        <v>-6</v>
      </c>
    </row>
    <row r="233" spans="1:16" x14ac:dyDescent="0.25">
      <c r="A233" t="s">
        <v>25</v>
      </c>
      <c r="M233" t="s">
        <v>209</v>
      </c>
      <c r="O233" t="s">
        <v>203</v>
      </c>
      <c r="P233" s="20">
        <f t="shared" si="5"/>
        <v>-16</v>
      </c>
    </row>
    <row r="234" spans="1:16" x14ac:dyDescent="0.25">
      <c r="A234" t="s">
        <v>21</v>
      </c>
      <c r="M234" t="s">
        <v>206</v>
      </c>
      <c r="O234" t="s">
        <v>202</v>
      </c>
      <c r="P234" s="20">
        <f>P218</f>
        <v>3</v>
      </c>
    </row>
    <row r="235" spans="1:16" x14ac:dyDescent="0.25">
      <c r="A235" t="s">
        <v>21</v>
      </c>
      <c r="M235" t="s">
        <v>207</v>
      </c>
      <c r="O235" t="s">
        <v>202</v>
      </c>
      <c r="P235" s="20">
        <f t="shared" ref="P235:P241" si="6">P219</f>
        <v>3</v>
      </c>
    </row>
    <row r="236" spans="1:16" x14ac:dyDescent="0.25">
      <c r="A236" t="s">
        <v>21</v>
      </c>
      <c r="M236" t="s">
        <v>208</v>
      </c>
      <c r="O236" t="s">
        <v>202</v>
      </c>
      <c r="P236" s="20">
        <f t="shared" si="6"/>
        <v>3</v>
      </c>
    </row>
    <row r="237" spans="1:16" x14ac:dyDescent="0.25">
      <c r="A237" t="s">
        <v>21</v>
      </c>
      <c r="M237" t="s">
        <v>209</v>
      </c>
      <c r="O237" t="s">
        <v>202</v>
      </c>
      <c r="P237" s="20">
        <f t="shared" si="6"/>
        <v>3</v>
      </c>
    </row>
    <row r="238" spans="1:16" x14ac:dyDescent="0.25">
      <c r="A238" t="s">
        <v>21</v>
      </c>
      <c r="M238" t="s">
        <v>206</v>
      </c>
      <c r="O238" t="s">
        <v>203</v>
      </c>
      <c r="P238" s="20">
        <f t="shared" si="6"/>
        <v>9</v>
      </c>
    </row>
    <row r="239" spans="1:16" x14ac:dyDescent="0.25">
      <c r="A239" t="s">
        <v>21</v>
      </c>
      <c r="M239" t="s">
        <v>207</v>
      </c>
      <c r="O239" t="s">
        <v>203</v>
      </c>
      <c r="P239" s="20">
        <f t="shared" si="6"/>
        <v>4</v>
      </c>
    </row>
    <row r="240" spans="1:16" x14ac:dyDescent="0.25">
      <c r="A240" t="s">
        <v>21</v>
      </c>
      <c r="M240" t="s">
        <v>208</v>
      </c>
      <c r="O240" t="s">
        <v>203</v>
      </c>
      <c r="P240" s="20">
        <f t="shared" si="6"/>
        <v>-6</v>
      </c>
    </row>
    <row r="241" spans="1:16" x14ac:dyDescent="0.25">
      <c r="A241" t="s">
        <v>21</v>
      </c>
      <c r="M241" t="s">
        <v>209</v>
      </c>
      <c r="O241" t="s">
        <v>203</v>
      </c>
      <c r="P241" s="20">
        <f t="shared" si="6"/>
        <v>-16</v>
      </c>
    </row>
    <row r="242" spans="1:16" x14ac:dyDescent="0.25">
      <c r="A242" t="s">
        <v>23</v>
      </c>
      <c r="M242" t="s">
        <v>206</v>
      </c>
      <c r="O242" t="s">
        <v>202</v>
      </c>
      <c r="P242" s="20">
        <f>P218</f>
        <v>3</v>
      </c>
    </row>
    <row r="243" spans="1:16" x14ac:dyDescent="0.25">
      <c r="A243" t="s">
        <v>23</v>
      </c>
      <c r="M243" t="s">
        <v>207</v>
      </c>
      <c r="O243" t="s">
        <v>202</v>
      </c>
      <c r="P243" s="20">
        <f t="shared" ref="P243:P249" si="7">P219</f>
        <v>3</v>
      </c>
    </row>
    <row r="244" spans="1:16" x14ac:dyDescent="0.25">
      <c r="A244" t="s">
        <v>23</v>
      </c>
      <c r="M244" t="s">
        <v>208</v>
      </c>
      <c r="O244" t="s">
        <v>202</v>
      </c>
      <c r="P244" s="20">
        <f t="shared" si="7"/>
        <v>3</v>
      </c>
    </row>
    <row r="245" spans="1:16" x14ac:dyDescent="0.25">
      <c r="A245" t="s">
        <v>23</v>
      </c>
      <c r="M245" t="s">
        <v>209</v>
      </c>
      <c r="O245" t="s">
        <v>202</v>
      </c>
      <c r="P245" s="20">
        <f t="shared" si="7"/>
        <v>3</v>
      </c>
    </row>
    <row r="246" spans="1:16" x14ac:dyDescent="0.25">
      <c r="A246" t="s">
        <v>23</v>
      </c>
      <c r="M246" t="s">
        <v>206</v>
      </c>
      <c r="O246" t="s">
        <v>203</v>
      </c>
      <c r="P246" s="20">
        <f t="shared" si="7"/>
        <v>9</v>
      </c>
    </row>
    <row r="247" spans="1:16" x14ac:dyDescent="0.25">
      <c r="A247" t="s">
        <v>23</v>
      </c>
      <c r="M247" t="s">
        <v>207</v>
      </c>
      <c r="O247" t="s">
        <v>203</v>
      </c>
      <c r="P247" s="20">
        <f t="shared" si="7"/>
        <v>4</v>
      </c>
    </row>
    <row r="248" spans="1:16" x14ac:dyDescent="0.25">
      <c r="A248" t="s">
        <v>23</v>
      </c>
      <c r="M248" t="s">
        <v>208</v>
      </c>
      <c r="O248" t="s">
        <v>203</v>
      </c>
      <c r="P248" s="20">
        <f t="shared" si="7"/>
        <v>-6</v>
      </c>
    </row>
    <row r="249" spans="1:16" x14ac:dyDescent="0.25">
      <c r="A249" t="s">
        <v>23</v>
      </c>
      <c r="M249" t="s">
        <v>209</v>
      </c>
      <c r="O249" t="s">
        <v>203</v>
      </c>
      <c r="P249" s="20">
        <f t="shared" si="7"/>
        <v>-16</v>
      </c>
    </row>
    <row r="251" spans="1:16" x14ac:dyDescent="0.25">
      <c r="A251" s="21" t="s">
        <v>212</v>
      </c>
      <c r="B251" s="21"/>
    </row>
    <row r="252" spans="1:16" x14ac:dyDescent="0.25">
      <c r="A252" t="s">
        <v>14</v>
      </c>
      <c r="M252" t="s">
        <v>206</v>
      </c>
      <c r="O252" t="s">
        <v>202</v>
      </c>
      <c r="P252">
        <v>3</v>
      </c>
    </row>
    <row r="253" spans="1:16" x14ac:dyDescent="0.25">
      <c r="A253" t="s">
        <v>14</v>
      </c>
      <c r="M253" t="s">
        <v>207</v>
      </c>
      <c r="O253" t="s">
        <v>202</v>
      </c>
      <c r="P253">
        <v>3</v>
      </c>
    </row>
    <row r="254" spans="1:16" x14ac:dyDescent="0.25">
      <c r="A254" t="s">
        <v>14</v>
      </c>
      <c r="M254" t="s">
        <v>208</v>
      </c>
      <c r="O254" t="s">
        <v>202</v>
      </c>
      <c r="P254">
        <v>3</v>
      </c>
    </row>
    <row r="255" spans="1:16" x14ac:dyDescent="0.25">
      <c r="A255" t="s">
        <v>14</v>
      </c>
      <c r="M255" t="s">
        <v>209</v>
      </c>
      <c r="O255" t="s">
        <v>202</v>
      </c>
      <c r="P255">
        <v>3</v>
      </c>
    </row>
    <row r="256" spans="1:16" x14ac:dyDescent="0.25">
      <c r="A256" t="s">
        <v>14</v>
      </c>
      <c r="M256" t="s">
        <v>206</v>
      </c>
      <c r="O256" t="s">
        <v>203</v>
      </c>
      <c r="P256">
        <v>10</v>
      </c>
    </row>
    <row r="257" spans="1:16" x14ac:dyDescent="0.25">
      <c r="A257" t="s">
        <v>14</v>
      </c>
      <c r="M257" t="s">
        <v>207</v>
      </c>
      <c r="O257" t="s">
        <v>203</v>
      </c>
      <c r="P257">
        <v>5</v>
      </c>
    </row>
    <row r="258" spans="1:16" x14ac:dyDescent="0.25">
      <c r="A258" t="s">
        <v>14</v>
      </c>
      <c r="M258" t="s">
        <v>208</v>
      </c>
      <c r="O258" t="s">
        <v>203</v>
      </c>
      <c r="P258">
        <v>0</v>
      </c>
    </row>
    <row r="259" spans="1:16" x14ac:dyDescent="0.25">
      <c r="A259" t="s">
        <v>14</v>
      </c>
      <c r="M259" t="s">
        <v>209</v>
      </c>
      <c r="O259" t="s">
        <v>203</v>
      </c>
      <c r="P259">
        <v>-10</v>
      </c>
    </row>
    <row r="260" spans="1:16" x14ac:dyDescent="0.25">
      <c r="A260" t="s">
        <v>15</v>
      </c>
      <c r="M260" t="s">
        <v>206</v>
      </c>
      <c r="O260" t="s">
        <v>202</v>
      </c>
      <c r="P260" s="20">
        <f>P252</f>
        <v>3</v>
      </c>
    </row>
    <row r="261" spans="1:16" x14ac:dyDescent="0.25">
      <c r="A261" t="s">
        <v>15</v>
      </c>
      <c r="M261" t="s">
        <v>207</v>
      </c>
      <c r="O261" t="s">
        <v>202</v>
      </c>
      <c r="P261" s="20">
        <f t="shared" ref="P261:P267" si="8">P253</f>
        <v>3</v>
      </c>
    </row>
    <row r="262" spans="1:16" x14ac:dyDescent="0.25">
      <c r="A262" t="s">
        <v>15</v>
      </c>
      <c r="M262" t="s">
        <v>208</v>
      </c>
      <c r="O262" t="s">
        <v>202</v>
      </c>
      <c r="P262" s="20">
        <f t="shared" si="8"/>
        <v>3</v>
      </c>
    </row>
    <row r="263" spans="1:16" x14ac:dyDescent="0.25">
      <c r="A263" t="s">
        <v>15</v>
      </c>
      <c r="M263" t="s">
        <v>209</v>
      </c>
      <c r="O263" t="s">
        <v>202</v>
      </c>
      <c r="P263" s="20">
        <f t="shared" si="8"/>
        <v>3</v>
      </c>
    </row>
    <row r="264" spans="1:16" x14ac:dyDescent="0.25">
      <c r="A264" t="s">
        <v>15</v>
      </c>
      <c r="M264" t="s">
        <v>206</v>
      </c>
      <c r="O264" t="s">
        <v>203</v>
      </c>
      <c r="P264" s="20">
        <f t="shared" si="8"/>
        <v>10</v>
      </c>
    </row>
    <row r="265" spans="1:16" x14ac:dyDescent="0.25">
      <c r="A265" t="s">
        <v>15</v>
      </c>
      <c r="M265" t="s">
        <v>207</v>
      </c>
      <c r="O265" t="s">
        <v>203</v>
      </c>
      <c r="P265" s="20">
        <f t="shared" si="8"/>
        <v>5</v>
      </c>
    </row>
    <row r="266" spans="1:16" x14ac:dyDescent="0.25">
      <c r="A266" t="s">
        <v>15</v>
      </c>
      <c r="M266" t="s">
        <v>208</v>
      </c>
      <c r="O266" t="s">
        <v>203</v>
      </c>
      <c r="P266" s="20">
        <f t="shared" si="8"/>
        <v>0</v>
      </c>
    </row>
    <row r="267" spans="1:16" x14ac:dyDescent="0.25">
      <c r="A267" t="s">
        <v>15</v>
      </c>
      <c r="M267" t="s">
        <v>209</v>
      </c>
      <c r="O267" t="s">
        <v>203</v>
      </c>
      <c r="P267" s="20">
        <f t="shared" si="8"/>
        <v>-10</v>
      </c>
    </row>
    <row r="268" spans="1:16" x14ac:dyDescent="0.25">
      <c r="A268" t="s">
        <v>19</v>
      </c>
      <c r="M268" t="s">
        <v>206</v>
      </c>
      <c r="O268" t="s">
        <v>202</v>
      </c>
      <c r="P268" s="20">
        <f>P252</f>
        <v>3</v>
      </c>
    </row>
    <row r="269" spans="1:16" x14ac:dyDescent="0.25">
      <c r="A269" t="s">
        <v>19</v>
      </c>
      <c r="M269" t="s">
        <v>207</v>
      </c>
      <c r="O269" t="s">
        <v>202</v>
      </c>
      <c r="P269" s="20">
        <f t="shared" ref="P269:P275" si="9">P253</f>
        <v>3</v>
      </c>
    </row>
    <row r="270" spans="1:16" x14ac:dyDescent="0.25">
      <c r="A270" t="s">
        <v>19</v>
      </c>
      <c r="M270" t="s">
        <v>208</v>
      </c>
      <c r="O270" t="s">
        <v>202</v>
      </c>
      <c r="P270" s="20">
        <f t="shared" si="9"/>
        <v>3</v>
      </c>
    </row>
    <row r="271" spans="1:16" x14ac:dyDescent="0.25">
      <c r="A271" t="s">
        <v>19</v>
      </c>
      <c r="M271" t="s">
        <v>209</v>
      </c>
      <c r="O271" t="s">
        <v>202</v>
      </c>
      <c r="P271" s="20">
        <f t="shared" si="9"/>
        <v>3</v>
      </c>
    </row>
    <row r="272" spans="1:16" x14ac:dyDescent="0.25">
      <c r="A272" t="s">
        <v>19</v>
      </c>
      <c r="M272" t="s">
        <v>206</v>
      </c>
      <c r="O272" t="s">
        <v>203</v>
      </c>
      <c r="P272" s="20">
        <f t="shared" si="9"/>
        <v>10</v>
      </c>
    </row>
    <row r="273" spans="1:16" x14ac:dyDescent="0.25">
      <c r="A273" t="s">
        <v>19</v>
      </c>
      <c r="M273" t="s">
        <v>207</v>
      </c>
      <c r="O273" t="s">
        <v>203</v>
      </c>
      <c r="P273" s="20">
        <f t="shared" si="9"/>
        <v>5</v>
      </c>
    </row>
    <row r="274" spans="1:16" x14ac:dyDescent="0.25">
      <c r="A274" t="s">
        <v>19</v>
      </c>
      <c r="M274" t="s">
        <v>208</v>
      </c>
      <c r="O274" t="s">
        <v>203</v>
      </c>
      <c r="P274" s="20">
        <f t="shared" si="9"/>
        <v>0</v>
      </c>
    </row>
    <row r="275" spans="1:16" x14ac:dyDescent="0.25">
      <c r="A275" t="s">
        <v>19</v>
      </c>
      <c r="M275" t="s">
        <v>209</v>
      </c>
      <c r="O275" t="s">
        <v>203</v>
      </c>
      <c r="P275" s="20">
        <f t="shared" si="9"/>
        <v>-10</v>
      </c>
    </row>
    <row r="276" spans="1:16" x14ac:dyDescent="0.25">
      <c r="A276" t="s">
        <v>22</v>
      </c>
      <c r="M276" t="s">
        <v>206</v>
      </c>
      <c r="O276" t="s">
        <v>202</v>
      </c>
      <c r="P276" s="20">
        <f>P252</f>
        <v>3</v>
      </c>
    </row>
    <row r="277" spans="1:16" x14ac:dyDescent="0.25">
      <c r="A277" t="s">
        <v>22</v>
      </c>
      <c r="M277" t="s">
        <v>207</v>
      </c>
      <c r="O277" t="s">
        <v>202</v>
      </c>
      <c r="P277" s="20">
        <f t="shared" ref="P277:P283" si="10">P253</f>
        <v>3</v>
      </c>
    </row>
    <row r="278" spans="1:16" x14ac:dyDescent="0.25">
      <c r="A278" t="s">
        <v>22</v>
      </c>
      <c r="M278" t="s">
        <v>208</v>
      </c>
      <c r="O278" t="s">
        <v>202</v>
      </c>
      <c r="P278" s="20">
        <f t="shared" si="10"/>
        <v>3</v>
      </c>
    </row>
    <row r="279" spans="1:16" x14ac:dyDescent="0.25">
      <c r="A279" t="s">
        <v>22</v>
      </c>
      <c r="M279" t="s">
        <v>209</v>
      </c>
      <c r="O279" t="s">
        <v>202</v>
      </c>
      <c r="P279" s="20">
        <f t="shared" si="10"/>
        <v>3</v>
      </c>
    </row>
    <row r="280" spans="1:16" x14ac:dyDescent="0.25">
      <c r="A280" t="s">
        <v>22</v>
      </c>
      <c r="M280" t="s">
        <v>206</v>
      </c>
      <c r="O280" t="s">
        <v>203</v>
      </c>
      <c r="P280" s="20">
        <f t="shared" si="10"/>
        <v>10</v>
      </c>
    </row>
    <row r="281" spans="1:16" x14ac:dyDescent="0.25">
      <c r="A281" t="s">
        <v>22</v>
      </c>
      <c r="M281" t="s">
        <v>207</v>
      </c>
      <c r="O281" t="s">
        <v>203</v>
      </c>
      <c r="P281" s="20">
        <f t="shared" si="10"/>
        <v>5</v>
      </c>
    </row>
    <row r="282" spans="1:16" x14ac:dyDescent="0.25">
      <c r="A282" t="s">
        <v>22</v>
      </c>
      <c r="M282" t="s">
        <v>208</v>
      </c>
      <c r="O282" t="s">
        <v>203</v>
      </c>
      <c r="P282" s="20">
        <f t="shared" si="10"/>
        <v>0</v>
      </c>
    </row>
    <row r="283" spans="1:16" x14ac:dyDescent="0.25">
      <c r="A283" t="s">
        <v>22</v>
      </c>
      <c r="M283" t="s">
        <v>209</v>
      </c>
      <c r="O283" t="s">
        <v>203</v>
      </c>
      <c r="P283" s="20">
        <f t="shared" si="10"/>
        <v>-10</v>
      </c>
    </row>
    <row r="284" spans="1:16" x14ac:dyDescent="0.25">
      <c r="A284" t="s">
        <v>27</v>
      </c>
      <c r="M284" t="s">
        <v>206</v>
      </c>
      <c r="O284" t="s">
        <v>202</v>
      </c>
      <c r="P284" s="20">
        <f>P252</f>
        <v>3</v>
      </c>
    </row>
    <row r="285" spans="1:16" x14ac:dyDescent="0.25">
      <c r="A285" t="s">
        <v>27</v>
      </c>
      <c r="M285" t="s">
        <v>207</v>
      </c>
      <c r="O285" t="s">
        <v>202</v>
      </c>
      <c r="P285" s="20">
        <f t="shared" ref="P285:P291" si="11">P253</f>
        <v>3</v>
      </c>
    </row>
    <row r="286" spans="1:16" x14ac:dyDescent="0.25">
      <c r="A286" t="s">
        <v>27</v>
      </c>
      <c r="M286" t="s">
        <v>208</v>
      </c>
      <c r="O286" t="s">
        <v>202</v>
      </c>
      <c r="P286" s="20">
        <f t="shared" si="11"/>
        <v>3</v>
      </c>
    </row>
    <row r="287" spans="1:16" x14ac:dyDescent="0.25">
      <c r="A287" t="s">
        <v>27</v>
      </c>
      <c r="M287" t="s">
        <v>209</v>
      </c>
      <c r="O287" t="s">
        <v>202</v>
      </c>
      <c r="P287" s="20">
        <f t="shared" si="11"/>
        <v>3</v>
      </c>
    </row>
    <row r="288" spans="1:16" x14ac:dyDescent="0.25">
      <c r="A288" t="s">
        <v>27</v>
      </c>
      <c r="M288" t="s">
        <v>206</v>
      </c>
      <c r="O288" t="s">
        <v>203</v>
      </c>
      <c r="P288" s="20">
        <f t="shared" si="11"/>
        <v>10</v>
      </c>
    </row>
    <row r="289" spans="1:16" x14ac:dyDescent="0.25">
      <c r="A289" t="s">
        <v>27</v>
      </c>
      <c r="M289" t="s">
        <v>207</v>
      </c>
      <c r="O289" t="s">
        <v>203</v>
      </c>
      <c r="P289" s="20">
        <f t="shared" si="11"/>
        <v>5</v>
      </c>
    </row>
    <row r="290" spans="1:16" x14ac:dyDescent="0.25">
      <c r="A290" t="s">
        <v>27</v>
      </c>
      <c r="M290" t="s">
        <v>208</v>
      </c>
      <c r="O290" t="s">
        <v>203</v>
      </c>
      <c r="P290" s="20">
        <f t="shared" si="11"/>
        <v>0</v>
      </c>
    </row>
    <row r="291" spans="1:16" x14ac:dyDescent="0.25">
      <c r="A291" t="s">
        <v>27</v>
      </c>
      <c r="M291" t="s">
        <v>209</v>
      </c>
      <c r="O291" t="s">
        <v>203</v>
      </c>
      <c r="P291" s="20">
        <f t="shared" si="11"/>
        <v>-10</v>
      </c>
    </row>
    <row r="292" spans="1:16" x14ac:dyDescent="0.25">
      <c r="A292" t="s">
        <v>26</v>
      </c>
      <c r="M292" t="s">
        <v>206</v>
      </c>
      <c r="O292" t="s">
        <v>202</v>
      </c>
      <c r="P292" s="20">
        <f>P252</f>
        <v>3</v>
      </c>
    </row>
    <row r="293" spans="1:16" x14ac:dyDescent="0.25">
      <c r="A293" t="s">
        <v>26</v>
      </c>
      <c r="M293" t="s">
        <v>207</v>
      </c>
      <c r="O293" t="s">
        <v>202</v>
      </c>
      <c r="P293" s="20">
        <f t="shared" ref="P293:P299" si="12">P253</f>
        <v>3</v>
      </c>
    </row>
    <row r="294" spans="1:16" x14ac:dyDescent="0.25">
      <c r="A294" t="s">
        <v>26</v>
      </c>
      <c r="M294" t="s">
        <v>208</v>
      </c>
      <c r="O294" t="s">
        <v>202</v>
      </c>
      <c r="P294" s="20">
        <f t="shared" si="12"/>
        <v>3</v>
      </c>
    </row>
    <row r="295" spans="1:16" x14ac:dyDescent="0.25">
      <c r="A295" t="s">
        <v>26</v>
      </c>
      <c r="M295" t="s">
        <v>209</v>
      </c>
      <c r="O295" t="s">
        <v>202</v>
      </c>
      <c r="P295" s="20">
        <f t="shared" si="12"/>
        <v>3</v>
      </c>
    </row>
    <row r="296" spans="1:16" x14ac:dyDescent="0.25">
      <c r="A296" t="s">
        <v>26</v>
      </c>
      <c r="M296" t="s">
        <v>206</v>
      </c>
      <c r="O296" t="s">
        <v>203</v>
      </c>
      <c r="P296" s="20">
        <f t="shared" si="12"/>
        <v>10</v>
      </c>
    </row>
    <row r="297" spans="1:16" x14ac:dyDescent="0.25">
      <c r="A297" t="s">
        <v>26</v>
      </c>
      <c r="M297" t="s">
        <v>207</v>
      </c>
      <c r="O297" t="s">
        <v>203</v>
      </c>
      <c r="P297" s="20">
        <f t="shared" si="12"/>
        <v>5</v>
      </c>
    </row>
    <row r="298" spans="1:16" x14ac:dyDescent="0.25">
      <c r="A298" t="s">
        <v>26</v>
      </c>
      <c r="M298" t="s">
        <v>208</v>
      </c>
      <c r="O298" t="s">
        <v>203</v>
      </c>
      <c r="P298" s="20">
        <f t="shared" si="12"/>
        <v>0</v>
      </c>
    </row>
    <row r="299" spans="1:16" x14ac:dyDescent="0.25">
      <c r="A299" t="s">
        <v>26</v>
      </c>
      <c r="M299" t="s">
        <v>209</v>
      </c>
      <c r="O299" t="s">
        <v>203</v>
      </c>
      <c r="P299" s="20">
        <f t="shared" si="12"/>
        <v>-10</v>
      </c>
    </row>
    <row r="300" spans="1:16" x14ac:dyDescent="0.25">
      <c r="A300" s="4" t="s">
        <v>41</v>
      </c>
      <c r="B300" s="6"/>
      <c r="M300" t="s">
        <v>206</v>
      </c>
      <c r="O300" t="s">
        <v>202</v>
      </c>
      <c r="P300" s="20">
        <f>P252</f>
        <v>3</v>
      </c>
    </row>
    <row r="301" spans="1:16" x14ac:dyDescent="0.25">
      <c r="A301" s="4" t="s">
        <v>41</v>
      </c>
      <c r="B301" s="6"/>
      <c r="M301" t="s">
        <v>207</v>
      </c>
      <c r="O301" t="s">
        <v>202</v>
      </c>
      <c r="P301" s="20">
        <f t="shared" ref="P301:P307" si="13">P253</f>
        <v>3</v>
      </c>
    </row>
    <row r="302" spans="1:16" x14ac:dyDescent="0.25">
      <c r="A302" s="4" t="s">
        <v>41</v>
      </c>
      <c r="B302" s="6"/>
      <c r="M302" t="s">
        <v>208</v>
      </c>
      <c r="O302" t="s">
        <v>202</v>
      </c>
      <c r="P302" s="20">
        <f t="shared" si="13"/>
        <v>3</v>
      </c>
    </row>
    <row r="303" spans="1:16" x14ac:dyDescent="0.25">
      <c r="A303" s="4" t="s">
        <v>41</v>
      </c>
      <c r="B303" s="6"/>
      <c r="M303" t="s">
        <v>209</v>
      </c>
      <c r="O303" t="s">
        <v>202</v>
      </c>
      <c r="P303" s="20">
        <f t="shared" si="13"/>
        <v>3</v>
      </c>
    </row>
    <row r="304" spans="1:16" x14ac:dyDescent="0.25">
      <c r="A304" s="4" t="s">
        <v>41</v>
      </c>
      <c r="B304" s="6"/>
      <c r="M304" t="s">
        <v>206</v>
      </c>
      <c r="O304" t="s">
        <v>203</v>
      </c>
      <c r="P304" s="20">
        <f t="shared" si="13"/>
        <v>10</v>
      </c>
    </row>
    <row r="305" spans="1:16" x14ac:dyDescent="0.25">
      <c r="A305" s="4" t="s">
        <v>41</v>
      </c>
      <c r="B305" s="6"/>
      <c r="M305" t="s">
        <v>207</v>
      </c>
      <c r="O305" t="s">
        <v>203</v>
      </c>
      <c r="P305" s="20">
        <f t="shared" si="13"/>
        <v>5</v>
      </c>
    </row>
    <row r="306" spans="1:16" x14ac:dyDescent="0.25">
      <c r="A306" s="4" t="s">
        <v>41</v>
      </c>
      <c r="B306" s="6"/>
      <c r="M306" t="s">
        <v>208</v>
      </c>
      <c r="O306" t="s">
        <v>203</v>
      </c>
      <c r="P306" s="20">
        <f t="shared" si="13"/>
        <v>0</v>
      </c>
    </row>
    <row r="307" spans="1:16" x14ac:dyDescent="0.25">
      <c r="A307" s="4" t="s">
        <v>41</v>
      </c>
      <c r="B307" s="6"/>
      <c r="M307" t="s">
        <v>209</v>
      </c>
      <c r="O307" t="s">
        <v>203</v>
      </c>
      <c r="P307" s="20">
        <f t="shared" si="13"/>
        <v>-10</v>
      </c>
    </row>
    <row r="308" spans="1:16" x14ac:dyDescent="0.25">
      <c r="A308" s="6" t="s">
        <v>42</v>
      </c>
      <c r="B308" s="6"/>
      <c r="M308" t="s">
        <v>206</v>
      </c>
      <c r="O308" t="s">
        <v>202</v>
      </c>
      <c r="P308" s="20">
        <f>P252</f>
        <v>3</v>
      </c>
    </row>
    <row r="309" spans="1:16" x14ac:dyDescent="0.25">
      <c r="A309" s="6" t="s">
        <v>42</v>
      </c>
      <c r="B309" s="6"/>
      <c r="M309" t="s">
        <v>207</v>
      </c>
      <c r="O309" t="s">
        <v>202</v>
      </c>
      <c r="P309" s="20">
        <f t="shared" ref="P309:P315" si="14">P253</f>
        <v>3</v>
      </c>
    </row>
    <row r="310" spans="1:16" x14ac:dyDescent="0.25">
      <c r="A310" s="6" t="s">
        <v>42</v>
      </c>
      <c r="B310" s="6"/>
      <c r="M310" t="s">
        <v>208</v>
      </c>
      <c r="O310" t="s">
        <v>202</v>
      </c>
      <c r="P310" s="20">
        <f t="shared" si="14"/>
        <v>3</v>
      </c>
    </row>
    <row r="311" spans="1:16" x14ac:dyDescent="0.25">
      <c r="A311" s="6" t="s">
        <v>42</v>
      </c>
      <c r="B311" s="6"/>
      <c r="M311" t="s">
        <v>209</v>
      </c>
      <c r="O311" t="s">
        <v>202</v>
      </c>
      <c r="P311" s="20">
        <f t="shared" si="14"/>
        <v>3</v>
      </c>
    </row>
    <row r="312" spans="1:16" x14ac:dyDescent="0.25">
      <c r="A312" s="6" t="s">
        <v>42</v>
      </c>
      <c r="B312" s="6"/>
      <c r="M312" t="s">
        <v>206</v>
      </c>
      <c r="O312" t="s">
        <v>203</v>
      </c>
      <c r="P312" s="20">
        <f t="shared" si="14"/>
        <v>10</v>
      </c>
    </row>
    <row r="313" spans="1:16" x14ac:dyDescent="0.25">
      <c r="A313" s="6" t="s">
        <v>42</v>
      </c>
      <c r="B313" s="6"/>
      <c r="M313" t="s">
        <v>207</v>
      </c>
      <c r="O313" t="s">
        <v>203</v>
      </c>
      <c r="P313" s="20">
        <f t="shared" si="14"/>
        <v>5</v>
      </c>
    </row>
    <row r="314" spans="1:16" x14ac:dyDescent="0.25">
      <c r="A314" s="6" t="s">
        <v>42</v>
      </c>
      <c r="M314" t="s">
        <v>208</v>
      </c>
      <c r="O314" t="s">
        <v>203</v>
      </c>
      <c r="P314" s="20">
        <f t="shared" si="14"/>
        <v>0</v>
      </c>
    </row>
    <row r="315" spans="1:16" x14ac:dyDescent="0.25">
      <c r="A315" s="6" t="s">
        <v>42</v>
      </c>
      <c r="M315" t="s">
        <v>209</v>
      </c>
      <c r="O315" t="s">
        <v>203</v>
      </c>
      <c r="P315" s="20">
        <f t="shared" si="14"/>
        <v>-10</v>
      </c>
    </row>
    <row r="316" spans="1:16" x14ac:dyDescent="0.25">
      <c r="A316" s="21" t="s">
        <v>214</v>
      </c>
      <c r="B316" s="21"/>
    </row>
    <row r="317" spans="1:16" x14ac:dyDescent="0.25">
      <c r="A317" t="s">
        <v>32</v>
      </c>
      <c r="M317" t="s">
        <v>206</v>
      </c>
      <c r="O317" t="s">
        <v>202</v>
      </c>
      <c r="P317">
        <v>7</v>
      </c>
    </row>
    <row r="318" spans="1:16" x14ac:dyDescent="0.25">
      <c r="A318" t="s">
        <v>32</v>
      </c>
      <c r="M318" t="s">
        <v>207</v>
      </c>
      <c r="O318" t="s">
        <v>202</v>
      </c>
      <c r="P318">
        <v>7</v>
      </c>
    </row>
    <row r="319" spans="1:16" x14ac:dyDescent="0.25">
      <c r="A319" t="s">
        <v>32</v>
      </c>
      <c r="M319" t="s">
        <v>208</v>
      </c>
      <c r="O319" t="s">
        <v>202</v>
      </c>
      <c r="P319">
        <v>7</v>
      </c>
    </row>
    <row r="320" spans="1:16" x14ac:dyDescent="0.25">
      <c r="A320" t="s">
        <v>32</v>
      </c>
      <c r="M320" t="s">
        <v>209</v>
      </c>
      <c r="O320" t="s">
        <v>202</v>
      </c>
      <c r="P320">
        <v>7</v>
      </c>
    </row>
    <row r="321" spans="1:16" x14ac:dyDescent="0.25">
      <c r="A321" t="s">
        <v>32</v>
      </c>
      <c r="M321" t="s">
        <v>206</v>
      </c>
      <c r="O321" t="s">
        <v>203</v>
      </c>
      <c r="P321">
        <v>15.5</v>
      </c>
    </row>
    <row r="322" spans="1:16" x14ac:dyDescent="0.25">
      <c r="A322" t="s">
        <v>32</v>
      </c>
      <c r="M322" t="s">
        <v>207</v>
      </c>
      <c r="O322" t="s">
        <v>203</v>
      </c>
      <c r="P322">
        <v>10.5</v>
      </c>
    </row>
    <row r="323" spans="1:16" x14ac:dyDescent="0.25">
      <c r="A323" t="s">
        <v>32</v>
      </c>
      <c r="M323" t="s">
        <v>208</v>
      </c>
      <c r="O323" t="s">
        <v>203</v>
      </c>
      <c r="P323">
        <v>0.5</v>
      </c>
    </row>
    <row r="324" spans="1:16" x14ac:dyDescent="0.25">
      <c r="A324" t="s">
        <v>32</v>
      </c>
      <c r="M324" t="s">
        <v>209</v>
      </c>
      <c r="O324" t="s">
        <v>203</v>
      </c>
      <c r="P324">
        <v>-9.5</v>
      </c>
    </row>
    <row r="325" spans="1:16" x14ac:dyDescent="0.25">
      <c r="A325" t="s">
        <v>33</v>
      </c>
      <c r="M325" t="s">
        <v>206</v>
      </c>
      <c r="O325" t="s">
        <v>202</v>
      </c>
      <c r="P325">
        <v>7</v>
      </c>
    </row>
    <row r="326" spans="1:16" x14ac:dyDescent="0.25">
      <c r="A326" t="s">
        <v>33</v>
      </c>
      <c r="M326" t="s">
        <v>207</v>
      </c>
      <c r="O326" t="s">
        <v>202</v>
      </c>
      <c r="P326">
        <v>7</v>
      </c>
    </row>
    <row r="327" spans="1:16" x14ac:dyDescent="0.25">
      <c r="A327" t="s">
        <v>33</v>
      </c>
      <c r="M327" t="s">
        <v>208</v>
      </c>
      <c r="O327" t="s">
        <v>202</v>
      </c>
      <c r="P327">
        <v>7</v>
      </c>
    </row>
    <row r="328" spans="1:16" x14ac:dyDescent="0.25">
      <c r="A328" t="s">
        <v>33</v>
      </c>
      <c r="M328" t="s">
        <v>209</v>
      </c>
      <c r="O328" t="s">
        <v>202</v>
      </c>
      <c r="P328">
        <v>7</v>
      </c>
    </row>
    <row r="329" spans="1:16" x14ac:dyDescent="0.25">
      <c r="A329" t="s">
        <v>33</v>
      </c>
      <c r="M329" t="s">
        <v>206</v>
      </c>
      <c r="O329" t="s">
        <v>203</v>
      </c>
      <c r="P329">
        <v>16</v>
      </c>
    </row>
    <row r="330" spans="1:16" x14ac:dyDescent="0.25">
      <c r="A330" t="s">
        <v>33</v>
      </c>
      <c r="M330" t="s">
        <v>207</v>
      </c>
      <c r="O330" t="s">
        <v>203</v>
      </c>
      <c r="P330">
        <v>11</v>
      </c>
    </row>
    <row r="331" spans="1:16" x14ac:dyDescent="0.25">
      <c r="A331" t="s">
        <v>33</v>
      </c>
      <c r="M331" t="s">
        <v>208</v>
      </c>
      <c r="O331" t="s">
        <v>203</v>
      </c>
      <c r="P331">
        <v>1</v>
      </c>
    </row>
    <row r="332" spans="1:16" x14ac:dyDescent="0.25">
      <c r="A332" t="s">
        <v>33</v>
      </c>
      <c r="M332" t="s">
        <v>209</v>
      </c>
      <c r="O332" t="s">
        <v>203</v>
      </c>
      <c r="P332">
        <v>-4</v>
      </c>
    </row>
    <row r="334" spans="1:16" x14ac:dyDescent="0.25">
      <c r="A334" s="21" t="s">
        <v>38</v>
      </c>
      <c r="B334" s="21"/>
    </row>
    <row r="335" spans="1:16" x14ac:dyDescent="0.25">
      <c r="A335" t="s">
        <v>38</v>
      </c>
      <c r="M335" t="s">
        <v>206</v>
      </c>
      <c r="O335" t="s">
        <v>202</v>
      </c>
      <c r="P335">
        <v>3</v>
      </c>
    </row>
    <row r="336" spans="1:16" x14ac:dyDescent="0.25">
      <c r="A336" t="s">
        <v>38</v>
      </c>
      <c r="M336" t="s">
        <v>207</v>
      </c>
      <c r="O336" t="s">
        <v>202</v>
      </c>
      <c r="P336">
        <v>3</v>
      </c>
    </row>
    <row r="337" spans="1:16" x14ac:dyDescent="0.25">
      <c r="A337" t="s">
        <v>38</v>
      </c>
      <c r="M337" t="s">
        <v>208</v>
      </c>
      <c r="O337" t="s">
        <v>202</v>
      </c>
      <c r="P337">
        <v>3</v>
      </c>
    </row>
    <row r="338" spans="1:16" x14ac:dyDescent="0.25">
      <c r="A338" t="s">
        <v>38</v>
      </c>
      <c r="M338" t="s">
        <v>206</v>
      </c>
      <c r="O338" t="s">
        <v>203</v>
      </c>
      <c r="P338">
        <v>7</v>
      </c>
    </row>
    <row r="339" spans="1:16" x14ac:dyDescent="0.25">
      <c r="A339" t="s">
        <v>38</v>
      </c>
      <c r="M339" t="s">
        <v>207</v>
      </c>
      <c r="O339" t="s">
        <v>203</v>
      </c>
      <c r="P339">
        <v>-3</v>
      </c>
    </row>
    <row r="340" spans="1:16" x14ac:dyDescent="0.25">
      <c r="A340" t="s">
        <v>38</v>
      </c>
      <c r="M340" t="s">
        <v>208</v>
      </c>
      <c r="O340" t="s">
        <v>203</v>
      </c>
      <c r="P340">
        <v>-8</v>
      </c>
    </row>
    <row r="342" spans="1:16" x14ac:dyDescent="0.25">
      <c r="A342" s="21" t="s">
        <v>215</v>
      </c>
      <c r="B342" s="21"/>
    </row>
    <row r="343" spans="1:16" x14ac:dyDescent="0.25">
      <c r="A343" t="s">
        <v>40</v>
      </c>
      <c r="M343" t="s">
        <v>206</v>
      </c>
      <c r="O343" t="s">
        <v>202</v>
      </c>
      <c r="P343">
        <v>3</v>
      </c>
    </row>
    <row r="344" spans="1:16" x14ac:dyDescent="0.25">
      <c r="A344" t="s">
        <v>40</v>
      </c>
      <c r="M344" t="s">
        <v>207</v>
      </c>
      <c r="O344" t="s">
        <v>202</v>
      </c>
      <c r="P344">
        <v>3</v>
      </c>
    </row>
    <row r="345" spans="1:16" x14ac:dyDescent="0.25">
      <c r="A345" t="s">
        <v>40</v>
      </c>
      <c r="M345" t="s">
        <v>208</v>
      </c>
      <c r="O345" t="s">
        <v>202</v>
      </c>
      <c r="P345">
        <v>3</v>
      </c>
    </row>
    <row r="346" spans="1:16" x14ac:dyDescent="0.25">
      <c r="A346" t="s">
        <v>40</v>
      </c>
      <c r="M346" t="s">
        <v>209</v>
      </c>
      <c r="O346" t="s">
        <v>202</v>
      </c>
      <c r="P346">
        <v>3</v>
      </c>
    </row>
    <row r="347" spans="1:16" x14ac:dyDescent="0.25">
      <c r="A347" t="s">
        <v>40</v>
      </c>
      <c r="M347" t="s">
        <v>210</v>
      </c>
      <c r="O347" t="s">
        <v>202</v>
      </c>
      <c r="P347">
        <v>3</v>
      </c>
    </row>
    <row r="348" spans="1:16" x14ac:dyDescent="0.25">
      <c r="A348" t="s">
        <v>40</v>
      </c>
      <c r="M348" t="s">
        <v>213</v>
      </c>
      <c r="O348" t="s">
        <v>202</v>
      </c>
      <c r="P348">
        <v>3</v>
      </c>
    </row>
    <row r="349" spans="1:16" x14ac:dyDescent="0.25">
      <c r="A349" t="s">
        <v>40</v>
      </c>
      <c r="M349" t="s">
        <v>206</v>
      </c>
      <c r="O349" t="s">
        <v>203</v>
      </c>
      <c r="P349">
        <v>5</v>
      </c>
    </row>
    <row r="350" spans="1:16" x14ac:dyDescent="0.25">
      <c r="A350" t="s">
        <v>40</v>
      </c>
      <c r="M350" t="s">
        <v>207</v>
      </c>
      <c r="O350" t="s">
        <v>203</v>
      </c>
      <c r="P350">
        <v>0</v>
      </c>
    </row>
    <row r="351" spans="1:16" x14ac:dyDescent="0.25">
      <c r="A351" t="s">
        <v>40</v>
      </c>
      <c r="M351" t="s">
        <v>208</v>
      </c>
      <c r="O351" t="s">
        <v>203</v>
      </c>
      <c r="P351">
        <v>-5</v>
      </c>
    </row>
    <row r="352" spans="1:16" x14ac:dyDescent="0.25">
      <c r="A352" t="s">
        <v>40</v>
      </c>
      <c r="M352" t="s">
        <v>209</v>
      </c>
      <c r="O352" t="s">
        <v>203</v>
      </c>
      <c r="P352">
        <v>-10</v>
      </c>
    </row>
    <row r="353" spans="1:16" x14ac:dyDescent="0.25">
      <c r="A353" t="s">
        <v>40</v>
      </c>
      <c r="M353" t="s">
        <v>210</v>
      </c>
      <c r="O353" t="s">
        <v>203</v>
      </c>
      <c r="P353">
        <v>-15</v>
      </c>
    </row>
    <row r="354" spans="1:16" x14ac:dyDescent="0.25">
      <c r="A354" t="s">
        <v>40</v>
      </c>
      <c r="M354" t="s">
        <v>213</v>
      </c>
      <c r="O354" t="s">
        <v>203</v>
      </c>
      <c r="P354">
        <v>-20</v>
      </c>
    </row>
    <row r="356" spans="1:16" x14ac:dyDescent="0.25">
      <c r="A356" s="21" t="s">
        <v>216</v>
      </c>
      <c r="B356" s="21"/>
    </row>
    <row r="357" spans="1:16" x14ac:dyDescent="0.25">
      <c r="A357" t="s">
        <v>34</v>
      </c>
      <c r="M357" t="s">
        <v>206</v>
      </c>
      <c r="O357" t="s">
        <v>202</v>
      </c>
      <c r="P357">
        <v>0.5</v>
      </c>
    </row>
    <row r="358" spans="1:16" x14ac:dyDescent="0.25">
      <c r="A358" t="s">
        <v>34</v>
      </c>
      <c r="M358" t="s">
        <v>207</v>
      </c>
      <c r="O358" t="s">
        <v>202</v>
      </c>
      <c r="P358">
        <v>0.5</v>
      </c>
    </row>
    <row r="359" spans="1:16" x14ac:dyDescent="0.25">
      <c r="A359" t="s">
        <v>34</v>
      </c>
      <c r="M359" t="s">
        <v>208</v>
      </c>
      <c r="O359" t="s">
        <v>202</v>
      </c>
      <c r="P359">
        <v>0.5</v>
      </c>
    </row>
    <row r="360" spans="1:16" x14ac:dyDescent="0.25">
      <c r="A360" t="s">
        <v>34</v>
      </c>
      <c r="M360" t="s">
        <v>209</v>
      </c>
      <c r="O360" t="s">
        <v>202</v>
      </c>
      <c r="P360">
        <v>0.5</v>
      </c>
    </row>
    <row r="361" spans="1:16" x14ac:dyDescent="0.25">
      <c r="A361" t="s">
        <v>34</v>
      </c>
      <c r="M361" t="s">
        <v>210</v>
      </c>
      <c r="O361" t="s">
        <v>202</v>
      </c>
      <c r="P361">
        <v>0.5</v>
      </c>
    </row>
    <row r="362" spans="1:16" x14ac:dyDescent="0.25">
      <c r="A362" t="s">
        <v>34</v>
      </c>
      <c r="M362" t="s">
        <v>213</v>
      </c>
      <c r="O362" t="s">
        <v>202</v>
      </c>
      <c r="P362">
        <v>0.5</v>
      </c>
    </row>
    <row r="363" spans="1:16" x14ac:dyDescent="0.25">
      <c r="A363" t="s">
        <v>34</v>
      </c>
      <c r="M363" t="s">
        <v>206</v>
      </c>
      <c r="O363" t="s">
        <v>203</v>
      </c>
      <c r="P363">
        <v>55</v>
      </c>
    </row>
    <row r="364" spans="1:16" x14ac:dyDescent="0.25">
      <c r="A364" t="s">
        <v>34</v>
      </c>
      <c r="M364" t="s">
        <v>207</v>
      </c>
      <c r="O364" t="s">
        <v>203</v>
      </c>
      <c r="P364">
        <v>35</v>
      </c>
    </row>
    <row r="365" spans="1:16" x14ac:dyDescent="0.25">
      <c r="A365" t="s">
        <v>34</v>
      </c>
      <c r="M365" t="s">
        <v>208</v>
      </c>
      <c r="O365" t="s">
        <v>203</v>
      </c>
      <c r="P365">
        <v>25</v>
      </c>
    </row>
    <row r="366" spans="1:16" x14ac:dyDescent="0.25">
      <c r="A366" t="s">
        <v>34</v>
      </c>
      <c r="M366" t="s">
        <v>209</v>
      </c>
      <c r="O366" t="s">
        <v>203</v>
      </c>
      <c r="P366">
        <v>15</v>
      </c>
    </row>
    <row r="367" spans="1:16" x14ac:dyDescent="0.25">
      <c r="A367" t="s">
        <v>34</v>
      </c>
      <c r="M367" t="s">
        <v>210</v>
      </c>
      <c r="O367" t="s">
        <v>203</v>
      </c>
      <c r="P367">
        <v>0</v>
      </c>
    </row>
    <row r="368" spans="1:16" x14ac:dyDescent="0.25">
      <c r="A368" t="s">
        <v>34</v>
      </c>
      <c r="M368" t="s">
        <v>213</v>
      </c>
      <c r="O368" t="s">
        <v>203</v>
      </c>
      <c r="P368">
        <v>-5</v>
      </c>
    </row>
    <row r="369" spans="1:16" x14ac:dyDescent="0.25">
      <c r="A369" t="s">
        <v>35</v>
      </c>
      <c r="M369" t="s">
        <v>206</v>
      </c>
      <c r="O369" t="s">
        <v>202</v>
      </c>
      <c r="P369" s="20">
        <f>P357</f>
        <v>0.5</v>
      </c>
    </row>
    <row r="370" spans="1:16" x14ac:dyDescent="0.25">
      <c r="A370" t="s">
        <v>35</v>
      </c>
      <c r="M370" t="s">
        <v>207</v>
      </c>
      <c r="O370" t="s">
        <v>202</v>
      </c>
      <c r="P370" s="20">
        <f t="shared" ref="P370:P380" si="15">P358</f>
        <v>0.5</v>
      </c>
    </row>
    <row r="371" spans="1:16" x14ac:dyDescent="0.25">
      <c r="A371" t="s">
        <v>35</v>
      </c>
      <c r="M371" t="s">
        <v>208</v>
      </c>
      <c r="O371" t="s">
        <v>202</v>
      </c>
      <c r="P371" s="20">
        <f t="shared" si="15"/>
        <v>0.5</v>
      </c>
    </row>
    <row r="372" spans="1:16" x14ac:dyDescent="0.25">
      <c r="A372" t="s">
        <v>35</v>
      </c>
      <c r="M372" t="s">
        <v>209</v>
      </c>
      <c r="O372" t="s">
        <v>202</v>
      </c>
      <c r="P372" s="20">
        <f t="shared" si="15"/>
        <v>0.5</v>
      </c>
    </row>
    <row r="373" spans="1:16" x14ac:dyDescent="0.25">
      <c r="A373" t="s">
        <v>35</v>
      </c>
      <c r="M373" t="s">
        <v>210</v>
      </c>
      <c r="O373" t="s">
        <v>202</v>
      </c>
      <c r="P373" s="20">
        <f t="shared" si="15"/>
        <v>0.5</v>
      </c>
    </row>
    <row r="374" spans="1:16" x14ac:dyDescent="0.25">
      <c r="A374" t="s">
        <v>35</v>
      </c>
      <c r="M374" t="s">
        <v>213</v>
      </c>
      <c r="O374" t="s">
        <v>202</v>
      </c>
      <c r="P374" s="20">
        <f t="shared" si="15"/>
        <v>0.5</v>
      </c>
    </row>
    <row r="375" spans="1:16" x14ac:dyDescent="0.25">
      <c r="A375" t="s">
        <v>35</v>
      </c>
      <c r="M375" t="s">
        <v>206</v>
      </c>
      <c r="O375" t="s">
        <v>203</v>
      </c>
      <c r="P375" s="20">
        <f t="shared" si="15"/>
        <v>55</v>
      </c>
    </row>
    <row r="376" spans="1:16" x14ac:dyDescent="0.25">
      <c r="A376" t="s">
        <v>35</v>
      </c>
      <c r="M376" t="s">
        <v>207</v>
      </c>
      <c r="O376" t="s">
        <v>203</v>
      </c>
      <c r="P376" s="20">
        <f t="shared" si="15"/>
        <v>35</v>
      </c>
    </row>
    <row r="377" spans="1:16" x14ac:dyDescent="0.25">
      <c r="A377" t="s">
        <v>35</v>
      </c>
      <c r="M377" t="s">
        <v>208</v>
      </c>
      <c r="O377" t="s">
        <v>203</v>
      </c>
      <c r="P377" s="20">
        <f t="shared" si="15"/>
        <v>25</v>
      </c>
    </row>
    <row r="378" spans="1:16" x14ac:dyDescent="0.25">
      <c r="A378" t="s">
        <v>35</v>
      </c>
      <c r="M378" t="s">
        <v>209</v>
      </c>
      <c r="O378" t="s">
        <v>203</v>
      </c>
      <c r="P378" s="20">
        <f t="shared" si="15"/>
        <v>15</v>
      </c>
    </row>
    <row r="379" spans="1:16" x14ac:dyDescent="0.25">
      <c r="A379" t="s">
        <v>35</v>
      </c>
      <c r="M379" t="s">
        <v>210</v>
      </c>
      <c r="O379" t="s">
        <v>203</v>
      </c>
      <c r="P379" s="20">
        <f t="shared" si="15"/>
        <v>0</v>
      </c>
    </row>
    <row r="380" spans="1:16" x14ac:dyDescent="0.25">
      <c r="A380" t="s">
        <v>35</v>
      </c>
      <c r="M380" t="s">
        <v>213</v>
      </c>
      <c r="O380" t="s">
        <v>203</v>
      </c>
      <c r="P380" s="20">
        <f t="shared" si="15"/>
        <v>-5</v>
      </c>
    </row>
    <row r="382" spans="1:16" x14ac:dyDescent="0.25">
      <c r="A382" s="21" t="s">
        <v>217</v>
      </c>
      <c r="B382" s="21"/>
    </row>
    <row r="383" spans="1:16" x14ac:dyDescent="0.25">
      <c r="A383" t="s">
        <v>28</v>
      </c>
      <c r="M383" t="s">
        <v>206</v>
      </c>
      <c r="O383" t="s">
        <v>203</v>
      </c>
      <c r="P383">
        <v>20</v>
      </c>
    </row>
    <row r="384" spans="1:16" x14ac:dyDescent="0.25">
      <c r="A384" t="s">
        <v>28</v>
      </c>
      <c r="M384" t="s">
        <v>207</v>
      </c>
      <c r="O384" t="s">
        <v>203</v>
      </c>
      <c r="P384">
        <v>15</v>
      </c>
    </row>
    <row r="385" spans="1:18" x14ac:dyDescent="0.25">
      <c r="A385" t="s">
        <v>28</v>
      </c>
      <c r="M385" t="s">
        <v>208</v>
      </c>
      <c r="O385" t="s">
        <v>203</v>
      </c>
      <c r="P385">
        <v>10</v>
      </c>
    </row>
    <row r="386" spans="1:18" x14ac:dyDescent="0.25">
      <c r="A386" t="s">
        <v>30</v>
      </c>
      <c r="M386" t="s">
        <v>206</v>
      </c>
      <c r="O386" t="s">
        <v>203</v>
      </c>
      <c r="P386" s="20">
        <f>P383</f>
        <v>20</v>
      </c>
    </row>
    <row r="387" spans="1:18" x14ac:dyDescent="0.25">
      <c r="A387" t="s">
        <v>30</v>
      </c>
      <c r="M387" t="s">
        <v>207</v>
      </c>
      <c r="O387" t="s">
        <v>203</v>
      </c>
      <c r="P387" s="20">
        <f t="shared" ref="P387:P388" si="16">P384</f>
        <v>15</v>
      </c>
    </row>
    <row r="388" spans="1:18" x14ac:dyDescent="0.25">
      <c r="A388" t="s">
        <v>30</v>
      </c>
      <c r="M388" t="s">
        <v>208</v>
      </c>
      <c r="O388" t="s">
        <v>203</v>
      </c>
      <c r="P388" s="20">
        <f t="shared" si="16"/>
        <v>10</v>
      </c>
    </row>
    <row r="389" spans="1:18" x14ac:dyDescent="0.25">
      <c r="A389" t="s">
        <v>36</v>
      </c>
      <c r="M389" t="s">
        <v>206</v>
      </c>
      <c r="O389" t="s">
        <v>203</v>
      </c>
      <c r="P389">
        <v>60</v>
      </c>
    </row>
    <row r="390" spans="1:18" x14ac:dyDescent="0.25">
      <c r="A390" t="s">
        <v>36</v>
      </c>
      <c r="M390" t="s">
        <v>207</v>
      </c>
      <c r="O390" t="s">
        <v>203</v>
      </c>
      <c r="P390">
        <v>45</v>
      </c>
    </row>
    <row r="391" spans="1:18" x14ac:dyDescent="0.25">
      <c r="A391" t="s">
        <v>36</v>
      </c>
      <c r="M391" t="s">
        <v>208</v>
      </c>
      <c r="O391" t="s">
        <v>203</v>
      </c>
      <c r="P391">
        <v>35</v>
      </c>
    </row>
    <row r="392" spans="1:18" x14ac:dyDescent="0.25">
      <c r="A392" t="s">
        <v>36</v>
      </c>
      <c r="M392" t="s">
        <v>209</v>
      </c>
      <c r="O392" t="s">
        <v>203</v>
      </c>
      <c r="P392">
        <v>25</v>
      </c>
    </row>
    <row r="393" spans="1:18" x14ac:dyDescent="0.25">
      <c r="A393" t="s">
        <v>36</v>
      </c>
      <c r="M393" t="s">
        <v>210</v>
      </c>
      <c r="O393" t="s">
        <v>203</v>
      </c>
      <c r="P393">
        <v>10</v>
      </c>
    </row>
    <row r="394" spans="1:18" x14ac:dyDescent="0.25">
      <c r="A394" t="s">
        <v>39</v>
      </c>
      <c r="M394" t="s">
        <v>206</v>
      </c>
      <c r="O394" t="s">
        <v>203</v>
      </c>
      <c r="P394">
        <v>15</v>
      </c>
    </row>
    <row r="395" spans="1:18" x14ac:dyDescent="0.25">
      <c r="A395" t="s">
        <v>39</v>
      </c>
      <c r="M395" t="s">
        <v>207</v>
      </c>
      <c r="O395" t="s">
        <v>203</v>
      </c>
      <c r="P395">
        <v>5</v>
      </c>
    </row>
    <row r="397" spans="1:18" x14ac:dyDescent="0.25">
      <c r="A397" s="21" t="s">
        <v>218</v>
      </c>
      <c r="B397" s="21"/>
    </row>
    <row r="398" spans="1:18" x14ac:dyDescent="0.25">
      <c r="A398" t="s">
        <v>46</v>
      </c>
      <c r="O398" t="s">
        <v>202</v>
      </c>
      <c r="P398">
        <v>0.46200000000000002</v>
      </c>
    </row>
    <row r="399" spans="1:18" x14ac:dyDescent="0.25">
      <c r="A399" t="s">
        <v>46</v>
      </c>
      <c r="O399" t="s">
        <v>203</v>
      </c>
      <c r="P399">
        <v>13.85</v>
      </c>
    </row>
    <row r="400" spans="1:18" x14ac:dyDescent="0.25">
      <c r="A400" s="6" t="s">
        <v>47</v>
      </c>
      <c r="B400" s="6"/>
      <c r="O400" t="s">
        <v>202</v>
      </c>
      <c r="P400" s="20">
        <f>P398</f>
        <v>0.46200000000000002</v>
      </c>
      <c r="R400" t="s">
        <v>251</v>
      </c>
    </row>
    <row r="401" spans="1:18" x14ac:dyDescent="0.25">
      <c r="A401" s="6" t="s">
        <v>47</v>
      </c>
      <c r="B401" s="6"/>
      <c r="O401" t="s">
        <v>203</v>
      </c>
      <c r="P401" s="20">
        <f>P399</f>
        <v>13.85</v>
      </c>
    </row>
    <row r="402" spans="1:18" x14ac:dyDescent="0.25">
      <c r="A402" t="s">
        <v>45</v>
      </c>
      <c r="O402" t="s">
        <v>202</v>
      </c>
      <c r="P402">
        <v>2.5</v>
      </c>
    </row>
    <row r="403" spans="1:18" x14ac:dyDescent="0.25">
      <c r="A403" t="s">
        <v>45</v>
      </c>
      <c r="O403" t="s">
        <v>203</v>
      </c>
      <c r="P403">
        <v>-45</v>
      </c>
    </row>
    <row r="404" spans="1:18" x14ac:dyDescent="0.25">
      <c r="A404" t="s">
        <v>48</v>
      </c>
      <c r="O404" t="s">
        <v>202</v>
      </c>
      <c r="P404">
        <v>2.6669999999999998</v>
      </c>
      <c r="R404" t="s">
        <v>219</v>
      </c>
    </row>
    <row r="405" spans="1:18" x14ac:dyDescent="0.25">
      <c r="A405" t="s">
        <v>48</v>
      </c>
      <c r="O405" t="s">
        <v>203</v>
      </c>
      <c r="P405">
        <v>-33.33</v>
      </c>
    </row>
    <row r="406" spans="1:18" x14ac:dyDescent="0.25">
      <c r="A406" s="6" t="s">
        <v>52</v>
      </c>
      <c r="B406" s="6"/>
      <c r="O406" t="s">
        <v>202</v>
      </c>
      <c r="P406" s="20">
        <f>P404</f>
        <v>2.6669999999999998</v>
      </c>
      <c r="R406" t="s">
        <v>252</v>
      </c>
    </row>
    <row r="407" spans="1:18" x14ac:dyDescent="0.25">
      <c r="A407" s="6" t="s">
        <v>52</v>
      </c>
      <c r="B407" s="6"/>
      <c r="O407" t="s">
        <v>203</v>
      </c>
      <c r="P407" s="20">
        <f>P405</f>
        <v>-33.33</v>
      </c>
    </row>
    <row r="408" spans="1:18" x14ac:dyDescent="0.25">
      <c r="A408" s="6" t="s">
        <v>53</v>
      </c>
      <c r="O408" t="s">
        <v>202</v>
      </c>
      <c r="P408" s="20">
        <f>P406</f>
        <v>2.6669999999999998</v>
      </c>
      <c r="R408" t="s">
        <v>252</v>
      </c>
    </row>
    <row r="409" spans="1:18" x14ac:dyDescent="0.25">
      <c r="A409" s="6" t="s">
        <v>53</v>
      </c>
      <c r="O409" t="s">
        <v>203</v>
      </c>
      <c r="P409" s="20">
        <f>P407</f>
        <v>-33.33</v>
      </c>
    </row>
    <row r="410" spans="1:18" x14ac:dyDescent="0.25">
      <c r="A410" t="s">
        <v>49</v>
      </c>
      <c r="O410" t="s">
        <v>202</v>
      </c>
      <c r="P410">
        <v>0.5</v>
      </c>
    </row>
    <row r="411" spans="1:18" x14ac:dyDescent="0.25">
      <c r="A411" t="s">
        <v>49</v>
      </c>
      <c r="O411" t="s">
        <v>203</v>
      </c>
      <c r="P411">
        <v>15</v>
      </c>
    </row>
    <row r="412" spans="1:18" x14ac:dyDescent="0.25">
      <c r="A412" t="s">
        <v>50</v>
      </c>
      <c r="O412" t="s">
        <v>202</v>
      </c>
      <c r="P412">
        <v>0.66700000000000004</v>
      </c>
    </row>
    <row r="413" spans="1:18" x14ac:dyDescent="0.25">
      <c r="A413" t="s">
        <v>50</v>
      </c>
      <c r="O413" t="s">
        <v>203</v>
      </c>
      <c r="P413">
        <v>-3.33</v>
      </c>
    </row>
    <row r="414" spans="1:18" x14ac:dyDescent="0.25">
      <c r="A414" t="s">
        <v>51</v>
      </c>
      <c r="O414" t="s">
        <v>202</v>
      </c>
      <c r="P414" s="20">
        <f>P412</f>
        <v>0.66700000000000004</v>
      </c>
    </row>
    <row r="415" spans="1:18" x14ac:dyDescent="0.25">
      <c r="A415" t="s">
        <v>51</v>
      </c>
      <c r="O415" t="s">
        <v>203</v>
      </c>
      <c r="P415" s="20">
        <f>P413</f>
        <v>-3.33</v>
      </c>
    </row>
    <row r="417" spans="1:19" x14ac:dyDescent="0.25">
      <c r="A417" t="s">
        <v>67</v>
      </c>
      <c r="O417" t="s">
        <v>203</v>
      </c>
      <c r="P417">
        <v>0</v>
      </c>
      <c r="R417" t="s">
        <v>220</v>
      </c>
    </row>
    <row r="418" spans="1:19" x14ac:dyDescent="0.25">
      <c r="A418" t="s">
        <v>70</v>
      </c>
      <c r="O418" t="s">
        <v>203</v>
      </c>
      <c r="P418">
        <v>0</v>
      </c>
    </row>
    <row r="419" spans="1:19" x14ac:dyDescent="0.25">
      <c r="A419" t="s">
        <v>71</v>
      </c>
      <c r="O419" t="s">
        <v>203</v>
      </c>
      <c r="P419">
        <v>0</v>
      </c>
    </row>
    <row r="420" spans="1:19" x14ac:dyDescent="0.25">
      <c r="A420" t="s">
        <v>43</v>
      </c>
      <c r="O420" t="s">
        <v>203</v>
      </c>
      <c r="P420">
        <v>0</v>
      </c>
    </row>
    <row r="421" spans="1:19" x14ac:dyDescent="0.25">
      <c r="A421" t="s">
        <v>44</v>
      </c>
      <c r="O421" t="s">
        <v>203</v>
      </c>
      <c r="P421">
        <v>0</v>
      </c>
    </row>
    <row r="423" spans="1:19" x14ac:dyDescent="0.25">
      <c r="A423" s="6" t="s">
        <v>29</v>
      </c>
      <c r="B423" s="6"/>
    </row>
    <row r="424" spans="1:19" x14ac:dyDescent="0.25">
      <c r="A424" s="6" t="s">
        <v>31</v>
      </c>
      <c r="B424" s="6"/>
    </row>
    <row r="425" spans="1:19" x14ac:dyDescent="0.25">
      <c r="A425" s="4" t="s">
        <v>37</v>
      </c>
      <c r="B425" s="6"/>
      <c r="O425" t="s">
        <v>203</v>
      </c>
      <c r="P425">
        <v>15</v>
      </c>
      <c r="R425" t="s">
        <v>267</v>
      </c>
      <c r="S425" t="s">
        <v>268</v>
      </c>
    </row>
    <row r="426" spans="1:19" x14ac:dyDescent="0.25">
      <c r="A426" s="6" t="s">
        <v>68</v>
      </c>
      <c r="B426" s="6"/>
    </row>
    <row r="427" spans="1:19" x14ac:dyDescent="0.25">
      <c r="A427" s="6" t="s">
        <v>69</v>
      </c>
      <c r="B427" s="6"/>
    </row>
    <row r="428" spans="1:19" x14ac:dyDescent="0.25">
      <c r="A428" s="6" t="s">
        <v>54</v>
      </c>
      <c r="B428" s="6"/>
    </row>
    <row r="429" spans="1:19" x14ac:dyDescent="0.25">
      <c r="A429" s="6" t="s">
        <v>55</v>
      </c>
      <c r="B429" s="6"/>
    </row>
    <row r="430" spans="1:19" x14ac:dyDescent="0.25">
      <c r="A430" s="6" t="s">
        <v>56</v>
      </c>
      <c r="B430" s="6"/>
    </row>
    <row r="431" spans="1:19" x14ac:dyDescent="0.25">
      <c r="A431" s="6" t="s">
        <v>57</v>
      </c>
      <c r="B431" s="6"/>
    </row>
    <row r="432" spans="1:19" x14ac:dyDescent="0.25">
      <c r="A432" s="6" t="s">
        <v>58</v>
      </c>
      <c r="B432" s="6"/>
    </row>
    <row r="433" spans="1:19" x14ac:dyDescent="0.25">
      <c r="A433" s="6" t="s">
        <v>59</v>
      </c>
      <c r="B433" s="6"/>
    </row>
    <row r="434" spans="1:19" x14ac:dyDescent="0.25">
      <c r="A434" s="6"/>
      <c r="B434" s="6"/>
    </row>
    <row r="435" spans="1:19" x14ac:dyDescent="0.25">
      <c r="A435" s="6" t="s">
        <v>60</v>
      </c>
      <c r="B435" s="6"/>
    </row>
    <row r="436" spans="1:19" x14ac:dyDescent="0.25">
      <c r="A436" s="6" t="s">
        <v>61</v>
      </c>
      <c r="B436" s="6"/>
    </row>
    <row r="437" spans="1:19" x14ac:dyDescent="0.25">
      <c r="A437" s="6" t="s">
        <v>62</v>
      </c>
      <c r="B437" s="6"/>
    </row>
    <row r="438" spans="1:19" x14ac:dyDescent="0.25">
      <c r="A438" s="6" t="s">
        <v>63</v>
      </c>
      <c r="B438" s="6"/>
    </row>
    <row r="439" spans="1:19" x14ac:dyDescent="0.25">
      <c r="A439" s="6" t="s">
        <v>64</v>
      </c>
      <c r="B439" s="6"/>
    </row>
    <row r="440" spans="1:19" x14ac:dyDescent="0.25">
      <c r="A440" s="6" t="s">
        <v>65</v>
      </c>
      <c r="B440" s="6"/>
    </row>
    <row r="441" spans="1:19" x14ac:dyDescent="0.25">
      <c r="A441" s="6" t="s">
        <v>66</v>
      </c>
      <c r="B441" s="6"/>
    </row>
    <row r="443" spans="1:19" x14ac:dyDescent="0.25">
      <c r="A443" s="2" t="s">
        <v>235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3"/>
      <c r="S443" s="3"/>
    </row>
    <row r="444" spans="1:19" x14ac:dyDescent="0.25">
      <c r="A444" s="18" t="s">
        <v>236</v>
      </c>
      <c r="B444" s="18"/>
    </row>
    <row r="445" spans="1:19" x14ac:dyDescent="0.25">
      <c r="A445" s="18" t="s">
        <v>237</v>
      </c>
      <c r="B445" s="18"/>
    </row>
    <row r="446" spans="1:19" x14ac:dyDescent="0.25">
      <c r="A446" s="18" t="s">
        <v>241</v>
      </c>
      <c r="B446" s="18"/>
    </row>
    <row r="447" spans="1:19" x14ac:dyDescent="0.25">
      <c r="O447" s="5" t="s">
        <v>238</v>
      </c>
      <c r="P447" s="23">
        <v>1</v>
      </c>
      <c r="Q447" s="5"/>
      <c r="R447" s="5" t="s">
        <v>156</v>
      </c>
    </row>
    <row r="448" spans="1:19" x14ac:dyDescent="0.25">
      <c r="B448" s="4" t="s">
        <v>243</v>
      </c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 t="s">
        <v>238</v>
      </c>
      <c r="P448" s="22">
        <v>1.35</v>
      </c>
      <c r="Q448" s="4"/>
      <c r="R448" s="4" t="s">
        <v>244</v>
      </c>
      <c r="S448" s="4"/>
    </row>
    <row r="449" spans="1:19" x14ac:dyDescent="0.25">
      <c r="B449" s="4" t="s">
        <v>250</v>
      </c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 t="s">
        <v>238</v>
      </c>
      <c r="P449" s="22">
        <v>1.35</v>
      </c>
      <c r="Q449" s="4"/>
      <c r="R449" s="4" t="s">
        <v>244</v>
      </c>
      <c r="S449" s="4"/>
    </row>
    <row r="450" spans="1:19" x14ac:dyDescent="0.25">
      <c r="B450" t="s">
        <v>245</v>
      </c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 t="s">
        <v>238</v>
      </c>
      <c r="P450" s="4">
        <v>1.05</v>
      </c>
      <c r="Q450" s="4"/>
      <c r="R450" s="4" t="s">
        <v>244</v>
      </c>
      <c r="S450" s="4"/>
    </row>
    <row r="451" spans="1:19" x14ac:dyDescent="0.25">
      <c r="A451" s="6"/>
      <c r="B451" s="6"/>
    </row>
    <row r="452" spans="1:19" ht="19.5" customHeight="1" x14ac:dyDescent="0.25">
      <c r="A452" s="15" t="s">
        <v>221</v>
      </c>
      <c r="B452" s="15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</row>
    <row r="453" spans="1:19" x14ac:dyDescent="0.25">
      <c r="A453" s="19" t="s">
        <v>222</v>
      </c>
      <c r="B453" s="19"/>
    </row>
    <row r="454" spans="1:19" x14ac:dyDescent="0.25">
      <c r="A454" s="19" t="s">
        <v>223</v>
      </c>
      <c r="B454" s="19"/>
    </row>
    <row r="455" spans="1:19" x14ac:dyDescent="0.25">
      <c r="O455" s="5" t="s">
        <v>224</v>
      </c>
      <c r="P455" s="5">
        <v>0</v>
      </c>
      <c r="Q455" s="5" t="s">
        <v>248</v>
      </c>
      <c r="R455" s="5" t="s">
        <v>156</v>
      </c>
    </row>
    <row r="456" spans="1:19" x14ac:dyDescent="0.25">
      <c r="O456" s="5" t="s">
        <v>225</v>
      </c>
      <c r="P456" s="5">
        <v>0</v>
      </c>
      <c r="Q456" s="5" t="s">
        <v>249</v>
      </c>
      <c r="R456" s="5" t="s">
        <v>156</v>
      </c>
    </row>
    <row r="457" spans="1:19" x14ac:dyDescent="0.25">
      <c r="O457" s="5" t="s">
        <v>246</v>
      </c>
      <c r="P457" s="23">
        <v>1</v>
      </c>
      <c r="Q457" s="5"/>
      <c r="R457" s="5" t="s">
        <v>156</v>
      </c>
    </row>
    <row r="461" spans="1:19" x14ac:dyDescent="0.25">
      <c r="A461" s="2" t="s">
        <v>169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</row>
    <row r="462" spans="1:19" x14ac:dyDescent="0.25">
      <c r="N462" s="5" t="s">
        <v>124</v>
      </c>
      <c r="O462" s="5" t="s">
        <v>152</v>
      </c>
      <c r="P462" s="13">
        <v>0</v>
      </c>
      <c r="Q462" s="5" t="s">
        <v>125</v>
      </c>
      <c r="R462" s="5" t="s">
        <v>156</v>
      </c>
    </row>
    <row r="463" spans="1:19" x14ac:dyDescent="0.25">
      <c r="A463" s="1" t="s">
        <v>157</v>
      </c>
      <c r="B463" s="1"/>
      <c r="C463" s="1"/>
      <c r="N463" s="5"/>
      <c r="O463" s="5"/>
      <c r="P463" s="13"/>
      <c r="Q463" s="5"/>
      <c r="R463" s="5"/>
    </row>
    <row r="464" spans="1:19" x14ac:dyDescent="0.25">
      <c r="G464" t="s">
        <v>118</v>
      </c>
      <c r="N464" t="s">
        <v>124</v>
      </c>
      <c r="O464" t="s">
        <v>152</v>
      </c>
      <c r="P464" s="11">
        <f>8/1000*(14/(1*14+3*2))*100</f>
        <v>0.55999999999999994</v>
      </c>
      <c r="Q464" t="s">
        <v>125</v>
      </c>
      <c r="R464" s="4" t="s">
        <v>126</v>
      </c>
      <c r="S464" t="s">
        <v>276</v>
      </c>
    </row>
    <row r="465" spans="1:19" x14ac:dyDescent="0.25">
      <c r="G465" t="s">
        <v>119</v>
      </c>
      <c r="N465" t="s">
        <v>124</v>
      </c>
      <c r="O465" t="s">
        <v>152</v>
      </c>
      <c r="P465" s="11">
        <f>15/1000*(14/(1*14+3*2))*100</f>
        <v>1.0499999999999998</v>
      </c>
      <c r="Q465" t="s">
        <v>125</v>
      </c>
      <c r="S465" t="s">
        <v>276</v>
      </c>
    </row>
    <row r="466" spans="1:19" x14ac:dyDescent="0.25">
      <c r="G466" t="s">
        <v>117</v>
      </c>
      <c r="N466" t="s">
        <v>124</v>
      </c>
      <c r="O466" t="s">
        <v>152</v>
      </c>
      <c r="P466" s="11">
        <f>50/1000*(14/(1*14+3*2))*100</f>
        <v>3.4999999999999996</v>
      </c>
      <c r="Q466" t="s">
        <v>125</v>
      </c>
      <c r="S466" t="s">
        <v>276</v>
      </c>
    </row>
    <row r="467" spans="1:19" x14ac:dyDescent="0.25">
      <c r="A467" s="1" t="s">
        <v>158</v>
      </c>
      <c r="B467" s="1"/>
      <c r="C467" s="1"/>
      <c r="D467" s="6" t="s">
        <v>177</v>
      </c>
    </row>
    <row r="468" spans="1:19" x14ac:dyDescent="0.25">
      <c r="I468" t="s">
        <v>131</v>
      </c>
      <c r="J468" t="s">
        <v>132</v>
      </c>
      <c r="K468" t="s">
        <v>133</v>
      </c>
      <c r="L468" t="s">
        <v>143</v>
      </c>
      <c r="N468" t="s">
        <v>124</v>
      </c>
      <c r="O468" t="s">
        <v>152</v>
      </c>
      <c r="P468">
        <v>33</v>
      </c>
      <c r="Q468" t="s">
        <v>125</v>
      </c>
      <c r="S468" t="s">
        <v>159</v>
      </c>
    </row>
    <row r="469" spans="1:19" x14ac:dyDescent="0.25">
      <c r="I469" t="s">
        <v>131</v>
      </c>
      <c r="J469" t="s">
        <v>132</v>
      </c>
      <c r="K469" t="s">
        <v>133</v>
      </c>
      <c r="L469" t="s">
        <v>144</v>
      </c>
      <c r="N469" t="s">
        <v>124</v>
      </c>
      <c r="O469" t="s">
        <v>152</v>
      </c>
      <c r="P469">
        <v>38</v>
      </c>
      <c r="Q469" t="s">
        <v>125</v>
      </c>
      <c r="S469" t="s">
        <v>159</v>
      </c>
    </row>
    <row r="470" spans="1:19" x14ac:dyDescent="0.25">
      <c r="I470" t="s">
        <v>131</v>
      </c>
      <c r="J470" t="s">
        <v>132</v>
      </c>
      <c r="K470" t="s">
        <v>133</v>
      </c>
      <c r="L470" t="s">
        <v>145</v>
      </c>
      <c r="N470" t="s">
        <v>124</v>
      </c>
      <c r="O470" t="s">
        <v>152</v>
      </c>
      <c r="P470">
        <v>41</v>
      </c>
      <c r="Q470" t="s">
        <v>125</v>
      </c>
      <c r="S470" t="s">
        <v>159</v>
      </c>
    </row>
    <row r="471" spans="1:19" x14ac:dyDescent="0.25">
      <c r="I471" t="s">
        <v>131</v>
      </c>
      <c r="J471" t="s">
        <v>132</v>
      </c>
      <c r="K471" t="s">
        <v>133</v>
      </c>
      <c r="L471" t="s">
        <v>192</v>
      </c>
      <c r="N471" t="s">
        <v>124</v>
      </c>
      <c r="O471" t="s">
        <v>152</v>
      </c>
      <c r="P471">
        <v>33</v>
      </c>
      <c r="Q471" t="s">
        <v>125</v>
      </c>
      <c r="S471" t="s">
        <v>159</v>
      </c>
    </row>
    <row r="472" spans="1:19" x14ac:dyDescent="0.25">
      <c r="I472" t="s">
        <v>131</v>
      </c>
      <c r="J472" t="s">
        <v>134</v>
      </c>
      <c r="K472" t="s">
        <v>133</v>
      </c>
      <c r="L472" t="s">
        <v>143</v>
      </c>
      <c r="N472" t="s">
        <v>124</v>
      </c>
      <c r="O472" t="s">
        <v>152</v>
      </c>
      <c r="P472">
        <v>32</v>
      </c>
      <c r="Q472" t="s">
        <v>125</v>
      </c>
      <c r="S472" t="s">
        <v>159</v>
      </c>
    </row>
    <row r="473" spans="1:19" x14ac:dyDescent="0.25">
      <c r="I473" t="s">
        <v>131</v>
      </c>
      <c r="J473" t="s">
        <v>134</v>
      </c>
      <c r="K473" t="s">
        <v>133</v>
      </c>
      <c r="L473" t="s">
        <v>144</v>
      </c>
      <c r="N473" t="s">
        <v>124</v>
      </c>
      <c r="O473" t="s">
        <v>152</v>
      </c>
      <c r="P473">
        <v>39</v>
      </c>
      <c r="Q473" t="s">
        <v>125</v>
      </c>
      <c r="S473" t="s">
        <v>159</v>
      </c>
    </row>
    <row r="474" spans="1:19" x14ac:dyDescent="0.25">
      <c r="I474" t="s">
        <v>131</v>
      </c>
      <c r="J474" t="s">
        <v>134</v>
      </c>
      <c r="K474" t="s">
        <v>133</v>
      </c>
      <c r="L474" t="s">
        <v>145</v>
      </c>
      <c r="N474" t="s">
        <v>124</v>
      </c>
      <c r="O474" t="s">
        <v>152</v>
      </c>
      <c r="P474">
        <v>46</v>
      </c>
      <c r="Q474" t="s">
        <v>125</v>
      </c>
      <c r="S474" t="s">
        <v>159</v>
      </c>
    </row>
    <row r="475" spans="1:19" x14ac:dyDescent="0.25">
      <c r="I475" t="s">
        <v>131</v>
      </c>
      <c r="J475" t="s">
        <v>134</v>
      </c>
      <c r="K475" t="s">
        <v>133</v>
      </c>
      <c r="L475" t="s">
        <v>192</v>
      </c>
      <c r="N475" t="s">
        <v>124</v>
      </c>
      <c r="O475" t="s">
        <v>152</v>
      </c>
      <c r="P475">
        <v>32</v>
      </c>
      <c r="Q475" t="s">
        <v>125</v>
      </c>
      <c r="S475" t="s">
        <v>159</v>
      </c>
    </row>
    <row r="476" spans="1:19" x14ac:dyDescent="0.25">
      <c r="I476" t="s">
        <v>131</v>
      </c>
      <c r="K476" t="s">
        <v>135</v>
      </c>
      <c r="L476" t="s">
        <v>143</v>
      </c>
      <c r="N476" t="s">
        <v>124</v>
      </c>
      <c r="O476" t="s">
        <v>152</v>
      </c>
      <c r="P476">
        <v>32</v>
      </c>
      <c r="Q476" t="s">
        <v>125</v>
      </c>
      <c r="S476" t="s">
        <v>159</v>
      </c>
    </row>
    <row r="477" spans="1:19" x14ac:dyDescent="0.25">
      <c r="I477" t="s">
        <v>131</v>
      </c>
      <c r="K477" t="s">
        <v>135</v>
      </c>
      <c r="L477" t="s">
        <v>144</v>
      </c>
      <c r="N477" t="s">
        <v>124</v>
      </c>
      <c r="O477" t="s">
        <v>152</v>
      </c>
      <c r="P477">
        <v>38</v>
      </c>
      <c r="Q477" t="s">
        <v>125</v>
      </c>
      <c r="S477" t="s">
        <v>159</v>
      </c>
    </row>
    <row r="478" spans="1:19" x14ac:dyDescent="0.25">
      <c r="I478" t="s">
        <v>131</v>
      </c>
      <c r="K478" t="s">
        <v>135</v>
      </c>
      <c r="L478" t="s">
        <v>145</v>
      </c>
      <c r="N478" t="s">
        <v>124</v>
      </c>
      <c r="O478" t="s">
        <v>152</v>
      </c>
      <c r="P478">
        <v>47</v>
      </c>
      <c r="Q478" t="s">
        <v>125</v>
      </c>
      <c r="S478" t="s">
        <v>159</v>
      </c>
    </row>
    <row r="479" spans="1:19" x14ac:dyDescent="0.25">
      <c r="I479" t="s">
        <v>131</v>
      </c>
      <c r="K479" t="s">
        <v>135</v>
      </c>
      <c r="L479" t="s">
        <v>192</v>
      </c>
      <c r="N479" t="s">
        <v>124</v>
      </c>
      <c r="O479" t="s">
        <v>152</v>
      </c>
      <c r="P479">
        <v>32</v>
      </c>
      <c r="Q479" t="s">
        <v>125</v>
      </c>
      <c r="S479" t="s">
        <v>159</v>
      </c>
    </row>
    <row r="480" spans="1:19" x14ac:dyDescent="0.25">
      <c r="I480" t="s">
        <v>131</v>
      </c>
      <c r="K480" t="s">
        <v>136</v>
      </c>
      <c r="L480" t="s">
        <v>143</v>
      </c>
      <c r="N480" t="s">
        <v>124</v>
      </c>
      <c r="O480" t="s">
        <v>152</v>
      </c>
      <c r="P480">
        <v>33</v>
      </c>
      <c r="Q480" t="s">
        <v>125</v>
      </c>
      <c r="S480" t="s">
        <v>159</v>
      </c>
    </row>
    <row r="481" spans="9:19" x14ac:dyDescent="0.25">
      <c r="I481" t="s">
        <v>131</v>
      </c>
      <c r="K481" t="s">
        <v>136</v>
      </c>
      <c r="L481" t="s">
        <v>144</v>
      </c>
      <c r="N481" t="s">
        <v>124</v>
      </c>
      <c r="O481" t="s">
        <v>152</v>
      </c>
      <c r="P481">
        <v>39</v>
      </c>
      <c r="Q481" t="s">
        <v>125</v>
      </c>
      <c r="S481" t="s">
        <v>159</v>
      </c>
    </row>
    <row r="482" spans="9:19" x14ac:dyDescent="0.25">
      <c r="I482" t="s">
        <v>131</v>
      </c>
      <c r="K482" t="s">
        <v>136</v>
      </c>
      <c r="L482" t="s">
        <v>145</v>
      </c>
      <c r="N482" t="s">
        <v>124</v>
      </c>
      <c r="O482" t="s">
        <v>152</v>
      </c>
      <c r="P482">
        <v>47</v>
      </c>
      <c r="Q482" t="s">
        <v>125</v>
      </c>
      <c r="S482" t="s">
        <v>159</v>
      </c>
    </row>
    <row r="483" spans="9:19" x14ac:dyDescent="0.25">
      <c r="I483" t="s">
        <v>131</v>
      </c>
      <c r="K483" t="s">
        <v>136</v>
      </c>
      <c r="L483" t="s">
        <v>192</v>
      </c>
      <c r="N483" t="s">
        <v>124</v>
      </c>
      <c r="O483" t="s">
        <v>152</v>
      </c>
      <c r="P483">
        <v>33</v>
      </c>
      <c r="Q483" t="s">
        <v>125</v>
      </c>
      <c r="S483" t="s">
        <v>159</v>
      </c>
    </row>
    <row r="484" spans="9:19" x14ac:dyDescent="0.25">
      <c r="I484" t="s">
        <v>131</v>
      </c>
      <c r="L484" t="s">
        <v>143</v>
      </c>
      <c r="N484" t="s">
        <v>124</v>
      </c>
      <c r="O484" t="s">
        <v>152</v>
      </c>
      <c r="P484">
        <v>32</v>
      </c>
      <c r="Q484" t="s">
        <v>125</v>
      </c>
      <c r="R484" t="s">
        <v>146</v>
      </c>
      <c r="S484" t="s">
        <v>159</v>
      </c>
    </row>
    <row r="485" spans="9:19" x14ac:dyDescent="0.25">
      <c r="I485" t="s">
        <v>131</v>
      </c>
      <c r="L485" t="s">
        <v>144</v>
      </c>
      <c r="N485" t="s">
        <v>124</v>
      </c>
      <c r="O485" t="s">
        <v>152</v>
      </c>
      <c r="P485">
        <v>39</v>
      </c>
      <c r="Q485" t="s">
        <v>125</v>
      </c>
      <c r="R485" t="s">
        <v>146</v>
      </c>
      <c r="S485" t="s">
        <v>159</v>
      </c>
    </row>
    <row r="486" spans="9:19" x14ac:dyDescent="0.25">
      <c r="I486" t="s">
        <v>131</v>
      </c>
      <c r="L486" t="s">
        <v>145</v>
      </c>
      <c r="N486" t="s">
        <v>124</v>
      </c>
      <c r="O486" t="s">
        <v>152</v>
      </c>
      <c r="P486">
        <v>46</v>
      </c>
      <c r="Q486" t="s">
        <v>125</v>
      </c>
      <c r="R486" t="s">
        <v>146</v>
      </c>
      <c r="S486" t="s">
        <v>159</v>
      </c>
    </row>
    <row r="487" spans="9:19" x14ac:dyDescent="0.25">
      <c r="I487" t="s">
        <v>131</v>
      </c>
      <c r="L487" t="s">
        <v>192</v>
      </c>
      <c r="N487" t="s">
        <v>124</v>
      </c>
      <c r="O487" t="s">
        <v>152</v>
      </c>
      <c r="P487">
        <v>32</v>
      </c>
      <c r="Q487" t="s">
        <v>125</v>
      </c>
      <c r="R487" t="s">
        <v>146</v>
      </c>
      <c r="S487" t="s">
        <v>159</v>
      </c>
    </row>
    <row r="488" spans="9:19" x14ac:dyDescent="0.25">
      <c r="I488" t="s">
        <v>131</v>
      </c>
      <c r="L488" t="s">
        <v>161</v>
      </c>
      <c r="N488" t="s">
        <v>124</v>
      </c>
      <c r="O488" t="s">
        <v>152</v>
      </c>
      <c r="P488">
        <v>14</v>
      </c>
      <c r="Q488" t="s">
        <v>125</v>
      </c>
      <c r="S488" t="s">
        <v>176</v>
      </c>
    </row>
    <row r="489" spans="9:19" x14ac:dyDescent="0.25">
      <c r="I489" t="s">
        <v>149</v>
      </c>
      <c r="L489" t="s">
        <v>144</v>
      </c>
      <c r="N489" t="s">
        <v>124</v>
      </c>
      <c r="O489" t="s">
        <v>152</v>
      </c>
      <c r="P489">
        <v>43</v>
      </c>
      <c r="Q489" t="s">
        <v>125</v>
      </c>
      <c r="S489" t="s">
        <v>159</v>
      </c>
    </row>
    <row r="490" spans="9:19" x14ac:dyDescent="0.25">
      <c r="I490" t="s">
        <v>149</v>
      </c>
      <c r="L490" t="s">
        <v>145</v>
      </c>
      <c r="N490" t="s">
        <v>124</v>
      </c>
      <c r="O490" t="s">
        <v>152</v>
      </c>
      <c r="P490">
        <v>47</v>
      </c>
      <c r="Q490" t="s">
        <v>125</v>
      </c>
      <c r="S490" t="s">
        <v>159</v>
      </c>
    </row>
    <row r="491" spans="9:19" x14ac:dyDescent="0.25">
      <c r="I491" t="s">
        <v>149</v>
      </c>
      <c r="L491" t="s">
        <v>193</v>
      </c>
      <c r="N491" t="s">
        <v>124</v>
      </c>
      <c r="O491" t="s">
        <v>152</v>
      </c>
      <c r="P491">
        <v>43</v>
      </c>
      <c r="Q491" t="s">
        <v>125</v>
      </c>
      <c r="S491" t="s">
        <v>159</v>
      </c>
    </row>
    <row r="492" spans="9:19" x14ac:dyDescent="0.25">
      <c r="I492" t="s">
        <v>149</v>
      </c>
      <c r="L492" t="s">
        <v>161</v>
      </c>
      <c r="N492" t="s">
        <v>124</v>
      </c>
      <c r="O492" t="s">
        <v>152</v>
      </c>
      <c r="P492">
        <v>35</v>
      </c>
      <c r="Q492" t="s">
        <v>125</v>
      </c>
      <c r="S492" t="s">
        <v>176</v>
      </c>
    </row>
    <row r="493" spans="9:19" x14ac:dyDescent="0.25">
      <c r="I493" t="s">
        <v>194</v>
      </c>
      <c r="L493" t="s">
        <v>144</v>
      </c>
      <c r="N493" t="s">
        <v>124</v>
      </c>
      <c r="O493" t="s">
        <v>152</v>
      </c>
      <c r="P493">
        <v>43</v>
      </c>
      <c r="Q493" t="s">
        <v>125</v>
      </c>
      <c r="S493" t="s">
        <v>159</v>
      </c>
    </row>
    <row r="494" spans="9:19" x14ac:dyDescent="0.25">
      <c r="I494" t="s">
        <v>194</v>
      </c>
      <c r="L494" t="s">
        <v>161</v>
      </c>
      <c r="N494" t="s">
        <v>124</v>
      </c>
      <c r="O494" t="s">
        <v>152</v>
      </c>
      <c r="P494">
        <v>9</v>
      </c>
      <c r="Q494" t="s">
        <v>125</v>
      </c>
      <c r="S494" t="s">
        <v>176</v>
      </c>
    </row>
    <row r="495" spans="9:19" x14ac:dyDescent="0.25">
      <c r="I495" t="s">
        <v>137</v>
      </c>
      <c r="K495" t="s">
        <v>138</v>
      </c>
      <c r="L495" t="s">
        <v>143</v>
      </c>
      <c r="N495" t="s">
        <v>124</v>
      </c>
      <c r="O495" t="s">
        <v>152</v>
      </c>
      <c r="P495">
        <v>30</v>
      </c>
      <c r="Q495" t="s">
        <v>125</v>
      </c>
      <c r="S495" t="s">
        <v>159</v>
      </c>
    </row>
    <row r="496" spans="9:19" x14ac:dyDescent="0.25">
      <c r="I496" t="s">
        <v>137</v>
      </c>
      <c r="K496" t="s">
        <v>138</v>
      </c>
      <c r="L496" t="s">
        <v>144</v>
      </c>
      <c r="N496" t="s">
        <v>124</v>
      </c>
      <c r="O496" t="s">
        <v>152</v>
      </c>
      <c r="P496">
        <v>35</v>
      </c>
      <c r="Q496" t="s">
        <v>125</v>
      </c>
      <c r="S496" t="s">
        <v>159</v>
      </c>
    </row>
    <row r="497" spans="9:19" x14ac:dyDescent="0.25">
      <c r="I497" t="s">
        <v>137</v>
      </c>
      <c r="K497" t="s">
        <v>138</v>
      </c>
      <c r="L497" t="s">
        <v>145</v>
      </c>
      <c r="N497" t="s">
        <v>124</v>
      </c>
      <c r="O497" t="s">
        <v>152</v>
      </c>
      <c r="P497">
        <v>48</v>
      </c>
      <c r="Q497" t="s">
        <v>125</v>
      </c>
      <c r="S497" t="s">
        <v>159</v>
      </c>
    </row>
    <row r="498" spans="9:19" x14ac:dyDescent="0.25">
      <c r="I498" t="s">
        <v>137</v>
      </c>
      <c r="K498" t="s">
        <v>138</v>
      </c>
      <c r="L498" t="s">
        <v>192</v>
      </c>
      <c r="N498" t="s">
        <v>124</v>
      </c>
      <c r="O498" t="s">
        <v>152</v>
      </c>
      <c r="P498">
        <v>30</v>
      </c>
      <c r="Q498" t="s">
        <v>125</v>
      </c>
      <c r="S498" t="s">
        <v>159</v>
      </c>
    </row>
    <row r="499" spans="9:19" x14ac:dyDescent="0.25">
      <c r="I499" t="s">
        <v>137</v>
      </c>
      <c r="K499" t="s">
        <v>141</v>
      </c>
      <c r="L499" t="s">
        <v>143</v>
      </c>
      <c r="N499" t="s">
        <v>124</v>
      </c>
      <c r="O499" t="s">
        <v>152</v>
      </c>
      <c r="P499" s="12">
        <f>P495</f>
        <v>30</v>
      </c>
      <c r="Q499" t="s">
        <v>125</v>
      </c>
      <c r="R499" t="s">
        <v>148</v>
      </c>
    </row>
    <row r="500" spans="9:19" x14ac:dyDescent="0.25">
      <c r="I500" t="s">
        <v>137</v>
      </c>
      <c r="K500" t="s">
        <v>141</v>
      </c>
      <c r="L500" t="s">
        <v>144</v>
      </c>
      <c r="N500" t="s">
        <v>124</v>
      </c>
      <c r="O500" t="s">
        <v>152</v>
      </c>
      <c r="P500" s="12">
        <f>P496</f>
        <v>35</v>
      </c>
      <c r="Q500" t="s">
        <v>125</v>
      </c>
      <c r="R500" t="s">
        <v>148</v>
      </c>
    </row>
    <row r="501" spans="9:19" x14ac:dyDescent="0.25">
      <c r="I501" t="s">
        <v>137</v>
      </c>
      <c r="K501" t="s">
        <v>141</v>
      </c>
      <c r="L501" t="s">
        <v>145</v>
      </c>
      <c r="N501" t="s">
        <v>124</v>
      </c>
      <c r="O501" t="s">
        <v>152</v>
      </c>
      <c r="P501" s="12">
        <f>P497</f>
        <v>48</v>
      </c>
      <c r="Q501" t="s">
        <v>125</v>
      </c>
      <c r="R501" t="s">
        <v>148</v>
      </c>
    </row>
    <row r="502" spans="9:19" x14ac:dyDescent="0.25">
      <c r="I502" t="s">
        <v>137</v>
      </c>
      <c r="K502" t="s">
        <v>141</v>
      </c>
      <c r="L502" t="s">
        <v>192</v>
      </c>
      <c r="N502" t="s">
        <v>124</v>
      </c>
      <c r="O502" t="s">
        <v>152</v>
      </c>
      <c r="P502" s="12">
        <f>P498</f>
        <v>30</v>
      </c>
      <c r="Q502" t="s">
        <v>125</v>
      </c>
      <c r="R502" t="s">
        <v>148</v>
      </c>
    </row>
    <row r="503" spans="9:19" x14ac:dyDescent="0.25">
      <c r="I503" t="s">
        <v>137</v>
      </c>
      <c r="K503" t="s">
        <v>139</v>
      </c>
      <c r="L503" t="s">
        <v>143</v>
      </c>
      <c r="N503" t="s">
        <v>124</v>
      </c>
      <c r="O503" t="s">
        <v>152</v>
      </c>
      <c r="P503">
        <v>29</v>
      </c>
      <c r="Q503" t="s">
        <v>125</v>
      </c>
      <c r="S503" t="s">
        <v>159</v>
      </c>
    </row>
    <row r="504" spans="9:19" x14ac:dyDescent="0.25">
      <c r="I504" t="s">
        <v>137</v>
      </c>
      <c r="K504" t="s">
        <v>139</v>
      </c>
      <c r="L504" t="s">
        <v>144</v>
      </c>
      <c r="N504" t="s">
        <v>124</v>
      </c>
      <c r="O504" t="s">
        <v>152</v>
      </c>
      <c r="P504">
        <v>34</v>
      </c>
      <c r="Q504" t="s">
        <v>125</v>
      </c>
      <c r="S504" t="s">
        <v>159</v>
      </c>
    </row>
    <row r="505" spans="9:19" x14ac:dyDescent="0.25">
      <c r="I505" t="s">
        <v>137</v>
      </c>
      <c r="K505" t="s">
        <v>139</v>
      </c>
      <c r="L505" t="s">
        <v>145</v>
      </c>
      <c r="N505" t="s">
        <v>124</v>
      </c>
      <c r="O505" t="s">
        <v>152</v>
      </c>
      <c r="P505">
        <v>46</v>
      </c>
      <c r="Q505" t="s">
        <v>125</v>
      </c>
      <c r="S505" t="s">
        <v>159</v>
      </c>
    </row>
    <row r="506" spans="9:19" x14ac:dyDescent="0.25">
      <c r="I506" t="s">
        <v>137</v>
      </c>
      <c r="K506" t="s">
        <v>139</v>
      </c>
      <c r="L506" t="s">
        <v>192</v>
      </c>
      <c r="N506" t="s">
        <v>124</v>
      </c>
      <c r="O506" t="s">
        <v>152</v>
      </c>
      <c r="P506">
        <v>29</v>
      </c>
      <c r="Q506" t="s">
        <v>125</v>
      </c>
      <c r="S506" t="s">
        <v>159</v>
      </c>
    </row>
    <row r="507" spans="9:19" x14ac:dyDescent="0.25">
      <c r="I507" t="s">
        <v>137</v>
      </c>
      <c r="K507" t="s">
        <v>140</v>
      </c>
      <c r="L507" t="s">
        <v>143</v>
      </c>
      <c r="N507" t="s">
        <v>124</v>
      </c>
      <c r="O507" t="s">
        <v>152</v>
      </c>
      <c r="P507">
        <v>29</v>
      </c>
      <c r="Q507" t="s">
        <v>125</v>
      </c>
      <c r="S507" t="s">
        <v>159</v>
      </c>
    </row>
    <row r="508" spans="9:19" x14ac:dyDescent="0.25">
      <c r="I508" t="s">
        <v>137</v>
      </c>
      <c r="K508" t="s">
        <v>140</v>
      </c>
      <c r="L508" t="s">
        <v>144</v>
      </c>
      <c r="N508" t="s">
        <v>124</v>
      </c>
      <c r="O508" t="s">
        <v>152</v>
      </c>
      <c r="P508">
        <v>35</v>
      </c>
      <c r="Q508" t="s">
        <v>125</v>
      </c>
      <c r="S508" t="s">
        <v>159</v>
      </c>
    </row>
    <row r="509" spans="9:19" x14ac:dyDescent="0.25">
      <c r="I509" t="s">
        <v>137</v>
      </c>
      <c r="K509" t="s">
        <v>140</v>
      </c>
      <c r="L509" t="s">
        <v>145</v>
      </c>
      <c r="N509" t="s">
        <v>124</v>
      </c>
      <c r="O509" t="s">
        <v>152</v>
      </c>
      <c r="P509">
        <v>48</v>
      </c>
      <c r="Q509" t="s">
        <v>125</v>
      </c>
      <c r="S509" t="s">
        <v>159</v>
      </c>
    </row>
    <row r="510" spans="9:19" x14ac:dyDescent="0.25">
      <c r="I510" t="s">
        <v>137</v>
      </c>
      <c r="K510" t="s">
        <v>140</v>
      </c>
      <c r="L510" t="s">
        <v>192</v>
      </c>
      <c r="N510" t="s">
        <v>124</v>
      </c>
      <c r="O510" t="s">
        <v>152</v>
      </c>
      <c r="P510">
        <v>29</v>
      </c>
      <c r="Q510" t="s">
        <v>125</v>
      </c>
      <c r="S510" t="s">
        <v>159</v>
      </c>
    </row>
    <row r="511" spans="9:19" x14ac:dyDescent="0.25">
      <c r="I511" t="s">
        <v>137</v>
      </c>
      <c r="L511" t="s">
        <v>143</v>
      </c>
      <c r="N511" t="s">
        <v>124</v>
      </c>
      <c r="O511" t="s">
        <v>152</v>
      </c>
      <c r="P511">
        <v>29</v>
      </c>
      <c r="Q511" t="s">
        <v>125</v>
      </c>
      <c r="R511" t="s">
        <v>147</v>
      </c>
      <c r="S511" t="s">
        <v>159</v>
      </c>
    </row>
    <row r="512" spans="9:19" x14ac:dyDescent="0.25">
      <c r="I512" t="s">
        <v>137</v>
      </c>
      <c r="L512" t="s">
        <v>144</v>
      </c>
      <c r="N512" t="s">
        <v>124</v>
      </c>
      <c r="O512" t="s">
        <v>152</v>
      </c>
      <c r="P512">
        <v>35</v>
      </c>
      <c r="Q512" t="s">
        <v>125</v>
      </c>
      <c r="R512" t="s">
        <v>147</v>
      </c>
      <c r="S512" t="s">
        <v>159</v>
      </c>
    </row>
    <row r="513" spans="1:19" x14ac:dyDescent="0.25">
      <c r="I513" t="s">
        <v>137</v>
      </c>
      <c r="L513" t="s">
        <v>145</v>
      </c>
      <c r="N513" t="s">
        <v>124</v>
      </c>
      <c r="O513" t="s">
        <v>152</v>
      </c>
      <c r="P513">
        <v>44</v>
      </c>
      <c r="Q513" t="s">
        <v>125</v>
      </c>
      <c r="R513" t="s">
        <v>147</v>
      </c>
      <c r="S513" t="s">
        <v>159</v>
      </c>
    </row>
    <row r="514" spans="1:19" x14ac:dyDescent="0.25">
      <c r="I514" t="s">
        <v>137</v>
      </c>
      <c r="L514" t="s">
        <v>192</v>
      </c>
      <c r="N514" t="s">
        <v>124</v>
      </c>
      <c r="O514" t="s">
        <v>152</v>
      </c>
      <c r="P514">
        <v>29</v>
      </c>
      <c r="Q514" t="s">
        <v>125</v>
      </c>
      <c r="R514" t="s">
        <v>147</v>
      </c>
      <c r="S514" t="s">
        <v>159</v>
      </c>
    </row>
    <row r="515" spans="1:19" x14ac:dyDescent="0.25">
      <c r="I515" t="s">
        <v>142</v>
      </c>
      <c r="L515" t="s">
        <v>143</v>
      </c>
      <c r="N515" t="s">
        <v>124</v>
      </c>
      <c r="O515" t="s">
        <v>152</v>
      </c>
      <c r="P515">
        <v>29</v>
      </c>
      <c r="Q515" t="s">
        <v>125</v>
      </c>
      <c r="S515" t="s">
        <v>159</v>
      </c>
    </row>
    <row r="516" spans="1:19" x14ac:dyDescent="0.25">
      <c r="I516" t="s">
        <v>142</v>
      </c>
      <c r="L516" t="s">
        <v>144</v>
      </c>
      <c r="N516" t="s">
        <v>124</v>
      </c>
      <c r="O516" t="s">
        <v>152</v>
      </c>
      <c r="P516">
        <v>40</v>
      </c>
      <c r="Q516" t="s">
        <v>125</v>
      </c>
      <c r="S516" t="s">
        <v>159</v>
      </c>
    </row>
    <row r="517" spans="1:19" x14ac:dyDescent="0.25">
      <c r="I517" t="s">
        <v>142</v>
      </c>
      <c r="L517" t="s">
        <v>145</v>
      </c>
      <c r="N517" t="s">
        <v>124</v>
      </c>
      <c r="O517" t="s">
        <v>152</v>
      </c>
      <c r="P517">
        <v>56</v>
      </c>
      <c r="Q517" t="s">
        <v>125</v>
      </c>
      <c r="S517" t="s">
        <v>159</v>
      </c>
    </row>
    <row r="518" spans="1:19" x14ac:dyDescent="0.25">
      <c r="I518" t="s">
        <v>142</v>
      </c>
      <c r="K518" t="s">
        <v>195</v>
      </c>
      <c r="L518" t="s">
        <v>143</v>
      </c>
      <c r="N518" t="s">
        <v>124</v>
      </c>
      <c r="O518" t="s">
        <v>152</v>
      </c>
      <c r="P518">
        <v>30</v>
      </c>
      <c r="Q518" t="s">
        <v>125</v>
      </c>
      <c r="S518" t="s">
        <v>159</v>
      </c>
    </row>
    <row r="519" spans="1:19" x14ac:dyDescent="0.25">
      <c r="I519" t="s">
        <v>142</v>
      </c>
      <c r="K519" t="s">
        <v>195</v>
      </c>
      <c r="L519" t="s">
        <v>144</v>
      </c>
      <c r="N519" t="s">
        <v>124</v>
      </c>
      <c r="O519" t="s">
        <v>152</v>
      </c>
      <c r="P519">
        <v>41</v>
      </c>
      <c r="Q519" t="s">
        <v>125</v>
      </c>
      <c r="S519" t="s">
        <v>159</v>
      </c>
    </row>
    <row r="520" spans="1:19" x14ac:dyDescent="0.25">
      <c r="I520" t="s">
        <v>142</v>
      </c>
      <c r="K520" t="s">
        <v>195</v>
      </c>
      <c r="L520" t="s">
        <v>145</v>
      </c>
      <c r="N520" t="s">
        <v>124</v>
      </c>
      <c r="O520" t="s">
        <v>152</v>
      </c>
      <c r="P520">
        <v>56</v>
      </c>
      <c r="Q520" t="s">
        <v>125</v>
      </c>
      <c r="S520" t="s">
        <v>159</v>
      </c>
    </row>
    <row r="521" spans="1:19" x14ac:dyDescent="0.25">
      <c r="I521" t="s">
        <v>142</v>
      </c>
      <c r="K521" t="s">
        <v>196</v>
      </c>
      <c r="L521" t="s">
        <v>144</v>
      </c>
      <c r="N521" t="s">
        <v>124</v>
      </c>
      <c r="O521" t="s">
        <v>152</v>
      </c>
      <c r="P521">
        <v>41</v>
      </c>
      <c r="Q521" t="s">
        <v>125</v>
      </c>
      <c r="S521" t="s">
        <v>159</v>
      </c>
    </row>
    <row r="522" spans="1:19" x14ac:dyDescent="0.25">
      <c r="I522" t="s">
        <v>142</v>
      </c>
      <c r="K522" t="s">
        <v>196</v>
      </c>
      <c r="L522" t="s">
        <v>145</v>
      </c>
      <c r="N522" t="s">
        <v>124</v>
      </c>
      <c r="O522" t="s">
        <v>152</v>
      </c>
      <c r="P522">
        <v>41</v>
      </c>
      <c r="Q522" t="s">
        <v>125</v>
      </c>
      <c r="S522" t="s">
        <v>159</v>
      </c>
    </row>
    <row r="524" spans="1:19" x14ac:dyDescent="0.25">
      <c r="A524" s="1" t="s">
        <v>274</v>
      </c>
    </row>
    <row r="525" spans="1:19" x14ac:dyDescent="0.25">
      <c r="H525" t="s">
        <v>192</v>
      </c>
      <c r="N525" t="s">
        <v>124</v>
      </c>
      <c r="O525" t="s">
        <v>152</v>
      </c>
      <c r="P525" s="6">
        <v>30</v>
      </c>
      <c r="Q525" t="s">
        <v>125</v>
      </c>
      <c r="R525" s="6" t="s">
        <v>277</v>
      </c>
    </row>
    <row r="527" spans="1:19" x14ac:dyDescent="0.25">
      <c r="A527" s="2" t="s">
        <v>170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</row>
    <row r="529" spans="1:19" x14ac:dyDescent="0.25">
      <c r="N529" t="s">
        <v>160</v>
      </c>
      <c r="O529" t="s">
        <v>171</v>
      </c>
      <c r="P529">
        <v>1</v>
      </c>
      <c r="Q529" t="s">
        <v>120</v>
      </c>
      <c r="R529" t="s">
        <v>167</v>
      </c>
      <c r="S529" t="s">
        <v>163</v>
      </c>
    </row>
    <row r="530" spans="1:19" x14ac:dyDescent="0.25">
      <c r="N530" t="s">
        <v>160</v>
      </c>
      <c r="O530" t="s">
        <v>173</v>
      </c>
      <c r="P530">
        <v>1</v>
      </c>
      <c r="Q530" t="s">
        <v>120</v>
      </c>
      <c r="R530" t="s">
        <v>168</v>
      </c>
      <c r="S530" t="s">
        <v>163</v>
      </c>
    </row>
    <row r="531" spans="1:19" x14ac:dyDescent="0.25">
      <c r="I531" t="s">
        <v>131</v>
      </c>
      <c r="L531" t="s">
        <v>161</v>
      </c>
      <c r="N531" t="s">
        <v>160</v>
      </c>
      <c r="O531" t="s">
        <v>173</v>
      </c>
      <c r="P531">
        <v>2</v>
      </c>
      <c r="Q531" t="s">
        <v>120</v>
      </c>
      <c r="R531" t="s">
        <v>164</v>
      </c>
      <c r="S531" t="s">
        <v>162</v>
      </c>
    </row>
    <row r="532" spans="1:19" x14ac:dyDescent="0.25">
      <c r="L532" t="s">
        <v>161</v>
      </c>
      <c r="N532" t="s">
        <v>160</v>
      </c>
      <c r="O532" t="s">
        <v>173</v>
      </c>
      <c r="P532">
        <v>1</v>
      </c>
      <c r="Q532" t="s">
        <v>120</v>
      </c>
      <c r="R532" t="s">
        <v>165</v>
      </c>
      <c r="S532" t="s">
        <v>162</v>
      </c>
    </row>
    <row r="533" spans="1:19" x14ac:dyDescent="0.25">
      <c r="N533" t="s">
        <v>160</v>
      </c>
      <c r="O533" t="s">
        <v>172</v>
      </c>
      <c r="P533">
        <v>1</v>
      </c>
      <c r="Q533" t="s">
        <v>120</v>
      </c>
      <c r="R533" t="s">
        <v>175</v>
      </c>
      <c r="S533" t="s">
        <v>163</v>
      </c>
    </row>
    <row r="534" spans="1:19" x14ac:dyDescent="0.25">
      <c r="N534" t="s">
        <v>160</v>
      </c>
      <c r="O534" t="s">
        <v>174</v>
      </c>
      <c r="P534">
        <v>1</v>
      </c>
      <c r="Q534" t="s">
        <v>120</v>
      </c>
      <c r="R534" t="s">
        <v>166</v>
      </c>
      <c r="S534" t="s">
        <v>163</v>
      </c>
    </row>
    <row r="536" spans="1:19" x14ac:dyDescent="0.25">
      <c r="N536" t="s">
        <v>160</v>
      </c>
      <c r="O536" t="s">
        <v>178</v>
      </c>
      <c r="P536">
        <v>13</v>
      </c>
      <c r="Q536" t="s">
        <v>179</v>
      </c>
    </row>
    <row r="538" spans="1:19" x14ac:dyDescent="0.25">
      <c r="A538" s="2" t="s">
        <v>181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</row>
    <row r="540" spans="1:19" x14ac:dyDescent="0.25">
      <c r="C540" t="s">
        <v>187</v>
      </c>
      <c r="N540" t="s">
        <v>185</v>
      </c>
      <c r="O540" t="s">
        <v>182</v>
      </c>
      <c r="P540">
        <v>0.24</v>
      </c>
      <c r="Q540" t="s">
        <v>184</v>
      </c>
      <c r="S540" t="s">
        <v>183</v>
      </c>
    </row>
    <row r="541" spans="1:19" x14ac:dyDescent="0.25">
      <c r="C541" t="s">
        <v>188</v>
      </c>
      <c r="N541" t="s">
        <v>185</v>
      </c>
      <c r="O541" t="s">
        <v>182</v>
      </c>
      <c r="P541">
        <v>0.24</v>
      </c>
      <c r="Q541" t="s">
        <v>184</v>
      </c>
      <c r="S541" t="s">
        <v>183</v>
      </c>
    </row>
    <row r="542" spans="1:19" x14ac:dyDescent="0.25">
      <c r="C542" t="s">
        <v>189</v>
      </c>
      <c r="N542" t="s">
        <v>185</v>
      </c>
      <c r="O542" t="s">
        <v>182</v>
      </c>
      <c r="P542">
        <v>0</v>
      </c>
      <c r="Q542" t="s">
        <v>184</v>
      </c>
      <c r="R542" t="s">
        <v>190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95</v>
      </c>
    </row>
    <row r="2" spans="1:2" x14ac:dyDescent="0.25">
      <c r="A2">
        <v>111</v>
      </c>
      <c r="B2" t="s">
        <v>87</v>
      </c>
    </row>
    <row r="3" spans="1:2" x14ac:dyDescent="0.25">
      <c r="A3">
        <v>112</v>
      </c>
      <c r="B3" t="s">
        <v>87</v>
      </c>
    </row>
    <row r="4" spans="1:2" x14ac:dyDescent="0.25">
      <c r="A4">
        <v>311</v>
      </c>
      <c r="B4" t="s">
        <v>87</v>
      </c>
    </row>
    <row r="5" spans="1:2" x14ac:dyDescent="0.25">
      <c r="A5">
        <v>312</v>
      </c>
      <c r="B5" t="s">
        <v>87</v>
      </c>
    </row>
    <row r="6" spans="1:2" x14ac:dyDescent="0.25">
      <c r="A6">
        <v>321</v>
      </c>
      <c r="B6" t="s">
        <v>87</v>
      </c>
    </row>
    <row r="7" spans="1:2" x14ac:dyDescent="0.25">
      <c r="A7">
        <v>322</v>
      </c>
      <c r="B7" t="s">
        <v>87</v>
      </c>
    </row>
    <row r="8" spans="1:2" x14ac:dyDescent="0.25">
      <c r="A8">
        <v>411</v>
      </c>
      <c r="B8" t="s">
        <v>87</v>
      </c>
    </row>
    <row r="9" spans="1:2" x14ac:dyDescent="0.25">
      <c r="A9">
        <v>421</v>
      </c>
      <c r="B9" t="s">
        <v>87</v>
      </c>
    </row>
    <row r="10" spans="1:2" x14ac:dyDescent="0.25">
      <c r="A10">
        <v>422</v>
      </c>
      <c r="B10" t="s">
        <v>87</v>
      </c>
    </row>
    <row r="11" spans="1:2" x14ac:dyDescent="0.25">
      <c r="A11">
        <v>431</v>
      </c>
      <c r="B11" t="s">
        <v>87</v>
      </c>
    </row>
    <row r="12" spans="1:2" x14ac:dyDescent="0.25">
      <c r="A12">
        <v>511</v>
      </c>
      <c r="B12" t="s">
        <v>88</v>
      </c>
    </row>
    <row r="13" spans="1:2" x14ac:dyDescent="0.25">
      <c r="A13">
        <v>512</v>
      </c>
      <c r="B13" t="s">
        <v>88</v>
      </c>
    </row>
    <row r="14" spans="1:2" x14ac:dyDescent="0.25">
      <c r="A14">
        <v>513</v>
      </c>
      <c r="B14" t="s">
        <v>89</v>
      </c>
    </row>
    <row r="15" spans="1:2" x14ac:dyDescent="0.25">
      <c r="A15">
        <v>514</v>
      </c>
      <c r="B15" t="s">
        <v>89</v>
      </c>
    </row>
    <row r="16" spans="1:2" x14ac:dyDescent="0.25">
      <c r="A16">
        <v>515</v>
      </c>
      <c r="B16" t="s">
        <v>89</v>
      </c>
    </row>
    <row r="17" spans="1:2" x14ac:dyDescent="0.25">
      <c r="A17">
        <v>521</v>
      </c>
      <c r="B17" t="s">
        <v>90</v>
      </c>
    </row>
    <row r="18" spans="1:2" x14ac:dyDescent="0.25">
      <c r="A18">
        <v>611</v>
      </c>
      <c r="B18" t="s">
        <v>88</v>
      </c>
    </row>
    <row r="19" spans="1:2" x14ac:dyDescent="0.25">
      <c r="A19">
        <v>612</v>
      </c>
      <c r="B19" t="s">
        <v>88</v>
      </c>
    </row>
    <row r="20" spans="1:2" x14ac:dyDescent="0.25">
      <c r="A20">
        <v>621</v>
      </c>
      <c r="B20" t="s">
        <v>88</v>
      </c>
    </row>
    <row r="21" spans="1:2" x14ac:dyDescent="0.25">
      <c r="A21">
        <v>622</v>
      </c>
      <c r="B21" t="s">
        <v>88</v>
      </c>
    </row>
    <row r="22" spans="1:2" x14ac:dyDescent="0.25">
      <c r="A22">
        <v>711</v>
      </c>
      <c r="B22" t="s">
        <v>88</v>
      </c>
    </row>
    <row r="23" spans="1:2" x14ac:dyDescent="0.25">
      <c r="A23">
        <v>731</v>
      </c>
      <c r="B23" t="s">
        <v>88</v>
      </c>
    </row>
    <row r="24" spans="1:2" x14ac:dyDescent="0.25">
      <c r="A24">
        <v>811</v>
      </c>
      <c r="B24" t="s">
        <v>91</v>
      </c>
    </row>
    <row r="25" spans="1:2" x14ac:dyDescent="0.25">
      <c r="A25">
        <v>812</v>
      </c>
      <c r="B25" t="s">
        <v>91</v>
      </c>
    </row>
    <row r="26" spans="1:2" x14ac:dyDescent="0.25">
      <c r="A26">
        <v>813</v>
      </c>
      <c r="B26" t="s">
        <v>88</v>
      </c>
    </row>
    <row r="27" spans="1:2" x14ac:dyDescent="0.25">
      <c r="A27">
        <v>814</v>
      </c>
      <c r="B27" t="s">
        <v>88</v>
      </c>
    </row>
    <row r="28" spans="1:2" x14ac:dyDescent="0.25">
      <c r="A28">
        <v>821</v>
      </c>
      <c r="B28" t="s">
        <v>88</v>
      </c>
    </row>
    <row r="29" spans="1:2" x14ac:dyDescent="0.25">
      <c r="A29">
        <v>831</v>
      </c>
      <c r="B29" t="s">
        <v>88</v>
      </c>
    </row>
    <row r="30" spans="1:2" x14ac:dyDescent="0.25">
      <c r="A30">
        <v>911</v>
      </c>
      <c r="B30" t="s">
        <v>91</v>
      </c>
    </row>
    <row r="31" spans="1:2" x14ac:dyDescent="0.25">
      <c r="A31">
        <v>912</v>
      </c>
      <c r="B31" t="s">
        <v>91</v>
      </c>
    </row>
    <row r="32" spans="1:2" x14ac:dyDescent="0.25">
      <c r="A32">
        <v>913</v>
      </c>
      <c r="B32" t="s">
        <v>91</v>
      </c>
    </row>
    <row r="33" spans="1:2" x14ac:dyDescent="0.25">
      <c r="A33">
        <v>1011</v>
      </c>
      <c r="B33" t="s">
        <v>91</v>
      </c>
    </row>
    <row r="34" spans="1:2" x14ac:dyDescent="0.25">
      <c r="A34">
        <v>1111</v>
      </c>
      <c r="B34" t="s">
        <v>91</v>
      </c>
    </row>
    <row r="35" spans="1:2" x14ac:dyDescent="0.25">
      <c r="A35">
        <v>1112</v>
      </c>
      <c r="B35" t="s">
        <v>91</v>
      </c>
    </row>
    <row r="36" spans="1:2" x14ac:dyDescent="0.25">
      <c r="A36">
        <v>1121</v>
      </c>
      <c r="B36" t="s">
        <v>92</v>
      </c>
    </row>
    <row r="37" spans="1:2" x14ac:dyDescent="0.25">
      <c r="A37">
        <v>1122</v>
      </c>
      <c r="B37" t="s">
        <v>91</v>
      </c>
    </row>
    <row r="38" spans="1:2" x14ac:dyDescent="0.25">
      <c r="A38">
        <v>1123</v>
      </c>
      <c r="B38" t="s">
        <v>92</v>
      </c>
    </row>
    <row r="39" spans="1:2" x14ac:dyDescent="0.25">
      <c r="A39">
        <v>1124</v>
      </c>
      <c r="B39" t="s">
        <v>88</v>
      </c>
    </row>
    <row r="40" spans="1:2" x14ac:dyDescent="0.25">
      <c r="A40">
        <v>1131</v>
      </c>
      <c r="B40" t="s">
        <v>88</v>
      </c>
    </row>
    <row r="41" spans="1:2" x14ac:dyDescent="0.25">
      <c r="A41">
        <v>1211</v>
      </c>
      <c r="B41" t="s">
        <v>92</v>
      </c>
    </row>
    <row r="42" spans="1:2" x14ac:dyDescent="0.25">
      <c r="A42">
        <v>1212</v>
      </c>
      <c r="B42" t="s">
        <v>92</v>
      </c>
    </row>
    <row r="43" spans="1:2" x14ac:dyDescent="0.25">
      <c r="A43">
        <v>1213</v>
      </c>
      <c r="B43" t="s">
        <v>91</v>
      </c>
    </row>
    <row r="44" spans="1:2" x14ac:dyDescent="0.25">
      <c r="A44">
        <v>1214</v>
      </c>
      <c r="B44" t="s">
        <v>92</v>
      </c>
    </row>
    <row r="45" spans="1:2" x14ac:dyDescent="0.25">
      <c r="A45">
        <v>1215</v>
      </c>
      <c r="B45" t="s">
        <v>91</v>
      </c>
    </row>
    <row r="46" spans="1:2" x14ac:dyDescent="0.25">
      <c r="A46">
        <v>1216</v>
      </c>
      <c r="B46" t="s">
        <v>92</v>
      </c>
    </row>
    <row r="47" spans="1:2" x14ac:dyDescent="0.25">
      <c r="A47">
        <v>1221</v>
      </c>
      <c r="B47" t="s">
        <v>88</v>
      </c>
    </row>
    <row r="48" spans="1:2" x14ac:dyDescent="0.25">
      <c r="A48">
        <v>1222</v>
      </c>
      <c r="B48" t="s">
        <v>92</v>
      </c>
    </row>
    <row r="49" spans="1:2" x14ac:dyDescent="0.25">
      <c r="A49">
        <v>1311</v>
      </c>
      <c r="B49" t="s">
        <v>92</v>
      </c>
    </row>
    <row r="50" spans="1:2" x14ac:dyDescent="0.25">
      <c r="A50">
        <v>1321</v>
      </c>
      <c r="B50" t="s">
        <v>92</v>
      </c>
    </row>
    <row r="51" spans="1:2" x14ac:dyDescent="0.25">
      <c r="A51">
        <v>1322</v>
      </c>
      <c r="B51" t="s">
        <v>88</v>
      </c>
    </row>
    <row r="52" spans="1:2" x14ac:dyDescent="0.25">
      <c r="A52">
        <v>1331</v>
      </c>
      <c r="B52" t="s">
        <v>88</v>
      </c>
    </row>
    <row r="53" spans="1:2" x14ac:dyDescent="0.25">
      <c r="A53">
        <v>1411</v>
      </c>
      <c r="B53" t="s">
        <v>88</v>
      </c>
    </row>
    <row r="54" spans="1:2" x14ac:dyDescent="0.25">
      <c r="A54">
        <v>1412</v>
      </c>
      <c r="B54" t="s">
        <v>88</v>
      </c>
    </row>
    <row r="55" spans="1:2" x14ac:dyDescent="0.25">
      <c r="A55">
        <v>1421</v>
      </c>
      <c r="B55" t="s">
        <v>88</v>
      </c>
    </row>
    <row r="56" spans="1:2" x14ac:dyDescent="0.25">
      <c r="A56">
        <v>1511</v>
      </c>
      <c r="B56" t="s">
        <v>88</v>
      </c>
    </row>
    <row r="57" spans="1:2" x14ac:dyDescent="0.25">
      <c r="A57">
        <v>1512</v>
      </c>
      <c r="B57" t="s">
        <v>89</v>
      </c>
    </row>
    <row r="58" spans="1:2" x14ac:dyDescent="0.25">
      <c r="A58">
        <v>1521</v>
      </c>
      <c r="B58" t="s">
        <v>88</v>
      </c>
    </row>
    <row r="59" spans="1:2" x14ac:dyDescent="0.25">
      <c r="A59">
        <v>1522</v>
      </c>
      <c r="B59" t="s">
        <v>88</v>
      </c>
    </row>
    <row r="60" spans="1:2" x14ac:dyDescent="0.25">
      <c r="A60">
        <v>1611</v>
      </c>
      <c r="B60" t="s">
        <v>88</v>
      </c>
    </row>
    <row r="61" spans="1:2" x14ac:dyDescent="0.25">
      <c r="A61">
        <v>1612</v>
      </c>
      <c r="B61" t="s">
        <v>89</v>
      </c>
    </row>
    <row r="62" spans="1:2" x14ac:dyDescent="0.25">
      <c r="A62">
        <v>1613</v>
      </c>
      <c r="B62" t="s">
        <v>89</v>
      </c>
    </row>
    <row r="63" spans="1:2" x14ac:dyDescent="0.25">
      <c r="A63">
        <v>1614</v>
      </c>
      <c r="B63" t="s">
        <v>89</v>
      </c>
    </row>
    <row r="64" spans="1:2" x14ac:dyDescent="0.25">
      <c r="A64">
        <v>1615</v>
      </c>
      <c r="B64" t="s">
        <v>89</v>
      </c>
    </row>
    <row r="65" spans="1:2" x14ac:dyDescent="0.25">
      <c r="A65">
        <v>1616</v>
      </c>
      <c r="B65" t="s">
        <v>89</v>
      </c>
    </row>
    <row r="66" spans="1:2" x14ac:dyDescent="0.25">
      <c r="A66">
        <v>1617</v>
      </c>
      <c r="B66" t="s">
        <v>90</v>
      </c>
    </row>
    <row r="67" spans="1:2" x14ac:dyDescent="0.25">
      <c r="A67">
        <v>1621</v>
      </c>
      <c r="B67" t="s">
        <v>89</v>
      </c>
    </row>
    <row r="68" spans="1:2" x14ac:dyDescent="0.25">
      <c r="A68">
        <v>1622</v>
      </c>
      <c r="B68" t="s">
        <v>89</v>
      </c>
    </row>
    <row r="69" spans="1:2" x14ac:dyDescent="0.25">
      <c r="A69">
        <v>1623</v>
      </c>
      <c r="B69" t="s">
        <v>89</v>
      </c>
    </row>
    <row r="70" spans="1:2" x14ac:dyDescent="0.25">
      <c r="A70">
        <v>1711</v>
      </c>
      <c r="B70" t="s">
        <v>87</v>
      </c>
    </row>
    <row r="71" spans="1:2" x14ac:dyDescent="0.25">
      <c r="A71">
        <v>1712</v>
      </c>
      <c r="B71" t="s">
        <v>87</v>
      </c>
    </row>
    <row r="72" spans="1:2" x14ac:dyDescent="0.25">
      <c r="A72">
        <v>1713</v>
      </c>
      <c r="B72" t="s">
        <v>90</v>
      </c>
    </row>
    <row r="73" spans="1:2" x14ac:dyDescent="0.25">
      <c r="A73">
        <v>1721</v>
      </c>
      <c r="B73" t="s">
        <v>90</v>
      </c>
    </row>
    <row r="74" spans="1:2" x14ac:dyDescent="0.25">
      <c r="A74">
        <v>1722</v>
      </c>
      <c r="B74" t="s">
        <v>87</v>
      </c>
    </row>
    <row r="75" spans="1:2" x14ac:dyDescent="0.25">
      <c r="A75">
        <v>1723</v>
      </c>
      <c r="B75" t="s">
        <v>90</v>
      </c>
    </row>
    <row r="76" spans="1:2" x14ac:dyDescent="0.25">
      <c r="A76">
        <v>1724</v>
      </c>
      <c r="B76" t="s">
        <v>93</v>
      </c>
    </row>
    <row r="77" spans="1:2" x14ac:dyDescent="0.25">
      <c r="A77">
        <v>1811</v>
      </c>
      <c r="B77" t="s">
        <v>90</v>
      </c>
    </row>
    <row r="78" spans="1:2" x14ac:dyDescent="0.25">
      <c r="A78">
        <v>1812</v>
      </c>
      <c r="B78" t="s">
        <v>87</v>
      </c>
    </row>
    <row r="79" spans="1:2" x14ac:dyDescent="0.25">
      <c r="A79">
        <v>1813</v>
      </c>
      <c r="B79" t="s">
        <v>90</v>
      </c>
    </row>
    <row r="80" spans="1:2" x14ac:dyDescent="0.25">
      <c r="A80">
        <v>1821</v>
      </c>
      <c r="B80" t="s">
        <v>87</v>
      </c>
    </row>
    <row r="81" spans="1:2" x14ac:dyDescent="0.25">
      <c r="A81">
        <v>1911</v>
      </c>
      <c r="B81" t="s">
        <v>87</v>
      </c>
    </row>
    <row r="82" spans="1:2" x14ac:dyDescent="0.25">
      <c r="A82">
        <v>1912</v>
      </c>
      <c r="B82" t="s">
        <v>87</v>
      </c>
    </row>
    <row r="83" spans="1:2" x14ac:dyDescent="0.25">
      <c r="A83">
        <v>1921</v>
      </c>
      <c r="B83" t="s">
        <v>87</v>
      </c>
    </row>
    <row r="84" spans="1:2" x14ac:dyDescent="0.25">
      <c r="A84">
        <v>1922</v>
      </c>
      <c r="B84" t="s">
        <v>87</v>
      </c>
    </row>
    <row r="85" spans="1:2" x14ac:dyDescent="0.25">
      <c r="A85">
        <v>2011</v>
      </c>
      <c r="B85" t="s">
        <v>90</v>
      </c>
    </row>
    <row r="86" spans="1:2" x14ac:dyDescent="0.25">
      <c r="A86">
        <v>2012</v>
      </c>
      <c r="B86" t="s">
        <v>93</v>
      </c>
    </row>
    <row r="87" spans="1:2" x14ac:dyDescent="0.25">
      <c r="A87">
        <v>2019</v>
      </c>
      <c r="B87" t="s">
        <v>94</v>
      </c>
    </row>
    <row r="88" spans="1:2" x14ac:dyDescent="0.25">
      <c r="A88">
        <v>2111</v>
      </c>
      <c r="B88" t="s">
        <v>93</v>
      </c>
    </row>
    <row r="89" spans="1:2" x14ac:dyDescent="0.25">
      <c r="A89">
        <v>2121</v>
      </c>
      <c r="B89" t="s">
        <v>90</v>
      </c>
    </row>
    <row r="90" spans="1:2" x14ac:dyDescent="0.25">
      <c r="A90">
        <v>2122</v>
      </c>
      <c r="B90" t="s">
        <v>90</v>
      </c>
    </row>
    <row r="91" spans="1:2" x14ac:dyDescent="0.25">
      <c r="A91">
        <v>2211</v>
      </c>
      <c r="B91" t="s">
        <v>93</v>
      </c>
    </row>
    <row r="92" spans="1:2" x14ac:dyDescent="0.25">
      <c r="A92">
        <v>2212</v>
      </c>
      <c r="B92" t="s">
        <v>93</v>
      </c>
    </row>
    <row r="93" spans="1:2" x14ac:dyDescent="0.25">
      <c r="A93">
        <v>2221</v>
      </c>
      <c r="B93" t="s">
        <v>93</v>
      </c>
    </row>
    <row r="94" spans="1:2" x14ac:dyDescent="0.25">
      <c r="A94">
        <v>2311</v>
      </c>
      <c r="B94" t="s">
        <v>93</v>
      </c>
    </row>
    <row r="95" spans="1:2" x14ac:dyDescent="0.25">
      <c r="A95">
        <v>2312</v>
      </c>
      <c r="B95" t="s">
        <v>93</v>
      </c>
    </row>
    <row r="96" spans="1:2" x14ac:dyDescent="0.25">
      <c r="A96">
        <v>2319</v>
      </c>
      <c r="B96" t="s">
        <v>94</v>
      </c>
    </row>
    <row r="97" spans="1:2" x14ac:dyDescent="0.25">
      <c r="A97">
        <v>2331</v>
      </c>
      <c r="B97" t="s">
        <v>94</v>
      </c>
    </row>
    <row r="98" spans="1:2" x14ac:dyDescent="0.25">
      <c r="A98">
        <v>2411</v>
      </c>
      <c r="B98" t="s">
        <v>94</v>
      </c>
    </row>
    <row r="99" spans="1:2" x14ac:dyDescent="0.25">
      <c r="A99">
        <v>2412</v>
      </c>
      <c r="B99" t="s">
        <v>94</v>
      </c>
    </row>
    <row r="100" spans="1:2" x14ac:dyDescent="0.25">
      <c r="A100">
        <v>2413</v>
      </c>
      <c r="B100" t="s">
        <v>94</v>
      </c>
    </row>
    <row r="101" spans="1:2" x14ac:dyDescent="0.25">
      <c r="A101">
        <v>2414</v>
      </c>
      <c r="B101" t="s">
        <v>94</v>
      </c>
    </row>
    <row r="102" spans="1:2" x14ac:dyDescent="0.25">
      <c r="A102">
        <v>2415</v>
      </c>
      <c r="B102" t="s">
        <v>94</v>
      </c>
    </row>
    <row r="103" spans="1:2" x14ac:dyDescent="0.25">
      <c r="A103">
        <v>2419</v>
      </c>
      <c r="B103" t="s">
        <v>94</v>
      </c>
    </row>
    <row r="104" spans="1:2" x14ac:dyDescent="0.25">
      <c r="A104">
        <v>2511</v>
      </c>
      <c r="B104" t="s">
        <v>94</v>
      </c>
    </row>
    <row r="105" spans="1:2" x14ac:dyDescent="0.25">
      <c r="A105">
        <v>2512</v>
      </c>
      <c r="B105" t="s">
        <v>94</v>
      </c>
    </row>
    <row r="106" spans="1:2" x14ac:dyDescent="0.25">
      <c r="A106">
        <v>2519</v>
      </c>
      <c r="B106" t="s">
        <v>94</v>
      </c>
    </row>
    <row r="107" spans="1:2" x14ac:dyDescent="0.25">
      <c r="A107">
        <v>2521</v>
      </c>
      <c r="B107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2024-08-22T07:45:10Z</dcterms:modified>
</cp:coreProperties>
</file>