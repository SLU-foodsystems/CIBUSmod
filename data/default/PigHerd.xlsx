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25200" windowHeight="9000" activeTab="1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3" i="8" l="1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M25" i="8"/>
  <c r="M24" i="8"/>
  <c r="M33" i="8"/>
  <c r="M32" i="8" l="1"/>
  <c r="M31" i="8"/>
  <c r="M30" i="8"/>
  <c r="M29" i="8"/>
  <c r="M28" i="8"/>
  <c r="M27" i="8"/>
  <c r="M26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P13" i="1" l="1"/>
  <c r="P12" i="1"/>
  <c r="N44" i="8" l="1"/>
  <c r="M44" i="8"/>
  <c r="H45" i="8"/>
  <c r="I41" i="8" s="1"/>
  <c r="F45" i="8"/>
  <c r="G40" i="8" s="1"/>
  <c r="D45" i="8"/>
  <c r="E8" i="8" s="1"/>
  <c r="O44" i="8" l="1"/>
  <c r="T18" i="8" s="1"/>
  <c r="Q32" i="8"/>
  <c r="E70" i="1" s="1"/>
  <c r="R17" i="8"/>
  <c r="E91" i="1" s="1"/>
  <c r="Q19" i="8"/>
  <c r="E72" i="1" s="1"/>
  <c r="Q25" i="8"/>
  <c r="E78" i="1" s="1"/>
  <c r="Q20" i="8"/>
  <c r="E73" i="1" s="1"/>
  <c r="Q28" i="8"/>
  <c r="E81" i="1" s="1"/>
  <c r="Q23" i="8"/>
  <c r="E76" i="1" s="1"/>
  <c r="Q14" i="8"/>
  <c r="E67" i="1" s="1"/>
  <c r="Q22" i="8"/>
  <c r="E75" i="1" s="1"/>
  <c r="Q30" i="8"/>
  <c r="Q16" i="8"/>
  <c r="E69" i="1" s="1"/>
  <c r="Q24" i="8"/>
  <c r="E77" i="1" s="1"/>
  <c r="Q29" i="8"/>
  <c r="Q21" i="8"/>
  <c r="E74" i="1" s="1"/>
  <c r="Q17" i="8"/>
  <c r="E71" i="1" s="1"/>
  <c r="Q13" i="8"/>
  <c r="E66" i="1" s="1"/>
  <c r="Q9" i="8"/>
  <c r="E62" i="1" s="1"/>
  <c r="Q8" i="8"/>
  <c r="G14" i="8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T21" i="8" l="1"/>
  <c r="S33" i="8"/>
  <c r="E113" i="1" s="1"/>
  <c r="S8" i="8"/>
  <c r="E99" i="1"/>
  <c r="T16" i="8"/>
  <c r="T19" i="8"/>
  <c r="E125" i="1" s="1"/>
  <c r="T22" i="8"/>
  <c r="E127" i="1" s="1"/>
  <c r="T17" i="8"/>
  <c r="E124" i="1" s="1"/>
  <c r="T31" i="8"/>
  <c r="T12" i="8"/>
  <c r="E121" i="1" s="1"/>
  <c r="T15" i="8"/>
  <c r="T33" i="8"/>
  <c r="E131" i="1" s="1"/>
  <c r="T25" i="8"/>
  <c r="E130" i="1" s="1"/>
  <c r="T24" i="8"/>
  <c r="E129" i="1" s="1"/>
  <c r="T10" i="8"/>
  <c r="E119" i="1" s="1"/>
  <c r="T30" i="8"/>
  <c r="E134" i="1" s="1"/>
  <c r="T32" i="8"/>
  <c r="T13" i="8"/>
  <c r="E122" i="1" s="1"/>
  <c r="T26" i="8"/>
  <c r="E132" i="1" s="1"/>
  <c r="T29" i="8"/>
  <c r="T11" i="8"/>
  <c r="E120" i="1" s="1"/>
  <c r="T14" i="8"/>
  <c r="E123" i="1" s="1"/>
  <c r="E61" i="1"/>
  <c r="T27" i="8"/>
  <c r="T8" i="8"/>
  <c r="T20" i="8"/>
  <c r="E126" i="1" s="1"/>
  <c r="T23" i="8"/>
  <c r="E128" i="1" s="1"/>
  <c r="T28" i="8"/>
  <c r="E133" i="1" s="1"/>
  <c r="T9" i="8"/>
  <c r="E118" i="1" s="1"/>
  <c r="Q26" i="8"/>
  <c r="E79" i="1" s="1"/>
  <c r="Q12" i="8"/>
  <c r="E65" i="1" s="1"/>
  <c r="Q15" i="8"/>
  <c r="E68" i="1" s="1"/>
  <c r="Q27" i="8"/>
  <c r="E80" i="1" s="1"/>
  <c r="Q10" i="8"/>
  <c r="E63" i="1" s="1"/>
  <c r="Q18" i="8"/>
  <c r="Q11" i="8"/>
  <c r="E64" i="1" s="1"/>
  <c r="Q31" i="8"/>
  <c r="E82" i="1" s="1"/>
  <c r="Q33" i="8"/>
  <c r="R18" i="8"/>
  <c r="E92" i="1" s="1"/>
  <c r="R27" i="8"/>
  <c r="R8" i="8"/>
  <c r="R15" i="8"/>
  <c r="R25" i="8"/>
  <c r="R20" i="8"/>
  <c r="R10" i="8"/>
  <c r="E86" i="1" s="1"/>
  <c r="R14" i="8"/>
  <c r="E89" i="1" s="1"/>
  <c r="R13" i="8"/>
  <c r="E88" i="1" s="1"/>
  <c r="R11" i="8"/>
  <c r="R9" i="8"/>
  <c r="E85" i="1" s="1"/>
  <c r="R28" i="8"/>
  <c r="E94" i="1" s="1"/>
  <c r="R31" i="8"/>
  <c r="E97" i="1" s="1"/>
  <c r="R22" i="8"/>
  <c r="R29" i="8"/>
  <c r="E95" i="1" s="1"/>
  <c r="R23" i="8"/>
  <c r="E93" i="1" s="1"/>
  <c r="R21" i="8"/>
  <c r="R16" i="8"/>
  <c r="R19" i="8"/>
  <c r="R26" i="8"/>
  <c r="R30" i="8"/>
  <c r="E96" i="1" s="1"/>
  <c r="R33" i="8"/>
  <c r="R12" i="8"/>
  <c r="E87" i="1" s="1"/>
  <c r="R24" i="8"/>
  <c r="R32" i="8"/>
  <c r="E90" i="1" s="1"/>
  <c r="S12" i="8"/>
  <c r="E103" i="1" s="1"/>
  <c r="S32" i="8"/>
  <c r="S26" i="8"/>
  <c r="E114" i="1" s="1"/>
  <c r="S17" i="8"/>
  <c r="E106" i="1" s="1"/>
  <c r="S28" i="8"/>
  <c r="E115" i="1" s="1"/>
  <c r="S27" i="8"/>
  <c r="S23" i="8"/>
  <c r="E110" i="1" s="1"/>
  <c r="S19" i="8"/>
  <c r="E107" i="1" s="1"/>
  <c r="S15" i="8"/>
  <c r="S11" i="8"/>
  <c r="E102" i="1" s="1"/>
  <c r="S22" i="8"/>
  <c r="E109" i="1" s="1"/>
  <c r="S29" i="8"/>
  <c r="S13" i="8"/>
  <c r="E104" i="1" s="1"/>
  <c r="S24" i="8"/>
  <c r="E111" i="1" s="1"/>
  <c r="S10" i="8"/>
  <c r="E101" i="1" s="1"/>
  <c r="S18" i="8"/>
  <c r="S25" i="8"/>
  <c r="E112" i="1" s="1"/>
  <c r="S9" i="8"/>
  <c r="E100" i="1" s="1"/>
  <c r="S20" i="8"/>
  <c r="E108" i="1" s="1"/>
  <c r="S31" i="8"/>
  <c r="S30" i="8"/>
  <c r="E116" i="1" s="1"/>
  <c r="S14" i="8"/>
  <c r="E105" i="1" s="1"/>
  <c r="S21" i="8"/>
  <c r="S16" i="8"/>
  <c r="E52" i="1"/>
  <c r="E51" i="1"/>
  <c r="E84" i="1" l="1"/>
  <c r="R44" i="8"/>
  <c r="T44" i="8"/>
  <c r="E117" i="1"/>
  <c r="Q44" i="8"/>
  <c r="S44" i="8"/>
  <c r="S20" i="5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<sst xmlns="http://schemas.openxmlformats.org/spreadsheetml/2006/main" count="727" uniqueCount="246">
  <si>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</si>
  <si>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</si>
  <si>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</si>
  <si>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</si>
  <si>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</si>
  <si>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</si>
  <si>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</si>
  <si>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</si>
  <si>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</si>
  <si>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</si>
  <si>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</si>
  <si>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</si>
  <si>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</si>
  <si>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</si>
  <si>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</si>
  <si>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</si>
  <si>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</si>
  <si>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</si>
  <si>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</si>
  <si>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</si>
  <si>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</si>
  <si>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</si>
  <si>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</si>
  <si>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</si>
  <si>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</si>
  <si>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</si>
  <si>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</si>
  <si>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</si>
  <si>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</si>
  <si>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</si>
  <si>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</si>
  <si>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</si>
  <si>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</si>
  <si>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</si>
  <si>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</si>
  <si>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</si>
  <si>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</si>
  <si>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</si>
  <si>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</si>
  <si>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</si>
  <si>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</si>
  <si>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</si>
  <si>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</si>
  <si>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</si>
  <si>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</si>
  <si>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</si>
  <si>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</si>
  <si>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</si>
  <si>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</si>
  <si>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</si>
  <si>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</si>
  <si>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</si>
  <si>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</si>
  <si>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</si>
  <si>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</si>
  <si>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</si>
  <si>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</si>
  <si>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</si>
  <si>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</si>
  <si>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</si>
  <si>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</si>
  <si>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</si>
  <si>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</si>
  <si>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</si>
  <si>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</si>
  <si>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</si>
  <si>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</si>
  <si>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</si>
  <si>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</si>
  <si>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</si>
  <si>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</si>
  <si>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</si>
  <si>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</si>
  <si>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</si>
  <si>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</si>
  <si>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</si>
  <si>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</si>
  <si>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</si>
  <si>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</si>
  <si>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</si>
  <si>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</si>
  <si>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</si>
  <si>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</si>
  <si>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</si>
  <si>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</si>
  <si>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</si>
  <si>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</si>
  <si>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</si>
  <si>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</si>
  <si>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</si>
  <si>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</si>
  <si>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</si>
  <si>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</si>
  <si>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</si>
  <si>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</si>
  <si>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</si>
  <si>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</si>
  <si>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</si>
  <si>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</si>
  <si>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</si>
  <si>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</si>
  <si>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</si>
  <si>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</si>
  <si>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</si>
  <si>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</si>
  <si>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</si>
  <si>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</si>
  <si>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</si>
  <si>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</si>
  <si>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</si>
  <si>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</si>
  <si>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</si>
  <si>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</si>
  <si>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</si>
  <si>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</si>
  <si>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</si>
  <si>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</si>
  <si>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</si>
  <si>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</si>
  <si>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</si>
  <si>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</si>
  <si>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</si>
  <si>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</si>
  <si>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</si>
  <si>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</si>
  <si>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</si>
  <si>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</si>
  <si>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</si>
  <si>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</si>
  <si>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</si>
  <si>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</si>
  <si>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</si>
  <si>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</si>
  <si>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</si>
  <si>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</si>
  <si>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</si>
  <si>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</si>
  <si>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</si>
  <si>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</si>
  <si>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</si>
  <si>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</si>
  <si>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</si>
  <si>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</si>
  <si>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</si>
  <si>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</si>
  <si>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</si>
  <si>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</si>
  <si>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</si>
  <si>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</si>
  <si>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</si>
  <si>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</si>
  <si>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</si>
  <si>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</si>
  <si>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</si>
  <si>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</si>
  <si>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</si>
  <si>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</si>
  <si>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</si>
  <si>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</si>
  <si>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Landquist et al. 2020. Uppdaterad och utökad livscykelanalys av svensk grisproduktion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</si>
  <si>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</si>
  <si>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</si>
  <si>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</si>
  <si>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</si>
  <si>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</si>
  <si>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</si>
  <si>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</si>
  <si>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</si>
  <si>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</si>
  <si>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</si>
  <si>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</si>
  <si>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</si>
  <si>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</si>
  <si>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</si>
  <si>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</si>
  <si>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</si>
  <si>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</si>
  <si>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</si>
  <si>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</si>
  <si>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</si>
  <si>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</si>
  <si>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</si>
  <si>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</si>
  <si>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</si>
  <si>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</si>
  <si>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</si>
  <si>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</si>
  <si>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</si>
  <si>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</si>
  <si>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</si>
  <si>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</si>
  <si>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</si>
  <si>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</si>
  <si>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</si>
  <si>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</si>
  <si>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</si>
  <si>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</si>
  <si>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</si>
  <si>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</si>
  <si>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</si>
  <si>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</si>
  <si>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</si>
  <si>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</si>
  <si>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</si>
  <si>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</si>
  <si>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</si>
  <si>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</si>
  <si>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</si>
  <si>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</si>
  <si>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</si>
  <si>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</si>
  <si>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</si>
  <si>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</si>
  <si>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</si>
  <si>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</si>
  <si>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</si>
  <si>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</si>
  <si>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</si>
  <si>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</si>
  <si>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</si>
  <si>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</si>
  <si>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</si>
  <si>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</si>
  <si>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</si>
  <si>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</si>
  <si>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</si>
  <si>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</si>
  <si>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</si>
  <si>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</si>
  <si>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barley brewers grain</t>
  </si>
  <si>
    <t>sows, gilts</t>
  </si>
  <si>
    <t>whey powder</t>
  </si>
  <si>
    <t>Sows, gilts and boars</t>
  </si>
  <si>
    <t>Piglets</t>
  </si>
  <si>
    <t>Grpwing and finishing pigs</t>
  </si>
  <si>
    <t>see feed rations sheet</t>
  </si>
  <si>
    <t>vegetable oils</t>
  </si>
  <si>
    <t>total, kg DM</t>
  </si>
  <si>
    <t>Feed rations, kg dry matter</t>
  </si>
  <si>
    <t>Feed rations, % of DM</t>
  </si>
  <si>
    <t>growing/ finishing pigs</t>
  </si>
  <si>
    <t>Source: Birgit Landquist (2023) Komplettering till RISE Rapport 2020:59:</t>
  </si>
  <si>
    <t>Uppdaterad och utökad livscykelanalys av svensk grisproduktion. RISE</t>
  </si>
  <si>
    <t>excluded</t>
  </si>
  <si>
    <r>
      <rPr>
        <b/>
        <sz val="10"/>
        <color theme="1"/>
        <rFont val="Calibri"/>
        <family val="2"/>
        <scheme val="minor"/>
      </rPr>
      <t xml:space="preserve">Etanolindustri: </t>
    </r>
    <r>
      <rPr>
        <sz val="10"/>
        <color theme="1"/>
        <rFont val="Calibri"/>
        <family val="2"/>
        <scheme val="minor"/>
      </rPr>
      <t xml:space="preserve">Ts-halten varierar mellan 8–27% på de produkter vi har räknat med, fyra olika drank: St1, Agroetanol, Drank Skåne och Drank Lidköping. Baserat på svaren från foderoptimerarna räknade vi ut en medel-ts på 8,7% och volymen 306 447 ton. 
</t>
    </r>
    <r>
      <rPr>
        <b/>
        <sz val="10"/>
        <color theme="1"/>
        <rFont val="Calibri"/>
        <family val="2"/>
        <scheme val="minor"/>
      </rPr>
      <t>Mejerindustri:</t>
    </r>
    <r>
      <rPr>
        <sz val="10"/>
        <color theme="1"/>
        <rFont val="Calibri"/>
        <family val="2"/>
        <scheme val="minor"/>
      </rPr>
      <t xml:space="preserve"> Ts-halten varierar mellan 5–16 % på de produkter vi har räknat med. Det är fodermjölk, permeat och vassle från cirka 10 mejerier. Medel-ts blev 7,8 % och mängden 317 407 ton. </t>
    </r>
  </si>
  <si>
    <t>E-mail from Birgit Landquist (RISE) 2023-10-16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</si>
</sst>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6" borderId="0" xfId="0" applyFill="1"/>
    <xf numFmtId="0" fontId="16" fillId="6" borderId="0" xfId="0" applyFont="1" applyFill="1"/>
    <xf numFmtId="2" fontId="16" fillId="6" borderId="0" xfId="0" applyNumberFormat="1" applyFont="1" applyFill="1"/>
    <xf numFmtId="2" fontId="16" fillId="0" borderId="0" xfId="0" applyNumberFormat="1" applyFont="1"/>
    <xf numFmtId="164" fontId="0" fillId="0" borderId="21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0" borderId="22" xfId="0" applyBorder="1"/>
    <xf numFmtId="0" fontId="0" fillId="0" borderId="21" xfId="0" applyBorder="1"/>
    <xf numFmtId="2" fontId="0" fillId="0" borderId="22" xfId="0" applyNumberFormat="1" applyBorder="1"/>
    <xf numFmtId="0" fontId="18" fillId="0" borderId="0" xfId="0" applyFont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 applyAlignment="1">
      <alignment wrapText="1"/>
    </xf>
    <xf numFmtId="0" fontId="0" fillId="5" borderId="21" xfId="0" applyFill="1" applyBorder="1"/>
    <xf numFmtId="9" fontId="0" fillId="0" borderId="0" xfId="1" applyFont="1" applyBorder="1"/>
    <xf numFmtId="9" fontId="0" fillId="0" borderId="22" xfId="1" applyFont="1" applyBorder="1"/>
    <xf numFmtId="0" fontId="2" fillId="0" borderId="0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14" xfId="0" applyFont="1" applyBorder="1"/>
    <xf numFmtId="0" fontId="2" fillId="0" borderId="24" xfId="0" applyFont="1" applyBorder="1"/>
    <xf numFmtId="0" fontId="0" fillId="5" borderId="18" xfId="0" applyFill="1" applyBorder="1"/>
    <xf numFmtId="0" fontId="0" fillId="0" borderId="19" xfId="0" applyBorder="1"/>
    <xf numFmtId="9" fontId="0" fillId="0" borderId="19" xfId="1" applyFont="1" applyBorder="1"/>
    <xf numFmtId="9" fontId="0" fillId="0" borderId="20" xfId="1" applyFont="1" applyBorder="1"/>
    <xf numFmtId="0" fontId="0" fillId="0" borderId="25" xfId="0" applyBorder="1"/>
    <xf numFmtId="0" fontId="0" fillId="0" borderId="26" xfId="0" applyBorder="1"/>
    <xf numFmtId="1" fontId="2" fillId="0" borderId="25" xfId="0" applyNumberFormat="1" applyFont="1" applyBorder="1"/>
    <xf numFmtId="1" fontId="2" fillId="0" borderId="26" xfId="0" applyNumberFormat="1" applyFont="1" applyBorder="1"/>
    <xf numFmtId="0" fontId="2" fillId="0" borderId="25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2" fillId="0" borderId="24" xfId="0" applyFont="1" applyBorder="1" applyAlignment="1">
      <alignment wrapText="1"/>
    </xf>
    <xf numFmtId="1" fontId="2" fillId="0" borderId="0" xfId="0" applyNumberFormat="1" applyFont="1" applyBorder="1"/>
    <xf numFmtId="164" fontId="0" fillId="0" borderId="22" xfId="0" applyNumberFormat="1" applyBorder="1"/>
    <xf numFmtId="0" fontId="2" fillId="0" borderId="15" xfId="0" applyFont="1" applyBorder="1" applyAlignment="1">
      <alignment wrapText="1"/>
    </xf>
    <xf numFmtId="2" fontId="0" fillId="0" borderId="21" xfId="0" applyNumberFormat="1" applyBorder="1"/>
    <xf numFmtId="1" fontId="2" fillId="0" borderId="15" xfId="0" applyNumberFormat="1" applyFont="1" applyBorder="1"/>
    <xf numFmtId="2" fontId="0" fillId="0" borderId="19" xfId="0" applyNumberFormat="1" applyBorder="1"/>
    <xf numFmtId="0" fontId="2" fillId="0" borderId="21" xfId="0" applyFont="1" applyBorder="1" applyAlignment="1">
      <alignment horizontal="center" wrapText="1"/>
    </xf>
    <xf numFmtId="0" fontId="0" fillId="0" borderId="21" xfId="0" applyBorder="1" applyAlignment="1">
      <alignment horizontal="center"/>
    </xf>
    <xf numFmtId="0" fontId="19" fillId="0" borderId="0" xfId="0" applyFont="1"/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14" fillId="0" borderId="18" xfId="0" applyFont="1" applyBorder="1"/>
    <xf numFmtId="0" fontId="0" fillId="0" borderId="20" xfId="0" applyBorder="1"/>
    <xf numFmtId="0" fontId="20" fillId="0" borderId="23" xfId="0" applyFont="1" applyBorder="1" applyAlignment="1">
      <alignment horizontal="left" vertical="center" wrapText="1"/>
    </xf>
    <xf numFmtId="0" fontId="20" fillId="0" borderId="14" xfId="0" applyFont="1" applyBorder="1" applyAlignment="1">
      <alignment horizontal="left" vertical="center" wrapText="1"/>
    </xf>
    <xf numFmtId="0" fontId="20" fillId="0" borderId="24" xfId="0" applyFont="1" applyBorder="1" applyAlignment="1">
      <alignment horizontal="left" vertical="center" wrapText="1"/>
    </xf>
    <xf numFmtId="0" fontId="20" fillId="0" borderId="0" xfId="0" applyFont="1" applyBorder="1" applyAlignment="1">
      <alignment horizontal="left" vertical="center" wrapText="1"/>
    </xf>
    <xf numFmtId="0" fontId="15" fillId="0" borderId="21" xfId="0" applyFont="1" applyBorder="1"/>
    <xf numFmtId="0" fontId="15" fillId="0" borderId="0" xfId="0" applyFont="1" applyBorder="1"/>
    <xf numFmtId="9" fontId="15" fillId="0" borderId="0" xfId="1" applyFont="1" applyBorder="1"/>
    <xf numFmtId="9" fontId="15" fillId="0" borderId="22" xfId="1" applyFont="1" applyBorder="1"/>
    <xf numFmtId="0" fontId="15" fillId="0" borderId="21" xfId="0" applyFont="1" applyFill="1" applyBorder="1"/>
    <xf numFmtId="0" fontId="15" fillId="0" borderId="23" xfId="0" applyFont="1" applyBorder="1"/>
    <xf numFmtId="0" fontId="15" fillId="0" borderId="14" xfId="0" applyFont="1" applyBorder="1"/>
    <xf numFmtId="9" fontId="15" fillId="0" borderId="14" xfId="1" applyFont="1" applyBorder="1"/>
    <xf numFmtId="9" fontId="15" fillId="0" borderId="24" xfId="1" applyFont="1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4"/>
  <sheetViews>
    <sheetView topLeftCell="A49" zoomScale="80" zoomScaleNormal="80" workbookViewId="0">
      <selection activeCell="AE58" sqref="AE58"/>
    </sheetView>
  </sheetViews>
  <sheetFormatPr defaultRowHeight="15" x14ac:dyDescent="0.25"/>
  <cols>
    <col min="1" max="1" width="14.28515625" bestFit="1" customWidth="1"/>
    <col min="2" max="2" width="15.5703125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16" x14ac:dyDescent="0.25">
      <c r="A1" t="s">
        <v>49</v>
      </c>
      <c r="B1" t="s">
        <v>21</v>
      </c>
      <c r="C1" t="s">
        <v>69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16" x14ac:dyDescent="0.25">
      <c r="A2" s="14" t="s">
        <v>73</v>
      </c>
      <c r="B2" s="8"/>
      <c r="C2" s="8"/>
      <c r="D2" s="8"/>
      <c r="E2" s="8"/>
      <c r="F2" s="8"/>
      <c r="G2" s="8"/>
      <c r="H2" s="8"/>
    </row>
    <row r="3" spans="1:16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47</v>
      </c>
    </row>
    <row r="4" spans="1:16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155</v>
      </c>
    </row>
    <row r="5" spans="1:16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47</v>
      </c>
    </row>
    <row r="6" spans="1:16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155</v>
      </c>
    </row>
    <row r="7" spans="1:16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47</v>
      </c>
    </row>
    <row r="8" spans="1:16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152</v>
      </c>
    </row>
    <row r="9" spans="1:16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16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16" x14ac:dyDescent="0.25">
      <c r="A11" t="s">
        <v>27</v>
      </c>
      <c r="D11" t="s">
        <v>39</v>
      </c>
      <c r="E11">
        <v>50</v>
      </c>
      <c r="F11" t="s">
        <v>23</v>
      </c>
      <c r="G11" t="s">
        <v>26</v>
      </c>
      <c r="H11" t="s">
        <v>30</v>
      </c>
    </row>
    <row r="12" spans="1:16" x14ac:dyDescent="0.25">
      <c r="A12" t="s">
        <v>28</v>
      </c>
      <c r="D12" t="s">
        <v>39</v>
      </c>
      <c r="E12">
        <v>40</v>
      </c>
      <c r="F12" t="s">
        <v>23</v>
      </c>
      <c r="G12" t="s">
        <v>26</v>
      </c>
      <c r="H12" t="s">
        <v>30</v>
      </c>
      <c r="P12" s="13">
        <f>E3*E5</f>
        <v>32.571720000000013</v>
      </c>
    </row>
    <row r="13" spans="1:16" x14ac:dyDescent="0.25">
      <c r="D13" t="s">
        <v>153</v>
      </c>
      <c r="E13" s="13">
        <v>115</v>
      </c>
      <c r="F13" t="s">
        <v>37</v>
      </c>
      <c r="P13" s="13">
        <f>P12*(1-E34/100)*(1-E36/100)</f>
        <v>26.392688828712011</v>
      </c>
    </row>
    <row r="14" spans="1:16" x14ac:dyDescent="0.25">
      <c r="D14" t="s">
        <v>48</v>
      </c>
      <c r="E14">
        <v>1.0999999999999999E-2</v>
      </c>
      <c r="F14" t="s">
        <v>31</v>
      </c>
      <c r="G14" t="s">
        <v>17</v>
      </c>
      <c r="H14" t="s">
        <v>18</v>
      </c>
    </row>
    <row r="16" spans="1:16" x14ac:dyDescent="0.25">
      <c r="A16" s="14" t="s">
        <v>80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76</v>
      </c>
      <c r="E17">
        <v>1.5</v>
      </c>
      <c r="F17" t="s">
        <v>77</v>
      </c>
      <c r="H17" s="15" t="s">
        <v>78</v>
      </c>
    </row>
    <row r="18" spans="1:13" x14ac:dyDescent="0.25">
      <c r="D18" t="s">
        <v>100</v>
      </c>
      <c r="E18">
        <v>10</v>
      </c>
      <c r="F18" t="s">
        <v>77</v>
      </c>
      <c r="G18" t="s">
        <v>156</v>
      </c>
      <c r="H18" s="15"/>
    </row>
    <row r="19" spans="1:13" x14ac:dyDescent="0.25">
      <c r="D19" t="s">
        <v>83</v>
      </c>
      <c r="E19">
        <v>30</v>
      </c>
      <c r="F19" t="s">
        <v>77</v>
      </c>
      <c r="G19" t="s">
        <v>156</v>
      </c>
      <c r="H19" t="s">
        <v>47</v>
      </c>
    </row>
    <row r="20" spans="1:13" x14ac:dyDescent="0.25">
      <c r="B20" t="s">
        <v>13</v>
      </c>
      <c r="D20" t="s">
        <v>79</v>
      </c>
      <c r="E20" s="13">
        <f>E45/0.75</f>
        <v>240.64979221760481</v>
      </c>
      <c r="F20" t="s">
        <v>77</v>
      </c>
      <c r="G20" t="s">
        <v>81</v>
      </c>
      <c r="H20" s="15"/>
    </row>
    <row r="21" spans="1:13" x14ac:dyDescent="0.25">
      <c r="B21" t="s">
        <v>14</v>
      </c>
      <c r="D21" t="s">
        <v>79</v>
      </c>
      <c r="E21" s="13">
        <f t="shared" ref="E21:E22" si="0">E46/0.75</f>
        <v>205.63847429519072</v>
      </c>
      <c r="F21" t="s">
        <v>77</v>
      </c>
      <c r="G21" t="s">
        <v>81</v>
      </c>
      <c r="H21" s="15"/>
    </row>
    <row r="22" spans="1:13" x14ac:dyDescent="0.25">
      <c r="D22" t="s">
        <v>82</v>
      </c>
      <c r="E22" s="13">
        <f t="shared" si="0"/>
        <v>122.41258802745277</v>
      </c>
      <c r="F22" t="s">
        <v>77</v>
      </c>
      <c r="G22" t="s">
        <v>81</v>
      </c>
      <c r="H22" s="15"/>
    </row>
    <row r="23" spans="1:13" x14ac:dyDescent="0.25">
      <c r="A23" s="14" t="s">
        <v>74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72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47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155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47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155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75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66</v>
      </c>
      <c r="E45" s="13">
        <v>180.4873441632036</v>
      </c>
      <c r="F45" t="s">
        <v>67</v>
      </c>
      <c r="H45" t="s">
        <v>68</v>
      </c>
    </row>
    <row r="46" spans="1:14" x14ac:dyDescent="0.25">
      <c r="B46" t="s">
        <v>14</v>
      </c>
      <c r="D46" t="s">
        <v>66</v>
      </c>
      <c r="E46" s="13">
        <v>154.22885572139305</v>
      </c>
      <c r="F46" t="s">
        <v>67</v>
      </c>
      <c r="H46" t="s">
        <v>68</v>
      </c>
    </row>
    <row r="47" spans="1:14" x14ac:dyDescent="0.25">
      <c r="B47" t="s">
        <v>25</v>
      </c>
      <c r="D47" t="s">
        <v>66</v>
      </c>
      <c r="E47" s="13">
        <v>91.809441020589574</v>
      </c>
      <c r="F47" t="s">
        <v>67</v>
      </c>
      <c r="H47" t="s">
        <v>68</v>
      </c>
    </row>
    <row r="48" spans="1:14" x14ac:dyDescent="0.25">
      <c r="D48" s="88" t="s">
        <v>66</v>
      </c>
      <c r="E48" s="89">
        <v>0</v>
      </c>
      <c r="F48" s="88"/>
      <c r="G48" s="88" t="s">
        <v>158</v>
      </c>
    </row>
    <row r="49" spans="1:8" x14ac:dyDescent="0.25">
      <c r="A49" s="14" t="s">
        <v>104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103</v>
      </c>
      <c r="E50" s="3">
        <v>19.5</v>
      </c>
      <c r="F50" t="s">
        <v>102</v>
      </c>
      <c r="G50" t="s">
        <v>154</v>
      </c>
      <c r="H50" t="s">
        <v>159</v>
      </c>
    </row>
    <row r="51" spans="1:8" x14ac:dyDescent="0.25">
      <c r="B51" t="s">
        <v>24</v>
      </c>
      <c r="D51" t="s">
        <v>103</v>
      </c>
      <c r="E51" s="3">
        <f>AVERAGE(26.4,25.7,25.4,25.8,25.3)</f>
        <v>25.72</v>
      </c>
      <c r="F51" t="s">
        <v>102</v>
      </c>
      <c r="G51" s="87" t="s">
        <v>157</v>
      </c>
      <c r="H51" t="s">
        <v>47</v>
      </c>
    </row>
    <row r="52" spans="1:8" x14ac:dyDescent="0.25">
      <c r="B52" t="s">
        <v>25</v>
      </c>
      <c r="D52" t="s">
        <v>103</v>
      </c>
      <c r="E52" s="3">
        <f>AVERAGE(26.4,25.7,25.4,25.8,25.3)</f>
        <v>25.72</v>
      </c>
      <c r="F52" t="s">
        <v>102</v>
      </c>
      <c r="G52" s="87" t="s">
        <v>157</v>
      </c>
      <c r="H52" t="s">
        <v>47</v>
      </c>
    </row>
    <row r="53" spans="1:8" x14ac:dyDescent="0.25">
      <c r="E53" s="13"/>
    </row>
    <row r="54" spans="1:8" x14ac:dyDescent="0.25">
      <c r="A54" s="14" t="s">
        <v>101</v>
      </c>
      <c r="B54" s="8"/>
      <c r="C54" s="8"/>
      <c r="D54" s="8"/>
      <c r="E54" s="8"/>
      <c r="F54" s="8"/>
      <c r="G54" s="8" t="s">
        <v>235</v>
      </c>
      <c r="H54" s="8" t="s">
        <v>159</v>
      </c>
    </row>
    <row r="55" spans="1:8" x14ac:dyDescent="0.25">
      <c r="D55" s="88" t="s">
        <v>71</v>
      </c>
      <c r="E55" s="88">
        <v>0</v>
      </c>
      <c r="F55" s="88"/>
      <c r="G55" s="88" t="s">
        <v>158</v>
      </c>
    </row>
    <row r="56" spans="1:8" x14ac:dyDescent="0.25">
      <c r="B56" s="88" t="s">
        <v>15</v>
      </c>
      <c r="D56" s="88" t="s">
        <v>71</v>
      </c>
      <c r="E56" s="96">
        <v>0</v>
      </c>
      <c r="F56" s="88"/>
      <c r="G56" s="88" t="s">
        <v>158</v>
      </c>
    </row>
    <row r="57" spans="1:8" x14ac:dyDescent="0.25">
      <c r="B57" s="88" t="s">
        <v>24</v>
      </c>
      <c r="D57" s="88" t="s">
        <v>71</v>
      </c>
      <c r="E57" s="96">
        <v>0</v>
      </c>
      <c r="F57" s="88"/>
      <c r="G57" s="88" t="s">
        <v>158</v>
      </c>
    </row>
    <row r="58" spans="1:8" x14ac:dyDescent="0.25">
      <c r="B58" s="88" t="s">
        <v>25</v>
      </c>
      <c r="D58" s="88" t="s">
        <v>71</v>
      </c>
      <c r="E58" s="96">
        <v>0</v>
      </c>
      <c r="F58" s="88"/>
      <c r="G58" s="88" t="s">
        <v>158</v>
      </c>
    </row>
    <row r="59" spans="1:8" x14ac:dyDescent="0.25">
      <c r="D59" s="88"/>
      <c r="E59" s="88"/>
      <c r="F59" s="88"/>
      <c r="G59" s="88"/>
    </row>
    <row r="60" spans="1:8" x14ac:dyDescent="0.25">
      <c r="A60" s="93" t="s">
        <v>232</v>
      </c>
      <c r="B60" s="93"/>
      <c r="C60" s="93"/>
      <c r="D60" s="94"/>
      <c r="E60" s="94"/>
      <c r="F60" s="94"/>
      <c r="G60" s="94"/>
      <c r="H60" s="93"/>
    </row>
    <row r="61" spans="1:8" x14ac:dyDescent="0.25">
      <c r="C61" t="s">
        <v>70</v>
      </c>
      <c r="D61" t="s">
        <v>71</v>
      </c>
      <c r="E61" s="62">
        <f>INDEX('feed rations'!$Q$8:$T$43,MATCH(C61,'feed rations'!$L$8:$L$43,0),MATCH(B61,'feed rations'!$Q$7:$T$7,0))</f>
        <v>39.939446969082496</v>
      </c>
      <c r="F61" t="s">
        <v>23</v>
      </c>
    </row>
    <row r="62" spans="1:8" x14ac:dyDescent="0.25">
      <c r="C62" t="s">
        <v>160</v>
      </c>
      <c r="D62" t="s">
        <v>71</v>
      </c>
      <c r="E62" s="62">
        <f>INDEX('feed rations'!$Q$8:$T$43,MATCH(C62,'feed rations'!$L$8:$L$43,0),MATCH(B62,'feed rations'!$Q$7:$T$7,0))</f>
        <v>33.588951440574981</v>
      </c>
      <c r="F62" t="s">
        <v>23</v>
      </c>
    </row>
    <row r="63" spans="1:8" x14ac:dyDescent="0.25">
      <c r="C63" t="s">
        <v>161</v>
      </c>
      <c r="D63" t="s">
        <v>71</v>
      </c>
      <c r="E63" s="62">
        <f>INDEX('feed rations'!$Q$8:$T$43,MATCH(C63,'feed rations'!$L$8:$L$43,0),MATCH(B63,'feed rations'!$Q$7:$T$7,0))</f>
        <v>4.876686724200181</v>
      </c>
      <c r="F63" t="s">
        <v>23</v>
      </c>
    </row>
    <row r="64" spans="1:8" x14ac:dyDescent="0.25">
      <c r="C64" t="s">
        <v>162</v>
      </c>
      <c r="D64" t="s">
        <v>71</v>
      </c>
      <c r="E64" s="62">
        <f>INDEX('feed rations'!$Q$8:$T$43,MATCH(C64,'feed rations'!$L$8:$L$43,0),MATCH(B64,'feed rations'!$Q$7:$T$7,0))</f>
        <v>0.44754403481583932</v>
      </c>
      <c r="F64" t="s">
        <v>23</v>
      </c>
    </row>
    <row r="65" spans="3:6" x14ac:dyDescent="0.25">
      <c r="C65" t="s">
        <v>165</v>
      </c>
      <c r="D65" t="s">
        <v>71</v>
      </c>
      <c r="E65" s="62">
        <f>INDEX('feed rations'!$Q$8:$T$43,MATCH(C65,'feed rations'!$L$8:$L$43,0),MATCH(B65,'feed rations'!$Q$7:$T$7,0))</f>
        <v>0.22377201740791966</v>
      </c>
      <c r="F65" t="s">
        <v>23</v>
      </c>
    </row>
    <row r="66" spans="3:6" x14ac:dyDescent="0.25">
      <c r="C66" t="s">
        <v>218</v>
      </c>
      <c r="D66" t="s">
        <v>71</v>
      </c>
      <c r="E66" s="62">
        <f>INDEX('feed rations'!$Q$8:$T$43,MATCH(C66,'feed rations'!$L$8:$L$43,0),MATCH(B66,'feed rations'!$Q$7:$T$7,0))</f>
        <v>0.78553488869540378</v>
      </c>
      <c r="F66" t="s">
        <v>23</v>
      </c>
    </row>
    <row r="67" spans="3:6" x14ac:dyDescent="0.25">
      <c r="C67" t="s">
        <v>219</v>
      </c>
      <c r="D67" t="s">
        <v>71</v>
      </c>
      <c r="E67" s="62">
        <f>INDEX('feed rations'!$Q$8:$T$43,MATCH(C67,'feed rations'!$L$8:$L$43,0),MATCH(B67,'feed rations'!$Q$7:$T$7,0))</f>
        <v>9.9145180126604351E-2</v>
      </c>
      <c r="F67" t="s">
        <v>23</v>
      </c>
    </row>
    <row r="68" spans="3:6" x14ac:dyDescent="0.25">
      <c r="C68" t="s">
        <v>163</v>
      </c>
      <c r="D68" t="s">
        <v>71</v>
      </c>
      <c r="E68" s="62">
        <f>INDEX('feed rations'!$Q$8:$T$43,MATCH(C68,'feed rations'!$L$8:$L$43,0),MATCH(B68,'feed rations'!$Q$7:$T$7,0))</f>
        <v>0.35109057903656365</v>
      </c>
      <c r="F68" t="s">
        <v>23</v>
      </c>
    </row>
    <row r="69" spans="3:6" x14ac:dyDescent="0.25">
      <c r="C69" t="s">
        <v>164</v>
      </c>
      <c r="D69" t="s">
        <v>71</v>
      </c>
      <c r="E69" s="62">
        <f>INDEX('feed rations'!$Q$8:$T$43,MATCH(C69,'feed rations'!$L$8:$L$43,0),MATCH(B69,'feed rations'!$Q$7:$T$7,0))</f>
        <v>0.13063835499034929</v>
      </c>
      <c r="F69" t="s">
        <v>23</v>
      </c>
    </row>
    <row r="70" spans="3:6" x14ac:dyDescent="0.25">
      <c r="C70" t="s">
        <v>236</v>
      </c>
      <c r="D70" t="s">
        <v>71</v>
      </c>
      <c r="E70" s="62">
        <f>INDEX('feed rations'!$Q$8:$T$43,MATCH(C70,'feed rations'!$L$8:$L$43,0),MATCH(B70,'feed rations'!$Q$7:$T$7,0))</f>
        <v>0.20636553329519458</v>
      </c>
      <c r="F70" t="s">
        <v>23</v>
      </c>
    </row>
    <row r="71" spans="3:6" x14ac:dyDescent="0.25">
      <c r="C71" t="s">
        <v>220</v>
      </c>
      <c r="D71" t="s">
        <v>71</v>
      </c>
      <c r="E71" s="62">
        <f>INDEX('feed rations'!$Q$8:$T$43,MATCH(C71,'feed rations'!$L$8:$L$43,0),MATCH(B71,'feed rations'!$Q$7:$T$7,0))</f>
        <v>6.9956121304172738</v>
      </c>
      <c r="F71" t="s">
        <v>23</v>
      </c>
    </row>
    <row r="72" spans="3:6" x14ac:dyDescent="0.25">
      <c r="C72" t="s">
        <v>221</v>
      </c>
      <c r="D72" t="s">
        <v>71</v>
      </c>
      <c r="E72" s="62">
        <f>INDEX('feed rations'!$Q$8:$T$43,MATCH(C72,'feed rations'!$L$8:$L$43,0),MATCH(B72,'feed rations'!$Q$7:$T$7,0))</f>
        <v>3.2865954280882512</v>
      </c>
      <c r="F72" t="s">
        <v>23</v>
      </c>
    </row>
    <row r="73" spans="3:6" x14ac:dyDescent="0.25">
      <c r="C73" t="s">
        <v>217</v>
      </c>
      <c r="D73" t="s">
        <v>71</v>
      </c>
      <c r="E73" s="62">
        <f>INDEX('feed rations'!$Q$8:$T$43,MATCH(C73,'feed rations'!$L$8:$L$43,0),MATCH(B73,'feed rations'!$Q$7:$T$7,0))</f>
        <v>0.44906934527932563</v>
      </c>
      <c r="F73" t="s">
        <v>23</v>
      </c>
    </row>
    <row r="74" spans="3:6" x14ac:dyDescent="0.25">
      <c r="C74" t="s">
        <v>213</v>
      </c>
      <c r="D74" t="s">
        <v>71</v>
      </c>
      <c r="E74" s="62">
        <f>INDEX('feed rations'!$Q$8:$T$43,MATCH(C74,'feed rations'!$L$8:$L$43,0),MATCH(B74,'feed rations'!$Q$7:$T$7,0))</f>
        <v>0.13063835499034929</v>
      </c>
      <c r="F74" t="s">
        <v>23</v>
      </c>
    </row>
    <row r="75" spans="3:6" x14ac:dyDescent="0.25">
      <c r="C75" t="s">
        <v>214</v>
      </c>
      <c r="D75" t="s">
        <v>71</v>
      </c>
      <c r="E75" s="62">
        <f>INDEX('feed rations'!$Q$8:$T$43,MATCH(C75,'feed rations'!$L$8:$L$43,0),MATCH(B75,'feed rations'!$Q$7:$T$7,0))</f>
        <v>3.1145942422939523</v>
      </c>
      <c r="F75" t="s">
        <v>23</v>
      </c>
    </row>
    <row r="76" spans="3:6" x14ac:dyDescent="0.25">
      <c r="C76" t="s">
        <v>216</v>
      </c>
      <c r="D76" t="s">
        <v>71</v>
      </c>
      <c r="E76" s="62">
        <f>INDEX('feed rations'!$Q$8:$T$43,MATCH(C76,'feed rations'!$L$8:$L$43,0),MATCH(B76,'feed rations'!$Q$7:$T$7,0))</f>
        <v>2.3450302513926982</v>
      </c>
      <c r="F76" t="s">
        <v>23</v>
      </c>
    </row>
    <row r="77" spans="3:6" x14ac:dyDescent="0.25">
      <c r="C77" t="s">
        <v>225</v>
      </c>
      <c r="D77" t="s">
        <v>71</v>
      </c>
      <c r="E77" s="62">
        <f>INDEX('feed rations'!$Q$8:$T$43,MATCH(C77,'feed rations'!$L$8:$L$43,0),MATCH(B77,'feed rations'!$Q$7:$T$7,0))</f>
        <v>0.13727794171375987</v>
      </c>
      <c r="F77" t="s">
        <v>23</v>
      </c>
    </row>
    <row r="78" spans="3:6" x14ac:dyDescent="0.25">
      <c r="C78" t="s">
        <v>226</v>
      </c>
      <c r="D78" t="s">
        <v>71</v>
      </c>
      <c r="E78" s="62">
        <f>INDEX('feed rations'!$Q$8:$T$43,MATCH(C78,'feed rations'!$L$8:$L$43,0),MATCH(B78,'feed rations'!$Q$7:$T$7,0))</f>
        <v>0.59612721878837949</v>
      </c>
      <c r="F78" t="s">
        <v>23</v>
      </c>
    </row>
    <row r="79" spans="3:6" x14ac:dyDescent="0.25">
      <c r="C79" t="s">
        <v>211</v>
      </c>
      <c r="D79" t="s">
        <v>71</v>
      </c>
      <c r="E79" s="62">
        <f>INDEX('feed rations'!$Q$8:$T$43,MATCH(C79,'feed rations'!$L$8:$L$43,0),MATCH(B79,'feed rations'!$Q$7:$T$7,0))</f>
        <v>0.35458982068809092</v>
      </c>
      <c r="F79" t="s">
        <v>23</v>
      </c>
    </row>
    <row r="80" spans="3:6" x14ac:dyDescent="0.25">
      <c r="C80" t="s">
        <v>212</v>
      </c>
      <c r="D80" t="s">
        <v>71</v>
      </c>
      <c r="E80" s="62">
        <f>INDEX('feed rations'!$Q$8:$T$43,MATCH(C80,'feed rations'!$L$8:$L$43,0),MATCH(B80,'feed rations'!$Q$7:$T$7,0))</f>
        <v>0.69473405404551813</v>
      </c>
      <c r="F80" t="s">
        <v>23</v>
      </c>
    </row>
    <row r="81" spans="1:8" x14ac:dyDescent="0.25">
      <c r="C81" t="s">
        <v>227</v>
      </c>
      <c r="D81" t="s">
        <v>71</v>
      </c>
      <c r="E81" s="62">
        <f>INDEX('feed rations'!$Q$8:$T$43,MATCH(C81,'feed rations'!$L$8:$L$43,0),MATCH(B81,'feed rations'!$Q$7:$T$7,0))</f>
        <v>1.0649538207770974</v>
      </c>
      <c r="F81" t="s">
        <v>23</v>
      </c>
    </row>
    <row r="82" spans="1:8" x14ac:dyDescent="0.25">
      <c r="C82" t="s">
        <v>224</v>
      </c>
      <c r="D82" t="s">
        <v>71</v>
      </c>
      <c r="E82" s="62">
        <f>INDEX('feed rations'!$Q$8:$T$43,MATCH(C82,'feed rations'!$L$8:$L$43,0),MATCH(B82,'feed rations'!$Q$7:$T$7,0))</f>
        <v>0.18160166929977128</v>
      </c>
      <c r="F82" t="s">
        <v>23</v>
      </c>
    </row>
    <row r="83" spans="1:8" x14ac:dyDescent="0.25">
      <c r="A83" s="93" t="s">
        <v>233</v>
      </c>
      <c r="B83" s="93"/>
      <c r="C83" s="93"/>
      <c r="D83" s="94"/>
      <c r="E83" s="95"/>
      <c r="F83" s="94"/>
      <c r="G83" s="94"/>
      <c r="H83" s="93"/>
    </row>
    <row r="84" spans="1:8" x14ac:dyDescent="0.25">
      <c r="B84" t="s">
        <v>15</v>
      </c>
      <c r="C84" t="s">
        <v>70</v>
      </c>
      <c r="D84" t="s">
        <v>71</v>
      </c>
      <c r="E84" s="62">
        <f>INDEX('feed rations'!$Q$8:$T$43,MATCH(C84,'feed rations'!$L$8:$L$43,0),MATCH(B84,'feed rations'!$Q$7:$T$7,0))</f>
        <v>37.344664381805039</v>
      </c>
      <c r="F84" t="s">
        <v>23</v>
      </c>
    </row>
    <row r="85" spans="1:8" x14ac:dyDescent="0.25">
      <c r="B85" t="s">
        <v>15</v>
      </c>
      <c r="C85" t="s">
        <v>160</v>
      </c>
      <c r="D85" t="s">
        <v>71</v>
      </c>
      <c r="E85" s="62">
        <f>INDEX('feed rations'!$Q$8:$T$43,MATCH(C85,'feed rations'!$L$8:$L$43,0),MATCH(B85,'feed rations'!$Q$7:$T$7,0))</f>
        <v>33.835769741903896</v>
      </c>
      <c r="F85" t="s">
        <v>23</v>
      </c>
    </row>
    <row r="86" spans="1:8" x14ac:dyDescent="0.25">
      <c r="B86" t="s">
        <v>15</v>
      </c>
      <c r="C86" t="s">
        <v>161</v>
      </c>
      <c r="D86" t="s">
        <v>71</v>
      </c>
      <c r="E86" s="62">
        <f>INDEX('feed rations'!$Q$8:$T$43,MATCH(C86,'feed rations'!$L$8:$L$43,0),MATCH(B86,'feed rations'!$Q$7:$T$7,0))</f>
        <v>7.2684246112238</v>
      </c>
      <c r="F86" t="s">
        <v>23</v>
      </c>
    </row>
    <row r="87" spans="1:8" x14ac:dyDescent="0.25">
      <c r="B87" t="s">
        <v>15</v>
      </c>
      <c r="C87" t="s">
        <v>165</v>
      </c>
      <c r="D87" t="s">
        <v>71</v>
      </c>
      <c r="E87" s="62">
        <f>INDEX('feed rations'!$Q$8:$T$43,MATCH(C87,'feed rations'!$L$8:$L$43,0),MATCH(B87,'feed rations'!$Q$7:$T$7,0))</f>
        <v>1.7544473199505721</v>
      </c>
      <c r="F87" t="s">
        <v>23</v>
      </c>
    </row>
    <row r="88" spans="1:8" x14ac:dyDescent="0.25">
      <c r="B88" t="s">
        <v>15</v>
      </c>
      <c r="C88" t="s">
        <v>218</v>
      </c>
      <c r="D88" t="s">
        <v>71</v>
      </c>
      <c r="E88" s="62">
        <f>INDEX('feed rations'!$Q$8:$T$43,MATCH(C88,'feed rations'!$L$8:$L$43,0),MATCH(B88,'feed rations'!$Q$7:$T$7,0))</f>
        <v>0.24772096710265556</v>
      </c>
      <c r="F88" t="s">
        <v>23</v>
      </c>
    </row>
    <row r="89" spans="1:8" x14ac:dyDescent="0.25">
      <c r="B89" t="s">
        <v>15</v>
      </c>
      <c r="C89" t="s">
        <v>219</v>
      </c>
      <c r="D89" t="s">
        <v>71</v>
      </c>
      <c r="E89" s="62">
        <f>INDEX('feed rations'!$Q$8:$T$43,MATCH(C89,'feed rations'!$L$8:$L$43,0),MATCH(B89,'feed rations'!$Q$7:$T$7,0))</f>
        <v>0.74316290130796658</v>
      </c>
      <c r="F89" t="s">
        <v>23</v>
      </c>
    </row>
    <row r="90" spans="1:8" x14ac:dyDescent="0.25">
      <c r="B90" t="s">
        <v>15</v>
      </c>
      <c r="C90" t="s">
        <v>236</v>
      </c>
      <c r="D90" t="s">
        <v>71</v>
      </c>
      <c r="E90" s="62">
        <f>INDEX('feed rations'!$Q$8:$T$43,MATCH(C90,'feed rations'!$L$8:$L$43,0),MATCH(B90,'feed rations'!$Q$7:$T$7,0))</f>
        <v>1.4571821594273857</v>
      </c>
      <c r="F90" t="s">
        <v>23</v>
      </c>
    </row>
    <row r="91" spans="1:8" x14ac:dyDescent="0.25">
      <c r="B91" t="s">
        <v>15</v>
      </c>
      <c r="C91" t="s">
        <v>220</v>
      </c>
      <c r="D91" t="s">
        <v>71</v>
      </c>
      <c r="E91" s="62">
        <f>INDEX('feed rations'!$Q$8:$T$43,MATCH(C91,'feed rations'!$L$8:$L$43,0),MATCH(B91,'feed rations'!$Q$7:$T$7,0))</f>
        <v>7.1809936816581557</v>
      </c>
      <c r="F91" t="s">
        <v>23</v>
      </c>
    </row>
    <row r="92" spans="1:8" x14ac:dyDescent="0.25">
      <c r="B92" t="s">
        <v>15</v>
      </c>
      <c r="C92" t="s">
        <v>222</v>
      </c>
      <c r="D92" t="s">
        <v>71</v>
      </c>
      <c r="E92" s="62">
        <f>INDEX('feed rations'!$Q$8:$T$43,MATCH(C92,'feed rations'!$L$8:$L$43,0),MATCH(B92,'feed rations'!$Q$7:$T$7,0))</f>
        <v>2.2819472616632859</v>
      </c>
      <c r="F92" t="s">
        <v>23</v>
      </c>
    </row>
    <row r="93" spans="1:8" x14ac:dyDescent="0.25">
      <c r="B93" t="s">
        <v>15</v>
      </c>
      <c r="C93" t="s">
        <v>216</v>
      </c>
      <c r="D93" t="s">
        <v>71</v>
      </c>
      <c r="E93" s="62">
        <f>INDEX('feed rations'!$Q$8:$T$43,MATCH(C93,'feed rations'!$L$8:$L$43,0),MATCH(B93,'feed rations'!$Q$7:$T$7,0))</f>
        <v>1.2823203002960992</v>
      </c>
      <c r="F93" t="s">
        <v>23</v>
      </c>
    </row>
    <row r="94" spans="1:8" x14ac:dyDescent="0.25">
      <c r="B94" t="s">
        <v>15</v>
      </c>
      <c r="C94" t="s">
        <v>227</v>
      </c>
      <c r="D94" t="s">
        <v>71</v>
      </c>
      <c r="E94" s="62">
        <f>INDEX('feed rations'!$Q$8:$T$43,MATCH(C94,'feed rations'!$L$8:$L$43,0),MATCH(B94,'feed rations'!$Q$7:$T$7,0))</f>
        <v>1.7626075400433656</v>
      </c>
      <c r="F94" t="s">
        <v>23</v>
      </c>
    </row>
    <row r="95" spans="1:8" x14ac:dyDescent="0.25">
      <c r="B95" t="s">
        <v>15</v>
      </c>
      <c r="C95" t="s">
        <v>231</v>
      </c>
      <c r="D95" t="s">
        <v>71</v>
      </c>
      <c r="E95" s="62">
        <f>INDEX('feed rations'!$Q$8:$T$43,MATCH(C95,'feed rations'!$L$8:$L$43,0),MATCH(B95,'feed rations'!$Q$7:$T$7,0))</f>
        <v>0.2826933389289128</v>
      </c>
      <c r="F95" t="s">
        <v>23</v>
      </c>
    </row>
    <row r="96" spans="1:8" x14ac:dyDescent="0.25">
      <c r="B96" t="s">
        <v>15</v>
      </c>
      <c r="C96" t="s">
        <v>223</v>
      </c>
      <c r="D96" t="s">
        <v>71</v>
      </c>
      <c r="E96" s="62">
        <f>INDEX('feed rations'!$Q$8:$T$43,MATCH(C96,'feed rations'!$L$8:$L$43,0),MATCH(B96,'feed rations'!$Q$7:$T$7,0))</f>
        <v>1.3406075866731948</v>
      </c>
      <c r="F96" t="s">
        <v>23</v>
      </c>
    </row>
    <row r="97" spans="1:8" x14ac:dyDescent="0.25">
      <c r="B97" t="s">
        <v>15</v>
      </c>
      <c r="C97" t="s">
        <v>224</v>
      </c>
      <c r="D97" t="s">
        <v>71</v>
      </c>
      <c r="E97" s="62">
        <f>INDEX('feed rations'!$Q$8:$T$43,MATCH(C97,'feed rations'!$L$8:$L$43,0),MATCH(B97,'feed rations'!$Q$7:$T$7,0))</f>
        <v>3.2174582080156675</v>
      </c>
      <c r="F97" t="s">
        <v>23</v>
      </c>
    </row>
    <row r="98" spans="1:8" x14ac:dyDescent="0.25">
      <c r="A98" s="93" t="s">
        <v>234</v>
      </c>
      <c r="B98" s="93"/>
      <c r="C98" s="93"/>
      <c r="D98" s="94"/>
      <c r="E98" s="95"/>
      <c r="F98" s="94"/>
      <c r="G98" s="94"/>
      <c r="H98" s="93"/>
    </row>
    <row r="99" spans="1:8" x14ac:dyDescent="0.25">
      <c r="B99" t="s">
        <v>24</v>
      </c>
      <c r="C99" t="s">
        <v>70</v>
      </c>
      <c r="D99" t="s">
        <v>71</v>
      </c>
      <c r="E99" s="62">
        <f>INDEX('feed rations'!$Q$8:$T$43,MATCH(C99,'feed rations'!$L$8:$L$43,0),MATCH(B99,'feed rations'!$Q$7:$T$7,0))</f>
        <v>31.302145183860713</v>
      </c>
      <c r="F99" t="s">
        <v>23</v>
      </c>
    </row>
    <row r="100" spans="1:8" x14ac:dyDescent="0.25">
      <c r="B100" t="s">
        <v>24</v>
      </c>
      <c r="C100" t="s">
        <v>160</v>
      </c>
      <c r="D100" t="s">
        <v>71</v>
      </c>
      <c r="E100" s="62">
        <f>INDEX('feed rations'!$Q$8:$T$43,MATCH(C100,'feed rations'!$L$8:$L$43,0),MATCH(B100,'feed rations'!$Q$7:$T$7,0))</f>
        <v>24.045914241116183</v>
      </c>
      <c r="F100" t="s">
        <v>23</v>
      </c>
    </row>
    <row r="101" spans="1:8" x14ac:dyDescent="0.25">
      <c r="B101" t="s">
        <v>24</v>
      </c>
      <c r="C101" t="s">
        <v>161</v>
      </c>
      <c r="D101" t="s">
        <v>71</v>
      </c>
      <c r="E101" s="62">
        <f>INDEX('feed rations'!$Q$8:$T$43,MATCH(C101,'feed rations'!$L$8:$L$43,0),MATCH(B101,'feed rations'!$Q$7:$T$7,0))</f>
        <v>4.0526821754690197</v>
      </c>
      <c r="F101" t="s">
        <v>23</v>
      </c>
    </row>
    <row r="102" spans="1:8" x14ac:dyDescent="0.25">
      <c r="B102" t="s">
        <v>24</v>
      </c>
      <c r="C102" t="s">
        <v>162</v>
      </c>
      <c r="D102" t="s">
        <v>71</v>
      </c>
      <c r="E102" s="62">
        <f>INDEX('feed rations'!$Q$8:$T$43,MATCH(C102,'feed rations'!$L$8:$L$43,0),MATCH(B102,'feed rations'!$Q$7:$T$7,0))</f>
        <v>3.7825033637710859</v>
      </c>
      <c r="F102" t="s">
        <v>23</v>
      </c>
    </row>
    <row r="103" spans="1:8" x14ac:dyDescent="0.25">
      <c r="B103" t="s">
        <v>24</v>
      </c>
      <c r="C103" t="s">
        <v>165</v>
      </c>
      <c r="D103" t="s">
        <v>71</v>
      </c>
      <c r="E103" s="62">
        <f>INDEX('feed rations'!$Q$8:$T$43,MATCH(C103,'feed rations'!$L$8:$L$43,0),MATCH(B103,'feed rations'!$Q$7:$T$7,0))</f>
        <v>7.7193946199409905E-2</v>
      </c>
      <c r="F103" t="s">
        <v>23</v>
      </c>
    </row>
    <row r="104" spans="1:8" x14ac:dyDescent="0.25">
      <c r="B104" t="s">
        <v>24</v>
      </c>
      <c r="C104" t="s">
        <v>218</v>
      </c>
      <c r="D104" t="s">
        <v>71</v>
      </c>
      <c r="E104" s="62">
        <f>INDEX('feed rations'!$Q$8:$T$43,MATCH(C104,'feed rations'!$L$8:$L$43,0),MATCH(B104,'feed rations'!$Q$7:$T$7,0))</f>
        <v>0.45777805304301217</v>
      </c>
      <c r="F104" t="s">
        <v>23</v>
      </c>
    </row>
    <row r="105" spans="1:8" x14ac:dyDescent="0.25">
      <c r="B105" t="s">
        <v>24</v>
      </c>
      <c r="C105" t="s">
        <v>219</v>
      </c>
      <c r="D105" t="s">
        <v>71</v>
      </c>
      <c r="E105" s="62">
        <f>INDEX('feed rations'!$Q$8:$T$43,MATCH(C105,'feed rations'!$L$8:$L$43,0),MATCH(B105,'feed rations'!$Q$7:$T$7,0))</f>
        <v>7.74407873064429</v>
      </c>
      <c r="F105" t="s">
        <v>23</v>
      </c>
    </row>
    <row r="106" spans="1:8" x14ac:dyDescent="0.25">
      <c r="B106" t="s">
        <v>24</v>
      </c>
      <c r="C106" t="s">
        <v>220</v>
      </c>
      <c r="D106" t="s">
        <v>71</v>
      </c>
      <c r="E106" s="62">
        <f>INDEX('feed rations'!$Q$8:$T$43,MATCH(C106,'feed rations'!$L$8:$L$43,0),MATCH(B106,'feed rations'!$Q$7:$T$7,0))</f>
        <v>2.8436095530201233</v>
      </c>
      <c r="F106" t="s">
        <v>23</v>
      </c>
    </row>
    <row r="107" spans="1:8" x14ac:dyDescent="0.25">
      <c r="B107" t="s">
        <v>24</v>
      </c>
      <c r="C107" t="s">
        <v>221</v>
      </c>
      <c r="D107" t="s">
        <v>71</v>
      </c>
      <c r="E107" s="62">
        <f>INDEX('feed rations'!$Q$8:$T$43,MATCH(C107,'feed rations'!$L$8:$L$43,0),MATCH(B107,'feed rations'!$Q$7:$T$7,0))</f>
        <v>3.5141197601242991</v>
      </c>
      <c r="F107" t="s">
        <v>23</v>
      </c>
    </row>
    <row r="108" spans="1:8" x14ac:dyDescent="0.25">
      <c r="B108" t="s">
        <v>24</v>
      </c>
      <c r="C108" t="s">
        <v>217</v>
      </c>
      <c r="D108" t="s">
        <v>71</v>
      </c>
      <c r="E108" s="62">
        <f>INDEX('feed rations'!$Q$8:$T$43,MATCH(C108,'feed rations'!$L$8:$L$43,0),MATCH(B108,'feed rations'!$Q$7:$T$7,0))</f>
        <v>0.16336393265456514</v>
      </c>
      <c r="F108" t="s">
        <v>23</v>
      </c>
    </row>
    <row r="109" spans="1:8" x14ac:dyDescent="0.25">
      <c r="B109" t="s">
        <v>24</v>
      </c>
      <c r="C109" t="s">
        <v>214</v>
      </c>
      <c r="D109" t="s">
        <v>71</v>
      </c>
      <c r="E109" s="62">
        <f>INDEX('feed rations'!$Q$8:$T$43,MATCH(C109,'feed rations'!$L$8:$L$43,0),MATCH(B109,'feed rations'!$Q$7:$T$7,0))</f>
        <v>8.277704323848349</v>
      </c>
      <c r="F109" t="s">
        <v>23</v>
      </c>
    </row>
    <row r="110" spans="1:8" x14ac:dyDescent="0.25">
      <c r="B110" t="s">
        <v>24</v>
      </c>
      <c r="C110" t="s">
        <v>216</v>
      </c>
      <c r="D110" t="s">
        <v>71</v>
      </c>
      <c r="E110" s="62">
        <f>INDEX('feed rations'!$Q$8:$T$43,MATCH(C110,'feed rations'!$L$8:$L$43,0),MATCH(B110,'feed rations'!$Q$7:$T$7,0))</f>
        <v>0.86888069675614876</v>
      </c>
      <c r="F110" t="s">
        <v>23</v>
      </c>
    </row>
    <row r="111" spans="1:8" x14ac:dyDescent="0.25">
      <c r="B111" t="s">
        <v>24</v>
      </c>
      <c r="C111" t="s">
        <v>225</v>
      </c>
      <c r="D111" t="s">
        <v>71</v>
      </c>
      <c r="E111" s="62">
        <f>INDEX('feed rations'!$Q$8:$T$43,MATCH(C111,'feed rations'!$L$8:$L$43,0),MATCH(B111,'feed rations'!$Q$7:$T$7,0))</f>
        <v>0.16156872460341609</v>
      </c>
      <c r="F111" t="s">
        <v>23</v>
      </c>
    </row>
    <row r="112" spans="1:8" x14ac:dyDescent="0.25">
      <c r="B112" t="s">
        <v>24</v>
      </c>
      <c r="C112" t="s">
        <v>226</v>
      </c>
      <c r="D112" t="s">
        <v>71</v>
      </c>
      <c r="E112" s="62">
        <f>INDEX('feed rations'!$Q$8:$T$43,MATCH(C112,'feed rations'!$L$8:$L$43,0),MATCH(B112,'feed rations'!$Q$7:$T$7,0))</f>
        <v>4.6933021685215648</v>
      </c>
      <c r="F112" t="s">
        <v>23</v>
      </c>
    </row>
    <row r="113" spans="2:6" x14ac:dyDescent="0.25">
      <c r="B113" t="s">
        <v>24</v>
      </c>
      <c r="C113" t="s">
        <v>229</v>
      </c>
      <c r="D113" t="s">
        <v>71</v>
      </c>
      <c r="E113" s="62">
        <f>INDEX('feed rations'!$Q$8:$T$43,MATCH(C113,'feed rations'!$L$8:$L$43,0),MATCH(B113,'feed rations'!$Q$7:$T$7,0))</f>
        <v>3.554511941275154</v>
      </c>
      <c r="F113" t="s">
        <v>23</v>
      </c>
    </row>
    <row r="114" spans="2:6" x14ac:dyDescent="0.25">
      <c r="B114" t="s">
        <v>24</v>
      </c>
      <c r="C114" t="s">
        <v>211</v>
      </c>
      <c r="D114" t="s">
        <v>71</v>
      </c>
      <c r="E114" s="62">
        <f>INDEX('feed rations'!$Q$8:$T$43,MATCH(C114,'feed rations'!$L$8:$L$43,0),MATCH(B114,'feed rations'!$Q$7:$T$7,0))</f>
        <v>0.10232685891549684</v>
      </c>
      <c r="F114" t="s">
        <v>23</v>
      </c>
    </row>
    <row r="115" spans="2:6" x14ac:dyDescent="0.25">
      <c r="B115" t="s">
        <v>24</v>
      </c>
      <c r="C115" t="s">
        <v>227</v>
      </c>
      <c r="D115" t="s">
        <v>71</v>
      </c>
      <c r="E115" s="62">
        <f>INDEX('feed rations'!$Q$8:$T$43,MATCH(C115,'feed rations'!$L$8:$L$43,0),MATCH(B115,'feed rations'!$Q$7:$T$7,0))</f>
        <v>4.3583163461771495</v>
      </c>
      <c r="F115" t="s">
        <v>23</v>
      </c>
    </row>
    <row r="116" spans="2:6" x14ac:dyDescent="0.25">
      <c r="B116" t="s">
        <v>24</v>
      </c>
      <c r="C116" t="s">
        <v>223</v>
      </c>
      <c r="D116" t="s">
        <v>71</v>
      </c>
      <c r="E116" s="62">
        <f>INDEX('feed rations'!$Q$8:$T$43,MATCH(C116,'feed rations'!$L$8:$L$43,0),MATCH(B116,'feed rations'!$Q$7:$T$7,0))</f>
        <v>0</v>
      </c>
      <c r="F116" t="s">
        <v>23</v>
      </c>
    </row>
    <row r="117" spans="2:6" x14ac:dyDescent="0.25">
      <c r="B117" t="s">
        <v>25</v>
      </c>
      <c r="C117" t="s">
        <v>70</v>
      </c>
      <c r="D117" t="s">
        <v>71</v>
      </c>
      <c r="E117" s="62">
        <f>INDEX('feed rations'!$Q$8:$T$43,MATCH(C117,'feed rations'!$L$8:$L$43,0),MATCH(B117,'feed rations'!$Q$7:$T$7,0))</f>
        <v>31.302145183860713</v>
      </c>
      <c r="F117" t="s">
        <v>23</v>
      </c>
    </row>
    <row r="118" spans="2:6" x14ac:dyDescent="0.25">
      <c r="B118" t="s">
        <v>25</v>
      </c>
      <c r="C118" t="s">
        <v>160</v>
      </c>
      <c r="D118" t="s">
        <v>71</v>
      </c>
      <c r="E118" s="62">
        <f>INDEX('feed rations'!$Q$8:$T$43,MATCH(C118,'feed rations'!$L$8:$L$43,0),MATCH(B118,'feed rations'!$Q$7:$T$7,0))</f>
        <v>24.045914241116183</v>
      </c>
      <c r="F118" t="s">
        <v>23</v>
      </c>
    </row>
    <row r="119" spans="2:6" x14ac:dyDescent="0.25">
      <c r="B119" t="s">
        <v>25</v>
      </c>
      <c r="C119" t="s">
        <v>161</v>
      </c>
      <c r="D119" t="s">
        <v>71</v>
      </c>
      <c r="E119" s="62">
        <f>INDEX('feed rations'!$Q$8:$T$43,MATCH(C119,'feed rations'!$L$8:$L$43,0),MATCH(B119,'feed rations'!$Q$7:$T$7,0))</f>
        <v>4.0526821754690197</v>
      </c>
      <c r="F119" t="s">
        <v>23</v>
      </c>
    </row>
    <row r="120" spans="2:6" x14ac:dyDescent="0.25">
      <c r="B120" t="s">
        <v>25</v>
      </c>
      <c r="C120" t="s">
        <v>162</v>
      </c>
      <c r="D120" t="s">
        <v>71</v>
      </c>
      <c r="E120" s="62">
        <f>INDEX('feed rations'!$Q$8:$T$43,MATCH(C120,'feed rations'!$L$8:$L$43,0),MATCH(B120,'feed rations'!$Q$7:$T$7,0))</f>
        <v>3.7825033637710859</v>
      </c>
      <c r="F120" t="s">
        <v>23</v>
      </c>
    </row>
    <row r="121" spans="2:6" x14ac:dyDescent="0.25">
      <c r="B121" t="s">
        <v>25</v>
      </c>
      <c r="C121" t="s">
        <v>165</v>
      </c>
      <c r="D121" t="s">
        <v>71</v>
      </c>
      <c r="E121" s="62">
        <f>INDEX('feed rations'!$Q$8:$T$43,MATCH(C121,'feed rations'!$L$8:$L$43,0),MATCH(B121,'feed rations'!$Q$7:$T$7,0))</f>
        <v>7.7193946199409905E-2</v>
      </c>
      <c r="F121" t="s">
        <v>23</v>
      </c>
    </row>
    <row r="122" spans="2:6" x14ac:dyDescent="0.25">
      <c r="B122" t="s">
        <v>25</v>
      </c>
      <c r="C122" t="s">
        <v>218</v>
      </c>
      <c r="D122" t="s">
        <v>71</v>
      </c>
      <c r="E122" s="62">
        <f>INDEX('feed rations'!$Q$8:$T$43,MATCH(C122,'feed rations'!$L$8:$L$43,0),MATCH(B122,'feed rations'!$Q$7:$T$7,0))</f>
        <v>0.45777805304301217</v>
      </c>
      <c r="F122" t="s">
        <v>23</v>
      </c>
    </row>
    <row r="123" spans="2:6" x14ac:dyDescent="0.25">
      <c r="B123" t="s">
        <v>25</v>
      </c>
      <c r="C123" t="s">
        <v>219</v>
      </c>
      <c r="D123" t="s">
        <v>71</v>
      </c>
      <c r="E123" s="62">
        <f>INDEX('feed rations'!$Q$8:$T$43,MATCH(C123,'feed rations'!$L$8:$L$43,0),MATCH(B123,'feed rations'!$Q$7:$T$7,0))</f>
        <v>7.74407873064429</v>
      </c>
      <c r="F123" t="s">
        <v>23</v>
      </c>
    </row>
    <row r="124" spans="2:6" x14ac:dyDescent="0.25">
      <c r="B124" t="s">
        <v>25</v>
      </c>
      <c r="C124" t="s">
        <v>220</v>
      </c>
      <c r="D124" t="s">
        <v>71</v>
      </c>
      <c r="E124" s="62">
        <f>INDEX('feed rations'!$Q$8:$T$43,MATCH(C124,'feed rations'!$L$8:$L$43,0),MATCH(B124,'feed rations'!$Q$7:$T$7,0))</f>
        <v>2.8436095530201233</v>
      </c>
      <c r="F124" t="s">
        <v>23</v>
      </c>
    </row>
    <row r="125" spans="2:6" x14ac:dyDescent="0.25">
      <c r="B125" t="s">
        <v>25</v>
      </c>
      <c r="C125" t="s">
        <v>221</v>
      </c>
      <c r="D125" t="s">
        <v>71</v>
      </c>
      <c r="E125" s="62">
        <f>INDEX('feed rations'!$Q$8:$T$43,MATCH(C125,'feed rations'!$L$8:$L$43,0),MATCH(B125,'feed rations'!$Q$7:$T$7,0))</f>
        <v>3.5141197601242991</v>
      </c>
      <c r="F125" t="s">
        <v>23</v>
      </c>
    </row>
    <row r="126" spans="2:6" x14ac:dyDescent="0.25">
      <c r="B126" t="s">
        <v>25</v>
      </c>
      <c r="C126" t="s">
        <v>217</v>
      </c>
      <c r="D126" t="s">
        <v>71</v>
      </c>
      <c r="E126" s="62">
        <f>INDEX('feed rations'!$Q$8:$T$43,MATCH(C126,'feed rations'!$L$8:$L$43,0),MATCH(B126,'feed rations'!$Q$7:$T$7,0))</f>
        <v>0.16336393265456514</v>
      </c>
      <c r="F126" t="s">
        <v>23</v>
      </c>
    </row>
    <row r="127" spans="2:6" x14ac:dyDescent="0.25">
      <c r="B127" t="s">
        <v>25</v>
      </c>
      <c r="C127" t="s">
        <v>214</v>
      </c>
      <c r="D127" t="s">
        <v>71</v>
      </c>
      <c r="E127" s="62">
        <f>INDEX('feed rations'!$Q$8:$T$43,MATCH(C127,'feed rations'!$L$8:$L$43,0),MATCH(B127,'feed rations'!$Q$7:$T$7,0))</f>
        <v>8.277704323848349</v>
      </c>
      <c r="F127" t="s">
        <v>23</v>
      </c>
    </row>
    <row r="128" spans="2:6" x14ac:dyDescent="0.25">
      <c r="B128" t="s">
        <v>25</v>
      </c>
      <c r="C128" t="s">
        <v>216</v>
      </c>
      <c r="D128" t="s">
        <v>71</v>
      </c>
      <c r="E128" s="62">
        <f>INDEX('feed rations'!$Q$8:$T$43,MATCH(C128,'feed rations'!$L$8:$L$43,0),MATCH(B128,'feed rations'!$Q$7:$T$7,0))</f>
        <v>0.86888069675614876</v>
      </c>
      <c r="F128" t="s">
        <v>23</v>
      </c>
    </row>
    <row r="129" spans="2:6" x14ac:dyDescent="0.25">
      <c r="B129" t="s">
        <v>25</v>
      </c>
      <c r="C129" t="s">
        <v>225</v>
      </c>
      <c r="D129" t="s">
        <v>71</v>
      </c>
      <c r="E129" s="62">
        <f>INDEX('feed rations'!$Q$8:$T$43,MATCH(C129,'feed rations'!$L$8:$L$43,0),MATCH(B129,'feed rations'!$Q$7:$T$7,0))</f>
        <v>0.16156872460341609</v>
      </c>
      <c r="F129" t="s">
        <v>23</v>
      </c>
    </row>
    <row r="130" spans="2:6" x14ac:dyDescent="0.25">
      <c r="B130" t="s">
        <v>25</v>
      </c>
      <c r="C130" t="s">
        <v>226</v>
      </c>
      <c r="D130" t="s">
        <v>71</v>
      </c>
      <c r="E130" s="62">
        <f>INDEX('feed rations'!$Q$8:$T$43,MATCH(C130,'feed rations'!$L$8:$L$43,0),MATCH(B130,'feed rations'!$Q$7:$T$7,0))</f>
        <v>4.6933021685215648</v>
      </c>
      <c r="F130" t="s">
        <v>23</v>
      </c>
    </row>
    <row r="131" spans="2:6" x14ac:dyDescent="0.25">
      <c r="B131" t="s">
        <v>25</v>
      </c>
      <c r="C131" t="s">
        <v>229</v>
      </c>
      <c r="D131" t="s">
        <v>71</v>
      </c>
      <c r="E131" s="62">
        <f>INDEX('feed rations'!$Q$8:$T$43,MATCH(C131,'feed rations'!$L$8:$L$43,0),MATCH(B131,'feed rations'!$Q$7:$T$7,0))</f>
        <v>3.554511941275154</v>
      </c>
      <c r="F131" t="s">
        <v>23</v>
      </c>
    </row>
    <row r="132" spans="2:6" x14ac:dyDescent="0.25">
      <c r="B132" t="s">
        <v>25</v>
      </c>
      <c r="C132" t="s">
        <v>211</v>
      </c>
      <c r="D132" t="s">
        <v>71</v>
      </c>
      <c r="E132" s="62">
        <f>INDEX('feed rations'!$Q$8:$T$43,MATCH(C132,'feed rations'!$L$8:$L$43,0),MATCH(B132,'feed rations'!$Q$7:$T$7,0))</f>
        <v>0.10232685891549684</v>
      </c>
      <c r="F132" t="s">
        <v>23</v>
      </c>
    </row>
    <row r="133" spans="2:6" x14ac:dyDescent="0.25">
      <c r="B133" t="s">
        <v>25</v>
      </c>
      <c r="C133" t="s">
        <v>227</v>
      </c>
      <c r="D133" t="s">
        <v>71</v>
      </c>
      <c r="E133" s="62">
        <f>INDEX('feed rations'!$Q$8:$T$43,MATCH(C133,'feed rations'!$L$8:$L$43,0),MATCH(B133,'feed rations'!$Q$7:$T$7,0))</f>
        <v>4.3583163461771495</v>
      </c>
      <c r="F133" t="s">
        <v>23</v>
      </c>
    </row>
    <row r="134" spans="2:6" x14ac:dyDescent="0.25">
      <c r="B134" t="s">
        <v>25</v>
      </c>
      <c r="C134" t="s">
        <v>223</v>
      </c>
      <c r="D134" t="s">
        <v>71</v>
      </c>
      <c r="E134" s="62">
        <f>INDEX('feed rations'!$Q$8:$T$43,MATCH(C134,'feed rations'!$L$8:$L$43,0),MATCH(B134,'feed rations'!$Q$7:$T$7,0))</f>
        <v>0</v>
      </c>
      <c r="F134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V52"/>
  <sheetViews>
    <sheetView tabSelected="1" topLeftCell="A3" workbookViewId="0">
      <selection activeCell="L31" sqref="L31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0" max="10" width="8.28515625" customWidth="1"/>
    <col min="12" max="12" width="27.7109375" customWidth="1"/>
    <col min="13" max="15" width="13.28515625" customWidth="1"/>
    <col min="17" max="20" width="10.28515625" customWidth="1"/>
  </cols>
  <sheetData>
    <row r="5" spans="2:22" ht="15" customHeight="1" x14ac:dyDescent="0.25">
      <c r="C5" s="90" t="s">
        <v>166</v>
      </c>
    </row>
    <row r="6" spans="2:22" x14ac:dyDescent="0.25">
      <c r="C6" s="104" t="s">
        <v>167</v>
      </c>
      <c r="D6" s="105" t="s">
        <v>168</v>
      </c>
      <c r="E6" s="105"/>
      <c r="F6" s="105"/>
      <c r="G6" s="105"/>
      <c r="H6" s="105"/>
      <c r="I6" s="106"/>
      <c r="J6" s="112"/>
      <c r="M6" s="90" t="s">
        <v>238</v>
      </c>
      <c r="Q6" s="90" t="s">
        <v>239</v>
      </c>
    </row>
    <row r="7" spans="2:22" ht="36.75" customHeight="1" x14ac:dyDescent="0.25">
      <c r="B7" s="4" t="s">
        <v>210</v>
      </c>
      <c r="C7" s="114"/>
      <c r="D7" s="127" t="s">
        <v>169</v>
      </c>
      <c r="E7" s="127" t="s">
        <v>23</v>
      </c>
      <c r="F7" s="127" t="s">
        <v>170</v>
      </c>
      <c r="G7" s="127" t="s">
        <v>23</v>
      </c>
      <c r="H7" s="127" t="s">
        <v>171</v>
      </c>
      <c r="I7" s="128" t="s">
        <v>23</v>
      </c>
      <c r="J7" s="135" t="s">
        <v>209</v>
      </c>
      <c r="L7" s="91" t="s">
        <v>210</v>
      </c>
      <c r="M7" s="125" t="s">
        <v>230</v>
      </c>
      <c r="N7" s="131" t="s">
        <v>15</v>
      </c>
      <c r="O7" s="126" t="s">
        <v>240</v>
      </c>
      <c r="P7" s="91"/>
      <c r="Q7" s="125">
        <v>0</v>
      </c>
      <c r="R7" s="131" t="s">
        <v>15</v>
      </c>
      <c r="S7" s="131" t="s">
        <v>24</v>
      </c>
      <c r="T7" s="126" t="s">
        <v>25</v>
      </c>
      <c r="U7" s="108"/>
      <c r="V7" s="92"/>
    </row>
    <row r="8" spans="2:22" x14ac:dyDescent="0.25">
      <c r="B8" t="s">
        <v>70</v>
      </c>
      <c r="C8" s="109" t="s">
        <v>173</v>
      </c>
      <c r="D8" s="78">
        <v>517.6</v>
      </c>
      <c r="E8" s="110">
        <f t="shared" ref="E8:E42" si="0">D8/D$45</f>
        <v>0.31776045183866414</v>
      </c>
      <c r="F8" s="78">
        <v>14.9</v>
      </c>
      <c r="G8" s="110">
        <f t="shared" ref="G8:G42" si="1">F8/F$45</f>
        <v>0.27090909090909093</v>
      </c>
      <c r="H8" s="78">
        <v>81.099999999999994</v>
      </c>
      <c r="I8" s="111">
        <f t="shared" ref="I8:I42" si="2">H8/H$45</f>
        <v>0.15836750634641669</v>
      </c>
      <c r="J8" s="136">
        <v>86</v>
      </c>
      <c r="L8" t="s">
        <v>70</v>
      </c>
      <c r="M8" s="97">
        <f>D8*($J8/100)</f>
        <v>445.13600000000002</v>
      </c>
      <c r="N8" s="99">
        <f>F8*($J8/100)</f>
        <v>12.814</v>
      </c>
      <c r="O8" s="130">
        <f>H8*($J8/100)</f>
        <v>69.745999999999995</v>
      </c>
      <c r="Q8" s="132">
        <f>M8/M$44*100</f>
        <v>39.939446969082496</v>
      </c>
      <c r="R8" s="98">
        <f>N8/N$44*100</f>
        <v>37.344664381805039</v>
      </c>
      <c r="S8" s="134">
        <f>O8/O$44*100</f>
        <v>31.302145183860713</v>
      </c>
      <c r="T8" s="102">
        <f>O8/O$44*100</f>
        <v>31.302145183860713</v>
      </c>
      <c r="U8" s="98"/>
    </row>
    <row r="9" spans="2:22" x14ac:dyDescent="0.25">
      <c r="B9" t="s">
        <v>160</v>
      </c>
      <c r="C9" s="109" t="s">
        <v>174</v>
      </c>
      <c r="D9" s="78">
        <v>435.3</v>
      </c>
      <c r="E9" s="110">
        <f t="shared" si="0"/>
        <v>0.267235557738351</v>
      </c>
      <c r="F9" s="78">
        <v>13.5</v>
      </c>
      <c r="G9" s="110">
        <f t="shared" si="1"/>
        <v>0.24545454545454545</v>
      </c>
      <c r="H9" s="78">
        <v>62.3</v>
      </c>
      <c r="I9" s="111">
        <f t="shared" si="2"/>
        <v>0.12165592657684045</v>
      </c>
      <c r="J9" s="136">
        <v>86</v>
      </c>
      <c r="L9" t="s">
        <v>160</v>
      </c>
      <c r="M9" s="97">
        <f>D9*($J9/100)</f>
        <v>374.358</v>
      </c>
      <c r="N9" s="99">
        <f>F9*($J9/100)</f>
        <v>11.61</v>
      </c>
      <c r="O9" s="130">
        <f>H9*($J9/100)</f>
        <v>53.577999999999996</v>
      </c>
      <c r="Q9" s="132">
        <f>M9/M$44*100</f>
        <v>33.588951440574981</v>
      </c>
      <c r="R9" s="98">
        <f>N9/N$44*100</f>
        <v>33.835769741903896</v>
      </c>
      <c r="S9" s="98">
        <f>O9/O$44*100</f>
        <v>24.045914241116183</v>
      </c>
      <c r="T9" s="102">
        <f>O9/O$44*100</f>
        <v>24.045914241116183</v>
      </c>
      <c r="U9" s="98"/>
    </row>
    <row r="10" spans="2:22" x14ac:dyDescent="0.25">
      <c r="B10" t="s">
        <v>161</v>
      </c>
      <c r="C10" s="109" t="s">
        <v>175</v>
      </c>
      <c r="D10" s="78">
        <v>63.2</v>
      </c>
      <c r="E10" s="110">
        <f t="shared" si="0"/>
        <v>3.8799189637178461E-2</v>
      </c>
      <c r="F10" s="78">
        <v>2.7</v>
      </c>
      <c r="G10" s="110">
        <f t="shared" si="1"/>
        <v>4.9090909090909095E-2</v>
      </c>
      <c r="H10" s="78">
        <v>10.5</v>
      </c>
      <c r="I10" s="111">
        <f t="shared" si="2"/>
        <v>2.0503807850029289E-2</v>
      </c>
      <c r="J10" s="136">
        <v>86</v>
      </c>
      <c r="L10" t="s">
        <v>161</v>
      </c>
      <c r="M10" s="97">
        <f>D10*($J10/100)+D36*($J36/100)</f>
        <v>54.352000000000004</v>
      </c>
      <c r="N10" s="99">
        <f>F10*($J10/100)+F36*($J36/100)</f>
        <v>2.4940000000000002</v>
      </c>
      <c r="O10" s="130">
        <f>H10*($J10/100)+H36*($J36/100)</f>
        <v>9.0299999999999994</v>
      </c>
      <c r="Q10" s="132">
        <f>M10/M$44*100</f>
        <v>4.876686724200181</v>
      </c>
      <c r="R10" s="98">
        <f>N10/N$44*100</f>
        <v>7.2684246112238</v>
      </c>
      <c r="S10" s="98">
        <f>O10/O$44*100</f>
        <v>4.0526821754690197</v>
      </c>
      <c r="T10" s="102">
        <f>O10/O$44*100</f>
        <v>4.0526821754690197</v>
      </c>
      <c r="U10" s="98"/>
    </row>
    <row r="11" spans="2:22" x14ac:dyDescent="0.25">
      <c r="B11" t="s">
        <v>162</v>
      </c>
      <c r="C11" s="109" t="s">
        <v>176</v>
      </c>
      <c r="D11" s="78">
        <v>5.8</v>
      </c>
      <c r="E11" s="110">
        <f t="shared" si="0"/>
        <v>3.5606851249309346E-3</v>
      </c>
      <c r="F11" s="78">
        <v>0</v>
      </c>
      <c r="G11" s="110">
        <f t="shared" si="1"/>
        <v>0</v>
      </c>
      <c r="H11" s="78">
        <v>9.8000000000000007</v>
      </c>
      <c r="I11" s="111">
        <f t="shared" si="2"/>
        <v>1.9136887326694007E-2</v>
      </c>
      <c r="J11" s="136">
        <v>86</v>
      </c>
      <c r="L11" t="s">
        <v>162</v>
      </c>
      <c r="M11" s="97">
        <f>D11*($J11/100)</f>
        <v>4.9879999999999995</v>
      </c>
      <c r="N11" s="99">
        <f>F11*($J11/100)</f>
        <v>0</v>
      </c>
      <c r="O11" s="130">
        <f>H11*($J11/100)</f>
        <v>8.4280000000000008</v>
      </c>
      <c r="Q11" s="132">
        <f>M11/M$44*100</f>
        <v>0.44754403481583932</v>
      </c>
      <c r="R11" s="98">
        <f>N11/N$44*100</f>
        <v>0</v>
      </c>
      <c r="S11" s="98">
        <f>O11/O$44*100</f>
        <v>3.7825033637710859</v>
      </c>
      <c r="T11" s="102">
        <f>O11/O$44*100</f>
        <v>3.7825033637710859</v>
      </c>
      <c r="U11" s="98"/>
    </row>
    <row r="12" spans="2:22" x14ac:dyDescent="0.25">
      <c r="B12" t="s">
        <v>165</v>
      </c>
      <c r="C12" s="109" t="s">
        <v>182</v>
      </c>
      <c r="D12" s="78">
        <v>2.9</v>
      </c>
      <c r="E12" s="110">
        <f t="shared" si="0"/>
        <v>1.7803425624654673E-3</v>
      </c>
      <c r="F12" s="78">
        <v>0.7</v>
      </c>
      <c r="G12" s="110">
        <f t="shared" si="1"/>
        <v>1.2727272727272726E-2</v>
      </c>
      <c r="H12" s="78">
        <v>0.2</v>
      </c>
      <c r="I12" s="111">
        <f t="shared" si="2"/>
        <v>3.905487209529389E-4</v>
      </c>
      <c r="J12" s="136">
        <v>86</v>
      </c>
      <c r="L12" t="s">
        <v>165</v>
      </c>
      <c r="M12" s="97">
        <f>D12*($J12/100)</f>
        <v>2.4939999999999998</v>
      </c>
      <c r="N12" s="99">
        <f>F12*($J12/100)</f>
        <v>0.60199999999999998</v>
      </c>
      <c r="O12" s="130">
        <f>H12*($J12/100)</f>
        <v>0.17200000000000001</v>
      </c>
      <c r="Q12" s="132">
        <f>M12/M$44*100</f>
        <v>0.22377201740791966</v>
      </c>
      <c r="R12" s="98">
        <f>N12/N$44*100</f>
        <v>1.7544473199505721</v>
      </c>
      <c r="S12" s="98">
        <f>O12/O$44*100</f>
        <v>7.7193946199409905E-2</v>
      </c>
      <c r="T12" s="102">
        <f>O12/O$44*100</f>
        <v>7.7193946199409905E-2</v>
      </c>
      <c r="U12" s="98"/>
    </row>
    <row r="13" spans="2:22" x14ac:dyDescent="0.25">
      <c r="B13" t="s">
        <v>218</v>
      </c>
      <c r="C13" s="109" t="s">
        <v>188</v>
      </c>
      <c r="D13" s="78">
        <v>10.3</v>
      </c>
      <c r="E13" s="110">
        <f t="shared" si="0"/>
        <v>6.3232856528945914E-3</v>
      </c>
      <c r="F13" s="78">
        <v>0.1</v>
      </c>
      <c r="G13" s="110">
        <f t="shared" si="1"/>
        <v>1.8181818181818182E-3</v>
      </c>
      <c r="H13" s="78">
        <v>1.2</v>
      </c>
      <c r="I13" s="111">
        <f t="shared" si="2"/>
        <v>2.3432923257176333E-3</v>
      </c>
      <c r="J13" s="136">
        <v>85</v>
      </c>
      <c r="L13" t="s">
        <v>218</v>
      </c>
      <c r="M13" s="97">
        <f>D13*($J13/100)</f>
        <v>8.7550000000000008</v>
      </c>
      <c r="N13" s="99">
        <f>F13*($J13/100)</f>
        <v>8.5000000000000006E-2</v>
      </c>
      <c r="O13" s="130">
        <f>H13*($J13/100)</f>
        <v>1.02</v>
      </c>
      <c r="Q13" s="132">
        <f>M13/M$44*100</f>
        <v>0.78553488869540378</v>
      </c>
      <c r="R13" s="98">
        <f>N13/N$44*100</f>
        <v>0.24772096710265556</v>
      </c>
      <c r="S13" s="98">
        <f>O13/O$44*100</f>
        <v>0.45777805304301217</v>
      </c>
      <c r="T13" s="102">
        <f>O13/O$44*100</f>
        <v>0.45777805304301217</v>
      </c>
      <c r="U13" s="98"/>
    </row>
    <row r="14" spans="2:22" x14ac:dyDescent="0.25">
      <c r="B14" t="s">
        <v>219</v>
      </c>
      <c r="C14" s="109" t="s">
        <v>189</v>
      </c>
      <c r="D14" s="78">
        <v>1.3</v>
      </c>
      <c r="E14" s="110">
        <f t="shared" si="0"/>
        <v>7.9808459696727846E-4</v>
      </c>
      <c r="F14" s="78">
        <v>0.3</v>
      </c>
      <c r="G14" s="110">
        <f t="shared" si="1"/>
        <v>5.4545454545454541E-3</v>
      </c>
      <c r="H14" s="78">
        <v>20.3</v>
      </c>
      <c r="I14" s="111">
        <f t="shared" si="2"/>
        <v>3.9640695176723299E-2</v>
      </c>
      <c r="J14" s="136">
        <v>85</v>
      </c>
      <c r="L14" t="s">
        <v>219</v>
      </c>
      <c r="M14" s="97">
        <f>D14*($J14/100)</f>
        <v>1.105</v>
      </c>
      <c r="N14" s="99">
        <f>F14*($J14/100)</f>
        <v>0.255</v>
      </c>
      <c r="O14" s="130">
        <f>H14*($J14/100)</f>
        <v>17.254999999999999</v>
      </c>
      <c r="Q14" s="132">
        <f>M14/M$44*100</f>
        <v>9.9145180126604351E-2</v>
      </c>
      <c r="R14" s="98">
        <f>N14/N$44*100</f>
        <v>0.74316290130796658</v>
      </c>
      <c r="S14" s="98">
        <f>O14/O$44*100</f>
        <v>7.74407873064429</v>
      </c>
      <c r="T14" s="102">
        <f>O14/O$44*100</f>
        <v>7.74407873064429</v>
      </c>
      <c r="U14" s="98"/>
    </row>
    <row r="15" spans="2:22" x14ac:dyDescent="0.25">
      <c r="B15" t="s">
        <v>163</v>
      </c>
      <c r="C15" s="109" t="s">
        <v>180</v>
      </c>
      <c r="D15" s="78">
        <v>4.3</v>
      </c>
      <c r="E15" s="110">
        <f t="shared" si="0"/>
        <v>2.6398182822763828E-3</v>
      </c>
      <c r="F15" s="78">
        <v>0</v>
      </c>
      <c r="G15" s="110">
        <f t="shared" si="1"/>
        <v>0</v>
      </c>
      <c r="H15" s="78">
        <v>0</v>
      </c>
      <c r="I15" s="111">
        <f t="shared" si="2"/>
        <v>0</v>
      </c>
      <c r="J15" s="136">
        <v>91</v>
      </c>
      <c r="L15" t="s">
        <v>163</v>
      </c>
      <c r="M15" s="97">
        <f>D15*($J15/100)</f>
        <v>3.9129999999999998</v>
      </c>
      <c r="N15" s="99">
        <f>F15*($J15/100)</f>
        <v>0</v>
      </c>
      <c r="O15" s="130">
        <f>H15*($J15/100)</f>
        <v>0</v>
      </c>
      <c r="Q15" s="132">
        <f>M15/M$44*100</f>
        <v>0.35109057903656365</v>
      </c>
      <c r="R15" s="98">
        <f>N15/N$44*100</f>
        <v>0</v>
      </c>
      <c r="S15" s="98">
        <f>O15/O$44*100</f>
        <v>0</v>
      </c>
      <c r="T15" s="102">
        <f>O15/O$44*100</f>
        <v>0</v>
      </c>
      <c r="U15" s="98"/>
    </row>
    <row r="16" spans="2:22" x14ac:dyDescent="0.25">
      <c r="B16" t="s">
        <v>164</v>
      </c>
      <c r="C16" s="109" t="s">
        <v>181</v>
      </c>
      <c r="D16" s="78">
        <v>1.6</v>
      </c>
      <c r="E16" s="110">
        <f t="shared" si="0"/>
        <v>9.8225796549818905E-4</v>
      </c>
      <c r="F16" s="78">
        <v>0</v>
      </c>
      <c r="G16" s="110">
        <f t="shared" si="1"/>
        <v>0</v>
      </c>
      <c r="H16" s="78">
        <v>0</v>
      </c>
      <c r="I16" s="111">
        <f t="shared" si="2"/>
        <v>0</v>
      </c>
      <c r="J16" s="136">
        <v>91</v>
      </c>
      <c r="L16" t="s">
        <v>164</v>
      </c>
      <c r="M16" s="97">
        <f>D16*($J16/100)</f>
        <v>1.4560000000000002</v>
      </c>
      <c r="N16" s="99">
        <f>F16*($J16/100)</f>
        <v>0</v>
      </c>
      <c r="O16" s="130">
        <f>H16*($J16/100)</f>
        <v>0</v>
      </c>
      <c r="Q16" s="132">
        <f>M16/M$44*100</f>
        <v>0.13063835499034929</v>
      </c>
      <c r="R16" s="98">
        <f>N16/N$44*100</f>
        <v>0</v>
      </c>
      <c r="S16" s="98">
        <f>O16/O$44*100</f>
        <v>0</v>
      </c>
      <c r="T16" s="102">
        <f>O16/O$44*100</f>
        <v>0</v>
      </c>
      <c r="U16" s="98"/>
    </row>
    <row r="17" spans="1:21" x14ac:dyDescent="0.25">
      <c r="B17" t="s">
        <v>220</v>
      </c>
      <c r="C17" s="109" t="s">
        <v>190</v>
      </c>
      <c r="D17" s="78">
        <v>88.6</v>
      </c>
      <c r="E17" s="110">
        <f t="shared" si="0"/>
        <v>5.4392534839462207E-2</v>
      </c>
      <c r="F17" s="78">
        <v>2.8</v>
      </c>
      <c r="G17" s="110">
        <f t="shared" si="1"/>
        <v>5.0909090909090904E-2</v>
      </c>
      <c r="H17" s="78">
        <v>7.2</v>
      </c>
      <c r="I17" s="111">
        <f t="shared" si="2"/>
        <v>1.4059753954305799E-2</v>
      </c>
      <c r="J17" s="136">
        <v>88</v>
      </c>
      <c r="L17" t="s">
        <v>220</v>
      </c>
      <c r="M17" s="97">
        <f>D17*($J17/100)</f>
        <v>77.967999999999989</v>
      </c>
      <c r="N17" s="99">
        <f>F17*($J17/100)</f>
        <v>2.464</v>
      </c>
      <c r="O17" s="130">
        <f>H17*($J17/100)</f>
        <v>6.3360000000000003</v>
      </c>
      <c r="Q17" s="132">
        <f>M17/M$44*100</f>
        <v>6.9956121304172738</v>
      </c>
      <c r="R17" s="98">
        <f>N17/N$44*100</f>
        <v>7.1809936816581557</v>
      </c>
      <c r="S17" s="98">
        <f>O17/O$44*100</f>
        <v>2.8436095530201233</v>
      </c>
      <c r="T17" s="102">
        <f>O17/O$44*100</f>
        <v>2.8436095530201233</v>
      </c>
      <c r="U17" s="98"/>
    </row>
    <row r="18" spans="1:21" x14ac:dyDescent="0.25">
      <c r="B18" t="s">
        <v>222</v>
      </c>
      <c r="C18" s="109" t="s">
        <v>194</v>
      </c>
      <c r="D18" s="78">
        <v>0</v>
      </c>
      <c r="E18" s="110">
        <f t="shared" si="0"/>
        <v>0</v>
      </c>
      <c r="F18" s="78">
        <v>0.9</v>
      </c>
      <c r="G18" s="110">
        <f t="shared" si="1"/>
        <v>1.6363636363636365E-2</v>
      </c>
      <c r="H18" s="78">
        <v>0</v>
      </c>
      <c r="I18" s="111">
        <f t="shared" si="2"/>
        <v>0</v>
      </c>
      <c r="J18" s="136">
        <v>87</v>
      </c>
      <c r="L18" t="s">
        <v>222</v>
      </c>
      <c r="M18" s="97">
        <f>D18*($J18/100)</f>
        <v>0</v>
      </c>
      <c r="N18" s="99">
        <f>F18*($J18/100)</f>
        <v>0.78300000000000003</v>
      </c>
      <c r="O18" s="130">
        <f>H18*($J18/100)</f>
        <v>0</v>
      </c>
      <c r="Q18" s="132">
        <f>M18/M$44*100</f>
        <v>0</v>
      </c>
      <c r="R18" s="98">
        <f>N18/N$44*100</f>
        <v>2.2819472616632859</v>
      </c>
      <c r="S18" s="98">
        <f>O18/O$44*100</f>
        <v>0</v>
      </c>
      <c r="T18" s="102">
        <f>O18/O$44*100</f>
        <v>0</v>
      </c>
      <c r="U18" s="98"/>
    </row>
    <row r="19" spans="1:21" x14ac:dyDescent="0.25">
      <c r="B19" t="s">
        <v>221</v>
      </c>
      <c r="C19" s="109" t="s">
        <v>191</v>
      </c>
      <c r="D19" s="78">
        <v>40.700000000000003</v>
      </c>
      <c r="E19" s="110">
        <f t="shared" si="0"/>
        <v>2.4986186997360181E-2</v>
      </c>
      <c r="F19" s="78">
        <v>0</v>
      </c>
      <c r="G19" s="110">
        <f t="shared" si="1"/>
        <v>0</v>
      </c>
      <c r="H19" s="78">
        <v>8.6999999999999993</v>
      </c>
      <c r="I19" s="111">
        <f t="shared" si="2"/>
        <v>1.698886936145284E-2</v>
      </c>
      <c r="J19" s="136">
        <v>90</v>
      </c>
      <c r="L19" t="s">
        <v>221</v>
      </c>
      <c r="M19" s="97">
        <f>D19*($J19/100)</f>
        <v>36.630000000000003</v>
      </c>
      <c r="N19" s="99">
        <f>F19*($J19/100)</f>
        <v>0</v>
      </c>
      <c r="O19" s="130">
        <f>H19*($J19/100)</f>
        <v>7.8299999999999992</v>
      </c>
      <c r="Q19" s="132">
        <f>M19/M$44*100</f>
        <v>3.2865954280882512</v>
      </c>
      <c r="R19" s="98">
        <f>N19/N$44*100</f>
        <v>0</v>
      </c>
      <c r="S19" s="98">
        <f>O19/O$44*100</f>
        <v>3.5141197601242991</v>
      </c>
      <c r="T19" s="102">
        <f>O19/O$44*100</f>
        <v>3.5141197601242991</v>
      </c>
      <c r="U19" s="98"/>
    </row>
    <row r="20" spans="1:21" x14ac:dyDescent="0.25">
      <c r="B20" t="s">
        <v>217</v>
      </c>
      <c r="C20" s="109" t="s">
        <v>187</v>
      </c>
      <c r="D20" s="78">
        <v>5.5</v>
      </c>
      <c r="E20" s="110">
        <f t="shared" si="0"/>
        <v>3.3765117564000242E-3</v>
      </c>
      <c r="F20" s="78">
        <v>0</v>
      </c>
      <c r="G20" s="110">
        <f t="shared" si="1"/>
        <v>0</v>
      </c>
      <c r="H20" s="78">
        <v>0.4</v>
      </c>
      <c r="I20" s="111">
        <f t="shared" si="2"/>
        <v>7.810974419058778E-4</v>
      </c>
      <c r="J20" s="136">
        <v>91</v>
      </c>
      <c r="L20" t="s">
        <v>217</v>
      </c>
      <c r="M20" s="97">
        <f>D20*($J20/100)</f>
        <v>5.0049999999999999</v>
      </c>
      <c r="N20" s="99">
        <f>F20*($J20/100)</f>
        <v>0</v>
      </c>
      <c r="O20" s="130">
        <f>H20*($J20/100)</f>
        <v>0.36400000000000005</v>
      </c>
      <c r="Q20" s="132">
        <f>M20/M$44*100</f>
        <v>0.44906934527932563</v>
      </c>
      <c r="R20" s="98">
        <f>N20/N$44*100</f>
        <v>0</v>
      </c>
      <c r="S20" s="98">
        <f>O20/O$44*100</f>
        <v>0.16336393265456514</v>
      </c>
      <c r="T20" s="102">
        <f>O20/O$44*100</f>
        <v>0.16336393265456514</v>
      </c>
      <c r="U20" s="98"/>
    </row>
    <row r="21" spans="1:21" x14ac:dyDescent="0.25">
      <c r="B21" t="s">
        <v>213</v>
      </c>
      <c r="C21" s="109" t="s">
        <v>179</v>
      </c>
      <c r="D21" s="78">
        <v>1.6</v>
      </c>
      <c r="E21" s="110">
        <f t="shared" si="0"/>
        <v>9.8225796549818905E-4</v>
      </c>
      <c r="F21" s="78">
        <v>0</v>
      </c>
      <c r="G21" s="110">
        <f t="shared" si="1"/>
        <v>0</v>
      </c>
      <c r="H21" s="78">
        <v>0</v>
      </c>
      <c r="I21" s="111">
        <f t="shared" si="2"/>
        <v>0</v>
      </c>
      <c r="J21" s="136">
        <v>91</v>
      </c>
      <c r="L21" t="s">
        <v>213</v>
      </c>
      <c r="M21" s="97">
        <f>D21*($J21/100)</f>
        <v>1.4560000000000002</v>
      </c>
      <c r="N21" s="99">
        <f>F21*($J21/100)</f>
        <v>0</v>
      </c>
      <c r="O21" s="130">
        <f>H21*($J21/100)</f>
        <v>0</v>
      </c>
      <c r="Q21" s="132">
        <f>M21/M$44*100</f>
        <v>0.13063835499034929</v>
      </c>
      <c r="R21" s="98">
        <f>N21/N$44*100</f>
        <v>0</v>
      </c>
      <c r="S21" s="98">
        <f>O21/O$44*100</f>
        <v>0</v>
      </c>
      <c r="T21" s="102">
        <f>O21/O$44*100</f>
        <v>0</v>
      </c>
      <c r="U21" s="98"/>
    </row>
    <row r="22" spans="1:21" x14ac:dyDescent="0.25">
      <c r="B22" t="s">
        <v>214</v>
      </c>
      <c r="C22" s="109" t="s">
        <v>183</v>
      </c>
      <c r="D22" s="78">
        <v>39.9</v>
      </c>
      <c r="E22" s="110">
        <f t="shared" si="0"/>
        <v>2.4495058014611083E-2</v>
      </c>
      <c r="F22" s="78">
        <v>0</v>
      </c>
      <c r="G22" s="110">
        <f t="shared" si="1"/>
        <v>0</v>
      </c>
      <c r="H22" s="78">
        <v>3.3</v>
      </c>
      <c r="I22" s="111">
        <f t="shared" si="2"/>
        <v>6.444053895723491E-3</v>
      </c>
      <c r="J22" s="136">
        <v>87</v>
      </c>
      <c r="L22" t="s">
        <v>214</v>
      </c>
      <c r="M22" s="97">
        <f>D22*($J22/100)+D39*($J39/100)</f>
        <v>34.713000000000001</v>
      </c>
      <c r="N22" s="99">
        <f>F22*($J22/100)+F39*($J39/100)</f>
        <v>0</v>
      </c>
      <c r="O22" s="130">
        <f>H22*($J22/100)+H39*($J39/100)</f>
        <v>18.443999999999999</v>
      </c>
      <c r="Q22" s="132">
        <f>M22/M$44*100</f>
        <v>3.1145942422939523</v>
      </c>
      <c r="R22" s="98">
        <f>N22/N$44*100</f>
        <v>0</v>
      </c>
      <c r="S22" s="98">
        <f>O22/O$44*100</f>
        <v>8.277704323848349</v>
      </c>
      <c r="T22" s="102">
        <f>O22/O$44*100</f>
        <v>8.277704323848349</v>
      </c>
      <c r="U22" s="98"/>
    </row>
    <row r="23" spans="1:21" x14ac:dyDescent="0.25">
      <c r="A23" s="87" t="s">
        <v>215</v>
      </c>
      <c r="B23" t="s">
        <v>216</v>
      </c>
      <c r="C23" s="109" t="s">
        <v>184</v>
      </c>
      <c r="D23" s="78">
        <v>29.7</v>
      </c>
      <c r="E23" s="110">
        <f t="shared" si="0"/>
        <v>1.8233163484560132E-2</v>
      </c>
      <c r="F23" s="78">
        <v>0.5</v>
      </c>
      <c r="G23" s="110">
        <f t="shared" si="1"/>
        <v>9.0909090909090905E-3</v>
      </c>
      <c r="H23" s="78">
        <v>2.2000000000000002</v>
      </c>
      <c r="I23" s="111">
        <f t="shared" si="2"/>
        <v>4.2960359304823276E-3</v>
      </c>
      <c r="J23" s="136">
        <v>88</v>
      </c>
      <c r="L23" t="s">
        <v>216</v>
      </c>
      <c r="M23" s="97">
        <f>D23*($J23/100)</f>
        <v>26.135999999999999</v>
      </c>
      <c r="N23" s="99">
        <f>F23*($J23/100)</f>
        <v>0.44</v>
      </c>
      <c r="O23" s="130">
        <f>H23*($J23/100)</f>
        <v>1.9360000000000002</v>
      </c>
      <c r="Q23" s="132">
        <f>M23/M$44*100</f>
        <v>2.3450302513926982</v>
      </c>
      <c r="R23" s="98">
        <f>N23/N$44*100</f>
        <v>1.2823203002960992</v>
      </c>
      <c r="S23" s="98">
        <f>O23/O$44*100</f>
        <v>0.86888069675614876</v>
      </c>
      <c r="T23" s="102">
        <f>O23/O$44*100</f>
        <v>0.86888069675614876</v>
      </c>
      <c r="U23" s="98"/>
    </row>
    <row r="24" spans="1:21" x14ac:dyDescent="0.25">
      <c r="B24" t="s">
        <v>225</v>
      </c>
      <c r="C24" s="109" t="s">
        <v>192</v>
      </c>
      <c r="D24" s="78">
        <v>1.7</v>
      </c>
      <c r="E24" s="110">
        <f t="shared" si="0"/>
        <v>1.0436490883418256E-3</v>
      </c>
      <c r="F24" s="78">
        <v>0</v>
      </c>
      <c r="G24" s="110">
        <f t="shared" si="1"/>
        <v>0</v>
      </c>
      <c r="H24" s="78">
        <v>0.4</v>
      </c>
      <c r="I24" s="111">
        <f t="shared" si="2"/>
        <v>7.810974419058778E-4</v>
      </c>
      <c r="J24" s="136">
        <v>90</v>
      </c>
      <c r="L24" t="s">
        <v>225</v>
      </c>
      <c r="M24" s="97">
        <f>D24*($J24/100)</f>
        <v>1.53</v>
      </c>
      <c r="N24" s="99">
        <f>F24*($J24/100)</f>
        <v>0</v>
      </c>
      <c r="O24" s="130">
        <f>H24*($J24/100)</f>
        <v>0.36000000000000004</v>
      </c>
      <c r="Q24" s="132">
        <f>M24/M$44*100</f>
        <v>0.13727794171375987</v>
      </c>
      <c r="R24" s="98">
        <f>N24/N$44*100</f>
        <v>0</v>
      </c>
      <c r="S24" s="98">
        <f>O24/O$44*100</f>
        <v>0.16156872460341609</v>
      </c>
      <c r="T24" s="102">
        <f>O24/O$44*100</f>
        <v>0.16156872460341609</v>
      </c>
      <c r="U24" s="98"/>
    </row>
    <row r="25" spans="1:21" x14ac:dyDescent="0.25">
      <c r="B25" t="s">
        <v>226</v>
      </c>
      <c r="C25" s="109" t="s">
        <v>199</v>
      </c>
      <c r="D25" s="78">
        <v>60.4</v>
      </c>
      <c r="E25" s="110">
        <f t="shared" si="0"/>
        <v>3.7080238197556632E-2</v>
      </c>
      <c r="F25" s="78">
        <v>0</v>
      </c>
      <c r="G25" s="110">
        <f t="shared" si="1"/>
        <v>0</v>
      </c>
      <c r="H25" s="78">
        <v>0</v>
      </c>
      <c r="I25" s="111">
        <f t="shared" si="2"/>
        <v>0</v>
      </c>
      <c r="J25" s="136">
        <v>11</v>
      </c>
      <c r="L25" t="s">
        <v>226</v>
      </c>
      <c r="M25" s="97">
        <f>D25*($J25/100)+D37*($J37/100)</f>
        <v>6.6440000000000001</v>
      </c>
      <c r="N25" s="99">
        <f>F25*($J25/100)+F37*($J37/100)</f>
        <v>0</v>
      </c>
      <c r="O25" s="130">
        <f>H25*($J25/100)+H37*($J37/100)</f>
        <v>10.4574</v>
      </c>
      <c r="Q25" s="132">
        <f>M25/M$44*100</f>
        <v>0.59612721878837949</v>
      </c>
      <c r="R25" s="98">
        <f>N25/N$44*100</f>
        <v>0</v>
      </c>
      <c r="S25" s="98">
        <f>O25/O$44*100</f>
        <v>4.6933021685215648</v>
      </c>
      <c r="T25" s="102">
        <f>O25/O$44*100</f>
        <v>4.6933021685215648</v>
      </c>
      <c r="U25" s="98"/>
    </row>
    <row r="26" spans="1:21" x14ac:dyDescent="0.25">
      <c r="B26" t="s">
        <v>211</v>
      </c>
      <c r="C26" s="109" t="s">
        <v>177</v>
      </c>
      <c r="D26" s="78">
        <v>5.2</v>
      </c>
      <c r="E26" s="110">
        <f t="shared" si="0"/>
        <v>3.1923383878691139E-3</v>
      </c>
      <c r="F26" s="78">
        <v>0</v>
      </c>
      <c r="G26" s="110">
        <f t="shared" si="1"/>
        <v>0</v>
      </c>
      <c r="H26" s="78">
        <v>0.3</v>
      </c>
      <c r="I26" s="111">
        <f t="shared" si="2"/>
        <v>5.8582308142940832E-4</v>
      </c>
      <c r="J26" s="136">
        <v>76</v>
      </c>
      <c r="L26" t="s">
        <v>211</v>
      </c>
      <c r="M26" s="97">
        <f>D26*($J26/100)</f>
        <v>3.9520000000000004</v>
      </c>
      <c r="N26" s="99">
        <f>F26*($J26/100)</f>
        <v>0</v>
      </c>
      <c r="O26" s="130">
        <f>H26*($J26/100)</f>
        <v>0.22799999999999998</v>
      </c>
      <c r="Q26" s="132">
        <f>M26/M$44*100</f>
        <v>0.35458982068809092</v>
      </c>
      <c r="R26" s="98">
        <f>N26/N$44*100</f>
        <v>0</v>
      </c>
      <c r="S26" s="98">
        <f>O26/O$44*100</f>
        <v>0.10232685891549684</v>
      </c>
      <c r="T26" s="102">
        <f>O26/O$44*100</f>
        <v>0.10232685891549684</v>
      </c>
      <c r="U26" s="98"/>
    </row>
    <row r="27" spans="1:21" x14ac:dyDescent="0.25">
      <c r="B27" t="s">
        <v>212</v>
      </c>
      <c r="C27" s="109" t="s">
        <v>178</v>
      </c>
      <c r="D27" s="78">
        <v>8.6999999999999993</v>
      </c>
      <c r="E27" s="110">
        <f t="shared" si="0"/>
        <v>5.3410276873964019E-3</v>
      </c>
      <c r="F27" s="78">
        <v>0</v>
      </c>
      <c r="G27" s="110">
        <f t="shared" si="1"/>
        <v>0</v>
      </c>
      <c r="H27" s="78">
        <v>0</v>
      </c>
      <c r="I27" s="111">
        <f t="shared" si="2"/>
        <v>0</v>
      </c>
      <c r="J27" s="136">
        <v>89</v>
      </c>
      <c r="L27" t="s">
        <v>212</v>
      </c>
      <c r="M27" s="97">
        <f>D27*($J27/100)</f>
        <v>7.7429999999999994</v>
      </c>
      <c r="N27" s="99">
        <f>F27*($J27/100)</f>
        <v>0</v>
      </c>
      <c r="O27" s="130">
        <f>H27*($J27/100)</f>
        <v>0</v>
      </c>
      <c r="Q27" s="132">
        <f>M27/M$44*100</f>
        <v>0.69473405404551813</v>
      </c>
      <c r="R27" s="98">
        <f>N27/N$44*100</f>
        <v>0</v>
      </c>
      <c r="S27" s="98">
        <f>O27/O$44*100</f>
        <v>0</v>
      </c>
      <c r="T27" s="102">
        <f>O27/O$44*100</f>
        <v>0</v>
      </c>
      <c r="U27" s="98"/>
    </row>
    <row r="28" spans="1:21" x14ac:dyDescent="0.25">
      <c r="B28" t="s">
        <v>227</v>
      </c>
      <c r="C28" s="109" t="s">
        <v>200</v>
      </c>
      <c r="D28" s="78">
        <v>188.4</v>
      </c>
      <c r="E28" s="110">
        <f t="shared" si="0"/>
        <v>0.11566087543741174</v>
      </c>
      <c r="F28" s="78">
        <v>9.6</v>
      </c>
      <c r="G28" s="110">
        <f t="shared" si="1"/>
        <v>0.17454545454545453</v>
      </c>
      <c r="H28" s="78">
        <v>0</v>
      </c>
      <c r="I28" s="111">
        <f t="shared" si="2"/>
        <v>0</v>
      </c>
      <c r="J28" s="136">
        <v>6.3</v>
      </c>
      <c r="L28" t="s">
        <v>227</v>
      </c>
      <c r="M28" s="97">
        <f>D28*($J28/100)+D38*($J38/100)</f>
        <v>11.869200000000001</v>
      </c>
      <c r="N28" s="99">
        <f>F28*($J28/100)+F38*($J38/100)</f>
        <v>0.6048</v>
      </c>
      <c r="O28" s="130">
        <f>H28*($J28/100)+H38*($J38/100)</f>
        <v>9.7110000000000003</v>
      </c>
      <c r="Q28" s="132">
        <f>M28/M$44*100</f>
        <v>1.0649538207770974</v>
      </c>
      <c r="R28" s="98">
        <f>N28/N$44*100</f>
        <v>1.7626075400433656</v>
      </c>
      <c r="S28" s="98">
        <f>O28/O$44*100</f>
        <v>4.3583163461771495</v>
      </c>
      <c r="T28" s="102">
        <f>O28/O$44*100</f>
        <v>4.3583163461771495</v>
      </c>
      <c r="U28" s="98"/>
    </row>
    <row r="29" spans="1:21" x14ac:dyDescent="0.25">
      <c r="B29" t="s">
        <v>231</v>
      </c>
      <c r="C29" s="109" t="s">
        <v>193</v>
      </c>
      <c r="D29" s="78">
        <v>0</v>
      </c>
      <c r="E29" s="110">
        <f t="shared" si="0"/>
        <v>0</v>
      </c>
      <c r="F29" s="78">
        <v>0.1</v>
      </c>
      <c r="G29" s="110">
        <f t="shared" si="1"/>
        <v>1.8181818181818182E-3</v>
      </c>
      <c r="H29" s="78">
        <v>0</v>
      </c>
      <c r="I29" s="111">
        <f t="shared" si="2"/>
        <v>0</v>
      </c>
      <c r="J29" s="136">
        <v>97</v>
      </c>
      <c r="L29" t="s">
        <v>231</v>
      </c>
      <c r="M29" s="97">
        <f>D29*($J29/100)</f>
        <v>0</v>
      </c>
      <c r="N29" s="99">
        <f>F29*($J29/100)</f>
        <v>9.7000000000000003E-2</v>
      </c>
      <c r="O29" s="130">
        <f>H29*($J29/100)</f>
        <v>0</v>
      </c>
      <c r="Q29" s="132">
        <f>M29/M$44*100</f>
        <v>0</v>
      </c>
      <c r="R29" s="98">
        <f>N29/N$44*100</f>
        <v>0.2826933389289128</v>
      </c>
      <c r="S29" s="98">
        <f>O29/O$44*100</f>
        <v>0</v>
      </c>
      <c r="T29" s="102">
        <f>O29/O$44*100</f>
        <v>0</v>
      </c>
      <c r="U29" s="98"/>
    </row>
    <row r="30" spans="1:21" x14ac:dyDescent="0.25">
      <c r="B30" t="s">
        <v>223</v>
      </c>
      <c r="C30" s="109" t="s">
        <v>195</v>
      </c>
      <c r="D30" s="78">
        <v>0</v>
      </c>
      <c r="E30" s="110">
        <f t="shared" si="0"/>
        <v>0</v>
      </c>
      <c r="F30" s="78">
        <v>0.5</v>
      </c>
      <c r="G30" s="110">
        <f t="shared" si="1"/>
        <v>9.0909090909090905E-3</v>
      </c>
      <c r="H30" s="78">
        <v>0</v>
      </c>
      <c r="I30" s="111">
        <f t="shared" si="2"/>
        <v>0</v>
      </c>
      <c r="J30" s="136">
        <v>92</v>
      </c>
      <c r="L30" t="s">
        <v>223</v>
      </c>
      <c r="M30" s="97">
        <f>D30*($J30/100)</f>
        <v>0</v>
      </c>
      <c r="N30" s="99">
        <f>F30*($J30/100)</f>
        <v>0.46</v>
      </c>
      <c r="O30" s="130">
        <f>H30*($J30/100)</f>
        <v>0</v>
      </c>
      <c r="Q30" s="132">
        <f>M30/M$44*100</f>
        <v>0</v>
      </c>
      <c r="R30" s="98">
        <f>N30/N$44*100</f>
        <v>1.3406075866731948</v>
      </c>
      <c r="S30" s="98">
        <f>O30/O$44*100</f>
        <v>0</v>
      </c>
      <c r="T30" s="102">
        <f>O30/O$44*100</f>
        <v>0</v>
      </c>
      <c r="U30" s="98"/>
    </row>
    <row r="31" spans="1:21" x14ac:dyDescent="0.25">
      <c r="B31" t="s">
        <v>224</v>
      </c>
      <c r="C31" s="109" t="s">
        <v>196</v>
      </c>
      <c r="D31" s="78">
        <v>2.2000000000000002</v>
      </c>
      <c r="E31" s="110">
        <f t="shared" si="0"/>
        <v>1.3506047025600098E-3</v>
      </c>
      <c r="F31" s="78">
        <v>1.2</v>
      </c>
      <c r="G31" s="110">
        <f t="shared" si="1"/>
        <v>2.1818181818181816E-2</v>
      </c>
      <c r="H31" s="78">
        <v>0</v>
      </c>
      <c r="I31" s="111">
        <f t="shared" si="2"/>
        <v>0</v>
      </c>
      <c r="J31" s="136">
        <v>92</v>
      </c>
      <c r="L31" t="s">
        <v>224</v>
      </c>
      <c r="M31" s="97">
        <f>D31*($J31/100)</f>
        <v>2.0240000000000005</v>
      </c>
      <c r="N31" s="99">
        <f>F31*($J31/100)</f>
        <v>1.1040000000000001</v>
      </c>
      <c r="O31" s="130">
        <f>H31*($J31/100)</f>
        <v>0</v>
      </c>
      <c r="Q31" s="132">
        <f>M31/M$44*100</f>
        <v>0.18160166929977128</v>
      </c>
      <c r="R31" s="98">
        <f>N31/N$44*100</f>
        <v>3.2174582080156675</v>
      </c>
      <c r="S31" s="98">
        <f>O31/O$44*100</f>
        <v>0</v>
      </c>
      <c r="T31" s="102">
        <f>O31/O$44*100</f>
        <v>0</v>
      </c>
      <c r="U31" s="98"/>
    </row>
    <row r="32" spans="1:21" x14ac:dyDescent="0.25">
      <c r="B32" t="s">
        <v>236</v>
      </c>
      <c r="C32" s="109" t="s">
        <v>197</v>
      </c>
      <c r="D32" s="78">
        <v>2.2999999999999998</v>
      </c>
      <c r="E32" s="110">
        <f t="shared" si="0"/>
        <v>1.4119958254036463E-3</v>
      </c>
      <c r="F32" s="78">
        <v>0.5</v>
      </c>
      <c r="G32" s="110">
        <f t="shared" si="1"/>
        <v>9.0909090909090905E-3</v>
      </c>
      <c r="H32" s="78">
        <v>0</v>
      </c>
      <c r="I32" s="111">
        <f t="shared" si="2"/>
        <v>0</v>
      </c>
      <c r="J32" s="136">
        <v>100</v>
      </c>
      <c r="L32" t="s">
        <v>236</v>
      </c>
      <c r="M32" s="97">
        <f>D32*($J32/100)</f>
        <v>2.2999999999999998</v>
      </c>
      <c r="N32" s="99">
        <f>F32*($J32/100)</f>
        <v>0.5</v>
      </c>
      <c r="O32" s="130">
        <f>H32*($J32/100)</f>
        <v>0</v>
      </c>
      <c r="Q32" s="132">
        <f>M32/M$44*100</f>
        <v>0.20636553329519458</v>
      </c>
      <c r="R32" s="98">
        <f>N32/N$44*100</f>
        <v>1.4571821594273857</v>
      </c>
      <c r="S32" s="98">
        <f>O32/O$44*100</f>
        <v>0</v>
      </c>
      <c r="T32" s="102">
        <f>O32/O$44*100</f>
        <v>0</v>
      </c>
      <c r="U32" s="98"/>
    </row>
    <row r="33" spans="1:21" x14ac:dyDescent="0.25">
      <c r="B33" s="87" t="s">
        <v>243</v>
      </c>
      <c r="C33" s="156" t="s">
        <v>172</v>
      </c>
      <c r="D33" s="157">
        <v>62.6</v>
      </c>
      <c r="E33" s="158">
        <f t="shared" si="0"/>
        <v>3.8430842900116641E-2</v>
      </c>
      <c r="F33" s="157">
        <v>1.8</v>
      </c>
      <c r="G33" s="158">
        <f t="shared" si="1"/>
        <v>3.272727272727273E-2</v>
      </c>
      <c r="H33" s="157">
        <v>11</v>
      </c>
      <c r="I33" s="159">
        <f t="shared" si="2"/>
        <v>2.1480179652411637E-2</v>
      </c>
      <c r="J33" s="136"/>
      <c r="L33" t="s">
        <v>229</v>
      </c>
      <c r="M33" s="101">
        <f>D41*($J41/100)</f>
        <v>0</v>
      </c>
      <c r="N33" s="78">
        <f>F41*($J41/100)</f>
        <v>0</v>
      </c>
      <c r="O33" s="100">
        <f>H41*($J41/100)</f>
        <v>7.9200000000000008</v>
      </c>
      <c r="Q33" s="132">
        <f>M33/M$44*100</f>
        <v>0</v>
      </c>
      <c r="R33" s="98">
        <f>N33/N$44*100</f>
        <v>0</v>
      </c>
      <c r="S33" s="98">
        <f>O33/O$44*100</f>
        <v>3.554511941275154</v>
      </c>
      <c r="T33" s="102">
        <f>O33/O$44*100</f>
        <v>3.554511941275154</v>
      </c>
      <c r="U33" s="98"/>
    </row>
    <row r="34" spans="1:21" x14ac:dyDescent="0.25">
      <c r="B34" s="87" t="s">
        <v>243</v>
      </c>
      <c r="C34" s="156" t="s">
        <v>186</v>
      </c>
      <c r="D34" s="157">
        <v>5.8</v>
      </c>
      <c r="E34" s="158">
        <f t="shared" si="0"/>
        <v>3.5606851249309346E-3</v>
      </c>
      <c r="F34" s="157">
        <v>0.2</v>
      </c>
      <c r="G34" s="158">
        <f t="shared" si="1"/>
        <v>3.6363636363636364E-3</v>
      </c>
      <c r="H34" s="157">
        <v>1.4</v>
      </c>
      <c r="I34" s="159">
        <f t="shared" si="2"/>
        <v>2.7338410466705718E-3</v>
      </c>
      <c r="J34" s="136"/>
      <c r="M34" s="101"/>
      <c r="N34" s="78"/>
      <c r="O34" s="100"/>
      <c r="Q34" s="101"/>
      <c r="R34" s="78"/>
      <c r="S34" s="78"/>
      <c r="T34" s="100"/>
      <c r="U34" s="78"/>
    </row>
    <row r="35" spans="1:21" x14ac:dyDescent="0.25">
      <c r="B35" s="87" t="s">
        <v>243</v>
      </c>
      <c r="C35" s="156" t="s">
        <v>201</v>
      </c>
      <c r="D35" s="157">
        <v>43.3</v>
      </c>
      <c r="E35" s="158">
        <f t="shared" si="0"/>
        <v>2.6582356191294735E-2</v>
      </c>
      <c r="F35" s="157">
        <v>4.5</v>
      </c>
      <c r="G35" s="158">
        <f t="shared" si="1"/>
        <v>8.1818181818181818E-2</v>
      </c>
      <c r="H35" s="157">
        <v>0</v>
      </c>
      <c r="I35" s="159">
        <f t="shared" si="2"/>
        <v>0</v>
      </c>
      <c r="J35" s="136"/>
      <c r="M35" s="101"/>
      <c r="N35" s="78"/>
      <c r="O35" s="100"/>
      <c r="Q35" s="101"/>
      <c r="R35" s="78"/>
      <c r="S35" s="78"/>
      <c r="T35" s="100"/>
      <c r="U35" s="78"/>
    </row>
    <row r="36" spans="1:21" x14ac:dyDescent="0.25">
      <c r="B36" t="s">
        <v>161</v>
      </c>
      <c r="C36" s="109" t="s">
        <v>185</v>
      </c>
      <c r="D36" s="78">
        <v>0</v>
      </c>
      <c r="E36" s="110">
        <f t="shared" si="0"/>
        <v>0</v>
      </c>
      <c r="F36" s="78">
        <v>0.2</v>
      </c>
      <c r="G36" s="110">
        <f t="shared" si="1"/>
        <v>3.6363636363636364E-3</v>
      </c>
      <c r="H36" s="78">
        <v>0</v>
      </c>
      <c r="I36" s="111">
        <f t="shared" si="2"/>
        <v>0</v>
      </c>
      <c r="J36" s="136">
        <v>86</v>
      </c>
      <c r="M36" s="101"/>
      <c r="N36" s="78"/>
      <c r="O36" s="100"/>
      <c r="Q36" s="101"/>
      <c r="R36" s="78"/>
      <c r="S36" s="78"/>
      <c r="T36" s="100"/>
      <c r="U36" s="78"/>
    </row>
    <row r="37" spans="1:21" x14ac:dyDescent="0.25">
      <c r="A37" s="87"/>
      <c r="B37" t="s">
        <v>226</v>
      </c>
      <c r="C37" s="117" t="s">
        <v>202</v>
      </c>
      <c r="D37" s="118">
        <v>0</v>
      </c>
      <c r="E37" s="119">
        <f t="shared" si="0"/>
        <v>0</v>
      </c>
      <c r="F37" s="118">
        <v>0</v>
      </c>
      <c r="G37" s="119">
        <f t="shared" si="1"/>
        <v>0</v>
      </c>
      <c r="H37" s="118">
        <v>120.2</v>
      </c>
      <c r="I37" s="120">
        <f t="shared" si="2"/>
        <v>0.23471978129271626</v>
      </c>
      <c r="J37" s="136">
        <v>8.6999999999999993</v>
      </c>
      <c r="M37" s="101"/>
      <c r="N37" s="78"/>
      <c r="O37" s="100"/>
      <c r="Q37" s="101"/>
      <c r="R37" s="78"/>
      <c r="S37" s="78"/>
      <c r="T37" s="100"/>
      <c r="U37" s="78"/>
    </row>
    <row r="38" spans="1:21" x14ac:dyDescent="0.25">
      <c r="B38" t="s">
        <v>227</v>
      </c>
      <c r="C38" s="109" t="s">
        <v>203</v>
      </c>
      <c r="D38" s="78">
        <v>0</v>
      </c>
      <c r="E38" s="110">
        <f t="shared" si="0"/>
        <v>0</v>
      </c>
      <c r="F38" s="78">
        <v>0</v>
      </c>
      <c r="G38" s="110">
        <f t="shared" si="1"/>
        <v>0</v>
      </c>
      <c r="H38" s="78">
        <v>124.5</v>
      </c>
      <c r="I38" s="111">
        <f t="shared" si="2"/>
        <v>0.24311657879320445</v>
      </c>
      <c r="J38" s="136">
        <v>7.8</v>
      </c>
      <c r="M38" s="101"/>
      <c r="N38" s="78"/>
      <c r="O38" s="100"/>
      <c r="Q38" s="101"/>
      <c r="R38" s="78"/>
      <c r="S38" s="78"/>
      <c r="T38" s="100"/>
      <c r="U38" s="78"/>
    </row>
    <row r="39" spans="1:21" x14ac:dyDescent="0.25">
      <c r="B39" t="s">
        <v>214</v>
      </c>
      <c r="C39" s="109" t="s">
        <v>204</v>
      </c>
      <c r="D39" s="78">
        <v>0</v>
      </c>
      <c r="E39" s="110">
        <f t="shared" si="0"/>
        <v>0</v>
      </c>
      <c r="F39" s="78">
        <v>0</v>
      </c>
      <c r="G39" s="110">
        <f t="shared" si="1"/>
        <v>0</v>
      </c>
      <c r="H39" s="78">
        <v>17.899999999999999</v>
      </c>
      <c r="I39" s="111">
        <f t="shared" si="2"/>
        <v>3.4954110525288025E-2</v>
      </c>
      <c r="J39" s="136">
        <v>87</v>
      </c>
      <c r="M39" s="101"/>
      <c r="N39" s="78"/>
      <c r="O39" s="100"/>
      <c r="Q39" s="101"/>
      <c r="R39" s="78"/>
      <c r="S39" s="78"/>
      <c r="T39" s="100"/>
      <c r="U39" s="78"/>
    </row>
    <row r="40" spans="1:21" x14ac:dyDescent="0.25">
      <c r="B40" s="87" t="s">
        <v>243</v>
      </c>
      <c r="C40" s="160" t="s">
        <v>205</v>
      </c>
      <c r="D40" s="157">
        <v>0</v>
      </c>
      <c r="E40" s="158">
        <f t="shared" si="0"/>
        <v>0</v>
      </c>
      <c r="F40" s="157">
        <v>0</v>
      </c>
      <c r="G40" s="158">
        <f t="shared" si="1"/>
        <v>0</v>
      </c>
      <c r="H40" s="157">
        <v>15.7</v>
      </c>
      <c r="I40" s="159">
        <f t="shared" si="2"/>
        <v>3.0658074594805698E-2</v>
      </c>
      <c r="J40" s="136">
        <v>91</v>
      </c>
      <c r="M40" s="101"/>
      <c r="N40" s="78"/>
      <c r="O40" s="100"/>
      <c r="Q40" s="101"/>
      <c r="R40" s="78"/>
      <c r="S40" s="78"/>
      <c r="T40" s="100"/>
      <c r="U40" s="78"/>
    </row>
    <row r="41" spans="1:21" x14ac:dyDescent="0.25">
      <c r="B41" t="s">
        <v>229</v>
      </c>
      <c r="C41" s="109" t="s">
        <v>206</v>
      </c>
      <c r="D41" s="78">
        <v>0</v>
      </c>
      <c r="E41" s="110">
        <f t="shared" si="0"/>
        <v>0</v>
      </c>
      <c r="F41" s="78">
        <v>0</v>
      </c>
      <c r="G41" s="110">
        <f t="shared" si="1"/>
        <v>0</v>
      </c>
      <c r="H41" s="78">
        <v>8.8000000000000007</v>
      </c>
      <c r="I41" s="111">
        <f t="shared" si="2"/>
        <v>1.718414372192931E-2</v>
      </c>
      <c r="J41" s="136">
        <v>90</v>
      </c>
      <c r="M41" s="101"/>
      <c r="N41" s="78"/>
      <c r="O41" s="100"/>
      <c r="Q41" s="101"/>
      <c r="R41" s="78"/>
      <c r="S41" s="78"/>
      <c r="T41" s="100"/>
      <c r="U41" s="78"/>
    </row>
    <row r="42" spans="1:21" x14ac:dyDescent="0.25">
      <c r="B42" s="87" t="s">
        <v>243</v>
      </c>
      <c r="C42" s="161" t="s">
        <v>207</v>
      </c>
      <c r="D42" s="162">
        <v>0</v>
      </c>
      <c r="E42" s="163">
        <f t="shared" si="0"/>
        <v>0</v>
      </c>
      <c r="F42" s="162">
        <v>0</v>
      </c>
      <c r="G42" s="163">
        <f t="shared" si="1"/>
        <v>0</v>
      </c>
      <c r="H42" s="162">
        <v>4.7</v>
      </c>
      <c r="I42" s="164">
        <f t="shared" si="2"/>
        <v>9.1778949423940628E-3</v>
      </c>
      <c r="J42" s="136"/>
      <c r="M42" s="101"/>
      <c r="N42" s="78"/>
      <c r="O42" s="100"/>
      <c r="Q42" s="101"/>
      <c r="R42" s="78"/>
      <c r="S42" s="78"/>
      <c r="T42" s="100"/>
      <c r="U42" s="78"/>
    </row>
    <row r="43" spans="1:21" x14ac:dyDescent="0.25">
      <c r="C43" s="121" t="s">
        <v>198</v>
      </c>
      <c r="D43" s="77">
        <v>2746.2</v>
      </c>
      <c r="E43" s="77"/>
      <c r="F43" s="77">
        <v>79.900000000000006</v>
      </c>
      <c r="G43" s="77"/>
      <c r="H43" s="77">
        <v>330.2</v>
      </c>
      <c r="I43" s="122"/>
      <c r="J43" s="136"/>
      <c r="M43" s="101"/>
      <c r="N43" s="78"/>
      <c r="O43" s="100"/>
      <c r="Q43" s="101"/>
      <c r="R43" s="78"/>
      <c r="S43" s="78"/>
      <c r="T43" s="100"/>
      <c r="U43" s="78"/>
    </row>
    <row r="44" spans="1:21" x14ac:dyDescent="0.25">
      <c r="C44" s="107" t="s">
        <v>208</v>
      </c>
      <c r="D44" s="112">
        <v>4375.1000000000004</v>
      </c>
      <c r="E44" s="112"/>
      <c r="F44" s="112">
        <v>134.9</v>
      </c>
      <c r="G44" s="112"/>
      <c r="H44" s="112">
        <v>842.3</v>
      </c>
      <c r="I44" s="113"/>
      <c r="J44" s="136"/>
      <c r="L44" s="4" t="s">
        <v>237</v>
      </c>
      <c r="M44" s="123">
        <f>SUM(M8:M43)</f>
        <v>1114.5272</v>
      </c>
      <c r="N44" s="133">
        <f>SUM(N8:N43)</f>
        <v>34.312800000000003</v>
      </c>
      <c r="O44" s="124">
        <f>SUM(O8:O43)</f>
        <v>222.81540000000004</v>
      </c>
      <c r="Q44" s="123">
        <f>SUM(Q8:Q43)</f>
        <v>100</v>
      </c>
      <c r="R44" s="133">
        <f t="shared" ref="R44:T44" si="3">SUM(R8:R43)</f>
        <v>100</v>
      </c>
      <c r="S44" s="133">
        <f t="shared" si="3"/>
        <v>100</v>
      </c>
      <c r="T44" s="124">
        <f t="shared" si="3"/>
        <v>100</v>
      </c>
      <c r="U44" s="129"/>
    </row>
    <row r="45" spans="1:21" x14ac:dyDescent="0.25">
      <c r="C45" s="114" t="s">
        <v>228</v>
      </c>
      <c r="D45" s="115">
        <f>SUM(D8:D42)</f>
        <v>1628.9</v>
      </c>
      <c r="E45" s="115"/>
      <c r="F45" s="115">
        <f>SUM(F8:F42)</f>
        <v>55</v>
      </c>
      <c r="G45" s="115"/>
      <c r="H45" s="115">
        <f>SUM(H8:H42)</f>
        <v>512.1</v>
      </c>
      <c r="I45" s="116"/>
      <c r="J45" s="136"/>
    </row>
    <row r="46" spans="1:21" x14ac:dyDescent="0.25">
      <c r="L46" s="103"/>
      <c r="M46" s="87"/>
      <c r="N46" s="87"/>
      <c r="O46" s="87"/>
    </row>
    <row r="47" spans="1:21" x14ac:dyDescent="0.25">
      <c r="C47" s="137" t="s">
        <v>241</v>
      </c>
      <c r="L47" s="103"/>
      <c r="M47" s="87"/>
      <c r="N47" s="87"/>
      <c r="O47" s="87"/>
    </row>
    <row r="48" spans="1:21" x14ac:dyDescent="0.25">
      <c r="C48" s="137" t="s">
        <v>242</v>
      </c>
      <c r="L48" s="103"/>
      <c r="M48" s="87"/>
      <c r="N48" s="87"/>
      <c r="O48" s="87"/>
    </row>
    <row r="49" spans="3:15" x14ac:dyDescent="0.25">
      <c r="L49" s="87"/>
      <c r="M49" s="87"/>
      <c r="N49" s="87"/>
      <c r="O49" s="87"/>
    </row>
    <row r="50" spans="3:15" x14ac:dyDescent="0.25">
      <c r="L50" s="103"/>
      <c r="M50" s="87"/>
      <c r="N50" s="87"/>
      <c r="O50" s="87"/>
    </row>
    <row r="51" spans="3:15" x14ac:dyDescent="0.25">
      <c r="C51" s="150" t="s">
        <v>245</v>
      </c>
      <c r="D51" s="118"/>
      <c r="E51" s="118"/>
      <c r="F51" s="118"/>
      <c r="G51" s="118"/>
      <c r="H51" s="118"/>
      <c r="I51" s="151"/>
      <c r="J51" s="78"/>
    </row>
    <row r="52" spans="3:15" ht="91.5" customHeight="1" x14ac:dyDescent="0.25">
      <c r="C52" s="152" t="s">
        <v>244</v>
      </c>
      <c r="D52" s="153"/>
      <c r="E52" s="153"/>
      <c r="F52" s="153"/>
      <c r="G52" s="153"/>
      <c r="H52" s="153"/>
      <c r="I52" s="154"/>
      <c r="J52" s="155"/>
    </row>
  </sheetData>
  <mergeCells count="1">
    <mergeCell ref="C52:I5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45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45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44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46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40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41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42</v>
      </c>
      <c r="E15" s="3">
        <v>20.3</v>
      </c>
    </row>
    <row r="16" spans="1:11" x14ac:dyDescent="0.25">
      <c r="D16" t="s">
        <v>43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64</v>
      </c>
      <c r="C3" s="4" t="s">
        <v>50</v>
      </c>
      <c r="D3" s="4"/>
      <c r="E3" s="4"/>
      <c r="F3" s="4"/>
      <c r="G3" s="4"/>
      <c r="H3" s="4"/>
      <c r="I3" s="4" t="s">
        <v>51</v>
      </c>
      <c r="J3" s="4"/>
      <c r="K3" s="4"/>
      <c r="L3" s="4"/>
      <c r="M3" s="4"/>
      <c r="N3" s="4"/>
      <c r="O3" s="4" t="s">
        <v>65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52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53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54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55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56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57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58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59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60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42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43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41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62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63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61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116</v>
      </c>
    </row>
    <row r="2" spans="1:9" ht="15.75" thickBot="1" x14ac:dyDescent="0.3"/>
    <row r="3" spans="1:9" x14ac:dyDescent="0.25">
      <c r="A3" s="83" t="s">
        <v>117</v>
      </c>
      <c r="B3" s="83"/>
    </row>
    <row r="4" spans="1:9" x14ac:dyDescent="0.25">
      <c r="A4" s="80" t="s">
        <v>118</v>
      </c>
      <c r="B4" s="80">
        <v>0.99999493252819649</v>
      </c>
    </row>
    <row r="5" spans="1:9" x14ac:dyDescent="0.25">
      <c r="A5" s="80" t="s">
        <v>119</v>
      </c>
      <c r="B5" s="80">
        <v>0.99998986508207222</v>
      </c>
    </row>
    <row r="6" spans="1:9" x14ac:dyDescent="0.25">
      <c r="A6" s="80" t="s">
        <v>120</v>
      </c>
      <c r="B6" s="80">
        <v>0.85713127437951109</v>
      </c>
    </row>
    <row r="7" spans="1:9" x14ac:dyDescent="0.25">
      <c r="A7" s="80" t="s">
        <v>121</v>
      </c>
      <c r="B7" s="80">
        <v>0.25677629550654923</v>
      </c>
    </row>
    <row r="8" spans="1:9" ht="15.75" thickBot="1" x14ac:dyDescent="0.3">
      <c r="A8" s="81" t="s">
        <v>122</v>
      </c>
      <c r="B8" s="81">
        <v>9</v>
      </c>
    </row>
    <row r="10" spans="1:9" ht="15.75" thickBot="1" x14ac:dyDescent="0.3">
      <c r="A10" t="s">
        <v>123</v>
      </c>
    </row>
    <row r="11" spans="1:9" x14ac:dyDescent="0.25">
      <c r="A11" s="82"/>
      <c r="B11" s="82" t="s">
        <v>128</v>
      </c>
      <c r="C11" s="82" t="s">
        <v>129</v>
      </c>
      <c r="D11" s="82" t="s">
        <v>130</v>
      </c>
      <c r="E11" s="82" t="s">
        <v>131</v>
      </c>
      <c r="F11" s="82" t="s">
        <v>132</v>
      </c>
    </row>
    <row r="12" spans="1:9" x14ac:dyDescent="0.25">
      <c r="A12" s="80" t="s">
        <v>124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125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126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133</v>
      </c>
      <c r="C16" s="82" t="s">
        <v>121</v>
      </c>
      <c r="D16" s="82" t="s">
        <v>134</v>
      </c>
      <c r="E16" s="82" t="s">
        <v>135</v>
      </c>
      <c r="F16" s="82" t="s">
        <v>136</v>
      </c>
      <c r="G16" s="82" t="s">
        <v>137</v>
      </c>
      <c r="H16" s="82" t="s">
        <v>138</v>
      </c>
      <c r="I16" s="82" t="s">
        <v>139</v>
      </c>
    </row>
    <row r="17" spans="1:9" x14ac:dyDescent="0.25">
      <c r="A17" s="80" t="s">
        <v>127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113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114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140</v>
      </c>
      <c r="F23" t="s">
        <v>145</v>
      </c>
    </row>
    <row r="24" spans="1:9" ht="15.75" thickBot="1" x14ac:dyDescent="0.3"/>
    <row r="25" spans="1:9" x14ac:dyDescent="0.25">
      <c r="A25" s="82" t="s">
        <v>141</v>
      </c>
      <c r="B25" s="82" t="s">
        <v>142</v>
      </c>
      <c r="C25" s="82" t="s">
        <v>143</v>
      </c>
      <c r="D25" s="82" t="s">
        <v>144</v>
      </c>
      <c r="F25" s="82" t="s">
        <v>146</v>
      </c>
      <c r="G25" s="82" t="s">
        <v>109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H24" sqref="H24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105</v>
      </c>
      <c r="O2" t="s">
        <v>106</v>
      </c>
    </row>
    <row r="3" spans="2:17" ht="15.75" x14ac:dyDescent="0.25">
      <c r="B3" s="25" t="s">
        <v>84</v>
      </c>
      <c r="C3" s="25"/>
      <c r="D3" s="25"/>
      <c r="E3" s="25"/>
      <c r="O3" t="s">
        <v>107</v>
      </c>
    </row>
    <row r="4" spans="2:17" ht="30" x14ac:dyDescent="0.25">
      <c r="B4" s="16" t="s">
        <v>85</v>
      </c>
      <c r="C4" s="16" t="s">
        <v>86</v>
      </c>
      <c r="D4" s="17" t="s">
        <v>87</v>
      </c>
      <c r="E4" s="18"/>
      <c r="O4" s="77" t="s">
        <v>97</v>
      </c>
      <c r="P4" s="77" t="s">
        <v>108</v>
      </c>
      <c r="Q4" s="77" t="s">
        <v>109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89</v>
      </c>
      <c r="D15" s="30" t="s">
        <v>90</v>
      </c>
      <c r="E15" s="18"/>
    </row>
    <row r="16" spans="2:17" x14ac:dyDescent="0.25">
      <c r="B16" s="24" t="s">
        <v>88</v>
      </c>
      <c r="C16" s="24"/>
      <c r="D16" s="24"/>
      <c r="E16" s="24"/>
      <c r="O16" t="s">
        <v>106</v>
      </c>
    </row>
    <row r="17" spans="2:20" ht="15.75" x14ac:dyDescent="0.25">
      <c r="B17" s="23"/>
      <c r="C17" s="23"/>
      <c r="D17" s="23"/>
      <c r="E17" s="23"/>
      <c r="O17" t="s">
        <v>112</v>
      </c>
    </row>
    <row r="18" spans="2:20" ht="30" x14ac:dyDescent="0.25">
      <c r="O18" s="79" t="s">
        <v>113</v>
      </c>
      <c r="P18" s="79" t="s">
        <v>114</v>
      </c>
      <c r="Q18" s="79" t="s">
        <v>108</v>
      </c>
      <c r="R18" s="79" t="s">
        <v>109</v>
      </c>
      <c r="S18" s="79" t="s">
        <v>115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105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91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144" t="s">
        <v>97</v>
      </c>
      <c r="D23" s="146" t="s">
        <v>86</v>
      </c>
      <c r="E23" s="139" t="s">
        <v>87</v>
      </c>
      <c r="F23" s="141" t="s">
        <v>92</v>
      </c>
      <c r="G23" s="143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145"/>
      <c r="D24" s="147"/>
      <c r="E24" s="140"/>
      <c r="F24" s="142"/>
      <c r="G24" s="143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49" t="s">
        <v>9</v>
      </c>
      <c r="C25" s="149"/>
      <c r="D25" s="149"/>
      <c r="E25" s="149"/>
      <c r="F25" s="149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138" t="s">
        <v>93</v>
      </c>
      <c r="C26" s="138"/>
      <c r="D26" s="138"/>
      <c r="E26" s="138"/>
      <c r="F26" s="138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147</v>
      </c>
      <c r="P29" s="84" t="s">
        <v>149</v>
      </c>
      <c r="Q29" s="84">
        <v>5.46</v>
      </c>
      <c r="R29" s="85" t="s">
        <v>148</v>
      </c>
      <c r="S29" s="84" t="s">
        <v>150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151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48" t="s">
        <v>8</v>
      </c>
      <c r="C34" s="148"/>
      <c r="D34" s="148"/>
      <c r="E34" s="148"/>
      <c r="F34" s="148"/>
      <c r="G34" s="42"/>
      <c r="H34" s="18"/>
      <c r="R34" s="13"/>
    </row>
    <row r="35" spans="2:18" ht="15" customHeight="1" x14ac:dyDescent="0.25">
      <c r="B35" s="138" t="s">
        <v>94</v>
      </c>
      <c r="C35" s="138"/>
      <c r="D35" s="138"/>
      <c r="E35" s="138"/>
      <c r="F35" s="138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98</v>
      </c>
      <c r="C42" s="36"/>
      <c r="D42" s="37" t="s">
        <v>89</v>
      </c>
      <c r="E42" s="38" t="s">
        <v>99</v>
      </c>
      <c r="F42" s="36"/>
      <c r="G42" s="43"/>
      <c r="H42" s="18"/>
    </row>
    <row r="43" spans="2:18" ht="15" customHeight="1" x14ac:dyDescent="0.25">
      <c r="B43" s="46" t="s">
        <v>96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95</v>
      </c>
    </row>
    <row r="46" spans="2:18" x14ac:dyDescent="0.25">
      <c r="B46" t="s">
        <v>105</v>
      </c>
    </row>
    <row r="47" spans="2:18" ht="15" customHeight="1" x14ac:dyDescent="0.25">
      <c r="B47" s="67" t="s">
        <v>110</v>
      </c>
      <c r="C47" s="67"/>
      <c r="D47" s="67"/>
      <c r="E47" s="67"/>
    </row>
    <row r="48" spans="2:18" x14ac:dyDescent="0.25">
      <c r="B48" s="16" t="s">
        <v>85</v>
      </c>
      <c r="C48" s="16" t="s">
        <v>86</v>
      </c>
      <c r="D48" s="16" t="s">
        <v>87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111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rations</vt:lpstr>
      <vt:lpstr>Kontroll</vt:lpstr>
      <vt:lpstr>Slaktstat</vt:lpstr>
      <vt:lpstr>Sheet2</vt:lpstr>
      <vt:lpstr>Energi rek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2023-10-24T08:54:43Z</dcterms:modified>
</cp:coreProperties>
</file>