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feed pars" sheetId="2" r:id="rId2"/>
    <sheet name="pigs" sheetId="3" r:id="rId3"/>
    <sheet name="ruminants" sheetId="4" r:id="rId4"/>
    <sheet name="ruminants, roughage" sheetId="6" r:id="rId5"/>
    <sheet name="poultry" sheetId="5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0" i="1" l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59" i="1"/>
  <c r="Y37" i="2"/>
  <c r="W37" i="2"/>
  <c r="V37" i="2"/>
  <c r="X37" i="2" s="1"/>
  <c r="U37" i="2"/>
  <c r="T37" i="2"/>
  <c r="R37" i="2"/>
  <c r="Q37" i="2"/>
  <c r="D23" i="2"/>
  <c r="X36" i="2"/>
  <c r="H23" i="2"/>
  <c r="H11" i="2"/>
  <c r="D11" i="2" s="1"/>
  <c r="C11" i="2"/>
  <c r="C10" i="2"/>
  <c r="C9" i="2"/>
  <c r="C8" i="2"/>
  <c r="C7" i="2"/>
  <c r="C6" i="2"/>
  <c r="S36" i="2"/>
  <c r="M31" i="2"/>
  <c r="H31" i="2" s="1"/>
  <c r="D31" i="2" s="1"/>
  <c r="M20" i="2"/>
  <c r="H20" i="2" s="1"/>
  <c r="D20" i="2" s="1"/>
  <c r="J6" i="2"/>
  <c r="N7" i="2"/>
  <c r="N9" i="2"/>
  <c r="J9" i="2"/>
  <c r="I9" i="2"/>
  <c r="I7" i="2"/>
  <c r="N11" i="2"/>
  <c r="M11" i="2" s="1"/>
  <c r="I11" i="2"/>
  <c r="J11" i="2"/>
  <c r="M10" i="2"/>
  <c r="H10" i="2" s="1"/>
  <c r="D10" i="2" s="1"/>
  <c r="I8" i="2"/>
  <c r="N8" i="2"/>
  <c r="K8" i="2"/>
  <c r="J8" i="2"/>
  <c r="S37" i="2" l="1"/>
  <c r="D37" i="2" s="1"/>
  <c r="H9" i="2"/>
  <c r="D9" i="2" s="1"/>
  <c r="M8" i="2"/>
  <c r="H8" i="2" s="1"/>
  <c r="D8" i="2" s="1"/>
  <c r="M9" i="2"/>
  <c r="N6" i="2" l="1"/>
  <c r="M6" i="2" s="1"/>
  <c r="H6" i="2" s="1"/>
  <c r="D6" i="2" s="1"/>
  <c r="J7" i="2" l="1"/>
  <c r="I6" i="2"/>
  <c r="K14" i="6"/>
  <c r="K13" i="6"/>
  <c r="K12" i="6"/>
  <c r="K11" i="6"/>
  <c r="AD11" i="6" s="1"/>
  <c r="AE11" i="6" s="1"/>
  <c r="K10" i="6"/>
  <c r="AD10" i="6"/>
  <c r="AE10" i="6" s="1"/>
  <c r="K9" i="6"/>
  <c r="AD4" i="6"/>
  <c r="AE4" i="6"/>
  <c r="AD5" i="6"/>
  <c r="AE5" i="6"/>
  <c r="AD6" i="6"/>
  <c r="AE6" i="6"/>
  <c r="AD7" i="6"/>
  <c r="AE7" i="6"/>
  <c r="AD8" i="6"/>
  <c r="AE8" i="6"/>
  <c r="AD9" i="6"/>
  <c r="AE9" i="6" s="1"/>
  <c r="AD12" i="6"/>
  <c r="AE12" i="6"/>
  <c r="AD13" i="6"/>
  <c r="AE13" i="6"/>
  <c r="AD14" i="6"/>
  <c r="AE14" i="6"/>
  <c r="AD15" i="6"/>
  <c r="AE15" i="6"/>
  <c r="AD16" i="6"/>
  <c r="AE16" i="6"/>
  <c r="AD17" i="6"/>
  <c r="AE17" i="6"/>
  <c r="AD18" i="6"/>
  <c r="AE18" i="6"/>
  <c r="AD19" i="6"/>
  <c r="AE19" i="6"/>
  <c r="AD20" i="6"/>
  <c r="AE20" i="6"/>
  <c r="AD21" i="6"/>
  <c r="AE21" i="6"/>
  <c r="AD22" i="6"/>
  <c r="AE22" i="6"/>
  <c r="AD23" i="6"/>
  <c r="AE23" i="6"/>
  <c r="AD24" i="6"/>
  <c r="AE24" i="6"/>
  <c r="AD25" i="6"/>
  <c r="AE25" i="6"/>
  <c r="AD26" i="6"/>
  <c r="AE26" i="6"/>
  <c r="AD27" i="6"/>
  <c r="AE27" i="6"/>
  <c r="AD28" i="6"/>
  <c r="AE28" i="6"/>
  <c r="AD29" i="6"/>
  <c r="AE29" i="6"/>
  <c r="AD30" i="6"/>
  <c r="AE30" i="6"/>
  <c r="AD31" i="6"/>
  <c r="AE31" i="6"/>
  <c r="AD32" i="6"/>
  <c r="AE32" i="6"/>
  <c r="AD33" i="6"/>
  <c r="AE33" i="6"/>
  <c r="AD34" i="6"/>
  <c r="AE34" i="6"/>
  <c r="AD35" i="6"/>
  <c r="AE35" i="6"/>
  <c r="AD36" i="6"/>
  <c r="AE36" i="6"/>
  <c r="AD37" i="6"/>
  <c r="AE37" i="6"/>
  <c r="AD38" i="6"/>
  <c r="AE38" i="6"/>
  <c r="AD39" i="6"/>
  <c r="AE39" i="6"/>
  <c r="AD40" i="6"/>
  <c r="AE40" i="6"/>
  <c r="AD41" i="6"/>
  <c r="AE41" i="6"/>
  <c r="AD42" i="6"/>
  <c r="AE42" i="6"/>
  <c r="AD43" i="6"/>
  <c r="AE43" i="6"/>
  <c r="AD44" i="6"/>
  <c r="AE44" i="6"/>
  <c r="AD45" i="6"/>
  <c r="AE45" i="6"/>
  <c r="AD46" i="6"/>
  <c r="AE46" i="6"/>
  <c r="AD47" i="6"/>
  <c r="AE47" i="6"/>
  <c r="AD48" i="6"/>
  <c r="AE48" i="6"/>
  <c r="AD49" i="6"/>
  <c r="AE49" i="6"/>
  <c r="AD50" i="6"/>
  <c r="AE50" i="6"/>
  <c r="AD51" i="6"/>
  <c r="AE51" i="6"/>
  <c r="AD52" i="6"/>
  <c r="AE52" i="6"/>
  <c r="AD53" i="6"/>
  <c r="AE53" i="6"/>
  <c r="AD54" i="6"/>
  <c r="AE54" i="6"/>
  <c r="AD55" i="6"/>
  <c r="AE55" i="6"/>
  <c r="AD56" i="6"/>
  <c r="AE56" i="6"/>
  <c r="AD57" i="6"/>
  <c r="AE57" i="6"/>
  <c r="AD58" i="6"/>
  <c r="AE58" i="6"/>
  <c r="AD59" i="6"/>
  <c r="AE59" i="6"/>
  <c r="AD60" i="6"/>
  <c r="AE60" i="6"/>
  <c r="AD61" i="6"/>
  <c r="AE61" i="6"/>
  <c r="AE3" i="6"/>
  <c r="AD3" i="6"/>
  <c r="M7" i="2" l="1"/>
  <c r="H7" i="2" s="1"/>
  <c r="D7" i="2" s="1"/>
  <c r="K230" i="1" l="1"/>
  <c r="N112" i="1" l="1"/>
  <c r="N111" i="1"/>
  <c r="N110" i="1"/>
  <c r="N109" i="1"/>
  <c r="N108" i="1"/>
  <c r="M110" i="1"/>
  <c r="M109" i="1"/>
  <c r="M108" i="1"/>
  <c r="L112" i="1"/>
  <c r="L111" i="1"/>
  <c r="L110" i="1"/>
  <c r="L109" i="1"/>
  <c r="L108" i="1"/>
  <c r="K112" i="1"/>
  <c r="K111" i="1"/>
  <c r="K109" i="1"/>
  <c r="K108" i="1"/>
  <c r="J112" i="1"/>
  <c r="J111" i="1"/>
  <c r="J110" i="1"/>
  <c r="J109" i="1"/>
  <c r="J108" i="1"/>
  <c r="E109" i="1"/>
  <c r="E108" i="1"/>
  <c r="B108" i="1"/>
  <c r="A112" i="1"/>
  <c r="A111" i="1"/>
  <c r="A110" i="1"/>
  <c r="A109" i="1"/>
  <c r="N106" i="1"/>
  <c r="N105" i="1"/>
  <c r="N104" i="1"/>
  <c r="N103" i="1"/>
  <c r="N102" i="1"/>
  <c r="M104" i="1"/>
  <c r="M103" i="1"/>
  <c r="M102" i="1"/>
  <c r="L106" i="1"/>
  <c r="L105" i="1"/>
  <c r="L104" i="1"/>
  <c r="L103" i="1"/>
  <c r="L102" i="1"/>
  <c r="K106" i="1"/>
  <c r="K105" i="1"/>
  <c r="K103" i="1"/>
  <c r="K102" i="1"/>
  <c r="E103" i="1"/>
  <c r="E102" i="1"/>
  <c r="B102" i="1"/>
  <c r="A106" i="1"/>
  <c r="A105" i="1"/>
  <c r="A104" i="1"/>
  <c r="A103" i="1"/>
  <c r="J106" i="1"/>
  <c r="J105" i="1"/>
  <c r="J104" i="1"/>
  <c r="J103" i="1"/>
  <c r="J102" i="1"/>
  <c r="A108" i="1"/>
  <c r="A102" i="1"/>
  <c r="N100" i="1"/>
  <c r="N99" i="1"/>
  <c r="N98" i="1"/>
  <c r="N97" i="1"/>
  <c r="N96" i="1"/>
  <c r="M98" i="1"/>
  <c r="M97" i="1"/>
  <c r="M96" i="1"/>
  <c r="L100" i="1"/>
  <c r="K100" i="1"/>
  <c r="L99" i="1"/>
  <c r="K99" i="1"/>
  <c r="L98" i="1"/>
  <c r="L97" i="1"/>
  <c r="K97" i="1"/>
  <c r="L96" i="1"/>
  <c r="K96" i="1"/>
  <c r="J100" i="1"/>
  <c r="J99" i="1"/>
  <c r="J98" i="1"/>
  <c r="J97" i="1"/>
  <c r="J96" i="1"/>
  <c r="E97" i="1"/>
  <c r="E96" i="1"/>
  <c r="B96" i="1"/>
  <c r="A100" i="1"/>
  <c r="A99" i="1"/>
  <c r="A98" i="1"/>
  <c r="A97" i="1"/>
  <c r="A96" i="1"/>
  <c r="N87" i="1"/>
  <c r="N88" i="1"/>
  <c r="N89" i="1"/>
  <c r="N90" i="1"/>
  <c r="N91" i="1"/>
  <c r="N92" i="1"/>
  <c r="N93" i="1"/>
  <c r="N94" i="1"/>
  <c r="N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L94" i="1"/>
  <c r="M86" i="1"/>
  <c r="L86" i="1"/>
  <c r="K88" i="1"/>
  <c r="K89" i="1"/>
  <c r="K90" i="1"/>
  <c r="K91" i="1"/>
  <c r="K93" i="1"/>
  <c r="K94" i="1"/>
  <c r="J87" i="1"/>
  <c r="J88" i="1"/>
  <c r="J89" i="1"/>
  <c r="J90" i="1"/>
  <c r="J91" i="1"/>
  <c r="J92" i="1"/>
  <c r="J93" i="1"/>
  <c r="J94" i="1"/>
  <c r="J86" i="1"/>
  <c r="E91" i="1"/>
  <c r="E90" i="1"/>
  <c r="B90" i="1"/>
  <c r="E86" i="1"/>
  <c r="B86" i="1"/>
  <c r="A87" i="1"/>
  <c r="A88" i="1"/>
  <c r="A89" i="1"/>
  <c r="A90" i="1"/>
  <c r="A91" i="1"/>
  <c r="A92" i="1"/>
  <c r="A93" i="1"/>
  <c r="A94" i="1"/>
  <c r="A86" i="1"/>
  <c r="K83" i="1"/>
  <c r="K110" i="1" s="1"/>
  <c r="K78" i="1"/>
  <c r="K87" i="1" s="1"/>
  <c r="K77" i="1"/>
  <c r="K86" i="1" s="1"/>
  <c r="K115" i="1"/>
  <c r="K114" i="1"/>
  <c r="K104" i="1" l="1"/>
  <c r="K92" i="1"/>
  <c r="K98" i="1"/>
  <c r="AB37" i="2"/>
  <c r="AC37" i="2" s="1"/>
  <c r="C37" i="2" s="1"/>
  <c r="K152" i="1" s="1"/>
  <c r="K123" i="1" l="1"/>
  <c r="K124" i="1"/>
  <c r="K125" i="1"/>
  <c r="K126" i="1"/>
  <c r="K127" i="1"/>
  <c r="K122" i="1"/>
  <c r="AB14" i="2"/>
  <c r="AC14" i="2" s="1"/>
  <c r="AB15" i="2"/>
  <c r="AC15" i="2" s="1"/>
  <c r="AB16" i="2"/>
  <c r="AC16" i="2" s="1"/>
  <c r="AB17" i="2"/>
  <c r="AC17" i="2" s="1"/>
  <c r="AB18" i="2"/>
  <c r="AC18" i="2" s="1"/>
  <c r="AB19" i="2"/>
  <c r="AC19" i="2" s="1"/>
  <c r="AB23" i="2"/>
  <c r="AC23" i="2" s="1"/>
  <c r="AB26" i="2"/>
  <c r="AC26" i="2" s="1"/>
  <c r="AB28" i="2"/>
  <c r="AC28" i="2" s="1"/>
  <c r="AB32" i="2"/>
  <c r="AC32" i="2" s="1"/>
  <c r="AB33" i="2"/>
  <c r="AC33" i="2" s="1"/>
  <c r="AB42" i="2"/>
  <c r="AC42" i="2" s="1"/>
  <c r="AB43" i="2"/>
  <c r="AC43" i="2" s="1"/>
  <c r="AB13" i="2"/>
  <c r="AC13" i="2" s="1"/>
  <c r="F13" i="2"/>
  <c r="N13" i="2" s="1"/>
  <c r="G13" i="2" l="1"/>
  <c r="M13" i="2"/>
  <c r="J13" i="2"/>
  <c r="H13" i="2" s="1"/>
  <c r="D13" i="2" s="1"/>
  <c r="L13" i="2"/>
  <c r="K13" i="2"/>
  <c r="K214" i="1"/>
  <c r="K210" i="1"/>
  <c r="K242" i="1" s="1"/>
  <c r="K220" i="1"/>
  <c r="F25" i="2"/>
  <c r="N25" i="2" s="1"/>
  <c r="C31" i="2"/>
  <c r="K146" i="1" s="1"/>
  <c r="F17" i="2"/>
  <c r="N17" i="2" s="1"/>
  <c r="Q17" i="2"/>
  <c r="K29" i="1" l="1"/>
  <c r="I17" i="2"/>
  <c r="K207" i="1" s="1"/>
  <c r="K239" i="1" s="1"/>
  <c r="M17" i="2"/>
  <c r="L17" i="2"/>
  <c r="K17" i="2"/>
  <c r="J17" i="2"/>
  <c r="H17" i="2" s="1"/>
  <c r="D17" i="2" s="1"/>
  <c r="G25" i="2"/>
  <c r="C25" i="2" s="1"/>
  <c r="K23" i="1" s="1"/>
  <c r="M25" i="2"/>
  <c r="J25" i="2"/>
  <c r="L25" i="2"/>
  <c r="K25" i="2"/>
  <c r="G17" i="2"/>
  <c r="C17" i="2" s="1"/>
  <c r="K14" i="1" s="1"/>
  <c r="I25" i="2"/>
  <c r="K215" i="1" s="1"/>
  <c r="K292" i="1"/>
  <c r="K34" i="1"/>
  <c r="K9" i="1"/>
  <c r="K8" i="1"/>
  <c r="K5" i="1"/>
  <c r="K6" i="1"/>
  <c r="K7" i="1"/>
  <c r="K4" i="1"/>
  <c r="K198" i="1"/>
  <c r="K199" i="1"/>
  <c r="K200" i="1"/>
  <c r="K201" i="1"/>
  <c r="K231" i="1" s="1"/>
  <c r="K197" i="1"/>
  <c r="Q23" i="2"/>
  <c r="F36" i="2"/>
  <c r="N36" i="2" s="1"/>
  <c r="H25" i="2" l="1"/>
  <c r="D25" i="2" s="1"/>
  <c r="U23" i="2"/>
  <c r="K255" i="1" s="1"/>
  <c r="V23" i="2"/>
  <c r="W23" i="2"/>
  <c r="Y23" i="2"/>
  <c r="K140" i="1"/>
  <c r="G36" i="2"/>
  <c r="C36" i="2" s="1"/>
  <c r="K151" i="1" s="1"/>
  <c r="M36" i="2"/>
  <c r="J36" i="2"/>
  <c r="L36" i="2"/>
  <c r="K36" i="2"/>
  <c r="K132" i="1"/>
  <c r="R23" i="2"/>
  <c r="C23" i="2" s="1"/>
  <c r="T23" i="2"/>
  <c r="K282" i="1" s="1"/>
  <c r="I36" i="2"/>
  <c r="K223" i="1" s="1"/>
  <c r="X23" i="2" l="1"/>
  <c r="S23" i="2" s="1"/>
  <c r="H36" i="2"/>
  <c r="D36" i="2" s="1"/>
  <c r="K20" i="1"/>
  <c r="K138" i="1"/>
  <c r="F40" i="2"/>
  <c r="N40" i="2" s="1"/>
  <c r="F14" i="2"/>
  <c r="N14" i="2" s="1"/>
  <c r="F15" i="2"/>
  <c r="N15" i="2" s="1"/>
  <c r="F16" i="2"/>
  <c r="N16" i="2" s="1"/>
  <c r="F18" i="2"/>
  <c r="N18" i="2" s="1"/>
  <c r="F19" i="2"/>
  <c r="N19" i="2" s="1"/>
  <c r="F21" i="2"/>
  <c r="N21" i="2" s="1"/>
  <c r="F22" i="2"/>
  <c r="N22" i="2" s="1"/>
  <c r="F24" i="2"/>
  <c r="N24" i="2" s="1"/>
  <c r="F26" i="2"/>
  <c r="N26" i="2" s="1"/>
  <c r="F28" i="2"/>
  <c r="N28" i="2" s="1"/>
  <c r="F29" i="2"/>
  <c r="N29" i="2" s="1"/>
  <c r="F30" i="2"/>
  <c r="N30" i="2" s="1"/>
  <c r="F32" i="2"/>
  <c r="N32" i="2" s="1"/>
  <c r="N33" i="2" s="1"/>
  <c r="M33" i="2" s="1"/>
  <c r="H33" i="2" s="1"/>
  <c r="D33" i="2" s="1"/>
  <c r="F34" i="2"/>
  <c r="N34" i="2" s="1"/>
  <c r="F38" i="2"/>
  <c r="N38" i="2" s="1"/>
  <c r="F39" i="2"/>
  <c r="N39" i="2" s="1"/>
  <c r="F42" i="2"/>
  <c r="N42" i="2" s="1"/>
  <c r="I13" i="2"/>
  <c r="K203" i="1" s="1"/>
  <c r="K235" i="1" s="1"/>
  <c r="Q13" i="2"/>
  <c r="V13" i="2" l="1"/>
  <c r="Y13" i="2"/>
  <c r="W13" i="2"/>
  <c r="G42" i="2"/>
  <c r="M42" i="2"/>
  <c r="J42" i="2"/>
  <c r="L42" i="2"/>
  <c r="K42" i="2"/>
  <c r="G32" i="2"/>
  <c r="M32" i="2"/>
  <c r="K32" i="2"/>
  <c r="J32" i="2"/>
  <c r="H32" i="2" s="1"/>
  <c r="D32" i="2" s="1"/>
  <c r="L32" i="2"/>
  <c r="M26" i="2"/>
  <c r="K26" i="2"/>
  <c r="J26" i="2"/>
  <c r="H26" i="2" s="1"/>
  <c r="D26" i="2" s="1"/>
  <c r="L26" i="2"/>
  <c r="G19" i="2"/>
  <c r="M19" i="2"/>
  <c r="L19" i="2"/>
  <c r="K19" i="2"/>
  <c r="J19" i="2"/>
  <c r="G14" i="2"/>
  <c r="M14" i="2"/>
  <c r="K14" i="2"/>
  <c r="J14" i="2"/>
  <c r="L14" i="2"/>
  <c r="I39" i="2"/>
  <c r="K225" i="1" s="1"/>
  <c r="M39" i="2"/>
  <c r="J39" i="2"/>
  <c r="L39" i="2"/>
  <c r="K39" i="2"/>
  <c r="I30" i="2"/>
  <c r="K219" i="1" s="1"/>
  <c r="M30" i="2"/>
  <c r="L30" i="2"/>
  <c r="K30" i="2"/>
  <c r="J30" i="2"/>
  <c r="I24" i="2"/>
  <c r="K213" i="1" s="1"/>
  <c r="M24" i="2"/>
  <c r="K24" i="2"/>
  <c r="J24" i="2"/>
  <c r="L24" i="2"/>
  <c r="I18" i="2"/>
  <c r="K208" i="1" s="1"/>
  <c r="K240" i="1" s="1"/>
  <c r="M18" i="2"/>
  <c r="K18" i="2"/>
  <c r="J18" i="2"/>
  <c r="L18" i="2"/>
  <c r="I40" i="2"/>
  <c r="K226" i="1" s="1"/>
  <c r="M40" i="2"/>
  <c r="K40" i="2"/>
  <c r="L40" i="2"/>
  <c r="J40" i="2"/>
  <c r="H40" i="2" s="1"/>
  <c r="D40" i="2" s="1"/>
  <c r="G38" i="2"/>
  <c r="M38" i="2"/>
  <c r="K38" i="2"/>
  <c r="L38" i="2"/>
  <c r="J38" i="2"/>
  <c r="G29" i="2"/>
  <c r="M29" i="2"/>
  <c r="K29" i="2"/>
  <c r="J29" i="2"/>
  <c r="L29" i="2"/>
  <c r="G22" i="2"/>
  <c r="M22" i="2"/>
  <c r="L22" i="2"/>
  <c r="K22" i="2"/>
  <c r="J22" i="2"/>
  <c r="G16" i="2"/>
  <c r="M16" i="2"/>
  <c r="K16" i="2"/>
  <c r="J16" i="2"/>
  <c r="L16" i="2"/>
  <c r="G34" i="2"/>
  <c r="M34" i="2"/>
  <c r="K34" i="2"/>
  <c r="L34" i="2"/>
  <c r="J34" i="2"/>
  <c r="G28" i="2"/>
  <c r="M28" i="2"/>
  <c r="L28" i="2"/>
  <c r="K28" i="2"/>
  <c r="J28" i="2"/>
  <c r="G21" i="2"/>
  <c r="M21" i="2"/>
  <c r="K21" i="2"/>
  <c r="J21" i="2"/>
  <c r="L21" i="2"/>
  <c r="G15" i="2"/>
  <c r="M15" i="2"/>
  <c r="L15" i="2"/>
  <c r="K15" i="2"/>
  <c r="J15" i="2"/>
  <c r="H15" i="2" s="1"/>
  <c r="D15" i="2" s="1"/>
  <c r="G26" i="2"/>
  <c r="I26" i="2"/>
  <c r="K216" i="1" s="1"/>
  <c r="G40" i="2"/>
  <c r="I34" i="2"/>
  <c r="K222" i="1" s="1"/>
  <c r="I28" i="2"/>
  <c r="K217" i="1" s="1"/>
  <c r="I21" i="2"/>
  <c r="K211" i="1" s="1"/>
  <c r="I15" i="2"/>
  <c r="K205" i="1" s="1"/>
  <c r="G39" i="2"/>
  <c r="G30" i="2"/>
  <c r="G24" i="2"/>
  <c r="C24" i="2" s="1"/>
  <c r="G18" i="2"/>
  <c r="I42" i="2"/>
  <c r="K227" i="1" s="1"/>
  <c r="I38" i="2"/>
  <c r="K224" i="1" s="1"/>
  <c r="I32" i="2"/>
  <c r="K221" i="1" s="1"/>
  <c r="I29" i="2"/>
  <c r="K218" i="1" s="1"/>
  <c r="I22" i="2"/>
  <c r="K212" i="1" s="1"/>
  <c r="I19" i="2"/>
  <c r="K209" i="1" s="1"/>
  <c r="K241" i="1" s="1"/>
  <c r="I16" i="2"/>
  <c r="K206" i="1" s="1"/>
  <c r="K238" i="1" s="1"/>
  <c r="I14" i="2"/>
  <c r="K204" i="1" s="1"/>
  <c r="Q43" i="2"/>
  <c r="Q14" i="2"/>
  <c r="Q15" i="2"/>
  <c r="Q16" i="2"/>
  <c r="Q18" i="2"/>
  <c r="Q19" i="2"/>
  <c r="Q20" i="2"/>
  <c r="Q21" i="2"/>
  <c r="Q22" i="2"/>
  <c r="Q26" i="2"/>
  <c r="Q27" i="2"/>
  <c r="Q28" i="2"/>
  <c r="Q29" i="2"/>
  <c r="Q30" i="2"/>
  <c r="Q32" i="2"/>
  <c r="Q33" i="2"/>
  <c r="Q34" i="2"/>
  <c r="Q35" i="2"/>
  <c r="Q38" i="2"/>
  <c r="Q39" i="2"/>
  <c r="Q40" i="2"/>
  <c r="Q41" i="2"/>
  <c r="Q42" i="2"/>
  <c r="T13" i="2"/>
  <c r="K273" i="1" s="1"/>
  <c r="H16" i="2" l="1"/>
  <c r="D16" i="2" s="1"/>
  <c r="H22" i="2"/>
  <c r="D22" i="2" s="1"/>
  <c r="H21" i="2"/>
  <c r="D21" i="2" s="1"/>
  <c r="H28" i="2"/>
  <c r="D28" i="2" s="1"/>
  <c r="H18" i="2"/>
  <c r="D18" i="2" s="1"/>
  <c r="H39" i="2"/>
  <c r="D39" i="2" s="1"/>
  <c r="H14" i="2"/>
  <c r="D14" i="2" s="1"/>
  <c r="H19" i="2"/>
  <c r="D19" i="2" s="1"/>
  <c r="H42" i="2"/>
  <c r="D42" i="2" s="1"/>
  <c r="H34" i="2"/>
  <c r="D34" i="2" s="1"/>
  <c r="H29" i="2"/>
  <c r="D29" i="2" s="1"/>
  <c r="H38" i="2"/>
  <c r="D38" i="2" s="1"/>
  <c r="H24" i="2"/>
  <c r="D24" i="2" s="1"/>
  <c r="H30" i="2"/>
  <c r="D30" i="2" s="1"/>
  <c r="X13" i="2"/>
  <c r="S13" i="2" s="1"/>
  <c r="R40" i="2"/>
  <c r="V40" i="2"/>
  <c r="W40" i="2"/>
  <c r="Y40" i="2"/>
  <c r="R34" i="2"/>
  <c r="C34" i="2" s="1"/>
  <c r="K149" i="1" s="1"/>
  <c r="V34" i="2"/>
  <c r="W34" i="2"/>
  <c r="Y34" i="2"/>
  <c r="R29" i="2"/>
  <c r="C29" i="2" s="1"/>
  <c r="K144" i="1" s="1"/>
  <c r="V29" i="2"/>
  <c r="W29" i="2"/>
  <c r="Y29" i="2"/>
  <c r="R22" i="2"/>
  <c r="C22" i="2" s="1"/>
  <c r="K19" i="1" s="1"/>
  <c r="V22" i="2"/>
  <c r="Y22" i="2"/>
  <c r="W22" i="2"/>
  <c r="R18" i="2"/>
  <c r="C18" i="2" s="1"/>
  <c r="Y18" i="2"/>
  <c r="V18" i="2"/>
  <c r="W18" i="2"/>
  <c r="U43" i="2"/>
  <c r="K271" i="1" s="1"/>
  <c r="Y43" i="2"/>
  <c r="V43" i="2"/>
  <c r="W43" i="2"/>
  <c r="U39" i="2"/>
  <c r="K267" i="1" s="1"/>
  <c r="Y39" i="2"/>
  <c r="V39" i="2"/>
  <c r="W39" i="2"/>
  <c r="U33" i="2"/>
  <c r="K262" i="1" s="1"/>
  <c r="Y33" i="2"/>
  <c r="V33" i="2"/>
  <c r="W33" i="2"/>
  <c r="U28" i="2"/>
  <c r="K258" i="1" s="1"/>
  <c r="V28" i="2"/>
  <c r="Y28" i="2"/>
  <c r="W28" i="2"/>
  <c r="U21" i="2"/>
  <c r="K253" i="1" s="1"/>
  <c r="Y21" i="2"/>
  <c r="W21" i="2"/>
  <c r="V21" i="2"/>
  <c r="U16" i="2"/>
  <c r="K249" i="1" s="1"/>
  <c r="Y16" i="2"/>
  <c r="W16" i="2"/>
  <c r="V16" i="2"/>
  <c r="T42" i="2"/>
  <c r="K297" i="1" s="1"/>
  <c r="Y42" i="2"/>
  <c r="W42" i="2"/>
  <c r="V42" i="2"/>
  <c r="T38" i="2"/>
  <c r="K293" i="1" s="1"/>
  <c r="Y38" i="2"/>
  <c r="W38" i="2"/>
  <c r="V38" i="2"/>
  <c r="T32" i="2"/>
  <c r="K288" i="1" s="1"/>
  <c r="Y32" i="2"/>
  <c r="W32" i="2"/>
  <c r="V32" i="2"/>
  <c r="T27" i="2"/>
  <c r="K284" i="1" s="1"/>
  <c r="Y27" i="2"/>
  <c r="W27" i="2"/>
  <c r="V27" i="2"/>
  <c r="T20" i="2"/>
  <c r="K279" i="1" s="1"/>
  <c r="W20" i="2"/>
  <c r="V20" i="2"/>
  <c r="Y20" i="2"/>
  <c r="T15" i="2"/>
  <c r="K275" i="1" s="1"/>
  <c r="W15" i="2"/>
  <c r="Y15" i="2"/>
  <c r="V15" i="2"/>
  <c r="R41" i="2"/>
  <c r="C41" i="2" s="1"/>
  <c r="K156" i="1" s="1"/>
  <c r="W41" i="2"/>
  <c r="V41" i="2"/>
  <c r="Y41" i="2"/>
  <c r="R35" i="2"/>
  <c r="C35" i="2" s="1"/>
  <c r="K150" i="1" s="1"/>
  <c r="W35" i="2"/>
  <c r="V35" i="2"/>
  <c r="Y35" i="2"/>
  <c r="R30" i="2"/>
  <c r="C30" i="2" s="1"/>
  <c r="W30" i="2"/>
  <c r="Y30" i="2"/>
  <c r="V30" i="2"/>
  <c r="R26" i="2"/>
  <c r="C26" i="2" s="1"/>
  <c r="K141" i="1" s="1"/>
  <c r="W26" i="2"/>
  <c r="V26" i="2"/>
  <c r="Y26" i="2"/>
  <c r="R19" i="2"/>
  <c r="V19" i="2"/>
  <c r="W19" i="2"/>
  <c r="Y19" i="2"/>
  <c r="R14" i="2"/>
  <c r="C14" i="2" s="1"/>
  <c r="K11" i="1" s="1"/>
  <c r="V14" i="2"/>
  <c r="W14" i="2"/>
  <c r="Y14" i="2"/>
  <c r="C19" i="2"/>
  <c r="K16" i="1" s="1"/>
  <c r="K233" i="1"/>
  <c r="K237" i="1"/>
  <c r="K234" i="1"/>
  <c r="K236" i="1"/>
  <c r="K22" i="1"/>
  <c r="K139" i="1"/>
  <c r="C40" i="2"/>
  <c r="K155" i="1" s="1"/>
  <c r="R42" i="2"/>
  <c r="C42" i="2" s="1"/>
  <c r="R38" i="2"/>
  <c r="C38" i="2" s="1"/>
  <c r="R32" i="2"/>
  <c r="C32" i="2" s="1"/>
  <c r="R27" i="2"/>
  <c r="C27" i="2" s="1"/>
  <c r="R20" i="2"/>
  <c r="C20" i="2" s="1"/>
  <c r="R15" i="2"/>
  <c r="C15" i="2" s="1"/>
  <c r="U41" i="2"/>
  <c r="K269" i="1" s="1"/>
  <c r="U35" i="2"/>
  <c r="K264" i="1" s="1"/>
  <c r="U30" i="2"/>
  <c r="K260" i="1" s="1"/>
  <c r="U26" i="2"/>
  <c r="K256" i="1" s="1"/>
  <c r="U19" i="2"/>
  <c r="K251" i="1" s="1"/>
  <c r="U14" i="2"/>
  <c r="K247" i="1" s="1"/>
  <c r="T43" i="2"/>
  <c r="K298" i="1" s="1"/>
  <c r="U40" i="2"/>
  <c r="K268" i="1" s="1"/>
  <c r="U34" i="2"/>
  <c r="U29" i="2"/>
  <c r="K259" i="1" s="1"/>
  <c r="U22" i="2"/>
  <c r="K254" i="1" s="1"/>
  <c r="U18" i="2"/>
  <c r="K250" i="1" s="1"/>
  <c r="R43" i="2"/>
  <c r="C43" i="2" s="1"/>
  <c r="T40" i="2"/>
  <c r="K295" i="1" s="1"/>
  <c r="T34" i="2"/>
  <c r="K290" i="1" s="1"/>
  <c r="T29" i="2"/>
  <c r="K286" i="1" s="1"/>
  <c r="T22" i="2"/>
  <c r="K281" i="1" s="1"/>
  <c r="T18" i="2"/>
  <c r="K277" i="1" s="1"/>
  <c r="R13" i="2"/>
  <c r="C13" i="2" s="1"/>
  <c r="T39" i="2"/>
  <c r="K294" i="1" s="1"/>
  <c r="R39" i="2"/>
  <c r="C39" i="2" s="1"/>
  <c r="R21" i="2"/>
  <c r="T33" i="2"/>
  <c r="K289" i="1" s="1"/>
  <c r="T16" i="2"/>
  <c r="K276" i="1" s="1"/>
  <c r="U13" i="2"/>
  <c r="R16" i="2"/>
  <c r="C16" i="2" s="1"/>
  <c r="U42" i="2"/>
  <c r="K270" i="1" s="1"/>
  <c r="T41" i="2"/>
  <c r="K296" i="1" s="1"/>
  <c r="U38" i="2"/>
  <c r="K266" i="1" s="1"/>
  <c r="T35" i="2"/>
  <c r="K291" i="1" s="1"/>
  <c r="U32" i="2"/>
  <c r="K261" i="1" s="1"/>
  <c r="T30" i="2"/>
  <c r="K287" i="1" s="1"/>
  <c r="U27" i="2"/>
  <c r="K257" i="1" s="1"/>
  <c r="T26" i="2"/>
  <c r="K283" i="1" s="1"/>
  <c r="U20" i="2"/>
  <c r="K252" i="1" s="1"/>
  <c r="T19" i="2"/>
  <c r="K278" i="1" s="1"/>
  <c r="U15" i="2"/>
  <c r="K248" i="1" s="1"/>
  <c r="T14" i="2"/>
  <c r="K274" i="1" s="1"/>
  <c r="T28" i="2"/>
  <c r="K285" i="1" s="1"/>
  <c r="T21" i="2"/>
  <c r="K280" i="1" s="1"/>
  <c r="R33" i="2"/>
  <c r="C33" i="2" s="1"/>
  <c r="R28" i="2"/>
  <c r="C28" i="2" s="1"/>
  <c r="K33" i="1" l="1"/>
  <c r="K32" i="1" s="1"/>
  <c r="K134" i="1"/>
  <c r="X30" i="2"/>
  <c r="S30" i="2"/>
  <c r="X32" i="2"/>
  <c r="S32" i="2" s="1"/>
  <c r="X42" i="2"/>
  <c r="S42" i="2" s="1"/>
  <c r="X16" i="2"/>
  <c r="S16" i="2"/>
  <c r="X26" i="2"/>
  <c r="S26" i="2" s="1"/>
  <c r="X35" i="2"/>
  <c r="S35" i="2" s="1"/>
  <c r="D35" i="2" s="1"/>
  <c r="X41" i="2"/>
  <c r="S41" i="2"/>
  <c r="D41" i="2" s="1"/>
  <c r="X20" i="2"/>
  <c r="S20" i="2"/>
  <c r="X33" i="2"/>
  <c r="S33" i="2" s="1"/>
  <c r="X39" i="2"/>
  <c r="S39" i="2" s="1"/>
  <c r="X43" i="2"/>
  <c r="S43" i="2" s="1"/>
  <c r="D43" i="2" s="1"/>
  <c r="X18" i="2"/>
  <c r="S18" i="2" s="1"/>
  <c r="K24" i="1"/>
  <c r="X14" i="2"/>
  <c r="S14" i="2" s="1"/>
  <c r="X19" i="2"/>
  <c r="S19" i="2" s="1"/>
  <c r="S28" i="2"/>
  <c r="X28" i="2"/>
  <c r="S22" i="2"/>
  <c r="X22" i="2"/>
  <c r="X29" i="2"/>
  <c r="S29" i="2" s="1"/>
  <c r="X34" i="2"/>
  <c r="S34" i="2" s="1"/>
  <c r="X40" i="2"/>
  <c r="S40" i="2" s="1"/>
  <c r="X15" i="2"/>
  <c r="S15" i="2" s="1"/>
  <c r="X27" i="2"/>
  <c r="S27" i="2" s="1"/>
  <c r="D27" i="2" s="1"/>
  <c r="S38" i="2"/>
  <c r="X38" i="2"/>
  <c r="S21" i="2"/>
  <c r="X21" i="2"/>
  <c r="K246" i="1"/>
  <c r="K129" i="1"/>
  <c r="K27" i="1"/>
  <c r="K137" i="1"/>
  <c r="K26" i="1"/>
  <c r="K143" i="1"/>
  <c r="K15" i="1"/>
  <c r="K133" i="1"/>
  <c r="K30" i="1"/>
  <c r="K147" i="1"/>
  <c r="K25" i="1"/>
  <c r="K142" i="1"/>
  <c r="K36" i="1"/>
  <c r="K154" i="1"/>
  <c r="K12" i="1"/>
  <c r="K130" i="1"/>
  <c r="K35" i="1"/>
  <c r="K153" i="1"/>
  <c r="K28" i="1"/>
  <c r="K145" i="1"/>
  <c r="K13" i="1"/>
  <c r="K131" i="1"/>
  <c r="K31" i="1"/>
  <c r="K148" i="1"/>
  <c r="K40" i="1"/>
  <c r="K158" i="1"/>
  <c r="K10" i="1"/>
  <c r="K128" i="1"/>
  <c r="K17" i="1"/>
  <c r="K135" i="1"/>
  <c r="K39" i="1"/>
  <c r="K157" i="1"/>
  <c r="C21" i="2"/>
  <c r="K136" i="1" s="1"/>
  <c r="K263" i="1"/>
  <c r="U36" i="2"/>
  <c r="K265" i="1" s="1"/>
  <c r="K37" i="1"/>
  <c r="K38" i="1" s="1"/>
  <c r="K18" i="1" l="1"/>
</calcChain>
</file>

<file path=xl/sharedStrings.xml><?xml version="1.0" encoding="utf-8"?>
<sst xmlns="http://schemas.openxmlformats.org/spreadsheetml/2006/main" count="1420" uniqueCount="500">
  <si>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</si>
  <si>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</si>
  <si>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</si>
  <si>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</si>
  <si>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</si>
  <si>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</si>
  <si>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</si>
  <si>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</si>
  <si>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</si>
  <si>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</si>
  <si>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</si>
  <si>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</si>
  <si>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</si>
  <si>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</si>
  <si>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</si>
  <si>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</si>
  <si>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</si>
  <si>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</si>
  <si>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</si>
  <si>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MJ ME/kg DM</t>
  </si>
  <si>
    <t>Cattle</t>
  </si>
  <si>
    <t>Pigs</t>
  </si>
  <si>
    <t>MJ NEv/kg DM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</si>
  <si>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</si>
  <si>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</si>
  <si>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</si>
  <si>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</si>
  <si>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</si>
  <si>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</si>
  <si>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</si>
  <si>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</si>
  <si>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</si>
  <si>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</si>
  <si>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</si>
  <si>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</si>
  <si>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</si>
  <si>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</si>
  <si>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</si>
  <si>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</si>
  <si>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</si>
  <si>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</si>
  <si>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</si>
  <si>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</si>
  <si>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</si>
  <si>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</si>
  <si>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</si>
  <si>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</si>
  <si>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</si>
  <si>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</si>
  <si>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</si>
  <si>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</si>
  <si>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</si>
  <si>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</si>
  <si>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</si>
  <si>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</si>
  <si>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</si>
  <si>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</si>
  <si>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</si>
  <si>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</si>
  <si>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</si>
  <si>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</si>
  <si>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</si>
  <si>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</si>
  <si>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</si>
  <si>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</si>
  <si>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</si>
  <si>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</si>
  <si>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</si>
  <si>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</si>
  <si>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</si>
  <si>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</si>
  <si>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</si>
  <si>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</si>
  <si>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</si>
  <si>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</si>
  <si>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</si>
  <si>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</si>
  <si>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</si>
  <si>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</si>
  <si>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</si>
  <si>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</si>
  <si>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</si>
  <si>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</si>
  <si>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</si>
  <si>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</si>
  <si>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</si>
  <si>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</si>
  <si>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</si>
  <si>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</si>
  <si>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</si>
  <si>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</si>
  <si>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</si>
  <si>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</si>
  <si>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</si>
  <si>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</si>
  <si>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</si>
  <si>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</si>
  <si>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</si>
  <si>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</si>
  <si>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</si>
  <si>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</si>
  <si>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</si>
  <si>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</si>
  <si>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</si>
  <si>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</si>
  <si>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</si>
  <si>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</si>
  <si>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</si>
  <si>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</si>
  <si>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</si>
  <si>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</si>
  <si>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</si>
  <si>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</si>
  <si>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</si>
  <si>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</si>
  <si>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</si>
  <si>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</si>
  <si>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</si>
  <si>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</si>
  <si>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</si>
  <si>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</si>
  <si>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</si>
  <si>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</si>
  <si>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</si>
  <si>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</si>
  <si>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</si>
  <si>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</si>
  <si>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</si>
  <si>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</si>
  <si>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</si>
  <si>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</si>
  <si>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</si>
  <si>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</si>
  <si>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</si>
  <si>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</si>
  <si>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</si>
  <si>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</si>
  <si>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</si>
  <si>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</si>
  <si>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</si>
  <si>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</si>
  <si>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</si>
  <si>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</si>
  <si>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</si>
  <si>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</si>
  <si>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</si>
  <si>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</si>
  <si>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</si>
  <si>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</si>
  <si>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</si>
  <si>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</si>
  <si>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</si>
  <si>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</si>
  <si>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</si>
  <si>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</si>
  <si>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</si>
  <si>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</si>
  <si>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</si>
  <si>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</si>
  <si>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</si>
  <si>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</si>
  <si>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</si>
  <si>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</si>
  <si>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</si>
  <si>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</si>
  <si>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</si>
  <si>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</si>
  <si>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</si>
  <si>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</si>
  <si>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</si>
  <si>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</si>
  <si>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</si>
  <si>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</si>
  <si>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</si>
  <si>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</si>
  <si>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</si>
  <si>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</si>
  <si>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</si>
  <si>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</si>
  <si>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</si>
  <si>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</si>
  <si>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</si>
  <si>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</si>
  <si>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</si>
  <si>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</si>
  <si>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</si>
  <si>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</si>
  <si>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</si>
  <si>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</si>
  <si>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</si>
  <si>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</si>
  <si>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</si>
  <si>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</si>
  <si>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</si>
  <si>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</si>
  <si>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</si>
  <si>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</si>
  <si>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</si>
  <si>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</si>
  <si>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</si>
  <si>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</si>
  <si>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</si>
  <si>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</si>
  <si>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</si>
  <si>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</si>
  <si>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</si>
  <si>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</si>
  <si>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</si>
  <si>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</si>
  <si>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</si>
  <si>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</si>
  <si>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</si>
  <si>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</si>
  <si>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</si>
  <si>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</si>
  <si>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</si>
  <si>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</si>
  <si>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</si>
  <si>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</si>
  <si>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</si>
  <si>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</si>
  <si>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</si>
  <si>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</si>
  <si>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</si>
  <si>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</si>
  <si>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</si>
  <si>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</si>
  <si>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</si>
  <si>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</si>
  <si>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</si>
  <si>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</si>
  <si>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</si>
  <si>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</si>
  <si>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</si>
  <si>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</si>
  <si>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</si>
  <si>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</si>
  <si>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</si>
  <si>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</si>
  <si>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</si>
  <si>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</si>
  <si>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</si>
  <si>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</si>
  <si>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</si>
  <si>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</si>
  <si>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</si>
  <si>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</si>
  <si>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</si>
  <si>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</si>
  <si>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</si>
  <si>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</si>
  <si>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</si>
  <si>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</si>
  <si>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</si>
  <si>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</si>
  <si>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</si>
  <si>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</si>
  <si>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</si>
  <si>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</si>
  <si>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</si>
  <si>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</si>
  <si>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</si>
  <si>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</si>
  <si>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</si>
  <si>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</si>
  <si>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</si>
  <si>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</si>
  <si>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</si>
  <si>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</si>
  <si>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</si>
  <si>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</si>
  <si>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</si>
  <si>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</si>
  <si>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</si>
  <si>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</si>
  <si>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</si>
  <si>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</si>
  <si>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</si>
  <si>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</si>
  <si>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</si>
  <si>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</si>
  <si>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</si>
  <si>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</si>
  <si>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</si>
  <si>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</si>
  <si>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</si>
  <si>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</si>
  <si>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</si>
  <si>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</si>
  <si>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</si>
  <si>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</si>
  <si>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</si>
  <si>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</si>
  <si>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</si>
  <si>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</si>
  <si>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</si>
  <si>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</si>
  <si>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MJ NEs/kg DM</t>
  </si>
  <si>
    <t>wheat distillers grain</t>
  </si>
  <si>
    <t>kg DM feed/kg product</t>
  </si>
  <si>
    <t>see feed pars sheet</t>
  </si>
  <si>
    <t>include as crop??</t>
  </si>
  <si>
    <t>straw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</si>
  <si>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</si>
  <si>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</si>
  <si>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</si>
  <si>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</si>
  <si>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</si>
  <si>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</si>
  <si>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</si>
  <si>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</si>
  <si>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</si>
  <si>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https://www.feedipedia.org/node/74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</si>
  <si>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</si>
  <si>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</si>
  <si>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</si>
  <si>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</si>
  <si>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</si>
  <si>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</si>
  <si>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</si>
  <si>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</si>
  <si>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</si>
  <si>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</si>
  <si>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</si>
  <si>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</si>
  <si>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</si>
  <si>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heifers</t>
  </si>
  <si>
    <t>steers</t>
  </si>
  <si>
    <t>breeding bulls</t>
  </si>
  <si>
    <t>beef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</si>
  <si>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</si>
  <si>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</si>
  <si>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</si>
  <si>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</si>
  <si>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</si>
  <si>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</si>
  <si>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</si>
  <si>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</si>
  <si>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</si>
  <si>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</si>
  <si>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</si>
  <si>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</si>
  <si>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</si>
  <si>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</si>
  <si>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</si>
  <si>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</si>
  <si>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</si>
  <si>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</si>
  <si>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</si>
  <si>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</si>
  <si>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</si>
  <si>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</si>
  <si>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</si>
  <si>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</si>
  <si>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</si>
  <si>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</si>
  <si>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</si>
  <si>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</si>
  <si>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</si>
  <si>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</si>
  <si>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</si>
  <si>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</si>
  <si>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</si>
  <si>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</si>
  <si>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</si>
  <si>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</si>
  <si>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</si>
  <si>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</si>
  <si>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</si>
  <si>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</si>
  <si>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</si>
  <si>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</si>
  <si>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</si>
  <si>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</si>
  <si>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</si>
  <si>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</si>
  <si>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</si>
  <si>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</si>
  <si>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</si>
  <si>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</si>
  <si>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</si>
  <si>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</si>
  <si>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</si>
  <si>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</si>
  <si>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</si>
  <si>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</si>
  <si>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</si>
  <si>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Sows</t>
  </si>
  <si>
    <t>Other pigs</t>
  </si>
  <si>
    <t>Percent dry matter in feed as fed</t>
  </si>
  <si>
    <t>Borde denna vara 100%? Vad är den tröskade majsarealen?</t>
  </si>
  <si>
    <t>horses</t>
  </si>
  <si>
    <t>storage_losses</t>
  </si>
  <si>
    <t>feeding_losses</t>
  </si>
  <si>
    <t>Cederberg &amp; Henriksson. 2020. Gräsmarkernas användning i jordbruket</t>
  </si>
  <si>
    <t>Storage and feeding losses</t>
  </si>
  <si>
    <t>100% - pasture utilisation</t>
  </si>
  <si>
    <t>sheep</t>
  </si>
  <si>
    <t>80% in silo</t>
  </si>
  <si>
    <t>60% in silo</t>
  </si>
  <si>
    <t>0% in silo</t>
  </si>
  <si>
    <t>No feeding on pasture</t>
  </si>
  <si>
    <t>10% feeding on pasture</t>
  </si>
  <si>
    <t>Need to add losses for grains and concentrates</t>
  </si>
  <si>
    <t>No storage</t>
  </si>
  <si>
    <r>
      <t>Horses</t>
    </r>
    <r>
      <rPr>
        <b/>
        <sz val="11"/>
        <color rgb="FFFF0000"/>
        <rFont val="Calibri"/>
        <family val="2"/>
        <scheme val="minor"/>
      </rPr>
      <t xml:space="preserve"> (Assume same as cattle for now)</t>
    </r>
  </si>
  <si>
    <t>https://glw-feeds.co.uk/index.php/wheat-feed-2/</t>
  </si>
  <si>
    <t>GE, MJ/kg DM</t>
  </si>
  <si>
    <t>https://www.feedipedia.org/node/13883</t>
  </si>
  <si>
    <t>GE  = 5.7× g protein +9.4× g fat +4.1× (g NFE + g fiber)</t>
  </si>
  <si>
    <t>Prot, g</t>
  </si>
  <si>
    <t>Fat, g</t>
  </si>
  <si>
    <t>Fiber, g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</si>
  <si>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</si>
  <si>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</si>
  <si>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</si>
  <si>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</si>
  <si>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</si>
  <si>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</si>
  <si>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</si>
  <si>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</si>
  <si>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</si>
  <si>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</si>
  <si>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</si>
  <si>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</si>
  <si>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</si>
  <si>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</si>
  <si>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</si>
  <si>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</si>
  <si>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</si>
  <si>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</si>
  <si>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</si>
  <si>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</si>
  <si>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</si>
  <si>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</si>
  <si>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</si>
  <si>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</si>
  <si>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</si>
  <si>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</si>
  <si>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</si>
  <si>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</si>
  <si>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</si>
  <si>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</si>
  <si>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</si>
  <si>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</si>
  <si>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</si>
  <si>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</si>
  <si>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</si>
  <si>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</si>
  <si>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</si>
  <si>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</si>
  <si>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</si>
  <si>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</si>
  <si>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</si>
  <si>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</si>
  <si>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</si>
  <si>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</si>
  <si>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</si>
  <si>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</si>
  <si>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</si>
  <si>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</si>
  <si>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</si>
  <si>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</si>
  <si>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</si>
  <si>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</si>
  <si>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</si>
  <si>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</si>
  <si>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</si>
  <si>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</si>
  <si>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</si>
  <si>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</si>
  <si>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</si>
  <si>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</si>
  <si>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</si>
  <si>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</si>
  <si>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</si>
  <si>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</si>
  <si>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</si>
  <si>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</si>
  <si>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</si>
  <si>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</si>
  <si>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</si>
  <si>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</si>
  <si>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</si>
  <si>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</si>
  <si>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</si>
  <si>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</si>
  <si>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Ash, g</t>
  </si>
  <si>
    <t>https://www.feedipedia.org/node/500, https://www.feedipedia.org/node/432</t>
  </si>
  <si>
    <t>ruminants</t>
  </si>
  <si>
    <t xml:space="preserve"> </t>
  </si>
  <si>
    <t>Source (if no other stated):</t>
  </si>
  <si>
    <t>Source</t>
  </si>
  <si>
    <t>fiber+NFE, g</t>
  </si>
  <si>
    <t>ME, MJ</t>
  </si>
  <si>
    <t>GE, MJ</t>
  </si>
  <si>
    <t>General</t>
  </si>
  <si>
    <t>MJ/kg DM</t>
  </si>
  <si>
    <t>feed_par_GE</t>
  </si>
  <si>
    <t>Gross 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</si>
</sst>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5"/>
      <color rgb="FF212121"/>
      <name val="Cambria"/>
      <family val="1"/>
    </font>
    <font>
      <sz val="11"/>
      <color rgb="FFFF0000"/>
      <name val="Times New Roman"/>
      <family val="1"/>
    </font>
    <font>
      <sz val="11"/>
      <color theme="1" tint="0.499984740745262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83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0" fontId="0" fillId="4" borderId="0" xfId="0" applyFill="1"/>
    <xf numFmtId="0" fontId="4" fillId="0" borderId="0" xfId="0" applyFont="1"/>
    <xf numFmtId="0" fontId="5" fillId="0" borderId="0" xfId="1"/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5" fillId="8" borderId="0" xfId="1" applyFill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164" fontId="8" fillId="0" borderId="0" xfId="0" applyNumberFormat="1" applyFont="1"/>
    <xf numFmtId="0" fontId="8" fillId="0" borderId="0" xfId="0" applyFont="1"/>
    <xf numFmtId="0" fontId="0" fillId="9" borderId="0" xfId="0" applyFont="1" applyFill="1"/>
    <xf numFmtId="0" fontId="3" fillId="9" borderId="0" xfId="0" applyFont="1" applyFill="1"/>
    <xf numFmtId="0" fontId="0" fillId="9" borderId="0" xfId="0" applyFill="1"/>
    <xf numFmtId="0" fontId="9" fillId="0" borderId="0" xfId="0" applyFont="1"/>
    <xf numFmtId="164" fontId="9" fillId="0" borderId="0" xfId="0" applyNumberFormat="1" applyFont="1"/>
    <xf numFmtId="0" fontId="11" fillId="0" borderId="0" xfId="0" applyFont="1"/>
    <xf numFmtId="0" fontId="6" fillId="6" borderId="0" xfId="0" applyFont="1" applyFill="1" applyAlignment="1">
      <alignment vertical="center"/>
    </xf>
    <xf numFmtId="0" fontId="6" fillId="8" borderId="0" xfId="0" applyFont="1" applyFill="1" applyAlignment="1">
      <alignment vertical="center"/>
    </xf>
    <xf numFmtId="1" fontId="12" fillId="6" borderId="0" xfId="0" applyNumberFormat="1" applyFont="1" applyFill="1" applyAlignment="1">
      <alignment vertical="center" wrapText="1"/>
    </xf>
    <xf numFmtId="1" fontId="12" fillId="8" borderId="0" xfId="0" applyNumberFormat="1" applyFont="1" applyFill="1" applyAlignment="1">
      <alignment vertical="center" wrapText="1"/>
    </xf>
    <xf numFmtId="0" fontId="0" fillId="0" borderId="2" xfId="0" applyBorder="1"/>
    <xf numFmtId="164" fontId="0" fillId="0" borderId="0" xfId="0" applyNumberFormat="1" applyBorder="1"/>
    <xf numFmtId="1" fontId="0" fillId="0" borderId="0" xfId="0" applyNumberFormat="1" applyBorder="1"/>
    <xf numFmtId="1" fontId="2" fillId="0" borderId="0" xfId="0" applyNumberFormat="1" applyFont="1" applyBorder="1"/>
    <xf numFmtId="1" fontId="14" fillId="0" borderId="0" xfId="0" applyNumberFormat="1" applyFont="1" applyBorder="1"/>
    <xf numFmtId="1" fontId="0" fillId="0" borderId="3" xfId="0" applyNumberFormat="1" applyBorder="1"/>
    <xf numFmtId="164" fontId="8" fillId="0" borderId="0" xfId="0" applyNumberFormat="1" applyFont="1" applyBorder="1"/>
    <xf numFmtId="1" fontId="8" fillId="0" borderId="0" xfId="0" applyNumberFormat="1" applyFont="1" applyBorder="1"/>
    <xf numFmtId="1" fontId="8" fillId="0" borderId="3" xfId="0" applyNumberFormat="1" applyFont="1" applyBorder="1"/>
    <xf numFmtId="0" fontId="3" fillId="0" borderId="2" xfId="0" applyFont="1" applyBorder="1"/>
    <xf numFmtId="164" fontId="3" fillId="0" borderId="0" xfId="0" applyNumberFormat="1" applyFont="1" applyBorder="1"/>
    <xf numFmtId="1" fontId="3" fillId="0" borderId="0" xfId="0" applyNumberFormat="1" applyFont="1" applyBorder="1"/>
    <xf numFmtId="1" fontId="3" fillId="0" borderId="3" xfId="0" applyNumberFormat="1" applyFont="1" applyBorder="1"/>
    <xf numFmtId="1" fontId="2" fillId="0" borderId="3" xfId="0" applyNumberFormat="1" applyFont="1" applyBorder="1"/>
    <xf numFmtId="0" fontId="0" fillId="0" borderId="4" xfId="0" applyBorder="1"/>
    <xf numFmtId="0" fontId="0" fillId="0" borderId="5" xfId="0" applyBorder="1"/>
    <xf numFmtId="1" fontId="0" fillId="0" borderId="5" xfId="0" applyNumberFormat="1" applyBorder="1"/>
    <xf numFmtId="1" fontId="0" fillId="0" borderId="6" xfId="0" applyNumberFormat="1" applyBorder="1"/>
    <xf numFmtId="0" fontId="0" fillId="0" borderId="0" xfId="0" applyBorder="1"/>
    <xf numFmtId="0" fontId="0" fillId="0" borderId="3" xfId="0" applyBorder="1"/>
    <xf numFmtId="0" fontId="3" fillId="0" borderId="0" xfId="0" applyFont="1" applyBorder="1"/>
    <xf numFmtId="0" fontId="3" fillId="0" borderId="3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2" borderId="0" xfId="0" applyFont="1" applyFill="1"/>
    <xf numFmtId="0" fontId="3" fillId="10" borderId="0" xfId="0" applyFont="1" applyFill="1"/>
    <xf numFmtId="0" fontId="0" fillId="10" borderId="0" xfId="0" applyFill="1"/>
    <xf numFmtId="164" fontId="0" fillId="0" borderId="3" xfId="0" applyNumberFormat="1" applyFont="1" applyBorder="1"/>
    <xf numFmtId="1" fontId="0" fillId="0" borderId="2" xfId="0" applyNumberFormat="1" applyBorder="1"/>
    <xf numFmtId="1" fontId="0" fillId="0" borderId="4" xfId="0" applyNumberFormat="1" applyBorder="1"/>
    <xf numFmtId="164" fontId="0" fillId="0" borderId="6" xfId="0" applyNumberFormat="1" applyFont="1" applyBorder="1"/>
    <xf numFmtId="0" fontId="13" fillId="2" borderId="0" xfId="0" applyFont="1" applyFill="1"/>
    <xf numFmtId="0" fontId="13" fillId="2" borderId="0" xfId="0" applyFont="1" applyFill="1" applyAlignment="1">
      <alignment horizontal="center"/>
    </xf>
    <xf numFmtId="0" fontId="3" fillId="0" borderId="1" xfId="0" applyFont="1" applyBorder="1"/>
    <xf numFmtId="0" fontId="3" fillId="10" borderId="9" xfId="0" applyFont="1" applyFill="1" applyBorder="1"/>
    <xf numFmtId="0" fontId="3" fillId="10" borderId="11" xfId="0" applyFont="1" applyFill="1" applyBorder="1"/>
    <xf numFmtId="0" fontId="3" fillId="10" borderId="10" xfId="0" applyFont="1" applyFill="1" applyBorder="1"/>
    <xf numFmtId="0" fontId="8" fillId="0" borderId="0" xfId="0" applyFont="1" applyBorder="1"/>
    <xf numFmtId="0" fontId="15" fillId="0" borderId="0" xfId="0" applyFont="1" applyFill="1" applyBorder="1"/>
    <xf numFmtId="1" fontId="14" fillId="0" borderId="5" xfId="0" applyNumberFormat="1" applyFont="1" applyBorder="1"/>
    <xf numFmtId="164" fontId="14" fillId="0" borderId="0" xfId="0" applyNumberFormat="1" applyFont="1" applyBorder="1"/>
    <xf numFmtId="164" fontId="14" fillId="0" borderId="5" xfId="0" applyNumberFormat="1" applyFont="1" applyBorder="1"/>
    <xf numFmtId="0" fontId="3" fillId="11" borderId="0" xfId="0" applyFont="1" applyFill="1"/>
    <xf numFmtId="0" fontId="1" fillId="11" borderId="0" xfId="0" applyFont="1" applyFill="1"/>
    <xf numFmtId="0" fontId="0" fillId="11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eedipedia.org/node/11744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feedipedia.org/node/74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12799" TargetMode="External"/><Relationship Id="rId5" Type="http://schemas.openxmlformats.org/officeDocument/2006/relationships/hyperlink" Target="https://www.feedipedia.org/node/13883" TargetMode="External"/><Relationship Id="rId4" Type="http://schemas.openxmlformats.org/officeDocument/2006/relationships/hyperlink" Target="https://glw-feeds.co.uk/index.php/wheat-feed-2/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98"/>
  <sheetViews>
    <sheetView tabSelected="1" zoomScale="80" zoomScaleNormal="80" workbookViewId="0">
      <pane ySplit="1" topLeftCell="A158" activePane="bottomLeft" state="frozen"/>
      <selection pane="bottomLeft" activeCell="M187" sqref="M187"/>
    </sheetView>
  </sheetViews>
  <sheetFormatPr defaultRowHeight="15" x14ac:dyDescent="0.25"/>
  <cols>
    <col min="6" max="7" width="20.28515625" customWidth="1"/>
    <col min="8" max="8" width="19.5703125" bestFit="1" customWidth="1"/>
    <col min="9" max="9" width="20.140625" customWidth="1"/>
    <col min="10" max="10" width="16.42578125" bestFit="1" customWidth="1"/>
    <col min="12" max="12" width="12.7109375" bestFit="1" customWidth="1"/>
    <col min="13" max="13" width="38.140625" customWidth="1"/>
    <col min="14" max="14" width="58" customWidth="1"/>
  </cols>
  <sheetData>
    <row r="1" spans="1:15" x14ac:dyDescent="0.25">
      <c r="A1" s="4" t="s">
        <v>23</v>
      </c>
      <c r="B1" s="4" t="s">
        <v>14</v>
      </c>
      <c r="C1" s="4" t="s">
        <v>13</v>
      </c>
      <c r="D1" s="4" t="s">
        <v>15</v>
      </c>
      <c r="E1" s="4" t="s">
        <v>16</v>
      </c>
      <c r="F1" s="4" t="s">
        <v>0</v>
      </c>
      <c r="G1" s="4" t="s">
        <v>321</v>
      </c>
      <c r="H1" s="4" t="s">
        <v>1</v>
      </c>
      <c r="I1" s="4" t="s">
        <v>9</v>
      </c>
      <c r="J1" s="4" t="s">
        <v>3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5" x14ac:dyDescent="0.25">
      <c r="A2" s="1" t="s">
        <v>8</v>
      </c>
      <c r="B2" s="1"/>
      <c r="C2" s="1"/>
      <c r="D2" s="1"/>
      <c r="E2" s="1"/>
      <c r="F2" s="1"/>
      <c r="G2" s="1"/>
      <c r="H2" s="1"/>
      <c r="I2" s="1"/>
      <c r="J2" s="2"/>
      <c r="K2" s="2"/>
      <c r="L2" s="2" t="s">
        <v>299</v>
      </c>
      <c r="M2" s="24" t="s">
        <v>305</v>
      </c>
      <c r="N2" s="2"/>
      <c r="O2" s="5"/>
    </row>
    <row r="3" spans="1:15" x14ac:dyDescent="0.25">
      <c r="J3" s="10" t="s">
        <v>32</v>
      </c>
      <c r="K3" s="21">
        <v>0</v>
      </c>
      <c r="L3" s="10"/>
      <c r="M3" s="10" t="s">
        <v>34</v>
      </c>
    </row>
    <row r="4" spans="1:15" x14ac:dyDescent="0.25">
      <c r="F4" t="s">
        <v>306</v>
      </c>
      <c r="H4" t="s">
        <v>10</v>
      </c>
      <c r="J4" t="s">
        <v>32</v>
      </c>
      <c r="K4" s="22">
        <f>1/INDEX('feed pars'!C$6:C$43/100,MATCH(F4,'feed pars'!B$6:B$43,0))</f>
        <v>1</v>
      </c>
    </row>
    <row r="5" spans="1:15" x14ac:dyDescent="0.25">
      <c r="F5" t="s">
        <v>307</v>
      </c>
      <c r="H5" t="s">
        <v>10</v>
      </c>
      <c r="J5" t="s">
        <v>32</v>
      </c>
      <c r="K5" s="22">
        <f>1/INDEX('feed pars'!C$6:C$43/100,MATCH(F5,'feed pars'!B$6:B$43,0))</f>
        <v>1</v>
      </c>
    </row>
    <row r="6" spans="1:15" x14ac:dyDescent="0.25">
      <c r="F6" t="s">
        <v>308</v>
      </c>
      <c r="H6" t="s">
        <v>10</v>
      </c>
      <c r="J6" t="s">
        <v>32</v>
      </c>
      <c r="K6" s="22">
        <f>1/INDEX('feed pars'!C$6:C$43/100,MATCH(F6,'feed pars'!B$6:B$43,0))</f>
        <v>1</v>
      </c>
    </row>
    <row r="7" spans="1:15" x14ac:dyDescent="0.25">
      <c r="F7" t="s">
        <v>2</v>
      </c>
      <c r="H7" t="s">
        <v>10</v>
      </c>
      <c r="J7" t="s">
        <v>32</v>
      </c>
      <c r="K7" s="22">
        <f>1/INDEX('feed pars'!C$6:C$43/100,MATCH(F7,'feed pars'!B$6:B$43,0))</f>
        <v>1</v>
      </c>
    </row>
    <row r="8" spans="1:15" x14ac:dyDescent="0.25">
      <c r="F8" t="s">
        <v>12</v>
      </c>
      <c r="H8" t="s">
        <v>11</v>
      </c>
      <c r="J8" t="s">
        <v>32</v>
      </c>
      <c r="K8" s="22">
        <f>1/INDEX('feed pars'!C$6:C$43/100,MATCH(F8,'feed pars'!B$6:B$43,0))</f>
        <v>1</v>
      </c>
    </row>
    <row r="9" spans="1:15" x14ac:dyDescent="0.25">
      <c r="F9" t="s">
        <v>33</v>
      </c>
      <c r="H9" t="s">
        <v>33</v>
      </c>
      <c r="J9" t="s">
        <v>32</v>
      </c>
      <c r="K9" s="22">
        <f>1/INDEX('feed pars'!C$6:C$43/100,MATCH(F9,'feed pars'!B$6:B$43,0))</f>
        <v>1</v>
      </c>
    </row>
    <row r="10" spans="1:15" x14ac:dyDescent="0.25">
      <c r="F10" t="s">
        <v>17</v>
      </c>
      <c r="H10" t="s">
        <v>17</v>
      </c>
      <c r="J10" t="s">
        <v>32</v>
      </c>
      <c r="K10" s="22">
        <f>1/INDEX('feed pars'!C$6:C$43/100,MATCH(F10,'feed pars'!B$6:B$43,0))</f>
        <v>1.1494252873563218</v>
      </c>
    </row>
    <row r="11" spans="1:15" x14ac:dyDescent="0.25">
      <c r="F11" t="s">
        <v>37</v>
      </c>
      <c r="H11" t="s">
        <v>37</v>
      </c>
      <c r="J11" t="s">
        <v>32</v>
      </c>
      <c r="K11" s="22">
        <f>1/INDEX('feed pars'!C$6:C$43/100,MATCH(F11,'feed pars'!B$6:B$43,0))</f>
        <v>1.1494252873563218</v>
      </c>
    </row>
    <row r="12" spans="1:15" x14ac:dyDescent="0.25">
      <c r="F12" t="s">
        <v>38</v>
      </c>
      <c r="H12" t="s">
        <v>38</v>
      </c>
      <c r="J12" t="s">
        <v>32</v>
      </c>
      <c r="K12" s="22">
        <f>1/INDEX('feed pars'!C$6:C$43/100,MATCH(F12,'feed pars'!B$6:B$43,0))</f>
        <v>1.1627906976744187</v>
      </c>
    </row>
    <row r="13" spans="1:15" x14ac:dyDescent="0.25">
      <c r="F13" t="s">
        <v>39</v>
      </c>
      <c r="H13" t="s">
        <v>39</v>
      </c>
      <c r="J13" t="s">
        <v>32</v>
      </c>
      <c r="K13" s="22">
        <f>1/INDEX('feed pars'!C$6:C$43/100,MATCH(F13,'feed pars'!B$6:B$43,0))</f>
        <v>1.1494252873563218</v>
      </c>
    </row>
    <row r="14" spans="1:15" x14ac:dyDescent="0.25">
      <c r="F14" t="s">
        <v>313</v>
      </c>
      <c r="H14" t="s">
        <v>313</v>
      </c>
      <c r="J14" t="s">
        <v>32</v>
      </c>
      <c r="K14" s="22">
        <f>1/INDEX('feed pars'!C$6:C$43/100,MATCH(F14,'feed pars'!B$6:B$43,0))</f>
        <v>1.1494252873563218</v>
      </c>
    </row>
    <row r="15" spans="1:15" x14ac:dyDescent="0.25">
      <c r="F15" t="s">
        <v>40</v>
      </c>
      <c r="H15" t="s">
        <v>40</v>
      </c>
      <c r="J15" t="s">
        <v>32</v>
      </c>
      <c r="K15" s="22">
        <f>1/INDEX('feed pars'!C$6:C$43/100,MATCH(F15,'feed pars'!B$6:B$43,0))</f>
        <v>1.4814814814814814</v>
      </c>
    </row>
    <row r="16" spans="1:15" x14ac:dyDescent="0.25">
      <c r="F16" t="s">
        <v>41</v>
      </c>
      <c r="H16" t="s">
        <v>41</v>
      </c>
      <c r="J16" t="s">
        <v>32</v>
      </c>
      <c r="K16" s="22">
        <f>1/INDEX('feed pars'!C$6:C$43/100,MATCH(F16,'feed pars'!B$6:B$43,0))</f>
        <v>1.1494252873563218</v>
      </c>
    </row>
    <row r="17" spans="6:13" x14ac:dyDescent="0.25">
      <c r="F17" t="s">
        <v>42</v>
      </c>
      <c r="H17" t="s">
        <v>42</v>
      </c>
      <c r="J17" t="s">
        <v>32</v>
      </c>
      <c r="K17" s="22">
        <f>1/INDEX('feed pars'!C$6:C$43/100,MATCH(F17,'feed pars'!B$6:B$43,0))</f>
        <v>1.1520737327188941</v>
      </c>
    </row>
    <row r="18" spans="6:13" x14ac:dyDescent="0.25">
      <c r="F18" t="s">
        <v>35</v>
      </c>
      <c r="H18" t="s">
        <v>35</v>
      </c>
      <c r="J18" t="s">
        <v>32</v>
      </c>
      <c r="K18" s="22">
        <f>1/INDEX('feed pars'!C$6:C$43/100,MATCH(F18,'feed pars'!B$6:B$43,0))</f>
        <v>1.0810810810810809</v>
      </c>
    </row>
    <row r="19" spans="6:13" x14ac:dyDescent="0.25">
      <c r="F19" t="s">
        <v>43</v>
      </c>
      <c r="H19" t="s">
        <v>43</v>
      </c>
      <c r="J19" t="s">
        <v>32</v>
      </c>
      <c r="K19" s="22">
        <f>1/INDEX('feed pars'!C$6:C$43/100,MATCH(F19,'feed pars'!B$6:B$43,0))</f>
        <v>1.0869565217391304</v>
      </c>
    </row>
    <row r="20" spans="6:13" x14ac:dyDescent="0.25">
      <c r="F20" s="3" t="s">
        <v>310</v>
      </c>
      <c r="G20" s="3"/>
      <c r="H20" s="3" t="s">
        <v>35</v>
      </c>
      <c r="I20" s="3"/>
      <c r="J20" s="3" t="s">
        <v>32</v>
      </c>
      <c r="K20" s="20">
        <f>1/INDEX('feed pars'!C$6:C$43/100,MATCH(F20,'feed pars'!B$6:B$43,0))*1/0.38</f>
        <v>2.6315789473684212</v>
      </c>
    </row>
    <row r="21" spans="6:13" x14ac:dyDescent="0.25">
      <c r="F21" s="3" t="s">
        <v>310</v>
      </c>
      <c r="G21" s="3"/>
      <c r="H21" s="3" t="s">
        <v>35</v>
      </c>
      <c r="I21" s="3" t="s">
        <v>36</v>
      </c>
      <c r="J21" s="3" t="s">
        <v>311</v>
      </c>
      <c r="K21" s="22"/>
      <c r="M21" s="3" t="s">
        <v>317</v>
      </c>
    </row>
    <row r="22" spans="6:13" x14ac:dyDescent="0.25">
      <c r="F22" t="s">
        <v>302</v>
      </c>
      <c r="I22" t="s">
        <v>302</v>
      </c>
      <c r="J22" t="s">
        <v>32</v>
      </c>
      <c r="K22" s="22">
        <f>1/INDEX('feed pars'!C$6:C$43/100,MATCH(F22,'feed pars'!B$6:B$43,0))</f>
        <v>1.1764705882352942</v>
      </c>
    </row>
    <row r="23" spans="6:13" x14ac:dyDescent="0.25">
      <c r="F23" t="s">
        <v>314</v>
      </c>
      <c r="I23" t="s">
        <v>314</v>
      </c>
      <c r="J23" t="s">
        <v>32</v>
      </c>
      <c r="K23" s="22">
        <f>1/INDEX('feed pars'!C$6:C$43/100,MATCH(F23,'feed pars'!B$6:B$43,0))</f>
        <v>1.1494252873563218</v>
      </c>
    </row>
    <row r="24" spans="6:13" x14ac:dyDescent="0.25">
      <c r="F24" t="s">
        <v>44</v>
      </c>
      <c r="I24" t="s">
        <v>44</v>
      </c>
      <c r="J24" t="s">
        <v>32</v>
      </c>
      <c r="K24" s="22">
        <f>1/INDEX('feed pars'!C$6:C$43/100,MATCH(F24,'feed pars'!B$6:B$43,0))</f>
        <v>1.1428571428571428</v>
      </c>
    </row>
    <row r="25" spans="6:13" x14ac:dyDescent="0.25">
      <c r="F25" t="s">
        <v>45</v>
      </c>
      <c r="I25" t="s">
        <v>45</v>
      </c>
      <c r="J25" t="s">
        <v>32</v>
      </c>
      <c r="K25" s="22">
        <f>1/INDEX('feed pars'!C$6:C$43/100,MATCH(F25,'feed pars'!B$6:B$43,0))</f>
        <v>1.1494252873563218</v>
      </c>
    </row>
    <row r="26" spans="6:13" x14ac:dyDescent="0.25">
      <c r="F26" t="s">
        <v>36</v>
      </c>
      <c r="I26" t="s">
        <v>36</v>
      </c>
      <c r="J26" t="s">
        <v>32</v>
      </c>
      <c r="K26" s="22">
        <f>1/INDEX('feed pars'!C$6:C$43/100,MATCH(F26,'feed pars'!B$6:B$43,0))</f>
        <v>1.1173184357541899</v>
      </c>
    </row>
    <row r="27" spans="6:13" x14ac:dyDescent="0.25">
      <c r="F27" t="s">
        <v>46</v>
      </c>
      <c r="I27" t="s">
        <v>46</v>
      </c>
      <c r="J27" t="s">
        <v>32</v>
      </c>
      <c r="K27" s="22">
        <f>1/INDEX('feed pars'!C$6:C$43/100,MATCH(F27,'feed pars'!B$6:B$43,0))</f>
        <v>1.0989010989010988</v>
      </c>
    </row>
    <row r="28" spans="6:13" x14ac:dyDescent="0.25">
      <c r="F28" t="s">
        <v>47</v>
      </c>
      <c r="I28" t="s">
        <v>47</v>
      </c>
      <c r="J28" t="s">
        <v>32</v>
      </c>
      <c r="K28" s="22">
        <f>1/INDEX('feed pars'!C$6:C$43/100,MATCH(F28,'feed pars'!B$6:B$43,0))</f>
        <v>1.0989010989010988</v>
      </c>
    </row>
    <row r="29" spans="6:13" x14ac:dyDescent="0.25">
      <c r="F29" t="s">
        <v>315</v>
      </c>
      <c r="I29" t="s">
        <v>315</v>
      </c>
      <c r="J29" t="s">
        <v>32</v>
      </c>
      <c r="K29" s="22">
        <f>1/INDEX('feed pars'!C$6:C$43/100,MATCH(F29,'feed pars'!B$6:B$43,0))</f>
        <v>1.1111111111111112</v>
      </c>
    </row>
    <row r="30" spans="6:13" x14ac:dyDescent="0.25">
      <c r="F30" t="s">
        <v>48</v>
      </c>
      <c r="I30" t="s">
        <v>48</v>
      </c>
      <c r="J30" t="s">
        <v>32</v>
      </c>
      <c r="K30" s="22">
        <f>1/INDEX('feed pars'!C$6:C$43/100,MATCH(F30,'feed pars'!B$6:B$43,0))</f>
        <v>1.1494252873563218</v>
      </c>
    </row>
    <row r="31" spans="6:13" x14ac:dyDescent="0.25">
      <c r="F31" t="s">
        <v>49</v>
      </c>
      <c r="I31" t="s">
        <v>48</v>
      </c>
      <c r="J31" t="s">
        <v>32</v>
      </c>
      <c r="K31" s="22">
        <f>1/INDEX('feed pars'!C$6:C$43/100,MATCH(F31,'feed pars'!B$6:B$43,0))</f>
        <v>1.1299435028248588</v>
      </c>
    </row>
    <row r="32" spans="6:13" x14ac:dyDescent="0.25">
      <c r="F32" t="s">
        <v>50</v>
      </c>
      <c r="I32" t="s">
        <v>298</v>
      </c>
      <c r="J32" t="s">
        <v>32</v>
      </c>
      <c r="K32" s="20">
        <f>K33</f>
        <v>9.0909090909090917</v>
      </c>
    </row>
    <row r="33" spans="1:14" x14ac:dyDescent="0.25">
      <c r="F33" t="s">
        <v>51</v>
      </c>
      <c r="I33" t="s">
        <v>298</v>
      </c>
      <c r="J33" t="s">
        <v>32</v>
      </c>
      <c r="K33" s="22">
        <f>1/INDEX('feed pars'!C$6:C$43/100,MATCH(F33,'feed pars'!B$6:B$43,0))</f>
        <v>9.0909090909090917</v>
      </c>
    </row>
    <row r="34" spans="1:14" x14ac:dyDescent="0.25">
      <c r="F34" t="s">
        <v>309</v>
      </c>
      <c r="I34" t="s">
        <v>309</v>
      </c>
      <c r="J34" t="s">
        <v>32</v>
      </c>
      <c r="K34" s="20">
        <f>1/0.25</f>
        <v>4</v>
      </c>
    </row>
    <row r="35" spans="1:14" x14ac:dyDescent="0.25">
      <c r="F35" t="s">
        <v>52</v>
      </c>
      <c r="I35" t="s">
        <v>52</v>
      </c>
      <c r="J35" t="s">
        <v>32</v>
      </c>
      <c r="K35" s="22">
        <f>1/INDEX('feed pars'!C$6:C$43/100,MATCH(F35,'feed pars'!B$6:B$43,0))</f>
        <v>1.3245033112582782</v>
      </c>
    </row>
    <row r="36" spans="1:14" x14ac:dyDescent="0.25">
      <c r="F36" t="s">
        <v>53</v>
      </c>
      <c r="I36" t="s">
        <v>53</v>
      </c>
      <c r="J36" t="s">
        <v>32</v>
      </c>
      <c r="K36" s="22">
        <f>1/INDEX('feed pars'!C$6:C$43/100,MATCH(F36,'feed pars'!B$6:B$43,0))</f>
        <v>1.1173184357541899</v>
      </c>
    </row>
    <row r="37" spans="1:14" x14ac:dyDescent="0.25">
      <c r="F37" t="s">
        <v>54</v>
      </c>
      <c r="I37" t="s">
        <v>54</v>
      </c>
      <c r="J37" t="s">
        <v>32</v>
      </c>
      <c r="K37" s="22">
        <f>1/INDEX('feed pars'!C$6:C$43/100,MATCH(F37,'feed pars'!B$6:B$43,0))</f>
        <v>16</v>
      </c>
    </row>
    <row r="38" spans="1:14" x14ac:dyDescent="0.25">
      <c r="F38" t="s">
        <v>55</v>
      </c>
      <c r="I38" t="s">
        <v>54</v>
      </c>
      <c r="J38" t="s">
        <v>32</v>
      </c>
      <c r="K38" s="20">
        <f>K37</f>
        <v>16</v>
      </c>
    </row>
    <row r="39" spans="1:14" x14ac:dyDescent="0.25">
      <c r="F39" t="s">
        <v>56</v>
      </c>
      <c r="I39" t="s">
        <v>56</v>
      </c>
      <c r="J39" t="s">
        <v>32</v>
      </c>
      <c r="K39" s="22">
        <f>1/INDEX('feed pars'!C$6:C$43/100,MATCH(F39,'feed pars'!B$6:B$43,0))</f>
        <v>1.0989010989010988</v>
      </c>
    </row>
    <row r="40" spans="1:14" x14ac:dyDescent="0.25">
      <c r="F40" t="s">
        <v>57</v>
      </c>
      <c r="I40" t="s">
        <v>57</v>
      </c>
      <c r="J40" t="s">
        <v>32</v>
      </c>
      <c r="K40" s="22">
        <f>1/INDEX('feed pars'!C$6:C$43/100,MATCH(F40,'feed pars'!B$6:B$43,0))</f>
        <v>1.0869565217391304</v>
      </c>
    </row>
    <row r="41" spans="1:14" x14ac:dyDescent="0.25">
      <c r="A41" s="1" t="s">
        <v>29</v>
      </c>
      <c r="B41" s="1"/>
      <c r="C41" s="1"/>
      <c r="D41" s="1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25">
      <c r="J42" s="10" t="s">
        <v>27</v>
      </c>
      <c r="K42" s="10">
        <v>0</v>
      </c>
      <c r="L42" s="10"/>
      <c r="M42" s="10" t="s">
        <v>34</v>
      </c>
    </row>
    <row r="43" spans="1:14" x14ac:dyDescent="0.25">
      <c r="H43" t="s">
        <v>10</v>
      </c>
      <c r="J43" t="s">
        <v>27</v>
      </c>
      <c r="K43" s="3">
        <v>95</v>
      </c>
      <c r="L43" t="s">
        <v>28</v>
      </c>
    </row>
    <row r="44" spans="1:14" x14ac:dyDescent="0.25">
      <c r="H44" t="s">
        <v>11</v>
      </c>
      <c r="J44" t="s">
        <v>27</v>
      </c>
      <c r="K44" s="3">
        <v>95</v>
      </c>
      <c r="L44" t="s">
        <v>28</v>
      </c>
    </row>
    <row r="45" spans="1:14" x14ac:dyDescent="0.25">
      <c r="H45" t="s">
        <v>33</v>
      </c>
      <c r="J45" t="s">
        <v>27</v>
      </c>
      <c r="K45" s="3">
        <v>95</v>
      </c>
      <c r="L45" t="s">
        <v>28</v>
      </c>
    </row>
    <row r="46" spans="1:14" x14ac:dyDescent="0.25">
      <c r="A46" t="s">
        <v>25</v>
      </c>
      <c r="H46" t="s">
        <v>37</v>
      </c>
      <c r="J46" t="s">
        <v>27</v>
      </c>
      <c r="K46" s="3">
        <v>50</v>
      </c>
      <c r="L46" t="s">
        <v>28</v>
      </c>
      <c r="M46" s="3"/>
    </row>
    <row r="47" spans="1:14" x14ac:dyDescent="0.25">
      <c r="A47" t="s">
        <v>385</v>
      </c>
      <c r="H47" t="s">
        <v>37</v>
      </c>
      <c r="J47" t="s">
        <v>27</v>
      </c>
      <c r="K47" s="3">
        <v>50</v>
      </c>
      <c r="L47" t="s">
        <v>28</v>
      </c>
      <c r="M47" s="3"/>
    </row>
    <row r="48" spans="1:14" x14ac:dyDescent="0.25">
      <c r="A48" t="s">
        <v>25</v>
      </c>
      <c r="H48" t="s">
        <v>17</v>
      </c>
      <c r="J48" t="s">
        <v>27</v>
      </c>
      <c r="K48" s="3">
        <v>50</v>
      </c>
      <c r="L48" t="s">
        <v>28</v>
      </c>
      <c r="M48" s="3"/>
    </row>
    <row r="49" spans="1:14" x14ac:dyDescent="0.25">
      <c r="A49" t="s">
        <v>385</v>
      </c>
      <c r="H49" t="s">
        <v>17</v>
      </c>
      <c r="J49" t="s">
        <v>27</v>
      </c>
      <c r="K49" s="3">
        <v>50</v>
      </c>
      <c r="L49" t="s">
        <v>28</v>
      </c>
      <c r="M49" s="3"/>
    </row>
    <row r="50" spans="1:14" x14ac:dyDescent="0.25">
      <c r="A50" t="s">
        <v>25</v>
      </c>
      <c r="H50" t="s">
        <v>38</v>
      </c>
      <c r="J50" t="s">
        <v>27</v>
      </c>
      <c r="K50" s="3">
        <v>50</v>
      </c>
      <c r="L50" t="s">
        <v>28</v>
      </c>
      <c r="M50" s="3"/>
    </row>
    <row r="51" spans="1:14" x14ac:dyDescent="0.25">
      <c r="A51" t="s">
        <v>385</v>
      </c>
      <c r="H51" t="s">
        <v>38</v>
      </c>
      <c r="J51" t="s">
        <v>27</v>
      </c>
      <c r="K51" s="3">
        <v>50</v>
      </c>
      <c r="L51" t="s">
        <v>28</v>
      </c>
      <c r="M51" s="3"/>
    </row>
    <row r="52" spans="1:14" x14ac:dyDescent="0.25">
      <c r="A52" s="1" t="s">
        <v>30</v>
      </c>
      <c r="B52" s="1"/>
      <c r="C52" s="1"/>
      <c r="D52" s="1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x14ac:dyDescent="0.25">
      <c r="J53" s="10" t="s">
        <v>31</v>
      </c>
      <c r="K53" s="10">
        <v>0</v>
      </c>
      <c r="L53" s="10"/>
      <c r="M53" s="10" t="s">
        <v>34</v>
      </c>
    </row>
    <row r="54" spans="1:14" x14ac:dyDescent="0.25">
      <c r="I54" t="s">
        <v>314</v>
      </c>
      <c r="J54" t="s">
        <v>31</v>
      </c>
      <c r="K54" s="26">
        <v>100</v>
      </c>
      <c r="L54" s="26" t="s">
        <v>28</v>
      </c>
      <c r="M54" s="10"/>
    </row>
    <row r="55" spans="1:14" x14ac:dyDescent="0.25">
      <c r="I55" t="s">
        <v>44</v>
      </c>
      <c r="J55" t="s">
        <v>31</v>
      </c>
      <c r="K55" s="26">
        <v>100</v>
      </c>
      <c r="L55" s="26" t="s">
        <v>28</v>
      </c>
      <c r="M55" s="10"/>
    </row>
    <row r="56" spans="1:14" x14ac:dyDescent="0.25">
      <c r="I56" t="s">
        <v>36</v>
      </c>
      <c r="J56" t="s">
        <v>31</v>
      </c>
      <c r="K56" s="26">
        <v>61</v>
      </c>
      <c r="L56" t="s">
        <v>28</v>
      </c>
    </row>
    <row r="57" spans="1:14" x14ac:dyDescent="0.25">
      <c r="H57" t="s">
        <v>43</v>
      </c>
      <c r="J57" t="s">
        <v>31</v>
      </c>
      <c r="K57" s="3">
        <v>100</v>
      </c>
      <c r="L57" t="s">
        <v>28</v>
      </c>
      <c r="M57" s="3" t="s">
        <v>301</v>
      </c>
    </row>
    <row r="58" spans="1:14" x14ac:dyDescent="0.25">
      <c r="H58" t="s">
        <v>40</v>
      </c>
      <c r="J58" t="s">
        <v>31</v>
      </c>
      <c r="K58" s="3">
        <v>50</v>
      </c>
      <c r="L58" t="s">
        <v>28</v>
      </c>
      <c r="M58" s="3" t="s">
        <v>390</v>
      </c>
    </row>
    <row r="59" spans="1:14" x14ac:dyDescent="0.25">
      <c r="A59" s="1" t="s">
        <v>332</v>
      </c>
      <c r="B59" s="1"/>
      <c r="C59" s="1"/>
      <c r="D59" s="1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x14ac:dyDescent="0.25">
      <c r="A60" t="s">
        <v>24</v>
      </c>
      <c r="B60" t="s">
        <v>322</v>
      </c>
      <c r="E60" t="s">
        <v>323</v>
      </c>
      <c r="G60" t="s">
        <v>330</v>
      </c>
      <c r="H60" t="s">
        <v>33</v>
      </c>
      <c r="J60" t="s">
        <v>331</v>
      </c>
      <c r="K60" s="3">
        <v>5</v>
      </c>
      <c r="L60" t="s">
        <v>28</v>
      </c>
      <c r="M60" s="3"/>
    </row>
    <row r="61" spans="1:14" x14ac:dyDescent="0.25">
      <c r="A61" t="s">
        <v>24</v>
      </c>
      <c r="B61" t="s">
        <v>322</v>
      </c>
      <c r="E61" t="s">
        <v>324</v>
      </c>
      <c r="G61" t="s">
        <v>330</v>
      </c>
      <c r="H61" t="s">
        <v>33</v>
      </c>
      <c r="J61" t="s">
        <v>331</v>
      </c>
      <c r="K61" s="3">
        <v>5</v>
      </c>
      <c r="L61" t="s">
        <v>28</v>
      </c>
      <c r="M61" s="3"/>
    </row>
    <row r="62" spans="1:14" x14ac:dyDescent="0.25">
      <c r="A62" t="s">
        <v>24</v>
      </c>
      <c r="B62" t="s">
        <v>322</v>
      </c>
      <c r="E62" t="s">
        <v>325</v>
      </c>
      <c r="G62" t="s">
        <v>330</v>
      </c>
      <c r="H62" t="s">
        <v>33</v>
      </c>
      <c r="J62" t="s">
        <v>331</v>
      </c>
      <c r="K62" s="3">
        <v>0</v>
      </c>
      <c r="L62" t="s">
        <v>28</v>
      </c>
      <c r="M62" s="3"/>
    </row>
    <row r="63" spans="1:14" x14ac:dyDescent="0.25">
      <c r="A63" t="s">
        <v>24</v>
      </c>
      <c r="B63" t="s">
        <v>322</v>
      </c>
      <c r="E63" t="s">
        <v>326</v>
      </c>
      <c r="G63" t="s">
        <v>330</v>
      </c>
      <c r="H63" t="s">
        <v>33</v>
      </c>
      <c r="J63" t="s">
        <v>331</v>
      </c>
      <c r="K63" s="3">
        <v>90</v>
      </c>
      <c r="L63" t="s">
        <v>28</v>
      </c>
      <c r="M63" s="3"/>
    </row>
    <row r="64" spans="1:14" x14ac:dyDescent="0.25">
      <c r="A64" t="s">
        <v>24</v>
      </c>
      <c r="B64" t="s">
        <v>322</v>
      </c>
      <c r="E64" t="s">
        <v>327</v>
      </c>
      <c r="G64" t="s">
        <v>330</v>
      </c>
      <c r="H64" t="s">
        <v>33</v>
      </c>
      <c r="J64" t="s">
        <v>331</v>
      </c>
      <c r="K64" s="3">
        <v>90</v>
      </c>
      <c r="L64" t="s">
        <v>28</v>
      </c>
      <c r="M64" s="3"/>
    </row>
    <row r="65" spans="1:14" x14ac:dyDescent="0.25">
      <c r="A65" t="s">
        <v>24</v>
      </c>
      <c r="B65" t="s">
        <v>322</v>
      </c>
      <c r="E65" t="s">
        <v>328</v>
      </c>
      <c r="G65" t="s">
        <v>330</v>
      </c>
      <c r="H65" t="s">
        <v>33</v>
      </c>
      <c r="J65" t="s">
        <v>331</v>
      </c>
      <c r="K65" s="3">
        <v>0</v>
      </c>
      <c r="L65" t="s">
        <v>28</v>
      </c>
      <c r="M65" s="3"/>
    </row>
    <row r="66" spans="1:14" x14ac:dyDescent="0.25">
      <c r="A66" t="s">
        <v>24</v>
      </c>
      <c r="B66" t="s">
        <v>329</v>
      </c>
      <c r="E66" t="s">
        <v>323</v>
      </c>
      <c r="G66" t="s">
        <v>330</v>
      </c>
      <c r="H66" t="s">
        <v>33</v>
      </c>
      <c r="J66" t="s">
        <v>331</v>
      </c>
      <c r="K66" s="3">
        <v>90</v>
      </c>
      <c r="L66" t="s">
        <v>28</v>
      </c>
      <c r="M66" s="3"/>
    </row>
    <row r="67" spans="1:14" x14ac:dyDescent="0.25">
      <c r="A67" t="s">
        <v>24</v>
      </c>
      <c r="B67" t="s">
        <v>329</v>
      </c>
      <c r="E67" t="s">
        <v>324</v>
      </c>
      <c r="G67" t="s">
        <v>330</v>
      </c>
      <c r="H67" t="s">
        <v>33</v>
      </c>
      <c r="J67" t="s">
        <v>331</v>
      </c>
      <c r="K67" s="3">
        <v>90</v>
      </c>
      <c r="L67" t="s">
        <v>28</v>
      </c>
      <c r="M67" s="3"/>
    </row>
    <row r="68" spans="1:14" x14ac:dyDescent="0.25">
      <c r="A68" t="s">
        <v>24</v>
      </c>
      <c r="B68" t="s">
        <v>329</v>
      </c>
      <c r="E68" t="s">
        <v>325</v>
      </c>
      <c r="G68" t="s">
        <v>330</v>
      </c>
      <c r="H68" t="s">
        <v>33</v>
      </c>
      <c r="J68" t="s">
        <v>331</v>
      </c>
      <c r="K68" s="3">
        <v>0</v>
      </c>
      <c r="L68" t="s">
        <v>28</v>
      </c>
      <c r="M68" s="3"/>
    </row>
    <row r="69" spans="1:14" x14ac:dyDescent="0.25">
      <c r="A69" t="s">
        <v>24</v>
      </c>
      <c r="B69" t="s">
        <v>329</v>
      </c>
      <c r="E69" t="s">
        <v>326</v>
      </c>
      <c r="G69" t="s">
        <v>330</v>
      </c>
      <c r="H69" t="s">
        <v>33</v>
      </c>
      <c r="J69" t="s">
        <v>331</v>
      </c>
      <c r="K69" s="3">
        <v>90</v>
      </c>
      <c r="L69" t="s">
        <v>28</v>
      </c>
      <c r="M69" s="3"/>
    </row>
    <row r="70" spans="1:14" x14ac:dyDescent="0.25">
      <c r="A70" t="s">
        <v>24</v>
      </c>
      <c r="B70" t="s">
        <v>329</v>
      </c>
      <c r="E70" t="s">
        <v>327</v>
      </c>
      <c r="G70" t="s">
        <v>330</v>
      </c>
      <c r="H70" t="s">
        <v>33</v>
      </c>
      <c r="J70" t="s">
        <v>331</v>
      </c>
      <c r="K70" s="3">
        <v>90</v>
      </c>
      <c r="L70" t="s">
        <v>28</v>
      </c>
      <c r="M70" s="3"/>
    </row>
    <row r="71" spans="1:14" x14ac:dyDescent="0.25">
      <c r="A71" t="s">
        <v>24</v>
      </c>
      <c r="B71" t="s">
        <v>329</v>
      </c>
      <c r="E71" t="s">
        <v>328</v>
      </c>
      <c r="G71" t="s">
        <v>330</v>
      </c>
      <c r="H71" t="s">
        <v>33</v>
      </c>
      <c r="J71" t="s">
        <v>331</v>
      </c>
      <c r="K71" s="3">
        <v>90</v>
      </c>
      <c r="L71" t="s">
        <v>28</v>
      </c>
      <c r="M71" s="3"/>
    </row>
    <row r="72" spans="1:14" x14ac:dyDescent="0.25">
      <c r="A72" t="s">
        <v>391</v>
      </c>
      <c r="G72" t="s">
        <v>330</v>
      </c>
      <c r="H72" t="s">
        <v>33</v>
      </c>
      <c r="J72" t="s">
        <v>331</v>
      </c>
      <c r="K72" s="3">
        <v>10</v>
      </c>
      <c r="L72" t="s">
        <v>28</v>
      </c>
      <c r="M72" s="3"/>
    </row>
    <row r="73" spans="1:14" x14ac:dyDescent="0.25">
      <c r="K73" s="3"/>
      <c r="M73" s="3"/>
    </row>
    <row r="74" spans="1:14" x14ac:dyDescent="0.25">
      <c r="A74" s="1" t="s">
        <v>395</v>
      </c>
      <c r="B74" s="1"/>
      <c r="C74" s="1"/>
      <c r="D74" s="1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5">
      <c r="J75" s="10" t="s">
        <v>392</v>
      </c>
      <c r="K75" s="10">
        <v>0</v>
      </c>
      <c r="L75" s="10" t="s">
        <v>28</v>
      </c>
      <c r="M75" s="10" t="s">
        <v>34</v>
      </c>
    </row>
    <row r="76" spans="1:14" x14ac:dyDescent="0.25">
      <c r="J76" s="10" t="s">
        <v>393</v>
      </c>
      <c r="K76" s="10">
        <v>0</v>
      </c>
      <c r="L76" s="10" t="s">
        <v>28</v>
      </c>
      <c r="M76" s="10" t="s">
        <v>34</v>
      </c>
    </row>
    <row r="77" spans="1:14" x14ac:dyDescent="0.25">
      <c r="A77" t="s">
        <v>24</v>
      </c>
      <c r="B77" t="s">
        <v>322</v>
      </c>
      <c r="E77" t="s">
        <v>323</v>
      </c>
      <c r="F77" t="s">
        <v>306</v>
      </c>
      <c r="J77" s="26" t="s">
        <v>392</v>
      </c>
      <c r="K77" s="26">
        <f>(0.8*20+0.2*2)</f>
        <v>16.399999999999999</v>
      </c>
      <c r="L77" s="26" t="s">
        <v>28</v>
      </c>
      <c r="M77" s="26" t="s">
        <v>398</v>
      </c>
      <c r="N77" t="s">
        <v>394</v>
      </c>
    </row>
    <row r="78" spans="1:14" x14ac:dyDescent="0.25">
      <c r="A78" t="s">
        <v>24</v>
      </c>
      <c r="F78" t="s">
        <v>306</v>
      </c>
      <c r="J78" s="26" t="s">
        <v>392</v>
      </c>
      <c r="K78" s="26">
        <f>(0.6*20+0.4*2)</f>
        <v>12.8</v>
      </c>
      <c r="L78" s="26" t="s">
        <v>28</v>
      </c>
      <c r="M78" s="26" t="s">
        <v>399</v>
      </c>
      <c r="N78" t="s">
        <v>394</v>
      </c>
    </row>
    <row r="79" spans="1:14" x14ac:dyDescent="0.25">
      <c r="A79" t="s">
        <v>397</v>
      </c>
      <c r="F79" t="s">
        <v>306</v>
      </c>
      <c r="J79" s="26" t="s">
        <v>392</v>
      </c>
      <c r="K79" s="26">
        <v>2</v>
      </c>
      <c r="L79" s="26" t="s">
        <v>28</v>
      </c>
      <c r="M79" s="26" t="s">
        <v>400</v>
      </c>
      <c r="N79" t="s">
        <v>394</v>
      </c>
    </row>
    <row r="80" spans="1:14" x14ac:dyDescent="0.25">
      <c r="A80" t="s">
        <v>391</v>
      </c>
      <c r="F80" t="s">
        <v>306</v>
      </c>
      <c r="J80" s="26" t="s">
        <v>392</v>
      </c>
      <c r="K80" s="26">
        <v>2</v>
      </c>
      <c r="L80" s="26" t="s">
        <v>28</v>
      </c>
      <c r="M80" s="26" t="s">
        <v>400</v>
      </c>
      <c r="N80" t="s">
        <v>394</v>
      </c>
    </row>
    <row r="81" spans="1:14" x14ac:dyDescent="0.25">
      <c r="A81" t="s">
        <v>24</v>
      </c>
      <c r="B81" t="s">
        <v>322</v>
      </c>
      <c r="E81" t="s">
        <v>323</v>
      </c>
      <c r="F81" t="s">
        <v>306</v>
      </c>
      <c r="J81" s="26" t="s">
        <v>393</v>
      </c>
      <c r="K81" s="26">
        <v>5</v>
      </c>
      <c r="L81" s="26" t="s">
        <v>28</v>
      </c>
      <c r="M81" s="26" t="s">
        <v>401</v>
      </c>
      <c r="N81" t="s">
        <v>394</v>
      </c>
    </row>
    <row r="82" spans="1:14" x14ac:dyDescent="0.25">
      <c r="A82" t="s">
        <v>24</v>
      </c>
      <c r="E82" t="s">
        <v>325</v>
      </c>
      <c r="F82" t="s">
        <v>306</v>
      </c>
      <c r="J82" s="26" t="s">
        <v>393</v>
      </c>
      <c r="K82" s="26">
        <v>5</v>
      </c>
      <c r="L82" s="26" t="s">
        <v>28</v>
      </c>
      <c r="M82" s="26" t="s">
        <v>401</v>
      </c>
      <c r="N82" t="s">
        <v>394</v>
      </c>
    </row>
    <row r="83" spans="1:14" x14ac:dyDescent="0.25">
      <c r="A83" t="s">
        <v>24</v>
      </c>
      <c r="F83" t="s">
        <v>306</v>
      </c>
      <c r="J83" s="26" t="s">
        <v>393</v>
      </c>
      <c r="K83" s="26">
        <f>0.9*5+0.1*15</f>
        <v>6</v>
      </c>
      <c r="L83" s="26" t="s">
        <v>28</v>
      </c>
      <c r="M83" s="26" t="s">
        <v>402</v>
      </c>
      <c r="N83" t="s">
        <v>394</v>
      </c>
    </row>
    <row r="84" spans="1:14" x14ac:dyDescent="0.25">
      <c r="A84" t="s">
        <v>397</v>
      </c>
      <c r="F84" t="s">
        <v>306</v>
      </c>
      <c r="J84" s="26" t="s">
        <v>393</v>
      </c>
      <c r="K84" s="26">
        <v>15</v>
      </c>
      <c r="L84" s="26" t="s">
        <v>28</v>
      </c>
      <c r="M84" s="26"/>
      <c r="N84" t="s">
        <v>394</v>
      </c>
    </row>
    <row r="85" spans="1:14" x14ac:dyDescent="0.25">
      <c r="A85" t="s">
        <v>391</v>
      </c>
      <c r="F85" t="s">
        <v>306</v>
      </c>
      <c r="J85" s="26" t="s">
        <v>393</v>
      </c>
      <c r="K85" s="26">
        <v>15</v>
      </c>
      <c r="L85" s="26" t="s">
        <v>28</v>
      </c>
      <c r="M85" s="26"/>
      <c r="N85" t="s">
        <v>394</v>
      </c>
    </row>
    <row r="86" spans="1:14" x14ac:dyDescent="0.25">
      <c r="A86" s="30" t="str">
        <f>A77</f>
        <v>cattle</v>
      </c>
      <c r="B86" s="30" t="str">
        <f>B77</f>
        <v>dairy</v>
      </c>
      <c r="E86" s="30" t="str">
        <f>E77</f>
        <v>cows</v>
      </c>
      <c r="F86" t="s">
        <v>307</v>
      </c>
      <c r="J86" s="30" t="str">
        <f>J77</f>
        <v>storage_losses</v>
      </c>
      <c r="K86" s="30">
        <f>K77</f>
        <v>16.399999999999999</v>
      </c>
      <c r="L86" s="30" t="str">
        <f>L77</f>
        <v>%</v>
      </c>
      <c r="M86" s="30" t="str">
        <f>M77</f>
        <v>80% in silo</v>
      </c>
      <c r="N86" s="30" t="str">
        <f>N77</f>
        <v>Cederberg &amp; Henriksson. 2020. Gräsmarkernas användning i jordbruket</v>
      </c>
    </row>
    <row r="87" spans="1:14" x14ac:dyDescent="0.25">
      <c r="A87" s="30" t="str">
        <f t="shared" ref="A87:A94" si="0">A78</f>
        <v>cattle</v>
      </c>
      <c r="F87" t="s">
        <v>307</v>
      </c>
      <c r="J87" s="30" t="str">
        <f t="shared" ref="J87:N94" si="1">J78</f>
        <v>storage_losses</v>
      </c>
      <c r="K87" s="30">
        <f t="shared" si="1"/>
        <v>12.8</v>
      </c>
      <c r="L87" s="30" t="str">
        <f t="shared" si="1"/>
        <v>%</v>
      </c>
      <c r="M87" s="30" t="str">
        <f t="shared" si="1"/>
        <v>60% in silo</v>
      </c>
      <c r="N87" s="30" t="str">
        <f t="shared" si="1"/>
        <v>Cederberg &amp; Henriksson. 2020. Gräsmarkernas användning i jordbruket</v>
      </c>
    </row>
    <row r="88" spans="1:14" x14ac:dyDescent="0.25">
      <c r="A88" s="30" t="str">
        <f t="shared" si="0"/>
        <v>sheep</v>
      </c>
      <c r="F88" t="s">
        <v>307</v>
      </c>
      <c r="J88" s="30" t="str">
        <f t="shared" si="1"/>
        <v>storage_losses</v>
      </c>
      <c r="K88" s="30">
        <f t="shared" si="1"/>
        <v>2</v>
      </c>
      <c r="L88" s="30" t="str">
        <f t="shared" si="1"/>
        <v>%</v>
      </c>
      <c r="M88" s="30" t="str">
        <f t="shared" si="1"/>
        <v>0% in silo</v>
      </c>
      <c r="N88" s="30" t="str">
        <f t="shared" si="1"/>
        <v>Cederberg &amp; Henriksson. 2020. Gräsmarkernas användning i jordbruket</v>
      </c>
    </row>
    <row r="89" spans="1:14" x14ac:dyDescent="0.25">
      <c r="A89" s="30" t="str">
        <f t="shared" si="0"/>
        <v>horses</v>
      </c>
      <c r="F89" t="s">
        <v>307</v>
      </c>
      <c r="J89" s="30" t="str">
        <f t="shared" si="1"/>
        <v>storage_losses</v>
      </c>
      <c r="K89" s="30">
        <f t="shared" si="1"/>
        <v>2</v>
      </c>
      <c r="L89" s="30" t="str">
        <f t="shared" si="1"/>
        <v>%</v>
      </c>
      <c r="M89" s="30" t="str">
        <f t="shared" si="1"/>
        <v>0% in silo</v>
      </c>
      <c r="N89" s="30" t="str">
        <f t="shared" si="1"/>
        <v>Cederberg &amp; Henriksson. 2020. Gräsmarkernas användning i jordbruket</v>
      </c>
    </row>
    <row r="90" spans="1:14" x14ac:dyDescent="0.25">
      <c r="A90" s="30" t="str">
        <f t="shared" si="0"/>
        <v>cattle</v>
      </c>
      <c r="B90" s="30" t="str">
        <f>B81</f>
        <v>dairy</v>
      </c>
      <c r="E90" s="30" t="str">
        <f>E81</f>
        <v>cows</v>
      </c>
      <c r="F90" t="s">
        <v>307</v>
      </c>
      <c r="J90" s="30" t="str">
        <f t="shared" si="1"/>
        <v>feeding_losses</v>
      </c>
      <c r="K90" s="30">
        <f t="shared" si="1"/>
        <v>5</v>
      </c>
      <c r="L90" s="30" t="str">
        <f t="shared" si="1"/>
        <v>%</v>
      </c>
      <c r="M90" s="30" t="str">
        <f t="shared" si="1"/>
        <v>No feeding on pasture</v>
      </c>
      <c r="N90" s="30" t="str">
        <f t="shared" si="1"/>
        <v>Cederberg &amp; Henriksson. 2020. Gräsmarkernas användning i jordbruket</v>
      </c>
    </row>
    <row r="91" spans="1:14" x14ac:dyDescent="0.25">
      <c r="A91" s="30" t="str">
        <f t="shared" si="0"/>
        <v>cattle</v>
      </c>
      <c r="E91" s="30" t="str">
        <f>E82</f>
        <v>bulls</v>
      </c>
      <c r="F91" t="s">
        <v>307</v>
      </c>
      <c r="J91" s="30" t="str">
        <f t="shared" si="1"/>
        <v>feeding_losses</v>
      </c>
      <c r="K91" s="30">
        <f t="shared" si="1"/>
        <v>5</v>
      </c>
      <c r="L91" s="30" t="str">
        <f t="shared" si="1"/>
        <v>%</v>
      </c>
      <c r="M91" s="30" t="str">
        <f t="shared" si="1"/>
        <v>No feeding on pasture</v>
      </c>
      <c r="N91" s="30" t="str">
        <f t="shared" si="1"/>
        <v>Cederberg &amp; Henriksson. 2020. Gräsmarkernas användning i jordbruket</v>
      </c>
    </row>
    <row r="92" spans="1:14" x14ac:dyDescent="0.25">
      <c r="A92" s="30" t="str">
        <f t="shared" si="0"/>
        <v>cattle</v>
      </c>
      <c r="F92" t="s">
        <v>307</v>
      </c>
      <c r="J92" s="30" t="str">
        <f t="shared" si="1"/>
        <v>feeding_losses</v>
      </c>
      <c r="K92" s="30">
        <f t="shared" si="1"/>
        <v>6</v>
      </c>
      <c r="L92" s="30" t="str">
        <f t="shared" si="1"/>
        <v>%</v>
      </c>
      <c r="M92" s="30" t="str">
        <f t="shared" si="1"/>
        <v>10% feeding on pasture</v>
      </c>
      <c r="N92" s="30" t="str">
        <f t="shared" si="1"/>
        <v>Cederberg &amp; Henriksson. 2020. Gräsmarkernas användning i jordbruket</v>
      </c>
    </row>
    <row r="93" spans="1:14" x14ac:dyDescent="0.25">
      <c r="A93" s="30" t="str">
        <f t="shared" si="0"/>
        <v>sheep</v>
      </c>
      <c r="F93" t="s">
        <v>307</v>
      </c>
      <c r="J93" s="30" t="str">
        <f t="shared" si="1"/>
        <v>feeding_losses</v>
      </c>
      <c r="K93" s="30">
        <f t="shared" si="1"/>
        <v>15</v>
      </c>
      <c r="L93" s="30" t="str">
        <f t="shared" si="1"/>
        <v>%</v>
      </c>
      <c r="M93" s="30"/>
      <c r="N93" s="30" t="str">
        <f t="shared" ref="N93:N94" si="2">N84</f>
        <v>Cederberg &amp; Henriksson. 2020. Gräsmarkernas användning i jordbruket</v>
      </c>
    </row>
    <row r="94" spans="1:14" x14ac:dyDescent="0.25">
      <c r="A94" s="30" t="str">
        <f t="shared" si="0"/>
        <v>horses</v>
      </c>
      <c r="F94" t="s">
        <v>307</v>
      </c>
      <c r="J94" s="30" t="str">
        <f t="shared" si="1"/>
        <v>feeding_losses</v>
      </c>
      <c r="K94" s="30">
        <f t="shared" si="1"/>
        <v>15</v>
      </c>
      <c r="L94" s="30" t="str">
        <f t="shared" si="1"/>
        <v>%</v>
      </c>
      <c r="M94" s="30"/>
      <c r="N94" s="30" t="str">
        <f t="shared" si="2"/>
        <v>Cederberg &amp; Henriksson. 2020. Gräsmarkernas användning i jordbruket</v>
      </c>
    </row>
    <row r="95" spans="1:14" x14ac:dyDescent="0.25">
      <c r="A95" s="30"/>
      <c r="B95" s="30"/>
      <c r="E95" s="30"/>
      <c r="F95" t="s">
        <v>308</v>
      </c>
      <c r="J95" s="26" t="s">
        <v>392</v>
      </c>
      <c r="K95" s="26">
        <v>5</v>
      </c>
      <c r="L95" s="26" t="s">
        <v>28</v>
      </c>
      <c r="M95" s="26"/>
      <c r="N95" t="s">
        <v>394</v>
      </c>
    </row>
    <row r="96" spans="1:14" x14ac:dyDescent="0.25">
      <c r="A96" s="30" t="str">
        <f>A81</f>
        <v>cattle</v>
      </c>
      <c r="B96" s="30" t="str">
        <f>B81</f>
        <v>dairy</v>
      </c>
      <c r="E96" s="30" t="str">
        <f t="shared" ref="E96:E97" si="3">E81</f>
        <v>cows</v>
      </c>
      <c r="F96" t="s">
        <v>308</v>
      </c>
      <c r="J96" s="30" t="str">
        <f t="shared" ref="J96:N100" si="4">J81</f>
        <v>feeding_losses</v>
      </c>
      <c r="K96" s="30">
        <f t="shared" si="4"/>
        <v>5</v>
      </c>
      <c r="L96" s="30" t="str">
        <f t="shared" si="4"/>
        <v>%</v>
      </c>
      <c r="M96" s="30" t="str">
        <f t="shared" si="4"/>
        <v>No feeding on pasture</v>
      </c>
      <c r="N96" s="30" t="str">
        <f t="shared" si="4"/>
        <v>Cederberg &amp; Henriksson. 2020. Gräsmarkernas användning i jordbruket</v>
      </c>
    </row>
    <row r="97" spans="1:14" x14ac:dyDescent="0.25">
      <c r="A97" s="30" t="str">
        <f t="shared" ref="A97:A100" si="5">A82</f>
        <v>cattle</v>
      </c>
      <c r="E97" s="30" t="str">
        <f t="shared" si="3"/>
        <v>bulls</v>
      </c>
      <c r="F97" t="s">
        <v>308</v>
      </c>
      <c r="J97" s="30" t="str">
        <f t="shared" si="4"/>
        <v>feeding_losses</v>
      </c>
      <c r="K97" s="30">
        <f t="shared" si="4"/>
        <v>5</v>
      </c>
      <c r="L97" s="30" t="str">
        <f t="shared" si="4"/>
        <v>%</v>
      </c>
      <c r="M97" s="30" t="str">
        <f t="shared" si="4"/>
        <v>No feeding on pasture</v>
      </c>
      <c r="N97" s="30" t="str">
        <f t="shared" si="4"/>
        <v>Cederberg &amp; Henriksson. 2020. Gräsmarkernas användning i jordbruket</v>
      </c>
    </row>
    <row r="98" spans="1:14" x14ac:dyDescent="0.25">
      <c r="A98" s="30" t="str">
        <f t="shared" si="5"/>
        <v>cattle</v>
      </c>
      <c r="F98" t="s">
        <v>308</v>
      </c>
      <c r="J98" s="30" t="str">
        <f t="shared" si="4"/>
        <v>feeding_losses</v>
      </c>
      <c r="K98" s="30">
        <f t="shared" si="4"/>
        <v>6</v>
      </c>
      <c r="L98" s="30" t="str">
        <f t="shared" si="4"/>
        <v>%</v>
      </c>
      <c r="M98" s="30" t="str">
        <f t="shared" si="4"/>
        <v>10% feeding on pasture</v>
      </c>
      <c r="N98" s="30" t="str">
        <f t="shared" si="4"/>
        <v>Cederberg &amp; Henriksson. 2020. Gräsmarkernas användning i jordbruket</v>
      </c>
    </row>
    <row r="99" spans="1:14" x14ac:dyDescent="0.25">
      <c r="A99" s="30" t="str">
        <f t="shared" si="5"/>
        <v>sheep</v>
      </c>
      <c r="F99" t="s">
        <v>308</v>
      </c>
      <c r="J99" s="30" t="str">
        <f t="shared" si="4"/>
        <v>feeding_losses</v>
      </c>
      <c r="K99" s="30">
        <f t="shared" si="4"/>
        <v>15</v>
      </c>
      <c r="L99" s="30" t="str">
        <f t="shared" si="4"/>
        <v>%</v>
      </c>
      <c r="M99" s="30"/>
      <c r="N99" s="30" t="str">
        <f t="shared" si="4"/>
        <v>Cederberg &amp; Henriksson. 2020. Gräsmarkernas användning i jordbruket</v>
      </c>
    </row>
    <row r="100" spans="1:14" x14ac:dyDescent="0.25">
      <c r="A100" s="30" t="str">
        <f t="shared" si="5"/>
        <v>horses</v>
      </c>
      <c r="F100" t="s">
        <v>308</v>
      </c>
      <c r="J100" s="30" t="str">
        <f t="shared" si="4"/>
        <v>feeding_losses</v>
      </c>
      <c r="K100" s="30">
        <f t="shared" si="4"/>
        <v>15</v>
      </c>
      <c r="L100" s="30" t="str">
        <f t="shared" si="4"/>
        <v>%</v>
      </c>
      <c r="M100" s="30"/>
      <c r="N100" s="30" t="str">
        <f t="shared" si="4"/>
        <v>Cederberg &amp; Henriksson. 2020. Gräsmarkernas användning i jordbruket</v>
      </c>
    </row>
    <row r="101" spans="1:14" x14ac:dyDescent="0.25">
      <c r="F101" t="s">
        <v>2</v>
      </c>
      <c r="J101" s="26" t="s">
        <v>392</v>
      </c>
      <c r="K101" s="26">
        <v>5</v>
      </c>
      <c r="L101" s="26" t="s">
        <v>28</v>
      </c>
      <c r="M101" s="26"/>
      <c r="N101" t="s">
        <v>394</v>
      </c>
    </row>
    <row r="102" spans="1:14" x14ac:dyDescent="0.25">
      <c r="A102" s="30" t="str">
        <f>A81</f>
        <v>cattle</v>
      </c>
      <c r="B102" s="30" t="str">
        <f>B81</f>
        <v>dairy</v>
      </c>
      <c r="E102" s="30" t="str">
        <f t="shared" ref="E102:E103" si="6">E81</f>
        <v>cows</v>
      </c>
      <c r="F102" t="s">
        <v>2</v>
      </c>
      <c r="J102" s="30" t="str">
        <f t="shared" ref="J102:N106" si="7">J81</f>
        <v>feeding_losses</v>
      </c>
      <c r="K102" s="30">
        <f t="shared" si="7"/>
        <v>5</v>
      </c>
      <c r="L102" s="30" t="str">
        <f t="shared" si="7"/>
        <v>%</v>
      </c>
      <c r="M102" s="30" t="str">
        <f t="shared" si="7"/>
        <v>No feeding on pasture</v>
      </c>
      <c r="N102" s="30" t="str">
        <f t="shared" si="7"/>
        <v>Cederberg &amp; Henriksson. 2020. Gräsmarkernas användning i jordbruket</v>
      </c>
    </row>
    <row r="103" spans="1:14" x14ac:dyDescent="0.25">
      <c r="A103" s="30" t="str">
        <f t="shared" ref="A103:A106" si="8">A82</f>
        <v>cattle</v>
      </c>
      <c r="E103" s="30" t="str">
        <f t="shared" si="6"/>
        <v>bulls</v>
      </c>
      <c r="F103" t="s">
        <v>2</v>
      </c>
      <c r="J103" s="30" t="str">
        <f t="shared" si="7"/>
        <v>feeding_losses</v>
      </c>
      <c r="K103" s="30">
        <f t="shared" si="7"/>
        <v>5</v>
      </c>
      <c r="L103" s="30" t="str">
        <f t="shared" si="7"/>
        <v>%</v>
      </c>
      <c r="M103" s="30" t="str">
        <f t="shared" si="7"/>
        <v>No feeding on pasture</v>
      </c>
      <c r="N103" s="30" t="str">
        <f t="shared" si="7"/>
        <v>Cederberg &amp; Henriksson. 2020. Gräsmarkernas användning i jordbruket</v>
      </c>
    </row>
    <row r="104" spans="1:14" x14ac:dyDescent="0.25">
      <c r="A104" s="30" t="str">
        <f t="shared" si="8"/>
        <v>cattle</v>
      </c>
      <c r="F104" t="s">
        <v>2</v>
      </c>
      <c r="J104" s="30" t="str">
        <f t="shared" si="7"/>
        <v>feeding_losses</v>
      </c>
      <c r="K104" s="30">
        <f t="shared" si="7"/>
        <v>6</v>
      </c>
      <c r="L104" s="30" t="str">
        <f t="shared" si="7"/>
        <v>%</v>
      </c>
      <c r="M104" s="30" t="str">
        <f t="shared" si="7"/>
        <v>10% feeding on pasture</v>
      </c>
      <c r="N104" s="30" t="str">
        <f t="shared" si="7"/>
        <v>Cederberg &amp; Henriksson. 2020. Gräsmarkernas användning i jordbruket</v>
      </c>
    </row>
    <row r="105" spans="1:14" x14ac:dyDescent="0.25">
      <c r="A105" s="30" t="str">
        <f t="shared" si="8"/>
        <v>sheep</v>
      </c>
      <c r="F105" t="s">
        <v>2</v>
      </c>
      <c r="J105" s="30" t="str">
        <f t="shared" si="7"/>
        <v>feeding_losses</v>
      </c>
      <c r="K105" s="30">
        <f t="shared" si="7"/>
        <v>15</v>
      </c>
      <c r="L105" s="30" t="str">
        <f t="shared" si="7"/>
        <v>%</v>
      </c>
      <c r="M105" s="26"/>
      <c r="N105" s="30" t="str">
        <f t="shared" ref="N105:N106" si="9">N84</f>
        <v>Cederberg &amp; Henriksson. 2020. Gräsmarkernas användning i jordbruket</v>
      </c>
    </row>
    <row r="106" spans="1:14" x14ac:dyDescent="0.25">
      <c r="A106" s="30" t="str">
        <f t="shared" si="8"/>
        <v>horses</v>
      </c>
      <c r="F106" t="s">
        <v>2</v>
      </c>
      <c r="J106" s="30" t="str">
        <f t="shared" si="7"/>
        <v>feeding_losses</v>
      </c>
      <c r="K106" s="30">
        <f t="shared" si="7"/>
        <v>15</v>
      </c>
      <c r="L106" s="30" t="str">
        <f t="shared" si="7"/>
        <v>%</v>
      </c>
      <c r="M106" s="26"/>
      <c r="N106" s="30" t="str">
        <f t="shared" si="9"/>
        <v>Cederberg &amp; Henriksson. 2020. Gräsmarkernas användning i jordbruket</v>
      </c>
    </row>
    <row r="107" spans="1:14" x14ac:dyDescent="0.25">
      <c r="F107" t="s">
        <v>12</v>
      </c>
      <c r="J107" s="26" t="s">
        <v>392</v>
      </c>
      <c r="K107" s="26">
        <v>5</v>
      </c>
      <c r="L107" s="26" t="s">
        <v>28</v>
      </c>
      <c r="M107" s="26"/>
      <c r="N107" t="s">
        <v>394</v>
      </c>
    </row>
    <row r="108" spans="1:14" x14ac:dyDescent="0.25">
      <c r="A108" s="30" t="str">
        <f>A81</f>
        <v>cattle</v>
      </c>
      <c r="B108" s="30" t="str">
        <f>B81</f>
        <v>dairy</v>
      </c>
      <c r="E108" s="30" t="str">
        <f t="shared" ref="E108:E109" si="10">E81</f>
        <v>cows</v>
      </c>
      <c r="F108" t="s">
        <v>12</v>
      </c>
      <c r="J108" s="30" t="str">
        <f t="shared" ref="J108:N112" si="11">J81</f>
        <v>feeding_losses</v>
      </c>
      <c r="K108" s="30">
        <f t="shared" si="11"/>
        <v>5</v>
      </c>
      <c r="L108" s="30" t="str">
        <f t="shared" si="11"/>
        <v>%</v>
      </c>
      <c r="M108" s="30" t="str">
        <f t="shared" si="11"/>
        <v>No feeding on pasture</v>
      </c>
      <c r="N108" s="30" t="str">
        <f t="shared" si="11"/>
        <v>Cederberg &amp; Henriksson. 2020. Gräsmarkernas användning i jordbruket</v>
      </c>
    </row>
    <row r="109" spans="1:14" x14ac:dyDescent="0.25">
      <c r="A109" s="30" t="str">
        <f t="shared" ref="A109:A112" si="12">A82</f>
        <v>cattle</v>
      </c>
      <c r="E109" s="30" t="str">
        <f t="shared" si="10"/>
        <v>bulls</v>
      </c>
      <c r="F109" t="s">
        <v>12</v>
      </c>
      <c r="J109" s="30" t="str">
        <f t="shared" si="11"/>
        <v>feeding_losses</v>
      </c>
      <c r="K109" s="30">
        <f t="shared" si="11"/>
        <v>5</v>
      </c>
      <c r="L109" s="30" t="str">
        <f t="shared" si="11"/>
        <v>%</v>
      </c>
      <c r="M109" s="30" t="str">
        <f t="shared" si="11"/>
        <v>No feeding on pasture</v>
      </c>
      <c r="N109" s="30" t="str">
        <f t="shared" si="11"/>
        <v>Cederberg &amp; Henriksson. 2020. Gräsmarkernas användning i jordbruket</v>
      </c>
    </row>
    <row r="110" spans="1:14" x14ac:dyDescent="0.25">
      <c r="A110" s="30" t="str">
        <f t="shared" si="12"/>
        <v>cattle</v>
      </c>
      <c r="F110" t="s">
        <v>12</v>
      </c>
      <c r="J110" s="30" t="str">
        <f t="shared" si="11"/>
        <v>feeding_losses</v>
      </c>
      <c r="K110" s="30">
        <f t="shared" si="11"/>
        <v>6</v>
      </c>
      <c r="L110" s="30" t="str">
        <f t="shared" si="11"/>
        <v>%</v>
      </c>
      <c r="M110" s="30" t="str">
        <f t="shared" si="11"/>
        <v>10% feeding on pasture</v>
      </c>
      <c r="N110" s="30" t="str">
        <f t="shared" si="11"/>
        <v>Cederberg &amp; Henriksson. 2020. Gräsmarkernas användning i jordbruket</v>
      </c>
    </row>
    <row r="111" spans="1:14" x14ac:dyDescent="0.25">
      <c r="A111" s="30" t="str">
        <f t="shared" si="12"/>
        <v>sheep</v>
      </c>
      <c r="F111" t="s">
        <v>12</v>
      </c>
      <c r="J111" s="30" t="str">
        <f t="shared" si="11"/>
        <v>feeding_losses</v>
      </c>
      <c r="K111" s="30">
        <f t="shared" si="11"/>
        <v>15</v>
      </c>
      <c r="L111" s="30" t="str">
        <f t="shared" si="11"/>
        <v>%</v>
      </c>
      <c r="M111" s="26"/>
      <c r="N111" s="30" t="str">
        <f t="shared" ref="N111:N112" si="13">N84</f>
        <v>Cederberg &amp; Henriksson. 2020. Gräsmarkernas användning i jordbruket</v>
      </c>
    </row>
    <row r="112" spans="1:14" x14ac:dyDescent="0.25">
      <c r="A112" s="30" t="str">
        <f t="shared" si="12"/>
        <v>horses</v>
      </c>
      <c r="F112" t="s">
        <v>12</v>
      </c>
      <c r="J112" s="30" t="str">
        <f t="shared" si="11"/>
        <v>feeding_losses</v>
      </c>
      <c r="K112" s="30">
        <f t="shared" si="11"/>
        <v>15</v>
      </c>
      <c r="L112" s="30" t="str">
        <f t="shared" si="11"/>
        <v>%</v>
      </c>
      <c r="M112" s="26"/>
      <c r="N112" s="30" t="str">
        <f t="shared" si="13"/>
        <v>Cederberg &amp; Henriksson. 2020. Gräsmarkernas användning i jordbruket</v>
      </c>
    </row>
    <row r="113" spans="1:14" x14ac:dyDescent="0.25">
      <c r="A113" s="30"/>
      <c r="F113" t="s">
        <v>33</v>
      </c>
      <c r="J113" s="26" t="s">
        <v>392</v>
      </c>
      <c r="K113" s="26">
        <v>0</v>
      </c>
      <c r="L113" t="s">
        <v>28</v>
      </c>
      <c r="M113" s="26" t="s">
        <v>404</v>
      </c>
      <c r="N113" s="30"/>
    </row>
    <row r="114" spans="1:14" x14ac:dyDescent="0.25">
      <c r="A114" t="s">
        <v>24</v>
      </c>
      <c r="F114" t="s">
        <v>33</v>
      </c>
      <c r="J114" t="s">
        <v>393</v>
      </c>
      <c r="K114" s="26">
        <f>100-55</f>
        <v>45</v>
      </c>
      <c r="L114" t="s">
        <v>28</v>
      </c>
      <c r="M114" s="26" t="s">
        <v>396</v>
      </c>
      <c r="N114" t="s">
        <v>394</v>
      </c>
    </row>
    <row r="115" spans="1:14" x14ac:dyDescent="0.25">
      <c r="A115" t="s">
        <v>391</v>
      </c>
      <c r="F115" t="s">
        <v>33</v>
      </c>
      <c r="J115" t="s">
        <v>393</v>
      </c>
      <c r="K115" s="26">
        <f>100-50</f>
        <v>50</v>
      </c>
      <c r="L115" t="s">
        <v>28</v>
      </c>
      <c r="M115" s="26" t="s">
        <v>396</v>
      </c>
      <c r="N115" t="s">
        <v>394</v>
      </c>
    </row>
    <row r="116" spans="1:14" x14ac:dyDescent="0.25">
      <c r="K116" s="3"/>
      <c r="M116" s="26"/>
    </row>
    <row r="117" spans="1:14" x14ac:dyDescent="0.25">
      <c r="A117" s="3" t="s">
        <v>403</v>
      </c>
      <c r="K117" s="3"/>
      <c r="M117" s="26"/>
    </row>
    <row r="118" spans="1:14" x14ac:dyDescent="0.25">
      <c r="K118" s="3"/>
      <c r="M118" s="26"/>
    </row>
    <row r="119" spans="1:14" x14ac:dyDescent="0.25">
      <c r="K119" s="3"/>
      <c r="M119" s="3"/>
    </row>
    <row r="120" spans="1:14" x14ac:dyDescent="0.25">
      <c r="A120" s="1" t="s">
        <v>26</v>
      </c>
      <c r="B120" s="1"/>
      <c r="C120" s="1"/>
      <c r="D120" s="1"/>
      <c r="E120" s="2"/>
      <c r="F120" s="2"/>
      <c r="G120" s="2"/>
      <c r="H120" s="2"/>
      <c r="I120" s="2"/>
      <c r="J120" s="2"/>
      <c r="K120" s="2"/>
      <c r="L120" s="2"/>
      <c r="M120" s="2" t="s">
        <v>300</v>
      </c>
      <c r="N120" s="2"/>
    </row>
    <row r="121" spans="1:14" x14ac:dyDescent="0.25">
      <c r="A121" s="80" t="s">
        <v>496</v>
      </c>
      <c r="B121" s="81"/>
      <c r="C121" s="81"/>
      <c r="D121" s="81"/>
      <c r="E121" s="82"/>
      <c r="F121" s="82"/>
      <c r="G121" s="82"/>
      <c r="H121" s="82"/>
      <c r="I121" s="82"/>
      <c r="J121" s="82"/>
      <c r="K121" s="82"/>
      <c r="L121" s="82"/>
      <c r="M121" s="82"/>
      <c r="N121" s="82"/>
    </row>
    <row r="122" spans="1:14" x14ac:dyDescent="0.25">
      <c r="F122" t="s">
        <v>306</v>
      </c>
      <c r="J122" t="s">
        <v>386</v>
      </c>
      <c r="K122" s="25">
        <f>INDEX('feed pars'!C$6:C$43,MATCH(F122,'feed pars'!B$6:B$43,0))</f>
        <v>100</v>
      </c>
      <c r="L122" t="s">
        <v>28</v>
      </c>
      <c r="M122" s="26" t="s">
        <v>389</v>
      </c>
    </row>
    <row r="123" spans="1:14" x14ac:dyDescent="0.25">
      <c r="F123" t="s">
        <v>307</v>
      </c>
      <c r="J123" t="s">
        <v>386</v>
      </c>
      <c r="K123" s="25">
        <f>INDEX('feed pars'!C$6:C$43,MATCH(F123,'feed pars'!B$6:B$43,0))</f>
        <v>100</v>
      </c>
      <c r="M123" s="3"/>
    </row>
    <row r="124" spans="1:14" x14ac:dyDescent="0.25">
      <c r="F124" t="s">
        <v>308</v>
      </c>
      <c r="J124" t="s">
        <v>386</v>
      </c>
      <c r="K124" s="25">
        <f>INDEX('feed pars'!C$6:C$43,MATCH(F124,'feed pars'!B$6:B$43,0))</f>
        <v>100</v>
      </c>
      <c r="M124" s="3"/>
    </row>
    <row r="125" spans="1:14" x14ac:dyDescent="0.25">
      <c r="F125" t="s">
        <v>2</v>
      </c>
      <c r="J125" t="s">
        <v>386</v>
      </c>
      <c r="K125" s="25">
        <f>INDEX('feed pars'!C$6:C$43,MATCH(F125,'feed pars'!B$6:B$43,0))</f>
        <v>100</v>
      </c>
      <c r="M125" s="3"/>
    </row>
    <row r="126" spans="1:14" x14ac:dyDescent="0.25">
      <c r="F126" t="s">
        <v>12</v>
      </c>
      <c r="J126" t="s">
        <v>386</v>
      </c>
      <c r="K126" s="25">
        <f>INDEX('feed pars'!C$6:C$43,MATCH(F126,'feed pars'!B$6:B$43,0))</f>
        <v>100</v>
      </c>
      <c r="M126" s="3"/>
    </row>
    <row r="127" spans="1:14" x14ac:dyDescent="0.25">
      <c r="F127" t="s">
        <v>33</v>
      </c>
      <c r="J127" t="s">
        <v>386</v>
      </c>
      <c r="K127" s="25">
        <f>INDEX('feed pars'!C$6:C$43,MATCH(F127,'feed pars'!B$6:B$43,0))</f>
        <v>100</v>
      </c>
      <c r="M127" s="3"/>
    </row>
    <row r="128" spans="1:14" x14ac:dyDescent="0.25">
      <c r="F128" t="s">
        <v>17</v>
      </c>
      <c r="J128" t="s">
        <v>386</v>
      </c>
      <c r="K128" s="25">
        <f>INDEX('feed pars'!C$6:C$43,MATCH(F128,'feed pars'!B$6:B$43,0))</f>
        <v>87</v>
      </c>
      <c r="M128" s="3"/>
    </row>
    <row r="129" spans="6:13" x14ac:dyDescent="0.25">
      <c r="F129" t="s">
        <v>37</v>
      </c>
      <c r="J129" t="s">
        <v>386</v>
      </c>
      <c r="K129" s="25">
        <f>INDEX('feed pars'!C$6:C$43,MATCH(F129,'feed pars'!B$6:B$43,0))</f>
        <v>87</v>
      </c>
      <c r="M129" s="3"/>
    </row>
    <row r="130" spans="6:13" x14ac:dyDescent="0.25">
      <c r="F130" t="s">
        <v>38</v>
      </c>
      <c r="J130" t="s">
        <v>386</v>
      </c>
      <c r="K130" s="25">
        <f>INDEX('feed pars'!C$6:C$43,MATCH(F130,'feed pars'!B$6:B$43,0))</f>
        <v>86</v>
      </c>
      <c r="M130" s="3"/>
    </row>
    <row r="131" spans="6:13" x14ac:dyDescent="0.25">
      <c r="F131" t="s">
        <v>39</v>
      </c>
      <c r="J131" t="s">
        <v>386</v>
      </c>
      <c r="K131" s="25">
        <f>INDEX('feed pars'!C$6:C$43,MATCH(F131,'feed pars'!B$6:B$43,0))</f>
        <v>87</v>
      </c>
      <c r="M131" s="3"/>
    </row>
    <row r="132" spans="6:13" x14ac:dyDescent="0.25">
      <c r="F132" t="s">
        <v>313</v>
      </c>
      <c r="J132" t="s">
        <v>386</v>
      </c>
      <c r="K132" s="25">
        <f>INDEX('feed pars'!C$6:C$43,MATCH(F132,'feed pars'!B$6:B$43,0))</f>
        <v>87</v>
      </c>
      <c r="M132" s="3"/>
    </row>
    <row r="133" spans="6:13" x14ac:dyDescent="0.25">
      <c r="F133" t="s">
        <v>40</v>
      </c>
      <c r="J133" t="s">
        <v>386</v>
      </c>
      <c r="K133" s="25">
        <f>INDEX('feed pars'!C$6:C$43,MATCH(F133,'feed pars'!B$6:B$43,0))</f>
        <v>67.5</v>
      </c>
      <c r="M133" s="3"/>
    </row>
    <row r="134" spans="6:13" x14ac:dyDescent="0.25">
      <c r="F134" t="s">
        <v>41</v>
      </c>
      <c r="J134" t="s">
        <v>386</v>
      </c>
      <c r="K134" s="25">
        <f>INDEX('feed pars'!C$6:C$43,MATCH(F134,'feed pars'!B$6:B$43,0))</f>
        <v>87</v>
      </c>
      <c r="M134" s="3"/>
    </row>
    <row r="135" spans="6:13" x14ac:dyDescent="0.25">
      <c r="F135" t="s">
        <v>42</v>
      </c>
      <c r="J135" t="s">
        <v>386</v>
      </c>
      <c r="K135" s="25">
        <f>INDEX('feed pars'!C$6:C$43,MATCH(F135,'feed pars'!B$6:B$43,0))</f>
        <v>86.8</v>
      </c>
      <c r="M135" s="3"/>
    </row>
    <row r="136" spans="6:13" x14ac:dyDescent="0.25">
      <c r="F136" t="s">
        <v>35</v>
      </c>
      <c r="J136" t="s">
        <v>386</v>
      </c>
      <c r="K136" s="25">
        <f>INDEX('feed pars'!C$6:C$43,MATCH(F136,'feed pars'!B$6:B$43,0))</f>
        <v>92.5</v>
      </c>
      <c r="M136" s="3"/>
    </row>
    <row r="137" spans="6:13" x14ac:dyDescent="0.25">
      <c r="F137" t="s">
        <v>43</v>
      </c>
      <c r="J137" t="s">
        <v>386</v>
      </c>
      <c r="K137" s="25">
        <f>INDEX('feed pars'!C$6:C$43,MATCH(F137,'feed pars'!B$6:B$43,0))</f>
        <v>92</v>
      </c>
      <c r="M137" s="3"/>
    </row>
    <row r="138" spans="6:13" x14ac:dyDescent="0.25">
      <c r="F138" t="s">
        <v>310</v>
      </c>
      <c r="J138" t="s">
        <v>386</v>
      </c>
      <c r="K138" s="25">
        <f>INDEX('feed pars'!C$6:C$43,MATCH(F138,'feed pars'!B$6:B$43,0))</f>
        <v>100</v>
      </c>
      <c r="M138" s="3"/>
    </row>
    <row r="139" spans="6:13" x14ac:dyDescent="0.25">
      <c r="F139" t="s">
        <v>302</v>
      </c>
      <c r="J139" t="s">
        <v>386</v>
      </c>
      <c r="K139" s="25">
        <f>INDEX('feed pars'!C$6:C$43,MATCH(F139,'feed pars'!B$6:B$43,0))</f>
        <v>85</v>
      </c>
      <c r="M139" s="3"/>
    </row>
    <row r="140" spans="6:13" x14ac:dyDescent="0.25">
      <c r="F140" t="s">
        <v>314</v>
      </c>
      <c r="J140" t="s">
        <v>386</v>
      </c>
      <c r="K140" s="25">
        <f>INDEX('feed pars'!C$6:C$43,MATCH(F140,'feed pars'!B$6:B$43,0))</f>
        <v>87</v>
      </c>
      <c r="M140" s="3"/>
    </row>
    <row r="141" spans="6:13" x14ac:dyDescent="0.25">
      <c r="F141" t="s">
        <v>44</v>
      </c>
      <c r="J141" t="s">
        <v>386</v>
      </c>
      <c r="K141" s="25">
        <f>INDEX('feed pars'!C$6:C$43,MATCH(F141,'feed pars'!B$6:B$43,0))</f>
        <v>87.5</v>
      </c>
      <c r="M141" s="3"/>
    </row>
    <row r="142" spans="6:13" x14ac:dyDescent="0.25">
      <c r="F142" t="s">
        <v>45</v>
      </c>
      <c r="J142" t="s">
        <v>386</v>
      </c>
      <c r="K142" s="25">
        <f>INDEX('feed pars'!C$6:C$43,MATCH(F142,'feed pars'!B$6:B$43,0))</f>
        <v>87</v>
      </c>
      <c r="M142" s="3"/>
    </row>
    <row r="143" spans="6:13" x14ac:dyDescent="0.25">
      <c r="F143" t="s">
        <v>36</v>
      </c>
      <c r="J143" t="s">
        <v>386</v>
      </c>
      <c r="K143" s="25">
        <f>INDEX('feed pars'!C$6:C$43,MATCH(F143,'feed pars'!B$6:B$43,0))</f>
        <v>89.5</v>
      </c>
      <c r="M143" s="3"/>
    </row>
    <row r="144" spans="6:13" x14ac:dyDescent="0.25">
      <c r="F144" t="s">
        <v>46</v>
      </c>
      <c r="J144" t="s">
        <v>386</v>
      </c>
      <c r="K144" s="25">
        <f>INDEX('feed pars'!C$6:C$43,MATCH(F144,'feed pars'!B$6:B$43,0))</f>
        <v>91</v>
      </c>
      <c r="M144" s="3"/>
    </row>
    <row r="145" spans="6:13" x14ac:dyDescent="0.25">
      <c r="F145" t="s">
        <v>47</v>
      </c>
      <c r="J145" t="s">
        <v>386</v>
      </c>
      <c r="K145" s="25">
        <f>INDEX('feed pars'!C$6:C$43,MATCH(F145,'feed pars'!B$6:B$43,0))</f>
        <v>91</v>
      </c>
      <c r="M145" s="3"/>
    </row>
    <row r="146" spans="6:13" x14ac:dyDescent="0.25">
      <c r="F146" t="s">
        <v>315</v>
      </c>
      <c r="J146" t="s">
        <v>386</v>
      </c>
      <c r="K146" s="25">
        <f>INDEX('feed pars'!C$6:C$43,MATCH(F146,'feed pars'!B$6:B$43,0))</f>
        <v>90</v>
      </c>
      <c r="M146" s="3"/>
    </row>
    <row r="147" spans="6:13" x14ac:dyDescent="0.25">
      <c r="F147" t="s">
        <v>48</v>
      </c>
      <c r="J147" t="s">
        <v>386</v>
      </c>
      <c r="K147" s="25">
        <f>INDEX('feed pars'!C$6:C$43,MATCH(F147,'feed pars'!B$6:B$43,0))</f>
        <v>87</v>
      </c>
      <c r="M147" s="3"/>
    </row>
    <row r="148" spans="6:13" x14ac:dyDescent="0.25">
      <c r="F148" t="s">
        <v>49</v>
      </c>
      <c r="J148" t="s">
        <v>386</v>
      </c>
      <c r="K148" s="25">
        <f>INDEX('feed pars'!C$6:C$43,MATCH(F148,'feed pars'!B$6:B$43,0))</f>
        <v>88.5</v>
      </c>
      <c r="M148" s="3"/>
    </row>
    <row r="149" spans="6:13" x14ac:dyDescent="0.25">
      <c r="F149" t="s">
        <v>50</v>
      </c>
      <c r="J149" t="s">
        <v>386</v>
      </c>
      <c r="K149" s="25">
        <f>INDEX('feed pars'!C$6:C$43,MATCH(F149,'feed pars'!B$6:B$43,0))</f>
        <v>90</v>
      </c>
      <c r="M149" s="3"/>
    </row>
    <row r="150" spans="6:13" x14ac:dyDescent="0.25">
      <c r="F150" t="s">
        <v>51</v>
      </c>
      <c r="J150" t="s">
        <v>386</v>
      </c>
      <c r="K150" s="25">
        <f>INDEX('feed pars'!C$6:C$43,MATCH(F150,'feed pars'!B$6:B$43,0))</f>
        <v>11</v>
      </c>
      <c r="M150" s="3"/>
    </row>
    <row r="151" spans="6:13" x14ac:dyDescent="0.25">
      <c r="F151" t="s">
        <v>309</v>
      </c>
      <c r="J151" t="s">
        <v>386</v>
      </c>
      <c r="K151" s="25">
        <f>INDEX('feed pars'!C$6:C$43,MATCH(F151,'feed pars'!B$6:B$43,0))</f>
        <v>90</v>
      </c>
      <c r="M151" s="3"/>
    </row>
    <row r="152" spans="6:13" x14ac:dyDescent="0.25">
      <c r="F152" t="s">
        <v>384</v>
      </c>
      <c r="J152" t="s">
        <v>386</v>
      </c>
      <c r="K152" s="25">
        <f>INDEX('feed pars'!C$6:C$43,MATCH(F152,'feed pars'!B$6:B$43,0))</f>
        <v>88.5</v>
      </c>
      <c r="M152" s="3"/>
    </row>
    <row r="153" spans="6:13" x14ac:dyDescent="0.25">
      <c r="F153" t="s">
        <v>52</v>
      </c>
      <c r="J153" t="s">
        <v>386</v>
      </c>
      <c r="K153" s="25">
        <f>INDEX('feed pars'!C$6:C$43,MATCH(F153,'feed pars'!B$6:B$43,0))</f>
        <v>75.5</v>
      </c>
      <c r="M153" s="3"/>
    </row>
    <row r="154" spans="6:13" x14ac:dyDescent="0.25">
      <c r="F154" t="s">
        <v>53</v>
      </c>
      <c r="J154" t="s">
        <v>386</v>
      </c>
      <c r="K154" s="25">
        <f>INDEX('feed pars'!C$6:C$43,MATCH(F154,'feed pars'!B$6:B$43,0))</f>
        <v>89.5</v>
      </c>
      <c r="M154" s="3"/>
    </row>
    <row r="155" spans="6:13" x14ac:dyDescent="0.25">
      <c r="F155" t="s">
        <v>54</v>
      </c>
      <c r="J155" t="s">
        <v>386</v>
      </c>
      <c r="K155" s="25">
        <f>INDEX('feed pars'!C$6:C$43,MATCH(F155,'feed pars'!B$6:B$43,0))</f>
        <v>6.25</v>
      </c>
      <c r="M155" s="3"/>
    </row>
    <row r="156" spans="6:13" x14ac:dyDescent="0.25">
      <c r="F156" t="s">
        <v>55</v>
      </c>
      <c r="J156" t="s">
        <v>386</v>
      </c>
      <c r="K156" s="25">
        <f>INDEX('feed pars'!C$6:C$43,MATCH(F156,'feed pars'!B$6:B$43,0))</f>
        <v>97</v>
      </c>
      <c r="M156" s="3"/>
    </row>
    <row r="157" spans="6:13" x14ac:dyDescent="0.25">
      <c r="F157" t="s">
        <v>56</v>
      </c>
      <c r="J157" t="s">
        <v>386</v>
      </c>
      <c r="K157" s="25">
        <f>INDEX('feed pars'!C$6:C$43,MATCH(F157,'feed pars'!B$6:B$43,0))</f>
        <v>91</v>
      </c>
      <c r="M157" s="3"/>
    </row>
    <row r="158" spans="6:13" x14ac:dyDescent="0.25">
      <c r="F158" t="s">
        <v>57</v>
      </c>
      <c r="J158" t="s">
        <v>386</v>
      </c>
      <c r="K158" s="25">
        <f>INDEX('feed pars'!C$6:C$43,MATCH(F158,'feed pars'!B$6:B$43,0))</f>
        <v>92</v>
      </c>
      <c r="M158" s="3"/>
    </row>
    <row r="159" spans="6:13" x14ac:dyDescent="0.25">
      <c r="F159" t="s">
        <v>306</v>
      </c>
      <c r="J159" t="s">
        <v>498</v>
      </c>
      <c r="K159" s="25">
        <f>INDEX('feed pars'!D$6:D$43,MATCH(F159,'feed pars'!B$6:B$43,0))</f>
        <v>17.538700400000003</v>
      </c>
      <c r="L159" t="s">
        <v>497</v>
      </c>
      <c r="M159" s="26" t="s">
        <v>499</v>
      </c>
    </row>
    <row r="160" spans="6:13" x14ac:dyDescent="0.25">
      <c r="F160" t="s">
        <v>307</v>
      </c>
      <c r="J160" t="s">
        <v>498</v>
      </c>
      <c r="K160" s="25">
        <f>INDEX('feed pars'!D$6:D$43,MATCH(F160,'feed pars'!B$6:B$43,0))</f>
        <v>17.371968000000003</v>
      </c>
      <c r="M160" s="3"/>
    </row>
    <row r="161" spans="6:13" x14ac:dyDescent="0.25">
      <c r="F161" t="s">
        <v>308</v>
      </c>
      <c r="J161" t="s">
        <v>498</v>
      </c>
      <c r="K161" s="25">
        <f>INDEX('feed pars'!D$6:D$43,MATCH(F161,'feed pars'!B$6:B$43,0))</f>
        <v>16.819680000000002</v>
      </c>
      <c r="M161" s="3"/>
    </row>
    <row r="162" spans="6:13" x14ac:dyDescent="0.25">
      <c r="F162" t="s">
        <v>2</v>
      </c>
      <c r="J162" t="s">
        <v>498</v>
      </c>
      <c r="K162" s="25">
        <f>INDEX('feed pars'!D$6:D$43,MATCH(F162,'feed pars'!B$6:B$43,0))</f>
        <v>17.3820096</v>
      </c>
      <c r="M162" s="3"/>
    </row>
    <row r="163" spans="6:13" x14ac:dyDescent="0.25">
      <c r="F163" t="s">
        <v>12</v>
      </c>
      <c r="J163" t="s">
        <v>498</v>
      </c>
      <c r="K163" s="25">
        <f>INDEX('feed pars'!D$6:D$43,MATCH(F163,'feed pars'!B$6:B$43,0))</f>
        <v>17.6573168</v>
      </c>
      <c r="M163" s="3"/>
    </row>
    <row r="164" spans="6:13" x14ac:dyDescent="0.25">
      <c r="F164" t="s">
        <v>33</v>
      </c>
      <c r="J164" t="s">
        <v>498</v>
      </c>
      <c r="K164" s="25">
        <f>INDEX('feed pars'!D$6:D$43,MATCH(F164,'feed pars'!B$6:B$43,0))</f>
        <v>17.633189066666667</v>
      </c>
      <c r="M164" s="3"/>
    </row>
    <row r="165" spans="6:13" x14ac:dyDescent="0.25">
      <c r="F165" t="s">
        <v>17</v>
      </c>
      <c r="J165" t="s">
        <v>498</v>
      </c>
      <c r="K165" s="25">
        <f>INDEX('feed pars'!D$6:D$43,MATCH(F165,'feed pars'!B$6:B$43,0))</f>
        <v>18.210023200000002</v>
      </c>
      <c r="M165" s="3"/>
    </row>
    <row r="166" spans="6:13" x14ac:dyDescent="0.25">
      <c r="F166" t="s">
        <v>37</v>
      </c>
      <c r="J166" t="s">
        <v>498</v>
      </c>
      <c r="K166" s="25">
        <f>INDEX('feed pars'!D$6:D$43,MATCH(F166,'feed pars'!B$6:B$43,0))</f>
        <v>18.089524000000001</v>
      </c>
      <c r="M166" s="3"/>
    </row>
    <row r="167" spans="6:13" x14ac:dyDescent="0.25">
      <c r="F167" t="s">
        <v>38</v>
      </c>
      <c r="J167" t="s">
        <v>498</v>
      </c>
      <c r="K167" s="25">
        <f>INDEX('feed pars'!D$6:D$43,MATCH(F167,'feed pars'!B$6:B$43,0))</f>
        <v>18.6602216</v>
      </c>
      <c r="M167" s="3"/>
    </row>
    <row r="168" spans="6:13" x14ac:dyDescent="0.25">
      <c r="F168" t="s">
        <v>39</v>
      </c>
      <c r="J168" t="s">
        <v>498</v>
      </c>
      <c r="K168" s="25">
        <f>INDEX('feed pars'!D$6:D$43,MATCH(F168,'feed pars'!B$6:B$43,0))</f>
        <v>18.2284328</v>
      </c>
      <c r="M168" s="3"/>
    </row>
    <row r="169" spans="6:13" x14ac:dyDescent="0.25">
      <c r="F169" t="s">
        <v>313</v>
      </c>
      <c r="J169" t="s">
        <v>498</v>
      </c>
      <c r="K169" s="25">
        <f>INDEX('feed pars'!D$6:D$43,MATCH(F169,'feed pars'!B$6:B$43,0))</f>
        <v>17.924256</v>
      </c>
      <c r="M169" s="3"/>
    </row>
    <row r="170" spans="6:13" x14ac:dyDescent="0.25">
      <c r="F170" t="s">
        <v>40</v>
      </c>
      <c r="J170" t="s">
        <v>498</v>
      </c>
      <c r="K170" s="25">
        <f>INDEX('feed pars'!D$6:D$43,MATCH(F170,'feed pars'!B$6:B$43,0))</f>
        <v>18.3899352</v>
      </c>
      <c r="M170" s="3"/>
    </row>
    <row r="171" spans="6:13" x14ac:dyDescent="0.25">
      <c r="F171" t="s">
        <v>41</v>
      </c>
      <c r="J171" t="s">
        <v>498</v>
      </c>
      <c r="K171" s="25">
        <f>INDEX('feed pars'!D$6:D$43,MATCH(F171,'feed pars'!B$6:B$43,0))</f>
        <v>18.478217600000001</v>
      </c>
      <c r="M171" s="3"/>
    </row>
    <row r="172" spans="6:13" x14ac:dyDescent="0.25">
      <c r="F172" t="s">
        <v>42</v>
      </c>
      <c r="J172" t="s">
        <v>498</v>
      </c>
      <c r="K172" s="25">
        <f>INDEX('feed pars'!D$6:D$43,MATCH(F172,'feed pars'!B$6:B$43,0))</f>
        <v>18.737207199999997</v>
      </c>
      <c r="M172" s="3"/>
    </row>
    <row r="173" spans="6:13" x14ac:dyDescent="0.25">
      <c r="F173" t="s">
        <v>35</v>
      </c>
      <c r="J173" t="s">
        <v>498</v>
      </c>
      <c r="K173" s="25">
        <f>INDEX('feed pars'!D$6:D$43,MATCH(F173,'feed pars'!B$6:B$43,0))</f>
        <v>27.903096000000001</v>
      </c>
      <c r="M173" s="3"/>
    </row>
    <row r="174" spans="6:13" x14ac:dyDescent="0.25">
      <c r="F174" t="s">
        <v>43</v>
      </c>
      <c r="J174" t="s">
        <v>498</v>
      </c>
      <c r="K174" s="25">
        <f>INDEX('feed pars'!D$6:D$43,MATCH(F174,'feed pars'!B$6:B$43,0))</f>
        <v>26.501456000000001</v>
      </c>
      <c r="M174" s="3"/>
    </row>
    <row r="175" spans="6:13" x14ac:dyDescent="0.25">
      <c r="F175" t="s">
        <v>310</v>
      </c>
      <c r="J175" t="s">
        <v>498</v>
      </c>
      <c r="K175" s="25">
        <f>INDEX('feed pars'!D$6:D$43,MATCH(F175,'feed pars'!B$6:B$43,0))</f>
        <v>39.329599999999999</v>
      </c>
      <c r="M175" s="3"/>
    </row>
    <row r="176" spans="6:13" x14ac:dyDescent="0.25">
      <c r="F176" t="s">
        <v>302</v>
      </c>
      <c r="J176" t="s">
        <v>498</v>
      </c>
      <c r="K176" s="25">
        <f>INDEX('feed pars'!D$6:D$43,MATCH(F176,'feed pars'!B$6:B$43,0))</f>
        <v>16.927627199999996</v>
      </c>
      <c r="M176" s="3"/>
    </row>
    <row r="177" spans="6:13" x14ac:dyDescent="0.25">
      <c r="F177" t="s">
        <v>314</v>
      </c>
      <c r="J177" t="s">
        <v>498</v>
      </c>
      <c r="K177" s="25">
        <f>INDEX('feed pars'!D$6:D$43,MATCH(F177,'feed pars'!B$6:B$43,0))</f>
        <v>22.965976000000001</v>
      </c>
      <c r="M177" s="3"/>
    </row>
    <row r="178" spans="6:13" x14ac:dyDescent="0.25">
      <c r="F178" t="s">
        <v>44</v>
      </c>
      <c r="J178" t="s">
        <v>498</v>
      </c>
      <c r="K178" s="25">
        <f>INDEX('feed pars'!D$6:D$43,MATCH(F178,'feed pars'!B$6:B$43,0))</f>
        <v>19.589487999999999</v>
      </c>
      <c r="M178" s="3"/>
    </row>
    <row r="179" spans="6:13" x14ac:dyDescent="0.25">
      <c r="F179" t="s">
        <v>45</v>
      </c>
      <c r="J179" t="s">
        <v>498</v>
      </c>
      <c r="K179" s="25">
        <f>INDEX('feed pars'!D$6:D$43,MATCH(F179,'feed pars'!B$6:B$43,0))</f>
        <v>20.560594400000003</v>
      </c>
      <c r="M179" s="3"/>
    </row>
    <row r="180" spans="6:13" x14ac:dyDescent="0.25">
      <c r="F180" t="s">
        <v>36</v>
      </c>
      <c r="J180" t="s">
        <v>498</v>
      </c>
      <c r="K180" s="25">
        <f>INDEX('feed pars'!D$6:D$43,MATCH(F180,'feed pars'!B$6:B$43,0))</f>
        <v>19.4920008</v>
      </c>
      <c r="M180" s="3"/>
    </row>
    <row r="181" spans="6:13" x14ac:dyDescent="0.25">
      <c r="F181" t="s">
        <v>46</v>
      </c>
      <c r="J181" t="s">
        <v>498</v>
      </c>
      <c r="K181" s="25">
        <f>INDEX('feed pars'!D$6:D$43,MATCH(F181,'feed pars'!B$6:B$43,0))</f>
        <v>19.083224000000001</v>
      </c>
      <c r="M181" s="3"/>
    </row>
    <row r="182" spans="6:13" x14ac:dyDescent="0.25">
      <c r="F182" t="s">
        <v>47</v>
      </c>
      <c r="J182" t="s">
        <v>498</v>
      </c>
      <c r="K182" s="25">
        <f>INDEX('feed pars'!D$6:D$43,MATCH(F182,'feed pars'!B$6:B$43,0))</f>
        <v>19.581538399999999</v>
      </c>
      <c r="M182" s="3"/>
    </row>
    <row r="183" spans="6:13" x14ac:dyDescent="0.25">
      <c r="F183" t="s">
        <v>315</v>
      </c>
      <c r="J183" t="s">
        <v>498</v>
      </c>
      <c r="K183" s="25">
        <f>INDEX('feed pars'!D$6:D$43,MATCH(F183,'feed pars'!B$6:B$43,0))</f>
        <v>16.971140800000001</v>
      </c>
      <c r="M183" s="3"/>
    </row>
    <row r="184" spans="6:13" x14ac:dyDescent="0.25">
      <c r="F184" t="s">
        <v>48</v>
      </c>
      <c r="J184" t="s">
        <v>498</v>
      </c>
      <c r="K184" s="25">
        <f>INDEX('feed pars'!D$6:D$43,MATCH(F184,'feed pars'!B$6:B$43,0))</f>
        <v>18.194124000000002</v>
      </c>
      <c r="M184" s="3"/>
    </row>
    <row r="185" spans="6:13" x14ac:dyDescent="0.25">
      <c r="F185" t="s">
        <v>49</v>
      </c>
      <c r="J185" t="s">
        <v>498</v>
      </c>
      <c r="K185" s="25">
        <f>INDEX('feed pars'!D$6:D$43,MATCH(F185,'feed pars'!B$6:B$43,0))</f>
        <v>17.8828344</v>
      </c>
      <c r="M185" s="3"/>
    </row>
    <row r="186" spans="6:13" x14ac:dyDescent="0.25">
      <c r="F186" t="s">
        <v>50</v>
      </c>
      <c r="J186" t="s">
        <v>498</v>
      </c>
      <c r="K186" s="25">
        <f>INDEX('feed pars'!D$6:D$43,MATCH(F186,'feed pars'!B$6:B$43,0))</f>
        <v>19.659779199999999</v>
      </c>
      <c r="M186" s="3"/>
    </row>
    <row r="187" spans="6:13" x14ac:dyDescent="0.25">
      <c r="F187" t="s">
        <v>51</v>
      </c>
      <c r="J187" t="s">
        <v>498</v>
      </c>
      <c r="K187" s="25">
        <f>INDEX('feed pars'!D$6:D$43,MATCH(F187,'feed pars'!B$6:B$43,0))</f>
        <v>18.8602168</v>
      </c>
      <c r="M187" s="3"/>
    </row>
    <row r="188" spans="6:13" x14ac:dyDescent="0.25">
      <c r="F188" t="s">
        <v>309</v>
      </c>
      <c r="J188" t="s">
        <v>498</v>
      </c>
      <c r="K188" s="25">
        <f>INDEX('feed pars'!D$6:D$43,MATCH(F188,'feed pars'!B$6:B$43,0))</f>
        <v>19.848896</v>
      </c>
      <c r="M188" s="3"/>
    </row>
    <row r="189" spans="6:13" x14ac:dyDescent="0.25">
      <c r="F189" t="s">
        <v>384</v>
      </c>
      <c r="J189" t="s">
        <v>498</v>
      </c>
      <c r="K189" s="25">
        <f>INDEX('feed pars'!D$6:D$43,MATCH(F189,'feed pars'!B$6:B$43,0))</f>
        <v>22.900705599999998</v>
      </c>
      <c r="M189" s="3"/>
    </row>
    <row r="190" spans="6:13" x14ac:dyDescent="0.25">
      <c r="F190" t="s">
        <v>52</v>
      </c>
      <c r="J190" t="s">
        <v>498</v>
      </c>
      <c r="K190" s="25">
        <f>INDEX('feed pars'!D$6:D$43,MATCH(F190,'feed pars'!B$6:B$43,0))</f>
        <v>16.1615368</v>
      </c>
      <c r="M190" s="3"/>
    </row>
    <row r="191" spans="6:13" x14ac:dyDescent="0.25">
      <c r="F191" t="s">
        <v>53</v>
      </c>
      <c r="J191" t="s">
        <v>498</v>
      </c>
      <c r="K191" s="25">
        <f>INDEX('feed pars'!D$6:D$43,MATCH(F191,'feed pars'!B$6:B$43,0))</f>
        <v>17.334312000000001</v>
      </c>
      <c r="M191" s="3"/>
    </row>
    <row r="192" spans="6:13" x14ac:dyDescent="0.25">
      <c r="F192" t="s">
        <v>54</v>
      </c>
      <c r="J192" t="s">
        <v>498</v>
      </c>
      <c r="K192" s="25">
        <f>INDEX('feed pars'!D$6:D$43,MATCH(F192,'feed pars'!B$6:B$43,0))</f>
        <v>16.464040000000001</v>
      </c>
      <c r="M192" s="3"/>
    </row>
    <row r="193" spans="1:14" x14ac:dyDescent="0.25">
      <c r="F193" t="s">
        <v>55</v>
      </c>
      <c r="J193" t="s">
        <v>498</v>
      </c>
      <c r="K193" s="25">
        <f>INDEX('feed pars'!D$6:D$43,MATCH(F193,'feed pars'!B$6:B$43,0))</f>
        <v>16.975324799999999</v>
      </c>
      <c r="M193" s="3"/>
    </row>
    <row r="194" spans="1:14" x14ac:dyDescent="0.25">
      <c r="F194" t="s">
        <v>56</v>
      </c>
      <c r="J194" t="s">
        <v>498</v>
      </c>
      <c r="K194" s="25">
        <f>INDEX('feed pars'!D$6:D$43,MATCH(F194,'feed pars'!B$6:B$43,0))</f>
        <v>23.055932000000002</v>
      </c>
      <c r="M194" s="3"/>
    </row>
    <row r="195" spans="1:14" x14ac:dyDescent="0.25">
      <c r="F195" t="s">
        <v>57</v>
      </c>
      <c r="J195" t="s">
        <v>498</v>
      </c>
      <c r="K195" s="25">
        <f>INDEX('feed pars'!D$6:D$43,MATCH(F195,'feed pars'!B$6:B$43,0))</f>
        <v>22.254696000000003</v>
      </c>
      <c r="M195" s="3"/>
    </row>
    <row r="196" spans="1:14" x14ac:dyDescent="0.25">
      <c r="A196" s="7" t="s">
        <v>20</v>
      </c>
      <c r="B196" s="7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</row>
    <row r="197" spans="1:14" x14ac:dyDescent="0.25">
      <c r="A197" t="s">
        <v>24</v>
      </c>
      <c r="F197" t="s">
        <v>306</v>
      </c>
      <c r="J197" t="s">
        <v>18</v>
      </c>
      <c r="K197" s="25">
        <f>INDEX('feed pars'!I$6:I$43,MATCH(F197,'feed pars'!B$6:B$43,0))</f>
        <v>11.3</v>
      </c>
      <c r="L197" t="s">
        <v>19</v>
      </c>
      <c r="M197" s="3"/>
    </row>
    <row r="198" spans="1:14" x14ac:dyDescent="0.25">
      <c r="A198" t="s">
        <v>24</v>
      </c>
      <c r="F198" t="s">
        <v>307</v>
      </c>
      <c r="J198" t="s">
        <v>18</v>
      </c>
      <c r="K198" s="25">
        <f>INDEX('feed pars'!I$6:I$43,MATCH(F198,'feed pars'!B$6:B$43,0))</f>
        <v>10.1</v>
      </c>
      <c r="M198" s="3"/>
    </row>
    <row r="199" spans="1:14" x14ac:dyDescent="0.25">
      <c r="A199" t="s">
        <v>24</v>
      </c>
      <c r="F199" t="s">
        <v>308</v>
      </c>
      <c r="J199" t="s">
        <v>18</v>
      </c>
      <c r="K199" s="25">
        <f>INDEX('feed pars'!I$6:I$43,MATCH(F199,'feed pars'!B$6:B$43,0))</f>
        <v>9.25</v>
      </c>
      <c r="M199" s="3"/>
    </row>
    <row r="200" spans="1:14" x14ac:dyDescent="0.25">
      <c r="A200" t="s">
        <v>24</v>
      </c>
      <c r="F200" t="s">
        <v>12</v>
      </c>
      <c r="J200" t="s">
        <v>18</v>
      </c>
      <c r="K200" s="25">
        <f>INDEX('feed pars'!I$6:I$43,MATCH(F200,'feed pars'!B$6:B$43,0))</f>
        <v>11</v>
      </c>
    </row>
    <row r="201" spans="1:14" x14ac:dyDescent="0.25">
      <c r="A201" t="s">
        <v>24</v>
      </c>
      <c r="F201" t="s">
        <v>33</v>
      </c>
      <c r="J201" t="s">
        <v>18</v>
      </c>
      <c r="K201" s="25">
        <f>INDEX('feed pars'!I$6:I$43,MATCH(F201,'feed pars'!B$6:B$43,0))</f>
        <v>9.9416666666666664</v>
      </c>
    </row>
    <row r="202" spans="1:14" x14ac:dyDescent="0.25">
      <c r="K202" s="3"/>
    </row>
    <row r="203" spans="1:14" x14ac:dyDescent="0.25">
      <c r="A203" t="s">
        <v>24</v>
      </c>
      <c r="F203" t="s">
        <v>17</v>
      </c>
      <c r="J203" t="s">
        <v>18</v>
      </c>
      <c r="K203" s="25">
        <f>INDEX('feed pars'!I$6:I$43,MATCH(F203,'feed pars'!B$6:B$43,0))</f>
        <v>14.1</v>
      </c>
    </row>
    <row r="204" spans="1:14" x14ac:dyDescent="0.25">
      <c r="A204" t="s">
        <v>24</v>
      </c>
      <c r="F204" t="s">
        <v>37</v>
      </c>
      <c r="J204" t="s">
        <v>18</v>
      </c>
      <c r="K204" s="25">
        <f>INDEX('feed pars'!I$6:I$43,MATCH(F204,'feed pars'!B$6:B$43,0))</f>
        <v>13.2</v>
      </c>
    </row>
    <row r="205" spans="1:14" x14ac:dyDescent="0.25">
      <c r="A205" t="s">
        <v>24</v>
      </c>
      <c r="F205" t="s">
        <v>38</v>
      </c>
      <c r="J205" t="s">
        <v>18</v>
      </c>
      <c r="K205" s="25">
        <f>INDEX('feed pars'!I$6:I$43,MATCH(F205,'feed pars'!B$6:B$43,0))</f>
        <v>11.7</v>
      </c>
    </row>
    <row r="206" spans="1:14" x14ac:dyDescent="0.25">
      <c r="A206" t="s">
        <v>24</v>
      </c>
      <c r="F206" t="s">
        <v>39</v>
      </c>
      <c r="J206" t="s">
        <v>18</v>
      </c>
      <c r="K206" s="25">
        <f>INDEX('feed pars'!I$6:I$43,MATCH(F206,'feed pars'!B$6:B$43,0))</f>
        <v>14</v>
      </c>
    </row>
    <row r="207" spans="1:14" x14ac:dyDescent="0.25">
      <c r="A207" t="s">
        <v>24</v>
      </c>
      <c r="F207" t="s">
        <v>313</v>
      </c>
      <c r="J207" t="s">
        <v>18</v>
      </c>
      <c r="K207" s="25">
        <f>INDEX('feed pars'!I$6:I$43,MATCH(F207,'feed pars'!B$6:B$43,0))</f>
        <v>13.9</v>
      </c>
    </row>
    <row r="208" spans="1:14" x14ac:dyDescent="0.25">
      <c r="A208" t="s">
        <v>24</v>
      </c>
      <c r="F208" t="s">
        <v>40</v>
      </c>
      <c r="J208" t="s">
        <v>18</v>
      </c>
      <c r="K208" s="25">
        <f>INDEX('feed pars'!I$6:I$43,MATCH(F208,'feed pars'!B$6:B$43,0))</f>
        <v>12.8</v>
      </c>
    </row>
    <row r="209" spans="1:11" x14ac:dyDescent="0.25">
      <c r="A209" t="s">
        <v>24</v>
      </c>
      <c r="F209" t="s">
        <v>41</v>
      </c>
      <c r="J209" t="s">
        <v>18</v>
      </c>
      <c r="K209" s="25">
        <f>INDEX('feed pars'!I$6:I$43,MATCH(F209,'feed pars'!B$6:B$43,0))</f>
        <v>13.8</v>
      </c>
    </row>
    <row r="210" spans="1:11" x14ac:dyDescent="0.25">
      <c r="A210" t="s">
        <v>24</v>
      </c>
      <c r="F210" t="s">
        <v>42</v>
      </c>
      <c r="J210" t="s">
        <v>18</v>
      </c>
      <c r="K210" s="25">
        <f>INDEX('feed pars'!I$6:I$43,MATCH(F210,'feed pars'!B$6:B$43,0))</f>
        <v>13.3</v>
      </c>
    </row>
    <row r="211" spans="1:11" x14ac:dyDescent="0.25">
      <c r="A211" t="s">
        <v>24</v>
      </c>
      <c r="F211" t="s">
        <v>35</v>
      </c>
      <c r="J211" t="s">
        <v>18</v>
      </c>
      <c r="K211" s="25">
        <f>INDEX('feed pars'!I$6:I$43,MATCH(F211,'feed pars'!B$6:B$43,0))</f>
        <v>22.1</v>
      </c>
    </row>
    <row r="212" spans="1:11" x14ac:dyDescent="0.25">
      <c r="A212" t="s">
        <v>24</v>
      </c>
      <c r="F212" t="s">
        <v>43</v>
      </c>
      <c r="J212" t="s">
        <v>18</v>
      </c>
      <c r="K212" s="25">
        <f>INDEX('feed pars'!I$6:I$43,MATCH(F212,'feed pars'!B$6:B$43,0))</f>
        <v>20.100000000000001</v>
      </c>
    </row>
    <row r="213" spans="1:11" x14ac:dyDescent="0.25">
      <c r="A213" t="s">
        <v>24</v>
      </c>
      <c r="F213" t="s">
        <v>302</v>
      </c>
      <c r="J213" t="s">
        <v>18</v>
      </c>
      <c r="K213" s="25">
        <f>INDEX('feed pars'!I$6:I$43,MATCH(F213,'feed pars'!B$6:B$43,0))</f>
        <v>6.6</v>
      </c>
    </row>
    <row r="214" spans="1:11" x14ac:dyDescent="0.25">
      <c r="A214" t="s">
        <v>24</v>
      </c>
      <c r="F214" t="s">
        <v>310</v>
      </c>
      <c r="J214" t="s">
        <v>18</v>
      </c>
      <c r="K214" s="25">
        <f>INDEX('feed pars'!I$6:I$43,MATCH(F214,'feed pars'!B$6:B$43,0))</f>
        <v>36.6</v>
      </c>
    </row>
    <row r="215" spans="1:11" x14ac:dyDescent="0.25">
      <c r="A215" t="s">
        <v>24</v>
      </c>
      <c r="F215" t="s">
        <v>314</v>
      </c>
      <c r="J215" t="s">
        <v>18</v>
      </c>
      <c r="K215" s="25">
        <f>INDEX('feed pars'!I$6:I$43,MATCH(F215,'feed pars'!B$6:B$43,0))</f>
        <v>16.399999999999999</v>
      </c>
    </row>
    <row r="216" spans="1:11" x14ac:dyDescent="0.25">
      <c r="A216" t="s">
        <v>24</v>
      </c>
      <c r="F216" t="s">
        <v>44</v>
      </c>
      <c r="J216" t="s">
        <v>18</v>
      </c>
      <c r="K216" s="25">
        <f>INDEX('feed pars'!I$6:I$43,MATCH(F216,'feed pars'!B$6:B$43,0))</f>
        <v>14.6</v>
      </c>
    </row>
    <row r="217" spans="1:11" x14ac:dyDescent="0.25">
      <c r="A217" t="s">
        <v>24</v>
      </c>
      <c r="F217" t="s">
        <v>36</v>
      </c>
      <c r="J217" t="s">
        <v>18</v>
      </c>
      <c r="K217" s="25">
        <f>INDEX('feed pars'!I$6:I$43,MATCH(F217,'feed pars'!B$6:B$43,0))</f>
        <v>12.2</v>
      </c>
    </row>
    <row r="218" spans="1:11" x14ac:dyDescent="0.25">
      <c r="A218" t="s">
        <v>24</v>
      </c>
      <c r="F218" t="s">
        <v>46</v>
      </c>
      <c r="J218" t="s">
        <v>18</v>
      </c>
      <c r="K218" s="25">
        <f>INDEX('feed pars'!I$6:I$43,MATCH(F218,'feed pars'!B$6:B$43,0))</f>
        <v>11.4</v>
      </c>
    </row>
    <row r="219" spans="1:11" x14ac:dyDescent="0.25">
      <c r="A219" t="s">
        <v>24</v>
      </c>
      <c r="F219" t="s">
        <v>47</v>
      </c>
      <c r="J219" t="s">
        <v>18</v>
      </c>
      <c r="K219" s="25">
        <f>INDEX('feed pars'!I$6:I$43,MATCH(F219,'feed pars'!B$6:B$43,0))</f>
        <v>13.4</v>
      </c>
    </row>
    <row r="220" spans="1:11" x14ac:dyDescent="0.25">
      <c r="A220" t="s">
        <v>24</v>
      </c>
      <c r="F220" t="s">
        <v>315</v>
      </c>
      <c r="J220" t="s">
        <v>18</v>
      </c>
      <c r="K220" s="25">
        <f>INDEX('feed pars'!I$6:I$43,MATCH(F220,'feed pars'!B$6:B$43,0))</f>
        <v>8.5</v>
      </c>
    </row>
    <row r="221" spans="1:11" x14ac:dyDescent="0.25">
      <c r="A221" t="s">
        <v>24</v>
      </c>
      <c r="F221" t="s">
        <v>48</v>
      </c>
      <c r="J221" t="s">
        <v>18</v>
      </c>
      <c r="K221" s="25">
        <f>INDEX('feed pars'!I$6:I$43,MATCH(F221,'feed pars'!B$6:B$43,0))</f>
        <v>11</v>
      </c>
    </row>
    <row r="222" spans="1:11" x14ac:dyDescent="0.25">
      <c r="A222" t="s">
        <v>24</v>
      </c>
      <c r="F222" t="s">
        <v>50</v>
      </c>
      <c r="J222" t="s">
        <v>18</v>
      </c>
      <c r="K222" s="25">
        <f>INDEX('feed pars'!I$6:I$43,MATCH(F222,'feed pars'!B$6:B$43,0))</f>
        <v>13.3</v>
      </c>
    </row>
    <row r="223" spans="1:11" x14ac:dyDescent="0.25">
      <c r="A223" t="s">
        <v>24</v>
      </c>
      <c r="F223" t="s">
        <v>309</v>
      </c>
      <c r="J223" t="s">
        <v>18</v>
      </c>
      <c r="K223" s="25">
        <f>INDEX('feed pars'!I$6:I$43,MATCH(F223,'feed pars'!B$6:B$43,0))</f>
        <v>11.6</v>
      </c>
    </row>
    <row r="224" spans="1:11" x14ac:dyDescent="0.25">
      <c r="A224" t="s">
        <v>24</v>
      </c>
      <c r="F224" t="s">
        <v>52</v>
      </c>
      <c r="J224" t="s">
        <v>18</v>
      </c>
      <c r="K224" s="25">
        <f>INDEX('feed pars'!I$6:I$43,MATCH(F224,'feed pars'!B$6:B$43,0))</f>
        <v>12.4</v>
      </c>
    </row>
    <row r="225" spans="1:14" x14ac:dyDescent="0.25">
      <c r="A225" t="s">
        <v>24</v>
      </c>
      <c r="F225" t="s">
        <v>53</v>
      </c>
      <c r="J225" t="s">
        <v>18</v>
      </c>
      <c r="K225" s="25">
        <f>INDEX('feed pars'!I$6:I$43,MATCH(F225,'feed pars'!B$6:B$43,0))</f>
        <v>12.3</v>
      </c>
    </row>
    <row r="226" spans="1:14" x14ac:dyDescent="0.25">
      <c r="A226" t="s">
        <v>24</v>
      </c>
      <c r="F226" t="s">
        <v>54</v>
      </c>
      <c r="J226" t="s">
        <v>18</v>
      </c>
      <c r="K226" s="25">
        <f>INDEX('feed pars'!I$6:I$43,MATCH(F226,'feed pars'!B$6:B$43,0))</f>
        <v>13.6</v>
      </c>
    </row>
    <row r="227" spans="1:14" x14ac:dyDescent="0.25">
      <c r="A227" t="s">
        <v>24</v>
      </c>
      <c r="F227" t="s">
        <v>56</v>
      </c>
      <c r="J227" t="s">
        <v>18</v>
      </c>
      <c r="K227" s="25">
        <f>INDEX('feed pars'!I$6:I$43,MATCH(F227,'feed pars'!B$6:B$43,0))</f>
        <v>15.5</v>
      </c>
    </row>
    <row r="228" spans="1:14" x14ac:dyDescent="0.25">
      <c r="A228" t="s">
        <v>24</v>
      </c>
      <c r="F228" t="s">
        <v>320</v>
      </c>
      <c r="J228" t="s">
        <v>18</v>
      </c>
      <c r="K228" s="3">
        <v>0</v>
      </c>
    </row>
    <row r="229" spans="1:14" x14ac:dyDescent="0.25">
      <c r="A229" s="7" t="s">
        <v>405</v>
      </c>
      <c r="B229" s="7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</row>
    <row r="230" spans="1:14" x14ac:dyDescent="0.25">
      <c r="A230" t="s">
        <v>391</v>
      </c>
      <c r="F230" t="s">
        <v>2</v>
      </c>
      <c r="J230" t="s">
        <v>18</v>
      </c>
      <c r="K230" s="25">
        <f>INDEX('feed pars'!I$6:I$43,MATCH(F230,'feed pars'!B$6:B$43,0))</f>
        <v>9.1</v>
      </c>
      <c r="L230" t="s">
        <v>19</v>
      </c>
    </row>
    <row r="231" spans="1:14" x14ac:dyDescent="0.25">
      <c r="A231" t="s">
        <v>391</v>
      </c>
      <c r="F231" t="s">
        <v>33</v>
      </c>
      <c r="J231" t="s">
        <v>18</v>
      </c>
      <c r="K231" s="31">
        <f>K201</f>
        <v>9.9416666666666664</v>
      </c>
    </row>
    <row r="232" spans="1:14" x14ac:dyDescent="0.25">
      <c r="K232" s="31"/>
    </row>
    <row r="233" spans="1:14" x14ac:dyDescent="0.25">
      <c r="A233" t="s">
        <v>391</v>
      </c>
      <c r="F233" t="s">
        <v>38</v>
      </c>
      <c r="J233" t="s">
        <v>18</v>
      </c>
      <c r="K233" s="31">
        <f>K205</f>
        <v>11.7</v>
      </c>
    </row>
    <row r="234" spans="1:14" x14ac:dyDescent="0.25">
      <c r="A234" t="s">
        <v>391</v>
      </c>
      <c r="F234" t="s">
        <v>37</v>
      </c>
      <c r="J234" t="s">
        <v>18</v>
      </c>
      <c r="K234" s="31">
        <f>K204</f>
        <v>13.2</v>
      </c>
    </row>
    <row r="235" spans="1:14" x14ac:dyDescent="0.25">
      <c r="A235" t="s">
        <v>391</v>
      </c>
      <c r="F235" t="s">
        <v>17</v>
      </c>
      <c r="J235" t="s">
        <v>18</v>
      </c>
      <c r="K235" s="31">
        <f>K203</f>
        <v>14.1</v>
      </c>
    </row>
    <row r="236" spans="1:14" x14ac:dyDescent="0.25">
      <c r="A236" t="s">
        <v>391</v>
      </c>
      <c r="F236" t="s">
        <v>49</v>
      </c>
      <c r="J236" t="s">
        <v>18</v>
      </c>
      <c r="K236" s="31">
        <f t="shared" ref="K236:K242" si="14">K204</f>
        <v>13.2</v>
      </c>
    </row>
    <row r="237" spans="1:14" x14ac:dyDescent="0.25">
      <c r="A237" t="s">
        <v>391</v>
      </c>
      <c r="F237" t="s">
        <v>48</v>
      </c>
      <c r="J237" t="s">
        <v>18</v>
      </c>
      <c r="K237" s="31">
        <f t="shared" si="14"/>
        <v>11.7</v>
      </c>
    </row>
    <row r="238" spans="1:14" x14ac:dyDescent="0.25">
      <c r="A238" t="s">
        <v>391</v>
      </c>
      <c r="F238" t="s">
        <v>310</v>
      </c>
      <c r="J238" t="s">
        <v>18</v>
      </c>
      <c r="K238" s="31">
        <f t="shared" si="14"/>
        <v>14</v>
      </c>
    </row>
    <row r="239" spans="1:14" x14ac:dyDescent="0.25">
      <c r="A239" t="s">
        <v>391</v>
      </c>
      <c r="F239" t="s">
        <v>53</v>
      </c>
      <c r="J239" t="s">
        <v>18</v>
      </c>
      <c r="K239" s="31">
        <f t="shared" si="14"/>
        <v>13.9</v>
      </c>
    </row>
    <row r="240" spans="1:14" x14ac:dyDescent="0.25">
      <c r="A240" t="s">
        <v>391</v>
      </c>
      <c r="F240" t="s">
        <v>52</v>
      </c>
      <c r="J240" t="s">
        <v>18</v>
      </c>
      <c r="K240" s="31">
        <f t="shared" si="14"/>
        <v>12.8</v>
      </c>
    </row>
    <row r="241" spans="1:14" x14ac:dyDescent="0.25">
      <c r="A241" t="s">
        <v>391</v>
      </c>
      <c r="F241" t="s">
        <v>56</v>
      </c>
      <c r="J241" t="s">
        <v>18</v>
      </c>
      <c r="K241" s="31">
        <f t="shared" si="14"/>
        <v>13.8</v>
      </c>
    </row>
    <row r="242" spans="1:14" x14ac:dyDescent="0.25">
      <c r="A242" t="s">
        <v>391</v>
      </c>
      <c r="F242" t="s">
        <v>315</v>
      </c>
      <c r="J242" t="s">
        <v>18</v>
      </c>
      <c r="K242" s="31">
        <f t="shared" si="14"/>
        <v>13.3</v>
      </c>
    </row>
    <row r="243" spans="1:14" x14ac:dyDescent="0.25">
      <c r="K243" s="3"/>
    </row>
    <row r="244" spans="1:14" x14ac:dyDescent="0.25">
      <c r="A244" s="8" t="s">
        <v>21</v>
      </c>
      <c r="B244" s="8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</row>
    <row r="245" spans="1:14" x14ac:dyDescent="0.25">
      <c r="A245" s="27" t="s">
        <v>387</v>
      </c>
      <c r="B245" s="28"/>
      <c r="C245" s="29"/>
      <c r="D245" s="29"/>
      <c r="E245" s="29"/>
      <c r="F245" s="29"/>
      <c r="G245" s="29"/>
      <c r="H245" s="29"/>
      <c r="I245" s="29"/>
      <c r="J245" s="29"/>
      <c r="K245" s="29"/>
      <c r="L245" s="29" t="s">
        <v>297</v>
      </c>
      <c r="M245" s="29"/>
      <c r="N245" s="29"/>
    </row>
    <row r="246" spans="1:14" x14ac:dyDescent="0.25">
      <c r="A246" t="s">
        <v>25</v>
      </c>
      <c r="E246" t="s">
        <v>296</v>
      </c>
      <c r="F246" t="s">
        <v>17</v>
      </c>
      <c r="J246" t="s">
        <v>18</v>
      </c>
      <c r="K246" s="25">
        <f>INDEX('feed pars'!U$6:U$43,MATCH(F246,'feed pars'!B$6:B$43,0))</f>
        <v>12.3</v>
      </c>
    </row>
    <row r="247" spans="1:14" x14ac:dyDescent="0.25">
      <c r="A247" t="s">
        <v>25</v>
      </c>
      <c r="E247" t="s">
        <v>296</v>
      </c>
      <c r="F247" t="s">
        <v>37</v>
      </c>
      <c r="J247" t="s">
        <v>18</v>
      </c>
      <c r="K247" s="25">
        <f>INDEX('feed pars'!U$6:U$43,MATCH(F247,'feed pars'!B$6:B$43,0))</f>
        <v>11.2</v>
      </c>
    </row>
    <row r="248" spans="1:14" x14ac:dyDescent="0.25">
      <c r="A248" t="s">
        <v>25</v>
      </c>
      <c r="E248" t="s">
        <v>296</v>
      </c>
      <c r="F248" t="s">
        <v>38</v>
      </c>
      <c r="J248" t="s">
        <v>18</v>
      </c>
      <c r="K248" s="25">
        <f>INDEX('feed pars'!U$6:U$43,MATCH(F248,'feed pars'!B$6:B$43,0))</f>
        <v>9.4</v>
      </c>
    </row>
    <row r="249" spans="1:14" x14ac:dyDescent="0.25">
      <c r="A249" t="s">
        <v>25</v>
      </c>
      <c r="E249" t="s">
        <v>296</v>
      </c>
      <c r="F249" t="s">
        <v>39</v>
      </c>
      <c r="J249" t="s">
        <v>18</v>
      </c>
      <c r="K249" s="25">
        <f>INDEX('feed pars'!U$6:U$43,MATCH(F249,'feed pars'!B$6:B$43,0))</f>
        <v>12</v>
      </c>
    </row>
    <row r="250" spans="1:14" x14ac:dyDescent="0.25">
      <c r="A250" t="s">
        <v>25</v>
      </c>
      <c r="E250" t="s">
        <v>296</v>
      </c>
      <c r="F250" t="s">
        <v>40</v>
      </c>
      <c r="J250" t="s">
        <v>18</v>
      </c>
      <c r="K250" s="25">
        <f>INDEX('feed pars'!U$6:U$43,MATCH(F250,'feed pars'!B$6:B$43,0))</f>
        <v>13.2</v>
      </c>
    </row>
    <row r="251" spans="1:14" x14ac:dyDescent="0.25">
      <c r="A251" t="s">
        <v>25</v>
      </c>
      <c r="E251" t="s">
        <v>296</v>
      </c>
      <c r="F251" t="s">
        <v>41</v>
      </c>
      <c r="J251" t="s">
        <v>18</v>
      </c>
      <c r="K251" s="25">
        <f>INDEX('feed pars'!U$6:U$43,MATCH(F251,'feed pars'!B$6:B$43,0))</f>
        <v>11.5</v>
      </c>
    </row>
    <row r="252" spans="1:14" x14ac:dyDescent="0.25">
      <c r="A252" t="s">
        <v>25</v>
      </c>
      <c r="E252" t="s">
        <v>296</v>
      </c>
      <c r="F252" t="s">
        <v>42</v>
      </c>
      <c r="J252" t="s">
        <v>18</v>
      </c>
      <c r="K252" s="25">
        <f>INDEX('feed pars'!U$6:U$43,MATCH(F252,'feed pars'!B$6:B$43,0))</f>
        <v>10.9</v>
      </c>
    </row>
    <row r="253" spans="1:14" x14ac:dyDescent="0.25">
      <c r="A253" t="s">
        <v>25</v>
      </c>
      <c r="E253" t="s">
        <v>296</v>
      </c>
      <c r="F253" t="s">
        <v>35</v>
      </c>
      <c r="J253" t="s">
        <v>18</v>
      </c>
      <c r="K253" s="25">
        <f>INDEX('feed pars'!U$6:U$43,MATCH(F253,'feed pars'!B$6:B$43,0))</f>
        <v>18.5</v>
      </c>
    </row>
    <row r="254" spans="1:14" x14ac:dyDescent="0.25">
      <c r="A254" t="s">
        <v>25</v>
      </c>
      <c r="E254" t="s">
        <v>296</v>
      </c>
      <c r="F254" t="s">
        <v>43</v>
      </c>
      <c r="J254" t="s">
        <v>18</v>
      </c>
      <c r="K254" s="25">
        <f>INDEX('feed pars'!U$6:U$43,MATCH(F254,'feed pars'!B$6:B$43,0))</f>
        <v>17.5</v>
      </c>
    </row>
    <row r="255" spans="1:14" x14ac:dyDescent="0.25">
      <c r="A255" t="s">
        <v>25</v>
      </c>
      <c r="E255" t="s">
        <v>296</v>
      </c>
      <c r="F255" t="s">
        <v>310</v>
      </c>
      <c r="J255" t="s">
        <v>18</v>
      </c>
      <c r="K255" s="25">
        <f>INDEX('feed pars'!U$6:U$43,MATCH(F255,'feed pars'!B$6:B$43,0))</f>
        <v>29.8</v>
      </c>
    </row>
    <row r="256" spans="1:14" x14ac:dyDescent="0.25">
      <c r="A256" t="s">
        <v>25</v>
      </c>
      <c r="E256" t="s">
        <v>296</v>
      </c>
      <c r="F256" t="s">
        <v>44</v>
      </c>
      <c r="J256" t="s">
        <v>18</v>
      </c>
      <c r="K256" s="25">
        <f>INDEX('feed pars'!U$6:U$43,MATCH(F256,'feed pars'!B$6:B$43,0))</f>
        <v>9.9</v>
      </c>
    </row>
    <row r="257" spans="1:14" x14ac:dyDescent="0.25">
      <c r="A257" t="s">
        <v>25</v>
      </c>
      <c r="E257" t="s">
        <v>296</v>
      </c>
      <c r="F257" t="s">
        <v>45</v>
      </c>
      <c r="J257" t="s">
        <v>18</v>
      </c>
      <c r="K257" s="25">
        <f>INDEX('feed pars'!U$6:U$43,MATCH(F257,'feed pars'!B$6:B$43,0))</f>
        <v>10.3</v>
      </c>
    </row>
    <row r="258" spans="1:14" x14ac:dyDescent="0.25">
      <c r="A258" t="s">
        <v>25</v>
      </c>
      <c r="E258" t="s">
        <v>296</v>
      </c>
      <c r="F258" t="s">
        <v>36</v>
      </c>
      <c r="J258" t="s">
        <v>18</v>
      </c>
      <c r="K258" s="25">
        <f>INDEX('feed pars'!U$6:U$43,MATCH(F258,'feed pars'!B$6:B$43,0))</f>
        <v>7.7</v>
      </c>
    </row>
    <row r="259" spans="1:14" x14ac:dyDescent="0.25">
      <c r="A259" t="s">
        <v>25</v>
      </c>
      <c r="E259" t="s">
        <v>296</v>
      </c>
      <c r="F259" t="s">
        <v>46</v>
      </c>
      <c r="J259" t="s">
        <v>18</v>
      </c>
      <c r="K259" s="25">
        <f>INDEX('feed pars'!U$6:U$43,MATCH(F259,'feed pars'!B$6:B$43,0))</f>
        <v>6.5</v>
      </c>
    </row>
    <row r="260" spans="1:14" x14ac:dyDescent="0.25">
      <c r="A260" t="s">
        <v>25</v>
      </c>
      <c r="E260" t="s">
        <v>296</v>
      </c>
      <c r="F260" t="s">
        <v>47</v>
      </c>
      <c r="J260" t="s">
        <v>18</v>
      </c>
      <c r="K260" s="25">
        <f>INDEX('feed pars'!U$6:U$43,MATCH(F260,'feed pars'!B$6:B$43,0))</f>
        <v>6.2</v>
      </c>
    </row>
    <row r="261" spans="1:14" x14ac:dyDescent="0.25">
      <c r="A261" t="s">
        <v>25</v>
      </c>
      <c r="E261" t="s">
        <v>296</v>
      </c>
      <c r="F261" t="s">
        <v>48</v>
      </c>
      <c r="J261" t="s">
        <v>18</v>
      </c>
      <c r="K261" s="25">
        <f>INDEX('feed pars'!U$6:U$43,MATCH(F261,'feed pars'!B$6:B$43,0))</f>
        <v>7.8</v>
      </c>
    </row>
    <row r="262" spans="1:14" x14ac:dyDescent="0.25">
      <c r="A262" t="s">
        <v>25</v>
      </c>
      <c r="E262" t="s">
        <v>296</v>
      </c>
      <c r="F262" t="s">
        <v>49</v>
      </c>
      <c r="J262" t="s">
        <v>18</v>
      </c>
      <c r="K262" s="25">
        <f>INDEX('feed pars'!U$6:U$43,MATCH(F262,'feed pars'!B$6:B$43,0))</f>
        <v>9.1999999999999993</v>
      </c>
    </row>
    <row r="263" spans="1:14" x14ac:dyDescent="0.25">
      <c r="A263" t="s">
        <v>25</v>
      </c>
      <c r="E263" t="s">
        <v>296</v>
      </c>
      <c r="F263" t="s">
        <v>50</v>
      </c>
      <c r="J263" t="s">
        <v>18</v>
      </c>
      <c r="K263" s="25">
        <f>INDEX('feed pars'!U$6:U$43,MATCH(F263,'feed pars'!B$6:B$43,0))</f>
        <v>8.6999999999999993</v>
      </c>
    </row>
    <row r="264" spans="1:14" x14ac:dyDescent="0.25">
      <c r="A264" t="s">
        <v>25</v>
      </c>
      <c r="E264" t="s">
        <v>296</v>
      </c>
      <c r="F264" t="s">
        <v>51</v>
      </c>
      <c r="J264" t="s">
        <v>18</v>
      </c>
      <c r="K264" s="25">
        <f>INDEX('feed pars'!U$6:U$43,MATCH(F264,'feed pars'!B$6:B$43,0))</f>
        <v>8.9</v>
      </c>
    </row>
    <row r="265" spans="1:14" x14ac:dyDescent="0.25">
      <c r="A265" t="s">
        <v>25</v>
      </c>
      <c r="E265" t="s">
        <v>296</v>
      </c>
      <c r="F265" t="s">
        <v>309</v>
      </c>
      <c r="J265" t="s">
        <v>18</v>
      </c>
      <c r="K265" s="25">
        <f>INDEX('feed pars'!U$6:U$43,MATCH(F265,'feed pars'!B$6:B$43,0))</f>
        <v>7.0888888888888877</v>
      </c>
    </row>
    <row r="266" spans="1:14" x14ac:dyDescent="0.25">
      <c r="A266" t="s">
        <v>25</v>
      </c>
      <c r="E266" t="s">
        <v>296</v>
      </c>
      <c r="F266" t="s">
        <v>52</v>
      </c>
      <c r="J266" t="s">
        <v>18</v>
      </c>
      <c r="K266" s="25">
        <f>INDEX('feed pars'!U$6:U$43,MATCH(F266,'feed pars'!B$6:B$43,0))</f>
        <v>9</v>
      </c>
    </row>
    <row r="267" spans="1:14" x14ac:dyDescent="0.25">
      <c r="A267" t="s">
        <v>25</v>
      </c>
      <c r="E267" t="s">
        <v>296</v>
      </c>
      <c r="F267" t="s">
        <v>53</v>
      </c>
      <c r="J267" t="s">
        <v>18</v>
      </c>
      <c r="K267" s="25">
        <f>INDEX('feed pars'!U$6:U$43,MATCH(F267,'feed pars'!B$6:B$43,0))</f>
        <v>8</v>
      </c>
    </row>
    <row r="268" spans="1:14" x14ac:dyDescent="0.25">
      <c r="A268" t="s">
        <v>25</v>
      </c>
      <c r="E268" t="s">
        <v>296</v>
      </c>
      <c r="F268" t="s">
        <v>54</v>
      </c>
      <c r="J268" t="s">
        <v>18</v>
      </c>
      <c r="K268" s="25">
        <f>INDEX('feed pars'!U$6:U$43,MATCH(F268,'feed pars'!B$6:B$43,0))</f>
        <v>12.2</v>
      </c>
    </row>
    <row r="269" spans="1:14" x14ac:dyDescent="0.25">
      <c r="A269" t="s">
        <v>25</v>
      </c>
      <c r="E269" t="s">
        <v>296</v>
      </c>
      <c r="F269" t="s">
        <v>55</v>
      </c>
      <c r="J269" t="s">
        <v>18</v>
      </c>
      <c r="K269" s="25">
        <f>INDEX('feed pars'!U$6:U$43,MATCH(F269,'feed pars'!B$6:B$43,0))</f>
        <v>12.2</v>
      </c>
    </row>
    <row r="270" spans="1:14" x14ac:dyDescent="0.25">
      <c r="A270" t="s">
        <v>25</v>
      </c>
      <c r="E270" t="s">
        <v>296</v>
      </c>
      <c r="F270" t="s">
        <v>56</v>
      </c>
      <c r="J270" t="s">
        <v>18</v>
      </c>
      <c r="K270" s="25">
        <f>INDEX('feed pars'!U$6:U$43,MATCH(F270,'feed pars'!B$6:B$43,0))</f>
        <v>11.3</v>
      </c>
    </row>
    <row r="271" spans="1:14" x14ac:dyDescent="0.25">
      <c r="A271" t="s">
        <v>25</v>
      </c>
      <c r="E271" t="s">
        <v>296</v>
      </c>
      <c r="F271" t="s">
        <v>57</v>
      </c>
      <c r="J271" t="s">
        <v>18</v>
      </c>
      <c r="K271" s="25">
        <f>INDEX('feed pars'!U$6:U$43,MATCH(F271,'feed pars'!B$6:B$43,0))</f>
        <v>10.8</v>
      </c>
    </row>
    <row r="272" spans="1:14" x14ac:dyDescent="0.25">
      <c r="A272" s="27" t="s">
        <v>388</v>
      </c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 t="s">
        <v>22</v>
      </c>
      <c r="M272" s="29"/>
      <c r="N272" s="29"/>
    </row>
    <row r="273" spans="1:11" x14ac:dyDescent="0.25">
      <c r="A273" t="s">
        <v>25</v>
      </c>
      <c r="F273" t="s">
        <v>17</v>
      </c>
      <c r="J273" t="s">
        <v>18</v>
      </c>
      <c r="K273" s="25">
        <f>INDEX('feed pars'!T$6:T$43,MATCH(F273,'feed pars'!B$6:B$43,0))</f>
        <v>12.1</v>
      </c>
    </row>
    <row r="274" spans="1:11" x14ac:dyDescent="0.25">
      <c r="A274" t="s">
        <v>25</v>
      </c>
      <c r="F274" t="s">
        <v>37</v>
      </c>
      <c r="J274" t="s">
        <v>18</v>
      </c>
      <c r="K274" s="25">
        <f>INDEX('feed pars'!T$6:T$43,MATCH(F274,'feed pars'!B$6:B$43,0))</f>
        <v>11</v>
      </c>
    </row>
    <row r="275" spans="1:11" x14ac:dyDescent="0.25">
      <c r="A275" t="s">
        <v>25</v>
      </c>
      <c r="F275" t="s">
        <v>38</v>
      </c>
      <c r="J275" t="s">
        <v>18</v>
      </c>
      <c r="K275" s="25">
        <f>INDEX('feed pars'!T$6:T$43,MATCH(F275,'feed pars'!B$6:B$43,0))</f>
        <v>9</v>
      </c>
    </row>
    <row r="276" spans="1:11" x14ac:dyDescent="0.25">
      <c r="A276" t="s">
        <v>25</v>
      </c>
      <c r="F276" t="s">
        <v>39</v>
      </c>
      <c r="J276" t="s">
        <v>18</v>
      </c>
      <c r="K276" s="25">
        <f>INDEX('feed pars'!T$6:T$43,MATCH(F276,'feed pars'!B$6:B$43,0))</f>
        <v>11.9</v>
      </c>
    </row>
    <row r="277" spans="1:11" x14ac:dyDescent="0.25">
      <c r="A277" t="s">
        <v>25</v>
      </c>
      <c r="F277" t="s">
        <v>40</v>
      </c>
      <c r="J277" t="s">
        <v>18</v>
      </c>
      <c r="K277" s="25">
        <f>INDEX('feed pars'!T$6:T$43,MATCH(F277,'feed pars'!B$6:B$43,0))</f>
        <v>12.8</v>
      </c>
    </row>
    <row r="278" spans="1:11" x14ac:dyDescent="0.25">
      <c r="A278" t="s">
        <v>25</v>
      </c>
      <c r="F278" t="s">
        <v>41</v>
      </c>
      <c r="J278" t="s">
        <v>18</v>
      </c>
      <c r="K278" s="25">
        <f>INDEX('feed pars'!T$6:T$43,MATCH(F278,'feed pars'!B$6:B$43,0))</f>
        <v>11.2</v>
      </c>
    </row>
    <row r="279" spans="1:11" x14ac:dyDescent="0.25">
      <c r="A279" t="s">
        <v>25</v>
      </c>
      <c r="F279" t="s">
        <v>42</v>
      </c>
      <c r="J279" t="s">
        <v>18</v>
      </c>
      <c r="K279" s="25">
        <f>INDEX('feed pars'!T$6:T$43,MATCH(F279,'feed pars'!B$6:B$43,0))</f>
        <v>10.7</v>
      </c>
    </row>
    <row r="280" spans="1:11" x14ac:dyDescent="0.25">
      <c r="A280" t="s">
        <v>25</v>
      </c>
      <c r="F280" t="s">
        <v>35</v>
      </c>
      <c r="J280" t="s">
        <v>18</v>
      </c>
      <c r="K280" s="25">
        <f>INDEX('feed pars'!T$6:T$43,MATCH(F280,'feed pars'!B$6:B$43,0))</f>
        <v>18</v>
      </c>
    </row>
    <row r="281" spans="1:11" x14ac:dyDescent="0.25">
      <c r="A281" t="s">
        <v>25</v>
      </c>
      <c r="F281" t="s">
        <v>43</v>
      </c>
      <c r="J281" t="s">
        <v>18</v>
      </c>
      <c r="K281" s="25">
        <f>INDEX('feed pars'!T$6:T$43,MATCH(F281,'feed pars'!B$6:B$43,0))</f>
        <v>17.3</v>
      </c>
    </row>
    <row r="282" spans="1:11" x14ac:dyDescent="0.25">
      <c r="A282" t="s">
        <v>25</v>
      </c>
      <c r="F282" t="s">
        <v>310</v>
      </c>
      <c r="J282" t="s">
        <v>18</v>
      </c>
      <c r="K282" s="25">
        <f>INDEX('feed pars'!T$6:T$43,MATCH(F282,'feed pars'!B$6:B$43,0))</f>
        <v>29.8</v>
      </c>
    </row>
    <row r="283" spans="1:11" x14ac:dyDescent="0.25">
      <c r="A283" t="s">
        <v>25</v>
      </c>
      <c r="F283" t="s">
        <v>44</v>
      </c>
      <c r="J283" t="s">
        <v>18</v>
      </c>
      <c r="K283" s="25">
        <f>INDEX('feed pars'!T$6:T$43,MATCH(F283,'feed pars'!B$6:B$43,0))</f>
        <v>9.3000000000000007</v>
      </c>
    </row>
    <row r="284" spans="1:11" x14ac:dyDescent="0.25">
      <c r="A284" t="s">
        <v>25</v>
      </c>
      <c r="F284" t="s">
        <v>45</v>
      </c>
      <c r="J284" t="s">
        <v>18</v>
      </c>
      <c r="K284" s="25">
        <f>INDEX('feed pars'!T$6:T$43,MATCH(F284,'feed pars'!B$6:B$43,0))</f>
        <v>9.6999999999999993</v>
      </c>
    </row>
    <row r="285" spans="1:11" x14ac:dyDescent="0.25">
      <c r="A285" t="s">
        <v>25</v>
      </c>
      <c r="F285" t="s">
        <v>36</v>
      </c>
      <c r="J285" t="s">
        <v>18</v>
      </c>
      <c r="K285" s="25">
        <f>INDEX('feed pars'!T$6:T$43,MATCH(F285,'feed pars'!B$6:B$43,0))</f>
        <v>7.1</v>
      </c>
    </row>
    <row r="286" spans="1:11" x14ac:dyDescent="0.25">
      <c r="A286" t="s">
        <v>25</v>
      </c>
      <c r="F286" t="s">
        <v>46</v>
      </c>
      <c r="J286" t="s">
        <v>18</v>
      </c>
      <c r="K286" s="25">
        <f>INDEX('feed pars'!T$6:T$43,MATCH(F286,'feed pars'!B$6:B$43,0))</f>
        <v>5.9</v>
      </c>
    </row>
    <row r="287" spans="1:11" x14ac:dyDescent="0.25">
      <c r="A287" t="s">
        <v>25</v>
      </c>
      <c r="F287" t="s">
        <v>47</v>
      </c>
      <c r="J287" t="s">
        <v>18</v>
      </c>
      <c r="K287" s="25">
        <f>INDEX('feed pars'!T$6:T$43,MATCH(F287,'feed pars'!B$6:B$43,0))</f>
        <v>5.4</v>
      </c>
    </row>
    <row r="288" spans="1:11" x14ac:dyDescent="0.25">
      <c r="A288" t="s">
        <v>25</v>
      </c>
      <c r="F288" t="s">
        <v>48</v>
      </c>
      <c r="J288" t="s">
        <v>18</v>
      </c>
      <c r="K288" s="25">
        <f>INDEX('feed pars'!T$6:T$43,MATCH(F288,'feed pars'!B$6:B$43,0))</f>
        <v>7.2</v>
      </c>
    </row>
    <row r="289" spans="1:11" x14ac:dyDescent="0.25">
      <c r="A289" t="s">
        <v>25</v>
      </c>
      <c r="F289" t="s">
        <v>49</v>
      </c>
      <c r="J289" t="s">
        <v>18</v>
      </c>
      <c r="K289" s="25">
        <f>INDEX('feed pars'!T$6:T$43,MATCH(F289,'feed pars'!B$6:B$43,0))</f>
        <v>8.6999999999999993</v>
      </c>
    </row>
    <row r="290" spans="1:11" x14ac:dyDescent="0.25">
      <c r="A290" t="s">
        <v>25</v>
      </c>
      <c r="F290" t="s">
        <v>50</v>
      </c>
      <c r="J290" t="s">
        <v>18</v>
      </c>
      <c r="K290" s="25">
        <f>INDEX('feed pars'!T$6:T$43,MATCH(F290,'feed pars'!B$6:B$43,0))</f>
        <v>8.1</v>
      </c>
    </row>
    <row r="291" spans="1:11" x14ac:dyDescent="0.25">
      <c r="A291" t="s">
        <v>25</v>
      </c>
      <c r="F291" t="s">
        <v>51</v>
      </c>
      <c r="J291" t="s">
        <v>18</v>
      </c>
      <c r="K291" s="25">
        <f>INDEX('feed pars'!T$6:T$43,MATCH(F291,'feed pars'!B$6:B$43,0))</f>
        <v>8.1999999999999993</v>
      </c>
    </row>
    <row r="292" spans="1:11" x14ac:dyDescent="0.25">
      <c r="A292" t="s">
        <v>25</v>
      </c>
      <c r="F292" t="s">
        <v>309</v>
      </c>
      <c r="J292" t="s">
        <v>18</v>
      </c>
      <c r="K292" s="25">
        <f>INDEX('feed pars'!T$6:T$43,MATCH(F292,'feed pars'!B$6:B$43,0))</f>
        <v>6.6</v>
      </c>
    </row>
    <row r="293" spans="1:11" x14ac:dyDescent="0.25">
      <c r="A293" t="s">
        <v>25</v>
      </c>
      <c r="F293" t="s">
        <v>52</v>
      </c>
      <c r="J293" t="s">
        <v>18</v>
      </c>
      <c r="K293" s="25">
        <f>INDEX('feed pars'!T$6:T$43,MATCH(F293,'feed pars'!B$6:B$43,0))</f>
        <v>8.6999999999999993</v>
      </c>
    </row>
    <row r="294" spans="1:11" x14ac:dyDescent="0.25">
      <c r="A294" t="s">
        <v>25</v>
      </c>
      <c r="F294" t="s">
        <v>53</v>
      </c>
      <c r="J294" t="s">
        <v>18</v>
      </c>
      <c r="K294" s="25">
        <f>INDEX('feed pars'!T$6:T$43,MATCH(F294,'feed pars'!B$6:B$43,0))</f>
        <v>6.9</v>
      </c>
    </row>
    <row r="295" spans="1:11" x14ac:dyDescent="0.25">
      <c r="A295" t="s">
        <v>25</v>
      </c>
      <c r="F295" t="s">
        <v>54</v>
      </c>
      <c r="J295" t="s">
        <v>18</v>
      </c>
      <c r="K295" s="25">
        <f>INDEX('feed pars'!T$6:T$43,MATCH(F295,'feed pars'!B$6:B$43,0))</f>
        <v>12.4</v>
      </c>
    </row>
    <row r="296" spans="1:11" x14ac:dyDescent="0.25">
      <c r="A296" t="s">
        <v>25</v>
      </c>
      <c r="F296" t="s">
        <v>55</v>
      </c>
      <c r="J296" t="s">
        <v>18</v>
      </c>
      <c r="K296" s="25">
        <f>INDEX('feed pars'!T$6:T$43,MATCH(F296,'feed pars'!B$6:B$43,0))</f>
        <v>12.4</v>
      </c>
    </row>
    <row r="297" spans="1:11" x14ac:dyDescent="0.25">
      <c r="A297" t="s">
        <v>25</v>
      </c>
      <c r="F297" t="s">
        <v>56</v>
      </c>
      <c r="J297" t="s">
        <v>18</v>
      </c>
      <c r="K297" s="25">
        <f>INDEX('feed pars'!T$6:T$43,MATCH(F297,'feed pars'!B$6:B$43,0))</f>
        <v>11.1</v>
      </c>
    </row>
    <row r="298" spans="1:11" x14ac:dyDescent="0.25">
      <c r="A298" t="s">
        <v>25</v>
      </c>
      <c r="F298" t="s">
        <v>57</v>
      </c>
      <c r="J298" t="s">
        <v>18</v>
      </c>
      <c r="K298" s="25">
        <f>INDEX('feed pars'!T$6:T$43,MATCH(F298,'feed pars'!B$6:B$43,0))</f>
        <v>10.8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46"/>
  <sheetViews>
    <sheetView workbookViewId="0">
      <selection activeCell="P19" sqref="P19"/>
    </sheetView>
  </sheetViews>
  <sheetFormatPr defaultRowHeight="15" x14ac:dyDescent="0.25"/>
  <cols>
    <col min="2" max="2" width="27" bestFit="1" customWidth="1"/>
    <col min="3" max="5" width="7.5703125" customWidth="1"/>
    <col min="17" max="17" width="7.5703125" customWidth="1"/>
  </cols>
  <sheetData>
    <row r="1" spans="2:30" x14ac:dyDescent="0.25">
      <c r="B1" t="s">
        <v>491</v>
      </c>
      <c r="C1" s="11" t="s">
        <v>118</v>
      </c>
      <c r="D1" s="11"/>
      <c r="E1" s="11"/>
      <c r="Q1" s="11"/>
    </row>
    <row r="3" spans="2:30" x14ac:dyDescent="0.25">
      <c r="C3" s="63" t="s">
        <v>303</v>
      </c>
      <c r="D3" s="64"/>
      <c r="F3" s="63" t="s">
        <v>489</v>
      </c>
      <c r="G3" s="64"/>
      <c r="H3" s="64"/>
      <c r="I3" s="64"/>
      <c r="J3" s="64"/>
      <c r="K3" s="64"/>
      <c r="L3" s="64"/>
      <c r="M3" s="64"/>
      <c r="N3" s="64"/>
      <c r="Q3" s="63" t="s">
        <v>25</v>
      </c>
      <c r="R3" s="64"/>
      <c r="S3" s="64"/>
      <c r="T3" s="64"/>
      <c r="U3" s="64"/>
      <c r="V3" s="64"/>
      <c r="W3" s="64"/>
      <c r="X3" s="64"/>
      <c r="Y3" s="64"/>
      <c r="AB3" s="63" t="s">
        <v>385</v>
      </c>
      <c r="AC3" s="64"/>
    </row>
    <row r="4" spans="2:30" x14ac:dyDescent="0.25">
      <c r="C4" s="62"/>
      <c r="D4" s="2"/>
      <c r="F4" s="69" t="s">
        <v>294</v>
      </c>
      <c r="G4" s="70">
        <v>1</v>
      </c>
      <c r="H4" s="70"/>
      <c r="I4" s="70">
        <v>2</v>
      </c>
      <c r="J4" s="70">
        <v>7</v>
      </c>
      <c r="K4" s="70">
        <v>8</v>
      </c>
      <c r="L4" s="70">
        <v>9</v>
      </c>
      <c r="M4" s="70">
        <v>11</v>
      </c>
      <c r="N4" s="70">
        <v>10</v>
      </c>
      <c r="O4" s="4"/>
      <c r="P4" s="4"/>
      <c r="Q4" s="69" t="s">
        <v>294</v>
      </c>
      <c r="R4" s="70">
        <v>1</v>
      </c>
      <c r="S4" s="70"/>
      <c r="T4" s="70">
        <v>2</v>
      </c>
      <c r="U4" s="70">
        <v>3</v>
      </c>
      <c r="V4" s="70">
        <v>5</v>
      </c>
      <c r="W4" s="70">
        <v>6</v>
      </c>
      <c r="X4" s="70"/>
      <c r="Y4" s="70">
        <v>12</v>
      </c>
      <c r="Z4" s="4"/>
      <c r="AA4" s="4"/>
      <c r="AB4" s="69" t="s">
        <v>294</v>
      </c>
      <c r="AC4" s="70">
        <v>1</v>
      </c>
    </row>
    <row r="5" spans="2:30" x14ac:dyDescent="0.25">
      <c r="B5" s="4" t="s">
        <v>58</v>
      </c>
      <c r="C5" s="72" t="s">
        <v>59</v>
      </c>
      <c r="D5" s="74" t="s">
        <v>407</v>
      </c>
      <c r="F5" s="69" t="s">
        <v>295</v>
      </c>
      <c r="G5" s="72" t="s">
        <v>59</v>
      </c>
      <c r="H5" s="73" t="s">
        <v>495</v>
      </c>
      <c r="I5" s="73" t="s">
        <v>494</v>
      </c>
      <c r="J5" s="73" t="s">
        <v>410</v>
      </c>
      <c r="K5" s="73" t="s">
        <v>411</v>
      </c>
      <c r="L5" s="73" t="s">
        <v>412</v>
      </c>
      <c r="M5" s="73" t="s">
        <v>282</v>
      </c>
      <c r="N5" s="74" t="s">
        <v>487</v>
      </c>
      <c r="O5" s="76" t="s">
        <v>492</v>
      </c>
      <c r="Q5" s="69" t="s">
        <v>295</v>
      </c>
      <c r="R5" s="72" t="s">
        <v>59</v>
      </c>
      <c r="S5" s="73" t="s">
        <v>495</v>
      </c>
      <c r="T5" s="73" t="s">
        <v>121</v>
      </c>
      <c r="U5" s="73" t="s">
        <v>120</v>
      </c>
      <c r="V5" s="73" t="s">
        <v>410</v>
      </c>
      <c r="W5" s="73" t="s">
        <v>411</v>
      </c>
      <c r="X5" s="73" t="s">
        <v>493</v>
      </c>
      <c r="Y5" s="74" t="s">
        <v>487</v>
      </c>
      <c r="Z5" s="76" t="s">
        <v>492</v>
      </c>
      <c r="AA5" s="4"/>
      <c r="AB5" s="69" t="s">
        <v>295</v>
      </c>
      <c r="AC5" s="71" t="s">
        <v>59</v>
      </c>
      <c r="AD5" s="76" t="s">
        <v>492</v>
      </c>
    </row>
    <row r="6" spans="2:30" x14ac:dyDescent="0.25">
      <c r="B6" t="s">
        <v>306</v>
      </c>
      <c r="C6" s="37">
        <f>AVERAGE(R6,G6)</f>
        <v>100</v>
      </c>
      <c r="D6" s="65">
        <f>H6</f>
        <v>17.538700400000003</v>
      </c>
      <c r="F6" s="69"/>
      <c r="G6" s="37">
        <v>100</v>
      </c>
      <c r="H6" s="78">
        <f t="shared" ref="H6:H11" si="0">( 5.7*J6+9.4*K6+4.1*(L6+M6) ) * 0.004184</f>
        <v>17.538700400000003</v>
      </c>
      <c r="I6" s="38">
        <f>AVERAGE('ruminants, roughage'!D21:D22)</f>
        <v>11.3</v>
      </c>
      <c r="J6" s="39">
        <f>AVERAGE('ruminants, roughage'!I21:I22)</f>
        <v>151.5</v>
      </c>
      <c r="K6" s="40">
        <v>30</v>
      </c>
      <c r="L6" s="39"/>
      <c r="M6" s="41">
        <f>1000-SUM(J6:L6,N6)</f>
        <v>743</v>
      </c>
      <c r="N6" s="42">
        <f>AVERAGE('ruminants, roughage'!K21:K22)</f>
        <v>75.5</v>
      </c>
      <c r="Q6" s="69"/>
      <c r="R6" s="37"/>
      <c r="S6" s="55"/>
      <c r="T6" s="55"/>
      <c r="U6" s="55"/>
      <c r="V6" s="55"/>
      <c r="W6" s="55"/>
      <c r="X6" s="55"/>
      <c r="Y6" s="56"/>
      <c r="AB6" s="69"/>
      <c r="AC6" s="60"/>
    </row>
    <row r="7" spans="2:30" x14ac:dyDescent="0.25">
      <c r="B7" t="s">
        <v>307</v>
      </c>
      <c r="C7" s="37">
        <f>AVERAGE(R7,G7)</f>
        <v>100</v>
      </c>
      <c r="D7" s="65">
        <f>H7</f>
        <v>17.371968000000003</v>
      </c>
      <c r="F7" s="69"/>
      <c r="G7" s="37">
        <v>100</v>
      </c>
      <c r="H7" s="78">
        <f t="shared" si="0"/>
        <v>17.371968000000003</v>
      </c>
      <c r="I7" s="38">
        <f>AVERAGE('ruminants, roughage'!D25:D25)</f>
        <v>10.1</v>
      </c>
      <c r="J7" s="39">
        <f>AVERAGE('ruminants, roughage'!I25:I25)</f>
        <v>133</v>
      </c>
      <c r="K7" s="40">
        <v>30</v>
      </c>
      <c r="L7" s="39"/>
      <c r="M7" s="41">
        <f>1000-SUM(J7:L7,N7)</f>
        <v>759</v>
      </c>
      <c r="N7" s="42">
        <f>AVERAGE('ruminants, roughage'!K25:K25)</f>
        <v>78</v>
      </c>
      <c r="Q7" s="69"/>
      <c r="R7" s="37"/>
      <c r="S7" s="55"/>
      <c r="T7" s="55"/>
      <c r="U7" s="55"/>
      <c r="V7" s="55"/>
      <c r="W7" s="55"/>
      <c r="X7" s="55"/>
      <c r="Y7" s="56"/>
      <c r="AB7" s="69"/>
      <c r="AC7" s="60"/>
    </row>
    <row r="8" spans="2:30" x14ac:dyDescent="0.25">
      <c r="B8" t="s">
        <v>308</v>
      </c>
      <c r="C8" s="37">
        <f>AVERAGE(R8,G8)</f>
        <v>100</v>
      </c>
      <c r="D8" s="65">
        <f>H8</f>
        <v>16.819680000000002</v>
      </c>
      <c r="F8" s="69"/>
      <c r="G8" s="37">
        <v>100</v>
      </c>
      <c r="H8" s="78">
        <f t="shared" si="0"/>
        <v>16.819680000000002</v>
      </c>
      <c r="I8" s="43">
        <f>(9.3+9.2)/2</f>
        <v>9.25</v>
      </c>
      <c r="J8" s="44">
        <f>(105+110)/2</f>
        <v>107.5</v>
      </c>
      <c r="K8" s="44">
        <f>(34+38)/2</f>
        <v>36</v>
      </c>
      <c r="L8" s="40"/>
      <c r="M8" s="41">
        <f>1000-SUM(J8:L8,N8)</f>
        <v>748.5</v>
      </c>
      <c r="N8" s="45">
        <f>(101+115)/2</f>
        <v>108</v>
      </c>
      <c r="O8" t="s">
        <v>488</v>
      </c>
      <c r="P8" t="s">
        <v>490</v>
      </c>
      <c r="Q8" s="69"/>
      <c r="R8" s="37"/>
      <c r="S8" s="55"/>
      <c r="T8" s="55"/>
      <c r="U8" s="55"/>
      <c r="V8" s="55"/>
      <c r="W8" s="55"/>
      <c r="X8" s="55"/>
      <c r="Y8" s="56"/>
      <c r="AB8" s="69"/>
      <c r="AC8" s="60"/>
    </row>
    <row r="9" spans="2:30" x14ac:dyDescent="0.25">
      <c r="B9" t="s">
        <v>2</v>
      </c>
      <c r="C9" s="37">
        <f>AVERAGE(R9,G9)</f>
        <v>100</v>
      </c>
      <c r="D9" s="65">
        <f>H9</f>
        <v>17.3820096</v>
      </c>
      <c r="F9" s="69"/>
      <c r="G9" s="37">
        <v>100</v>
      </c>
      <c r="H9" s="78">
        <f t="shared" si="0"/>
        <v>17.3820096</v>
      </c>
      <c r="I9" s="38">
        <f>AVERAGE('ruminants, roughage'!D33:D33)</f>
        <v>9.1</v>
      </c>
      <c r="J9" s="39">
        <f>AVERAGE('ruminants, roughage'!I33:I33)</f>
        <v>93.5</v>
      </c>
      <c r="K9" s="40">
        <v>30</v>
      </c>
      <c r="L9" s="39"/>
      <c r="M9" s="41">
        <f>1000-SUM(J9:L9,N9)</f>
        <v>814.5</v>
      </c>
      <c r="N9" s="42">
        <f>AVERAGE('ruminants, roughage'!K33:K33)</f>
        <v>62</v>
      </c>
      <c r="Q9" s="69"/>
      <c r="R9" s="37"/>
      <c r="S9" s="55"/>
      <c r="T9" s="55"/>
      <c r="U9" s="55"/>
      <c r="V9" s="55"/>
      <c r="W9" s="55"/>
      <c r="X9" s="55"/>
      <c r="Y9" s="56"/>
      <c r="AB9" s="69"/>
      <c r="AC9" s="60"/>
    </row>
    <row r="10" spans="2:30" x14ac:dyDescent="0.25">
      <c r="B10" t="s">
        <v>12</v>
      </c>
      <c r="C10" s="37">
        <f>AVERAGE(R10,G10)</f>
        <v>100</v>
      </c>
      <c r="D10" s="65">
        <f>H10</f>
        <v>17.6573168</v>
      </c>
      <c r="F10" s="69"/>
      <c r="G10" s="37">
        <v>100</v>
      </c>
      <c r="H10" s="78">
        <f t="shared" si="0"/>
        <v>17.6573168</v>
      </c>
      <c r="I10" s="38">
        <v>11</v>
      </c>
      <c r="J10" s="39">
        <v>68</v>
      </c>
      <c r="K10" s="39">
        <v>30</v>
      </c>
      <c r="L10" s="39">
        <v>198</v>
      </c>
      <c r="M10" s="41">
        <f>1000-SUM(J10:L10,N10)</f>
        <v>668</v>
      </c>
      <c r="N10" s="42">
        <v>36</v>
      </c>
      <c r="O10" s="11" t="s">
        <v>408</v>
      </c>
      <c r="P10" s="11" t="s">
        <v>490</v>
      </c>
      <c r="Q10" s="69"/>
      <c r="R10" s="37"/>
      <c r="S10" s="55"/>
      <c r="T10" s="55"/>
      <c r="U10" s="55"/>
      <c r="V10" s="55"/>
      <c r="W10" s="55"/>
      <c r="X10" s="55"/>
      <c r="Y10" s="56"/>
      <c r="AB10" s="69"/>
      <c r="AC10" s="60"/>
    </row>
    <row r="11" spans="2:30" x14ac:dyDescent="0.25">
      <c r="B11" t="s">
        <v>33</v>
      </c>
      <c r="C11" s="37">
        <f>AVERAGE(R11,G11)</f>
        <v>100</v>
      </c>
      <c r="D11" s="65">
        <f>H11</f>
        <v>17.633189066666667</v>
      </c>
      <c r="F11" s="69"/>
      <c r="G11" s="37">
        <v>100</v>
      </c>
      <c r="H11" s="78">
        <f t="shared" si="0"/>
        <v>17.633189066666667</v>
      </c>
      <c r="I11" s="38">
        <f>AVERAGE('ruminants, roughage'!D3:D14)</f>
        <v>9.9416666666666664</v>
      </c>
      <c r="J11" s="39">
        <f>AVERAGE('ruminants, roughage'!I3:I14)</f>
        <v>140.41666666666666</v>
      </c>
      <c r="K11" s="40">
        <v>30</v>
      </c>
      <c r="L11" s="39"/>
      <c r="M11" s="41">
        <f>1000-SUM(J11:L11,N11)</f>
        <v>763.91666666666674</v>
      </c>
      <c r="N11" s="42">
        <f>AVERAGE('ruminants, roughage'!K3:K14)</f>
        <v>65.666666666666657</v>
      </c>
      <c r="Q11" s="69"/>
      <c r="R11" s="37"/>
      <c r="S11" s="55"/>
      <c r="T11" s="55"/>
      <c r="U11" s="55"/>
      <c r="V11" s="55"/>
      <c r="W11" s="55"/>
      <c r="X11" s="55"/>
      <c r="Y11" s="56"/>
      <c r="AB11" s="69"/>
      <c r="AC11" s="60"/>
    </row>
    <row r="12" spans="2:30" x14ac:dyDescent="0.25">
      <c r="B12" s="4"/>
      <c r="C12" s="46"/>
      <c r="D12" s="56"/>
      <c r="F12" s="69"/>
      <c r="G12" s="46"/>
      <c r="H12" s="57"/>
      <c r="I12" s="47"/>
      <c r="J12" s="48"/>
      <c r="K12" s="48"/>
      <c r="L12" s="48"/>
      <c r="M12" s="48"/>
      <c r="N12" s="49"/>
      <c r="Q12" s="69"/>
      <c r="R12" s="46"/>
      <c r="S12" s="57"/>
      <c r="T12" s="57"/>
      <c r="U12" s="57"/>
      <c r="V12" s="57"/>
      <c r="W12" s="57"/>
      <c r="X12" s="57"/>
      <c r="Y12" s="58"/>
      <c r="Z12" s="4"/>
      <c r="AA12" s="4"/>
      <c r="AB12" s="69"/>
      <c r="AC12" s="60"/>
    </row>
    <row r="13" spans="2:30" x14ac:dyDescent="0.25">
      <c r="B13" t="s">
        <v>17</v>
      </c>
      <c r="C13" s="66">
        <f>AVERAGE(R13,G13)</f>
        <v>87</v>
      </c>
      <c r="D13" s="65">
        <f>H13</f>
        <v>18.210023200000002</v>
      </c>
      <c r="E13" s="4"/>
      <c r="F13" s="69">
        <f>MATCH($B13,ruminants!$A$3:$A$120,0)</f>
        <v>112</v>
      </c>
      <c r="G13" s="37">
        <f>INDEX(ruminants!$D$3:$AH$120,$F13,G$4)</f>
        <v>87</v>
      </c>
      <c r="H13" s="78">
        <f>( 5.7*J13+9.4*K13+4.1*(L13+M13) ) * 0.004184</f>
        <v>18.210023200000002</v>
      </c>
      <c r="I13" s="38">
        <f>INDEX(ruminants!$D$3:$AH$120,$F13,I$4)</f>
        <v>14.1</v>
      </c>
      <c r="J13" s="39">
        <f>INDEX(ruminants!$D$3:$AH$120,$F13,J$4)</f>
        <v>121</v>
      </c>
      <c r="K13" s="39">
        <f>INDEX(ruminants!$D$3:$AH$120,$F13,K$4)</f>
        <v>25</v>
      </c>
      <c r="L13" s="39">
        <f>INDEX(ruminants!$D$3:$AH$120,$F13,L$4)</f>
        <v>30</v>
      </c>
      <c r="M13" s="39">
        <f>INDEX(ruminants!$D$3:$AH$120,$F13,M$4)</f>
        <v>806</v>
      </c>
      <c r="N13" s="42">
        <f>INDEX(ruminants!$D$3:$AH$120,$F13,N$4)</f>
        <v>18</v>
      </c>
      <c r="Q13" s="69">
        <f>MATCH($B13,pigs!$A$3:$A$60,0)</f>
        <v>53</v>
      </c>
      <c r="R13" s="37">
        <f>INDEX(pigs!$D$3:$AO$60,$Q13,R$4)</f>
        <v>87</v>
      </c>
      <c r="S13" s="78">
        <f>( 5.7*V13+9.4*W13+4.1*(X13) ) * 0.004184</f>
        <v>18.032621599999999</v>
      </c>
      <c r="T13" s="55">
        <f>INDEX(pigs!$D$3:$AO$60,$Q13,T$4)</f>
        <v>12.1</v>
      </c>
      <c r="U13" s="55">
        <f>INDEX(pigs!$D$3:$AO$60,$Q13,U$4)</f>
        <v>12.3</v>
      </c>
      <c r="V13" s="55">
        <f>INDEX(pigs!$D$3:$AO$60,$Q13,V$4)</f>
        <v>121</v>
      </c>
      <c r="W13" s="55">
        <f>INDEX(pigs!$D$3:$AO$60,$Q13,W$4)</f>
        <v>17</v>
      </c>
      <c r="X13" s="41">
        <f>1000-SUM(V13:W13,Y13)</f>
        <v>844</v>
      </c>
      <c r="Y13" s="56">
        <f>INDEX(pigs!$D$3:$AO$60,$Q13,Y$4)</f>
        <v>18</v>
      </c>
      <c r="AB13" s="69">
        <f>MATCH($B13,poultry!$A$3:$A$41,0)</f>
        <v>35</v>
      </c>
      <c r="AC13" s="60">
        <f>INDEX(poultry!$D$3:$U$41,$AB13,AC$4)</f>
        <v>87</v>
      </c>
    </row>
    <row r="14" spans="2:30" x14ac:dyDescent="0.25">
      <c r="B14" t="s">
        <v>37</v>
      </c>
      <c r="C14" s="66">
        <f>AVERAGE(R14,G14)</f>
        <v>87</v>
      </c>
      <c r="D14" s="65">
        <f>H14</f>
        <v>18.089524000000001</v>
      </c>
      <c r="E14" s="4"/>
      <c r="F14" s="69">
        <f>MATCH($B14,ruminants!$A$3:$A$120,0)</f>
        <v>42</v>
      </c>
      <c r="G14" s="37">
        <f>INDEX(ruminants!$D$3:$AH$120,$F14,G$4)</f>
        <v>87</v>
      </c>
      <c r="H14" s="78">
        <f t="shared" ref="H14:H42" si="1">( 5.7*J14+9.4*K14+4.1*(L14+M14) ) * 0.004184</f>
        <v>18.089524000000001</v>
      </c>
      <c r="I14" s="38">
        <f>INDEX(ruminants!$D$3:$AH$120,$F14,I$4)</f>
        <v>13.2</v>
      </c>
      <c r="J14" s="39">
        <f>INDEX(ruminants!$D$3:$AH$120,$F14,J$4)</f>
        <v>122</v>
      </c>
      <c r="K14" s="39">
        <f>INDEX(ruminants!$D$3:$AH$120,$F14,K$4)</f>
        <v>27</v>
      </c>
      <c r="L14" s="39">
        <f>INDEX(ruminants!$D$3:$AH$120,$F14,L$4)</f>
        <v>62</v>
      </c>
      <c r="M14" s="39">
        <f>INDEX(ruminants!$D$3:$AH$120,$F14,M$4)</f>
        <v>761</v>
      </c>
      <c r="N14" s="42">
        <f>INDEX(ruminants!$D$3:$AH$120,$F14,N$4)</f>
        <v>28</v>
      </c>
      <c r="Q14" s="69">
        <f>MATCH($B14,pigs!$A$3:$A$60,0)</f>
        <v>13</v>
      </c>
      <c r="R14" s="37">
        <f>INDEX(pigs!$D$3:$AO$60,$Q14,R$4)</f>
        <v>87</v>
      </c>
      <c r="S14" s="78">
        <f t="shared" ref="S14:S16" si="2">( 5.7*V14+9.4*W14+4.1*(X14) ) * 0.004184</f>
        <v>17.950615200000001</v>
      </c>
      <c r="T14" s="55">
        <f>INDEX(pigs!$D$3:$AO$60,$Q14,T$4)</f>
        <v>11</v>
      </c>
      <c r="U14" s="55">
        <f>INDEX(pigs!$D$3:$AO$60,$Q14,U$4)</f>
        <v>11.2</v>
      </c>
      <c r="V14" s="55">
        <f>INDEX(pigs!$D$3:$AO$60,$Q14,V$4)</f>
        <v>116</v>
      </c>
      <c r="W14" s="55">
        <f>INDEX(pigs!$D$3:$AO$60,$Q14,W$4)</f>
        <v>21</v>
      </c>
      <c r="X14" s="41">
        <f t="shared" ref="X14:X16" si="3">1000-SUM(V14:W14,Y14)</f>
        <v>837</v>
      </c>
      <c r="Y14" s="56">
        <f>INDEX(pigs!$D$3:$AO$60,$Q14,Y$4)</f>
        <v>26</v>
      </c>
      <c r="AB14" s="69">
        <f>MATCH($B14,poultry!$A$3:$A$41,0)</f>
        <v>16</v>
      </c>
      <c r="AC14" s="60">
        <f>INDEX(poultry!$D$3:$U$41,$AB14,AC$4)</f>
        <v>87</v>
      </c>
    </row>
    <row r="15" spans="2:30" x14ac:dyDescent="0.25">
      <c r="B15" t="s">
        <v>38</v>
      </c>
      <c r="C15" s="66">
        <f>AVERAGE(R15,G15)</f>
        <v>86</v>
      </c>
      <c r="D15" s="65">
        <f>H15</f>
        <v>18.6602216</v>
      </c>
      <c r="E15" s="4"/>
      <c r="F15" s="69">
        <f>MATCH($B15,ruminants!$A$3:$A$120,0)</f>
        <v>28</v>
      </c>
      <c r="G15" s="37">
        <f>INDEX(ruminants!$D$3:$AH$120,$F15,G$4)</f>
        <v>85</v>
      </c>
      <c r="H15" s="78">
        <f t="shared" si="1"/>
        <v>18.6602216</v>
      </c>
      <c r="I15" s="38">
        <f>INDEX(ruminants!$D$3:$AH$120,$F15,I$4)</f>
        <v>11.7</v>
      </c>
      <c r="J15" s="39">
        <f>INDEX(ruminants!$D$3:$AH$120,$F15,J$4)</f>
        <v>110</v>
      </c>
      <c r="K15" s="39">
        <f>INDEX(ruminants!$D$3:$AH$120,$F15,K$4)</f>
        <v>61</v>
      </c>
      <c r="L15" s="39">
        <f>INDEX(ruminants!$D$3:$AH$120,$F15,L$4)</f>
        <v>141</v>
      </c>
      <c r="M15" s="39">
        <f>INDEX(ruminants!$D$3:$AH$120,$F15,M$4)</f>
        <v>654</v>
      </c>
      <c r="N15" s="42">
        <f>INDEX(ruminants!$D$3:$AH$120,$F15,N$4)</f>
        <v>34</v>
      </c>
      <c r="Q15" s="69">
        <f>MATCH($B15,pigs!$A$3:$A$60,0)</f>
        <v>11</v>
      </c>
      <c r="R15" s="37">
        <f>INDEX(pigs!$D$3:$AO$60,$Q15,R$4)</f>
        <v>87</v>
      </c>
      <c r="S15" s="78">
        <f t="shared" si="2"/>
        <v>18.580307199999996</v>
      </c>
      <c r="T15" s="55">
        <f>INDEX(pigs!$D$3:$AO$60,$Q15,T$4)</f>
        <v>9</v>
      </c>
      <c r="U15" s="55">
        <f>INDEX(pigs!$D$3:$AO$60,$Q15,U$4)</f>
        <v>9.4</v>
      </c>
      <c r="V15" s="55">
        <f>INDEX(pigs!$D$3:$AO$60,$Q15,V$4)</f>
        <v>111</v>
      </c>
      <c r="W15" s="55">
        <f>INDEX(pigs!$D$3:$AO$60,$Q15,W$4)</f>
        <v>54</v>
      </c>
      <c r="X15" s="41">
        <f t="shared" si="3"/>
        <v>805</v>
      </c>
      <c r="Y15" s="56">
        <f>INDEX(pigs!$D$3:$AO$60,$Q15,Y$4)</f>
        <v>30</v>
      </c>
      <c r="AB15" s="69">
        <f>MATCH($B15,poultry!$A$3:$A$41,0)</f>
        <v>10</v>
      </c>
      <c r="AC15" s="60">
        <f>INDEX(poultry!$D$3:$U$41,$AB15,AC$4)</f>
        <v>87</v>
      </c>
    </row>
    <row r="16" spans="2:30" x14ac:dyDescent="0.25">
      <c r="B16" t="s">
        <v>39</v>
      </c>
      <c r="C16" s="66">
        <f>AVERAGE(R16,G16)</f>
        <v>87</v>
      </c>
      <c r="D16" s="65">
        <f>H16</f>
        <v>18.2284328</v>
      </c>
      <c r="E16" s="4"/>
      <c r="F16" s="69">
        <f>MATCH($B16,ruminants!$A$3:$A$120,0)</f>
        <v>78</v>
      </c>
      <c r="G16" s="37">
        <f>INDEX(ruminants!$D$3:$AH$120,$F16,G$4)</f>
        <v>87</v>
      </c>
      <c r="H16" s="78">
        <f t="shared" si="1"/>
        <v>18.2284328</v>
      </c>
      <c r="I16" s="38">
        <f>INDEX(ruminants!$D$3:$AH$120,$F16,I$4)</f>
        <v>14</v>
      </c>
      <c r="J16" s="39">
        <f>INDEX(ruminants!$D$3:$AH$120,$F16,J$4)</f>
        <v>123</v>
      </c>
      <c r="K16" s="39">
        <f>INDEX(ruminants!$D$3:$AH$120,$F16,K$4)</f>
        <v>26</v>
      </c>
      <c r="L16" s="39">
        <f>INDEX(ruminants!$D$3:$AH$120,$F16,L$4)</f>
        <v>33</v>
      </c>
      <c r="M16" s="39">
        <f>INDEX(ruminants!$D$3:$AH$120,$F16,M$4)</f>
        <v>799</v>
      </c>
      <c r="N16" s="42">
        <f>INDEX(ruminants!$D$3:$AH$120,$F16,N$4)</f>
        <v>19</v>
      </c>
      <c r="Q16" s="69">
        <f>MATCH($B16,pigs!$A$3:$A$60,0)</f>
        <v>39</v>
      </c>
      <c r="R16" s="37">
        <f>INDEX(pigs!$D$3:$AO$60,$Q16,R$4)</f>
        <v>87</v>
      </c>
      <c r="S16" s="78">
        <f t="shared" si="2"/>
        <v>17.846015199999997</v>
      </c>
      <c r="T16" s="55">
        <f>INDEX(pigs!$D$3:$AO$60,$Q16,T$4)</f>
        <v>11.9</v>
      </c>
      <c r="U16" s="55">
        <f>INDEX(pigs!$D$3:$AO$60,$Q16,U$4)</f>
        <v>12</v>
      </c>
      <c r="V16" s="55">
        <f>INDEX(pigs!$D$3:$AO$60,$Q16,V$4)</f>
        <v>110</v>
      </c>
      <c r="W16" s="55">
        <f>INDEX(pigs!$D$3:$AO$60,$Q16,W$4)</f>
        <v>15</v>
      </c>
      <c r="X16" s="41">
        <f t="shared" si="3"/>
        <v>853</v>
      </c>
      <c r="Y16" s="56">
        <f>INDEX(pigs!$D$3:$AO$60,$Q16,Y$4)</f>
        <v>22</v>
      </c>
      <c r="AB16" s="69">
        <f>MATCH($B16,poultry!$A$3:$A$41,0)</f>
        <v>31</v>
      </c>
      <c r="AC16" s="60">
        <f>INDEX(poultry!$D$3:$U$41,$AB16,AC$4)</f>
        <v>89</v>
      </c>
    </row>
    <row r="17" spans="2:29" x14ac:dyDescent="0.25">
      <c r="B17" t="s">
        <v>313</v>
      </c>
      <c r="C17" s="66">
        <f>AVERAGE(R17,G17)</f>
        <v>87</v>
      </c>
      <c r="D17" s="65">
        <f>H17</f>
        <v>17.924256</v>
      </c>
      <c r="E17" s="4"/>
      <c r="F17" s="69">
        <f>MATCH($B17,ruminants!$A$3:$A$120,0)</f>
        <v>77</v>
      </c>
      <c r="G17" s="37">
        <f>INDEX(ruminants!$D$3:$AH$120,$F17,G$4)</f>
        <v>87</v>
      </c>
      <c r="H17" s="78">
        <f t="shared" si="1"/>
        <v>17.924256</v>
      </c>
      <c r="I17" s="38">
        <f>INDEX(ruminants!$D$3:$AH$120,$F17,I$4)</f>
        <v>13.9</v>
      </c>
      <c r="J17" s="39">
        <f>INDEX(ruminants!$D$3:$AH$120,$F17,J$4)</f>
        <v>100</v>
      </c>
      <c r="K17" s="39">
        <f>INDEX(ruminants!$D$3:$AH$120,$F17,K$4)</f>
        <v>20</v>
      </c>
      <c r="L17" s="39">
        <f>INDEX(ruminants!$D$3:$AH$120,$F17,L$4)</f>
        <v>25</v>
      </c>
      <c r="M17" s="39">
        <f>INDEX(ruminants!$D$3:$AH$120,$F17,M$4)</f>
        <v>835</v>
      </c>
      <c r="N17" s="42">
        <f>INDEX(ruminants!$D$3:$AH$120,$F17,N$4)</f>
        <v>20</v>
      </c>
      <c r="Q17" s="69">
        <f>MATCH($B17,pigs!$A$3:$A$60,0)</f>
        <v>38</v>
      </c>
      <c r="R17" s="37"/>
      <c r="S17" s="55"/>
      <c r="T17" s="55"/>
      <c r="U17" s="55"/>
      <c r="V17" s="55"/>
      <c r="W17" s="55"/>
      <c r="X17" s="55"/>
      <c r="Y17" s="56"/>
      <c r="AB17" s="69">
        <f>MATCH($B17,poultry!$A$3:$A$41,0)</f>
        <v>30</v>
      </c>
      <c r="AC17" s="60">
        <f>INDEX(poultry!$D$3:$U$41,$AB17,AC$4)</f>
        <v>87</v>
      </c>
    </row>
    <row r="18" spans="2:29" x14ac:dyDescent="0.25">
      <c r="B18" t="s">
        <v>40</v>
      </c>
      <c r="C18" s="66">
        <f>AVERAGE(R18,G18)</f>
        <v>67.5</v>
      </c>
      <c r="D18" s="65">
        <f>H18</f>
        <v>18.3899352</v>
      </c>
      <c r="E18" s="4"/>
      <c r="F18" s="69">
        <f>MATCH($B18,ruminants!$A$3:$A$120,0)</f>
        <v>53</v>
      </c>
      <c r="G18" s="37">
        <f>INDEX(ruminants!$D$3:$AH$120,$F18,G$4)</f>
        <v>48</v>
      </c>
      <c r="H18" s="78">
        <f t="shared" si="1"/>
        <v>18.3899352</v>
      </c>
      <c r="I18" s="38">
        <f>INDEX(ruminants!$D$3:$AH$120,$F18,I$4)</f>
        <v>12.8</v>
      </c>
      <c r="J18" s="39">
        <f>INDEX(ruminants!$D$3:$AH$120,$F18,J$4)</f>
        <v>111</v>
      </c>
      <c r="K18" s="39">
        <f>INDEX(ruminants!$D$3:$AH$120,$F18,K$4)</f>
        <v>40</v>
      </c>
      <c r="L18" s="39">
        <f>INDEX(ruminants!$D$3:$AH$120,$F18,L$4)</f>
        <v>63</v>
      </c>
      <c r="M18" s="39">
        <f>INDEX(ruminants!$D$3:$AH$120,$F18,M$4)</f>
        <v>763</v>
      </c>
      <c r="N18" s="42">
        <f>INDEX(ruminants!$D$3:$AH$120,$F18,N$4)</f>
        <v>23</v>
      </c>
      <c r="Q18" s="69">
        <f>MATCH($B18,pigs!$A$3:$A$60,0)</f>
        <v>19</v>
      </c>
      <c r="R18" s="37">
        <f>INDEX(pigs!$D$3:$AO$60,$Q18,R$4)</f>
        <v>87</v>
      </c>
      <c r="S18" s="78">
        <f t="shared" ref="S18:S23" si="4">( 5.7*V18+9.4*W18+4.1*(X18) ) * 0.004184</f>
        <v>18.4970456</v>
      </c>
      <c r="T18" s="55">
        <f>INDEX(pigs!$D$3:$AO$60,$Q18,T$4)</f>
        <v>12.8</v>
      </c>
      <c r="U18" s="55">
        <f>INDEX(pigs!$D$3:$AO$60,$Q18,U$4)</f>
        <v>13.2</v>
      </c>
      <c r="V18" s="55">
        <f>INDEX(pigs!$D$3:$AO$60,$Q18,V$4)</f>
        <v>94</v>
      </c>
      <c r="W18" s="55">
        <f>INDEX(pigs!$D$3:$AO$60,$Q18,W$4)</f>
        <v>43</v>
      </c>
      <c r="X18" s="41">
        <f t="shared" ref="X18:X23" si="5">1000-SUM(V18:W18,Y18)</f>
        <v>849</v>
      </c>
      <c r="Y18" s="56">
        <f>INDEX(pigs!$D$3:$AO$60,$Q18,Y$4)</f>
        <v>14</v>
      </c>
      <c r="AB18" s="69">
        <f>MATCH($B18,poultry!$A$3:$A$41,0)</f>
        <v>24</v>
      </c>
      <c r="AC18" s="60">
        <f>INDEX(poultry!$D$3:$U$41,$AB18,AC$4)</f>
        <v>87</v>
      </c>
    </row>
    <row r="19" spans="2:29" x14ac:dyDescent="0.25">
      <c r="B19" t="s">
        <v>41</v>
      </c>
      <c r="C19" s="66">
        <f>AVERAGE(R19,G19)</f>
        <v>87</v>
      </c>
      <c r="D19" s="65">
        <f>H19</f>
        <v>18.478217600000001</v>
      </c>
      <c r="E19" s="4"/>
      <c r="F19" s="69">
        <f>MATCH($B19,ruminants!$A$3:$A$120,0)</f>
        <v>115</v>
      </c>
      <c r="G19" s="37">
        <f>INDEX(ruminants!$D$3:$AH$120,$F19,G$4)</f>
        <v>87</v>
      </c>
      <c r="H19" s="78">
        <f t="shared" si="1"/>
        <v>18.478217600000001</v>
      </c>
      <c r="I19" s="38">
        <f>INDEX(ruminants!$D$3:$AH$120,$F19,I$4)</f>
        <v>13.8</v>
      </c>
      <c r="J19" s="39">
        <f>INDEX(ruminants!$D$3:$AH$120,$F19,J$4)</f>
        <v>226</v>
      </c>
      <c r="K19" s="39">
        <f>INDEX(ruminants!$D$3:$AH$120,$F19,K$4)</f>
        <v>17</v>
      </c>
      <c r="L19" s="39">
        <f>INDEX(ruminants!$D$3:$AH$120,$F19,L$4)</f>
        <v>78</v>
      </c>
      <c r="M19" s="39">
        <f>INDEX(ruminants!$D$3:$AH$120,$F19,M$4)</f>
        <v>646</v>
      </c>
      <c r="N19" s="42">
        <f>INDEX(ruminants!$D$3:$AH$120,$F19,N$4)</f>
        <v>33</v>
      </c>
      <c r="Q19" s="69">
        <f>MATCH($B19,pigs!$A$3:$A$60,0)</f>
        <v>56</v>
      </c>
      <c r="R19" s="37">
        <f>INDEX(pigs!$D$3:$AO$60,$Q19,R$4)</f>
        <v>87</v>
      </c>
      <c r="S19" s="78">
        <f t="shared" si="4"/>
        <v>18.420059999999999</v>
      </c>
      <c r="T19" s="55">
        <f>INDEX(pigs!$D$3:$AO$60,$Q19,T$4)</f>
        <v>11.2</v>
      </c>
      <c r="U19" s="55">
        <f>INDEX(pigs!$D$3:$AO$60,$Q19,U$4)</f>
        <v>11.5</v>
      </c>
      <c r="V19" s="55">
        <f>INDEX(pigs!$D$3:$AO$60,$Q19,V$4)</f>
        <v>239</v>
      </c>
      <c r="W19" s="55">
        <f>INDEX(pigs!$D$3:$AO$60,$Q19,W$4)</f>
        <v>12</v>
      </c>
      <c r="X19" s="41">
        <f t="shared" si="5"/>
        <v>714</v>
      </c>
      <c r="Y19" s="56">
        <f>INDEX(pigs!$D$3:$AO$60,$Q19,Y$4)</f>
        <v>35</v>
      </c>
      <c r="AB19" s="69">
        <f>MATCH($B19,poultry!$A$3:$A$41,0)</f>
        <v>39</v>
      </c>
      <c r="AC19" s="60">
        <f>INDEX(poultry!$D$3:$U$41,$AB19,AC$4)</f>
        <v>87</v>
      </c>
    </row>
    <row r="20" spans="2:29" x14ac:dyDescent="0.25">
      <c r="B20" t="s">
        <v>42</v>
      </c>
      <c r="C20" s="66">
        <f>AVERAGE(R20,G20)</f>
        <v>86.8</v>
      </c>
      <c r="D20" s="65">
        <f>H20</f>
        <v>18.737207199999997</v>
      </c>
      <c r="E20" s="4"/>
      <c r="F20" s="69"/>
      <c r="G20" s="66">
        <v>86.6</v>
      </c>
      <c r="H20" s="78">
        <f t="shared" si="1"/>
        <v>18.737207199999997</v>
      </c>
      <c r="I20" s="38">
        <v>13.3</v>
      </c>
      <c r="J20" s="39">
        <v>290</v>
      </c>
      <c r="K20" s="39">
        <v>14</v>
      </c>
      <c r="L20" s="39">
        <v>91</v>
      </c>
      <c r="M20" s="41">
        <f>1000-SUM(J20:L20,N20)</f>
        <v>566</v>
      </c>
      <c r="N20" s="42">
        <v>39</v>
      </c>
      <c r="O20" s="11" t="s">
        <v>318</v>
      </c>
      <c r="P20" s="11" t="s">
        <v>490</v>
      </c>
      <c r="Q20" s="69">
        <f>MATCH($B20,pigs!$A$3:$A$60,0)</f>
        <v>57</v>
      </c>
      <c r="R20" s="37">
        <f>INDEX(pigs!$D$3:$AO$60,$Q20,R$4)</f>
        <v>87</v>
      </c>
      <c r="S20" s="78">
        <f t="shared" si="4"/>
        <v>18.821305599999999</v>
      </c>
      <c r="T20" s="55">
        <f>INDEX(pigs!$D$3:$AO$60,$Q20,T$4)</f>
        <v>10.7</v>
      </c>
      <c r="U20" s="55">
        <f>INDEX(pigs!$D$3:$AO$60,$Q20,U$4)</f>
        <v>10.9</v>
      </c>
      <c r="V20" s="55">
        <f>INDEX(pigs!$D$3:$AO$60,$Q20,V$4)</f>
        <v>311</v>
      </c>
      <c r="W20" s="55">
        <f>INDEX(pigs!$D$3:$AO$60,$Q20,W$4)</f>
        <v>13</v>
      </c>
      <c r="X20" s="41">
        <f t="shared" si="5"/>
        <v>635</v>
      </c>
      <c r="Y20" s="56">
        <f>INDEX(pigs!$D$3:$AO$60,$Q20,Y$4)</f>
        <v>41</v>
      </c>
      <c r="AB20" s="69"/>
      <c r="AC20" s="60"/>
    </row>
    <row r="21" spans="2:29" x14ac:dyDescent="0.25">
      <c r="B21" t="s">
        <v>35</v>
      </c>
      <c r="C21" s="66">
        <f>AVERAGE(R21,G21)</f>
        <v>92.5</v>
      </c>
      <c r="D21" s="65">
        <f>H21</f>
        <v>27.903096000000001</v>
      </c>
      <c r="E21" s="4"/>
      <c r="F21" s="69">
        <f>MATCH($B21,ruminants!$A$3:$A$120,0)</f>
        <v>71</v>
      </c>
      <c r="G21" s="37">
        <f>INDEX(ruminants!$D$3:$AH$120,$F21,G$4)</f>
        <v>93</v>
      </c>
      <c r="H21" s="78">
        <f t="shared" si="1"/>
        <v>27.903096000000001</v>
      </c>
      <c r="I21" s="38">
        <f>INDEX(ruminants!$D$3:$AH$120,$F21,I$4)</f>
        <v>22.1</v>
      </c>
      <c r="J21" s="39">
        <f>INDEX(ruminants!$D$3:$AH$120,$F21,J$4)</f>
        <v>210</v>
      </c>
      <c r="K21" s="39">
        <f>INDEX(ruminants!$D$3:$AH$120,$F21,K$4)</f>
        <v>460</v>
      </c>
      <c r="L21" s="39">
        <f>INDEX(ruminants!$D$3:$AH$120,$F21,L$4)</f>
        <v>80</v>
      </c>
      <c r="M21" s="39">
        <f>INDEX(ruminants!$D$3:$AH$120,$F21,M$4)</f>
        <v>200</v>
      </c>
      <c r="N21" s="42">
        <f>INDEX(ruminants!$D$3:$AH$120,$F21,N$4)</f>
        <v>50</v>
      </c>
      <c r="Q21" s="69">
        <f>MATCH($B21,pigs!$A$3:$A$60,0)</f>
        <v>33</v>
      </c>
      <c r="R21" s="37">
        <f>INDEX(pigs!$D$3:$AO$60,$Q21,R$4)</f>
        <v>92</v>
      </c>
      <c r="S21" s="78">
        <f t="shared" si="4"/>
        <v>27.892217599999999</v>
      </c>
      <c r="T21" s="55">
        <f>INDEX(pigs!$D$3:$AO$60,$Q21,T$4)</f>
        <v>18</v>
      </c>
      <c r="U21" s="55">
        <f>INDEX(pigs!$D$3:$AO$60,$Q21,U$4)</f>
        <v>18.5</v>
      </c>
      <c r="V21" s="55">
        <f>INDEX(pigs!$D$3:$AO$60,$Q21,V$4)</f>
        <v>207</v>
      </c>
      <c r="W21" s="55">
        <f>INDEX(pigs!$D$3:$AO$60,$Q21,W$4)</f>
        <v>455</v>
      </c>
      <c r="X21" s="41">
        <f t="shared" si="5"/>
        <v>295</v>
      </c>
      <c r="Y21" s="56">
        <f>INDEX(pigs!$D$3:$AO$60,$Q21,Y$4)</f>
        <v>43</v>
      </c>
      <c r="AB21" s="69"/>
      <c r="AC21" s="60"/>
    </row>
    <row r="22" spans="2:29" x14ac:dyDescent="0.25">
      <c r="B22" t="s">
        <v>43</v>
      </c>
      <c r="C22" s="66">
        <f>AVERAGE(R22,G22)</f>
        <v>92</v>
      </c>
      <c r="D22" s="65">
        <f>H22</f>
        <v>26.501456000000001</v>
      </c>
      <c r="E22" s="4"/>
      <c r="F22" s="69">
        <f>MATCH($B22,ruminants!$A$3:$A$120,0)</f>
        <v>45</v>
      </c>
      <c r="G22" s="37">
        <f>INDEX(ruminants!$D$3:$AH$120,$F22,G$4)</f>
        <v>93</v>
      </c>
      <c r="H22" s="78">
        <f t="shared" si="1"/>
        <v>26.501456000000001</v>
      </c>
      <c r="I22" s="38">
        <f>INDEX(ruminants!$D$3:$AH$120,$F22,I$4)</f>
        <v>20.100000000000001</v>
      </c>
      <c r="J22" s="39">
        <f>INDEX(ruminants!$D$3:$AH$120,$F22,J$4)</f>
        <v>240</v>
      </c>
      <c r="K22" s="39">
        <f>INDEX(ruminants!$D$3:$AH$120,$F22,K$4)</f>
        <v>380</v>
      </c>
      <c r="L22" s="39">
        <f>INDEX(ruminants!$D$3:$AH$120,$F22,L$4)</f>
        <v>70</v>
      </c>
      <c r="M22" s="39">
        <f>INDEX(ruminants!$D$3:$AH$120,$F22,M$4)</f>
        <v>270</v>
      </c>
      <c r="N22" s="42">
        <f>INDEX(ruminants!$D$3:$AH$120,$F22,N$4)</f>
        <v>40</v>
      </c>
      <c r="Q22" s="69">
        <f>MATCH($B22,pigs!$A$3:$A$60,0)</f>
        <v>14</v>
      </c>
      <c r="R22" s="37">
        <f>INDEX(pigs!$D$3:$AO$60,$Q22,R$4)</f>
        <v>91</v>
      </c>
      <c r="S22" s="78">
        <f t="shared" si="4"/>
        <v>27.712724000000005</v>
      </c>
      <c r="T22" s="55">
        <f>INDEX(pigs!$D$3:$AO$60,$Q22,T$4)</f>
        <v>17.3</v>
      </c>
      <c r="U22" s="55">
        <f>INDEX(pigs!$D$3:$AO$60,$Q22,U$4)</f>
        <v>17.5</v>
      </c>
      <c r="V22" s="55">
        <f>INDEX(pigs!$D$3:$AO$60,$Q22,V$4)</f>
        <v>227</v>
      </c>
      <c r="W22" s="55">
        <f>INDEX(pigs!$D$3:$AO$60,$Q22,W$4)</f>
        <v>437</v>
      </c>
      <c r="X22" s="41">
        <f t="shared" si="5"/>
        <v>298</v>
      </c>
      <c r="Y22" s="56">
        <f>INDEX(pigs!$D$3:$AO$60,$Q22,Y$4)</f>
        <v>38</v>
      </c>
      <c r="AB22" s="69"/>
      <c r="AC22" s="60"/>
    </row>
    <row r="23" spans="2:29" x14ac:dyDescent="0.25">
      <c r="B23" t="s">
        <v>310</v>
      </c>
      <c r="C23" s="66">
        <f>AVERAGE(R23,G23)</f>
        <v>100</v>
      </c>
      <c r="D23" s="65">
        <f>H23</f>
        <v>39.329599999999999</v>
      </c>
      <c r="E23" s="4"/>
      <c r="F23" s="69"/>
      <c r="G23" s="37">
        <v>100</v>
      </c>
      <c r="H23" s="78">
        <f t="shared" si="1"/>
        <v>39.329599999999999</v>
      </c>
      <c r="I23" s="38">
        <v>36.6</v>
      </c>
      <c r="J23" s="39"/>
      <c r="K23" s="39">
        <v>1000</v>
      </c>
      <c r="L23" s="39"/>
      <c r="M23" s="39"/>
      <c r="N23" s="42"/>
      <c r="O23" t="s">
        <v>319</v>
      </c>
      <c r="P23" t="s">
        <v>490</v>
      </c>
      <c r="Q23" s="69">
        <f>MATCH($B23,pigs!$A$3:$A$60,0)</f>
        <v>28</v>
      </c>
      <c r="R23" s="37">
        <f>INDEX(pigs!$D$3:$AO$60,$Q23,R$4)</f>
        <v>100</v>
      </c>
      <c r="S23" s="78">
        <f t="shared" si="4"/>
        <v>39.329599999999999</v>
      </c>
      <c r="T23" s="55">
        <f>INDEX(pigs!$D$3:$AO$60,$Q23,T$4)</f>
        <v>29.8</v>
      </c>
      <c r="U23" s="55">
        <f>INDEX(pigs!$D$3:$AO$60,$Q23,U$4)</f>
        <v>29.8</v>
      </c>
      <c r="V23" s="55">
        <f>INDEX(pigs!$D$3:$AO$60,$Q23,V$4)</f>
        <v>0</v>
      </c>
      <c r="W23" s="55">
        <f>INDEX(pigs!$D$3:$AO$60,$Q23,W$4)</f>
        <v>1000</v>
      </c>
      <c r="X23" s="41">
        <f t="shared" si="5"/>
        <v>0</v>
      </c>
      <c r="Y23" s="56">
        <f>INDEX(pigs!$D$3:$AO$60,$Q23,Y$4)</f>
        <v>0</v>
      </c>
      <c r="AB23" s="69">
        <f>MATCH($B23,poultry!$A$3:$A$41,0)</f>
        <v>1</v>
      </c>
      <c r="AC23" s="60">
        <f>INDEX(poultry!$D$3:$U$41,$AB23,AC$4)</f>
        <v>99</v>
      </c>
    </row>
    <row r="24" spans="2:29" x14ac:dyDescent="0.25">
      <c r="B24" t="s">
        <v>302</v>
      </c>
      <c r="C24" s="66">
        <f>AVERAGE(R24,G24)</f>
        <v>85</v>
      </c>
      <c r="D24" s="65">
        <f>H24</f>
        <v>16.927627199999996</v>
      </c>
      <c r="E24" s="4"/>
      <c r="F24" s="69">
        <f>MATCH($B24,ruminants!$A$3:$A$120,0)</f>
        <v>22</v>
      </c>
      <c r="G24" s="37">
        <f>INDEX(ruminants!$D$3:$AH$120,$F24,G$4)</f>
        <v>85</v>
      </c>
      <c r="H24" s="78">
        <f t="shared" si="1"/>
        <v>16.927627199999996</v>
      </c>
      <c r="I24" s="38">
        <f>INDEX(ruminants!$D$3:$AH$120,$F24,I$4)</f>
        <v>6.6</v>
      </c>
      <c r="J24" s="39">
        <f>INDEX(ruminants!$D$3:$AH$120,$F24,J$4)</f>
        <v>69</v>
      </c>
      <c r="K24" s="39">
        <f>INDEX(ruminants!$D$3:$AH$120,$F24,K$4)</f>
        <v>20</v>
      </c>
      <c r="L24" s="39">
        <f>INDEX(ruminants!$D$3:$AH$120,$F24,L$4)</f>
        <v>436</v>
      </c>
      <c r="M24" s="39">
        <f>INDEX(ruminants!$D$3:$AH$120,$F24,M$4)</f>
        <v>409</v>
      </c>
      <c r="N24" s="42">
        <f>INDEX(ruminants!$D$3:$AH$120,$F24,N$4)</f>
        <v>66</v>
      </c>
      <c r="Q24" s="69"/>
      <c r="R24" s="37"/>
      <c r="S24" s="55"/>
      <c r="T24" s="55"/>
      <c r="U24" s="55"/>
      <c r="V24" s="55"/>
      <c r="W24" s="55"/>
      <c r="X24" s="55"/>
      <c r="Y24" s="56"/>
      <c r="AB24" s="69"/>
      <c r="AC24" s="60"/>
    </row>
    <row r="25" spans="2:29" x14ac:dyDescent="0.25">
      <c r="B25" t="s">
        <v>314</v>
      </c>
      <c r="C25" s="66">
        <f>AVERAGE(R25,G25)</f>
        <v>87</v>
      </c>
      <c r="D25" s="65">
        <f>H25</f>
        <v>22.965976000000001</v>
      </c>
      <c r="E25" s="4"/>
      <c r="F25" s="69">
        <f>MATCH($B25,ruminants!$A$3:$A$120,0)</f>
        <v>92</v>
      </c>
      <c r="G25" s="37">
        <f>INDEX(ruminants!$D$3:$AH$120,$F25,G$4)</f>
        <v>87</v>
      </c>
      <c r="H25" s="78">
        <f t="shared" si="1"/>
        <v>22.965976000000001</v>
      </c>
      <c r="I25" s="38">
        <f>INDEX(ruminants!$D$3:$AH$120,$F25,I$4)</f>
        <v>16.399999999999999</v>
      </c>
      <c r="J25" s="39">
        <f>INDEX(ruminants!$D$3:$AH$120,$F25,J$4)</f>
        <v>400</v>
      </c>
      <c r="K25" s="39">
        <f>INDEX(ruminants!$D$3:$AH$120,$F25,K$4)</f>
        <v>180</v>
      </c>
      <c r="L25" s="39">
        <f>INDEX(ruminants!$D$3:$AH$120,$F25,L$4)</f>
        <v>60</v>
      </c>
      <c r="M25" s="39">
        <f>INDEX(ruminants!$D$3:$AH$120,$F25,M$4)</f>
        <v>310</v>
      </c>
      <c r="N25" s="42">
        <f>INDEX(ruminants!$D$3:$AH$120,$F25,N$4)</f>
        <v>50</v>
      </c>
      <c r="Q25" s="69"/>
      <c r="R25" s="37"/>
      <c r="S25" s="55"/>
      <c r="T25" s="55"/>
      <c r="U25" s="55"/>
      <c r="V25" s="55"/>
      <c r="W25" s="55"/>
      <c r="X25" s="55"/>
      <c r="Y25" s="56"/>
      <c r="AB25" s="69"/>
      <c r="AC25" s="60"/>
    </row>
    <row r="26" spans="2:29" x14ac:dyDescent="0.25">
      <c r="B26" t="s">
        <v>44</v>
      </c>
      <c r="C26" s="66">
        <f>AVERAGE(R26,G26)</f>
        <v>87.5</v>
      </c>
      <c r="D26" s="65">
        <f>H26</f>
        <v>19.589487999999999</v>
      </c>
      <c r="E26" s="4"/>
      <c r="F26" s="69">
        <f>MATCH($B26,ruminants!$A$3:$A$120,0)</f>
        <v>93</v>
      </c>
      <c r="G26" s="37">
        <f>INDEX(ruminants!$D$3:$AH$120,$F26,G$4)</f>
        <v>87</v>
      </c>
      <c r="H26" s="78">
        <f t="shared" si="1"/>
        <v>19.589487999999999</v>
      </c>
      <c r="I26" s="38">
        <f>INDEX(ruminants!$D$3:$AH$120,$F26,I$4)</f>
        <v>14.6</v>
      </c>
      <c r="J26" s="39">
        <f>INDEX(ruminants!$D$3:$AH$120,$F26,J$4)</f>
        <v>510</v>
      </c>
      <c r="K26" s="39">
        <f>INDEX(ruminants!$D$3:$AH$120,$F26,K$4)</f>
        <v>10</v>
      </c>
      <c r="L26" s="39">
        <f>INDEX(ruminants!$D$3:$AH$120,$F26,L$4)</f>
        <v>60</v>
      </c>
      <c r="M26" s="39">
        <f>INDEX(ruminants!$D$3:$AH$120,$F26,M$4)</f>
        <v>350</v>
      </c>
      <c r="N26" s="42">
        <f>INDEX(ruminants!$D$3:$AH$120,$F26,N$4)</f>
        <v>70</v>
      </c>
      <c r="Q26" s="69">
        <f>MATCH($B26,pigs!$A$3:$A$60,0)</f>
        <v>43</v>
      </c>
      <c r="R26" s="37">
        <f>INDEX(pigs!$D$3:$AO$60,$Q26,R$4)</f>
        <v>88</v>
      </c>
      <c r="S26" s="78">
        <f t="shared" ref="S26:S30" si="6">( 5.7*V26+9.4*W26+4.1*(X26) ) * 0.004184</f>
        <v>19.822118400000001</v>
      </c>
      <c r="T26" s="55">
        <f>INDEX(pigs!$D$3:$AO$60,$Q26,T$4)</f>
        <v>9.3000000000000007</v>
      </c>
      <c r="U26" s="55">
        <f>INDEX(pigs!$D$3:$AO$60,$Q26,U$4)</f>
        <v>9.9</v>
      </c>
      <c r="V26" s="55">
        <f>INDEX(pigs!$D$3:$AO$60,$Q26,V$4)</f>
        <v>516</v>
      </c>
      <c r="W26" s="55">
        <f>INDEX(pigs!$D$3:$AO$60,$Q26,W$4)</f>
        <v>21</v>
      </c>
      <c r="X26" s="41">
        <f t="shared" ref="X26:X30" si="7">1000-SUM(V26:W26,Y26)</f>
        <v>390</v>
      </c>
      <c r="Y26" s="56">
        <f>INDEX(pigs!$D$3:$AO$60,$Q26,Y$4)</f>
        <v>73</v>
      </c>
      <c r="AB26" s="69">
        <f>MATCH($B26,poultry!$A$3:$A$41,0)</f>
        <v>33</v>
      </c>
      <c r="AC26" s="60">
        <f>INDEX(poultry!$D$3:$U$41,$AB26,AC$4)</f>
        <v>87</v>
      </c>
    </row>
    <row r="27" spans="2:29" x14ac:dyDescent="0.25">
      <c r="B27" t="s">
        <v>45</v>
      </c>
      <c r="C27" s="66">
        <f>AVERAGE(R27,G27)</f>
        <v>87</v>
      </c>
      <c r="D27" s="65">
        <f>S27</f>
        <v>20.560594400000003</v>
      </c>
      <c r="E27" s="4"/>
      <c r="F27" s="69"/>
      <c r="G27" s="37"/>
      <c r="H27" s="55"/>
      <c r="I27" s="38"/>
      <c r="J27" s="39"/>
      <c r="K27" s="39"/>
      <c r="L27" s="39"/>
      <c r="M27" s="39"/>
      <c r="N27" s="42"/>
      <c r="Q27" s="69">
        <f>MATCH($B27,pigs!$A$3:$A$60,0)</f>
        <v>45</v>
      </c>
      <c r="R27" s="37">
        <f>INDEX(pigs!$D$3:$AO$60,$Q27,R$4)</f>
        <v>87</v>
      </c>
      <c r="S27" s="78">
        <f t="shared" si="6"/>
        <v>20.560594400000003</v>
      </c>
      <c r="T27" s="55">
        <f>INDEX(pigs!$D$3:$AO$60,$Q27,T$4)</f>
        <v>9.6999999999999993</v>
      </c>
      <c r="U27" s="55">
        <f>INDEX(pigs!$D$3:$AO$60,$Q27,U$4)</f>
        <v>10.3</v>
      </c>
      <c r="V27" s="55">
        <f>INDEX(pigs!$D$3:$AO$60,$Q27,V$4)</f>
        <v>609</v>
      </c>
      <c r="W27" s="55">
        <f>INDEX(pigs!$D$3:$AO$60,$Q27,W$4)</f>
        <v>27</v>
      </c>
      <c r="X27" s="41">
        <f t="shared" si="7"/>
        <v>290</v>
      </c>
      <c r="Y27" s="56">
        <f>INDEX(pigs!$D$3:$AO$60,$Q27,Y$4)</f>
        <v>74</v>
      </c>
      <c r="AB27" s="69"/>
      <c r="AC27" s="60"/>
    </row>
    <row r="28" spans="2:29" x14ac:dyDescent="0.25">
      <c r="B28" t="s">
        <v>36</v>
      </c>
      <c r="C28" s="66">
        <f>AVERAGE(R28,G28)</f>
        <v>89.5</v>
      </c>
      <c r="D28" s="65">
        <f>H28</f>
        <v>19.4920008</v>
      </c>
      <c r="E28" s="4"/>
      <c r="F28" s="69">
        <f>MATCH($B28,ruminants!$A$3:$A$120,0)</f>
        <v>70</v>
      </c>
      <c r="G28" s="37">
        <f>INDEX(ruminants!$D$3:$AH$120,$F28,G$4)</f>
        <v>90</v>
      </c>
      <c r="H28" s="78">
        <f t="shared" si="1"/>
        <v>19.4920008</v>
      </c>
      <c r="I28" s="38">
        <f>INDEX(ruminants!$D$3:$AH$120,$F28,I$4)</f>
        <v>12.2</v>
      </c>
      <c r="J28" s="39">
        <f>INDEX(ruminants!$D$3:$AH$120,$F28,J$4)</f>
        <v>389</v>
      </c>
      <c r="K28" s="39">
        <f>INDEX(ruminants!$D$3:$AH$120,$F28,K$4)</f>
        <v>46</v>
      </c>
      <c r="L28" s="39">
        <f>INDEX(ruminants!$D$3:$AH$120,$F28,L$4)</f>
        <v>140</v>
      </c>
      <c r="M28" s="39">
        <f>INDEX(ruminants!$D$3:$AH$120,$F28,M$4)</f>
        <v>350</v>
      </c>
      <c r="N28" s="42">
        <f>INDEX(ruminants!$D$3:$AH$120,$F28,N$4)</f>
        <v>75</v>
      </c>
      <c r="Q28" s="69">
        <f>MATCH($B28,pigs!$A$3:$A$60,0)</f>
        <v>36</v>
      </c>
      <c r="R28" s="37">
        <f>INDEX(pigs!$D$3:$AO$60,$Q28,R$4)</f>
        <v>89</v>
      </c>
      <c r="S28" s="78">
        <f t="shared" si="6"/>
        <v>18.9196296</v>
      </c>
      <c r="T28" s="55">
        <f>INDEX(pigs!$D$3:$AO$60,$Q28,T$4)</f>
        <v>7.1</v>
      </c>
      <c r="U28" s="55">
        <f>INDEX(pigs!$D$3:$AO$60,$Q28,U$4)</f>
        <v>7.7</v>
      </c>
      <c r="V28" s="55">
        <f>INDEX(pigs!$D$3:$AO$60,$Q28,V$4)</f>
        <v>380</v>
      </c>
      <c r="W28" s="55">
        <f>INDEX(pigs!$D$3:$AO$60,$Q28,W$4)</f>
        <v>26</v>
      </c>
      <c r="X28" s="41">
        <f t="shared" si="7"/>
        <v>515</v>
      </c>
      <c r="Y28" s="56">
        <f>INDEX(pigs!$D$3:$AO$60,$Q28,Y$4)</f>
        <v>79</v>
      </c>
      <c r="AB28" s="69">
        <f>MATCH($B28,poultry!$A$3:$A$41,0)</f>
        <v>29</v>
      </c>
      <c r="AC28" s="60">
        <f>INDEX(poultry!$D$3:$U$41,$AB28,AC$4)</f>
        <v>90</v>
      </c>
    </row>
    <row r="29" spans="2:29" x14ac:dyDescent="0.25">
      <c r="B29" t="s">
        <v>46</v>
      </c>
      <c r="C29" s="66">
        <f>AVERAGE(R29,G29)</f>
        <v>91</v>
      </c>
      <c r="D29" s="65">
        <f>H29</f>
        <v>19.083224000000001</v>
      </c>
      <c r="E29" s="4"/>
      <c r="F29" s="69">
        <f>MATCH($B29,ruminants!$A$3:$A$120,0)</f>
        <v>99</v>
      </c>
      <c r="G29" s="37">
        <f>INDEX(ruminants!$D$3:$AH$120,$F29,G$4)</f>
        <v>92</v>
      </c>
      <c r="H29" s="78">
        <f t="shared" si="1"/>
        <v>19.083224000000001</v>
      </c>
      <c r="I29" s="38">
        <f>INDEX(ruminants!$D$3:$AH$120,$F29,I$4)</f>
        <v>11.4</v>
      </c>
      <c r="J29" s="39">
        <f>INDEX(ruminants!$D$3:$AH$120,$F29,J$4)</f>
        <v>460</v>
      </c>
      <c r="K29" s="39">
        <f>INDEX(ruminants!$D$3:$AH$120,$F29,K$4)</f>
        <v>10</v>
      </c>
      <c r="L29" s="39">
        <f>INDEX(ruminants!$D$3:$AH$120,$F29,L$4)</f>
        <v>170</v>
      </c>
      <c r="M29" s="39">
        <f>INDEX(ruminants!$D$3:$AH$120,$F29,M$4)</f>
        <v>280</v>
      </c>
      <c r="N29" s="42">
        <f>INDEX(ruminants!$D$3:$AH$120,$F29,N$4)</f>
        <v>80</v>
      </c>
      <c r="Q29" s="69">
        <f>MATCH($B29,pigs!$A$3:$A$60,0)</f>
        <v>46</v>
      </c>
      <c r="R29" s="37">
        <f>INDEX(pigs!$D$3:$AO$60,$Q29,R$4)</f>
        <v>90</v>
      </c>
      <c r="S29" s="78">
        <f t="shared" si="6"/>
        <v>18.786160000000002</v>
      </c>
      <c r="T29" s="55">
        <f>INDEX(pigs!$D$3:$AO$60,$Q29,T$4)</f>
        <v>5.9</v>
      </c>
      <c r="U29" s="55">
        <f>INDEX(pigs!$D$3:$AO$60,$Q29,U$4)</f>
        <v>6.5</v>
      </c>
      <c r="V29" s="55">
        <f>INDEX(pigs!$D$3:$AO$60,$Q29,V$4)</f>
        <v>373</v>
      </c>
      <c r="W29" s="55">
        <f>INDEX(pigs!$D$3:$AO$60,$Q29,W$4)</f>
        <v>19</v>
      </c>
      <c r="X29" s="41">
        <f t="shared" si="7"/>
        <v>533</v>
      </c>
      <c r="Y29" s="56">
        <f>INDEX(pigs!$D$3:$AO$60,$Q29,Y$4)</f>
        <v>75</v>
      </c>
      <c r="AB29" s="69"/>
      <c r="AC29" s="60"/>
    </row>
    <row r="30" spans="2:29" x14ac:dyDescent="0.25">
      <c r="B30" t="s">
        <v>47</v>
      </c>
      <c r="C30" s="66">
        <f>AVERAGE(R30,G30)</f>
        <v>91</v>
      </c>
      <c r="D30" s="65">
        <f>H30</f>
        <v>19.581538399999999</v>
      </c>
      <c r="E30" s="4"/>
      <c r="F30" s="69">
        <f>MATCH($B30,ruminants!$A$3:$A$120,0)</f>
        <v>60</v>
      </c>
      <c r="G30" s="37">
        <f>INDEX(ruminants!$D$3:$AH$120,$F30,G$4)</f>
        <v>91</v>
      </c>
      <c r="H30" s="78">
        <f t="shared" si="1"/>
        <v>19.581538399999999</v>
      </c>
      <c r="I30" s="38">
        <f>INDEX(ruminants!$D$3:$AH$120,$F30,I$4)</f>
        <v>13.4</v>
      </c>
      <c r="J30" s="39">
        <f>INDEX(ruminants!$D$3:$AH$120,$F30,J$4)</f>
        <v>154</v>
      </c>
      <c r="K30" s="39">
        <f>INDEX(ruminants!$D$3:$AH$120,$F30,K$4)</f>
        <v>97</v>
      </c>
      <c r="L30" s="39">
        <f>INDEX(ruminants!$D$3:$AH$120,$F30,L$4)</f>
        <v>228</v>
      </c>
      <c r="M30" s="39">
        <f>INDEX(ruminants!$D$3:$AH$120,$F30,M$4)</f>
        <v>477</v>
      </c>
      <c r="N30" s="42">
        <f>INDEX(ruminants!$D$3:$AH$120,$F30,N$4)</f>
        <v>44</v>
      </c>
      <c r="Q30" s="69">
        <f>MATCH($B30,pigs!$A$3:$A$60,0)</f>
        <v>29</v>
      </c>
      <c r="R30" s="37">
        <f>INDEX(pigs!$D$3:$AO$60,$Q30,R$4)</f>
        <v>91</v>
      </c>
      <c r="S30" s="78">
        <f t="shared" si="6"/>
        <v>19.540953599999998</v>
      </c>
      <c r="T30" s="55">
        <f>INDEX(pigs!$D$3:$AO$60,$Q30,T$4)</f>
        <v>5.4</v>
      </c>
      <c r="U30" s="55">
        <f>INDEX(pigs!$D$3:$AO$60,$Q30,U$4)</f>
        <v>6.2</v>
      </c>
      <c r="V30" s="55">
        <f>INDEX(pigs!$D$3:$AO$60,$Q30,V$4)</f>
        <v>163</v>
      </c>
      <c r="W30" s="55">
        <f>INDEX(pigs!$D$3:$AO$60,$Q30,W$4)</f>
        <v>94</v>
      </c>
      <c r="X30" s="41">
        <f t="shared" si="7"/>
        <v>697</v>
      </c>
      <c r="Y30" s="56">
        <f>INDEX(pigs!$D$3:$AO$60,$Q30,Y$4)</f>
        <v>46</v>
      </c>
      <c r="AB30" s="69"/>
      <c r="AC30" s="60"/>
    </row>
    <row r="31" spans="2:29" x14ac:dyDescent="0.25">
      <c r="B31" t="s">
        <v>315</v>
      </c>
      <c r="C31" s="66">
        <f>AVERAGE(R31,G31)</f>
        <v>90</v>
      </c>
      <c r="D31" s="65">
        <f>H31</f>
        <v>16.971140800000001</v>
      </c>
      <c r="E31" s="4"/>
      <c r="F31" s="69"/>
      <c r="G31" s="37">
        <v>90</v>
      </c>
      <c r="H31" s="78">
        <f t="shared" si="1"/>
        <v>16.971140800000001</v>
      </c>
      <c r="I31" s="38">
        <v>8.5</v>
      </c>
      <c r="J31" s="39">
        <v>183</v>
      </c>
      <c r="K31" s="39">
        <v>27</v>
      </c>
      <c r="L31" s="39">
        <v>286</v>
      </c>
      <c r="M31" s="41">
        <f>1000-SUM(J31:L31,N31)</f>
        <v>387</v>
      </c>
      <c r="N31" s="42">
        <v>117</v>
      </c>
      <c r="O31" s="11" t="s">
        <v>316</v>
      </c>
      <c r="P31" s="11" t="s">
        <v>490</v>
      </c>
      <c r="Q31" s="69"/>
      <c r="R31" s="37"/>
      <c r="S31" s="55"/>
      <c r="T31" s="55"/>
      <c r="U31" s="55"/>
      <c r="V31" s="55"/>
      <c r="W31" s="55"/>
      <c r="X31" s="55"/>
      <c r="Y31" s="56"/>
      <c r="AB31" s="69"/>
      <c r="AC31" s="60"/>
    </row>
    <row r="32" spans="2:29" x14ac:dyDescent="0.25">
      <c r="B32" t="s">
        <v>48</v>
      </c>
      <c r="C32" s="66">
        <f>AVERAGE(R32,G32)</f>
        <v>87</v>
      </c>
      <c r="D32" s="65">
        <f>H32</f>
        <v>18.194124000000002</v>
      </c>
      <c r="E32" s="4"/>
      <c r="F32" s="69">
        <f>MATCH($B32,ruminants!$A$3:$A$120,0)</f>
        <v>111</v>
      </c>
      <c r="G32" s="37">
        <f>INDEX(ruminants!$D$3:$AH$120,$F32,G$4)</f>
        <v>87</v>
      </c>
      <c r="H32" s="78">
        <f t="shared" si="1"/>
        <v>18.194124000000002</v>
      </c>
      <c r="I32" s="38">
        <f>INDEX(ruminants!$D$3:$AH$120,$F32,I$4)</f>
        <v>11</v>
      </c>
      <c r="J32" s="39">
        <f>INDEX(ruminants!$D$3:$AH$120,$F32,J$4)</f>
        <v>160</v>
      </c>
      <c r="K32" s="39">
        <f>INDEX(ruminants!$D$3:$AH$120,$F32,K$4)</f>
        <v>45</v>
      </c>
      <c r="L32" s="39">
        <f>INDEX(ruminants!$D$3:$AH$120,$F32,L$4)</f>
        <v>115</v>
      </c>
      <c r="M32" s="39">
        <f>INDEX(ruminants!$D$3:$AH$120,$F32,M$4)</f>
        <v>620</v>
      </c>
      <c r="N32" s="42">
        <f>INDEX(ruminants!$D$3:$AH$120,$F32,N$4)</f>
        <v>60</v>
      </c>
      <c r="Q32" s="69">
        <f>MATCH($B32,pigs!$A$3:$A$60,0)</f>
        <v>55</v>
      </c>
      <c r="R32" s="37">
        <f>INDEX(pigs!$D$3:$AO$60,$Q32,R$4)</f>
        <v>87</v>
      </c>
      <c r="S32" s="78">
        <f t="shared" ref="S32:S37" si="8">( 5.7*V32+9.4*W32+4.1*(X32) ) * 0.004184</f>
        <v>18.184500799999999</v>
      </c>
      <c r="T32" s="55">
        <f>INDEX(pigs!$D$3:$AO$60,$Q32,T$4)</f>
        <v>7.2</v>
      </c>
      <c r="U32" s="55">
        <f>INDEX(pigs!$D$3:$AO$60,$Q32,U$4)</f>
        <v>7.8</v>
      </c>
      <c r="V32" s="55">
        <f>INDEX(pigs!$D$3:$AO$60,$Q32,V$4)</f>
        <v>170</v>
      </c>
      <c r="W32" s="55">
        <f>INDEX(pigs!$D$3:$AO$60,$Q32,W$4)</f>
        <v>40</v>
      </c>
      <c r="X32" s="41">
        <f t="shared" ref="X32:X36" si="9">1000-SUM(V32:W32,Y32)</f>
        <v>732</v>
      </c>
      <c r="Y32" s="56">
        <f>INDEX(pigs!$D$3:$AO$60,$Q32,Y$4)</f>
        <v>58</v>
      </c>
      <c r="AB32" s="69">
        <f>MATCH($B32,poultry!$A$3:$A$41,0)</f>
        <v>38</v>
      </c>
      <c r="AC32" s="60">
        <f>INDEX(poultry!$D$3:$U$41,$AB32,AC$4)</f>
        <v>87</v>
      </c>
    </row>
    <row r="33" spans="2:29" x14ac:dyDescent="0.25">
      <c r="B33" t="s">
        <v>49</v>
      </c>
      <c r="C33" s="66">
        <f>AVERAGE(R33,G33)</f>
        <v>88.5</v>
      </c>
      <c r="D33" s="65">
        <f>H33</f>
        <v>17.8828344</v>
      </c>
      <c r="E33" s="4"/>
      <c r="F33" s="69"/>
      <c r="G33" s="37">
        <v>89</v>
      </c>
      <c r="H33" s="78">
        <f t="shared" si="1"/>
        <v>17.8828344</v>
      </c>
      <c r="I33" s="38">
        <v>11.5</v>
      </c>
      <c r="J33" s="39">
        <v>140</v>
      </c>
      <c r="K33" s="39">
        <v>37</v>
      </c>
      <c r="L33" s="39">
        <v>85</v>
      </c>
      <c r="M33" s="41">
        <f>1000-SUM(J33:L33,N33)</f>
        <v>678</v>
      </c>
      <c r="N33" s="50">
        <f>N32</f>
        <v>60</v>
      </c>
      <c r="O33" s="11" t="s">
        <v>406</v>
      </c>
      <c r="P33" s="11" t="s">
        <v>490</v>
      </c>
      <c r="Q33" s="69">
        <f>MATCH($B33,pigs!$A$3:$A$60,0)</f>
        <v>54</v>
      </c>
      <c r="R33" s="37">
        <f>INDEX(pigs!$D$3:$AO$60,$Q33,R$4)</f>
        <v>88</v>
      </c>
      <c r="S33" s="78">
        <f t="shared" si="8"/>
        <v>18.379056800000001</v>
      </c>
      <c r="T33" s="55">
        <f>INDEX(pigs!$D$3:$AO$60,$Q33,T$4)</f>
        <v>8.6999999999999993</v>
      </c>
      <c r="U33" s="55">
        <f>INDEX(pigs!$D$3:$AO$60,$Q33,U$4)</f>
        <v>9.1999999999999993</v>
      </c>
      <c r="V33" s="55">
        <f>INDEX(pigs!$D$3:$AO$60,$Q33,V$4)</f>
        <v>176</v>
      </c>
      <c r="W33" s="55">
        <f>INDEX(pigs!$D$3:$AO$60,$Q33,W$4)</f>
        <v>40</v>
      </c>
      <c r="X33" s="41">
        <f t="shared" si="9"/>
        <v>735</v>
      </c>
      <c r="Y33" s="56">
        <f>INDEX(pigs!$D$3:$AO$60,$Q33,Y$4)</f>
        <v>49</v>
      </c>
      <c r="AB33" s="69">
        <f>MATCH($B33,poultry!$A$3:$A$41,0)</f>
        <v>36</v>
      </c>
      <c r="AC33" s="60">
        <f>INDEX(poultry!$D$3:$U$41,$AB33,AC$4)</f>
        <v>87</v>
      </c>
    </row>
    <row r="34" spans="2:29" x14ac:dyDescent="0.25">
      <c r="B34" t="s">
        <v>50</v>
      </c>
      <c r="C34" s="66">
        <f>AVERAGE(R34,G34)</f>
        <v>90</v>
      </c>
      <c r="D34" s="65">
        <f>H34</f>
        <v>19.659779199999999</v>
      </c>
      <c r="E34" s="4"/>
      <c r="F34" s="69">
        <f>MATCH($B34,ruminants!$A$3:$A$120,0)</f>
        <v>109</v>
      </c>
      <c r="G34" s="37">
        <f>INDEX(ruminants!$D$3:$AH$120,$F34,G$4)</f>
        <v>90</v>
      </c>
      <c r="H34" s="78">
        <f t="shared" si="1"/>
        <v>19.659779199999999</v>
      </c>
      <c r="I34" s="38">
        <f>INDEX(ruminants!$D$3:$AH$120,$F34,I$4)</f>
        <v>13.3</v>
      </c>
      <c r="J34" s="39">
        <f>INDEX(ruminants!$D$3:$AH$120,$F34,J$4)</f>
        <v>320</v>
      </c>
      <c r="K34" s="39">
        <f>INDEX(ruminants!$D$3:$AH$120,$F34,K$4)</f>
        <v>45</v>
      </c>
      <c r="L34" s="39">
        <f>INDEX(ruminants!$D$3:$AH$120,$F34,L$4)</f>
        <v>106</v>
      </c>
      <c r="M34" s="39">
        <f>INDEX(ruminants!$D$3:$AH$120,$F34,M$4)</f>
        <v>492</v>
      </c>
      <c r="N34" s="42">
        <f>INDEX(ruminants!$D$3:$AH$120,$F34,N$4)</f>
        <v>37</v>
      </c>
      <c r="Q34" s="69">
        <f>MATCH($B34,pigs!$A$3:$A$60,0)</f>
        <v>3</v>
      </c>
      <c r="R34" s="37">
        <f>INDEX(pigs!$D$3:$AO$60,$Q34,R$4)</f>
        <v>90</v>
      </c>
      <c r="S34" s="78">
        <f t="shared" si="8"/>
        <v>20.139265599999998</v>
      </c>
      <c r="T34" s="55">
        <f>INDEX(pigs!$D$3:$AO$60,$Q34,T$4)</f>
        <v>8.1</v>
      </c>
      <c r="U34" s="55">
        <f>INDEX(pigs!$D$3:$AO$60,$Q34,U$4)</f>
        <v>8.6999999999999993</v>
      </c>
      <c r="V34" s="55">
        <f>INDEX(pigs!$D$3:$AO$60,$Q34,V$4)</f>
        <v>340</v>
      </c>
      <c r="W34" s="55">
        <f>INDEX(pigs!$D$3:$AO$60,$Q34,W$4)</f>
        <v>66</v>
      </c>
      <c r="X34" s="41">
        <f t="shared" si="9"/>
        <v>550</v>
      </c>
      <c r="Y34" s="56">
        <f>INDEX(pigs!$D$3:$AO$60,$Q34,Y$4)</f>
        <v>44</v>
      </c>
      <c r="AB34" s="69"/>
      <c r="AC34" s="60"/>
    </row>
    <row r="35" spans="2:29" x14ac:dyDescent="0.25">
      <c r="B35" t="s">
        <v>51</v>
      </c>
      <c r="C35" s="66">
        <f>AVERAGE(R35,G35)</f>
        <v>11</v>
      </c>
      <c r="D35" s="65">
        <f>S35</f>
        <v>18.8602168</v>
      </c>
      <c r="E35" s="4"/>
      <c r="F35" s="69"/>
      <c r="G35" s="37"/>
      <c r="H35" s="55"/>
      <c r="I35" s="38"/>
      <c r="J35" s="39"/>
      <c r="K35" s="39"/>
      <c r="L35" s="39"/>
      <c r="M35" s="39"/>
      <c r="N35" s="42"/>
      <c r="Q35" s="69">
        <f>MATCH($B35,pigs!$A$3:$A$60,0)</f>
        <v>1</v>
      </c>
      <c r="R35" s="37">
        <f>INDEX(pigs!$D$3:$AO$60,$Q35,R$4)</f>
        <v>11</v>
      </c>
      <c r="S35" s="78">
        <f t="shared" si="8"/>
        <v>18.8602168</v>
      </c>
      <c r="T35" s="55">
        <f>INDEX(pigs!$D$3:$AO$60,$Q35,T$4)</f>
        <v>8.1999999999999993</v>
      </c>
      <c r="U35" s="55">
        <f>INDEX(pigs!$D$3:$AO$60,$Q35,U$4)</f>
        <v>8.9</v>
      </c>
      <c r="V35" s="55">
        <f>INDEX(pigs!$D$3:$AO$60,$Q35,V$4)</f>
        <v>280</v>
      </c>
      <c r="W35" s="55">
        <f>INDEX(pigs!$D$3:$AO$60,$Q35,W$4)</f>
        <v>45</v>
      </c>
      <c r="X35" s="41">
        <f t="shared" si="9"/>
        <v>607</v>
      </c>
      <c r="Y35" s="56">
        <f>INDEX(pigs!$D$3:$AO$60,$Q35,Y$4)</f>
        <v>68</v>
      </c>
      <c r="AB35" s="69"/>
      <c r="AC35" s="60"/>
    </row>
    <row r="36" spans="2:29" x14ac:dyDescent="0.25">
      <c r="B36" t="s">
        <v>309</v>
      </c>
      <c r="C36" s="66">
        <f>AVERAGE(R36,G36)</f>
        <v>90</v>
      </c>
      <c r="D36" s="65">
        <f>H36</f>
        <v>19.848896</v>
      </c>
      <c r="E36" s="4"/>
      <c r="F36" s="69">
        <f>MATCH($B36,ruminants!$A$3:$A$120,0)</f>
        <v>38</v>
      </c>
      <c r="G36" s="37">
        <f>INDEX(ruminants!$D$3:$AH$120,$F36,G$4)</f>
        <v>90</v>
      </c>
      <c r="H36" s="78">
        <f t="shared" si="1"/>
        <v>19.848896</v>
      </c>
      <c r="I36" s="38">
        <f>INDEX(ruminants!$D$3:$AH$120,$F36,I$4)</f>
        <v>11.6</v>
      </c>
      <c r="J36" s="39">
        <f>INDEX(ruminants!$D$3:$AH$120,$F36,J$4)</f>
        <v>240</v>
      </c>
      <c r="K36" s="39">
        <f>INDEX(ruminants!$D$3:$AH$120,$F36,K$4)</f>
        <v>80</v>
      </c>
      <c r="L36" s="39">
        <f>INDEX(ruminants!$D$3:$AH$120,$F36,L$4)</f>
        <v>170</v>
      </c>
      <c r="M36" s="39">
        <f>INDEX(ruminants!$D$3:$AH$120,$F36,M$4)</f>
        <v>470</v>
      </c>
      <c r="N36" s="42">
        <f>INDEX(ruminants!$D$3:$AH$120,$F36,N$4)</f>
        <v>40</v>
      </c>
      <c r="Q36" s="69"/>
      <c r="R36" s="37">
        <v>90</v>
      </c>
      <c r="S36" s="78">
        <f t="shared" si="8"/>
        <v>19.578191199999999</v>
      </c>
      <c r="T36" s="75">
        <v>6.6</v>
      </c>
      <c r="U36" s="43">
        <f>U34/T34*T36</f>
        <v>7.0888888888888877</v>
      </c>
      <c r="V36" s="75">
        <v>258</v>
      </c>
      <c r="W36" s="75">
        <v>67</v>
      </c>
      <c r="X36" s="41">
        <f t="shared" si="9"/>
        <v>629</v>
      </c>
      <c r="Y36" s="45">
        <v>46</v>
      </c>
      <c r="Z36" s="11" t="s">
        <v>312</v>
      </c>
      <c r="AA36" s="11" t="s">
        <v>490</v>
      </c>
      <c r="AB36" s="69"/>
      <c r="AC36" s="60"/>
    </row>
    <row r="37" spans="2:29" x14ac:dyDescent="0.25">
      <c r="B37" t="s">
        <v>384</v>
      </c>
      <c r="C37" s="66">
        <f>AVERAGE(R37,G37,AC37)</f>
        <v>88.5</v>
      </c>
      <c r="D37" s="65">
        <f>S37</f>
        <v>22.900705599999998</v>
      </c>
      <c r="E37" s="4"/>
      <c r="F37" s="69"/>
      <c r="G37" s="37"/>
      <c r="H37" s="55"/>
      <c r="I37" s="38"/>
      <c r="J37" s="39"/>
      <c r="K37" s="39"/>
      <c r="L37" s="39"/>
      <c r="M37" s="39"/>
      <c r="N37" s="42"/>
      <c r="Q37" s="69">
        <f>MATCH($B37,pigs!$A$3:$A$60,0)</f>
        <v>22</v>
      </c>
      <c r="R37" s="37">
        <f>INDEX(pigs!$D$3:$AO$60,$Q37,R$4)</f>
        <v>90</v>
      </c>
      <c r="S37" s="78">
        <f t="shared" si="8"/>
        <v>22.900705599999998</v>
      </c>
      <c r="T37" s="55">
        <f>INDEX(pigs!$D$3:$AO$60,$Q37,T$4)</f>
        <v>12.9</v>
      </c>
      <c r="U37" s="55">
        <f>INDEX(pigs!$D$3:$AO$60,$Q37,U$4)</f>
        <v>13.3</v>
      </c>
      <c r="V37" s="55">
        <f>INDEX(pigs!$D$3:$AO$60,$Q37,V$4)</f>
        <v>677</v>
      </c>
      <c r="W37" s="55">
        <f>INDEX(pigs!$D$3:$AO$60,$Q37,W$4)</f>
        <v>71</v>
      </c>
      <c r="X37" s="41">
        <f t="shared" ref="X37" si="10">1000-SUM(V37:W37,Y37)</f>
        <v>231</v>
      </c>
      <c r="Y37" s="56">
        <f>INDEX(pigs!$D$3:$AO$60,$Q37,Y$4)</f>
        <v>21</v>
      </c>
      <c r="Z37" s="11"/>
      <c r="AA37" s="11"/>
      <c r="AB37" s="69">
        <f>MATCH($B37,poultry!$A$3:$A$41,0)</f>
        <v>25</v>
      </c>
      <c r="AC37" s="60">
        <f>INDEX(poultry!$D$3:$U$41,$AB37,AC$4)</f>
        <v>87</v>
      </c>
    </row>
    <row r="38" spans="2:29" x14ac:dyDescent="0.25">
      <c r="B38" t="s">
        <v>52</v>
      </c>
      <c r="C38" s="66">
        <f>AVERAGE(R38,G38)</f>
        <v>75.5</v>
      </c>
      <c r="D38" s="65">
        <f>H38</f>
        <v>16.1615368</v>
      </c>
      <c r="E38" s="4"/>
      <c r="F38" s="69">
        <f>MATCH($B38,ruminants!$A$3:$A$120,0)</f>
        <v>88</v>
      </c>
      <c r="G38" s="37">
        <f>INDEX(ruminants!$D$3:$AH$120,$F38,G$4)</f>
        <v>75</v>
      </c>
      <c r="H38" s="78">
        <f t="shared" si="1"/>
        <v>16.1615368</v>
      </c>
      <c r="I38" s="38">
        <f>INDEX(ruminants!$D$3:$AH$120,$F38,I$4)</f>
        <v>12.4</v>
      </c>
      <c r="J38" s="39">
        <f>INDEX(ruminants!$D$3:$AH$120,$F38,J$4)</f>
        <v>131</v>
      </c>
      <c r="K38" s="39">
        <f>INDEX(ruminants!$D$3:$AH$120,$F38,K$4)</f>
        <v>0</v>
      </c>
      <c r="L38" s="39">
        <f>INDEX(ruminants!$D$3:$AH$120,$F38,L$4)</f>
        <v>0</v>
      </c>
      <c r="M38" s="39">
        <f>INDEX(ruminants!$D$3:$AH$120,$F38,M$4)</f>
        <v>760</v>
      </c>
      <c r="N38" s="42">
        <f>INDEX(ruminants!$D$3:$AH$120,$F38,N$4)</f>
        <v>109</v>
      </c>
      <c r="Q38" s="69">
        <f>MATCH($B38,pigs!$A$3:$A$60,0)</f>
        <v>23</v>
      </c>
      <c r="R38" s="37">
        <f>INDEX(pigs!$D$3:$AO$60,$Q38,R$4)</f>
        <v>76</v>
      </c>
      <c r="S38" s="78">
        <f t="shared" ref="S38:S43" si="11">( 5.7*V38+9.4*W38+4.1*(X38) ) * 0.004184</f>
        <v>15.9565208</v>
      </c>
      <c r="T38" s="55">
        <f>INDEX(pigs!$D$3:$AO$60,$Q38,T$4)</f>
        <v>8.6999999999999993</v>
      </c>
      <c r="U38" s="55">
        <f>INDEX(pigs!$D$3:$AO$60,$Q38,U$4)</f>
        <v>9</v>
      </c>
      <c r="V38" s="55">
        <f>INDEX(pigs!$D$3:$AO$60,$Q38,V$4)</f>
        <v>145</v>
      </c>
      <c r="W38" s="55">
        <f>INDEX(pigs!$D$3:$AO$60,$Q38,W$4)</f>
        <v>2</v>
      </c>
      <c r="X38" s="41">
        <f t="shared" ref="X38:X43" si="12">1000-SUM(V38:W38,Y38)</f>
        <v>724</v>
      </c>
      <c r="Y38" s="56">
        <f>INDEX(pigs!$D$3:$AO$60,$Q38,Y$4)</f>
        <v>129</v>
      </c>
      <c r="AB38" s="69"/>
      <c r="AC38" s="60"/>
    </row>
    <row r="39" spans="2:29" x14ac:dyDescent="0.25">
      <c r="B39" t="s">
        <v>53</v>
      </c>
      <c r="C39" s="66">
        <f>AVERAGE(R39,G39)</f>
        <v>89.5</v>
      </c>
      <c r="D39" s="65">
        <f>H39</f>
        <v>17.334312000000001</v>
      </c>
      <c r="E39" s="4"/>
      <c r="F39" s="69">
        <f>MATCH($B39,ruminants!$A$3:$A$120,0)</f>
        <v>91</v>
      </c>
      <c r="G39" s="37">
        <f>INDEX(ruminants!$D$3:$AH$120,$F39,G$4)</f>
        <v>90</v>
      </c>
      <c r="H39" s="78">
        <f t="shared" si="1"/>
        <v>17.334312000000001</v>
      </c>
      <c r="I39" s="38">
        <f>INDEX(ruminants!$D$3:$AH$120,$F39,I$4)</f>
        <v>12.3</v>
      </c>
      <c r="J39" s="39">
        <f>INDEX(ruminants!$D$3:$AH$120,$F39,J$4)</f>
        <v>90</v>
      </c>
      <c r="K39" s="39">
        <f>INDEX(ruminants!$D$3:$AH$120,$F39,K$4)</f>
        <v>32</v>
      </c>
      <c r="L39" s="39">
        <f>INDEX(ruminants!$D$3:$AH$120,$F39,L$4)</f>
        <v>187</v>
      </c>
      <c r="M39" s="39">
        <f>INDEX(ruminants!$D$3:$AH$120,$F39,M$4)</f>
        <v>625</v>
      </c>
      <c r="N39" s="42">
        <f>INDEX(ruminants!$D$3:$AH$120,$F39,N$4)</f>
        <v>66</v>
      </c>
      <c r="Q39" s="69">
        <f>MATCH($B39,pigs!$A$3:$A$60,0)</f>
        <v>4</v>
      </c>
      <c r="R39" s="37">
        <f>INDEX(pigs!$D$3:$AO$60,$Q39,R$4)</f>
        <v>89</v>
      </c>
      <c r="S39" s="78">
        <f t="shared" si="11"/>
        <v>16.664453599999998</v>
      </c>
      <c r="T39" s="55">
        <f>INDEX(pigs!$D$3:$AO$60,$Q39,T$4)</f>
        <v>6.9</v>
      </c>
      <c r="U39" s="55">
        <f>INDEX(pigs!$D$3:$AO$60,$Q39,U$4)</f>
        <v>8</v>
      </c>
      <c r="V39" s="55">
        <f>INDEX(pigs!$D$3:$AO$60,$Q39,V$4)</f>
        <v>91</v>
      </c>
      <c r="W39" s="55">
        <f>INDEX(pigs!$D$3:$AO$60,$Q39,W$4)</f>
        <v>10</v>
      </c>
      <c r="X39" s="41">
        <f t="shared" si="12"/>
        <v>822</v>
      </c>
      <c r="Y39" s="56">
        <f>INDEX(pigs!$D$3:$AO$60,$Q39,Y$4)</f>
        <v>77</v>
      </c>
      <c r="AB39" s="69"/>
      <c r="AC39" s="60"/>
    </row>
    <row r="40" spans="2:29" x14ac:dyDescent="0.25">
      <c r="B40" t="s">
        <v>54</v>
      </c>
      <c r="C40" s="66">
        <f>AVERAGE(R40,G40)</f>
        <v>6.25</v>
      </c>
      <c r="D40" s="65">
        <f>H40</f>
        <v>16.464040000000001</v>
      </c>
      <c r="E40" s="4"/>
      <c r="F40" s="69">
        <f>MATCH($B40,ruminants!$A$3:$A$120,0)</f>
        <v>57</v>
      </c>
      <c r="G40" s="37">
        <f>INDEX(ruminants!$D$3:$AH$120,$F40,G$4)</f>
        <v>7</v>
      </c>
      <c r="H40" s="78">
        <f t="shared" si="1"/>
        <v>16.464040000000001</v>
      </c>
      <c r="I40" s="38">
        <f>INDEX(ruminants!$D$3:$AH$120,$F40,I$4)</f>
        <v>13.6</v>
      </c>
      <c r="J40" s="39">
        <f>INDEX(ruminants!$D$3:$AH$120,$F40,J$4)</f>
        <v>120</v>
      </c>
      <c r="K40" s="39">
        <f>INDEX(ruminants!$D$3:$AH$120,$F40,K$4)</f>
        <v>10</v>
      </c>
      <c r="L40" s="39">
        <f>INDEX(ruminants!$D$3:$AH$120,$F40,L$4)</f>
        <v>0</v>
      </c>
      <c r="M40" s="39">
        <f>INDEX(ruminants!$D$3:$AH$120,$F40,M$4)</f>
        <v>770</v>
      </c>
      <c r="N40" s="42">
        <f>INDEX(ruminants!$D$3:$AH$120,$F40,N$4)</f>
        <v>100</v>
      </c>
      <c r="Q40" s="69">
        <f>MATCH($B40,pigs!$A$3:$A$60,0)</f>
        <v>50</v>
      </c>
      <c r="R40" s="37">
        <f>INDEX(pigs!$D$3:$AO$60,$Q40,R$4)</f>
        <v>5.5</v>
      </c>
      <c r="S40" s="78">
        <f t="shared" si="11"/>
        <v>16.870306399999997</v>
      </c>
      <c r="T40" s="55">
        <f>INDEX(pigs!$D$3:$AO$60,$Q40,T$4)</f>
        <v>12.4</v>
      </c>
      <c r="U40" s="55">
        <f>INDEX(pigs!$D$3:$AO$60,$Q40,U$4)</f>
        <v>12.2</v>
      </c>
      <c r="V40" s="55">
        <f>INDEX(pigs!$D$3:$AO$60,$Q40,V$4)</f>
        <v>115</v>
      </c>
      <c r="W40" s="55">
        <f>INDEX(pigs!$D$3:$AO$60,$Q40,W$4)</f>
        <v>19</v>
      </c>
      <c r="X40" s="41">
        <f t="shared" si="12"/>
        <v>780</v>
      </c>
      <c r="Y40" s="56">
        <f>INDEX(pigs!$D$3:$AO$60,$Q40,Y$4)</f>
        <v>86</v>
      </c>
      <c r="AB40" s="69"/>
      <c r="AC40" s="60"/>
    </row>
    <row r="41" spans="2:29" x14ac:dyDescent="0.25">
      <c r="B41" t="s">
        <v>55</v>
      </c>
      <c r="C41" s="66">
        <f>AVERAGE(R41,G41)</f>
        <v>97</v>
      </c>
      <c r="D41" s="65">
        <f>S41</f>
        <v>16.975324799999999</v>
      </c>
      <c r="E41" s="4"/>
      <c r="F41" s="69"/>
      <c r="G41" s="37"/>
      <c r="H41" s="55"/>
      <c r="I41" s="38"/>
      <c r="J41" s="39"/>
      <c r="K41" s="39"/>
      <c r="L41" s="39"/>
      <c r="M41" s="39"/>
      <c r="N41" s="42"/>
      <c r="Q41" s="69">
        <f>MATCH($B41,pigs!$A$3:$A$60,0)</f>
        <v>52</v>
      </c>
      <c r="R41" s="37">
        <f>INDEX(pigs!$D$3:$AO$60,$Q41,R$4)</f>
        <v>97</v>
      </c>
      <c r="S41" s="78">
        <f t="shared" si="11"/>
        <v>16.975324799999999</v>
      </c>
      <c r="T41" s="55">
        <f>INDEX(pigs!$D$3:$AO$60,$Q41,T$4)</f>
        <v>12.4</v>
      </c>
      <c r="U41" s="55">
        <f>INDEX(pigs!$D$3:$AO$60,$Q41,U$4)</f>
        <v>12.2</v>
      </c>
      <c r="V41" s="55">
        <f>INDEX(pigs!$D$3:$AO$60,$Q41,V$4)</f>
        <v>131</v>
      </c>
      <c r="W41" s="55">
        <f>INDEX(pigs!$D$3:$AO$60,$Q41,W$4)</f>
        <v>22</v>
      </c>
      <c r="X41" s="41">
        <f t="shared" si="12"/>
        <v>757</v>
      </c>
      <c r="Y41" s="56">
        <f>INDEX(pigs!$D$3:$AO$60,$Q41,Y$4)</f>
        <v>90</v>
      </c>
      <c r="AB41" s="69"/>
      <c r="AC41" s="60"/>
    </row>
    <row r="42" spans="2:29" x14ac:dyDescent="0.25">
      <c r="B42" t="s">
        <v>56</v>
      </c>
      <c r="C42" s="66">
        <f>AVERAGE(R42,G42)</f>
        <v>91</v>
      </c>
      <c r="D42" s="65">
        <f>H42</f>
        <v>23.055932000000002</v>
      </c>
      <c r="E42" s="4"/>
      <c r="F42" s="69">
        <f>MATCH($B42,ruminants!$A$3:$A$120,0)</f>
        <v>65</v>
      </c>
      <c r="G42" s="37">
        <f>INDEX(ruminants!$D$3:$AH$120,$F42,G$4)</f>
        <v>90</v>
      </c>
      <c r="H42" s="78">
        <f t="shared" si="1"/>
        <v>23.055932000000002</v>
      </c>
      <c r="I42" s="38">
        <f>INDEX(ruminants!$D$3:$AH$120,$F42,I$4)</f>
        <v>15.5</v>
      </c>
      <c r="J42" s="39">
        <f>INDEX(ruminants!$D$3:$AH$120,$F42,J$4)</f>
        <v>844</v>
      </c>
      <c r="K42" s="39">
        <f>INDEX(ruminants!$D$3:$AH$120,$F42,K$4)</f>
        <v>33</v>
      </c>
      <c r="L42" s="39">
        <f>INDEX(ruminants!$D$3:$AH$120,$F42,L$4)</f>
        <v>4</v>
      </c>
      <c r="M42" s="39">
        <f>INDEX(ruminants!$D$3:$AH$120,$F42,M$4)</f>
        <v>91</v>
      </c>
      <c r="N42" s="42">
        <f>INDEX(ruminants!$D$3:$AH$120,$F42,N$4)</f>
        <v>28</v>
      </c>
      <c r="Q42" s="69">
        <f>MATCH($B42,pigs!$A$3:$A$60,0)</f>
        <v>31</v>
      </c>
      <c r="R42" s="37">
        <f>INDEX(pigs!$D$3:$AO$60,$Q42,R$4)</f>
        <v>92</v>
      </c>
      <c r="S42" s="78">
        <f t="shared" si="11"/>
        <v>22.525819200000001</v>
      </c>
      <c r="T42" s="55">
        <f>INDEX(pigs!$D$3:$AO$60,$Q42,T$4)</f>
        <v>11.1</v>
      </c>
      <c r="U42" s="55">
        <f>INDEX(pigs!$D$3:$AO$60,$Q42,U$4)</f>
        <v>11.3</v>
      </c>
      <c r="V42" s="55">
        <f>INDEX(pigs!$D$3:$AO$60,$Q42,V$4)</f>
        <v>841</v>
      </c>
      <c r="W42" s="55">
        <f>INDEX(pigs!$D$3:$AO$60,$Q42,W$4)</f>
        <v>10</v>
      </c>
      <c r="X42" s="41">
        <f t="shared" si="12"/>
        <v>121</v>
      </c>
      <c r="Y42" s="56">
        <f>INDEX(pigs!$D$3:$AO$60,$Q42,Y$4)</f>
        <v>28</v>
      </c>
      <c r="AB42" s="69">
        <f>MATCH($B42,poultry!$A$3:$A$41,0)</f>
        <v>28</v>
      </c>
      <c r="AC42" s="60">
        <f>INDEX(poultry!$D$3:$U$41,$AB42,AC$4)</f>
        <v>90</v>
      </c>
    </row>
    <row r="43" spans="2:29" x14ac:dyDescent="0.25">
      <c r="B43" t="s">
        <v>57</v>
      </c>
      <c r="C43" s="67">
        <f>AVERAGE(R43,G43)</f>
        <v>92</v>
      </c>
      <c r="D43" s="68">
        <f>S43</f>
        <v>22.254696000000003</v>
      </c>
      <c r="E43" s="4"/>
      <c r="F43" s="69"/>
      <c r="G43" s="51"/>
      <c r="H43" s="52"/>
      <c r="I43" s="52"/>
      <c r="J43" s="53"/>
      <c r="K43" s="53"/>
      <c r="L43" s="53"/>
      <c r="M43" s="53"/>
      <c r="N43" s="54"/>
      <c r="Q43" s="69">
        <f>MATCH($B43,pigs!$A$3:$A$60,0)</f>
        <v>7</v>
      </c>
      <c r="R43" s="51">
        <f>INDEX(pigs!$D$3:$AO$60,$Q43,R$4)</f>
        <v>92</v>
      </c>
      <c r="S43" s="79">
        <f t="shared" si="11"/>
        <v>22.254696000000003</v>
      </c>
      <c r="T43" s="52">
        <f>INDEX(pigs!$D$3:$AO$60,$Q43,T$4)</f>
        <v>10.8</v>
      </c>
      <c r="U43" s="52">
        <f>INDEX(pigs!$D$3:$AO$60,$Q43,U$4)</f>
        <v>10.8</v>
      </c>
      <c r="V43" s="52">
        <f>INDEX(pigs!$D$3:$AO$60,$Q43,V$4)</f>
        <v>760</v>
      </c>
      <c r="W43" s="52">
        <f>INDEX(pigs!$D$3:$AO$60,$Q43,W$4)</f>
        <v>105</v>
      </c>
      <c r="X43" s="77">
        <f t="shared" si="12"/>
        <v>0</v>
      </c>
      <c r="Y43" s="59">
        <f>INDEX(pigs!$D$3:$AO$60,$Q43,Y$4)</f>
        <v>135</v>
      </c>
      <c r="AB43" s="69">
        <f>MATCH($B43,poultry!$A$3:$A$41,0)</f>
        <v>6</v>
      </c>
      <c r="AC43" s="61">
        <f>INDEX(poultry!$D$3:$U$41,$AB43,AC$4)</f>
        <v>92</v>
      </c>
    </row>
    <row r="46" spans="2:29" ht="18.75" x14ac:dyDescent="0.25">
      <c r="B46" s="32" t="s">
        <v>409</v>
      </c>
    </row>
  </sheetData>
  <hyperlinks>
    <hyperlink ref="C1" r:id="rId1"/>
    <hyperlink ref="Z36" r:id="rId2"/>
    <hyperlink ref="O31" r:id="rId3"/>
    <hyperlink ref="O33" r:id="rId4"/>
    <hyperlink ref="O10" r:id="rId5"/>
    <hyperlink ref="O20" r:id="rId6"/>
  </hyperlinks>
  <pageMargins left="0.7" right="0.7" top="0.75" bottom="0.75" header="0.3" footer="0.3"/>
  <pageSetup paperSize="9"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workbookViewId="0">
      <selection activeCell="A27" sqref="A27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8" t="s">
        <v>58</v>
      </c>
      <c r="B2" s="19" t="s">
        <v>122</v>
      </c>
      <c r="C2" s="19" t="s">
        <v>125</v>
      </c>
      <c r="D2" s="19" t="s">
        <v>126</v>
      </c>
      <c r="E2" s="19" t="s">
        <v>121</v>
      </c>
      <c r="F2" s="19" t="s">
        <v>120</v>
      </c>
      <c r="G2" s="19" t="s">
        <v>119</v>
      </c>
      <c r="H2" s="19" t="s">
        <v>127</v>
      </c>
      <c r="I2" s="19" t="s">
        <v>128</v>
      </c>
      <c r="J2" s="19" t="s">
        <v>129</v>
      </c>
      <c r="K2" s="19" t="s">
        <v>123</v>
      </c>
      <c r="L2" s="19" t="s">
        <v>124</v>
      </c>
      <c r="M2" s="19" t="s">
        <v>130</v>
      </c>
      <c r="N2" s="19" t="s">
        <v>131</v>
      </c>
      <c r="O2" s="19" t="s">
        <v>132</v>
      </c>
      <c r="P2" s="19" t="s">
        <v>133</v>
      </c>
      <c r="Q2" s="19" t="s">
        <v>134</v>
      </c>
      <c r="R2" s="19" t="s">
        <v>135</v>
      </c>
      <c r="S2" s="19" t="s">
        <v>136</v>
      </c>
      <c r="T2" s="19" t="s">
        <v>137</v>
      </c>
      <c r="U2" s="19" t="s">
        <v>138</v>
      </c>
      <c r="V2" s="19" t="s">
        <v>139</v>
      </c>
      <c r="W2" s="19" t="s">
        <v>140</v>
      </c>
      <c r="X2" s="19" t="s">
        <v>141</v>
      </c>
      <c r="Y2" s="19" t="s">
        <v>142</v>
      </c>
      <c r="Z2" s="19" t="s">
        <v>143</v>
      </c>
      <c r="AA2" s="19" t="s">
        <v>144</v>
      </c>
      <c r="AB2" s="19" t="s">
        <v>145</v>
      </c>
      <c r="AC2" s="19" t="s">
        <v>146</v>
      </c>
      <c r="AD2" s="19" t="s">
        <v>147</v>
      </c>
      <c r="AE2" s="19" t="s">
        <v>148</v>
      </c>
      <c r="AF2" s="19" t="s">
        <v>149</v>
      </c>
      <c r="AG2" s="19" t="s">
        <v>150</v>
      </c>
      <c r="AH2" s="19" t="s">
        <v>151</v>
      </c>
      <c r="AI2" s="19" t="s">
        <v>152</v>
      </c>
      <c r="AJ2" s="19" t="s">
        <v>153</v>
      </c>
      <c r="AK2" s="19" t="s">
        <v>154</v>
      </c>
      <c r="AL2" s="19" t="s">
        <v>155</v>
      </c>
      <c r="AM2" s="19" t="s">
        <v>156</v>
      </c>
      <c r="AN2" s="19" t="s">
        <v>157</v>
      </c>
      <c r="AO2" s="19" t="s">
        <v>158</v>
      </c>
    </row>
    <row r="3" spans="1:41" x14ac:dyDescent="0.25">
      <c r="A3" t="s">
        <v>51</v>
      </c>
      <c r="B3" s="12">
        <v>1</v>
      </c>
      <c r="C3" s="13" t="s">
        <v>61</v>
      </c>
      <c r="D3" s="14">
        <v>11</v>
      </c>
      <c r="E3" s="14">
        <v>8.1999999999999993</v>
      </c>
      <c r="F3" s="14">
        <v>8.9</v>
      </c>
      <c r="G3" s="14">
        <v>10.8</v>
      </c>
      <c r="H3" s="14">
        <v>280</v>
      </c>
      <c r="I3" s="14">
        <v>45</v>
      </c>
      <c r="J3" s="14">
        <v>22</v>
      </c>
      <c r="K3" s="14"/>
      <c r="L3" s="14"/>
      <c r="M3" s="14"/>
      <c r="N3" s="14"/>
      <c r="O3" s="14">
        <v>68</v>
      </c>
      <c r="P3" s="14">
        <v>8.6999999999999993</v>
      </c>
      <c r="Q3" s="14">
        <v>9.6</v>
      </c>
      <c r="R3" s="14">
        <v>5.2</v>
      </c>
      <c r="S3" s="14">
        <v>6.7</v>
      </c>
      <c r="T3" s="14">
        <v>11.9</v>
      </c>
      <c r="U3" s="14">
        <v>4.2</v>
      </c>
      <c r="V3" s="14">
        <v>10</v>
      </c>
      <c r="W3" s="14">
        <v>5.7</v>
      </c>
      <c r="X3" s="14">
        <v>7.7</v>
      </c>
      <c r="Y3" s="14">
        <v>4.5</v>
      </c>
      <c r="Z3" s="14">
        <v>5.5</v>
      </c>
      <c r="AA3" s="14">
        <v>10</v>
      </c>
      <c r="AB3" s="14">
        <v>3.4</v>
      </c>
      <c r="AC3" s="14">
        <v>8</v>
      </c>
      <c r="AD3" s="14">
        <v>196</v>
      </c>
      <c r="AE3" s="14">
        <v>0.9</v>
      </c>
      <c r="AF3" s="14">
        <v>10.9</v>
      </c>
      <c r="AG3" s="14"/>
      <c r="AH3" s="14"/>
      <c r="AI3" s="14">
        <v>1.8</v>
      </c>
      <c r="AJ3" s="14"/>
      <c r="AK3" s="14"/>
      <c r="AL3" s="14"/>
      <c r="AM3" s="14"/>
      <c r="AN3" s="14">
        <v>20</v>
      </c>
      <c r="AO3" s="14">
        <v>20</v>
      </c>
    </row>
    <row r="4" spans="1:41" x14ac:dyDescent="0.25">
      <c r="B4" s="15">
        <v>2</v>
      </c>
      <c r="C4" s="16" t="s">
        <v>62</v>
      </c>
      <c r="D4" s="17">
        <v>28</v>
      </c>
      <c r="E4" s="17">
        <v>8.1999999999999993</v>
      </c>
      <c r="F4" s="17">
        <v>8.9</v>
      </c>
      <c r="G4" s="17">
        <v>10.9</v>
      </c>
      <c r="H4" s="17">
        <v>364</v>
      </c>
      <c r="I4" s="17">
        <v>43</v>
      </c>
      <c r="J4" s="17">
        <v>15</v>
      </c>
      <c r="K4" s="17">
        <v>71</v>
      </c>
      <c r="L4" s="17"/>
      <c r="M4" s="17">
        <v>15</v>
      </c>
      <c r="N4" s="17"/>
      <c r="O4" s="17">
        <v>80</v>
      </c>
      <c r="P4" s="17">
        <v>11.3</v>
      </c>
      <c r="Q4" s="17">
        <v>12.5</v>
      </c>
      <c r="R4" s="17">
        <v>6.8</v>
      </c>
      <c r="S4" s="17">
        <v>8.6999999999999993</v>
      </c>
      <c r="T4" s="17">
        <v>15.5</v>
      </c>
      <c r="U4" s="17">
        <v>5.4</v>
      </c>
      <c r="V4" s="17">
        <v>13</v>
      </c>
      <c r="W4" s="17">
        <v>7.5</v>
      </c>
      <c r="X4" s="17">
        <v>10</v>
      </c>
      <c r="Y4" s="17">
        <v>5.8</v>
      </c>
      <c r="Z4" s="17">
        <v>7.1</v>
      </c>
      <c r="AA4" s="17">
        <v>13</v>
      </c>
      <c r="AB4" s="17">
        <v>4.4000000000000004</v>
      </c>
      <c r="AC4" s="17">
        <v>10.4</v>
      </c>
      <c r="AD4" s="17">
        <v>255</v>
      </c>
      <c r="AE4" s="17">
        <v>1.1000000000000001</v>
      </c>
      <c r="AF4" s="17">
        <v>13.9</v>
      </c>
      <c r="AG4" s="17"/>
      <c r="AH4" s="17"/>
      <c r="AI4" s="17">
        <v>4.3</v>
      </c>
      <c r="AJ4" s="17"/>
      <c r="AK4" s="17"/>
      <c r="AL4" s="17"/>
      <c r="AM4" s="17"/>
      <c r="AN4" s="17">
        <v>20</v>
      </c>
      <c r="AO4" s="17">
        <v>20</v>
      </c>
    </row>
    <row r="5" spans="1:41" x14ac:dyDescent="0.25">
      <c r="A5" t="s">
        <v>50</v>
      </c>
      <c r="B5" s="12">
        <v>3</v>
      </c>
      <c r="C5" s="13" t="s">
        <v>63</v>
      </c>
      <c r="D5" s="14">
        <v>90</v>
      </c>
      <c r="E5" s="14">
        <v>8.1</v>
      </c>
      <c r="F5" s="14">
        <v>8.6999999999999993</v>
      </c>
      <c r="G5" s="14">
        <v>10.7</v>
      </c>
      <c r="H5" s="14">
        <v>340</v>
      </c>
      <c r="I5" s="14">
        <v>66</v>
      </c>
      <c r="J5" s="14"/>
      <c r="K5" s="14">
        <v>354</v>
      </c>
      <c r="L5" s="14"/>
      <c r="M5" s="14">
        <v>14</v>
      </c>
      <c r="N5" s="14"/>
      <c r="O5" s="14">
        <v>44</v>
      </c>
      <c r="P5" s="14">
        <v>10.6</v>
      </c>
      <c r="Q5" s="14">
        <v>11.7</v>
      </c>
      <c r="R5" s="14">
        <v>6.3</v>
      </c>
      <c r="S5" s="14">
        <v>8.1</v>
      </c>
      <c r="T5" s="14">
        <v>14.5</v>
      </c>
      <c r="U5" s="14">
        <v>5.0999999999999996</v>
      </c>
      <c r="V5" s="14">
        <v>12.1</v>
      </c>
      <c r="W5" s="14">
        <v>7</v>
      </c>
      <c r="X5" s="14">
        <v>9.3000000000000007</v>
      </c>
      <c r="Y5" s="14">
        <v>5.4</v>
      </c>
      <c r="Z5" s="14">
        <v>6.7</v>
      </c>
      <c r="AA5" s="14">
        <v>12.1</v>
      </c>
      <c r="AB5" s="14">
        <v>4.0999999999999996</v>
      </c>
      <c r="AC5" s="14">
        <v>9.6999999999999993</v>
      </c>
      <c r="AD5" s="14">
        <v>231</v>
      </c>
      <c r="AE5" s="14">
        <v>1</v>
      </c>
      <c r="AF5" s="14">
        <v>7.3</v>
      </c>
      <c r="AG5" s="14">
        <v>2.6</v>
      </c>
      <c r="AH5" s="14">
        <v>9.6</v>
      </c>
      <c r="AI5" s="14"/>
      <c r="AJ5" s="14"/>
      <c r="AK5" s="14">
        <v>0</v>
      </c>
      <c r="AL5" s="14"/>
      <c r="AM5" s="14"/>
      <c r="AN5" s="14">
        <v>20</v>
      </c>
      <c r="AO5" s="14">
        <v>20</v>
      </c>
    </row>
    <row r="6" spans="1:41" x14ac:dyDescent="0.25">
      <c r="A6" t="s">
        <v>53</v>
      </c>
      <c r="B6" s="15">
        <v>4</v>
      </c>
      <c r="C6" s="16" t="s">
        <v>64</v>
      </c>
      <c r="D6" s="17">
        <v>89</v>
      </c>
      <c r="E6" s="17">
        <v>6.9</v>
      </c>
      <c r="F6" s="17">
        <v>8</v>
      </c>
      <c r="G6" s="17">
        <v>11.6</v>
      </c>
      <c r="H6" s="17">
        <v>91</v>
      </c>
      <c r="I6" s="17">
        <v>10</v>
      </c>
      <c r="J6" s="17">
        <v>194</v>
      </c>
      <c r="K6" s="17">
        <v>454</v>
      </c>
      <c r="L6" s="17">
        <v>231</v>
      </c>
      <c r="M6" s="17">
        <v>0</v>
      </c>
      <c r="N6" s="17">
        <v>75</v>
      </c>
      <c r="O6" s="17">
        <v>77</v>
      </c>
      <c r="P6" s="17">
        <v>7.2</v>
      </c>
      <c r="Q6" s="17">
        <v>4.5</v>
      </c>
      <c r="R6" s="17">
        <v>1.7</v>
      </c>
      <c r="S6" s="17">
        <v>1.2</v>
      </c>
      <c r="T6" s="17">
        <v>2.9</v>
      </c>
      <c r="U6" s="17">
        <v>0.9</v>
      </c>
      <c r="V6" s="17">
        <v>6.2</v>
      </c>
      <c r="W6" s="17">
        <v>3.6</v>
      </c>
      <c r="X6" s="17">
        <v>1.4</v>
      </c>
      <c r="Y6" s="17">
        <v>1</v>
      </c>
      <c r="Z6" s="17">
        <v>0.3</v>
      </c>
      <c r="AA6" s="17">
        <v>1.2</v>
      </c>
      <c r="AB6" s="17">
        <v>0.4</v>
      </c>
      <c r="AC6" s="17">
        <v>2.6</v>
      </c>
      <c r="AD6" s="17">
        <v>48</v>
      </c>
      <c r="AE6" s="17">
        <v>11.4</v>
      </c>
      <c r="AF6" s="17">
        <v>1</v>
      </c>
      <c r="AG6" s="17">
        <v>2.2999999999999998</v>
      </c>
      <c r="AH6" s="17">
        <v>3.7</v>
      </c>
      <c r="AI6" s="17">
        <v>0.6</v>
      </c>
      <c r="AJ6" s="17">
        <v>54</v>
      </c>
      <c r="AK6" s="17">
        <v>0.1</v>
      </c>
      <c r="AL6" s="17">
        <v>6.9</v>
      </c>
      <c r="AM6" s="17">
        <v>16</v>
      </c>
      <c r="AN6" s="17">
        <v>20</v>
      </c>
      <c r="AO6" s="17">
        <v>20</v>
      </c>
    </row>
    <row r="7" spans="1:41" x14ac:dyDescent="0.25">
      <c r="B7" s="12">
        <v>5</v>
      </c>
      <c r="C7" s="13" t="s">
        <v>65</v>
      </c>
      <c r="D7" s="14">
        <v>8.1</v>
      </c>
      <c r="E7" s="14">
        <v>8</v>
      </c>
      <c r="F7" s="14">
        <v>8.5</v>
      </c>
      <c r="G7" s="14">
        <v>11.7</v>
      </c>
      <c r="H7" s="14">
        <v>371</v>
      </c>
      <c r="I7" s="14">
        <v>65</v>
      </c>
      <c r="J7" s="14">
        <v>90</v>
      </c>
      <c r="K7" s="14">
        <v>338</v>
      </c>
      <c r="L7" s="14"/>
      <c r="M7" s="14">
        <v>0</v>
      </c>
      <c r="N7" s="14"/>
      <c r="O7" s="14">
        <v>53</v>
      </c>
      <c r="P7" s="14">
        <v>11.5</v>
      </c>
      <c r="Q7" s="14">
        <v>12.7</v>
      </c>
      <c r="R7" s="14">
        <v>6.9</v>
      </c>
      <c r="S7" s="14">
        <v>8.9</v>
      </c>
      <c r="T7" s="14">
        <v>15.8</v>
      </c>
      <c r="U7" s="14">
        <v>5.5</v>
      </c>
      <c r="V7" s="14">
        <v>13.2</v>
      </c>
      <c r="W7" s="14">
        <v>7.6</v>
      </c>
      <c r="X7" s="14">
        <v>10.199999999999999</v>
      </c>
      <c r="Y7" s="14">
        <v>5.9</v>
      </c>
      <c r="Z7" s="14">
        <v>7.3</v>
      </c>
      <c r="AA7" s="14">
        <v>13.3</v>
      </c>
      <c r="AB7" s="14">
        <v>4.5</v>
      </c>
      <c r="AC7" s="14">
        <v>10.6</v>
      </c>
      <c r="AD7" s="14">
        <v>252</v>
      </c>
      <c r="AE7" s="14">
        <v>2.1</v>
      </c>
      <c r="AF7" s="14">
        <v>8.8000000000000007</v>
      </c>
      <c r="AG7" s="14">
        <v>3.1</v>
      </c>
      <c r="AH7" s="14">
        <v>11.7</v>
      </c>
      <c r="AI7" s="14">
        <v>2.21</v>
      </c>
      <c r="AJ7" s="14"/>
      <c r="AK7" s="14"/>
      <c r="AL7" s="14"/>
      <c r="AM7" s="14"/>
      <c r="AN7" s="14">
        <v>20</v>
      </c>
      <c r="AO7" s="14">
        <v>20</v>
      </c>
    </row>
    <row r="8" spans="1:41" x14ac:dyDescent="0.25">
      <c r="B8" s="15">
        <v>6</v>
      </c>
      <c r="C8" s="16" t="s">
        <v>60</v>
      </c>
      <c r="D8" s="17">
        <v>100</v>
      </c>
      <c r="E8" s="17">
        <v>29.8</v>
      </c>
      <c r="F8" s="17">
        <v>29.8</v>
      </c>
      <c r="G8" s="17">
        <v>34</v>
      </c>
      <c r="H8" s="17">
        <v>0</v>
      </c>
      <c r="I8" s="17">
        <v>1000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0</v>
      </c>
    </row>
    <row r="9" spans="1:41" x14ac:dyDescent="0.25">
      <c r="A9" t="s">
        <v>57</v>
      </c>
      <c r="B9" s="12">
        <v>7</v>
      </c>
      <c r="C9" s="13" t="s">
        <v>66</v>
      </c>
      <c r="D9" s="14">
        <v>92</v>
      </c>
      <c r="E9" s="14">
        <v>10.8</v>
      </c>
      <c r="F9" s="14">
        <v>10.8</v>
      </c>
      <c r="G9" s="14">
        <v>17.5</v>
      </c>
      <c r="H9" s="14">
        <v>760</v>
      </c>
      <c r="I9" s="14">
        <v>105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135</v>
      </c>
      <c r="P9" s="14">
        <v>57.2</v>
      </c>
      <c r="Q9" s="14">
        <v>31.6</v>
      </c>
      <c r="R9" s="14">
        <v>21.6</v>
      </c>
      <c r="S9" s="14">
        <v>6.3</v>
      </c>
      <c r="T9" s="14">
        <v>28</v>
      </c>
      <c r="U9" s="14">
        <v>7.8</v>
      </c>
      <c r="V9" s="14">
        <v>38.5</v>
      </c>
      <c r="W9" s="14">
        <v>53.2</v>
      </c>
      <c r="X9" s="14">
        <v>29.1</v>
      </c>
      <c r="Y9" s="14">
        <v>20.100000000000001</v>
      </c>
      <c r="Z9" s="14">
        <v>5.4</v>
      </c>
      <c r="AA9" s="14">
        <v>25.5</v>
      </c>
      <c r="AB9" s="14">
        <v>6.9</v>
      </c>
      <c r="AC9" s="14">
        <v>35.4</v>
      </c>
      <c r="AD9" s="14">
        <v>676</v>
      </c>
      <c r="AE9" s="14">
        <v>39.1</v>
      </c>
      <c r="AF9" s="14">
        <v>24.7</v>
      </c>
      <c r="AG9" s="14">
        <v>2.2999999999999998</v>
      </c>
      <c r="AH9" s="14">
        <v>12</v>
      </c>
      <c r="AI9" s="14">
        <v>10</v>
      </c>
      <c r="AJ9" s="14">
        <v>6</v>
      </c>
      <c r="AK9" s="14">
        <v>2.4</v>
      </c>
      <c r="AL9" s="14">
        <v>4.5999999999999996</v>
      </c>
      <c r="AM9" s="14">
        <v>84</v>
      </c>
      <c r="AN9" s="14">
        <v>77</v>
      </c>
      <c r="AO9" s="14">
        <v>77</v>
      </c>
    </row>
    <row r="10" spans="1:41" x14ac:dyDescent="0.25">
      <c r="B10" s="15">
        <v>8</v>
      </c>
      <c r="C10" s="16" t="s">
        <v>67</v>
      </c>
      <c r="D10" s="17">
        <v>100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1000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375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0</v>
      </c>
    </row>
    <row r="11" spans="1:41" x14ac:dyDescent="0.25">
      <c r="B11" s="12">
        <v>9</v>
      </c>
      <c r="C11" s="13" t="s">
        <v>68</v>
      </c>
      <c r="D11" s="14">
        <v>90</v>
      </c>
      <c r="E11" s="14">
        <v>3.9</v>
      </c>
      <c r="F11" s="14">
        <v>4.7</v>
      </c>
      <c r="G11" s="14">
        <v>7.7</v>
      </c>
      <c r="H11" s="14">
        <v>167</v>
      </c>
      <c r="I11" s="14">
        <v>34</v>
      </c>
      <c r="J11" s="14">
        <v>260</v>
      </c>
      <c r="K11" s="14">
        <v>542</v>
      </c>
      <c r="L11" s="14">
        <v>307</v>
      </c>
      <c r="M11" s="14">
        <v>0</v>
      </c>
      <c r="N11" s="14">
        <v>101</v>
      </c>
      <c r="O11" s="14">
        <v>87</v>
      </c>
      <c r="P11" s="14">
        <v>6.9</v>
      </c>
      <c r="Q11" s="14">
        <v>6.4</v>
      </c>
      <c r="R11" s="14">
        <v>2.4</v>
      </c>
      <c r="S11" s="14">
        <v>1.5</v>
      </c>
      <c r="T11" s="14">
        <v>3.8</v>
      </c>
      <c r="U11" s="14">
        <v>2.4</v>
      </c>
      <c r="V11" s="14">
        <v>8.5</v>
      </c>
      <c r="W11" s="14">
        <v>5.3</v>
      </c>
      <c r="X11" s="14">
        <v>4.9000000000000004</v>
      </c>
      <c r="Y11" s="14">
        <v>2</v>
      </c>
      <c r="Z11" s="14">
        <v>1.1000000000000001</v>
      </c>
      <c r="AA11" s="14">
        <v>3</v>
      </c>
      <c r="AB11" s="14">
        <v>1.9</v>
      </c>
      <c r="AC11" s="14">
        <v>6.6</v>
      </c>
      <c r="AD11" s="14">
        <v>87</v>
      </c>
      <c r="AE11" s="14">
        <v>6</v>
      </c>
      <c r="AF11" s="14">
        <v>3.1</v>
      </c>
      <c r="AG11" s="14">
        <v>1.9</v>
      </c>
      <c r="AH11" s="14">
        <v>23</v>
      </c>
      <c r="AI11" s="14">
        <v>4.3</v>
      </c>
      <c r="AJ11" s="14">
        <v>54</v>
      </c>
      <c r="AK11" s="14">
        <v>0.22</v>
      </c>
      <c r="AL11" s="14">
        <v>7.8</v>
      </c>
      <c r="AM11" s="14">
        <v>36</v>
      </c>
      <c r="AN11" s="14">
        <v>20</v>
      </c>
      <c r="AO11" s="14">
        <v>20</v>
      </c>
    </row>
    <row r="12" spans="1:41" x14ac:dyDescent="0.25">
      <c r="B12" s="15">
        <v>10</v>
      </c>
      <c r="C12" s="16" t="s">
        <v>69</v>
      </c>
      <c r="D12" s="17">
        <v>91</v>
      </c>
      <c r="E12" s="17">
        <v>1.1000000000000001</v>
      </c>
      <c r="F12" s="17">
        <v>1.6</v>
      </c>
      <c r="G12" s="17"/>
      <c r="H12" s="17">
        <v>42</v>
      </c>
      <c r="I12" s="17">
        <v>14</v>
      </c>
      <c r="J12" s="17">
        <v>418</v>
      </c>
      <c r="K12" s="17">
        <v>789</v>
      </c>
      <c r="L12" s="17">
        <v>501</v>
      </c>
      <c r="M12" s="17">
        <v>8</v>
      </c>
      <c r="N12" s="17">
        <v>16</v>
      </c>
      <c r="O12" s="17">
        <v>64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9</v>
      </c>
      <c r="AE12" s="17">
        <v>4.9000000000000004</v>
      </c>
      <c r="AF12" s="17">
        <v>0.8</v>
      </c>
      <c r="AG12" s="17">
        <v>0.7</v>
      </c>
      <c r="AH12" s="17">
        <v>10.3</v>
      </c>
      <c r="AI12" s="17">
        <v>0.33</v>
      </c>
      <c r="AJ12" s="17">
        <v>47</v>
      </c>
      <c r="AK12" s="17"/>
      <c r="AL12" s="17">
        <v>3.3</v>
      </c>
      <c r="AM12" s="17">
        <v>21</v>
      </c>
      <c r="AN12" s="17">
        <v>20</v>
      </c>
      <c r="AO12" s="17">
        <v>20</v>
      </c>
    </row>
    <row r="13" spans="1:41" x14ac:dyDescent="0.25">
      <c r="A13" t="s">
        <v>38</v>
      </c>
      <c r="B13" s="12">
        <v>11</v>
      </c>
      <c r="C13" s="13" t="s">
        <v>70</v>
      </c>
      <c r="D13" s="14">
        <v>87</v>
      </c>
      <c r="E13" s="14">
        <v>9</v>
      </c>
      <c r="F13" s="14">
        <v>9.4</v>
      </c>
      <c r="G13" s="14">
        <v>12.1</v>
      </c>
      <c r="H13" s="14">
        <v>111</v>
      </c>
      <c r="I13" s="14">
        <v>54</v>
      </c>
      <c r="J13" s="14">
        <v>138</v>
      </c>
      <c r="K13" s="14">
        <v>372</v>
      </c>
      <c r="L13" s="14">
        <v>169</v>
      </c>
      <c r="M13" s="14">
        <v>411</v>
      </c>
      <c r="N13" s="14">
        <v>13</v>
      </c>
      <c r="O13" s="14">
        <v>30</v>
      </c>
      <c r="P13" s="14">
        <v>4.7</v>
      </c>
      <c r="Q13" s="14">
        <v>3.9</v>
      </c>
      <c r="R13" s="14">
        <v>2</v>
      </c>
      <c r="S13" s="14">
        <v>3.7</v>
      </c>
      <c r="T13" s="14">
        <v>5.7</v>
      </c>
      <c r="U13" s="14">
        <v>1.4</v>
      </c>
      <c r="V13" s="14">
        <v>5.9</v>
      </c>
      <c r="W13" s="14">
        <v>3.4</v>
      </c>
      <c r="X13" s="14">
        <v>2.7</v>
      </c>
      <c r="Y13" s="14">
        <v>1.7</v>
      </c>
      <c r="Z13" s="14">
        <v>2.8</v>
      </c>
      <c r="AA13" s="14">
        <v>4.4000000000000004</v>
      </c>
      <c r="AB13" s="14">
        <v>1.1000000000000001</v>
      </c>
      <c r="AC13" s="14">
        <v>4.5</v>
      </c>
      <c r="AD13" s="14">
        <v>84</v>
      </c>
      <c r="AE13" s="14">
        <v>0.8</v>
      </c>
      <c r="AF13" s="14">
        <v>3.6</v>
      </c>
      <c r="AG13" s="14">
        <v>1.2</v>
      </c>
      <c r="AH13" s="14">
        <v>5.5</v>
      </c>
      <c r="AI13" s="14">
        <v>0.3</v>
      </c>
      <c r="AJ13" s="14">
        <v>43</v>
      </c>
      <c r="AK13" s="14">
        <v>0.03</v>
      </c>
      <c r="AL13" s="14">
        <v>2.7</v>
      </c>
      <c r="AM13" s="14">
        <v>31</v>
      </c>
      <c r="AN13" s="14">
        <v>32</v>
      </c>
      <c r="AO13" s="14">
        <v>32</v>
      </c>
    </row>
    <row r="14" spans="1:41" x14ac:dyDescent="0.25">
      <c r="B14" s="15">
        <v>12</v>
      </c>
      <c r="C14" s="16" t="s">
        <v>71</v>
      </c>
      <c r="D14" s="17">
        <v>87</v>
      </c>
      <c r="E14" s="17">
        <v>11.6</v>
      </c>
      <c r="F14" s="17">
        <v>11.8</v>
      </c>
      <c r="G14" s="17"/>
      <c r="H14" s="17">
        <v>124</v>
      </c>
      <c r="I14" s="17">
        <v>29</v>
      </c>
      <c r="J14" s="17">
        <v>47</v>
      </c>
      <c r="K14" s="17">
        <v>136</v>
      </c>
      <c r="L14" s="17">
        <v>54</v>
      </c>
      <c r="M14" s="17">
        <v>615</v>
      </c>
      <c r="N14" s="17">
        <v>14</v>
      </c>
      <c r="O14" s="17">
        <v>25</v>
      </c>
      <c r="P14" s="17">
        <v>5.2</v>
      </c>
      <c r="Q14" s="17">
        <v>4.4000000000000004</v>
      </c>
      <c r="R14" s="17">
        <v>2.2000000000000002</v>
      </c>
      <c r="S14" s="17">
        <v>3.9</v>
      </c>
      <c r="T14" s="17">
        <v>6.1</v>
      </c>
      <c r="U14" s="17">
        <v>1.6</v>
      </c>
      <c r="V14" s="17">
        <v>6.6</v>
      </c>
      <c r="W14" s="17">
        <v>4.0999999999999996</v>
      </c>
      <c r="X14" s="17">
        <v>3.5</v>
      </c>
      <c r="Y14" s="17">
        <v>1.9</v>
      </c>
      <c r="Z14" s="17">
        <v>3.3</v>
      </c>
      <c r="AA14" s="17">
        <v>5.2</v>
      </c>
      <c r="AB14" s="17">
        <v>1.3</v>
      </c>
      <c r="AC14" s="17">
        <v>5.3</v>
      </c>
      <c r="AD14" s="17">
        <v>102</v>
      </c>
      <c r="AE14" s="17">
        <v>1</v>
      </c>
      <c r="AF14" s="17">
        <v>3.4</v>
      </c>
      <c r="AG14" s="17"/>
      <c r="AH14" s="17"/>
      <c r="AI14" s="17"/>
      <c r="AJ14" s="17"/>
      <c r="AK14" s="17"/>
      <c r="AL14" s="17"/>
      <c r="AM14" s="17"/>
      <c r="AN14" s="17">
        <v>32</v>
      </c>
      <c r="AO14" s="17">
        <v>32</v>
      </c>
    </row>
    <row r="15" spans="1:41" x14ac:dyDescent="0.25">
      <c r="A15" t="s">
        <v>37</v>
      </c>
      <c r="B15" s="12">
        <v>13</v>
      </c>
      <c r="C15" s="13" t="s">
        <v>72</v>
      </c>
      <c r="D15" s="14">
        <v>87</v>
      </c>
      <c r="E15" s="14">
        <v>11</v>
      </c>
      <c r="F15" s="14">
        <v>11.2</v>
      </c>
      <c r="G15" s="14">
        <v>14.2</v>
      </c>
      <c r="H15" s="14">
        <v>116</v>
      </c>
      <c r="I15" s="14">
        <v>21</v>
      </c>
      <c r="J15" s="14">
        <v>53</v>
      </c>
      <c r="K15" s="14">
        <v>216</v>
      </c>
      <c r="L15" s="14">
        <v>63</v>
      </c>
      <c r="M15" s="14">
        <v>602</v>
      </c>
      <c r="N15" s="14">
        <v>25</v>
      </c>
      <c r="O15" s="14">
        <v>26</v>
      </c>
      <c r="P15" s="14">
        <v>4.4000000000000004</v>
      </c>
      <c r="Q15" s="14">
        <v>4</v>
      </c>
      <c r="R15" s="14">
        <v>2</v>
      </c>
      <c r="S15" s="14">
        <v>2.7</v>
      </c>
      <c r="T15" s="14">
        <v>4.7</v>
      </c>
      <c r="U15" s="14">
        <v>1.4</v>
      </c>
      <c r="V15" s="14">
        <v>6</v>
      </c>
      <c r="W15" s="14">
        <v>3.3</v>
      </c>
      <c r="X15" s="14">
        <v>3</v>
      </c>
      <c r="Y15" s="14">
        <v>1.7</v>
      </c>
      <c r="Z15" s="14">
        <v>2.2999999999999998</v>
      </c>
      <c r="AA15" s="14">
        <v>3.9</v>
      </c>
      <c r="AB15" s="14">
        <v>1.1000000000000001</v>
      </c>
      <c r="AC15" s="14">
        <v>4.8</v>
      </c>
      <c r="AD15" s="14">
        <v>93</v>
      </c>
      <c r="AE15" s="14">
        <v>0.5</v>
      </c>
      <c r="AF15" s="14">
        <v>3.5</v>
      </c>
      <c r="AG15" s="14">
        <v>1.2</v>
      </c>
      <c r="AH15" s="14">
        <v>5.7</v>
      </c>
      <c r="AI15" s="14">
        <v>0.4</v>
      </c>
      <c r="AJ15" s="14">
        <v>14</v>
      </c>
      <c r="AK15" s="14">
        <v>0.04</v>
      </c>
      <c r="AL15" s="14">
        <v>2.9</v>
      </c>
      <c r="AM15" s="14">
        <v>28</v>
      </c>
      <c r="AN15" s="14">
        <v>32</v>
      </c>
      <c r="AO15" s="14">
        <v>41</v>
      </c>
    </row>
    <row r="16" spans="1:41" x14ac:dyDescent="0.25">
      <c r="A16" t="s">
        <v>43</v>
      </c>
      <c r="B16" s="15">
        <v>14</v>
      </c>
      <c r="C16" s="16" t="s">
        <v>73</v>
      </c>
      <c r="D16" s="17">
        <v>91</v>
      </c>
      <c r="E16" s="17">
        <v>17.3</v>
      </c>
      <c r="F16" s="17">
        <v>17.5</v>
      </c>
      <c r="G16" s="17">
        <v>21.3</v>
      </c>
      <c r="H16" s="17">
        <v>227</v>
      </c>
      <c r="I16" s="17">
        <v>437</v>
      </c>
      <c r="J16" s="17">
        <v>80</v>
      </c>
      <c r="K16" s="17">
        <v>203</v>
      </c>
      <c r="L16" s="17">
        <v>83</v>
      </c>
      <c r="M16" s="17">
        <v>0</v>
      </c>
      <c r="N16" s="17">
        <v>29</v>
      </c>
      <c r="O16" s="17">
        <v>38</v>
      </c>
      <c r="P16" s="17">
        <v>9.8000000000000007</v>
      </c>
      <c r="Q16" s="17">
        <v>11.6</v>
      </c>
      <c r="R16" s="17">
        <v>4.8</v>
      </c>
      <c r="S16" s="17">
        <v>4.9000000000000004</v>
      </c>
      <c r="T16" s="17">
        <v>9.8000000000000007</v>
      </c>
      <c r="U16" s="17">
        <v>4.3</v>
      </c>
      <c r="V16" s="17">
        <v>13.3</v>
      </c>
      <c r="W16" s="17">
        <v>7.5</v>
      </c>
      <c r="X16" s="17">
        <v>8.8000000000000007</v>
      </c>
      <c r="Y16" s="17">
        <v>4.0999999999999996</v>
      </c>
      <c r="Z16" s="17">
        <v>3.6</v>
      </c>
      <c r="AA16" s="17">
        <v>7.7</v>
      </c>
      <c r="AB16" s="17">
        <v>3.3</v>
      </c>
      <c r="AC16" s="17">
        <v>10.3</v>
      </c>
      <c r="AD16" s="17">
        <v>193</v>
      </c>
      <c r="AE16" s="17">
        <v>2.6</v>
      </c>
      <c r="AF16" s="17">
        <v>5.7</v>
      </c>
      <c r="AG16" s="17">
        <v>4.0999999999999996</v>
      </c>
      <c r="AH16" s="17">
        <v>8.9</v>
      </c>
      <c r="AI16" s="17">
        <v>0.4</v>
      </c>
      <c r="AJ16" s="17">
        <v>30</v>
      </c>
      <c r="AK16" s="17">
        <v>0.4</v>
      </c>
      <c r="AL16" s="17">
        <v>14</v>
      </c>
      <c r="AM16" s="17">
        <v>50</v>
      </c>
      <c r="AN16" s="17">
        <v>20</v>
      </c>
      <c r="AO16" s="17">
        <v>20</v>
      </c>
    </row>
    <row r="17" spans="1:41" x14ac:dyDescent="0.25">
      <c r="B17" s="12">
        <v>15</v>
      </c>
      <c r="C17" s="13" t="s">
        <v>74</v>
      </c>
      <c r="D17" s="14">
        <v>90</v>
      </c>
      <c r="E17" s="14">
        <v>9.1999999999999993</v>
      </c>
      <c r="F17" s="14">
        <v>9.6999999999999993</v>
      </c>
      <c r="G17" s="14">
        <v>14.2</v>
      </c>
      <c r="H17" s="14">
        <v>342</v>
      </c>
      <c r="I17" s="14">
        <v>90</v>
      </c>
      <c r="J17" s="14">
        <v>113</v>
      </c>
      <c r="K17" s="14">
        <v>259</v>
      </c>
      <c r="L17" s="14">
        <v>157</v>
      </c>
      <c r="M17" s="14">
        <v>0</v>
      </c>
      <c r="N17" s="14">
        <v>38</v>
      </c>
      <c r="O17" s="14">
        <v>65</v>
      </c>
      <c r="P17" s="14">
        <v>12.9</v>
      </c>
      <c r="Q17" s="14">
        <v>13</v>
      </c>
      <c r="R17" s="14">
        <v>5.9</v>
      </c>
      <c r="S17" s="14">
        <v>6.6</v>
      </c>
      <c r="T17" s="14">
        <v>12.5</v>
      </c>
      <c r="U17" s="14">
        <v>5.2</v>
      </c>
      <c r="V17" s="14">
        <v>16.399999999999999</v>
      </c>
      <c r="W17" s="14">
        <v>9.9</v>
      </c>
      <c r="X17" s="14">
        <v>9.9</v>
      </c>
      <c r="Y17" s="14">
        <v>5</v>
      </c>
      <c r="Z17" s="14">
        <v>4.8</v>
      </c>
      <c r="AA17" s="14">
        <v>9.8000000000000007</v>
      </c>
      <c r="AB17" s="14">
        <v>4</v>
      </c>
      <c r="AC17" s="14">
        <v>12.7</v>
      </c>
      <c r="AD17" s="14">
        <v>301</v>
      </c>
      <c r="AE17" s="14">
        <v>4.7</v>
      </c>
      <c r="AF17" s="14">
        <v>9.1</v>
      </c>
      <c r="AG17" s="14">
        <v>5.5</v>
      </c>
      <c r="AH17" s="14">
        <v>13</v>
      </c>
      <c r="AI17" s="14">
        <v>0.9</v>
      </c>
      <c r="AJ17" s="14">
        <v>43</v>
      </c>
      <c r="AK17" s="14">
        <v>0.5</v>
      </c>
      <c r="AL17" s="14">
        <v>20</v>
      </c>
      <c r="AM17" s="14">
        <v>73</v>
      </c>
      <c r="AN17" s="14">
        <v>12</v>
      </c>
      <c r="AO17" s="14">
        <v>12</v>
      </c>
    </row>
    <row r="18" spans="1:41" x14ac:dyDescent="0.25">
      <c r="B18" s="15">
        <v>16</v>
      </c>
      <c r="C18" s="16" t="s">
        <v>75</v>
      </c>
      <c r="D18" s="17">
        <v>89</v>
      </c>
      <c r="E18" s="17">
        <v>10.3</v>
      </c>
      <c r="F18" s="17">
        <v>10.9</v>
      </c>
      <c r="G18" s="17">
        <v>15.4</v>
      </c>
      <c r="H18" s="17">
        <v>385</v>
      </c>
      <c r="I18" s="17">
        <v>95</v>
      </c>
      <c r="J18" s="17">
        <v>128</v>
      </c>
      <c r="K18" s="17">
        <v>214</v>
      </c>
      <c r="L18" s="17">
        <v>154</v>
      </c>
      <c r="M18" s="17">
        <v>0</v>
      </c>
      <c r="N18" s="17">
        <v>72</v>
      </c>
      <c r="O18" s="17">
        <v>39</v>
      </c>
      <c r="P18" s="17">
        <v>18.7</v>
      </c>
      <c r="Q18" s="17">
        <v>14.2</v>
      </c>
      <c r="R18" s="17">
        <v>3</v>
      </c>
      <c r="S18" s="17">
        <v>6.3</v>
      </c>
      <c r="T18" s="17">
        <v>9.3000000000000007</v>
      </c>
      <c r="U18" s="17">
        <v>2.7</v>
      </c>
      <c r="V18" s="17">
        <v>16.5</v>
      </c>
      <c r="W18" s="17">
        <v>15.3</v>
      </c>
      <c r="X18" s="17">
        <v>11.1</v>
      </c>
      <c r="Y18" s="17">
        <v>2.2999999999999998</v>
      </c>
      <c r="Z18" s="17">
        <v>4.8</v>
      </c>
      <c r="AA18" s="17">
        <v>7.1</v>
      </c>
      <c r="AB18" s="17">
        <v>2.1</v>
      </c>
      <c r="AC18" s="17">
        <v>12.2</v>
      </c>
      <c r="AD18" s="17">
        <v>316</v>
      </c>
      <c r="AE18" s="17">
        <v>3.8</v>
      </c>
      <c r="AF18" s="17">
        <v>4.3</v>
      </c>
      <c r="AG18" s="17">
        <v>1.9</v>
      </c>
      <c r="AH18" s="17">
        <v>13</v>
      </c>
      <c r="AI18" s="17">
        <v>0.5</v>
      </c>
      <c r="AJ18" s="17">
        <v>20</v>
      </c>
      <c r="AK18" s="17">
        <v>0.09</v>
      </c>
      <c r="AL18" s="17">
        <v>4.5</v>
      </c>
      <c r="AM18" s="17">
        <v>30</v>
      </c>
      <c r="AN18" s="17">
        <v>50</v>
      </c>
      <c r="AO18" s="17">
        <v>50</v>
      </c>
    </row>
    <row r="19" spans="1:41" x14ac:dyDescent="0.25">
      <c r="B19" s="12">
        <v>17</v>
      </c>
      <c r="C19" s="13" t="s">
        <v>76</v>
      </c>
      <c r="D19" s="14">
        <v>91</v>
      </c>
      <c r="E19" s="14">
        <v>4.0999999999999996</v>
      </c>
      <c r="F19" s="14">
        <v>4.8</v>
      </c>
      <c r="G19" s="14">
        <v>7.1</v>
      </c>
      <c r="H19" s="14">
        <v>185</v>
      </c>
      <c r="I19" s="14">
        <v>28</v>
      </c>
      <c r="J19" s="14">
        <v>283</v>
      </c>
      <c r="K19" s="14">
        <v>461</v>
      </c>
      <c r="L19" s="14">
        <v>326</v>
      </c>
      <c r="M19" s="14">
        <v>0</v>
      </c>
      <c r="N19" s="14">
        <v>46</v>
      </c>
      <c r="O19" s="14">
        <v>117</v>
      </c>
      <c r="P19" s="14">
        <v>8.5</v>
      </c>
      <c r="Q19" s="14">
        <v>7.5</v>
      </c>
      <c r="R19" s="14">
        <v>2.7</v>
      </c>
      <c r="S19" s="14">
        <v>2.5</v>
      </c>
      <c r="T19" s="14">
        <v>5.2</v>
      </c>
      <c r="U19" s="14">
        <v>2.6</v>
      </c>
      <c r="V19" s="14">
        <v>10.1</v>
      </c>
      <c r="W19" s="14">
        <v>5.3</v>
      </c>
      <c r="X19" s="14">
        <v>5</v>
      </c>
      <c r="Y19" s="14">
        <v>2.1</v>
      </c>
      <c r="Z19" s="14">
        <v>0.9</v>
      </c>
      <c r="AA19" s="14">
        <v>3</v>
      </c>
      <c r="AB19" s="14">
        <v>1.2</v>
      </c>
      <c r="AC19" s="14">
        <v>7</v>
      </c>
      <c r="AD19" s="14">
        <v>79</v>
      </c>
      <c r="AE19" s="14">
        <v>22.4</v>
      </c>
      <c r="AF19" s="14">
        <v>2.7</v>
      </c>
      <c r="AG19" s="14">
        <v>1.8</v>
      </c>
      <c r="AH19" s="14">
        <v>26.1</v>
      </c>
      <c r="AI19" s="14">
        <v>0.2</v>
      </c>
      <c r="AJ19" s="14">
        <v>62</v>
      </c>
      <c r="AK19" s="14">
        <v>0.28000000000000003</v>
      </c>
      <c r="AL19" s="14">
        <v>5.6</v>
      </c>
      <c r="AM19" s="14">
        <v>21</v>
      </c>
      <c r="AN19" s="14">
        <v>20</v>
      </c>
      <c r="AO19" s="14">
        <v>20</v>
      </c>
    </row>
    <row r="20" spans="1:41" x14ac:dyDescent="0.25">
      <c r="B20" s="15">
        <v>18</v>
      </c>
      <c r="C20" s="16" t="s">
        <v>77</v>
      </c>
      <c r="D20" s="17">
        <v>99.5</v>
      </c>
      <c r="E20" s="17">
        <v>14.2</v>
      </c>
      <c r="F20" s="17">
        <v>14.2</v>
      </c>
      <c r="G20" s="17">
        <v>17.8</v>
      </c>
      <c r="H20" s="17">
        <v>959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802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802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959</v>
      </c>
      <c r="AE20" s="17">
        <v>0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0</v>
      </c>
    </row>
    <row r="21" spans="1:41" x14ac:dyDescent="0.25">
      <c r="A21" t="s">
        <v>40</v>
      </c>
      <c r="B21" s="12">
        <v>19</v>
      </c>
      <c r="C21" s="13" t="s">
        <v>78</v>
      </c>
      <c r="D21" s="14">
        <v>87</v>
      </c>
      <c r="E21" s="14">
        <v>12.8</v>
      </c>
      <c r="F21" s="14">
        <v>13.2</v>
      </c>
      <c r="G21" s="14">
        <v>15.6</v>
      </c>
      <c r="H21" s="14">
        <v>94</v>
      </c>
      <c r="I21" s="14">
        <v>43</v>
      </c>
      <c r="J21" s="14">
        <v>25</v>
      </c>
      <c r="K21" s="14">
        <v>120</v>
      </c>
      <c r="L21" s="14">
        <v>30</v>
      </c>
      <c r="M21" s="14">
        <v>742</v>
      </c>
      <c r="N21" s="14">
        <v>19</v>
      </c>
      <c r="O21" s="14">
        <v>14</v>
      </c>
      <c r="P21" s="14">
        <v>2.8</v>
      </c>
      <c r="Q21" s="14">
        <v>3.5</v>
      </c>
      <c r="R21" s="14">
        <v>2</v>
      </c>
      <c r="S21" s="14">
        <v>2.2999999999999998</v>
      </c>
      <c r="T21" s="14">
        <v>4.3</v>
      </c>
      <c r="U21" s="14">
        <v>0.6</v>
      </c>
      <c r="V21" s="14">
        <v>4.7</v>
      </c>
      <c r="W21" s="14">
        <v>2.2000000000000002</v>
      </c>
      <c r="X21" s="14">
        <v>2.9</v>
      </c>
      <c r="Y21" s="14">
        <v>1.8</v>
      </c>
      <c r="Z21" s="14">
        <v>2</v>
      </c>
      <c r="AA21" s="14">
        <v>3.9</v>
      </c>
      <c r="AB21" s="14">
        <v>0.5</v>
      </c>
      <c r="AC21" s="14">
        <v>4.0999999999999996</v>
      </c>
      <c r="AD21" s="14">
        <v>81</v>
      </c>
      <c r="AE21" s="14">
        <v>0.1</v>
      </c>
      <c r="AF21" s="14">
        <v>3.2</v>
      </c>
      <c r="AG21" s="14">
        <v>1.2</v>
      </c>
      <c r="AH21" s="14">
        <v>4</v>
      </c>
      <c r="AI21" s="14">
        <v>0.3</v>
      </c>
      <c r="AJ21" s="14">
        <v>6</v>
      </c>
      <c r="AK21" s="14">
        <v>0.06</v>
      </c>
      <c r="AL21" s="14">
        <v>3.6</v>
      </c>
      <c r="AM21" s="14">
        <v>28</v>
      </c>
      <c r="AN21" s="14">
        <v>28</v>
      </c>
      <c r="AO21" s="14">
        <v>28</v>
      </c>
    </row>
    <row r="22" spans="1:41" x14ac:dyDescent="0.25">
      <c r="B22" s="15">
        <v>20</v>
      </c>
      <c r="C22" s="16" t="s">
        <v>79</v>
      </c>
      <c r="D22" s="17">
        <v>88</v>
      </c>
      <c r="E22" s="17">
        <v>8</v>
      </c>
      <c r="F22" s="17">
        <v>9.1999999999999993</v>
      </c>
      <c r="G22" s="17">
        <v>0</v>
      </c>
      <c r="H22" s="17">
        <v>279</v>
      </c>
      <c r="I22" s="17">
        <v>58</v>
      </c>
      <c r="J22" s="17">
        <v>83</v>
      </c>
      <c r="K22" s="17">
        <v>356</v>
      </c>
      <c r="L22" s="17">
        <v>102</v>
      </c>
      <c r="M22" s="17">
        <v>130</v>
      </c>
      <c r="N22" s="17">
        <v>6</v>
      </c>
      <c r="O22" s="17">
        <v>68</v>
      </c>
      <c r="P22" s="17">
        <v>7.1</v>
      </c>
      <c r="Q22" s="17">
        <v>9.6999999999999993</v>
      </c>
      <c r="R22" s="17">
        <v>4.9000000000000004</v>
      </c>
      <c r="S22" s="17">
        <v>5.4</v>
      </c>
      <c r="T22" s="17">
        <v>10.199999999999999</v>
      </c>
      <c r="U22" s="17">
        <v>1.9</v>
      </c>
      <c r="V22" s="17">
        <v>13.1</v>
      </c>
      <c r="W22" s="17">
        <v>4.0999999999999996</v>
      </c>
      <c r="X22" s="17">
        <v>6</v>
      </c>
      <c r="Y22" s="17">
        <v>3.7</v>
      </c>
      <c r="Z22" s="17">
        <v>3.2</v>
      </c>
      <c r="AA22" s="17">
        <v>6.8</v>
      </c>
      <c r="AB22" s="17">
        <v>1.3</v>
      </c>
      <c r="AC22" s="17">
        <v>8.6</v>
      </c>
      <c r="AD22" s="17">
        <v>173</v>
      </c>
      <c r="AE22" s="17">
        <v>2.4</v>
      </c>
      <c r="AF22" s="17">
        <v>9.5</v>
      </c>
      <c r="AG22" s="17">
        <v>3.3</v>
      </c>
      <c r="AH22" s="17">
        <v>14.1</v>
      </c>
      <c r="AI22" s="17">
        <v>6.1</v>
      </c>
      <c r="AJ22" s="17">
        <v>21</v>
      </c>
      <c r="AK22" s="17">
        <v>0.39</v>
      </c>
      <c r="AL22" s="17">
        <v>11.4</v>
      </c>
      <c r="AM22" s="17">
        <v>74</v>
      </c>
      <c r="AN22" s="17">
        <v>31</v>
      </c>
      <c r="AO22" s="17">
        <v>31</v>
      </c>
    </row>
    <row r="23" spans="1:41" x14ac:dyDescent="0.25">
      <c r="B23" s="12">
        <v>21</v>
      </c>
      <c r="C23" s="13" t="s">
        <v>80</v>
      </c>
      <c r="D23" s="14">
        <v>88</v>
      </c>
      <c r="E23" s="14">
        <v>7.8</v>
      </c>
      <c r="F23" s="14">
        <v>9</v>
      </c>
      <c r="G23" s="14">
        <v>12.6</v>
      </c>
      <c r="H23" s="14">
        <v>219</v>
      </c>
      <c r="I23" s="14">
        <v>31</v>
      </c>
      <c r="J23" s="14">
        <v>85</v>
      </c>
      <c r="K23" s="14">
        <v>384</v>
      </c>
      <c r="L23" s="14">
        <v>100</v>
      </c>
      <c r="M23" s="14">
        <v>205</v>
      </c>
      <c r="N23" s="14">
        <v>19</v>
      </c>
      <c r="O23" s="14">
        <v>70</v>
      </c>
      <c r="P23" s="14">
        <v>6.6</v>
      </c>
      <c r="Q23" s="14">
        <v>7.4</v>
      </c>
      <c r="R23" s="14">
        <v>3.7</v>
      </c>
      <c r="S23" s="14">
        <v>4.3</v>
      </c>
      <c r="T23" s="14">
        <v>8</v>
      </c>
      <c r="U23" s="14">
        <v>1.4</v>
      </c>
      <c r="V23" s="14">
        <v>10.1</v>
      </c>
      <c r="W23" s="14">
        <v>4.4000000000000004</v>
      </c>
      <c r="X23" s="14">
        <v>5.2</v>
      </c>
      <c r="Y23" s="14">
        <v>3.1</v>
      </c>
      <c r="Z23" s="14">
        <v>3</v>
      </c>
      <c r="AA23" s="14">
        <v>6.1</v>
      </c>
      <c r="AB23" s="14">
        <v>0.9</v>
      </c>
      <c r="AC23" s="14">
        <v>7.6</v>
      </c>
      <c r="AD23" s="14">
        <v>151</v>
      </c>
      <c r="AE23" s="14">
        <v>0.7</v>
      </c>
      <c r="AF23" s="14">
        <v>10.4</v>
      </c>
      <c r="AG23" s="14">
        <v>4.7</v>
      </c>
      <c r="AH23" s="14">
        <v>14</v>
      </c>
      <c r="AI23" s="14">
        <v>2.4</v>
      </c>
      <c r="AJ23" s="14">
        <v>23</v>
      </c>
      <c r="AK23" s="14">
        <v>0.15</v>
      </c>
      <c r="AL23" s="14">
        <v>5.4</v>
      </c>
      <c r="AM23" s="14">
        <v>82</v>
      </c>
      <c r="AN23" s="14">
        <v>22</v>
      </c>
      <c r="AO23" s="14">
        <v>22</v>
      </c>
    </row>
    <row r="24" spans="1:41" x14ac:dyDescent="0.25">
      <c r="A24" t="s">
        <v>384</v>
      </c>
      <c r="B24" s="15">
        <v>22</v>
      </c>
      <c r="C24" s="16" t="s">
        <v>81</v>
      </c>
      <c r="D24" s="17">
        <v>90</v>
      </c>
      <c r="E24" s="17">
        <v>12.9</v>
      </c>
      <c r="F24" s="17">
        <v>13.3</v>
      </c>
      <c r="G24" s="17">
        <v>17.8</v>
      </c>
      <c r="H24" s="17">
        <v>677</v>
      </c>
      <c r="I24" s="17">
        <v>71</v>
      </c>
      <c r="J24" s="17">
        <v>12</v>
      </c>
      <c r="K24" s="17">
        <v>26</v>
      </c>
      <c r="L24" s="17">
        <v>8</v>
      </c>
      <c r="M24" s="17">
        <v>192</v>
      </c>
      <c r="N24" s="17">
        <v>4</v>
      </c>
      <c r="O24" s="17">
        <v>21</v>
      </c>
      <c r="P24" s="17">
        <v>11.9</v>
      </c>
      <c r="Q24" s="17">
        <v>22.7</v>
      </c>
      <c r="R24" s="17">
        <v>16.3</v>
      </c>
      <c r="S24" s="17">
        <v>12.1</v>
      </c>
      <c r="T24" s="17">
        <v>28.4</v>
      </c>
      <c r="U24" s="17">
        <v>3.2</v>
      </c>
      <c r="V24" s="17">
        <v>31.2</v>
      </c>
      <c r="W24" s="17">
        <v>10.6</v>
      </c>
      <c r="X24" s="17">
        <v>20.9</v>
      </c>
      <c r="Y24" s="17">
        <v>15.5</v>
      </c>
      <c r="Z24" s="17">
        <v>11.1</v>
      </c>
      <c r="AA24" s="17">
        <v>26.7</v>
      </c>
      <c r="AB24" s="17">
        <v>2.8</v>
      </c>
      <c r="AC24" s="17">
        <v>28.4</v>
      </c>
      <c r="AD24" s="17">
        <v>623</v>
      </c>
      <c r="AE24" s="17">
        <v>0.3</v>
      </c>
      <c r="AF24" s="17">
        <v>6.4</v>
      </c>
      <c r="AG24" s="17">
        <v>1.6</v>
      </c>
      <c r="AH24" s="17">
        <v>5.5</v>
      </c>
      <c r="AI24" s="17">
        <v>0.8</v>
      </c>
      <c r="AJ24" s="17">
        <v>11</v>
      </c>
      <c r="AK24" s="17">
        <v>0.09</v>
      </c>
      <c r="AL24" s="17">
        <v>11</v>
      </c>
      <c r="AM24" s="17">
        <v>39</v>
      </c>
      <c r="AN24" s="17">
        <v>19</v>
      </c>
      <c r="AO24" s="17">
        <v>19</v>
      </c>
    </row>
    <row r="25" spans="1:41" x14ac:dyDescent="0.25">
      <c r="A25" t="s">
        <v>52</v>
      </c>
      <c r="B25" s="12">
        <v>23</v>
      </c>
      <c r="C25" s="13" t="s">
        <v>82</v>
      </c>
      <c r="D25" s="14">
        <v>76</v>
      </c>
      <c r="E25" s="14">
        <v>8.6999999999999993</v>
      </c>
      <c r="F25" s="14">
        <v>9</v>
      </c>
      <c r="G25" s="14">
        <v>12.9</v>
      </c>
      <c r="H25" s="14">
        <v>145</v>
      </c>
      <c r="I25" s="14">
        <v>2</v>
      </c>
      <c r="J25" s="14">
        <v>0</v>
      </c>
      <c r="K25" s="14">
        <v>0</v>
      </c>
      <c r="L25" s="14">
        <v>0</v>
      </c>
      <c r="M25" s="14">
        <v>0</v>
      </c>
      <c r="N25" s="14">
        <v>616</v>
      </c>
      <c r="O25" s="14">
        <v>129</v>
      </c>
      <c r="P25" s="14">
        <v>2.1</v>
      </c>
      <c r="Q25" s="14">
        <v>0.9</v>
      </c>
      <c r="R25" s="14">
        <v>0.3</v>
      </c>
      <c r="S25" s="14">
        <v>0.9</v>
      </c>
      <c r="T25" s="14">
        <v>1.2</v>
      </c>
      <c r="U25" s="14">
        <v>1.1000000000000001</v>
      </c>
      <c r="V25" s="14">
        <v>2.5</v>
      </c>
      <c r="W25" s="14">
        <v>1.6</v>
      </c>
      <c r="X25" s="14">
        <v>0.7</v>
      </c>
      <c r="Y25" s="14">
        <v>0.3</v>
      </c>
      <c r="Z25" s="14">
        <v>0.7</v>
      </c>
      <c r="AA25" s="14">
        <v>0.9</v>
      </c>
      <c r="AB25" s="14">
        <v>0.8</v>
      </c>
      <c r="AC25" s="14">
        <v>1.9</v>
      </c>
      <c r="AD25" s="14">
        <v>75</v>
      </c>
      <c r="AE25" s="14">
        <v>5.4</v>
      </c>
      <c r="AF25" s="14">
        <v>0.4</v>
      </c>
      <c r="AG25" s="14">
        <v>0.3</v>
      </c>
      <c r="AH25" s="14">
        <v>28</v>
      </c>
      <c r="AI25" s="14">
        <v>4.0999999999999996</v>
      </c>
      <c r="AJ25" s="14">
        <v>17</v>
      </c>
      <c r="AK25" s="14">
        <v>0.1</v>
      </c>
      <c r="AL25" s="14">
        <v>4.0999999999999996</v>
      </c>
      <c r="AM25" s="14">
        <v>16</v>
      </c>
      <c r="AN25" s="14">
        <v>20</v>
      </c>
      <c r="AO25" s="14">
        <v>20</v>
      </c>
    </row>
    <row r="26" spans="1:41" x14ac:dyDescent="0.25">
      <c r="B26" s="15">
        <v>24</v>
      </c>
      <c r="C26" s="16" t="s">
        <v>83</v>
      </c>
      <c r="D26" s="17">
        <v>74</v>
      </c>
      <c r="E26" s="17">
        <v>8.6999999999999993</v>
      </c>
      <c r="F26" s="17">
        <v>9</v>
      </c>
      <c r="G26" s="17">
        <v>12.9</v>
      </c>
      <c r="H26" s="17">
        <v>55</v>
      </c>
      <c r="I26" s="17">
        <v>15</v>
      </c>
      <c r="J26" s="17">
        <v>0</v>
      </c>
      <c r="K26" s="17">
        <v>0</v>
      </c>
      <c r="L26" s="17">
        <v>0</v>
      </c>
      <c r="M26" s="17">
        <v>0</v>
      </c>
      <c r="N26" s="17">
        <v>640</v>
      </c>
      <c r="O26" s="17">
        <v>140</v>
      </c>
      <c r="P26" s="17">
        <v>0.2</v>
      </c>
      <c r="Q26" s="17">
        <v>0.8</v>
      </c>
      <c r="R26" s="17">
        <v>0.2</v>
      </c>
      <c r="S26" s="17">
        <v>0.5</v>
      </c>
      <c r="T26" s="17">
        <v>0.7</v>
      </c>
      <c r="U26" s="17">
        <v>0.1</v>
      </c>
      <c r="V26" s="17">
        <v>1.7</v>
      </c>
      <c r="W26" s="17">
        <v>0.2</v>
      </c>
      <c r="X26" s="17">
        <v>0.6</v>
      </c>
      <c r="Y26" s="17">
        <v>0.2</v>
      </c>
      <c r="Z26" s="17">
        <v>0.4</v>
      </c>
      <c r="AA26" s="17">
        <v>0.6</v>
      </c>
      <c r="AB26" s="17">
        <v>0.1</v>
      </c>
      <c r="AC26" s="17">
        <v>1.3</v>
      </c>
      <c r="AD26" s="17">
        <v>25</v>
      </c>
      <c r="AE26" s="17">
        <v>5.4</v>
      </c>
      <c r="AF26" s="17">
        <v>0.7</v>
      </c>
      <c r="AG26" s="17">
        <v>4</v>
      </c>
      <c r="AH26" s="17">
        <v>49</v>
      </c>
      <c r="AI26" s="17">
        <v>2.2999999999999998</v>
      </c>
      <c r="AJ26" s="17">
        <v>13</v>
      </c>
      <c r="AK26" s="17">
        <v>0.4</v>
      </c>
      <c r="AL26" s="17">
        <v>4.5999999999999996</v>
      </c>
      <c r="AM26" s="17">
        <v>8</v>
      </c>
      <c r="AN26" s="17">
        <v>20</v>
      </c>
      <c r="AO26" s="17">
        <v>20</v>
      </c>
    </row>
    <row r="27" spans="1:41" x14ac:dyDescent="0.25">
      <c r="B27" s="12">
        <v>25</v>
      </c>
      <c r="C27" s="13" t="s">
        <v>84</v>
      </c>
      <c r="D27" s="14">
        <v>99.5</v>
      </c>
      <c r="E27" s="14">
        <v>17.399999999999999</v>
      </c>
      <c r="F27" s="14">
        <v>17.399999999999999</v>
      </c>
      <c r="G27" s="14">
        <v>10.9</v>
      </c>
      <c r="H27" s="14">
        <v>587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995</v>
      </c>
      <c r="S27" s="14">
        <v>0</v>
      </c>
      <c r="T27" s="14">
        <v>995</v>
      </c>
      <c r="U27" s="14">
        <v>0</v>
      </c>
      <c r="V27" s="14">
        <v>0</v>
      </c>
      <c r="W27" s="14">
        <v>0</v>
      </c>
      <c r="X27" s="14">
        <v>0</v>
      </c>
      <c r="Y27" s="14">
        <v>995</v>
      </c>
      <c r="Z27" s="14">
        <v>0</v>
      </c>
      <c r="AA27" s="14">
        <v>995</v>
      </c>
      <c r="AB27" s="14">
        <v>0</v>
      </c>
      <c r="AC27" s="14">
        <v>0</v>
      </c>
      <c r="AD27" s="14">
        <v>587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</row>
    <row r="28" spans="1:41" x14ac:dyDescent="0.25">
      <c r="B28" s="15">
        <v>26</v>
      </c>
      <c r="C28" s="16" t="s">
        <v>85</v>
      </c>
      <c r="D28" s="17">
        <v>88</v>
      </c>
      <c r="E28" s="17">
        <v>17.399999999999999</v>
      </c>
      <c r="F28" s="17">
        <v>17.399999999999999</v>
      </c>
      <c r="G28" s="17">
        <v>10.9</v>
      </c>
      <c r="H28" s="17">
        <v>587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870</v>
      </c>
      <c r="S28" s="17">
        <v>0</v>
      </c>
      <c r="T28" s="17">
        <v>870</v>
      </c>
      <c r="U28" s="17">
        <v>0</v>
      </c>
      <c r="V28" s="17">
        <v>0</v>
      </c>
      <c r="W28" s="17">
        <v>0</v>
      </c>
      <c r="X28" s="17">
        <v>0</v>
      </c>
      <c r="Y28" s="17">
        <v>653</v>
      </c>
      <c r="Z28" s="17">
        <v>0</v>
      </c>
      <c r="AA28" s="17">
        <v>653</v>
      </c>
      <c r="AB28" s="17">
        <v>0</v>
      </c>
      <c r="AC28" s="17">
        <v>0</v>
      </c>
      <c r="AD28" s="17">
        <v>587</v>
      </c>
      <c r="AE28" s="17">
        <v>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0</v>
      </c>
    </row>
    <row r="29" spans="1:41" x14ac:dyDescent="0.25">
      <c r="B29" s="12">
        <v>27</v>
      </c>
      <c r="C29" s="13" t="s">
        <v>86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1000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195</v>
      </c>
      <c r="AF29" s="14">
        <v>230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83</v>
      </c>
      <c r="AO29" s="14">
        <v>83</v>
      </c>
    </row>
    <row r="30" spans="1:41" x14ac:dyDescent="0.25">
      <c r="A30" t="s">
        <v>310</v>
      </c>
      <c r="B30" s="15">
        <v>28</v>
      </c>
      <c r="C30" s="16" t="s">
        <v>87</v>
      </c>
      <c r="D30" s="17">
        <v>100</v>
      </c>
      <c r="E30" s="17">
        <v>29.8</v>
      </c>
      <c r="F30" s="17">
        <v>29.8</v>
      </c>
      <c r="G30" s="17">
        <v>34</v>
      </c>
      <c r="H30" s="17">
        <v>0</v>
      </c>
      <c r="I30" s="17">
        <v>1000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0</v>
      </c>
      <c r="AC30" s="17">
        <v>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0</v>
      </c>
    </row>
    <row r="31" spans="1:41" x14ac:dyDescent="0.25">
      <c r="A31" t="s">
        <v>47</v>
      </c>
      <c r="B31" s="12">
        <v>29</v>
      </c>
      <c r="C31" s="13" t="s">
        <v>88</v>
      </c>
      <c r="D31" s="14">
        <v>91</v>
      </c>
      <c r="E31" s="14">
        <v>5.4</v>
      </c>
      <c r="F31" s="14">
        <v>6.2</v>
      </c>
      <c r="G31" s="14"/>
      <c r="H31" s="14">
        <v>163</v>
      </c>
      <c r="I31" s="14">
        <v>94</v>
      </c>
      <c r="J31" s="14">
        <v>62</v>
      </c>
      <c r="K31" s="14">
        <v>726</v>
      </c>
      <c r="L31" s="14">
        <v>445</v>
      </c>
      <c r="M31" s="14">
        <v>0</v>
      </c>
      <c r="N31" s="14">
        <v>22</v>
      </c>
      <c r="O31" s="14">
        <v>46</v>
      </c>
      <c r="P31" s="14">
        <v>4.5</v>
      </c>
      <c r="Q31" s="14">
        <v>4.9000000000000004</v>
      </c>
      <c r="R31" s="14">
        <v>2.9</v>
      </c>
      <c r="S31" s="14">
        <v>1.8</v>
      </c>
      <c r="T31" s="14">
        <v>4.7</v>
      </c>
      <c r="U31" s="14">
        <v>1.1000000000000001</v>
      </c>
      <c r="V31" s="14">
        <v>8.1</v>
      </c>
      <c r="W31" s="14">
        <v>1.7</v>
      </c>
      <c r="X31" s="14">
        <v>2.5</v>
      </c>
      <c r="Y31" s="14">
        <v>2</v>
      </c>
      <c r="Z31" s="14">
        <v>0.8</v>
      </c>
      <c r="AA31" s="14">
        <v>2.8</v>
      </c>
      <c r="AB31" s="14">
        <v>0.6</v>
      </c>
      <c r="AC31" s="14">
        <v>5.3</v>
      </c>
      <c r="AD31" s="14">
        <v>88</v>
      </c>
      <c r="AE31" s="14">
        <v>4.2</v>
      </c>
      <c r="AF31" s="14">
        <v>6.4</v>
      </c>
      <c r="AG31" s="14">
        <v>3.3</v>
      </c>
      <c r="AH31" s="14">
        <v>7.5</v>
      </c>
      <c r="AI31" s="14">
        <v>0.1</v>
      </c>
      <c r="AJ31" s="14">
        <v>260</v>
      </c>
      <c r="AK31" s="14"/>
      <c r="AL31" s="14">
        <v>25</v>
      </c>
      <c r="AM31" s="14">
        <v>47</v>
      </c>
      <c r="AN31" s="14">
        <v>31</v>
      </c>
      <c r="AO31" s="14">
        <v>31</v>
      </c>
    </row>
    <row r="32" spans="1:41" x14ac:dyDescent="0.25">
      <c r="B32" s="15">
        <v>30</v>
      </c>
      <c r="C32" s="16" t="s">
        <v>89</v>
      </c>
      <c r="D32" s="17">
        <v>16.5</v>
      </c>
      <c r="E32" s="17">
        <v>11.9</v>
      </c>
      <c r="F32" s="17">
        <v>11.7</v>
      </c>
      <c r="G32" s="17">
        <v>14.1</v>
      </c>
      <c r="H32" s="17">
        <v>29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880</v>
      </c>
      <c r="O32" s="17">
        <v>90</v>
      </c>
      <c r="P32" s="17">
        <v>2.1</v>
      </c>
      <c r="Q32" s="17">
        <v>1.7</v>
      </c>
      <c r="R32" s="17">
        <v>0.5</v>
      </c>
      <c r="S32" s="17">
        <v>0.5</v>
      </c>
      <c r="T32" s="17">
        <v>1</v>
      </c>
      <c r="U32" s="17">
        <v>0.4</v>
      </c>
      <c r="V32" s="17">
        <v>1.5</v>
      </c>
      <c r="W32" s="17">
        <v>1.9</v>
      </c>
      <c r="X32" s="17">
        <v>1.4</v>
      </c>
      <c r="Y32" s="17">
        <v>0.4</v>
      </c>
      <c r="Z32" s="17">
        <v>0.4</v>
      </c>
      <c r="AA32" s="17">
        <v>0.9</v>
      </c>
      <c r="AB32" s="17">
        <v>0.3</v>
      </c>
      <c r="AC32" s="17">
        <v>1.3</v>
      </c>
      <c r="AD32" s="17">
        <v>23</v>
      </c>
      <c r="AE32" s="17">
        <v>7</v>
      </c>
      <c r="AF32" s="17">
        <v>7</v>
      </c>
      <c r="AG32" s="17">
        <v>1</v>
      </c>
      <c r="AH32" s="17">
        <v>25</v>
      </c>
      <c r="AI32" s="17">
        <v>9</v>
      </c>
      <c r="AJ32" s="17"/>
      <c r="AK32" s="17"/>
      <c r="AL32" s="17"/>
      <c r="AM32" s="17"/>
      <c r="AN32" s="17">
        <v>90</v>
      </c>
      <c r="AO32" s="17">
        <v>90</v>
      </c>
    </row>
    <row r="33" spans="1:41" x14ac:dyDescent="0.25">
      <c r="A33" t="s">
        <v>56</v>
      </c>
      <c r="B33" s="12">
        <v>31</v>
      </c>
      <c r="C33" s="13" t="s">
        <v>90</v>
      </c>
      <c r="D33" s="14">
        <v>92</v>
      </c>
      <c r="E33" s="14">
        <v>11.1</v>
      </c>
      <c r="F33" s="14">
        <v>11.3</v>
      </c>
      <c r="G33" s="14">
        <v>17.100000000000001</v>
      </c>
      <c r="H33" s="14">
        <v>841</v>
      </c>
      <c r="I33" s="14">
        <v>10</v>
      </c>
      <c r="J33" s="14">
        <v>9</v>
      </c>
      <c r="K33" s="14">
        <v>65</v>
      </c>
      <c r="L33" s="14">
        <v>19</v>
      </c>
      <c r="M33" s="14">
        <v>7</v>
      </c>
      <c r="N33" s="14">
        <v>10</v>
      </c>
      <c r="O33" s="14">
        <v>28</v>
      </c>
      <c r="P33" s="14">
        <v>63.8</v>
      </c>
      <c r="Q33" s="14">
        <v>46.7</v>
      </c>
      <c r="R33" s="14">
        <v>18.8</v>
      </c>
      <c r="S33" s="14">
        <v>11.2</v>
      </c>
      <c r="T33" s="14">
        <v>30</v>
      </c>
      <c r="U33" s="14">
        <v>10.3</v>
      </c>
      <c r="V33" s="14">
        <v>55.5</v>
      </c>
      <c r="W33" s="14">
        <v>56.8</v>
      </c>
      <c r="X33" s="14">
        <v>42</v>
      </c>
      <c r="Y33" s="14">
        <v>17.100000000000001</v>
      </c>
      <c r="Z33" s="14">
        <v>8.6999999999999993</v>
      </c>
      <c r="AA33" s="14">
        <v>25.8</v>
      </c>
      <c r="AB33" s="14">
        <v>7.7</v>
      </c>
      <c r="AC33" s="14">
        <v>49.4</v>
      </c>
      <c r="AD33" s="14">
        <v>732</v>
      </c>
      <c r="AE33" s="14">
        <v>0.5</v>
      </c>
      <c r="AF33" s="14">
        <v>4.3</v>
      </c>
      <c r="AG33" s="14">
        <v>0.5</v>
      </c>
      <c r="AH33" s="14">
        <v>7.4</v>
      </c>
      <c r="AI33" s="14">
        <v>0.3</v>
      </c>
      <c r="AJ33" s="14">
        <v>4</v>
      </c>
      <c r="AK33" s="14"/>
      <c r="AL33" s="14">
        <v>11</v>
      </c>
      <c r="AM33" s="14">
        <v>21</v>
      </c>
      <c r="AN33" s="14">
        <v>20</v>
      </c>
      <c r="AO33" s="14">
        <v>20</v>
      </c>
    </row>
    <row r="34" spans="1:41" x14ac:dyDescent="0.25">
      <c r="B34" s="15">
        <v>32</v>
      </c>
      <c r="C34" s="16" t="s">
        <v>91</v>
      </c>
      <c r="D34" s="17">
        <v>18</v>
      </c>
      <c r="E34" s="17">
        <v>10.5</v>
      </c>
      <c r="F34" s="17">
        <v>10.8</v>
      </c>
      <c r="G34" s="17">
        <v>14.4</v>
      </c>
      <c r="H34" s="17">
        <v>127</v>
      </c>
      <c r="I34" s="17">
        <v>13</v>
      </c>
      <c r="J34" s="17">
        <v>47</v>
      </c>
      <c r="K34" s="17">
        <v>116</v>
      </c>
      <c r="L34" s="17">
        <v>60</v>
      </c>
      <c r="M34" s="17">
        <v>470</v>
      </c>
      <c r="N34" s="17">
        <v>21</v>
      </c>
      <c r="O34" s="17">
        <v>71</v>
      </c>
      <c r="P34" s="17">
        <v>6.6</v>
      </c>
      <c r="Q34" s="17">
        <v>5.0999999999999996</v>
      </c>
      <c r="R34" s="17">
        <v>2</v>
      </c>
      <c r="S34" s="17">
        <v>1.7</v>
      </c>
      <c r="T34" s="17">
        <v>3.7</v>
      </c>
      <c r="U34" s="17">
        <v>1.2</v>
      </c>
      <c r="V34" s="17">
        <v>6.6</v>
      </c>
      <c r="W34" s="17">
        <v>5.0999999999999996</v>
      </c>
      <c r="X34" s="17">
        <v>3.9</v>
      </c>
      <c r="Y34" s="17">
        <v>1.7</v>
      </c>
      <c r="Z34" s="17">
        <v>1.2</v>
      </c>
      <c r="AA34" s="17">
        <v>2.9</v>
      </c>
      <c r="AB34" s="17">
        <v>0.9</v>
      </c>
      <c r="AC34" s="17">
        <v>5.0999999999999996</v>
      </c>
      <c r="AD34" s="17">
        <v>96</v>
      </c>
      <c r="AE34" s="17">
        <v>1.9</v>
      </c>
      <c r="AF34" s="17">
        <v>2.2999999999999998</v>
      </c>
      <c r="AG34" s="17"/>
      <c r="AH34" s="17"/>
      <c r="AI34" s="17"/>
      <c r="AJ34" s="17"/>
      <c r="AK34" s="17"/>
      <c r="AL34" s="17"/>
      <c r="AM34" s="17"/>
      <c r="AN34" s="17">
        <v>20</v>
      </c>
      <c r="AO34" s="17">
        <v>20</v>
      </c>
    </row>
    <row r="35" spans="1:41" x14ac:dyDescent="0.25">
      <c r="A35" t="s">
        <v>35</v>
      </c>
      <c r="B35" s="12">
        <v>33</v>
      </c>
      <c r="C35" s="13" t="s">
        <v>92</v>
      </c>
      <c r="D35" s="14">
        <v>92</v>
      </c>
      <c r="E35" s="14">
        <v>18</v>
      </c>
      <c r="F35" s="14">
        <v>18.5</v>
      </c>
      <c r="G35" s="14">
        <v>22.1</v>
      </c>
      <c r="H35" s="14">
        <v>207</v>
      </c>
      <c r="I35" s="14">
        <v>455</v>
      </c>
      <c r="J35" s="14">
        <v>89</v>
      </c>
      <c r="K35" s="14">
        <v>190</v>
      </c>
      <c r="L35" s="14">
        <v>134</v>
      </c>
      <c r="M35" s="14">
        <v>0</v>
      </c>
      <c r="N35" s="14">
        <v>55</v>
      </c>
      <c r="O35" s="14">
        <v>43</v>
      </c>
      <c r="P35" s="14">
        <v>12.9</v>
      </c>
      <c r="Q35" s="14">
        <v>9.9</v>
      </c>
      <c r="R35" s="14">
        <v>4.5</v>
      </c>
      <c r="S35" s="14">
        <v>5.0999999999999996</v>
      </c>
      <c r="T35" s="14">
        <v>9.6</v>
      </c>
      <c r="U35" s="14">
        <v>2.7</v>
      </c>
      <c r="V35" s="14">
        <v>10.8</v>
      </c>
      <c r="W35" s="14">
        <v>10.1</v>
      </c>
      <c r="X35" s="14">
        <v>7</v>
      </c>
      <c r="Y35" s="14">
        <v>3.6</v>
      </c>
      <c r="Z35" s="14">
        <v>4.0999999999999996</v>
      </c>
      <c r="AA35" s="14">
        <v>7.7</v>
      </c>
      <c r="AB35" s="14">
        <v>2</v>
      </c>
      <c r="AC35" s="14">
        <v>7.6</v>
      </c>
      <c r="AD35" s="14">
        <v>149</v>
      </c>
      <c r="AE35" s="14">
        <v>5.8</v>
      </c>
      <c r="AF35" s="14">
        <v>7.6</v>
      </c>
      <c r="AG35" s="14">
        <v>3.5</v>
      </c>
      <c r="AH35" s="14">
        <v>10</v>
      </c>
      <c r="AI35" s="14">
        <v>0.2</v>
      </c>
      <c r="AJ35" s="14">
        <v>42</v>
      </c>
      <c r="AK35" s="14"/>
      <c r="AL35" s="14">
        <v>4.0999999999999996</v>
      </c>
      <c r="AM35" s="14">
        <v>42</v>
      </c>
      <c r="AN35" s="14">
        <v>30</v>
      </c>
      <c r="AO35" s="14">
        <v>30</v>
      </c>
    </row>
    <row r="36" spans="1:41" x14ac:dyDescent="0.25">
      <c r="B36" s="15">
        <v>34</v>
      </c>
      <c r="C36" s="16" t="s">
        <v>93</v>
      </c>
      <c r="D36" s="17">
        <v>89</v>
      </c>
      <c r="E36" s="17">
        <v>9.6999999999999993</v>
      </c>
      <c r="F36" s="17">
        <v>10.199999999999999</v>
      </c>
      <c r="G36" s="17">
        <v>14.3</v>
      </c>
      <c r="H36" s="17">
        <v>331</v>
      </c>
      <c r="I36" s="17">
        <v>164</v>
      </c>
      <c r="J36" s="17">
        <v>122</v>
      </c>
      <c r="K36" s="17">
        <v>275</v>
      </c>
      <c r="L36" s="17">
        <v>192</v>
      </c>
      <c r="M36" s="17">
        <v>0</v>
      </c>
      <c r="N36" s="17">
        <v>77</v>
      </c>
      <c r="O36" s="17">
        <v>68</v>
      </c>
      <c r="P36" s="17">
        <v>17.7</v>
      </c>
      <c r="Q36" s="17">
        <v>14.2</v>
      </c>
      <c r="R36" s="17">
        <v>6.8</v>
      </c>
      <c r="S36" s="17">
        <v>8</v>
      </c>
      <c r="T36" s="17">
        <v>14.8</v>
      </c>
      <c r="U36" s="17">
        <v>4</v>
      </c>
      <c r="V36" s="17">
        <v>16.7</v>
      </c>
      <c r="W36" s="17">
        <v>13.3</v>
      </c>
      <c r="X36" s="17">
        <v>10.7</v>
      </c>
      <c r="Y36" s="17">
        <v>5.9</v>
      </c>
      <c r="Z36" s="17">
        <v>6.5</v>
      </c>
      <c r="AA36" s="17">
        <v>12.4</v>
      </c>
      <c r="AB36" s="17">
        <v>3.2</v>
      </c>
      <c r="AC36" s="17">
        <v>12.9</v>
      </c>
      <c r="AD36" s="17">
        <v>258</v>
      </c>
      <c r="AE36" s="17">
        <v>8.1</v>
      </c>
      <c r="AF36" s="17">
        <v>12</v>
      </c>
      <c r="AG36" s="17">
        <v>4.7</v>
      </c>
      <c r="AH36" s="17">
        <v>13.5</v>
      </c>
      <c r="AI36" s="17">
        <v>0.1</v>
      </c>
      <c r="AJ36" s="17">
        <v>61</v>
      </c>
      <c r="AK36" s="17"/>
      <c r="AL36" s="17">
        <v>7.3</v>
      </c>
      <c r="AM36" s="17">
        <v>59</v>
      </c>
      <c r="AN36" s="17">
        <v>32</v>
      </c>
      <c r="AO36" s="17">
        <v>32</v>
      </c>
    </row>
    <row r="37" spans="1:41" x14ac:dyDescent="0.25">
      <c r="B37" s="12">
        <v>35</v>
      </c>
      <c r="C37" s="13" t="s">
        <v>94</v>
      </c>
      <c r="D37" s="14">
        <v>89</v>
      </c>
      <c r="E37" s="14">
        <v>10.5</v>
      </c>
      <c r="F37" s="14">
        <v>11</v>
      </c>
      <c r="G37" s="14">
        <v>15.1</v>
      </c>
      <c r="H37" s="14">
        <v>276</v>
      </c>
      <c r="I37" s="14">
        <v>200</v>
      </c>
      <c r="J37" s="14">
        <v>62</v>
      </c>
      <c r="K37" s="14">
        <v>254</v>
      </c>
      <c r="L37" s="14">
        <v>180</v>
      </c>
      <c r="M37" s="14">
        <v>0</v>
      </c>
      <c r="N37" s="14">
        <v>74</v>
      </c>
      <c r="O37" s="14">
        <v>58</v>
      </c>
      <c r="P37" s="14">
        <v>14.8</v>
      </c>
      <c r="Q37" s="14">
        <v>11.8</v>
      </c>
      <c r="R37" s="14">
        <v>5.7</v>
      </c>
      <c r="S37" s="14">
        <v>6.7</v>
      </c>
      <c r="T37" s="14">
        <v>12.4</v>
      </c>
      <c r="U37" s="14">
        <v>3.3</v>
      </c>
      <c r="V37" s="14">
        <v>14</v>
      </c>
      <c r="W37" s="14">
        <v>11.1</v>
      </c>
      <c r="X37" s="14">
        <v>8.9</v>
      </c>
      <c r="Y37" s="14">
        <v>4.9000000000000004</v>
      </c>
      <c r="Z37" s="14">
        <v>5.4</v>
      </c>
      <c r="AA37" s="14">
        <v>10.4</v>
      </c>
      <c r="AB37" s="14">
        <v>2.7</v>
      </c>
      <c r="AC37" s="14">
        <v>10.7</v>
      </c>
      <c r="AD37" s="14">
        <v>215</v>
      </c>
      <c r="AE37" s="14">
        <v>7.8</v>
      </c>
      <c r="AF37" s="14">
        <v>11.5</v>
      </c>
      <c r="AG37" s="14">
        <v>4.5</v>
      </c>
      <c r="AH37" s="14">
        <v>13</v>
      </c>
      <c r="AI37" s="14">
        <v>0.1</v>
      </c>
      <c r="AJ37" s="14">
        <v>59</v>
      </c>
      <c r="AK37" s="14">
        <v>0.11</v>
      </c>
      <c r="AL37" s="14">
        <v>7</v>
      </c>
      <c r="AM37" s="14">
        <v>53</v>
      </c>
      <c r="AN37" s="14">
        <v>32</v>
      </c>
      <c r="AO37" s="14">
        <v>32</v>
      </c>
    </row>
    <row r="38" spans="1:41" x14ac:dyDescent="0.25">
      <c r="A38" t="s">
        <v>36</v>
      </c>
      <c r="B38" s="15">
        <v>36</v>
      </c>
      <c r="C38" s="16" t="s">
        <v>95</v>
      </c>
      <c r="D38" s="17">
        <v>89</v>
      </c>
      <c r="E38" s="17">
        <v>7.1</v>
      </c>
      <c r="F38" s="17">
        <v>7.7</v>
      </c>
      <c r="G38" s="17">
        <v>11.5</v>
      </c>
      <c r="H38" s="17">
        <v>380</v>
      </c>
      <c r="I38" s="17">
        <v>26</v>
      </c>
      <c r="J38" s="17">
        <v>139</v>
      </c>
      <c r="K38" s="17">
        <v>319</v>
      </c>
      <c r="L38" s="17">
        <v>221</v>
      </c>
      <c r="M38" s="17">
        <v>0</v>
      </c>
      <c r="N38" s="17">
        <v>87</v>
      </c>
      <c r="O38" s="17">
        <v>79</v>
      </c>
      <c r="P38" s="17">
        <v>20.3</v>
      </c>
      <c r="Q38" s="17">
        <v>16.3</v>
      </c>
      <c r="R38" s="17">
        <v>7.8</v>
      </c>
      <c r="S38" s="17">
        <v>9.1999999999999993</v>
      </c>
      <c r="T38" s="17">
        <v>17</v>
      </c>
      <c r="U38" s="17">
        <v>4.5999999999999996</v>
      </c>
      <c r="V38" s="17">
        <v>19.2</v>
      </c>
      <c r="W38" s="17">
        <v>15.2</v>
      </c>
      <c r="X38" s="17">
        <v>12.2</v>
      </c>
      <c r="Y38" s="17">
        <v>6.8</v>
      </c>
      <c r="Z38" s="17">
        <v>7.5</v>
      </c>
      <c r="AA38" s="17">
        <v>14.3</v>
      </c>
      <c r="AB38" s="17">
        <v>3.7</v>
      </c>
      <c r="AC38" s="17">
        <v>14.8</v>
      </c>
      <c r="AD38" s="17">
        <v>300</v>
      </c>
      <c r="AE38" s="17">
        <v>9.6</v>
      </c>
      <c r="AF38" s="17">
        <v>12.9</v>
      </c>
      <c r="AG38" s="17">
        <v>5.3</v>
      </c>
      <c r="AH38" s="17">
        <v>15</v>
      </c>
      <c r="AI38" s="17">
        <v>0.4</v>
      </c>
      <c r="AJ38" s="17">
        <v>76</v>
      </c>
      <c r="AK38" s="17">
        <v>0.09</v>
      </c>
      <c r="AL38" s="17">
        <v>6.4</v>
      </c>
      <c r="AM38" s="17">
        <v>73</v>
      </c>
      <c r="AN38" s="17">
        <v>32</v>
      </c>
      <c r="AO38" s="17">
        <v>32</v>
      </c>
    </row>
    <row r="39" spans="1:41" x14ac:dyDescent="0.25">
      <c r="B39" s="12">
        <v>37</v>
      </c>
      <c r="C39" s="13" t="s">
        <v>96</v>
      </c>
      <c r="D39" s="14">
        <v>87</v>
      </c>
      <c r="E39" s="14">
        <v>13.5</v>
      </c>
      <c r="F39" s="14">
        <v>13.5</v>
      </c>
      <c r="G39" s="14">
        <v>15.5</v>
      </c>
      <c r="H39" s="14">
        <v>88</v>
      </c>
      <c r="I39" s="14">
        <v>14</v>
      </c>
      <c r="J39" s="14">
        <v>12</v>
      </c>
      <c r="K39" s="14">
        <v>59</v>
      </c>
      <c r="L39" s="14">
        <v>15</v>
      </c>
      <c r="M39" s="14">
        <v>882</v>
      </c>
      <c r="N39" s="14">
        <v>5</v>
      </c>
      <c r="O39" s="14">
        <v>10</v>
      </c>
      <c r="P39" s="14">
        <v>3.2</v>
      </c>
      <c r="Q39" s="14">
        <v>3</v>
      </c>
      <c r="R39" s="14">
        <v>2.1</v>
      </c>
      <c r="S39" s="14">
        <v>2.1</v>
      </c>
      <c r="T39" s="14">
        <v>4.2</v>
      </c>
      <c r="U39" s="14">
        <v>1</v>
      </c>
      <c r="V39" s="14">
        <v>5.2</v>
      </c>
      <c r="W39" s="14">
        <v>2.5</v>
      </c>
      <c r="X39" s="14">
        <v>2.2999999999999998</v>
      </c>
      <c r="Y39" s="14">
        <v>1.8</v>
      </c>
      <c r="Z39" s="14">
        <v>1.5</v>
      </c>
      <c r="AA39" s="14">
        <v>3.3</v>
      </c>
      <c r="AB39" s="14">
        <v>0.8</v>
      </c>
      <c r="AC39" s="14">
        <v>4</v>
      </c>
      <c r="AD39" s="14">
        <v>79</v>
      </c>
      <c r="AE39" s="14">
        <v>0.5</v>
      </c>
      <c r="AF39" s="14">
        <v>2.2999999999999998</v>
      </c>
      <c r="AG39" s="14">
        <v>1.5</v>
      </c>
      <c r="AH39" s="14">
        <v>2.5</v>
      </c>
      <c r="AI39" s="14">
        <v>0.4</v>
      </c>
      <c r="AJ39" s="14">
        <v>13</v>
      </c>
      <c r="AK39" s="14">
        <v>0.3</v>
      </c>
      <c r="AL39" s="14">
        <v>24</v>
      </c>
      <c r="AM39" s="14">
        <v>19</v>
      </c>
      <c r="AN39" s="14">
        <v>20</v>
      </c>
      <c r="AO39" s="14">
        <v>20</v>
      </c>
    </row>
    <row r="40" spans="1:41" x14ac:dyDescent="0.25">
      <c r="A40" t="s">
        <v>313</v>
      </c>
      <c r="B40" s="15">
        <v>38</v>
      </c>
      <c r="C40" s="16" t="s">
        <v>97</v>
      </c>
      <c r="D40" s="17">
        <v>87</v>
      </c>
      <c r="E40" s="17">
        <v>11.3</v>
      </c>
      <c r="F40" s="17">
        <v>11.5</v>
      </c>
      <c r="G40" s="17">
        <v>14.8</v>
      </c>
      <c r="H40" s="17">
        <v>103</v>
      </c>
      <c r="I40" s="17">
        <v>14</v>
      </c>
      <c r="J40" s="17">
        <v>22</v>
      </c>
      <c r="K40" s="17">
        <v>161</v>
      </c>
      <c r="L40" s="17">
        <v>36</v>
      </c>
      <c r="M40" s="17">
        <v>616</v>
      </c>
      <c r="N40" s="17">
        <v>36</v>
      </c>
      <c r="O40" s="17">
        <v>21</v>
      </c>
      <c r="P40" s="17">
        <v>4</v>
      </c>
      <c r="Q40" s="17">
        <v>3.5</v>
      </c>
      <c r="R40" s="17">
        <v>1.6</v>
      </c>
      <c r="S40" s="17">
        <v>2.2999999999999998</v>
      </c>
      <c r="T40" s="17">
        <v>4</v>
      </c>
      <c r="U40" s="17">
        <v>1</v>
      </c>
      <c r="V40" s="17">
        <v>5</v>
      </c>
      <c r="W40" s="17">
        <v>2.9</v>
      </c>
      <c r="X40" s="17">
        <v>2.5</v>
      </c>
      <c r="Y40" s="17">
        <v>1.3</v>
      </c>
      <c r="Z40" s="17">
        <v>1.9</v>
      </c>
      <c r="AA40" s="17">
        <v>3.3</v>
      </c>
      <c r="AB40" s="17">
        <v>0.8</v>
      </c>
      <c r="AC40" s="17">
        <v>3.8</v>
      </c>
      <c r="AD40" s="17">
        <v>79</v>
      </c>
      <c r="AE40" s="17">
        <v>0.5</v>
      </c>
      <c r="AF40" s="17">
        <v>3.2</v>
      </c>
      <c r="AG40" s="17">
        <v>1.1000000000000001</v>
      </c>
      <c r="AH40" s="17">
        <v>5.6</v>
      </c>
      <c r="AI40" s="17">
        <v>0.4</v>
      </c>
      <c r="AJ40" s="17">
        <v>28</v>
      </c>
      <c r="AK40" s="17">
        <v>0.03</v>
      </c>
      <c r="AL40" s="17">
        <v>3.5</v>
      </c>
      <c r="AM40" s="17">
        <v>34</v>
      </c>
      <c r="AN40" s="17">
        <v>30</v>
      </c>
      <c r="AO40" s="17">
        <v>50</v>
      </c>
    </row>
    <row r="41" spans="1:41" x14ac:dyDescent="0.25">
      <c r="A41" t="s">
        <v>39</v>
      </c>
      <c r="B41" s="12">
        <v>39</v>
      </c>
      <c r="C41" s="13" t="s">
        <v>98</v>
      </c>
      <c r="D41" s="14">
        <v>87</v>
      </c>
      <c r="E41" s="14">
        <v>11.9</v>
      </c>
      <c r="F41" s="14">
        <v>12</v>
      </c>
      <c r="G41" s="14">
        <v>14.9</v>
      </c>
      <c r="H41" s="14">
        <v>110</v>
      </c>
      <c r="I41" s="14">
        <v>15</v>
      </c>
      <c r="J41" s="14">
        <v>27</v>
      </c>
      <c r="K41" s="14">
        <v>146</v>
      </c>
      <c r="L41" s="14">
        <v>37</v>
      </c>
      <c r="M41" s="14">
        <v>686</v>
      </c>
      <c r="N41" s="14">
        <v>31</v>
      </c>
      <c r="O41" s="14">
        <v>22</v>
      </c>
      <c r="P41" s="14">
        <v>4.5</v>
      </c>
      <c r="Q41" s="14">
        <v>3.7</v>
      </c>
      <c r="R41" s="14">
        <v>2</v>
      </c>
      <c r="S41" s="14">
        <v>2.9</v>
      </c>
      <c r="T41" s="14">
        <v>4.9000000000000004</v>
      </c>
      <c r="U41" s="14">
        <v>1.4</v>
      </c>
      <c r="V41" s="14">
        <v>5.4</v>
      </c>
      <c r="W41" s="14">
        <v>3.7</v>
      </c>
      <c r="X41" s="14">
        <v>3</v>
      </c>
      <c r="Y41" s="14">
        <v>1.8</v>
      </c>
      <c r="Z41" s="14">
        <v>2.6</v>
      </c>
      <c r="AA41" s="14">
        <v>4.5</v>
      </c>
      <c r="AB41" s="14">
        <v>1.2</v>
      </c>
      <c r="AC41" s="14">
        <v>4.5999999999999996</v>
      </c>
      <c r="AD41" s="14">
        <v>96</v>
      </c>
      <c r="AE41" s="14">
        <v>0.5</v>
      </c>
      <c r="AF41" s="14">
        <v>3.6</v>
      </c>
      <c r="AG41" s="14">
        <v>1.2</v>
      </c>
      <c r="AH41" s="14">
        <v>6.2</v>
      </c>
      <c r="AI41" s="14">
        <v>0.3</v>
      </c>
      <c r="AJ41" s="14">
        <v>28</v>
      </c>
      <c r="AK41" s="14"/>
      <c r="AL41" s="14">
        <v>4</v>
      </c>
      <c r="AM41" s="14">
        <v>37</v>
      </c>
      <c r="AN41" s="14">
        <v>30</v>
      </c>
      <c r="AO41" s="14">
        <v>48</v>
      </c>
    </row>
    <row r="42" spans="1:41" x14ac:dyDescent="0.25">
      <c r="B42" s="15">
        <v>40</v>
      </c>
      <c r="C42" s="16" t="s">
        <v>99</v>
      </c>
      <c r="D42" s="17">
        <v>100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1000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7">
        <v>0</v>
      </c>
      <c r="AI42" s="17">
        <v>393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0</v>
      </c>
    </row>
    <row r="43" spans="1:41" x14ac:dyDescent="0.25">
      <c r="B43" s="12">
        <v>41</v>
      </c>
      <c r="C43" s="13" t="s">
        <v>100</v>
      </c>
      <c r="D43" s="14">
        <v>95</v>
      </c>
      <c r="E43" s="14">
        <v>12</v>
      </c>
      <c r="F43" s="14">
        <v>11.9</v>
      </c>
      <c r="G43" s="14">
        <v>16</v>
      </c>
      <c r="H43" s="14">
        <v>360</v>
      </c>
      <c r="I43" s="14">
        <v>17</v>
      </c>
      <c r="J43" s="14">
        <v>0</v>
      </c>
      <c r="K43" s="14">
        <v>0</v>
      </c>
      <c r="L43" s="14">
        <v>0</v>
      </c>
      <c r="M43" s="14">
        <v>0</v>
      </c>
      <c r="N43" s="14">
        <v>505</v>
      </c>
      <c r="O43" s="14">
        <v>86</v>
      </c>
      <c r="P43" s="14">
        <v>28.3</v>
      </c>
      <c r="Q43" s="14">
        <v>15.7</v>
      </c>
      <c r="R43" s="14">
        <v>10.199999999999999</v>
      </c>
      <c r="S43" s="14">
        <v>2.8</v>
      </c>
      <c r="T43" s="14">
        <v>13.1</v>
      </c>
      <c r="U43" s="14">
        <v>4.7</v>
      </c>
      <c r="V43" s="14">
        <v>22.2</v>
      </c>
      <c r="W43" s="14">
        <v>27.5</v>
      </c>
      <c r="X43" s="14">
        <v>14.3</v>
      </c>
      <c r="Y43" s="14">
        <v>9.9</v>
      </c>
      <c r="Z43" s="14">
        <v>2.4</v>
      </c>
      <c r="AA43" s="14">
        <v>12.3</v>
      </c>
      <c r="AB43" s="14">
        <v>3.6</v>
      </c>
      <c r="AC43" s="14">
        <v>19.8</v>
      </c>
      <c r="AD43" s="14">
        <v>320</v>
      </c>
      <c r="AE43" s="14">
        <v>13.7</v>
      </c>
      <c r="AF43" s="14">
        <v>10.199999999999999</v>
      </c>
      <c r="AG43" s="14">
        <v>1.2</v>
      </c>
      <c r="AH43" s="14">
        <v>14</v>
      </c>
      <c r="AI43" s="14">
        <v>5.6</v>
      </c>
      <c r="AJ43" s="14">
        <v>2</v>
      </c>
      <c r="AK43" s="14">
        <v>0.1</v>
      </c>
      <c r="AL43" s="14">
        <v>3</v>
      </c>
      <c r="AM43" s="14">
        <v>44</v>
      </c>
      <c r="AN43" s="14">
        <v>90</v>
      </c>
      <c r="AO43" s="14">
        <v>90</v>
      </c>
    </row>
    <row r="44" spans="1:41" x14ac:dyDescent="0.25">
      <c r="B44" s="15">
        <v>42</v>
      </c>
      <c r="C44" s="16" t="s">
        <v>101</v>
      </c>
      <c r="D44" s="17">
        <v>88</v>
      </c>
      <c r="E44" s="17">
        <v>9.1999999999999993</v>
      </c>
      <c r="F44" s="17">
        <v>9.9</v>
      </c>
      <c r="G44" s="17">
        <v>14.5</v>
      </c>
      <c r="H44" s="17">
        <v>494</v>
      </c>
      <c r="I44" s="17">
        <v>19</v>
      </c>
      <c r="J44" s="17">
        <v>70</v>
      </c>
      <c r="K44" s="17">
        <v>142</v>
      </c>
      <c r="L44" s="17">
        <v>85</v>
      </c>
      <c r="M44" s="17">
        <v>0</v>
      </c>
      <c r="N44" s="17">
        <v>97</v>
      </c>
      <c r="O44" s="17">
        <v>74</v>
      </c>
      <c r="P44" s="17">
        <v>30.3</v>
      </c>
      <c r="Q44" s="17">
        <v>19.3</v>
      </c>
      <c r="R44" s="17">
        <v>7.1</v>
      </c>
      <c r="S44" s="17">
        <v>7.4</v>
      </c>
      <c r="T44" s="17">
        <v>14.4</v>
      </c>
      <c r="U44" s="17">
        <v>6.4</v>
      </c>
      <c r="V44" s="17">
        <v>23.8</v>
      </c>
      <c r="W44" s="17">
        <v>27.3</v>
      </c>
      <c r="X44" s="17">
        <v>16.600000000000001</v>
      </c>
      <c r="Y44" s="17">
        <v>6.5</v>
      </c>
      <c r="Z44" s="17">
        <v>6.4</v>
      </c>
      <c r="AA44" s="17">
        <v>12.8</v>
      </c>
      <c r="AB44" s="17">
        <v>5.7</v>
      </c>
      <c r="AC44" s="17">
        <v>20.9</v>
      </c>
      <c r="AD44" s="17">
        <v>430</v>
      </c>
      <c r="AE44" s="17">
        <v>3.9</v>
      </c>
      <c r="AF44" s="17">
        <v>7.1</v>
      </c>
      <c r="AG44" s="17">
        <v>3.3</v>
      </c>
      <c r="AH44" s="17">
        <v>24</v>
      </c>
      <c r="AI44" s="17">
        <v>0.05</v>
      </c>
      <c r="AJ44" s="17">
        <v>40</v>
      </c>
      <c r="AK44" s="17"/>
      <c r="AL44" s="17"/>
      <c r="AM44" s="17"/>
      <c r="AN44" s="17">
        <v>20</v>
      </c>
      <c r="AO44" s="17">
        <v>20</v>
      </c>
    </row>
    <row r="45" spans="1:41" x14ac:dyDescent="0.25">
      <c r="A45" t="s">
        <v>44</v>
      </c>
      <c r="B45" s="12">
        <v>43</v>
      </c>
      <c r="C45" s="13" t="s">
        <v>102</v>
      </c>
      <c r="D45" s="14">
        <v>88</v>
      </c>
      <c r="E45" s="14">
        <v>9.3000000000000007</v>
      </c>
      <c r="F45" s="14">
        <v>9.9</v>
      </c>
      <c r="G45" s="14">
        <v>14.6</v>
      </c>
      <c r="H45" s="14">
        <v>516</v>
      </c>
      <c r="I45" s="14">
        <v>21</v>
      </c>
      <c r="J45" s="14">
        <v>68</v>
      </c>
      <c r="K45" s="14">
        <v>139</v>
      </c>
      <c r="L45" s="14">
        <v>83</v>
      </c>
      <c r="M45" s="14">
        <v>0</v>
      </c>
      <c r="N45" s="14">
        <v>94</v>
      </c>
      <c r="O45" s="14">
        <v>73</v>
      </c>
      <c r="P45" s="14">
        <v>31.6</v>
      </c>
      <c r="Q45" s="14">
        <v>20.100000000000001</v>
      </c>
      <c r="R45" s="14">
        <v>7.3</v>
      </c>
      <c r="S45" s="14">
        <v>7.6</v>
      </c>
      <c r="T45" s="14">
        <v>14.9</v>
      </c>
      <c r="U45" s="14">
        <v>6.7</v>
      </c>
      <c r="V45" s="14">
        <v>24.9</v>
      </c>
      <c r="W45" s="14">
        <v>28.4</v>
      </c>
      <c r="X45" s="14">
        <v>17.5</v>
      </c>
      <c r="Y45" s="14">
        <v>6.7</v>
      </c>
      <c r="Z45" s="14">
        <v>6.5</v>
      </c>
      <c r="AA45" s="14">
        <v>13.3</v>
      </c>
      <c r="AB45" s="14">
        <v>6</v>
      </c>
      <c r="AC45" s="14">
        <v>21.9</v>
      </c>
      <c r="AD45" s="14">
        <v>454</v>
      </c>
      <c r="AE45" s="14">
        <v>3.9</v>
      </c>
      <c r="AF45" s="14">
        <v>7.1</v>
      </c>
      <c r="AG45" s="14">
        <v>3.3</v>
      </c>
      <c r="AH45" s="14">
        <v>24</v>
      </c>
      <c r="AI45" s="14">
        <v>0.3</v>
      </c>
      <c r="AJ45" s="14">
        <v>43</v>
      </c>
      <c r="AK45" s="14">
        <v>0.22</v>
      </c>
      <c r="AL45" s="14">
        <v>21</v>
      </c>
      <c r="AM45" s="14">
        <v>53</v>
      </c>
      <c r="AN45" s="14">
        <v>32</v>
      </c>
      <c r="AO45" s="14">
        <v>32</v>
      </c>
    </row>
    <row r="46" spans="1:41" x14ac:dyDescent="0.25">
      <c r="B46" s="15">
        <v>44</v>
      </c>
      <c r="C46" s="16" t="s">
        <v>103</v>
      </c>
      <c r="D46" s="17">
        <v>88</v>
      </c>
      <c r="E46" s="17">
        <v>9.6</v>
      </c>
      <c r="F46" s="17">
        <v>10.1</v>
      </c>
      <c r="G46" s="17">
        <v>14.7</v>
      </c>
      <c r="H46" s="17">
        <v>539</v>
      </c>
      <c r="I46" s="17">
        <v>17</v>
      </c>
      <c r="J46" s="17">
        <v>44</v>
      </c>
      <c r="K46" s="17">
        <v>102</v>
      </c>
      <c r="L46" s="17">
        <v>55</v>
      </c>
      <c r="M46" s="17">
        <v>0</v>
      </c>
      <c r="N46" s="17">
        <v>105</v>
      </c>
      <c r="O46" s="17">
        <v>72</v>
      </c>
      <c r="P46" s="17">
        <v>32.9</v>
      </c>
      <c r="Q46" s="17">
        <v>20.9</v>
      </c>
      <c r="R46" s="17">
        <v>7.5</v>
      </c>
      <c r="S46" s="17">
        <v>7.8</v>
      </c>
      <c r="T46" s="17">
        <v>15.4</v>
      </c>
      <c r="U46" s="17">
        <v>7</v>
      </c>
      <c r="V46" s="17">
        <v>26</v>
      </c>
      <c r="W46" s="17">
        <v>30.3</v>
      </c>
      <c r="X46" s="17">
        <v>18.600000000000001</v>
      </c>
      <c r="Y46" s="17">
        <v>7</v>
      </c>
      <c r="Z46" s="17">
        <v>6.9</v>
      </c>
      <c r="AA46" s="17">
        <v>14</v>
      </c>
      <c r="AB46" s="17">
        <v>6.4</v>
      </c>
      <c r="AC46" s="17">
        <v>23.4</v>
      </c>
      <c r="AD46" s="17">
        <v>485</v>
      </c>
      <c r="AE46" s="17">
        <v>4</v>
      </c>
      <c r="AF46" s="17">
        <v>7.7</v>
      </c>
      <c r="AG46" s="17">
        <v>3.6</v>
      </c>
      <c r="AH46" s="17">
        <v>25</v>
      </c>
      <c r="AI46" s="17">
        <v>0.5</v>
      </c>
      <c r="AJ46" s="17">
        <v>54</v>
      </c>
      <c r="AK46" s="17">
        <v>0.19</v>
      </c>
      <c r="AL46" s="17">
        <v>18</v>
      </c>
      <c r="AM46" s="17">
        <v>55</v>
      </c>
      <c r="AN46" s="17">
        <v>32</v>
      </c>
      <c r="AO46" s="17">
        <v>32</v>
      </c>
    </row>
    <row r="47" spans="1:41" x14ac:dyDescent="0.25">
      <c r="A47" t="s">
        <v>45</v>
      </c>
      <c r="B47" s="12">
        <v>45</v>
      </c>
      <c r="C47" s="13" t="s">
        <v>104</v>
      </c>
      <c r="D47" s="14">
        <v>87</v>
      </c>
      <c r="E47" s="14">
        <v>9.6999999999999993</v>
      </c>
      <c r="F47" s="14">
        <v>10.3</v>
      </c>
      <c r="G47" s="14">
        <v>14.8</v>
      </c>
      <c r="H47" s="14">
        <v>609</v>
      </c>
      <c r="I47" s="14">
        <v>27</v>
      </c>
      <c r="J47" s="14">
        <v>38</v>
      </c>
      <c r="K47" s="14">
        <v>102</v>
      </c>
      <c r="L47" s="14">
        <v>55</v>
      </c>
      <c r="M47" s="14">
        <v>0</v>
      </c>
      <c r="N47" s="14">
        <v>105</v>
      </c>
      <c r="O47" s="14">
        <v>74</v>
      </c>
      <c r="P47" s="14">
        <v>37.200000000000003</v>
      </c>
      <c r="Q47" s="14">
        <v>23.6</v>
      </c>
      <c r="R47" s="14">
        <v>8.5</v>
      </c>
      <c r="S47" s="14">
        <v>8.8000000000000007</v>
      </c>
      <c r="T47" s="14">
        <v>17.399999999999999</v>
      </c>
      <c r="U47" s="14">
        <v>7.9</v>
      </c>
      <c r="V47" s="14">
        <v>29.4</v>
      </c>
      <c r="W47" s="14">
        <v>34.200000000000003</v>
      </c>
      <c r="X47" s="14">
        <v>21</v>
      </c>
      <c r="Y47" s="14">
        <v>7.9</v>
      </c>
      <c r="Z47" s="14">
        <v>7.8</v>
      </c>
      <c r="AA47" s="14">
        <v>15.8</v>
      </c>
      <c r="AB47" s="14">
        <v>7.2</v>
      </c>
      <c r="AC47" s="14">
        <v>26.4</v>
      </c>
      <c r="AD47" s="14">
        <v>548</v>
      </c>
      <c r="AE47" s="14">
        <v>2.7</v>
      </c>
      <c r="AF47" s="14">
        <v>8.6999999999999993</v>
      </c>
      <c r="AG47" s="14">
        <v>3.8</v>
      </c>
      <c r="AH47" s="14">
        <v>25</v>
      </c>
      <c r="AI47" s="14">
        <v>0.4</v>
      </c>
      <c r="AJ47" s="14">
        <v>54</v>
      </c>
      <c r="AK47" s="14"/>
      <c r="AL47" s="14">
        <v>26</v>
      </c>
      <c r="AM47" s="14">
        <v>65</v>
      </c>
      <c r="AN47" s="14">
        <v>32</v>
      </c>
      <c r="AO47" s="14">
        <v>32</v>
      </c>
    </row>
    <row r="48" spans="1:41" x14ac:dyDescent="0.25">
      <c r="A48" t="s">
        <v>46</v>
      </c>
      <c r="B48" s="15">
        <v>46</v>
      </c>
      <c r="C48" s="16" t="s">
        <v>105</v>
      </c>
      <c r="D48" s="17">
        <v>90</v>
      </c>
      <c r="E48" s="17">
        <v>5.9</v>
      </c>
      <c r="F48" s="17">
        <v>6.5</v>
      </c>
      <c r="G48" s="17">
        <v>9.4</v>
      </c>
      <c r="H48" s="17">
        <v>373</v>
      </c>
      <c r="I48" s="17">
        <v>19</v>
      </c>
      <c r="J48" s="17">
        <v>236</v>
      </c>
      <c r="K48" s="17">
        <v>400</v>
      </c>
      <c r="L48" s="17">
        <v>276</v>
      </c>
      <c r="M48" s="17">
        <v>0</v>
      </c>
      <c r="N48" s="17">
        <v>63</v>
      </c>
      <c r="O48" s="17">
        <v>75</v>
      </c>
      <c r="P48" s="17">
        <v>13.2</v>
      </c>
      <c r="Q48" s="17">
        <v>13.4</v>
      </c>
      <c r="R48" s="17">
        <v>8.5</v>
      </c>
      <c r="S48" s="17">
        <v>6.4</v>
      </c>
      <c r="T48" s="17">
        <v>14.9</v>
      </c>
      <c r="U48" s="17">
        <v>4.5999999999999996</v>
      </c>
      <c r="V48" s="17">
        <v>18.3</v>
      </c>
      <c r="W48" s="17">
        <v>10.8</v>
      </c>
      <c r="X48" s="17">
        <v>10.9</v>
      </c>
      <c r="Y48" s="17">
        <v>7.8</v>
      </c>
      <c r="Z48" s="17">
        <v>5.2</v>
      </c>
      <c r="AA48" s="17">
        <v>13.1</v>
      </c>
      <c r="AB48" s="17">
        <v>3.9</v>
      </c>
      <c r="AC48" s="17">
        <v>15.2</v>
      </c>
      <c r="AD48" s="17">
        <v>306</v>
      </c>
      <c r="AE48" s="17">
        <v>4.0999999999999996</v>
      </c>
      <c r="AF48" s="17">
        <v>12.6</v>
      </c>
      <c r="AG48" s="17">
        <v>6.7</v>
      </c>
      <c r="AH48" s="17">
        <v>17</v>
      </c>
      <c r="AI48" s="17">
        <v>0.3</v>
      </c>
      <c r="AJ48" s="17">
        <v>47</v>
      </c>
      <c r="AK48" s="17">
        <v>0.15</v>
      </c>
      <c r="AL48" s="17">
        <v>36</v>
      </c>
      <c r="AM48" s="17">
        <v>110</v>
      </c>
      <c r="AN48" s="17">
        <v>19</v>
      </c>
      <c r="AO48" s="17">
        <v>19</v>
      </c>
    </row>
    <row r="49" spans="1:41" x14ac:dyDescent="0.25">
      <c r="B49" s="12">
        <v>47</v>
      </c>
      <c r="C49" s="13" t="s">
        <v>106</v>
      </c>
      <c r="D49" s="14">
        <v>87</v>
      </c>
      <c r="E49" s="14">
        <v>12.7</v>
      </c>
      <c r="F49" s="14">
        <v>12.8</v>
      </c>
      <c r="G49" s="14">
        <v>15.3</v>
      </c>
      <c r="H49" s="14">
        <v>109</v>
      </c>
      <c r="I49" s="14">
        <v>34</v>
      </c>
      <c r="J49" s="14">
        <v>27</v>
      </c>
      <c r="K49" s="14">
        <v>108</v>
      </c>
      <c r="L49" s="14">
        <v>43</v>
      </c>
      <c r="M49" s="14">
        <v>741</v>
      </c>
      <c r="N49" s="14">
        <v>12</v>
      </c>
      <c r="O49" s="14">
        <v>17</v>
      </c>
      <c r="P49" s="14">
        <v>2.5</v>
      </c>
      <c r="Q49" s="14">
        <v>3.6</v>
      </c>
      <c r="R49" s="14">
        <v>1.8</v>
      </c>
      <c r="S49" s="14">
        <v>2</v>
      </c>
      <c r="T49" s="14">
        <v>3.8</v>
      </c>
      <c r="U49" s="14">
        <v>1.1000000000000001</v>
      </c>
      <c r="V49" s="14">
        <v>5.9</v>
      </c>
      <c r="W49" s="14">
        <v>1.9</v>
      </c>
      <c r="X49" s="14">
        <v>2.7</v>
      </c>
      <c r="Y49" s="14">
        <v>1.5</v>
      </c>
      <c r="Z49" s="14">
        <v>1.5</v>
      </c>
      <c r="AA49" s="14">
        <v>3.1</v>
      </c>
      <c r="AB49" s="14">
        <v>0.9</v>
      </c>
      <c r="AC49" s="14">
        <v>4.8</v>
      </c>
      <c r="AD49" s="14">
        <v>86</v>
      </c>
      <c r="AE49" s="14">
        <v>0.3</v>
      </c>
      <c r="AF49" s="14">
        <v>2.9</v>
      </c>
      <c r="AG49" s="14">
        <v>1.4</v>
      </c>
      <c r="AH49" s="14">
        <v>3.5</v>
      </c>
      <c r="AI49" s="14">
        <v>0.1</v>
      </c>
      <c r="AJ49" s="14">
        <v>16</v>
      </c>
      <c r="AK49" s="14">
        <v>0.12</v>
      </c>
      <c r="AL49" s="14">
        <v>7</v>
      </c>
      <c r="AM49" s="14">
        <v>20</v>
      </c>
      <c r="AN49" s="14">
        <v>25</v>
      </c>
      <c r="AO49" s="14">
        <v>25</v>
      </c>
    </row>
    <row r="50" spans="1:41" x14ac:dyDescent="0.25">
      <c r="B50" s="15">
        <v>48</v>
      </c>
      <c r="C50" s="16" t="s">
        <v>107</v>
      </c>
      <c r="D50" s="17">
        <v>99</v>
      </c>
      <c r="E50" s="17">
        <v>12.3</v>
      </c>
      <c r="F50" s="17">
        <v>12.3</v>
      </c>
      <c r="G50" s="17">
        <v>15.5</v>
      </c>
      <c r="H50" s="17">
        <v>735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995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995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735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</row>
    <row r="51" spans="1:41" x14ac:dyDescent="0.25">
      <c r="B51" s="12">
        <v>49</v>
      </c>
      <c r="C51" s="13" t="s">
        <v>108</v>
      </c>
      <c r="D51" s="14">
        <v>99</v>
      </c>
      <c r="E51" s="14">
        <v>20.100000000000001</v>
      </c>
      <c r="F51" s="14">
        <v>20.100000000000001</v>
      </c>
      <c r="G51" s="14"/>
      <c r="H51" s="14">
        <v>857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990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990</v>
      </c>
      <c r="AC51" s="14">
        <v>0</v>
      </c>
      <c r="AD51" s="14">
        <v>857</v>
      </c>
      <c r="AE51" s="14">
        <v>0</v>
      </c>
      <c r="AF51" s="14">
        <v>0</v>
      </c>
      <c r="AG51" s="14">
        <v>0</v>
      </c>
      <c r="AH51" s="14">
        <v>0</v>
      </c>
      <c r="AI51" s="14">
        <v>0</v>
      </c>
      <c r="AJ51" s="14">
        <v>0</v>
      </c>
      <c r="AK51" s="14">
        <v>0</v>
      </c>
      <c r="AL51" s="14">
        <v>0</v>
      </c>
      <c r="AM51" s="14">
        <v>0</v>
      </c>
      <c r="AN51" s="14">
        <v>0</v>
      </c>
      <c r="AO51" s="14">
        <v>0</v>
      </c>
    </row>
    <row r="52" spans="1:41" x14ac:dyDescent="0.25">
      <c r="A52" t="s">
        <v>54</v>
      </c>
      <c r="B52" s="15">
        <v>50</v>
      </c>
      <c r="C52" s="16" t="s">
        <v>109</v>
      </c>
      <c r="D52" s="17">
        <v>5.5</v>
      </c>
      <c r="E52" s="17">
        <v>12.4</v>
      </c>
      <c r="F52" s="17">
        <v>12.2</v>
      </c>
      <c r="G52" s="17">
        <v>15.6</v>
      </c>
      <c r="H52" s="17">
        <v>115</v>
      </c>
      <c r="I52" s="17">
        <v>19</v>
      </c>
      <c r="J52" s="17">
        <v>0</v>
      </c>
      <c r="K52" s="17">
        <v>0</v>
      </c>
      <c r="L52" s="17">
        <v>0</v>
      </c>
      <c r="M52" s="17">
        <v>0</v>
      </c>
      <c r="N52" s="17">
        <v>768</v>
      </c>
      <c r="O52" s="17">
        <v>86</v>
      </c>
      <c r="P52" s="17">
        <v>8.5</v>
      </c>
      <c r="Q52" s="17">
        <v>6.6</v>
      </c>
      <c r="R52" s="17">
        <v>1.8</v>
      </c>
      <c r="S52" s="17">
        <v>2</v>
      </c>
      <c r="T52" s="17">
        <v>3.8</v>
      </c>
      <c r="U52" s="17">
        <v>1.5</v>
      </c>
      <c r="V52" s="17">
        <v>5.9</v>
      </c>
      <c r="W52" s="17">
        <v>7.6</v>
      </c>
      <c r="X52" s="17">
        <v>5.6</v>
      </c>
      <c r="Y52" s="17">
        <v>1.7</v>
      </c>
      <c r="Z52" s="17">
        <v>1.8</v>
      </c>
      <c r="AA52" s="17">
        <v>3.4</v>
      </c>
      <c r="AB52" s="17">
        <v>1.3</v>
      </c>
      <c r="AC52" s="17">
        <v>5.0999999999999996</v>
      </c>
      <c r="AD52" s="17">
        <v>93</v>
      </c>
      <c r="AE52" s="17">
        <v>8.6999999999999993</v>
      </c>
      <c r="AF52" s="17">
        <v>7.3</v>
      </c>
      <c r="AG52" s="17">
        <v>1.3</v>
      </c>
      <c r="AH52" s="17">
        <v>23.1</v>
      </c>
      <c r="AI52" s="17">
        <v>7.7</v>
      </c>
      <c r="AJ52" s="17">
        <v>3</v>
      </c>
      <c r="AK52" s="17">
        <v>0.05</v>
      </c>
      <c r="AL52" s="17">
        <v>22</v>
      </c>
      <c r="AM52" s="17">
        <v>17</v>
      </c>
      <c r="AN52" s="17">
        <v>90</v>
      </c>
      <c r="AO52" s="17">
        <v>90</v>
      </c>
    </row>
    <row r="53" spans="1:41" x14ac:dyDescent="0.25">
      <c r="B53" s="12">
        <v>51</v>
      </c>
      <c r="C53" s="13" t="s">
        <v>110</v>
      </c>
      <c r="D53" s="14">
        <v>98</v>
      </c>
      <c r="E53" s="14">
        <v>11.6</v>
      </c>
      <c r="F53" s="14">
        <v>11.5</v>
      </c>
      <c r="G53" s="14">
        <v>15</v>
      </c>
      <c r="H53" s="14">
        <v>99</v>
      </c>
      <c r="I53" s="14">
        <v>22</v>
      </c>
      <c r="J53" s="14">
        <v>0</v>
      </c>
      <c r="K53" s="14">
        <v>0</v>
      </c>
      <c r="L53" s="14">
        <v>0</v>
      </c>
      <c r="M53" s="14">
        <v>0</v>
      </c>
      <c r="N53" s="14">
        <v>643</v>
      </c>
      <c r="O53" s="14">
        <v>120</v>
      </c>
      <c r="P53" s="14">
        <v>7.4</v>
      </c>
      <c r="Q53" s="14">
        <v>5.5</v>
      </c>
      <c r="R53" s="14">
        <v>1.5</v>
      </c>
      <c r="S53" s="14">
        <v>1.7</v>
      </c>
      <c r="T53" s="14">
        <v>3.2</v>
      </c>
      <c r="U53" s="14">
        <v>1.2</v>
      </c>
      <c r="V53" s="14">
        <v>4.9000000000000004</v>
      </c>
      <c r="W53" s="14">
        <v>6.6</v>
      </c>
      <c r="X53" s="14">
        <v>4.7</v>
      </c>
      <c r="Y53" s="14">
        <v>1.4</v>
      </c>
      <c r="Z53" s="14">
        <v>1.5</v>
      </c>
      <c r="AA53" s="14">
        <v>2.9</v>
      </c>
      <c r="AB53" s="14">
        <v>1</v>
      </c>
      <c r="AC53" s="14">
        <v>4.3</v>
      </c>
      <c r="AD53" s="14">
        <v>80</v>
      </c>
      <c r="AE53" s="14">
        <v>17.2</v>
      </c>
      <c r="AF53" s="14">
        <v>10.3</v>
      </c>
      <c r="AG53" s="14">
        <v>1.5</v>
      </c>
      <c r="AH53" s="14">
        <v>21.4</v>
      </c>
      <c r="AI53" s="14">
        <v>7.1</v>
      </c>
      <c r="AJ53" s="14">
        <v>3</v>
      </c>
      <c r="AK53" s="14">
        <v>0.2</v>
      </c>
      <c r="AL53" s="14">
        <v>1.6</v>
      </c>
      <c r="AM53" s="14">
        <v>65</v>
      </c>
      <c r="AN53" s="14">
        <v>90</v>
      </c>
      <c r="AO53" s="14">
        <v>90</v>
      </c>
    </row>
    <row r="54" spans="1:41" x14ac:dyDescent="0.25">
      <c r="A54" t="s">
        <v>55</v>
      </c>
      <c r="B54" s="15">
        <v>52</v>
      </c>
      <c r="C54" s="16" t="s">
        <v>111</v>
      </c>
      <c r="D54" s="17">
        <v>97</v>
      </c>
      <c r="E54" s="17">
        <v>12.4</v>
      </c>
      <c r="F54" s="17">
        <v>12.2</v>
      </c>
      <c r="G54" s="17">
        <v>14.9</v>
      </c>
      <c r="H54" s="17">
        <v>131</v>
      </c>
      <c r="I54" s="17">
        <v>22</v>
      </c>
      <c r="J54" s="17">
        <v>0</v>
      </c>
      <c r="K54" s="17">
        <v>0</v>
      </c>
      <c r="L54" s="17">
        <v>0</v>
      </c>
      <c r="M54" s="17">
        <v>0</v>
      </c>
      <c r="N54" s="17">
        <v>756</v>
      </c>
      <c r="O54" s="17">
        <v>90</v>
      </c>
      <c r="P54" s="17">
        <v>9.6999999999999993</v>
      </c>
      <c r="Q54" s="17">
        <v>7.5</v>
      </c>
      <c r="R54" s="17">
        <v>2.1</v>
      </c>
      <c r="S54" s="17">
        <v>2.2999999999999998</v>
      </c>
      <c r="T54" s="17">
        <v>4.3</v>
      </c>
      <c r="U54" s="17">
        <v>1.7</v>
      </c>
      <c r="V54" s="17">
        <v>6.7</v>
      </c>
      <c r="W54" s="17">
        <v>8.6</v>
      </c>
      <c r="X54" s="17">
        <v>6.4</v>
      </c>
      <c r="Y54" s="17">
        <v>1.9</v>
      </c>
      <c r="Z54" s="17">
        <v>2</v>
      </c>
      <c r="AA54" s="17">
        <v>3.9</v>
      </c>
      <c r="AB54" s="17">
        <v>1.5</v>
      </c>
      <c r="AC54" s="17">
        <v>5.8</v>
      </c>
      <c r="AD54" s="17">
        <v>106</v>
      </c>
      <c r="AE54" s="17">
        <v>8.5</v>
      </c>
      <c r="AF54" s="17">
        <v>7.2</v>
      </c>
      <c r="AG54" s="17">
        <v>1.5</v>
      </c>
      <c r="AH54" s="17">
        <v>21</v>
      </c>
      <c r="AI54" s="17">
        <v>6.6</v>
      </c>
      <c r="AJ54" s="17">
        <v>3.1</v>
      </c>
      <c r="AK54" s="17">
        <v>0.31</v>
      </c>
      <c r="AL54" s="17">
        <v>2</v>
      </c>
      <c r="AM54" s="17">
        <v>21</v>
      </c>
      <c r="AN54" s="17">
        <v>90</v>
      </c>
      <c r="AO54" s="17">
        <v>90</v>
      </c>
    </row>
    <row r="55" spans="1:41" x14ac:dyDescent="0.25">
      <c r="A55" t="s">
        <v>17</v>
      </c>
      <c r="B55" s="12">
        <v>53</v>
      </c>
      <c r="C55" s="13" t="s">
        <v>112</v>
      </c>
      <c r="D55" s="14">
        <v>87</v>
      </c>
      <c r="E55" s="14">
        <v>12.1</v>
      </c>
      <c r="F55" s="14">
        <v>12.3</v>
      </c>
      <c r="G55" s="14">
        <v>15.2</v>
      </c>
      <c r="H55" s="14">
        <v>121</v>
      </c>
      <c r="I55" s="14">
        <v>17</v>
      </c>
      <c r="J55" s="14">
        <v>26</v>
      </c>
      <c r="K55" s="14">
        <v>143</v>
      </c>
      <c r="L55" s="14">
        <v>36</v>
      </c>
      <c r="M55" s="14">
        <v>698</v>
      </c>
      <c r="N55" s="14">
        <v>27</v>
      </c>
      <c r="O55" s="14">
        <v>18</v>
      </c>
      <c r="P55" s="14">
        <v>3.5</v>
      </c>
      <c r="Q55" s="14">
        <v>3.7</v>
      </c>
      <c r="R55" s="14">
        <v>2</v>
      </c>
      <c r="S55" s="14">
        <v>3</v>
      </c>
      <c r="T55" s="14">
        <v>5</v>
      </c>
      <c r="U55" s="14">
        <v>1.5</v>
      </c>
      <c r="V55" s="14">
        <v>5.4</v>
      </c>
      <c r="W55" s="14">
        <v>2.8</v>
      </c>
      <c r="X55" s="14">
        <v>3.1</v>
      </c>
      <c r="Y55" s="14">
        <v>1.8</v>
      </c>
      <c r="Z55" s="14">
        <v>2.7</v>
      </c>
      <c r="AA55" s="14">
        <v>4.5</v>
      </c>
      <c r="AB55" s="14">
        <v>1.3</v>
      </c>
      <c r="AC55" s="14">
        <v>4.5999999999999996</v>
      </c>
      <c r="AD55" s="14">
        <v>107</v>
      </c>
      <c r="AE55" s="14">
        <v>0.5</v>
      </c>
      <c r="AF55" s="14">
        <v>3.2</v>
      </c>
      <c r="AG55" s="14">
        <v>1.2</v>
      </c>
      <c r="AH55" s="14">
        <v>5.8</v>
      </c>
      <c r="AI55" s="14">
        <v>0.4</v>
      </c>
      <c r="AJ55" s="14">
        <v>29</v>
      </c>
      <c r="AK55" s="14">
        <v>0.06</v>
      </c>
      <c r="AL55" s="14">
        <v>3.2</v>
      </c>
      <c r="AM55" s="14">
        <v>40</v>
      </c>
      <c r="AN55" s="14">
        <v>30</v>
      </c>
      <c r="AO55" s="14">
        <v>45</v>
      </c>
    </row>
    <row r="56" spans="1:41" x14ac:dyDescent="0.25">
      <c r="A56" t="s">
        <v>49</v>
      </c>
      <c r="B56" s="15">
        <v>54</v>
      </c>
      <c r="C56" s="16" t="s">
        <v>113</v>
      </c>
      <c r="D56" s="17">
        <v>88</v>
      </c>
      <c r="E56" s="17">
        <v>8.6999999999999993</v>
      </c>
      <c r="F56" s="17">
        <v>9.1999999999999993</v>
      </c>
      <c r="G56" s="17">
        <v>13.9</v>
      </c>
      <c r="H56" s="17">
        <v>176</v>
      </c>
      <c r="I56" s="17">
        <v>40</v>
      </c>
      <c r="J56" s="17">
        <v>80</v>
      </c>
      <c r="K56" s="17">
        <v>356</v>
      </c>
      <c r="L56" s="17">
        <v>104</v>
      </c>
      <c r="M56" s="17">
        <v>314</v>
      </c>
      <c r="N56" s="17">
        <v>70</v>
      </c>
      <c r="O56" s="17">
        <v>49</v>
      </c>
      <c r="P56" s="17">
        <v>7</v>
      </c>
      <c r="Q56" s="17">
        <v>5.6</v>
      </c>
      <c r="R56" s="17">
        <v>2.7</v>
      </c>
      <c r="S56" s="17">
        <v>3.5</v>
      </c>
      <c r="T56" s="17">
        <v>6.2</v>
      </c>
      <c r="U56" s="17">
        <v>2.2999999999999998</v>
      </c>
      <c r="V56" s="17">
        <v>7.9</v>
      </c>
      <c r="W56" s="17">
        <v>5.3</v>
      </c>
      <c r="X56" s="17">
        <v>4</v>
      </c>
      <c r="Y56" s="17">
        <v>2.2000000000000002</v>
      </c>
      <c r="Z56" s="17">
        <v>2.7</v>
      </c>
      <c r="AA56" s="17">
        <v>4.9000000000000004</v>
      </c>
      <c r="AB56" s="17">
        <v>1.8</v>
      </c>
      <c r="AC56" s="17">
        <v>6.2</v>
      </c>
      <c r="AD56" s="17">
        <v>133</v>
      </c>
      <c r="AE56" s="17">
        <v>0.9</v>
      </c>
      <c r="AF56" s="17">
        <v>11.9</v>
      </c>
      <c r="AG56" s="17">
        <v>4.2</v>
      </c>
      <c r="AH56" s="17">
        <v>13</v>
      </c>
      <c r="AI56" s="17">
        <v>0.3</v>
      </c>
      <c r="AJ56" s="17">
        <v>145</v>
      </c>
      <c r="AK56" s="17">
        <v>7.0000000000000007E-2</v>
      </c>
      <c r="AL56" s="17">
        <v>13</v>
      </c>
      <c r="AM56" s="17">
        <v>106</v>
      </c>
      <c r="AN56" s="17">
        <v>25</v>
      </c>
      <c r="AO56" s="17">
        <v>50</v>
      </c>
    </row>
    <row r="57" spans="1:41" x14ac:dyDescent="0.25">
      <c r="A57" t="s">
        <v>48</v>
      </c>
      <c r="B57" s="12">
        <v>55</v>
      </c>
      <c r="C57" s="13" t="s">
        <v>114</v>
      </c>
      <c r="D57" s="14">
        <v>87</v>
      </c>
      <c r="E57" s="14">
        <v>7.2</v>
      </c>
      <c r="F57" s="14">
        <v>7.8</v>
      </c>
      <c r="G57" s="14">
        <v>11.1</v>
      </c>
      <c r="H57" s="14">
        <v>170</v>
      </c>
      <c r="I57" s="14">
        <v>40</v>
      </c>
      <c r="J57" s="14">
        <v>105</v>
      </c>
      <c r="K57" s="14">
        <v>455</v>
      </c>
      <c r="L57" s="14">
        <v>136</v>
      </c>
      <c r="M57" s="14">
        <v>227</v>
      </c>
      <c r="N57" s="14">
        <v>76</v>
      </c>
      <c r="O57" s="14">
        <v>58</v>
      </c>
      <c r="P57" s="14">
        <v>6.7</v>
      </c>
      <c r="Q57" s="14">
        <v>5.3</v>
      </c>
      <c r="R57" s="14">
        <v>2.6</v>
      </c>
      <c r="S57" s="14">
        <v>3.6</v>
      </c>
      <c r="T57" s="14">
        <v>6.2</v>
      </c>
      <c r="U57" s="14">
        <v>2.2000000000000002</v>
      </c>
      <c r="V57" s="14">
        <v>7.6</v>
      </c>
      <c r="W57" s="14">
        <v>4.5999999999999996</v>
      </c>
      <c r="X57" s="14">
        <v>3.4</v>
      </c>
      <c r="Y57" s="14">
        <v>2</v>
      </c>
      <c r="Z57" s="14">
        <v>2.6</v>
      </c>
      <c r="AA57" s="14">
        <v>4.5999999999999996</v>
      </c>
      <c r="AB57" s="14">
        <v>1.7</v>
      </c>
      <c r="AC57" s="14">
        <v>5.5</v>
      </c>
      <c r="AD57" s="14">
        <v>115</v>
      </c>
      <c r="AE57" s="14">
        <v>1.1000000000000001</v>
      </c>
      <c r="AF57" s="14">
        <v>11.9</v>
      </c>
      <c r="AG57" s="14">
        <v>4.5</v>
      </c>
      <c r="AH57" s="14">
        <v>15</v>
      </c>
      <c r="AI57" s="14">
        <v>0.1</v>
      </c>
      <c r="AJ57" s="14">
        <v>111</v>
      </c>
      <c r="AK57" s="14">
        <v>0.05</v>
      </c>
      <c r="AL57" s="14">
        <v>12</v>
      </c>
      <c r="AM57" s="14">
        <v>89</v>
      </c>
      <c r="AN57" s="14">
        <v>25</v>
      </c>
      <c r="AO57" s="14">
        <v>50</v>
      </c>
    </row>
    <row r="58" spans="1:41" x14ac:dyDescent="0.25">
      <c r="A58" t="s">
        <v>41</v>
      </c>
      <c r="B58" s="15">
        <v>56</v>
      </c>
      <c r="C58" s="16" t="s">
        <v>115</v>
      </c>
      <c r="D58" s="17">
        <v>87</v>
      </c>
      <c r="E58" s="17">
        <v>11.2</v>
      </c>
      <c r="F58" s="17">
        <v>11.5</v>
      </c>
      <c r="G58" s="17">
        <v>14.7</v>
      </c>
      <c r="H58" s="17">
        <v>239</v>
      </c>
      <c r="I58" s="17">
        <v>12</v>
      </c>
      <c r="J58" s="17">
        <v>60</v>
      </c>
      <c r="K58" s="17">
        <v>139</v>
      </c>
      <c r="L58" s="17">
        <v>69</v>
      </c>
      <c r="M58" s="17">
        <v>516</v>
      </c>
      <c r="N58" s="17">
        <v>45</v>
      </c>
      <c r="O58" s="17">
        <v>35</v>
      </c>
      <c r="P58" s="17">
        <v>17.3</v>
      </c>
      <c r="Q58" s="17">
        <v>9.1</v>
      </c>
      <c r="R58" s="17">
        <v>2.2999999999999998</v>
      </c>
      <c r="S58" s="17">
        <v>3.2</v>
      </c>
      <c r="T58" s="17">
        <v>5.5</v>
      </c>
      <c r="U58" s="17">
        <v>2.1</v>
      </c>
      <c r="V58" s="17">
        <v>11.3</v>
      </c>
      <c r="W58" s="17">
        <v>14.4</v>
      </c>
      <c r="X58" s="17">
        <v>6.9</v>
      </c>
      <c r="Y58" s="17">
        <v>1.8</v>
      </c>
      <c r="Z58" s="17">
        <v>2.2999999999999998</v>
      </c>
      <c r="AA58" s="17">
        <v>4.0999999999999996</v>
      </c>
      <c r="AB58" s="17">
        <v>1.5</v>
      </c>
      <c r="AC58" s="17">
        <v>8.6999999999999993</v>
      </c>
      <c r="AD58" s="17">
        <v>191</v>
      </c>
      <c r="AE58" s="17">
        <v>0.9</v>
      </c>
      <c r="AF58" s="17">
        <v>4.5999999999999996</v>
      </c>
      <c r="AG58" s="17">
        <v>1.3</v>
      </c>
      <c r="AH58" s="17">
        <v>12</v>
      </c>
      <c r="AI58" s="17">
        <v>0.2</v>
      </c>
      <c r="AJ58" s="17">
        <v>16</v>
      </c>
      <c r="AK58" s="17"/>
      <c r="AL58" s="17">
        <v>6.7</v>
      </c>
      <c r="AM58" s="17">
        <v>39</v>
      </c>
      <c r="AN58" s="17">
        <v>47</v>
      </c>
      <c r="AO58" s="17">
        <v>47</v>
      </c>
    </row>
    <row r="59" spans="1:41" x14ac:dyDescent="0.25">
      <c r="A59" t="s">
        <v>42</v>
      </c>
      <c r="B59" s="12">
        <v>57</v>
      </c>
      <c r="C59" s="13" t="s">
        <v>116</v>
      </c>
      <c r="D59" s="14">
        <v>87</v>
      </c>
      <c r="E59" s="14">
        <v>10.7</v>
      </c>
      <c r="F59" s="14">
        <v>10.9</v>
      </c>
      <c r="G59" s="14">
        <v>13.8</v>
      </c>
      <c r="H59" s="14">
        <v>311</v>
      </c>
      <c r="I59" s="14">
        <v>13</v>
      </c>
      <c r="J59" s="14">
        <v>87</v>
      </c>
      <c r="K59" s="14">
        <v>160</v>
      </c>
      <c r="L59" s="14">
        <v>106</v>
      </c>
      <c r="M59" s="14">
        <v>433</v>
      </c>
      <c r="N59" s="14">
        <v>43</v>
      </c>
      <c r="O59" s="14">
        <v>41</v>
      </c>
      <c r="P59" s="14">
        <v>20</v>
      </c>
      <c r="Q59" s="14">
        <v>11.1</v>
      </c>
      <c r="R59" s="14">
        <v>2.2000000000000002</v>
      </c>
      <c r="S59" s="14">
        <v>4</v>
      </c>
      <c r="T59" s="14">
        <v>6.2</v>
      </c>
      <c r="U59" s="14">
        <v>2.6</v>
      </c>
      <c r="V59" s="14">
        <v>14.1</v>
      </c>
      <c r="W59" s="14">
        <v>17.600000000000001</v>
      </c>
      <c r="X59" s="14">
        <v>9.1999999999999993</v>
      </c>
      <c r="Y59" s="14">
        <v>1.8</v>
      </c>
      <c r="Z59" s="14">
        <v>3</v>
      </c>
      <c r="AA59" s="14">
        <v>4.9000000000000004</v>
      </c>
      <c r="AB59" s="14">
        <v>2.1</v>
      </c>
      <c r="AC59" s="14">
        <v>11.6</v>
      </c>
      <c r="AD59" s="14">
        <v>261</v>
      </c>
      <c r="AE59" s="14">
        <v>1.7</v>
      </c>
      <c r="AF59" s="14">
        <v>6.8</v>
      </c>
      <c r="AG59" s="14">
        <v>1.8</v>
      </c>
      <c r="AH59" s="14">
        <v>16</v>
      </c>
      <c r="AI59" s="14">
        <v>0.3</v>
      </c>
      <c r="AJ59" s="14">
        <v>22</v>
      </c>
      <c r="AK59" s="14">
        <v>0.02</v>
      </c>
      <c r="AL59" s="14">
        <v>15</v>
      </c>
      <c r="AM59" s="14">
        <v>53</v>
      </c>
      <c r="AN59" s="14">
        <v>37</v>
      </c>
      <c r="AO59" s="14">
        <v>37</v>
      </c>
    </row>
    <row r="60" spans="1:41" x14ac:dyDescent="0.25">
      <c r="B60" s="15">
        <v>58</v>
      </c>
      <c r="C60" s="16" t="s">
        <v>117</v>
      </c>
      <c r="D60" s="17">
        <v>12</v>
      </c>
      <c r="E60" s="17">
        <v>9.5</v>
      </c>
      <c r="F60" s="17">
        <v>9.9</v>
      </c>
      <c r="G60" s="17">
        <v>14.8</v>
      </c>
      <c r="H60" s="17">
        <v>369</v>
      </c>
      <c r="I60" s="17">
        <v>18</v>
      </c>
      <c r="J60" s="17">
        <v>24</v>
      </c>
      <c r="K60" s="17"/>
      <c r="L60" s="17"/>
      <c r="M60" s="17"/>
      <c r="N60" s="17"/>
      <c r="O60" s="17">
        <v>60</v>
      </c>
      <c r="P60" s="17">
        <v>22.6</v>
      </c>
      <c r="Q60" s="17">
        <v>15.9</v>
      </c>
      <c r="R60" s="17">
        <v>5.6</v>
      </c>
      <c r="S60" s="17">
        <v>2.2999999999999998</v>
      </c>
      <c r="T60" s="17">
        <v>7.8</v>
      </c>
      <c r="U60" s="17">
        <v>3.8</v>
      </c>
      <c r="V60" s="17">
        <v>17.5</v>
      </c>
      <c r="W60" s="17">
        <v>16.7</v>
      </c>
      <c r="X60" s="17">
        <v>10.5</v>
      </c>
      <c r="Y60" s="17">
        <v>3.8</v>
      </c>
      <c r="Z60" s="17">
        <v>1.1000000000000001</v>
      </c>
      <c r="AA60" s="17">
        <v>4.9000000000000004</v>
      </c>
      <c r="AB60" s="17">
        <v>2.1</v>
      </c>
      <c r="AC60" s="17">
        <v>11.5</v>
      </c>
      <c r="AD60" s="17">
        <v>255</v>
      </c>
      <c r="AE60" s="17">
        <v>2.6</v>
      </c>
      <c r="AF60" s="17">
        <v>11.6</v>
      </c>
      <c r="AG60" s="17">
        <v>1.8</v>
      </c>
      <c r="AH60" s="17">
        <v>18.100000000000001</v>
      </c>
      <c r="AI60" s="17"/>
      <c r="AJ60" s="17">
        <v>12</v>
      </c>
      <c r="AK60" s="17">
        <v>0.1</v>
      </c>
      <c r="AL60" s="17">
        <v>22</v>
      </c>
      <c r="AM60" s="17">
        <v>54</v>
      </c>
      <c r="AN60" s="17">
        <v>20</v>
      </c>
      <c r="AO60" s="17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C1" workbookViewId="0">
      <selection activeCell="N10" sqref="J10:N10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58</v>
      </c>
      <c r="B2" s="19" t="s">
        <v>122</v>
      </c>
      <c r="C2" s="19" t="s">
        <v>125</v>
      </c>
      <c r="D2" s="19" t="s">
        <v>126</v>
      </c>
      <c r="E2" s="19" t="s">
        <v>276</v>
      </c>
      <c r="F2" s="19" t="s">
        <v>277</v>
      </c>
      <c r="G2" s="19" t="s">
        <v>278</v>
      </c>
      <c r="H2" s="19" t="s">
        <v>279</v>
      </c>
      <c r="I2" s="19" t="s">
        <v>280</v>
      </c>
      <c r="J2" s="19" t="s">
        <v>281</v>
      </c>
      <c r="K2" s="19" t="s">
        <v>128</v>
      </c>
      <c r="L2" s="19" t="s">
        <v>129</v>
      </c>
      <c r="M2" s="19" t="s">
        <v>132</v>
      </c>
      <c r="N2" s="19" t="s">
        <v>282</v>
      </c>
      <c r="O2" s="19" t="s">
        <v>283</v>
      </c>
      <c r="P2" s="19" t="s">
        <v>284</v>
      </c>
      <c r="Q2" s="19" t="s">
        <v>285</v>
      </c>
      <c r="R2" s="19" t="s">
        <v>286</v>
      </c>
      <c r="S2" s="19" t="s">
        <v>287</v>
      </c>
      <c r="T2" s="19" t="s">
        <v>288</v>
      </c>
      <c r="U2" s="19" t="s">
        <v>289</v>
      </c>
      <c r="V2" s="19" t="s">
        <v>290</v>
      </c>
      <c r="W2" s="19" t="s">
        <v>131</v>
      </c>
      <c r="X2" s="19" t="s">
        <v>291</v>
      </c>
      <c r="Y2" s="19" t="s">
        <v>130</v>
      </c>
      <c r="Z2" s="19" t="s">
        <v>123</v>
      </c>
      <c r="AA2" s="19" t="s">
        <v>292</v>
      </c>
      <c r="AB2" s="19" t="s">
        <v>148</v>
      </c>
      <c r="AC2" s="19" t="s">
        <v>149</v>
      </c>
      <c r="AD2" s="19" t="s">
        <v>150</v>
      </c>
      <c r="AE2" s="19" t="s">
        <v>151</v>
      </c>
      <c r="AF2" s="19" t="s">
        <v>152</v>
      </c>
      <c r="AG2" s="19" t="s">
        <v>293</v>
      </c>
      <c r="AH2" s="19" t="s">
        <v>152</v>
      </c>
    </row>
    <row r="3" spans="1:34" x14ac:dyDescent="0.25">
      <c r="B3" s="12">
        <v>1</v>
      </c>
      <c r="C3" s="14" t="s">
        <v>159</v>
      </c>
      <c r="D3" s="14">
        <v>50</v>
      </c>
      <c r="E3" s="14">
        <v>7.9</v>
      </c>
      <c r="F3" s="14"/>
      <c r="G3" s="14"/>
      <c r="H3" s="14">
        <v>18</v>
      </c>
      <c r="I3" s="14">
        <v>8.9</v>
      </c>
      <c r="J3" s="14">
        <v>60</v>
      </c>
      <c r="K3" s="14">
        <v>110</v>
      </c>
      <c r="L3" s="14">
        <v>330</v>
      </c>
      <c r="M3" s="14">
        <v>40</v>
      </c>
      <c r="N3" s="14">
        <v>460</v>
      </c>
      <c r="O3" s="14">
        <v>30</v>
      </c>
      <c r="P3" s="14">
        <v>75</v>
      </c>
      <c r="Q3" s="14">
        <v>15</v>
      </c>
      <c r="R3" s="14">
        <v>60</v>
      </c>
      <c r="S3" s="14">
        <v>44</v>
      </c>
      <c r="T3" s="14"/>
      <c r="U3" s="14"/>
      <c r="V3" s="14"/>
      <c r="W3" s="14"/>
      <c r="X3" s="14"/>
      <c r="Y3" s="14"/>
      <c r="Z3" s="14"/>
      <c r="AA3" s="14"/>
      <c r="AB3" s="14">
        <v>12</v>
      </c>
      <c r="AC3" s="14">
        <v>0.6</v>
      </c>
      <c r="AD3" s="14"/>
      <c r="AE3" s="14"/>
      <c r="AF3" s="14"/>
      <c r="AG3" s="14"/>
      <c r="AH3" s="19"/>
    </row>
    <row r="4" spans="1:34" x14ac:dyDescent="0.25">
      <c r="B4" s="15">
        <v>2</v>
      </c>
      <c r="C4" s="17" t="s">
        <v>160</v>
      </c>
      <c r="D4" s="17">
        <v>85</v>
      </c>
      <c r="E4" s="17">
        <v>7.9</v>
      </c>
      <c r="F4" s="17"/>
      <c r="G4" s="17"/>
      <c r="H4" s="17">
        <v>90</v>
      </c>
      <c r="I4" s="17">
        <v>9.6</v>
      </c>
      <c r="J4" s="17">
        <v>150</v>
      </c>
      <c r="K4" s="17">
        <v>70</v>
      </c>
      <c r="L4" s="17">
        <v>230</v>
      </c>
      <c r="M4" s="17">
        <v>70</v>
      </c>
      <c r="N4" s="17">
        <v>480</v>
      </c>
      <c r="O4" s="17">
        <v>60</v>
      </c>
      <c r="P4" s="17">
        <v>35</v>
      </c>
      <c r="Q4" s="17">
        <v>50</v>
      </c>
      <c r="R4" s="17">
        <v>55</v>
      </c>
      <c r="S4" s="17">
        <v>53</v>
      </c>
      <c r="T4" s="17"/>
      <c r="U4" s="17"/>
      <c r="V4" s="17"/>
      <c r="W4" s="17"/>
      <c r="X4" s="17"/>
      <c r="Y4" s="17"/>
      <c r="Z4" s="17"/>
      <c r="AA4" s="17"/>
      <c r="AB4" s="17">
        <v>14.1</v>
      </c>
      <c r="AC4" s="17">
        <v>1.2</v>
      </c>
      <c r="AD4" s="17"/>
      <c r="AE4" s="17"/>
      <c r="AF4" s="17"/>
      <c r="AG4" s="17"/>
      <c r="AH4" s="17"/>
    </row>
    <row r="5" spans="1:34" x14ac:dyDescent="0.25">
      <c r="B5" s="12">
        <v>3</v>
      </c>
      <c r="C5" s="14" t="s">
        <v>161</v>
      </c>
      <c r="D5" s="14">
        <v>90</v>
      </c>
      <c r="E5" s="14">
        <v>12.8</v>
      </c>
      <c r="F5" s="14"/>
      <c r="G5" s="14"/>
      <c r="H5" s="14">
        <v>213</v>
      </c>
      <c r="I5" s="14">
        <v>14.6</v>
      </c>
      <c r="J5" s="14">
        <v>250</v>
      </c>
      <c r="K5" s="14">
        <v>80</v>
      </c>
      <c r="L5" s="14">
        <v>170</v>
      </c>
      <c r="M5" s="14">
        <v>60</v>
      </c>
      <c r="N5" s="14">
        <v>440</v>
      </c>
      <c r="O5" s="14">
        <v>85</v>
      </c>
      <c r="P5" s="14">
        <v>90</v>
      </c>
      <c r="Q5" s="14">
        <v>30</v>
      </c>
      <c r="R5" s="14">
        <v>80</v>
      </c>
      <c r="S5" s="14">
        <v>73</v>
      </c>
      <c r="T5" s="14"/>
      <c r="U5" s="14"/>
      <c r="V5" s="14"/>
      <c r="W5" s="14"/>
      <c r="X5" s="14"/>
      <c r="Y5" s="14"/>
      <c r="Z5" s="14"/>
      <c r="AA5" s="14"/>
      <c r="AB5" s="14">
        <v>1.8</v>
      </c>
      <c r="AC5" s="14">
        <v>7.7</v>
      </c>
      <c r="AD5" s="14">
        <v>4.4000000000000004</v>
      </c>
      <c r="AE5" s="14">
        <v>10</v>
      </c>
      <c r="AF5" s="14">
        <v>0.3</v>
      </c>
      <c r="AG5" s="14"/>
      <c r="AH5" s="14">
        <v>0.3</v>
      </c>
    </row>
    <row r="6" spans="1:34" x14ac:dyDescent="0.25">
      <c r="B6" s="15">
        <v>4</v>
      </c>
      <c r="C6" s="17" t="s">
        <v>162</v>
      </c>
      <c r="D6" s="17">
        <v>90</v>
      </c>
      <c r="E6" s="17">
        <v>11.2</v>
      </c>
      <c r="F6" s="17"/>
      <c r="G6" s="17"/>
      <c r="H6" s="17">
        <v>221</v>
      </c>
      <c r="I6" s="17">
        <v>13.4</v>
      </c>
      <c r="J6" s="17">
        <v>260</v>
      </c>
      <c r="K6" s="17">
        <v>10</v>
      </c>
      <c r="L6" s="17">
        <v>180</v>
      </c>
      <c r="M6" s="17">
        <v>60</v>
      </c>
      <c r="N6" s="17">
        <v>490</v>
      </c>
      <c r="O6" s="17">
        <v>85</v>
      </c>
      <c r="P6" s="17">
        <v>90</v>
      </c>
      <c r="Q6" s="17">
        <v>30</v>
      </c>
      <c r="R6" s="17">
        <v>80</v>
      </c>
      <c r="S6" s="17">
        <v>72</v>
      </c>
      <c r="T6" s="17"/>
      <c r="U6" s="17"/>
      <c r="V6" s="17"/>
      <c r="W6" s="17"/>
      <c r="X6" s="17"/>
      <c r="Y6" s="17"/>
      <c r="Z6" s="17"/>
      <c r="AA6" s="17"/>
      <c r="AB6" s="17">
        <v>2.2000000000000002</v>
      </c>
      <c r="AC6" s="17">
        <v>12.2</v>
      </c>
      <c r="AD6" s="17"/>
      <c r="AE6" s="17"/>
      <c r="AF6" s="17"/>
      <c r="AG6" s="17"/>
      <c r="AH6" s="17"/>
    </row>
    <row r="7" spans="1:34" x14ac:dyDescent="0.25">
      <c r="B7" s="12">
        <v>5</v>
      </c>
      <c r="C7" s="14" t="s">
        <v>163</v>
      </c>
      <c r="D7" s="14">
        <v>84</v>
      </c>
      <c r="E7" s="14">
        <v>12.4</v>
      </c>
      <c r="F7" s="14">
        <v>78</v>
      </c>
      <c r="G7" s="14">
        <v>-16</v>
      </c>
      <c r="H7" s="14">
        <v>90</v>
      </c>
      <c r="I7" s="14">
        <v>14.1</v>
      </c>
      <c r="J7" s="14">
        <v>116</v>
      </c>
      <c r="K7" s="14">
        <v>43</v>
      </c>
      <c r="L7" s="14">
        <v>100</v>
      </c>
      <c r="M7" s="14">
        <v>28</v>
      </c>
      <c r="N7" s="14">
        <v>713</v>
      </c>
      <c r="O7" s="14">
        <v>78</v>
      </c>
      <c r="P7" s="14">
        <v>82</v>
      </c>
      <c r="Q7" s="14">
        <v>30</v>
      </c>
      <c r="R7" s="14">
        <v>83</v>
      </c>
      <c r="S7" s="14">
        <v>81</v>
      </c>
      <c r="T7" s="14"/>
      <c r="U7" s="14">
        <v>82</v>
      </c>
      <c r="V7" s="14">
        <v>71</v>
      </c>
      <c r="W7" s="14">
        <v>18</v>
      </c>
      <c r="X7" s="14"/>
      <c r="Y7" s="14">
        <v>434</v>
      </c>
      <c r="Z7" s="14">
        <v>277</v>
      </c>
      <c r="AA7" s="14">
        <v>20</v>
      </c>
      <c r="AB7" s="14">
        <v>0.6</v>
      </c>
      <c r="AC7" s="14">
        <v>4</v>
      </c>
      <c r="AD7" s="14">
        <v>1.3</v>
      </c>
      <c r="AE7" s="14">
        <v>5.6</v>
      </c>
      <c r="AF7" s="14">
        <v>0.3</v>
      </c>
      <c r="AG7" s="14"/>
      <c r="AH7" s="14">
        <v>0.3</v>
      </c>
    </row>
    <row r="8" spans="1:34" x14ac:dyDescent="0.25">
      <c r="B8" s="15">
        <v>6</v>
      </c>
      <c r="C8" s="17" t="s">
        <v>164</v>
      </c>
      <c r="D8" s="17">
        <v>14</v>
      </c>
      <c r="E8" s="17">
        <v>10.199999999999999</v>
      </c>
      <c r="F8" s="17">
        <v>74</v>
      </c>
      <c r="G8" s="17">
        <v>46</v>
      </c>
      <c r="H8" s="17">
        <v>138</v>
      </c>
      <c r="I8" s="17">
        <v>12.3</v>
      </c>
      <c r="J8" s="17">
        <v>180</v>
      </c>
      <c r="K8" s="17">
        <v>30</v>
      </c>
      <c r="L8" s="17">
        <v>130</v>
      </c>
      <c r="M8" s="17">
        <v>180</v>
      </c>
      <c r="N8" s="17">
        <v>480</v>
      </c>
      <c r="O8" s="17"/>
      <c r="P8" s="17">
        <v>50</v>
      </c>
      <c r="Q8" s="17">
        <v>80</v>
      </c>
      <c r="R8" s="17">
        <v>80</v>
      </c>
      <c r="S8" s="17">
        <v>78</v>
      </c>
      <c r="T8" s="17"/>
      <c r="U8" s="17">
        <v>74</v>
      </c>
      <c r="V8" s="17">
        <v>73</v>
      </c>
      <c r="W8" s="17">
        <v>120</v>
      </c>
      <c r="X8" s="17"/>
      <c r="Y8" s="17">
        <v>0</v>
      </c>
      <c r="Z8" s="17"/>
      <c r="AA8" s="17"/>
      <c r="AB8" s="17">
        <v>15</v>
      </c>
      <c r="AC8" s="17">
        <v>2.8</v>
      </c>
      <c r="AD8" s="17">
        <v>3</v>
      </c>
      <c r="AE8" s="17">
        <v>37</v>
      </c>
      <c r="AF8" s="17">
        <v>10</v>
      </c>
      <c r="AG8" s="17"/>
      <c r="AH8" s="17">
        <v>10</v>
      </c>
    </row>
    <row r="9" spans="1:34" x14ac:dyDescent="0.25">
      <c r="B9" s="12">
        <v>7</v>
      </c>
      <c r="C9" s="14" t="s">
        <v>165</v>
      </c>
      <c r="D9" s="14">
        <v>85</v>
      </c>
      <c r="E9" s="14">
        <v>15.6</v>
      </c>
      <c r="F9" s="14"/>
      <c r="G9" s="14"/>
      <c r="H9" s="14">
        <v>113</v>
      </c>
      <c r="I9" s="14">
        <v>16</v>
      </c>
      <c r="J9" s="14">
        <v>150</v>
      </c>
      <c r="K9" s="14">
        <v>300</v>
      </c>
      <c r="L9" s="14">
        <v>210</v>
      </c>
      <c r="M9" s="14">
        <v>50</v>
      </c>
      <c r="N9" s="14">
        <v>290</v>
      </c>
      <c r="O9" s="14">
        <v>75</v>
      </c>
      <c r="P9" s="14">
        <v>90</v>
      </c>
      <c r="Q9" s="14">
        <v>30</v>
      </c>
      <c r="R9" s="14">
        <v>60</v>
      </c>
      <c r="S9" s="14">
        <v>65</v>
      </c>
      <c r="T9" s="14"/>
      <c r="U9" s="14"/>
      <c r="V9" s="14"/>
      <c r="W9" s="14"/>
      <c r="X9" s="14"/>
      <c r="Y9" s="14"/>
      <c r="Z9" s="14"/>
      <c r="AA9" s="14"/>
      <c r="AB9" s="14">
        <v>5.9</v>
      </c>
      <c r="AC9" s="14">
        <v>3.5</v>
      </c>
      <c r="AD9" s="14"/>
      <c r="AE9" s="14"/>
      <c r="AF9" s="14"/>
      <c r="AG9" s="14"/>
      <c r="AH9" s="14"/>
    </row>
    <row r="10" spans="1:34" x14ac:dyDescent="0.25">
      <c r="B10" s="15">
        <v>8</v>
      </c>
      <c r="C10" s="17" t="s">
        <v>166</v>
      </c>
      <c r="D10" s="17">
        <v>92</v>
      </c>
      <c r="E10" s="17">
        <v>10.9</v>
      </c>
      <c r="F10" s="17"/>
      <c r="G10" s="17"/>
      <c r="H10" s="17">
        <v>221</v>
      </c>
      <c r="I10" s="17">
        <v>12.5</v>
      </c>
      <c r="J10" s="17">
        <v>270</v>
      </c>
      <c r="K10" s="17">
        <v>70</v>
      </c>
      <c r="L10" s="17">
        <v>200</v>
      </c>
      <c r="M10" s="17">
        <v>70</v>
      </c>
      <c r="N10" s="17">
        <v>390</v>
      </c>
      <c r="O10" s="17">
        <v>82</v>
      </c>
      <c r="P10" s="17">
        <v>95</v>
      </c>
      <c r="Q10" s="17">
        <v>25</v>
      </c>
      <c r="R10" s="17">
        <v>60</v>
      </c>
      <c r="S10" s="17">
        <v>60</v>
      </c>
      <c r="T10" s="17"/>
      <c r="U10" s="17">
        <v>58</v>
      </c>
      <c r="V10" s="17">
        <v>86</v>
      </c>
      <c r="W10" s="17">
        <v>54</v>
      </c>
      <c r="X10" s="17"/>
      <c r="Y10" s="17">
        <v>15</v>
      </c>
      <c r="Z10" s="17"/>
      <c r="AA10" s="17"/>
      <c r="AB10" s="17">
        <v>2.2000000000000002</v>
      </c>
      <c r="AC10" s="17">
        <v>11.9</v>
      </c>
      <c r="AD10" s="17">
        <v>6.4</v>
      </c>
      <c r="AE10" s="17">
        <v>18</v>
      </c>
      <c r="AF10" s="17">
        <v>0.2</v>
      </c>
      <c r="AG10" s="17"/>
      <c r="AH10" s="17">
        <v>0.2</v>
      </c>
    </row>
    <row r="11" spans="1:34" x14ac:dyDescent="0.25">
      <c r="B11" s="12">
        <v>9</v>
      </c>
      <c r="C11" s="14" t="s">
        <v>167</v>
      </c>
      <c r="D11" s="14">
        <v>92</v>
      </c>
      <c r="E11" s="14">
        <v>13.2</v>
      </c>
      <c r="F11" s="14">
        <v>162</v>
      </c>
      <c r="G11" s="14">
        <v>210</v>
      </c>
      <c r="H11" s="14">
        <v>374</v>
      </c>
      <c r="I11" s="14">
        <v>15.6</v>
      </c>
      <c r="J11" s="14">
        <v>440</v>
      </c>
      <c r="K11" s="14">
        <v>70</v>
      </c>
      <c r="L11" s="14">
        <v>100</v>
      </c>
      <c r="M11" s="14">
        <v>70</v>
      </c>
      <c r="N11" s="14">
        <v>320</v>
      </c>
      <c r="O11" s="14">
        <v>85</v>
      </c>
      <c r="P11" s="14">
        <v>90</v>
      </c>
      <c r="Q11" s="14">
        <v>30</v>
      </c>
      <c r="R11" s="14">
        <v>70</v>
      </c>
      <c r="S11" s="14">
        <v>74</v>
      </c>
      <c r="T11" s="14">
        <v>44</v>
      </c>
      <c r="U11" s="14">
        <v>58</v>
      </c>
      <c r="V11" s="14">
        <v>86</v>
      </c>
      <c r="W11" s="14">
        <v>54</v>
      </c>
      <c r="X11" s="14"/>
      <c r="Y11" s="14">
        <v>15</v>
      </c>
      <c r="Z11" s="14">
        <v>257</v>
      </c>
      <c r="AA11" s="14">
        <v>60</v>
      </c>
      <c r="AB11" s="14">
        <v>2.2000000000000002</v>
      </c>
      <c r="AC11" s="14">
        <v>11.9</v>
      </c>
      <c r="AD11" s="14">
        <v>6.4</v>
      </c>
      <c r="AE11" s="14">
        <v>18</v>
      </c>
      <c r="AF11" s="14">
        <v>0.2</v>
      </c>
      <c r="AG11" s="14">
        <v>71</v>
      </c>
      <c r="AH11" s="14">
        <v>0.2</v>
      </c>
    </row>
    <row r="12" spans="1:34" x14ac:dyDescent="0.25">
      <c r="B12" s="15">
        <v>10</v>
      </c>
      <c r="C12" s="17" t="s">
        <v>168</v>
      </c>
      <c r="D12" s="17">
        <v>92</v>
      </c>
      <c r="E12" s="17">
        <v>15.3</v>
      </c>
      <c r="F12" s="17"/>
      <c r="G12" s="17"/>
      <c r="H12" s="17">
        <v>168</v>
      </c>
      <c r="I12" s="17">
        <v>16.5</v>
      </c>
      <c r="J12" s="17">
        <v>240</v>
      </c>
      <c r="K12" s="17">
        <v>250</v>
      </c>
      <c r="L12" s="17">
        <v>250</v>
      </c>
      <c r="M12" s="17">
        <v>50</v>
      </c>
      <c r="N12" s="17">
        <v>210</v>
      </c>
      <c r="O12" s="17">
        <v>70</v>
      </c>
      <c r="P12" s="17">
        <v>90</v>
      </c>
      <c r="Q12" s="17">
        <v>60</v>
      </c>
      <c r="R12" s="17">
        <v>60</v>
      </c>
      <c r="S12" s="17">
        <v>70</v>
      </c>
      <c r="T12" s="17"/>
      <c r="U12" s="17"/>
      <c r="V12" s="17"/>
      <c r="W12" s="17"/>
      <c r="X12" s="17"/>
      <c r="Y12" s="17"/>
      <c r="Z12" s="17">
        <v>400</v>
      </c>
      <c r="AA12" s="17">
        <v>150</v>
      </c>
      <c r="AB12" s="17">
        <v>1.6</v>
      </c>
      <c r="AC12" s="17">
        <v>9.8000000000000007</v>
      </c>
      <c r="AD12" s="17">
        <v>4.0999999999999996</v>
      </c>
      <c r="AE12" s="17">
        <v>11.8</v>
      </c>
      <c r="AF12" s="17">
        <v>0.1</v>
      </c>
      <c r="AG12" s="17"/>
      <c r="AH12" s="17">
        <v>0.1</v>
      </c>
    </row>
    <row r="13" spans="1:34" x14ac:dyDescent="0.25">
      <c r="B13" s="12">
        <v>11</v>
      </c>
      <c r="C13" s="14" t="s">
        <v>169</v>
      </c>
      <c r="D13" s="14">
        <v>92</v>
      </c>
      <c r="E13" s="14">
        <v>8.8000000000000007</v>
      </c>
      <c r="F13" s="14"/>
      <c r="G13" s="14"/>
      <c r="H13" s="14">
        <v>230</v>
      </c>
      <c r="I13" s="14">
        <v>10.8</v>
      </c>
      <c r="J13" s="14">
        <v>280</v>
      </c>
      <c r="K13" s="14">
        <v>10</v>
      </c>
      <c r="L13" s="14">
        <v>300</v>
      </c>
      <c r="M13" s="14">
        <v>60</v>
      </c>
      <c r="N13" s="14">
        <v>350</v>
      </c>
      <c r="O13" s="14">
        <v>82</v>
      </c>
      <c r="P13" s="14">
        <v>90</v>
      </c>
      <c r="Q13" s="14">
        <v>25</v>
      </c>
      <c r="R13" s="14">
        <v>60</v>
      </c>
      <c r="S13" s="14">
        <v>59</v>
      </c>
      <c r="T13" s="14"/>
      <c r="U13" s="14"/>
      <c r="V13" s="14"/>
      <c r="W13" s="14">
        <v>15</v>
      </c>
      <c r="X13" s="14"/>
      <c r="Y13" s="14">
        <v>54</v>
      </c>
      <c r="Z13" s="14"/>
      <c r="AA13" s="14"/>
      <c r="AB13" s="14">
        <v>2.1</v>
      </c>
      <c r="AC13" s="14">
        <v>12.6</v>
      </c>
      <c r="AD13" s="14">
        <v>6.9</v>
      </c>
      <c r="AE13" s="14">
        <v>19</v>
      </c>
      <c r="AF13" s="14">
        <v>0.2</v>
      </c>
      <c r="AG13" s="14"/>
      <c r="AH13" s="14">
        <v>0.2</v>
      </c>
    </row>
    <row r="14" spans="1:34" x14ac:dyDescent="0.25">
      <c r="B14" s="15">
        <v>12</v>
      </c>
      <c r="C14" s="17" t="s">
        <v>170</v>
      </c>
      <c r="D14" s="17">
        <v>90</v>
      </c>
      <c r="E14" s="17">
        <v>12</v>
      </c>
      <c r="F14" s="17">
        <v>167</v>
      </c>
      <c r="G14" s="17">
        <v>244</v>
      </c>
      <c r="H14" s="17">
        <v>417</v>
      </c>
      <c r="I14" s="17">
        <v>14.7</v>
      </c>
      <c r="J14" s="17">
        <v>490</v>
      </c>
      <c r="K14" s="17">
        <v>10</v>
      </c>
      <c r="L14" s="17">
        <v>110</v>
      </c>
      <c r="M14" s="17">
        <v>80</v>
      </c>
      <c r="N14" s="17">
        <v>310</v>
      </c>
      <c r="O14" s="17">
        <v>85</v>
      </c>
      <c r="P14" s="17">
        <v>90</v>
      </c>
      <c r="Q14" s="17">
        <v>30</v>
      </c>
      <c r="R14" s="17">
        <v>70</v>
      </c>
      <c r="S14" s="17">
        <v>73</v>
      </c>
      <c r="T14" s="17"/>
      <c r="U14" s="17">
        <v>59</v>
      </c>
      <c r="V14" s="17">
        <v>82</v>
      </c>
      <c r="W14" s="17">
        <v>15</v>
      </c>
      <c r="X14" s="17"/>
      <c r="Y14" s="17">
        <v>54</v>
      </c>
      <c r="Z14" s="17">
        <v>260</v>
      </c>
      <c r="AA14" s="17">
        <v>60</v>
      </c>
      <c r="AB14" s="17">
        <v>2.1</v>
      </c>
      <c r="AC14" s="17">
        <v>12.6</v>
      </c>
      <c r="AD14" s="17">
        <v>6.5</v>
      </c>
      <c r="AE14" s="17">
        <v>19</v>
      </c>
      <c r="AF14" s="17">
        <v>0.2</v>
      </c>
      <c r="AG14" s="17"/>
      <c r="AH14" s="17">
        <v>0.2</v>
      </c>
    </row>
    <row r="15" spans="1:34" x14ac:dyDescent="0.25">
      <c r="B15" s="12">
        <v>13</v>
      </c>
      <c r="C15" s="14" t="s">
        <v>171</v>
      </c>
      <c r="D15" s="14">
        <v>90</v>
      </c>
      <c r="E15" s="14">
        <v>12.6</v>
      </c>
      <c r="F15" s="14">
        <v>94</v>
      </c>
      <c r="G15" s="14">
        <v>-89</v>
      </c>
      <c r="H15" s="14">
        <v>30</v>
      </c>
      <c r="I15" s="14">
        <v>14.5</v>
      </c>
      <c r="J15" s="14">
        <v>70</v>
      </c>
      <c r="K15" s="14">
        <v>26</v>
      </c>
      <c r="L15" s="14">
        <v>132</v>
      </c>
      <c r="M15" s="14">
        <v>65</v>
      </c>
      <c r="N15" s="14">
        <v>707</v>
      </c>
      <c r="O15" s="14">
        <v>43</v>
      </c>
      <c r="P15" s="14">
        <v>81</v>
      </c>
      <c r="Q15" s="14">
        <v>79</v>
      </c>
      <c r="R15" s="14">
        <v>92</v>
      </c>
      <c r="S15" s="14"/>
      <c r="T15" s="14">
        <v>75</v>
      </c>
      <c r="U15" s="14">
        <v>66</v>
      </c>
      <c r="V15" s="14">
        <v>79</v>
      </c>
      <c r="W15" s="14">
        <v>243</v>
      </c>
      <c r="X15" s="14">
        <v>238</v>
      </c>
      <c r="Y15" s="14">
        <v>60</v>
      </c>
      <c r="Z15" s="14">
        <v>195</v>
      </c>
      <c r="AA15" s="14"/>
      <c r="AB15" s="14">
        <v>15.5</v>
      </c>
      <c r="AC15" s="14">
        <v>1.3</v>
      </c>
      <c r="AD15" s="14">
        <v>1.8</v>
      </c>
      <c r="AE15" s="14">
        <v>10.7</v>
      </c>
      <c r="AF15" s="14"/>
      <c r="AG15" s="14"/>
      <c r="AH15" s="14"/>
    </row>
    <row r="16" spans="1:34" x14ac:dyDescent="0.25">
      <c r="B16" s="15">
        <v>14</v>
      </c>
      <c r="C16" s="17" t="s">
        <v>172</v>
      </c>
      <c r="D16" s="17">
        <v>99</v>
      </c>
      <c r="E16" s="17">
        <v>31.5</v>
      </c>
      <c r="F16" s="17">
        <v>0</v>
      </c>
      <c r="G16" s="17">
        <v>0</v>
      </c>
      <c r="H16" s="17">
        <v>0</v>
      </c>
      <c r="I16" s="17"/>
      <c r="J16" s="17">
        <v>0</v>
      </c>
      <c r="K16" s="17">
        <v>1000</v>
      </c>
      <c r="L16" s="17">
        <v>0</v>
      </c>
      <c r="M16" s="17">
        <v>0</v>
      </c>
      <c r="N16" s="17">
        <v>0</v>
      </c>
      <c r="O16" s="17"/>
      <c r="P16" s="17"/>
      <c r="Q16" s="17"/>
      <c r="R16" s="17"/>
      <c r="S16" s="17"/>
      <c r="T16" s="17"/>
      <c r="U16" s="17"/>
      <c r="V16" s="17"/>
      <c r="W16" s="17">
        <v>0</v>
      </c>
      <c r="X16" s="17"/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  <c r="AG16" s="17"/>
      <c r="AH16" s="17">
        <v>0</v>
      </c>
    </row>
    <row r="17" spans="1:34" x14ac:dyDescent="0.25">
      <c r="B17" s="12">
        <v>15</v>
      </c>
      <c r="C17" s="14" t="s">
        <v>173</v>
      </c>
      <c r="D17" s="14">
        <v>12</v>
      </c>
      <c r="E17" s="14">
        <v>12.5</v>
      </c>
      <c r="F17" s="14">
        <v>87</v>
      </c>
      <c r="G17" s="14">
        <v>-71</v>
      </c>
      <c r="H17" s="14">
        <v>48</v>
      </c>
      <c r="I17" s="14">
        <v>14.3</v>
      </c>
      <c r="J17" s="14">
        <v>80</v>
      </c>
      <c r="K17" s="14">
        <v>10</v>
      </c>
      <c r="L17" s="14">
        <v>70</v>
      </c>
      <c r="M17" s="14">
        <v>90</v>
      </c>
      <c r="N17" s="14">
        <v>750</v>
      </c>
      <c r="O17" s="14">
        <v>60</v>
      </c>
      <c r="P17" s="14">
        <v>0</v>
      </c>
      <c r="Q17" s="14">
        <v>70</v>
      </c>
      <c r="R17" s="14">
        <v>95</v>
      </c>
      <c r="S17" s="14">
        <v>89</v>
      </c>
      <c r="T17" s="14"/>
      <c r="U17" s="14">
        <v>82</v>
      </c>
      <c r="V17" s="14">
        <v>61</v>
      </c>
      <c r="W17" s="14">
        <v>610</v>
      </c>
      <c r="X17" s="14"/>
      <c r="Y17" s="14">
        <v>0</v>
      </c>
      <c r="Z17" s="14"/>
      <c r="AA17" s="14"/>
      <c r="AB17" s="14">
        <v>2.2999999999999998</v>
      </c>
      <c r="AC17" s="14">
        <v>1.6</v>
      </c>
      <c r="AD17" s="14">
        <v>1.3</v>
      </c>
      <c r="AE17" s="14">
        <v>15</v>
      </c>
      <c r="AF17" s="14">
        <v>1.5</v>
      </c>
      <c r="AG17" s="14">
        <v>346</v>
      </c>
      <c r="AH17" s="14">
        <v>1.5</v>
      </c>
    </row>
    <row r="18" spans="1:34" x14ac:dyDescent="0.25">
      <c r="B18" s="15">
        <v>16</v>
      </c>
      <c r="C18" s="17" t="s">
        <v>174</v>
      </c>
      <c r="D18" s="17">
        <v>90</v>
      </c>
      <c r="E18" s="17">
        <v>10.6</v>
      </c>
      <c r="F18" s="17">
        <v>89</v>
      </c>
      <c r="G18" s="17">
        <v>-150</v>
      </c>
      <c r="H18" s="17">
        <v>0</v>
      </c>
      <c r="I18" s="17">
        <v>14.5</v>
      </c>
      <c r="J18" s="17">
        <v>3</v>
      </c>
      <c r="K18" s="17">
        <v>5</v>
      </c>
      <c r="L18" s="17">
        <v>815</v>
      </c>
      <c r="M18" s="17">
        <v>7</v>
      </c>
      <c r="N18" s="17">
        <v>170</v>
      </c>
      <c r="O18" s="17">
        <v>0</v>
      </c>
      <c r="P18" s="17">
        <v>40</v>
      </c>
      <c r="Q18" s="17">
        <v>90</v>
      </c>
      <c r="R18" s="17">
        <v>60</v>
      </c>
      <c r="S18" s="17">
        <v>90</v>
      </c>
      <c r="T18" s="17"/>
      <c r="U18" s="17">
        <v>0</v>
      </c>
      <c r="V18" s="17">
        <v>0</v>
      </c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</row>
    <row r="19" spans="1:34" x14ac:dyDescent="0.25">
      <c r="B19" s="12">
        <v>17</v>
      </c>
      <c r="C19" s="14" t="s">
        <v>175</v>
      </c>
      <c r="D19" s="14">
        <v>15</v>
      </c>
      <c r="E19" s="14">
        <v>10.6</v>
      </c>
      <c r="F19" s="14">
        <v>71</v>
      </c>
      <c r="G19" s="14">
        <v>12</v>
      </c>
      <c r="H19" s="14">
        <v>100</v>
      </c>
      <c r="I19" s="14">
        <v>12.6</v>
      </c>
      <c r="J19" s="14">
        <v>140</v>
      </c>
      <c r="K19" s="14">
        <v>30</v>
      </c>
      <c r="L19" s="14">
        <v>200</v>
      </c>
      <c r="M19" s="14">
        <v>130</v>
      </c>
      <c r="N19" s="14">
        <v>500</v>
      </c>
      <c r="O19" s="14"/>
      <c r="P19" s="14">
        <v>58</v>
      </c>
      <c r="Q19" s="14">
        <v>58</v>
      </c>
      <c r="R19" s="14">
        <v>88</v>
      </c>
      <c r="S19" s="14">
        <v>72</v>
      </c>
      <c r="T19" s="14"/>
      <c r="U19" s="14">
        <v>80</v>
      </c>
      <c r="V19" s="14">
        <v>63</v>
      </c>
      <c r="W19" s="14">
        <v>10</v>
      </c>
      <c r="X19" s="14"/>
      <c r="Y19" s="14">
        <v>0</v>
      </c>
      <c r="Z19" s="14"/>
      <c r="AA19" s="14"/>
      <c r="AB19" s="14">
        <v>19.399999999999999</v>
      </c>
      <c r="AC19" s="14">
        <v>4.3</v>
      </c>
      <c r="AD19" s="14">
        <v>2.8</v>
      </c>
      <c r="AE19" s="14">
        <v>30</v>
      </c>
      <c r="AF19" s="14">
        <v>2.5</v>
      </c>
      <c r="AG19" s="14"/>
      <c r="AH19" s="14">
        <v>2.5</v>
      </c>
    </row>
    <row r="20" spans="1:34" x14ac:dyDescent="0.25">
      <c r="B20" s="15">
        <v>18</v>
      </c>
      <c r="C20" s="17" t="s">
        <v>176</v>
      </c>
      <c r="D20" s="17">
        <v>16</v>
      </c>
      <c r="E20" s="17">
        <v>12.7</v>
      </c>
      <c r="F20" s="17">
        <v>90</v>
      </c>
      <c r="G20" s="17">
        <v>-93</v>
      </c>
      <c r="H20" s="17">
        <v>36</v>
      </c>
      <c r="I20" s="17">
        <v>14.5</v>
      </c>
      <c r="J20" s="17">
        <v>60</v>
      </c>
      <c r="K20" s="17">
        <v>10</v>
      </c>
      <c r="L20" s="17">
        <v>68</v>
      </c>
      <c r="M20" s="17">
        <v>78</v>
      </c>
      <c r="N20" s="17">
        <v>784</v>
      </c>
      <c r="O20" s="17">
        <v>60</v>
      </c>
      <c r="P20" s="17">
        <v>0</v>
      </c>
      <c r="Q20" s="17">
        <v>65</v>
      </c>
      <c r="R20" s="17">
        <v>95</v>
      </c>
      <c r="S20" s="17">
        <v>90</v>
      </c>
      <c r="T20" s="17"/>
      <c r="U20" s="17">
        <v>80</v>
      </c>
      <c r="V20" s="17">
        <v>82</v>
      </c>
      <c r="W20" s="17">
        <v>680</v>
      </c>
      <c r="X20" s="17"/>
      <c r="Y20" s="17">
        <v>0</v>
      </c>
      <c r="Z20" s="17"/>
      <c r="AA20" s="17"/>
      <c r="AB20" s="17">
        <v>1.8</v>
      </c>
      <c r="AC20" s="17">
        <v>1.7</v>
      </c>
      <c r="AD20" s="17">
        <v>1.4</v>
      </c>
      <c r="AE20" s="17">
        <v>21</v>
      </c>
      <c r="AF20" s="17">
        <v>2</v>
      </c>
      <c r="AG20" s="17"/>
      <c r="AH20" s="17">
        <v>1.5</v>
      </c>
    </row>
    <row r="21" spans="1:34" x14ac:dyDescent="0.25">
      <c r="B21" s="12">
        <v>19</v>
      </c>
      <c r="C21" s="14" t="s">
        <v>177</v>
      </c>
      <c r="D21" s="14">
        <v>90</v>
      </c>
      <c r="E21" s="14">
        <v>7.3</v>
      </c>
      <c r="F21" s="14">
        <v>43</v>
      </c>
      <c r="G21" s="14">
        <v>-9</v>
      </c>
      <c r="H21" s="14">
        <v>47</v>
      </c>
      <c r="I21" s="14">
        <v>8.4</v>
      </c>
      <c r="J21" s="14">
        <v>105</v>
      </c>
      <c r="K21" s="14">
        <v>20</v>
      </c>
      <c r="L21" s="14">
        <v>450</v>
      </c>
      <c r="M21" s="14">
        <v>71</v>
      </c>
      <c r="N21" s="14">
        <v>354</v>
      </c>
      <c r="O21" s="14">
        <v>45</v>
      </c>
      <c r="P21" s="14">
        <v>40</v>
      </c>
      <c r="Q21" s="14">
        <v>50</v>
      </c>
      <c r="R21" s="14">
        <v>50</v>
      </c>
      <c r="S21" s="14">
        <v>49</v>
      </c>
      <c r="T21" s="14"/>
      <c r="U21" s="14">
        <v>60</v>
      </c>
      <c r="V21" s="14">
        <v>0</v>
      </c>
      <c r="W21" s="14">
        <v>0</v>
      </c>
      <c r="X21" s="14"/>
      <c r="Y21" s="14">
        <v>0</v>
      </c>
      <c r="Z21" s="14"/>
      <c r="AA21" s="14"/>
      <c r="AB21" s="14">
        <v>13</v>
      </c>
      <c r="AC21" s="14">
        <v>2.4</v>
      </c>
      <c r="AD21" s="14">
        <v>3.9</v>
      </c>
      <c r="AE21" s="14">
        <v>14</v>
      </c>
      <c r="AF21" s="14">
        <v>0.1</v>
      </c>
      <c r="AG21" s="14"/>
      <c r="AH21" s="14">
        <v>0.1</v>
      </c>
    </row>
    <row r="22" spans="1:34" x14ac:dyDescent="0.25">
      <c r="B22" s="15">
        <v>20</v>
      </c>
      <c r="C22" s="17" t="s">
        <v>178</v>
      </c>
      <c r="D22" s="17">
        <v>89</v>
      </c>
      <c r="E22" s="17">
        <v>6.9</v>
      </c>
      <c r="F22" s="17">
        <v>47</v>
      </c>
      <c r="G22" s="17">
        <v>-35</v>
      </c>
      <c r="H22" s="17">
        <v>29</v>
      </c>
      <c r="I22" s="17">
        <v>8.6</v>
      </c>
      <c r="J22" s="17">
        <v>73</v>
      </c>
      <c r="K22" s="17">
        <v>20</v>
      </c>
      <c r="L22" s="17">
        <v>400</v>
      </c>
      <c r="M22" s="17">
        <v>64</v>
      </c>
      <c r="N22" s="17">
        <v>443</v>
      </c>
      <c r="O22" s="17">
        <v>40</v>
      </c>
      <c r="P22" s="17">
        <v>40</v>
      </c>
      <c r="Q22" s="17">
        <v>55</v>
      </c>
      <c r="R22" s="17">
        <v>50</v>
      </c>
      <c r="S22" s="17">
        <v>51</v>
      </c>
      <c r="T22" s="17"/>
      <c r="U22" s="17">
        <v>60</v>
      </c>
      <c r="V22" s="17">
        <v>0</v>
      </c>
      <c r="W22" s="17">
        <v>0</v>
      </c>
      <c r="X22" s="17"/>
      <c r="Y22" s="17">
        <v>0</v>
      </c>
      <c r="Z22" s="17"/>
      <c r="AA22" s="17"/>
      <c r="AB22" s="17">
        <v>3.3</v>
      </c>
      <c r="AC22" s="17">
        <v>1.4</v>
      </c>
      <c r="AD22" s="17">
        <v>1.4</v>
      </c>
      <c r="AE22" s="17">
        <v>25</v>
      </c>
      <c r="AF22" s="17">
        <v>1</v>
      </c>
      <c r="AG22" s="17"/>
      <c r="AH22" s="17">
        <v>1</v>
      </c>
    </row>
    <row r="23" spans="1:34" x14ac:dyDescent="0.25">
      <c r="B23" s="12">
        <v>21</v>
      </c>
      <c r="C23" s="14" t="s">
        <v>179</v>
      </c>
      <c r="D23" s="14">
        <v>80</v>
      </c>
      <c r="E23" s="14">
        <v>8.3000000000000007</v>
      </c>
      <c r="F23" s="14">
        <v>54</v>
      </c>
      <c r="G23" s="14">
        <v>4</v>
      </c>
      <c r="H23" s="14">
        <v>50</v>
      </c>
      <c r="I23" s="14">
        <v>10.3</v>
      </c>
      <c r="J23" s="14">
        <v>119</v>
      </c>
      <c r="K23" s="14">
        <v>20</v>
      </c>
      <c r="L23" s="14">
        <v>400</v>
      </c>
      <c r="M23" s="14">
        <v>60</v>
      </c>
      <c r="N23" s="14">
        <v>401</v>
      </c>
      <c r="O23" s="14">
        <v>42</v>
      </c>
      <c r="P23" s="14">
        <v>40</v>
      </c>
      <c r="Q23" s="14">
        <v>65</v>
      </c>
      <c r="R23" s="14">
        <v>62</v>
      </c>
      <c r="S23" s="14">
        <v>61</v>
      </c>
      <c r="T23" s="14"/>
      <c r="U23" s="14">
        <v>80</v>
      </c>
      <c r="V23" s="14">
        <v>0</v>
      </c>
      <c r="W23" s="14">
        <v>0</v>
      </c>
      <c r="X23" s="14"/>
      <c r="Y23" s="14">
        <v>0</v>
      </c>
      <c r="Z23" s="14"/>
      <c r="AA23" s="14"/>
      <c r="AB23" s="14">
        <v>3.3</v>
      </c>
      <c r="AC23" s="14">
        <v>1.1000000000000001</v>
      </c>
      <c r="AD23" s="14">
        <v>1.3</v>
      </c>
      <c r="AE23" s="14">
        <v>19</v>
      </c>
      <c r="AF23" s="14">
        <v>3</v>
      </c>
      <c r="AG23" s="14"/>
      <c r="AH23" s="14">
        <v>3</v>
      </c>
    </row>
    <row r="24" spans="1:34" x14ac:dyDescent="0.25">
      <c r="A24" t="s">
        <v>302</v>
      </c>
      <c r="B24" s="15">
        <v>22</v>
      </c>
      <c r="C24" s="17" t="s">
        <v>180</v>
      </c>
      <c r="D24" s="17">
        <v>85</v>
      </c>
      <c r="E24" s="17">
        <v>6.6</v>
      </c>
      <c r="F24" s="17">
        <v>45</v>
      </c>
      <c r="G24" s="17">
        <v>-60</v>
      </c>
      <c r="H24" s="17">
        <v>0</v>
      </c>
      <c r="I24" s="17">
        <v>7.6</v>
      </c>
      <c r="J24" s="17">
        <v>69</v>
      </c>
      <c r="K24" s="17">
        <v>20</v>
      </c>
      <c r="L24" s="17">
        <v>436</v>
      </c>
      <c r="M24" s="17">
        <v>66</v>
      </c>
      <c r="N24" s="17">
        <v>409</v>
      </c>
      <c r="O24" s="17">
        <v>0</v>
      </c>
      <c r="P24" s="17">
        <v>40</v>
      </c>
      <c r="Q24" s="17">
        <v>55</v>
      </c>
      <c r="R24" s="17">
        <v>45</v>
      </c>
      <c r="S24" s="17">
        <v>47</v>
      </c>
      <c r="T24" s="17">
        <v>25</v>
      </c>
      <c r="U24" s="17">
        <v>23</v>
      </c>
      <c r="V24" s="17">
        <v>0</v>
      </c>
      <c r="W24" s="17">
        <v>0</v>
      </c>
      <c r="X24" s="17"/>
      <c r="Y24" s="17">
        <v>0</v>
      </c>
      <c r="Z24" s="17">
        <v>748</v>
      </c>
      <c r="AA24" s="17">
        <v>120</v>
      </c>
      <c r="AB24" s="17">
        <v>7.5</v>
      </c>
      <c r="AC24" s="17">
        <v>2.6</v>
      </c>
      <c r="AD24" s="17">
        <v>2.8</v>
      </c>
      <c r="AE24" s="17">
        <v>16.8</v>
      </c>
      <c r="AF24" s="17">
        <v>3</v>
      </c>
      <c r="AG24" s="17">
        <v>162</v>
      </c>
      <c r="AH24" s="17">
        <v>3</v>
      </c>
    </row>
    <row r="25" spans="1:34" x14ac:dyDescent="0.25">
      <c r="B25" s="12">
        <v>23</v>
      </c>
      <c r="C25" s="14" t="s">
        <v>181</v>
      </c>
      <c r="D25" s="14">
        <v>59</v>
      </c>
      <c r="E25" s="14">
        <v>7.9</v>
      </c>
      <c r="F25" s="14">
        <v>63</v>
      </c>
      <c r="G25" s="14">
        <v>-74</v>
      </c>
      <c r="H25" s="14">
        <v>0</v>
      </c>
      <c r="I25" s="14">
        <v>10.4</v>
      </c>
      <c r="J25" s="14">
        <v>40</v>
      </c>
      <c r="K25" s="14">
        <v>15</v>
      </c>
      <c r="L25" s="14">
        <v>408</v>
      </c>
      <c r="M25" s="14">
        <v>100</v>
      </c>
      <c r="N25" s="14">
        <v>437</v>
      </c>
      <c r="O25" s="14">
        <v>0</v>
      </c>
      <c r="P25" s="14">
        <v>35</v>
      </c>
      <c r="Q25" s="14">
        <v>75</v>
      </c>
      <c r="R25" s="14">
        <v>65</v>
      </c>
      <c r="S25" s="14">
        <v>65</v>
      </c>
      <c r="T25" s="14">
        <v>34</v>
      </c>
      <c r="U25" s="14">
        <v>80</v>
      </c>
      <c r="V25" s="14">
        <v>0</v>
      </c>
      <c r="W25" s="14">
        <v>0</v>
      </c>
      <c r="X25" s="14"/>
      <c r="Y25" s="14">
        <v>0</v>
      </c>
      <c r="Z25" s="14"/>
      <c r="AA25" s="14"/>
      <c r="AB25" s="14">
        <v>3.3</v>
      </c>
      <c r="AC25" s="14">
        <v>1.1000000000000001</v>
      </c>
      <c r="AD25" s="14">
        <v>1.3</v>
      </c>
      <c r="AE25" s="14">
        <v>19</v>
      </c>
      <c r="AF25" s="14">
        <v>28.1</v>
      </c>
      <c r="AG25" s="14"/>
      <c r="AH25" s="14">
        <v>28</v>
      </c>
    </row>
    <row r="26" spans="1:34" x14ac:dyDescent="0.25">
      <c r="B26" s="15">
        <v>24</v>
      </c>
      <c r="C26" s="17" t="s">
        <v>182</v>
      </c>
      <c r="D26" s="17">
        <v>74</v>
      </c>
      <c r="E26" s="17">
        <v>8.1999999999999993</v>
      </c>
      <c r="F26" s="17">
        <v>59</v>
      </c>
      <c r="G26" s="17">
        <v>-67</v>
      </c>
      <c r="H26" s="17">
        <v>0</v>
      </c>
      <c r="I26" s="17">
        <v>9.8000000000000007</v>
      </c>
      <c r="J26" s="17">
        <v>40</v>
      </c>
      <c r="K26" s="17">
        <v>15</v>
      </c>
      <c r="L26" s="17">
        <v>421</v>
      </c>
      <c r="M26" s="17">
        <v>73</v>
      </c>
      <c r="N26" s="17">
        <v>451</v>
      </c>
      <c r="O26" s="17">
        <v>0</v>
      </c>
      <c r="P26" s="17">
        <v>35</v>
      </c>
      <c r="Q26" s="17">
        <v>65</v>
      </c>
      <c r="R26" s="17">
        <v>62</v>
      </c>
      <c r="S26" s="17">
        <v>73</v>
      </c>
      <c r="T26" s="17"/>
      <c r="U26" s="17">
        <v>80</v>
      </c>
      <c r="V26" s="17">
        <v>0</v>
      </c>
      <c r="W26" s="17">
        <v>0</v>
      </c>
      <c r="X26" s="17"/>
      <c r="Y26" s="17">
        <v>0</v>
      </c>
      <c r="Z26" s="17"/>
      <c r="AA26" s="17"/>
      <c r="AB26" s="17">
        <v>3.2</v>
      </c>
      <c r="AC26" s="17">
        <v>1.8</v>
      </c>
      <c r="AD26" s="17"/>
      <c r="AE26" s="17"/>
      <c r="AF26" s="17"/>
      <c r="AG26" s="17"/>
      <c r="AH26" s="17"/>
    </row>
    <row r="27" spans="1:34" x14ac:dyDescent="0.25">
      <c r="B27" s="12">
        <v>25</v>
      </c>
      <c r="C27" s="14" t="s">
        <v>183</v>
      </c>
      <c r="D27" s="14">
        <v>93</v>
      </c>
      <c r="E27" s="14">
        <v>17.7</v>
      </c>
      <c r="F27" s="14"/>
      <c r="G27" s="14"/>
      <c r="H27" s="14">
        <v>140</v>
      </c>
      <c r="I27" s="14">
        <v>18.2</v>
      </c>
      <c r="J27" s="14">
        <v>200</v>
      </c>
      <c r="K27" s="14">
        <v>350</v>
      </c>
      <c r="L27" s="14">
        <v>170</v>
      </c>
      <c r="M27" s="14">
        <v>50</v>
      </c>
      <c r="N27" s="14">
        <v>230</v>
      </c>
      <c r="O27" s="14">
        <v>70</v>
      </c>
      <c r="P27" s="14">
        <v>90</v>
      </c>
      <c r="Q27" s="14">
        <v>30</v>
      </c>
      <c r="R27" s="14">
        <v>80</v>
      </c>
      <c r="S27" s="14">
        <v>73</v>
      </c>
      <c r="T27" s="14"/>
      <c r="U27" s="14"/>
      <c r="V27" s="14"/>
      <c r="W27" s="14"/>
      <c r="X27" s="14"/>
      <c r="Y27" s="14"/>
      <c r="Z27" s="14"/>
      <c r="AA27" s="14"/>
      <c r="AB27" s="14">
        <v>1.7</v>
      </c>
      <c r="AC27" s="14">
        <v>6</v>
      </c>
      <c r="AD27" s="14"/>
      <c r="AE27" s="14"/>
      <c r="AF27" s="14"/>
      <c r="AG27" s="14"/>
      <c r="AH27" s="14"/>
    </row>
    <row r="28" spans="1:34" x14ac:dyDescent="0.25">
      <c r="B28" s="15">
        <v>26</v>
      </c>
      <c r="C28" s="17" t="s">
        <v>184</v>
      </c>
      <c r="D28" s="17">
        <v>37</v>
      </c>
      <c r="E28" s="17">
        <v>9.1</v>
      </c>
      <c r="F28" s="17">
        <v>58</v>
      </c>
      <c r="G28" s="17">
        <v>-8</v>
      </c>
      <c r="H28" s="17">
        <v>69</v>
      </c>
      <c r="I28" s="17">
        <v>11.2</v>
      </c>
      <c r="J28" s="17">
        <v>107</v>
      </c>
      <c r="K28" s="17">
        <v>25</v>
      </c>
      <c r="L28" s="17">
        <v>313</v>
      </c>
      <c r="M28" s="17">
        <v>72</v>
      </c>
      <c r="N28" s="17">
        <v>483</v>
      </c>
      <c r="O28" s="17"/>
      <c r="P28" s="17">
        <v>54</v>
      </c>
      <c r="Q28" s="17">
        <v>62</v>
      </c>
      <c r="R28" s="17">
        <v>68</v>
      </c>
      <c r="S28" s="17">
        <v>63</v>
      </c>
      <c r="T28" s="17"/>
      <c r="U28" s="17">
        <v>80</v>
      </c>
      <c r="V28" s="17">
        <v>19</v>
      </c>
      <c r="W28" s="17"/>
      <c r="X28" s="17"/>
      <c r="Y28" s="17"/>
      <c r="Z28" s="17">
        <v>536</v>
      </c>
      <c r="AA28" s="17">
        <v>90</v>
      </c>
      <c r="AB28" s="17">
        <v>4.5</v>
      </c>
      <c r="AC28" s="17">
        <v>2.9</v>
      </c>
      <c r="AD28" s="17">
        <v>1.4</v>
      </c>
      <c r="AE28" s="17">
        <v>20.100000000000001</v>
      </c>
      <c r="AF28" s="17">
        <v>1.5</v>
      </c>
      <c r="AG28" s="17"/>
      <c r="AH28" s="17">
        <v>0.5</v>
      </c>
    </row>
    <row r="29" spans="1:34" x14ac:dyDescent="0.25">
      <c r="B29" s="12">
        <v>27</v>
      </c>
      <c r="C29" s="14" t="s">
        <v>185</v>
      </c>
      <c r="D29" s="14">
        <v>87</v>
      </c>
      <c r="E29" s="14">
        <v>7.2</v>
      </c>
      <c r="F29" s="14">
        <v>56</v>
      </c>
      <c r="G29" s="14">
        <v>-28</v>
      </c>
      <c r="H29" s="14">
        <v>35</v>
      </c>
      <c r="I29" s="14">
        <v>8.4</v>
      </c>
      <c r="J29" s="14">
        <v>63</v>
      </c>
      <c r="K29" s="14">
        <v>32</v>
      </c>
      <c r="L29" s="14">
        <v>290</v>
      </c>
      <c r="M29" s="14">
        <v>55</v>
      </c>
      <c r="N29" s="14">
        <v>560</v>
      </c>
      <c r="O29" s="14">
        <v>56</v>
      </c>
      <c r="P29" s="14">
        <v>65</v>
      </c>
      <c r="Q29" s="14">
        <v>30</v>
      </c>
      <c r="R29" s="14">
        <v>55</v>
      </c>
      <c r="S29" s="14">
        <v>48</v>
      </c>
      <c r="T29" s="14"/>
      <c r="U29" s="14">
        <v>67</v>
      </c>
      <c r="V29" s="14">
        <v>77</v>
      </c>
      <c r="W29" s="14"/>
      <c r="X29" s="14"/>
      <c r="Y29" s="14"/>
      <c r="Z29" s="14"/>
      <c r="AA29" s="14"/>
      <c r="AB29" s="14">
        <v>2</v>
      </c>
      <c r="AC29" s="14">
        <v>7.7</v>
      </c>
      <c r="AD29" s="14"/>
      <c r="AE29" s="14"/>
      <c r="AF29" s="14"/>
      <c r="AG29" s="14"/>
      <c r="AH29" s="14"/>
    </row>
    <row r="30" spans="1:34" x14ac:dyDescent="0.25">
      <c r="A30" t="s">
        <v>38</v>
      </c>
      <c r="B30" s="15">
        <v>28</v>
      </c>
      <c r="C30" s="17" t="s">
        <v>186</v>
      </c>
      <c r="D30" s="17">
        <v>85</v>
      </c>
      <c r="E30" s="17">
        <v>11.7</v>
      </c>
      <c r="F30" s="17">
        <v>67</v>
      </c>
      <c r="G30" s="17">
        <v>-2</v>
      </c>
      <c r="H30" s="17">
        <v>88</v>
      </c>
      <c r="I30" s="17">
        <v>13.3</v>
      </c>
      <c r="J30" s="17">
        <v>110</v>
      </c>
      <c r="K30" s="17">
        <v>61</v>
      </c>
      <c r="L30" s="17">
        <v>141</v>
      </c>
      <c r="M30" s="17">
        <v>34</v>
      </c>
      <c r="N30" s="17">
        <v>654</v>
      </c>
      <c r="O30" s="17">
        <v>80</v>
      </c>
      <c r="P30" s="17">
        <v>88</v>
      </c>
      <c r="Q30" s="17">
        <v>30</v>
      </c>
      <c r="R30" s="17">
        <v>76</v>
      </c>
      <c r="S30" s="17">
        <v>75</v>
      </c>
      <c r="T30" s="17">
        <v>37</v>
      </c>
      <c r="U30" s="17">
        <v>86</v>
      </c>
      <c r="V30" s="17">
        <v>73</v>
      </c>
      <c r="W30" s="17">
        <v>10</v>
      </c>
      <c r="X30" s="17">
        <v>21</v>
      </c>
      <c r="Y30" s="17">
        <v>338</v>
      </c>
      <c r="Z30" s="17">
        <v>358</v>
      </c>
      <c r="AA30" s="17">
        <v>30</v>
      </c>
      <c r="AB30" s="17">
        <v>0.7</v>
      </c>
      <c r="AC30" s="17">
        <v>3.7</v>
      </c>
      <c r="AD30" s="17">
        <v>1.2</v>
      </c>
      <c r="AE30" s="17">
        <v>5.3</v>
      </c>
      <c r="AF30" s="17">
        <v>0.1</v>
      </c>
      <c r="AG30" s="17">
        <v>-32</v>
      </c>
      <c r="AH30" s="17">
        <v>0.1</v>
      </c>
    </row>
    <row r="31" spans="1:34" x14ac:dyDescent="0.25">
      <c r="B31" s="12">
        <v>29</v>
      </c>
      <c r="C31" s="14" t="s">
        <v>187</v>
      </c>
      <c r="D31" s="14">
        <v>87</v>
      </c>
      <c r="E31" s="14">
        <v>5.2</v>
      </c>
      <c r="F31" s="14"/>
      <c r="G31" s="14"/>
      <c r="H31" s="14">
        <v>9</v>
      </c>
      <c r="I31" s="14">
        <v>6.2</v>
      </c>
      <c r="J31" s="14">
        <v>30</v>
      </c>
      <c r="K31" s="14">
        <v>20</v>
      </c>
      <c r="L31" s="14">
        <v>340</v>
      </c>
      <c r="M31" s="14">
        <v>50</v>
      </c>
      <c r="N31" s="14">
        <v>560</v>
      </c>
      <c r="O31" s="14">
        <v>30</v>
      </c>
      <c r="P31" s="14">
        <v>80</v>
      </c>
      <c r="Q31" s="14">
        <v>35</v>
      </c>
      <c r="R31" s="14">
        <v>35</v>
      </c>
      <c r="S31" s="14">
        <v>36</v>
      </c>
      <c r="T31" s="14"/>
      <c r="U31" s="14"/>
      <c r="V31" s="14"/>
      <c r="W31" s="14">
        <v>11</v>
      </c>
      <c r="X31" s="14"/>
      <c r="Y31" s="14">
        <v>130</v>
      </c>
      <c r="Z31" s="14">
        <v>780</v>
      </c>
      <c r="AA31" s="14">
        <v>80</v>
      </c>
      <c r="AB31" s="14">
        <v>1.2</v>
      </c>
      <c r="AC31" s="14">
        <v>4.4000000000000004</v>
      </c>
      <c r="AD31" s="14">
        <v>1</v>
      </c>
      <c r="AE31" s="14">
        <v>6</v>
      </c>
      <c r="AF31" s="14">
        <v>0.3</v>
      </c>
      <c r="AG31" s="14"/>
      <c r="AH31" s="14">
        <v>0.3</v>
      </c>
    </row>
    <row r="32" spans="1:34" x14ac:dyDescent="0.25">
      <c r="B32" s="15">
        <v>30</v>
      </c>
      <c r="C32" s="17" t="s">
        <v>71</v>
      </c>
      <c r="D32" s="17">
        <v>87</v>
      </c>
      <c r="E32" s="17">
        <v>13.1</v>
      </c>
      <c r="F32" s="17">
        <v>75</v>
      </c>
      <c r="G32" s="17">
        <v>37</v>
      </c>
      <c r="H32" s="17">
        <v>118</v>
      </c>
      <c r="I32" s="17">
        <v>14.8</v>
      </c>
      <c r="J32" s="17">
        <v>160</v>
      </c>
      <c r="K32" s="17">
        <v>67</v>
      </c>
      <c r="L32" s="17">
        <v>33</v>
      </c>
      <c r="M32" s="17">
        <v>23</v>
      </c>
      <c r="N32" s="17">
        <v>717</v>
      </c>
      <c r="O32" s="17">
        <v>74</v>
      </c>
      <c r="P32" s="17">
        <v>80</v>
      </c>
      <c r="Q32" s="17">
        <v>25</v>
      </c>
      <c r="R32" s="17">
        <v>80</v>
      </c>
      <c r="S32" s="17">
        <v>77</v>
      </c>
      <c r="T32" s="17">
        <v>87</v>
      </c>
      <c r="U32" s="17">
        <v>88</v>
      </c>
      <c r="V32" s="17">
        <v>77</v>
      </c>
      <c r="W32" s="17">
        <v>13</v>
      </c>
      <c r="X32" s="17"/>
      <c r="Y32" s="17">
        <v>637</v>
      </c>
      <c r="Z32" s="17">
        <v>94</v>
      </c>
      <c r="AA32" s="17"/>
      <c r="AB32" s="17">
        <v>0.8</v>
      </c>
      <c r="AC32" s="17">
        <v>4.5999999999999996</v>
      </c>
      <c r="AD32" s="17">
        <v>1.3</v>
      </c>
      <c r="AE32" s="17">
        <v>4</v>
      </c>
      <c r="AF32" s="17"/>
      <c r="AG32" s="17"/>
      <c r="AH32" s="17"/>
    </row>
    <row r="33" spans="1:34" x14ac:dyDescent="0.25">
      <c r="B33" s="12">
        <v>31</v>
      </c>
      <c r="C33" s="14" t="s">
        <v>188</v>
      </c>
      <c r="D33" s="14">
        <v>50</v>
      </c>
      <c r="E33" s="14">
        <v>13.5</v>
      </c>
      <c r="F33" s="14"/>
      <c r="G33" s="14"/>
      <c r="H33" s="14">
        <v>48</v>
      </c>
      <c r="I33" s="14">
        <v>15.1</v>
      </c>
      <c r="J33" s="14">
        <v>80</v>
      </c>
      <c r="K33" s="14">
        <v>50</v>
      </c>
      <c r="L33" s="14">
        <v>50</v>
      </c>
      <c r="M33" s="14">
        <v>30</v>
      </c>
      <c r="N33" s="14">
        <v>790</v>
      </c>
      <c r="O33" s="14">
        <v>60</v>
      </c>
      <c r="P33" s="14">
        <v>80</v>
      </c>
      <c r="Q33" s="14">
        <v>30</v>
      </c>
      <c r="R33" s="14">
        <v>90</v>
      </c>
      <c r="S33" s="14">
        <v>84</v>
      </c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>
        <v>4</v>
      </c>
      <c r="AD33" s="14"/>
      <c r="AE33" s="14"/>
      <c r="AF33" s="14"/>
      <c r="AG33" s="14"/>
      <c r="AH33" s="14"/>
    </row>
    <row r="34" spans="1:34" x14ac:dyDescent="0.25">
      <c r="B34" s="15">
        <v>32</v>
      </c>
      <c r="C34" s="17" t="s">
        <v>189</v>
      </c>
      <c r="D34" s="17">
        <v>82</v>
      </c>
      <c r="E34" s="17">
        <v>10.7</v>
      </c>
      <c r="F34" s="17">
        <v>91</v>
      </c>
      <c r="G34" s="17">
        <v>-107</v>
      </c>
      <c r="H34" s="17">
        <v>0</v>
      </c>
      <c r="I34" s="17">
        <v>12</v>
      </c>
      <c r="J34" s="17">
        <v>43</v>
      </c>
      <c r="K34" s="17">
        <v>0</v>
      </c>
      <c r="L34" s="17">
        <v>79</v>
      </c>
      <c r="M34" s="17">
        <v>30</v>
      </c>
      <c r="N34" s="17">
        <v>848</v>
      </c>
      <c r="O34" s="17">
        <v>0</v>
      </c>
      <c r="P34" s="17">
        <v>0</v>
      </c>
      <c r="Q34" s="17">
        <v>47</v>
      </c>
      <c r="R34" s="17">
        <v>80</v>
      </c>
      <c r="S34" s="17">
        <v>74</v>
      </c>
      <c r="T34" s="17">
        <v>36</v>
      </c>
      <c r="U34" s="17">
        <v>49</v>
      </c>
      <c r="V34" s="17">
        <v>82</v>
      </c>
      <c r="W34" s="17">
        <v>457</v>
      </c>
      <c r="X34" s="17"/>
      <c r="Y34" s="17">
        <v>0</v>
      </c>
      <c r="Z34" s="17">
        <v>288</v>
      </c>
      <c r="AA34" s="17"/>
      <c r="AB34" s="17">
        <v>4.5</v>
      </c>
      <c r="AC34" s="17">
        <v>1</v>
      </c>
      <c r="AD34" s="17"/>
      <c r="AE34" s="17"/>
      <c r="AF34" s="17"/>
      <c r="AG34" s="17"/>
      <c r="AH34" s="17"/>
    </row>
    <row r="35" spans="1:34" x14ac:dyDescent="0.25">
      <c r="B35" s="12">
        <v>33</v>
      </c>
      <c r="C35" s="14" t="s">
        <v>190</v>
      </c>
      <c r="D35" s="14">
        <v>90</v>
      </c>
      <c r="E35" s="14">
        <v>14.6</v>
      </c>
      <c r="F35" s="14">
        <v>110</v>
      </c>
      <c r="G35" s="14">
        <v>332</v>
      </c>
      <c r="H35" s="14">
        <v>450</v>
      </c>
      <c r="I35" s="14">
        <v>17.7</v>
      </c>
      <c r="J35" s="14">
        <v>500</v>
      </c>
      <c r="K35" s="14">
        <v>10</v>
      </c>
      <c r="L35" s="14">
        <v>20</v>
      </c>
      <c r="M35" s="14">
        <v>70</v>
      </c>
      <c r="N35" s="14">
        <v>400</v>
      </c>
      <c r="O35" s="14">
        <v>90</v>
      </c>
      <c r="P35" s="14">
        <v>75</v>
      </c>
      <c r="Q35" s="14">
        <v>90</v>
      </c>
      <c r="R35" s="14">
        <v>90</v>
      </c>
      <c r="S35" s="14">
        <v>90</v>
      </c>
      <c r="T35" s="14"/>
      <c r="U35" s="14">
        <v>80</v>
      </c>
      <c r="V35" s="14">
        <v>82</v>
      </c>
      <c r="W35" s="14"/>
      <c r="X35" s="14"/>
      <c r="Y35" s="14"/>
      <c r="Z35" s="14"/>
      <c r="AA35" s="14"/>
      <c r="AB35" s="14">
        <v>2.2000000000000002</v>
      </c>
      <c r="AC35" s="14">
        <v>15.6</v>
      </c>
      <c r="AD35" s="14">
        <v>2.6</v>
      </c>
      <c r="AE35" s="14">
        <v>24</v>
      </c>
      <c r="AF35" s="14">
        <v>2.4</v>
      </c>
      <c r="AG35" s="14"/>
      <c r="AH35" s="14">
        <v>2.4</v>
      </c>
    </row>
    <row r="36" spans="1:34" x14ac:dyDescent="0.25">
      <c r="B36" s="15">
        <v>34</v>
      </c>
      <c r="C36" s="17" t="s">
        <v>191</v>
      </c>
      <c r="D36" s="17">
        <v>88</v>
      </c>
      <c r="E36" s="17">
        <v>15.3</v>
      </c>
      <c r="F36" s="17">
        <v>3</v>
      </c>
      <c r="G36" s="17">
        <v>865</v>
      </c>
      <c r="H36" s="17">
        <v>783</v>
      </c>
      <c r="I36" s="17">
        <v>19.5</v>
      </c>
      <c r="J36" s="17">
        <v>870</v>
      </c>
      <c r="K36" s="17">
        <v>0</v>
      </c>
      <c r="L36" s="17">
        <v>0</v>
      </c>
      <c r="M36" s="17">
        <v>100</v>
      </c>
      <c r="N36" s="17">
        <v>30</v>
      </c>
      <c r="O36" s="17">
        <v>90</v>
      </c>
      <c r="P36" s="17">
        <v>0</v>
      </c>
      <c r="Q36" s="17">
        <v>0</v>
      </c>
      <c r="R36" s="17">
        <v>100</v>
      </c>
      <c r="S36" s="17">
        <v>91</v>
      </c>
      <c r="T36" s="17"/>
      <c r="U36" s="17">
        <v>100</v>
      </c>
      <c r="V36" s="17">
        <v>82</v>
      </c>
      <c r="W36" s="17">
        <v>0</v>
      </c>
      <c r="X36" s="17"/>
      <c r="Y36" s="17">
        <v>0</v>
      </c>
      <c r="Z36" s="17"/>
      <c r="AA36" s="17"/>
      <c r="AB36" s="17">
        <v>34</v>
      </c>
      <c r="AC36" s="17">
        <v>19</v>
      </c>
      <c r="AD36" s="17">
        <v>0.1</v>
      </c>
      <c r="AE36" s="17">
        <v>0</v>
      </c>
      <c r="AF36" s="17">
        <v>0.2</v>
      </c>
      <c r="AG36" s="17"/>
      <c r="AH36" s="17">
        <v>0.2</v>
      </c>
    </row>
    <row r="37" spans="1:34" x14ac:dyDescent="0.25">
      <c r="B37" s="12">
        <v>35</v>
      </c>
      <c r="C37" s="14" t="s">
        <v>192</v>
      </c>
      <c r="D37" s="14">
        <v>94</v>
      </c>
      <c r="E37" s="14">
        <v>14.7</v>
      </c>
      <c r="F37" s="14">
        <v>125</v>
      </c>
      <c r="G37" s="14">
        <v>32</v>
      </c>
      <c r="H37" s="14">
        <v>178</v>
      </c>
      <c r="I37" s="14">
        <v>16.5</v>
      </c>
      <c r="J37" s="14">
        <v>223</v>
      </c>
      <c r="K37" s="14">
        <v>113</v>
      </c>
      <c r="L37" s="14">
        <v>115</v>
      </c>
      <c r="M37" s="14">
        <v>57</v>
      </c>
      <c r="N37" s="14">
        <v>492</v>
      </c>
      <c r="O37" s="14">
        <v>80</v>
      </c>
      <c r="P37" s="14">
        <v>95</v>
      </c>
      <c r="Q37" s="14">
        <v>65</v>
      </c>
      <c r="R37" s="14">
        <v>85</v>
      </c>
      <c r="S37" s="14">
        <v>82</v>
      </c>
      <c r="T37" s="14">
        <v>56</v>
      </c>
      <c r="U37" s="14">
        <v>54</v>
      </c>
      <c r="V37" s="14">
        <v>83</v>
      </c>
      <c r="W37" s="14">
        <v>110</v>
      </c>
      <c r="X37" s="14"/>
      <c r="Y37" s="14">
        <v>6</v>
      </c>
      <c r="Z37" s="14">
        <v>388</v>
      </c>
      <c r="AA37" s="14"/>
      <c r="AB37" s="14">
        <v>1</v>
      </c>
      <c r="AC37" s="14">
        <v>5.4</v>
      </c>
      <c r="AD37" s="14">
        <v>3.3</v>
      </c>
      <c r="AE37" s="14">
        <v>21</v>
      </c>
      <c r="AF37" s="14">
        <v>1</v>
      </c>
      <c r="AG37" s="14">
        <v>202</v>
      </c>
      <c r="AH37" s="14">
        <v>1</v>
      </c>
    </row>
    <row r="38" spans="1:34" x14ac:dyDescent="0.25">
      <c r="B38" s="15">
        <v>36</v>
      </c>
      <c r="C38" s="17" t="s">
        <v>193</v>
      </c>
      <c r="D38" s="17">
        <v>92</v>
      </c>
      <c r="E38" s="17">
        <v>12</v>
      </c>
      <c r="F38" s="17">
        <v>153</v>
      </c>
      <c r="G38" s="17">
        <v>26</v>
      </c>
      <c r="H38" s="17">
        <v>208</v>
      </c>
      <c r="I38" s="17">
        <v>14.3</v>
      </c>
      <c r="J38" s="17">
        <v>260</v>
      </c>
      <c r="K38" s="17">
        <v>10</v>
      </c>
      <c r="L38" s="17">
        <v>160</v>
      </c>
      <c r="M38" s="17">
        <v>70</v>
      </c>
      <c r="N38" s="17">
        <v>500</v>
      </c>
      <c r="O38" s="17">
        <v>80</v>
      </c>
      <c r="P38" s="17">
        <v>80</v>
      </c>
      <c r="Q38" s="17">
        <v>60</v>
      </c>
      <c r="R38" s="17">
        <v>85</v>
      </c>
      <c r="S38" s="17">
        <v>79</v>
      </c>
      <c r="T38" s="17"/>
      <c r="U38" s="17">
        <v>46</v>
      </c>
      <c r="V38" s="17">
        <v>82</v>
      </c>
      <c r="W38" s="17">
        <v>112</v>
      </c>
      <c r="X38" s="17"/>
      <c r="Y38" s="17">
        <v>19</v>
      </c>
      <c r="Z38" s="17">
        <v>580</v>
      </c>
      <c r="AA38" s="17"/>
      <c r="AB38" s="17">
        <v>1.4</v>
      </c>
      <c r="AC38" s="17">
        <v>6.4</v>
      </c>
      <c r="AD38" s="17">
        <v>3.6</v>
      </c>
      <c r="AE38" s="17">
        <v>23</v>
      </c>
      <c r="AF38" s="17">
        <v>0.6</v>
      </c>
      <c r="AG38" s="17"/>
      <c r="AH38" s="17">
        <v>0.6</v>
      </c>
    </row>
    <row r="39" spans="1:34" x14ac:dyDescent="0.25">
      <c r="B39" s="12">
        <v>37</v>
      </c>
      <c r="C39" s="14" t="s">
        <v>194</v>
      </c>
      <c r="D39" s="14">
        <v>7</v>
      </c>
      <c r="E39" s="14">
        <v>12.5</v>
      </c>
      <c r="F39" s="14">
        <v>72</v>
      </c>
      <c r="G39" s="14">
        <v>184</v>
      </c>
      <c r="H39" s="14">
        <v>210</v>
      </c>
      <c r="I39" s="14">
        <v>14.4</v>
      </c>
      <c r="J39" s="14">
        <v>300</v>
      </c>
      <c r="K39" s="14">
        <v>120</v>
      </c>
      <c r="L39" s="14">
        <v>90</v>
      </c>
      <c r="M39" s="14">
        <v>40</v>
      </c>
      <c r="N39" s="14">
        <v>450</v>
      </c>
      <c r="O39" s="14">
        <v>70</v>
      </c>
      <c r="P39" s="14">
        <v>80</v>
      </c>
      <c r="Q39" s="14">
        <v>60</v>
      </c>
      <c r="R39" s="14">
        <v>65</v>
      </c>
      <c r="S39" s="14">
        <v>68</v>
      </c>
      <c r="T39" s="14"/>
      <c r="U39" s="14">
        <v>82</v>
      </c>
      <c r="V39" s="14">
        <v>77</v>
      </c>
      <c r="W39" s="14"/>
      <c r="X39" s="14"/>
      <c r="Y39" s="14"/>
      <c r="Z39" s="14"/>
      <c r="AA39" s="14"/>
      <c r="AB39" s="14">
        <v>2.5</v>
      </c>
      <c r="AC39" s="14">
        <v>7.5</v>
      </c>
      <c r="AD39" s="14">
        <v>2</v>
      </c>
      <c r="AE39" s="14">
        <v>1</v>
      </c>
      <c r="AF39" s="14">
        <v>0.3</v>
      </c>
      <c r="AG39" s="14"/>
      <c r="AH39" s="14">
        <v>0.3</v>
      </c>
    </row>
    <row r="40" spans="1:34" x14ac:dyDescent="0.25">
      <c r="A40" t="s">
        <v>309</v>
      </c>
      <c r="B40" s="15">
        <v>38</v>
      </c>
      <c r="C40" s="17" t="s">
        <v>195</v>
      </c>
      <c r="D40" s="17">
        <v>90</v>
      </c>
      <c r="E40" s="17">
        <v>11.6</v>
      </c>
      <c r="F40" s="17">
        <v>141</v>
      </c>
      <c r="G40" s="17">
        <v>20</v>
      </c>
      <c r="H40" s="17">
        <v>180</v>
      </c>
      <c r="I40" s="17">
        <v>13.6</v>
      </c>
      <c r="J40" s="17">
        <v>240</v>
      </c>
      <c r="K40" s="17">
        <v>80</v>
      </c>
      <c r="L40" s="17">
        <v>170</v>
      </c>
      <c r="M40" s="17">
        <v>40</v>
      </c>
      <c r="N40" s="17">
        <v>470</v>
      </c>
      <c r="O40" s="17">
        <v>75</v>
      </c>
      <c r="P40" s="17">
        <v>85</v>
      </c>
      <c r="Q40" s="17">
        <v>55</v>
      </c>
      <c r="R40" s="17">
        <v>65</v>
      </c>
      <c r="S40" s="17">
        <v>67</v>
      </c>
      <c r="T40" s="17"/>
      <c r="U40" s="17">
        <v>38</v>
      </c>
      <c r="V40" s="17">
        <v>78</v>
      </c>
      <c r="W40" s="17">
        <v>20</v>
      </c>
      <c r="X40" s="17">
        <v>29</v>
      </c>
      <c r="Y40" s="17">
        <v>100</v>
      </c>
      <c r="Z40" s="17">
        <v>460</v>
      </c>
      <c r="AA40" s="17">
        <v>60</v>
      </c>
      <c r="AB40" s="17">
        <v>2</v>
      </c>
      <c r="AC40" s="17">
        <v>5.5</v>
      </c>
      <c r="AD40" s="17">
        <v>2</v>
      </c>
      <c r="AE40" s="17">
        <v>1</v>
      </c>
      <c r="AF40" s="17">
        <v>0.3</v>
      </c>
      <c r="AG40" s="17"/>
      <c r="AH40" s="17">
        <v>0.3</v>
      </c>
    </row>
    <row r="41" spans="1:34" x14ac:dyDescent="0.25">
      <c r="B41" s="12">
        <v>39</v>
      </c>
      <c r="C41" s="14" t="s">
        <v>196</v>
      </c>
      <c r="D41" s="14">
        <v>90</v>
      </c>
      <c r="E41" s="14">
        <v>11.8</v>
      </c>
      <c r="F41" s="14">
        <v>155</v>
      </c>
      <c r="G41" s="14">
        <v>40</v>
      </c>
      <c r="H41" s="14">
        <v>210</v>
      </c>
      <c r="I41" s="14">
        <v>13.9</v>
      </c>
      <c r="J41" s="14">
        <v>280</v>
      </c>
      <c r="K41" s="14">
        <v>80</v>
      </c>
      <c r="L41" s="14">
        <v>170</v>
      </c>
      <c r="M41" s="14">
        <v>40</v>
      </c>
      <c r="N41" s="14">
        <v>430</v>
      </c>
      <c r="O41" s="14">
        <v>75</v>
      </c>
      <c r="P41" s="14">
        <v>85</v>
      </c>
      <c r="Q41" s="14">
        <v>55</v>
      </c>
      <c r="R41" s="14">
        <v>65</v>
      </c>
      <c r="S41" s="14">
        <v>67</v>
      </c>
      <c r="T41" s="14">
        <v>36</v>
      </c>
      <c r="U41" s="14">
        <v>38</v>
      </c>
      <c r="V41" s="14">
        <v>78</v>
      </c>
      <c r="W41" s="14"/>
      <c r="X41" s="14"/>
      <c r="Y41" s="14"/>
      <c r="Z41" s="14">
        <v>483</v>
      </c>
      <c r="AA41" s="14"/>
      <c r="AB41" s="14">
        <v>2</v>
      </c>
      <c r="AC41" s="14">
        <v>5.5</v>
      </c>
      <c r="AD41" s="14">
        <v>1.5</v>
      </c>
      <c r="AE41" s="14">
        <v>1</v>
      </c>
      <c r="AF41" s="14">
        <v>0.6</v>
      </c>
      <c r="AG41" s="14"/>
      <c r="AH41" s="14">
        <v>0.6</v>
      </c>
    </row>
    <row r="42" spans="1:34" x14ac:dyDescent="0.25">
      <c r="B42" s="15">
        <v>40</v>
      </c>
      <c r="C42" s="17" t="s">
        <v>197</v>
      </c>
      <c r="D42" s="17">
        <v>37</v>
      </c>
      <c r="E42" s="17">
        <v>9.8000000000000007</v>
      </c>
      <c r="F42" s="17">
        <v>61</v>
      </c>
      <c r="G42" s="17">
        <v>-9</v>
      </c>
      <c r="H42" s="17">
        <v>75</v>
      </c>
      <c r="I42" s="17">
        <v>11.8</v>
      </c>
      <c r="J42" s="17">
        <v>113</v>
      </c>
      <c r="K42" s="17">
        <v>23</v>
      </c>
      <c r="L42" s="17">
        <v>295</v>
      </c>
      <c r="M42" s="17">
        <v>68</v>
      </c>
      <c r="N42" s="17">
        <v>501</v>
      </c>
      <c r="O42" s="17"/>
      <c r="P42" s="17">
        <v>60</v>
      </c>
      <c r="Q42" s="17">
        <v>60</v>
      </c>
      <c r="R42" s="17">
        <v>75</v>
      </c>
      <c r="S42" s="17">
        <v>72</v>
      </c>
      <c r="T42" s="17">
        <v>45</v>
      </c>
      <c r="U42" s="17">
        <v>80</v>
      </c>
      <c r="V42" s="17">
        <v>17</v>
      </c>
      <c r="W42" s="17">
        <v>18</v>
      </c>
      <c r="X42" s="17">
        <v>31</v>
      </c>
      <c r="Y42" s="17">
        <v>204</v>
      </c>
      <c r="Z42" s="17">
        <v>559</v>
      </c>
      <c r="AA42" s="17"/>
      <c r="AB42" s="17">
        <v>4.7</v>
      </c>
      <c r="AC42" s="17">
        <v>2.7</v>
      </c>
      <c r="AD42" s="17">
        <v>1.4</v>
      </c>
      <c r="AE42" s="17">
        <v>18.2</v>
      </c>
      <c r="AF42" s="17">
        <v>0.7</v>
      </c>
      <c r="AG42" s="17">
        <v>239</v>
      </c>
      <c r="AH42" s="17">
        <v>1.6</v>
      </c>
    </row>
    <row r="43" spans="1:34" x14ac:dyDescent="0.25">
      <c r="B43" s="12">
        <v>41</v>
      </c>
      <c r="C43" s="14" t="s">
        <v>198</v>
      </c>
      <c r="D43" s="14">
        <v>87</v>
      </c>
      <c r="E43" s="14">
        <v>10.3</v>
      </c>
      <c r="F43" s="14">
        <v>70</v>
      </c>
      <c r="G43" s="14">
        <v>28</v>
      </c>
      <c r="H43" s="14">
        <v>105</v>
      </c>
      <c r="I43" s="14">
        <v>11.8</v>
      </c>
      <c r="J43" s="14">
        <v>140</v>
      </c>
      <c r="K43" s="14">
        <v>50</v>
      </c>
      <c r="L43" s="14">
        <v>160</v>
      </c>
      <c r="M43" s="14">
        <v>60</v>
      </c>
      <c r="N43" s="14">
        <v>590</v>
      </c>
      <c r="O43" s="14">
        <v>75</v>
      </c>
      <c r="P43" s="14">
        <v>75</v>
      </c>
      <c r="Q43" s="14">
        <v>30</v>
      </c>
      <c r="R43" s="14">
        <v>70</v>
      </c>
      <c r="S43" s="14">
        <v>64</v>
      </c>
      <c r="T43" s="14"/>
      <c r="U43" s="14">
        <v>79</v>
      </c>
      <c r="V43" s="14">
        <v>82</v>
      </c>
      <c r="W43" s="14"/>
      <c r="X43" s="14"/>
      <c r="Y43" s="14"/>
      <c r="Z43" s="14"/>
      <c r="AA43" s="14"/>
      <c r="AB43" s="14">
        <v>1.1000000000000001</v>
      </c>
      <c r="AC43" s="14">
        <v>8</v>
      </c>
      <c r="AD43" s="14"/>
      <c r="AE43" s="14"/>
      <c r="AF43" s="14"/>
      <c r="AG43" s="14"/>
      <c r="AH43" s="14"/>
    </row>
    <row r="44" spans="1:34" x14ac:dyDescent="0.25">
      <c r="A44" t="s">
        <v>37</v>
      </c>
      <c r="B44" s="15">
        <v>42</v>
      </c>
      <c r="C44" s="17" t="s">
        <v>199</v>
      </c>
      <c r="D44" s="17">
        <v>87</v>
      </c>
      <c r="E44" s="17">
        <v>13.2</v>
      </c>
      <c r="F44" s="17">
        <v>90</v>
      </c>
      <c r="G44" s="17">
        <v>-29</v>
      </c>
      <c r="H44" s="17">
        <v>93</v>
      </c>
      <c r="I44" s="17">
        <v>15</v>
      </c>
      <c r="J44" s="17">
        <v>122</v>
      </c>
      <c r="K44" s="17">
        <v>27</v>
      </c>
      <c r="L44" s="17">
        <v>62</v>
      </c>
      <c r="M44" s="17">
        <v>28</v>
      </c>
      <c r="N44" s="17">
        <v>761</v>
      </c>
      <c r="O44" s="17">
        <v>76</v>
      </c>
      <c r="P44" s="17">
        <v>75</v>
      </c>
      <c r="Q44" s="17">
        <v>30</v>
      </c>
      <c r="R44" s="17">
        <v>89</v>
      </c>
      <c r="S44" s="17">
        <v>86</v>
      </c>
      <c r="T44" s="17">
        <v>53</v>
      </c>
      <c r="U44" s="17">
        <v>78</v>
      </c>
      <c r="V44" s="17">
        <v>69</v>
      </c>
      <c r="W44" s="17">
        <v>24</v>
      </c>
      <c r="X44" s="17">
        <v>22</v>
      </c>
      <c r="Y44" s="17">
        <v>518</v>
      </c>
      <c r="Z44" s="17">
        <v>229</v>
      </c>
      <c r="AA44" s="17">
        <v>20</v>
      </c>
      <c r="AB44" s="17">
        <v>0.4</v>
      </c>
      <c r="AC44" s="17">
        <v>4</v>
      </c>
      <c r="AD44" s="17">
        <v>1.3</v>
      </c>
      <c r="AE44" s="17">
        <v>5.9</v>
      </c>
      <c r="AF44" s="17">
        <v>0.3</v>
      </c>
      <c r="AG44" s="17">
        <v>15</v>
      </c>
      <c r="AH44" s="17">
        <v>0.3</v>
      </c>
    </row>
    <row r="45" spans="1:34" x14ac:dyDescent="0.25">
      <c r="B45" s="12">
        <v>43</v>
      </c>
      <c r="C45" s="14" t="s">
        <v>200</v>
      </c>
      <c r="D45" s="14">
        <v>86</v>
      </c>
      <c r="E45" s="14">
        <v>12.2</v>
      </c>
      <c r="F45" s="14">
        <v>84</v>
      </c>
      <c r="G45" s="14">
        <v>174</v>
      </c>
      <c r="H45" s="14">
        <v>281</v>
      </c>
      <c r="I45" s="14">
        <v>14.7</v>
      </c>
      <c r="J45" s="14">
        <v>351</v>
      </c>
      <c r="K45" s="14">
        <v>36</v>
      </c>
      <c r="L45" s="14">
        <v>137</v>
      </c>
      <c r="M45" s="14">
        <v>70</v>
      </c>
      <c r="N45" s="14">
        <v>406</v>
      </c>
      <c r="O45" s="14">
        <v>80</v>
      </c>
      <c r="P45" s="14">
        <v>75</v>
      </c>
      <c r="Q45" s="14">
        <v>70</v>
      </c>
      <c r="R45" s="14">
        <v>75</v>
      </c>
      <c r="S45" s="14">
        <v>76</v>
      </c>
      <c r="T45" s="14"/>
      <c r="U45" s="14">
        <v>70</v>
      </c>
      <c r="V45" s="14">
        <v>47</v>
      </c>
      <c r="W45" s="14">
        <v>150</v>
      </c>
      <c r="X45" s="14">
        <v>23</v>
      </c>
      <c r="Y45" s="14">
        <v>50</v>
      </c>
      <c r="Z45" s="14">
        <v>422</v>
      </c>
      <c r="AA45" s="14">
        <v>30</v>
      </c>
      <c r="AB45" s="14">
        <v>2.6</v>
      </c>
      <c r="AC45" s="14">
        <v>8.8000000000000007</v>
      </c>
      <c r="AD45" s="14">
        <v>2</v>
      </c>
      <c r="AE45" s="14">
        <v>22</v>
      </c>
      <c r="AF45" s="14">
        <v>0.8</v>
      </c>
      <c r="AG45" s="14"/>
      <c r="AH45" s="14">
        <v>0.8</v>
      </c>
    </row>
    <row r="46" spans="1:34" x14ac:dyDescent="0.25">
      <c r="B46" s="15">
        <v>44</v>
      </c>
      <c r="C46" s="17" t="s">
        <v>201</v>
      </c>
      <c r="D46" s="17">
        <v>12</v>
      </c>
      <c r="E46" s="17">
        <v>12.4</v>
      </c>
      <c r="F46" s="17">
        <v>90</v>
      </c>
      <c r="G46" s="17">
        <v>-53</v>
      </c>
      <c r="H46" s="17">
        <v>63</v>
      </c>
      <c r="I46" s="17">
        <v>14.4</v>
      </c>
      <c r="J46" s="17">
        <v>105</v>
      </c>
      <c r="K46" s="17">
        <v>10</v>
      </c>
      <c r="L46" s="17">
        <v>100</v>
      </c>
      <c r="M46" s="17">
        <v>60</v>
      </c>
      <c r="N46" s="17">
        <v>725</v>
      </c>
      <c r="O46" s="17">
        <v>60</v>
      </c>
      <c r="P46" s="17">
        <v>0</v>
      </c>
      <c r="Q46" s="17">
        <v>75</v>
      </c>
      <c r="R46" s="17">
        <v>95</v>
      </c>
      <c r="S46" s="17">
        <v>87</v>
      </c>
      <c r="T46" s="17"/>
      <c r="U46" s="17">
        <v>80</v>
      </c>
      <c r="V46" s="17">
        <v>61</v>
      </c>
      <c r="W46" s="17">
        <v>400</v>
      </c>
      <c r="X46" s="17"/>
      <c r="Y46" s="17">
        <v>0</v>
      </c>
      <c r="Z46" s="17">
        <v>440</v>
      </c>
      <c r="AA46" s="17">
        <v>100</v>
      </c>
      <c r="AB46" s="17">
        <v>4.2</v>
      </c>
      <c r="AC46" s="17">
        <v>2.8</v>
      </c>
      <c r="AD46" s="17">
        <v>1</v>
      </c>
      <c r="AE46" s="17">
        <v>18</v>
      </c>
      <c r="AF46" s="17">
        <v>1.1000000000000001</v>
      </c>
      <c r="AG46" s="17"/>
      <c r="AH46" s="17">
        <v>1.7</v>
      </c>
    </row>
    <row r="47" spans="1:34" x14ac:dyDescent="0.25">
      <c r="A47" t="s">
        <v>43</v>
      </c>
      <c r="B47" s="12">
        <v>45</v>
      </c>
      <c r="C47" s="14" t="s">
        <v>202</v>
      </c>
      <c r="D47" s="14">
        <v>93</v>
      </c>
      <c r="E47" s="14">
        <v>20.100000000000001</v>
      </c>
      <c r="F47" s="14">
        <v>51</v>
      </c>
      <c r="G47" s="14">
        <v>154</v>
      </c>
      <c r="H47" s="14">
        <v>206</v>
      </c>
      <c r="I47" s="14">
        <v>20.8</v>
      </c>
      <c r="J47" s="14">
        <v>240</v>
      </c>
      <c r="K47" s="14">
        <v>380</v>
      </c>
      <c r="L47" s="14">
        <v>70</v>
      </c>
      <c r="M47" s="14">
        <v>40</v>
      </c>
      <c r="N47" s="14">
        <v>270</v>
      </c>
      <c r="O47" s="14">
        <v>86</v>
      </c>
      <c r="P47" s="14">
        <v>90</v>
      </c>
      <c r="Q47" s="14">
        <v>30</v>
      </c>
      <c r="R47" s="14">
        <v>80</v>
      </c>
      <c r="S47" s="14">
        <v>82</v>
      </c>
      <c r="T47" s="14"/>
      <c r="U47" s="14">
        <v>82</v>
      </c>
      <c r="V47" s="14">
        <v>70</v>
      </c>
      <c r="W47" s="14">
        <v>26</v>
      </c>
      <c r="X47" s="14"/>
      <c r="Y47" s="14">
        <v>54</v>
      </c>
      <c r="Z47" s="14">
        <v>140</v>
      </c>
      <c r="AA47" s="14"/>
      <c r="AB47" s="14">
        <v>2.8</v>
      </c>
      <c r="AC47" s="14">
        <v>5.7</v>
      </c>
      <c r="AD47" s="14">
        <v>3.9</v>
      </c>
      <c r="AE47" s="14">
        <v>9</v>
      </c>
      <c r="AF47" s="14">
        <v>0.4</v>
      </c>
      <c r="AG47" s="14"/>
      <c r="AH47" s="14">
        <v>0.4</v>
      </c>
    </row>
    <row r="48" spans="1:34" x14ac:dyDescent="0.25">
      <c r="B48" s="15">
        <v>46</v>
      </c>
      <c r="C48" s="17" t="s">
        <v>203</v>
      </c>
      <c r="D48" s="17">
        <v>90</v>
      </c>
      <c r="E48" s="17">
        <v>16.2</v>
      </c>
      <c r="F48" s="17">
        <v>78</v>
      </c>
      <c r="G48" s="17">
        <v>178</v>
      </c>
      <c r="H48" s="17">
        <v>255</v>
      </c>
      <c r="I48" s="17">
        <v>17.8</v>
      </c>
      <c r="J48" s="17">
        <v>297</v>
      </c>
      <c r="K48" s="17">
        <v>198</v>
      </c>
      <c r="L48" s="17">
        <v>93</v>
      </c>
      <c r="M48" s="17">
        <v>50</v>
      </c>
      <c r="N48" s="17">
        <v>362</v>
      </c>
      <c r="O48" s="17">
        <v>86</v>
      </c>
      <c r="P48" s="17">
        <v>90</v>
      </c>
      <c r="Q48" s="17">
        <v>30</v>
      </c>
      <c r="R48" s="17">
        <v>80</v>
      </c>
      <c r="S48" s="17">
        <v>82</v>
      </c>
      <c r="T48" s="17">
        <v>50</v>
      </c>
      <c r="U48" s="17">
        <v>79</v>
      </c>
      <c r="V48" s="17">
        <v>83</v>
      </c>
      <c r="W48" s="17">
        <v>54</v>
      </c>
      <c r="X48" s="17"/>
      <c r="Y48" s="17">
        <v>26</v>
      </c>
      <c r="Z48" s="17">
        <v>465</v>
      </c>
      <c r="AA48" s="17"/>
      <c r="AB48" s="17">
        <v>3.7</v>
      </c>
      <c r="AC48" s="17">
        <v>8.6</v>
      </c>
      <c r="AD48" s="17">
        <v>5.2</v>
      </c>
      <c r="AE48" s="17">
        <v>11</v>
      </c>
      <c r="AF48" s="17">
        <v>0.8</v>
      </c>
      <c r="AG48" s="17"/>
      <c r="AH48" s="17">
        <v>0.8</v>
      </c>
    </row>
    <row r="49" spans="1:34" x14ac:dyDescent="0.25">
      <c r="B49" s="12">
        <v>47</v>
      </c>
      <c r="C49" s="14" t="s">
        <v>204</v>
      </c>
      <c r="D49" s="14">
        <v>90</v>
      </c>
      <c r="E49" s="14">
        <v>12.5</v>
      </c>
      <c r="F49" s="14">
        <v>151</v>
      </c>
      <c r="G49" s="14">
        <v>175</v>
      </c>
      <c r="H49" s="14">
        <v>344</v>
      </c>
      <c r="I49" s="14">
        <v>15.1</v>
      </c>
      <c r="J49" s="14">
        <v>400</v>
      </c>
      <c r="K49" s="14">
        <v>20</v>
      </c>
      <c r="L49" s="14">
        <v>110</v>
      </c>
      <c r="M49" s="14">
        <v>60</v>
      </c>
      <c r="N49" s="14">
        <v>410</v>
      </c>
      <c r="O49" s="14">
        <v>86</v>
      </c>
      <c r="P49" s="14">
        <v>70</v>
      </c>
      <c r="Q49" s="14">
        <v>30</v>
      </c>
      <c r="R49" s="14">
        <v>80</v>
      </c>
      <c r="S49" s="14">
        <v>76</v>
      </c>
      <c r="T49" s="14"/>
      <c r="U49" s="14">
        <v>60</v>
      </c>
      <c r="V49" s="14">
        <v>83</v>
      </c>
      <c r="W49" s="14">
        <v>54</v>
      </c>
      <c r="X49" s="14"/>
      <c r="Y49" s="14">
        <v>26</v>
      </c>
      <c r="Z49" s="14"/>
      <c r="AA49" s="14"/>
      <c r="AB49" s="14">
        <v>3.9</v>
      </c>
      <c r="AC49" s="14">
        <v>8.8000000000000007</v>
      </c>
      <c r="AD49" s="14">
        <v>5.2</v>
      </c>
      <c r="AE49" s="14">
        <v>11</v>
      </c>
      <c r="AF49" s="14">
        <v>0.8</v>
      </c>
      <c r="AG49" s="14">
        <v>34</v>
      </c>
      <c r="AH49" s="14">
        <v>0.8</v>
      </c>
    </row>
    <row r="50" spans="1:34" x14ac:dyDescent="0.25">
      <c r="B50" s="15">
        <v>48</v>
      </c>
      <c r="C50" s="17" t="s">
        <v>205</v>
      </c>
      <c r="D50" s="17">
        <v>87</v>
      </c>
      <c r="E50" s="17">
        <v>13.6</v>
      </c>
      <c r="F50" s="17">
        <v>139</v>
      </c>
      <c r="G50" s="17">
        <v>265</v>
      </c>
      <c r="H50" s="17">
        <v>390</v>
      </c>
      <c r="I50" s="17">
        <v>16.600000000000001</v>
      </c>
      <c r="J50" s="17">
        <v>453</v>
      </c>
      <c r="K50" s="17">
        <v>49</v>
      </c>
      <c r="L50" s="17">
        <v>163</v>
      </c>
      <c r="M50" s="17">
        <v>48</v>
      </c>
      <c r="N50" s="17">
        <v>287</v>
      </c>
      <c r="O50" s="17">
        <v>86</v>
      </c>
      <c r="P50" s="17">
        <v>75</v>
      </c>
      <c r="Q50" s="17">
        <v>70</v>
      </c>
      <c r="R50" s="17">
        <v>80</v>
      </c>
      <c r="S50" s="17">
        <v>81</v>
      </c>
      <c r="T50" s="17"/>
      <c r="U50" s="17">
        <v>72</v>
      </c>
      <c r="V50" s="17">
        <v>95</v>
      </c>
      <c r="W50" s="17">
        <v>50</v>
      </c>
      <c r="X50" s="17"/>
      <c r="Y50" s="17">
        <v>220</v>
      </c>
      <c r="Z50" s="17">
        <v>263</v>
      </c>
      <c r="AA50" s="17"/>
      <c r="AB50" s="17">
        <v>3.6</v>
      </c>
      <c r="AC50" s="17">
        <v>7.5</v>
      </c>
      <c r="AD50" s="17">
        <v>3.1</v>
      </c>
      <c r="AE50" s="17">
        <v>14</v>
      </c>
      <c r="AF50" s="17">
        <v>0.2</v>
      </c>
      <c r="AG50" s="17"/>
      <c r="AH50" s="17">
        <v>0.2</v>
      </c>
    </row>
    <row r="51" spans="1:34" x14ac:dyDescent="0.25">
      <c r="B51" s="12">
        <v>49</v>
      </c>
      <c r="C51" s="14" t="s">
        <v>206</v>
      </c>
      <c r="D51" s="14">
        <v>13</v>
      </c>
      <c r="E51" s="14">
        <v>10.1</v>
      </c>
      <c r="F51" s="14">
        <v>66</v>
      </c>
      <c r="G51" s="14">
        <v>57</v>
      </c>
      <c r="H51" s="14">
        <v>138</v>
      </c>
      <c r="I51" s="14">
        <v>12.3</v>
      </c>
      <c r="J51" s="14">
        <v>180</v>
      </c>
      <c r="K51" s="14">
        <v>30</v>
      </c>
      <c r="L51" s="14">
        <v>220</v>
      </c>
      <c r="M51" s="14">
        <v>130</v>
      </c>
      <c r="N51" s="14">
        <v>440</v>
      </c>
      <c r="O51" s="14"/>
      <c r="P51" s="14">
        <v>58</v>
      </c>
      <c r="Q51" s="14">
        <v>62</v>
      </c>
      <c r="R51" s="14">
        <v>79</v>
      </c>
      <c r="S51" s="14">
        <v>74</v>
      </c>
      <c r="T51" s="14"/>
      <c r="U51" s="14">
        <v>80</v>
      </c>
      <c r="V51" s="14">
        <v>61</v>
      </c>
      <c r="W51" s="14">
        <v>10</v>
      </c>
      <c r="X51" s="14"/>
      <c r="Y51" s="14">
        <v>60</v>
      </c>
      <c r="Z51" s="14"/>
      <c r="AA51" s="14"/>
      <c r="AB51" s="14">
        <v>10.199999999999999</v>
      </c>
      <c r="AC51" s="14">
        <v>2.6</v>
      </c>
      <c r="AD51" s="14">
        <v>2.2999999999999998</v>
      </c>
      <c r="AE51" s="14">
        <v>32</v>
      </c>
      <c r="AF51" s="14">
        <v>0.5</v>
      </c>
      <c r="AG51" s="14"/>
      <c r="AH51" s="14">
        <v>0.5</v>
      </c>
    </row>
    <row r="52" spans="1:34" x14ac:dyDescent="0.25">
      <c r="B52" s="15">
        <v>50</v>
      </c>
      <c r="C52" s="17" t="s">
        <v>207</v>
      </c>
      <c r="D52" s="17">
        <v>92</v>
      </c>
      <c r="E52" s="17">
        <v>16</v>
      </c>
      <c r="F52" s="17">
        <v>476</v>
      </c>
      <c r="G52" s="17">
        <v>82</v>
      </c>
      <c r="H52" s="17">
        <v>598</v>
      </c>
      <c r="I52" s="17">
        <v>19.600000000000001</v>
      </c>
      <c r="J52" s="17">
        <v>672</v>
      </c>
      <c r="K52" s="17">
        <v>24</v>
      </c>
      <c r="L52" s="17">
        <v>22</v>
      </c>
      <c r="M52" s="17">
        <v>18</v>
      </c>
      <c r="N52" s="17">
        <v>264</v>
      </c>
      <c r="O52" s="17">
        <v>89</v>
      </c>
      <c r="P52" s="17">
        <v>85</v>
      </c>
      <c r="Q52" s="17">
        <v>30</v>
      </c>
      <c r="R52" s="17">
        <v>95</v>
      </c>
      <c r="S52" s="17">
        <v>88</v>
      </c>
      <c r="T52" s="17">
        <v>71</v>
      </c>
      <c r="U52" s="17">
        <v>19</v>
      </c>
      <c r="V52" s="17">
        <v>97</v>
      </c>
      <c r="W52" s="17">
        <v>0</v>
      </c>
      <c r="X52" s="17">
        <v>12</v>
      </c>
      <c r="Y52" s="17">
        <v>150</v>
      </c>
      <c r="Z52" s="17">
        <v>140</v>
      </c>
      <c r="AA52" s="17">
        <v>10</v>
      </c>
      <c r="AB52" s="17">
        <v>0.4</v>
      </c>
      <c r="AC52" s="17">
        <v>3.3</v>
      </c>
      <c r="AD52" s="17">
        <v>1.2</v>
      </c>
      <c r="AE52" s="17">
        <v>1</v>
      </c>
      <c r="AF52" s="17">
        <v>0.6</v>
      </c>
      <c r="AG52" s="17"/>
      <c r="AH52" s="17">
        <v>0.6</v>
      </c>
    </row>
    <row r="53" spans="1:34" x14ac:dyDescent="0.25">
      <c r="A53" t="s">
        <v>12</v>
      </c>
      <c r="B53" s="12">
        <v>51</v>
      </c>
      <c r="C53" s="14" t="s">
        <v>208</v>
      </c>
      <c r="D53" s="14">
        <v>22</v>
      </c>
      <c r="E53" s="14">
        <v>10.4</v>
      </c>
      <c r="F53" s="14">
        <v>76</v>
      </c>
      <c r="G53" s="14">
        <v>-40</v>
      </c>
      <c r="H53" s="14">
        <v>62</v>
      </c>
      <c r="I53" s="14">
        <v>12.6</v>
      </c>
      <c r="J53" s="14">
        <v>99</v>
      </c>
      <c r="K53" s="14">
        <v>22</v>
      </c>
      <c r="L53" s="14">
        <v>299</v>
      </c>
      <c r="M53" s="14">
        <v>65</v>
      </c>
      <c r="N53" s="14">
        <v>515</v>
      </c>
      <c r="O53" s="14"/>
      <c r="P53" s="14">
        <v>71</v>
      </c>
      <c r="Q53" s="14">
        <v>74</v>
      </c>
      <c r="R53" s="14">
        <v>76</v>
      </c>
      <c r="S53" s="14">
        <v>71</v>
      </c>
      <c r="T53" s="14">
        <v>35</v>
      </c>
      <c r="U53" s="14">
        <v>70</v>
      </c>
      <c r="V53" s="14">
        <v>57</v>
      </c>
      <c r="W53" s="14"/>
      <c r="X53" s="14"/>
      <c r="Y53" s="14"/>
      <c r="Z53" s="14">
        <v>617</v>
      </c>
      <c r="AA53" s="14"/>
      <c r="AB53" s="14">
        <v>6.5</v>
      </c>
      <c r="AC53" s="14">
        <v>2.5</v>
      </c>
      <c r="AD53" s="14">
        <v>1.3</v>
      </c>
      <c r="AE53" s="14">
        <v>16</v>
      </c>
      <c r="AF53" s="14">
        <v>0.4</v>
      </c>
      <c r="AG53" s="14">
        <v>299</v>
      </c>
      <c r="AH53" s="14">
        <v>0.2</v>
      </c>
    </row>
    <row r="54" spans="1:34" x14ac:dyDescent="0.25">
      <c r="B54" s="15">
        <v>52</v>
      </c>
      <c r="C54" s="17" t="s">
        <v>209</v>
      </c>
      <c r="D54" s="17">
        <v>32</v>
      </c>
      <c r="E54" s="17">
        <v>11</v>
      </c>
      <c r="F54" s="17">
        <v>82</v>
      </c>
      <c r="G54" s="17">
        <v>-55</v>
      </c>
      <c r="H54" s="17">
        <v>54</v>
      </c>
      <c r="I54" s="17">
        <v>13</v>
      </c>
      <c r="J54" s="17">
        <v>91</v>
      </c>
      <c r="K54" s="17">
        <v>22</v>
      </c>
      <c r="L54" s="17">
        <v>231</v>
      </c>
      <c r="M54" s="17">
        <v>44</v>
      </c>
      <c r="N54" s="17">
        <v>612</v>
      </c>
      <c r="O54" s="17"/>
      <c r="P54" s="17">
        <v>71</v>
      </c>
      <c r="Q54" s="17">
        <v>68</v>
      </c>
      <c r="R54" s="17">
        <v>80</v>
      </c>
      <c r="S54" s="17">
        <v>75</v>
      </c>
      <c r="T54" s="17">
        <v>31</v>
      </c>
      <c r="U54" s="17">
        <v>67</v>
      </c>
      <c r="V54" s="17">
        <v>67</v>
      </c>
      <c r="W54" s="17">
        <v>75</v>
      </c>
      <c r="X54" s="17">
        <v>28</v>
      </c>
      <c r="Y54" s="17">
        <v>223</v>
      </c>
      <c r="Z54" s="17">
        <v>496</v>
      </c>
      <c r="AA54" s="17"/>
      <c r="AB54" s="17">
        <v>2.4</v>
      </c>
      <c r="AC54" s="17">
        <v>2.2999999999999998</v>
      </c>
      <c r="AD54" s="17">
        <v>1.2</v>
      </c>
      <c r="AE54" s="17">
        <v>11.1</v>
      </c>
      <c r="AF54" s="17">
        <v>0.4</v>
      </c>
      <c r="AG54" s="17">
        <v>174</v>
      </c>
      <c r="AH54" s="17">
        <v>0.2</v>
      </c>
    </row>
    <row r="55" spans="1:34" x14ac:dyDescent="0.25">
      <c r="A55" t="s">
        <v>40</v>
      </c>
      <c r="B55" s="12">
        <v>53</v>
      </c>
      <c r="C55" s="14" t="s">
        <v>210</v>
      </c>
      <c r="D55" s="14">
        <v>48</v>
      </c>
      <c r="E55" s="14">
        <v>12.8</v>
      </c>
      <c r="F55" s="14"/>
      <c r="G55" s="14"/>
      <c r="H55" s="14">
        <v>73</v>
      </c>
      <c r="I55" s="14">
        <v>14.5</v>
      </c>
      <c r="J55" s="14">
        <v>111</v>
      </c>
      <c r="K55" s="14">
        <v>40</v>
      </c>
      <c r="L55" s="14">
        <v>63</v>
      </c>
      <c r="M55" s="14">
        <v>23</v>
      </c>
      <c r="N55" s="14">
        <v>763</v>
      </c>
      <c r="O55" s="14">
        <v>66</v>
      </c>
      <c r="P55" s="14">
        <v>60</v>
      </c>
      <c r="Q55" s="14">
        <v>63</v>
      </c>
      <c r="R55" s="14">
        <v>85</v>
      </c>
      <c r="S55" s="14">
        <v>80</v>
      </c>
      <c r="T55" s="14"/>
      <c r="U55" s="14">
        <v>0</v>
      </c>
      <c r="V55" s="14">
        <v>0</v>
      </c>
      <c r="W55" s="14">
        <v>27</v>
      </c>
      <c r="X55" s="14"/>
      <c r="Y55" s="14">
        <v>550</v>
      </c>
      <c r="Z55" s="14">
        <v>280</v>
      </c>
      <c r="AA55" s="14">
        <v>20</v>
      </c>
      <c r="AB55" s="14">
        <v>0.5</v>
      </c>
      <c r="AC55" s="14">
        <v>3.6</v>
      </c>
      <c r="AD55" s="14">
        <v>0.5</v>
      </c>
      <c r="AE55" s="14">
        <v>5.3</v>
      </c>
      <c r="AF55" s="14">
        <v>0.2</v>
      </c>
      <c r="AG55" s="14"/>
      <c r="AH55" s="14">
        <v>0.2</v>
      </c>
    </row>
    <row r="56" spans="1:34" x14ac:dyDescent="0.25">
      <c r="B56" s="15">
        <v>54</v>
      </c>
      <c r="C56" s="17" t="s">
        <v>211</v>
      </c>
      <c r="D56" s="17">
        <v>87</v>
      </c>
      <c r="E56" s="17">
        <v>14.6</v>
      </c>
      <c r="F56" s="17">
        <v>122</v>
      </c>
      <c r="G56" s="17">
        <v>-89</v>
      </c>
      <c r="H56" s="17">
        <v>73</v>
      </c>
      <c r="I56" s="17">
        <v>16.399999999999999</v>
      </c>
      <c r="J56" s="17">
        <v>100</v>
      </c>
      <c r="K56" s="17">
        <v>50</v>
      </c>
      <c r="L56" s="17">
        <v>25</v>
      </c>
      <c r="M56" s="17">
        <v>15</v>
      </c>
      <c r="N56" s="17">
        <v>810</v>
      </c>
      <c r="O56" s="17">
        <v>73</v>
      </c>
      <c r="P56" s="17">
        <v>85</v>
      </c>
      <c r="Q56" s="17">
        <v>30</v>
      </c>
      <c r="R56" s="17">
        <v>93</v>
      </c>
      <c r="S56" s="17">
        <v>89</v>
      </c>
      <c r="T56" s="17">
        <v>54</v>
      </c>
      <c r="U56" s="17">
        <v>47</v>
      </c>
      <c r="V56" s="17">
        <v>90</v>
      </c>
      <c r="W56" s="17">
        <v>17</v>
      </c>
      <c r="X56" s="17"/>
      <c r="Y56" s="17">
        <v>712</v>
      </c>
      <c r="Z56" s="17">
        <v>94</v>
      </c>
      <c r="AA56" s="17">
        <v>10</v>
      </c>
      <c r="AB56" s="17">
        <v>0.1</v>
      </c>
      <c r="AC56" s="17">
        <v>3</v>
      </c>
      <c r="AD56" s="17">
        <v>1.2</v>
      </c>
      <c r="AE56" s="17">
        <v>3.8</v>
      </c>
      <c r="AF56" s="17">
        <v>0.1</v>
      </c>
      <c r="AG56" s="17"/>
      <c r="AH56" s="17">
        <v>0.1</v>
      </c>
    </row>
    <row r="57" spans="1:34" x14ac:dyDescent="0.25">
      <c r="B57" s="12">
        <v>55</v>
      </c>
      <c r="C57" s="14" t="s">
        <v>212</v>
      </c>
      <c r="D57" s="14">
        <v>13</v>
      </c>
      <c r="E57" s="14">
        <v>21.7</v>
      </c>
      <c r="F57" s="14">
        <v>39</v>
      </c>
      <c r="G57" s="14">
        <v>200</v>
      </c>
      <c r="H57" s="14">
        <v>252</v>
      </c>
      <c r="I57" s="14">
        <v>22.7</v>
      </c>
      <c r="J57" s="14">
        <v>265</v>
      </c>
      <c r="K57" s="14">
        <v>310</v>
      </c>
      <c r="L57" s="14">
        <v>0</v>
      </c>
      <c r="M57" s="14">
        <v>60</v>
      </c>
      <c r="N57" s="14">
        <v>365</v>
      </c>
      <c r="O57" s="14">
        <v>95</v>
      </c>
      <c r="P57" s="14">
        <v>100</v>
      </c>
      <c r="Q57" s="14">
        <v>0</v>
      </c>
      <c r="R57" s="14">
        <v>100</v>
      </c>
      <c r="S57" s="14">
        <v>99</v>
      </c>
      <c r="T57" s="14"/>
      <c r="U57" s="14">
        <v>100</v>
      </c>
      <c r="V57" s="14">
        <v>100</v>
      </c>
      <c r="W57" s="14">
        <v>365</v>
      </c>
      <c r="X57" s="14"/>
      <c r="Y57" s="14">
        <v>0</v>
      </c>
      <c r="Z57" s="14">
        <v>0</v>
      </c>
      <c r="AA57" s="14">
        <v>0</v>
      </c>
      <c r="AB57" s="14">
        <v>10</v>
      </c>
      <c r="AC57" s="14">
        <v>7.4</v>
      </c>
      <c r="AD57" s="14">
        <v>0.9</v>
      </c>
      <c r="AE57" s="14">
        <v>11</v>
      </c>
      <c r="AF57" s="14">
        <v>3.2</v>
      </c>
      <c r="AG57" s="14">
        <v>64</v>
      </c>
      <c r="AH57" s="14">
        <v>3.2</v>
      </c>
    </row>
    <row r="58" spans="1:34" x14ac:dyDescent="0.25">
      <c r="B58" s="15">
        <v>56</v>
      </c>
      <c r="C58" s="17" t="s">
        <v>213</v>
      </c>
      <c r="D58" s="17">
        <v>8</v>
      </c>
      <c r="E58" s="17">
        <v>14.9</v>
      </c>
      <c r="F58" s="17">
        <v>52</v>
      </c>
      <c r="G58" s="17">
        <v>252</v>
      </c>
      <c r="H58" s="17">
        <v>289</v>
      </c>
      <c r="I58" s="17">
        <v>17</v>
      </c>
      <c r="J58" s="17">
        <v>340</v>
      </c>
      <c r="K58" s="17">
        <v>55</v>
      </c>
      <c r="L58" s="17">
        <v>0</v>
      </c>
      <c r="M58" s="17">
        <v>115</v>
      </c>
      <c r="N58" s="17">
        <v>490</v>
      </c>
      <c r="O58" s="17">
        <v>85</v>
      </c>
      <c r="P58" s="17">
        <v>100</v>
      </c>
      <c r="Q58" s="17">
        <v>0</v>
      </c>
      <c r="R58" s="17">
        <v>100</v>
      </c>
      <c r="S58" s="17">
        <v>94</v>
      </c>
      <c r="T58" s="17"/>
      <c r="U58" s="17">
        <v>100</v>
      </c>
      <c r="V58" s="17">
        <v>100</v>
      </c>
      <c r="W58" s="17">
        <v>490</v>
      </c>
      <c r="X58" s="17"/>
      <c r="Y58" s="17">
        <v>0</v>
      </c>
      <c r="Z58" s="17">
        <v>0</v>
      </c>
      <c r="AA58" s="17">
        <v>0</v>
      </c>
      <c r="AB58" s="17">
        <v>16</v>
      </c>
      <c r="AC58" s="17">
        <v>11</v>
      </c>
      <c r="AD58" s="17">
        <v>1.1000000000000001</v>
      </c>
      <c r="AE58" s="17">
        <v>18</v>
      </c>
      <c r="AF58" s="17"/>
      <c r="AG58" s="17"/>
      <c r="AH58" s="17"/>
    </row>
    <row r="59" spans="1:34" x14ac:dyDescent="0.25">
      <c r="A59" t="s">
        <v>54</v>
      </c>
      <c r="B59" s="12">
        <v>57</v>
      </c>
      <c r="C59" s="14" t="s">
        <v>214</v>
      </c>
      <c r="D59" s="14">
        <v>7</v>
      </c>
      <c r="E59" s="14">
        <v>13.6</v>
      </c>
      <c r="F59" s="14">
        <v>82</v>
      </c>
      <c r="G59" s="14">
        <v>-18</v>
      </c>
      <c r="H59" s="14">
        <v>85</v>
      </c>
      <c r="I59" s="14">
        <v>15.1</v>
      </c>
      <c r="J59" s="14">
        <v>120</v>
      </c>
      <c r="K59" s="14">
        <v>10</v>
      </c>
      <c r="L59" s="14">
        <v>0</v>
      </c>
      <c r="M59" s="14">
        <v>100</v>
      </c>
      <c r="N59" s="14">
        <v>770</v>
      </c>
      <c r="O59" s="14">
        <v>71</v>
      </c>
      <c r="P59" s="14">
        <v>100</v>
      </c>
      <c r="Q59" s="14">
        <v>0</v>
      </c>
      <c r="R59" s="14">
        <v>100</v>
      </c>
      <c r="S59" s="14">
        <v>96</v>
      </c>
      <c r="T59" s="14"/>
      <c r="U59" s="14">
        <v>100</v>
      </c>
      <c r="V59" s="14">
        <v>100</v>
      </c>
      <c r="W59" s="14">
        <v>770</v>
      </c>
      <c r="X59" s="14"/>
      <c r="Y59" s="14">
        <v>0</v>
      </c>
      <c r="Z59" s="14">
        <v>0</v>
      </c>
      <c r="AA59" s="14">
        <v>0</v>
      </c>
      <c r="AB59" s="14">
        <v>7.2</v>
      </c>
      <c r="AC59" s="14">
        <v>7.9</v>
      </c>
      <c r="AD59" s="14">
        <v>1.4</v>
      </c>
      <c r="AE59" s="14">
        <v>24</v>
      </c>
      <c r="AF59" s="14">
        <v>10.6</v>
      </c>
      <c r="AG59" s="14"/>
      <c r="AH59" s="14">
        <v>10</v>
      </c>
    </row>
    <row r="60" spans="1:34" x14ac:dyDescent="0.25">
      <c r="B60" s="15">
        <v>58</v>
      </c>
      <c r="C60" s="17" t="s">
        <v>215</v>
      </c>
      <c r="D60" s="17">
        <v>6</v>
      </c>
      <c r="E60" s="17">
        <v>13.5</v>
      </c>
      <c r="F60" s="17">
        <v>91</v>
      </c>
      <c r="G60" s="17">
        <v>-99</v>
      </c>
      <c r="H60" s="17">
        <v>20</v>
      </c>
      <c r="I60" s="17">
        <v>14.8</v>
      </c>
      <c r="J60" s="17">
        <v>54</v>
      </c>
      <c r="K60" s="17">
        <v>5</v>
      </c>
      <c r="L60" s="17">
        <v>0</v>
      </c>
      <c r="M60" s="17">
        <v>87</v>
      </c>
      <c r="N60" s="17">
        <v>854</v>
      </c>
      <c r="O60" s="17">
        <v>37</v>
      </c>
      <c r="P60" s="17">
        <v>100</v>
      </c>
      <c r="Q60" s="17">
        <v>0</v>
      </c>
      <c r="R60" s="17">
        <v>100</v>
      </c>
      <c r="S60" s="17">
        <v>96</v>
      </c>
      <c r="T60" s="17"/>
      <c r="U60" s="17">
        <v>100</v>
      </c>
      <c r="V60" s="17">
        <v>100</v>
      </c>
      <c r="W60" s="17">
        <v>854</v>
      </c>
      <c r="X60" s="17"/>
      <c r="Y60" s="17">
        <v>0</v>
      </c>
      <c r="Z60" s="17">
        <v>0</v>
      </c>
      <c r="AA60" s="17">
        <v>0</v>
      </c>
      <c r="AB60" s="17">
        <v>4.5999999999999996</v>
      </c>
      <c r="AC60" s="17">
        <v>7.4</v>
      </c>
      <c r="AD60" s="17">
        <v>1.4</v>
      </c>
      <c r="AE60" s="17">
        <v>13</v>
      </c>
      <c r="AF60" s="17">
        <v>8.3000000000000007</v>
      </c>
      <c r="AG60" s="17"/>
      <c r="AH60" s="17">
        <v>8.6</v>
      </c>
    </row>
    <row r="61" spans="1:34" x14ac:dyDescent="0.25">
      <c r="B61" s="12">
        <v>59</v>
      </c>
      <c r="C61" s="14" t="s">
        <v>216</v>
      </c>
      <c r="D61" s="14">
        <v>12</v>
      </c>
      <c r="E61" s="14">
        <v>12.1</v>
      </c>
      <c r="F61" s="14">
        <v>88</v>
      </c>
      <c r="G61" s="14">
        <v>-49</v>
      </c>
      <c r="H61" s="14">
        <v>63</v>
      </c>
      <c r="I61" s="14">
        <v>13.9</v>
      </c>
      <c r="J61" s="14">
        <v>105</v>
      </c>
      <c r="K61" s="14">
        <v>10</v>
      </c>
      <c r="L61" s="14">
        <v>110</v>
      </c>
      <c r="M61" s="14">
        <v>80</v>
      </c>
      <c r="N61" s="14">
        <v>695</v>
      </c>
      <c r="O61" s="14">
        <v>60</v>
      </c>
      <c r="P61" s="14">
        <v>0</v>
      </c>
      <c r="Q61" s="14">
        <v>75</v>
      </c>
      <c r="R61" s="14">
        <v>95</v>
      </c>
      <c r="S61" s="14">
        <v>87</v>
      </c>
      <c r="T61" s="14"/>
      <c r="U61" s="14">
        <v>80</v>
      </c>
      <c r="V61" s="14">
        <v>65</v>
      </c>
      <c r="W61" s="14">
        <v>600</v>
      </c>
      <c r="X61" s="14"/>
      <c r="Y61" s="14">
        <v>0</v>
      </c>
      <c r="Z61" s="14">
        <v>90</v>
      </c>
      <c r="AA61" s="14">
        <v>0</v>
      </c>
      <c r="AB61" s="14">
        <v>3.3</v>
      </c>
      <c r="AC61" s="14">
        <v>2.8</v>
      </c>
      <c r="AD61" s="14">
        <v>2</v>
      </c>
      <c r="AE61" s="14">
        <v>28</v>
      </c>
      <c r="AF61" s="14">
        <v>10.4</v>
      </c>
      <c r="AG61" s="14"/>
      <c r="AH61" s="14">
        <v>10.4</v>
      </c>
    </row>
    <row r="62" spans="1:34" x14ac:dyDescent="0.25">
      <c r="A62" t="s">
        <v>47</v>
      </c>
      <c r="B62" s="15">
        <v>60</v>
      </c>
      <c r="C62" s="17" t="s">
        <v>217</v>
      </c>
      <c r="D62" s="17">
        <v>91</v>
      </c>
      <c r="E62" s="17">
        <v>13.4</v>
      </c>
      <c r="F62" s="17">
        <v>115</v>
      </c>
      <c r="G62" s="17">
        <v>-35</v>
      </c>
      <c r="H62" s="17">
        <v>126</v>
      </c>
      <c r="I62" s="17">
        <v>15</v>
      </c>
      <c r="J62" s="17">
        <v>154</v>
      </c>
      <c r="K62" s="17">
        <v>97</v>
      </c>
      <c r="L62" s="17">
        <v>228</v>
      </c>
      <c r="M62" s="17">
        <v>44</v>
      </c>
      <c r="N62" s="17">
        <v>477</v>
      </c>
      <c r="O62" s="17">
        <v>82</v>
      </c>
      <c r="P62" s="17">
        <v>90</v>
      </c>
      <c r="Q62" s="17">
        <v>40</v>
      </c>
      <c r="R62" s="17">
        <v>90</v>
      </c>
      <c r="S62" s="17">
        <v>80</v>
      </c>
      <c r="T62" s="17"/>
      <c r="U62" s="17">
        <v>38</v>
      </c>
      <c r="V62" s="17">
        <v>73</v>
      </c>
      <c r="W62" s="17">
        <v>150</v>
      </c>
      <c r="X62" s="17">
        <v>19</v>
      </c>
      <c r="Y62" s="17">
        <v>0</v>
      </c>
      <c r="Z62" s="17">
        <v>620</v>
      </c>
      <c r="AA62" s="17"/>
      <c r="AB62" s="17">
        <v>2.1</v>
      </c>
      <c r="AC62" s="17">
        <v>6.5</v>
      </c>
      <c r="AD62" s="17">
        <v>3.1</v>
      </c>
      <c r="AE62" s="17">
        <v>8</v>
      </c>
      <c r="AF62" s="17">
        <v>0.1</v>
      </c>
      <c r="AG62" s="17"/>
      <c r="AH62" s="17">
        <v>0.1</v>
      </c>
    </row>
    <row r="63" spans="1:34" x14ac:dyDescent="0.25">
      <c r="B63" s="12">
        <v>61</v>
      </c>
      <c r="C63" s="14" t="s">
        <v>218</v>
      </c>
      <c r="D63" s="14">
        <v>91</v>
      </c>
      <c r="E63" s="14">
        <v>12.5</v>
      </c>
      <c r="F63" s="14">
        <v>151</v>
      </c>
      <c r="G63" s="14">
        <v>-30</v>
      </c>
      <c r="H63" s="14">
        <v>166</v>
      </c>
      <c r="I63" s="14">
        <v>14.7</v>
      </c>
      <c r="J63" s="14">
        <v>202</v>
      </c>
      <c r="K63" s="14">
        <v>13</v>
      </c>
      <c r="L63" s="14">
        <v>168</v>
      </c>
      <c r="M63" s="14">
        <v>46</v>
      </c>
      <c r="N63" s="14">
        <v>571</v>
      </c>
      <c r="O63" s="14">
        <v>82</v>
      </c>
      <c r="P63" s="14">
        <v>75</v>
      </c>
      <c r="Q63" s="14">
        <v>50</v>
      </c>
      <c r="R63" s="14">
        <v>90</v>
      </c>
      <c r="S63" s="14">
        <v>80</v>
      </c>
      <c r="T63" s="14"/>
      <c r="U63" s="14">
        <v>38</v>
      </c>
      <c r="V63" s="14">
        <v>82</v>
      </c>
      <c r="W63" s="14">
        <v>150</v>
      </c>
      <c r="X63" s="14"/>
      <c r="Y63" s="14">
        <v>50</v>
      </c>
      <c r="Z63" s="14">
        <v>620</v>
      </c>
      <c r="AA63" s="14"/>
      <c r="AB63" s="14">
        <v>2.1</v>
      </c>
      <c r="AC63" s="14">
        <v>6.5</v>
      </c>
      <c r="AD63" s="14">
        <v>3.1</v>
      </c>
      <c r="AE63" s="14">
        <v>8</v>
      </c>
      <c r="AF63" s="14">
        <v>0.1</v>
      </c>
      <c r="AG63" s="14"/>
      <c r="AH63" s="14">
        <v>0.1</v>
      </c>
    </row>
    <row r="64" spans="1:34" x14ac:dyDescent="0.25">
      <c r="B64" s="15">
        <v>62</v>
      </c>
      <c r="C64" s="17" t="s">
        <v>219</v>
      </c>
      <c r="D64" s="17">
        <v>6</v>
      </c>
      <c r="E64" s="17">
        <v>11.4</v>
      </c>
      <c r="F64" s="17">
        <v>94</v>
      </c>
      <c r="G64" s="17">
        <v>52</v>
      </c>
      <c r="H64" s="17">
        <v>160</v>
      </c>
      <c r="I64" s="17">
        <v>13.3</v>
      </c>
      <c r="J64" s="17">
        <v>200</v>
      </c>
      <c r="K64" s="17">
        <v>7</v>
      </c>
      <c r="L64" s="17">
        <v>59</v>
      </c>
      <c r="M64" s="17">
        <v>113</v>
      </c>
      <c r="N64" s="17">
        <v>621</v>
      </c>
      <c r="O64" s="17">
        <v>80</v>
      </c>
      <c r="P64" s="17">
        <v>65</v>
      </c>
      <c r="Q64" s="17">
        <v>60</v>
      </c>
      <c r="R64" s="17">
        <v>81</v>
      </c>
      <c r="S64" s="17">
        <v>80</v>
      </c>
      <c r="T64" s="17"/>
      <c r="U64" s="17">
        <v>74</v>
      </c>
      <c r="V64" s="17">
        <v>82</v>
      </c>
      <c r="W64" s="17"/>
      <c r="X64" s="17"/>
      <c r="Y64" s="17"/>
      <c r="Z64" s="17"/>
      <c r="AA64" s="17"/>
      <c r="AB64" s="17">
        <v>2.8</v>
      </c>
      <c r="AC64" s="17">
        <v>7.3</v>
      </c>
      <c r="AD64" s="17">
        <v>0</v>
      </c>
      <c r="AE64" s="17">
        <v>55</v>
      </c>
      <c r="AF64" s="17">
        <v>0.6</v>
      </c>
      <c r="AG64" s="17"/>
      <c r="AH64" s="17">
        <v>0.6</v>
      </c>
    </row>
    <row r="65" spans="1:34" x14ac:dyDescent="0.25">
      <c r="B65" s="12">
        <v>63</v>
      </c>
      <c r="C65" s="14" t="s">
        <v>220</v>
      </c>
      <c r="D65" s="14">
        <v>23</v>
      </c>
      <c r="E65" s="14">
        <v>13.1</v>
      </c>
      <c r="F65" s="14">
        <v>92</v>
      </c>
      <c r="G65" s="14">
        <v>-70</v>
      </c>
      <c r="H65" s="14">
        <v>50</v>
      </c>
      <c r="I65" s="14">
        <v>14.9</v>
      </c>
      <c r="J65" s="14">
        <v>90</v>
      </c>
      <c r="K65" s="14">
        <v>10</v>
      </c>
      <c r="L65" s="14">
        <v>25</v>
      </c>
      <c r="M65" s="14">
        <v>55</v>
      </c>
      <c r="N65" s="14">
        <v>820</v>
      </c>
      <c r="O65" s="14">
        <v>55</v>
      </c>
      <c r="P65" s="14">
        <v>0</v>
      </c>
      <c r="Q65" s="14">
        <v>55</v>
      </c>
      <c r="R65" s="14">
        <v>95</v>
      </c>
      <c r="S65" s="14">
        <v>90</v>
      </c>
      <c r="T65" s="14"/>
      <c r="U65" s="14">
        <v>80</v>
      </c>
      <c r="V65" s="14">
        <v>65</v>
      </c>
      <c r="W65" s="14">
        <v>0</v>
      </c>
      <c r="X65" s="14">
        <v>26</v>
      </c>
      <c r="Y65" s="14">
        <v>740</v>
      </c>
      <c r="Z65" s="14">
        <v>73</v>
      </c>
      <c r="AA65" s="14">
        <v>14</v>
      </c>
      <c r="AB65" s="14">
        <v>0.3</v>
      </c>
      <c r="AC65" s="14">
        <v>2.2999999999999998</v>
      </c>
      <c r="AD65" s="14">
        <v>1.4</v>
      </c>
      <c r="AE65" s="14">
        <v>22</v>
      </c>
      <c r="AF65" s="14">
        <v>0.6</v>
      </c>
      <c r="AG65" s="14">
        <v>404</v>
      </c>
      <c r="AH65" s="14">
        <v>0.6</v>
      </c>
    </row>
    <row r="66" spans="1:34" x14ac:dyDescent="0.25">
      <c r="B66" s="15">
        <v>64</v>
      </c>
      <c r="C66" s="17" t="s">
        <v>221</v>
      </c>
      <c r="D66" s="17">
        <v>14</v>
      </c>
      <c r="E66" s="17">
        <v>10.8</v>
      </c>
      <c r="F66" s="17">
        <v>95</v>
      </c>
      <c r="G66" s="17">
        <v>-7</v>
      </c>
      <c r="H66" s="17">
        <v>50</v>
      </c>
      <c r="I66" s="17">
        <v>12.7</v>
      </c>
      <c r="J66" s="17">
        <v>160</v>
      </c>
      <c r="K66" s="17">
        <v>5</v>
      </c>
      <c r="L66" s="17">
        <v>180</v>
      </c>
      <c r="M66" s="17">
        <v>80</v>
      </c>
      <c r="N66" s="17">
        <v>575</v>
      </c>
      <c r="O66" s="17">
        <v>31</v>
      </c>
      <c r="P66" s="17">
        <v>0</v>
      </c>
      <c r="Q66" s="17">
        <v>73</v>
      </c>
      <c r="R66" s="17">
        <v>93</v>
      </c>
      <c r="S66" s="17"/>
      <c r="T66" s="17"/>
      <c r="U66" s="17">
        <v>70</v>
      </c>
      <c r="V66" s="17">
        <v>77</v>
      </c>
      <c r="W66" s="17">
        <v>10</v>
      </c>
      <c r="X66" s="17"/>
      <c r="Y66" s="17">
        <v>300</v>
      </c>
      <c r="Z66" s="17"/>
      <c r="AA66" s="17"/>
      <c r="AB66" s="17">
        <v>2</v>
      </c>
      <c r="AC66" s="17">
        <v>2.9</v>
      </c>
      <c r="AD66" s="17">
        <v>2.4</v>
      </c>
      <c r="AE66" s="17">
        <v>5</v>
      </c>
      <c r="AF66" s="17">
        <v>0.3</v>
      </c>
      <c r="AG66" s="17"/>
      <c r="AH66" s="17">
        <v>0.3</v>
      </c>
    </row>
    <row r="67" spans="1:34" x14ac:dyDescent="0.25">
      <c r="A67" t="s">
        <v>56</v>
      </c>
      <c r="B67" s="12">
        <v>65</v>
      </c>
      <c r="C67" s="14" t="s">
        <v>222</v>
      </c>
      <c r="D67" s="14">
        <v>90</v>
      </c>
      <c r="E67" s="14">
        <v>15.5</v>
      </c>
      <c r="F67" s="14">
        <v>418</v>
      </c>
      <c r="G67" s="14">
        <v>323</v>
      </c>
      <c r="H67" s="14">
        <v>751</v>
      </c>
      <c r="I67" s="14">
        <v>19.7</v>
      </c>
      <c r="J67" s="14">
        <v>844</v>
      </c>
      <c r="K67" s="14">
        <v>33</v>
      </c>
      <c r="L67" s="14">
        <v>4</v>
      </c>
      <c r="M67" s="14">
        <v>28</v>
      </c>
      <c r="N67" s="14">
        <v>91</v>
      </c>
      <c r="O67" s="14">
        <v>89</v>
      </c>
      <c r="P67" s="14"/>
      <c r="Q67" s="14">
        <v>55</v>
      </c>
      <c r="R67" s="14">
        <v>90</v>
      </c>
      <c r="S67" s="14"/>
      <c r="T67" s="14">
        <v>49</v>
      </c>
      <c r="U67" s="14">
        <v>40</v>
      </c>
      <c r="V67" s="14">
        <v>95</v>
      </c>
      <c r="W67" s="14"/>
      <c r="X67" s="14">
        <v>15</v>
      </c>
      <c r="Y67" s="14"/>
      <c r="Z67" s="14">
        <v>20</v>
      </c>
      <c r="AA67" s="14"/>
      <c r="AB67" s="14">
        <v>1.1000000000000001</v>
      </c>
      <c r="AC67" s="14">
        <v>4.4000000000000004</v>
      </c>
      <c r="AD67" s="14">
        <v>1.1000000000000001</v>
      </c>
      <c r="AE67" s="14">
        <v>8.9</v>
      </c>
      <c r="AF67" s="14">
        <v>0.6</v>
      </c>
      <c r="AG67" s="14"/>
      <c r="AH67" s="14">
        <v>0.6</v>
      </c>
    </row>
    <row r="68" spans="1:34" x14ac:dyDescent="0.25">
      <c r="A68" t="s">
        <v>304</v>
      </c>
      <c r="B68" s="15">
        <v>66</v>
      </c>
      <c r="C68" s="17" t="s">
        <v>223</v>
      </c>
      <c r="D68" s="17">
        <v>94</v>
      </c>
      <c r="E68" s="17">
        <v>15.6</v>
      </c>
      <c r="F68" s="17">
        <v>80</v>
      </c>
      <c r="G68" s="17">
        <v>180</v>
      </c>
      <c r="H68" s="17">
        <v>268</v>
      </c>
      <c r="I68" s="17">
        <v>17.3</v>
      </c>
      <c r="J68" s="17">
        <v>315</v>
      </c>
      <c r="K68" s="17">
        <v>174</v>
      </c>
      <c r="L68" s="17">
        <v>117</v>
      </c>
      <c r="M68" s="17">
        <v>67</v>
      </c>
      <c r="N68" s="17">
        <v>327</v>
      </c>
      <c r="O68" s="17">
        <v>85</v>
      </c>
      <c r="P68" s="17">
        <v>95</v>
      </c>
      <c r="Q68" s="17">
        <v>30</v>
      </c>
      <c r="R68" s="17">
        <v>80</v>
      </c>
      <c r="S68" s="17">
        <v>77</v>
      </c>
      <c r="T68" s="17">
        <v>39</v>
      </c>
      <c r="U68" s="17">
        <v>74</v>
      </c>
      <c r="V68" s="17">
        <v>70</v>
      </c>
      <c r="W68" s="17">
        <v>20</v>
      </c>
      <c r="X68" s="17">
        <v>53</v>
      </c>
      <c r="Y68" s="17">
        <v>10</v>
      </c>
      <c r="Z68" s="17"/>
      <c r="AA68" s="17"/>
      <c r="AB68" s="17">
        <v>8</v>
      </c>
      <c r="AC68" s="17">
        <v>11</v>
      </c>
      <c r="AD68" s="17">
        <v>5</v>
      </c>
      <c r="AE68" s="17">
        <v>13</v>
      </c>
      <c r="AF68" s="17">
        <v>0.5</v>
      </c>
      <c r="AG68" s="17">
        <v>-60</v>
      </c>
      <c r="AH68" s="17">
        <v>0.5</v>
      </c>
    </row>
    <row r="69" spans="1:34" x14ac:dyDescent="0.25">
      <c r="B69" s="12">
        <v>67</v>
      </c>
      <c r="C69" s="14" t="s">
        <v>224</v>
      </c>
      <c r="D69" s="14">
        <v>94</v>
      </c>
      <c r="E69" s="14">
        <v>15.5</v>
      </c>
      <c r="F69" s="14">
        <v>171</v>
      </c>
      <c r="G69" s="14">
        <v>87</v>
      </c>
      <c r="H69" s="14">
        <v>288</v>
      </c>
      <c r="I69" s="14">
        <v>17.2</v>
      </c>
      <c r="J69" s="14">
        <v>339</v>
      </c>
      <c r="K69" s="14">
        <v>169</v>
      </c>
      <c r="L69" s="14">
        <v>137</v>
      </c>
      <c r="M69" s="14">
        <v>66</v>
      </c>
      <c r="N69" s="14">
        <v>289</v>
      </c>
      <c r="O69" s="14">
        <v>85</v>
      </c>
      <c r="P69" s="14">
        <v>95</v>
      </c>
      <c r="Q69" s="14">
        <v>30</v>
      </c>
      <c r="R69" s="14">
        <v>80</v>
      </c>
      <c r="S69" s="14">
        <v>77</v>
      </c>
      <c r="T69" s="14">
        <v>39</v>
      </c>
      <c r="U69" s="14">
        <v>40</v>
      </c>
      <c r="V69" s="14">
        <v>82</v>
      </c>
      <c r="W69" s="14">
        <v>20</v>
      </c>
      <c r="X69" s="14">
        <v>53</v>
      </c>
      <c r="Y69" s="14">
        <v>6</v>
      </c>
      <c r="Z69" s="14">
        <v>311</v>
      </c>
      <c r="AA69" s="14"/>
      <c r="AB69" s="14">
        <v>7.5</v>
      </c>
      <c r="AC69" s="14">
        <v>12.4</v>
      </c>
      <c r="AD69" s="14">
        <v>4.2</v>
      </c>
      <c r="AE69" s="14">
        <v>13.2</v>
      </c>
      <c r="AF69" s="14">
        <v>0.8</v>
      </c>
      <c r="AG69" s="14">
        <v>-42</v>
      </c>
      <c r="AH69" s="14">
        <v>0.5</v>
      </c>
    </row>
    <row r="70" spans="1:34" x14ac:dyDescent="0.25">
      <c r="B70" s="15">
        <v>68</v>
      </c>
      <c r="C70" s="17" t="s">
        <v>225</v>
      </c>
      <c r="D70" s="17">
        <v>21</v>
      </c>
      <c r="E70" s="17">
        <v>11.1</v>
      </c>
      <c r="F70" s="17">
        <v>80</v>
      </c>
      <c r="G70" s="17">
        <v>5</v>
      </c>
      <c r="H70" s="17">
        <v>102</v>
      </c>
      <c r="I70" s="17">
        <v>13.5</v>
      </c>
      <c r="J70" s="17">
        <v>142</v>
      </c>
      <c r="K70" s="17">
        <v>30</v>
      </c>
      <c r="L70" s="17">
        <v>261</v>
      </c>
      <c r="M70" s="17">
        <v>100</v>
      </c>
      <c r="N70" s="17">
        <v>467</v>
      </c>
      <c r="O70" s="17"/>
      <c r="P70" s="17">
        <v>50</v>
      </c>
      <c r="Q70" s="17">
        <v>79</v>
      </c>
      <c r="R70" s="17">
        <v>86</v>
      </c>
      <c r="S70" s="17">
        <v>81</v>
      </c>
      <c r="T70" s="17"/>
      <c r="U70" s="17">
        <v>80</v>
      </c>
      <c r="V70" s="17">
        <v>82</v>
      </c>
      <c r="W70" s="17"/>
      <c r="X70" s="17"/>
      <c r="Y70" s="17"/>
      <c r="Z70" s="17"/>
      <c r="AA70" s="17"/>
      <c r="AB70" s="17">
        <v>10</v>
      </c>
      <c r="AC70" s="17">
        <v>2.8</v>
      </c>
      <c r="AD70" s="17"/>
      <c r="AE70" s="17"/>
      <c r="AF70" s="17"/>
      <c r="AG70" s="17"/>
      <c r="AH70" s="17"/>
    </row>
    <row r="71" spans="1:34" x14ac:dyDescent="0.25">
      <c r="B71" s="12">
        <v>69</v>
      </c>
      <c r="C71" s="14" t="s">
        <v>226</v>
      </c>
      <c r="D71" s="14">
        <v>90</v>
      </c>
      <c r="E71" s="14">
        <v>12.4</v>
      </c>
      <c r="F71" s="14">
        <v>112</v>
      </c>
      <c r="G71" s="14">
        <v>231</v>
      </c>
      <c r="H71" s="14">
        <v>340</v>
      </c>
      <c r="I71" s="14">
        <v>14.8</v>
      </c>
      <c r="J71" s="14">
        <v>400</v>
      </c>
      <c r="K71" s="14">
        <v>45</v>
      </c>
      <c r="L71" s="14">
        <v>123</v>
      </c>
      <c r="M71" s="14">
        <v>77</v>
      </c>
      <c r="N71" s="14">
        <v>355</v>
      </c>
      <c r="O71" s="14">
        <v>85</v>
      </c>
      <c r="P71" s="14">
        <v>67</v>
      </c>
      <c r="Q71" s="14">
        <v>30</v>
      </c>
      <c r="R71" s="14">
        <v>80</v>
      </c>
      <c r="S71" s="14">
        <v>77</v>
      </c>
      <c r="T71" s="14">
        <v>47</v>
      </c>
      <c r="U71" s="14">
        <v>72</v>
      </c>
      <c r="V71" s="14">
        <v>82</v>
      </c>
      <c r="W71" s="14">
        <v>20</v>
      </c>
      <c r="X71" s="14">
        <v>50</v>
      </c>
      <c r="Y71" s="14">
        <v>13</v>
      </c>
      <c r="Z71" s="14">
        <v>243</v>
      </c>
      <c r="AA71" s="14"/>
      <c r="AB71" s="14">
        <v>7.9</v>
      </c>
      <c r="AC71" s="14">
        <v>14.4</v>
      </c>
      <c r="AD71" s="14">
        <v>5.6</v>
      </c>
      <c r="AE71" s="14">
        <v>15.8</v>
      </c>
      <c r="AF71" s="14">
        <v>0.1</v>
      </c>
      <c r="AG71" s="14">
        <v>-13</v>
      </c>
      <c r="AH71" s="14">
        <v>0.1</v>
      </c>
    </row>
    <row r="72" spans="1:34" x14ac:dyDescent="0.25">
      <c r="A72" t="s">
        <v>36</v>
      </c>
      <c r="B72" s="15">
        <v>70</v>
      </c>
      <c r="C72" s="17" t="s">
        <v>227</v>
      </c>
      <c r="D72" s="17">
        <v>90</v>
      </c>
      <c r="E72" s="17">
        <v>12.2</v>
      </c>
      <c r="F72" s="17">
        <v>221</v>
      </c>
      <c r="G72" s="17">
        <v>79</v>
      </c>
      <c r="H72" s="17">
        <v>331</v>
      </c>
      <c r="I72" s="17">
        <v>14.6</v>
      </c>
      <c r="J72" s="17">
        <v>389</v>
      </c>
      <c r="K72" s="17">
        <v>46</v>
      </c>
      <c r="L72" s="17">
        <v>140</v>
      </c>
      <c r="M72" s="17">
        <v>75</v>
      </c>
      <c r="N72" s="17">
        <v>350</v>
      </c>
      <c r="O72" s="17">
        <v>85</v>
      </c>
      <c r="P72" s="17">
        <v>67</v>
      </c>
      <c r="Q72" s="17">
        <v>30</v>
      </c>
      <c r="R72" s="17">
        <v>80</v>
      </c>
      <c r="S72" s="17">
        <v>77</v>
      </c>
      <c r="T72" s="17">
        <v>47</v>
      </c>
      <c r="U72" s="17">
        <v>35</v>
      </c>
      <c r="V72" s="17">
        <v>87</v>
      </c>
      <c r="W72" s="17">
        <v>20</v>
      </c>
      <c r="X72" s="17">
        <v>50</v>
      </c>
      <c r="Y72" s="17">
        <v>6</v>
      </c>
      <c r="Z72" s="17">
        <v>332</v>
      </c>
      <c r="AA72" s="17"/>
      <c r="AB72" s="17">
        <v>8</v>
      </c>
      <c r="AC72" s="17">
        <v>12</v>
      </c>
      <c r="AD72" s="17">
        <v>6</v>
      </c>
      <c r="AE72" s="17">
        <v>16</v>
      </c>
      <c r="AF72" s="17">
        <v>0.3</v>
      </c>
      <c r="AG72" s="17">
        <v>1</v>
      </c>
      <c r="AH72" s="17">
        <v>0.1</v>
      </c>
    </row>
    <row r="73" spans="1:34" x14ac:dyDescent="0.25">
      <c r="A73" t="s">
        <v>35</v>
      </c>
      <c r="B73" s="12">
        <v>71</v>
      </c>
      <c r="C73" s="14" t="s">
        <v>228</v>
      </c>
      <c r="D73" s="14">
        <v>93</v>
      </c>
      <c r="E73" s="14">
        <v>22.1</v>
      </c>
      <c r="F73" s="14">
        <v>56</v>
      </c>
      <c r="G73" s="14">
        <v>111</v>
      </c>
      <c r="H73" s="14">
        <v>170</v>
      </c>
      <c r="I73" s="14">
        <v>22.1</v>
      </c>
      <c r="J73" s="14">
        <v>210</v>
      </c>
      <c r="K73" s="14">
        <v>460</v>
      </c>
      <c r="L73" s="14">
        <v>80</v>
      </c>
      <c r="M73" s="14">
        <v>50</v>
      </c>
      <c r="N73" s="14">
        <v>200</v>
      </c>
      <c r="O73" s="14">
        <v>81</v>
      </c>
      <c r="P73" s="14">
        <v>95</v>
      </c>
      <c r="Q73" s="14">
        <v>25</v>
      </c>
      <c r="R73" s="14">
        <v>80</v>
      </c>
      <c r="S73" s="14">
        <v>82</v>
      </c>
      <c r="T73" s="14">
        <v>45</v>
      </c>
      <c r="U73" s="14">
        <v>68</v>
      </c>
      <c r="V73" s="14">
        <v>64</v>
      </c>
      <c r="W73" s="14">
        <v>10</v>
      </c>
      <c r="X73" s="14">
        <v>26</v>
      </c>
      <c r="Y73" s="14">
        <v>10</v>
      </c>
      <c r="Z73" s="14">
        <v>120</v>
      </c>
      <c r="AA73" s="14">
        <v>30</v>
      </c>
      <c r="AB73" s="14">
        <v>4.3</v>
      </c>
      <c r="AC73" s="14">
        <v>8.6</v>
      </c>
      <c r="AD73" s="14">
        <v>2.4</v>
      </c>
      <c r="AE73" s="14">
        <v>8.1999999999999993</v>
      </c>
      <c r="AF73" s="14">
        <v>0.1</v>
      </c>
      <c r="AG73" s="14"/>
      <c r="AH73" s="14">
        <v>0.1</v>
      </c>
    </row>
    <row r="74" spans="1:34" x14ac:dyDescent="0.25">
      <c r="B74" s="15">
        <v>72</v>
      </c>
      <c r="C74" s="17" t="s">
        <v>229</v>
      </c>
      <c r="D74" s="17">
        <v>35</v>
      </c>
      <c r="E74" s="17">
        <v>7.6</v>
      </c>
      <c r="F74" s="17">
        <v>54</v>
      </c>
      <c r="G74" s="17">
        <v>-90</v>
      </c>
      <c r="H74" s="17">
        <v>0</v>
      </c>
      <c r="I74" s="17">
        <v>9.1999999999999993</v>
      </c>
      <c r="J74" s="17">
        <v>30</v>
      </c>
      <c r="K74" s="17">
        <v>20</v>
      </c>
      <c r="L74" s="17">
        <v>410</v>
      </c>
      <c r="M74" s="17">
        <v>10</v>
      </c>
      <c r="N74" s="17">
        <v>530</v>
      </c>
      <c r="O74" s="17">
        <v>0</v>
      </c>
      <c r="P74" s="17">
        <v>70</v>
      </c>
      <c r="Q74" s="17">
        <v>45</v>
      </c>
      <c r="R74" s="17">
        <v>60</v>
      </c>
      <c r="S74" s="17">
        <v>52</v>
      </c>
      <c r="T74" s="17">
        <v>3</v>
      </c>
      <c r="U74" s="17">
        <v>0</v>
      </c>
      <c r="V74" s="17">
        <v>0</v>
      </c>
      <c r="W74" s="17"/>
      <c r="X74" s="17"/>
      <c r="Y74" s="17"/>
      <c r="Z74" s="17"/>
      <c r="AA74" s="17"/>
      <c r="AB74" s="17">
        <v>0.9</v>
      </c>
      <c r="AC74" s="17">
        <v>0.3</v>
      </c>
      <c r="AD74" s="17"/>
      <c r="AE74" s="17"/>
      <c r="AF74" s="17"/>
      <c r="AG74" s="17"/>
      <c r="AH74" s="17"/>
    </row>
    <row r="75" spans="1:34" x14ac:dyDescent="0.25">
      <c r="B75" s="12">
        <v>73</v>
      </c>
      <c r="C75" s="14" t="s">
        <v>230</v>
      </c>
      <c r="D75" s="14">
        <v>89</v>
      </c>
      <c r="E75" s="14">
        <v>12.7</v>
      </c>
      <c r="F75" s="14">
        <v>99</v>
      </c>
      <c r="G75" s="14">
        <v>-77</v>
      </c>
      <c r="H75" s="14">
        <v>51</v>
      </c>
      <c r="I75" s="14">
        <v>14.5</v>
      </c>
      <c r="J75" s="14">
        <v>82</v>
      </c>
      <c r="K75" s="14">
        <v>19</v>
      </c>
      <c r="L75" s="14">
        <v>112</v>
      </c>
      <c r="M75" s="14">
        <v>51</v>
      </c>
      <c r="N75" s="14">
        <v>736</v>
      </c>
      <c r="O75" s="14">
        <v>62</v>
      </c>
      <c r="P75" s="14">
        <v>50</v>
      </c>
      <c r="Q75" s="14">
        <v>45</v>
      </c>
      <c r="R75" s="14">
        <v>95</v>
      </c>
      <c r="S75" s="14">
        <v>85</v>
      </c>
      <c r="T75" s="14"/>
      <c r="U75" s="14">
        <v>70</v>
      </c>
      <c r="V75" s="14">
        <v>90</v>
      </c>
      <c r="W75" s="14">
        <v>0</v>
      </c>
      <c r="X75" s="14"/>
      <c r="Y75" s="14">
        <v>691</v>
      </c>
      <c r="Z75" s="14">
        <v>160</v>
      </c>
      <c r="AA75" s="14"/>
      <c r="AB75" s="14">
        <v>0.7</v>
      </c>
      <c r="AC75" s="14">
        <v>2.9</v>
      </c>
      <c r="AD75" s="14">
        <v>1.5</v>
      </c>
      <c r="AE75" s="14">
        <v>3.6</v>
      </c>
      <c r="AF75" s="14">
        <v>0.6</v>
      </c>
      <c r="AG75" s="14"/>
      <c r="AH75" s="14">
        <v>0.6</v>
      </c>
    </row>
    <row r="76" spans="1:34" x14ac:dyDescent="0.25">
      <c r="B76" s="15">
        <v>74</v>
      </c>
      <c r="C76" s="17" t="s">
        <v>231</v>
      </c>
      <c r="D76" s="17">
        <v>87</v>
      </c>
      <c r="E76" s="17">
        <v>14.4</v>
      </c>
      <c r="F76" s="17">
        <v>110</v>
      </c>
      <c r="G76" s="17">
        <v>-96</v>
      </c>
      <c r="H76" s="17">
        <v>50</v>
      </c>
      <c r="I76" s="17">
        <v>16.2</v>
      </c>
      <c r="J76" s="17">
        <v>81</v>
      </c>
      <c r="K76" s="17">
        <v>10</v>
      </c>
      <c r="L76" s="17">
        <v>8</v>
      </c>
      <c r="M76" s="17">
        <v>5</v>
      </c>
      <c r="N76" s="17">
        <v>896</v>
      </c>
      <c r="O76" s="17">
        <v>62</v>
      </c>
      <c r="P76" s="17">
        <v>50</v>
      </c>
      <c r="Q76" s="17">
        <v>45</v>
      </c>
      <c r="R76" s="17">
        <v>95</v>
      </c>
      <c r="S76" s="17">
        <v>91</v>
      </c>
      <c r="T76" s="17">
        <v>80</v>
      </c>
      <c r="U76" s="17">
        <v>70</v>
      </c>
      <c r="V76" s="17">
        <v>90</v>
      </c>
      <c r="W76" s="17">
        <v>0</v>
      </c>
      <c r="X76" s="17"/>
      <c r="Y76" s="17">
        <v>850</v>
      </c>
      <c r="Z76" s="17">
        <v>13</v>
      </c>
      <c r="AA76" s="17"/>
      <c r="AB76" s="17">
        <v>0.3</v>
      </c>
      <c r="AC76" s="17">
        <v>1.1000000000000001</v>
      </c>
      <c r="AD76" s="17">
        <v>1.2</v>
      </c>
      <c r="AE76" s="17">
        <v>1.5</v>
      </c>
      <c r="AF76" s="17">
        <v>0.8</v>
      </c>
      <c r="AG76" s="17"/>
      <c r="AH76" s="17">
        <v>0.8</v>
      </c>
    </row>
    <row r="77" spans="1:34" x14ac:dyDescent="0.25">
      <c r="B77" s="12">
        <v>75</v>
      </c>
      <c r="C77" s="14" t="s">
        <v>232</v>
      </c>
      <c r="D77" s="14">
        <v>9</v>
      </c>
      <c r="E77" s="14">
        <v>10.9</v>
      </c>
      <c r="F77" s="14">
        <v>79</v>
      </c>
      <c r="G77" s="14">
        <v>-21</v>
      </c>
      <c r="H77" s="14">
        <v>72</v>
      </c>
      <c r="I77" s="14">
        <v>12.7</v>
      </c>
      <c r="J77" s="14">
        <v>120</v>
      </c>
      <c r="K77" s="14">
        <v>10</v>
      </c>
      <c r="L77" s="14">
        <v>110</v>
      </c>
      <c r="M77" s="14">
        <v>110</v>
      </c>
      <c r="N77" s="14">
        <v>650</v>
      </c>
      <c r="O77" s="14">
        <v>60</v>
      </c>
      <c r="P77" s="14">
        <v>0</v>
      </c>
      <c r="Q77" s="14">
        <v>60</v>
      </c>
      <c r="R77" s="14">
        <v>90</v>
      </c>
      <c r="S77" s="14">
        <v>81</v>
      </c>
      <c r="T77" s="14"/>
      <c r="U77" s="14">
        <v>80</v>
      </c>
      <c r="V77" s="14">
        <v>61</v>
      </c>
      <c r="W77" s="14">
        <v>400</v>
      </c>
      <c r="X77" s="14"/>
      <c r="Y77" s="14">
        <v>0</v>
      </c>
      <c r="Z77" s="14"/>
      <c r="AA77" s="14"/>
      <c r="AB77" s="14">
        <v>4.2</v>
      </c>
      <c r="AC77" s="14">
        <v>2.8</v>
      </c>
      <c r="AD77" s="14">
        <v>1</v>
      </c>
      <c r="AE77" s="14">
        <v>18</v>
      </c>
      <c r="AF77" s="14">
        <v>1.1000000000000001</v>
      </c>
      <c r="AG77" s="14"/>
      <c r="AH77" s="14">
        <v>1.1000000000000001</v>
      </c>
    </row>
    <row r="78" spans="1:34" x14ac:dyDescent="0.25">
      <c r="B78" s="15">
        <v>76</v>
      </c>
      <c r="C78" s="17" t="s">
        <v>233</v>
      </c>
      <c r="D78" s="17">
        <v>87</v>
      </c>
      <c r="E78" s="17">
        <v>11.6</v>
      </c>
      <c r="F78" s="17">
        <v>78</v>
      </c>
      <c r="G78" s="17">
        <v>34</v>
      </c>
      <c r="H78" s="17">
        <v>120</v>
      </c>
      <c r="I78" s="17">
        <v>13.2</v>
      </c>
      <c r="J78" s="17">
        <v>160</v>
      </c>
      <c r="K78" s="17">
        <v>40</v>
      </c>
      <c r="L78" s="17">
        <v>55</v>
      </c>
      <c r="M78" s="17">
        <v>45</v>
      </c>
      <c r="N78" s="17">
        <v>700</v>
      </c>
      <c r="O78" s="17">
        <v>75</v>
      </c>
      <c r="P78" s="17">
        <v>70</v>
      </c>
      <c r="Q78" s="17">
        <v>30</v>
      </c>
      <c r="R78" s="17">
        <v>75</v>
      </c>
      <c r="S78" s="17">
        <v>72</v>
      </c>
      <c r="T78" s="17"/>
      <c r="U78" s="17">
        <v>82</v>
      </c>
      <c r="V78" s="17">
        <v>83</v>
      </c>
      <c r="W78" s="17">
        <v>153</v>
      </c>
      <c r="X78" s="17"/>
      <c r="Y78" s="17">
        <v>167</v>
      </c>
      <c r="Z78" s="17"/>
      <c r="AA78" s="17"/>
      <c r="AB78" s="17">
        <v>1.1000000000000001</v>
      </c>
      <c r="AC78" s="17">
        <v>11.1</v>
      </c>
      <c r="AD78" s="17">
        <v>3.5</v>
      </c>
      <c r="AE78" s="17">
        <v>16</v>
      </c>
      <c r="AF78" s="17">
        <v>0.1</v>
      </c>
      <c r="AG78" s="17"/>
      <c r="AH78" s="17">
        <v>0.1</v>
      </c>
    </row>
    <row r="79" spans="1:34" x14ac:dyDescent="0.25">
      <c r="A79" t="s">
        <v>313</v>
      </c>
      <c r="B79" s="12">
        <v>77</v>
      </c>
      <c r="C79" s="14" t="s">
        <v>234</v>
      </c>
      <c r="D79" s="14">
        <v>87</v>
      </c>
      <c r="E79" s="14">
        <v>13.9</v>
      </c>
      <c r="F79" s="14">
        <v>95</v>
      </c>
      <c r="G79" s="14">
        <v>-57</v>
      </c>
      <c r="H79" s="14">
        <v>80</v>
      </c>
      <c r="I79" s="14">
        <v>15.8</v>
      </c>
      <c r="J79" s="14">
        <v>100</v>
      </c>
      <c r="K79" s="14">
        <v>20</v>
      </c>
      <c r="L79" s="14">
        <v>25</v>
      </c>
      <c r="M79" s="14">
        <v>20</v>
      </c>
      <c r="N79" s="14">
        <v>835</v>
      </c>
      <c r="O79" s="14">
        <v>80</v>
      </c>
      <c r="P79" s="14">
        <v>60</v>
      </c>
      <c r="Q79" s="14">
        <v>30</v>
      </c>
      <c r="R79" s="14">
        <v>92</v>
      </c>
      <c r="S79" s="14">
        <v>89</v>
      </c>
      <c r="T79" s="14">
        <v>47</v>
      </c>
      <c r="U79" s="14">
        <v>82</v>
      </c>
      <c r="V79" s="14">
        <v>83</v>
      </c>
      <c r="W79" s="14">
        <v>70</v>
      </c>
      <c r="X79" s="14"/>
      <c r="Y79" s="14">
        <v>640</v>
      </c>
      <c r="Z79" s="14">
        <v>136</v>
      </c>
      <c r="AA79" s="14"/>
      <c r="AB79" s="14">
        <v>0.4</v>
      </c>
      <c r="AC79" s="14">
        <v>3.4</v>
      </c>
      <c r="AD79" s="14">
        <v>1</v>
      </c>
      <c r="AE79" s="14">
        <v>5.5</v>
      </c>
      <c r="AF79" s="14">
        <v>0.1</v>
      </c>
      <c r="AG79" s="14"/>
      <c r="AH79" s="14">
        <v>0.1</v>
      </c>
    </row>
    <row r="80" spans="1:34" x14ac:dyDescent="0.25">
      <c r="A80" t="s">
        <v>39</v>
      </c>
      <c r="B80" s="15">
        <v>78</v>
      </c>
      <c r="C80" s="17" t="s">
        <v>235</v>
      </c>
      <c r="D80" s="17">
        <v>87</v>
      </c>
      <c r="E80" s="17">
        <v>14</v>
      </c>
      <c r="F80" s="17">
        <v>95</v>
      </c>
      <c r="G80" s="17">
        <v>-31</v>
      </c>
      <c r="H80" s="17">
        <v>98</v>
      </c>
      <c r="I80" s="17">
        <v>15.8</v>
      </c>
      <c r="J80" s="17">
        <v>123</v>
      </c>
      <c r="K80" s="17">
        <v>26</v>
      </c>
      <c r="L80" s="17">
        <v>33</v>
      </c>
      <c r="M80" s="17">
        <v>19</v>
      </c>
      <c r="N80" s="17">
        <v>799</v>
      </c>
      <c r="O80" s="17">
        <v>80</v>
      </c>
      <c r="P80" s="17">
        <v>65</v>
      </c>
      <c r="Q80" s="17">
        <v>30</v>
      </c>
      <c r="R80" s="17">
        <v>92</v>
      </c>
      <c r="S80" s="17">
        <v>89</v>
      </c>
      <c r="T80" s="17">
        <v>56</v>
      </c>
      <c r="U80" s="17">
        <v>83</v>
      </c>
      <c r="V80" s="17">
        <v>90</v>
      </c>
      <c r="W80" s="17">
        <v>32</v>
      </c>
      <c r="X80" s="17">
        <v>20</v>
      </c>
      <c r="Y80" s="17">
        <v>609</v>
      </c>
      <c r="Z80" s="17">
        <v>148</v>
      </c>
      <c r="AA80" s="17"/>
      <c r="AB80" s="17">
        <v>0.4</v>
      </c>
      <c r="AC80" s="17">
        <v>4</v>
      </c>
      <c r="AD80" s="17">
        <v>1.4</v>
      </c>
      <c r="AE80" s="17">
        <v>5.4</v>
      </c>
      <c r="AF80" s="17">
        <v>0.1</v>
      </c>
      <c r="AG80" s="17"/>
      <c r="AH80" s="17">
        <v>0.1</v>
      </c>
    </row>
    <row r="81" spans="1:34" x14ac:dyDescent="0.25">
      <c r="B81" s="12">
        <v>79</v>
      </c>
      <c r="C81" s="14" t="s">
        <v>236</v>
      </c>
      <c r="D81" s="14">
        <v>78</v>
      </c>
      <c r="E81" s="14">
        <v>11.4</v>
      </c>
      <c r="F81" s="14">
        <v>78</v>
      </c>
      <c r="G81" s="14">
        <v>-76</v>
      </c>
      <c r="H81" s="14">
        <v>21</v>
      </c>
      <c r="I81" s="14">
        <v>12.7</v>
      </c>
      <c r="J81" s="14">
        <v>55</v>
      </c>
      <c r="K81" s="14">
        <v>0</v>
      </c>
      <c r="L81" s="14">
        <v>0</v>
      </c>
      <c r="M81" s="14">
        <v>142</v>
      </c>
      <c r="N81" s="14">
        <v>803</v>
      </c>
      <c r="O81" s="14">
        <v>38</v>
      </c>
      <c r="P81" s="14"/>
      <c r="Q81" s="14"/>
      <c r="R81" s="14">
        <v>91</v>
      </c>
      <c r="S81" s="14">
        <v>86</v>
      </c>
      <c r="T81" s="14"/>
      <c r="U81" s="14">
        <v>100</v>
      </c>
      <c r="V81" s="14">
        <v>100</v>
      </c>
      <c r="W81" s="14">
        <v>618</v>
      </c>
      <c r="X81" s="14"/>
      <c r="Y81" s="14">
        <v>0</v>
      </c>
      <c r="Z81" s="14"/>
      <c r="AA81" s="14"/>
      <c r="AB81" s="14">
        <v>8</v>
      </c>
      <c r="AC81" s="14">
        <v>0.8</v>
      </c>
      <c r="AD81" s="14">
        <v>4.4000000000000004</v>
      </c>
      <c r="AE81" s="14">
        <v>50</v>
      </c>
      <c r="AF81" s="14">
        <v>2.4</v>
      </c>
      <c r="AG81" s="14"/>
      <c r="AH81" s="14">
        <v>11.6</v>
      </c>
    </row>
    <row r="82" spans="1:34" x14ac:dyDescent="0.25">
      <c r="B82" s="15">
        <v>80</v>
      </c>
      <c r="C82" s="17" t="s">
        <v>237</v>
      </c>
      <c r="D82" s="17">
        <v>93</v>
      </c>
      <c r="E82" s="17">
        <v>22.1</v>
      </c>
      <c r="F82" s="17"/>
      <c r="G82" s="17"/>
      <c r="H82" s="17">
        <v>170</v>
      </c>
      <c r="I82" s="17">
        <v>22.1</v>
      </c>
      <c r="J82" s="17">
        <v>210</v>
      </c>
      <c r="K82" s="17">
        <v>460</v>
      </c>
      <c r="L82" s="17">
        <v>80</v>
      </c>
      <c r="M82" s="17">
        <v>50</v>
      </c>
      <c r="N82" s="17">
        <v>200</v>
      </c>
      <c r="O82" s="17">
        <v>81</v>
      </c>
      <c r="P82" s="17">
        <v>95</v>
      </c>
      <c r="Q82" s="17">
        <v>25</v>
      </c>
      <c r="R82" s="17">
        <v>80</v>
      </c>
      <c r="S82" s="17">
        <v>82</v>
      </c>
      <c r="T82" s="17"/>
      <c r="U82" s="17"/>
      <c r="V82" s="17"/>
      <c r="W82" s="17"/>
      <c r="X82" s="17"/>
      <c r="Y82" s="17"/>
      <c r="Z82" s="17"/>
      <c r="AA82" s="17"/>
      <c r="AB82" s="17">
        <v>4.3</v>
      </c>
      <c r="AC82" s="17">
        <v>8.6</v>
      </c>
      <c r="AD82" s="17"/>
      <c r="AE82" s="17"/>
      <c r="AF82" s="17"/>
      <c r="AG82" s="17"/>
      <c r="AH82" s="17"/>
    </row>
    <row r="83" spans="1:34" x14ac:dyDescent="0.25">
      <c r="B83" s="12">
        <v>81</v>
      </c>
      <c r="C83" s="14" t="s">
        <v>238</v>
      </c>
      <c r="D83" s="14">
        <v>90</v>
      </c>
      <c r="E83" s="14">
        <v>14.4</v>
      </c>
      <c r="F83" s="14"/>
      <c r="G83" s="14"/>
      <c r="H83" s="14">
        <v>405</v>
      </c>
      <c r="I83" s="14">
        <v>16.899999999999999</v>
      </c>
      <c r="J83" s="14">
        <v>450</v>
      </c>
      <c r="K83" s="14">
        <v>90</v>
      </c>
      <c r="L83" s="14">
        <v>80</v>
      </c>
      <c r="M83" s="14">
        <v>120</v>
      </c>
      <c r="N83" s="14">
        <v>260</v>
      </c>
      <c r="O83" s="14">
        <v>90</v>
      </c>
      <c r="P83" s="14">
        <v>95</v>
      </c>
      <c r="Q83" s="14">
        <v>60</v>
      </c>
      <c r="R83" s="14">
        <v>75</v>
      </c>
      <c r="S83" s="14">
        <v>83</v>
      </c>
      <c r="T83" s="14"/>
      <c r="U83" s="14">
        <v>70</v>
      </c>
      <c r="V83" s="14">
        <v>83</v>
      </c>
      <c r="W83" s="14">
        <v>100</v>
      </c>
      <c r="X83" s="14"/>
      <c r="Y83" s="14">
        <v>25</v>
      </c>
      <c r="Z83" s="14"/>
      <c r="AA83" s="14"/>
      <c r="AB83" s="14">
        <v>18.899999999999999</v>
      </c>
      <c r="AC83" s="14">
        <v>11.4</v>
      </c>
      <c r="AD83" s="14">
        <v>6.4</v>
      </c>
      <c r="AE83" s="14">
        <v>7</v>
      </c>
      <c r="AF83" s="14">
        <v>0.1</v>
      </c>
      <c r="AG83" s="14"/>
      <c r="AH83" s="14">
        <v>0.1</v>
      </c>
    </row>
    <row r="84" spans="1:34" x14ac:dyDescent="0.25">
      <c r="B84" s="15">
        <v>82</v>
      </c>
      <c r="C84" s="17" t="s">
        <v>239</v>
      </c>
      <c r="D84" s="17">
        <v>94</v>
      </c>
      <c r="E84" s="17">
        <v>23.2</v>
      </c>
      <c r="F84" s="17"/>
      <c r="G84" s="17"/>
      <c r="H84" s="17">
        <v>198</v>
      </c>
      <c r="I84" s="17">
        <v>23.2</v>
      </c>
      <c r="J84" s="17">
        <v>220</v>
      </c>
      <c r="K84" s="17">
        <v>500</v>
      </c>
      <c r="L84" s="17">
        <v>70</v>
      </c>
      <c r="M84" s="17">
        <v>60</v>
      </c>
      <c r="N84" s="17">
        <v>150</v>
      </c>
      <c r="O84" s="17">
        <v>90</v>
      </c>
      <c r="P84" s="17">
        <v>95</v>
      </c>
      <c r="Q84" s="17">
        <v>30</v>
      </c>
      <c r="R84" s="17">
        <v>70</v>
      </c>
      <c r="S84" s="17">
        <v>85</v>
      </c>
      <c r="T84" s="17"/>
      <c r="U84" s="17"/>
      <c r="V84" s="17"/>
      <c r="W84" s="17"/>
      <c r="X84" s="17"/>
      <c r="Y84" s="17"/>
      <c r="Z84" s="17"/>
      <c r="AA84" s="17"/>
      <c r="AB84" s="17">
        <v>12.8</v>
      </c>
      <c r="AC84" s="17">
        <v>6.4</v>
      </c>
      <c r="AD84" s="17"/>
      <c r="AE84" s="17"/>
      <c r="AF84" s="17"/>
      <c r="AG84" s="17"/>
      <c r="AH84" s="17"/>
    </row>
    <row r="85" spans="1:34" x14ac:dyDescent="0.25">
      <c r="B85" s="12">
        <v>83</v>
      </c>
      <c r="C85" s="14" t="s">
        <v>240</v>
      </c>
      <c r="D85" s="14">
        <v>90</v>
      </c>
      <c r="E85" s="14">
        <v>12.5</v>
      </c>
      <c r="F85" s="14"/>
      <c r="G85" s="14"/>
      <c r="H85" s="14">
        <v>450</v>
      </c>
      <c r="I85" s="14">
        <v>15.5</v>
      </c>
      <c r="J85" s="14">
        <v>500</v>
      </c>
      <c r="K85" s="14">
        <v>15</v>
      </c>
      <c r="L85" s="14">
        <v>85</v>
      </c>
      <c r="M85" s="14">
        <v>135</v>
      </c>
      <c r="N85" s="14">
        <v>265</v>
      </c>
      <c r="O85" s="14">
        <v>90</v>
      </c>
      <c r="P85" s="14">
        <v>95</v>
      </c>
      <c r="Q85" s="14">
        <v>60</v>
      </c>
      <c r="R85" s="14">
        <v>70</v>
      </c>
      <c r="S85" s="14">
        <v>81</v>
      </c>
      <c r="T85" s="14"/>
      <c r="U85" s="14">
        <v>70</v>
      </c>
      <c r="V85" s="14">
        <v>77</v>
      </c>
      <c r="W85" s="14">
        <v>100</v>
      </c>
      <c r="X85" s="14"/>
      <c r="Y85" s="14">
        <v>25</v>
      </c>
      <c r="Z85" s="14"/>
      <c r="AA85" s="14"/>
      <c r="AB85" s="14">
        <v>18.899999999999999</v>
      </c>
      <c r="AC85" s="14">
        <v>11.4</v>
      </c>
      <c r="AD85" s="14">
        <v>6.4</v>
      </c>
      <c r="AE85" s="14">
        <v>7</v>
      </c>
      <c r="AF85" s="14">
        <v>0.1</v>
      </c>
      <c r="AG85" s="14"/>
      <c r="AH85" s="14">
        <v>0.1</v>
      </c>
    </row>
    <row r="86" spans="1:34" x14ac:dyDescent="0.25">
      <c r="B86" s="15">
        <v>84</v>
      </c>
      <c r="C86" s="17" t="s">
        <v>241</v>
      </c>
      <c r="D86" s="17">
        <v>90</v>
      </c>
      <c r="E86" s="17">
        <v>9.5</v>
      </c>
      <c r="F86" s="17">
        <v>31</v>
      </c>
      <c r="G86" s="17">
        <v>9</v>
      </c>
      <c r="H86" s="17">
        <v>0</v>
      </c>
      <c r="I86" s="17">
        <v>9.6999999999999993</v>
      </c>
      <c r="J86" s="17">
        <v>133</v>
      </c>
      <c r="K86" s="17">
        <v>152</v>
      </c>
      <c r="L86" s="17">
        <v>74</v>
      </c>
      <c r="M86" s="17">
        <v>51</v>
      </c>
      <c r="N86" s="17">
        <v>590</v>
      </c>
      <c r="O86" s="17">
        <v>0</v>
      </c>
      <c r="P86" s="17">
        <v>89</v>
      </c>
      <c r="Q86" s="17">
        <v>14</v>
      </c>
      <c r="R86" s="17">
        <v>48</v>
      </c>
      <c r="S86" s="17">
        <v>43</v>
      </c>
      <c r="T86" s="17">
        <v>44</v>
      </c>
      <c r="U86" s="17">
        <v>46</v>
      </c>
      <c r="V86" s="17">
        <v>0</v>
      </c>
      <c r="W86" s="17"/>
      <c r="X86" s="17"/>
      <c r="Y86" s="17"/>
      <c r="Z86" s="17">
        <v>293</v>
      </c>
      <c r="AA86" s="17"/>
      <c r="AB86" s="17">
        <v>2.4</v>
      </c>
      <c r="AC86" s="17">
        <v>2.6</v>
      </c>
      <c r="AD86" s="17"/>
      <c r="AE86" s="17"/>
      <c r="AF86" s="17"/>
      <c r="AG86" s="17"/>
      <c r="AH86" s="17"/>
    </row>
    <row r="87" spans="1:34" x14ac:dyDescent="0.25">
      <c r="B87" s="12">
        <v>85</v>
      </c>
      <c r="C87" s="14" t="s">
        <v>242</v>
      </c>
      <c r="D87" s="14">
        <v>24</v>
      </c>
      <c r="E87" s="14">
        <v>12.8</v>
      </c>
      <c r="F87" s="14">
        <v>92</v>
      </c>
      <c r="G87" s="14">
        <v>-99</v>
      </c>
      <c r="H87" s="14">
        <v>27</v>
      </c>
      <c r="I87" s="14">
        <v>14.4</v>
      </c>
      <c r="J87" s="14">
        <v>60</v>
      </c>
      <c r="K87" s="14">
        <v>10</v>
      </c>
      <c r="L87" s="14">
        <v>60</v>
      </c>
      <c r="M87" s="14">
        <v>50</v>
      </c>
      <c r="N87" s="14">
        <v>820</v>
      </c>
      <c r="O87" s="14">
        <v>45</v>
      </c>
      <c r="P87" s="14"/>
      <c r="Q87" s="14">
        <v>70</v>
      </c>
      <c r="R87" s="14">
        <v>95</v>
      </c>
      <c r="S87" s="14">
        <v>90</v>
      </c>
      <c r="T87" s="14"/>
      <c r="U87" s="14">
        <v>80</v>
      </c>
      <c r="V87" s="14">
        <v>61</v>
      </c>
      <c r="W87" s="14">
        <v>650</v>
      </c>
      <c r="X87" s="14"/>
      <c r="Y87" s="14">
        <v>0</v>
      </c>
      <c r="Z87" s="14"/>
      <c r="AA87" s="14"/>
      <c r="AB87" s="14">
        <v>2.2000000000000002</v>
      </c>
      <c r="AC87" s="14">
        <v>1.4</v>
      </c>
      <c r="AD87" s="14">
        <v>1.2</v>
      </c>
      <c r="AE87" s="14">
        <v>10</v>
      </c>
      <c r="AF87" s="14">
        <v>1</v>
      </c>
      <c r="AG87" s="14"/>
      <c r="AH87" s="14">
        <v>1</v>
      </c>
    </row>
    <row r="88" spans="1:34" x14ac:dyDescent="0.25">
      <c r="B88" s="15">
        <v>86</v>
      </c>
      <c r="C88" s="17" t="s">
        <v>243</v>
      </c>
      <c r="D88" s="17">
        <v>14</v>
      </c>
      <c r="E88" s="17">
        <v>11.7</v>
      </c>
      <c r="F88" s="17">
        <v>87</v>
      </c>
      <c r="G88" s="17">
        <v>-44</v>
      </c>
      <c r="H88" s="17">
        <v>74</v>
      </c>
      <c r="I88" s="17">
        <v>13.8</v>
      </c>
      <c r="J88" s="17">
        <v>107</v>
      </c>
      <c r="K88" s="17">
        <v>10</v>
      </c>
      <c r="L88" s="17">
        <v>197</v>
      </c>
      <c r="M88" s="17">
        <v>65</v>
      </c>
      <c r="N88" s="17">
        <v>621</v>
      </c>
      <c r="O88" s="17">
        <v>69</v>
      </c>
      <c r="P88" s="17"/>
      <c r="Q88" s="17">
        <v>70</v>
      </c>
      <c r="R88" s="17">
        <v>90</v>
      </c>
      <c r="S88" s="17">
        <v>83</v>
      </c>
      <c r="T88" s="17"/>
      <c r="U88" s="17">
        <v>75</v>
      </c>
      <c r="V88" s="17">
        <v>75</v>
      </c>
      <c r="W88" s="17"/>
      <c r="X88" s="17"/>
      <c r="Y88" s="17"/>
      <c r="Z88" s="17"/>
      <c r="AA88" s="17"/>
      <c r="AB88" s="17">
        <v>7</v>
      </c>
      <c r="AC88" s="17">
        <v>1</v>
      </c>
      <c r="AD88" s="17">
        <v>1.4</v>
      </c>
      <c r="AE88" s="17">
        <v>6</v>
      </c>
      <c r="AF88" s="17">
        <v>0.8</v>
      </c>
      <c r="AG88" s="17"/>
      <c r="AH88" s="17">
        <v>0.8</v>
      </c>
    </row>
    <row r="89" spans="1:34" ht="30" x14ac:dyDescent="0.25">
      <c r="B89" s="12">
        <v>87</v>
      </c>
      <c r="C89" s="14" t="s">
        <v>244</v>
      </c>
      <c r="D89" s="14">
        <v>27</v>
      </c>
      <c r="E89" s="14">
        <v>12.8</v>
      </c>
      <c r="F89" s="14">
        <v>100</v>
      </c>
      <c r="G89" s="14">
        <v>-69</v>
      </c>
      <c r="H89" s="14">
        <v>80</v>
      </c>
      <c r="I89" s="14">
        <v>15.3</v>
      </c>
      <c r="J89" s="14">
        <v>108</v>
      </c>
      <c r="K89" s="14">
        <v>8</v>
      </c>
      <c r="L89" s="14">
        <v>176</v>
      </c>
      <c r="M89" s="14">
        <v>73</v>
      </c>
      <c r="N89" s="14">
        <v>635</v>
      </c>
      <c r="O89" s="14">
        <v>74</v>
      </c>
      <c r="P89" s="14"/>
      <c r="Q89" s="14">
        <v>96</v>
      </c>
      <c r="R89" s="14">
        <v>95</v>
      </c>
      <c r="S89" s="14"/>
      <c r="T89" s="14">
        <v>74</v>
      </c>
      <c r="U89" s="14">
        <v>61</v>
      </c>
      <c r="V89" s="14">
        <v>70</v>
      </c>
      <c r="W89" s="14">
        <v>38</v>
      </c>
      <c r="X89" s="14"/>
      <c r="Y89" s="14">
        <v>5</v>
      </c>
      <c r="Z89" s="14">
        <v>445</v>
      </c>
      <c r="AA89" s="14">
        <v>28</v>
      </c>
      <c r="AB89" s="14">
        <v>8.8000000000000007</v>
      </c>
      <c r="AC89" s="14">
        <v>0.8</v>
      </c>
      <c r="AD89" s="14">
        <v>1.7</v>
      </c>
      <c r="AE89" s="14">
        <v>13.7</v>
      </c>
      <c r="AF89" s="14">
        <v>1.4</v>
      </c>
      <c r="AG89" s="14"/>
      <c r="AH89" s="14">
        <v>0.8</v>
      </c>
    </row>
    <row r="90" spans="1:34" x14ac:dyDescent="0.25">
      <c r="A90" t="s">
        <v>52</v>
      </c>
      <c r="B90" s="15">
        <v>88</v>
      </c>
      <c r="C90" s="17" t="s">
        <v>245</v>
      </c>
      <c r="D90" s="17">
        <v>75</v>
      </c>
      <c r="E90" s="17">
        <v>12.4</v>
      </c>
      <c r="F90" s="17">
        <v>76</v>
      </c>
      <c r="G90" s="17">
        <v>3</v>
      </c>
      <c r="H90" s="17">
        <v>92</v>
      </c>
      <c r="I90" s="17">
        <v>14.1</v>
      </c>
      <c r="J90" s="17">
        <v>131</v>
      </c>
      <c r="K90" s="17"/>
      <c r="L90" s="17"/>
      <c r="M90" s="17">
        <v>109</v>
      </c>
      <c r="N90" s="17">
        <v>760</v>
      </c>
      <c r="O90" s="17">
        <v>70</v>
      </c>
      <c r="P90" s="17"/>
      <c r="Q90" s="17"/>
      <c r="R90" s="17">
        <v>94</v>
      </c>
      <c r="S90" s="17">
        <v>90</v>
      </c>
      <c r="T90" s="17"/>
      <c r="U90" s="17">
        <v>100</v>
      </c>
      <c r="V90" s="17">
        <v>100</v>
      </c>
      <c r="W90" s="17">
        <v>590</v>
      </c>
      <c r="X90" s="17"/>
      <c r="Y90" s="17"/>
      <c r="Z90" s="17">
        <v>0</v>
      </c>
      <c r="AA90" s="17"/>
      <c r="AB90" s="17">
        <v>2</v>
      </c>
      <c r="AC90" s="17">
        <v>0.2</v>
      </c>
      <c r="AD90" s="17">
        <v>0.1</v>
      </c>
      <c r="AE90" s="17">
        <v>45</v>
      </c>
      <c r="AF90" s="17">
        <v>12</v>
      </c>
      <c r="AG90" s="17">
        <v>1200</v>
      </c>
      <c r="AH90" s="17">
        <v>12</v>
      </c>
    </row>
    <row r="91" spans="1:34" x14ac:dyDescent="0.25">
      <c r="B91" s="12">
        <v>89</v>
      </c>
      <c r="C91" s="14" t="s">
        <v>246</v>
      </c>
      <c r="D91" s="14">
        <v>19</v>
      </c>
      <c r="E91" s="14">
        <v>10.1</v>
      </c>
      <c r="F91" s="14">
        <v>69</v>
      </c>
      <c r="G91" s="14">
        <v>24</v>
      </c>
      <c r="H91" s="14">
        <v>106</v>
      </c>
      <c r="I91" s="14">
        <v>12.1</v>
      </c>
      <c r="J91" s="14">
        <v>146</v>
      </c>
      <c r="K91" s="14">
        <v>30</v>
      </c>
      <c r="L91" s="14">
        <v>150</v>
      </c>
      <c r="M91" s="14">
        <v>173</v>
      </c>
      <c r="N91" s="14">
        <v>501</v>
      </c>
      <c r="O91" s="14"/>
      <c r="P91" s="14">
        <v>50</v>
      </c>
      <c r="Q91" s="14">
        <v>80</v>
      </c>
      <c r="R91" s="14">
        <v>80</v>
      </c>
      <c r="S91" s="14"/>
      <c r="T91" s="14"/>
      <c r="U91" s="14">
        <v>80</v>
      </c>
      <c r="V91" s="14">
        <v>73</v>
      </c>
      <c r="W91" s="14">
        <v>120</v>
      </c>
      <c r="X91" s="14"/>
      <c r="Y91" s="14"/>
      <c r="Z91" s="14"/>
      <c r="AA91" s="14"/>
      <c r="AB91" s="14">
        <v>13</v>
      </c>
      <c r="AC91" s="14">
        <v>2.7</v>
      </c>
      <c r="AD91" s="14">
        <v>4.0999999999999996</v>
      </c>
      <c r="AE91" s="14">
        <v>30</v>
      </c>
      <c r="AF91" s="14">
        <v>9.6999999999999993</v>
      </c>
      <c r="AG91" s="14"/>
      <c r="AH91" s="14">
        <v>9.6999999999999993</v>
      </c>
    </row>
    <row r="92" spans="1:34" x14ac:dyDescent="0.25">
      <c r="B92" s="15">
        <v>90</v>
      </c>
      <c r="C92" s="17" t="s">
        <v>247</v>
      </c>
      <c r="D92" s="17">
        <v>91</v>
      </c>
      <c r="E92" s="17">
        <v>12.5</v>
      </c>
      <c r="F92" s="17">
        <v>97</v>
      </c>
      <c r="G92" s="17">
        <v>-56</v>
      </c>
      <c r="H92" s="17">
        <v>77</v>
      </c>
      <c r="I92" s="17">
        <v>14.5</v>
      </c>
      <c r="J92" s="17">
        <v>111</v>
      </c>
      <c r="K92" s="17">
        <v>23</v>
      </c>
      <c r="L92" s="17">
        <v>120</v>
      </c>
      <c r="M92" s="17">
        <v>86</v>
      </c>
      <c r="N92" s="17">
        <v>660</v>
      </c>
      <c r="O92" s="17">
        <v>69</v>
      </c>
      <c r="P92" s="17"/>
      <c r="Q92" s="17">
        <v>95</v>
      </c>
      <c r="R92" s="17">
        <v>95</v>
      </c>
      <c r="S92" s="17"/>
      <c r="T92" s="17">
        <v>72</v>
      </c>
      <c r="U92" s="17">
        <v>69</v>
      </c>
      <c r="V92" s="17">
        <v>82</v>
      </c>
      <c r="W92" s="17">
        <v>242</v>
      </c>
      <c r="X92" s="17">
        <v>164</v>
      </c>
      <c r="Y92" s="17">
        <v>0</v>
      </c>
      <c r="Z92" s="17">
        <v>334</v>
      </c>
      <c r="AA92" s="17">
        <v>14</v>
      </c>
      <c r="AB92" s="17">
        <v>9.5</v>
      </c>
      <c r="AC92" s="17">
        <v>0.7</v>
      </c>
      <c r="AD92" s="17">
        <v>1.3</v>
      </c>
      <c r="AE92" s="17">
        <v>21</v>
      </c>
      <c r="AF92" s="17">
        <v>5.5</v>
      </c>
      <c r="AG92" s="17">
        <v>495</v>
      </c>
      <c r="AH92" s="17">
        <v>5.5</v>
      </c>
    </row>
    <row r="93" spans="1:34" x14ac:dyDescent="0.25">
      <c r="A93" t="s">
        <v>53</v>
      </c>
      <c r="B93" s="12">
        <v>91</v>
      </c>
      <c r="C93" s="14" t="s">
        <v>248</v>
      </c>
      <c r="D93" s="14">
        <v>90</v>
      </c>
      <c r="E93" s="14">
        <v>12.3</v>
      </c>
      <c r="F93" s="14">
        <v>107</v>
      </c>
      <c r="G93" s="14">
        <v>-96</v>
      </c>
      <c r="H93" s="14">
        <v>59</v>
      </c>
      <c r="I93" s="14">
        <v>14.7</v>
      </c>
      <c r="J93" s="14">
        <v>90</v>
      </c>
      <c r="K93" s="14">
        <v>32</v>
      </c>
      <c r="L93" s="14">
        <v>187</v>
      </c>
      <c r="M93" s="14">
        <v>66</v>
      </c>
      <c r="N93" s="14">
        <v>625</v>
      </c>
      <c r="O93" s="14">
        <v>65</v>
      </c>
      <c r="P93" s="14"/>
      <c r="Q93" s="14">
        <v>95</v>
      </c>
      <c r="R93" s="14">
        <v>94</v>
      </c>
      <c r="S93" s="14">
        <v>89</v>
      </c>
      <c r="T93" s="14">
        <v>69</v>
      </c>
      <c r="U93" s="14">
        <v>46</v>
      </c>
      <c r="V93" s="14">
        <v>80</v>
      </c>
      <c r="W93" s="14">
        <v>100</v>
      </c>
      <c r="X93" s="14">
        <v>239</v>
      </c>
      <c r="Y93" s="14"/>
      <c r="Z93" s="14">
        <v>454</v>
      </c>
      <c r="AA93" s="14"/>
      <c r="AB93" s="14">
        <v>7</v>
      </c>
      <c r="AC93" s="14">
        <v>1</v>
      </c>
      <c r="AD93" s="14">
        <v>1.4</v>
      </c>
      <c r="AE93" s="14">
        <v>6</v>
      </c>
      <c r="AF93" s="14">
        <v>0.8</v>
      </c>
      <c r="AG93" s="14"/>
      <c r="AH93" s="14">
        <v>0.8</v>
      </c>
    </row>
    <row r="94" spans="1:34" x14ac:dyDescent="0.25">
      <c r="A94" t="s">
        <v>314</v>
      </c>
      <c r="B94" s="15">
        <v>92</v>
      </c>
      <c r="C94" s="17" t="s">
        <v>249</v>
      </c>
      <c r="D94" s="17">
        <v>87</v>
      </c>
      <c r="E94" s="17">
        <v>16.399999999999999</v>
      </c>
      <c r="F94" s="17">
        <v>69</v>
      </c>
      <c r="G94" s="17">
        <v>273</v>
      </c>
      <c r="H94" s="17">
        <v>360</v>
      </c>
      <c r="I94" s="17">
        <v>18.399999999999999</v>
      </c>
      <c r="J94" s="17">
        <v>400</v>
      </c>
      <c r="K94" s="17">
        <v>180</v>
      </c>
      <c r="L94" s="17">
        <v>60</v>
      </c>
      <c r="M94" s="17">
        <v>50</v>
      </c>
      <c r="N94" s="17">
        <v>310</v>
      </c>
      <c r="O94" s="17">
        <v>90</v>
      </c>
      <c r="P94" s="17">
        <v>90</v>
      </c>
      <c r="Q94" s="17">
        <v>40</v>
      </c>
      <c r="R94" s="17">
        <v>70</v>
      </c>
      <c r="S94" s="17">
        <v>80</v>
      </c>
      <c r="T94" s="17"/>
      <c r="U94" s="17">
        <v>79</v>
      </c>
      <c r="V94" s="17">
        <v>60</v>
      </c>
      <c r="W94" s="17">
        <v>50</v>
      </c>
      <c r="X94" s="17"/>
      <c r="Y94" s="17">
        <v>150</v>
      </c>
      <c r="Z94" s="17">
        <v>101</v>
      </c>
      <c r="AA94" s="17"/>
      <c r="AB94" s="17">
        <v>2.6</v>
      </c>
      <c r="AC94" s="17">
        <v>6.3</v>
      </c>
      <c r="AD94" s="17">
        <v>2.8</v>
      </c>
      <c r="AE94" s="17">
        <v>19</v>
      </c>
      <c r="AF94" s="17">
        <v>0.3</v>
      </c>
      <c r="AG94" s="17"/>
      <c r="AH94" s="17">
        <v>0.1</v>
      </c>
    </row>
    <row r="95" spans="1:34" x14ac:dyDescent="0.25">
      <c r="A95" t="s">
        <v>44</v>
      </c>
      <c r="B95" s="12">
        <v>93</v>
      </c>
      <c r="C95" s="14" t="s">
        <v>250</v>
      </c>
      <c r="D95" s="14">
        <v>87</v>
      </c>
      <c r="E95" s="14">
        <v>14.6</v>
      </c>
      <c r="F95" s="14">
        <v>182</v>
      </c>
      <c r="G95" s="14">
        <v>261</v>
      </c>
      <c r="H95" s="14">
        <v>469</v>
      </c>
      <c r="I95" s="14">
        <v>17.8</v>
      </c>
      <c r="J95" s="14">
        <v>510</v>
      </c>
      <c r="K95" s="14">
        <v>10</v>
      </c>
      <c r="L95" s="14">
        <v>60</v>
      </c>
      <c r="M95" s="14">
        <v>70</v>
      </c>
      <c r="N95" s="14">
        <v>350</v>
      </c>
      <c r="O95" s="14">
        <v>92</v>
      </c>
      <c r="P95" s="14">
        <v>50</v>
      </c>
      <c r="Q95" s="14">
        <v>70</v>
      </c>
      <c r="R95" s="14">
        <v>92</v>
      </c>
      <c r="S95" s="14">
        <v>90</v>
      </c>
      <c r="T95" s="14">
        <v>72</v>
      </c>
      <c r="U95" s="14">
        <v>64</v>
      </c>
      <c r="V95" s="14">
        <v>92</v>
      </c>
      <c r="W95" s="14">
        <v>121</v>
      </c>
      <c r="X95" s="14">
        <v>51</v>
      </c>
      <c r="Y95" s="14">
        <v>62</v>
      </c>
      <c r="Z95" s="14">
        <v>95</v>
      </c>
      <c r="AA95" s="14"/>
      <c r="AB95" s="14">
        <v>3.2</v>
      </c>
      <c r="AC95" s="14">
        <v>7.2</v>
      </c>
      <c r="AD95" s="14">
        <v>2.7</v>
      </c>
      <c r="AE95" s="14">
        <v>23</v>
      </c>
      <c r="AF95" s="14">
        <v>0.3</v>
      </c>
      <c r="AG95" s="14"/>
      <c r="AH95" s="14">
        <v>0.3</v>
      </c>
    </row>
    <row r="96" spans="1:34" x14ac:dyDescent="0.25">
      <c r="B96" s="15">
        <v>94</v>
      </c>
      <c r="C96" s="17" t="s">
        <v>251</v>
      </c>
      <c r="D96" s="17">
        <v>87</v>
      </c>
      <c r="E96" s="17">
        <v>13.8</v>
      </c>
      <c r="F96" s="17">
        <v>292</v>
      </c>
      <c r="G96" s="17">
        <v>79</v>
      </c>
      <c r="H96" s="17">
        <v>437</v>
      </c>
      <c r="I96" s="17">
        <v>16.899999999999999</v>
      </c>
      <c r="J96" s="17">
        <v>475</v>
      </c>
      <c r="K96" s="17">
        <v>8</v>
      </c>
      <c r="L96" s="17">
        <v>60</v>
      </c>
      <c r="M96" s="17">
        <v>70</v>
      </c>
      <c r="N96" s="17">
        <v>387</v>
      </c>
      <c r="O96" s="17">
        <v>92</v>
      </c>
      <c r="P96" s="17">
        <v>50</v>
      </c>
      <c r="Q96" s="17">
        <v>70</v>
      </c>
      <c r="R96" s="17">
        <v>81</v>
      </c>
      <c r="S96" s="17"/>
      <c r="T96" s="17">
        <v>50</v>
      </c>
      <c r="U96" s="17">
        <v>30</v>
      </c>
      <c r="V96" s="17">
        <v>90</v>
      </c>
      <c r="W96" s="17"/>
      <c r="X96" s="17">
        <v>53</v>
      </c>
      <c r="Y96" s="17"/>
      <c r="Z96" s="17"/>
      <c r="AA96" s="17"/>
      <c r="AB96" s="17">
        <v>4.9000000000000004</v>
      </c>
      <c r="AC96" s="17">
        <v>6.6</v>
      </c>
      <c r="AD96" s="17">
        <v>3.5</v>
      </c>
      <c r="AE96" s="17">
        <v>22</v>
      </c>
      <c r="AF96" s="17">
        <v>0.2</v>
      </c>
      <c r="AG96" s="17"/>
      <c r="AH96" s="17"/>
    </row>
    <row r="97" spans="1:34" x14ac:dyDescent="0.25">
      <c r="B97" s="12">
        <v>95</v>
      </c>
      <c r="C97" s="14" t="s">
        <v>252</v>
      </c>
      <c r="D97" s="14">
        <v>92</v>
      </c>
      <c r="E97" s="14">
        <v>11.7</v>
      </c>
      <c r="F97" s="14">
        <v>89</v>
      </c>
      <c r="G97" s="14">
        <v>194</v>
      </c>
      <c r="H97" s="14">
        <v>275</v>
      </c>
      <c r="I97" s="14">
        <v>13.6</v>
      </c>
      <c r="J97" s="14">
        <v>320</v>
      </c>
      <c r="K97" s="14">
        <v>90</v>
      </c>
      <c r="L97" s="14">
        <v>235</v>
      </c>
      <c r="M97" s="14">
        <v>70</v>
      </c>
      <c r="N97" s="14">
        <v>285</v>
      </c>
      <c r="O97" s="14">
        <v>86</v>
      </c>
      <c r="P97" s="14">
        <v>90</v>
      </c>
      <c r="Q97" s="14">
        <v>30</v>
      </c>
      <c r="R97" s="14">
        <v>60</v>
      </c>
      <c r="S97" s="14">
        <v>64</v>
      </c>
      <c r="T97" s="14"/>
      <c r="U97" s="14">
        <v>74</v>
      </c>
      <c r="V97" s="14">
        <v>89</v>
      </c>
      <c r="W97" s="14">
        <v>69</v>
      </c>
      <c r="X97" s="14"/>
      <c r="Y97" s="14">
        <v>42</v>
      </c>
      <c r="Z97" s="14">
        <v>380</v>
      </c>
      <c r="AA97" s="14"/>
      <c r="AB97" s="14">
        <v>4.3</v>
      </c>
      <c r="AC97" s="14">
        <v>13</v>
      </c>
      <c r="AD97" s="14">
        <v>6.5</v>
      </c>
      <c r="AE97" s="14">
        <v>17.399999999999999</v>
      </c>
      <c r="AF97" s="14">
        <v>0.2</v>
      </c>
      <c r="AG97" s="14"/>
      <c r="AH97" s="14">
        <v>0.2</v>
      </c>
    </row>
    <row r="98" spans="1:34" x14ac:dyDescent="0.25">
      <c r="B98" s="15">
        <v>96</v>
      </c>
      <c r="C98" s="17" t="s">
        <v>253</v>
      </c>
      <c r="D98" s="17">
        <v>92</v>
      </c>
      <c r="E98" s="17">
        <v>12.8</v>
      </c>
      <c r="F98" s="17">
        <v>100</v>
      </c>
      <c r="G98" s="17">
        <v>265</v>
      </c>
      <c r="H98" s="17">
        <v>369</v>
      </c>
      <c r="I98" s="17">
        <v>15.1</v>
      </c>
      <c r="J98" s="17">
        <v>410</v>
      </c>
      <c r="K98" s="17">
        <v>80</v>
      </c>
      <c r="L98" s="17">
        <v>160</v>
      </c>
      <c r="M98" s="17">
        <v>70</v>
      </c>
      <c r="N98" s="17">
        <v>280</v>
      </c>
      <c r="O98" s="17">
        <v>90</v>
      </c>
      <c r="P98" s="17">
        <v>90</v>
      </c>
      <c r="Q98" s="17">
        <v>30</v>
      </c>
      <c r="R98" s="17">
        <v>60</v>
      </c>
      <c r="S98" s="17">
        <v>71</v>
      </c>
      <c r="T98" s="17"/>
      <c r="U98" s="17">
        <v>74</v>
      </c>
      <c r="V98" s="17">
        <v>85</v>
      </c>
      <c r="W98" s="17">
        <v>69</v>
      </c>
      <c r="X98" s="17">
        <v>66</v>
      </c>
      <c r="Y98" s="17">
        <v>42</v>
      </c>
      <c r="Z98" s="17">
        <v>280</v>
      </c>
      <c r="AA98" s="17"/>
      <c r="AB98" s="17">
        <v>3.7</v>
      </c>
      <c r="AC98" s="17">
        <v>11.1</v>
      </c>
      <c r="AD98" s="17">
        <v>6</v>
      </c>
      <c r="AE98" s="17">
        <v>17.2</v>
      </c>
      <c r="AF98" s="17">
        <v>0.2</v>
      </c>
      <c r="AG98" s="17"/>
      <c r="AH98" s="17">
        <v>0.2</v>
      </c>
    </row>
    <row r="99" spans="1:34" x14ac:dyDescent="0.25">
      <c r="B99" s="12">
        <v>97</v>
      </c>
      <c r="C99" s="14" t="s">
        <v>254</v>
      </c>
      <c r="D99" s="14">
        <v>93</v>
      </c>
      <c r="E99" s="14">
        <v>15.2</v>
      </c>
      <c r="F99" s="14">
        <v>29</v>
      </c>
      <c r="G99" s="14">
        <v>118</v>
      </c>
      <c r="H99" s="14">
        <v>145</v>
      </c>
      <c r="I99" s="14">
        <v>15.8</v>
      </c>
      <c r="J99" s="14">
        <v>170</v>
      </c>
      <c r="K99" s="14">
        <v>300</v>
      </c>
      <c r="L99" s="14">
        <v>300</v>
      </c>
      <c r="M99" s="14">
        <v>40</v>
      </c>
      <c r="N99" s="14">
        <v>190</v>
      </c>
      <c r="O99" s="14">
        <v>85</v>
      </c>
      <c r="P99" s="14">
        <v>95</v>
      </c>
      <c r="Q99" s="14">
        <v>30</v>
      </c>
      <c r="R99" s="14">
        <v>30</v>
      </c>
      <c r="S99" s="14">
        <v>60</v>
      </c>
      <c r="T99" s="14"/>
      <c r="U99" s="14">
        <v>85</v>
      </c>
      <c r="V99" s="14">
        <v>60</v>
      </c>
      <c r="W99" s="14">
        <v>230</v>
      </c>
      <c r="X99" s="14"/>
      <c r="Y99" s="14">
        <v>150</v>
      </c>
      <c r="Z99" s="14"/>
      <c r="AA99" s="14"/>
      <c r="AB99" s="14">
        <v>2.2000000000000002</v>
      </c>
      <c r="AC99" s="14">
        <v>6.1</v>
      </c>
      <c r="AD99" s="14">
        <v>3.8</v>
      </c>
      <c r="AE99" s="14">
        <v>9</v>
      </c>
      <c r="AF99" s="14">
        <v>0.7</v>
      </c>
      <c r="AG99" s="14"/>
      <c r="AH99" s="14">
        <v>0.7</v>
      </c>
    </row>
    <row r="100" spans="1:34" x14ac:dyDescent="0.25">
      <c r="B100" s="15">
        <v>98</v>
      </c>
      <c r="C100" s="17" t="s">
        <v>255</v>
      </c>
      <c r="D100" s="17">
        <v>92</v>
      </c>
      <c r="E100" s="17">
        <v>8</v>
      </c>
      <c r="F100" s="17">
        <v>78</v>
      </c>
      <c r="G100" s="17">
        <v>175</v>
      </c>
      <c r="H100" s="17">
        <v>247</v>
      </c>
      <c r="I100" s="17">
        <v>10.1</v>
      </c>
      <c r="J100" s="17">
        <v>290</v>
      </c>
      <c r="K100" s="17">
        <v>10</v>
      </c>
      <c r="L100" s="17">
        <v>370</v>
      </c>
      <c r="M100" s="17">
        <v>60</v>
      </c>
      <c r="N100" s="17">
        <v>270</v>
      </c>
      <c r="O100" s="17">
        <v>85</v>
      </c>
      <c r="P100" s="17">
        <v>90</v>
      </c>
      <c r="Q100" s="17">
        <v>30</v>
      </c>
      <c r="R100" s="17">
        <v>40</v>
      </c>
      <c r="S100" s="17">
        <v>50</v>
      </c>
      <c r="T100" s="17"/>
      <c r="U100" s="17">
        <v>74</v>
      </c>
      <c r="V100" s="17">
        <v>85</v>
      </c>
      <c r="W100" s="17">
        <v>69</v>
      </c>
      <c r="X100" s="17"/>
      <c r="Y100" s="17">
        <v>42</v>
      </c>
      <c r="Z100" s="17">
        <v>410</v>
      </c>
      <c r="AA100" s="17"/>
      <c r="AB100" s="17">
        <v>3.7</v>
      </c>
      <c r="AC100" s="17">
        <v>10.4</v>
      </c>
      <c r="AD100" s="17">
        <v>5.6</v>
      </c>
      <c r="AE100" s="17">
        <v>15</v>
      </c>
      <c r="AF100" s="17">
        <v>0.2</v>
      </c>
      <c r="AG100" s="17"/>
      <c r="AH100" s="17">
        <v>0.2</v>
      </c>
    </row>
    <row r="101" spans="1:34" x14ac:dyDescent="0.25">
      <c r="A101" t="s">
        <v>46</v>
      </c>
      <c r="B101" s="12">
        <v>99</v>
      </c>
      <c r="C101" s="14" t="s">
        <v>256</v>
      </c>
      <c r="D101" s="14">
        <v>92</v>
      </c>
      <c r="E101" s="14">
        <v>11.4</v>
      </c>
      <c r="F101" s="14">
        <v>109</v>
      </c>
      <c r="G101" s="14">
        <v>301</v>
      </c>
      <c r="H101" s="14">
        <v>414</v>
      </c>
      <c r="I101" s="14">
        <v>14.1</v>
      </c>
      <c r="J101" s="14">
        <v>460</v>
      </c>
      <c r="K101" s="14">
        <v>10</v>
      </c>
      <c r="L101" s="14">
        <v>170</v>
      </c>
      <c r="M101" s="14">
        <v>80</v>
      </c>
      <c r="N101" s="14">
        <v>280</v>
      </c>
      <c r="O101" s="14">
        <v>90</v>
      </c>
      <c r="P101" s="14">
        <v>90</v>
      </c>
      <c r="Q101" s="14">
        <v>30</v>
      </c>
      <c r="R101" s="14">
        <v>60</v>
      </c>
      <c r="S101" s="14">
        <v>70</v>
      </c>
      <c r="T101" s="14"/>
      <c r="U101" s="14">
        <v>74</v>
      </c>
      <c r="V101" s="14">
        <v>85</v>
      </c>
      <c r="W101" s="14">
        <v>69</v>
      </c>
      <c r="X101" s="14"/>
      <c r="Y101" s="14">
        <v>42</v>
      </c>
      <c r="Z101" s="14">
        <v>280</v>
      </c>
      <c r="AA101" s="14"/>
      <c r="AB101" s="14">
        <v>4.5</v>
      </c>
      <c r="AC101" s="14">
        <v>13.5</v>
      </c>
      <c r="AD101" s="14">
        <v>6.7</v>
      </c>
      <c r="AE101" s="14">
        <v>18</v>
      </c>
      <c r="AF101" s="14">
        <v>0.2</v>
      </c>
      <c r="AG101" s="14">
        <v>222</v>
      </c>
      <c r="AH101" s="14">
        <v>0.2</v>
      </c>
    </row>
    <row r="102" spans="1:34" x14ac:dyDescent="0.25">
      <c r="B102" s="15">
        <v>100</v>
      </c>
      <c r="C102" s="17" t="s">
        <v>257</v>
      </c>
      <c r="D102" s="17">
        <v>87</v>
      </c>
      <c r="E102" s="17">
        <v>14.4</v>
      </c>
      <c r="F102" s="17">
        <v>145</v>
      </c>
      <c r="G102" s="17">
        <v>-99</v>
      </c>
      <c r="H102" s="17">
        <v>94</v>
      </c>
      <c r="I102" s="17">
        <v>16.2</v>
      </c>
      <c r="J102" s="17">
        <v>120</v>
      </c>
      <c r="K102" s="17">
        <v>30</v>
      </c>
      <c r="L102" s="17">
        <v>25</v>
      </c>
      <c r="M102" s="17">
        <v>20</v>
      </c>
      <c r="N102" s="17">
        <v>805</v>
      </c>
      <c r="O102" s="17">
        <v>78</v>
      </c>
      <c r="P102" s="17">
        <v>85</v>
      </c>
      <c r="Q102" s="17">
        <v>30</v>
      </c>
      <c r="R102" s="17">
        <v>93</v>
      </c>
      <c r="S102" s="17">
        <v>89</v>
      </c>
      <c r="T102" s="17"/>
      <c r="U102" s="17">
        <v>30</v>
      </c>
      <c r="V102" s="17">
        <v>90</v>
      </c>
      <c r="W102" s="17">
        <v>11</v>
      </c>
      <c r="X102" s="17"/>
      <c r="Y102" s="17">
        <v>749</v>
      </c>
      <c r="Z102" s="17"/>
      <c r="AA102" s="17"/>
      <c r="AB102" s="17">
        <v>0.5</v>
      </c>
      <c r="AC102" s="17">
        <v>3.1</v>
      </c>
      <c r="AD102" s="17">
        <v>1.4</v>
      </c>
      <c r="AE102" s="17">
        <v>4</v>
      </c>
      <c r="AF102" s="17">
        <v>0.1</v>
      </c>
      <c r="AG102" s="17"/>
      <c r="AH102" s="17">
        <v>0.1</v>
      </c>
    </row>
    <row r="103" spans="1:34" x14ac:dyDescent="0.25">
      <c r="B103" s="12">
        <v>101</v>
      </c>
      <c r="C103" s="14" t="s">
        <v>258</v>
      </c>
      <c r="D103" s="14">
        <v>50</v>
      </c>
      <c r="E103" s="14">
        <v>7.5</v>
      </c>
      <c r="F103" s="14">
        <v>45</v>
      </c>
      <c r="G103" s="14">
        <v>-76</v>
      </c>
      <c r="H103" s="14">
        <v>0</v>
      </c>
      <c r="I103" s="14">
        <v>8.5</v>
      </c>
      <c r="J103" s="14">
        <v>30</v>
      </c>
      <c r="K103" s="14">
        <v>50</v>
      </c>
      <c r="L103" s="14">
        <v>270</v>
      </c>
      <c r="M103" s="14">
        <v>30</v>
      </c>
      <c r="N103" s="14">
        <v>620</v>
      </c>
      <c r="O103" s="14">
        <v>0</v>
      </c>
      <c r="P103" s="14">
        <v>65</v>
      </c>
      <c r="Q103" s="14">
        <v>20</v>
      </c>
      <c r="R103" s="14">
        <v>60</v>
      </c>
      <c r="S103" s="14">
        <v>47</v>
      </c>
      <c r="T103" s="14"/>
      <c r="U103" s="14">
        <v>0</v>
      </c>
      <c r="V103" s="14">
        <v>0</v>
      </c>
      <c r="W103" s="14"/>
      <c r="X103" s="14"/>
      <c r="Y103" s="14"/>
      <c r="Z103" s="14"/>
      <c r="AA103" s="14"/>
      <c r="AB103" s="14">
        <v>10</v>
      </c>
      <c r="AC103" s="14">
        <v>0.6</v>
      </c>
      <c r="AD103" s="14"/>
      <c r="AE103" s="14"/>
      <c r="AF103" s="14"/>
      <c r="AG103" s="14"/>
      <c r="AH103" s="14"/>
    </row>
    <row r="104" spans="1:34" x14ac:dyDescent="0.25">
      <c r="B104" s="15">
        <v>102</v>
      </c>
      <c r="C104" s="17" t="s">
        <v>259</v>
      </c>
      <c r="D104" s="17">
        <v>88</v>
      </c>
      <c r="E104" s="17">
        <v>13.1</v>
      </c>
      <c r="F104" s="17">
        <v>93</v>
      </c>
      <c r="G104" s="17">
        <v>-124</v>
      </c>
      <c r="H104" s="17">
        <v>3</v>
      </c>
      <c r="I104" s="17">
        <v>14.7</v>
      </c>
      <c r="J104" s="17">
        <v>32</v>
      </c>
      <c r="K104" s="17">
        <v>8</v>
      </c>
      <c r="L104" s="17">
        <v>44</v>
      </c>
      <c r="M104" s="17">
        <v>62</v>
      </c>
      <c r="N104" s="17">
        <v>854</v>
      </c>
      <c r="O104" s="17">
        <v>10</v>
      </c>
      <c r="P104" s="17">
        <v>70</v>
      </c>
      <c r="Q104" s="17">
        <v>55</v>
      </c>
      <c r="R104" s="17">
        <v>95</v>
      </c>
      <c r="S104" s="17">
        <v>90</v>
      </c>
      <c r="T104" s="17"/>
      <c r="U104" s="17">
        <v>80</v>
      </c>
      <c r="V104" s="17">
        <v>77</v>
      </c>
      <c r="W104" s="17">
        <v>50</v>
      </c>
      <c r="X104" s="17"/>
      <c r="Y104" s="17">
        <v>750</v>
      </c>
      <c r="Z104" s="17">
        <v>80</v>
      </c>
      <c r="AA104" s="17"/>
      <c r="AB104" s="17">
        <v>2.4</v>
      </c>
      <c r="AC104" s="17">
        <v>1.2</v>
      </c>
      <c r="AD104" s="17">
        <v>1.3</v>
      </c>
      <c r="AE104" s="17">
        <v>9</v>
      </c>
      <c r="AF104" s="17">
        <v>0.2</v>
      </c>
      <c r="AG104" s="17"/>
      <c r="AH104" s="17">
        <v>0.2</v>
      </c>
    </row>
    <row r="105" spans="1:34" x14ac:dyDescent="0.25">
      <c r="B105" s="12">
        <v>103</v>
      </c>
      <c r="C105" s="14" t="s">
        <v>260</v>
      </c>
      <c r="D105" s="14">
        <v>50</v>
      </c>
      <c r="E105" s="14">
        <v>12.4</v>
      </c>
      <c r="F105" s="14">
        <v>85</v>
      </c>
      <c r="G105" s="14">
        <v>-133</v>
      </c>
      <c r="H105" s="14">
        <v>0</v>
      </c>
      <c r="I105" s="14">
        <v>13.8</v>
      </c>
      <c r="J105" s="14">
        <v>10</v>
      </c>
      <c r="K105" s="14">
        <v>10</v>
      </c>
      <c r="L105" s="14"/>
      <c r="M105" s="14">
        <v>30</v>
      </c>
      <c r="N105" s="14">
        <v>950</v>
      </c>
      <c r="O105" s="14">
        <v>0</v>
      </c>
      <c r="P105" s="14">
        <v>0</v>
      </c>
      <c r="Q105" s="14">
        <v>0</v>
      </c>
      <c r="R105" s="14">
        <v>84</v>
      </c>
      <c r="S105" s="14">
        <v>82</v>
      </c>
      <c r="T105" s="14"/>
      <c r="U105" s="14">
        <v>100</v>
      </c>
      <c r="V105" s="14">
        <v>100</v>
      </c>
      <c r="W105" s="14"/>
      <c r="X105" s="14"/>
      <c r="Y105" s="14"/>
      <c r="Z105" s="14"/>
      <c r="AA105" s="14"/>
      <c r="AB105" s="14">
        <v>5.6</v>
      </c>
      <c r="AC105" s="14">
        <v>0.9</v>
      </c>
      <c r="AD105" s="14">
        <v>1</v>
      </c>
      <c r="AE105" s="14">
        <v>6</v>
      </c>
      <c r="AF105" s="14">
        <v>0.2</v>
      </c>
      <c r="AG105" s="14"/>
      <c r="AH105" s="14">
        <v>0.2</v>
      </c>
    </row>
    <row r="106" spans="1:34" x14ac:dyDescent="0.25">
      <c r="B106" s="15">
        <v>104</v>
      </c>
      <c r="C106" s="17" t="s">
        <v>261</v>
      </c>
      <c r="D106" s="17">
        <v>89</v>
      </c>
      <c r="E106" s="17">
        <v>6.4</v>
      </c>
      <c r="F106" s="17"/>
      <c r="G106" s="17"/>
      <c r="H106" s="17">
        <v>0</v>
      </c>
      <c r="I106" s="17">
        <v>7</v>
      </c>
      <c r="J106" s="17">
        <v>60</v>
      </c>
      <c r="K106" s="17">
        <v>40</v>
      </c>
      <c r="L106" s="17">
        <v>50</v>
      </c>
      <c r="M106" s="17">
        <v>190</v>
      </c>
      <c r="N106" s="17">
        <v>660</v>
      </c>
      <c r="O106" s="17">
        <v>0</v>
      </c>
      <c r="P106" s="17">
        <v>95</v>
      </c>
      <c r="Q106" s="17">
        <v>0</v>
      </c>
      <c r="R106" s="17">
        <v>50</v>
      </c>
      <c r="S106" s="17">
        <v>45</v>
      </c>
      <c r="T106" s="17"/>
      <c r="U106" s="17"/>
      <c r="V106" s="17"/>
      <c r="W106" s="17"/>
      <c r="X106" s="17"/>
      <c r="Y106" s="17"/>
      <c r="Z106" s="17"/>
      <c r="AA106" s="17"/>
      <c r="AB106" s="17">
        <v>9.5</v>
      </c>
      <c r="AC106" s="17">
        <v>1.6</v>
      </c>
      <c r="AD106" s="17"/>
      <c r="AE106" s="17"/>
      <c r="AF106" s="17"/>
      <c r="AG106" s="17"/>
      <c r="AH106" s="17"/>
    </row>
    <row r="107" spans="1:34" x14ac:dyDescent="0.25">
      <c r="B107" s="12">
        <v>105</v>
      </c>
      <c r="C107" s="14" t="s">
        <v>262</v>
      </c>
      <c r="D107" s="14">
        <v>98</v>
      </c>
      <c r="E107" s="14"/>
      <c r="F107" s="14">
        <v>0</v>
      </c>
      <c r="G107" s="14">
        <v>2900</v>
      </c>
      <c r="H107" s="14">
        <v>2320</v>
      </c>
      <c r="I107" s="14"/>
      <c r="J107" s="14">
        <v>2900</v>
      </c>
      <c r="K107" s="14">
        <v>0</v>
      </c>
      <c r="L107" s="14">
        <v>0</v>
      </c>
      <c r="M107" s="14">
        <v>0</v>
      </c>
      <c r="N107" s="14">
        <v>0</v>
      </c>
      <c r="O107" s="14">
        <v>80</v>
      </c>
      <c r="P107" s="14"/>
      <c r="Q107" s="14"/>
      <c r="R107" s="14"/>
      <c r="S107" s="14"/>
      <c r="T107" s="14"/>
      <c r="U107" s="14">
        <v>100</v>
      </c>
      <c r="V107" s="14">
        <v>100</v>
      </c>
      <c r="W107" s="14">
        <v>0</v>
      </c>
      <c r="X107" s="14"/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14">
        <v>0</v>
      </c>
      <c r="AE107" s="14">
        <v>0</v>
      </c>
      <c r="AF107" s="14">
        <v>0</v>
      </c>
      <c r="AG107" s="14"/>
      <c r="AH107" s="14"/>
    </row>
    <row r="108" spans="1:34" x14ac:dyDescent="0.25">
      <c r="B108" s="15">
        <v>106</v>
      </c>
      <c r="C108" s="17" t="s">
        <v>263</v>
      </c>
      <c r="D108" s="17">
        <v>93</v>
      </c>
      <c r="E108" s="17">
        <v>20.8</v>
      </c>
      <c r="F108" s="17"/>
      <c r="G108" s="17"/>
      <c r="H108" s="17">
        <v>176</v>
      </c>
      <c r="I108" s="17">
        <v>21</v>
      </c>
      <c r="J108" s="17">
        <v>220</v>
      </c>
      <c r="K108" s="17">
        <v>450</v>
      </c>
      <c r="L108" s="17">
        <v>80</v>
      </c>
      <c r="M108" s="17">
        <v>70</v>
      </c>
      <c r="N108" s="17">
        <v>180</v>
      </c>
      <c r="O108" s="17">
        <v>80</v>
      </c>
      <c r="P108" s="17">
        <v>90</v>
      </c>
      <c r="Q108" s="17">
        <v>30</v>
      </c>
      <c r="R108" s="17">
        <v>80</v>
      </c>
      <c r="S108" s="17">
        <v>81</v>
      </c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</row>
    <row r="109" spans="1:34" x14ac:dyDescent="0.25">
      <c r="B109" s="12">
        <v>107</v>
      </c>
      <c r="C109" s="14" t="s">
        <v>264</v>
      </c>
      <c r="D109" s="14">
        <v>90</v>
      </c>
      <c r="E109" s="14">
        <v>10.7</v>
      </c>
      <c r="F109" s="14"/>
      <c r="G109" s="14"/>
      <c r="H109" s="14">
        <v>349</v>
      </c>
      <c r="I109" s="14">
        <v>13.2</v>
      </c>
      <c r="J109" s="14">
        <v>410</v>
      </c>
      <c r="K109" s="14">
        <v>20</v>
      </c>
      <c r="L109" s="14">
        <v>160</v>
      </c>
      <c r="M109" s="14">
        <v>140</v>
      </c>
      <c r="N109" s="14">
        <v>270</v>
      </c>
      <c r="O109" s="14">
        <v>85</v>
      </c>
      <c r="P109" s="14">
        <v>90</v>
      </c>
      <c r="Q109" s="14">
        <v>30</v>
      </c>
      <c r="R109" s="14">
        <v>70</v>
      </c>
      <c r="S109" s="14">
        <v>70</v>
      </c>
      <c r="T109" s="14"/>
      <c r="U109" s="14"/>
      <c r="V109" s="14"/>
      <c r="W109" s="14"/>
      <c r="X109" s="14"/>
      <c r="Y109" s="14"/>
      <c r="Z109" s="14"/>
      <c r="AA109" s="14"/>
      <c r="AB109" s="14">
        <v>24</v>
      </c>
      <c r="AC109" s="14">
        <v>14</v>
      </c>
      <c r="AD109" s="14"/>
      <c r="AE109" s="14"/>
      <c r="AF109" s="14"/>
      <c r="AG109" s="14"/>
      <c r="AH109" s="14"/>
    </row>
    <row r="110" spans="1:34" x14ac:dyDescent="0.25">
      <c r="B110" s="15">
        <v>108</v>
      </c>
      <c r="C110" s="17" t="s">
        <v>265</v>
      </c>
      <c r="D110" s="17">
        <v>85</v>
      </c>
      <c r="E110" s="17">
        <v>6.4</v>
      </c>
      <c r="F110" s="17"/>
      <c r="G110" s="17"/>
      <c r="H110" s="17">
        <v>94</v>
      </c>
      <c r="I110" s="17">
        <v>8</v>
      </c>
      <c r="J110" s="17">
        <v>170</v>
      </c>
      <c r="K110" s="17">
        <v>20</v>
      </c>
      <c r="L110" s="17">
        <v>330</v>
      </c>
      <c r="M110" s="17">
        <v>80</v>
      </c>
      <c r="N110" s="17">
        <v>400</v>
      </c>
      <c r="O110" s="17">
        <v>55</v>
      </c>
      <c r="P110" s="17">
        <v>40</v>
      </c>
      <c r="Q110" s="17">
        <v>48</v>
      </c>
      <c r="R110" s="17">
        <v>40</v>
      </c>
      <c r="S110" s="17">
        <v>46</v>
      </c>
      <c r="T110" s="17"/>
      <c r="U110" s="17"/>
      <c r="V110" s="17"/>
      <c r="W110" s="17"/>
      <c r="X110" s="17"/>
      <c r="Y110" s="17"/>
      <c r="Z110" s="17"/>
      <c r="AA110" s="17"/>
      <c r="AB110" s="17">
        <v>3.5</v>
      </c>
      <c r="AC110" s="17">
        <v>0.6</v>
      </c>
      <c r="AD110" s="17"/>
      <c r="AE110" s="17"/>
      <c r="AF110" s="17"/>
      <c r="AG110" s="17"/>
      <c r="AH110" s="17"/>
    </row>
    <row r="111" spans="1:34" x14ac:dyDescent="0.25">
      <c r="A111" t="s">
        <v>50</v>
      </c>
      <c r="B111" s="12">
        <v>109</v>
      </c>
      <c r="C111" s="14" t="s">
        <v>266</v>
      </c>
      <c r="D111" s="14">
        <v>90</v>
      </c>
      <c r="E111" s="14">
        <v>13.3</v>
      </c>
      <c r="F111" s="14">
        <v>116</v>
      </c>
      <c r="G111" s="14">
        <v>142</v>
      </c>
      <c r="H111" s="14">
        <v>272</v>
      </c>
      <c r="I111" s="14">
        <v>15.7</v>
      </c>
      <c r="J111" s="14">
        <v>320</v>
      </c>
      <c r="K111" s="14">
        <v>45</v>
      </c>
      <c r="L111" s="14">
        <v>106</v>
      </c>
      <c r="M111" s="14">
        <v>37</v>
      </c>
      <c r="N111" s="14">
        <v>492</v>
      </c>
      <c r="O111" s="14">
        <v>85</v>
      </c>
      <c r="P111" s="14">
        <v>80</v>
      </c>
      <c r="Q111" s="14">
        <v>60</v>
      </c>
      <c r="R111" s="14">
        <v>80</v>
      </c>
      <c r="S111" s="14">
        <v>84</v>
      </c>
      <c r="T111" s="14">
        <v>49</v>
      </c>
      <c r="U111" s="14">
        <v>70</v>
      </c>
      <c r="V111" s="14">
        <v>82</v>
      </c>
      <c r="W111" s="14"/>
      <c r="X111" s="14">
        <v>19</v>
      </c>
      <c r="Y111" s="14">
        <v>0</v>
      </c>
      <c r="Z111" s="14">
        <v>270</v>
      </c>
      <c r="AA111" s="14"/>
      <c r="AB111" s="14">
        <v>2.6</v>
      </c>
      <c r="AC111" s="14">
        <v>10.3</v>
      </c>
      <c r="AD111" s="14">
        <v>3</v>
      </c>
      <c r="AE111" s="14">
        <v>13.7</v>
      </c>
      <c r="AF111" s="14">
        <v>1.6</v>
      </c>
      <c r="AG111" s="14"/>
      <c r="AH111" s="14"/>
    </row>
    <row r="112" spans="1:34" x14ac:dyDescent="0.25">
      <c r="B112" s="15">
        <v>110</v>
      </c>
      <c r="C112" s="17" t="s">
        <v>267</v>
      </c>
      <c r="D112" s="17">
        <v>87</v>
      </c>
      <c r="E112" s="17">
        <v>15.8</v>
      </c>
      <c r="F112" s="17">
        <v>99</v>
      </c>
      <c r="G112" s="17">
        <v>150</v>
      </c>
      <c r="H112" s="17">
        <v>276</v>
      </c>
      <c r="I112" s="17">
        <v>18.2</v>
      </c>
      <c r="J112" s="17">
        <v>300</v>
      </c>
      <c r="K112" s="17">
        <v>90</v>
      </c>
      <c r="L112" s="17">
        <v>25</v>
      </c>
      <c r="M112" s="17">
        <v>45</v>
      </c>
      <c r="N112" s="17">
        <v>540</v>
      </c>
      <c r="O112" s="17">
        <v>92</v>
      </c>
      <c r="P112" s="17">
        <v>90</v>
      </c>
      <c r="Q112" s="17">
        <v>30</v>
      </c>
      <c r="R112" s="17">
        <v>92</v>
      </c>
      <c r="S112" s="17">
        <v>90</v>
      </c>
      <c r="T112" s="17"/>
      <c r="U112" s="17">
        <v>80</v>
      </c>
      <c r="V112" s="17">
        <v>89</v>
      </c>
      <c r="W112" s="17"/>
      <c r="X112" s="17"/>
      <c r="Y112" s="17"/>
      <c r="Z112" s="17"/>
      <c r="AA112" s="17"/>
      <c r="AB112" s="17">
        <v>1.3</v>
      </c>
      <c r="AC112" s="17">
        <v>11.2</v>
      </c>
      <c r="AD112" s="17">
        <v>3.1</v>
      </c>
      <c r="AE112" s="17">
        <v>12</v>
      </c>
      <c r="AF112" s="17">
        <v>0.1</v>
      </c>
      <c r="AG112" s="17"/>
      <c r="AH112" s="17">
        <v>0.1</v>
      </c>
    </row>
    <row r="113" spans="1:34" x14ac:dyDescent="0.25">
      <c r="A113" t="s">
        <v>48</v>
      </c>
      <c r="B113" s="12">
        <v>111</v>
      </c>
      <c r="C113" s="14" t="s">
        <v>268</v>
      </c>
      <c r="D113" s="14">
        <v>87</v>
      </c>
      <c r="E113" s="14">
        <v>11</v>
      </c>
      <c r="F113" s="14">
        <v>73</v>
      </c>
      <c r="G113" s="14">
        <v>36</v>
      </c>
      <c r="H113" s="14">
        <v>125</v>
      </c>
      <c r="I113" s="14">
        <v>12.7</v>
      </c>
      <c r="J113" s="14">
        <v>160</v>
      </c>
      <c r="K113" s="14">
        <v>45</v>
      </c>
      <c r="L113" s="14">
        <v>115</v>
      </c>
      <c r="M113" s="14">
        <v>60</v>
      </c>
      <c r="N113" s="14">
        <v>620</v>
      </c>
      <c r="O113" s="14">
        <v>78</v>
      </c>
      <c r="P113" s="14">
        <v>80</v>
      </c>
      <c r="Q113" s="14">
        <v>30</v>
      </c>
      <c r="R113" s="14">
        <v>73</v>
      </c>
      <c r="S113" s="14">
        <v>69</v>
      </c>
      <c r="T113" s="14">
        <v>44</v>
      </c>
      <c r="U113" s="14">
        <v>77</v>
      </c>
      <c r="V113" s="14">
        <v>68</v>
      </c>
      <c r="W113" s="14">
        <v>56</v>
      </c>
      <c r="X113" s="14">
        <v>25</v>
      </c>
      <c r="Y113" s="14">
        <v>210</v>
      </c>
      <c r="Z113" s="14">
        <v>464</v>
      </c>
      <c r="AA113" s="14"/>
      <c r="AB113" s="14">
        <v>1.7</v>
      </c>
      <c r="AC113" s="14">
        <v>12</v>
      </c>
      <c r="AD113" s="14">
        <v>5.3</v>
      </c>
      <c r="AE113" s="14">
        <v>12</v>
      </c>
      <c r="AF113" s="14">
        <v>0.5</v>
      </c>
      <c r="AG113" s="14"/>
      <c r="AH113" s="14">
        <v>0.5</v>
      </c>
    </row>
    <row r="114" spans="1:34" x14ac:dyDescent="0.25">
      <c r="A114" t="s">
        <v>17</v>
      </c>
      <c r="B114" s="15">
        <v>112</v>
      </c>
      <c r="C114" s="17" t="s">
        <v>269</v>
      </c>
      <c r="D114" s="17">
        <v>87</v>
      </c>
      <c r="E114" s="17">
        <v>14.1</v>
      </c>
      <c r="F114" s="17">
        <v>95</v>
      </c>
      <c r="G114" s="17">
        <v>-33</v>
      </c>
      <c r="H114" s="17">
        <v>98</v>
      </c>
      <c r="I114" s="17">
        <v>16</v>
      </c>
      <c r="J114" s="17">
        <v>121</v>
      </c>
      <c r="K114" s="17">
        <v>25</v>
      </c>
      <c r="L114" s="17">
        <v>30</v>
      </c>
      <c r="M114" s="17">
        <v>18</v>
      </c>
      <c r="N114" s="17">
        <v>806</v>
      </c>
      <c r="O114" s="17">
        <v>81</v>
      </c>
      <c r="P114" s="17">
        <v>70</v>
      </c>
      <c r="Q114" s="17">
        <v>30</v>
      </c>
      <c r="R114" s="17">
        <v>92</v>
      </c>
      <c r="S114" s="17">
        <v>88</v>
      </c>
      <c r="T114" s="17">
        <v>55</v>
      </c>
      <c r="U114" s="17">
        <v>84</v>
      </c>
      <c r="V114" s="17">
        <v>89</v>
      </c>
      <c r="W114" s="17">
        <v>31</v>
      </c>
      <c r="X114" s="17">
        <v>26</v>
      </c>
      <c r="Y114" s="17">
        <v>644</v>
      </c>
      <c r="Z114" s="17">
        <v>138</v>
      </c>
      <c r="AA114" s="17"/>
      <c r="AB114" s="17">
        <v>0.3</v>
      </c>
      <c r="AC114" s="17">
        <v>3.7</v>
      </c>
      <c r="AD114" s="17">
        <v>1.3</v>
      </c>
      <c r="AE114" s="17">
        <v>4.7</v>
      </c>
      <c r="AF114" s="17">
        <v>0.2</v>
      </c>
      <c r="AG114" s="17">
        <v>13</v>
      </c>
      <c r="AH114" s="17">
        <v>0.2</v>
      </c>
    </row>
    <row r="115" spans="1:34" x14ac:dyDescent="0.25">
      <c r="B115" s="12">
        <v>113</v>
      </c>
      <c r="C115" s="14" t="s">
        <v>270</v>
      </c>
      <c r="D115" s="14">
        <v>87</v>
      </c>
      <c r="E115" s="14">
        <v>13.9</v>
      </c>
      <c r="F115" s="14">
        <v>101</v>
      </c>
      <c r="G115" s="14">
        <v>141</v>
      </c>
      <c r="H115" s="14">
        <v>264</v>
      </c>
      <c r="I115" s="14">
        <v>16.399999999999999</v>
      </c>
      <c r="J115" s="14">
        <v>300</v>
      </c>
      <c r="K115" s="14">
        <v>20</v>
      </c>
      <c r="L115" s="14">
        <v>70</v>
      </c>
      <c r="M115" s="14">
        <v>40</v>
      </c>
      <c r="N115" s="14">
        <v>570</v>
      </c>
      <c r="O115" s="14">
        <v>88</v>
      </c>
      <c r="P115" s="14">
        <v>70</v>
      </c>
      <c r="Q115" s="14">
        <v>40</v>
      </c>
      <c r="R115" s="14">
        <v>92</v>
      </c>
      <c r="S115" s="14">
        <v>87</v>
      </c>
      <c r="T115" s="14"/>
      <c r="U115" s="14">
        <v>80</v>
      </c>
      <c r="V115" s="14">
        <v>82</v>
      </c>
      <c r="W115" s="14"/>
      <c r="X115" s="14"/>
      <c r="Y115" s="14"/>
      <c r="Z115" s="14"/>
      <c r="AA115" s="14"/>
      <c r="AB115" s="14">
        <v>1.5</v>
      </c>
      <c r="AC115" s="14">
        <v>5.2</v>
      </c>
      <c r="AD115" s="14"/>
      <c r="AE115" s="14"/>
      <c r="AF115" s="14"/>
      <c r="AG115" s="14"/>
      <c r="AH115" s="14"/>
    </row>
    <row r="116" spans="1:34" x14ac:dyDescent="0.25">
      <c r="B116" s="15">
        <v>114</v>
      </c>
      <c r="C116" s="17" t="s">
        <v>271</v>
      </c>
      <c r="D116" s="17">
        <v>19</v>
      </c>
      <c r="E116" s="17">
        <v>12.2</v>
      </c>
      <c r="F116" s="17">
        <v>77</v>
      </c>
      <c r="G116" s="17">
        <v>39</v>
      </c>
      <c r="H116" s="17">
        <v>152</v>
      </c>
      <c r="I116" s="17">
        <v>14.7</v>
      </c>
      <c r="J116" s="17">
        <v>183</v>
      </c>
      <c r="K116" s="17">
        <v>28</v>
      </c>
      <c r="L116" s="17">
        <v>213</v>
      </c>
      <c r="M116" s="17">
        <v>49</v>
      </c>
      <c r="N116" s="17">
        <v>527</v>
      </c>
      <c r="O116" s="17">
        <v>83</v>
      </c>
      <c r="P116" s="17">
        <v>65</v>
      </c>
      <c r="Q116" s="17">
        <v>60</v>
      </c>
      <c r="R116" s="17">
        <v>90</v>
      </c>
      <c r="S116" s="17"/>
      <c r="T116" s="17"/>
      <c r="U116" s="17">
        <v>80</v>
      </c>
      <c r="V116" s="17">
        <v>53</v>
      </c>
      <c r="W116" s="17">
        <v>60</v>
      </c>
      <c r="X116" s="17">
        <v>102</v>
      </c>
      <c r="Y116" s="17">
        <v>160</v>
      </c>
      <c r="Z116" s="17">
        <v>310</v>
      </c>
      <c r="AA116" s="17">
        <v>60</v>
      </c>
      <c r="AB116" s="17">
        <v>11</v>
      </c>
      <c r="AC116" s="17">
        <v>2.7</v>
      </c>
      <c r="AD116" s="17">
        <v>2.2999999999999998</v>
      </c>
      <c r="AE116" s="17">
        <v>20</v>
      </c>
      <c r="AF116" s="17">
        <v>1.1000000000000001</v>
      </c>
      <c r="AG116" s="17"/>
      <c r="AH116" s="17">
        <v>0.4</v>
      </c>
    </row>
    <row r="117" spans="1:34" x14ac:dyDescent="0.25">
      <c r="A117" t="s">
        <v>41</v>
      </c>
      <c r="B117" s="12">
        <v>115</v>
      </c>
      <c r="C117" s="14" t="s">
        <v>272</v>
      </c>
      <c r="D117" s="14">
        <v>87</v>
      </c>
      <c r="E117" s="14">
        <v>13.8</v>
      </c>
      <c r="F117" s="14">
        <v>97</v>
      </c>
      <c r="G117" s="14">
        <v>69</v>
      </c>
      <c r="H117" s="14">
        <v>199</v>
      </c>
      <c r="I117" s="14">
        <v>16</v>
      </c>
      <c r="J117" s="14">
        <v>226</v>
      </c>
      <c r="K117" s="14">
        <v>17</v>
      </c>
      <c r="L117" s="14">
        <v>78</v>
      </c>
      <c r="M117" s="14">
        <v>33</v>
      </c>
      <c r="N117" s="14">
        <v>646</v>
      </c>
      <c r="O117" s="14">
        <v>88</v>
      </c>
      <c r="P117" s="14">
        <v>70</v>
      </c>
      <c r="Q117" s="14">
        <v>40</v>
      </c>
      <c r="R117" s="14">
        <v>92</v>
      </c>
      <c r="S117" s="14">
        <v>87</v>
      </c>
      <c r="T117" s="14">
        <v>55</v>
      </c>
      <c r="U117" s="14">
        <v>80</v>
      </c>
      <c r="V117" s="14">
        <v>78</v>
      </c>
      <c r="W117" s="14">
        <v>50</v>
      </c>
      <c r="X117" s="14">
        <v>38</v>
      </c>
      <c r="Y117" s="14">
        <v>550</v>
      </c>
      <c r="Z117" s="14">
        <v>100</v>
      </c>
      <c r="AA117" s="14"/>
      <c r="AB117" s="14">
        <v>0.9</v>
      </c>
      <c r="AC117" s="14">
        <v>4.3</v>
      </c>
      <c r="AD117" s="14">
        <v>1.3</v>
      </c>
      <c r="AE117" s="14">
        <v>11.1</v>
      </c>
      <c r="AF117" s="14">
        <v>0.3</v>
      </c>
      <c r="AG117" s="14">
        <v>113</v>
      </c>
      <c r="AH117" s="14">
        <v>0.3</v>
      </c>
    </row>
    <row r="118" spans="1:34" x14ac:dyDescent="0.25">
      <c r="B118" s="15">
        <v>116</v>
      </c>
      <c r="C118" s="17" t="s">
        <v>273</v>
      </c>
      <c r="D118" s="17">
        <v>31</v>
      </c>
      <c r="E118" s="17">
        <v>10</v>
      </c>
      <c r="F118" s="17">
        <v>65</v>
      </c>
      <c r="G118" s="17">
        <v>5</v>
      </c>
      <c r="H118" s="17">
        <v>89</v>
      </c>
      <c r="I118" s="17">
        <v>12.2</v>
      </c>
      <c r="J118" s="17">
        <v>128</v>
      </c>
      <c r="K118" s="17">
        <v>30</v>
      </c>
      <c r="L118" s="17">
        <v>291</v>
      </c>
      <c r="M118" s="17">
        <v>71</v>
      </c>
      <c r="N118" s="17">
        <v>480</v>
      </c>
      <c r="O118" s="17"/>
      <c r="P118" s="17">
        <v>60</v>
      </c>
      <c r="Q118" s="17">
        <v>62</v>
      </c>
      <c r="R118" s="17">
        <v>76</v>
      </c>
      <c r="S118" s="17">
        <v>73</v>
      </c>
      <c r="T118" s="17"/>
      <c r="U118" s="17">
        <v>80</v>
      </c>
      <c r="V118" s="17">
        <v>43</v>
      </c>
      <c r="W118" s="17"/>
      <c r="X118" s="17"/>
      <c r="Y118" s="17"/>
      <c r="Z118" s="17">
        <v>499</v>
      </c>
      <c r="AA118" s="17"/>
      <c r="AB118" s="17">
        <v>8</v>
      </c>
      <c r="AC118" s="17">
        <v>2.8</v>
      </c>
      <c r="AD118" s="17">
        <v>2.1</v>
      </c>
      <c r="AE118" s="17">
        <v>19.600000000000001</v>
      </c>
      <c r="AF118" s="17"/>
      <c r="AG118" s="17"/>
      <c r="AH118" s="17"/>
    </row>
    <row r="119" spans="1:34" ht="30" x14ac:dyDescent="0.25">
      <c r="B119" s="12">
        <v>117</v>
      </c>
      <c r="C119" s="14" t="s">
        <v>274</v>
      </c>
      <c r="D119" s="14">
        <v>31</v>
      </c>
      <c r="E119" s="14">
        <v>9</v>
      </c>
      <c r="F119" s="14">
        <v>57</v>
      </c>
      <c r="G119" s="14">
        <v>10</v>
      </c>
      <c r="H119" s="14">
        <v>83</v>
      </c>
      <c r="I119" s="14">
        <v>11</v>
      </c>
      <c r="J119" s="14">
        <v>122</v>
      </c>
      <c r="K119" s="14">
        <v>30</v>
      </c>
      <c r="L119" s="14">
        <v>299</v>
      </c>
      <c r="M119" s="14">
        <v>74</v>
      </c>
      <c r="N119" s="14">
        <v>475</v>
      </c>
      <c r="O119" s="14"/>
      <c r="P119" s="14">
        <v>54</v>
      </c>
      <c r="Q119" s="14">
        <v>57</v>
      </c>
      <c r="R119" s="14">
        <v>67</v>
      </c>
      <c r="S119" s="14">
        <v>64</v>
      </c>
      <c r="T119" s="14"/>
      <c r="U119" s="14">
        <v>80</v>
      </c>
      <c r="V119" s="14">
        <v>33</v>
      </c>
      <c r="W119" s="14"/>
      <c r="X119" s="14"/>
      <c r="Y119" s="14"/>
      <c r="Z119" s="14">
        <v>535</v>
      </c>
      <c r="AA119" s="14"/>
      <c r="AB119" s="14">
        <v>6.2</v>
      </c>
      <c r="AC119" s="14">
        <v>2.9</v>
      </c>
      <c r="AD119" s="14">
        <v>1.7</v>
      </c>
      <c r="AE119" s="14">
        <v>20</v>
      </c>
      <c r="AF119" s="14"/>
      <c r="AG119" s="14"/>
      <c r="AH119" s="14"/>
    </row>
    <row r="120" spans="1:34" x14ac:dyDescent="0.25">
      <c r="B120" s="15">
        <v>118</v>
      </c>
      <c r="C120" s="17" t="s">
        <v>275</v>
      </c>
      <c r="D120" s="17">
        <v>18</v>
      </c>
      <c r="E120" s="17">
        <v>9.1999999999999993</v>
      </c>
      <c r="F120" s="17">
        <v>51</v>
      </c>
      <c r="G120" s="17">
        <v>80</v>
      </c>
      <c r="H120" s="17">
        <v>149</v>
      </c>
      <c r="I120" s="17">
        <v>11.4</v>
      </c>
      <c r="J120" s="17">
        <v>192</v>
      </c>
      <c r="K120" s="17">
        <v>36</v>
      </c>
      <c r="L120" s="17">
        <v>299</v>
      </c>
      <c r="M120" s="17">
        <v>114</v>
      </c>
      <c r="N120" s="17">
        <v>359</v>
      </c>
      <c r="O120" s="17"/>
      <c r="P120" s="17">
        <v>56</v>
      </c>
      <c r="Q120" s="17">
        <v>54</v>
      </c>
      <c r="R120" s="17">
        <v>70</v>
      </c>
      <c r="S120" s="17">
        <v>64</v>
      </c>
      <c r="T120" s="17"/>
      <c r="U120" s="17">
        <v>80</v>
      </c>
      <c r="V120" s="17">
        <v>28</v>
      </c>
      <c r="W120" s="17"/>
      <c r="X120" s="17"/>
      <c r="Y120" s="17"/>
      <c r="Z120" s="17"/>
      <c r="AA120" s="17"/>
      <c r="AB120" s="17">
        <v>13</v>
      </c>
      <c r="AC120" s="17">
        <v>4.7</v>
      </c>
      <c r="AD120" s="17">
        <v>2.5</v>
      </c>
      <c r="AE120" s="17">
        <v>17</v>
      </c>
      <c r="AF120" s="17">
        <v>2.7</v>
      </c>
      <c r="AG120" s="17"/>
      <c r="AH120" s="17">
        <v>2.7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E61"/>
  <sheetViews>
    <sheetView topLeftCell="A17" workbookViewId="0">
      <selection activeCell="D33" sqref="D33"/>
    </sheetView>
  </sheetViews>
  <sheetFormatPr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19" t="s">
        <v>122</v>
      </c>
      <c r="C2" s="19" t="s">
        <v>125</v>
      </c>
      <c r="D2" s="19" t="s">
        <v>334</v>
      </c>
      <c r="E2" s="19" t="s">
        <v>277</v>
      </c>
      <c r="F2" s="19" t="s">
        <v>278</v>
      </c>
      <c r="G2" s="19" t="s">
        <v>413</v>
      </c>
      <c r="H2" s="19" t="s">
        <v>414</v>
      </c>
      <c r="I2" s="19" t="s">
        <v>415</v>
      </c>
      <c r="J2" s="19" t="s">
        <v>416</v>
      </c>
      <c r="K2" s="19" t="s">
        <v>417</v>
      </c>
      <c r="L2" s="19" t="s">
        <v>418</v>
      </c>
      <c r="M2" s="19" t="s">
        <v>419</v>
      </c>
      <c r="N2" s="19" t="s">
        <v>420</v>
      </c>
      <c r="O2" s="19" t="s">
        <v>421</v>
      </c>
      <c r="P2" s="19" t="s">
        <v>422</v>
      </c>
      <c r="Q2" s="19" t="s">
        <v>423</v>
      </c>
      <c r="R2" s="19" t="s">
        <v>424</v>
      </c>
      <c r="S2" s="19" t="s">
        <v>425</v>
      </c>
      <c r="T2" s="19" t="s">
        <v>426</v>
      </c>
      <c r="U2" s="19" t="s">
        <v>123</v>
      </c>
      <c r="V2" s="19" t="s">
        <v>427</v>
      </c>
      <c r="W2" s="19" t="s">
        <v>148</v>
      </c>
      <c r="X2" s="19" t="s">
        <v>149</v>
      </c>
      <c r="Y2" s="19" t="s">
        <v>150</v>
      </c>
      <c r="Z2" s="19" t="s">
        <v>151</v>
      </c>
      <c r="AA2" s="19" t="s">
        <v>152</v>
      </c>
      <c r="AB2" s="19" t="s">
        <v>293</v>
      </c>
    </row>
    <row r="3" spans="2:31" x14ac:dyDescent="0.25">
      <c r="B3" s="12">
        <v>1</v>
      </c>
      <c r="C3" s="33" t="s">
        <v>428</v>
      </c>
      <c r="D3" s="14">
        <v>9.4</v>
      </c>
      <c r="E3" s="14">
        <v>72</v>
      </c>
      <c r="F3" s="14">
        <v>-22</v>
      </c>
      <c r="G3" s="14">
        <v>64</v>
      </c>
      <c r="H3" s="14">
        <v>11.4</v>
      </c>
      <c r="I3" s="14">
        <v>101</v>
      </c>
      <c r="J3" s="14"/>
      <c r="K3" s="14">
        <v>48</v>
      </c>
      <c r="L3" s="14">
        <v>803</v>
      </c>
      <c r="M3" s="14">
        <v>63</v>
      </c>
      <c r="N3" s="14">
        <v>66</v>
      </c>
      <c r="O3" s="14">
        <v>43</v>
      </c>
      <c r="P3" s="14">
        <v>80</v>
      </c>
      <c r="Q3" s="14">
        <v>82</v>
      </c>
      <c r="R3" s="14"/>
      <c r="S3" s="14"/>
      <c r="T3" s="14"/>
      <c r="U3" s="14">
        <v>626</v>
      </c>
      <c r="V3" s="14"/>
      <c r="W3" s="14"/>
      <c r="X3" s="14"/>
      <c r="Y3" s="14"/>
      <c r="Z3" s="14"/>
      <c r="AA3" s="14"/>
      <c r="AB3" s="14"/>
      <c r="AD3">
        <f>SUM(I3,K3:L3)</f>
        <v>952</v>
      </c>
      <c r="AE3">
        <f>1000-AD3</f>
        <v>48</v>
      </c>
    </row>
    <row r="4" spans="2:31" x14ac:dyDescent="0.25">
      <c r="B4" s="15">
        <v>2</v>
      </c>
      <c r="C4" s="34" t="s">
        <v>429</v>
      </c>
      <c r="D4" s="17">
        <v>9.4</v>
      </c>
      <c r="E4" s="17">
        <v>72</v>
      </c>
      <c r="F4" s="17">
        <v>-26</v>
      </c>
      <c r="G4" s="17">
        <v>60</v>
      </c>
      <c r="H4" s="17">
        <v>11.4</v>
      </c>
      <c r="I4" s="17">
        <v>97</v>
      </c>
      <c r="J4" s="17"/>
      <c r="K4" s="17">
        <v>58</v>
      </c>
      <c r="L4" s="17">
        <v>808</v>
      </c>
      <c r="M4" s="17">
        <v>62</v>
      </c>
      <c r="N4" s="17">
        <v>66</v>
      </c>
      <c r="O4" s="17">
        <v>43</v>
      </c>
      <c r="P4" s="17">
        <v>80</v>
      </c>
      <c r="Q4" s="17">
        <v>82</v>
      </c>
      <c r="R4" s="17"/>
      <c r="S4" s="17"/>
      <c r="T4" s="17"/>
      <c r="U4" s="17">
        <v>612</v>
      </c>
      <c r="V4" s="17"/>
      <c r="W4" s="17"/>
      <c r="X4" s="17"/>
      <c r="Y4" s="17"/>
      <c r="Z4" s="17"/>
      <c r="AA4" s="17"/>
      <c r="AB4" s="17"/>
      <c r="AD4">
        <f t="shared" ref="AD4:AD61" si="0">SUM(I4,K4:L4)</f>
        <v>963</v>
      </c>
      <c r="AE4">
        <f t="shared" ref="AE4:AE61" si="1">1000-AD4</f>
        <v>37</v>
      </c>
    </row>
    <row r="5" spans="2:31" x14ac:dyDescent="0.25">
      <c r="B5" s="12">
        <v>3</v>
      </c>
      <c r="C5" s="33" t="s">
        <v>430</v>
      </c>
      <c r="D5" s="14">
        <v>6.1</v>
      </c>
      <c r="E5" s="14">
        <v>51</v>
      </c>
      <c r="F5" s="14">
        <v>6</v>
      </c>
      <c r="G5" s="14">
        <v>56</v>
      </c>
      <c r="H5" s="14">
        <v>8.1999999999999993</v>
      </c>
      <c r="I5" s="14">
        <v>93</v>
      </c>
      <c r="J5" s="14"/>
      <c r="K5" s="14">
        <v>58</v>
      </c>
      <c r="L5" s="14">
        <v>814</v>
      </c>
      <c r="M5" s="14">
        <v>60</v>
      </c>
      <c r="N5" s="14">
        <v>44</v>
      </c>
      <c r="O5" s="14">
        <v>20</v>
      </c>
      <c r="P5" s="14">
        <v>80</v>
      </c>
      <c r="Q5" s="14">
        <v>82</v>
      </c>
      <c r="R5" s="14"/>
      <c r="S5" s="14"/>
      <c r="T5" s="14"/>
      <c r="U5" s="14">
        <v>622</v>
      </c>
      <c r="V5" s="14"/>
      <c r="W5" s="14"/>
      <c r="X5" s="14"/>
      <c r="Y5" s="14"/>
      <c r="Z5" s="14"/>
      <c r="AA5" s="14"/>
      <c r="AB5" s="14"/>
      <c r="AD5">
        <f t="shared" si="0"/>
        <v>965</v>
      </c>
      <c r="AE5">
        <f t="shared" si="1"/>
        <v>35</v>
      </c>
    </row>
    <row r="6" spans="2:31" x14ac:dyDescent="0.25">
      <c r="B6" s="15">
        <v>4</v>
      </c>
      <c r="C6" s="34" t="s">
        <v>431</v>
      </c>
      <c r="D6" s="17">
        <v>9.4</v>
      </c>
      <c r="E6" s="17">
        <v>72</v>
      </c>
      <c r="F6" s="17">
        <v>12</v>
      </c>
      <c r="G6" s="17">
        <v>95</v>
      </c>
      <c r="H6" s="17">
        <v>11.6</v>
      </c>
      <c r="I6" s="17">
        <v>135</v>
      </c>
      <c r="J6" s="17"/>
      <c r="K6" s="17">
        <v>68</v>
      </c>
      <c r="L6" s="17">
        <v>753</v>
      </c>
      <c r="M6" s="17">
        <v>71</v>
      </c>
      <c r="N6" s="17">
        <v>66</v>
      </c>
      <c r="O6" s="17">
        <v>43</v>
      </c>
      <c r="P6" s="17">
        <v>80</v>
      </c>
      <c r="Q6" s="17">
        <v>82</v>
      </c>
      <c r="R6" s="17"/>
      <c r="S6" s="17"/>
      <c r="T6" s="17"/>
      <c r="U6" s="17">
        <v>521</v>
      </c>
      <c r="V6" s="17"/>
      <c r="W6" s="17"/>
      <c r="X6" s="17"/>
      <c r="Y6" s="17"/>
      <c r="Z6" s="17"/>
      <c r="AA6" s="17"/>
      <c r="AB6" s="17"/>
      <c r="AD6">
        <f t="shared" si="0"/>
        <v>956</v>
      </c>
      <c r="AE6">
        <f t="shared" si="1"/>
        <v>44</v>
      </c>
    </row>
    <row r="7" spans="2:31" x14ac:dyDescent="0.25">
      <c r="B7" s="12">
        <v>5</v>
      </c>
      <c r="C7" s="33" t="s">
        <v>432</v>
      </c>
      <c r="D7" s="14">
        <v>10.5</v>
      </c>
      <c r="E7" s="14">
        <v>78</v>
      </c>
      <c r="F7" s="14">
        <v>-24</v>
      </c>
      <c r="G7" s="14">
        <v>72</v>
      </c>
      <c r="H7" s="14">
        <v>12.5</v>
      </c>
      <c r="I7" s="14">
        <v>110</v>
      </c>
      <c r="J7" s="14"/>
      <c r="K7" s="14">
        <v>76</v>
      </c>
      <c r="L7" s="14">
        <v>790</v>
      </c>
      <c r="M7" s="14">
        <v>65</v>
      </c>
      <c r="N7" s="14">
        <v>73</v>
      </c>
      <c r="O7" s="14">
        <v>51</v>
      </c>
      <c r="P7" s="14">
        <v>80</v>
      </c>
      <c r="Q7" s="14">
        <v>82</v>
      </c>
      <c r="R7" s="14"/>
      <c r="S7" s="14"/>
      <c r="T7" s="14"/>
      <c r="U7" s="14">
        <v>593</v>
      </c>
      <c r="V7" s="14"/>
      <c r="W7" s="14"/>
      <c r="X7" s="14"/>
      <c r="Y7" s="14"/>
      <c r="Z7" s="14"/>
      <c r="AA7" s="14"/>
      <c r="AB7" s="14"/>
      <c r="AD7">
        <f t="shared" si="0"/>
        <v>976</v>
      </c>
      <c r="AE7">
        <f t="shared" si="1"/>
        <v>24</v>
      </c>
    </row>
    <row r="8" spans="2:31" x14ac:dyDescent="0.25">
      <c r="B8" s="15">
        <v>6</v>
      </c>
      <c r="C8" s="34" t="s">
        <v>433</v>
      </c>
      <c r="D8" s="17">
        <v>11.1</v>
      </c>
      <c r="E8" s="17">
        <v>81</v>
      </c>
      <c r="F8" s="17">
        <v>27</v>
      </c>
      <c r="G8" s="17">
        <v>125</v>
      </c>
      <c r="H8" s="17">
        <v>13.2</v>
      </c>
      <c r="I8" s="17">
        <v>167</v>
      </c>
      <c r="J8" s="17"/>
      <c r="K8" s="17">
        <v>86</v>
      </c>
      <c r="L8" s="17">
        <v>707</v>
      </c>
      <c r="M8" s="17">
        <v>75</v>
      </c>
      <c r="N8" s="17">
        <v>78</v>
      </c>
      <c r="O8" s="17">
        <v>55</v>
      </c>
      <c r="P8" s="17">
        <v>80</v>
      </c>
      <c r="Q8" s="17">
        <v>82</v>
      </c>
      <c r="R8" s="17"/>
      <c r="S8" s="17"/>
      <c r="T8" s="17"/>
      <c r="U8" s="17">
        <v>491</v>
      </c>
      <c r="V8" s="17"/>
      <c r="W8" s="17"/>
      <c r="X8" s="17"/>
      <c r="Y8" s="17"/>
      <c r="Z8" s="17"/>
      <c r="AA8" s="17"/>
      <c r="AB8" s="17"/>
      <c r="AD8">
        <f t="shared" si="0"/>
        <v>960</v>
      </c>
      <c r="AE8">
        <f t="shared" si="1"/>
        <v>40</v>
      </c>
    </row>
    <row r="9" spans="2:31" x14ac:dyDescent="0.25">
      <c r="B9" s="12">
        <v>7</v>
      </c>
      <c r="C9" s="33" t="s">
        <v>434</v>
      </c>
      <c r="D9" s="14">
        <v>11</v>
      </c>
      <c r="E9" s="14">
        <v>80</v>
      </c>
      <c r="F9" s="14">
        <v>52</v>
      </c>
      <c r="G9" s="14">
        <v>147</v>
      </c>
      <c r="H9" s="14">
        <v>13.2</v>
      </c>
      <c r="I9" s="14">
        <v>190</v>
      </c>
      <c r="J9" s="14"/>
      <c r="K9" s="35">
        <f>AVERAGE(K$3:K$8)</f>
        <v>65.666666666666671</v>
      </c>
      <c r="L9" s="14">
        <v>673</v>
      </c>
      <c r="M9" s="14">
        <v>77</v>
      </c>
      <c r="N9" s="14">
        <v>77</v>
      </c>
      <c r="O9" s="14">
        <v>54</v>
      </c>
      <c r="P9" s="14">
        <v>80</v>
      </c>
      <c r="Q9" s="14">
        <v>82</v>
      </c>
      <c r="R9" s="14">
        <v>130</v>
      </c>
      <c r="S9" s="14"/>
      <c r="T9" s="14"/>
      <c r="U9" s="14">
        <v>480</v>
      </c>
      <c r="V9" s="14">
        <v>29</v>
      </c>
      <c r="W9" s="14"/>
      <c r="X9" s="14"/>
      <c r="Y9" s="14"/>
      <c r="Z9" s="14"/>
      <c r="AA9" s="14"/>
      <c r="AB9" s="14"/>
      <c r="AD9" s="23">
        <f t="shared" si="0"/>
        <v>928.66666666666674</v>
      </c>
      <c r="AE9" s="23">
        <f t="shared" si="1"/>
        <v>71.333333333333258</v>
      </c>
    </row>
    <row r="10" spans="2:31" x14ac:dyDescent="0.25">
      <c r="B10" s="15">
        <v>8</v>
      </c>
      <c r="C10" s="34" t="s">
        <v>435</v>
      </c>
      <c r="D10" s="17">
        <v>10.1</v>
      </c>
      <c r="E10" s="17">
        <v>76</v>
      </c>
      <c r="F10" s="17">
        <v>-38</v>
      </c>
      <c r="G10" s="17">
        <v>55</v>
      </c>
      <c r="H10" s="17">
        <v>12</v>
      </c>
      <c r="I10" s="17">
        <v>92</v>
      </c>
      <c r="J10" s="17"/>
      <c r="K10" s="36">
        <f t="shared" ref="K10:K14" si="2">AVERAGE(K$3:K$8)</f>
        <v>65.666666666666671</v>
      </c>
      <c r="L10" s="17">
        <v>816</v>
      </c>
      <c r="M10" s="17">
        <v>60</v>
      </c>
      <c r="N10" s="17">
        <v>71</v>
      </c>
      <c r="O10" s="17">
        <v>48</v>
      </c>
      <c r="P10" s="17">
        <v>80</v>
      </c>
      <c r="Q10" s="17">
        <v>82</v>
      </c>
      <c r="R10" s="17"/>
      <c r="S10" s="17"/>
      <c r="T10" s="17"/>
      <c r="U10" s="17">
        <v>540</v>
      </c>
      <c r="V10" s="17">
        <v>40</v>
      </c>
      <c r="W10" s="17"/>
      <c r="X10" s="17"/>
      <c r="Y10" s="17"/>
      <c r="Z10" s="17"/>
      <c r="AA10" s="17"/>
      <c r="AB10" s="17"/>
      <c r="AD10" s="23">
        <f t="shared" si="0"/>
        <v>973.66666666666674</v>
      </c>
      <c r="AE10" s="23">
        <f t="shared" si="1"/>
        <v>26.333333333333258</v>
      </c>
    </row>
    <row r="11" spans="2:31" x14ac:dyDescent="0.25">
      <c r="B11" s="12">
        <v>9</v>
      </c>
      <c r="C11" s="33" t="s">
        <v>436</v>
      </c>
      <c r="D11" s="14">
        <v>9.5</v>
      </c>
      <c r="E11" s="14">
        <v>72</v>
      </c>
      <c r="F11" s="14">
        <v>-14</v>
      </c>
      <c r="G11" s="14">
        <v>72</v>
      </c>
      <c r="H11" s="14">
        <v>11.6</v>
      </c>
      <c r="I11" s="14">
        <v>110</v>
      </c>
      <c r="J11" s="14"/>
      <c r="K11" s="35">
        <f t="shared" si="2"/>
        <v>65.666666666666671</v>
      </c>
      <c r="L11" s="14">
        <v>789</v>
      </c>
      <c r="M11" s="14">
        <v>65</v>
      </c>
      <c r="N11" s="14">
        <v>67</v>
      </c>
      <c r="O11" s="14">
        <v>44</v>
      </c>
      <c r="P11" s="14">
        <v>80</v>
      </c>
      <c r="Q11" s="14">
        <v>82</v>
      </c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D11" s="23">
        <f t="shared" si="0"/>
        <v>964.66666666666674</v>
      </c>
      <c r="AE11" s="23">
        <f t="shared" si="1"/>
        <v>35.333333333333258</v>
      </c>
    </row>
    <row r="12" spans="2:31" x14ac:dyDescent="0.25">
      <c r="B12" s="15">
        <v>10</v>
      </c>
      <c r="C12" s="34" t="s">
        <v>437</v>
      </c>
      <c r="D12" s="17">
        <v>10.5</v>
      </c>
      <c r="E12" s="17">
        <v>78</v>
      </c>
      <c r="F12" s="17">
        <v>32</v>
      </c>
      <c r="G12" s="17">
        <v>128</v>
      </c>
      <c r="H12" s="17">
        <v>12.8</v>
      </c>
      <c r="I12" s="17">
        <v>170</v>
      </c>
      <c r="J12" s="17"/>
      <c r="K12" s="36">
        <f t="shared" si="2"/>
        <v>65.666666666666671</v>
      </c>
      <c r="L12" s="17">
        <v>702</v>
      </c>
      <c r="M12" s="17">
        <v>75</v>
      </c>
      <c r="N12" s="17">
        <v>74</v>
      </c>
      <c r="O12" s="17">
        <v>51</v>
      </c>
      <c r="P12" s="17">
        <v>80</v>
      </c>
      <c r="Q12" s="17">
        <v>82</v>
      </c>
      <c r="R12" s="17">
        <v>70</v>
      </c>
      <c r="S12" s="17">
        <v>41</v>
      </c>
      <c r="T12" s="17"/>
      <c r="U12" s="17">
        <v>510</v>
      </c>
      <c r="V12" s="17">
        <v>33</v>
      </c>
      <c r="W12" s="17"/>
      <c r="X12" s="17"/>
      <c r="Y12" s="17"/>
      <c r="Z12" s="17"/>
      <c r="AA12" s="17"/>
      <c r="AB12" s="17"/>
      <c r="AD12" s="23">
        <f t="shared" si="0"/>
        <v>937.66666666666674</v>
      </c>
      <c r="AE12" s="23">
        <f t="shared" si="1"/>
        <v>62.333333333333258</v>
      </c>
    </row>
    <row r="13" spans="2:31" x14ac:dyDescent="0.25">
      <c r="B13" s="12">
        <v>11</v>
      </c>
      <c r="C13" s="33" t="s">
        <v>438</v>
      </c>
      <c r="D13" s="14">
        <v>10.8</v>
      </c>
      <c r="E13" s="14">
        <v>78</v>
      </c>
      <c r="F13" s="14">
        <v>74</v>
      </c>
      <c r="G13" s="14">
        <v>166</v>
      </c>
      <c r="H13" s="14">
        <v>13.1</v>
      </c>
      <c r="I13" s="14">
        <v>210</v>
      </c>
      <c r="J13" s="14"/>
      <c r="K13" s="35">
        <f t="shared" si="2"/>
        <v>65.666666666666671</v>
      </c>
      <c r="L13" s="14">
        <v>643</v>
      </c>
      <c r="M13" s="14">
        <v>79</v>
      </c>
      <c r="N13" s="14">
        <v>76</v>
      </c>
      <c r="O13" s="14">
        <v>53</v>
      </c>
      <c r="P13" s="14">
        <v>80</v>
      </c>
      <c r="Q13" s="14">
        <v>82</v>
      </c>
      <c r="R13" s="14">
        <v>80</v>
      </c>
      <c r="S13" s="14"/>
      <c r="T13" s="14"/>
      <c r="U13" s="14">
        <v>470</v>
      </c>
      <c r="V13" s="14">
        <v>33</v>
      </c>
      <c r="W13" s="14"/>
      <c r="X13" s="14"/>
      <c r="Y13" s="14"/>
      <c r="Z13" s="14"/>
      <c r="AA13" s="14"/>
      <c r="AB13" s="14"/>
      <c r="AD13" s="23">
        <f t="shared" si="0"/>
        <v>918.66666666666674</v>
      </c>
      <c r="AE13" s="23">
        <f t="shared" si="1"/>
        <v>81.333333333333258</v>
      </c>
    </row>
    <row r="14" spans="2:31" x14ac:dyDescent="0.25">
      <c r="B14" s="15">
        <v>12</v>
      </c>
      <c r="C14" s="34" t="s">
        <v>439</v>
      </c>
      <c r="D14" s="17">
        <v>11.5</v>
      </c>
      <c r="E14" s="17">
        <v>82</v>
      </c>
      <c r="F14" s="17">
        <v>68</v>
      </c>
      <c r="G14" s="17">
        <v>166</v>
      </c>
      <c r="H14" s="17">
        <v>13.7</v>
      </c>
      <c r="I14" s="17">
        <v>210</v>
      </c>
      <c r="J14" s="17"/>
      <c r="K14" s="36">
        <f t="shared" si="2"/>
        <v>65.666666666666671</v>
      </c>
      <c r="L14" s="17">
        <v>643</v>
      </c>
      <c r="M14" s="17">
        <v>79</v>
      </c>
      <c r="N14" s="17">
        <v>81</v>
      </c>
      <c r="O14" s="17">
        <v>58</v>
      </c>
      <c r="P14" s="17">
        <v>80</v>
      </c>
      <c r="Q14" s="17">
        <v>82</v>
      </c>
      <c r="R14" s="17">
        <v>200</v>
      </c>
      <c r="S14" s="17"/>
      <c r="T14" s="17"/>
      <c r="U14" s="17">
        <v>420</v>
      </c>
      <c r="V14" s="17">
        <v>24</v>
      </c>
      <c r="W14" s="17"/>
      <c r="X14" s="17"/>
      <c r="Y14" s="17"/>
      <c r="Z14" s="17"/>
      <c r="AA14" s="17"/>
      <c r="AB14" s="17"/>
      <c r="AD14" s="23">
        <f t="shared" si="0"/>
        <v>918.66666666666674</v>
      </c>
      <c r="AE14" s="23">
        <f t="shared" si="1"/>
        <v>81.333333333333258</v>
      </c>
    </row>
    <row r="15" spans="2:31" x14ac:dyDescent="0.25">
      <c r="B15" s="12">
        <v>13</v>
      </c>
      <c r="C15" s="33" t="s">
        <v>440</v>
      </c>
      <c r="D15" s="14">
        <v>9.8000000000000007</v>
      </c>
      <c r="E15" s="14">
        <v>70</v>
      </c>
      <c r="F15" s="14">
        <v>83</v>
      </c>
      <c r="G15" s="14">
        <v>160</v>
      </c>
      <c r="H15" s="14">
        <v>12.4</v>
      </c>
      <c r="I15" s="14">
        <v>204</v>
      </c>
      <c r="J15" s="14"/>
      <c r="K15" s="14">
        <v>100</v>
      </c>
      <c r="L15" s="14">
        <v>652</v>
      </c>
      <c r="M15" s="14">
        <v>79</v>
      </c>
      <c r="N15" s="14">
        <v>69</v>
      </c>
      <c r="O15" s="14">
        <v>46</v>
      </c>
      <c r="P15" s="14">
        <v>80</v>
      </c>
      <c r="Q15" s="14">
        <v>82</v>
      </c>
      <c r="R15" s="14">
        <v>40</v>
      </c>
      <c r="S15" s="14">
        <v>84</v>
      </c>
      <c r="T15" s="14">
        <v>15</v>
      </c>
      <c r="U15" s="14">
        <v>390</v>
      </c>
      <c r="V15" s="14">
        <v>60</v>
      </c>
      <c r="W15" s="14">
        <v>17</v>
      </c>
      <c r="X15" s="14">
        <v>3</v>
      </c>
      <c r="Y15" s="14">
        <v>2.2000000000000002</v>
      </c>
      <c r="Z15" s="14">
        <v>28</v>
      </c>
      <c r="AA15" s="14">
        <v>1.4</v>
      </c>
      <c r="AB15" s="14"/>
      <c r="AD15">
        <f t="shared" si="0"/>
        <v>956</v>
      </c>
      <c r="AE15">
        <f t="shared" si="1"/>
        <v>44</v>
      </c>
    </row>
    <row r="16" spans="2:31" x14ac:dyDescent="0.25">
      <c r="B16" s="15">
        <v>14</v>
      </c>
      <c r="C16" s="34" t="s">
        <v>441</v>
      </c>
      <c r="D16" s="17">
        <v>9.8000000000000007</v>
      </c>
      <c r="E16" s="17">
        <v>70</v>
      </c>
      <c r="F16" s="17">
        <v>61</v>
      </c>
      <c r="G16" s="17">
        <v>140</v>
      </c>
      <c r="H16" s="17">
        <v>12.2</v>
      </c>
      <c r="I16" s="17">
        <v>182</v>
      </c>
      <c r="J16" s="17"/>
      <c r="K16" s="17">
        <v>100</v>
      </c>
      <c r="L16" s="17">
        <v>684</v>
      </c>
      <c r="M16" s="17">
        <v>77</v>
      </c>
      <c r="N16" s="17">
        <v>69</v>
      </c>
      <c r="O16" s="17">
        <v>46</v>
      </c>
      <c r="P16" s="17">
        <v>80</v>
      </c>
      <c r="Q16" s="17">
        <v>82</v>
      </c>
      <c r="R16" s="17">
        <v>40</v>
      </c>
      <c r="S16" s="17">
        <v>84</v>
      </c>
      <c r="T16" s="17">
        <v>15</v>
      </c>
      <c r="U16" s="17">
        <v>390</v>
      </c>
      <c r="V16" s="17">
        <v>60</v>
      </c>
      <c r="W16" s="17">
        <v>17</v>
      </c>
      <c r="X16" s="17">
        <v>3</v>
      </c>
      <c r="Y16" s="17">
        <v>2.2000000000000002</v>
      </c>
      <c r="Z16" s="17">
        <v>28</v>
      </c>
      <c r="AA16" s="17">
        <v>1.4</v>
      </c>
      <c r="AB16" s="17"/>
      <c r="AD16">
        <f t="shared" si="0"/>
        <v>966</v>
      </c>
      <c r="AE16">
        <f t="shared" si="1"/>
        <v>34</v>
      </c>
    </row>
    <row r="17" spans="2:31" x14ac:dyDescent="0.25">
      <c r="B17" s="12">
        <v>15</v>
      </c>
      <c r="C17" s="33" t="s">
        <v>442</v>
      </c>
      <c r="D17" s="14">
        <v>9.3000000000000007</v>
      </c>
      <c r="E17" s="14">
        <v>67</v>
      </c>
      <c r="F17" s="14">
        <v>56</v>
      </c>
      <c r="G17" s="14">
        <v>130</v>
      </c>
      <c r="H17" s="14">
        <v>11.8</v>
      </c>
      <c r="I17" s="14">
        <v>172</v>
      </c>
      <c r="J17" s="14"/>
      <c r="K17" s="14">
        <v>100</v>
      </c>
      <c r="L17" s="14">
        <v>699</v>
      </c>
      <c r="M17" s="14">
        <v>76</v>
      </c>
      <c r="N17" s="14">
        <v>66</v>
      </c>
      <c r="O17" s="14">
        <v>43</v>
      </c>
      <c r="P17" s="14">
        <v>80</v>
      </c>
      <c r="Q17" s="14">
        <v>82</v>
      </c>
      <c r="R17" s="14">
        <v>40</v>
      </c>
      <c r="S17" s="14"/>
      <c r="T17" s="14">
        <v>15</v>
      </c>
      <c r="U17" s="14">
        <v>460</v>
      </c>
      <c r="V17" s="14">
        <v>90</v>
      </c>
      <c r="W17" s="14">
        <v>17</v>
      </c>
      <c r="X17" s="14">
        <v>3</v>
      </c>
      <c r="Y17" s="14">
        <v>2.2000000000000002</v>
      </c>
      <c r="Z17" s="14">
        <v>28</v>
      </c>
      <c r="AA17" s="14">
        <v>1.4</v>
      </c>
      <c r="AB17" s="14"/>
      <c r="AD17">
        <f t="shared" si="0"/>
        <v>971</v>
      </c>
      <c r="AE17">
        <f t="shared" si="1"/>
        <v>29</v>
      </c>
    </row>
    <row r="18" spans="2:31" x14ac:dyDescent="0.25">
      <c r="B18" s="15">
        <v>16</v>
      </c>
      <c r="C18" s="34" t="s">
        <v>443</v>
      </c>
      <c r="D18" s="17">
        <v>9.3000000000000007</v>
      </c>
      <c r="E18" s="17">
        <v>67</v>
      </c>
      <c r="F18" s="17">
        <v>34</v>
      </c>
      <c r="G18" s="17">
        <v>110</v>
      </c>
      <c r="H18" s="17">
        <v>11.6</v>
      </c>
      <c r="I18" s="17">
        <v>150</v>
      </c>
      <c r="J18" s="17"/>
      <c r="K18" s="17">
        <v>100</v>
      </c>
      <c r="L18" s="17">
        <v>731</v>
      </c>
      <c r="M18" s="17">
        <v>73</v>
      </c>
      <c r="N18" s="17">
        <v>66</v>
      </c>
      <c r="O18" s="17">
        <v>43</v>
      </c>
      <c r="P18" s="17">
        <v>80</v>
      </c>
      <c r="Q18" s="17">
        <v>82</v>
      </c>
      <c r="R18" s="17">
        <v>40</v>
      </c>
      <c r="S18" s="17"/>
      <c r="T18" s="17">
        <v>15</v>
      </c>
      <c r="U18" s="17">
        <v>460</v>
      </c>
      <c r="V18" s="17">
        <v>90</v>
      </c>
      <c r="W18" s="17">
        <v>17</v>
      </c>
      <c r="X18" s="17">
        <v>3</v>
      </c>
      <c r="Y18" s="17">
        <v>2.2000000000000002</v>
      </c>
      <c r="Z18" s="17">
        <v>28</v>
      </c>
      <c r="AA18" s="17">
        <v>1.4</v>
      </c>
      <c r="AB18" s="17"/>
      <c r="AD18">
        <f t="shared" si="0"/>
        <v>981</v>
      </c>
      <c r="AE18">
        <f t="shared" si="1"/>
        <v>19</v>
      </c>
    </row>
    <row r="19" spans="2:31" x14ac:dyDescent="0.25">
      <c r="B19" s="12">
        <v>17</v>
      </c>
      <c r="C19" s="33" t="s">
        <v>444</v>
      </c>
      <c r="D19" s="14">
        <v>10.199999999999999</v>
      </c>
      <c r="E19" s="14">
        <v>71</v>
      </c>
      <c r="F19" s="14">
        <v>121</v>
      </c>
      <c r="G19" s="14">
        <v>200</v>
      </c>
      <c r="H19" s="14">
        <v>12.9</v>
      </c>
      <c r="I19" s="14">
        <v>246</v>
      </c>
      <c r="J19" s="14"/>
      <c r="K19" s="14">
        <v>100</v>
      </c>
      <c r="L19" s="14">
        <v>591</v>
      </c>
      <c r="M19" s="14">
        <v>81</v>
      </c>
      <c r="N19" s="14">
        <v>72</v>
      </c>
      <c r="O19" s="14">
        <v>49</v>
      </c>
      <c r="P19" s="14">
        <v>80</v>
      </c>
      <c r="Q19" s="14">
        <v>82</v>
      </c>
      <c r="R19" s="14">
        <v>40</v>
      </c>
      <c r="S19" s="14"/>
      <c r="T19" s="14">
        <v>15</v>
      </c>
      <c r="U19" s="14">
        <v>360</v>
      </c>
      <c r="V19" s="14">
        <v>50</v>
      </c>
      <c r="W19" s="14">
        <v>16</v>
      </c>
      <c r="X19" s="14">
        <v>2.8</v>
      </c>
      <c r="Y19" s="14">
        <v>2</v>
      </c>
      <c r="Z19" s="14">
        <v>30</v>
      </c>
      <c r="AA19" s="14">
        <v>1.5</v>
      </c>
      <c r="AB19" s="14"/>
      <c r="AD19">
        <f t="shared" si="0"/>
        <v>937</v>
      </c>
      <c r="AE19">
        <f t="shared" si="1"/>
        <v>63</v>
      </c>
    </row>
    <row r="20" spans="2:31" x14ac:dyDescent="0.25">
      <c r="B20" s="15">
        <v>18</v>
      </c>
      <c r="C20" s="34" t="s">
        <v>445</v>
      </c>
      <c r="D20" s="17">
        <v>10.199999999999999</v>
      </c>
      <c r="E20" s="17">
        <v>72</v>
      </c>
      <c r="F20" s="17">
        <v>89</v>
      </c>
      <c r="G20" s="17">
        <v>170</v>
      </c>
      <c r="H20" s="17">
        <v>12.7</v>
      </c>
      <c r="I20" s="17">
        <v>214</v>
      </c>
      <c r="J20" s="17"/>
      <c r="K20" s="17">
        <v>100</v>
      </c>
      <c r="L20" s="17">
        <v>638</v>
      </c>
      <c r="M20" s="17">
        <v>79</v>
      </c>
      <c r="N20" s="17">
        <v>72</v>
      </c>
      <c r="O20" s="17">
        <v>49</v>
      </c>
      <c r="P20" s="17">
        <v>80</v>
      </c>
      <c r="Q20" s="17">
        <v>82</v>
      </c>
      <c r="R20" s="17">
        <v>40</v>
      </c>
      <c r="S20" s="17"/>
      <c r="T20" s="17">
        <v>15</v>
      </c>
      <c r="U20" s="17">
        <v>360</v>
      </c>
      <c r="V20" s="17">
        <v>50</v>
      </c>
      <c r="W20" s="17">
        <v>16</v>
      </c>
      <c r="X20" s="17">
        <v>2.8</v>
      </c>
      <c r="Y20" s="17">
        <v>2</v>
      </c>
      <c r="Z20" s="17">
        <v>30</v>
      </c>
      <c r="AA20" s="17">
        <v>1.5</v>
      </c>
      <c r="AB20" s="17"/>
      <c r="AD20">
        <f t="shared" si="0"/>
        <v>952</v>
      </c>
      <c r="AE20">
        <f t="shared" si="1"/>
        <v>48</v>
      </c>
    </row>
    <row r="21" spans="2:31" x14ac:dyDescent="0.25">
      <c r="B21" s="12">
        <v>19</v>
      </c>
      <c r="C21" s="33" t="s">
        <v>446</v>
      </c>
      <c r="D21" s="14">
        <v>10.9</v>
      </c>
      <c r="E21" s="14">
        <v>71</v>
      </c>
      <c r="F21" s="14">
        <v>22</v>
      </c>
      <c r="G21" s="14">
        <v>105</v>
      </c>
      <c r="H21" s="14">
        <v>13</v>
      </c>
      <c r="I21" s="14">
        <v>145</v>
      </c>
      <c r="J21" s="14">
        <v>286</v>
      </c>
      <c r="K21" s="14">
        <v>76</v>
      </c>
      <c r="L21" s="14">
        <v>710</v>
      </c>
      <c r="M21" s="14">
        <v>72</v>
      </c>
      <c r="N21" s="14">
        <v>74</v>
      </c>
      <c r="O21" s="14">
        <v>54</v>
      </c>
      <c r="P21" s="14">
        <v>80</v>
      </c>
      <c r="Q21" s="14">
        <v>82</v>
      </c>
      <c r="R21" s="14">
        <v>66.900000000000006</v>
      </c>
      <c r="S21" s="14"/>
      <c r="T21" s="14">
        <v>69</v>
      </c>
      <c r="U21" s="14">
        <v>530</v>
      </c>
      <c r="V21" s="14"/>
      <c r="W21" s="14">
        <v>6</v>
      </c>
      <c r="X21" s="14">
        <v>2.8</v>
      </c>
      <c r="Y21" s="14">
        <v>1.8</v>
      </c>
      <c r="Z21" s="14">
        <v>24</v>
      </c>
      <c r="AA21" s="14"/>
      <c r="AB21" s="14"/>
      <c r="AD21">
        <f t="shared" si="0"/>
        <v>931</v>
      </c>
      <c r="AE21">
        <f t="shared" si="1"/>
        <v>69</v>
      </c>
    </row>
    <row r="22" spans="2:31" x14ac:dyDescent="0.25">
      <c r="B22" s="15">
        <v>20</v>
      </c>
      <c r="C22" s="34" t="s">
        <v>447</v>
      </c>
      <c r="D22" s="17">
        <v>11.7</v>
      </c>
      <c r="E22" s="17">
        <v>73</v>
      </c>
      <c r="F22" s="17">
        <v>31</v>
      </c>
      <c r="G22" s="17">
        <v>117</v>
      </c>
      <c r="H22" s="17">
        <v>13.7</v>
      </c>
      <c r="I22" s="17">
        <v>158</v>
      </c>
      <c r="J22" s="17">
        <v>251</v>
      </c>
      <c r="K22" s="17">
        <v>75</v>
      </c>
      <c r="L22" s="17">
        <v>691</v>
      </c>
      <c r="M22" s="17">
        <v>74</v>
      </c>
      <c r="N22" s="17">
        <v>77</v>
      </c>
      <c r="O22" s="17">
        <v>59</v>
      </c>
      <c r="P22" s="17">
        <v>80</v>
      </c>
      <c r="Q22" s="17">
        <v>82</v>
      </c>
      <c r="R22" s="17">
        <v>104</v>
      </c>
      <c r="S22" s="17"/>
      <c r="T22" s="17"/>
      <c r="U22" s="17">
        <v>495</v>
      </c>
      <c r="V22" s="17"/>
      <c r="W22" s="17">
        <v>5.5</v>
      </c>
      <c r="X22" s="17">
        <v>2.8</v>
      </c>
      <c r="Y22" s="17">
        <v>1.8</v>
      </c>
      <c r="Z22" s="17">
        <v>24.5</v>
      </c>
      <c r="AA22" s="17"/>
      <c r="AB22" s="17"/>
      <c r="AD22">
        <f t="shared" si="0"/>
        <v>924</v>
      </c>
      <c r="AE22">
        <f t="shared" si="1"/>
        <v>76</v>
      </c>
    </row>
    <row r="23" spans="2:31" x14ac:dyDescent="0.25">
      <c r="B23" s="12">
        <v>21</v>
      </c>
      <c r="C23" s="33" t="s">
        <v>448</v>
      </c>
      <c r="D23" s="14">
        <v>8</v>
      </c>
      <c r="E23" s="14">
        <v>62</v>
      </c>
      <c r="F23" s="14">
        <v>-1</v>
      </c>
      <c r="G23" s="14">
        <v>68</v>
      </c>
      <c r="H23" s="14">
        <v>10.1</v>
      </c>
      <c r="I23" s="14">
        <v>106</v>
      </c>
      <c r="J23" s="14"/>
      <c r="K23" s="14">
        <v>77</v>
      </c>
      <c r="L23" s="14">
        <v>768</v>
      </c>
      <c r="M23" s="14">
        <v>64</v>
      </c>
      <c r="N23" s="14">
        <v>63</v>
      </c>
      <c r="O23" s="14">
        <v>34</v>
      </c>
      <c r="P23" s="14">
        <v>80</v>
      </c>
      <c r="Q23" s="14">
        <v>82</v>
      </c>
      <c r="R23" s="14">
        <v>126</v>
      </c>
      <c r="S23" s="14"/>
      <c r="T23" s="14"/>
      <c r="U23" s="14">
        <v>625</v>
      </c>
      <c r="V23" s="14"/>
      <c r="W23" s="14">
        <v>6.4</v>
      </c>
      <c r="X23" s="14">
        <v>2.2999999999999998</v>
      </c>
      <c r="Y23" s="14">
        <v>1.7</v>
      </c>
      <c r="Z23" s="14">
        <v>17</v>
      </c>
      <c r="AA23" s="14"/>
      <c r="AB23" s="14"/>
      <c r="AD23">
        <f t="shared" si="0"/>
        <v>951</v>
      </c>
      <c r="AE23">
        <f t="shared" si="1"/>
        <v>49</v>
      </c>
    </row>
    <row r="24" spans="2:31" x14ac:dyDescent="0.25">
      <c r="B24" s="15">
        <v>22</v>
      </c>
      <c r="C24" s="34" t="s">
        <v>449</v>
      </c>
      <c r="D24" s="17">
        <v>9.1999999999999993</v>
      </c>
      <c r="E24" s="17">
        <v>66</v>
      </c>
      <c r="F24" s="17">
        <v>6</v>
      </c>
      <c r="G24" s="17">
        <v>81</v>
      </c>
      <c r="H24" s="17">
        <v>11.4</v>
      </c>
      <c r="I24" s="17">
        <v>120</v>
      </c>
      <c r="J24" s="17">
        <v>328</v>
      </c>
      <c r="K24" s="17">
        <v>72</v>
      </c>
      <c r="L24" s="17">
        <v>747</v>
      </c>
      <c r="M24" s="17">
        <v>68</v>
      </c>
      <c r="N24" s="17">
        <v>67</v>
      </c>
      <c r="O24" s="17">
        <v>42</v>
      </c>
      <c r="P24" s="17">
        <v>80</v>
      </c>
      <c r="Q24" s="17">
        <v>82</v>
      </c>
      <c r="R24" s="17">
        <v>26</v>
      </c>
      <c r="S24" s="17"/>
      <c r="T24" s="17">
        <v>272</v>
      </c>
      <c r="U24" s="17">
        <v>599</v>
      </c>
      <c r="V24" s="17"/>
      <c r="W24" s="17">
        <v>6.8</v>
      </c>
      <c r="X24" s="17">
        <v>2.5</v>
      </c>
      <c r="Y24" s="17">
        <v>1.8</v>
      </c>
      <c r="Z24" s="17">
        <v>21</v>
      </c>
      <c r="AA24" s="17"/>
      <c r="AB24" s="17"/>
      <c r="AD24">
        <f t="shared" si="0"/>
        <v>939</v>
      </c>
      <c r="AE24">
        <f t="shared" si="1"/>
        <v>61</v>
      </c>
    </row>
    <row r="25" spans="2:31" x14ac:dyDescent="0.25">
      <c r="B25" s="12">
        <v>23</v>
      </c>
      <c r="C25" s="33" t="s">
        <v>450</v>
      </c>
      <c r="D25" s="14">
        <v>10.1</v>
      </c>
      <c r="E25" s="14">
        <v>69</v>
      </c>
      <c r="F25" s="14">
        <v>14</v>
      </c>
      <c r="G25" s="14">
        <v>94</v>
      </c>
      <c r="H25" s="14">
        <v>12.2</v>
      </c>
      <c r="I25" s="14">
        <v>133</v>
      </c>
      <c r="J25" s="14">
        <v>302</v>
      </c>
      <c r="K25" s="14">
        <v>78</v>
      </c>
      <c r="L25" s="14">
        <v>728</v>
      </c>
      <c r="M25" s="14">
        <v>70</v>
      </c>
      <c r="N25" s="14">
        <v>71</v>
      </c>
      <c r="O25" s="14">
        <v>48</v>
      </c>
      <c r="P25" s="14">
        <v>80</v>
      </c>
      <c r="Q25" s="14">
        <v>82</v>
      </c>
      <c r="R25" s="14">
        <v>48.1</v>
      </c>
      <c r="S25" s="14"/>
      <c r="T25" s="14">
        <v>85.5</v>
      </c>
      <c r="U25" s="14">
        <v>569</v>
      </c>
      <c r="V25" s="14"/>
      <c r="W25" s="14">
        <v>6.3</v>
      </c>
      <c r="X25" s="14">
        <v>2.7</v>
      </c>
      <c r="Y25" s="14">
        <v>1.8</v>
      </c>
      <c r="Z25" s="14">
        <v>23.4</v>
      </c>
      <c r="AA25" s="14"/>
      <c r="AB25" s="14"/>
      <c r="AD25">
        <f t="shared" si="0"/>
        <v>939</v>
      </c>
      <c r="AE25">
        <f t="shared" si="1"/>
        <v>61</v>
      </c>
    </row>
    <row r="26" spans="2:31" x14ac:dyDescent="0.25">
      <c r="B26" s="15">
        <v>24</v>
      </c>
      <c r="C26" s="34" t="s">
        <v>451</v>
      </c>
      <c r="D26" s="17">
        <v>10.3</v>
      </c>
      <c r="E26" s="17">
        <v>70</v>
      </c>
      <c r="F26" s="17">
        <v>12</v>
      </c>
      <c r="G26" s="17">
        <v>93</v>
      </c>
      <c r="H26" s="17">
        <v>12.4</v>
      </c>
      <c r="I26" s="17">
        <v>132</v>
      </c>
      <c r="J26" s="17">
        <v>296</v>
      </c>
      <c r="K26" s="17">
        <v>73</v>
      </c>
      <c r="L26" s="17">
        <v>729</v>
      </c>
      <c r="M26" s="17">
        <v>70</v>
      </c>
      <c r="N26" s="17">
        <v>71</v>
      </c>
      <c r="O26" s="17">
        <v>50</v>
      </c>
      <c r="P26" s="17">
        <v>80</v>
      </c>
      <c r="Q26" s="17">
        <v>82</v>
      </c>
      <c r="R26" s="17">
        <v>55.8</v>
      </c>
      <c r="S26" s="17"/>
      <c r="T26" s="17">
        <v>41</v>
      </c>
      <c r="U26" s="17">
        <v>563</v>
      </c>
      <c r="V26" s="17"/>
      <c r="W26" s="17">
        <v>6.3</v>
      </c>
      <c r="X26" s="17">
        <v>2.6</v>
      </c>
      <c r="Y26" s="17">
        <v>1.8</v>
      </c>
      <c r="Z26" s="17">
        <v>20</v>
      </c>
      <c r="AA26" s="17"/>
      <c r="AB26" s="17"/>
      <c r="AD26">
        <f t="shared" si="0"/>
        <v>934</v>
      </c>
      <c r="AE26">
        <f t="shared" si="1"/>
        <v>66</v>
      </c>
    </row>
    <row r="27" spans="2:31" x14ac:dyDescent="0.25">
      <c r="B27" s="12">
        <v>25</v>
      </c>
      <c r="C27" s="33" t="s">
        <v>452</v>
      </c>
      <c r="D27" s="14">
        <v>10.3</v>
      </c>
      <c r="E27" s="14">
        <v>70</v>
      </c>
      <c r="F27" s="14">
        <v>17</v>
      </c>
      <c r="G27" s="14">
        <v>97</v>
      </c>
      <c r="H27" s="14">
        <v>12.4</v>
      </c>
      <c r="I27" s="14">
        <v>137</v>
      </c>
      <c r="J27" s="14">
        <v>298</v>
      </c>
      <c r="K27" s="14">
        <v>80</v>
      </c>
      <c r="L27" s="14">
        <v>722</v>
      </c>
      <c r="M27" s="14">
        <v>71</v>
      </c>
      <c r="N27" s="14">
        <v>71</v>
      </c>
      <c r="O27" s="14">
        <v>50</v>
      </c>
      <c r="P27" s="14">
        <v>80</v>
      </c>
      <c r="Q27" s="14">
        <v>82</v>
      </c>
      <c r="R27" s="14">
        <v>41.8</v>
      </c>
      <c r="S27" s="14"/>
      <c r="T27" s="14">
        <v>124</v>
      </c>
      <c r="U27" s="14">
        <v>558</v>
      </c>
      <c r="V27" s="14"/>
      <c r="W27" s="14">
        <v>5.8</v>
      </c>
      <c r="X27" s="14">
        <v>2.7</v>
      </c>
      <c r="Y27" s="14">
        <v>1.8</v>
      </c>
      <c r="Z27" s="14">
        <v>23.9</v>
      </c>
      <c r="AA27" s="14"/>
      <c r="AB27" s="14"/>
      <c r="AD27">
        <f t="shared" si="0"/>
        <v>939</v>
      </c>
      <c r="AE27">
        <f t="shared" si="1"/>
        <v>61</v>
      </c>
    </row>
    <row r="28" spans="2:31" x14ac:dyDescent="0.25">
      <c r="B28" s="15">
        <v>26</v>
      </c>
      <c r="C28" s="34" t="s">
        <v>453</v>
      </c>
      <c r="D28" s="17">
        <v>10.1</v>
      </c>
      <c r="E28" s="17">
        <v>69</v>
      </c>
      <c r="F28" s="17">
        <v>21</v>
      </c>
      <c r="G28" s="17">
        <v>100</v>
      </c>
      <c r="H28" s="17">
        <v>12.3</v>
      </c>
      <c r="I28" s="17">
        <v>140</v>
      </c>
      <c r="J28" s="17">
        <v>289</v>
      </c>
      <c r="K28" s="17">
        <v>83</v>
      </c>
      <c r="L28" s="17">
        <v>718</v>
      </c>
      <c r="M28" s="17">
        <v>72</v>
      </c>
      <c r="N28" s="17">
        <v>71</v>
      </c>
      <c r="O28" s="17">
        <v>48</v>
      </c>
      <c r="P28" s="17">
        <v>80</v>
      </c>
      <c r="Q28" s="17">
        <v>82</v>
      </c>
      <c r="R28" s="17">
        <v>28.6</v>
      </c>
      <c r="S28" s="17"/>
      <c r="T28" s="17"/>
      <c r="U28" s="17">
        <v>538</v>
      </c>
      <c r="V28" s="17"/>
      <c r="W28" s="17">
        <v>7.8</v>
      </c>
      <c r="X28" s="17">
        <v>2.7</v>
      </c>
      <c r="Y28" s="17">
        <v>2</v>
      </c>
      <c r="Z28" s="17">
        <v>23.8</v>
      </c>
      <c r="AA28" s="17"/>
      <c r="AB28" s="17"/>
      <c r="AD28">
        <f t="shared" si="0"/>
        <v>941</v>
      </c>
      <c r="AE28">
        <f t="shared" si="1"/>
        <v>59</v>
      </c>
    </row>
    <row r="29" spans="2:31" x14ac:dyDescent="0.25">
      <c r="B29" s="12">
        <v>27</v>
      </c>
      <c r="C29" s="33" t="s">
        <v>454</v>
      </c>
      <c r="D29" s="14">
        <v>10.199999999999999</v>
      </c>
      <c r="E29" s="14">
        <v>69</v>
      </c>
      <c r="F29" s="14">
        <v>14</v>
      </c>
      <c r="G29" s="14">
        <v>94</v>
      </c>
      <c r="H29" s="14">
        <v>12.3</v>
      </c>
      <c r="I29" s="14">
        <v>134</v>
      </c>
      <c r="J29" s="14">
        <v>262</v>
      </c>
      <c r="K29" s="14">
        <v>76</v>
      </c>
      <c r="L29" s="14">
        <v>727</v>
      </c>
      <c r="M29" s="14">
        <v>70</v>
      </c>
      <c r="N29" s="14">
        <v>71</v>
      </c>
      <c r="O29" s="14">
        <v>49</v>
      </c>
      <c r="P29" s="14">
        <v>80</v>
      </c>
      <c r="Q29" s="14">
        <v>82</v>
      </c>
      <c r="R29" s="14">
        <v>98.7</v>
      </c>
      <c r="S29" s="14"/>
      <c r="T29" s="14"/>
      <c r="U29" s="14">
        <v>544</v>
      </c>
      <c r="V29" s="14"/>
      <c r="W29" s="14">
        <v>7.7</v>
      </c>
      <c r="X29" s="14">
        <v>2.6</v>
      </c>
      <c r="Y29" s="14">
        <v>2</v>
      </c>
      <c r="Z29" s="14">
        <v>19.399999999999999</v>
      </c>
      <c r="AA29" s="14"/>
      <c r="AB29" s="14"/>
      <c r="AD29">
        <f t="shared" si="0"/>
        <v>937</v>
      </c>
      <c r="AE29">
        <f t="shared" si="1"/>
        <v>63</v>
      </c>
    </row>
    <row r="30" spans="2:31" x14ac:dyDescent="0.25">
      <c r="B30" s="15">
        <v>28</v>
      </c>
      <c r="C30" s="34" t="s">
        <v>455</v>
      </c>
      <c r="D30" s="17">
        <v>10.1</v>
      </c>
      <c r="E30" s="17">
        <v>69</v>
      </c>
      <c r="F30" s="17">
        <v>23</v>
      </c>
      <c r="G30" s="17">
        <v>102</v>
      </c>
      <c r="H30" s="17">
        <v>12.3</v>
      </c>
      <c r="I30" s="17">
        <v>142</v>
      </c>
      <c r="J30" s="17">
        <v>293</v>
      </c>
      <c r="K30" s="17">
        <v>88</v>
      </c>
      <c r="L30" s="17">
        <v>714</v>
      </c>
      <c r="M30" s="17">
        <v>72</v>
      </c>
      <c r="N30" s="17">
        <v>71</v>
      </c>
      <c r="O30" s="17">
        <v>48</v>
      </c>
      <c r="P30" s="17">
        <v>80</v>
      </c>
      <c r="Q30" s="17">
        <v>82</v>
      </c>
      <c r="R30" s="17">
        <v>13.8</v>
      </c>
      <c r="S30" s="17"/>
      <c r="T30" s="17"/>
      <c r="U30" s="17">
        <v>537</v>
      </c>
      <c r="V30" s="17"/>
      <c r="W30" s="17">
        <v>7.7</v>
      </c>
      <c r="X30" s="17">
        <v>2.7</v>
      </c>
      <c r="Y30" s="17">
        <v>1.9</v>
      </c>
      <c r="Z30" s="17">
        <v>24.6</v>
      </c>
      <c r="AA30" s="17"/>
      <c r="AB30" s="17"/>
      <c r="AD30">
        <f t="shared" si="0"/>
        <v>944</v>
      </c>
      <c r="AE30">
        <f t="shared" si="1"/>
        <v>56</v>
      </c>
    </row>
    <row r="31" spans="2:31" x14ac:dyDescent="0.25">
      <c r="B31" s="12">
        <v>29</v>
      </c>
      <c r="C31" s="33" t="s">
        <v>456</v>
      </c>
      <c r="D31" s="14">
        <v>10.199999999999999</v>
      </c>
      <c r="E31" s="14">
        <v>69</v>
      </c>
      <c r="F31" s="14">
        <v>14</v>
      </c>
      <c r="G31" s="14">
        <v>94</v>
      </c>
      <c r="H31" s="14">
        <v>12.3</v>
      </c>
      <c r="I31" s="14">
        <v>134</v>
      </c>
      <c r="J31" s="14">
        <v>297</v>
      </c>
      <c r="K31" s="14">
        <v>74</v>
      </c>
      <c r="L31" s="14">
        <v>727</v>
      </c>
      <c r="M31" s="14">
        <v>70</v>
      </c>
      <c r="N31" s="14">
        <v>71</v>
      </c>
      <c r="O31" s="14">
        <v>49</v>
      </c>
      <c r="P31" s="14">
        <v>80</v>
      </c>
      <c r="Q31" s="14">
        <v>82</v>
      </c>
      <c r="R31" s="14">
        <v>47</v>
      </c>
      <c r="S31" s="14"/>
      <c r="T31" s="14">
        <v>96.6</v>
      </c>
      <c r="U31" s="14">
        <v>573</v>
      </c>
      <c r="V31" s="14"/>
      <c r="W31" s="14">
        <v>6</v>
      </c>
      <c r="X31" s="14">
        <v>2.7</v>
      </c>
      <c r="Y31" s="14">
        <v>1.8</v>
      </c>
      <c r="Z31" s="14">
        <v>22</v>
      </c>
      <c r="AA31" s="14"/>
      <c r="AB31" s="14"/>
      <c r="AD31">
        <f t="shared" si="0"/>
        <v>935</v>
      </c>
      <c r="AE31">
        <f t="shared" si="1"/>
        <v>65</v>
      </c>
    </row>
    <row r="32" spans="2:31" x14ac:dyDescent="0.25">
      <c r="B32" s="15">
        <v>30</v>
      </c>
      <c r="C32" s="34" t="s">
        <v>457</v>
      </c>
      <c r="D32" s="17">
        <v>9.9</v>
      </c>
      <c r="E32" s="17">
        <v>68</v>
      </c>
      <c r="F32" s="17">
        <v>99</v>
      </c>
      <c r="G32" s="17">
        <v>173</v>
      </c>
      <c r="H32" s="17">
        <v>12.5</v>
      </c>
      <c r="I32" s="17">
        <v>218</v>
      </c>
      <c r="J32" s="17"/>
      <c r="K32" s="17">
        <v>83</v>
      </c>
      <c r="L32" s="17">
        <v>640</v>
      </c>
      <c r="M32" s="17">
        <v>80</v>
      </c>
      <c r="N32" s="17">
        <v>70</v>
      </c>
      <c r="O32" s="17">
        <v>47</v>
      </c>
      <c r="P32" s="17">
        <v>80</v>
      </c>
      <c r="Q32" s="17">
        <v>82</v>
      </c>
      <c r="R32" s="17"/>
      <c r="S32" s="17"/>
      <c r="T32" s="17"/>
      <c r="U32" s="17">
        <v>409</v>
      </c>
      <c r="V32" s="17">
        <v>38</v>
      </c>
      <c r="W32" s="17">
        <v>13</v>
      </c>
      <c r="X32" s="17">
        <v>3</v>
      </c>
      <c r="Y32" s="17">
        <v>2.4</v>
      </c>
      <c r="Z32" s="17">
        <v>22</v>
      </c>
      <c r="AA32" s="17">
        <v>0.6</v>
      </c>
      <c r="AB32" s="17"/>
      <c r="AD32">
        <f t="shared" si="0"/>
        <v>941</v>
      </c>
      <c r="AE32">
        <f t="shared" si="1"/>
        <v>59</v>
      </c>
    </row>
    <row r="33" spans="2:31" x14ac:dyDescent="0.25">
      <c r="B33" s="12">
        <v>31</v>
      </c>
      <c r="C33" s="33" t="s">
        <v>458</v>
      </c>
      <c r="D33" s="14">
        <v>9.1</v>
      </c>
      <c r="E33" s="14">
        <v>66</v>
      </c>
      <c r="F33" s="14">
        <v>-19</v>
      </c>
      <c r="G33" s="14">
        <v>56</v>
      </c>
      <c r="H33" s="14">
        <v>11.1</v>
      </c>
      <c r="I33" s="14">
        <v>93.5</v>
      </c>
      <c r="J33" s="14">
        <v>317</v>
      </c>
      <c r="K33" s="14">
        <v>62</v>
      </c>
      <c r="L33" s="14">
        <v>813</v>
      </c>
      <c r="M33" s="14">
        <v>60</v>
      </c>
      <c r="N33" s="14">
        <v>64</v>
      </c>
      <c r="O33" s="14">
        <v>41</v>
      </c>
      <c r="P33" s="14">
        <v>80</v>
      </c>
      <c r="Q33" s="14">
        <v>82</v>
      </c>
      <c r="R33" s="14">
        <v>142</v>
      </c>
      <c r="S33" s="14"/>
      <c r="T33" s="14"/>
      <c r="U33" s="14">
        <v>652</v>
      </c>
      <c r="V33" s="14"/>
      <c r="W33" s="14">
        <v>3.7</v>
      </c>
      <c r="X33" s="14">
        <v>2.1</v>
      </c>
      <c r="Y33" s="14">
        <v>1.2</v>
      </c>
      <c r="Z33" s="14">
        <v>18.100000000000001</v>
      </c>
      <c r="AA33" s="14"/>
      <c r="AB33" s="14"/>
      <c r="AD33" s="23">
        <f t="shared" si="0"/>
        <v>968.5</v>
      </c>
      <c r="AE33" s="23">
        <f t="shared" si="1"/>
        <v>31.5</v>
      </c>
    </row>
    <row r="34" spans="2:31" x14ac:dyDescent="0.25">
      <c r="B34" s="15">
        <v>32</v>
      </c>
      <c r="C34" s="34" t="s">
        <v>459</v>
      </c>
      <c r="D34" s="17">
        <v>9.3000000000000007</v>
      </c>
      <c r="E34" s="17">
        <v>67</v>
      </c>
      <c r="F34" s="17">
        <v>-19</v>
      </c>
      <c r="G34" s="17">
        <v>58</v>
      </c>
      <c r="H34" s="17">
        <v>11.3</v>
      </c>
      <c r="I34" s="17">
        <v>95.5</v>
      </c>
      <c r="J34" s="17">
        <v>330</v>
      </c>
      <c r="K34" s="17">
        <v>59</v>
      </c>
      <c r="L34" s="17">
        <v>811</v>
      </c>
      <c r="M34" s="17">
        <v>61</v>
      </c>
      <c r="N34" s="17">
        <v>66</v>
      </c>
      <c r="O34" s="17">
        <v>43</v>
      </c>
      <c r="P34" s="17">
        <v>80</v>
      </c>
      <c r="Q34" s="17">
        <v>82</v>
      </c>
      <c r="R34" s="17">
        <v>144</v>
      </c>
      <c r="S34" s="17"/>
      <c r="T34" s="17"/>
      <c r="U34" s="17">
        <v>616</v>
      </c>
      <c r="V34" s="17"/>
      <c r="W34" s="17">
        <v>4.3</v>
      </c>
      <c r="X34" s="17">
        <v>2.1</v>
      </c>
      <c r="Y34" s="17">
        <v>1.4</v>
      </c>
      <c r="Z34" s="17">
        <v>16.399999999999999</v>
      </c>
      <c r="AA34" s="17"/>
      <c r="AB34" s="17"/>
      <c r="AD34" s="23">
        <f t="shared" si="0"/>
        <v>965.5</v>
      </c>
      <c r="AE34" s="23">
        <f t="shared" si="1"/>
        <v>34.5</v>
      </c>
    </row>
    <row r="35" spans="2:31" x14ac:dyDescent="0.25">
      <c r="B35" s="12">
        <v>33</v>
      </c>
      <c r="C35" s="33" t="s">
        <v>460</v>
      </c>
      <c r="D35" s="14">
        <v>9.1999999999999993</v>
      </c>
      <c r="E35" s="14">
        <v>66</v>
      </c>
      <c r="F35" s="14">
        <v>-18</v>
      </c>
      <c r="G35" s="14">
        <v>58</v>
      </c>
      <c r="H35" s="14">
        <v>11.2</v>
      </c>
      <c r="I35" s="14">
        <v>95.3</v>
      </c>
      <c r="J35" s="14">
        <v>271</v>
      </c>
      <c r="K35" s="14">
        <v>60</v>
      </c>
      <c r="L35" s="14">
        <v>811</v>
      </c>
      <c r="M35" s="14">
        <v>61</v>
      </c>
      <c r="N35" s="14">
        <v>65</v>
      </c>
      <c r="O35" s="14">
        <v>42</v>
      </c>
      <c r="P35" s="14">
        <v>80</v>
      </c>
      <c r="Q35" s="14">
        <v>82</v>
      </c>
      <c r="R35" s="14">
        <v>133</v>
      </c>
      <c r="S35" s="14"/>
      <c r="T35" s="14"/>
      <c r="U35" s="14">
        <v>656</v>
      </c>
      <c r="V35" s="14"/>
      <c r="W35" s="14">
        <v>3.7</v>
      </c>
      <c r="X35" s="14">
        <v>2.1</v>
      </c>
      <c r="Y35" s="14">
        <v>1.2</v>
      </c>
      <c r="Z35" s="14">
        <v>19</v>
      </c>
      <c r="AA35" s="14"/>
      <c r="AB35" s="14"/>
      <c r="AD35" s="23">
        <f t="shared" si="0"/>
        <v>966.3</v>
      </c>
      <c r="AE35" s="23">
        <f t="shared" si="1"/>
        <v>33.700000000000045</v>
      </c>
    </row>
    <row r="36" spans="2:31" x14ac:dyDescent="0.25">
      <c r="B36" s="15">
        <v>34</v>
      </c>
      <c r="C36" s="34" t="s">
        <v>461</v>
      </c>
      <c r="D36" s="17">
        <v>9.4</v>
      </c>
      <c r="E36" s="17">
        <v>67</v>
      </c>
      <c r="F36" s="17">
        <v>79</v>
      </c>
      <c r="G36" s="17">
        <v>153</v>
      </c>
      <c r="H36" s="17">
        <v>12</v>
      </c>
      <c r="I36" s="17">
        <v>196</v>
      </c>
      <c r="J36" s="17"/>
      <c r="K36" s="17">
        <v>100</v>
      </c>
      <c r="L36" s="17">
        <v>636</v>
      </c>
      <c r="M36" s="17">
        <v>78</v>
      </c>
      <c r="N36" s="17">
        <v>68</v>
      </c>
      <c r="O36" s="17">
        <v>43</v>
      </c>
      <c r="P36" s="17">
        <v>80</v>
      </c>
      <c r="Q36" s="17">
        <v>82</v>
      </c>
      <c r="R36" s="17"/>
      <c r="S36" s="17">
        <v>90</v>
      </c>
      <c r="T36" s="17"/>
      <c r="U36" s="17">
        <v>370</v>
      </c>
      <c r="V36" s="17">
        <v>72</v>
      </c>
      <c r="W36" s="17"/>
      <c r="X36" s="17"/>
      <c r="Y36" s="17"/>
      <c r="Z36" s="17"/>
      <c r="AA36" s="17"/>
      <c r="AB36" s="17"/>
      <c r="AD36">
        <f t="shared" si="0"/>
        <v>932</v>
      </c>
      <c r="AE36">
        <f t="shared" si="1"/>
        <v>68</v>
      </c>
    </row>
    <row r="37" spans="2:31" x14ac:dyDescent="0.25">
      <c r="B37" s="12">
        <v>35</v>
      </c>
      <c r="C37" s="33" t="s">
        <v>462</v>
      </c>
      <c r="D37" s="14">
        <v>10.199999999999999</v>
      </c>
      <c r="E37" s="14">
        <v>72</v>
      </c>
      <c r="F37" s="14">
        <v>89</v>
      </c>
      <c r="G37" s="14">
        <v>170</v>
      </c>
      <c r="H37" s="14">
        <v>12.7</v>
      </c>
      <c r="I37" s="14">
        <v>214</v>
      </c>
      <c r="J37" s="14"/>
      <c r="K37" s="14">
        <v>90</v>
      </c>
      <c r="L37" s="14">
        <v>638</v>
      </c>
      <c r="M37" s="14">
        <v>79</v>
      </c>
      <c r="N37" s="14">
        <v>72</v>
      </c>
      <c r="O37" s="14">
        <v>49</v>
      </c>
      <c r="P37" s="14">
        <v>80</v>
      </c>
      <c r="Q37" s="14">
        <v>82</v>
      </c>
      <c r="R37" s="14">
        <v>65</v>
      </c>
      <c r="S37" s="14">
        <v>120</v>
      </c>
      <c r="T37" s="14">
        <v>25</v>
      </c>
      <c r="U37" s="14">
        <v>430</v>
      </c>
      <c r="V37" s="14">
        <v>70</v>
      </c>
      <c r="W37" s="14">
        <v>15</v>
      </c>
      <c r="X37" s="14">
        <v>3</v>
      </c>
      <c r="Y37" s="14">
        <v>2.8</v>
      </c>
      <c r="Z37" s="14">
        <v>25</v>
      </c>
      <c r="AA37" s="14">
        <v>0.4</v>
      </c>
      <c r="AB37" s="14"/>
      <c r="AD37">
        <f t="shared" si="0"/>
        <v>942</v>
      </c>
      <c r="AE37">
        <f t="shared" si="1"/>
        <v>58</v>
      </c>
    </row>
    <row r="38" spans="2:31" x14ac:dyDescent="0.25">
      <c r="B38" s="15">
        <v>36</v>
      </c>
      <c r="C38" s="34" t="s">
        <v>463</v>
      </c>
      <c r="D38" s="17">
        <v>10.199999999999999</v>
      </c>
      <c r="E38" s="17">
        <v>72</v>
      </c>
      <c r="F38" s="17">
        <v>69</v>
      </c>
      <c r="G38" s="17">
        <v>150</v>
      </c>
      <c r="H38" s="17">
        <v>12.6</v>
      </c>
      <c r="I38" s="17">
        <v>193</v>
      </c>
      <c r="J38" s="17"/>
      <c r="K38" s="17">
        <v>90</v>
      </c>
      <c r="L38" s="17">
        <v>668</v>
      </c>
      <c r="M38" s="17">
        <v>78</v>
      </c>
      <c r="N38" s="17">
        <v>72</v>
      </c>
      <c r="O38" s="17">
        <v>49</v>
      </c>
      <c r="P38" s="17">
        <v>80</v>
      </c>
      <c r="Q38" s="17">
        <v>82</v>
      </c>
      <c r="R38" s="17">
        <v>65</v>
      </c>
      <c r="S38" s="17">
        <v>120</v>
      </c>
      <c r="T38" s="17">
        <v>25</v>
      </c>
      <c r="U38" s="17">
        <v>430</v>
      </c>
      <c r="V38" s="17">
        <v>70</v>
      </c>
      <c r="W38" s="17">
        <v>15</v>
      </c>
      <c r="X38" s="17">
        <v>3</v>
      </c>
      <c r="Y38" s="17">
        <v>2.8</v>
      </c>
      <c r="Z38" s="17">
        <v>25</v>
      </c>
      <c r="AA38" s="17">
        <v>0.4</v>
      </c>
      <c r="AB38" s="17"/>
      <c r="AD38">
        <f t="shared" si="0"/>
        <v>951</v>
      </c>
      <c r="AE38">
        <f t="shared" si="1"/>
        <v>49</v>
      </c>
    </row>
    <row r="39" spans="2:31" x14ac:dyDescent="0.25">
      <c r="B39" s="12">
        <v>37</v>
      </c>
      <c r="C39" s="33" t="s">
        <v>464</v>
      </c>
      <c r="D39" s="14">
        <v>9.8000000000000007</v>
      </c>
      <c r="E39" s="14">
        <v>70</v>
      </c>
      <c r="F39" s="14">
        <v>51</v>
      </c>
      <c r="G39" s="14">
        <v>130</v>
      </c>
      <c r="H39" s="14">
        <v>12.2</v>
      </c>
      <c r="I39" s="14">
        <v>172</v>
      </c>
      <c r="J39" s="14"/>
      <c r="K39" s="14">
        <v>90</v>
      </c>
      <c r="L39" s="14">
        <v>699</v>
      </c>
      <c r="M39" s="14">
        <v>76</v>
      </c>
      <c r="N39" s="14">
        <v>69</v>
      </c>
      <c r="O39" s="14">
        <v>46</v>
      </c>
      <c r="P39" s="14">
        <v>80</v>
      </c>
      <c r="Q39" s="14">
        <v>82</v>
      </c>
      <c r="R39" s="14">
        <v>65</v>
      </c>
      <c r="S39" s="14"/>
      <c r="T39" s="14">
        <v>25</v>
      </c>
      <c r="U39" s="14">
        <v>460</v>
      </c>
      <c r="V39" s="14">
        <v>80</v>
      </c>
      <c r="W39" s="14">
        <v>15</v>
      </c>
      <c r="X39" s="14">
        <v>3</v>
      </c>
      <c r="Y39" s="14">
        <v>2.8</v>
      </c>
      <c r="Z39" s="14">
        <v>25</v>
      </c>
      <c r="AA39" s="14">
        <v>0.4</v>
      </c>
      <c r="AB39" s="14"/>
      <c r="AD39">
        <f t="shared" si="0"/>
        <v>961</v>
      </c>
      <c r="AE39">
        <f t="shared" si="1"/>
        <v>39</v>
      </c>
    </row>
    <row r="40" spans="2:31" x14ac:dyDescent="0.25">
      <c r="B40" s="15">
        <v>38</v>
      </c>
      <c r="C40" s="34" t="s">
        <v>465</v>
      </c>
      <c r="D40" s="17">
        <v>9.8000000000000007</v>
      </c>
      <c r="E40" s="17">
        <v>70</v>
      </c>
      <c r="F40" s="17">
        <v>31</v>
      </c>
      <c r="G40" s="17">
        <v>110</v>
      </c>
      <c r="H40" s="17">
        <v>12.1</v>
      </c>
      <c r="I40" s="17">
        <v>151</v>
      </c>
      <c r="J40" s="17"/>
      <c r="K40" s="17">
        <v>90</v>
      </c>
      <c r="L40" s="17">
        <v>730</v>
      </c>
      <c r="M40" s="17">
        <v>73</v>
      </c>
      <c r="N40" s="17">
        <v>69</v>
      </c>
      <c r="O40" s="17">
        <v>46</v>
      </c>
      <c r="P40" s="17">
        <v>80</v>
      </c>
      <c r="Q40" s="17">
        <v>82</v>
      </c>
      <c r="R40" s="17">
        <v>65</v>
      </c>
      <c r="S40" s="17"/>
      <c r="T40" s="17">
        <v>25</v>
      </c>
      <c r="U40" s="17">
        <v>460</v>
      </c>
      <c r="V40" s="17">
        <v>80</v>
      </c>
      <c r="W40" s="17">
        <v>15</v>
      </c>
      <c r="X40" s="17">
        <v>3</v>
      </c>
      <c r="Y40" s="17">
        <v>2.8</v>
      </c>
      <c r="Z40" s="17">
        <v>25</v>
      </c>
      <c r="AA40" s="17">
        <v>0.4</v>
      </c>
      <c r="AB40" s="17"/>
      <c r="AD40">
        <f t="shared" si="0"/>
        <v>971</v>
      </c>
      <c r="AE40">
        <f t="shared" si="1"/>
        <v>29</v>
      </c>
    </row>
    <row r="41" spans="2:31" x14ac:dyDescent="0.25">
      <c r="B41" s="12">
        <v>39</v>
      </c>
      <c r="C41" s="33" t="s">
        <v>466</v>
      </c>
      <c r="D41" s="14">
        <v>10.7</v>
      </c>
      <c r="E41" s="14">
        <v>74</v>
      </c>
      <c r="F41" s="14">
        <v>96</v>
      </c>
      <c r="G41" s="14">
        <v>180</v>
      </c>
      <c r="H41" s="14">
        <v>13.1</v>
      </c>
      <c r="I41" s="14">
        <v>225</v>
      </c>
      <c r="J41" s="14"/>
      <c r="K41" s="14">
        <v>90</v>
      </c>
      <c r="L41" s="14">
        <v>622</v>
      </c>
      <c r="M41" s="14">
        <v>80</v>
      </c>
      <c r="N41" s="14">
        <v>75</v>
      </c>
      <c r="O41" s="14">
        <v>52</v>
      </c>
      <c r="P41" s="14">
        <v>80</v>
      </c>
      <c r="Q41" s="14">
        <v>82</v>
      </c>
      <c r="R41" s="14">
        <v>65</v>
      </c>
      <c r="S41" s="14"/>
      <c r="T41" s="14">
        <v>25</v>
      </c>
      <c r="U41" s="14">
        <v>400</v>
      </c>
      <c r="V41" s="14">
        <v>40</v>
      </c>
      <c r="W41" s="14">
        <v>15</v>
      </c>
      <c r="X41" s="14">
        <v>3</v>
      </c>
      <c r="Y41" s="14">
        <v>2.8</v>
      </c>
      <c r="Z41" s="14">
        <v>25</v>
      </c>
      <c r="AA41" s="14">
        <v>0.4</v>
      </c>
      <c r="AB41" s="14"/>
      <c r="AD41">
        <f t="shared" si="0"/>
        <v>937</v>
      </c>
      <c r="AE41">
        <f t="shared" si="1"/>
        <v>63</v>
      </c>
    </row>
    <row r="42" spans="2:31" x14ac:dyDescent="0.25">
      <c r="B42" s="15">
        <v>40</v>
      </c>
      <c r="C42" s="34" t="s">
        <v>467</v>
      </c>
      <c r="D42" s="17">
        <v>10.7</v>
      </c>
      <c r="E42" s="17">
        <v>73</v>
      </c>
      <c r="F42" s="17">
        <v>128</v>
      </c>
      <c r="G42" s="17">
        <v>210</v>
      </c>
      <c r="H42" s="17">
        <v>13.2</v>
      </c>
      <c r="I42" s="17">
        <v>257</v>
      </c>
      <c r="J42" s="17"/>
      <c r="K42" s="17">
        <v>90</v>
      </c>
      <c r="L42" s="17">
        <v>575</v>
      </c>
      <c r="M42" s="17">
        <v>82</v>
      </c>
      <c r="N42" s="17">
        <v>75</v>
      </c>
      <c r="O42" s="17">
        <v>52</v>
      </c>
      <c r="P42" s="17">
        <v>80</v>
      </c>
      <c r="Q42" s="17">
        <v>82</v>
      </c>
      <c r="R42" s="17">
        <v>65</v>
      </c>
      <c r="S42" s="17"/>
      <c r="T42" s="17">
        <v>25</v>
      </c>
      <c r="U42" s="17">
        <v>400</v>
      </c>
      <c r="V42" s="17">
        <v>40</v>
      </c>
      <c r="W42" s="17">
        <v>15</v>
      </c>
      <c r="X42" s="17">
        <v>3</v>
      </c>
      <c r="Y42" s="17">
        <v>2.8</v>
      </c>
      <c r="Z42" s="17">
        <v>25</v>
      </c>
      <c r="AA42" s="17">
        <v>0.4</v>
      </c>
      <c r="AB42" s="17"/>
      <c r="AD42">
        <f t="shared" si="0"/>
        <v>922</v>
      </c>
      <c r="AE42">
        <f t="shared" si="1"/>
        <v>78</v>
      </c>
    </row>
    <row r="43" spans="2:31" x14ac:dyDescent="0.25">
      <c r="B43" s="12">
        <v>41</v>
      </c>
      <c r="C43" s="33" t="s">
        <v>468</v>
      </c>
      <c r="D43" s="14">
        <v>9.9</v>
      </c>
      <c r="E43" s="14">
        <v>70</v>
      </c>
      <c r="F43" s="14">
        <v>92</v>
      </c>
      <c r="G43" s="14">
        <v>170</v>
      </c>
      <c r="H43" s="14">
        <v>12.5</v>
      </c>
      <c r="I43" s="14">
        <v>214</v>
      </c>
      <c r="J43" s="14"/>
      <c r="K43" s="14">
        <v>90</v>
      </c>
      <c r="L43" s="14">
        <v>638</v>
      </c>
      <c r="M43" s="14">
        <v>79</v>
      </c>
      <c r="N43" s="14">
        <v>70</v>
      </c>
      <c r="O43" s="14">
        <v>47</v>
      </c>
      <c r="P43" s="14">
        <v>80</v>
      </c>
      <c r="Q43" s="14">
        <v>82</v>
      </c>
      <c r="R43" s="14">
        <v>65</v>
      </c>
      <c r="S43" s="14"/>
      <c r="T43" s="14">
        <v>25</v>
      </c>
      <c r="U43" s="14">
        <v>430</v>
      </c>
      <c r="V43" s="14">
        <v>70</v>
      </c>
      <c r="W43" s="14">
        <v>15</v>
      </c>
      <c r="X43" s="14">
        <v>3</v>
      </c>
      <c r="Y43" s="14">
        <v>2.8</v>
      </c>
      <c r="Z43" s="14">
        <v>25</v>
      </c>
      <c r="AA43" s="14">
        <v>0.4</v>
      </c>
      <c r="AB43" s="14"/>
      <c r="AD43">
        <f t="shared" si="0"/>
        <v>942</v>
      </c>
      <c r="AE43">
        <f t="shared" si="1"/>
        <v>58</v>
      </c>
    </row>
    <row r="44" spans="2:31" x14ac:dyDescent="0.25">
      <c r="B44" s="15">
        <v>42</v>
      </c>
      <c r="C44" s="34" t="s">
        <v>469</v>
      </c>
      <c r="D44" s="17">
        <v>9.9</v>
      </c>
      <c r="E44" s="17">
        <v>70</v>
      </c>
      <c r="F44" s="17">
        <v>71</v>
      </c>
      <c r="G44" s="17">
        <v>150</v>
      </c>
      <c r="H44" s="17">
        <v>12.4</v>
      </c>
      <c r="I44" s="17">
        <v>193</v>
      </c>
      <c r="J44" s="17"/>
      <c r="K44" s="17">
        <v>90</v>
      </c>
      <c r="L44" s="17">
        <v>668</v>
      </c>
      <c r="M44" s="17">
        <v>78</v>
      </c>
      <c r="N44" s="17">
        <v>70</v>
      </c>
      <c r="O44" s="17">
        <v>47</v>
      </c>
      <c r="P44" s="17">
        <v>80</v>
      </c>
      <c r="Q44" s="17">
        <v>82</v>
      </c>
      <c r="R44" s="17">
        <v>65</v>
      </c>
      <c r="S44" s="17"/>
      <c r="T44" s="17">
        <v>25</v>
      </c>
      <c r="U44" s="17">
        <v>430</v>
      </c>
      <c r="V44" s="17">
        <v>70</v>
      </c>
      <c r="W44" s="17">
        <v>15</v>
      </c>
      <c r="X44" s="17">
        <v>3</v>
      </c>
      <c r="Y44" s="17">
        <v>2.8</v>
      </c>
      <c r="Z44" s="17">
        <v>25</v>
      </c>
      <c r="AA44" s="17">
        <v>0.4</v>
      </c>
      <c r="AB44" s="17"/>
      <c r="AD44">
        <f t="shared" si="0"/>
        <v>951</v>
      </c>
      <c r="AE44">
        <f t="shared" si="1"/>
        <v>49</v>
      </c>
    </row>
    <row r="45" spans="2:31" x14ac:dyDescent="0.25">
      <c r="B45" s="12">
        <v>43</v>
      </c>
      <c r="C45" s="33" t="s">
        <v>470</v>
      </c>
      <c r="D45" s="14">
        <v>9.5</v>
      </c>
      <c r="E45" s="14">
        <v>68</v>
      </c>
      <c r="F45" s="14">
        <v>64</v>
      </c>
      <c r="G45" s="14">
        <v>140</v>
      </c>
      <c r="H45" s="14">
        <v>12</v>
      </c>
      <c r="I45" s="14">
        <v>182</v>
      </c>
      <c r="J45" s="14"/>
      <c r="K45" s="14">
        <v>90</v>
      </c>
      <c r="L45" s="14">
        <v>684</v>
      </c>
      <c r="M45" s="14">
        <v>77</v>
      </c>
      <c r="N45" s="14">
        <v>67</v>
      </c>
      <c r="O45" s="14">
        <v>44</v>
      </c>
      <c r="P45" s="14">
        <v>80</v>
      </c>
      <c r="Q45" s="14">
        <v>82</v>
      </c>
      <c r="R45" s="14">
        <v>65</v>
      </c>
      <c r="S45" s="14"/>
      <c r="T45" s="14">
        <v>25</v>
      </c>
      <c r="U45" s="14">
        <v>460</v>
      </c>
      <c r="V45" s="14">
        <v>80</v>
      </c>
      <c r="W45" s="14">
        <v>15</v>
      </c>
      <c r="X45" s="14">
        <v>3</v>
      </c>
      <c r="Y45" s="14">
        <v>2.8</v>
      </c>
      <c r="Z45" s="14">
        <v>25</v>
      </c>
      <c r="AA45" s="14">
        <v>0.4</v>
      </c>
      <c r="AB45" s="14"/>
      <c r="AD45">
        <f t="shared" si="0"/>
        <v>956</v>
      </c>
      <c r="AE45">
        <f t="shared" si="1"/>
        <v>44</v>
      </c>
    </row>
    <row r="46" spans="2:31" x14ac:dyDescent="0.25">
      <c r="B46" s="15">
        <v>44</v>
      </c>
      <c r="C46" s="34" t="s">
        <v>471</v>
      </c>
      <c r="D46" s="17">
        <v>9.3000000000000007</v>
      </c>
      <c r="E46" s="17">
        <v>67</v>
      </c>
      <c r="F46" s="17">
        <v>45</v>
      </c>
      <c r="G46" s="17">
        <v>120</v>
      </c>
      <c r="H46" s="17">
        <v>11.7</v>
      </c>
      <c r="I46" s="17">
        <v>161</v>
      </c>
      <c r="J46" s="17"/>
      <c r="K46" s="17">
        <v>90</v>
      </c>
      <c r="L46" s="17">
        <v>715</v>
      </c>
      <c r="M46" s="17">
        <v>74</v>
      </c>
      <c r="N46" s="17">
        <v>66</v>
      </c>
      <c r="O46" s="17">
        <v>43</v>
      </c>
      <c r="P46" s="17">
        <v>80</v>
      </c>
      <c r="Q46" s="17">
        <v>82</v>
      </c>
      <c r="R46" s="17">
        <v>65</v>
      </c>
      <c r="S46" s="17"/>
      <c r="T46" s="17">
        <v>25</v>
      </c>
      <c r="U46" s="17">
        <v>460</v>
      </c>
      <c r="V46" s="17">
        <v>80</v>
      </c>
      <c r="W46" s="17">
        <v>15</v>
      </c>
      <c r="X46" s="17">
        <v>3</v>
      </c>
      <c r="Y46" s="17">
        <v>2.8</v>
      </c>
      <c r="Z46" s="17">
        <v>25</v>
      </c>
      <c r="AA46" s="17">
        <v>0.4</v>
      </c>
      <c r="AB46" s="17"/>
      <c r="AD46">
        <f t="shared" si="0"/>
        <v>966</v>
      </c>
      <c r="AE46">
        <f t="shared" si="1"/>
        <v>34</v>
      </c>
    </row>
    <row r="47" spans="2:31" x14ac:dyDescent="0.25">
      <c r="B47" s="12">
        <v>45</v>
      </c>
      <c r="C47" s="33" t="s">
        <v>472</v>
      </c>
      <c r="D47" s="14">
        <v>10.4</v>
      </c>
      <c r="E47" s="14">
        <v>72</v>
      </c>
      <c r="F47" s="14">
        <v>130</v>
      </c>
      <c r="G47" s="14">
        <v>210</v>
      </c>
      <c r="H47" s="14">
        <v>13</v>
      </c>
      <c r="I47" s="14">
        <v>257</v>
      </c>
      <c r="J47" s="14"/>
      <c r="K47" s="14">
        <v>90</v>
      </c>
      <c r="L47" s="14">
        <v>575</v>
      </c>
      <c r="M47" s="14">
        <v>82</v>
      </c>
      <c r="N47" s="14">
        <v>73</v>
      </c>
      <c r="O47" s="14">
        <v>50</v>
      </c>
      <c r="P47" s="14">
        <v>80</v>
      </c>
      <c r="Q47" s="14">
        <v>82</v>
      </c>
      <c r="R47" s="14">
        <v>65</v>
      </c>
      <c r="S47" s="14"/>
      <c r="T47" s="14">
        <v>25</v>
      </c>
      <c r="U47" s="14">
        <v>400</v>
      </c>
      <c r="V47" s="14">
        <v>40</v>
      </c>
      <c r="W47" s="14">
        <v>15</v>
      </c>
      <c r="X47" s="14">
        <v>3</v>
      </c>
      <c r="Y47" s="14">
        <v>2.8</v>
      </c>
      <c r="Z47" s="14">
        <v>25</v>
      </c>
      <c r="AA47" s="14">
        <v>0.4</v>
      </c>
      <c r="AB47" s="14"/>
      <c r="AD47">
        <f t="shared" si="0"/>
        <v>922</v>
      </c>
      <c r="AE47">
        <f t="shared" si="1"/>
        <v>78</v>
      </c>
    </row>
    <row r="48" spans="2:31" x14ac:dyDescent="0.25">
      <c r="B48" s="15">
        <v>46</v>
      </c>
      <c r="C48" s="34" t="s">
        <v>473</v>
      </c>
      <c r="D48" s="17">
        <v>10.4</v>
      </c>
      <c r="E48" s="17">
        <v>72</v>
      </c>
      <c r="F48" s="17">
        <v>99</v>
      </c>
      <c r="G48" s="17">
        <v>180</v>
      </c>
      <c r="H48" s="17">
        <v>12.9</v>
      </c>
      <c r="I48" s="17">
        <v>225</v>
      </c>
      <c r="J48" s="17"/>
      <c r="K48" s="17">
        <v>90</v>
      </c>
      <c r="L48" s="17">
        <v>622</v>
      </c>
      <c r="M48" s="17">
        <v>80</v>
      </c>
      <c r="N48" s="17">
        <v>73</v>
      </c>
      <c r="O48" s="17">
        <v>50</v>
      </c>
      <c r="P48" s="17">
        <v>80</v>
      </c>
      <c r="Q48" s="17">
        <v>82</v>
      </c>
      <c r="R48" s="17">
        <v>65</v>
      </c>
      <c r="S48" s="17"/>
      <c r="T48" s="17">
        <v>25</v>
      </c>
      <c r="U48" s="17">
        <v>400</v>
      </c>
      <c r="V48" s="17">
        <v>40</v>
      </c>
      <c r="W48" s="17">
        <v>15</v>
      </c>
      <c r="X48" s="17">
        <v>3</v>
      </c>
      <c r="Y48" s="17">
        <v>2.8</v>
      </c>
      <c r="Z48" s="17">
        <v>25</v>
      </c>
      <c r="AA48" s="17">
        <v>0.4</v>
      </c>
      <c r="AB48" s="17"/>
      <c r="AD48">
        <f t="shared" si="0"/>
        <v>937</v>
      </c>
      <c r="AE48">
        <f t="shared" si="1"/>
        <v>63</v>
      </c>
    </row>
    <row r="49" spans="2:31" x14ac:dyDescent="0.25">
      <c r="B49" s="12">
        <v>47</v>
      </c>
      <c r="C49" s="33" t="s">
        <v>474</v>
      </c>
      <c r="D49" s="14">
        <v>10.199999999999999</v>
      </c>
      <c r="E49" s="14">
        <v>72</v>
      </c>
      <c r="F49" s="14">
        <v>26</v>
      </c>
      <c r="G49" s="14">
        <v>110</v>
      </c>
      <c r="H49" s="14">
        <v>12.4</v>
      </c>
      <c r="I49" s="14">
        <v>150</v>
      </c>
      <c r="J49" s="14"/>
      <c r="K49" s="14">
        <v>80</v>
      </c>
      <c r="L49" s="14">
        <v>731</v>
      </c>
      <c r="M49" s="14">
        <v>73</v>
      </c>
      <c r="N49" s="14">
        <v>72</v>
      </c>
      <c r="O49" s="14">
        <v>49</v>
      </c>
      <c r="P49" s="14">
        <v>80</v>
      </c>
      <c r="Q49" s="14">
        <v>82</v>
      </c>
      <c r="R49" s="14">
        <v>110</v>
      </c>
      <c r="S49" s="14">
        <v>32</v>
      </c>
      <c r="T49" s="14">
        <v>0</v>
      </c>
      <c r="U49" s="14">
        <v>610</v>
      </c>
      <c r="V49" s="14">
        <v>40</v>
      </c>
      <c r="W49" s="14">
        <v>6</v>
      </c>
      <c r="X49" s="14">
        <v>3.5</v>
      </c>
      <c r="Y49" s="14">
        <v>1.4</v>
      </c>
      <c r="Z49" s="14">
        <v>27</v>
      </c>
      <c r="AA49" s="14">
        <v>1.5</v>
      </c>
      <c r="AB49" s="14"/>
      <c r="AD49">
        <f t="shared" si="0"/>
        <v>961</v>
      </c>
      <c r="AE49">
        <f t="shared" si="1"/>
        <v>39</v>
      </c>
    </row>
    <row r="50" spans="2:31" x14ac:dyDescent="0.25">
      <c r="B50" s="15">
        <v>48</v>
      </c>
      <c r="C50" s="34" t="s">
        <v>475</v>
      </c>
      <c r="D50" s="17">
        <v>10.199999999999999</v>
      </c>
      <c r="E50" s="17">
        <v>72</v>
      </c>
      <c r="F50" s="17">
        <v>-15</v>
      </c>
      <c r="G50" s="17">
        <v>70</v>
      </c>
      <c r="H50" s="17">
        <v>12.2</v>
      </c>
      <c r="I50" s="17">
        <v>108</v>
      </c>
      <c r="J50" s="17"/>
      <c r="K50" s="17">
        <v>80</v>
      </c>
      <c r="L50" s="17">
        <v>792</v>
      </c>
      <c r="M50" s="17">
        <v>65</v>
      </c>
      <c r="N50" s="17">
        <v>72</v>
      </c>
      <c r="O50" s="17">
        <v>49</v>
      </c>
      <c r="P50" s="17">
        <v>80</v>
      </c>
      <c r="Q50" s="17">
        <v>82</v>
      </c>
      <c r="R50" s="17">
        <v>110</v>
      </c>
      <c r="S50" s="17">
        <v>32</v>
      </c>
      <c r="T50" s="17">
        <v>0</v>
      </c>
      <c r="U50" s="17">
        <v>610</v>
      </c>
      <c r="V50" s="17">
        <v>40</v>
      </c>
      <c r="W50" s="17">
        <v>6</v>
      </c>
      <c r="X50" s="17">
        <v>3.5</v>
      </c>
      <c r="Y50" s="17">
        <v>1.4</v>
      </c>
      <c r="Z50" s="17">
        <v>27</v>
      </c>
      <c r="AA50" s="17">
        <v>1.5</v>
      </c>
      <c r="AB50" s="17"/>
      <c r="AD50">
        <f t="shared" si="0"/>
        <v>980</v>
      </c>
      <c r="AE50">
        <f t="shared" si="1"/>
        <v>20</v>
      </c>
    </row>
    <row r="51" spans="2:31" x14ac:dyDescent="0.25">
      <c r="B51" s="12">
        <v>49</v>
      </c>
      <c r="C51" s="33" t="s">
        <v>476</v>
      </c>
      <c r="D51" s="14">
        <v>9.5</v>
      </c>
      <c r="E51" s="14">
        <v>68</v>
      </c>
      <c r="F51" s="14">
        <v>-9</v>
      </c>
      <c r="G51" s="14">
        <v>70</v>
      </c>
      <c r="H51" s="14">
        <v>11.6</v>
      </c>
      <c r="I51" s="14">
        <v>108</v>
      </c>
      <c r="J51" s="14"/>
      <c r="K51" s="14">
        <v>80</v>
      </c>
      <c r="L51" s="14">
        <v>792</v>
      </c>
      <c r="M51" s="14">
        <v>65</v>
      </c>
      <c r="N51" s="14">
        <v>67</v>
      </c>
      <c r="O51" s="14">
        <v>44</v>
      </c>
      <c r="P51" s="14">
        <v>80</v>
      </c>
      <c r="Q51" s="14">
        <v>82</v>
      </c>
      <c r="R51" s="14">
        <v>110</v>
      </c>
      <c r="S51" s="14"/>
      <c r="T51" s="14">
        <v>0</v>
      </c>
      <c r="U51" s="14">
        <v>670</v>
      </c>
      <c r="V51" s="14">
        <v>50</v>
      </c>
      <c r="W51" s="14">
        <v>6</v>
      </c>
      <c r="X51" s="14">
        <v>3.5</v>
      </c>
      <c r="Y51" s="14">
        <v>1.4</v>
      </c>
      <c r="Z51" s="14">
        <v>27</v>
      </c>
      <c r="AA51" s="14">
        <v>1.5</v>
      </c>
      <c r="AB51" s="14"/>
      <c r="AD51">
        <f t="shared" si="0"/>
        <v>980</v>
      </c>
      <c r="AE51">
        <f t="shared" si="1"/>
        <v>20</v>
      </c>
    </row>
    <row r="52" spans="2:31" x14ac:dyDescent="0.25">
      <c r="B52" s="15">
        <v>50</v>
      </c>
      <c r="C52" s="34" t="s">
        <v>477</v>
      </c>
      <c r="D52" s="17">
        <v>9.5</v>
      </c>
      <c r="E52" s="17">
        <v>68</v>
      </c>
      <c r="F52" s="17">
        <v>-40</v>
      </c>
      <c r="G52" s="17">
        <v>40</v>
      </c>
      <c r="H52" s="17">
        <v>11.4</v>
      </c>
      <c r="I52" s="17">
        <v>76</v>
      </c>
      <c r="J52" s="17"/>
      <c r="K52" s="17">
        <v>80</v>
      </c>
      <c r="L52" s="17">
        <v>839</v>
      </c>
      <c r="M52" s="17">
        <v>53</v>
      </c>
      <c r="N52" s="17">
        <v>67</v>
      </c>
      <c r="O52" s="17">
        <v>44</v>
      </c>
      <c r="P52" s="17">
        <v>80</v>
      </c>
      <c r="Q52" s="17">
        <v>82</v>
      </c>
      <c r="R52" s="17">
        <v>110</v>
      </c>
      <c r="S52" s="17"/>
      <c r="T52" s="17">
        <v>0</v>
      </c>
      <c r="U52" s="17">
        <v>670</v>
      </c>
      <c r="V52" s="17">
        <v>50</v>
      </c>
      <c r="W52" s="17">
        <v>6</v>
      </c>
      <c r="X52" s="17">
        <v>3.5</v>
      </c>
      <c r="Y52" s="17">
        <v>1.4</v>
      </c>
      <c r="Z52" s="17">
        <v>27</v>
      </c>
      <c r="AA52" s="17">
        <v>1.5</v>
      </c>
      <c r="AB52" s="17"/>
      <c r="AD52">
        <f t="shared" si="0"/>
        <v>995</v>
      </c>
      <c r="AE52">
        <f t="shared" si="1"/>
        <v>5</v>
      </c>
    </row>
    <row r="53" spans="2:31" x14ac:dyDescent="0.25">
      <c r="B53" s="12">
        <v>51</v>
      </c>
      <c r="C53" s="33" t="s">
        <v>478</v>
      </c>
      <c r="D53" s="14">
        <v>11</v>
      </c>
      <c r="E53" s="14">
        <v>76</v>
      </c>
      <c r="F53" s="14">
        <v>19</v>
      </c>
      <c r="G53" s="14">
        <v>110</v>
      </c>
      <c r="H53" s="14">
        <v>13.1</v>
      </c>
      <c r="I53" s="14">
        <v>150</v>
      </c>
      <c r="J53" s="14"/>
      <c r="K53" s="14">
        <v>80</v>
      </c>
      <c r="L53" s="14">
        <v>731</v>
      </c>
      <c r="M53" s="14">
        <v>73</v>
      </c>
      <c r="N53" s="14">
        <v>77</v>
      </c>
      <c r="O53" s="14">
        <v>54</v>
      </c>
      <c r="P53" s="14">
        <v>80</v>
      </c>
      <c r="Q53" s="14">
        <v>82</v>
      </c>
      <c r="R53" s="14">
        <v>110</v>
      </c>
      <c r="S53" s="14"/>
      <c r="T53" s="14">
        <v>0</v>
      </c>
      <c r="U53" s="14">
        <v>550</v>
      </c>
      <c r="V53" s="14">
        <v>30</v>
      </c>
      <c r="W53" s="14">
        <v>6</v>
      </c>
      <c r="X53" s="14">
        <v>3.5</v>
      </c>
      <c r="Y53" s="14">
        <v>1.4</v>
      </c>
      <c r="Z53" s="14">
        <v>27</v>
      </c>
      <c r="AA53" s="14">
        <v>1.5</v>
      </c>
      <c r="AB53" s="14"/>
      <c r="AD53">
        <f t="shared" si="0"/>
        <v>961</v>
      </c>
      <c r="AE53">
        <f t="shared" si="1"/>
        <v>39</v>
      </c>
    </row>
    <row r="54" spans="2:31" x14ac:dyDescent="0.25">
      <c r="B54" s="15">
        <v>52</v>
      </c>
      <c r="C54" s="34" t="s">
        <v>479</v>
      </c>
      <c r="D54" s="17">
        <v>11</v>
      </c>
      <c r="E54" s="17">
        <v>76</v>
      </c>
      <c r="F54" s="17">
        <v>62</v>
      </c>
      <c r="G54" s="17">
        <v>150</v>
      </c>
      <c r="H54" s="17">
        <v>13.2</v>
      </c>
      <c r="I54" s="17">
        <v>193</v>
      </c>
      <c r="J54" s="17"/>
      <c r="K54" s="17">
        <v>80</v>
      </c>
      <c r="L54" s="17">
        <v>668</v>
      </c>
      <c r="M54" s="17">
        <v>78</v>
      </c>
      <c r="N54" s="17">
        <v>77</v>
      </c>
      <c r="O54" s="17">
        <v>54</v>
      </c>
      <c r="P54" s="17">
        <v>80</v>
      </c>
      <c r="Q54" s="17">
        <v>82</v>
      </c>
      <c r="R54" s="17">
        <v>110</v>
      </c>
      <c r="S54" s="17"/>
      <c r="T54" s="17">
        <v>0</v>
      </c>
      <c r="U54" s="17">
        <v>550</v>
      </c>
      <c r="V54" s="17">
        <v>30</v>
      </c>
      <c r="W54" s="17">
        <v>6</v>
      </c>
      <c r="X54" s="17">
        <v>3.5</v>
      </c>
      <c r="Y54" s="17">
        <v>1.4</v>
      </c>
      <c r="Z54" s="17">
        <v>27</v>
      </c>
      <c r="AA54" s="17">
        <v>1.5</v>
      </c>
      <c r="AB54" s="17"/>
      <c r="AD54">
        <f t="shared" si="0"/>
        <v>941</v>
      </c>
      <c r="AE54">
        <f t="shared" si="1"/>
        <v>59</v>
      </c>
    </row>
    <row r="55" spans="2:31" x14ac:dyDescent="0.25">
      <c r="B55" s="12">
        <v>53</v>
      </c>
      <c r="C55" s="33" t="s">
        <v>480</v>
      </c>
      <c r="D55" s="14">
        <v>10.6</v>
      </c>
      <c r="E55" s="14">
        <v>74</v>
      </c>
      <c r="F55" s="14">
        <v>23</v>
      </c>
      <c r="G55" s="14">
        <v>110</v>
      </c>
      <c r="H55" s="14">
        <v>12.8</v>
      </c>
      <c r="I55" s="14">
        <v>150</v>
      </c>
      <c r="J55" s="14"/>
      <c r="K55" s="14">
        <v>80</v>
      </c>
      <c r="L55" s="14">
        <v>731</v>
      </c>
      <c r="M55" s="14">
        <v>73</v>
      </c>
      <c r="N55" s="14">
        <v>74</v>
      </c>
      <c r="O55" s="14">
        <v>52</v>
      </c>
      <c r="P55" s="14">
        <v>80</v>
      </c>
      <c r="Q55" s="14">
        <v>82</v>
      </c>
      <c r="R55" s="14">
        <v>110</v>
      </c>
      <c r="S55" s="14"/>
      <c r="T55" s="14">
        <v>0</v>
      </c>
      <c r="U55" s="14">
        <v>610</v>
      </c>
      <c r="V55" s="14">
        <v>40</v>
      </c>
      <c r="W55" s="14">
        <v>6</v>
      </c>
      <c r="X55" s="14">
        <v>3.5</v>
      </c>
      <c r="Y55" s="14">
        <v>1.4</v>
      </c>
      <c r="Z55" s="14">
        <v>27</v>
      </c>
      <c r="AA55" s="14">
        <v>1.5</v>
      </c>
      <c r="AB55" s="14"/>
      <c r="AD55">
        <f t="shared" si="0"/>
        <v>961</v>
      </c>
      <c r="AE55">
        <f t="shared" si="1"/>
        <v>39</v>
      </c>
    </row>
    <row r="56" spans="2:31" x14ac:dyDescent="0.25">
      <c r="B56" s="15">
        <v>54</v>
      </c>
      <c r="C56" s="34" t="s">
        <v>481</v>
      </c>
      <c r="D56" s="17">
        <v>10.6</v>
      </c>
      <c r="E56" s="17">
        <v>74</v>
      </c>
      <c r="F56" s="17">
        <v>-19</v>
      </c>
      <c r="G56" s="17">
        <v>70</v>
      </c>
      <c r="H56" s="17">
        <v>12.6</v>
      </c>
      <c r="I56" s="17">
        <v>108</v>
      </c>
      <c r="J56" s="17"/>
      <c r="K56" s="17">
        <v>80</v>
      </c>
      <c r="L56" s="17">
        <v>792</v>
      </c>
      <c r="M56" s="17">
        <v>65</v>
      </c>
      <c r="N56" s="17">
        <v>74</v>
      </c>
      <c r="O56" s="17">
        <v>52</v>
      </c>
      <c r="P56" s="17">
        <v>80</v>
      </c>
      <c r="Q56" s="17">
        <v>82</v>
      </c>
      <c r="R56" s="17">
        <v>110</v>
      </c>
      <c r="S56" s="17"/>
      <c r="T56" s="17">
        <v>0</v>
      </c>
      <c r="U56" s="17">
        <v>610</v>
      </c>
      <c r="V56" s="17">
        <v>40</v>
      </c>
      <c r="W56" s="17">
        <v>6</v>
      </c>
      <c r="X56" s="17">
        <v>3.5</v>
      </c>
      <c r="Y56" s="17">
        <v>1.4</v>
      </c>
      <c r="Z56" s="17">
        <v>27</v>
      </c>
      <c r="AA56" s="17">
        <v>1.5</v>
      </c>
      <c r="AB56" s="17"/>
      <c r="AD56">
        <f t="shared" si="0"/>
        <v>980</v>
      </c>
      <c r="AE56">
        <f t="shared" si="1"/>
        <v>20</v>
      </c>
    </row>
    <row r="57" spans="2:31" x14ac:dyDescent="0.25">
      <c r="B57" s="12">
        <v>55</v>
      </c>
      <c r="C57" s="33" t="s">
        <v>482</v>
      </c>
      <c r="D57" s="14">
        <v>10.199999999999999</v>
      </c>
      <c r="E57" s="14">
        <v>72</v>
      </c>
      <c r="F57" s="14">
        <v>-15</v>
      </c>
      <c r="G57" s="14">
        <v>70</v>
      </c>
      <c r="H57" s="14">
        <v>12.2</v>
      </c>
      <c r="I57" s="14">
        <v>108</v>
      </c>
      <c r="J57" s="14"/>
      <c r="K57" s="14">
        <v>80</v>
      </c>
      <c r="L57" s="14">
        <v>792</v>
      </c>
      <c r="M57" s="14">
        <v>65</v>
      </c>
      <c r="N57" s="14">
        <v>72</v>
      </c>
      <c r="O57" s="14">
        <v>49</v>
      </c>
      <c r="P57" s="14">
        <v>80</v>
      </c>
      <c r="Q57" s="14">
        <v>82</v>
      </c>
      <c r="R57" s="14">
        <v>110</v>
      </c>
      <c r="S57" s="14"/>
      <c r="T57" s="14">
        <v>0</v>
      </c>
      <c r="U57" s="14">
        <v>670</v>
      </c>
      <c r="V57" s="14">
        <v>50</v>
      </c>
      <c r="W57" s="14">
        <v>6</v>
      </c>
      <c r="X57" s="14">
        <v>3.5</v>
      </c>
      <c r="Y57" s="14">
        <v>1.4</v>
      </c>
      <c r="Z57" s="14">
        <v>27</v>
      </c>
      <c r="AA57" s="14">
        <v>1.5</v>
      </c>
      <c r="AB57" s="14"/>
      <c r="AD57">
        <f t="shared" si="0"/>
        <v>980</v>
      </c>
      <c r="AE57">
        <f t="shared" si="1"/>
        <v>20</v>
      </c>
    </row>
    <row r="58" spans="2:31" x14ac:dyDescent="0.25">
      <c r="B58" s="15">
        <v>56</v>
      </c>
      <c r="C58" s="34" t="s">
        <v>483</v>
      </c>
      <c r="D58" s="17">
        <v>10.199999999999999</v>
      </c>
      <c r="E58" s="17">
        <v>72</v>
      </c>
      <c r="F58" s="17">
        <v>-47</v>
      </c>
      <c r="G58" s="17">
        <v>40</v>
      </c>
      <c r="H58" s="17">
        <v>12.1</v>
      </c>
      <c r="I58" s="17">
        <v>76</v>
      </c>
      <c r="J58" s="17"/>
      <c r="K58" s="17">
        <v>80</v>
      </c>
      <c r="L58" s="17">
        <v>839</v>
      </c>
      <c r="M58" s="17">
        <v>53</v>
      </c>
      <c r="N58" s="17">
        <v>72</v>
      </c>
      <c r="O58" s="17">
        <v>49</v>
      </c>
      <c r="P58" s="17">
        <v>80</v>
      </c>
      <c r="Q58" s="17">
        <v>82</v>
      </c>
      <c r="R58" s="17">
        <v>110</v>
      </c>
      <c r="S58" s="17"/>
      <c r="T58" s="17">
        <v>0</v>
      </c>
      <c r="U58" s="17">
        <v>670</v>
      </c>
      <c r="V58" s="17">
        <v>50</v>
      </c>
      <c r="W58" s="17">
        <v>6</v>
      </c>
      <c r="X58" s="17">
        <v>3.5</v>
      </c>
      <c r="Y58" s="17">
        <v>1.4</v>
      </c>
      <c r="Z58" s="17">
        <v>27</v>
      </c>
      <c r="AA58" s="17">
        <v>1.5</v>
      </c>
      <c r="AB58" s="17"/>
      <c r="AD58">
        <f t="shared" si="0"/>
        <v>995</v>
      </c>
      <c r="AE58">
        <f t="shared" si="1"/>
        <v>5</v>
      </c>
    </row>
    <row r="59" spans="2:31" x14ac:dyDescent="0.25">
      <c r="B59" s="12">
        <v>57</v>
      </c>
      <c r="C59" s="33" t="s">
        <v>484</v>
      </c>
      <c r="D59" s="14">
        <v>11</v>
      </c>
      <c r="E59" s="14">
        <v>76</v>
      </c>
      <c r="F59" s="14">
        <v>62</v>
      </c>
      <c r="G59" s="14">
        <v>150</v>
      </c>
      <c r="H59" s="14">
        <v>13.2</v>
      </c>
      <c r="I59" s="14">
        <v>193</v>
      </c>
      <c r="J59" s="14"/>
      <c r="K59" s="14">
        <v>80</v>
      </c>
      <c r="L59" s="14">
        <v>668</v>
      </c>
      <c r="M59" s="14">
        <v>78</v>
      </c>
      <c r="N59" s="14">
        <v>77</v>
      </c>
      <c r="O59" s="14">
        <v>54</v>
      </c>
      <c r="P59" s="14">
        <v>80</v>
      </c>
      <c r="Q59" s="14">
        <v>82</v>
      </c>
      <c r="R59" s="14">
        <v>110</v>
      </c>
      <c r="S59" s="14"/>
      <c r="T59" s="14">
        <v>0</v>
      </c>
      <c r="U59" s="14">
        <v>550</v>
      </c>
      <c r="V59" s="14">
        <v>30</v>
      </c>
      <c r="W59" s="14">
        <v>6</v>
      </c>
      <c r="X59" s="14">
        <v>3.5</v>
      </c>
      <c r="Y59" s="14">
        <v>1.4</v>
      </c>
      <c r="Z59" s="14">
        <v>27</v>
      </c>
      <c r="AA59" s="14">
        <v>1.5</v>
      </c>
      <c r="AB59" s="14"/>
      <c r="AD59">
        <f t="shared" si="0"/>
        <v>941</v>
      </c>
      <c r="AE59">
        <f t="shared" si="1"/>
        <v>59</v>
      </c>
    </row>
    <row r="60" spans="2:31" x14ac:dyDescent="0.25">
      <c r="B60" s="15">
        <v>58</v>
      </c>
      <c r="C60" s="34" t="s">
        <v>485</v>
      </c>
      <c r="D60" s="17">
        <v>11</v>
      </c>
      <c r="E60" s="17">
        <v>76</v>
      </c>
      <c r="F60" s="17">
        <v>19</v>
      </c>
      <c r="G60" s="17">
        <v>110</v>
      </c>
      <c r="H60" s="17">
        <v>13.1</v>
      </c>
      <c r="I60" s="17">
        <v>150</v>
      </c>
      <c r="J60" s="17"/>
      <c r="K60" s="17">
        <v>80</v>
      </c>
      <c r="L60" s="17">
        <v>731</v>
      </c>
      <c r="M60" s="17">
        <v>73</v>
      </c>
      <c r="N60" s="17">
        <v>77</v>
      </c>
      <c r="O60" s="17">
        <v>54</v>
      </c>
      <c r="P60" s="17">
        <v>80</v>
      </c>
      <c r="Q60" s="17">
        <v>82</v>
      </c>
      <c r="R60" s="17">
        <v>110</v>
      </c>
      <c r="S60" s="17"/>
      <c r="T60" s="17">
        <v>0</v>
      </c>
      <c r="U60" s="17">
        <v>550</v>
      </c>
      <c r="V60" s="17">
        <v>30</v>
      </c>
      <c r="W60" s="17">
        <v>6</v>
      </c>
      <c r="X60" s="17">
        <v>3.5</v>
      </c>
      <c r="Y60" s="17">
        <v>1.4</v>
      </c>
      <c r="Z60" s="17">
        <v>27</v>
      </c>
      <c r="AA60" s="17">
        <v>1.5</v>
      </c>
      <c r="AB60" s="17"/>
      <c r="AD60">
        <f t="shared" si="0"/>
        <v>961</v>
      </c>
      <c r="AE60">
        <f t="shared" si="1"/>
        <v>39</v>
      </c>
    </row>
    <row r="61" spans="2:31" x14ac:dyDescent="0.25">
      <c r="B61" s="12">
        <v>59</v>
      </c>
      <c r="C61" s="33" t="s">
        <v>486</v>
      </c>
      <c r="D61" s="14">
        <v>10.5</v>
      </c>
      <c r="E61" s="14">
        <v>69</v>
      </c>
      <c r="F61" s="14">
        <v>137</v>
      </c>
      <c r="G61" s="14">
        <v>212</v>
      </c>
      <c r="H61" s="14">
        <v>13.1</v>
      </c>
      <c r="I61" s="14">
        <v>259</v>
      </c>
      <c r="J61" s="14"/>
      <c r="K61" s="14">
        <v>113</v>
      </c>
      <c r="L61" s="14">
        <v>544</v>
      </c>
      <c r="M61" s="14">
        <v>82</v>
      </c>
      <c r="N61" s="14">
        <v>72</v>
      </c>
      <c r="O61" s="14">
        <v>51</v>
      </c>
      <c r="P61" s="14">
        <v>80</v>
      </c>
      <c r="Q61" s="14">
        <v>82</v>
      </c>
      <c r="R61" s="14"/>
      <c r="S61" s="14">
        <v>114</v>
      </c>
      <c r="T61" s="14"/>
      <c r="U61" s="14">
        <v>276</v>
      </c>
      <c r="V61" s="14">
        <v>72</v>
      </c>
      <c r="W61" s="14">
        <v>18</v>
      </c>
      <c r="X61" s="14">
        <v>4.0999999999999996</v>
      </c>
      <c r="Y61" s="14">
        <v>2.2000000000000002</v>
      </c>
      <c r="Z61" s="14">
        <v>29</v>
      </c>
      <c r="AA61" s="14">
        <v>1.4</v>
      </c>
      <c r="AB61" s="14"/>
      <c r="AD61">
        <f t="shared" si="0"/>
        <v>916</v>
      </c>
      <c r="AE61">
        <f t="shared" si="1"/>
        <v>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topLeftCell="A18" workbookViewId="0">
      <selection activeCell="A27" sqref="A27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58</v>
      </c>
      <c r="B2" s="19" t="s">
        <v>122</v>
      </c>
      <c r="C2" s="19" t="s">
        <v>125</v>
      </c>
      <c r="D2" s="19" t="s">
        <v>333</v>
      </c>
      <c r="E2" s="19" t="s">
        <v>334</v>
      </c>
      <c r="F2" s="19" t="s">
        <v>335</v>
      </c>
      <c r="G2" s="19" t="s">
        <v>336</v>
      </c>
      <c r="H2" s="19" t="s">
        <v>337</v>
      </c>
      <c r="I2" s="19" t="s">
        <v>338</v>
      </c>
      <c r="J2" s="19" t="s">
        <v>339</v>
      </c>
      <c r="K2" s="19" t="s">
        <v>340</v>
      </c>
      <c r="L2" s="19" t="s">
        <v>130</v>
      </c>
      <c r="M2" s="19" t="s">
        <v>131</v>
      </c>
      <c r="N2" s="19" t="s">
        <v>129</v>
      </c>
      <c r="O2" s="19" t="s">
        <v>148</v>
      </c>
      <c r="P2" s="19" t="s">
        <v>341</v>
      </c>
      <c r="Q2" s="19" t="s">
        <v>342</v>
      </c>
      <c r="R2" s="19" t="s">
        <v>151</v>
      </c>
      <c r="S2" s="19" t="s">
        <v>152</v>
      </c>
      <c r="T2" s="19" t="s">
        <v>343</v>
      </c>
      <c r="U2" s="19" t="s">
        <v>344</v>
      </c>
    </row>
    <row r="3" spans="1:21" x14ac:dyDescent="0.25">
      <c r="A3" t="s">
        <v>310</v>
      </c>
      <c r="B3" s="12">
        <v>1</v>
      </c>
      <c r="C3" s="14" t="s">
        <v>345</v>
      </c>
      <c r="D3" s="14">
        <v>99</v>
      </c>
      <c r="E3" s="14">
        <v>37.700000000000003</v>
      </c>
      <c r="F3" s="14">
        <v>0</v>
      </c>
      <c r="G3" s="14">
        <v>0</v>
      </c>
      <c r="H3" s="14">
        <v>0</v>
      </c>
      <c r="I3" s="14">
        <v>0</v>
      </c>
      <c r="J3" s="14">
        <v>965</v>
      </c>
      <c r="K3" s="14">
        <v>170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</row>
    <row r="4" spans="1:21" x14ac:dyDescent="0.25">
      <c r="B4" s="15">
        <v>2</v>
      </c>
      <c r="C4" s="17" t="s">
        <v>346</v>
      </c>
      <c r="D4" s="17">
        <v>99</v>
      </c>
      <c r="E4" s="17">
        <v>37.700000000000003</v>
      </c>
      <c r="F4" s="17">
        <v>0</v>
      </c>
      <c r="G4" s="17">
        <v>0</v>
      </c>
      <c r="H4" s="17">
        <v>0</v>
      </c>
      <c r="I4" s="17">
        <v>0</v>
      </c>
      <c r="J4" s="17">
        <v>975</v>
      </c>
      <c r="K4" s="17">
        <v>300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</row>
    <row r="5" spans="1:21" x14ac:dyDescent="0.25">
      <c r="B5" s="12">
        <v>3</v>
      </c>
      <c r="C5" s="14" t="s">
        <v>347</v>
      </c>
      <c r="D5" s="14">
        <v>100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213</v>
      </c>
      <c r="P5" s="14">
        <v>187</v>
      </c>
      <c r="Q5" s="14">
        <v>165</v>
      </c>
      <c r="R5" s="14">
        <v>1</v>
      </c>
      <c r="S5" s="14">
        <v>0.6</v>
      </c>
      <c r="T5" s="14">
        <v>0.13</v>
      </c>
      <c r="U5" s="14">
        <v>0</v>
      </c>
    </row>
    <row r="6" spans="1:21" x14ac:dyDescent="0.25">
      <c r="B6" s="15">
        <v>4</v>
      </c>
      <c r="C6" s="17" t="s">
        <v>348</v>
      </c>
      <c r="D6" s="17">
        <v>100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208</v>
      </c>
      <c r="Q6" s="17">
        <v>208</v>
      </c>
      <c r="R6" s="17">
        <v>0</v>
      </c>
      <c r="S6" s="17">
        <v>310</v>
      </c>
      <c r="T6" s="17">
        <v>0</v>
      </c>
      <c r="U6" s="17">
        <v>0</v>
      </c>
    </row>
    <row r="7" spans="1:21" x14ac:dyDescent="0.25">
      <c r="B7" s="12">
        <v>5</v>
      </c>
      <c r="C7" s="14" t="s">
        <v>349</v>
      </c>
      <c r="D7" s="14">
        <v>100</v>
      </c>
      <c r="E7" s="14">
        <v>15.4</v>
      </c>
      <c r="F7" s="14">
        <v>587</v>
      </c>
      <c r="G7" s="14">
        <v>0</v>
      </c>
      <c r="H7" s="14">
        <v>980</v>
      </c>
      <c r="I7" s="14">
        <v>980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</row>
    <row r="8" spans="1:21" x14ac:dyDescent="0.25">
      <c r="A8" t="s">
        <v>57</v>
      </c>
      <c r="B8" s="15">
        <v>6</v>
      </c>
      <c r="C8" s="17" t="s">
        <v>350</v>
      </c>
      <c r="D8" s="17">
        <v>92</v>
      </c>
      <c r="E8" s="17">
        <v>12.6</v>
      </c>
      <c r="F8" s="17">
        <v>621</v>
      </c>
      <c r="G8" s="17">
        <v>48.1</v>
      </c>
      <c r="H8" s="17">
        <v>17.7</v>
      </c>
      <c r="I8" s="17">
        <v>23.4</v>
      </c>
      <c r="J8" s="17">
        <v>50</v>
      </c>
      <c r="K8" s="17">
        <v>0.8</v>
      </c>
      <c r="L8" s="17">
        <v>0</v>
      </c>
      <c r="M8" s="17">
        <v>0</v>
      </c>
      <c r="N8" s="17">
        <v>0</v>
      </c>
      <c r="O8" s="17">
        <v>41</v>
      </c>
      <c r="P8" s="17">
        <v>26</v>
      </c>
      <c r="Q8" s="17">
        <v>21</v>
      </c>
      <c r="R8" s="17">
        <v>9</v>
      </c>
      <c r="S8" s="17">
        <v>6</v>
      </c>
      <c r="T8" s="17">
        <v>9</v>
      </c>
      <c r="U8" s="17">
        <v>0</v>
      </c>
    </row>
    <row r="9" spans="1:21" x14ac:dyDescent="0.25">
      <c r="B9" s="12">
        <v>7</v>
      </c>
      <c r="C9" s="14" t="s">
        <v>351</v>
      </c>
      <c r="D9" s="14">
        <v>92</v>
      </c>
      <c r="E9" s="14">
        <v>10.8</v>
      </c>
      <c r="F9" s="14">
        <v>653</v>
      </c>
      <c r="G9" s="14">
        <v>50.1</v>
      </c>
      <c r="H9" s="14">
        <v>18.399999999999999</v>
      </c>
      <c r="I9" s="14">
        <v>24.2</v>
      </c>
      <c r="J9" s="14">
        <v>18</v>
      </c>
      <c r="K9" s="14">
        <v>0.3</v>
      </c>
      <c r="L9" s="14">
        <v>0</v>
      </c>
      <c r="M9" s="14">
        <v>0</v>
      </c>
      <c r="N9" s="14">
        <v>0</v>
      </c>
      <c r="O9" s="14">
        <v>41</v>
      </c>
      <c r="P9" s="14">
        <v>26</v>
      </c>
      <c r="Q9" s="14">
        <v>21</v>
      </c>
      <c r="R9" s="14">
        <v>9</v>
      </c>
      <c r="S9" s="14">
        <v>6</v>
      </c>
      <c r="T9" s="14">
        <v>9</v>
      </c>
      <c r="U9" s="14">
        <v>0</v>
      </c>
    </row>
    <row r="10" spans="1:21" x14ac:dyDescent="0.25">
      <c r="B10" s="15">
        <v>8</v>
      </c>
      <c r="C10" s="17" t="s">
        <v>352</v>
      </c>
      <c r="D10" s="17">
        <v>92</v>
      </c>
      <c r="E10" s="17">
        <v>13.6</v>
      </c>
      <c r="F10" s="17">
        <v>661</v>
      </c>
      <c r="G10" s="17">
        <v>51.5</v>
      </c>
      <c r="H10" s="17">
        <v>18.899999999999999</v>
      </c>
      <c r="I10" s="17">
        <v>24.9</v>
      </c>
      <c r="J10" s="17">
        <v>100</v>
      </c>
      <c r="K10" s="17">
        <v>1.2</v>
      </c>
      <c r="L10" s="17">
        <v>0</v>
      </c>
      <c r="M10" s="17">
        <v>0</v>
      </c>
      <c r="N10" s="17">
        <v>0</v>
      </c>
      <c r="O10" s="17">
        <v>41</v>
      </c>
      <c r="P10" s="17">
        <v>26</v>
      </c>
      <c r="Q10" s="17">
        <v>21</v>
      </c>
      <c r="R10" s="17">
        <v>9</v>
      </c>
      <c r="S10" s="17">
        <v>6</v>
      </c>
      <c r="T10" s="17">
        <v>9</v>
      </c>
      <c r="U10" s="17">
        <v>0</v>
      </c>
    </row>
    <row r="11" spans="1:21" x14ac:dyDescent="0.25">
      <c r="B11" s="12">
        <v>9</v>
      </c>
      <c r="C11" s="14" t="s">
        <v>353</v>
      </c>
      <c r="D11" s="14">
        <v>100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375</v>
      </c>
      <c r="P11" s="14">
        <v>0</v>
      </c>
      <c r="Q11" s="14">
        <v>0</v>
      </c>
      <c r="R11" s="14">
        <v>0.6</v>
      </c>
      <c r="S11" s="14">
        <v>0.2</v>
      </c>
      <c r="T11" s="14">
        <v>0</v>
      </c>
      <c r="U11" s="14">
        <v>0</v>
      </c>
    </row>
    <row r="12" spans="1:21" x14ac:dyDescent="0.25">
      <c r="A12" t="s">
        <v>38</v>
      </c>
      <c r="B12" s="15">
        <v>10</v>
      </c>
      <c r="C12" s="17" t="s">
        <v>354</v>
      </c>
      <c r="D12" s="17">
        <v>87</v>
      </c>
      <c r="E12" s="17">
        <v>10.7</v>
      </c>
      <c r="F12" s="17">
        <v>104</v>
      </c>
      <c r="G12" s="17">
        <v>4.5</v>
      </c>
      <c r="H12" s="17">
        <v>1.8</v>
      </c>
      <c r="I12" s="17">
        <v>4.8</v>
      </c>
      <c r="J12" s="17">
        <v>52</v>
      </c>
      <c r="K12" s="17">
        <v>21</v>
      </c>
      <c r="L12" s="17">
        <v>400</v>
      </c>
      <c r="M12" s="17">
        <v>10</v>
      </c>
      <c r="N12" s="17">
        <v>87</v>
      </c>
      <c r="O12" s="17">
        <v>0.8</v>
      </c>
      <c r="P12" s="17">
        <v>3.4</v>
      </c>
      <c r="Q12" s="17">
        <v>0.8</v>
      </c>
      <c r="R12" s="17">
        <v>4.5</v>
      </c>
      <c r="S12" s="17">
        <v>0.8</v>
      </c>
      <c r="T12" s="17">
        <v>1.1000000000000001</v>
      </c>
      <c r="U12" s="17">
        <v>0</v>
      </c>
    </row>
    <row r="13" spans="1:21" x14ac:dyDescent="0.25">
      <c r="B13" s="12">
        <v>11</v>
      </c>
      <c r="C13" s="14" t="s">
        <v>355</v>
      </c>
      <c r="D13" s="14">
        <v>87</v>
      </c>
      <c r="E13" s="14">
        <v>13.8</v>
      </c>
      <c r="F13" s="14">
        <v>132</v>
      </c>
      <c r="G13" s="14">
        <v>5.5</v>
      </c>
      <c r="H13" s="14">
        <v>2.2999999999999998</v>
      </c>
      <c r="I13" s="14">
        <v>6</v>
      </c>
      <c r="J13" s="14">
        <v>65</v>
      </c>
      <c r="K13" s="14">
        <v>25</v>
      </c>
      <c r="L13" s="14">
        <v>400</v>
      </c>
      <c r="M13" s="14">
        <v>10</v>
      </c>
      <c r="N13" s="14">
        <v>25</v>
      </c>
      <c r="O13" s="14">
        <v>0.7</v>
      </c>
      <c r="P13" s="14">
        <v>3.6</v>
      </c>
      <c r="Q13" s="14">
        <v>0.9</v>
      </c>
      <c r="R13" s="14">
        <v>4.5</v>
      </c>
      <c r="S13" s="14">
        <v>0.8</v>
      </c>
      <c r="T13" s="14">
        <v>1.1000000000000001</v>
      </c>
      <c r="U13" s="14">
        <v>0</v>
      </c>
    </row>
    <row r="14" spans="1:21" x14ac:dyDescent="0.25">
      <c r="B14" s="15">
        <v>12</v>
      </c>
      <c r="C14" s="17" t="s">
        <v>356</v>
      </c>
      <c r="D14" s="17">
        <v>87</v>
      </c>
      <c r="E14" s="17">
        <v>10</v>
      </c>
      <c r="F14" s="17">
        <v>100</v>
      </c>
      <c r="G14" s="17">
        <v>3.7</v>
      </c>
      <c r="H14" s="17">
        <v>1.8</v>
      </c>
      <c r="I14" s="17">
        <v>4.3</v>
      </c>
      <c r="J14" s="17">
        <v>52</v>
      </c>
      <c r="K14" s="17">
        <v>21</v>
      </c>
      <c r="L14" s="17">
        <v>380</v>
      </c>
      <c r="M14" s="17">
        <v>8</v>
      </c>
      <c r="N14" s="17">
        <v>104</v>
      </c>
      <c r="O14" s="17">
        <v>0.8</v>
      </c>
      <c r="P14" s="17">
        <v>3.4</v>
      </c>
      <c r="Q14" s="17">
        <v>0.8</v>
      </c>
      <c r="R14" s="17">
        <v>4.5</v>
      </c>
      <c r="S14" s="17">
        <v>0.8</v>
      </c>
      <c r="T14" s="17">
        <v>1.1000000000000001</v>
      </c>
      <c r="U14" s="17">
        <v>0</v>
      </c>
    </row>
    <row r="15" spans="1:21" x14ac:dyDescent="0.25">
      <c r="B15" s="12">
        <v>13</v>
      </c>
      <c r="C15" s="14" t="s">
        <v>357</v>
      </c>
      <c r="D15" s="14">
        <v>87</v>
      </c>
      <c r="E15" s="14">
        <v>11.1</v>
      </c>
      <c r="F15" s="14">
        <v>109</v>
      </c>
      <c r="G15" s="14">
        <v>4.7</v>
      </c>
      <c r="H15" s="14">
        <v>1.8</v>
      </c>
      <c r="I15" s="14">
        <v>5</v>
      </c>
      <c r="J15" s="14">
        <v>52</v>
      </c>
      <c r="K15" s="14">
        <v>21</v>
      </c>
      <c r="L15" s="14">
        <v>420</v>
      </c>
      <c r="M15" s="14">
        <v>12</v>
      </c>
      <c r="N15" s="14">
        <v>78</v>
      </c>
      <c r="O15" s="14">
        <v>0.8</v>
      </c>
      <c r="P15" s="14">
        <v>3.4</v>
      </c>
      <c r="Q15" s="14">
        <v>0.8</v>
      </c>
      <c r="R15" s="14">
        <v>4.5</v>
      </c>
      <c r="S15" s="14">
        <v>0.8</v>
      </c>
      <c r="T15" s="14">
        <v>1.1000000000000001</v>
      </c>
      <c r="U15" s="14">
        <v>0</v>
      </c>
    </row>
    <row r="16" spans="1:21" x14ac:dyDescent="0.25">
      <c r="B16" s="15">
        <v>14</v>
      </c>
      <c r="C16" s="17" t="s">
        <v>358</v>
      </c>
      <c r="D16" s="17">
        <v>87</v>
      </c>
      <c r="E16" s="17">
        <v>1.7</v>
      </c>
      <c r="F16" s="17">
        <v>46</v>
      </c>
      <c r="G16" s="17">
        <v>1.4</v>
      </c>
      <c r="H16" s="17">
        <v>0.7</v>
      </c>
      <c r="I16" s="17">
        <v>1.3</v>
      </c>
      <c r="J16" s="17">
        <v>14</v>
      </c>
      <c r="K16" s="17">
        <v>0</v>
      </c>
      <c r="L16" s="17">
        <v>0</v>
      </c>
      <c r="M16" s="17">
        <v>0</v>
      </c>
      <c r="N16" s="17">
        <v>287</v>
      </c>
      <c r="O16" s="17">
        <v>1.3</v>
      </c>
      <c r="P16" s="17">
        <v>1</v>
      </c>
      <c r="Q16" s="17">
        <v>0</v>
      </c>
      <c r="R16" s="17">
        <v>5.3</v>
      </c>
      <c r="S16" s="17">
        <v>0.4</v>
      </c>
      <c r="T16" s="17">
        <v>1</v>
      </c>
      <c r="U16" s="17">
        <v>0</v>
      </c>
    </row>
    <row r="17" spans="1:21" x14ac:dyDescent="0.25">
      <c r="B17" s="12">
        <v>15</v>
      </c>
      <c r="C17" s="14" t="s">
        <v>359</v>
      </c>
      <c r="D17" s="14">
        <v>100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3</v>
      </c>
      <c r="P17" s="14">
        <v>0</v>
      </c>
      <c r="Q17" s="14">
        <v>0</v>
      </c>
      <c r="R17" s="14">
        <v>0</v>
      </c>
      <c r="S17" s="14">
        <v>390</v>
      </c>
      <c r="T17" s="14">
        <v>600</v>
      </c>
      <c r="U17" s="14">
        <v>0</v>
      </c>
    </row>
    <row r="18" spans="1:21" x14ac:dyDescent="0.25">
      <c r="A18" t="s">
        <v>37</v>
      </c>
      <c r="B18" s="15">
        <v>16</v>
      </c>
      <c r="C18" s="17" t="s">
        <v>360</v>
      </c>
      <c r="D18" s="17">
        <v>87</v>
      </c>
      <c r="E18" s="17">
        <v>11.8</v>
      </c>
      <c r="F18" s="17">
        <v>104</v>
      </c>
      <c r="G18" s="17">
        <v>3.8</v>
      </c>
      <c r="H18" s="17">
        <v>1.8</v>
      </c>
      <c r="I18" s="17">
        <v>4.0999999999999996</v>
      </c>
      <c r="J18" s="17">
        <v>25</v>
      </c>
      <c r="K18" s="17">
        <v>10</v>
      </c>
      <c r="L18" s="17">
        <v>490</v>
      </c>
      <c r="M18" s="17">
        <v>26</v>
      </c>
      <c r="N18" s="17">
        <v>41</v>
      </c>
      <c r="O18" s="17">
        <v>0.5</v>
      </c>
      <c r="P18" s="17">
        <v>3.5</v>
      </c>
      <c r="Q18" s="17">
        <v>1.7</v>
      </c>
      <c r="R18" s="17">
        <v>4.8</v>
      </c>
      <c r="S18" s="17">
        <v>0.4</v>
      </c>
      <c r="T18" s="17">
        <v>1.5</v>
      </c>
      <c r="U18" s="17">
        <v>0</v>
      </c>
    </row>
    <row r="19" spans="1:21" x14ac:dyDescent="0.25">
      <c r="B19" s="12">
        <v>17</v>
      </c>
      <c r="C19" s="14" t="s">
        <v>361</v>
      </c>
      <c r="D19" s="14">
        <v>87</v>
      </c>
      <c r="E19" s="14">
        <v>11.1</v>
      </c>
      <c r="F19" s="14">
        <v>100</v>
      </c>
      <c r="G19" s="14">
        <v>3.7</v>
      </c>
      <c r="H19" s="14">
        <v>1.7</v>
      </c>
      <c r="I19" s="14">
        <v>4</v>
      </c>
      <c r="J19" s="14">
        <v>25</v>
      </c>
      <c r="K19" s="14">
        <v>10</v>
      </c>
      <c r="L19" s="14">
        <v>450</v>
      </c>
      <c r="M19" s="14">
        <v>22</v>
      </c>
      <c r="N19" s="14">
        <v>71</v>
      </c>
      <c r="O19" s="14">
        <v>0.5</v>
      </c>
      <c r="P19" s="14">
        <v>3.5</v>
      </c>
      <c r="Q19" s="14">
        <v>1.7</v>
      </c>
      <c r="R19" s="14">
        <v>4.8</v>
      </c>
      <c r="S19" s="14">
        <v>0.4</v>
      </c>
      <c r="T19" s="14">
        <v>1.5</v>
      </c>
      <c r="U19" s="14">
        <v>0</v>
      </c>
    </row>
    <row r="20" spans="1:21" x14ac:dyDescent="0.25">
      <c r="B20" s="15">
        <v>18</v>
      </c>
      <c r="C20" s="17" t="s">
        <v>362</v>
      </c>
      <c r="D20" s="17">
        <v>87</v>
      </c>
      <c r="E20" s="17">
        <v>12.2</v>
      </c>
      <c r="F20" s="17">
        <v>117</v>
      </c>
      <c r="G20" s="17">
        <v>4.0999999999999996</v>
      </c>
      <c r="H20" s="17">
        <v>2</v>
      </c>
      <c r="I20" s="17">
        <v>4.5</v>
      </c>
      <c r="J20" s="17">
        <v>25</v>
      </c>
      <c r="K20" s="17">
        <v>10</v>
      </c>
      <c r="L20" s="17">
        <v>517</v>
      </c>
      <c r="M20" s="17">
        <v>28</v>
      </c>
      <c r="N20" s="17">
        <v>37</v>
      </c>
      <c r="O20" s="17">
        <v>0.5</v>
      </c>
      <c r="P20" s="17">
        <v>3.5</v>
      </c>
      <c r="Q20" s="17">
        <v>1.7</v>
      </c>
      <c r="R20" s="17">
        <v>4.8</v>
      </c>
      <c r="S20" s="17">
        <v>0.4</v>
      </c>
      <c r="T20" s="17">
        <v>1.5</v>
      </c>
      <c r="U20" s="17">
        <v>0</v>
      </c>
    </row>
    <row r="21" spans="1:21" x14ac:dyDescent="0.25">
      <c r="B21" s="12">
        <v>19</v>
      </c>
      <c r="C21" s="14" t="s">
        <v>363</v>
      </c>
      <c r="D21" s="14">
        <v>95</v>
      </c>
      <c r="E21" s="14">
        <v>9.8000000000000007</v>
      </c>
      <c r="F21" s="14">
        <v>530</v>
      </c>
      <c r="G21" s="14">
        <v>29</v>
      </c>
      <c r="H21" s="14">
        <v>8.1</v>
      </c>
      <c r="I21" s="14">
        <v>13.9</v>
      </c>
      <c r="J21" s="14">
        <v>104</v>
      </c>
      <c r="K21" s="14">
        <v>15</v>
      </c>
      <c r="L21" s="14">
        <v>0</v>
      </c>
      <c r="M21" s="14">
        <v>0</v>
      </c>
      <c r="N21" s="14">
        <v>0</v>
      </c>
      <c r="O21" s="14">
        <v>100</v>
      </c>
      <c r="P21" s="14">
        <v>45</v>
      </c>
      <c r="Q21" s="14">
        <v>36</v>
      </c>
      <c r="R21" s="14">
        <v>6</v>
      </c>
      <c r="S21" s="14">
        <v>7</v>
      </c>
      <c r="T21" s="14">
        <v>7.5</v>
      </c>
      <c r="U21" s="14">
        <v>0</v>
      </c>
    </row>
    <row r="22" spans="1:21" x14ac:dyDescent="0.25">
      <c r="B22" s="15">
        <v>20</v>
      </c>
      <c r="C22" s="17" t="s">
        <v>364</v>
      </c>
      <c r="D22" s="17">
        <v>93</v>
      </c>
      <c r="E22" s="17">
        <v>11</v>
      </c>
      <c r="F22" s="17">
        <v>590</v>
      </c>
      <c r="G22" s="17">
        <v>30</v>
      </c>
      <c r="H22" s="17">
        <v>8.4</v>
      </c>
      <c r="I22" s="17">
        <v>16.399999999999999</v>
      </c>
      <c r="J22" s="17">
        <v>79</v>
      </c>
      <c r="K22" s="17">
        <v>12</v>
      </c>
      <c r="L22" s="17">
        <v>0</v>
      </c>
      <c r="M22" s="17">
        <v>0</v>
      </c>
      <c r="N22" s="17">
        <v>0</v>
      </c>
      <c r="O22" s="17">
        <v>80</v>
      </c>
      <c r="P22" s="17">
        <v>37</v>
      </c>
      <c r="Q22" s="17">
        <v>30</v>
      </c>
      <c r="R22" s="17">
        <v>5</v>
      </c>
      <c r="S22" s="17">
        <v>6</v>
      </c>
      <c r="T22" s="17">
        <v>7</v>
      </c>
      <c r="U22" s="17">
        <v>0</v>
      </c>
    </row>
    <row r="23" spans="1:21" x14ac:dyDescent="0.25">
      <c r="B23" s="12">
        <v>21</v>
      </c>
      <c r="C23" s="14" t="s">
        <v>365</v>
      </c>
      <c r="D23" s="14">
        <v>93</v>
      </c>
      <c r="E23" s="14">
        <v>11.4</v>
      </c>
      <c r="F23" s="14">
        <v>648</v>
      </c>
      <c r="G23" s="14">
        <v>37</v>
      </c>
      <c r="H23" s="14">
        <v>10.4</v>
      </c>
      <c r="I23" s="14">
        <v>17.8</v>
      </c>
      <c r="J23" s="14">
        <v>100</v>
      </c>
      <c r="K23" s="14">
        <v>15</v>
      </c>
      <c r="L23" s="14">
        <v>0</v>
      </c>
      <c r="M23" s="14">
        <v>0</v>
      </c>
      <c r="N23" s="14">
        <v>0</v>
      </c>
      <c r="O23" s="14">
        <v>76</v>
      </c>
      <c r="P23" s="14">
        <v>40</v>
      </c>
      <c r="Q23" s="14">
        <v>30</v>
      </c>
      <c r="R23" s="14">
        <v>10</v>
      </c>
      <c r="S23" s="14">
        <v>7.2</v>
      </c>
      <c r="T23" s="14">
        <v>7.4</v>
      </c>
      <c r="U23" s="14">
        <v>0</v>
      </c>
    </row>
    <row r="24" spans="1:21" x14ac:dyDescent="0.25">
      <c r="B24" s="15">
        <v>22</v>
      </c>
      <c r="C24" s="17" t="s">
        <v>366</v>
      </c>
      <c r="D24" s="17">
        <v>90</v>
      </c>
      <c r="E24" s="17">
        <v>6.67</v>
      </c>
      <c r="F24" s="17">
        <v>193</v>
      </c>
      <c r="G24" s="17">
        <v>8.6999999999999993</v>
      </c>
      <c r="H24" s="17">
        <v>2.9</v>
      </c>
      <c r="I24" s="17">
        <v>5.4</v>
      </c>
      <c r="J24" s="17">
        <v>36</v>
      </c>
      <c r="K24" s="17">
        <v>5</v>
      </c>
      <c r="L24" s="17">
        <v>45</v>
      </c>
      <c r="M24" s="17">
        <v>51</v>
      </c>
      <c r="N24" s="17">
        <v>193</v>
      </c>
      <c r="O24" s="17">
        <v>14</v>
      </c>
      <c r="P24" s="17">
        <v>2.5</v>
      </c>
      <c r="Q24" s="17">
        <v>2.2000000000000002</v>
      </c>
      <c r="R24" s="17">
        <v>22</v>
      </c>
      <c r="S24" s="17">
        <v>1.3</v>
      </c>
      <c r="T24" s="17">
        <v>4.7</v>
      </c>
      <c r="U24" s="17">
        <v>280</v>
      </c>
    </row>
    <row r="25" spans="1:21" x14ac:dyDescent="0.25">
      <c r="B25" s="12">
        <v>23</v>
      </c>
      <c r="C25" s="14" t="s">
        <v>367</v>
      </c>
      <c r="D25" s="14">
        <v>100</v>
      </c>
      <c r="E25" s="14">
        <v>16.7</v>
      </c>
      <c r="F25" s="14">
        <v>934</v>
      </c>
      <c r="G25" s="14">
        <v>780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</row>
    <row r="26" spans="1:21" x14ac:dyDescent="0.25">
      <c r="A26" t="s">
        <v>40</v>
      </c>
      <c r="B26" s="15">
        <v>24</v>
      </c>
      <c r="C26" s="17" t="s">
        <v>368</v>
      </c>
      <c r="D26" s="17">
        <v>87</v>
      </c>
      <c r="E26" s="17">
        <v>13.8</v>
      </c>
      <c r="F26" s="17">
        <v>87</v>
      </c>
      <c r="G26" s="17">
        <v>2.4</v>
      </c>
      <c r="H26" s="17">
        <v>1.8</v>
      </c>
      <c r="I26" s="17">
        <v>3.8</v>
      </c>
      <c r="J26" s="17">
        <v>40</v>
      </c>
      <c r="K26" s="17">
        <v>32</v>
      </c>
      <c r="L26" s="17">
        <v>650</v>
      </c>
      <c r="M26" s="17">
        <v>16.3</v>
      </c>
      <c r="N26" s="17">
        <v>0.1</v>
      </c>
      <c r="O26" s="17">
        <v>2.5</v>
      </c>
      <c r="P26" s="17">
        <v>0.5</v>
      </c>
      <c r="Q26" s="17">
        <v>3.3</v>
      </c>
      <c r="R26" s="17">
        <v>0.3</v>
      </c>
      <c r="S26" s="17">
        <v>0.4</v>
      </c>
      <c r="T26" s="17">
        <v>50</v>
      </c>
      <c r="U26" s="17">
        <v>0</v>
      </c>
    </row>
    <row r="27" spans="1:21" x14ac:dyDescent="0.25">
      <c r="A27" t="s">
        <v>384</v>
      </c>
      <c r="B27" s="12">
        <v>25</v>
      </c>
      <c r="C27" s="14" t="s">
        <v>369</v>
      </c>
      <c r="D27" s="14">
        <v>87</v>
      </c>
      <c r="E27" s="14">
        <v>14.2</v>
      </c>
      <c r="F27" s="14">
        <v>644</v>
      </c>
      <c r="G27" s="14">
        <v>10.8</v>
      </c>
      <c r="H27" s="14">
        <v>15.2</v>
      </c>
      <c r="I27" s="14">
        <v>26.8</v>
      </c>
      <c r="J27" s="14">
        <v>39</v>
      </c>
      <c r="K27" s="14">
        <v>20</v>
      </c>
      <c r="L27" s="14">
        <v>123</v>
      </c>
      <c r="M27" s="14">
        <v>6</v>
      </c>
      <c r="N27" s="14">
        <v>8.6999999999999993</v>
      </c>
      <c r="O27" s="14">
        <v>1.6</v>
      </c>
      <c r="P27" s="14">
        <v>4</v>
      </c>
      <c r="Q27" s="14">
        <v>1.9</v>
      </c>
      <c r="R27" s="14">
        <v>3.5</v>
      </c>
      <c r="S27" s="14">
        <v>2</v>
      </c>
      <c r="T27" s="14">
        <v>5</v>
      </c>
      <c r="U27" s="14">
        <v>290</v>
      </c>
    </row>
    <row r="28" spans="1:21" x14ac:dyDescent="0.25">
      <c r="B28" s="15">
        <v>26</v>
      </c>
      <c r="C28" s="17" t="s">
        <v>370</v>
      </c>
      <c r="D28" s="17">
        <v>100</v>
      </c>
      <c r="E28" s="17">
        <v>0</v>
      </c>
      <c r="F28" s="17">
        <v>0</v>
      </c>
      <c r="G28" s="17">
        <v>0</v>
      </c>
      <c r="H28" s="17">
        <v>0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160</v>
      </c>
      <c r="P28" s="17">
        <v>210</v>
      </c>
      <c r="Q28" s="17">
        <v>190</v>
      </c>
      <c r="R28" s="17">
        <v>0.7</v>
      </c>
      <c r="S28" s="17">
        <v>0.6</v>
      </c>
      <c r="T28" s="17">
        <v>0</v>
      </c>
      <c r="U28" s="17">
        <v>0</v>
      </c>
    </row>
    <row r="29" spans="1:21" x14ac:dyDescent="0.25">
      <c r="B29" s="12">
        <v>27</v>
      </c>
      <c r="C29" s="14" t="s">
        <v>371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270</v>
      </c>
      <c r="T29" s="14">
        <v>0</v>
      </c>
      <c r="U29" s="14">
        <v>0</v>
      </c>
    </row>
    <row r="30" spans="1:21" x14ac:dyDescent="0.25">
      <c r="A30" t="s">
        <v>56</v>
      </c>
      <c r="B30" s="15">
        <v>28</v>
      </c>
      <c r="C30" s="17" t="s">
        <v>372</v>
      </c>
      <c r="D30" s="17">
        <v>90</v>
      </c>
      <c r="E30" s="17">
        <v>14.4</v>
      </c>
      <c r="F30" s="17">
        <v>790</v>
      </c>
      <c r="G30" s="17">
        <v>64</v>
      </c>
      <c r="H30" s="17">
        <v>18</v>
      </c>
      <c r="I30" s="17">
        <v>31</v>
      </c>
      <c r="J30" s="17">
        <v>40</v>
      </c>
      <c r="K30" s="17">
        <v>0.4</v>
      </c>
      <c r="L30" s="17">
        <v>0</v>
      </c>
      <c r="M30" s="17">
        <v>0</v>
      </c>
      <c r="N30" s="17">
        <v>0</v>
      </c>
      <c r="O30" s="17">
        <v>0.3</v>
      </c>
      <c r="P30" s="17">
        <v>4</v>
      </c>
      <c r="Q30" s="17">
        <v>2</v>
      </c>
      <c r="R30" s="17">
        <v>1</v>
      </c>
      <c r="S30" s="17">
        <v>0.1</v>
      </c>
      <c r="T30" s="17">
        <v>2.1</v>
      </c>
      <c r="U30" s="17">
        <v>0</v>
      </c>
    </row>
    <row r="31" spans="1:21" x14ac:dyDescent="0.25">
      <c r="A31" t="s">
        <v>36</v>
      </c>
      <c r="B31" s="12">
        <v>29</v>
      </c>
      <c r="C31" s="14" t="s">
        <v>373</v>
      </c>
      <c r="D31" s="14">
        <v>90</v>
      </c>
      <c r="E31" s="14">
        <v>7.6</v>
      </c>
      <c r="F31" s="14">
        <v>348</v>
      </c>
      <c r="G31" s="14">
        <v>19.5</v>
      </c>
      <c r="H31" s="14">
        <v>7.1</v>
      </c>
      <c r="I31" s="14">
        <v>15.9</v>
      </c>
      <c r="J31" s="14">
        <v>23</v>
      </c>
      <c r="K31" s="14">
        <v>7</v>
      </c>
      <c r="L31" s="14">
        <v>40</v>
      </c>
      <c r="M31" s="14">
        <v>78</v>
      </c>
      <c r="N31" s="14">
        <v>120</v>
      </c>
      <c r="O31" s="14">
        <v>5</v>
      </c>
      <c r="P31" s="14">
        <v>10</v>
      </c>
      <c r="Q31" s="14">
        <v>2.8</v>
      </c>
      <c r="R31" s="14">
        <v>14</v>
      </c>
      <c r="S31" s="14">
        <v>0.8</v>
      </c>
      <c r="T31" s="14">
        <v>0.13</v>
      </c>
      <c r="U31" s="14">
        <v>0</v>
      </c>
    </row>
    <row r="32" spans="1:21" x14ac:dyDescent="0.25">
      <c r="A32" t="s">
        <v>313</v>
      </c>
      <c r="B32" s="15">
        <v>30</v>
      </c>
      <c r="C32" s="17" t="s">
        <v>374</v>
      </c>
      <c r="D32" s="17">
        <v>87</v>
      </c>
      <c r="E32" s="17">
        <v>11.2</v>
      </c>
      <c r="F32" s="17">
        <v>96</v>
      </c>
      <c r="G32" s="17">
        <v>3.9</v>
      </c>
      <c r="H32" s="17">
        <v>1.7</v>
      </c>
      <c r="I32" s="17">
        <v>4.2</v>
      </c>
      <c r="J32" s="17">
        <v>16</v>
      </c>
      <c r="K32" s="17">
        <v>7</v>
      </c>
      <c r="L32" s="17">
        <v>568</v>
      </c>
      <c r="M32" s="17">
        <v>55</v>
      </c>
      <c r="N32" s="17">
        <v>26</v>
      </c>
      <c r="O32" s="17">
        <v>0.6</v>
      </c>
      <c r="P32" s="17">
        <v>3.3</v>
      </c>
      <c r="Q32" s="17">
        <v>1.7</v>
      </c>
      <c r="R32" s="17">
        <v>4.5999999999999996</v>
      </c>
      <c r="S32" s="17">
        <v>0.2</v>
      </c>
      <c r="T32" s="17">
        <v>0.3</v>
      </c>
      <c r="U32" s="17">
        <v>0</v>
      </c>
    </row>
    <row r="33" spans="1:21" x14ac:dyDescent="0.25">
      <c r="A33" t="s">
        <v>39</v>
      </c>
      <c r="B33" s="12">
        <v>31</v>
      </c>
      <c r="C33" s="14" t="s">
        <v>375</v>
      </c>
      <c r="D33" s="14">
        <v>89</v>
      </c>
      <c r="E33" s="14">
        <v>13</v>
      </c>
      <c r="F33" s="14">
        <v>115</v>
      </c>
      <c r="G33" s="14">
        <v>4.2</v>
      </c>
      <c r="H33" s="14">
        <v>2.8</v>
      </c>
      <c r="I33" s="14">
        <v>2.1</v>
      </c>
      <c r="J33" s="14">
        <v>4.9000000000000004</v>
      </c>
      <c r="K33" s="14">
        <v>8</v>
      </c>
      <c r="L33" s="14">
        <v>550</v>
      </c>
      <c r="M33" s="14">
        <v>60</v>
      </c>
      <c r="N33" s="14">
        <v>21</v>
      </c>
      <c r="O33" s="14">
        <v>0.6</v>
      </c>
      <c r="P33" s="14">
        <v>3.3</v>
      </c>
      <c r="Q33" s="14">
        <v>0</v>
      </c>
      <c r="R33" s="14">
        <v>1.7</v>
      </c>
      <c r="S33" s="14">
        <v>4.5999999999999996</v>
      </c>
      <c r="T33" s="14">
        <v>0.2</v>
      </c>
      <c r="U33" s="14">
        <v>0.5</v>
      </c>
    </row>
    <row r="34" spans="1:21" x14ac:dyDescent="0.25">
      <c r="B34" s="15">
        <v>32</v>
      </c>
      <c r="C34" s="17" t="s">
        <v>376</v>
      </c>
      <c r="D34" s="17">
        <v>99</v>
      </c>
      <c r="E34" s="17">
        <v>34</v>
      </c>
      <c r="F34" s="17">
        <v>0</v>
      </c>
      <c r="G34" s="17">
        <v>0</v>
      </c>
      <c r="H34" s="17">
        <v>0</v>
      </c>
      <c r="I34" s="17">
        <v>0</v>
      </c>
      <c r="J34" s="17">
        <v>990</v>
      </c>
      <c r="K34" s="17">
        <v>40</v>
      </c>
      <c r="L34" s="17">
        <v>0</v>
      </c>
      <c r="M34" s="17">
        <v>0</v>
      </c>
      <c r="N34" s="17">
        <v>0</v>
      </c>
      <c r="O34" s="17">
        <v>0</v>
      </c>
      <c r="P34" s="17">
        <v>0</v>
      </c>
      <c r="Q34" s="17">
        <v>0</v>
      </c>
      <c r="R34" s="17">
        <v>0</v>
      </c>
      <c r="S34" s="17">
        <v>0</v>
      </c>
      <c r="T34" s="17">
        <v>0</v>
      </c>
      <c r="U34" s="17">
        <v>0</v>
      </c>
    </row>
    <row r="35" spans="1:21" x14ac:dyDescent="0.25">
      <c r="A35" t="s">
        <v>44</v>
      </c>
      <c r="B35" s="12">
        <v>33</v>
      </c>
      <c r="C35" s="14" t="s">
        <v>377</v>
      </c>
      <c r="D35" s="14">
        <v>87</v>
      </c>
      <c r="E35" s="14">
        <v>9.1</v>
      </c>
      <c r="F35" s="14">
        <v>440</v>
      </c>
      <c r="G35" s="14">
        <v>27.5</v>
      </c>
      <c r="H35" s="14">
        <v>6.4</v>
      </c>
      <c r="I35" s="14">
        <v>13.1</v>
      </c>
      <c r="J35" s="14">
        <v>13</v>
      </c>
      <c r="K35" s="14">
        <v>6</v>
      </c>
      <c r="L35" s="14">
        <v>64</v>
      </c>
      <c r="M35" s="14">
        <v>93</v>
      </c>
      <c r="N35" s="14">
        <v>60</v>
      </c>
      <c r="O35" s="14">
        <v>2</v>
      </c>
      <c r="P35" s="14">
        <v>6</v>
      </c>
      <c r="Q35" s="14">
        <v>1.8</v>
      </c>
      <c r="R35" s="14">
        <v>20</v>
      </c>
      <c r="S35" s="14">
        <v>0.02</v>
      </c>
      <c r="T35" s="14">
        <v>0.1</v>
      </c>
      <c r="U35" s="14">
        <v>0</v>
      </c>
    </row>
    <row r="36" spans="1:21" x14ac:dyDescent="0.25">
      <c r="B36" s="15">
        <v>34</v>
      </c>
      <c r="C36" s="17" t="s">
        <v>378</v>
      </c>
      <c r="D36" s="17">
        <v>99</v>
      </c>
      <c r="E36" s="17">
        <v>36</v>
      </c>
      <c r="F36" s="17">
        <v>0</v>
      </c>
      <c r="G36" s="17">
        <v>0</v>
      </c>
      <c r="H36" s="17">
        <v>0</v>
      </c>
      <c r="I36" s="17">
        <v>0</v>
      </c>
      <c r="J36" s="17">
        <v>990</v>
      </c>
      <c r="K36" s="17">
        <v>524</v>
      </c>
      <c r="L36" s="17">
        <v>0</v>
      </c>
      <c r="M36" s="17">
        <v>0</v>
      </c>
      <c r="N36" s="17">
        <v>0</v>
      </c>
      <c r="O36" s="17">
        <v>0</v>
      </c>
      <c r="P36" s="17">
        <v>0</v>
      </c>
      <c r="Q36" s="17">
        <v>0</v>
      </c>
      <c r="R36" s="17">
        <v>0</v>
      </c>
      <c r="S36" s="17">
        <v>0</v>
      </c>
      <c r="T36" s="17">
        <v>0</v>
      </c>
      <c r="U36" s="17">
        <v>0</v>
      </c>
    </row>
    <row r="37" spans="1:21" x14ac:dyDescent="0.25">
      <c r="A37" t="s">
        <v>17</v>
      </c>
      <c r="B37" s="12">
        <v>35</v>
      </c>
      <c r="C37" s="14" t="s">
        <v>379</v>
      </c>
      <c r="D37" s="14">
        <v>87</v>
      </c>
      <c r="E37" s="14">
        <v>12.8</v>
      </c>
      <c r="F37" s="14">
        <v>113</v>
      </c>
      <c r="G37" s="14">
        <v>3.1</v>
      </c>
      <c r="H37" s="14">
        <v>1.8</v>
      </c>
      <c r="I37" s="14">
        <v>4.2</v>
      </c>
      <c r="J37" s="14">
        <v>19</v>
      </c>
      <c r="K37" s="14">
        <v>8</v>
      </c>
      <c r="L37" s="14">
        <v>580</v>
      </c>
      <c r="M37" s="14">
        <v>78</v>
      </c>
      <c r="N37" s="14">
        <v>21</v>
      </c>
      <c r="O37" s="14">
        <v>0.6</v>
      </c>
      <c r="P37" s="14">
        <v>3.3</v>
      </c>
      <c r="Q37" s="14">
        <v>1.8</v>
      </c>
      <c r="R37" s="14">
        <v>4</v>
      </c>
      <c r="S37" s="14">
        <v>0.4</v>
      </c>
      <c r="T37" s="14">
        <v>0.8</v>
      </c>
      <c r="U37" s="14">
        <v>0</v>
      </c>
    </row>
    <row r="38" spans="1:21" x14ac:dyDescent="0.25">
      <c r="A38" t="s">
        <v>49</v>
      </c>
      <c r="B38" s="15">
        <v>36</v>
      </c>
      <c r="C38" s="17" t="s">
        <v>380</v>
      </c>
      <c r="D38" s="17">
        <v>87</v>
      </c>
      <c r="E38" s="17">
        <v>12.2</v>
      </c>
      <c r="F38" s="17">
        <v>169</v>
      </c>
      <c r="G38" s="17">
        <v>5.9</v>
      </c>
      <c r="H38" s="17">
        <v>2.8</v>
      </c>
      <c r="I38" s="17">
        <v>6.3</v>
      </c>
      <c r="J38" s="17">
        <v>44</v>
      </c>
      <c r="K38" s="17">
        <v>15</v>
      </c>
      <c r="L38" s="17">
        <v>419</v>
      </c>
      <c r="M38" s="17">
        <v>60</v>
      </c>
      <c r="N38" s="17">
        <v>26</v>
      </c>
      <c r="O38" s="17">
        <v>0.8</v>
      </c>
      <c r="P38" s="17">
        <v>4</v>
      </c>
      <c r="Q38" s="17">
        <v>1.5</v>
      </c>
      <c r="R38" s="17">
        <v>5.0999999999999996</v>
      </c>
      <c r="S38" s="17">
        <v>0.5</v>
      </c>
      <c r="T38" s="17">
        <v>1.4</v>
      </c>
      <c r="U38" s="17">
        <v>0</v>
      </c>
    </row>
    <row r="39" spans="1:21" x14ac:dyDescent="0.25">
      <c r="B39" s="12">
        <v>37</v>
      </c>
      <c r="C39" s="14" t="s">
        <v>381</v>
      </c>
      <c r="D39" s="14">
        <v>87</v>
      </c>
      <c r="E39" s="14">
        <v>9.4</v>
      </c>
      <c r="F39" s="14">
        <v>157</v>
      </c>
      <c r="G39" s="14">
        <v>5.7</v>
      </c>
      <c r="H39" s="14">
        <v>2.6</v>
      </c>
      <c r="I39" s="14">
        <v>5.8</v>
      </c>
      <c r="J39" s="14">
        <v>39</v>
      </c>
      <c r="K39" s="14">
        <v>12</v>
      </c>
      <c r="L39" s="14">
        <v>270</v>
      </c>
      <c r="M39" s="14">
        <v>66</v>
      </c>
      <c r="N39" s="14">
        <v>65</v>
      </c>
      <c r="O39" s="14">
        <v>0.8</v>
      </c>
      <c r="P39" s="14">
        <v>4</v>
      </c>
      <c r="Q39" s="14">
        <v>1.5</v>
      </c>
      <c r="R39" s="14">
        <v>5.0999999999999996</v>
      </c>
      <c r="S39" s="14">
        <v>0.5</v>
      </c>
      <c r="T39" s="14">
        <v>1.4</v>
      </c>
      <c r="U39" s="14">
        <v>0</v>
      </c>
    </row>
    <row r="40" spans="1:21" x14ac:dyDescent="0.25">
      <c r="A40" t="s">
        <v>48</v>
      </c>
      <c r="B40" s="15">
        <v>38</v>
      </c>
      <c r="C40" s="17" t="s">
        <v>382</v>
      </c>
      <c r="D40" s="17">
        <v>87</v>
      </c>
      <c r="E40" s="17">
        <v>6.8</v>
      </c>
      <c r="F40" s="17">
        <v>157</v>
      </c>
      <c r="G40" s="17">
        <v>6.4</v>
      </c>
      <c r="H40" s="17">
        <v>2.5</v>
      </c>
      <c r="I40" s="17">
        <v>5.8</v>
      </c>
      <c r="J40" s="17">
        <v>45</v>
      </c>
      <c r="K40" s="17">
        <v>12</v>
      </c>
      <c r="L40" s="17">
        <v>135</v>
      </c>
      <c r="M40" s="17">
        <v>55</v>
      </c>
      <c r="N40" s="17">
        <v>100</v>
      </c>
      <c r="O40" s="17">
        <v>1.5</v>
      </c>
      <c r="P40" s="17">
        <v>11.5</v>
      </c>
      <c r="Q40" s="17">
        <v>6</v>
      </c>
      <c r="R40" s="17">
        <v>9.9</v>
      </c>
      <c r="S40" s="17">
        <v>0.8</v>
      </c>
      <c r="T40" s="17">
        <v>0.3</v>
      </c>
      <c r="U40" s="17">
        <v>0</v>
      </c>
    </row>
    <row r="41" spans="1:21" x14ac:dyDescent="0.25">
      <c r="A41" t="s">
        <v>41</v>
      </c>
      <c r="B41" s="12">
        <v>39</v>
      </c>
      <c r="C41" s="14" t="s">
        <v>383</v>
      </c>
      <c r="D41" s="14">
        <v>87</v>
      </c>
      <c r="E41" s="14">
        <v>11</v>
      </c>
      <c r="F41" s="14">
        <v>226</v>
      </c>
      <c r="G41" s="14">
        <v>15.8</v>
      </c>
      <c r="H41" s="14">
        <v>2.2999999999999998</v>
      </c>
      <c r="I41" s="14">
        <v>5.6</v>
      </c>
      <c r="J41" s="14">
        <v>13</v>
      </c>
      <c r="K41" s="14">
        <v>2.7</v>
      </c>
      <c r="L41" s="14">
        <v>416</v>
      </c>
      <c r="M41" s="14">
        <v>56</v>
      </c>
      <c r="N41" s="14">
        <v>61</v>
      </c>
      <c r="O41" s="14">
        <v>1.2</v>
      </c>
      <c r="P41" s="14">
        <v>3.5</v>
      </c>
      <c r="Q41" s="14">
        <v>1.2</v>
      </c>
      <c r="R41" s="14">
        <v>10.199999999999999</v>
      </c>
      <c r="S41" s="14">
        <v>0.4</v>
      </c>
      <c r="T41" s="14">
        <v>0.6</v>
      </c>
      <c r="U41" s="1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default</vt:lpstr>
      <vt:lpstr>feed pars</vt:lpstr>
      <vt:lpstr>pigs</vt:lpstr>
      <vt:lpstr>ruminants</vt:lpstr>
      <vt:lpstr>ruminants, roughage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2023-06-21T08:34:34Z</dcterms:modified>
</cp:coreProperties>
</file>