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filterPrivacy="1"/>
  <xr:revisionPtr revIDLastSave="0" documentId="13_ncr:1_{28BAE003-BE4D-4216-BCD8-506D76E50C25}" xr6:coauthVersionLast="47" xr6:coauthVersionMax="47" xr10:uidLastSave="{00000000-0000-0000-0000-000000000000}"/>
  <bookViews>
    <workbookView xWindow="-38520" yWindow="-120" windowWidth="38640" windowHeight="21120" tabRatio="746" activeTab="2" xr2:uid="{00000000-000D-0000-FFFF-FFFF00000000}"/>
  </bookViews>
  <sheets>
    <sheet name="Regions" sheetId="11" r:id="rId1"/>
    <sheet name="DemandAndConversions" sheetId="1" r:id="rId2"/>
    <sheet name="CropProduction" sheetId="10" r:id="rId3"/>
    <sheet name="CattleHerd" sheetId="2" r:id="rId4"/>
    <sheet name="PigHerd" sheetId="7" r:id="rId5"/>
    <sheet name="BroilerHerd" sheetId="8" r:id="rId6"/>
    <sheet name="LayerHerd" sheetId="9" r:id="rId7"/>
    <sheet name="WasteAndCircularity" sheetId="3" r:id="rId8"/>
    <sheet name="PlantNutrientMgmt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1" l="1"/>
  <c r="H18" i="11"/>
  <c r="H19" i="11"/>
  <c r="H20" i="11"/>
  <c r="H21" i="11"/>
  <c r="H32" i="11"/>
  <c r="H33" i="11"/>
  <c r="H34" i="11"/>
  <c r="H35" i="11"/>
  <c r="H36" i="11"/>
  <c r="H37" i="11"/>
  <c r="H48" i="11"/>
  <c r="H49" i="11"/>
  <c r="H50" i="11"/>
  <c r="H51" i="11"/>
  <c r="H52" i="11"/>
  <c r="H53" i="11"/>
  <c r="H65" i="11"/>
  <c r="H66" i="11"/>
  <c r="H67" i="11"/>
  <c r="H68" i="11"/>
  <c r="H69" i="11"/>
  <c r="H81" i="11"/>
  <c r="H82" i="11"/>
  <c r="H83" i="11"/>
  <c r="H84" i="11"/>
  <c r="H85" i="11"/>
  <c r="H96" i="11"/>
  <c r="H97" i="11"/>
  <c r="H98" i="11"/>
  <c r="H99" i="11"/>
  <c r="H100" i="11"/>
  <c r="H101" i="11"/>
  <c r="H6" i="11"/>
  <c r="H12" i="11" l="1"/>
  <c r="H107" i="11"/>
  <c r="H91" i="11"/>
  <c r="H75" i="11"/>
  <c r="H59" i="11"/>
  <c r="H43" i="11"/>
  <c r="H27" i="11"/>
  <c r="H11" i="11"/>
  <c r="H80" i="11"/>
  <c r="H64" i="11"/>
  <c r="H16" i="11"/>
  <c r="H5" i="11"/>
  <c r="H95" i="11"/>
  <c r="H79" i="11"/>
  <c r="H15" i="11"/>
  <c r="H110" i="11"/>
  <c r="H94" i="11"/>
  <c r="H78" i="11"/>
  <c r="H62" i="11"/>
  <c r="H46" i="11"/>
  <c r="H14" i="11"/>
  <c r="H109" i="11"/>
  <c r="H93" i="11"/>
  <c r="H77" i="11"/>
  <c r="H61" i="11"/>
  <c r="H13" i="11"/>
  <c r="H108" i="11"/>
  <c r="H92" i="11"/>
  <c r="H76" i="11"/>
  <c r="H44" i="11"/>
  <c r="H106" i="11"/>
  <c r="H90" i="11"/>
  <c r="H74" i="11"/>
  <c r="H58" i="11"/>
  <c r="H42" i="11"/>
  <c r="H26" i="11"/>
  <c r="H10" i="11"/>
  <c r="H63" i="11"/>
  <c r="H29" i="11"/>
  <c r="H105" i="11"/>
  <c r="H89" i="11"/>
  <c r="H73" i="11"/>
  <c r="H57" i="11"/>
  <c r="H41" i="11"/>
  <c r="H25" i="11"/>
  <c r="H9" i="11"/>
  <c r="H31" i="11"/>
  <c r="H30" i="11"/>
  <c r="H45" i="11"/>
  <c r="H60" i="11"/>
  <c r="H104" i="11"/>
  <c r="H88" i="11"/>
  <c r="H56" i="11"/>
  <c r="H40" i="11"/>
  <c r="H24" i="11"/>
  <c r="H8" i="11"/>
  <c r="H103" i="11"/>
  <c r="H87" i="11"/>
  <c r="H71" i="11"/>
  <c r="H55" i="11"/>
  <c r="H39" i="11"/>
  <c r="H23" i="11"/>
  <c r="H7" i="11"/>
  <c r="H47" i="11"/>
  <c r="H28" i="11"/>
  <c r="H72" i="11"/>
  <c r="H102" i="11"/>
  <c r="H86" i="11"/>
  <c r="H70" i="11"/>
  <c r="H54" i="11"/>
  <c r="H38" i="11"/>
  <c r="H22" i="11"/>
  <c r="I76" i="1" l="1"/>
  <c r="I82" i="1"/>
  <c r="I81" i="1"/>
  <c r="I80" i="1"/>
  <c r="I78" i="1"/>
  <c r="I74" i="1"/>
  <c r="I73" i="1"/>
  <c r="I71" i="1"/>
  <c r="I70" i="1"/>
  <c r="I69" i="1"/>
  <c r="I68" i="1"/>
  <c r="I67" i="1"/>
  <c r="I66" i="1"/>
  <c r="I64" i="1"/>
  <c r="I62" i="1"/>
  <c r="I61" i="1"/>
  <c r="I60" i="1"/>
  <c r="I59" i="1"/>
  <c r="I57" i="1"/>
  <c r="I56" i="1"/>
  <c r="I55" i="1"/>
  <c r="I54" i="1"/>
  <c r="I53" i="1"/>
  <c r="I52" i="1"/>
  <c r="I51" i="1"/>
  <c r="I49" i="1"/>
  <c r="I48" i="1"/>
  <c r="I47" i="1"/>
  <c r="I37" i="1"/>
  <c r="I38" i="1"/>
  <c r="I39" i="1"/>
  <c r="I40" i="1"/>
  <c r="I41" i="1"/>
  <c r="I42" i="1"/>
  <c r="I43" i="1"/>
  <c r="I44" i="1"/>
  <c r="I45" i="1"/>
  <c r="I36" i="1"/>
  <c r="I31" i="1" l="1"/>
  <c r="I30" i="1"/>
  <c r="I29" i="1"/>
  <c r="I28" i="1"/>
  <c r="I16" i="2"/>
  <c r="I15" i="2"/>
  <c r="I14" i="2"/>
  <c r="I13" i="2"/>
  <c r="I12" i="2"/>
  <c r="I11" i="2"/>
  <c r="I18" i="1" l="1"/>
  <c r="I16" i="1"/>
  <c r="I17" i="1" l="1"/>
  <c r="K18" i="1" s="1"/>
</calcChain>
</file>

<file path=xl/sharedStrings.xml><?xml version="1.0" encoding="utf-8"?>
<sst xmlns="http://schemas.openxmlformats.org/spreadsheetml/2006/main" count="1047" uniqueCount="161">
  <si>
    <t>val_is</t>
  </si>
  <si>
    <t>parameter</t>
  </si>
  <si>
    <t>f_breed</t>
  </si>
  <si>
    <t>f_prod_system</t>
  </si>
  <si>
    <t>dairy</t>
  </si>
  <si>
    <t>beef</t>
  </si>
  <si>
    <t>conventional</t>
  </si>
  <si>
    <t>y_2020</t>
  </si>
  <si>
    <t>organic</t>
  </si>
  <si>
    <t>share_in_prod_system</t>
  </si>
  <si>
    <t>rel</t>
  </si>
  <si>
    <t>Animal redistribution</t>
  </si>
  <si>
    <t>redist_male_calves</t>
  </si>
  <si>
    <t>redist_female_calves</t>
  </si>
  <si>
    <t>f_from_ps</t>
  </si>
  <si>
    <t>f_to_ps</t>
  </si>
  <si>
    <t>y_2050</t>
  </si>
  <si>
    <t>Pig meat and products</t>
  </si>
  <si>
    <t>Poultry meat and products</t>
  </si>
  <si>
    <t>f_food</t>
  </si>
  <si>
    <t>non_food_demand</t>
  </si>
  <si>
    <t>Ley, biogas feedstock</t>
  </si>
  <si>
    <t>f_food_group</t>
  </si>
  <si>
    <t>non-food</t>
  </si>
  <si>
    <t>new</t>
  </si>
  <si>
    <t>tonnes DM</t>
  </si>
  <si>
    <t>f_feedstock_type</t>
  </si>
  <si>
    <t>f_treatment</t>
  </si>
  <si>
    <t>treatment_share</t>
  </si>
  <si>
    <t>food waste, household</t>
  </si>
  <si>
    <t>anaerobic digestion</t>
  </si>
  <si>
    <t>composting</t>
  </si>
  <si>
    <t>incineration</t>
  </si>
  <si>
    <t>landfill</t>
  </si>
  <si>
    <t>food waste, retail</t>
  </si>
  <si>
    <t>food waste, processing</t>
  </si>
  <si>
    <t>abs</t>
  </si>
  <si>
    <t>manure_TAN_max</t>
  </si>
  <si>
    <t>f_crop</t>
  </si>
  <si>
    <t>Green manure</t>
  </si>
  <si>
    <t>f_region</t>
  </si>
  <si>
    <t>consumption</t>
  </si>
  <si>
    <t>Peas, dry</t>
  </si>
  <si>
    <t>Broad beans and horse beans, dry</t>
  </si>
  <si>
    <t>Beans, dry</t>
  </si>
  <si>
    <t>Rape and mustard oil and products</t>
  </si>
  <si>
    <t>pulses</t>
  </si>
  <si>
    <t>tubers</t>
  </si>
  <si>
    <t>vegetables</t>
  </si>
  <si>
    <t>fruits</t>
  </si>
  <si>
    <t>Butter</t>
  </si>
  <si>
    <t>Bovine meat and products</t>
  </si>
  <si>
    <t>Mutton/goat meat</t>
  </si>
  <si>
    <t>Eggs</t>
  </si>
  <si>
    <t>heifers</t>
  </si>
  <si>
    <t>live_weight_slaughter</t>
  </si>
  <si>
    <t>steers</t>
  </si>
  <si>
    <t>bulls</t>
  </si>
  <si>
    <t>f_animal</t>
  </si>
  <si>
    <t>slaughter_weight</t>
  </si>
  <si>
    <t>milk_prod</t>
  </si>
  <si>
    <t>finishing pigs</t>
  </si>
  <si>
    <t>broilers</t>
  </si>
  <si>
    <t>feed_conversion_ratio</t>
  </si>
  <si>
    <t>egg_production</t>
  </si>
  <si>
    <t>f_crop_group:crop</t>
  </si>
  <si>
    <t>Wheat, winter</t>
  </si>
  <si>
    <t>yield</t>
  </si>
  <si>
    <t>Wheat, spring</t>
  </si>
  <si>
    <t>Rye</t>
  </si>
  <si>
    <t>Barley, winter</t>
  </si>
  <si>
    <t>Barley, spring</t>
  </si>
  <si>
    <t>Oats</t>
  </si>
  <si>
    <t>Apples</t>
  </si>
  <si>
    <t>Potatoes, table</t>
  </si>
  <si>
    <t>Potatoes, starch</t>
  </si>
  <si>
    <t>Sugar beet</t>
  </si>
  <si>
    <t>Rapeseed, winter</t>
  </si>
  <si>
    <t>Rapeseed, spring</t>
  </si>
  <si>
    <t>Vegetables</t>
  </si>
  <si>
    <t>Vegetables, greenhouse</t>
  </si>
  <si>
    <t>Wheat grains</t>
  </si>
  <si>
    <t>cereals</t>
  </si>
  <si>
    <t>export_demand</t>
  </si>
  <si>
    <t>Barley grains</t>
  </si>
  <si>
    <t>Rye grains</t>
  </si>
  <si>
    <t>Oat grains</t>
  </si>
  <si>
    <t>tonnes</t>
  </si>
  <si>
    <t>0.2 in Basnet et al (2023). Increased  to avoid cream balance problems</t>
  </si>
  <si>
    <t>household</t>
  </si>
  <si>
    <t>waste_share</t>
  </si>
  <si>
    <t>f_waste_level</t>
  </si>
  <si>
    <t>non-manure organic fertilisers to organic areas</t>
  </si>
  <si>
    <t>Set to limit N deficits while distributing as much</t>
  </si>
  <si>
    <t>Sugar and products</t>
  </si>
  <si>
    <t>Wheat and products, refined</t>
  </si>
  <si>
    <t>domestic</t>
  </si>
  <si>
    <t>Wheat and products, whole grain</t>
  </si>
  <si>
    <t>Barley and products, refined</t>
  </si>
  <si>
    <t>Barley and products, whole grain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</si>
  <si>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</si>
  <si>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</si>
  <si>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</si>
  <si>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</si>
  <si>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</si>
  <si>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</si>
  <si>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</si>
  <si>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</si>
  <si>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</si>
  <si>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</si>
  <si>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Carrots and turnips</t>
  </si>
  <si>
    <t>Beetroot</t>
  </si>
  <si>
    <t>Onions, dry</t>
  </si>
  <si>
    <t>Lettuce and spinach</t>
  </si>
  <si>
    <t>Tomatoes and products</t>
  </si>
  <si>
    <t>Cucumbers and gherkins</t>
  </si>
  <si>
    <t>Other vegetables</t>
  </si>
  <si>
    <t>Fruits (excl. wine)</t>
  </si>
  <si>
    <t>Apple juice</t>
  </si>
  <si>
    <t>Apple juice concentrate</t>
  </si>
  <si>
    <t>Pears</t>
  </si>
  <si>
    <t>Dairy foods</t>
  </si>
  <si>
    <t>Meat, offals and animal fats</t>
  </si>
  <si>
    <t>Offals</t>
  </si>
  <si>
    <t>share_imported</t>
  </si>
  <si>
    <t>Blood in food</t>
  </si>
  <si>
    <t>Eggs novel foods</t>
  </si>
  <si>
    <t>Pulses and oil seeds</t>
  </si>
  <si>
    <t>Vegetable oils</t>
  </si>
  <si>
    <t>Alcoholic beverages</t>
  </si>
  <si>
    <t>Barley beer</t>
  </si>
  <si>
    <t>Beverages, fermented and products</t>
  </si>
  <si>
    <t>Beverages, alcoholic</t>
  </si>
  <si>
    <t>f_origin</t>
  </si>
  <si>
    <t>Cereals</t>
  </si>
  <si>
    <t>f</t>
  </si>
  <si>
    <t>min</t>
  </si>
  <si>
    <t>max</t>
  </si>
  <si>
    <t>Share organic</t>
  </si>
  <si>
    <t>max_in_rot</t>
  </si>
  <si>
    <t>f_crop_group</t>
  </si>
  <si>
    <t>Cereals, winter</t>
  </si>
  <si>
    <t>Cereals, spring</t>
  </si>
  <si>
    <t>min_in_rot</t>
  </si>
  <si>
    <t>y_2025</t>
  </si>
  <si>
    <t>Calculated from relative yield changes in Basnet et al (2023)</t>
  </si>
  <si>
    <t>adjusted from 2010-2050 to 2020-2050</t>
  </si>
  <si>
    <t>Assume only organic production for increased exports</t>
  </si>
  <si>
    <t>Adjusted to reach around 50% organic cropland in 2050</t>
  </si>
  <si>
    <t>Assume same relative productivity inprovements for organic as conventional</t>
  </si>
  <si>
    <t>Basnet et al (2023) gives productivity in kg/head, assume here that it would also imply better FCR</t>
  </si>
  <si>
    <t>as possible to limit dependence on conventional manure</t>
  </si>
  <si>
    <t>x0_crops</t>
  </si>
  <si>
    <t>x0 cropland</t>
  </si>
  <si>
    <t>f_land_use</t>
  </si>
  <si>
    <t>Here the x0_crops parameter for "Green manure" is changed to aim for larger areas in all regions.</t>
  </si>
  <si>
    <t>If these changes are not included the model generates a very uneaven distribution of organic area</t>
  </si>
  <si>
    <t>factor</t>
  </si>
  <si>
    <t>with 100% organic in some regions and 0% in other regions as it is quite strongly aiming for small areas</t>
  </si>
  <si>
    <t>of "Green manure" in some regions.</t>
  </si>
  <si>
    <t>Share set to give no N deficits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</si>
</sst>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theme="1"/>
      <name val="Var(--jp-code-font-family)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2" fillId="0" borderId="0" xfId="0" applyFont="1"/>
    <xf numFmtId="0" fontId="5" fillId="0" borderId="0" xfId="0" applyFont="1"/>
    <xf numFmtId="164" fontId="0" fillId="0" borderId="0" xfId="0" applyNumberFormat="1"/>
    <xf numFmtId="1" fontId="0" fillId="0" borderId="0" xfId="0" applyNumberFormat="1"/>
    <xf numFmtId="2" fontId="0" fillId="0" borderId="0" xfId="1" applyNumberFormat="1" applyFont="1"/>
    <xf numFmtId="164" fontId="1" fillId="0" borderId="0" xfId="0" applyNumberFormat="1" applyFont="1"/>
    <xf numFmtId="0" fontId="6" fillId="0" borderId="0" xfId="0" applyFont="1"/>
    <xf numFmtId="164" fontId="6" fillId="0" borderId="0" xfId="0" applyNumberFormat="1" applyFont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" fontId="8" fillId="0" borderId="0" xfId="0" applyNumberFormat="1" applyFont="1"/>
    <xf numFmtId="0" fontId="9" fillId="0" borderId="0" xfId="0" applyFont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 applyAlignment="1">
      <alignment horizontal="left" vertical="center"/>
    </xf>
    <xf numFmtId="49" fontId="0" fillId="0" borderId="0" xfId="0" applyNumberFormat="1"/>
    <xf numFmtId="0" fontId="1" fillId="0" borderId="0" xfId="0" applyFon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0"/>
  <sheetViews>
    <sheetView workbookViewId="0">
      <selection activeCell="E10" sqref="E10"/>
    </sheetView>
  </sheetViews>
  <sheetFormatPr defaultRowHeight="15"/>
  <cols>
    <col min="1" max="1" width="10.7109375" bestFit="1" customWidth="1"/>
    <col min="2" max="2" width="17.42578125" bestFit="1" customWidth="1"/>
    <col min="3" max="3" width="14.28515625" bestFit="1" customWidth="1"/>
    <col min="4" max="4" width="14.28515625" customWidth="1"/>
    <col min="5" max="5" width="20.140625" bestFit="1" customWidth="1"/>
    <col min="6" max="6" width="6" bestFit="1" customWidth="1"/>
    <col min="7" max="8" width="7" bestFit="1" customWidth="1"/>
  </cols>
  <sheetData>
    <row r="1" spans="1:13">
      <c r="A1" s="1" t="s">
        <v>154</v>
      </c>
      <c r="B1" s="1" t="s">
        <v>38</v>
      </c>
      <c r="C1" s="1" t="s">
        <v>3</v>
      </c>
      <c r="D1" s="1" t="s">
        <v>40</v>
      </c>
      <c r="E1" s="1" t="s">
        <v>1</v>
      </c>
      <c r="F1" s="1" t="s">
        <v>0</v>
      </c>
      <c r="G1" s="1" t="s">
        <v>7</v>
      </c>
      <c r="H1" s="1" t="s">
        <v>16</v>
      </c>
    </row>
    <row r="3" spans="1:13">
      <c r="K3" t="s">
        <v>157</v>
      </c>
      <c r="L3">
        <v>0.01</v>
      </c>
    </row>
    <row r="4" spans="1:13">
      <c r="K4" s="5" t="s">
        <v>153</v>
      </c>
    </row>
    <row r="5" spans="1:13">
      <c r="B5" t="s">
        <v>39</v>
      </c>
      <c r="C5" t="s">
        <v>8</v>
      </c>
      <c r="D5">
        <v>1011</v>
      </c>
      <c r="E5" t="s">
        <v>152</v>
      </c>
      <c r="F5" t="s">
        <v>36</v>
      </c>
      <c r="G5" s="4">
        <v>0</v>
      </c>
      <c r="H5" s="4">
        <f>K5*$L$3</f>
        <v>255.94738467494699</v>
      </c>
      <c r="K5" s="4">
        <v>25594.738467494699</v>
      </c>
      <c r="M5" s="24" t="s">
        <v>155</v>
      </c>
    </row>
    <row r="6" spans="1:13">
      <c r="B6" t="s">
        <v>39</v>
      </c>
      <c r="C6" t="s">
        <v>8</v>
      </c>
      <c r="D6">
        <v>111</v>
      </c>
      <c r="E6" t="s">
        <v>152</v>
      </c>
      <c r="F6" t="s">
        <v>36</v>
      </c>
      <c r="G6" s="4">
        <v>3.85524386673332</v>
      </c>
      <c r="H6" s="4">
        <f t="shared" ref="H6:H69" si="0">K6*$L$3</f>
        <v>304.70923931982901</v>
      </c>
      <c r="K6" s="4">
        <v>30470.923931982899</v>
      </c>
      <c r="M6" s="24" t="s">
        <v>156</v>
      </c>
    </row>
    <row r="7" spans="1:13">
      <c r="B7" t="s">
        <v>39</v>
      </c>
      <c r="C7" t="s">
        <v>8</v>
      </c>
      <c r="D7">
        <v>1111</v>
      </c>
      <c r="E7" t="s">
        <v>152</v>
      </c>
      <c r="F7" t="s">
        <v>36</v>
      </c>
      <c r="G7" s="4">
        <v>28.390559677419301</v>
      </c>
      <c r="H7" s="4">
        <f t="shared" si="0"/>
        <v>299.953161813674</v>
      </c>
      <c r="K7" s="4">
        <v>29995.316181367401</v>
      </c>
      <c r="M7" s="24" t="s">
        <v>158</v>
      </c>
    </row>
    <row r="8" spans="1:13">
      <c r="B8" t="s">
        <v>39</v>
      </c>
      <c r="C8" t="s">
        <v>8</v>
      </c>
      <c r="D8">
        <v>1112</v>
      </c>
      <c r="E8" t="s">
        <v>152</v>
      </c>
      <c r="F8" t="s">
        <v>36</v>
      </c>
      <c r="G8" s="4">
        <v>1.4568746404970101</v>
      </c>
      <c r="H8" s="4">
        <f t="shared" si="0"/>
        <v>207.625598364898</v>
      </c>
      <c r="K8" s="4">
        <v>20762.5598364898</v>
      </c>
      <c r="M8" s="24" t="s">
        <v>159</v>
      </c>
    </row>
    <row r="9" spans="1:13">
      <c r="B9" t="s">
        <v>39</v>
      </c>
      <c r="C9" t="s">
        <v>8</v>
      </c>
      <c r="D9">
        <v>112</v>
      </c>
      <c r="E9" t="s">
        <v>152</v>
      </c>
      <c r="F9" t="s">
        <v>36</v>
      </c>
      <c r="G9" s="4">
        <v>3.12157615521265</v>
      </c>
      <c r="H9" s="4">
        <f t="shared" si="0"/>
        <v>271.49729882110103</v>
      </c>
      <c r="K9" s="4">
        <v>27149.729882110099</v>
      </c>
    </row>
    <row r="10" spans="1:13">
      <c r="B10" t="s">
        <v>39</v>
      </c>
      <c r="C10" t="s">
        <v>8</v>
      </c>
      <c r="D10">
        <v>1121</v>
      </c>
      <c r="E10" t="s">
        <v>152</v>
      </c>
      <c r="F10" t="s">
        <v>36</v>
      </c>
      <c r="G10" s="4">
        <v>2.2833822580645098</v>
      </c>
      <c r="H10" s="4">
        <f t="shared" si="0"/>
        <v>406.29728557399199</v>
      </c>
      <c r="K10" s="4">
        <v>40629.728557399198</v>
      </c>
    </row>
    <row r="11" spans="1:13">
      <c r="B11" t="s">
        <v>39</v>
      </c>
      <c r="C11" t="s">
        <v>8</v>
      </c>
      <c r="D11">
        <v>1122</v>
      </c>
      <c r="E11" t="s">
        <v>152</v>
      </c>
      <c r="F11" t="s">
        <v>36</v>
      </c>
      <c r="G11" s="4">
        <v>0</v>
      </c>
      <c r="H11" s="4">
        <f t="shared" si="0"/>
        <v>292.58245666252799</v>
      </c>
      <c r="K11" s="4">
        <v>29258.245666252798</v>
      </c>
    </row>
    <row r="12" spans="1:13">
      <c r="B12" t="s">
        <v>39</v>
      </c>
      <c r="C12" t="s">
        <v>8</v>
      </c>
      <c r="D12">
        <v>1123</v>
      </c>
      <c r="E12" t="s">
        <v>152</v>
      </c>
      <c r="F12" t="s">
        <v>36</v>
      </c>
      <c r="G12" s="4">
        <v>3.33418709677419</v>
      </c>
      <c r="H12" s="4">
        <f t="shared" si="0"/>
        <v>322.61307686954302</v>
      </c>
      <c r="K12" s="4">
        <v>32261.3076869543</v>
      </c>
    </row>
    <row r="13" spans="1:13">
      <c r="B13" t="s">
        <v>39</v>
      </c>
      <c r="C13" t="s">
        <v>8</v>
      </c>
      <c r="D13">
        <v>1124</v>
      </c>
      <c r="E13" t="s">
        <v>152</v>
      </c>
      <c r="F13" t="s">
        <v>36</v>
      </c>
      <c r="G13" s="4">
        <v>0</v>
      </c>
      <c r="H13" s="4">
        <f t="shared" si="0"/>
        <v>149.098933268471</v>
      </c>
      <c r="K13" s="4">
        <v>14909.893326847099</v>
      </c>
    </row>
    <row r="14" spans="1:13">
      <c r="B14" t="s">
        <v>39</v>
      </c>
      <c r="C14" t="s">
        <v>8</v>
      </c>
      <c r="D14">
        <v>1131</v>
      </c>
      <c r="E14" t="s">
        <v>152</v>
      </c>
      <c r="F14" t="s">
        <v>36</v>
      </c>
      <c r="G14" s="4">
        <v>5.0568120791127803E-2</v>
      </c>
      <c r="H14" s="4">
        <f t="shared" si="0"/>
        <v>108.848233566283</v>
      </c>
      <c r="K14" s="4">
        <v>10884.8233566283</v>
      </c>
    </row>
    <row r="15" spans="1:13">
      <c r="B15" t="s">
        <v>39</v>
      </c>
      <c r="C15" t="s">
        <v>8</v>
      </c>
      <c r="D15">
        <v>1211</v>
      </c>
      <c r="E15" t="s">
        <v>152</v>
      </c>
      <c r="F15" t="s">
        <v>36</v>
      </c>
      <c r="G15" s="4">
        <v>9.5731145161290296</v>
      </c>
      <c r="H15" s="4">
        <f t="shared" si="0"/>
        <v>425.79028809374404</v>
      </c>
      <c r="K15" s="4">
        <v>42579.028809374402</v>
      </c>
    </row>
    <row r="16" spans="1:13">
      <c r="B16" t="s">
        <v>39</v>
      </c>
      <c r="C16" t="s">
        <v>8</v>
      </c>
      <c r="D16">
        <v>1212</v>
      </c>
      <c r="E16" t="s">
        <v>152</v>
      </c>
      <c r="F16" t="s">
        <v>36</v>
      </c>
      <c r="G16" s="4">
        <v>0</v>
      </c>
      <c r="H16" s="4">
        <f t="shared" si="0"/>
        <v>273.90022763511701</v>
      </c>
      <c r="K16" s="4">
        <v>27390.022763511701</v>
      </c>
    </row>
    <row r="17" spans="2:11">
      <c r="B17" t="s">
        <v>39</v>
      </c>
      <c r="C17" t="s">
        <v>8</v>
      </c>
      <c r="D17">
        <v>1213</v>
      </c>
      <c r="E17" t="s">
        <v>152</v>
      </c>
      <c r="F17" t="s">
        <v>36</v>
      </c>
      <c r="G17" s="4">
        <v>0</v>
      </c>
      <c r="H17" s="4">
        <f t="shared" si="0"/>
        <v>234.328185557002</v>
      </c>
      <c r="K17" s="4">
        <v>23432.8185557002</v>
      </c>
    </row>
    <row r="18" spans="2:11">
      <c r="B18" t="s">
        <v>39</v>
      </c>
      <c r="C18" t="s">
        <v>8</v>
      </c>
      <c r="D18">
        <v>1214</v>
      </c>
      <c r="E18" t="s">
        <v>152</v>
      </c>
      <c r="F18" t="s">
        <v>36</v>
      </c>
      <c r="G18" s="4">
        <v>5.0765967741935398</v>
      </c>
      <c r="H18" s="4">
        <f t="shared" si="0"/>
        <v>319.14326572592302</v>
      </c>
      <c r="K18" s="4">
        <v>31914.326572592301</v>
      </c>
    </row>
    <row r="19" spans="2:11">
      <c r="B19" t="s">
        <v>39</v>
      </c>
      <c r="C19" t="s">
        <v>8</v>
      </c>
      <c r="D19">
        <v>1215</v>
      </c>
      <c r="E19" t="s">
        <v>152</v>
      </c>
      <c r="F19" t="s">
        <v>36</v>
      </c>
      <c r="G19" s="4">
        <v>2.9858499999999899</v>
      </c>
      <c r="H19" s="4">
        <f t="shared" si="0"/>
        <v>514.10457479258196</v>
      </c>
      <c r="K19" s="4">
        <v>51410.457479258199</v>
      </c>
    </row>
    <row r="20" spans="2:11">
      <c r="B20" t="s">
        <v>39</v>
      </c>
      <c r="C20" t="s">
        <v>8</v>
      </c>
      <c r="D20">
        <v>1216</v>
      </c>
      <c r="E20" t="s">
        <v>152</v>
      </c>
      <c r="F20" t="s">
        <v>36</v>
      </c>
      <c r="G20" s="4">
        <v>5.4973532258064504</v>
      </c>
      <c r="H20" s="4">
        <f t="shared" si="0"/>
        <v>444.56214437804101</v>
      </c>
      <c r="K20" s="4">
        <v>44456.214437804098</v>
      </c>
    </row>
    <row r="21" spans="2:11">
      <c r="B21" t="s">
        <v>39</v>
      </c>
      <c r="C21" t="s">
        <v>8</v>
      </c>
      <c r="D21">
        <v>1221</v>
      </c>
      <c r="E21" t="s">
        <v>152</v>
      </c>
      <c r="F21" t="s">
        <v>36</v>
      </c>
      <c r="G21" s="4">
        <v>10.3921774193548</v>
      </c>
      <c r="H21" s="4">
        <f t="shared" si="0"/>
        <v>173.92603008132701</v>
      </c>
      <c r="K21" s="4">
        <v>17392.603008132701</v>
      </c>
    </row>
    <row r="22" spans="2:11">
      <c r="B22" t="s">
        <v>39</v>
      </c>
      <c r="C22" t="s">
        <v>8</v>
      </c>
      <c r="D22">
        <v>1222</v>
      </c>
      <c r="E22" t="s">
        <v>152</v>
      </c>
      <c r="F22" t="s">
        <v>36</v>
      </c>
      <c r="G22" s="4">
        <v>9.9996645161290303</v>
      </c>
      <c r="H22" s="4">
        <f t="shared" si="0"/>
        <v>211.77348443123702</v>
      </c>
      <c r="K22" s="4">
        <v>21177.348443123701</v>
      </c>
    </row>
    <row r="23" spans="2:11">
      <c r="B23" t="s">
        <v>39</v>
      </c>
      <c r="C23" t="s">
        <v>8</v>
      </c>
      <c r="D23">
        <v>1311</v>
      </c>
      <c r="E23" t="s">
        <v>152</v>
      </c>
      <c r="F23" t="s">
        <v>36</v>
      </c>
      <c r="G23" s="4">
        <v>7.9666243654822297</v>
      </c>
      <c r="H23" s="4">
        <f t="shared" si="0"/>
        <v>362.515526566294</v>
      </c>
      <c r="K23" s="4">
        <v>36251.552656629399</v>
      </c>
    </row>
    <row r="24" spans="2:11">
      <c r="B24" t="s">
        <v>39</v>
      </c>
      <c r="C24" t="s">
        <v>8</v>
      </c>
      <c r="D24">
        <v>1321</v>
      </c>
      <c r="E24" t="s">
        <v>152</v>
      </c>
      <c r="F24" t="s">
        <v>36</v>
      </c>
      <c r="G24" s="4">
        <v>0</v>
      </c>
      <c r="H24" s="4">
        <f t="shared" si="0"/>
        <v>369.01952520574201</v>
      </c>
      <c r="K24" s="4">
        <v>36901.952520574203</v>
      </c>
    </row>
    <row r="25" spans="2:11">
      <c r="B25" t="s">
        <v>39</v>
      </c>
      <c r="C25" t="s">
        <v>8</v>
      </c>
      <c r="D25">
        <v>1322</v>
      </c>
      <c r="E25" t="s">
        <v>152</v>
      </c>
      <c r="F25" t="s">
        <v>36</v>
      </c>
      <c r="G25" s="4">
        <v>5.9847792665449498E-2</v>
      </c>
      <c r="H25" s="4">
        <f t="shared" si="0"/>
        <v>109.40458549732901</v>
      </c>
      <c r="K25" s="4">
        <v>10940.458549732901</v>
      </c>
    </row>
    <row r="26" spans="2:11">
      <c r="B26" t="s">
        <v>39</v>
      </c>
      <c r="C26" t="s">
        <v>8</v>
      </c>
      <c r="D26">
        <v>1331</v>
      </c>
      <c r="E26" t="s">
        <v>152</v>
      </c>
      <c r="F26" t="s">
        <v>36</v>
      </c>
      <c r="G26" s="4">
        <v>5.6030911976997197</v>
      </c>
      <c r="H26" s="4">
        <f t="shared" si="0"/>
        <v>260.75858565248103</v>
      </c>
      <c r="K26" s="4">
        <v>26075.858565248102</v>
      </c>
    </row>
    <row r="27" spans="2:11">
      <c r="B27" t="s">
        <v>39</v>
      </c>
      <c r="C27" t="s">
        <v>8</v>
      </c>
      <c r="D27">
        <v>1411</v>
      </c>
      <c r="E27" t="s">
        <v>152</v>
      </c>
      <c r="F27" t="s">
        <v>36</v>
      </c>
      <c r="G27" s="4">
        <v>19.649878857142799</v>
      </c>
      <c r="H27" s="4">
        <f t="shared" si="0"/>
        <v>156.85734778602702</v>
      </c>
      <c r="K27" s="4">
        <v>15685.7347786027</v>
      </c>
    </row>
    <row r="28" spans="2:11">
      <c r="B28" t="s">
        <v>39</v>
      </c>
      <c r="C28" t="s">
        <v>8</v>
      </c>
      <c r="D28">
        <v>1412</v>
      </c>
      <c r="E28" t="s">
        <v>152</v>
      </c>
      <c r="F28" t="s">
        <v>36</v>
      </c>
      <c r="G28" s="4">
        <v>23.407983238095198</v>
      </c>
      <c r="H28" s="4">
        <f t="shared" si="0"/>
        <v>233.194038082909</v>
      </c>
      <c r="K28" s="4">
        <v>23319.403808290899</v>
      </c>
    </row>
    <row r="29" spans="2:11">
      <c r="B29" t="s">
        <v>39</v>
      </c>
      <c r="C29" t="s">
        <v>8</v>
      </c>
      <c r="D29">
        <v>1421</v>
      </c>
      <c r="E29" t="s">
        <v>152</v>
      </c>
      <c r="F29" t="s">
        <v>36</v>
      </c>
      <c r="G29" s="4">
        <v>21.919931428571399</v>
      </c>
      <c r="H29" s="4">
        <f t="shared" si="0"/>
        <v>159.70658457586902</v>
      </c>
      <c r="K29" s="4">
        <v>15970.6584575869</v>
      </c>
    </row>
    <row r="30" spans="2:11">
      <c r="B30" t="s">
        <v>39</v>
      </c>
      <c r="C30" t="s">
        <v>8</v>
      </c>
      <c r="D30">
        <v>1511</v>
      </c>
      <c r="E30" t="s">
        <v>152</v>
      </c>
      <c r="F30" t="s">
        <v>36</v>
      </c>
      <c r="G30" s="4">
        <v>0.198347796192821</v>
      </c>
      <c r="H30" s="4">
        <f t="shared" si="0"/>
        <v>335.12959494746298</v>
      </c>
      <c r="K30" s="4">
        <v>33512.959494746297</v>
      </c>
    </row>
    <row r="31" spans="2:11">
      <c r="B31" t="s">
        <v>39</v>
      </c>
      <c r="C31" t="s">
        <v>8</v>
      </c>
      <c r="D31">
        <v>1512</v>
      </c>
      <c r="E31" t="s">
        <v>152</v>
      </c>
      <c r="F31" t="s">
        <v>36</v>
      </c>
      <c r="G31" s="4">
        <v>16.805983999999999</v>
      </c>
      <c r="H31" s="4">
        <f t="shared" si="0"/>
        <v>328.196802270364</v>
      </c>
      <c r="K31" s="4">
        <v>32819.680227036399</v>
      </c>
    </row>
    <row r="32" spans="2:11">
      <c r="B32" t="s">
        <v>39</v>
      </c>
      <c r="C32" t="s">
        <v>8</v>
      </c>
      <c r="D32">
        <v>1521</v>
      </c>
      <c r="E32" t="s">
        <v>152</v>
      </c>
      <c r="F32" t="s">
        <v>36</v>
      </c>
      <c r="G32" s="4">
        <v>1.43265506464887</v>
      </c>
      <c r="H32" s="4">
        <f t="shared" si="0"/>
        <v>158.12143738184702</v>
      </c>
      <c r="K32" s="4">
        <v>15812.143738184701</v>
      </c>
    </row>
    <row r="33" spans="2:11">
      <c r="B33" t="s">
        <v>39</v>
      </c>
      <c r="C33" t="s">
        <v>8</v>
      </c>
      <c r="D33">
        <v>1522</v>
      </c>
      <c r="E33" t="s">
        <v>152</v>
      </c>
      <c r="F33" t="s">
        <v>36</v>
      </c>
      <c r="G33" s="4">
        <v>13.6976716190476</v>
      </c>
      <c r="H33" s="4">
        <f t="shared" si="0"/>
        <v>196.40458204037401</v>
      </c>
      <c r="K33" s="4">
        <v>19640.458204037401</v>
      </c>
    </row>
    <row r="34" spans="2:11">
      <c r="B34" t="s">
        <v>39</v>
      </c>
      <c r="C34" t="s">
        <v>8</v>
      </c>
      <c r="D34">
        <v>1611</v>
      </c>
      <c r="E34" t="s">
        <v>152</v>
      </c>
      <c r="F34" t="s">
        <v>36</v>
      </c>
      <c r="G34" s="4">
        <v>0</v>
      </c>
      <c r="H34" s="4">
        <f t="shared" si="0"/>
        <v>90.780608691938596</v>
      </c>
      <c r="K34" s="4">
        <v>9078.0608691938596</v>
      </c>
    </row>
    <row r="35" spans="2:11">
      <c r="B35" t="s">
        <v>39</v>
      </c>
      <c r="C35" t="s">
        <v>8</v>
      </c>
      <c r="D35">
        <v>1612</v>
      </c>
      <c r="E35" t="s">
        <v>152</v>
      </c>
      <c r="F35" t="s">
        <v>36</v>
      </c>
      <c r="G35" s="4">
        <v>6.1342695113458996</v>
      </c>
      <c r="H35" s="4">
        <f t="shared" si="0"/>
        <v>279.12440119518999</v>
      </c>
      <c r="K35" s="4">
        <v>27912.440119519</v>
      </c>
    </row>
    <row r="36" spans="2:11">
      <c r="B36" t="s">
        <v>39</v>
      </c>
      <c r="C36" t="s">
        <v>8</v>
      </c>
      <c r="D36">
        <v>1613</v>
      </c>
      <c r="E36" t="s">
        <v>152</v>
      </c>
      <c r="F36" t="s">
        <v>36</v>
      </c>
      <c r="G36" s="4">
        <v>0</v>
      </c>
      <c r="H36" s="4">
        <f t="shared" si="0"/>
        <v>241.05913007931002</v>
      </c>
      <c r="K36" s="4">
        <v>24105.913007931002</v>
      </c>
    </row>
    <row r="37" spans="2:11">
      <c r="B37" t="s">
        <v>39</v>
      </c>
      <c r="C37" t="s">
        <v>8</v>
      </c>
      <c r="D37">
        <v>1614</v>
      </c>
      <c r="E37" t="s">
        <v>152</v>
      </c>
      <c r="F37" t="s">
        <v>36</v>
      </c>
      <c r="G37" s="4">
        <v>0</v>
      </c>
      <c r="H37" s="4">
        <f t="shared" si="0"/>
        <v>254.411615241389</v>
      </c>
      <c r="K37" s="4">
        <v>25441.161524138901</v>
      </c>
    </row>
    <row r="38" spans="2:11">
      <c r="B38" t="s">
        <v>39</v>
      </c>
      <c r="C38" t="s">
        <v>8</v>
      </c>
      <c r="D38">
        <v>1615</v>
      </c>
      <c r="E38" t="s">
        <v>152</v>
      </c>
      <c r="F38" t="s">
        <v>36</v>
      </c>
      <c r="G38" s="4">
        <v>19.395306666666599</v>
      </c>
      <c r="H38" s="4">
        <f t="shared" si="0"/>
        <v>250.19830913809099</v>
      </c>
      <c r="K38" s="4">
        <v>25019.830913809099</v>
      </c>
    </row>
    <row r="39" spans="2:11">
      <c r="B39" t="s">
        <v>39</v>
      </c>
      <c r="C39" t="s">
        <v>8</v>
      </c>
      <c r="D39">
        <v>1616</v>
      </c>
      <c r="E39" t="s">
        <v>152</v>
      </c>
      <c r="F39" t="s">
        <v>36</v>
      </c>
      <c r="G39" s="4">
        <v>0</v>
      </c>
      <c r="H39" s="4">
        <f t="shared" si="0"/>
        <v>350.39342916824603</v>
      </c>
      <c r="K39" s="4">
        <v>35039.3429168246</v>
      </c>
    </row>
    <row r="40" spans="2:11">
      <c r="B40" t="s">
        <v>39</v>
      </c>
      <c r="C40" t="s">
        <v>8</v>
      </c>
      <c r="D40">
        <v>1617</v>
      </c>
      <c r="E40" t="s">
        <v>152</v>
      </c>
      <c r="F40" t="s">
        <v>36</v>
      </c>
      <c r="G40" s="4">
        <v>0</v>
      </c>
      <c r="H40" s="4">
        <f t="shared" si="0"/>
        <v>125.46956607126199</v>
      </c>
      <c r="K40" s="4">
        <v>12546.9566071262</v>
      </c>
    </row>
    <row r="41" spans="2:11">
      <c r="B41" t="s">
        <v>39</v>
      </c>
      <c r="C41" t="s">
        <v>8</v>
      </c>
      <c r="D41">
        <v>1621</v>
      </c>
      <c r="E41" t="s">
        <v>152</v>
      </c>
      <c r="F41" t="s">
        <v>36</v>
      </c>
      <c r="G41" s="4">
        <v>68.060789333333304</v>
      </c>
      <c r="H41" s="4">
        <f t="shared" si="0"/>
        <v>428.002241716887</v>
      </c>
      <c r="K41" s="4">
        <v>42800.2241716887</v>
      </c>
    </row>
    <row r="42" spans="2:11">
      <c r="B42" t="s">
        <v>39</v>
      </c>
      <c r="C42" t="s">
        <v>8</v>
      </c>
      <c r="D42">
        <v>1622</v>
      </c>
      <c r="E42" t="s">
        <v>152</v>
      </c>
      <c r="F42" t="s">
        <v>36</v>
      </c>
      <c r="G42" s="4">
        <v>100.45756190476099</v>
      </c>
      <c r="H42" s="4">
        <f t="shared" si="0"/>
        <v>538.56653394577404</v>
      </c>
      <c r="K42" s="4">
        <v>53856.653394577399</v>
      </c>
    </row>
    <row r="43" spans="2:11">
      <c r="B43" t="s">
        <v>39</v>
      </c>
      <c r="C43" t="s">
        <v>8</v>
      </c>
      <c r="D43">
        <v>1623</v>
      </c>
      <c r="E43" t="s">
        <v>152</v>
      </c>
      <c r="F43" t="s">
        <v>36</v>
      </c>
      <c r="G43" s="4">
        <v>112.987858285714</v>
      </c>
      <c r="H43" s="4">
        <f t="shared" si="0"/>
        <v>346.36805396601898</v>
      </c>
      <c r="K43" s="4">
        <v>34636.8053966019</v>
      </c>
    </row>
    <row r="44" spans="2:11">
      <c r="B44" t="s">
        <v>39</v>
      </c>
      <c r="C44" t="s">
        <v>8</v>
      </c>
      <c r="D44">
        <v>1711</v>
      </c>
      <c r="E44" t="s">
        <v>152</v>
      </c>
      <c r="F44" t="s">
        <v>36</v>
      </c>
      <c r="G44" s="4">
        <v>10.4030963132426</v>
      </c>
      <c r="H44" s="4">
        <f t="shared" si="0"/>
        <v>225.14061547774503</v>
      </c>
      <c r="K44" s="4">
        <v>22514.061547774501</v>
      </c>
    </row>
    <row r="45" spans="2:11">
      <c r="B45" t="s">
        <v>39</v>
      </c>
      <c r="C45" t="s">
        <v>8</v>
      </c>
      <c r="D45">
        <v>1712</v>
      </c>
      <c r="E45" t="s">
        <v>152</v>
      </c>
      <c r="F45" t="s">
        <v>36</v>
      </c>
      <c r="G45" s="4">
        <v>0.48703902992513498</v>
      </c>
      <c r="H45" s="4">
        <f t="shared" si="0"/>
        <v>265.739127238707</v>
      </c>
      <c r="K45" s="4">
        <v>26573.912723870701</v>
      </c>
    </row>
    <row r="46" spans="2:11">
      <c r="B46" t="s">
        <v>39</v>
      </c>
      <c r="C46" t="s">
        <v>8</v>
      </c>
      <c r="D46">
        <v>1713</v>
      </c>
      <c r="E46" t="s">
        <v>152</v>
      </c>
      <c r="F46" t="s">
        <v>36</v>
      </c>
      <c r="G46" s="4">
        <v>0</v>
      </c>
      <c r="H46" s="4">
        <f t="shared" si="0"/>
        <v>185.842381381249</v>
      </c>
      <c r="K46" s="4">
        <v>18584.2381381249</v>
      </c>
    </row>
    <row r="47" spans="2:11">
      <c r="B47" t="s">
        <v>39</v>
      </c>
      <c r="C47" t="s">
        <v>8</v>
      </c>
      <c r="D47">
        <v>1721</v>
      </c>
      <c r="E47" t="s">
        <v>152</v>
      </c>
      <c r="F47" t="s">
        <v>36</v>
      </c>
      <c r="G47" s="4">
        <v>65.799477398392099</v>
      </c>
      <c r="H47" s="4">
        <f t="shared" si="0"/>
        <v>132.010819999999</v>
      </c>
      <c r="K47" s="4">
        <v>13201.0819999999</v>
      </c>
    </row>
    <row r="48" spans="2:11">
      <c r="B48" t="s">
        <v>39</v>
      </c>
      <c r="C48" t="s">
        <v>8</v>
      </c>
      <c r="D48">
        <v>1722</v>
      </c>
      <c r="E48" t="s">
        <v>152</v>
      </c>
      <c r="F48" t="s">
        <v>36</v>
      </c>
      <c r="G48" s="4">
        <v>26.162650446065999</v>
      </c>
      <c r="H48" s="4">
        <f t="shared" si="0"/>
        <v>211.02876762073402</v>
      </c>
      <c r="K48" s="4">
        <v>21102.8767620734</v>
      </c>
    </row>
    <row r="49" spans="2:11">
      <c r="B49" t="s">
        <v>39</v>
      </c>
      <c r="C49" t="s">
        <v>8</v>
      </c>
      <c r="D49">
        <v>1723</v>
      </c>
      <c r="E49" t="s">
        <v>152</v>
      </c>
      <c r="F49" t="s">
        <v>36</v>
      </c>
      <c r="G49" s="4">
        <v>4.3498798658230298</v>
      </c>
      <c r="H49" s="4">
        <f t="shared" si="0"/>
        <v>66.496745122023711</v>
      </c>
      <c r="K49" s="4">
        <v>6649.6745122023704</v>
      </c>
    </row>
    <row r="50" spans="2:11">
      <c r="B50" t="s">
        <v>39</v>
      </c>
      <c r="C50" t="s">
        <v>8</v>
      </c>
      <c r="D50">
        <v>1724</v>
      </c>
      <c r="E50" t="s">
        <v>152</v>
      </c>
      <c r="F50" t="s">
        <v>36</v>
      </c>
      <c r="G50" s="4">
        <v>0</v>
      </c>
      <c r="H50" s="4">
        <f t="shared" si="0"/>
        <v>75.889655445932505</v>
      </c>
      <c r="K50" s="4">
        <v>7588.9655445932503</v>
      </c>
    </row>
    <row r="51" spans="2:11">
      <c r="B51" t="s">
        <v>39</v>
      </c>
      <c r="C51" t="s">
        <v>8</v>
      </c>
      <c r="D51">
        <v>1811</v>
      </c>
      <c r="E51" t="s">
        <v>152</v>
      </c>
      <c r="F51" t="s">
        <v>36</v>
      </c>
      <c r="G51" s="4">
        <v>0.97926309520096899</v>
      </c>
      <c r="H51" s="4">
        <f t="shared" si="0"/>
        <v>163.41945777951901</v>
      </c>
      <c r="K51" s="4">
        <v>16341.9457779519</v>
      </c>
    </row>
    <row r="52" spans="2:11">
      <c r="B52" t="s">
        <v>39</v>
      </c>
      <c r="C52" t="s">
        <v>8</v>
      </c>
      <c r="D52">
        <v>1812</v>
      </c>
      <c r="E52" t="s">
        <v>152</v>
      </c>
      <c r="F52" t="s">
        <v>36</v>
      </c>
      <c r="G52" s="4">
        <v>27.699412429378501</v>
      </c>
      <c r="H52" s="4">
        <f t="shared" si="0"/>
        <v>472.86017038036402</v>
      </c>
      <c r="K52" s="4">
        <v>47286.0170380364</v>
      </c>
    </row>
    <row r="53" spans="2:11">
      <c r="B53" t="s">
        <v>39</v>
      </c>
      <c r="C53" t="s">
        <v>8</v>
      </c>
      <c r="D53">
        <v>1813</v>
      </c>
      <c r="E53" t="s">
        <v>152</v>
      </c>
      <c r="F53" t="s">
        <v>36</v>
      </c>
      <c r="G53" s="4">
        <v>7.4069864686597597</v>
      </c>
      <c r="H53" s="4">
        <f t="shared" si="0"/>
        <v>121.105718758188</v>
      </c>
      <c r="K53" s="4">
        <v>12110.5718758188</v>
      </c>
    </row>
    <row r="54" spans="2:11">
      <c r="B54" t="s">
        <v>39</v>
      </c>
      <c r="C54" t="s">
        <v>8</v>
      </c>
      <c r="D54">
        <v>1821</v>
      </c>
      <c r="E54" t="s">
        <v>152</v>
      </c>
      <c r="F54" t="s">
        <v>36</v>
      </c>
      <c r="G54" s="4">
        <v>60.650818142207399</v>
      </c>
      <c r="H54" s="4">
        <f t="shared" si="0"/>
        <v>274.57694441744701</v>
      </c>
      <c r="K54" s="4">
        <v>27457.694441744701</v>
      </c>
    </row>
    <row r="55" spans="2:11">
      <c r="B55" t="s">
        <v>39</v>
      </c>
      <c r="C55" t="s">
        <v>8</v>
      </c>
      <c r="D55">
        <v>1911</v>
      </c>
      <c r="E55" t="s">
        <v>152</v>
      </c>
      <c r="F55" t="s">
        <v>36</v>
      </c>
      <c r="G55" s="4">
        <v>234.198886227743</v>
      </c>
      <c r="H55" s="4">
        <f t="shared" si="0"/>
        <v>426.32752983142501</v>
      </c>
      <c r="K55" s="4">
        <v>42632.752983142498</v>
      </c>
    </row>
    <row r="56" spans="2:11">
      <c r="B56" t="s">
        <v>39</v>
      </c>
      <c r="C56" t="s">
        <v>8</v>
      </c>
      <c r="D56">
        <v>1912</v>
      </c>
      <c r="E56" t="s">
        <v>152</v>
      </c>
      <c r="F56" t="s">
        <v>36</v>
      </c>
      <c r="G56" s="4">
        <v>175.95729233572899</v>
      </c>
      <c r="H56" s="4">
        <f t="shared" si="0"/>
        <v>207.43627270073</v>
      </c>
      <c r="K56" s="4">
        <v>20743.627270073001</v>
      </c>
    </row>
    <row r="57" spans="2:11">
      <c r="B57" t="s">
        <v>39</v>
      </c>
      <c r="C57" t="s">
        <v>8</v>
      </c>
      <c r="D57">
        <v>1921</v>
      </c>
      <c r="E57" t="s">
        <v>152</v>
      </c>
      <c r="F57" t="s">
        <v>36</v>
      </c>
      <c r="G57" s="4">
        <v>430.30658760609498</v>
      </c>
      <c r="H57" s="4">
        <f t="shared" si="0"/>
        <v>427.342263926155</v>
      </c>
      <c r="K57" s="4">
        <v>42734.226392615499</v>
      </c>
    </row>
    <row r="58" spans="2:11">
      <c r="B58" t="s">
        <v>39</v>
      </c>
      <c r="C58" t="s">
        <v>8</v>
      </c>
      <c r="D58">
        <v>1922</v>
      </c>
      <c r="E58" t="s">
        <v>152</v>
      </c>
      <c r="F58" t="s">
        <v>36</v>
      </c>
      <c r="G58" s="4">
        <v>68.298017007517501</v>
      </c>
      <c r="H58" s="4">
        <f t="shared" si="0"/>
        <v>233.980803472708</v>
      </c>
      <c r="K58" s="4">
        <v>23398.080347270799</v>
      </c>
    </row>
    <row r="59" spans="2:11">
      <c r="B59" t="s">
        <v>39</v>
      </c>
      <c r="C59" t="s">
        <v>8</v>
      </c>
      <c r="D59">
        <v>2011</v>
      </c>
      <c r="E59" t="s">
        <v>152</v>
      </c>
      <c r="F59" t="s">
        <v>36</v>
      </c>
      <c r="G59" s="4">
        <v>171.24747479030401</v>
      </c>
      <c r="H59" s="4">
        <f t="shared" si="0"/>
        <v>399.53786699256801</v>
      </c>
      <c r="K59" s="4">
        <v>39953.786699256802</v>
      </c>
    </row>
    <row r="60" spans="2:11">
      <c r="B60" t="s">
        <v>39</v>
      </c>
      <c r="C60" t="s">
        <v>8</v>
      </c>
      <c r="D60">
        <v>2012</v>
      </c>
      <c r="E60" t="s">
        <v>152</v>
      </c>
      <c r="F60" t="s">
        <v>36</v>
      </c>
      <c r="G60" s="4">
        <v>22.9929761166253</v>
      </c>
      <c r="H60" s="4">
        <f t="shared" si="0"/>
        <v>150.40684926943501</v>
      </c>
      <c r="K60" s="4">
        <v>15040.684926943501</v>
      </c>
    </row>
    <row r="61" spans="2:11">
      <c r="B61" t="s">
        <v>39</v>
      </c>
      <c r="C61" t="s">
        <v>8</v>
      </c>
      <c r="D61">
        <v>2019</v>
      </c>
      <c r="E61" t="s">
        <v>152</v>
      </c>
      <c r="F61" t="s">
        <v>36</v>
      </c>
      <c r="G61" s="4">
        <v>0</v>
      </c>
      <c r="H61" s="4">
        <f t="shared" si="0"/>
        <v>0.64757999999999993</v>
      </c>
      <c r="K61" s="4">
        <v>64.757999999999996</v>
      </c>
    </row>
    <row r="62" spans="2:11">
      <c r="B62" t="s">
        <v>39</v>
      </c>
      <c r="C62" t="s">
        <v>8</v>
      </c>
      <c r="D62">
        <v>2111</v>
      </c>
      <c r="E62" t="s">
        <v>152</v>
      </c>
      <c r="F62" t="s">
        <v>36</v>
      </c>
      <c r="G62" s="4">
        <v>12.4091051901664</v>
      </c>
      <c r="H62" s="4">
        <f t="shared" si="0"/>
        <v>326.13707781566802</v>
      </c>
      <c r="K62" s="4">
        <v>32613.707781566802</v>
      </c>
    </row>
    <row r="63" spans="2:11">
      <c r="B63" t="s">
        <v>39</v>
      </c>
      <c r="C63" t="s">
        <v>8</v>
      </c>
      <c r="D63">
        <v>2121</v>
      </c>
      <c r="E63" t="s">
        <v>152</v>
      </c>
      <c r="F63" t="s">
        <v>36</v>
      </c>
      <c r="G63" s="4">
        <v>106.282471783687</v>
      </c>
      <c r="H63" s="4">
        <f t="shared" si="0"/>
        <v>233.025101390282</v>
      </c>
      <c r="K63" s="4">
        <v>23302.5101390282</v>
      </c>
    </row>
    <row r="64" spans="2:11">
      <c r="B64" t="s">
        <v>39</v>
      </c>
      <c r="C64" t="s">
        <v>8</v>
      </c>
      <c r="D64">
        <v>2122</v>
      </c>
      <c r="E64" t="s">
        <v>152</v>
      </c>
      <c r="F64" t="s">
        <v>36</v>
      </c>
      <c r="G64" s="4">
        <v>33.7829500714153</v>
      </c>
      <c r="H64" s="4">
        <f t="shared" si="0"/>
        <v>66.036650140690895</v>
      </c>
      <c r="K64" s="4">
        <v>6603.6650140690899</v>
      </c>
    </row>
    <row r="65" spans="2:11">
      <c r="B65" t="s">
        <v>39</v>
      </c>
      <c r="C65" t="s">
        <v>8</v>
      </c>
      <c r="D65">
        <v>2211</v>
      </c>
      <c r="E65" t="s">
        <v>152</v>
      </c>
      <c r="F65" t="s">
        <v>36</v>
      </c>
      <c r="G65" s="4">
        <v>0</v>
      </c>
      <c r="H65" s="4">
        <f t="shared" si="0"/>
        <v>130.09066393646401</v>
      </c>
      <c r="K65" s="4">
        <v>13009.066393646401</v>
      </c>
    </row>
    <row r="66" spans="2:11">
      <c r="B66" t="s">
        <v>39</v>
      </c>
      <c r="C66" t="s">
        <v>8</v>
      </c>
      <c r="D66">
        <v>2212</v>
      </c>
      <c r="E66" t="s">
        <v>152</v>
      </c>
      <c r="F66" t="s">
        <v>36</v>
      </c>
      <c r="G66" s="4">
        <v>28.51</v>
      </c>
      <c r="H66" s="4">
        <f t="shared" si="0"/>
        <v>197.836471547087</v>
      </c>
      <c r="K66" s="4">
        <v>19783.647154708699</v>
      </c>
    </row>
    <row r="67" spans="2:11">
      <c r="B67" t="s">
        <v>39</v>
      </c>
      <c r="C67" t="s">
        <v>8</v>
      </c>
      <c r="D67">
        <v>2221</v>
      </c>
      <c r="E67" t="s">
        <v>152</v>
      </c>
      <c r="F67" t="s">
        <v>36</v>
      </c>
      <c r="G67" s="4">
        <v>3.0161733742290799</v>
      </c>
      <c r="H67" s="4">
        <f t="shared" si="0"/>
        <v>178.78732824512699</v>
      </c>
      <c r="K67" s="4">
        <v>17878.732824512699</v>
      </c>
    </row>
    <row r="68" spans="2:11">
      <c r="B68" t="s">
        <v>39</v>
      </c>
      <c r="C68" t="s">
        <v>8</v>
      </c>
      <c r="D68">
        <v>2311</v>
      </c>
      <c r="E68" t="s">
        <v>152</v>
      </c>
      <c r="F68" t="s">
        <v>36</v>
      </c>
      <c r="G68" s="4">
        <v>9.6434617202012003</v>
      </c>
      <c r="H68" s="4">
        <f t="shared" si="0"/>
        <v>233.03889196620901</v>
      </c>
      <c r="K68" s="4">
        <v>23303.889196620901</v>
      </c>
    </row>
    <row r="69" spans="2:11">
      <c r="B69" t="s">
        <v>39</v>
      </c>
      <c r="C69" t="s">
        <v>8</v>
      </c>
      <c r="D69">
        <v>2312</v>
      </c>
      <c r="E69" t="s">
        <v>152</v>
      </c>
      <c r="F69" t="s">
        <v>36</v>
      </c>
      <c r="G69" s="4">
        <v>0</v>
      </c>
      <c r="H69" s="4">
        <f t="shared" si="0"/>
        <v>102.29819999999999</v>
      </c>
      <c r="K69" s="4">
        <v>10229.82</v>
      </c>
    </row>
    <row r="70" spans="2:11">
      <c r="B70" t="s">
        <v>39</v>
      </c>
      <c r="C70" t="s">
        <v>8</v>
      </c>
      <c r="D70">
        <v>2319</v>
      </c>
      <c r="E70" t="s">
        <v>152</v>
      </c>
      <c r="F70" t="s">
        <v>36</v>
      </c>
      <c r="G70" s="4">
        <v>0</v>
      </c>
      <c r="H70" s="4">
        <f t="shared" ref="H70:H110" si="1">K70*$L$3</f>
        <v>27.000019999999999</v>
      </c>
      <c r="K70" s="4">
        <v>2700.002</v>
      </c>
    </row>
    <row r="71" spans="2:11">
      <c r="B71" t="s">
        <v>39</v>
      </c>
      <c r="C71" t="s">
        <v>8</v>
      </c>
      <c r="D71">
        <v>2331</v>
      </c>
      <c r="E71" t="s">
        <v>152</v>
      </c>
      <c r="F71" t="s">
        <v>36</v>
      </c>
      <c r="G71" s="4">
        <v>0</v>
      </c>
      <c r="H71" s="4">
        <f t="shared" si="1"/>
        <v>31.1934421990481</v>
      </c>
      <c r="K71" s="4">
        <v>3119.34421990481</v>
      </c>
    </row>
    <row r="72" spans="2:11">
      <c r="B72" t="s">
        <v>39</v>
      </c>
      <c r="C72" t="s">
        <v>8</v>
      </c>
      <c r="D72">
        <v>2411</v>
      </c>
      <c r="E72" t="s">
        <v>152</v>
      </c>
      <c r="F72" t="s">
        <v>36</v>
      </c>
      <c r="G72" s="4">
        <v>0.30171428571428499</v>
      </c>
      <c r="H72" s="4">
        <f t="shared" si="1"/>
        <v>183.66356435679501</v>
      </c>
      <c r="K72" s="4">
        <v>18366.3564356795</v>
      </c>
    </row>
    <row r="73" spans="2:11">
      <c r="B73" t="s">
        <v>39</v>
      </c>
      <c r="C73" t="s">
        <v>8</v>
      </c>
      <c r="D73">
        <v>2412</v>
      </c>
      <c r="E73" t="s">
        <v>152</v>
      </c>
      <c r="F73" t="s">
        <v>36</v>
      </c>
      <c r="G73" s="4">
        <v>0</v>
      </c>
      <c r="H73" s="4">
        <f t="shared" si="1"/>
        <v>94.752857737488497</v>
      </c>
      <c r="K73" s="4">
        <v>9475.2857737488503</v>
      </c>
    </row>
    <row r="74" spans="2:11">
      <c r="B74" t="s">
        <v>39</v>
      </c>
      <c r="C74" t="s">
        <v>8</v>
      </c>
      <c r="D74">
        <v>2413</v>
      </c>
      <c r="E74" t="s">
        <v>152</v>
      </c>
      <c r="F74" t="s">
        <v>36</v>
      </c>
      <c r="G74" s="4">
        <v>0</v>
      </c>
      <c r="H74" s="4">
        <f t="shared" si="1"/>
        <v>174.66265625076602</v>
      </c>
      <c r="K74" s="4">
        <v>17466.265625076601</v>
      </c>
    </row>
    <row r="75" spans="2:11">
      <c r="B75" t="s">
        <v>39</v>
      </c>
      <c r="C75" t="s">
        <v>8</v>
      </c>
      <c r="D75">
        <v>2414</v>
      </c>
      <c r="E75" t="s">
        <v>152</v>
      </c>
      <c r="F75" t="s">
        <v>36</v>
      </c>
      <c r="G75" s="4">
        <v>1.1792942624009599</v>
      </c>
      <c r="H75" s="4">
        <f t="shared" si="1"/>
        <v>171.914706892287</v>
      </c>
      <c r="K75" s="4">
        <v>17191.470689228699</v>
      </c>
    </row>
    <row r="76" spans="2:11">
      <c r="B76" t="s">
        <v>39</v>
      </c>
      <c r="C76" t="s">
        <v>8</v>
      </c>
      <c r="D76">
        <v>2415</v>
      </c>
      <c r="E76" t="s">
        <v>152</v>
      </c>
      <c r="F76" t="s">
        <v>36</v>
      </c>
      <c r="G76" s="4">
        <v>0</v>
      </c>
      <c r="H76" s="4">
        <f t="shared" si="1"/>
        <v>32.804659999999998</v>
      </c>
      <c r="K76" s="4">
        <v>3280.4659999999999</v>
      </c>
    </row>
    <row r="77" spans="2:11">
      <c r="B77" t="s">
        <v>39</v>
      </c>
      <c r="C77" t="s">
        <v>8</v>
      </c>
      <c r="D77">
        <v>2419</v>
      </c>
      <c r="E77" t="s">
        <v>152</v>
      </c>
      <c r="F77" t="s">
        <v>36</v>
      </c>
      <c r="G77" s="4">
        <v>0</v>
      </c>
      <c r="H77" s="4">
        <f t="shared" si="1"/>
        <v>3.1147000000000005</v>
      </c>
      <c r="K77" s="4">
        <v>311.47000000000003</v>
      </c>
    </row>
    <row r="78" spans="2:11">
      <c r="B78" t="s">
        <v>39</v>
      </c>
      <c r="C78" t="s">
        <v>8</v>
      </c>
      <c r="D78">
        <v>2511</v>
      </c>
      <c r="E78" t="s">
        <v>152</v>
      </c>
      <c r="F78" t="s">
        <v>36</v>
      </c>
      <c r="G78" s="4">
        <v>0.59030541775922296</v>
      </c>
      <c r="H78" s="4">
        <f t="shared" si="1"/>
        <v>194.19755947327201</v>
      </c>
      <c r="K78" s="4">
        <v>19419.755947327201</v>
      </c>
    </row>
    <row r="79" spans="2:11">
      <c r="B79" t="s">
        <v>39</v>
      </c>
      <c r="C79" t="s">
        <v>8</v>
      </c>
      <c r="D79">
        <v>2512</v>
      </c>
      <c r="E79" t="s">
        <v>152</v>
      </c>
      <c r="F79" t="s">
        <v>36</v>
      </c>
      <c r="G79" s="4">
        <v>0</v>
      </c>
      <c r="H79" s="4">
        <f t="shared" si="1"/>
        <v>103.89191289291601</v>
      </c>
      <c r="K79" s="4">
        <v>10389.191289291601</v>
      </c>
    </row>
    <row r="80" spans="2:11">
      <c r="B80" t="s">
        <v>39</v>
      </c>
      <c r="C80" t="s">
        <v>8</v>
      </c>
      <c r="D80">
        <v>2519</v>
      </c>
      <c r="E80" t="s">
        <v>152</v>
      </c>
      <c r="F80" t="s">
        <v>36</v>
      </c>
      <c r="G80" s="4">
        <v>0</v>
      </c>
      <c r="H80" s="4">
        <f t="shared" si="1"/>
        <v>2.92936</v>
      </c>
      <c r="K80" s="4">
        <v>292.93599999999998</v>
      </c>
    </row>
    <row r="81" spans="2:11">
      <c r="B81" t="s">
        <v>39</v>
      </c>
      <c r="C81" t="s">
        <v>8</v>
      </c>
      <c r="D81">
        <v>2521</v>
      </c>
      <c r="E81" t="s">
        <v>152</v>
      </c>
      <c r="F81" t="s">
        <v>36</v>
      </c>
      <c r="G81" s="4">
        <v>0</v>
      </c>
      <c r="H81" s="4">
        <f t="shared" si="1"/>
        <v>18.154107322534703</v>
      </c>
      <c r="K81" s="4">
        <v>1815.4107322534701</v>
      </c>
    </row>
    <row r="82" spans="2:11">
      <c r="B82" t="s">
        <v>39</v>
      </c>
      <c r="C82" t="s">
        <v>8</v>
      </c>
      <c r="D82">
        <v>311</v>
      </c>
      <c r="E82" t="s">
        <v>152</v>
      </c>
      <c r="F82" t="s">
        <v>36</v>
      </c>
      <c r="G82" s="4">
        <v>86.191315172757598</v>
      </c>
      <c r="H82" s="4">
        <f t="shared" si="1"/>
        <v>538.81435189539502</v>
      </c>
      <c r="K82" s="4">
        <v>53881.435189539501</v>
      </c>
    </row>
    <row r="83" spans="2:11">
      <c r="B83" t="s">
        <v>39</v>
      </c>
      <c r="C83" t="s">
        <v>8</v>
      </c>
      <c r="D83">
        <v>312</v>
      </c>
      <c r="E83" t="s">
        <v>152</v>
      </c>
      <c r="F83" t="s">
        <v>36</v>
      </c>
      <c r="G83" s="4">
        <v>51.547613856836101</v>
      </c>
      <c r="H83" s="4">
        <f t="shared" si="1"/>
        <v>216.36378444708501</v>
      </c>
      <c r="K83" s="4">
        <v>21636.378444708502</v>
      </c>
    </row>
    <row r="84" spans="2:11">
      <c r="B84" t="s">
        <v>39</v>
      </c>
      <c r="C84" t="s">
        <v>8</v>
      </c>
      <c r="D84">
        <v>321</v>
      </c>
      <c r="E84" t="s">
        <v>152</v>
      </c>
      <c r="F84" t="s">
        <v>36</v>
      </c>
      <c r="G84" s="4">
        <v>174.451971174862</v>
      </c>
      <c r="H84" s="4">
        <f t="shared" si="1"/>
        <v>508.52337939894102</v>
      </c>
      <c r="K84" s="4">
        <v>50852.337939894103</v>
      </c>
    </row>
    <row r="85" spans="2:11">
      <c r="B85" t="s">
        <v>39</v>
      </c>
      <c r="C85" t="s">
        <v>8</v>
      </c>
      <c r="D85">
        <v>322</v>
      </c>
      <c r="E85" t="s">
        <v>152</v>
      </c>
      <c r="F85" t="s">
        <v>36</v>
      </c>
      <c r="G85" s="4">
        <v>12.2023910226289</v>
      </c>
      <c r="H85" s="4">
        <f t="shared" si="1"/>
        <v>119.15531535771899</v>
      </c>
      <c r="K85" s="4">
        <v>11915.531535771899</v>
      </c>
    </row>
    <row r="86" spans="2:11">
      <c r="B86" t="s">
        <v>39</v>
      </c>
      <c r="C86" t="s">
        <v>8</v>
      </c>
      <c r="D86">
        <v>411</v>
      </c>
      <c r="E86" t="s">
        <v>152</v>
      </c>
      <c r="F86" t="s">
        <v>36</v>
      </c>
      <c r="G86" s="4">
        <v>27.514925098187501</v>
      </c>
      <c r="H86" s="4">
        <f t="shared" si="1"/>
        <v>359.50401688626903</v>
      </c>
      <c r="K86" s="4">
        <v>35950.401688626902</v>
      </c>
    </row>
    <row r="87" spans="2:11">
      <c r="B87" t="s">
        <v>39</v>
      </c>
      <c r="C87" t="s">
        <v>8</v>
      </c>
      <c r="D87">
        <v>421</v>
      </c>
      <c r="E87" t="s">
        <v>152</v>
      </c>
      <c r="F87" t="s">
        <v>36</v>
      </c>
      <c r="G87" s="4">
        <v>28.865765763490401</v>
      </c>
      <c r="H87" s="4">
        <f t="shared" si="1"/>
        <v>354.95392859352006</v>
      </c>
      <c r="K87" s="4">
        <v>35495.392859352003</v>
      </c>
    </row>
    <row r="88" spans="2:11">
      <c r="B88" t="s">
        <v>39</v>
      </c>
      <c r="C88" t="s">
        <v>8</v>
      </c>
      <c r="D88">
        <v>422</v>
      </c>
      <c r="E88" t="s">
        <v>152</v>
      </c>
      <c r="F88" t="s">
        <v>36</v>
      </c>
      <c r="G88" s="4">
        <v>37.582730679716597</v>
      </c>
      <c r="H88" s="4">
        <f t="shared" si="1"/>
        <v>246.06402332780502</v>
      </c>
      <c r="K88" s="4">
        <v>24606.402332780501</v>
      </c>
    </row>
    <row r="89" spans="2:11">
      <c r="B89" t="s">
        <v>39</v>
      </c>
      <c r="C89" t="s">
        <v>8</v>
      </c>
      <c r="D89">
        <v>431</v>
      </c>
      <c r="E89" t="s">
        <v>152</v>
      </c>
      <c r="F89" t="s">
        <v>36</v>
      </c>
      <c r="G89" s="4">
        <v>22.0288663629415</v>
      </c>
      <c r="H89" s="4">
        <f t="shared" si="1"/>
        <v>341.51816767079799</v>
      </c>
      <c r="K89" s="4">
        <v>34151.816767079799</v>
      </c>
    </row>
    <row r="90" spans="2:11">
      <c r="B90" t="s">
        <v>39</v>
      </c>
      <c r="C90" t="s">
        <v>8</v>
      </c>
      <c r="D90">
        <v>511</v>
      </c>
      <c r="E90" t="s">
        <v>152</v>
      </c>
      <c r="F90" t="s">
        <v>36</v>
      </c>
      <c r="G90" s="4">
        <v>0</v>
      </c>
      <c r="H90" s="4">
        <f t="shared" si="1"/>
        <v>111.71078595133801</v>
      </c>
      <c r="K90" s="4">
        <v>11171.0785951338</v>
      </c>
    </row>
    <row r="91" spans="2:11">
      <c r="B91" t="s">
        <v>39</v>
      </c>
      <c r="C91" t="s">
        <v>8</v>
      </c>
      <c r="D91">
        <v>512</v>
      </c>
      <c r="E91" t="s">
        <v>152</v>
      </c>
      <c r="F91" t="s">
        <v>36</v>
      </c>
      <c r="G91" s="4">
        <v>0</v>
      </c>
      <c r="H91" s="4">
        <f t="shared" si="1"/>
        <v>153.469847481431</v>
      </c>
      <c r="K91" s="4">
        <v>15346.984748143101</v>
      </c>
    </row>
    <row r="92" spans="2:11">
      <c r="B92" t="s">
        <v>39</v>
      </c>
      <c r="C92" t="s">
        <v>8</v>
      </c>
      <c r="D92">
        <v>513</v>
      </c>
      <c r="E92" t="s">
        <v>152</v>
      </c>
      <c r="F92" t="s">
        <v>36</v>
      </c>
      <c r="G92" s="4">
        <v>3.09395637198622</v>
      </c>
      <c r="H92" s="4">
        <f t="shared" si="1"/>
        <v>459.86800376061302</v>
      </c>
      <c r="K92" s="4">
        <v>45986.800376061299</v>
      </c>
    </row>
    <row r="93" spans="2:11">
      <c r="B93" t="s">
        <v>39</v>
      </c>
      <c r="C93" t="s">
        <v>8</v>
      </c>
      <c r="D93">
        <v>514</v>
      </c>
      <c r="E93" t="s">
        <v>152</v>
      </c>
      <c r="F93" t="s">
        <v>36</v>
      </c>
      <c r="G93" s="4">
        <v>0</v>
      </c>
      <c r="H93" s="4">
        <f t="shared" si="1"/>
        <v>476.12173363926797</v>
      </c>
      <c r="K93" s="4">
        <v>47612.173363926799</v>
      </c>
    </row>
    <row r="94" spans="2:11">
      <c r="B94" t="s">
        <v>39</v>
      </c>
      <c r="C94" t="s">
        <v>8</v>
      </c>
      <c r="D94">
        <v>515</v>
      </c>
      <c r="E94" t="s">
        <v>152</v>
      </c>
      <c r="F94" t="s">
        <v>36</v>
      </c>
      <c r="G94" s="4">
        <v>3.5611492537313398</v>
      </c>
      <c r="H94" s="4">
        <f t="shared" si="1"/>
        <v>438.47014697697904</v>
      </c>
      <c r="K94" s="4">
        <v>43847.014697697901</v>
      </c>
    </row>
    <row r="95" spans="2:11">
      <c r="B95" t="s">
        <v>39</v>
      </c>
      <c r="C95" t="s">
        <v>8</v>
      </c>
      <c r="D95">
        <v>521</v>
      </c>
      <c r="E95" t="s">
        <v>152</v>
      </c>
      <c r="F95" t="s">
        <v>36</v>
      </c>
      <c r="G95" s="4">
        <v>0.37522538636098002</v>
      </c>
      <c r="H95" s="4">
        <f t="shared" si="1"/>
        <v>226.94207518871602</v>
      </c>
      <c r="K95" s="4">
        <v>22694.207518871601</v>
      </c>
    </row>
    <row r="96" spans="2:11">
      <c r="B96" t="s">
        <v>39</v>
      </c>
      <c r="C96" t="s">
        <v>8</v>
      </c>
      <c r="D96">
        <v>611</v>
      </c>
      <c r="E96" t="s">
        <v>152</v>
      </c>
      <c r="F96" t="s">
        <v>36</v>
      </c>
      <c r="G96" s="4">
        <v>0</v>
      </c>
      <c r="H96" s="4">
        <f t="shared" si="1"/>
        <v>148.988240504911</v>
      </c>
      <c r="K96" s="4">
        <v>14898.824050491099</v>
      </c>
    </row>
    <row r="97" spans="2:11">
      <c r="B97" t="s">
        <v>39</v>
      </c>
      <c r="C97" t="s">
        <v>8</v>
      </c>
      <c r="D97">
        <v>612</v>
      </c>
      <c r="E97" t="s">
        <v>152</v>
      </c>
      <c r="F97" t="s">
        <v>36</v>
      </c>
      <c r="G97" s="4">
        <v>0</v>
      </c>
      <c r="H97" s="4">
        <f t="shared" si="1"/>
        <v>229.21768902455901</v>
      </c>
      <c r="K97" s="4">
        <v>22921.7689024559</v>
      </c>
    </row>
    <row r="98" spans="2:11">
      <c r="B98" t="s">
        <v>39</v>
      </c>
      <c r="C98" t="s">
        <v>8</v>
      </c>
      <c r="D98">
        <v>621</v>
      </c>
      <c r="E98" t="s">
        <v>152</v>
      </c>
      <c r="F98" t="s">
        <v>36</v>
      </c>
      <c r="G98" s="4">
        <v>0.24597514250772301</v>
      </c>
      <c r="H98" s="4">
        <f t="shared" si="1"/>
        <v>210.38200616856699</v>
      </c>
      <c r="K98" s="4">
        <v>21038.200616856699</v>
      </c>
    </row>
    <row r="99" spans="2:11">
      <c r="B99" t="s">
        <v>39</v>
      </c>
      <c r="C99" t="s">
        <v>8</v>
      </c>
      <c r="D99">
        <v>622</v>
      </c>
      <c r="E99" t="s">
        <v>152</v>
      </c>
      <c r="F99" t="s">
        <v>36</v>
      </c>
      <c r="G99" s="4">
        <v>0</v>
      </c>
      <c r="H99" s="4">
        <f t="shared" si="1"/>
        <v>307.22668098460798</v>
      </c>
      <c r="K99" s="4">
        <v>30722.668098460799</v>
      </c>
    </row>
    <row r="100" spans="2:11">
      <c r="B100" t="s">
        <v>39</v>
      </c>
      <c r="C100" t="s">
        <v>8</v>
      </c>
      <c r="D100">
        <v>711</v>
      </c>
      <c r="E100" t="s">
        <v>152</v>
      </c>
      <c r="F100" t="s">
        <v>36</v>
      </c>
      <c r="G100" s="4">
        <v>0.119259259259259</v>
      </c>
      <c r="H100" s="4">
        <f t="shared" si="1"/>
        <v>193.70152851346199</v>
      </c>
      <c r="K100" s="4">
        <v>19370.1528513462</v>
      </c>
    </row>
    <row r="101" spans="2:11">
      <c r="B101" t="s">
        <v>39</v>
      </c>
      <c r="C101" t="s">
        <v>8</v>
      </c>
      <c r="D101">
        <v>731</v>
      </c>
      <c r="E101" t="s">
        <v>152</v>
      </c>
      <c r="F101" t="s">
        <v>36</v>
      </c>
      <c r="G101" s="4">
        <v>0</v>
      </c>
      <c r="H101" s="4">
        <f t="shared" si="1"/>
        <v>101.614774238858</v>
      </c>
      <c r="K101" s="4">
        <v>10161.477423885801</v>
      </c>
    </row>
    <row r="102" spans="2:11">
      <c r="B102" t="s">
        <v>39</v>
      </c>
      <c r="C102" t="s">
        <v>8</v>
      </c>
      <c r="D102">
        <v>811</v>
      </c>
      <c r="E102" t="s">
        <v>152</v>
      </c>
      <c r="F102" t="s">
        <v>36</v>
      </c>
      <c r="G102" s="4">
        <v>0.23198026054161699</v>
      </c>
      <c r="H102" s="4">
        <f t="shared" si="1"/>
        <v>379.58382471254299</v>
      </c>
      <c r="K102" s="4">
        <v>37958.382471254299</v>
      </c>
    </row>
    <row r="103" spans="2:11">
      <c r="B103" t="s">
        <v>39</v>
      </c>
      <c r="C103" t="s">
        <v>8</v>
      </c>
      <c r="D103">
        <v>812</v>
      </c>
      <c r="E103" t="s">
        <v>152</v>
      </c>
      <c r="F103" t="s">
        <v>36</v>
      </c>
      <c r="G103" s="4">
        <v>0</v>
      </c>
      <c r="H103" s="4">
        <f t="shared" si="1"/>
        <v>274.53578179206499</v>
      </c>
      <c r="K103" s="4">
        <v>27453.578179206499</v>
      </c>
    </row>
    <row r="104" spans="2:11">
      <c r="B104" t="s">
        <v>39</v>
      </c>
      <c r="C104" t="s">
        <v>8</v>
      </c>
      <c r="D104">
        <v>813</v>
      </c>
      <c r="E104" t="s">
        <v>152</v>
      </c>
      <c r="F104" t="s">
        <v>36</v>
      </c>
      <c r="G104" s="4">
        <v>0</v>
      </c>
      <c r="H104" s="4">
        <f t="shared" si="1"/>
        <v>125.557666536157</v>
      </c>
      <c r="K104" s="4">
        <v>12555.766653615699</v>
      </c>
    </row>
    <row r="105" spans="2:11">
      <c r="B105" t="s">
        <v>39</v>
      </c>
      <c r="C105" t="s">
        <v>8</v>
      </c>
      <c r="D105">
        <v>814</v>
      </c>
      <c r="E105" t="s">
        <v>152</v>
      </c>
      <c r="F105" t="s">
        <v>36</v>
      </c>
      <c r="G105" s="4">
        <v>0</v>
      </c>
      <c r="H105" s="4">
        <f t="shared" si="1"/>
        <v>140.741755149456</v>
      </c>
      <c r="K105" s="4">
        <v>14074.1755149456</v>
      </c>
    </row>
    <row r="106" spans="2:11">
      <c r="B106" t="s">
        <v>39</v>
      </c>
      <c r="C106" t="s">
        <v>8</v>
      </c>
      <c r="D106">
        <v>821</v>
      </c>
      <c r="E106" t="s">
        <v>152</v>
      </c>
      <c r="F106" t="s">
        <v>36</v>
      </c>
      <c r="G106" s="4">
        <v>0</v>
      </c>
      <c r="H106" s="4">
        <f t="shared" si="1"/>
        <v>310.85539079934597</v>
      </c>
      <c r="K106" s="4">
        <v>31085.539079934599</v>
      </c>
    </row>
    <row r="107" spans="2:11">
      <c r="B107" t="s">
        <v>39</v>
      </c>
      <c r="C107" t="s">
        <v>8</v>
      </c>
      <c r="D107">
        <v>831</v>
      </c>
      <c r="E107" t="s">
        <v>152</v>
      </c>
      <c r="F107" t="s">
        <v>36</v>
      </c>
      <c r="G107" s="4">
        <v>0</v>
      </c>
      <c r="H107" s="4">
        <f t="shared" si="1"/>
        <v>161.485810125559</v>
      </c>
      <c r="K107" s="4">
        <v>16148.5810125559</v>
      </c>
    </row>
    <row r="108" spans="2:11">
      <c r="B108" t="s">
        <v>39</v>
      </c>
      <c r="C108" t="s">
        <v>8</v>
      </c>
      <c r="D108">
        <v>911</v>
      </c>
      <c r="E108" t="s">
        <v>152</v>
      </c>
      <c r="F108" t="s">
        <v>36</v>
      </c>
      <c r="G108" s="4">
        <v>2.06691937765205</v>
      </c>
      <c r="H108" s="4">
        <f t="shared" si="1"/>
        <v>193.19351790153999</v>
      </c>
      <c r="K108" s="4">
        <v>19319.351790154</v>
      </c>
    </row>
    <row r="109" spans="2:11">
      <c r="B109" t="s">
        <v>39</v>
      </c>
      <c r="C109" t="s">
        <v>8</v>
      </c>
      <c r="D109">
        <v>912</v>
      </c>
      <c r="E109" t="s">
        <v>152</v>
      </c>
      <c r="F109" t="s">
        <v>36</v>
      </c>
      <c r="G109" s="4">
        <v>64.281776520509098</v>
      </c>
      <c r="H109" s="4">
        <f t="shared" si="1"/>
        <v>468.317185661547</v>
      </c>
      <c r="K109" s="4">
        <v>46831.718566154697</v>
      </c>
    </row>
    <row r="110" spans="2:11">
      <c r="B110" t="s">
        <v>39</v>
      </c>
      <c r="C110" t="s">
        <v>8</v>
      </c>
      <c r="D110">
        <v>913</v>
      </c>
      <c r="E110" t="s">
        <v>152</v>
      </c>
      <c r="F110" t="s">
        <v>36</v>
      </c>
      <c r="G110" s="4">
        <v>0</v>
      </c>
      <c r="H110" s="4">
        <f t="shared" si="1"/>
        <v>190.29927643691099</v>
      </c>
      <c r="K110" s="4">
        <v>19029.927643691099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2"/>
  <sheetViews>
    <sheetView workbookViewId="0">
      <pane ySplit="1" topLeftCell="A5" activePane="bottomLeft" state="frozen"/>
      <selection pane="bottomLeft" activeCell="D32" sqref="D32"/>
    </sheetView>
  </sheetViews>
  <sheetFormatPr defaultRowHeight="15"/>
  <cols>
    <col min="1" max="1" width="33.7109375" customWidth="1"/>
    <col min="2" max="2" width="13.140625" bestFit="1" customWidth="1"/>
    <col min="3" max="3" width="13.140625" customWidth="1"/>
    <col min="4" max="4" width="14.28515625" bestFit="1" customWidth="1"/>
    <col min="5" max="5" width="14.28515625" customWidth="1"/>
    <col min="6" max="6" width="21.42578125" bestFit="1" customWidth="1"/>
    <col min="9" max="9" width="9.5703125" bestFit="1" customWidth="1"/>
  </cols>
  <sheetData>
    <row r="1" spans="1:19">
      <c r="A1" s="1" t="s">
        <v>19</v>
      </c>
      <c r="B1" s="1" t="s">
        <v>22</v>
      </c>
      <c r="C1" s="1" t="s">
        <v>133</v>
      </c>
      <c r="D1" s="1" t="s">
        <v>3</v>
      </c>
      <c r="E1" s="1" t="s">
        <v>91</v>
      </c>
      <c r="F1" s="1" t="s">
        <v>1</v>
      </c>
      <c r="G1" s="1" t="s">
        <v>0</v>
      </c>
      <c r="H1" s="1" t="s">
        <v>7</v>
      </c>
      <c r="I1" s="1" t="s">
        <v>16</v>
      </c>
      <c r="K1" s="1"/>
    </row>
    <row r="2" spans="1:19">
      <c r="D2" s="1"/>
      <c r="E2" s="1"/>
      <c r="I2" s="2"/>
    </row>
    <row r="3" spans="1:19">
      <c r="B3" t="s">
        <v>47</v>
      </c>
      <c r="D3" s="1"/>
      <c r="E3" s="1"/>
      <c r="F3" t="s">
        <v>41</v>
      </c>
      <c r="G3" t="s">
        <v>10</v>
      </c>
      <c r="H3">
        <v>1</v>
      </c>
      <c r="I3" s="2">
        <v>1.39</v>
      </c>
      <c r="Q3" s="1"/>
      <c r="R3" s="1"/>
    </row>
    <row r="4" spans="1:19">
      <c r="B4" t="s">
        <v>48</v>
      </c>
      <c r="D4" s="1"/>
      <c r="E4" s="1"/>
      <c r="F4" t="s">
        <v>41</v>
      </c>
      <c r="G4" t="s">
        <v>10</v>
      </c>
      <c r="H4">
        <v>1</v>
      </c>
      <c r="I4" s="2">
        <v>1.58</v>
      </c>
      <c r="Q4" s="1"/>
      <c r="R4" s="1"/>
    </row>
    <row r="5" spans="1:19">
      <c r="B5" t="s">
        <v>49</v>
      </c>
      <c r="D5" s="1"/>
      <c r="E5" s="1"/>
      <c r="F5" t="s">
        <v>41</v>
      </c>
      <c r="G5" t="s">
        <v>10</v>
      </c>
      <c r="H5">
        <v>1</v>
      </c>
      <c r="I5" s="2">
        <v>1.58</v>
      </c>
      <c r="Q5" s="1"/>
      <c r="R5" s="1"/>
    </row>
    <row r="6" spans="1:19">
      <c r="D6" s="1"/>
      <c r="E6" s="1"/>
      <c r="I6" s="2"/>
      <c r="Q6" s="1"/>
      <c r="R6" s="1"/>
    </row>
    <row r="7" spans="1:19">
      <c r="B7" t="s">
        <v>4</v>
      </c>
      <c r="D7" s="1"/>
      <c r="E7" s="1"/>
      <c r="F7" t="s">
        <v>41</v>
      </c>
      <c r="G7" t="s">
        <v>10</v>
      </c>
      <c r="H7">
        <v>1</v>
      </c>
      <c r="I7" s="2">
        <v>0.85</v>
      </c>
      <c r="Q7" s="1"/>
      <c r="R7" s="1"/>
    </row>
    <row r="8" spans="1:19">
      <c r="A8" t="s">
        <v>50</v>
      </c>
      <c r="B8" t="s">
        <v>4</v>
      </c>
      <c r="D8" s="1"/>
      <c r="E8" s="1"/>
      <c r="F8" t="s">
        <v>41</v>
      </c>
      <c r="G8" t="s">
        <v>10</v>
      </c>
      <c r="H8">
        <v>1</v>
      </c>
      <c r="I8" s="2">
        <v>0.65</v>
      </c>
      <c r="M8" s="22" t="s">
        <v>88</v>
      </c>
      <c r="Q8" s="1"/>
      <c r="R8" s="1"/>
    </row>
    <row r="9" spans="1:19">
      <c r="D9" s="1"/>
      <c r="E9" s="1"/>
      <c r="I9" s="2"/>
      <c r="Q9" s="1"/>
      <c r="R9" s="1"/>
    </row>
    <row r="10" spans="1:19">
      <c r="A10" t="s">
        <v>17</v>
      </c>
      <c r="F10" t="s">
        <v>41</v>
      </c>
      <c r="G10" t="s">
        <v>10</v>
      </c>
      <c r="H10">
        <v>1</v>
      </c>
      <c r="I10" s="2">
        <v>0.59</v>
      </c>
      <c r="Q10" s="6"/>
      <c r="R10" s="6"/>
      <c r="S10" s="11"/>
    </row>
    <row r="11" spans="1:19">
      <c r="A11" t="s">
        <v>51</v>
      </c>
      <c r="F11" t="s">
        <v>41</v>
      </c>
      <c r="G11" t="s">
        <v>10</v>
      </c>
      <c r="H11">
        <v>1</v>
      </c>
      <c r="I11" s="2">
        <v>0.59</v>
      </c>
      <c r="Q11" s="6"/>
      <c r="R11" s="6"/>
      <c r="S11" s="11"/>
    </row>
    <row r="12" spans="1:19">
      <c r="A12" t="s">
        <v>52</v>
      </c>
      <c r="F12" t="s">
        <v>41</v>
      </c>
      <c r="G12" t="s">
        <v>10</v>
      </c>
      <c r="H12">
        <v>1</v>
      </c>
      <c r="I12" s="2">
        <v>0.59</v>
      </c>
      <c r="Q12" s="6"/>
      <c r="R12" s="6"/>
      <c r="S12" s="11"/>
    </row>
    <row r="13" spans="1:19">
      <c r="A13" t="s">
        <v>18</v>
      </c>
      <c r="F13" t="s">
        <v>41</v>
      </c>
      <c r="G13" t="s">
        <v>10</v>
      </c>
      <c r="H13">
        <v>1</v>
      </c>
      <c r="I13" s="2">
        <v>0.86</v>
      </c>
      <c r="Q13" s="6"/>
      <c r="R13" s="6"/>
    </row>
    <row r="14" spans="1:19">
      <c r="A14" t="s">
        <v>53</v>
      </c>
      <c r="F14" t="s">
        <v>41</v>
      </c>
      <c r="G14" t="s">
        <v>10</v>
      </c>
      <c r="H14">
        <v>1</v>
      </c>
      <c r="I14" s="2">
        <v>0.5</v>
      </c>
      <c r="Q14" s="6"/>
      <c r="R14" s="6"/>
    </row>
    <row r="15" spans="1:19">
      <c r="I15" s="7"/>
    </row>
    <row r="16" spans="1:19">
      <c r="A16" t="s">
        <v>42</v>
      </c>
      <c r="F16" t="s">
        <v>41</v>
      </c>
      <c r="G16" t="s">
        <v>36</v>
      </c>
      <c r="H16">
        <v>4.5</v>
      </c>
      <c r="I16" s="7">
        <f>H16*$K$17</f>
        <v>15.525</v>
      </c>
      <c r="Q16" s="6"/>
      <c r="R16" s="6"/>
      <c r="S16" s="12"/>
    </row>
    <row r="17" spans="1:19">
      <c r="A17" s="6" t="s">
        <v>43</v>
      </c>
      <c r="F17" t="s">
        <v>41</v>
      </c>
      <c r="G17" t="s">
        <v>36</v>
      </c>
      <c r="H17">
        <v>0</v>
      </c>
      <c r="I17" s="7">
        <f>I16</f>
        <v>15.525</v>
      </c>
      <c r="K17">
        <v>3.45</v>
      </c>
      <c r="Q17" s="6"/>
      <c r="R17" s="6"/>
    </row>
    <row r="18" spans="1:19">
      <c r="A18" s="6" t="s">
        <v>44</v>
      </c>
      <c r="F18" t="s">
        <v>41</v>
      </c>
      <c r="G18" t="s">
        <v>36</v>
      </c>
      <c r="H18">
        <v>0.7</v>
      </c>
      <c r="I18" s="7">
        <f>H18*$K$17</f>
        <v>2.415</v>
      </c>
      <c r="K18" s="9">
        <f>(SUM(I16:I18)-SUM(H16:H18))/SUM(H16:H18)</f>
        <v>5.4355769230769235</v>
      </c>
      <c r="Q18" s="6"/>
      <c r="R18" s="6"/>
    </row>
    <row r="19" spans="1:19">
      <c r="A19" s="6"/>
      <c r="I19" s="7"/>
    </row>
    <row r="20" spans="1:19">
      <c r="A20" t="s">
        <v>45</v>
      </c>
      <c r="F20" t="s">
        <v>41</v>
      </c>
      <c r="G20" t="s">
        <v>10</v>
      </c>
      <c r="H20" s="8">
        <v>1</v>
      </c>
      <c r="I20" s="2">
        <v>1.05</v>
      </c>
      <c r="Q20" s="6"/>
      <c r="R20" s="6"/>
      <c r="S20" s="11"/>
    </row>
    <row r="21" spans="1:19">
      <c r="H21" s="8"/>
      <c r="I21" s="2"/>
      <c r="Q21" s="6"/>
      <c r="R21" s="6"/>
      <c r="S21" s="11"/>
    </row>
    <row r="22" spans="1:19">
      <c r="A22" t="s">
        <v>94</v>
      </c>
      <c r="F22" t="s">
        <v>41</v>
      </c>
      <c r="G22" t="s">
        <v>10</v>
      </c>
      <c r="H22" s="8">
        <v>1</v>
      </c>
      <c r="I22" s="2">
        <v>0.34</v>
      </c>
      <c r="Q22" s="6"/>
      <c r="R22" s="6"/>
      <c r="S22" s="11"/>
    </row>
    <row r="23" spans="1:19">
      <c r="H23" s="8"/>
      <c r="I23" s="2"/>
      <c r="Q23" s="6"/>
      <c r="R23" s="6"/>
      <c r="S23" s="11"/>
    </row>
    <row r="24" spans="1:19">
      <c r="A24" s="6"/>
      <c r="E24" t="s">
        <v>89</v>
      </c>
      <c r="F24" t="s">
        <v>90</v>
      </c>
      <c r="G24" t="s">
        <v>10</v>
      </c>
      <c r="H24">
        <v>1</v>
      </c>
      <c r="I24" s="2">
        <v>0.5</v>
      </c>
      <c r="Q24" s="27"/>
      <c r="R24" s="27"/>
    </row>
    <row r="25" spans="1:19">
      <c r="A25" s="6"/>
      <c r="I25" s="2"/>
      <c r="Q25" s="13"/>
      <c r="R25" s="13"/>
    </row>
    <row r="26" spans="1:19">
      <c r="A26" s="3" t="s">
        <v>21</v>
      </c>
      <c r="B26" t="s">
        <v>23</v>
      </c>
      <c r="D26" t="s">
        <v>8</v>
      </c>
      <c r="F26" t="s">
        <v>20</v>
      </c>
      <c r="G26" t="s">
        <v>24</v>
      </c>
      <c r="H26">
        <v>0</v>
      </c>
      <c r="I26" s="4">
        <v>1000000</v>
      </c>
      <c r="K26" s="21" t="s">
        <v>25</v>
      </c>
    </row>
    <row r="27" spans="1:19">
      <c r="K27" s="23"/>
    </row>
    <row r="28" spans="1:19">
      <c r="A28" t="s">
        <v>81</v>
      </c>
      <c r="B28" t="s">
        <v>82</v>
      </c>
      <c r="D28" t="s">
        <v>8</v>
      </c>
      <c r="F28" t="s">
        <v>83</v>
      </c>
      <c r="G28" t="s">
        <v>24</v>
      </c>
      <c r="H28">
        <v>0</v>
      </c>
      <c r="I28" s="4">
        <f>558250*0.3</f>
        <v>167475</v>
      </c>
      <c r="K28" s="23" t="s">
        <v>87</v>
      </c>
      <c r="M28" s="22" t="s">
        <v>147</v>
      </c>
    </row>
    <row r="29" spans="1:19">
      <c r="A29" t="s">
        <v>84</v>
      </c>
      <c r="B29" t="s">
        <v>82</v>
      </c>
      <c r="D29" t="s">
        <v>8</v>
      </c>
      <c r="F29" t="s">
        <v>83</v>
      </c>
      <c r="G29" t="s">
        <v>24</v>
      </c>
      <c r="H29">
        <v>0</v>
      </c>
      <c r="I29" s="4">
        <f>518197*0.25</f>
        <v>129549.25</v>
      </c>
      <c r="K29" s="23" t="s">
        <v>87</v>
      </c>
    </row>
    <row r="30" spans="1:19">
      <c r="A30" t="s">
        <v>85</v>
      </c>
      <c r="B30" t="s">
        <v>82</v>
      </c>
      <c r="D30" t="s">
        <v>8</v>
      </c>
      <c r="F30" t="s">
        <v>83</v>
      </c>
      <c r="G30" t="s">
        <v>24</v>
      </c>
      <c r="H30">
        <v>0</v>
      </c>
      <c r="I30" s="4">
        <f>32966*0.3</f>
        <v>9889.7999999999993</v>
      </c>
      <c r="K30" s="23" t="s">
        <v>87</v>
      </c>
    </row>
    <row r="31" spans="1:19">
      <c r="A31" t="s">
        <v>86</v>
      </c>
      <c r="B31" t="s">
        <v>82</v>
      </c>
      <c r="D31" t="s">
        <v>8</v>
      </c>
      <c r="F31" t="s">
        <v>83</v>
      </c>
      <c r="G31" t="s">
        <v>24</v>
      </c>
      <c r="H31">
        <v>0</v>
      </c>
      <c r="I31" s="4">
        <f>196581*0.3</f>
        <v>58974.299999999996</v>
      </c>
      <c r="K31" s="23" t="s">
        <v>87</v>
      </c>
    </row>
    <row r="32" spans="1:19">
      <c r="K32" s="3"/>
    </row>
    <row r="33" spans="1:18">
      <c r="Q33" s="10"/>
      <c r="R33" s="10"/>
    </row>
    <row r="34" spans="1:18">
      <c r="A34" s="5" t="s">
        <v>138</v>
      </c>
      <c r="Q34" s="10"/>
      <c r="R34" s="10"/>
    </row>
    <row r="35" spans="1:18">
      <c r="A35" s="1" t="s">
        <v>134</v>
      </c>
      <c r="K35" s="14" t="s">
        <v>135</v>
      </c>
      <c r="L35" s="15" t="s">
        <v>136</v>
      </c>
      <c r="M35" s="16" t="s">
        <v>137</v>
      </c>
      <c r="Q35" s="10"/>
      <c r="R35" s="10"/>
    </row>
    <row r="36" spans="1:18">
      <c r="A36" t="s">
        <v>95</v>
      </c>
      <c r="C36" t="s">
        <v>96</v>
      </c>
      <c r="D36" t="s">
        <v>8</v>
      </c>
      <c r="F36" t="s">
        <v>9</v>
      </c>
      <c r="G36" t="s">
        <v>36</v>
      </c>
      <c r="H36">
        <v>5.3</v>
      </c>
      <c r="I36">
        <f t="shared" ref="I36:I45" si="0">MIN(MAX(H36*$K$36,$L$36),$M$36)</f>
        <v>35</v>
      </c>
      <c r="K36" s="19">
        <v>3</v>
      </c>
      <c r="L36" s="17">
        <v>35</v>
      </c>
      <c r="M36" s="18">
        <v>100</v>
      </c>
    </row>
    <row r="37" spans="1:18">
      <c r="A37" t="s">
        <v>97</v>
      </c>
      <c r="C37" t="s">
        <v>96</v>
      </c>
      <c r="D37" t="s">
        <v>8</v>
      </c>
      <c r="F37" t="s">
        <v>9</v>
      </c>
      <c r="G37" t="s">
        <v>36</v>
      </c>
      <c r="H37">
        <v>5.3</v>
      </c>
      <c r="I37">
        <f t="shared" si="0"/>
        <v>35</v>
      </c>
    </row>
    <row r="38" spans="1:18">
      <c r="A38" t="s">
        <v>98</v>
      </c>
      <c r="C38" t="s">
        <v>96</v>
      </c>
      <c r="D38" t="s">
        <v>8</v>
      </c>
      <c r="F38" t="s">
        <v>9</v>
      </c>
      <c r="G38" t="s">
        <v>36</v>
      </c>
      <c r="H38">
        <v>4.9000000000000004</v>
      </c>
      <c r="I38">
        <f t="shared" si="0"/>
        <v>35</v>
      </c>
      <c r="K38" s="22" t="s">
        <v>148</v>
      </c>
    </row>
    <row r="39" spans="1:18">
      <c r="A39" t="s">
        <v>99</v>
      </c>
      <c r="C39" t="s">
        <v>96</v>
      </c>
      <c r="D39" t="s">
        <v>8</v>
      </c>
      <c r="F39" t="s">
        <v>9</v>
      </c>
      <c r="G39" t="s">
        <v>36</v>
      </c>
      <c r="H39">
        <v>4.9000000000000004</v>
      </c>
      <c r="I39">
        <f t="shared" si="0"/>
        <v>35</v>
      </c>
    </row>
    <row r="40" spans="1:18">
      <c r="A40" t="s">
        <v>100</v>
      </c>
      <c r="C40" t="s">
        <v>96</v>
      </c>
      <c r="D40" t="s">
        <v>8</v>
      </c>
      <c r="F40" t="s">
        <v>9</v>
      </c>
      <c r="G40" t="s">
        <v>36</v>
      </c>
      <c r="H40">
        <v>12.7</v>
      </c>
      <c r="I40">
        <f t="shared" si="0"/>
        <v>38.099999999999994</v>
      </c>
    </row>
    <row r="41" spans="1:18">
      <c r="A41" t="s">
        <v>101</v>
      </c>
      <c r="C41" t="s">
        <v>96</v>
      </c>
      <c r="D41" t="s">
        <v>8</v>
      </c>
      <c r="F41" t="s">
        <v>9</v>
      </c>
      <c r="G41" t="s">
        <v>36</v>
      </c>
      <c r="H41">
        <v>12.7</v>
      </c>
      <c r="I41">
        <f t="shared" si="0"/>
        <v>38.099999999999994</v>
      </c>
    </row>
    <row r="42" spans="1:18">
      <c r="A42" t="s">
        <v>102</v>
      </c>
      <c r="C42" t="s">
        <v>96</v>
      </c>
      <c r="D42" t="s">
        <v>8</v>
      </c>
      <c r="F42" t="s">
        <v>9</v>
      </c>
      <c r="G42" t="s">
        <v>36</v>
      </c>
      <c r="H42">
        <v>24</v>
      </c>
      <c r="I42">
        <f t="shared" si="0"/>
        <v>72</v>
      </c>
    </row>
    <row r="43" spans="1:18">
      <c r="A43" t="s">
        <v>103</v>
      </c>
      <c r="C43" t="s">
        <v>96</v>
      </c>
      <c r="D43" t="s">
        <v>8</v>
      </c>
      <c r="F43" t="s">
        <v>9</v>
      </c>
      <c r="G43" t="s">
        <v>36</v>
      </c>
      <c r="H43">
        <v>24</v>
      </c>
      <c r="I43">
        <f t="shared" si="0"/>
        <v>72</v>
      </c>
    </row>
    <row r="44" spans="1:18">
      <c r="A44" t="s">
        <v>104</v>
      </c>
      <c r="C44" t="s">
        <v>96</v>
      </c>
      <c r="D44" t="s">
        <v>8</v>
      </c>
      <c r="F44" t="s">
        <v>9</v>
      </c>
      <c r="G44" t="s">
        <v>36</v>
      </c>
      <c r="H44">
        <v>10</v>
      </c>
      <c r="I44">
        <f t="shared" si="0"/>
        <v>35</v>
      </c>
    </row>
    <row r="45" spans="1:18">
      <c r="A45" t="s">
        <v>105</v>
      </c>
      <c r="C45" t="s">
        <v>96</v>
      </c>
      <c r="D45" t="s">
        <v>8</v>
      </c>
      <c r="F45" t="s">
        <v>9</v>
      </c>
      <c r="G45" t="s">
        <v>36</v>
      </c>
      <c r="H45">
        <v>10</v>
      </c>
      <c r="I45">
        <f t="shared" si="0"/>
        <v>35</v>
      </c>
    </row>
    <row r="46" spans="1:18">
      <c r="A46" s="1" t="s">
        <v>106</v>
      </c>
    </row>
    <row r="47" spans="1:18">
      <c r="A47" t="s">
        <v>107</v>
      </c>
      <c r="C47" t="s">
        <v>96</v>
      </c>
      <c r="D47" t="s">
        <v>8</v>
      </c>
      <c r="F47" t="s">
        <v>9</v>
      </c>
      <c r="G47" t="s">
        <v>36</v>
      </c>
      <c r="H47">
        <v>12</v>
      </c>
      <c r="I47">
        <f>MIN(MAX(H47*$K$36,$L$36),$M$36)</f>
        <v>36</v>
      </c>
    </row>
    <row r="48" spans="1:18">
      <c r="A48" t="s">
        <v>108</v>
      </c>
      <c r="C48" t="s">
        <v>96</v>
      </c>
      <c r="D48" t="s">
        <v>8</v>
      </c>
      <c r="F48" t="s">
        <v>9</v>
      </c>
      <c r="G48" t="s">
        <v>36</v>
      </c>
      <c r="H48">
        <v>12</v>
      </c>
      <c r="I48">
        <f>MIN(MAX(H48*$K$36,$L$36),$M$36)</f>
        <v>36</v>
      </c>
    </row>
    <row r="49" spans="1:9">
      <c r="A49" t="s">
        <v>109</v>
      </c>
      <c r="C49" t="s">
        <v>96</v>
      </c>
      <c r="D49" t="s">
        <v>8</v>
      </c>
      <c r="F49" t="s">
        <v>9</v>
      </c>
      <c r="G49" t="s">
        <v>36</v>
      </c>
      <c r="H49">
        <v>0</v>
      </c>
      <c r="I49">
        <f>MIN(MAX(H49*$K$36,$L$36),$M$36)</f>
        <v>35</v>
      </c>
    </row>
    <row r="50" spans="1:9">
      <c r="A50" s="1" t="s">
        <v>79</v>
      </c>
    </row>
    <row r="51" spans="1:9">
      <c r="A51" t="s">
        <v>110</v>
      </c>
      <c r="C51" t="s">
        <v>96</v>
      </c>
      <c r="D51" t="s">
        <v>8</v>
      </c>
      <c r="F51" t="s">
        <v>9</v>
      </c>
      <c r="G51" t="s">
        <v>36</v>
      </c>
      <c r="H51">
        <v>25</v>
      </c>
      <c r="I51">
        <f t="shared" ref="I51:I57" si="1">MIN(MAX(H51*$K$36,$L$36),$M$36)</f>
        <v>75</v>
      </c>
    </row>
    <row r="52" spans="1:9">
      <c r="A52" t="s">
        <v>111</v>
      </c>
      <c r="C52" t="s">
        <v>96</v>
      </c>
      <c r="D52" t="s">
        <v>8</v>
      </c>
      <c r="F52" t="s">
        <v>9</v>
      </c>
      <c r="G52" t="s">
        <v>36</v>
      </c>
      <c r="H52">
        <v>25</v>
      </c>
      <c r="I52">
        <f t="shared" si="1"/>
        <v>75</v>
      </c>
    </row>
    <row r="53" spans="1:9">
      <c r="A53" t="s">
        <v>112</v>
      </c>
      <c r="C53" t="s">
        <v>96</v>
      </c>
      <c r="D53" t="s">
        <v>8</v>
      </c>
      <c r="F53" t="s">
        <v>9</v>
      </c>
      <c r="G53" t="s">
        <v>36</v>
      </c>
      <c r="H53">
        <v>13</v>
      </c>
      <c r="I53">
        <f t="shared" si="1"/>
        <v>39</v>
      </c>
    </row>
    <row r="54" spans="1:9">
      <c r="A54" t="s">
        <v>113</v>
      </c>
      <c r="C54" t="s">
        <v>96</v>
      </c>
      <c r="D54" t="s">
        <v>8</v>
      </c>
      <c r="F54" t="s">
        <v>9</v>
      </c>
      <c r="G54" t="s">
        <v>36</v>
      </c>
      <c r="H54">
        <v>19</v>
      </c>
      <c r="I54">
        <f t="shared" si="1"/>
        <v>57</v>
      </c>
    </row>
    <row r="55" spans="1:9">
      <c r="A55" t="s">
        <v>114</v>
      </c>
      <c r="C55" t="s">
        <v>96</v>
      </c>
      <c r="D55" t="s">
        <v>8</v>
      </c>
      <c r="F55" t="s">
        <v>9</v>
      </c>
      <c r="G55" t="s">
        <v>36</v>
      </c>
      <c r="H55">
        <v>9</v>
      </c>
      <c r="I55">
        <f t="shared" si="1"/>
        <v>35</v>
      </c>
    </row>
    <row r="56" spans="1:9">
      <c r="A56" t="s">
        <v>115</v>
      </c>
      <c r="C56" t="s">
        <v>96</v>
      </c>
      <c r="D56" t="s">
        <v>8</v>
      </c>
      <c r="F56" t="s">
        <v>9</v>
      </c>
      <c r="G56" t="s">
        <v>36</v>
      </c>
      <c r="H56">
        <v>11</v>
      </c>
      <c r="I56">
        <f t="shared" si="1"/>
        <v>35</v>
      </c>
    </row>
    <row r="57" spans="1:9">
      <c r="A57" t="s">
        <v>116</v>
      </c>
      <c r="C57" t="s">
        <v>96</v>
      </c>
      <c r="D57" t="s">
        <v>8</v>
      </c>
      <c r="F57" t="s">
        <v>9</v>
      </c>
      <c r="G57" t="s">
        <v>36</v>
      </c>
      <c r="H57">
        <v>13</v>
      </c>
      <c r="I57">
        <f t="shared" si="1"/>
        <v>39</v>
      </c>
    </row>
    <row r="58" spans="1:9">
      <c r="A58" s="1" t="s">
        <v>117</v>
      </c>
    </row>
    <row r="59" spans="1:9">
      <c r="A59" t="s">
        <v>73</v>
      </c>
      <c r="D59" t="s">
        <v>8</v>
      </c>
      <c r="F59" t="s">
        <v>9</v>
      </c>
      <c r="G59" t="s">
        <v>36</v>
      </c>
      <c r="H59">
        <v>7.9</v>
      </c>
      <c r="I59">
        <f>MIN(MAX(H59*$K$36,$L$36),$M$36)</f>
        <v>35</v>
      </c>
    </row>
    <row r="60" spans="1:9">
      <c r="A60" t="s">
        <v>118</v>
      </c>
      <c r="D60" t="s">
        <v>8</v>
      </c>
      <c r="F60" t="s">
        <v>9</v>
      </c>
      <c r="G60" t="s">
        <v>36</v>
      </c>
      <c r="H60">
        <v>7.9</v>
      </c>
      <c r="I60">
        <f>MIN(MAX(H60*$K$36,$L$36),$M$36)</f>
        <v>35</v>
      </c>
    </row>
    <row r="61" spans="1:9">
      <c r="A61" t="s">
        <v>119</v>
      </c>
      <c r="D61" t="s">
        <v>8</v>
      </c>
      <c r="F61" t="s">
        <v>9</v>
      </c>
      <c r="G61" t="s">
        <v>36</v>
      </c>
      <c r="H61">
        <v>7.9</v>
      </c>
      <c r="I61">
        <f>MIN(MAX(H61*$K$36,$L$36),$M$36)</f>
        <v>35</v>
      </c>
    </row>
    <row r="62" spans="1:9">
      <c r="A62" t="s">
        <v>120</v>
      </c>
      <c r="D62" t="s">
        <v>8</v>
      </c>
      <c r="F62" t="s">
        <v>9</v>
      </c>
      <c r="G62" t="s">
        <v>36</v>
      </c>
      <c r="H62">
        <v>7.9</v>
      </c>
      <c r="I62">
        <f>MIN(MAX(H62*$K$36,$L$36),$M$36)</f>
        <v>35</v>
      </c>
    </row>
    <row r="63" spans="1:9">
      <c r="A63" s="1" t="s">
        <v>121</v>
      </c>
    </row>
    <row r="64" spans="1:9">
      <c r="B64" t="s">
        <v>4</v>
      </c>
      <c r="C64" t="s">
        <v>96</v>
      </c>
      <c r="D64" t="s">
        <v>8</v>
      </c>
      <c r="F64" t="s">
        <v>9</v>
      </c>
      <c r="G64" t="s">
        <v>36</v>
      </c>
      <c r="H64">
        <v>15.75</v>
      </c>
      <c r="I64">
        <f>MIN(MAX(H64*$K$36,$L$36),$M$36)</f>
        <v>47.25</v>
      </c>
    </row>
    <row r="65" spans="1:9">
      <c r="A65" s="1" t="s">
        <v>122</v>
      </c>
    </row>
    <row r="66" spans="1:9">
      <c r="A66" t="s">
        <v>17</v>
      </c>
      <c r="C66" t="s">
        <v>96</v>
      </c>
      <c r="D66" t="s">
        <v>8</v>
      </c>
      <c r="F66" t="s">
        <v>9</v>
      </c>
      <c r="G66" t="s">
        <v>36</v>
      </c>
      <c r="H66">
        <v>2.2999999999999998</v>
      </c>
      <c r="I66">
        <f t="shared" ref="I66:I71" si="2">MIN(MAX(H66*$K$36,$L$36),$M$36)</f>
        <v>35</v>
      </c>
    </row>
    <row r="67" spans="1:9">
      <c r="A67" t="s">
        <v>51</v>
      </c>
      <c r="C67" t="s">
        <v>96</v>
      </c>
      <c r="D67" t="s">
        <v>8</v>
      </c>
      <c r="F67" t="s">
        <v>9</v>
      </c>
      <c r="G67" t="s">
        <v>36</v>
      </c>
      <c r="H67">
        <v>18.100000000000001</v>
      </c>
      <c r="I67">
        <f t="shared" si="2"/>
        <v>54.300000000000004</v>
      </c>
    </row>
    <row r="68" spans="1:9">
      <c r="A68" t="s">
        <v>52</v>
      </c>
      <c r="C68" t="s">
        <v>96</v>
      </c>
      <c r="D68" t="s">
        <v>8</v>
      </c>
      <c r="F68" t="s">
        <v>9</v>
      </c>
      <c r="G68" t="s">
        <v>36</v>
      </c>
      <c r="H68">
        <v>21</v>
      </c>
      <c r="I68">
        <f t="shared" si="2"/>
        <v>63</v>
      </c>
    </row>
    <row r="69" spans="1:9">
      <c r="A69" t="s">
        <v>18</v>
      </c>
      <c r="C69" t="s">
        <v>96</v>
      </c>
      <c r="D69" t="s">
        <v>8</v>
      </c>
      <c r="F69" t="s">
        <v>9</v>
      </c>
      <c r="G69" t="s">
        <v>36</v>
      </c>
      <c r="H69">
        <v>0.95</v>
      </c>
      <c r="I69">
        <f t="shared" si="2"/>
        <v>35</v>
      </c>
    </row>
    <row r="70" spans="1:9">
      <c r="A70" t="s">
        <v>123</v>
      </c>
      <c r="C70" t="s">
        <v>96</v>
      </c>
      <c r="D70" t="s">
        <v>8</v>
      </c>
      <c r="F70" t="s">
        <v>124</v>
      </c>
      <c r="G70" t="s">
        <v>36</v>
      </c>
      <c r="H70">
        <v>8.620000000000001</v>
      </c>
      <c r="I70">
        <f t="shared" si="2"/>
        <v>35</v>
      </c>
    </row>
    <row r="71" spans="1:9">
      <c r="A71" t="s">
        <v>125</v>
      </c>
      <c r="C71" t="s">
        <v>96</v>
      </c>
      <c r="D71" t="s">
        <v>8</v>
      </c>
      <c r="F71" t="s">
        <v>124</v>
      </c>
      <c r="G71" t="s">
        <v>36</v>
      </c>
      <c r="H71">
        <v>8.620000000000001</v>
      </c>
      <c r="I71">
        <f t="shared" si="2"/>
        <v>35</v>
      </c>
    </row>
    <row r="72" spans="1:9">
      <c r="A72" t="s">
        <v>53</v>
      </c>
    </row>
    <row r="73" spans="1:9">
      <c r="A73" t="s">
        <v>53</v>
      </c>
      <c r="C73" t="s">
        <v>96</v>
      </c>
      <c r="D73" t="s">
        <v>8</v>
      </c>
      <c r="F73" t="s">
        <v>9</v>
      </c>
      <c r="G73" t="s">
        <v>36</v>
      </c>
      <c r="H73">
        <v>16.5</v>
      </c>
      <c r="I73">
        <f>MIN(MAX(H73*$K$36,$L$36),$M$36)</f>
        <v>49.5</v>
      </c>
    </row>
    <row r="74" spans="1:9">
      <c r="A74" t="s">
        <v>126</v>
      </c>
      <c r="C74" t="s">
        <v>96</v>
      </c>
      <c r="D74" t="s">
        <v>8</v>
      </c>
      <c r="F74" t="s">
        <v>9</v>
      </c>
      <c r="G74" t="s">
        <v>36</v>
      </c>
      <c r="H74">
        <v>16.5</v>
      </c>
      <c r="I74">
        <f>MIN(MAX(H74*$K$36,$L$36),$M$36)</f>
        <v>49.5</v>
      </c>
    </row>
    <row r="75" spans="1:9">
      <c r="A75" s="1" t="s">
        <v>127</v>
      </c>
    </row>
    <row r="76" spans="1:9">
      <c r="B76" t="s">
        <v>46</v>
      </c>
      <c r="D76" t="s">
        <v>8</v>
      </c>
      <c r="F76" t="s">
        <v>9</v>
      </c>
      <c r="G76" t="s">
        <v>36</v>
      </c>
      <c r="H76">
        <v>34.200000000000003</v>
      </c>
      <c r="I76">
        <f>MIN(MAX(H76*$K$36,$L$36),$M$36)</f>
        <v>100</v>
      </c>
    </row>
    <row r="77" spans="1:9">
      <c r="A77" s="1" t="s">
        <v>128</v>
      </c>
    </row>
    <row r="78" spans="1:9">
      <c r="A78" t="s">
        <v>45</v>
      </c>
      <c r="C78" t="s">
        <v>96</v>
      </c>
      <c r="D78" t="s">
        <v>8</v>
      </c>
      <c r="F78" t="s">
        <v>9</v>
      </c>
      <c r="G78" t="s">
        <v>36</v>
      </c>
      <c r="H78">
        <v>1</v>
      </c>
      <c r="I78">
        <f>MIN(MAX(H78*$K$36,$L$36),$M$36)</f>
        <v>35</v>
      </c>
    </row>
    <row r="79" spans="1:9">
      <c r="A79" s="1" t="s">
        <v>129</v>
      </c>
    </row>
    <row r="80" spans="1:9">
      <c r="A80" t="s">
        <v>130</v>
      </c>
      <c r="D80" t="s">
        <v>8</v>
      </c>
      <c r="F80" t="s">
        <v>9</v>
      </c>
      <c r="G80" t="s">
        <v>36</v>
      </c>
      <c r="H80">
        <v>8</v>
      </c>
      <c r="I80">
        <f>MIN(MAX(H80*$K$36,$L$36),$M$36)</f>
        <v>35</v>
      </c>
    </row>
    <row r="81" spans="1:9">
      <c r="A81" t="s">
        <v>131</v>
      </c>
      <c r="D81" t="s">
        <v>8</v>
      </c>
      <c r="F81" t="s">
        <v>9</v>
      </c>
      <c r="G81" t="s">
        <v>36</v>
      </c>
      <c r="H81">
        <v>7.9</v>
      </c>
      <c r="I81">
        <f>MIN(MAX(H81*$K$36,$L$36),$M$36)</f>
        <v>35</v>
      </c>
    </row>
    <row r="82" spans="1:9">
      <c r="A82" t="s">
        <v>132</v>
      </c>
      <c r="D82" t="s">
        <v>8</v>
      </c>
      <c r="F82" t="s">
        <v>9</v>
      </c>
      <c r="G82" t="s">
        <v>36</v>
      </c>
      <c r="H82">
        <v>4.7</v>
      </c>
      <c r="I82">
        <f>MIN(MAX(H82*$K$36,$L$36),$M$36)</f>
        <v>35</v>
      </c>
    </row>
  </sheetData>
  <mergeCells count="1">
    <mergeCell ref="Q24:R2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7"/>
  <sheetViews>
    <sheetView tabSelected="1" topLeftCell="C1" workbookViewId="0">
      <selection activeCell="J45" sqref="J45"/>
    </sheetView>
  </sheetViews>
  <sheetFormatPr defaultRowHeight="15"/>
  <cols>
    <col min="2" max="2" width="23" bestFit="1" customWidth="1"/>
    <col min="3" max="3" width="18.42578125" bestFit="1" customWidth="1"/>
    <col min="4" max="4" width="23" customWidth="1"/>
    <col min="5" max="5" width="18.42578125" customWidth="1"/>
    <col min="6" max="6" width="11" bestFit="1" customWidth="1"/>
    <col min="13" max="13" width="12" bestFit="1" customWidth="1"/>
  </cols>
  <sheetData>
    <row r="1" spans="1:12">
      <c r="A1" s="1" t="s">
        <v>40</v>
      </c>
      <c r="B1" s="1" t="s">
        <v>65</v>
      </c>
      <c r="C1" s="1" t="s">
        <v>38</v>
      </c>
      <c r="D1" s="1" t="s">
        <v>140</v>
      </c>
      <c r="E1" s="1" t="s">
        <v>3</v>
      </c>
      <c r="F1" s="1" t="s">
        <v>1</v>
      </c>
      <c r="G1" s="1" t="s">
        <v>0</v>
      </c>
      <c r="H1" s="1" t="s">
        <v>7</v>
      </c>
      <c r="I1" s="1" t="s">
        <v>144</v>
      </c>
      <c r="J1" s="1" t="s">
        <v>16</v>
      </c>
    </row>
    <row r="2" spans="1:12">
      <c r="C2" t="s">
        <v>66</v>
      </c>
      <c r="E2" t="s">
        <v>6</v>
      </c>
      <c r="F2" t="s">
        <v>67</v>
      </c>
      <c r="G2" t="s">
        <v>10</v>
      </c>
      <c r="H2">
        <v>1</v>
      </c>
      <c r="J2" s="2">
        <v>1.4</v>
      </c>
      <c r="L2" s="22" t="s">
        <v>145</v>
      </c>
    </row>
    <row r="3" spans="1:12">
      <c r="C3" t="s">
        <v>68</v>
      </c>
      <c r="E3" t="s">
        <v>6</v>
      </c>
      <c r="F3" t="s">
        <v>67</v>
      </c>
      <c r="G3" t="s">
        <v>10</v>
      </c>
      <c r="H3">
        <v>1</v>
      </c>
      <c r="J3" s="2">
        <v>1.4</v>
      </c>
      <c r="L3" s="22" t="s">
        <v>146</v>
      </c>
    </row>
    <row r="4" spans="1:12">
      <c r="C4" t="s">
        <v>69</v>
      </c>
      <c r="E4" t="s">
        <v>6</v>
      </c>
      <c r="F4" t="s">
        <v>67</v>
      </c>
      <c r="G4" t="s">
        <v>10</v>
      </c>
      <c r="H4">
        <v>1</v>
      </c>
      <c r="J4" s="2">
        <v>1.36</v>
      </c>
    </row>
    <row r="5" spans="1:12">
      <c r="C5" t="s">
        <v>70</v>
      </c>
      <c r="E5" t="s">
        <v>6</v>
      </c>
      <c r="F5" t="s">
        <v>67</v>
      </c>
      <c r="G5" t="s">
        <v>10</v>
      </c>
      <c r="H5">
        <v>1</v>
      </c>
      <c r="J5" s="2">
        <v>1.33</v>
      </c>
    </row>
    <row r="6" spans="1:12">
      <c r="C6" t="s">
        <v>71</v>
      </c>
      <c r="E6" t="s">
        <v>6</v>
      </c>
      <c r="F6" t="s">
        <v>67</v>
      </c>
      <c r="G6" t="s">
        <v>10</v>
      </c>
      <c r="H6">
        <v>1</v>
      </c>
      <c r="J6" s="2">
        <v>1.33</v>
      </c>
    </row>
    <row r="7" spans="1:12">
      <c r="C7" t="s">
        <v>72</v>
      </c>
      <c r="E7" t="s">
        <v>6</v>
      </c>
      <c r="F7" t="s">
        <v>67</v>
      </c>
      <c r="G7" t="s">
        <v>10</v>
      </c>
      <c r="H7">
        <v>1</v>
      </c>
      <c r="J7" s="2">
        <v>1.36</v>
      </c>
    </row>
    <row r="8" spans="1:12">
      <c r="C8" t="s">
        <v>42</v>
      </c>
      <c r="E8" t="s">
        <v>6</v>
      </c>
      <c r="F8" t="s">
        <v>67</v>
      </c>
      <c r="G8" t="s">
        <v>10</v>
      </c>
      <c r="H8">
        <v>1</v>
      </c>
      <c r="J8" s="2">
        <v>1.36</v>
      </c>
    </row>
    <row r="9" spans="1:12">
      <c r="C9" t="s">
        <v>43</v>
      </c>
      <c r="E9" t="s">
        <v>6</v>
      </c>
      <c r="F9" t="s">
        <v>67</v>
      </c>
      <c r="G9" t="s">
        <v>10</v>
      </c>
      <c r="H9">
        <v>1</v>
      </c>
      <c r="J9" s="2">
        <v>1.36</v>
      </c>
    </row>
    <row r="10" spans="1:12">
      <c r="C10" t="s">
        <v>44</v>
      </c>
      <c r="E10" t="s">
        <v>6</v>
      </c>
      <c r="F10" t="s">
        <v>67</v>
      </c>
      <c r="G10" t="s">
        <v>10</v>
      </c>
      <c r="H10">
        <v>1</v>
      </c>
      <c r="J10" s="2">
        <v>1</v>
      </c>
    </row>
    <row r="11" spans="1:12">
      <c r="C11" t="s">
        <v>73</v>
      </c>
      <c r="E11" t="s">
        <v>6</v>
      </c>
      <c r="F11" t="s">
        <v>67</v>
      </c>
      <c r="G11" t="s">
        <v>10</v>
      </c>
      <c r="H11">
        <v>1</v>
      </c>
      <c r="J11" s="2">
        <v>1.32</v>
      </c>
    </row>
    <row r="12" spans="1:12">
      <c r="C12" t="s">
        <v>74</v>
      </c>
      <c r="E12" t="s">
        <v>6</v>
      </c>
      <c r="F12" t="s">
        <v>67</v>
      </c>
      <c r="G12" t="s">
        <v>10</v>
      </c>
      <c r="H12">
        <v>1</v>
      </c>
      <c r="J12" s="2">
        <v>1.35</v>
      </c>
    </row>
    <row r="13" spans="1:12">
      <c r="C13" t="s">
        <v>75</v>
      </c>
      <c r="E13" t="s">
        <v>6</v>
      </c>
      <c r="F13" t="s">
        <v>67</v>
      </c>
      <c r="G13" t="s">
        <v>10</v>
      </c>
      <c r="H13">
        <v>1</v>
      </c>
      <c r="J13" s="2">
        <v>1.35</v>
      </c>
    </row>
    <row r="14" spans="1:12">
      <c r="C14" t="s">
        <v>76</v>
      </c>
      <c r="E14" t="s">
        <v>6</v>
      </c>
      <c r="F14" t="s">
        <v>67</v>
      </c>
      <c r="G14" t="s">
        <v>10</v>
      </c>
      <c r="H14">
        <v>1</v>
      </c>
      <c r="J14" s="2">
        <v>1.33</v>
      </c>
    </row>
    <row r="15" spans="1:12">
      <c r="C15" t="s">
        <v>77</v>
      </c>
      <c r="E15" t="s">
        <v>6</v>
      </c>
      <c r="F15" t="s">
        <v>67</v>
      </c>
      <c r="G15" t="s">
        <v>10</v>
      </c>
      <c r="H15">
        <v>1</v>
      </c>
      <c r="J15" s="2">
        <v>1.32</v>
      </c>
    </row>
    <row r="16" spans="1:12">
      <c r="C16" t="s">
        <v>78</v>
      </c>
      <c r="E16" t="s">
        <v>6</v>
      </c>
      <c r="F16" t="s">
        <v>67</v>
      </c>
      <c r="G16" t="s">
        <v>10</v>
      </c>
      <c r="H16">
        <v>1</v>
      </c>
      <c r="J16" s="2">
        <v>1.32</v>
      </c>
    </row>
    <row r="17" spans="2:10">
      <c r="B17" t="s">
        <v>79</v>
      </c>
      <c r="E17" t="s">
        <v>6</v>
      </c>
      <c r="F17" t="s">
        <v>67</v>
      </c>
      <c r="G17" t="s">
        <v>10</v>
      </c>
      <c r="H17">
        <v>1</v>
      </c>
      <c r="J17" s="2">
        <v>1.38</v>
      </c>
    </row>
    <row r="18" spans="2:10">
      <c r="B18" t="s">
        <v>80</v>
      </c>
      <c r="E18" t="s">
        <v>6</v>
      </c>
      <c r="F18" t="s">
        <v>67</v>
      </c>
      <c r="G18" t="s">
        <v>10</v>
      </c>
      <c r="H18">
        <v>1</v>
      </c>
      <c r="J18" s="2">
        <v>1.38</v>
      </c>
    </row>
    <row r="20" spans="2:10">
      <c r="C20" t="s">
        <v>66</v>
      </c>
      <c r="E20" t="s">
        <v>8</v>
      </c>
      <c r="F20" t="s">
        <v>67</v>
      </c>
      <c r="G20" t="s">
        <v>10</v>
      </c>
      <c r="H20">
        <v>1</v>
      </c>
      <c r="J20" s="2">
        <v>1.45</v>
      </c>
    </row>
    <row r="21" spans="2:10">
      <c r="C21" t="s">
        <v>68</v>
      </c>
      <c r="E21" t="s">
        <v>8</v>
      </c>
      <c r="F21" t="s">
        <v>67</v>
      </c>
      <c r="G21" t="s">
        <v>10</v>
      </c>
      <c r="H21">
        <v>1</v>
      </c>
      <c r="J21" s="2">
        <v>1.45</v>
      </c>
    </row>
    <row r="22" spans="2:10">
      <c r="C22" t="s">
        <v>69</v>
      </c>
      <c r="E22" t="s">
        <v>8</v>
      </c>
      <c r="F22" t="s">
        <v>67</v>
      </c>
      <c r="G22" t="s">
        <v>10</v>
      </c>
      <c r="H22">
        <v>1</v>
      </c>
      <c r="J22" s="2">
        <v>1.64</v>
      </c>
    </row>
    <row r="23" spans="2:10">
      <c r="C23" t="s">
        <v>70</v>
      </c>
      <c r="E23" t="s">
        <v>8</v>
      </c>
      <c r="F23" t="s">
        <v>67</v>
      </c>
      <c r="G23" t="s">
        <v>10</v>
      </c>
      <c r="H23">
        <v>1</v>
      </c>
      <c r="J23" s="2">
        <v>1.33</v>
      </c>
    </row>
    <row r="24" spans="2:10">
      <c r="C24" t="s">
        <v>71</v>
      </c>
      <c r="E24" t="s">
        <v>8</v>
      </c>
      <c r="F24" t="s">
        <v>67</v>
      </c>
      <c r="G24" t="s">
        <v>10</v>
      </c>
      <c r="H24">
        <v>1</v>
      </c>
      <c r="J24" s="2">
        <v>1.33</v>
      </c>
    </row>
    <row r="25" spans="2:10">
      <c r="C25" t="s">
        <v>72</v>
      </c>
      <c r="E25" t="s">
        <v>8</v>
      </c>
      <c r="F25" t="s">
        <v>67</v>
      </c>
      <c r="G25" t="s">
        <v>10</v>
      </c>
      <c r="H25">
        <v>1</v>
      </c>
      <c r="J25" s="2">
        <v>1.35</v>
      </c>
    </row>
    <row r="26" spans="2:10">
      <c r="C26" t="s">
        <v>42</v>
      </c>
      <c r="E26" t="s">
        <v>8</v>
      </c>
      <c r="F26" t="s">
        <v>67</v>
      </c>
      <c r="G26" t="s">
        <v>10</v>
      </c>
      <c r="H26">
        <v>1</v>
      </c>
      <c r="J26" s="2">
        <v>1.37</v>
      </c>
    </row>
    <row r="27" spans="2:10">
      <c r="C27" t="s">
        <v>43</v>
      </c>
      <c r="E27" t="s">
        <v>8</v>
      </c>
      <c r="F27" t="s">
        <v>67</v>
      </c>
      <c r="G27" t="s">
        <v>10</v>
      </c>
      <c r="H27">
        <v>1</v>
      </c>
      <c r="J27" s="2">
        <v>1.37</v>
      </c>
    </row>
    <row r="28" spans="2:10">
      <c r="C28" t="s">
        <v>44</v>
      </c>
      <c r="E28" t="s">
        <v>8</v>
      </c>
      <c r="F28" t="s">
        <v>67</v>
      </c>
      <c r="G28" t="s">
        <v>10</v>
      </c>
      <c r="H28">
        <v>1</v>
      </c>
      <c r="J28" s="2">
        <v>1.32</v>
      </c>
    </row>
    <row r="29" spans="2:10">
      <c r="C29" t="s">
        <v>73</v>
      </c>
      <c r="E29" t="s">
        <v>8</v>
      </c>
      <c r="F29" t="s">
        <v>67</v>
      </c>
      <c r="G29" t="s">
        <v>10</v>
      </c>
      <c r="H29">
        <v>1</v>
      </c>
      <c r="J29" s="2">
        <v>1</v>
      </c>
    </row>
    <row r="30" spans="2:10">
      <c r="C30" t="s">
        <v>74</v>
      </c>
      <c r="E30" t="s">
        <v>8</v>
      </c>
      <c r="F30" t="s">
        <v>67</v>
      </c>
      <c r="G30" t="s">
        <v>10</v>
      </c>
      <c r="H30">
        <v>1</v>
      </c>
      <c r="J30" s="2">
        <v>1.34</v>
      </c>
    </row>
    <row r="31" spans="2:10">
      <c r="C31" t="s">
        <v>75</v>
      </c>
      <c r="E31" t="s">
        <v>8</v>
      </c>
      <c r="F31" t="s">
        <v>67</v>
      </c>
      <c r="G31" t="s">
        <v>10</v>
      </c>
      <c r="H31">
        <v>1</v>
      </c>
      <c r="J31" s="2">
        <v>1.34</v>
      </c>
    </row>
    <row r="32" spans="2:10">
      <c r="C32" t="s">
        <v>76</v>
      </c>
      <c r="E32" t="s">
        <v>8</v>
      </c>
      <c r="F32" t="s">
        <v>67</v>
      </c>
      <c r="G32" t="s">
        <v>10</v>
      </c>
      <c r="H32">
        <v>1</v>
      </c>
      <c r="J32" s="2">
        <v>1</v>
      </c>
    </row>
    <row r="33" spans="2:12">
      <c r="C33" t="s">
        <v>77</v>
      </c>
      <c r="E33" t="s">
        <v>8</v>
      </c>
      <c r="F33" t="s">
        <v>67</v>
      </c>
      <c r="G33" t="s">
        <v>10</v>
      </c>
      <c r="H33">
        <v>1</v>
      </c>
      <c r="J33" s="2">
        <v>1.54</v>
      </c>
    </row>
    <row r="34" spans="2:12">
      <c r="C34" t="s">
        <v>78</v>
      </c>
      <c r="E34" t="s">
        <v>8</v>
      </c>
      <c r="F34" t="s">
        <v>67</v>
      </c>
      <c r="G34" t="s">
        <v>10</v>
      </c>
      <c r="H34">
        <v>1</v>
      </c>
      <c r="J34" s="2">
        <v>1.54</v>
      </c>
    </row>
    <row r="35" spans="2:12">
      <c r="B35" t="s">
        <v>79</v>
      </c>
      <c r="E35" t="s">
        <v>8</v>
      </c>
      <c r="F35" t="s">
        <v>67</v>
      </c>
      <c r="G35" t="s">
        <v>10</v>
      </c>
      <c r="H35">
        <v>1</v>
      </c>
      <c r="J35" s="2">
        <v>1.38</v>
      </c>
    </row>
    <row r="36" spans="2:12">
      <c r="B36" t="s">
        <v>80</v>
      </c>
      <c r="E36" t="s">
        <v>8</v>
      </c>
      <c r="F36" t="s">
        <v>67</v>
      </c>
      <c r="G36" t="s">
        <v>10</v>
      </c>
      <c r="H36">
        <v>1</v>
      </c>
      <c r="J36" s="2">
        <v>1.38</v>
      </c>
    </row>
    <row r="38" spans="2:12">
      <c r="D38" t="s">
        <v>141</v>
      </c>
      <c r="E38" t="s">
        <v>8</v>
      </c>
      <c r="F38" t="s">
        <v>139</v>
      </c>
      <c r="G38" t="s">
        <v>24</v>
      </c>
      <c r="H38">
        <v>100</v>
      </c>
      <c r="I38" s="7">
        <v>8</v>
      </c>
    </row>
    <row r="39" spans="2:12">
      <c r="D39" t="s">
        <v>142</v>
      </c>
      <c r="E39" t="s">
        <v>8</v>
      </c>
      <c r="F39" t="s">
        <v>139</v>
      </c>
      <c r="G39" t="s">
        <v>24</v>
      </c>
      <c r="H39">
        <v>100</v>
      </c>
      <c r="I39" s="7">
        <v>15</v>
      </c>
    </row>
    <row r="40" spans="2:12">
      <c r="D40" t="s">
        <v>141</v>
      </c>
      <c r="E40" t="s">
        <v>6</v>
      </c>
      <c r="F40" t="s">
        <v>139</v>
      </c>
      <c r="G40" t="s">
        <v>24</v>
      </c>
      <c r="H40">
        <v>100</v>
      </c>
      <c r="J40" s="7">
        <v>100</v>
      </c>
    </row>
    <row r="41" spans="2:12">
      <c r="D41" t="s">
        <v>142</v>
      </c>
      <c r="E41" t="s">
        <v>6</v>
      </c>
      <c r="F41" t="s">
        <v>139</v>
      </c>
      <c r="G41" t="s">
        <v>24</v>
      </c>
      <c r="H41">
        <v>100</v>
      </c>
      <c r="J41" s="7">
        <v>100</v>
      </c>
    </row>
    <row r="43" spans="2:12">
      <c r="E43" t="s">
        <v>6</v>
      </c>
      <c r="F43" t="s">
        <v>143</v>
      </c>
      <c r="G43" t="s">
        <v>24</v>
      </c>
      <c r="H43">
        <v>0</v>
      </c>
    </row>
    <row r="44" spans="2:12">
      <c r="D44" t="s">
        <v>39</v>
      </c>
      <c r="E44" t="s">
        <v>8</v>
      </c>
      <c r="F44" t="s">
        <v>143</v>
      </c>
      <c r="G44" t="s">
        <v>24</v>
      </c>
      <c r="H44">
        <v>0</v>
      </c>
      <c r="J44" s="8">
        <v>10</v>
      </c>
      <c r="L44" s="22" t="s">
        <v>160</v>
      </c>
    </row>
    <row r="45" spans="2:12">
      <c r="L45" s="22"/>
    </row>
    <row r="46" spans="2:12">
      <c r="H46" s="11"/>
      <c r="I46" s="11"/>
      <c r="J46" s="11"/>
    </row>
    <row r="47" spans="2:12">
      <c r="I47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"/>
  <sheetViews>
    <sheetView workbookViewId="0">
      <selection activeCell="F19" sqref="F19"/>
    </sheetView>
  </sheetViews>
  <sheetFormatPr defaultRowHeight="15"/>
  <cols>
    <col min="2" max="2" width="14.28515625" bestFit="1" customWidth="1"/>
    <col min="3" max="3" width="10" bestFit="1" customWidth="1"/>
    <col min="4" max="4" width="12.5703125" bestFit="1" customWidth="1"/>
    <col min="5" max="5" width="12.5703125" customWidth="1"/>
    <col min="6" max="6" width="21" bestFit="1" customWidth="1"/>
  </cols>
  <sheetData>
    <row r="1" spans="1:9">
      <c r="A1" s="1" t="s">
        <v>2</v>
      </c>
      <c r="B1" s="1" t="s">
        <v>3</v>
      </c>
      <c r="C1" s="1" t="s">
        <v>14</v>
      </c>
      <c r="D1" s="1" t="s">
        <v>15</v>
      </c>
      <c r="E1" s="1" t="s">
        <v>58</v>
      </c>
      <c r="F1" s="1" t="s">
        <v>1</v>
      </c>
      <c r="G1" s="1" t="s">
        <v>0</v>
      </c>
      <c r="H1" s="1" t="s">
        <v>7</v>
      </c>
      <c r="I1" s="1" t="s">
        <v>16</v>
      </c>
    </row>
    <row r="2" spans="1:9">
      <c r="A2" s="5" t="s">
        <v>11</v>
      </c>
      <c r="B2" s="5"/>
    </row>
    <row r="3" spans="1:9">
      <c r="A3" t="s">
        <v>4</v>
      </c>
      <c r="C3" t="s">
        <v>8</v>
      </c>
      <c r="D3" t="s">
        <v>6</v>
      </c>
      <c r="F3" t="s">
        <v>12</v>
      </c>
      <c r="G3" t="s">
        <v>10</v>
      </c>
      <c r="H3">
        <v>1</v>
      </c>
      <c r="I3">
        <v>0</v>
      </c>
    </row>
    <row r="4" spans="1:9">
      <c r="A4" t="s">
        <v>4</v>
      </c>
      <c r="C4" t="s">
        <v>8</v>
      </c>
      <c r="D4" t="s">
        <v>6</v>
      </c>
      <c r="F4" t="s">
        <v>13</v>
      </c>
      <c r="G4" t="s">
        <v>10</v>
      </c>
      <c r="H4">
        <v>1</v>
      </c>
      <c r="I4">
        <v>0</v>
      </c>
    </row>
    <row r="5" spans="1:9">
      <c r="A5" t="s">
        <v>5</v>
      </c>
      <c r="C5" t="s">
        <v>8</v>
      </c>
      <c r="D5" t="s">
        <v>6</v>
      </c>
      <c r="F5" t="s">
        <v>12</v>
      </c>
      <c r="G5" t="s">
        <v>10</v>
      </c>
      <c r="H5">
        <v>1</v>
      </c>
      <c r="I5">
        <v>0</v>
      </c>
    </row>
    <row r="6" spans="1:9">
      <c r="A6" t="s">
        <v>5</v>
      </c>
      <c r="C6" t="s">
        <v>8</v>
      </c>
      <c r="D6" t="s">
        <v>6</v>
      </c>
      <c r="F6" t="s">
        <v>13</v>
      </c>
      <c r="G6" t="s">
        <v>10</v>
      </c>
      <c r="H6">
        <v>1</v>
      </c>
      <c r="I6">
        <v>0</v>
      </c>
    </row>
    <row r="8" spans="1:9">
      <c r="B8" t="s">
        <v>6</v>
      </c>
      <c r="F8" t="s">
        <v>60</v>
      </c>
      <c r="G8" s="3" t="s">
        <v>10</v>
      </c>
      <c r="H8" s="3">
        <v>1</v>
      </c>
      <c r="I8">
        <v>1.41</v>
      </c>
    </row>
    <row r="9" spans="1:9">
      <c r="B9" t="s">
        <v>8</v>
      </c>
      <c r="F9" t="s">
        <v>60</v>
      </c>
      <c r="G9" s="3" t="s">
        <v>10</v>
      </c>
      <c r="H9" s="3">
        <v>1</v>
      </c>
      <c r="I9">
        <v>1.33</v>
      </c>
    </row>
    <row r="11" spans="1:9">
      <c r="E11" s="3" t="s">
        <v>54</v>
      </c>
      <c r="F11" s="3" t="s">
        <v>55</v>
      </c>
      <c r="G11" s="3" t="s">
        <v>10</v>
      </c>
      <c r="H11" s="3">
        <v>1</v>
      </c>
      <c r="I11" s="3">
        <f>AVERAGE(1.33,1.31)</f>
        <v>1.32</v>
      </c>
    </row>
    <row r="12" spans="1:9">
      <c r="E12" s="3" t="s">
        <v>56</v>
      </c>
      <c r="F12" s="3" t="s">
        <v>55</v>
      </c>
      <c r="G12" s="3" t="s">
        <v>10</v>
      </c>
      <c r="H12" s="3">
        <v>1</v>
      </c>
      <c r="I12" s="3">
        <f t="shared" ref="I12:I16" si="0">AVERAGE(1.33,1.31)</f>
        <v>1.32</v>
      </c>
    </row>
    <row r="13" spans="1:9">
      <c r="E13" s="3" t="s">
        <v>57</v>
      </c>
      <c r="F13" s="3" t="s">
        <v>55</v>
      </c>
      <c r="G13" s="3" t="s">
        <v>10</v>
      </c>
      <c r="H13" s="3">
        <v>1</v>
      </c>
      <c r="I13" s="3">
        <f t="shared" si="0"/>
        <v>1.32</v>
      </c>
    </row>
    <row r="14" spans="1:9">
      <c r="E14" s="3" t="s">
        <v>54</v>
      </c>
      <c r="F14" t="s">
        <v>59</v>
      </c>
      <c r="G14" s="3" t="s">
        <v>10</v>
      </c>
      <c r="H14" s="3">
        <v>1</v>
      </c>
      <c r="I14" s="3">
        <f t="shared" si="0"/>
        <v>1.32</v>
      </c>
    </row>
    <row r="15" spans="1:9">
      <c r="E15" s="3" t="s">
        <v>56</v>
      </c>
      <c r="F15" t="s">
        <v>59</v>
      </c>
      <c r="G15" s="3" t="s">
        <v>10</v>
      </c>
      <c r="H15" s="3">
        <v>1</v>
      </c>
      <c r="I15" s="3">
        <f t="shared" si="0"/>
        <v>1.32</v>
      </c>
    </row>
    <row r="16" spans="1:9">
      <c r="E16" s="3" t="s">
        <v>57</v>
      </c>
      <c r="F16" t="s">
        <v>59</v>
      </c>
      <c r="G16" s="3" t="s">
        <v>10</v>
      </c>
      <c r="H16" s="3">
        <v>1</v>
      </c>
      <c r="I16" s="3">
        <f t="shared" si="0"/>
        <v>1.32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"/>
  <sheetViews>
    <sheetView workbookViewId="0">
      <selection activeCell="H2" sqref="H2"/>
    </sheetView>
  </sheetViews>
  <sheetFormatPr defaultRowHeight="15"/>
  <cols>
    <col min="1" max="1" width="14.28515625" bestFit="1" customWidth="1"/>
    <col min="2" max="2" width="12.7109375" bestFit="1" customWidth="1"/>
    <col min="3" max="3" width="16.5703125" bestFit="1" customWidth="1"/>
  </cols>
  <sheetData>
    <row r="1" spans="1:8">
      <c r="A1" s="1" t="s">
        <v>3</v>
      </c>
      <c r="B1" s="1" t="s">
        <v>58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8">
      <c r="B2" t="s">
        <v>61</v>
      </c>
      <c r="C2" t="s">
        <v>59</v>
      </c>
      <c r="D2" t="s">
        <v>10</v>
      </c>
      <c r="E2">
        <v>1</v>
      </c>
      <c r="F2">
        <v>1.25</v>
      </c>
      <c r="H2" s="22" t="s">
        <v>149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>
      <selection activeCell="G10" sqref="G10"/>
    </sheetView>
  </sheetViews>
  <sheetFormatPr defaultRowHeight="15"/>
  <cols>
    <col min="3" max="3" width="21.42578125" bestFit="1" customWidth="1"/>
  </cols>
  <sheetData>
    <row r="1" spans="1:8">
      <c r="A1" s="1" t="s">
        <v>3</v>
      </c>
      <c r="B1" s="1" t="s">
        <v>58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8">
      <c r="B2" t="s">
        <v>62</v>
      </c>
      <c r="C2" t="s">
        <v>59</v>
      </c>
      <c r="D2" t="s">
        <v>10</v>
      </c>
      <c r="E2">
        <v>1</v>
      </c>
      <c r="F2">
        <v>1.27</v>
      </c>
      <c r="H2" s="22" t="s">
        <v>149</v>
      </c>
    </row>
    <row r="3" spans="1:8">
      <c r="B3" t="s">
        <v>62</v>
      </c>
      <c r="C3" t="s">
        <v>63</v>
      </c>
      <c r="D3" t="s">
        <v>10</v>
      </c>
      <c r="E3">
        <v>1</v>
      </c>
      <c r="F3">
        <v>0.9</v>
      </c>
      <c r="H3" s="22" t="s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H10" sqref="H10"/>
    </sheetView>
  </sheetViews>
  <sheetFormatPr defaultRowHeight="15"/>
  <cols>
    <col min="1" max="1" width="15" bestFit="1" customWidth="1"/>
  </cols>
  <sheetData>
    <row r="1" spans="1:6">
      <c r="A1" s="1" t="s">
        <v>1</v>
      </c>
      <c r="B1" s="1" t="s">
        <v>0</v>
      </c>
      <c r="C1" s="1" t="s">
        <v>7</v>
      </c>
      <c r="D1" s="1" t="s">
        <v>16</v>
      </c>
    </row>
    <row r="2" spans="1:6">
      <c r="A2" t="s">
        <v>64</v>
      </c>
      <c r="B2" t="s">
        <v>10</v>
      </c>
      <c r="C2">
        <v>1</v>
      </c>
      <c r="D2">
        <v>1.1499999999999999</v>
      </c>
      <c r="F2" s="22" t="s">
        <v>149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workbookViewId="0">
      <selection activeCell="F9" sqref="F9"/>
    </sheetView>
  </sheetViews>
  <sheetFormatPr defaultRowHeight="15"/>
  <cols>
    <col min="1" max="1" width="21.7109375" bestFit="1" customWidth="1"/>
    <col min="2" max="2" width="18.7109375" bestFit="1" customWidth="1"/>
    <col min="3" max="3" width="16" bestFit="1" customWidth="1"/>
    <col min="4" max="4" width="7.42578125" customWidth="1"/>
    <col min="5" max="5" width="7" bestFit="1" customWidth="1"/>
  </cols>
  <sheetData>
    <row r="1" spans="1:6">
      <c r="A1" s="1" t="s">
        <v>26</v>
      </c>
      <c r="B1" s="1" t="s">
        <v>27</v>
      </c>
      <c r="C1" s="1" t="s">
        <v>1</v>
      </c>
      <c r="D1" s="1" t="s">
        <v>0</v>
      </c>
      <c r="E1" s="1" t="s">
        <v>7</v>
      </c>
      <c r="F1" s="1" t="s">
        <v>16</v>
      </c>
    </row>
    <row r="3" spans="1:6">
      <c r="A3" t="s">
        <v>29</v>
      </c>
      <c r="B3" t="s">
        <v>30</v>
      </c>
      <c r="C3" t="s">
        <v>28</v>
      </c>
      <c r="D3" t="s">
        <v>36</v>
      </c>
      <c r="E3">
        <v>40</v>
      </c>
      <c r="F3">
        <v>80</v>
      </c>
    </row>
    <row r="4" spans="1:6">
      <c r="A4" t="s">
        <v>29</v>
      </c>
      <c r="B4" t="s">
        <v>31</v>
      </c>
      <c r="C4" t="s">
        <v>28</v>
      </c>
      <c r="D4" t="s">
        <v>36</v>
      </c>
      <c r="E4">
        <v>5</v>
      </c>
      <c r="F4">
        <v>0</v>
      </c>
    </row>
    <row r="5" spans="1:6">
      <c r="A5" t="s">
        <v>29</v>
      </c>
      <c r="B5" t="s">
        <v>32</v>
      </c>
      <c r="C5" t="s">
        <v>28</v>
      </c>
      <c r="D5" t="s">
        <v>36</v>
      </c>
      <c r="E5">
        <v>50</v>
      </c>
      <c r="F5">
        <v>20</v>
      </c>
    </row>
    <row r="6" spans="1:6">
      <c r="A6" t="s">
        <v>29</v>
      </c>
      <c r="B6" t="s">
        <v>33</v>
      </c>
      <c r="C6" t="s">
        <v>28</v>
      </c>
      <c r="D6" t="s">
        <v>36</v>
      </c>
      <c r="E6">
        <v>5</v>
      </c>
      <c r="F6">
        <v>0</v>
      </c>
    </row>
    <row r="8" spans="1:6">
      <c r="A8" t="s">
        <v>34</v>
      </c>
      <c r="B8" t="s">
        <v>30</v>
      </c>
      <c r="C8" t="s">
        <v>28</v>
      </c>
      <c r="D8" t="s">
        <v>36</v>
      </c>
      <c r="E8">
        <v>40</v>
      </c>
      <c r="F8">
        <v>100</v>
      </c>
    </row>
    <row r="9" spans="1:6">
      <c r="A9" t="s">
        <v>34</v>
      </c>
      <c r="B9" t="s">
        <v>31</v>
      </c>
      <c r="C9" t="s">
        <v>28</v>
      </c>
      <c r="D9" t="s">
        <v>36</v>
      </c>
      <c r="E9">
        <v>5</v>
      </c>
      <c r="F9">
        <v>0</v>
      </c>
    </row>
    <row r="10" spans="1:6">
      <c r="A10" t="s">
        <v>34</v>
      </c>
      <c r="B10" t="s">
        <v>32</v>
      </c>
      <c r="C10" t="s">
        <v>28</v>
      </c>
      <c r="D10" t="s">
        <v>36</v>
      </c>
      <c r="E10">
        <v>50</v>
      </c>
      <c r="F10">
        <v>0</v>
      </c>
    </row>
    <row r="11" spans="1:6">
      <c r="A11" t="s">
        <v>34</v>
      </c>
      <c r="B11" t="s">
        <v>33</v>
      </c>
      <c r="C11" t="s">
        <v>28</v>
      </c>
      <c r="D11" t="s">
        <v>36</v>
      </c>
      <c r="E11">
        <v>5</v>
      </c>
      <c r="F11">
        <v>0</v>
      </c>
    </row>
    <row r="13" spans="1:6">
      <c r="A13" t="s">
        <v>35</v>
      </c>
      <c r="B13" t="s">
        <v>30</v>
      </c>
      <c r="C13" t="s">
        <v>28</v>
      </c>
      <c r="D13" t="s">
        <v>36</v>
      </c>
      <c r="E13">
        <v>40</v>
      </c>
      <c r="F13">
        <v>100</v>
      </c>
    </row>
    <row r="14" spans="1:6">
      <c r="A14" t="s">
        <v>35</v>
      </c>
      <c r="B14" t="s">
        <v>31</v>
      </c>
      <c r="C14" t="s">
        <v>28</v>
      </c>
      <c r="D14" t="s">
        <v>36</v>
      </c>
      <c r="E14">
        <v>5</v>
      </c>
      <c r="F14">
        <v>0</v>
      </c>
    </row>
    <row r="15" spans="1:6">
      <c r="A15" t="s">
        <v>35</v>
      </c>
      <c r="B15" t="s">
        <v>32</v>
      </c>
      <c r="C15" t="s">
        <v>28</v>
      </c>
      <c r="D15" t="s">
        <v>36</v>
      </c>
      <c r="E15">
        <v>50</v>
      </c>
      <c r="F15">
        <v>0</v>
      </c>
    </row>
    <row r="16" spans="1:6">
      <c r="A16" t="s">
        <v>35</v>
      </c>
      <c r="B16" t="s">
        <v>33</v>
      </c>
      <c r="C16" t="s">
        <v>28</v>
      </c>
      <c r="D16" t="s">
        <v>36</v>
      </c>
      <c r="E16">
        <v>5</v>
      </c>
      <c r="F1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workbookViewId="0">
      <selection activeCell="F2" sqref="F2"/>
    </sheetView>
  </sheetViews>
  <sheetFormatPr defaultRowHeight="15"/>
  <cols>
    <col min="1" max="1" width="14.28515625" bestFit="1" customWidth="1"/>
    <col min="3" max="3" width="17.5703125" bestFit="1" customWidth="1"/>
  </cols>
  <sheetData>
    <row r="1" spans="1:14">
      <c r="A1" s="1" t="s">
        <v>3</v>
      </c>
      <c r="B1" s="1" t="s">
        <v>40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14">
      <c r="C2" t="s">
        <v>37</v>
      </c>
      <c r="D2" t="s">
        <v>36</v>
      </c>
      <c r="E2">
        <v>91</v>
      </c>
      <c r="F2">
        <v>53</v>
      </c>
      <c r="H2" s="22" t="s">
        <v>93</v>
      </c>
    </row>
    <row r="3" spans="1:14">
      <c r="H3" s="22" t="s">
        <v>92</v>
      </c>
    </row>
    <row r="4" spans="1:14">
      <c r="B4" s="26"/>
      <c r="H4" s="22" t="s">
        <v>151</v>
      </c>
    </row>
    <row r="5" spans="1:14">
      <c r="B5" s="26"/>
    </row>
    <row r="6" spans="1:14">
      <c r="B6" s="26"/>
      <c r="N6" s="25"/>
    </row>
    <row r="7" spans="1:14">
      <c r="B7" s="26"/>
      <c r="N7" s="25"/>
    </row>
    <row r="8" spans="1:14">
      <c r="B8" s="26"/>
      <c r="N8" s="25"/>
    </row>
    <row r="9" spans="1:14">
      <c r="B9" s="26"/>
      <c r="N9" s="25"/>
    </row>
    <row r="10" spans="1:14">
      <c r="B10" s="26"/>
      <c r="N10" s="25"/>
    </row>
    <row r="11" spans="1:14">
      <c r="B11" s="26"/>
      <c r="N11" s="25"/>
    </row>
    <row r="12" spans="1:14">
      <c r="B12" s="26"/>
      <c r="N12" s="25"/>
    </row>
    <row r="13" spans="1:14">
      <c r="B13" s="26"/>
      <c r="N13" s="25"/>
    </row>
    <row r="14" spans="1:14">
      <c r="B14" s="26"/>
      <c r="N14" s="25"/>
    </row>
    <row r="15" spans="1:14">
      <c r="B15" s="26"/>
      <c r="N15" s="25"/>
    </row>
    <row r="16" spans="1:14">
      <c r="B16" s="26"/>
      <c r="N16" s="25"/>
    </row>
    <row r="17" spans="2:14">
      <c r="B17" s="26"/>
      <c r="N17" s="25"/>
    </row>
    <row r="18" spans="2:14">
      <c r="B18" s="26"/>
      <c r="N18" s="25"/>
    </row>
    <row r="19" spans="2:14">
      <c r="B19" s="26"/>
      <c r="N19" s="25"/>
    </row>
    <row r="20" spans="2:14">
      <c r="B20" s="26"/>
      <c r="N20" s="25"/>
    </row>
    <row r="21" spans="2:14">
      <c r="B21" s="26"/>
      <c r="N21" s="25"/>
    </row>
    <row r="22" spans="2:14">
      <c r="B22" s="26"/>
      <c r="N22" s="25"/>
    </row>
    <row r="23" spans="2:14">
      <c r="B23" s="26"/>
      <c r="N23" s="25"/>
    </row>
    <row r="24" spans="2:14">
      <c r="B24" s="26"/>
      <c r="N24" s="25"/>
    </row>
    <row r="25" spans="2:14">
      <c r="B25" s="26"/>
      <c r="N25" s="25"/>
    </row>
    <row r="26" spans="2:14">
      <c r="B26" s="26"/>
      <c r="N26" s="25"/>
    </row>
    <row r="27" spans="2:14">
      <c r="B27" s="26"/>
      <c r="N27" s="25"/>
    </row>
    <row r="28" spans="2:14">
      <c r="B28" s="26"/>
      <c r="N28" s="25"/>
    </row>
    <row r="29" spans="2:14">
      <c r="B29" s="26"/>
      <c r="N29" s="25"/>
    </row>
    <row r="30" spans="2:14">
      <c r="B30" s="26"/>
      <c r="N30" s="25"/>
    </row>
    <row r="31" spans="2:14">
      <c r="B31" s="26"/>
      <c r="N31" s="25"/>
    </row>
    <row r="32" spans="2:14">
      <c r="B32" s="26"/>
      <c r="N32" s="25"/>
    </row>
    <row r="33" spans="2:14">
      <c r="B33" s="26"/>
      <c r="N33" s="25"/>
    </row>
    <row r="34" spans="2:14">
      <c r="B34" s="26"/>
      <c r="N34" s="25"/>
    </row>
    <row r="35" spans="2:14">
      <c r="B35" s="26"/>
      <c r="N35" s="25"/>
    </row>
    <row r="36" spans="2:14">
      <c r="B36" s="26"/>
      <c r="N36" s="25"/>
    </row>
    <row r="37" spans="2:14">
      <c r="B37" s="26"/>
      <c r="N37" s="25"/>
    </row>
    <row r="38" spans="2:14">
      <c r="B38" s="26"/>
      <c r="N38" s="25"/>
    </row>
    <row r="39" spans="2:14">
      <c r="B39" s="26"/>
      <c r="N39" s="25"/>
    </row>
    <row r="40" spans="2:14">
      <c r="B40" s="26"/>
      <c r="N40" s="25"/>
    </row>
    <row r="41" spans="2:14">
      <c r="B41" s="26"/>
      <c r="N41" s="25"/>
    </row>
    <row r="42" spans="2:14">
      <c r="B42" s="26"/>
      <c r="N42" s="25"/>
    </row>
    <row r="43" spans="2:14">
      <c r="B43" s="26"/>
      <c r="N43" s="25"/>
    </row>
    <row r="44" spans="2:14">
      <c r="B44" s="26"/>
      <c r="N44" s="25"/>
    </row>
    <row r="45" spans="2:14">
      <c r="N45" s="25"/>
    </row>
    <row r="46" spans="2:14">
      <c r="N46" s="25"/>
    </row>
  </sheetData>
  <sortState xmlns:xlrd2="http://schemas.microsoft.com/office/spreadsheetml/2017/richdata2" ref="A4:F40">
    <sortCondition ref="B4:B40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Regions</vt:lpstr>
      <vt:lpstr>DemandAndConversions</vt:lpstr>
      <vt:lpstr>CropProduction</vt:lpstr>
      <vt:lpstr>CattleHerd</vt:lpstr>
      <vt:lpstr>PigHerd</vt:lpstr>
      <vt:lpstr>BroilerHerd</vt:lpstr>
      <vt:lpstr>LayerHerd</vt:lpstr>
      <vt:lpstr>WasteAndCircularity</vt:lpstr>
      <vt:lpstr>PlantNutrientMgmt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2025-04-28T15:05:01Z</dcterms:modified>
</cp:coreProperties>
</file>