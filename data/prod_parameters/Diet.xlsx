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1520"/>
  </bookViews>
  <sheets>
    <sheet name="default" sheetId="1" r:id="rId1"/>
  </sheet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20" i="1" l="1"/>
  <c r="K121" i="1" l="1"/>
  <c r="K117" i="1" l="1"/>
  <c r="K116" i="1"/>
  <c r="K115" i="1"/>
  <c r="K144" i="1"/>
  <c r="K143" i="1"/>
  <c r="K145" i="1" l="1"/>
  <c r="K150" i="1"/>
  <c r="K60" i="1"/>
  <c r="K25" i="1"/>
  <c r="K26" i="1"/>
  <c r="K107" i="1" l="1"/>
  <c r="K106" i="1"/>
  <c r="K94" i="1"/>
  <c r="K142" i="1"/>
  <c r="K24" i="1"/>
  <c r="K105" i="1" l="1"/>
  <c r="K104" i="1"/>
  <c r="K103" i="1"/>
  <c r="K102" i="1"/>
  <c r="K100" i="1" l="1"/>
  <c r="K101" i="1" s="1"/>
  <c r="K98" i="1"/>
  <c r="K97" i="1" s="1"/>
  <c r="K96" i="1"/>
  <c r="K95" i="1" s="1"/>
  <c r="K93" i="1"/>
  <c r="K99" i="1" l="1"/>
  <c r="K112" i="1"/>
  <c r="K111" i="1"/>
  <c r="K110" i="1"/>
  <c r="K3" i="1" l="1"/>
</calcChain>
</file>

<file path=xl/sharedStrings.xml><?xml version="1.0" encoding="utf-8"?>
<sst xmlns="http://schemas.openxmlformats.org/spreadsheetml/2006/main" count="691" uniqueCount="147">
  <si>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</si>
  <si>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</si>
  <si>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</si>
  <si>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</si>
  <si>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</si>
  <si>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</si>
  <si>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</si>
  <si>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</si>
  <si>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</si>
  <si>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</si>
  <si>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</si>
  <si>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</si>
  <si>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</si>
  <si>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</si>
  <si>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</si>
  <si>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</si>
  <si>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</si>
  <si>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</si>
  <si>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</si>
  <si>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</si>
  <si>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</si>
  <si>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</si>
  <si>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</si>
  <si>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</si>
  <si>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</si>
  <si>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</si>
  <si>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</si>
  <si>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</si>
  <si>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</si>
  <si>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</si>
  <si>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</si>
  <si>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</si>
  <si>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</si>
  <si>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</si>
  <si>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</si>
  <si>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Wheat and products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</si>
  <si>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</si>
  <si>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</si>
  <si>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</si>
  <si>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</si>
  <si>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</si>
  <si>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</si>
  <si>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</si>
  <si>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</si>
  <si>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Rice and products</t>
  </si>
  <si>
    <t>organic</t>
  </si>
  <si>
    <t>Fallback</t>
  </si>
  <si>
    <t>conventional</t>
  </si>
  <si>
    <t>-</t>
  </si>
  <si>
    <t>f_origin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</si>
  <si>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</si>
  <si>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Barley and products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</si>
  <si>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</si>
  <si>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</si>
  <si>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</si>
  <si>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</si>
  <si>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</si>
  <si>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</si>
  <si>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</si>
  <si>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</si>
  <si>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</si>
  <si>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</si>
  <si>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</si>
  <si>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</si>
  <si>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</si>
  <si>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</si>
  <si>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</si>
  <si>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</si>
  <si>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</si>
  <si>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</si>
  <si>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</si>
  <si>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</si>
  <si>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</si>
  <si>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</si>
  <si>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</si>
  <si>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</si>
  <si>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</si>
  <si>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</si>
  <si>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</si>
  <si>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</si>
  <si>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40%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</si>
  <si>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</si>
  <si>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</si>
  <si>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</si>
  <si>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</si>
  <si>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</si>
  <si>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</si>
  <si>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</si>
  <si>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</si>
  <si>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</si>
  <si>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</si>
  <si>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Share conventional is calculated as what remains (value should be -100)</t>
  </si>
  <si>
    <t>domestic</t>
  </si>
  <si>
    <t>split whole grain</t>
  </si>
  <si>
    <t>Other cereals and products</t>
  </si>
  <si>
    <t>Oats and products</t>
  </si>
  <si>
    <t>Rye and products</t>
  </si>
  <si>
    <t>Maize and products</t>
  </si>
  <si>
    <t>need to check overlap with conversion factors</t>
  </si>
  <si>
    <t>rye</t>
  </si>
  <si>
    <t>oats</t>
  </si>
  <si>
    <t>FAO 1992</t>
  </si>
  <si>
    <t>calc from fat content</t>
  </si>
  <si>
    <t>SJV stat</t>
  </si>
  <si>
    <t>Share organic raw milk to dairies. Using product level shares difficult</t>
  </si>
  <si>
    <t>Bovine meat and products</t>
  </si>
  <si>
    <t>(1/0.76)=carcass weight--&gt;live weight</t>
  </si>
  <si>
    <t>(1/0.52)=carcass weight--&gt;live weight</t>
  </si>
  <si>
    <t>flour of mixed grain. split whole grain</t>
  </si>
  <si>
    <t>SJV stat (2016-2020)</t>
  </si>
  <si>
    <t>Potatoes, fresh</t>
  </si>
  <si>
    <t>Potatoes, frozen</t>
  </si>
  <si>
    <t>Starch of potatoes</t>
  </si>
  <si>
    <t>Potato flour etc.</t>
  </si>
  <si>
    <t>Potato flour, meal, powder, granulates and pellets of potatoes</t>
  </si>
  <si>
    <t>tubers</t>
  </si>
  <si>
    <t>where do we handle discarded potatoes?</t>
  </si>
  <si>
    <t>what is the remaining 81% ?</t>
  </si>
  <si>
    <t>Is this from starch potatoes what is the remaining 80% 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</si>
  <si>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</si>
  <si>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</si>
  <si>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</si>
  <si>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</si>
  <si>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</si>
  <si>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</si>
  <si>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</si>
  <si>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Beer from barley</t>
  </si>
  <si>
    <t>alcoholic beverages</t>
  </si>
  <si>
    <t>Assumed same as 'Barley and products'</t>
  </si>
  <si>
    <t>brewers grains</t>
  </si>
  <si>
    <t>Chapter 16.2 in Pandey. 2009. Biotechnology for Agro-Industrial Residues Utilisation</t>
  </si>
  <si>
    <t>~75% water content. 20% of produced beer</t>
  </si>
  <si>
    <t>wheat bran</t>
  </si>
  <si>
    <t>wheat germ</t>
  </si>
  <si>
    <t>barley bran</t>
  </si>
  <si>
    <t>barley hulls</t>
  </si>
  <si>
    <t>rye bran</t>
  </si>
  <si>
    <t>oat offals</t>
  </si>
  <si>
    <t>potatoe offals</t>
  </si>
  <si>
    <t>pig offals</t>
  </si>
  <si>
    <t>pig slaughterhouse fat</t>
  </si>
  <si>
    <t>pig skins</t>
  </si>
  <si>
    <t>pig butcher fat</t>
  </si>
  <si>
    <t>cattle offals</t>
  </si>
  <si>
    <t>cattle slaughterhouse fat</t>
  </si>
  <si>
    <t>cattle skins</t>
  </si>
  <si>
    <t>cattle butcher fat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</si>
</sst>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74"/>
  <sheetViews>
    <sheetView tabSelected="1" zoomScale="80" zoomScaleNormal="80" zoomScaleSheetLayoutView="80" workbookViewId="0">
      <pane ySplit="1" topLeftCell="A108" activePane="bottomLeft" state="frozen"/>
      <selection pane="bottomLeft" activeCell="M133" sqref="M133"/>
    </sheetView>
  </sheetViews>
  <sheetFormatPr defaultRowHeight="15" x14ac:dyDescent="0.25"/>
  <cols>
    <col min="1" max="1" width="37.28515625" customWidth="1"/>
    <col min="2" max="2" width="19" customWidth="1"/>
    <col min="3" max="5" width="15.42578125" customWidth="1"/>
    <col min="6" max="6" width="19.42578125" customWidth="1"/>
    <col min="7" max="9" width="14.28515625" customWidth="1"/>
    <col min="10" max="10" width="21.42578125" bestFit="1" customWidth="1"/>
    <col min="13" max="13" width="48" customWidth="1"/>
    <col min="14" max="14" width="18.28515625" customWidth="1"/>
  </cols>
  <sheetData>
    <row r="1" spans="1:14" x14ac:dyDescent="0.25">
      <c r="A1" s="2" t="s">
        <v>37</v>
      </c>
      <c r="B1" s="2" t="s">
        <v>25</v>
      </c>
      <c r="C1" s="2" t="s">
        <v>27</v>
      </c>
      <c r="D1" s="2" t="s">
        <v>60</v>
      </c>
      <c r="E1" s="2" t="s">
        <v>36</v>
      </c>
      <c r="F1" s="2" t="s">
        <v>28</v>
      </c>
      <c r="G1" s="2" t="s">
        <v>49</v>
      </c>
      <c r="H1" s="2" t="s">
        <v>43</v>
      </c>
      <c r="I1" s="2" t="s">
        <v>53</v>
      </c>
      <c r="J1" s="2" t="s">
        <v>0</v>
      </c>
      <c r="K1" s="2" t="s">
        <v>1</v>
      </c>
      <c r="L1" s="2" t="s">
        <v>4</v>
      </c>
      <c r="M1" s="2" t="s">
        <v>2</v>
      </c>
      <c r="N1" s="2" t="s">
        <v>3</v>
      </c>
    </row>
    <row r="2" spans="1:14" x14ac:dyDescent="0.25">
      <c r="A2" s="3" t="s">
        <v>17</v>
      </c>
      <c r="B2" s="3"/>
      <c r="C2" s="3"/>
      <c r="D2" s="3"/>
      <c r="E2" s="3"/>
      <c r="F2" s="3"/>
      <c r="G2" s="3"/>
      <c r="H2" s="3"/>
      <c r="I2" s="3"/>
      <c r="J2" s="4"/>
      <c r="K2" s="4"/>
      <c r="L2" s="4"/>
      <c r="M2" s="4"/>
      <c r="N2" s="4"/>
    </row>
    <row r="3" spans="1:14" x14ac:dyDescent="0.25">
      <c r="J3" t="s">
        <v>5</v>
      </c>
      <c r="K3" s="1">
        <f>(5222847+5156448)/1000000</f>
        <v>10.379295000000001</v>
      </c>
      <c r="L3" t="s">
        <v>6</v>
      </c>
      <c r="M3" t="s">
        <v>8</v>
      </c>
      <c r="N3" t="s">
        <v>7</v>
      </c>
    </row>
    <row r="5" spans="1:14" x14ac:dyDescent="0.25">
      <c r="A5" s="3" t="s">
        <v>9</v>
      </c>
      <c r="B5" s="3"/>
      <c r="C5" s="3"/>
      <c r="D5" s="3"/>
      <c r="E5" s="3"/>
      <c r="F5" s="3"/>
      <c r="G5" s="3"/>
      <c r="H5" s="3"/>
      <c r="I5" s="3"/>
      <c r="J5" s="4"/>
      <c r="K5" s="4"/>
      <c r="L5" s="4"/>
      <c r="M5" s="4"/>
      <c r="N5" s="4"/>
    </row>
    <row r="6" spans="1:14" x14ac:dyDescent="0.25">
      <c r="A6" s="5" t="s">
        <v>10</v>
      </c>
      <c r="B6" s="5"/>
      <c r="C6" s="5"/>
      <c r="D6" s="5"/>
      <c r="E6" s="5"/>
      <c r="F6" s="5"/>
      <c r="G6" s="5"/>
      <c r="H6" s="5"/>
      <c r="I6" s="5"/>
      <c r="J6" s="6"/>
      <c r="K6" s="6"/>
      <c r="L6" s="6"/>
      <c r="M6" s="6"/>
      <c r="N6" s="6"/>
    </row>
    <row r="7" spans="1:14" x14ac:dyDescent="0.25">
      <c r="A7" t="s">
        <v>35</v>
      </c>
      <c r="B7" t="s">
        <v>26</v>
      </c>
      <c r="J7" t="s">
        <v>18</v>
      </c>
      <c r="K7">
        <v>93.1</v>
      </c>
      <c r="L7" t="s">
        <v>19</v>
      </c>
      <c r="M7" s="7" t="s">
        <v>93</v>
      </c>
    </row>
    <row r="8" spans="1:14" x14ac:dyDescent="0.25">
      <c r="A8" t="s">
        <v>44</v>
      </c>
      <c r="B8" t="s">
        <v>26</v>
      </c>
      <c r="J8" t="s">
        <v>18</v>
      </c>
      <c r="K8">
        <v>14.1</v>
      </c>
      <c r="L8" t="s">
        <v>19</v>
      </c>
      <c r="M8" s="7"/>
    </row>
    <row r="9" spans="1:14" x14ac:dyDescent="0.25">
      <c r="A9" t="s">
        <v>51</v>
      </c>
      <c r="B9" t="s">
        <v>26</v>
      </c>
      <c r="J9" t="s">
        <v>18</v>
      </c>
      <c r="K9">
        <v>3.5</v>
      </c>
      <c r="L9" t="s">
        <v>19</v>
      </c>
      <c r="M9" s="7" t="s">
        <v>93</v>
      </c>
    </row>
    <row r="10" spans="1:14" x14ac:dyDescent="0.25">
      <c r="A10" t="s">
        <v>97</v>
      </c>
      <c r="B10" t="s">
        <v>26</v>
      </c>
      <c r="J10" t="s">
        <v>18</v>
      </c>
      <c r="K10">
        <v>3.8</v>
      </c>
      <c r="L10" t="s">
        <v>19</v>
      </c>
    </row>
    <row r="11" spans="1:14" x14ac:dyDescent="0.25">
      <c r="A11" t="s">
        <v>96</v>
      </c>
      <c r="B11" t="s">
        <v>26</v>
      </c>
      <c r="J11" t="s">
        <v>18</v>
      </c>
      <c r="K11">
        <v>12.8</v>
      </c>
      <c r="L11" t="s">
        <v>19</v>
      </c>
      <c r="M11" s="7" t="s">
        <v>93</v>
      </c>
    </row>
    <row r="12" spans="1:14" x14ac:dyDescent="0.25">
      <c r="A12" t="s">
        <v>95</v>
      </c>
      <c r="B12" t="s">
        <v>26</v>
      </c>
      <c r="J12" t="s">
        <v>18</v>
      </c>
      <c r="K12">
        <v>5.2</v>
      </c>
      <c r="L12" t="s">
        <v>19</v>
      </c>
      <c r="M12" s="7" t="s">
        <v>93</v>
      </c>
    </row>
    <row r="13" spans="1:14" x14ac:dyDescent="0.25">
      <c r="A13" t="s">
        <v>94</v>
      </c>
      <c r="B13" t="s">
        <v>26</v>
      </c>
      <c r="J13" t="s">
        <v>18</v>
      </c>
      <c r="K13" s="7">
        <v>0.5</v>
      </c>
      <c r="L13" t="s">
        <v>19</v>
      </c>
      <c r="M13" s="7" t="s">
        <v>108</v>
      </c>
    </row>
    <row r="14" spans="1:14" x14ac:dyDescent="0.25">
      <c r="A14" s="5" t="s">
        <v>11</v>
      </c>
      <c r="B14" s="5"/>
      <c r="C14" s="5"/>
      <c r="D14" s="5"/>
      <c r="E14" s="5"/>
      <c r="F14" s="5"/>
      <c r="G14" s="5"/>
      <c r="H14" s="5"/>
      <c r="I14" s="5"/>
      <c r="J14" s="6"/>
      <c r="K14" s="6"/>
      <c r="L14" s="6"/>
      <c r="M14" s="6"/>
      <c r="N14" s="6"/>
    </row>
    <row r="15" spans="1:14" x14ac:dyDescent="0.25">
      <c r="A15" s="7" t="s">
        <v>110</v>
      </c>
      <c r="B15" t="s">
        <v>115</v>
      </c>
      <c r="J15" t="s">
        <v>18</v>
      </c>
      <c r="K15">
        <v>108.1</v>
      </c>
      <c r="L15" t="s">
        <v>19</v>
      </c>
    </row>
    <row r="16" spans="1:14" x14ac:dyDescent="0.25">
      <c r="A16" s="7" t="s">
        <v>111</v>
      </c>
      <c r="B16" t="s">
        <v>115</v>
      </c>
      <c r="J16" t="s">
        <v>18</v>
      </c>
      <c r="K16">
        <v>24.1</v>
      </c>
      <c r="L16" t="s">
        <v>19</v>
      </c>
    </row>
    <row r="17" spans="1:14" x14ac:dyDescent="0.25">
      <c r="A17" s="7" t="s">
        <v>113</v>
      </c>
      <c r="B17" t="s">
        <v>115</v>
      </c>
      <c r="J17" t="s">
        <v>18</v>
      </c>
      <c r="K17">
        <v>0.9</v>
      </c>
      <c r="L17" t="s">
        <v>19</v>
      </c>
      <c r="M17" t="s">
        <v>114</v>
      </c>
    </row>
    <row r="18" spans="1:14" x14ac:dyDescent="0.25">
      <c r="A18" s="7" t="s">
        <v>112</v>
      </c>
      <c r="B18" t="s">
        <v>115</v>
      </c>
      <c r="J18" t="s">
        <v>18</v>
      </c>
      <c r="K18">
        <v>0.3</v>
      </c>
      <c r="L18" t="s">
        <v>19</v>
      </c>
    </row>
    <row r="19" spans="1:14" x14ac:dyDescent="0.25">
      <c r="A19" s="5" t="s">
        <v>12</v>
      </c>
      <c r="B19" s="5"/>
      <c r="C19" s="5"/>
      <c r="D19" s="5"/>
      <c r="E19" s="5"/>
      <c r="F19" s="5"/>
      <c r="G19" s="5"/>
      <c r="H19" s="5"/>
      <c r="I19" s="5"/>
      <c r="J19" s="6"/>
      <c r="K19" s="6"/>
      <c r="L19" s="6"/>
      <c r="M19" s="6"/>
      <c r="N19" s="6"/>
    </row>
    <row r="20" spans="1:14" x14ac:dyDescent="0.25">
      <c r="A20" s="18" t="s">
        <v>121</v>
      </c>
      <c r="B20" t="s">
        <v>122</v>
      </c>
      <c r="J20" t="s">
        <v>18</v>
      </c>
      <c r="K20">
        <v>37</v>
      </c>
      <c r="L20" t="s">
        <v>19</v>
      </c>
    </row>
    <row r="21" spans="1:14" x14ac:dyDescent="0.25">
      <c r="A21" s="7" t="s">
        <v>124</v>
      </c>
      <c r="B21" t="s">
        <v>122</v>
      </c>
      <c r="J21" t="s">
        <v>18</v>
      </c>
      <c r="K21">
        <v>14.3</v>
      </c>
      <c r="L21" t="s">
        <v>19</v>
      </c>
    </row>
    <row r="22" spans="1:14" x14ac:dyDescent="0.25">
      <c r="A22" s="5" t="s">
        <v>13</v>
      </c>
      <c r="B22" s="5"/>
      <c r="C22" s="5"/>
      <c r="D22" s="5"/>
      <c r="E22" s="5"/>
      <c r="F22" s="5"/>
      <c r="G22" s="5"/>
      <c r="H22" s="5"/>
      <c r="I22" s="5"/>
      <c r="J22" s="6"/>
      <c r="K22" s="6"/>
      <c r="L22" s="6"/>
      <c r="M22" s="6"/>
      <c r="N22" s="6"/>
    </row>
    <row r="23" spans="1:14" x14ac:dyDescent="0.25">
      <c r="A23" s="5" t="s">
        <v>14</v>
      </c>
      <c r="B23" s="5"/>
      <c r="C23" s="5"/>
      <c r="D23" s="5"/>
      <c r="E23" s="5"/>
      <c r="F23" s="5"/>
      <c r="G23" s="5"/>
      <c r="H23" s="5"/>
      <c r="I23" s="5"/>
      <c r="J23" s="6"/>
      <c r="K23" s="6"/>
      <c r="L23" s="6"/>
      <c r="M23" s="6"/>
      <c r="N23" s="6"/>
    </row>
    <row r="24" spans="1:14" x14ac:dyDescent="0.25">
      <c r="A24" s="7" t="s">
        <v>66</v>
      </c>
      <c r="B24" t="s">
        <v>85</v>
      </c>
      <c r="J24" t="s">
        <v>18</v>
      </c>
      <c r="K24" s="7">
        <f>29.5+8.5</f>
        <v>38</v>
      </c>
      <c r="L24" t="s">
        <v>19</v>
      </c>
      <c r="M24" s="7" t="s">
        <v>88</v>
      </c>
    </row>
    <row r="25" spans="1:14" x14ac:dyDescent="0.25">
      <c r="A25" s="7" t="s">
        <v>65</v>
      </c>
      <c r="B25" t="s">
        <v>85</v>
      </c>
      <c r="J25" t="s">
        <v>18</v>
      </c>
      <c r="K25" s="7">
        <f>80.7+14.4+0.3*5</f>
        <v>96.600000000000009</v>
      </c>
      <c r="L25" t="s">
        <v>19</v>
      </c>
      <c r="M25" s="7" t="s">
        <v>88</v>
      </c>
    </row>
    <row r="26" spans="1:14" x14ac:dyDescent="0.25">
      <c r="A26" s="7" t="s">
        <v>67</v>
      </c>
      <c r="B26" t="s">
        <v>85</v>
      </c>
      <c r="J26" t="s">
        <v>18</v>
      </c>
      <c r="K26" s="7">
        <f>45.6+44.1+1.3*5+1.8*10</f>
        <v>114.2</v>
      </c>
      <c r="L26" t="s">
        <v>19</v>
      </c>
      <c r="M26" s="7" t="s">
        <v>88</v>
      </c>
    </row>
    <row r="27" spans="1:14" x14ac:dyDescent="0.25">
      <c r="A27" s="7" t="s">
        <v>68</v>
      </c>
      <c r="B27" t="s">
        <v>85</v>
      </c>
      <c r="J27" t="s">
        <v>18</v>
      </c>
      <c r="K27">
        <v>46.8</v>
      </c>
      <c r="L27" t="s">
        <v>19</v>
      </c>
    </row>
    <row r="28" spans="1:14" x14ac:dyDescent="0.25">
      <c r="A28" s="7" t="s">
        <v>72</v>
      </c>
      <c r="B28" t="s">
        <v>85</v>
      </c>
      <c r="J28" t="s">
        <v>18</v>
      </c>
      <c r="K28">
        <v>8.1</v>
      </c>
      <c r="L28" t="s">
        <v>19</v>
      </c>
    </row>
    <row r="29" spans="1:14" x14ac:dyDescent="0.25">
      <c r="A29" s="7" t="s">
        <v>73</v>
      </c>
      <c r="B29" t="s">
        <v>85</v>
      </c>
      <c r="J29" t="s">
        <v>18</v>
      </c>
      <c r="K29">
        <v>1</v>
      </c>
      <c r="L29" t="s">
        <v>19</v>
      </c>
    </row>
    <row r="30" spans="1:14" x14ac:dyDescent="0.25">
      <c r="A30" s="7" t="s">
        <v>70</v>
      </c>
      <c r="B30" t="s">
        <v>85</v>
      </c>
      <c r="J30" t="s">
        <v>18</v>
      </c>
      <c r="K30">
        <v>6.6</v>
      </c>
      <c r="L30" t="s">
        <v>19</v>
      </c>
    </row>
    <row r="31" spans="1:14" x14ac:dyDescent="0.25">
      <c r="A31" s="7" t="s">
        <v>71</v>
      </c>
      <c r="B31" t="s">
        <v>85</v>
      </c>
      <c r="J31" t="s">
        <v>18</v>
      </c>
      <c r="K31">
        <v>8.3000000000000007</v>
      </c>
      <c r="L31" t="s">
        <v>19</v>
      </c>
    </row>
    <row r="32" spans="1:14" x14ac:dyDescent="0.25">
      <c r="A32" s="7" t="s">
        <v>69</v>
      </c>
      <c r="B32" t="s">
        <v>85</v>
      </c>
      <c r="J32" t="s">
        <v>18</v>
      </c>
      <c r="K32">
        <v>15.3</v>
      </c>
      <c r="L32" t="s">
        <v>19</v>
      </c>
    </row>
    <row r="33" spans="1:14" x14ac:dyDescent="0.25">
      <c r="A33" s="5" t="s">
        <v>23</v>
      </c>
      <c r="B33" s="5"/>
      <c r="C33" s="5"/>
      <c r="D33" s="5"/>
      <c r="E33" s="5"/>
      <c r="F33" s="5"/>
      <c r="G33" s="5"/>
      <c r="H33" s="5"/>
      <c r="I33" s="5"/>
      <c r="J33" s="6"/>
      <c r="K33" s="6"/>
      <c r="L33" s="6"/>
      <c r="M33" s="6"/>
      <c r="N33" s="6"/>
    </row>
    <row r="34" spans="1:14" x14ac:dyDescent="0.25">
      <c r="A34" t="s">
        <v>58</v>
      </c>
      <c r="B34" t="s">
        <v>59</v>
      </c>
      <c r="J34" t="s">
        <v>18</v>
      </c>
      <c r="K34">
        <v>60.6</v>
      </c>
      <c r="L34" t="s">
        <v>19</v>
      </c>
    </row>
    <row r="35" spans="1:14" x14ac:dyDescent="0.25">
      <c r="A35" t="s">
        <v>105</v>
      </c>
      <c r="B35" t="s">
        <v>59</v>
      </c>
      <c r="J35" t="s">
        <v>18</v>
      </c>
      <c r="K35">
        <v>39.9</v>
      </c>
      <c r="L35" t="s">
        <v>19</v>
      </c>
    </row>
    <row r="36" spans="1:14" x14ac:dyDescent="0.25">
      <c r="A36" s="5" t="s">
        <v>15</v>
      </c>
      <c r="B36" s="5"/>
      <c r="C36" s="5"/>
      <c r="D36" s="5"/>
      <c r="E36" s="5"/>
      <c r="F36" s="5"/>
      <c r="G36" s="5"/>
      <c r="H36" s="5"/>
      <c r="I36" s="5"/>
      <c r="J36" s="6"/>
      <c r="K36" s="6"/>
      <c r="L36" s="6"/>
      <c r="M36" s="6"/>
      <c r="N36" s="6"/>
    </row>
    <row r="37" spans="1:14" x14ac:dyDescent="0.25">
      <c r="A37" s="5" t="s">
        <v>16</v>
      </c>
      <c r="B37" s="5"/>
      <c r="C37" s="5"/>
      <c r="D37" s="5"/>
      <c r="E37" s="5"/>
      <c r="F37" s="5"/>
      <c r="G37" s="5"/>
      <c r="H37" s="5"/>
      <c r="I37" s="5"/>
      <c r="J37" s="6"/>
      <c r="K37" s="6"/>
      <c r="L37" s="6"/>
      <c r="M37" s="6"/>
      <c r="N37" s="6"/>
    </row>
    <row r="38" spans="1:14" x14ac:dyDescent="0.25">
      <c r="A38" s="5" t="s">
        <v>20</v>
      </c>
      <c r="B38" s="5"/>
      <c r="C38" s="5"/>
      <c r="D38" s="5"/>
      <c r="E38" s="5"/>
      <c r="F38" s="5"/>
      <c r="G38" s="5"/>
      <c r="H38" s="5"/>
      <c r="I38" s="5"/>
      <c r="J38" s="6"/>
      <c r="K38" s="6"/>
      <c r="L38" s="6"/>
      <c r="M38" s="6"/>
      <c r="N38" s="6"/>
    </row>
    <row r="39" spans="1:14" x14ac:dyDescent="0.25">
      <c r="A39" s="5" t="s">
        <v>21</v>
      </c>
      <c r="B39" s="5"/>
      <c r="C39" s="5"/>
      <c r="D39" s="5"/>
      <c r="E39" s="5"/>
      <c r="F39" s="5"/>
      <c r="G39" s="5"/>
      <c r="H39" s="5"/>
      <c r="I39" s="5"/>
      <c r="J39" s="6"/>
      <c r="K39" s="6"/>
      <c r="L39" s="6"/>
      <c r="M39" s="6"/>
      <c r="N39" s="6"/>
    </row>
    <row r="40" spans="1:14" x14ac:dyDescent="0.25">
      <c r="A40" s="5" t="s">
        <v>22</v>
      </c>
      <c r="B40" s="5"/>
      <c r="C40" s="5"/>
      <c r="D40" s="5"/>
      <c r="E40" s="5"/>
      <c r="F40" s="5"/>
      <c r="G40" s="5"/>
      <c r="H40" s="5"/>
      <c r="I40" s="5"/>
      <c r="J40" s="6"/>
      <c r="K40" s="6"/>
      <c r="L40" s="6"/>
      <c r="M40" s="6"/>
      <c r="N40" s="6"/>
    </row>
    <row r="41" spans="1:14" x14ac:dyDescent="0.25">
      <c r="A41" s="5" t="s">
        <v>24</v>
      </c>
      <c r="B41" s="5"/>
      <c r="C41" s="5"/>
      <c r="D41" s="5"/>
      <c r="E41" s="5"/>
      <c r="F41" s="5"/>
      <c r="G41" s="5"/>
      <c r="H41" s="5"/>
      <c r="I41" s="5"/>
      <c r="J41" s="6"/>
      <c r="K41" s="6"/>
      <c r="L41" s="6"/>
      <c r="M41" s="6"/>
      <c r="N41" s="6"/>
    </row>
    <row r="42" spans="1:14" x14ac:dyDescent="0.25">
      <c r="A42" s="5" t="s">
        <v>29</v>
      </c>
      <c r="B42" s="5"/>
      <c r="C42" s="5"/>
      <c r="D42" s="5"/>
      <c r="E42" s="5"/>
      <c r="F42" s="5"/>
      <c r="G42" s="5"/>
      <c r="H42" s="5"/>
      <c r="I42" s="5"/>
      <c r="J42" s="6"/>
      <c r="K42" s="6"/>
      <c r="L42" s="6"/>
      <c r="M42" s="6"/>
      <c r="N42" s="6"/>
    </row>
    <row r="43" spans="1:14" x14ac:dyDescent="0.25">
      <c r="A43" t="s">
        <v>126</v>
      </c>
      <c r="B43" t="s">
        <v>127</v>
      </c>
      <c r="J43" t="s">
        <v>18</v>
      </c>
      <c r="K43">
        <v>125.5</v>
      </c>
      <c r="L43" t="s">
        <v>19</v>
      </c>
    </row>
    <row r="44" spans="1:14" x14ac:dyDescent="0.25">
      <c r="A44" s="5" t="s">
        <v>30</v>
      </c>
      <c r="B44" s="5"/>
      <c r="C44" s="5"/>
      <c r="D44" s="5"/>
      <c r="E44" s="5"/>
      <c r="F44" s="5"/>
      <c r="G44" s="5"/>
      <c r="H44" s="5"/>
      <c r="I44" s="5"/>
      <c r="J44" s="6"/>
      <c r="K44" s="6"/>
      <c r="L44" s="6"/>
      <c r="M44" s="6"/>
      <c r="N44" s="6"/>
    </row>
    <row r="45" spans="1:14" x14ac:dyDescent="0.25">
      <c r="A45" s="5" t="s">
        <v>31</v>
      </c>
      <c r="B45" s="5"/>
      <c r="C45" s="5"/>
      <c r="D45" s="5"/>
      <c r="E45" s="5"/>
      <c r="F45" s="5"/>
      <c r="G45" s="5"/>
      <c r="H45" s="5"/>
      <c r="I45" s="5"/>
      <c r="J45" s="6"/>
      <c r="K45" s="6"/>
      <c r="L45" s="6"/>
      <c r="M45" s="6"/>
      <c r="N45" s="6"/>
    </row>
    <row r="46" spans="1:14" x14ac:dyDescent="0.25">
      <c r="A46" s="5" t="s">
        <v>32</v>
      </c>
      <c r="B46" s="5"/>
      <c r="C46" s="5"/>
      <c r="D46" s="5"/>
      <c r="E46" s="5"/>
      <c r="F46" s="5"/>
      <c r="G46" s="5"/>
      <c r="H46" s="5"/>
      <c r="I46" s="5"/>
      <c r="J46" s="6"/>
      <c r="K46" s="6"/>
      <c r="L46" s="6"/>
      <c r="M46" s="6"/>
      <c r="N46" s="6"/>
    </row>
    <row r="47" spans="1:14" x14ac:dyDescent="0.25">
      <c r="A47" s="5" t="s">
        <v>33</v>
      </c>
      <c r="B47" s="5"/>
      <c r="C47" s="5"/>
      <c r="D47" s="5"/>
      <c r="E47" s="5"/>
      <c r="F47" s="5"/>
      <c r="G47" s="5"/>
      <c r="H47" s="5"/>
      <c r="I47" s="5"/>
      <c r="J47" s="6"/>
      <c r="K47" s="6"/>
      <c r="L47" s="6"/>
      <c r="M47" s="6"/>
      <c r="N47" s="6"/>
    </row>
    <row r="49" spans="1:14" x14ac:dyDescent="0.25">
      <c r="A49" s="3" t="s">
        <v>34</v>
      </c>
      <c r="B49" s="3"/>
      <c r="C49" s="3"/>
      <c r="D49" s="3"/>
      <c r="E49" s="3"/>
      <c r="F49" s="3"/>
      <c r="G49" s="3"/>
      <c r="H49" s="3"/>
      <c r="I49" s="3"/>
      <c r="J49" s="4"/>
      <c r="K49" s="4"/>
      <c r="L49" s="4"/>
      <c r="M49" s="4"/>
      <c r="N49" s="4"/>
    </row>
    <row r="50" spans="1:14" x14ac:dyDescent="0.25">
      <c r="B50" t="s">
        <v>26</v>
      </c>
      <c r="I50" t="s">
        <v>54</v>
      </c>
      <c r="J50" t="s">
        <v>57</v>
      </c>
      <c r="K50">
        <v>25</v>
      </c>
      <c r="L50" t="s">
        <v>39</v>
      </c>
    </row>
    <row r="51" spans="1:14" x14ac:dyDescent="0.25">
      <c r="B51" t="s">
        <v>26</v>
      </c>
      <c r="I51" t="s">
        <v>55</v>
      </c>
      <c r="J51" t="s">
        <v>57</v>
      </c>
      <c r="K51">
        <v>2</v>
      </c>
      <c r="L51" t="s">
        <v>39</v>
      </c>
    </row>
    <row r="52" spans="1:14" x14ac:dyDescent="0.25">
      <c r="B52" t="s">
        <v>26</v>
      </c>
      <c r="I52" t="s">
        <v>56</v>
      </c>
      <c r="J52" t="s">
        <v>57</v>
      </c>
      <c r="K52" s="7">
        <v>10.5</v>
      </c>
      <c r="L52" t="s">
        <v>39</v>
      </c>
      <c r="M52" s="7" t="s">
        <v>98</v>
      </c>
    </row>
    <row r="53" spans="1:14" x14ac:dyDescent="0.25">
      <c r="B53" t="s">
        <v>115</v>
      </c>
      <c r="I53" t="s">
        <v>54</v>
      </c>
      <c r="J53" t="s">
        <v>57</v>
      </c>
      <c r="K53">
        <v>17</v>
      </c>
      <c r="L53" t="s">
        <v>39</v>
      </c>
    </row>
    <row r="54" spans="1:14" x14ac:dyDescent="0.25">
      <c r="B54" t="s">
        <v>115</v>
      </c>
      <c r="I54" t="s">
        <v>55</v>
      </c>
      <c r="J54" t="s">
        <v>57</v>
      </c>
      <c r="K54">
        <v>7</v>
      </c>
      <c r="L54" t="s">
        <v>39</v>
      </c>
    </row>
    <row r="55" spans="1:14" x14ac:dyDescent="0.25">
      <c r="B55" t="s">
        <v>115</v>
      </c>
      <c r="I55" t="s">
        <v>56</v>
      </c>
      <c r="J55" t="s">
        <v>57</v>
      </c>
      <c r="K55" s="7">
        <v>15</v>
      </c>
      <c r="L55" t="s">
        <v>39</v>
      </c>
      <c r="M55" s="7" t="s">
        <v>98</v>
      </c>
    </row>
    <row r="56" spans="1:14" x14ac:dyDescent="0.25">
      <c r="B56" t="s">
        <v>122</v>
      </c>
      <c r="I56" t="s">
        <v>54</v>
      </c>
      <c r="J56" t="s">
        <v>57</v>
      </c>
      <c r="K56">
        <v>19</v>
      </c>
      <c r="L56" t="s">
        <v>39</v>
      </c>
    </row>
    <row r="57" spans="1:14" x14ac:dyDescent="0.25">
      <c r="B57" t="s">
        <v>122</v>
      </c>
      <c r="I57" t="s">
        <v>55</v>
      </c>
      <c r="J57" t="s">
        <v>57</v>
      </c>
      <c r="K57">
        <v>10</v>
      </c>
      <c r="L57" t="s">
        <v>39</v>
      </c>
    </row>
    <row r="58" spans="1:14" x14ac:dyDescent="0.25">
      <c r="B58" t="s">
        <v>122</v>
      </c>
      <c r="I58" t="s">
        <v>56</v>
      </c>
      <c r="J58" t="s">
        <v>57</v>
      </c>
      <c r="K58" s="7">
        <v>2</v>
      </c>
      <c r="L58" t="s">
        <v>39</v>
      </c>
      <c r="M58" s="7" t="s">
        <v>98</v>
      </c>
    </row>
    <row r="59" spans="1:14" x14ac:dyDescent="0.25">
      <c r="B59" t="s">
        <v>85</v>
      </c>
      <c r="I59" t="s">
        <v>54</v>
      </c>
      <c r="J59" t="s">
        <v>57</v>
      </c>
      <c r="K59">
        <v>11</v>
      </c>
      <c r="L59" t="s">
        <v>39</v>
      </c>
    </row>
    <row r="60" spans="1:14" x14ac:dyDescent="0.25">
      <c r="B60" t="s">
        <v>85</v>
      </c>
      <c r="I60" t="s">
        <v>55</v>
      </c>
      <c r="J60" t="s">
        <v>57</v>
      </c>
      <c r="K60">
        <f>0.5</f>
        <v>0.5</v>
      </c>
      <c r="L60" t="s">
        <v>39</v>
      </c>
    </row>
    <row r="61" spans="1:14" x14ac:dyDescent="0.25">
      <c r="B61" t="s">
        <v>85</v>
      </c>
      <c r="I61" t="s">
        <v>56</v>
      </c>
      <c r="J61" t="s">
        <v>57</v>
      </c>
      <c r="K61" s="7">
        <v>1</v>
      </c>
      <c r="L61" t="s">
        <v>39</v>
      </c>
      <c r="M61" s="7" t="s">
        <v>98</v>
      </c>
    </row>
    <row r="62" spans="1:14" x14ac:dyDescent="0.25">
      <c r="B62" t="s">
        <v>59</v>
      </c>
      <c r="I62" t="s">
        <v>54</v>
      </c>
      <c r="J62" t="s">
        <v>57</v>
      </c>
      <c r="K62">
        <v>11</v>
      </c>
      <c r="L62" t="s">
        <v>39</v>
      </c>
    </row>
    <row r="63" spans="1:14" x14ac:dyDescent="0.25">
      <c r="B63" t="s">
        <v>59</v>
      </c>
      <c r="I63" t="s">
        <v>55</v>
      </c>
      <c r="J63" t="s">
        <v>57</v>
      </c>
      <c r="K63">
        <v>4</v>
      </c>
      <c r="L63" t="s">
        <v>39</v>
      </c>
    </row>
    <row r="64" spans="1:14" x14ac:dyDescent="0.25">
      <c r="B64" t="s">
        <v>59</v>
      </c>
      <c r="I64" t="s">
        <v>56</v>
      </c>
      <c r="J64" t="s">
        <v>57</v>
      </c>
      <c r="K64" s="7">
        <v>5</v>
      </c>
      <c r="L64" t="s">
        <v>39</v>
      </c>
      <c r="M64" s="7" t="s">
        <v>98</v>
      </c>
    </row>
    <row r="65" spans="1:14" x14ac:dyDescent="0.25">
      <c r="B65" t="s">
        <v>127</v>
      </c>
      <c r="I65" t="s">
        <v>54</v>
      </c>
      <c r="J65" t="s">
        <v>57</v>
      </c>
      <c r="K65">
        <v>0</v>
      </c>
      <c r="L65" t="s">
        <v>39</v>
      </c>
    </row>
    <row r="66" spans="1:14" x14ac:dyDescent="0.25">
      <c r="B66" t="s">
        <v>127</v>
      </c>
      <c r="I66" t="s">
        <v>55</v>
      </c>
      <c r="J66" t="s">
        <v>57</v>
      </c>
      <c r="K66">
        <v>5</v>
      </c>
      <c r="L66" t="s">
        <v>39</v>
      </c>
    </row>
    <row r="67" spans="1:14" x14ac:dyDescent="0.25">
      <c r="B67" t="s">
        <v>127</v>
      </c>
      <c r="I67" t="s">
        <v>56</v>
      </c>
      <c r="J67" t="s">
        <v>57</v>
      </c>
      <c r="K67" s="7">
        <v>5</v>
      </c>
      <c r="L67" t="s">
        <v>39</v>
      </c>
      <c r="M67" s="7" t="s">
        <v>98</v>
      </c>
    </row>
    <row r="69" spans="1:14" x14ac:dyDescent="0.25">
      <c r="A69" s="3" t="s">
        <v>62</v>
      </c>
      <c r="B69" s="3"/>
      <c r="C69" s="3"/>
      <c r="D69" s="3"/>
      <c r="E69" s="3"/>
      <c r="F69" s="3"/>
      <c r="G69" s="3"/>
      <c r="H69" s="3"/>
      <c r="I69" s="3"/>
      <c r="J69" s="4"/>
      <c r="K69" s="4"/>
      <c r="L69" s="4"/>
      <c r="M69" s="4"/>
      <c r="N69" s="4"/>
    </row>
    <row r="70" spans="1:14" x14ac:dyDescent="0.25">
      <c r="J70" s="8" t="s">
        <v>89</v>
      </c>
      <c r="K70" s="8">
        <v>0</v>
      </c>
      <c r="L70" s="8" t="s">
        <v>39</v>
      </c>
      <c r="M70" s="8" t="s">
        <v>46</v>
      </c>
    </row>
    <row r="71" spans="1:14" x14ac:dyDescent="0.25">
      <c r="J71" s="8" t="s">
        <v>90</v>
      </c>
      <c r="K71" s="8">
        <v>0</v>
      </c>
      <c r="L71" s="8" t="s">
        <v>39</v>
      </c>
      <c r="M71" s="8" t="s">
        <v>46</v>
      </c>
    </row>
    <row r="72" spans="1:14" x14ac:dyDescent="0.25">
      <c r="A72" s="5" t="s">
        <v>10</v>
      </c>
      <c r="B72" s="5"/>
      <c r="C72" s="5"/>
      <c r="D72" s="5"/>
      <c r="E72" s="5"/>
      <c r="F72" s="5"/>
      <c r="G72" s="5"/>
      <c r="H72" s="5"/>
      <c r="I72" s="5"/>
      <c r="J72" s="6"/>
      <c r="K72" s="6"/>
      <c r="L72" s="6"/>
      <c r="M72" s="6"/>
      <c r="N72" s="6"/>
    </row>
    <row r="73" spans="1:14" x14ac:dyDescent="0.25">
      <c r="A73" t="s">
        <v>35</v>
      </c>
      <c r="C73" t="s">
        <v>38</v>
      </c>
      <c r="J73" t="s">
        <v>89</v>
      </c>
      <c r="K73">
        <v>79</v>
      </c>
      <c r="L73" t="s">
        <v>39</v>
      </c>
      <c r="N73" t="s">
        <v>101</v>
      </c>
    </row>
    <row r="74" spans="1:14" x14ac:dyDescent="0.25">
      <c r="A74" t="s">
        <v>35</v>
      </c>
      <c r="C74" t="s">
        <v>38</v>
      </c>
      <c r="F74" t="s">
        <v>132</v>
      </c>
      <c r="J74" t="s">
        <v>90</v>
      </c>
      <c r="K74">
        <v>19</v>
      </c>
      <c r="L74" t="s">
        <v>39</v>
      </c>
      <c r="N74" t="s">
        <v>101</v>
      </c>
    </row>
    <row r="75" spans="1:14" x14ac:dyDescent="0.25">
      <c r="A75" t="s">
        <v>35</v>
      </c>
      <c r="C75" t="s">
        <v>38</v>
      </c>
      <c r="F75" t="s">
        <v>133</v>
      </c>
      <c r="J75" t="s">
        <v>90</v>
      </c>
      <c r="K75">
        <v>2</v>
      </c>
      <c r="L75" t="s">
        <v>39</v>
      </c>
      <c r="N75" t="s">
        <v>101</v>
      </c>
    </row>
    <row r="76" spans="1:14" x14ac:dyDescent="0.25">
      <c r="A76" s="9" t="s">
        <v>51</v>
      </c>
      <c r="B76" s="9"/>
      <c r="C76" s="9" t="s">
        <v>52</v>
      </c>
      <c r="D76" s="9"/>
      <c r="E76" s="9"/>
      <c r="F76" s="9"/>
      <c r="G76" s="9"/>
      <c r="H76" s="9"/>
      <c r="I76" s="9"/>
      <c r="J76" t="s">
        <v>89</v>
      </c>
      <c r="K76" s="9">
        <v>91</v>
      </c>
      <c r="L76" s="9" t="s">
        <v>39</v>
      </c>
      <c r="M76" s="9"/>
      <c r="N76" t="s">
        <v>101</v>
      </c>
    </row>
    <row r="77" spans="1:14" x14ac:dyDescent="0.25">
      <c r="A77" s="9" t="s">
        <v>51</v>
      </c>
      <c r="B77" s="9"/>
      <c r="C77" s="9" t="s">
        <v>52</v>
      </c>
      <c r="D77" s="9"/>
      <c r="E77" s="9"/>
      <c r="F77" s="9" t="s">
        <v>134</v>
      </c>
      <c r="G77" s="9"/>
      <c r="H77" s="9"/>
      <c r="I77" s="9"/>
      <c r="J77" t="s">
        <v>90</v>
      </c>
      <c r="K77" s="9">
        <v>0</v>
      </c>
      <c r="L77" s="9" t="s">
        <v>39</v>
      </c>
      <c r="M77" s="9"/>
      <c r="N77" t="s">
        <v>101</v>
      </c>
    </row>
    <row r="78" spans="1:14" x14ac:dyDescent="0.25">
      <c r="A78" s="9" t="s">
        <v>51</v>
      </c>
      <c r="B78" s="9"/>
      <c r="C78" s="9" t="s">
        <v>52</v>
      </c>
      <c r="D78" s="9"/>
      <c r="E78" s="9"/>
      <c r="F78" s="9" t="s">
        <v>135</v>
      </c>
      <c r="G78" s="9"/>
      <c r="H78" s="9"/>
      <c r="I78" s="9"/>
      <c r="J78" t="s">
        <v>90</v>
      </c>
      <c r="K78" s="9">
        <v>9</v>
      </c>
      <c r="L78" s="9" t="s">
        <v>39</v>
      </c>
      <c r="M78" s="9"/>
      <c r="N78" t="s">
        <v>101</v>
      </c>
    </row>
    <row r="79" spans="1:14" x14ac:dyDescent="0.25">
      <c r="A79" t="s">
        <v>96</v>
      </c>
      <c r="B79" s="9"/>
      <c r="C79" s="10" t="s">
        <v>99</v>
      </c>
      <c r="D79" s="9"/>
      <c r="E79" s="9"/>
      <c r="F79" s="9"/>
      <c r="G79" s="9"/>
      <c r="H79" s="9"/>
      <c r="I79" s="9"/>
      <c r="J79" t="s">
        <v>89</v>
      </c>
      <c r="K79" s="10">
        <v>80</v>
      </c>
      <c r="L79" s="10" t="s">
        <v>39</v>
      </c>
      <c r="M79" s="9"/>
      <c r="N79" t="s">
        <v>101</v>
      </c>
    </row>
    <row r="80" spans="1:14" x14ac:dyDescent="0.25">
      <c r="A80" t="s">
        <v>96</v>
      </c>
      <c r="B80" s="9"/>
      <c r="C80" s="10" t="s">
        <v>99</v>
      </c>
      <c r="D80" s="9"/>
      <c r="E80" s="9"/>
      <c r="F80" s="10" t="s">
        <v>136</v>
      </c>
      <c r="G80" s="9"/>
      <c r="H80" s="9"/>
      <c r="I80" s="9"/>
      <c r="J80" t="s">
        <v>90</v>
      </c>
      <c r="K80" s="10">
        <v>20</v>
      </c>
      <c r="L80" s="10" t="s">
        <v>39</v>
      </c>
      <c r="M80" s="9"/>
      <c r="N80" t="s">
        <v>101</v>
      </c>
    </row>
    <row r="81" spans="1:14" x14ac:dyDescent="0.25">
      <c r="A81" t="s">
        <v>95</v>
      </c>
      <c r="B81" s="9"/>
      <c r="C81" s="10" t="s">
        <v>100</v>
      </c>
      <c r="D81" s="9"/>
      <c r="E81" s="9"/>
      <c r="F81" s="9"/>
      <c r="G81" s="9"/>
      <c r="H81" s="9"/>
      <c r="I81" s="9"/>
      <c r="J81" t="s">
        <v>89</v>
      </c>
      <c r="K81" s="10">
        <v>53</v>
      </c>
      <c r="L81" s="10" t="s">
        <v>39</v>
      </c>
      <c r="M81" s="9"/>
      <c r="N81" t="s">
        <v>101</v>
      </c>
    </row>
    <row r="82" spans="1:14" x14ac:dyDescent="0.25">
      <c r="A82" t="s">
        <v>95</v>
      </c>
      <c r="B82" s="9"/>
      <c r="C82" s="10" t="s">
        <v>100</v>
      </c>
      <c r="D82" s="9"/>
      <c r="E82" s="9"/>
      <c r="F82" s="10" t="s">
        <v>137</v>
      </c>
      <c r="G82" s="9"/>
      <c r="H82" s="9"/>
      <c r="I82" s="9"/>
      <c r="J82" t="s">
        <v>90</v>
      </c>
      <c r="K82" s="10">
        <v>47</v>
      </c>
      <c r="L82" s="10" t="s">
        <v>39</v>
      </c>
      <c r="M82" s="9"/>
      <c r="N82" t="s">
        <v>101</v>
      </c>
    </row>
    <row r="83" spans="1:14" x14ac:dyDescent="0.25">
      <c r="A83" s="5" t="s">
        <v>11</v>
      </c>
      <c r="B83" s="5"/>
      <c r="C83" s="5"/>
      <c r="D83" s="5"/>
      <c r="E83" s="5"/>
      <c r="F83" s="5"/>
      <c r="G83" s="5"/>
      <c r="H83" s="5"/>
      <c r="I83" s="5"/>
      <c r="J83" s="6"/>
      <c r="K83" s="6"/>
      <c r="L83" s="6"/>
      <c r="M83" s="6"/>
      <c r="N83" s="6"/>
    </row>
    <row r="84" spans="1:14" x14ac:dyDescent="0.25">
      <c r="A84" s="7" t="s">
        <v>110</v>
      </c>
      <c r="B84" s="9"/>
      <c r="C84" s="10" t="s">
        <v>119</v>
      </c>
      <c r="D84" s="9"/>
      <c r="E84" s="9"/>
      <c r="F84" s="10"/>
      <c r="G84" s="9"/>
      <c r="H84" s="9"/>
      <c r="I84" s="9"/>
      <c r="J84" t="s">
        <v>89</v>
      </c>
      <c r="K84" s="12">
        <v>100</v>
      </c>
      <c r="L84" s="10" t="s">
        <v>39</v>
      </c>
      <c r="M84" s="11" t="s">
        <v>116</v>
      </c>
    </row>
    <row r="85" spans="1:14" x14ac:dyDescent="0.25">
      <c r="A85" s="7" t="s">
        <v>111</v>
      </c>
      <c r="B85" s="9"/>
      <c r="C85" s="10" t="s">
        <v>119</v>
      </c>
      <c r="D85" s="9"/>
      <c r="E85" s="9"/>
      <c r="F85" s="10"/>
      <c r="G85" s="9"/>
      <c r="H85" s="9"/>
      <c r="I85" s="9"/>
      <c r="J85" t="s">
        <v>89</v>
      </c>
      <c r="K85" s="10">
        <v>50</v>
      </c>
      <c r="L85" s="10" t="s">
        <v>39</v>
      </c>
      <c r="M85" s="9"/>
    </row>
    <row r="86" spans="1:14" x14ac:dyDescent="0.25">
      <c r="A86" s="7" t="s">
        <v>111</v>
      </c>
      <c r="B86" s="9"/>
      <c r="C86" s="10" t="s">
        <v>119</v>
      </c>
      <c r="D86" s="9"/>
      <c r="E86" s="9"/>
      <c r="F86" s="10" t="s">
        <v>138</v>
      </c>
      <c r="G86" s="9"/>
      <c r="H86" s="9"/>
      <c r="I86" s="9"/>
      <c r="J86" t="s">
        <v>90</v>
      </c>
      <c r="K86" s="10">
        <v>50</v>
      </c>
      <c r="L86" s="10" t="s">
        <v>39</v>
      </c>
      <c r="M86" s="9"/>
    </row>
    <row r="87" spans="1:14" x14ac:dyDescent="0.25">
      <c r="A87" s="7" t="s">
        <v>113</v>
      </c>
      <c r="B87" s="9"/>
      <c r="C87" s="12" t="s">
        <v>120</v>
      </c>
      <c r="D87" s="9"/>
      <c r="E87" s="9"/>
      <c r="F87" s="10"/>
      <c r="G87" s="9"/>
      <c r="H87" s="9"/>
      <c r="I87" s="9"/>
      <c r="J87" t="s">
        <v>89</v>
      </c>
      <c r="K87" s="12">
        <v>20</v>
      </c>
      <c r="L87" s="10" t="s">
        <v>39</v>
      </c>
      <c r="M87" s="11" t="s">
        <v>118</v>
      </c>
    </row>
    <row r="88" spans="1:14" x14ac:dyDescent="0.25">
      <c r="A88" s="7" t="s">
        <v>112</v>
      </c>
      <c r="B88" s="9"/>
      <c r="C88" s="10" t="s">
        <v>120</v>
      </c>
      <c r="D88" s="9"/>
      <c r="E88" s="9"/>
      <c r="F88" s="10"/>
      <c r="G88" s="9"/>
      <c r="H88" s="9"/>
      <c r="I88" s="9"/>
      <c r="J88" t="s">
        <v>89</v>
      </c>
      <c r="K88" s="12">
        <v>19</v>
      </c>
      <c r="L88" s="10" t="s">
        <v>39</v>
      </c>
      <c r="M88" s="11" t="s">
        <v>117</v>
      </c>
    </row>
    <row r="89" spans="1:14" x14ac:dyDescent="0.25">
      <c r="A89" s="5" t="s">
        <v>12</v>
      </c>
      <c r="B89" s="5"/>
      <c r="C89" s="5"/>
      <c r="D89" s="5"/>
      <c r="E89" s="5"/>
      <c r="F89" s="5"/>
      <c r="G89" s="5"/>
      <c r="H89" s="5"/>
      <c r="I89" s="5"/>
      <c r="J89" s="6"/>
      <c r="K89" s="6"/>
      <c r="L89" s="6"/>
      <c r="M89" s="6"/>
      <c r="N89" s="6"/>
    </row>
    <row r="90" spans="1:14" x14ac:dyDescent="0.25">
      <c r="A90" s="18" t="s">
        <v>121</v>
      </c>
      <c r="B90" s="9"/>
      <c r="C90" s="10" t="s">
        <v>123</v>
      </c>
      <c r="D90" s="9"/>
      <c r="E90" s="9"/>
      <c r="F90" s="10"/>
      <c r="G90" s="9"/>
      <c r="H90" s="9"/>
      <c r="I90" s="9"/>
      <c r="J90" t="s">
        <v>89</v>
      </c>
      <c r="K90" s="19">
        <v>100</v>
      </c>
      <c r="L90" s="10" t="s">
        <v>39</v>
      </c>
      <c r="M90" s="11"/>
    </row>
    <row r="91" spans="1:14" x14ac:dyDescent="0.25">
      <c r="A91" s="18" t="s">
        <v>124</v>
      </c>
      <c r="B91" s="9"/>
      <c r="C91" s="10" t="s">
        <v>125</v>
      </c>
      <c r="D91" s="9"/>
      <c r="E91" s="9"/>
      <c r="F91" s="10"/>
      <c r="G91" s="9"/>
      <c r="H91" s="9"/>
      <c r="I91" s="9"/>
      <c r="J91" t="s">
        <v>89</v>
      </c>
      <c r="K91" s="19">
        <v>100</v>
      </c>
      <c r="L91" s="10" t="s">
        <v>39</v>
      </c>
      <c r="M91" s="11"/>
    </row>
    <row r="92" spans="1:14" x14ac:dyDescent="0.25">
      <c r="A92" s="5" t="s">
        <v>14</v>
      </c>
      <c r="B92" s="5"/>
      <c r="C92" s="5"/>
      <c r="D92" s="5"/>
      <c r="E92" s="5"/>
      <c r="F92" s="5"/>
      <c r="G92" s="5"/>
      <c r="H92" s="5"/>
      <c r="I92" s="5"/>
      <c r="J92" s="6"/>
      <c r="K92" s="6"/>
      <c r="L92" s="6"/>
      <c r="M92" s="6"/>
      <c r="N92" s="6"/>
    </row>
    <row r="93" spans="1:14" x14ac:dyDescent="0.25">
      <c r="A93" s="11" t="s">
        <v>66</v>
      </c>
      <c r="B93" s="11"/>
      <c r="C93" s="11"/>
      <c r="D93" s="11" t="s">
        <v>83</v>
      </c>
      <c r="E93" s="11" t="s">
        <v>63</v>
      </c>
      <c r="F93" s="11"/>
      <c r="G93" s="11"/>
      <c r="H93" s="11"/>
      <c r="I93" s="11"/>
      <c r="J93" t="s">
        <v>89</v>
      </c>
      <c r="K93" s="13">
        <f>100-K94</f>
        <v>90.75</v>
      </c>
      <c r="L93" s="11" t="s">
        <v>39</v>
      </c>
      <c r="M93" t="s">
        <v>75</v>
      </c>
      <c r="N93" s="9" t="s">
        <v>102</v>
      </c>
    </row>
    <row r="94" spans="1:14" x14ac:dyDescent="0.25">
      <c r="A94" s="11" t="s">
        <v>66</v>
      </c>
      <c r="B94" s="11"/>
      <c r="C94" s="11"/>
      <c r="D94" s="11" t="s">
        <v>83</v>
      </c>
      <c r="E94" s="11" t="s">
        <v>63</v>
      </c>
      <c r="F94" s="11" t="s">
        <v>64</v>
      </c>
      <c r="G94" s="11"/>
      <c r="H94" s="11"/>
      <c r="I94" s="11"/>
      <c r="J94" t="s">
        <v>90</v>
      </c>
      <c r="K94" s="13">
        <f>(0.042-0.005)/0.4*100</f>
        <v>9.2500000000000018</v>
      </c>
      <c r="L94" s="11" t="s">
        <v>39</v>
      </c>
      <c r="N94" s="9" t="s">
        <v>102</v>
      </c>
    </row>
    <row r="95" spans="1:14" x14ac:dyDescent="0.25">
      <c r="A95" s="11" t="s">
        <v>65</v>
      </c>
      <c r="B95" s="11"/>
      <c r="C95" s="11"/>
      <c r="D95" s="11" t="s">
        <v>83</v>
      </c>
      <c r="E95" s="11" t="s">
        <v>63</v>
      </c>
      <c r="F95" s="11"/>
      <c r="G95" s="11"/>
      <c r="H95" s="11"/>
      <c r="I95" s="11"/>
      <c r="J95" t="s">
        <v>89</v>
      </c>
      <c r="K95" s="13">
        <f>100-K96</f>
        <v>93.25</v>
      </c>
      <c r="L95" s="11" t="s">
        <v>39</v>
      </c>
      <c r="M95" t="s">
        <v>76</v>
      </c>
      <c r="N95" s="9" t="s">
        <v>102</v>
      </c>
    </row>
    <row r="96" spans="1:14" x14ac:dyDescent="0.25">
      <c r="A96" s="11" t="s">
        <v>65</v>
      </c>
      <c r="B96" s="11"/>
      <c r="C96" s="11"/>
      <c r="D96" s="11" t="s">
        <v>83</v>
      </c>
      <c r="E96" s="11" t="s">
        <v>63</v>
      </c>
      <c r="F96" s="11" t="s">
        <v>64</v>
      </c>
      <c r="G96" s="11"/>
      <c r="H96" s="11"/>
      <c r="I96" s="11"/>
      <c r="J96" t="s">
        <v>90</v>
      </c>
      <c r="K96" s="13">
        <f>(0.042-0.015)/0.4*100</f>
        <v>6.75</v>
      </c>
      <c r="L96" s="11" t="s">
        <v>39</v>
      </c>
      <c r="N96" s="9" t="s">
        <v>102</v>
      </c>
    </row>
    <row r="97" spans="1:14" x14ac:dyDescent="0.25">
      <c r="A97" s="11" t="s">
        <v>67</v>
      </c>
      <c r="B97" s="11"/>
      <c r="C97" s="11"/>
      <c r="D97" s="11" t="s">
        <v>83</v>
      </c>
      <c r="E97" s="11" t="s">
        <v>63</v>
      </c>
      <c r="F97" s="11"/>
      <c r="G97" s="11"/>
      <c r="H97" s="11"/>
      <c r="I97" s="11"/>
      <c r="J97" t="s">
        <v>89</v>
      </c>
      <c r="K97" s="13">
        <f>100-K98</f>
        <v>93.25</v>
      </c>
      <c r="L97" s="11" t="s">
        <v>39</v>
      </c>
      <c r="M97" t="s">
        <v>77</v>
      </c>
      <c r="N97" s="9" t="s">
        <v>102</v>
      </c>
    </row>
    <row r="98" spans="1:14" x14ac:dyDescent="0.25">
      <c r="A98" s="11" t="s">
        <v>67</v>
      </c>
      <c r="B98" s="11"/>
      <c r="C98" s="11"/>
      <c r="D98" s="11" t="s">
        <v>83</v>
      </c>
      <c r="E98" s="11" t="s">
        <v>63</v>
      </c>
      <c r="F98" s="11" t="s">
        <v>64</v>
      </c>
      <c r="G98" s="11"/>
      <c r="H98" s="11"/>
      <c r="I98" s="11"/>
      <c r="J98" t="s">
        <v>90</v>
      </c>
      <c r="K98" s="13">
        <f>(0.042-0.015)/0.4*100</f>
        <v>6.75</v>
      </c>
      <c r="L98" s="11" t="s">
        <v>39</v>
      </c>
      <c r="N98" s="9" t="s">
        <v>102</v>
      </c>
    </row>
    <row r="99" spans="1:14" x14ac:dyDescent="0.25">
      <c r="A99" s="11" t="s">
        <v>68</v>
      </c>
      <c r="B99" s="11"/>
      <c r="C99" s="11"/>
      <c r="D99" s="11" t="s">
        <v>83</v>
      </c>
      <c r="E99" s="11" t="s">
        <v>63</v>
      </c>
      <c r="F99" s="11"/>
      <c r="G99" s="11"/>
      <c r="H99" s="11"/>
      <c r="I99" s="11"/>
      <c r="J99" t="s">
        <v>89</v>
      </c>
      <c r="K99" s="13">
        <f>(100-K100)*0.1</f>
        <v>9.3250000000000011</v>
      </c>
      <c r="L99" s="11" t="s">
        <v>39</v>
      </c>
      <c r="M99" t="s">
        <v>84</v>
      </c>
      <c r="N99" s="9" t="s">
        <v>102</v>
      </c>
    </row>
    <row r="100" spans="1:14" x14ac:dyDescent="0.25">
      <c r="A100" s="11" t="s">
        <v>68</v>
      </c>
      <c r="B100" s="11"/>
      <c r="C100" s="11"/>
      <c r="D100" s="11" t="s">
        <v>83</v>
      </c>
      <c r="E100" s="11" t="s">
        <v>63</v>
      </c>
      <c r="F100" s="11" t="s">
        <v>64</v>
      </c>
      <c r="G100" s="11"/>
      <c r="H100" s="11"/>
      <c r="I100" s="11"/>
      <c r="J100" t="s">
        <v>90</v>
      </c>
      <c r="K100" s="13">
        <f>(0.042-0.015)/0.4*100</f>
        <v>6.75</v>
      </c>
      <c r="L100" s="11" t="s">
        <v>39</v>
      </c>
      <c r="N100" s="9" t="s">
        <v>102</v>
      </c>
    </row>
    <row r="101" spans="1:14" x14ac:dyDescent="0.25">
      <c r="A101" s="11" t="s">
        <v>68</v>
      </c>
      <c r="B101" s="11"/>
      <c r="C101" s="11"/>
      <c r="D101" s="11" t="s">
        <v>83</v>
      </c>
      <c r="E101" s="11" t="s">
        <v>63</v>
      </c>
      <c r="F101" s="11" t="s">
        <v>74</v>
      </c>
      <c r="G101" s="11"/>
      <c r="H101" s="11"/>
      <c r="I101" s="11"/>
      <c r="J101" t="s">
        <v>90</v>
      </c>
      <c r="K101" s="13">
        <f>(100-K100)*0.9</f>
        <v>83.924999999999997</v>
      </c>
      <c r="L101" s="11" t="s">
        <v>39</v>
      </c>
      <c r="N101" s="9" t="s">
        <v>102</v>
      </c>
    </row>
    <row r="102" spans="1:14" x14ac:dyDescent="0.25">
      <c r="A102" s="11" t="s">
        <v>72</v>
      </c>
      <c r="B102" s="11"/>
      <c r="C102" s="11"/>
      <c r="D102" s="11" t="s">
        <v>83</v>
      </c>
      <c r="E102" s="11" t="s">
        <v>64</v>
      </c>
      <c r="F102" s="11"/>
      <c r="G102" s="11"/>
      <c r="H102" s="11"/>
      <c r="I102" s="11"/>
      <c r="J102" t="s">
        <v>89</v>
      </c>
      <c r="K102" s="11">
        <f>1/(0.1/0.4)*100</f>
        <v>400</v>
      </c>
      <c r="L102" s="11" t="s">
        <v>39</v>
      </c>
      <c r="M102" t="s">
        <v>82</v>
      </c>
      <c r="N102" s="9" t="s">
        <v>102</v>
      </c>
    </row>
    <row r="103" spans="1:14" x14ac:dyDescent="0.25">
      <c r="A103" s="12" t="s">
        <v>73</v>
      </c>
      <c r="B103" s="11"/>
      <c r="C103" s="11"/>
      <c r="D103" s="11" t="s">
        <v>83</v>
      </c>
      <c r="E103" s="11" t="s">
        <v>64</v>
      </c>
      <c r="F103" s="11"/>
      <c r="G103" s="11"/>
      <c r="H103" s="11"/>
      <c r="I103" s="11"/>
      <c r="J103" t="s">
        <v>89</v>
      </c>
      <c r="K103" s="13">
        <f>1/(0.12/0.4)*100</f>
        <v>333.33333333333337</v>
      </c>
      <c r="L103" s="11" t="s">
        <v>39</v>
      </c>
      <c r="M103" t="s">
        <v>78</v>
      </c>
      <c r="N103" s="9" t="s">
        <v>102</v>
      </c>
    </row>
    <row r="104" spans="1:14" x14ac:dyDescent="0.25">
      <c r="A104" s="11" t="s">
        <v>70</v>
      </c>
      <c r="B104" s="11"/>
      <c r="C104" s="11"/>
      <c r="D104" s="11" t="s">
        <v>83</v>
      </c>
      <c r="E104" s="11" t="s">
        <v>64</v>
      </c>
      <c r="F104" s="11"/>
      <c r="G104" s="11"/>
      <c r="H104" s="11"/>
      <c r="I104" s="11"/>
      <c r="J104" t="s">
        <v>89</v>
      </c>
      <c r="K104" s="13">
        <f>1/(0.13/0.4)*100</f>
        <v>307.69230769230768</v>
      </c>
      <c r="L104" s="11" t="s">
        <v>39</v>
      </c>
      <c r="M104" t="s">
        <v>79</v>
      </c>
      <c r="N104" s="9" t="s">
        <v>102</v>
      </c>
    </row>
    <row r="105" spans="1:14" x14ac:dyDescent="0.25">
      <c r="A105" s="11" t="s">
        <v>71</v>
      </c>
      <c r="B105" s="11"/>
      <c r="C105" s="11"/>
      <c r="D105" s="11" t="s">
        <v>83</v>
      </c>
      <c r="E105" s="11" t="s">
        <v>64</v>
      </c>
      <c r="F105" s="11"/>
      <c r="G105" s="11"/>
      <c r="H105" s="11"/>
      <c r="I105" s="11"/>
      <c r="J105" t="s">
        <v>89</v>
      </c>
      <c r="K105" s="11">
        <f>1/(0.4/0.4)*100</f>
        <v>100</v>
      </c>
      <c r="L105" s="11" t="s">
        <v>39</v>
      </c>
      <c r="M105" t="s">
        <v>80</v>
      </c>
      <c r="N105" s="9" t="s">
        <v>102</v>
      </c>
    </row>
    <row r="106" spans="1:14" x14ac:dyDescent="0.25">
      <c r="A106" s="11" t="s">
        <v>69</v>
      </c>
      <c r="B106" s="11"/>
      <c r="C106" s="11"/>
      <c r="D106" s="11" t="s">
        <v>83</v>
      </c>
      <c r="E106" s="11" t="s">
        <v>64</v>
      </c>
      <c r="F106" s="11"/>
      <c r="G106" s="11"/>
      <c r="H106" s="11"/>
      <c r="I106" s="11"/>
      <c r="J106" t="s">
        <v>89</v>
      </c>
      <c r="K106" s="13">
        <f>1/((0.4-0.8)/(0.01-0.4)+1)*100</f>
        <v>49.367088607594937</v>
      </c>
      <c r="L106" s="11" t="s">
        <v>39</v>
      </c>
      <c r="M106" t="s">
        <v>81</v>
      </c>
      <c r="N106" s="9" t="s">
        <v>102</v>
      </c>
    </row>
    <row r="107" spans="1:14" x14ac:dyDescent="0.25">
      <c r="A107" s="11" t="s">
        <v>69</v>
      </c>
      <c r="B107" s="9"/>
      <c r="C107" s="9"/>
      <c r="D107" s="11" t="s">
        <v>83</v>
      </c>
      <c r="E107" s="11" t="s">
        <v>64</v>
      </c>
      <c r="F107" s="11" t="s">
        <v>86</v>
      </c>
      <c r="G107" s="9"/>
      <c r="H107" s="9"/>
      <c r="I107" s="9"/>
      <c r="J107" t="s">
        <v>90</v>
      </c>
      <c r="K107" s="15">
        <f>1/((0.01-0.4)/(0.4-0.8)+1)*100</f>
        <v>50.632911392405056</v>
      </c>
      <c r="L107" s="11" t="s">
        <v>39</v>
      </c>
      <c r="M107" s="9" t="s">
        <v>87</v>
      </c>
      <c r="N107" s="9" t="s">
        <v>102</v>
      </c>
    </row>
    <row r="108" spans="1:14" x14ac:dyDescent="0.25">
      <c r="A108" s="5" t="s">
        <v>23</v>
      </c>
      <c r="B108" s="5"/>
      <c r="C108" s="5"/>
      <c r="D108" s="5"/>
      <c r="E108" s="5"/>
      <c r="F108" s="5"/>
      <c r="G108" s="5"/>
      <c r="H108" s="5"/>
      <c r="I108" s="5"/>
      <c r="J108" s="6"/>
      <c r="K108" s="6"/>
      <c r="L108" s="6"/>
      <c r="M108" s="6"/>
      <c r="N108" s="6"/>
    </row>
    <row r="109" spans="1:14" x14ac:dyDescent="0.25">
      <c r="A109" s="9" t="s">
        <v>58</v>
      </c>
      <c r="B109" s="9"/>
      <c r="C109" s="9"/>
      <c r="D109" s="9" t="s">
        <v>61</v>
      </c>
      <c r="E109" s="9" t="s">
        <v>59</v>
      </c>
      <c r="F109" s="9"/>
      <c r="G109" s="9"/>
      <c r="H109" s="9"/>
      <c r="I109" s="9"/>
      <c r="J109" t="s">
        <v>89</v>
      </c>
      <c r="K109" s="10">
        <v>73</v>
      </c>
      <c r="L109" s="9" t="s">
        <v>39</v>
      </c>
      <c r="M109" s="9"/>
      <c r="N109" s="9" t="s">
        <v>101</v>
      </c>
    </row>
    <row r="110" spans="1:14" x14ac:dyDescent="0.25">
      <c r="A110" s="9" t="s">
        <v>58</v>
      </c>
      <c r="B110" s="9"/>
      <c r="C110" s="9"/>
      <c r="D110" s="9" t="s">
        <v>61</v>
      </c>
      <c r="E110" s="9" t="s">
        <v>59</v>
      </c>
      <c r="F110" s="9" t="s">
        <v>139</v>
      </c>
      <c r="G110" s="9"/>
      <c r="H110" s="9"/>
      <c r="I110" s="9"/>
      <c r="J110" t="s">
        <v>90</v>
      </c>
      <c r="K110" s="17">
        <f>(1/0.76)*4</f>
        <v>5.2631578947368425</v>
      </c>
      <c r="L110" s="9" t="s">
        <v>39</v>
      </c>
      <c r="M110" s="10" t="s">
        <v>106</v>
      </c>
      <c r="N110" s="9" t="s">
        <v>101</v>
      </c>
    </row>
    <row r="111" spans="1:14" x14ac:dyDescent="0.25">
      <c r="A111" s="9" t="s">
        <v>58</v>
      </c>
      <c r="B111" s="9"/>
      <c r="C111" s="9"/>
      <c r="D111" s="9" t="s">
        <v>61</v>
      </c>
      <c r="E111" s="9" t="s">
        <v>59</v>
      </c>
      <c r="F111" s="9" t="s">
        <v>140</v>
      </c>
      <c r="G111" s="9"/>
      <c r="H111" s="9"/>
      <c r="I111" s="9"/>
      <c r="J111" t="s">
        <v>90</v>
      </c>
      <c r="K111" s="17">
        <f>(1/0.76)*6</f>
        <v>7.8947368421052637</v>
      </c>
      <c r="L111" s="9" t="s">
        <v>39</v>
      </c>
      <c r="M111" s="10" t="s">
        <v>106</v>
      </c>
      <c r="N111" s="9" t="s">
        <v>101</v>
      </c>
    </row>
    <row r="112" spans="1:14" x14ac:dyDescent="0.25">
      <c r="A112" s="9" t="s">
        <v>58</v>
      </c>
      <c r="B112" s="9"/>
      <c r="C112" s="9"/>
      <c r="D112" s="9" t="s">
        <v>61</v>
      </c>
      <c r="E112" s="9" t="s">
        <v>59</v>
      </c>
      <c r="F112" s="9" t="s">
        <v>141</v>
      </c>
      <c r="G112" s="9"/>
      <c r="H112" s="9"/>
      <c r="I112" s="9"/>
      <c r="J112" t="s">
        <v>90</v>
      </c>
      <c r="K112" s="17">
        <f>(1/0.76)*5</f>
        <v>6.5789473684210531</v>
      </c>
      <c r="L112" s="9" t="s">
        <v>39</v>
      </c>
      <c r="M112" s="10" t="s">
        <v>106</v>
      </c>
      <c r="N112" s="9" t="s">
        <v>101</v>
      </c>
    </row>
    <row r="113" spans="1:14" x14ac:dyDescent="0.25">
      <c r="A113" s="9" t="s">
        <v>58</v>
      </c>
      <c r="B113" s="9"/>
      <c r="C113" s="9"/>
      <c r="D113" s="9" t="s">
        <v>61</v>
      </c>
      <c r="E113" s="9" t="s">
        <v>59</v>
      </c>
      <c r="F113" s="9" t="s">
        <v>142</v>
      </c>
      <c r="G113" s="9"/>
      <c r="H113" s="9"/>
      <c r="I113" s="9"/>
      <c r="J113" t="s">
        <v>90</v>
      </c>
      <c r="K113" s="10">
        <v>18</v>
      </c>
      <c r="L113" s="9" t="s">
        <v>39</v>
      </c>
      <c r="M113" s="9"/>
      <c r="N113" s="9" t="s">
        <v>101</v>
      </c>
    </row>
    <row r="114" spans="1:14" x14ac:dyDescent="0.25">
      <c r="A114" t="s">
        <v>105</v>
      </c>
      <c r="B114" s="9"/>
      <c r="C114" s="9"/>
      <c r="D114" s="10" t="s">
        <v>83</v>
      </c>
      <c r="E114" s="10" t="s">
        <v>59</v>
      </c>
      <c r="F114" s="9"/>
      <c r="G114" s="9"/>
      <c r="H114" s="9"/>
      <c r="I114" s="9"/>
      <c r="J114" t="s">
        <v>89</v>
      </c>
      <c r="K114" s="10">
        <v>71</v>
      </c>
      <c r="L114" s="10" t="s">
        <v>39</v>
      </c>
      <c r="M114" s="9"/>
      <c r="N114" s="9" t="s">
        <v>101</v>
      </c>
    </row>
    <row r="115" spans="1:14" x14ac:dyDescent="0.25">
      <c r="A115" t="s">
        <v>105</v>
      </c>
      <c r="B115" s="9"/>
      <c r="C115" s="9"/>
      <c r="D115" s="10" t="s">
        <v>83</v>
      </c>
      <c r="E115" s="10" t="s">
        <v>59</v>
      </c>
      <c r="F115" s="10" t="s">
        <v>143</v>
      </c>
      <c r="G115" s="9"/>
      <c r="H115" s="9"/>
      <c r="I115" s="9"/>
      <c r="J115" t="s">
        <v>90</v>
      </c>
      <c r="K115" s="17">
        <f>(1/0.52)*7</f>
        <v>13.46153846153846</v>
      </c>
      <c r="L115" s="10" t="s">
        <v>39</v>
      </c>
      <c r="M115" s="10" t="s">
        <v>107</v>
      </c>
      <c r="N115" s="9"/>
    </row>
    <row r="116" spans="1:14" x14ac:dyDescent="0.25">
      <c r="A116" t="s">
        <v>105</v>
      </c>
      <c r="B116" s="9"/>
      <c r="C116" s="9"/>
      <c r="D116" s="10" t="s">
        <v>83</v>
      </c>
      <c r="E116" s="10" t="s">
        <v>59</v>
      </c>
      <c r="F116" s="9" t="s">
        <v>144</v>
      </c>
      <c r="G116" s="9"/>
      <c r="H116" s="9"/>
      <c r="I116" s="9"/>
      <c r="J116" t="s">
        <v>90</v>
      </c>
      <c r="K116" s="17">
        <f>(1/0.52)*3</f>
        <v>5.7692307692307683</v>
      </c>
      <c r="L116" s="10" t="s">
        <v>39</v>
      </c>
      <c r="M116" s="10" t="s">
        <v>107</v>
      </c>
      <c r="N116" s="9"/>
    </row>
    <row r="117" spans="1:14" x14ac:dyDescent="0.25">
      <c r="A117" t="s">
        <v>105</v>
      </c>
      <c r="B117" s="9"/>
      <c r="C117" s="9"/>
      <c r="D117" s="10" t="s">
        <v>83</v>
      </c>
      <c r="E117" s="10" t="s">
        <v>59</v>
      </c>
      <c r="F117" s="10" t="s">
        <v>145</v>
      </c>
      <c r="G117" s="9"/>
      <c r="H117" s="9"/>
      <c r="I117" s="9"/>
      <c r="J117" t="s">
        <v>90</v>
      </c>
      <c r="K117" s="17">
        <f>(1/0.52)*6</f>
        <v>11.538461538461537</v>
      </c>
      <c r="L117" s="10" t="s">
        <v>39</v>
      </c>
      <c r="M117" s="10" t="s">
        <v>107</v>
      </c>
      <c r="N117" s="9"/>
    </row>
    <row r="118" spans="1:14" x14ac:dyDescent="0.25">
      <c r="A118" t="s">
        <v>105</v>
      </c>
      <c r="B118" s="9"/>
      <c r="C118" s="9"/>
      <c r="D118" s="10" t="s">
        <v>83</v>
      </c>
      <c r="E118" s="10" t="s">
        <v>59</v>
      </c>
      <c r="F118" s="9" t="s">
        <v>146</v>
      </c>
      <c r="G118" s="9"/>
      <c r="H118" s="9"/>
      <c r="I118" s="9"/>
      <c r="J118" t="s">
        <v>90</v>
      </c>
      <c r="K118" s="10">
        <v>12</v>
      </c>
      <c r="L118" s="10" t="s">
        <v>39</v>
      </c>
      <c r="M118" s="9"/>
      <c r="N118" s="9"/>
    </row>
    <row r="119" spans="1:14" x14ac:dyDescent="0.25">
      <c r="A119" s="5" t="s">
        <v>29</v>
      </c>
      <c r="B119" s="5"/>
      <c r="C119" s="5"/>
      <c r="D119" s="5"/>
      <c r="E119" s="5"/>
      <c r="F119" s="5"/>
      <c r="G119" s="5"/>
      <c r="H119" s="5"/>
      <c r="I119" s="5"/>
      <c r="J119" s="6"/>
      <c r="K119" s="6"/>
      <c r="L119" s="6"/>
      <c r="M119" s="6"/>
      <c r="N119" s="6"/>
    </row>
    <row r="120" spans="1:14" x14ac:dyDescent="0.25">
      <c r="A120" t="s">
        <v>126</v>
      </c>
      <c r="B120" s="11"/>
      <c r="C120" s="9" t="s">
        <v>52</v>
      </c>
      <c r="D120" s="11"/>
      <c r="E120" s="11"/>
      <c r="F120" s="11"/>
      <c r="G120" s="11"/>
      <c r="H120" s="11"/>
      <c r="I120" s="11"/>
      <c r="J120" t="s">
        <v>89</v>
      </c>
      <c r="K120" s="21">
        <f>655*0.7</f>
        <v>458.49999999999994</v>
      </c>
      <c r="L120" s="10" t="s">
        <v>39</v>
      </c>
      <c r="M120" s="9"/>
      <c r="N120" s="9" t="s">
        <v>101</v>
      </c>
    </row>
    <row r="121" spans="1:14" x14ac:dyDescent="0.25">
      <c r="A121" t="s">
        <v>126</v>
      </c>
      <c r="B121" s="11"/>
      <c r="C121" s="9" t="s">
        <v>52</v>
      </c>
      <c r="D121" s="11"/>
      <c r="E121" s="11"/>
      <c r="F121" s="20" t="s">
        <v>129</v>
      </c>
      <c r="G121" s="11"/>
      <c r="H121" s="11"/>
      <c r="I121" s="11"/>
      <c r="J121" t="s">
        <v>90</v>
      </c>
      <c r="K121" s="21">
        <f>1*(K120/100)*0.2*100</f>
        <v>91.699999999999989</v>
      </c>
      <c r="L121" s="10" t="s">
        <v>39</v>
      </c>
      <c r="M121" s="9" t="s">
        <v>131</v>
      </c>
      <c r="N121" s="9" t="s">
        <v>130</v>
      </c>
    </row>
    <row r="122" spans="1:14" x14ac:dyDescent="0.25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9"/>
      <c r="M122" s="9"/>
      <c r="N122" s="9"/>
    </row>
    <row r="123" spans="1:14" x14ac:dyDescent="0.25">
      <c r="A123" s="3" t="s">
        <v>40</v>
      </c>
      <c r="B123" s="3"/>
      <c r="C123" s="3"/>
      <c r="D123" s="3"/>
      <c r="E123" s="3"/>
      <c r="F123" s="3"/>
      <c r="G123" s="3"/>
      <c r="H123" s="3"/>
      <c r="I123" s="3"/>
      <c r="J123" s="4"/>
      <c r="K123" s="4"/>
      <c r="L123" s="4"/>
      <c r="M123" s="4"/>
      <c r="N123" s="4"/>
    </row>
    <row r="124" spans="1:14" x14ac:dyDescent="0.25">
      <c r="J124" s="8" t="s">
        <v>41</v>
      </c>
      <c r="K124" s="8">
        <v>100</v>
      </c>
      <c r="L124" s="8" t="s">
        <v>39</v>
      </c>
      <c r="M124" s="8" t="s">
        <v>46</v>
      </c>
    </row>
    <row r="125" spans="1:14" x14ac:dyDescent="0.25">
      <c r="A125" s="5" t="s">
        <v>10</v>
      </c>
      <c r="B125" s="5"/>
      <c r="C125" s="5"/>
      <c r="D125" s="5"/>
      <c r="E125" s="5"/>
      <c r="F125" s="5"/>
      <c r="G125" s="5"/>
      <c r="H125" s="5"/>
      <c r="I125" s="5"/>
      <c r="J125" s="6"/>
      <c r="K125" s="6"/>
      <c r="L125" s="6"/>
      <c r="M125" s="6"/>
      <c r="N125" s="6"/>
    </row>
    <row r="126" spans="1:14" x14ac:dyDescent="0.25">
      <c r="A126" t="s">
        <v>35</v>
      </c>
      <c r="J126" t="s">
        <v>41</v>
      </c>
      <c r="K126">
        <v>22</v>
      </c>
      <c r="L126" t="s">
        <v>39</v>
      </c>
    </row>
    <row r="127" spans="1:14" x14ac:dyDescent="0.25">
      <c r="A127" t="s">
        <v>44</v>
      </c>
      <c r="J127" t="s">
        <v>41</v>
      </c>
      <c r="K127">
        <v>100</v>
      </c>
      <c r="L127" t="s">
        <v>39</v>
      </c>
    </row>
    <row r="128" spans="1:14" x14ac:dyDescent="0.25">
      <c r="A128" t="s">
        <v>51</v>
      </c>
      <c r="J128" t="s">
        <v>41</v>
      </c>
      <c r="K128">
        <v>4</v>
      </c>
      <c r="L128" t="s">
        <v>39</v>
      </c>
    </row>
    <row r="129" spans="1:14" x14ac:dyDescent="0.25">
      <c r="A129" t="s">
        <v>97</v>
      </c>
      <c r="J129" t="s">
        <v>41</v>
      </c>
      <c r="K129">
        <v>100</v>
      </c>
      <c r="L129" t="s">
        <v>39</v>
      </c>
    </row>
    <row r="130" spans="1:14" x14ac:dyDescent="0.25">
      <c r="A130" t="s">
        <v>96</v>
      </c>
      <c r="J130" t="s">
        <v>41</v>
      </c>
      <c r="K130">
        <v>8</v>
      </c>
      <c r="L130" t="s">
        <v>39</v>
      </c>
    </row>
    <row r="131" spans="1:14" x14ac:dyDescent="0.25">
      <c r="A131" t="s">
        <v>95</v>
      </c>
      <c r="J131" t="s">
        <v>41</v>
      </c>
      <c r="K131">
        <v>1</v>
      </c>
      <c r="L131" t="s">
        <v>39</v>
      </c>
    </row>
    <row r="132" spans="1:14" x14ac:dyDescent="0.25">
      <c r="A132" t="s">
        <v>94</v>
      </c>
      <c r="J132" t="s">
        <v>41</v>
      </c>
      <c r="K132" s="7">
        <v>22</v>
      </c>
      <c r="L132" s="7" t="s">
        <v>39</v>
      </c>
    </row>
    <row r="133" spans="1:14" x14ac:dyDescent="0.25">
      <c r="A133" s="5" t="s">
        <v>11</v>
      </c>
      <c r="B133" s="5"/>
      <c r="C133" s="5"/>
      <c r="D133" s="5"/>
      <c r="E133" s="5"/>
      <c r="F133" s="5"/>
      <c r="G133" s="5"/>
      <c r="H133" s="5"/>
      <c r="I133" s="5"/>
      <c r="J133" s="6"/>
      <c r="K133" s="6"/>
      <c r="L133" s="6"/>
      <c r="M133" s="6"/>
      <c r="N133" s="6"/>
    </row>
    <row r="134" spans="1:14" x14ac:dyDescent="0.25">
      <c r="A134" s="7" t="s">
        <v>110</v>
      </c>
      <c r="J134" t="s">
        <v>41</v>
      </c>
      <c r="K134" s="18">
        <v>16</v>
      </c>
      <c r="L134" s="18" t="s">
        <v>39</v>
      </c>
    </row>
    <row r="135" spans="1:14" x14ac:dyDescent="0.25">
      <c r="A135" s="7" t="s">
        <v>111</v>
      </c>
      <c r="J135" t="s">
        <v>41</v>
      </c>
      <c r="K135" s="18">
        <v>16</v>
      </c>
      <c r="L135" s="18" t="s">
        <v>39</v>
      </c>
    </row>
    <row r="136" spans="1:14" x14ac:dyDescent="0.25">
      <c r="A136" s="7" t="s">
        <v>113</v>
      </c>
      <c r="J136" t="s">
        <v>41</v>
      </c>
      <c r="K136" s="18">
        <v>16</v>
      </c>
      <c r="L136" s="18" t="s">
        <v>39</v>
      </c>
    </row>
    <row r="137" spans="1:14" x14ac:dyDescent="0.25">
      <c r="A137" s="7" t="s">
        <v>112</v>
      </c>
      <c r="J137" t="s">
        <v>41</v>
      </c>
      <c r="K137" s="18">
        <v>16</v>
      </c>
      <c r="L137" s="18" t="s">
        <v>39</v>
      </c>
    </row>
    <row r="138" spans="1:14" x14ac:dyDescent="0.25">
      <c r="A138" s="5" t="s">
        <v>12</v>
      </c>
      <c r="B138" s="5"/>
      <c r="C138" s="5"/>
      <c r="D138" s="5"/>
      <c r="E138" s="5"/>
      <c r="F138" s="5"/>
      <c r="G138" s="5"/>
      <c r="H138" s="5"/>
      <c r="I138" s="5"/>
      <c r="J138" s="6"/>
      <c r="K138" s="6"/>
      <c r="L138" s="6"/>
      <c r="M138" s="6"/>
      <c r="N138" s="6"/>
    </row>
    <row r="139" spans="1:14" x14ac:dyDescent="0.25">
      <c r="A139" s="18" t="s">
        <v>121</v>
      </c>
      <c r="J139" t="s">
        <v>41</v>
      </c>
      <c r="K139" s="18">
        <v>90</v>
      </c>
      <c r="L139" s="18" t="s">
        <v>39</v>
      </c>
    </row>
    <row r="140" spans="1:14" x14ac:dyDescent="0.25">
      <c r="A140" s="18" t="s">
        <v>124</v>
      </c>
      <c r="J140" t="s">
        <v>41</v>
      </c>
      <c r="K140" s="18">
        <v>46</v>
      </c>
      <c r="L140" s="18" t="s">
        <v>39</v>
      </c>
    </row>
    <row r="141" spans="1:14" x14ac:dyDescent="0.25">
      <c r="A141" s="5" t="s">
        <v>14</v>
      </c>
      <c r="B141" s="5"/>
      <c r="C141" s="5"/>
      <c r="D141" s="5"/>
      <c r="E141" s="5"/>
      <c r="F141" s="5"/>
      <c r="G141" s="5"/>
      <c r="H141" s="5"/>
      <c r="I141" s="5"/>
      <c r="J141" s="6"/>
      <c r="K141" s="6"/>
      <c r="L141" s="6"/>
      <c r="M141" s="6"/>
      <c r="N141" s="6"/>
    </row>
    <row r="142" spans="1:14" x14ac:dyDescent="0.25">
      <c r="A142" s="7" t="s">
        <v>66</v>
      </c>
      <c r="J142" t="s">
        <v>41</v>
      </c>
      <c r="K142" s="14">
        <f>8.5*20/(29.5+8.5)</f>
        <v>4.4736842105263159</v>
      </c>
      <c r="L142" t="s">
        <v>39</v>
      </c>
    </row>
    <row r="143" spans="1:14" x14ac:dyDescent="0.25">
      <c r="A143" s="7" t="s">
        <v>65</v>
      </c>
      <c r="J143" t="s">
        <v>41</v>
      </c>
      <c r="K143" s="14">
        <f>(80.7*0+14.4*20+0.3*5*0)/(80.7+14.4+0.3*5)</f>
        <v>2.981366459627329</v>
      </c>
      <c r="L143" t="s">
        <v>39</v>
      </c>
    </row>
    <row r="144" spans="1:14" x14ac:dyDescent="0.25">
      <c r="A144" s="7" t="s">
        <v>67</v>
      </c>
      <c r="J144" t="s">
        <v>41</v>
      </c>
      <c r="K144" s="14">
        <f>(45.6*0+44.1*20+1.3*5*0+1.8*10*0)/(45.6+44.1+1.3*5+1.8*10)</f>
        <v>7.723292469352014</v>
      </c>
      <c r="L144" t="s">
        <v>39</v>
      </c>
    </row>
    <row r="145" spans="1:14" x14ac:dyDescent="0.25">
      <c r="A145" s="7" t="s">
        <v>68</v>
      </c>
      <c r="J145" t="s">
        <v>41</v>
      </c>
      <c r="K145">
        <f>60</f>
        <v>60</v>
      </c>
      <c r="L145" t="s">
        <v>39</v>
      </c>
    </row>
    <row r="146" spans="1:14" x14ac:dyDescent="0.25">
      <c r="A146" s="7" t="s">
        <v>72</v>
      </c>
      <c r="J146" t="s">
        <v>41</v>
      </c>
      <c r="K146">
        <v>0</v>
      </c>
      <c r="L146" t="s">
        <v>39</v>
      </c>
    </row>
    <row r="147" spans="1:14" x14ac:dyDescent="0.25">
      <c r="A147" s="7" t="s">
        <v>73</v>
      </c>
      <c r="J147" t="s">
        <v>41</v>
      </c>
      <c r="K147">
        <v>20</v>
      </c>
      <c r="L147" t="s">
        <v>39</v>
      </c>
    </row>
    <row r="148" spans="1:14" x14ac:dyDescent="0.25">
      <c r="A148" s="7" t="s">
        <v>70</v>
      </c>
      <c r="J148" t="s">
        <v>41</v>
      </c>
      <c r="K148">
        <v>20</v>
      </c>
      <c r="L148" t="s">
        <v>39</v>
      </c>
    </row>
    <row r="149" spans="1:14" x14ac:dyDescent="0.25">
      <c r="A149" s="7" t="s">
        <v>71</v>
      </c>
      <c r="J149" t="s">
        <v>41</v>
      </c>
      <c r="K149">
        <v>20</v>
      </c>
      <c r="L149" t="s">
        <v>39</v>
      </c>
    </row>
    <row r="150" spans="1:14" x14ac:dyDescent="0.25">
      <c r="A150" s="7" t="s">
        <v>69</v>
      </c>
      <c r="J150" t="s">
        <v>41</v>
      </c>
      <c r="K150">
        <f>43</f>
        <v>43</v>
      </c>
      <c r="L150" t="s">
        <v>39</v>
      </c>
    </row>
    <row r="151" spans="1:14" x14ac:dyDescent="0.25">
      <c r="A151" s="5" t="s">
        <v>23</v>
      </c>
      <c r="B151" s="5"/>
      <c r="C151" s="5"/>
      <c r="D151" s="5"/>
      <c r="E151" s="5"/>
      <c r="F151" s="5"/>
      <c r="G151" s="5"/>
      <c r="H151" s="5"/>
      <c r="I151" s="5"/>
      <c r="J151" s="6"/>
      <c r="K151" s="6"/>
      <c r="L151" s="6"/>
      <c r="M151" s="6"/>
      <c r="N151" s="6"/>
    </row>
    <row r="152" spans="1:14" x14ac:dyDescent="0.25">
      <c r="A152" t="s">
        <v>58</v>
      </c>
      <c r="J152" t="s">
        <v>41</v>
      </c>
      <c r="K152">
        <v>36</v>
      </c>
      <c r="L152" t="s">
        <v>39</v>
      </c>
    </row>
    <row r="153" spans="1:14" x14ac:dyDescent="0.25">
      <c r="A153" t="s">
        <v>105</v>
      </c>
      <c r="J153" t="s">
        <v>41</v>
      </c>
      <c r="K153" s="18">
        <v>43</v>
      </c>
      <c r="L153" t="s">
        <v>39</v>
      </c>
    </row>
    <row r="154" spans="1:14" x14ac:dyDescent="0.25">
      <c r="A154" s="5" t="s">
        <v>29</v>
      </c>
      <c r="B154" s="5"/>
      <c r="C154" s="5"/>
      <c r="D154" s="5"/>
      <c r="E154" s="5"/>
      <c r="F154" s="5"/>
      <c r="G154" s="5"/>
      <c r="H154" s="5"/>
      <c r="I154" s="5"/>
      <c r="J154" s="6"/>
      <c r="K154" s="6"/>
      <c r="L154" s="6"/>
      <c r="M154" s="6"/>
      <c r="N154" s="6"/>
    </row>
    <row r="155" spans="1:14" x14ac:dyDescent="0.25">
      <c r="A155" t="s">
        <v>126</v>
      </c>
      <c r="J155" t="s">
        <v>41</v>
      </c>
      <c r="K155">
        <v>4</v>
      </c>
      <c r="L155" t="s">
        <v>39</v>
      </c>
      <c r="M155" t="s">
        <v>128</v>
      </c>
    </row>
    <row r="157" spans="1:14" x14ac:dyDescent="0.25">
      <c r="A157" s="3" t="s">
        <v>50</v>
      </c>
      <c r="B157" s="3"/>
      <c r="C157" s="3"/>
      <c r="D157" s="3"/>
      <c r="E157" s="3"/>
      <c r="F157" s="3"/>
      <c r="G157" s="3"/>
      <c r="H157" s="3"/>
      <c r="I157" s="3"/>
      <c r="J157" s="4"/>
      <c r="K157" s="4"/>
      <c r="L157" s="4"/>
      <c r="M157" s="4"/>
      <c r="N157" s="4"/>
    </row>
    <row r="158" spans="1:14" x14ac:dyDescent="0.25">
      <c r="G158" s="8"/>
      <c r="H158" s="8" t="s">
        <v>47</v>
      </c>
      <c r="I158" s="8"/>
      <c r="J158" s="8" t="s">
        <v>42</v>
      </c>
      <c r="K158" s="8">
        <v>-100</v>
      </c>
      <c r="L158" s="8" t="s">
        <v>48</v>
      </c>
      <c r="M158" s="8" t="s">
        <v>91</v>
      </c>
    </row>
    <row r="159" spans="1:14" x14ac:dyDescent="0.25">
      <c r="G159" s="8"/>
      <c r="H159" s="8" t="s">
        <v>45</v>
      </c>
      <c r="I159" s="8"/>
      <c r="J159" s="8" t="s">
        <v>42</v>
      </c>
      <c r="K159" s="8">
        <v>0</v>
      </c>
      <c r="L159" s="8" t="s">
        <v>39</v>
      </c>
      <c r="M159" s="8" t="s">
        <v>46</v>
      </c>
    </row>
    <row r="160" spans="1:14" x14ac:dyDescent="0.25">
      <c r="A160" t="s">
        <v>35</v>
      </c>
      <c r="G160" t="s">
        <v>92</v>
      </c>
      <c r="H160" t="s">
        <v>45</v>
      </c>
      <c r="J160" t="s">
        <v>42</v>
      </c>
      <c r="K160" s="18">
        <v>5.3</v>
      </c>
      <c r="L160" t="s">
        <v>39</v>
      </c>
      <c r="N160" t="s">
        <v>109</v>
      </c>
    </row>
    <row r="161" spans="1:14" x14ac:dyDescent="0.25">
      <c r="A161" t="s">
        <v>51</v>
      </c>
      <c r="G161" t="s">
        <v>92</v>
      </c>
      <c r="H161" t="s">
        <v>45</v>
      </c>
      <c r="J161" t="s">
        <v>42</v>
      </c>
      <c r="K161" s="18">
        <v>4.9000000000000004</v>
      </c>
      <c r="L161" t="s">
        <v>39</v>
      </c>
      <c r="N161" t="s">
        <v>109</v>
      </c>
    </row>
    <row r="162" spans="1:14" x14ac:dyDescent="0.25">
      <c r="A162" t="s">
        <v>96</v>
      </c>
      <c r="G162" t="s">
        <v>92</v>
      </c>
      <c r="H162" t="s">
        <v>45</v>
      </c>
      <c r="J162" t="s">
        <v>42</v>
      </c>
      <c r="K162" s="18">
        <v>12.7</v>
      </c>
      <c r="L162" t="s">
        <v>39</v>
      </c>
      <c r="N162" t="s">
        <v>109</v>
      </c>
    </row>
    <row r="163" spans="1:14" x14ac:dyDescent="0.25">
      <c r="A163" t="s">
        <v>95</v>
      </c>
      <c r="G163" t="s">
        <v>92</v>
      </c>
      <c r="H163" t="s">
        <v>45</v>
      </c>
      <c r="J163" t="s">
        <v>42</v>
      </c>
      <c r="K163" s="18">
        <v>15.7</v>
      </c>
      <c r="L163" t="s">
        <v>39</v>
      </c>
      <c r="N163" t="s">
        <v>109</v>
      </c>
    </row>
    <row r="164" spans="1:14" x14ac:dyDescent="0.25">
      <c r="A164" t="s">
        <v>94</v>
      </c>
      <c r="G164" t="s">
        <v>92</v>
      </c>
      <c r="H164" t="s">
        <v>45</v>
      </c>
      <c r="J164" t="s">
        <v>42</v>
      </c>
      <c r="K164" s="7">
        <v>10</v>
      </c>
      <c r="L164" t="s">
        <v>39</v>
      </c>
    </row>
    <row r="165" spans="1:14" x14ac:dyDescent="0.25">
      <c r="A165" s="7" t="s">
        <v>110</v>
      </c>
      <c r="G165" t="s">
        <v>92</v>
      </c>
      <c r="H165" t="s">
        <v>45</v>
      </c>
      <c r="J165" t="s">
        <v>42</v>
      </c>
      <c r="K165" s="7">
        <v>5</v>
      </c>
      <c r="L165" t="s">
        <v>39</v>
      </c>
    </row>
    <row r="166" spans="1:14" x14ac:dyDescent="0.25">
      <c r="A166" s="7" t="s">
        <v>111</v>
      </c>
      <c r="G166" t="s">
        <v>92</v>
      </c>
      <c r="H166" t="s">
        <v>45</v>
      </c>
      <c r="J166" t="s">
        <v>42</v>
      </c>
      <c r="K166" s="7">
        <v>5</v>
      </c>
      <c r="L166" t="s">
        <v>39</v>
      </c>
    </row>
    <row r="167" spans="1:14" x14ac:dyDescent="0.25">
      <c r="A167" s="7" t="s">
        <v>113</v>
      </c>
      <c r="G167" t="s">
        <v>92</v>
      </c>
      <c r="H167" t="s">
        <v>45</v>
      </c>
      <c r="J167" t="s">
        <v>42</v>
      </c>
      <c r="K167" s="7">
        <v>5</v>
      </c>
      <c r="L167" t="s">
        <v>39</v>
      </c>
    </row>
    <row r="168" spans="1:14" x14ac:dyDescent="0.25">
      <c r="A168" s="7" t="s">
        <v>112</v>
      </c>
      <c r="G168" t="s">
        <v>92</v>
      </c>
      <c r="H168" t="s">
        <v>45</v>
      </c>
      <c r="J168" t="s">
        <v>42</v>
      </c>
      <c r="K168" s="7">
        <v>5</v>
      </c>
      <c r="L168" t="s">
        <v>39</v>
      </c>
    </row>
    <row r="169" spans="1:14" x14ac:dyDescent="0.25">
      <c r="A169" s="18" t="s">
        <v>121</v>
      </c>
      <c r="G169" t="s">
        <v>92</v>
      </c>
      <c r="H169" t="s">
        <v>45</v>
      </c>
      <c r="J169" t="s">
        <v>42</v>
      </c>
      <c r="K169" s="7">
        <v>1</v>
      </c>
      <c r="L169" t="s">
        <v>39</v>
      </c>
    </row>
    <row r="170" spans="1:14" x14ac:dyDescent="0.25">
      <c r="A170" s="18" t="s">
        <v>124</v>
      </c>
      <c r="G170" t="s">
        <v>92</v>
      </c>
      <c r="H170" t="s">
        <v>45</v>
      </c>
      <c r="J170" t="s">
        <v>42</v>
      </c>
      <c r="K170" s="7">
        <v>1</v>
      </c>
      <c r="L170" t="s">
        <v>39</v>
      </c>
    </row>
    <row r="171" spans="1:14" x14ac:dyDescent="0.25">
      <c r="A171" s="7"/>
      <c r="B171" t="s">
        <v>85</v>
      </c>
      <c r="G171" t="s">
        <v>92</v>
      </c>
      <c r="H171" t="s">
        <v>45</v>
      </c>
      <c r="J171" t="s">
        <v>42</v>
      </c>
      <c r="K171" s="16">
        <v>17</v>
      </c>
      <c r="L171" t="s">
        <v>39</v>
      </c>
      <c r="M171" t="s">
        <v>104</v>
      </c>
      <c r="N171" t="s">
        <v>103</v>
      </c>
    </row>
    <row r="172" spans="1:14" x14ac:dyDescent="0.25">
      <c r="A172" t="s">
        <v>58</v>
      </c>
      <c r="G172" t="s">
        <v>92</v>
      </c>
      <c r="H172" t="s">
        <v>45</v>
      </c>
      <c r="J172" t="s">
        <v>42</v>
      </c>
      <c r="K172" s="7">
        <v>2.4</v>
      </c>
      <c r="L172" t="s">
        <v>39</v>
      </c>
    </row>
    <row r="173" spans="1:14" x14ac:dyDescent="0.25">
      <c r="A173" t="s">
        <v>105</v>
      </c>
      <c r="G173" t="s">
        <v>92</v>
      </c>
      <c r="H173" t="s">
        <v>45</v>
      </c>
      <c r="J173" t="s">
        <v>42</v>
      </c>
      <c r="K173">
        <v>15.4</v>
      </c>
      <c r="L173" t="s">
        <v>39</v>
      </c>
    </row>
    <row r="174" spans="1:14" x14ac:dyDescent="0.25">
      <c r="A174" t="s">
        <v>126</v>
      </c>
      <c r="G174" t="s">
        <v>92</v>
      </c>
      <c r="H174" t="s">
        <v>45</v>
      </c>
      <c r="J174" t="s">
        <v>42</v>
      </c>
      <c r="K174" s="18">
        <v>4.9000000000000004</v>
      </c>
      <c r="L174" t="s">
        <v>39</v>
      </c>
      <c r="M174" t="s">
        <v>128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default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2023-05-04T05:19:39Z</dcterms:modified>
</cp:coreProperties>
</file>