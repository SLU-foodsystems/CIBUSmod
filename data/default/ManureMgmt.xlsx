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L148" i="1" l="1"/>
  <c r="L147" i="1"/>
  <c r="W16" i="3"/>
  <c r="L144" i="1"/>
  <c r="L161" i="1" l="1"/>
  <c r="L164" i="1" s="1"/>
  <c r="L167" i="1" s="1"/>
  <c r="L170" i="1" s="1"/>
  <c r="L160" i="1"/>
  <c r="L163" i="1" s="1"/>
  <c r="L166" i="1" s="1"/>
  <c r="L169" i="1" s="1"/>
  <c r="L159" i="1"/>
  <c r="L162" i="1" s="1"/>
  <c r="L165" i="1" s="1"/>
  <c r="L168" i="1" s="1"/>
  <c r="L72" i="1"/>
  <c r="L71" i="1"/>
  <c r="L70" i="1"/>
  <c r="L69" i="1"/>
  <c r="L68" i="1"/>
  <c r="L67" i="1"/>
  <c r="L66" i="1"/>
  <c r="L65" i="1"/>
  <c r="L64" i="1"/>
  <c r="L63" i="1"/>
  <c r="L62" i="1"/>
  <c r="L52" i="1" l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Z7" i="3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Q16" i="3" l="1"/>
  <c r="R16" i="3"/>
  <c r="S16" i="3"/>
  <c r="T16" i="3"/>
  <c r="U16" i="3"/>
  <c r="V16" i="3"/>
  <c r="X16" i="3"/>
  <c r="Y16" i="3"/>
  <c r="Z16" i="3"/>
  <c r="P16" i="3"/>
  <c r="K16" i="3"/>
  <c r="J16" i="3"/>
  <c r="G16" i="3"/>
  <c r="F16" i="3"/>
  <c r="E16" i="3"/>
  <c r="D16" i="3"/>
  <c r="C16" i="3"/>
  <c r="K12" i="3"/>
  <c r="J12" i="3"/>
  <c r="G12" i="3"/>
  <c r="F12" i="3"/>
  <c r="E12" i="3"/>
  <c r="D12" i="3"/>
  <c r="C12" i="3"/>
  <c r="L136" i="1" l="1"/>
  <c r="L135" i="1"/>
  <c r="Q8" i="3" l="1"/>
  <c r="R8" i="3"/>
  <c r="S8" i="3"/>
  <c r="T8" i="3"/>
  <c r="U8" i="3"/>
  <c r="V8" i="3"/>
  <c r="W8" i="3"/>
  <c r="X8" i="3"/>
  <c r="Y8" i="3"/>
  <c r="Z8" i="3"/>
  <c r="P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T12" i="3"/>
  <c r="U12" i="3"/>
  <c r="V12" i="3"/>
  <c r="W12" i="3"/>
  <c r="X12" i="3"/>
  <c r="Y12" i="3"/>
  <c r="Z12" i="3"/>
  <c r="Q13" i="3"/>
  <c r="R13" i="3"/>
  <c r="S13" i="3"/>
  <c r="T13" i="3"/>
  <c r="U13" i="3"/>
  <c r="V13" i="3"/>
  <c r="W13" i="3"/>
  <c r="X13" i="3"/>
  <c r="Y13" i="3"/>
  <c r="Z13" i="3"/>
  <c r="P10" i="3"/>
  <c r="P11" i="3"/>
  <c r="P12" i="3"/>
  <c r="P13" i="3"/>
  <c r="P9" i="3"/>
  <c r="M11" i="3"/>
  <c r="M10" i="3"/>
  <c r="M9" i="3"/>
  <c r="L11" i="3"/>
  <c r="L10" i="3"/>
  <c r="L9" i="3"/>
  <c r="K10" i="3"/>
  <c r="K9" i="3"/>
  <c r="K11" i="3"/>
  <c r="J11" i="3"/>
  <c r="J10" i="3"/>
  <c r="J9" i="3"/>
  <c r="I11" i="3"/>
  <c r="I10" i="3"/>
  <c r="I9" i="3"/>
  <c r="I14" i="3" s="1"/>
  <c r="I8" i="3"/>
  <c r="H13" i="3"/>
  <c r="H14" i="3"/>
  <c r="H11" i="3"/>
  <c r="H10" i="3"/>
  <c r="H9" i="3"/>
  <c r="H8" i="3"/>
  <c r="G14" i="3"/>
  <c r="J14" i="3"/>
  <c r="M14" i="3"/>
  <c r="G8" i="3"/>
  <c r="G9" i="3"/>
  <c r="G10" i="3"/>
  <c r="F14" i="3" s="1"/>
  <c r="G11" i="3"/>
  <c r="F8" i="3"/>
  <c r="F9" i="3"/>
  <c r="F10" i="3"/>
  <c r="F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L57" i="1" l="1"/>
  <c r="L56" i="1"/>
  <c r="L55" i="1"/>
  <c r="L54" i="1"/>
  <c r="L53" i="1"/>
  <c r="P14" i="3"/>
  <c r="W14" i="3"/>
  <c r="S14" i="3"/>
  <c r="X14" i="3"/>
  <c r="T14" i="3"/>
  <c r="Z14" i="3"/>
  <c r="V14" i="3"/>
  <c r="R14" i="3"/>
  <c r="Y14" i="3"/>
  <c r="Q14" i="3"/>
  <c r="U14" i="3"/>
  <c r="L14" i="3"/>
  <c r="K14" i="3"/>
  <c r="C14" i="3"/>
  <c r="L94" i="1" l="1"/>
  <c r="L95" i="1" s="1"/>
  <c r="L90" i="1"/>
  <c r="L88" i="1"/>
  <c r="L86" i="1"/>
  <c r="L83" i="1"/>
  <c r="L82" i="1"/>
  <c r="L81" i="1"/>
  <c r="L80" i="1"/>
  <c r="L84" i="1" l="1"/>
  <c r="L92" i="1"/>
  <c r="L219" i="1"/>
  <c r="L218" i="1"/>
  <c r="L217" i="1"/>
  <c r="L133" i="1"/>
  <c r="L132" i="1"/>
  <c r="L142" i="1"/>
  <c r="L141" i="1"/>
  <c r="L145" i="1"/>
  <c r="L171" i="1" l="1"/>
</calcChain>
</file>

<file path=xl/sharedStrings.xml><?xml version="1.0" encoding="utf-8"?>
<sst xmlns="http://schemas.openxmlformats.org/spreadsheetml/2006/main" count="1648" uniqueCount="211">
  <si>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</si>
  <si>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</si>
  <si>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</si>
  <si>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</si>
  <si>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</si>
  <si>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</si>
  <si>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</si>
  <si>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</si>
  <si>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</si>
  <si>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</si>
  <si>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</si>
  <si>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</si>
  <si>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</si>
  <si>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</si>
  <si>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</si>
  <si>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</si>
  <si>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</si>
  <si>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</si>
  <si>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</si>
  <si>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</si>
  <si>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</si>
  <si>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</si>
  <si>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</si>
  <si>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</si>
  <si>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</si>
  <si>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</si>
  <si>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</si>
  <si>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</si>
  <si>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</si>
  <si>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</si>
  <si>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</si>
  <si>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</si>
  <si>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</si>
  <si>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</si>
  <si>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</si>
  <si>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</si>
  <si>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</si>
  <si>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</si>
  <si>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</si>
  <si>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</si>
  <si>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</si>
  <si>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</si>
  <si>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</si>
  <si>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</si>
  <si>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</si>
  <si>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</si>
  <si>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</si>
  <si>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</si>
  <si>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</si>
  <si>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</si>
  <si>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</si>
  <si>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</si>
  <si>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</si>
  <si>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</si>
  <si>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</si>
  <si>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</si>
  <si>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</si>
  <si>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</si>
  <si>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</si>
  <si>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</si>
  <si>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</si>
  <si>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</si>
  <si>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</si>
  <si>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</si>
  <si>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</si>
  <si>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</si>
  <si>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</si>
  <si>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</si>
  <si>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</si>
  <si>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</si>
  <si>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</si>
  <si>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</si>
  <si>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</si>
  <si>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</si>
  <si>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</si>
  <si>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</si>
  <si>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</si>
  <si>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</si>
  <si>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</si>
  <si>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</si>
  <si>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</si>
  <si>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</si>
  <si>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</si>
  <si>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</si>
  <si>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</si>
  <si>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</si>
  <si>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</si>
  <si>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</si>
  <si>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</si>
  <si>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</si>
  <si>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</si>
  <si>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</si>
  <si>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</si>
  <si>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</si>
  <si>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</si>
  <si>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</si>
  <si>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</si>
  <si>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</si>
  <si>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</si>
  <si>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</si>
  <si>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</si>
  <si>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</si>
  <si>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</si>
  <si>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</si>
  <si>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</si>
  <si>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</si>
  <si>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</si>
  <si>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</si>
  <si>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</si>
  <si>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</si>
  <si>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</si>
  <si>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</si>
  <si>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</si>
  <si>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</si>
  <si>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</si>
  <si>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</si>
  <si>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</si>
  <si>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</si>
  <si>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</si>
  <si>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</si>
  <si>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</si>
  <si>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</si>
  <si>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</si>
  <si>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</si>
  <si>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</si>
  <si>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</si>
  <si>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</si>
  <si>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</si>
  <si>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</si>
  <si>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</si>
  <si>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</si>
  <si>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</si>
  <si>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</si>
  <si>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</si>
  <si>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</si>
  <si>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</si>
  <si>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</si>
  <si>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</si>
  <si>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</si>
  <si>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</si>
  <si>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</si>
  <si>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</si>
  <si>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</si>
  <si>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</si>
  <si>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</si>
  <si>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</si>
  <si>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</si>
  <si>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</si>
  <si>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</si>
  <si>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</si>
  <si>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</si>
  <si>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</si>
  <si>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</si>
  <si>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</si>
  <si>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</si>
  <si>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</si>
  <si>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</si>
  <si>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</si>
  <si>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</si>
  <si>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</si>
  <si>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</si>
  <si>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</si>
  <si>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</si>
  <si>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</si>
  <si>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</si>
  <si>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</si>
  <si>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</si>
  <si>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</si>
  <si>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</si>
  <si>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</si>
  <si>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</si>
  <si>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</si>
  <si>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</si>
  <si>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</si>
  <si>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</si>
  <si>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</si>
  <si>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</si>
  <si>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</si>
  <si>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</si>
  <si>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</si>
  <si>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</si>
  <si>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</si>
  <si>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</si>
  <si>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</si>
  <si>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</si>
  <si>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</si>
  <si>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</si>
  <si>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</si>
  <si>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</si>
  <si>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</si>
  <si>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</si>
  <si>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</si>
  <si>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</si>
  <si>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</si>
  <si>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</si>
  <si>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</si>
  <si>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</si>
  <si>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</si>
  <si>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</si>
  <si>
    <t>calves, suckling</t>
  </si>
  <si>
    <t>calves, for slaughter</t>
  </si>
  <si>
    <t>calves, heifer</t>
  </si>
  <si>
    <t>calves, steer</t>
  </si>
  <si>
    <t>calves, bull</t>
  </si>
  <si>
    <t>laying hens</t>
  </si>
  <si>
    <t>chickens</t>
  </si>
  <si>
    <t>Swedish IIR 2023, Table 5-13</t>
  </si>
  <si>
    <t>Statistics Netherlands 2012, Table 5.7</t>
  </si>
  <si>
    <t>Included in adult animals</t>
  </si>
  <si>
    <t>Statistics Netherlands 2012, Table 4.2</t>
  </si>
  <si>
    <t>Starting pig, ca. 10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</si>
</sst>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8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Fill="1"/>
    <xf numFmtId="0" fontId="16" fillId="0" borderId="0" xfId="0" applyFont="1" applyFill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0" fontId="0" fillId="37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1" fontId="0" fillId="0" borderId="0" xfId="0" applyNumberFormat="1" applyFont="1"/>
    <xf numFmtId="0" fontId="27" fillId="37" borderId="0" xfId="0" applyFont="1" applyFill="1"/>
    <xf numFmtId="0" fontId="28" fillId="0" borderId="0" xfId="0" quotePrefix="1" applyFont="1"/>
    <xf numFmtId="0" fontId="29" fillId="0" borderId="0" xfId="0" applyFont="1"/>
    <xf numFmtId="0" fontId="24" fillId="0" borderId="0" xfId="0" applyFont="1" applyAlignment="1">
      <alignment horizontal="left" vertical="center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  <xf numFmtId="2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73</v>
      </c>
    </row>
    <row r="2" spans="1:1" x14ac:dyDescent="0.25">
      <c r="A2" t="s">
        <v>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9"/>
  <sheetViews>
    <sheetView tabSelected="1" zoomScale="80" zoomScaleNormal="80" workbookViewId="0">
      <pane ySplit="1" topLeftCell="A185" activePane="bottomLeft" state="frozen"/>
      <selection pane="bottomLeft" activeCell="G196" sqref="G196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195</v>
      </c>
      <c r="F1" s="4" t="s">
        <v>110</v>
      </c>
      <c r="G1" s="4" t="s">
        <v>29</v>
      </c>
      <c r="H1" s="4" t="s">
        <v>44</v>
      </c>
      <c r="I1" s="4" t="s">
        <v>30</v>
      </c>
      <c r="J1" s="4" t="s">
        <v>120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42">
        <f>INDEX(MMS!$P$9:$Z$13,MATCH(G3,MMS!$O$9:$O$13,0),MATCH(A3&amp;C3&amp;E3,MMS!$P$8:$Z$8,0))</f>
        <v>83.800623052959494</v>
      </c>
      <c r="M3" t="s">
        <v>15</v>
      </c>
      <c r="O3" t="s">
        <v>59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42">
        <f>INDEX(MMS!$P$9:$Z$13,MATCH(G4,MMS!$O$9:$O$13,0),MATCH(A4&amp;C4&amp;E4,MMS!$P$8:$Z$8,0))</f>
        <v>9.3457943925233611</v>
      </c>
      <c r="M4" t="s">
        <v>15</v>
      </c>
      <c r="O4" t="s">
        <v>60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42">
        <f>INDEX(MMS!$P$9:$Z$13,MATCH(G5,MMS!$O$9:$O$13,0),MATCH(A5&amp;C5&amp;E5,MMS!$P$8:$Z$8,0))</f>
        <v>1.2906097018246547</v>
      </c>
      <c r="M5" t="s">
        <v>15</v>
      </c>
      <c r="O5" t="s">
        <v>61</v>
      </c>
    </row>
    <row r="6" spans="1:15" x14ac:dyDescent="0.25">
      <c r="A6" t="s">
        <v>1</v>
      </c>
      <c r="C6" t="s">
        <v>2</v>
      </c>
      <c r="E6" t="s">
        <v>3</v>
      </c>
      <c r="G6" t="s">
        <v>174</v>
      </c>
      <c r="K6" t="s">
        <v>14</v>
      </c>
      <c r="L6" s="42">
        <f>INDEX(MMS!$P$9:$Z$13,MATCH(G6,MMS!$O$9:$O$13,0),MATCH(A6&amp;C6&amp;E6,MMS!$P$8:$Z$8,0))</f>
        <v>5.562972852692476</v>
      </c>
      <c r="M6" t="s">
        <v>15</v>
      </c>
      <c r="O6" t="s">
        <v>169</v>
      </c>
    </row>
    <row r="7" spans="1:15" x14ac:dyDescent="0.25">
      <c r="A7" t="s">
        <v>1</v>
      </c>
      <c r="C7" t="s">
        <v>2</v>
      </c>
      <c r="E7" t="s">
        <v>3</v>
      </c>
      <c r="G7" t="s">
        <v>166</v>
      </c>
      <c r="K7" t="s">
        <v>14</v>
      </c>
      <c r="L7" s="42">
        <f>INDEX(MMS!$P$9:$Z$13,MATCH(G7,MMS!$O$9:$O$13,0),MATCH(A7&amp;C7&amp;E7,MMS!$P$8:$Z$8,0))</f>
        <v>0</v>
      </c>
      <c r="M7" t="s">
        <v>15</v>
      </c>
      <c r="O7" t="s">
        <v>170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42">
        <f>INDEX(MMS!$P$9:$Z$13,MATCH(G8,MMS!$O$9:$O$13,0),MATCH(A8&amp;C8&amp;E8,MMS!$P$8:$Z$8,0))</f>
        <v>22.222222222222225</v>
      </c>
      <c r="M8" t="s">
        <v>15</v>
      </c>
      <c r="O8" t="s">
        <v>59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42">
        <f>INDEX(MMS!$P$9:$Z$13,MATCH(G9,MMS!$O$9:$O$13,0),MATCH(A9&amp;C9&amp;E9,MMS!$P$8:$Z$8,0))</f>
        <v>30.405405405405407</v>
      </c>
      <c r="M9" t="s">
        <v>15</v>
      </c>
      <c r="O9" t="s">
        <v>60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42">
        <f>INDEX(MMS!$P$9:$Z$13,MATCH(G10,MMS!$O$9:$O$13,0),MATCH(A10&amp;C10&amp;E10,MMS!$P$8:$Z$8,0))</f>
        <v>44.819819819819827</v>
      </c>
      <c r="M10" t="s">
        <v>15</v>
      </c>
      <c r="O10" t="s">
        <v>61</v>
      </c>
    </row>
    <row r="11" spans="1:15" x14ac:dyDescent="0.25">
      <c r="A11" t="s">
        <v>1</v>
      </c>
      <c r="C11" t="s">
        <v>6</v>
      </c>
      <c r="E11" t="s">
        <v>3</v>
      </c>
      <c r="G11" t="s">
        <v>174</v>
      </c>
      <c r="K11" t="s">
        <v>14</v>
      </c>
      <c r="L11" s="42">
        <f>INDEX(MMS!$P$9:$Z$13,MATCH(G11,MMS!$O$9:$O$13,0),MATCH(A11&amp;C11&amp;E11,MMS!$P$8:$Z$8,0))</f>
        <v>2.5525525525525525</v>
      </c>
      <c r="M11" t="s">
        <v>15</v>
      </c>
      <c r="O11" t="s">
        <v>169</v>
      </c>
    </row>
    <row r="12" spans="1:15" x14ac:dyDescent="0.25">
      <c r="A12" t="s">
        <v>1</v>
      </c>
      <c r="C12" t="s">
        <v>6</v>
      </c>
      <c r="E12" t="s">
        <v>3</v>
      </c>
      <c r="G12" t="s">
        <v>166</v>
      </c>
      <c r="K12" t="s">
        <v>14</v>
      </c>
      <c r="L12" s="42">
        <f>INDEX(MMS!$P$9:$Z$13,MATCH(G12,MMS!$O$9:$O$13,0),MATCH(A12&amp;C12&amp;E12,MMS!$P$8:$Z$8,0))</f>
        <v>0</v>
      </c>
      <c r="M12" t="s">
        <v>15</v>
      </c>
      <c r="O12" t="s">
        <v>170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42">
        <f>INDEX(MMS!$P$9:$Z$13,MATCH(G13,MMS!$O$9:$O$13,0),MATCH(A13&amp;C13&amp;E13,MMS!$P$8:$Z$8,0))</f>
        <v>25.355691056910569</v>
      </c>
      <c r="M13" t="s">
        <v>15</v>
      </c>
      <c r="O13" t="s">
        <v>59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42">
        <f>INDEX(MMS!$P$9:$Z$13,MATCH(G14,MMS!$O$9:$O$13,0),MATCH(A14&amp;C14&amp;E14,MMS!$P$8:$Z$8,0))</f>
        <v>20.325203252032519</v>
      </c>
      <c r="M14" t="s">
        <v>15</v>
      </c>
      <c r="O14" t="s">
        <v>60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42">
        <f>INDEX(MMS!$P$9:$Z$13,MATCH(G15,MMS!$O$9:$O$13,0),MATCH(A15&amp;C15&amp;E15,MMS!$P$8:$Z$8,0))</f>
        <v>51.575203252032523</v>
      </c>
      <c r="M15" t="s">
        <v>15</v>
      </c>
      <c r="O15" t="s">
        <v>61</v>
      </c>
    </row>
    <row r="16" spans="1:15" x14ac:dyDescent="0.25">
      <c r="A16" t="s">
        <v>1</v>
      </c>
      <c r="E16" t="s">
        <v>9</v>
      </c>
      <c r="G16" t="s">
        <v>174</v>
      </c>
      <c r="K16" t="s">
        <v>14</v>
      </c>
      <c r="L16" s="42">
        <f>INDEX(MMS!$P$9:$Z$13,MATCH(G16,MMS!$O$9:$O$13,0),MATCH(A16&amp;C16&amp;E16,MMS!$P$8:$Z$8,0))</f>
        <v>2.7439024390243896</v>
      </c>
      <c r="M16" t="s">
        <v>15</v>
      </c>
      <c r="O16" t="s">
        <v>169</v>
      </c>
    </row>
    <row r="17" spans="1:15" x14ac:dyDescent="0.25">
      <c r="A17" t="s">
        <v>1</v>
      </c>
      <c r="E17" t="s">
        <v>9</v>
      </c>
      <c r="G17" t="s">
        <v>166</v>
      </c>
      <c r="K17" t="s">
        <v>14</v>
      </c>
      <c r="L17" s="42">
        <f>INDEX(MMS!$P$9:$Z$13,MATCH(G17,MMS!$O$9:$O$13,0),MATCH(A17&amp;C17&amp;E17,MMS!$P$8:$Z$8,0))</f>
        <v>0</v>
      </c>
      <c r="M17" t="s">
        <v>15</v>
      </c>
      <c r="O17" t="s">
        <v>170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42">
        <f>INDEX(MMS!$P$9:$Z$13,MATCH(G18,MMS!$O$9:$O$13,0),MATCH(A18&amp;C18&amp;E18,MMS!$P$8:$Z$8,0))</f>
        <v>50.379048931771194</v>
      </c>
      <c r="M18" t="s">
        <v>15</v>
      </c>
      <c r="O18" t="s">
        <v>59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42">
        <f>INDEX(MMS!$P$9:$Z$13,MATCH(G19,MMS!$O$9:$O$13,0),MATCH(A19&amp;C19&amp;E19,MMS!$P$8:$Z$8,0))</f>
        <v>19.090282563749142</v>
      </c>
      <c r="M19" t="s">
        <v>15</v>
      </c>
      <c r="O19" t="s">
        <v>60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42">
        <f>INDEX(MMS!$P$9:$Z$13,MATCH(G20,MMS!$O$9:$O$13,0),MATCH(A20&amp;C20&amp;E20,MMS!$P$8:$Z$8,0))</f>
        <v>26.533425223983464</v>
      </c>
      <c r="M20" t="s">
        <v>15</v>
      </c>
      <c r="O20" t="s">
        <v>61</v>
      </c>
    </row>
    <row r="21" spans="1:15" x14ac:dyDescent="0.25">
      <c r="A21" t="s">
        <v>1</v>
      </c>
      <c r="E21" t="s">
        <v>8</v>
      </c>
      <c r="G21" t="s">
        <v>174</v>
      </c>
      <c r="K21" t="s">
        <v>14</v>
      </c>
      <c r="L21" s="42">
        <f>INDEX(MMS!$P$9:$Z$13,MATCH(G21,MMS!$O$9:$O$13,0),MATCH(A21&amp;C21&amp;E21,MMS!$P$8:$Z$8,0))</f>
        <v>3.9972432804962108</v>
      </c>
      <c r="M21" t="s">
        <v>15</v>
      </c>
      <c r="O21" t="s">
        <v>169</v>
      </c>
    </row>
    <row r="22" spans="1:15" x14ac:dyDescent="0.25">
      <c r="A22" t="s">
        <v>1</v>
      </c>
      <c r="E22" t="s">
        <v>8</v>
      </c>
      <c r="G22" t="s">
        <v>166</v>
      </c>
      <c r="K22" t="s">
        <v>14</v>
      </c>
      <c r="L22" s="42">
        <f>INDEX(MMS!$P$9:$Z$13,MATCH(G22,MMS!$O$9:$O$13,0),MATCH(A22&amp;C22&amp;E22,MMS!$P$8:$Z$8,0))</f>
        <v>0</v>
      </c>
      <c r="M22" t="s">
        <v>15</v>
      </c>
      <c r="O22" t="s">
        <v>170</v>
      </c>
    </row>
    <row r="23" spans="1:15" x14ac:dyDescent="0.25">
      <c r="A23" t="s">
        <v>1</v>
      </c>
      <c r="E23" t="s">
        <v>196</v>
      </c>
      <c r="G23" t="s">
        <v>16</v>
      </c>
      <c r="K23" t="s">
        <v>14</v>
      </c>
      <c r="L23" s="42">
        <f>INDEX(MMS!$P$9:$Z$13,MATCH(G23,MMS!$O$9:$O$13,0),MATCH(A23&amp;C23&amp;E23,MMS!$P$8:$Z$8,0))</f>
        <v>44.83940042826552</v>
      </c>
      <c r="M23" t="s">
        <v>15</v>
      </c>
      <c r="O23" t="s">
        <v>59</v>
      </c>
    </row>
    <row r="24" spans="1:15" x14ac:dyDescent="0.25">
      <c r="A24" t="s">
        <v>1</v>
      </c>
      <c r="E24" t="s">
        <v>196</v>
      </c>
      <c r="G24" t="s">
        <v>17</v>
      </c>
      <c r="K24" t="s">
        <v>14</v>
      </c>
      <c r="L24" s="42">
        <f>INDEX(MMS!$P$9:$Z$13,MATCH(G24,MMS!$O$9:$O$13,0),MATCH(A24&amp;C24&amp;E24,MMS!$P$8:$Z$8,0))</f>
        <v>19.914346895074946</v>
      </c>
      <c r="M24" t="s">
        <v>15</v>
      </c>
      <c r="O24" t="s">
        <v>60</v>
      </c>
    </row>
    <row r="25" spans="1:15" x14ac:dyDescent="0.25">
      <c r="A25" t="s">
        <v>1</v>
      </c>
      <c r="E25" t="s">
        <v>196</v>
      </c>
      <c r="G25" t="s">
        <v>18</v>
      </c>
      <c r="K25" t="s">
        <v>14</v>
      </c>
      <c r="L25" s="42">
        <f>INDEX(MMS!$P$9:$Z$13,MATCH(G25,MMS!$O$9:$O$13,0),MATCH(A25&amp;C25&amp;E25,MMS!$P$8:$Z$8,0))</f>
        <v>31.520342612419693</v>
      </c>
      <c r="M25" t="s">
        <v>15</v>
      </c>
      <c r="O25" t="s">
        <v>61</v>
      </c>
    </row>
    <row r="26" spans="1:15" x14ac:dyDescent="0.25">
      <c r="A26" t="s">
        <v>1</v>
      </c>
      <c r="E26" t="s">
        <v>196</v>
      </c>
      <c r="G26" t="s">
        <v>174</v>
      </c>
      <c r="K26" t="s">
        <v>14</v>
      </c>
      <c r="L26" s="42">
        <f>INDEX(MMS!$P$9:$Z$13,MATCH(G26,MMS!$O$9:$O$13,0),MATCH(A26&amp;C26&amp;E26,MMS!$P$8:$Z$8,0))</f>
        <v>3.7259100642398284</v>
      </c>
      <c r="M26" t="s">
        <v>15</v>
      </c>
      <c r="O26" t="s">
        <v>169</v>
      </c>
    </row>
    <row r="27" spans="1:15" x14ac:dyDescent="0.25">
      <c r="A27" t="s">
        <v>1</v>
      </c>
      <c r="E27" t="s">
        <v>196</v>
      </c>
      <c r="G27" t="s">
        <v>166</v>
      </c>
      <c r="K27" t="s">
        <v>14</v>
      </c>
      <c r="L27" s="42">
        <f>INDEX(MMS!$P$9:$Z$13,MATCH(G27,MMS!$O$9:$O$13,0),MATCH(A27&amp;C27&amp;E27,MMS!$P$8:$Z$8,0))</f>
        <v>0</v>
      </c>
      <c r="M27" t="s">
        <v>15</v>
      </c>
      <c r="O27" t="s">
        <v>170</v>
      </c>
    </row>
    <row r="28" spans="1:15" x14ac:dyDescent="0.25">
      <c r="A28" t="s">
        <v>48</v>
      </c>
      <c r="G28" t="s">
        <v>16</v>
      </c>
      <c r="K28" t="s">
        <v>14</v>
      </c>
      <c r="L28" s="42">
        <f>INDEX(MMS!$P$9:$Z$13,MATCH(G28,MMS!$O$9:$O$13,0),MATCH(A28&amp;C28&amp;E28,MMS!$P$8:$Z$8,0))</f>
        <v>0</v>
      </c>
      <c r="M28" t="s">
        <v>15</v>
      </c>
      <c r="O28" t="s">
        <v>59</v>
      </c>
    </row>
    <row r="29" spans="1:15" x14ac:dyDescent="0.25">
      <c r="A29" t="s">
        <v>48</v>
      </c>
      <c r="G29" t="s">
        <v>17</v>
      </c>
      <c r="K29" t="s">
        <v>14</v>
      </c>
      <c r="L29" s="42">
        <f>INDEX(MMS!$P$9:$Z$13,MATCH(G29,MMS!$O$9:$O$13,0),MATCH(A29&amp;C29&amp;E29,MMS!$P$8:$Z$8,0))</f>
        <v>66</v>
      </c>
      <c r="M29" t="s">
        <v>15</v>
      </c>
      <c r="O29" t="s">
        <v>60</v>
      </c>
    </row>
    <row r="30" spans="1:15" x14ac:dyDescent="0.25">
      <c r="A30" t="s">
        <v>48</v>
      </c>
      <c r="G30" t="s">
        <v>18</v>
      </c>
      <c r="K30" t="s">
        <v>14</v>
      </c>
      <c r="L30" s="42">
        <f>INDEX(MMS!$P$9:$Z$13,MATCH(G30,MMS!$O$9:$O$13,0),MATCH(A30&amp;C30&amp;E30,MMS!$P$8:$Z$8,0))</f>
        <v>4</v>
      </c>
      <c r="M30" t="s">
        <v>15</v>
      </c>
      <c r="O30" t="s">
        <v>61</v>
      </c>
    </row>
    <row r="31" spans="1:15" x14ac:dyDescent="0.25">
      <c r="A31" t="s">
        <v>48</v>
      </c>
      <c r="G31" t="s">
        <v>174</v>
      </c>
      <c r="K31" t="s">
        <v>14</v>
      </c>
      <c r="L31" s="42">
        <f>INDEX(MMS!$P$9:$Z$13,MATCH(G31,MMS!$O$9:$O$13,0),MATCH(A31&amp;C31&amp;E31,MMS!$P$8:$Z$8,0))</f>
        <v>0</v>
      </c>
      <c r="M31" t="s">
        <v>15</v>
      </c>
      <c r="O31" t="s">
        <v>169</v>
      </c>
    </row>
    <row r="32" spans="1:15" x14ac:dyDescent="0.25">
      <c r="A32" t="s">
        <v>48</v>
      </c>
      <c r="G32" t="s">
        <v>166</v>
      </c>
      <c r="K32" t="s">
        <v>14</v>
      </c>
      <c r="L32" s="42">
        <f>INDEX(MMS!$P$9:$Z$13,MATCH(G32,MMS!$O$9:$O$13,0),MATCH(A32&amp;C32&amp;E32,MMS!$P$8:$Z$8,0))</f>
        <v>30</v>
      </c>
      <c r="M32" t="s">
        <v>15</v>
      </c>
      <c r="O32" t="s">
        <v>170</v>
      </c>
    </row>
    <row r="33" spans="1:15" x14ac:dyDescent="0.25">
      <c r="A33" t="s">
        <v>54</v>
      </c>
      <c r="G33" t="s">
        <v>16</v>
      </c>
      <c r="K33" t="s">
        <v>14</v>
      </c>
      <c r="L33" s="42">
        <f>INDEX(MMS!$P$9:$Z$13,MATCH(G33,MMS!$O$9:$O$13,0),MATCH(A33&amp;C33&amp;E33,MMS!$P$8:$Z$8,0))</f>
        <v>0</v>
      </c>
      <c r="M33" t="s">
        <v>15</v>
      </c>
      <c r="O33" t="s">
        <v>59</v>
      </c>
    </row>
    <row r="34" spans="1:15" x14ac:dyDescent="0.25">
      <c r="A34" t="s">
        <v>54</v>
      </c>
      <c r="G34" t="s">
        <v>17</v>
      </c>
      <c r="K34" t="s">
        <v>14</v>
      </c>
      <c r="L34" s="42">
        <f>INDEX(MMS!$P$9:$Z$13,MATCH(G34,MMS!$O$9:$O$13,0),MATCH(A34&amp;C34&amp;E34,MMS!$P$8:$Z$8,0))</f>
        <v>100</v>
      </c>
      <c r="M34" t="s">
        <v>15</v>
      </c>
      <c r="O34" t="s">
        <v>60</v>
      </c>
    </row>
    <row r="35" spans="1:15" x14ac:dyDescent="0.25">
      <c r="A35" t="s">
        <v>54</v>
      </c>
      <c r="G35" t="s">
        <v>18</v>
      </c>
      <c r="K35" t="s">
        <v>14</v>
      </c>
      <c r="L35" s="42">
        <f>INDEX(MMS!$P$9:$Z$13,MATCH(G35,MMS!$O$9:$O$13,0),MATCH(A35&amp;C35&amp;E35,MMS!$P$8:$Z$8,0))</f>
        <v>0</v>
      </c>
      <c r="M35" t="s">
        <v>15</v>
      </c>
      <c r="O35" t="s">
        <v>61</v>
      </c>
    </row>
    <row r="36" spans="1:15" x14ac:dyDescent="0.25">
      <c r="A36" t="s">
        <v>54</v>
      </c>
      <c r="G36" t="s">
        <v>174</v>
      </c>
      <c r="K36" t="s">
        <v>14</v>
      </c>
      <c r="L36" s="42">
        <f>INDEX(MMS!$P$9:$Z$13,MATCH(G36,MMS!$O$9:$O$13,0),MATCH(A36&amp;C36&amp;E36,MMS!$P$8:$Z$8,0))</f>
        <v>0</v>
      </c>
      <c r="M36" t="s">
        <v>15</v>
      </c>
      <c r="O36" t="s">
        <v>169</v>
      </c>
    </row>
    <row r="37" spans="1:15" x14ac:dyDescent="0.25">
      <c r="A37" t="s">
        <v>54</v>
      </c>
      <c r="G37" t="s">
        <v>166</v>
      </c>
      <c r="K37" t="s">
        <v>14</v>
      </c>
      <c r="L37" s="42">
        <f>INDEX(MMS!$P$9:$Z$13,MATCH(G37,MMS!$O$9:$O$13,0),MATCH(A37&amp;C37&amp;E37,MMS!$P$8:$Z$8,0))</f>
        <v>0</v>
      </c>
      <c r="M37" t="s">
        <v>15</v>
      </c>
      <c r="O37" t="s">
        <v>170</v>
      </c>
    </row>
    <row r="38" spans="1:15" x14ac:dyDescent="0.25">
      <c r="A38" t="s">
        <v>35</v>
      </c>
      <c r="G38" t="s">
        <v>16</v>
      </c>
      <c r="K38" t="s">
        <v>14</v>
      </c>
      <c r="L38" s="42">
        <f>INDEX(MMS!$P$9:$Z$13,MATCH(G38,MMS!$O$9:$O$13,0),MATCH(A38&amp;C38&amp;E38,MMS!$P$8:$Z$8,0))</f>
        <v>47.115705235078359</v>
      </c>
      <c r="M38" t="s">
        <v>15</v>
      </c>
      <c r="O38" t="s">
        <v>59</v>
      </c>
    </row>
    <row r="39" spans="1:15" x14ac:dyDescent="0.25">
      <c r="A39" t="s">
        <v>35</v>
      </c>
      <c r="G39" t="s">
        <v>17</v>
      </c>
      <c r="K39" t="s">
        <v>14</v>
      </c>
      <c r="L39" s="42">
        <f>INDEX(MMS!$P$9:$Z$13,MATCH(G39,MMS!$O$9:$O$13,0),MATCH(A39&amp;C39&amp;E39,MMS!$P$8:$Z$8,0))</f>
        <v>27.875958652884293</v>
      </c>
      <c r="M39" t="s">
        <v>15</v>
      </c>
      <c r="O39" t="s">
        <v>60</v>
      </c>
    </row>
    <row r="40" spans="1:15" x14ac:dyDescent="0.25">
      <c r="A40" t="s">
        <v>35</v>
      </c>
      <c r="G40" t="s">
        <v>18</v>
      </c>
      <c r="K40" t="s">
        <v>14</v>
      </c>
      <c r="L40" s="42">
        <f>INDEX(MMS!$P$9:$Z$13,MATCH(G40,MMS!$O$9:$O$13,0),MATCH(A40&amp;C40&amp;E40,MMS!$P$8:$Z$8,0))</f>
        <v>15.205068356118707</v>
      </c>
      <c r="M40" t="s">
        <v>15</v>
      </c>
      <c r="O40" t="s">
        <v>61</v>
      </c>
    </row>
    <row r="41" spans="1:15" x14ac:dyDescent="0.25">
      <c r="A41" t="s">
        <v>35</v>
      </c>
      <c r="G41" t="s">
        <v>174</v>
      </c>
      <c r="K41" t="s">
        <v>14</v>
      </c>
      <c r="L41" s="42">
        <f>INDEX(MMS!$P$9:$Z$13,MATCH(G41,MMS!$O$9:$O$13,0),MATCH(A41&amp;C41&amp;E41,MMS!$P$8:$Z$8,0))</f>
        <v>9.8032677559186379</v>
      </c>
      <c r="M41" t="s">
        <v>15</v>
      </c>
      <c r="O41" t="s">
        <v>169</v>
      </c>
    </row>
    <row r="42" spans="1:15" x14ac:dyDescent="0.25">
      <c r="A42" t="s">
        <v>35</v>
      </c>
      <c r="G42" t="s">
        <v>166</v>
      </c>
      <c r="K42" t="s">
        <v>14</v>
      </c>
      <c r="L42" s="42">
        <f>INDEX(MMS!$P$9:$Z$13,MATCH(G42,MMS!$O$9:$O$13,0),MATCH(A42&amp;C42&amp;E42,MMS!$P$8:$Z$8,0))</f>
        <v>0</v>
      </c>
      <c r="M42" t="s">
        <v>15</v>
      </c>
      <c r="O42" t="s">
        <v>170</v>
      </c>
    </row>
    <row r="43" spans="1:15" x14ac:dyDescent="0.25">
      <c r="A43" t="s">
        <v>35</v>
      </c>
      <c r="E43" t="s">
        <v>197</v>
      </c>
      <c r="G43" t="s">
        <v>16</v>
      </c>
      <c r="K43" t="s">
        <v>14</v>
      </c>
      <c r="L43" s="42">
        <f>INDEX(MMS!$P$9:$Z$13,MATCH(G43,MMS!$O$9:$O$13,0),MATCH(A43&amp;C43&amp;E43,MMS!$P$8:$Z$8,0))</f>
        <v>79.533333333333317</v>
      </c>
      <c r="M43" t="s">
        <v>15</v>
      </c>
      <c r="O43" t="s">
        <v>59</v>
      </c>
    </row>
    <row r="44" spans="1:15" x14ac:dyDescent="0.25">
      <c r="A44" t="s">
        <v>35</v>
      </c>
      <c r="E44" t="s">
        <v>197</v>
      </c>
      <c r="G44" t="s">
        <v>17</v>
      </c>
      <c r="K44" t="s">
        <v>14</v>
      </c>
      <c r="L44" s="42">
        <f>INDEX(MMS!$P$9:$Z$13,MATCH(G44,MMS!$O$9:$O$13,0),MATCH(A44&amp;C44&amp;E44,MMS!$P$8:$Z$8,0))</f>
        <v>2.6666666666666656</v>
      </c>
      <c r="M44" t="s">
        <v>15</v>
      </c>
      <c r="O44" t="s">
        <v>60</v>
      </c>
    </row>
    <row r="45" spans="1:15" x14ac:dyDescent="0.25">
      <c r="A45" t="s">
        <v>35</v>
      </c>
      <c r="E45" t="s">
        <v>197</v>
      </c>
      <c r="G45" t="s">
        <v>18</v>
      </c>
      <c r="K45" t="s">
        <v>14</v>
      </c>
      <c r="L45" s="42">
        <f>INDEX(MMS!$P$9:$Z$13,MATCH(G45,MMS!$O$9:$O$13,0),MATCH(A45&amp;C45&amp;E45,MMS!$P$8:$Z$8,0))</f>
        <v>1.1666666666666663</v>
      </c>
      <c r="M45" t="s">
        <v>15</v>
      </c>
      <c r="O45" t="s">
        <v>61</v>
      </c>
    </row>
    <row r="46" spans="1:15" x14ac:dyDescent="0.25">
      <c r="A46" t="s">
        <v>35</v>
      </c>
      <c r="E46" t="s">
        <v>197</v>
      </c>
      <c r="G46" t="s">
        <v>174</v>
      </c>
      <c r="K46" t="s">
        <v>14</v>
      </c>
      <c r="L46" s="42">
        <f>INDEX(MMS!$P$9:$Z$13,MATCH(G46,MMS!$O$9:$O$13,0),MATCH(A46&amp;C46&amp;E46,MMS!$P$8:$Z$8,0))</f>
        <v>16.633333333333329</v>
      </c>
      <c r="M46" t="s">
        <v>15</v>
      </c>
      <c r="O46" t="s">
        <v>169</v>
      </c>
    </row>
    <row r="47" spans="1:15" x14ac:dyDescent="0.25">
      <c r="A47" t="s">
        <v>35</v>
      </c>
      <c r="E47" t="s">
        <v>197</v>
      </c>
      <c r="G47" t="s">
        <v>166</v>
      </c>
      <c r="K47" t="s">
        <v>14</v>
      </c>
      <c r="L47" s="42">
        <f>INDEX(MMS!$P$9:$Z$13,MATCH(G47,MMS!$O$9:$O$13,0),MATCH(A47&amp;C47&amp;E47,MMS!$P$8:$Z$8,0))</f>
        <v>0</v>
      </c>
      <c r="M47" t="s">
        <v>15</v>
      </c>
      <c r="O47" t="s">
        <v>170</v>
      </c>
    </row>
    <row r="48" spans="1:15" x14ac:dyDescent="0.25">
      <c r="A48" t="s">
        <v>45</v>
      </c>
      <c r="G48" t="s">
        <v>16</v>
      </c>
      <c r="K48" t="s">
        <v>14</v>
      </c>
      <c r="L48" s="42">
        <f>INDEX(MMS!$P$9:$Z$13,MATCH(G48,MMS!$O$9:$O$13,0),MATCH(A48&amp;C48&amp;E48,MMS!$P$8:$Z$8,0))</f>
        <v>7.7000000000000011</v>
      </c>
      <c r="M48" t="s">
        <v>15</v>
      </c>
      <c r="O48" t="s">
        <v>59</v>
      </c>
    </row>
    <row r="49" spans="1:15" x14ac:dyDescent="0.25">
      <c r="A49" t="s">
        <v>45</v>
      </c>
      <c r="G49" t="s">
        <v>17</v>
      </c>
      <c r="K49" t="s">
        <v>14</v>
      </c>
      <c r="L49" s="42">
        <f>INDEX(MMS!$P$9:$Z$13,MATCH(G49,MMS!$O$9:$O$13,0),MATCH(A49&amp;C49&amp;E49,MMS!$P$8:$Z$8,0))</f>
        <v>85.966666666666669</v>
      </c>
      <c r="M49" t="s">
        <v>15</v>
      </c>
      <c r="O49" t="s">
        <v>60</v>
      </c>
    </row>
    <row r="50" spans="1:15" x14ac:dyDescent="0.25">
      <c r="A50" t="s">
        <v>45</v>
      </c>
      <c r="G50" t="s">
        <v>18</v>
      </c>
      <c r="K50" t="s">
        <v>14</v>
      </c>
      <c r="L50" s="42">
        <f>INDEX(MMS!$P$9:$Z$13,MATCH(G50,MMS!$O$9:$O$13,0),MATCH(A50&amp;C50&amp;E50,MMS!$P$8:$Z$8,0))</f>
        <v>6.3333333333333339</v>
      </c>
      <c r="M50" t="s">
        <v>15</v>
      </c>
      <c r="O50" t="s">
        <v>61</v>
      </c>
    </row>
    <row r="51" spans="1:15" x14ac:dyDescent="0.25">
      <c r="A51" t="s">
        <v>45</v>
      </c>
      <c r="G51" t="s">
        <v>174</v>
      </c>
      <c r="K51" t="s">
        <v>14</v>
      </c>
      <c r="L51" s="42">
        <f>INDEX(MMS!$P$9:$Z$13,MATCH(G51,MMS!$O$9:$O$13,0),MATCH(A51&amp;C51&amp;E51,MMS!$P$8:$Z$8,0))</f>
        <v>0</v>
      </c>
      <c r="M51" t="s">
        <v>15</v>
      </c>
      <c r="O51" t="s">
        <v>169</v>
      </c>
    </row>
    <row r="52" spans="1:15" x14ac:dyDescent="0.25">
      <c r="A52" t="s">
        <v>45</v>
      </c>
      <c r="G52" t="s">
        <v>166</v>
      </c>
      <c r="K52" t="s">
        <v>14</v>
      </c>
      <c r="L52" s="42">
        <f>INDEX(MMS!$P$9:$Z$13,MATCH(G52,MMS!$O$9:$O$13,0),MATCH(A52&amp;C52&amp;E52,MMS!$P$8:$Z$8,0))</f>
        <v>0</v>
      </c>
      <c r="M52" t="s">
        <v>15</v>
      </c>
      <c r="O52" t="s">
        <v>170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42">
        <f>INDEX(MMS!$P$9:$Z$13,MATCH(G53,MMS!$O$9:$O$13,0),MATCH(A53&amp;C53&amp;E53,MMS!$P$8:$Z$8,0))</f>
        <v>0</v>
      </c>
      <c r="M53" t="s">
        <v>15</v>
      </c>
      <c r="O53" t="s">
        <v>59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42">
        <f>INDEX(MMS!$P$9:$Z$13,MATCH(G54,MMS!$O$9:$O$13,0),MATCH(A54&amp;C54&amp;E54,MMS!$P$8:$Z$8,0))</f>
        <v>0</v>
      </c>
      <c r="M54" t="s">
        <v>15</v>
      </c>
      <c r="O54" t="s">
        <v>60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42">
        <f>INDEX(MMS!$P$9:$Z$13,MATCH(G55,MMS!$O$9:$O$13,0),MATCH(A55&amp;C55&amp;E55,MMS!$P$8:$Z$8,0))</f>
        <v>100</v>
      </c>
      <c r="M55" t="s">
        <v>15</v>
      </c>
      <c r="O55" t="s">
        <v>61</v>
      </c>
    </row>
    <row r="56" spans="1:15" x14ac:dyDescent="0.25">
      <c r="A56" t="s">
        <v>45</v>
      </c>
      <c r="E56" t="s">
        <v>47</v>
      </c>
      <c r="G56" t="s">
        <v>174</v>
      </c>
      <c r="K56" t="s">
        <v>14</v>
      </c>
      <c r="L56" s="42">
        <f>INDEX(MMS!$P$9:$Z$13,MATCH(G56,MMS!$O$9:$O$13,0),MATCH(A56&amp;C56&amp;E56,MMS!$P$8:$Z$8,0))</f>
        <v>0</v>
      </c>
      <c r="M56" t="s">
        <v>15</v>
      </c>
      <c r="O56" t="s">
        <v>169</v>
      </c>
    </row>
    <row r="57" spans="1:15" x14ac:dyDescent="0.25">
      <c r="A57" t="s">
        <v>45</v>
      </c>
      <c r="E57" t="s">
        <v>47</v>
      </c>
      <c r="G57" t="s">
        <v>166</v>
      </c>
      <c r="K57" t="s">
        <v>14</v>
      </c>
      <c r="L57" s="42">
        <f>INDEX(MMS!$P$9:$Z$13,MATCH(G57,MMS!$O$9:$O$13,0),MATCH(A57&amp;C57&amp;E57,MMS!$P$8:$Z$8,0))</f>
        <v>0</v>
      </c>
      <c r="M57" t="s">
        <v>15</v>
      </c>
      <c r="O57" t="s">
        <v>170</v>
      </c>
    </row>
    <row r="59" spans="1:15" x14ac:dyDescent="0.25">
      <c r="A59" s="53" t="s">
        <v>190</v>
      </c>
    </row>
    <row r="60" spans="1:15" x14ac:dyDescent="0.25">
      <c r="A60" s="53" t="s">
        <v>188</v>
      </c>
    </row>
    <row r="61" spans="1:15" x14ac:dyDescent="0.25">
      <c r="K61" s="6" t="s">
        <v>189</v>
      </c>
      <c r="L61" s="6">
        <v>0</v>
      </c>
      <c r="M61" s="6" t="s">
        <v>15</v>
      </c>
      <c r="N61" s="6" t="s">
        <v>53</v>
      </c>
    </row>
    <row r="62" spans="1:15" x14ac:dyDescent="0.25">
      <c r="A62" t="s">
        <v>1</v>
      </c>
      <c r="C62" t="s">
        <v>2</v>
      </c>
      <c r="E62" t="s">
        <v>3</v>
      </c>
      <c r="G62" t="s">
        <v>174</v>
      </c>
      <c r="K62" t="s">
        <v>189</v>
      </c>
      <c r="L62" s="42">
        <f>INDEX(MMS!$P$16:$Z$16,MATCH(A62&amp;C62&amp;E62,MMS!$P$8:$Z$8,0))</f>
        <v>65.600000000000009</v>
      </c>
      <c r="M62" t="s">
        <v>15</v>
      </c>
      <c r="N62" t="s">
        <v>191</v>
      </c>
      <c r="O62" t="s">
        <v>169</v>
      </c>
    </row>
    <row r="63" spans="1:15" x14ac:dyDescent="0.25">
      <c r="A63" t="s">
        <v>1</v>
      </c>
      <c r="C63" t="s">
        <v>6</v>
      </c>
      <c r="E63" t="s">
        <v>3</v>
      </c>
      <c r="G63" t="s">
        <v>174</v>
      </c>
      <c r="K63" t="s">
        <v>189</v>
      </c>
      <c r="L63" s="42">
        <f>INDEX(MMS!$P$16:$Z$16,MATCH(A63&amp;C63&amp;E63,MMS!$P$8:$Z$8,0))</f>
        <v>64.705882352941174</v>
      </c>
      <c r="M63" t="s">
        <v>15</v>
      </c>
    </row>
    <row r="64" spans="1:15" x14ac:dyDescent="0.25">
      <c r="A64" t="s">
        <v>1</v>
      </c>
      <c r="E64" t="s">
        <v>9</v>
      </c>
      <c r="G64" t="s">
        <v>174</v>
      </c>
      <c r="K64" t="s">
        <v>189</v>
      </c>
      <c r="L64" s="42">
        <f>INDEX(MMS!$P$16:$Z$16,MATCH(A64&amp;C64&amp;E64,MMS!$P$8:$Z$8,0))</f>
        <v>66.666666666666671</v>
      </c>
      <c r="M64" t="s">
        <v>15</v>
      </c>
    </row>
    <row r="65" spans="1:15" x14ac:dyDescent="0.25">
      <c r="A65" t="s">
        <v>1</v>
      </c>
      <c r="E65" t="s">
        <v>8</v>
      </c>
      <c r="G65" t="s">
        <v>174</v>
      </c>
      <c r="K65" t="s">
        <v>189</v>
      </c>
      <c r="L65" s="42">
        <f>INDEX(MMS!$P$16:$Z$16,MATCH(A65&amp;C65&amp;E65,MMS!$P$8:$Z$8,0))</f>
        <v>65.517241379310349</v>
      </c>
      <c r="M65" t="s">
        <v>15</v>
      </c>
    </row>
    <row r="66" spans="1:15" x14ac:dyDescent="0.25">
      <c r="A66" t="s">
        <v>1</v>
      </c>
      <c r="E66" t="s">
        <v>196</v>
      </c>
      <c r="G66" t="s">
        <v>174</v>
      </c>
      <c r="K66" t="s">
        <v>189</v>
      </c>
      <c r="L66" s="42">
        <f>INDEX(MMS!$P$16:$Z$16,MATCH(A66&amp;C66&amp;E66,MMS!$P$8:$Z$8,0))</f>
        <v>65.517241379310349</v>
      </c>
      <c r="M66" t="s">
        <v>15</v>
      </c>
    </row>
    <row r="67" spans="1:15" x14ac:dyDescent="0.25">
      <c r="A67" t="s">
        <v>48</v>
      </c>
      <c r="G67" t="s">
        <v>174</v>
      </c>
      <c r="K67" t="s">
        <v>189</v>
      </c>
      <c r="L67" s="42">
        <f>INDEX(MMS!$P$16:$Z$16,MATCH(A67&amp;C67&amp;E67,MMS!$P$8:$Z$8,0))</f>
        <v>0</v>
      </c>
      <c r="M67" t="s">
        <v>15</v>
      </c>
    </row>
    <row r="68" spans="1:15" x14ac:dyDescent="0.25">
      <c r="A68" t="s">
        <v>54</v>
      </c>
      <c r="G68" t="s">
        <v>174</v>
      </c>
      <c r="K68" t="s">
        <v>189</v>
      </c>
      <c r="L68" s="42">
        <f>INDEX(MMS!$P$16:$Z$16,MATCH(A68&amp;C68&amp;E68,MMS!$P$8:$Z$8,0))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174</v>
      </c>
      <c r="K69" t="s">
        <v>189</v>
      </c>
      <c r="L69" s="42">
        <f>INDEX(MMS!$P$16:$Z$16,MATCH(A69&amp;C69&amp;E69,MMS!$P$8:$Z$8,0))</f>
        <v>65.986394557823118</v>
      </c>
      <c r="M69" t="s">
        <v>15</v>
      </c>
    </row>
    <row r="70" spans="1:15" x14ac:dyDescent="0.25">
      <c r="A70" t="s">
        <v>35</v>
      </c>
      <c r="E70" t="s">
        <v>197</v>
      </c>
      <c r="G70" t="s">
        <v>174</v>
      </c>
      <c r="K70" t="s">
        <v>189</v>
      </c>
      <c r="L70" s="42">
        <f>INDEX(MMS!$P$16:$Z$16,MATCH(A70&amp;C70&amp;E70,MMS!$P$8:$Z$8,0))</f>
        <v>65.93186372745491</v>
      </c>
      <c r="M70" t="s">
        <v>15</v>
      </c>
    </row>
    <row r="71" spans="1:15" x14ac:dyDescent="0.25">
      <c r="A71" t="s">
        <v>45</v>
      </c>
      <c r="G71" t="s">
        <v>174</v>
      </c>
      <c r="K71" t="s">
        <v>189</v>
      </c>
      <c r="L71" s="42">
        <f>INDEX(MMS!$P$16:$Z$16,MATCH(A71&amp;C71&amp;E71,MMS!$P$8:$Z$8,0))</f>
        <v>0</v>
      </c>
      <c r="M71" t="s">
        <v>15</v>
      </c>
    </row>
    <row r="72" spans="1:15" x14ac:dyDescent="0.25">
      <c r="A72" t="s">
        <v>45</v>
      </c>
      <c r="E72" t="s">
        <v>47</v>
      </c>
      <c r="G72" t="s">
        <v>174</v>
      </c>
      <c r="K72" t="s">
        <v>189</v>
      </c>
      <c r="L72" s="42">
        <f>INDEX(MMS!$P$16:$Z$16,MATCH(A72&amp;C72&amp;E72,MMS!$P$8:$Z$8,0))</f>
        <v>0</v>
      </c>
      <c r="M72" t="s">
        <v>15</v>
      </c>
    </row>
    <row r="73" spans="1:15" x14ac:dyDescent="0.25">
      <c r="K73" s="1"/>
      <c r="L73" s="1"/>
      <c r="M73" s="1"/>
      <c r="N73" s="1"/>
    </row>
    <row r="74" spans="1:15" x14ac:dyDescent="0.25">
      <c r="K74" s="1" t="s">
        <v>128</v>
      </c>
      <c r="L74" s="1">
        <v>0</v>
      </c>
      <c r="M74" s="1" t="s">
        <v>15</v>
      </c>
      <c r="N74" s="1" t="s">
        <v>129</v>
      </c>
    </row>
    <row r="76" spans="1:15" x14ac:dyDescent="0.25">
      <c r="A76" s="2" t="s">
        <v>117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16" t="s">
        <v>119</v>
      </c>
      <c r="N76" s="2"/>
      <c r="O76" s="2"/>
    </row>
    <row r="78" spans="1:15" x14ac:dyDescent="0.25">
      <c r="K78" s="6" t="s">
        <v>118</v>
      </c>
      <c r="L78" s="6">
        <v>0</v>
      </c>
      <c r="M78" s="6"/>
      <c r="N78" s="6" t="s">
        <v>92</v>
      </c>
    </row>
    <row r="80" spans="1:15" x14ac:dyDescent="0.25">
      <c r="A80" t="s">
        <v>1</v>
      </c>
      <c r="C80" t="s">
        <v>2</v>
      </c>
      <c r="E80" t="s">
        <v>3</v>
      </c>
      <c r="J80" t="s">
        <v>121</v>
      </c>
      <c r="K80" t="s">
        <v>118</v>
      </c>
      <c r="L80" s="14">
        <f>1.5*0.85</f>
        <v>1.2749999999999999</v>
      </c>
      <c r="O80" t="s">
        <v>126</v>
      </c>
    </row>
    <row r="81" spans="1:15" x14ac:dyDescent="0.25">
      <c r="A81" t="s">
        <v>1</v>
      </c>
      <c r="C81" t="s">
        <v>6</v>
      </c>
      <c r="E81" t="s">
        <v>3</v>
      </c>
      <c r="J81" t="s">
        <v>121</v>
      </c>
      <c r="K81" t="s">
        <v>118</v>
      </c>
      <c r="L81" s="14">
        <f>5.5*0.85</f>
        <v>4.6749999999999998</v>
      </c>
      <c r="O81" t="s">
        <v>126</v>
      </c>
    </row>
    <row r="82" spans="1:15" x14ac:dyDescent="0.25">
      <c r="A82" t="s">
        <v>1</v>
      </c>
      <c r="E82" t="s">
        <v>9</v>
      </c>
      <c r="J82" t="s">
        <v>121</v>
      </c>
      <c r="K82" t="s">
        <v>118</v>
      </c>
      <c r="L82" s="14">
        <f>5*0.85</f>
        <v>4.25</v>
      </c>
      <c r="O82" t="s">
        <v>126</v>
      </c>
    </row>
    <row r="83" spans="1:15" x14ac:dyDescent="0.25">
      <c r="A83" t="s">
        <v>1</v>
      </c>
      <c r="E83" t="s">
        <v>8</v>
      </c>
      <c r="J83" t="s">
        <v>121</v>
      </c>
      <c r="K83" t="s">
        <v>118</v>
      </c>
      <c r="L83" s="14">
        <f>3.5*0.85</f>
        <v>2.9750000000000001</v>
      </c>
      <c r="O83" t="s">
        <v>126</v>
      </c>
    </row>
    <row r="84" spans="1:15" x14ac:dyDescent="0.25">
      <c r="A84" t="s">
        <v>1</v>
      </c>
      <c r="E84" t="s">
        <v>196</v>
      </c>
      <c r="J84" t="s">
        <v>121</v>
      </c>
      <c r="K84" t="s">
        <v>118</v>
      </c>
      <c r="L84" s="14">
        <f>L83</f>
        <v>2.9750000000000001</v>
      </c>
      <c r="O84" t="s">
        <v>126</v>
      </c>
    </row>
    <row r="85" spans="1:15" x14ac:dyDescent="0.25">
      <c r="L85" s="14"/>
    </row>
    <row r="86" spans="1:15" x14ac:dyDescent="0.25">
      <c r="A86" t="s">
        <v>48</v>
      </c>
      <c r="J86" t="s">
        <v>121</v>
      </c>
      <c r="K86" t="s">
        <v>118</v>
      </c>
      <c r="L86" s="14">
        <f>6*0.85</f>
        <v>5.0999999999999996</v>
      </c>
      <c r="O86" t="s">
        <v>126</v>
      </c>
    </row>
    <row r="87" spans="1:15" x14ac:dyDescent="0.25">
      <c r="L87" s="14"/>
    </row>
    <row r="88" spans="1:15" x14ac:dyDescent="0.25">
      <c r="A88" t="s">
        <v>54</v>
      </c>
      <c r="D88" t="s">
        <v>123</v>
      </c>
      <c r="J88" t="s">
        <v>121</v>
      </c>
      <c r="K88" t="s">
        <v>118</v>
      </c>
      <c r="L88" s="14">
        <f>100/(365.25/2)*0.85</f>
        <v>0.4654346338124572</v>
      </c>
      <c r="N88" t="s">
        <v>124</v>
      </c>
      <c r="O88" t="s">
        <v>126</v>
      </c>
    </row>
    <row r="89" spans="1:15" x14ac:dyDescent="0.25">
      <c r="L89" s="14"/>
    </row>
    <row r="90" spans="1:15" x14ac:dyDescent="0.25">
      <c r="A90" t="s">
        <v>35</v>
      </c>
      <c r="D90" t="s">
        <v>39</v>
      </c>
      <c r="J90" t="s">
        <v>121</v>
      </c>
      <c r="K90" t="s">
        <v>118</v>
      </c>
      <c r="L90" s="14">
        <f>1.5*0.85</f>
        <v>1.2749999999999999</v>
      </c>
      <c r="O90" t="s">
        <v>126</v>
      </c>
    </row>
    <row r="91" spans="1:15" x14ac:dyDescent="0.25">
      <c r="A91" t="s">
        <v>35</v>
      </c>
      <c r="D91" t="s">
        <v>40</v>
      </c>
      <c r="J91" t="s">
        <v>121</v>
      </c>
      <c r="K91" t="s">
        <v>118</v>
      </c>
      <c r="L91" s="17">
        <v>0</v>
      </c>
    </row>
    <row r="92" spans="1:15" x14ac:dyDescent="0.25">
      <c r="A92" t="s">
        <v>35</v>
      </c>
      <c r="D92" t="s">
        <v>42</v>
      </c>
      <c r="J92" t="s">
        <v>121</v>
      </c>
      <c r="K92" t="s">
        <v>118</v>
      </c>
      <c r="L92" s="18">
        <f>L94</f>
        <v>5.9500000000000004E-2</v>
      </c>
      <c r="N92" t="s">
        <v>122</v>
      </c>
    </row>
    <row r="93" spans="1:15" x14ac:dyDescent="0.25">
      <c r="A93" t="s">
        <v>35</v>
      </c>
      <c r="D93" t="s">
        <v>41</v>
      </c>
      <c r="J93" t="s">
        <v>121</v>
      </c>
      <c r="K93" t="s">
        <v>118</v>
      </c>
      <c r="L93" s="14">
        <v>0</v>
      </c>
      <c r="N93" t="s">
        <v>127</v>
      </c>
      <c r="O93" t="s">
        <v>126</v>
      </c>
    </row>
    <row r="94" spans="1:15" x14ac:dyDescent="0.25">
      <c r="A94" t="s">
        <v>35</v>
      </c>
      <c r="D94" t="s">
        <v>36</v>
      </c>
      <c r="J94" t="s">
        <v>121</v>
      </c>
      <c r="K94" t="s">
        <v>118</v>
      </c>
      <c r="L94" s="14">
        <f>0.07*0.85</f>
        <v>5.9500000000000004E-2</v>
      </c>
      <c r="O94" t="s">
        <v>126</v>
      </c>
    </row>
    <row r="95" spans="1:15" x14ac:dyDescent="0.25">
      <c r="A95" t="s">
        <v>35</v>
      </c>
      <c r="D95" t="s">
        <v>37</v>
      </c>
      <c r="J95" t="s">
        <v>121</v>
      </c>
      <c r="K95" t="s">
        <v>118</v>
      </c>
      <c r="L95" s="18">
        <f>L94</f>
        <v>5.9500000000000004E-2</v>
      </c>
    </row>
    <row r="96" spans="1:15" x14ac:dyDescent="0.25">
      <c r="L96" s="18"/>
    </row>
    <row r="97" spans="1:15" x14ac:dyDescent="0.25">
      <c r="A97" t="s">
        <v>45</v>
      </c>
      <c r="C97" t="s">
        <v>55</v>
      </c>
      <c r="L97" s="18"/>
    </row>
    <row r="98" spans="1:15" x14ac:dyDescent="0.25">
      <c r="A98" t="s">
        <v>45</v>
      </c>
      <c r="C98" t="s">
        <v>46</v>
      </c>
    </row>
    <row r="99" spans="1:15" x14ac:dyDescent="0.25">
      <c r="K99" s="1"/>
      <c r="L99" s="1"/>
      <c r="M99" s="1"/>
      <c r="N99" s="1"/>
    </row>
    <row r="100" spans="1:15" x14ac:dyDescent="0.25">
      <c r="A100" s="2" t="s">
        <v>38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9" t="s">
        <v>74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spans="1:15" x14ac:dyDescent="0.25">
      <c r="K102" s="5" t="s">
        <v>62</v>
      </c>
      <c r="L102" s="5">
        <v>0.04</v>
      </c>
      <c r="M102" s="5" t="s">
        <v>64</v>
      </c>
      <c r="N102" s="5" t="s">
        <v>65</v>
      </c>
      <c r="O102" s="5" t="s">
        <v>63</v>
      </c>
    </row>
    <row r="103" spans="1:15" x14ac:dyDescent="0.25">
      <c r="A103" s="5" t="s">
        <v>35</v>
      </c>
      <c r="K103" s="5" t="s">
        <v>62</v>
      </c>
      <c r="L103" s="5">
        <v>0.02</v>
      </c>
      <c r="M103" s="5" t="s">
        <v>64</v>
      </c>
      <c r="O103" s="5" t="s">
        <v>63</v>
      </c>
    </row>
    <row r="104" spans="1:15" x14ac:dyDescent="0.25">
      <c r="A104" s="5"/>
      <c r="K104" s="5"/>
      <c r="L104" s="5"/>
      <c r="M104" s="5"/>
      <c r="O104" s="5"/>
    </row>
    <row r="105" spans="1:15" x14ac:dyDescent="0.25">
      <c r="A105" s="9" t="s">
        <v>75</v>
      </c>
      <c r="B105" s="10"/>
      <c r="C105" s="10"/>
      <c r="D105" s="10"/>
      <c r="E105" s="10"/>
      <c r="F105" s="10"/>
      <c r="G105" s="11"/>
      <c r="H105" s="10"/>
      <c r="I105" s="10"/>
      <c r="J105" s="10"/>
      <c r="K105" s="10"/>
      <c r="L105" s="10"/>
      <c r="M105" s="10"/>
      <c r="N105" s="10"/>
      <c r="O105" s="10"/>
    </row>
    <row r="106" spans="1:15" x14ac:dyDescent="0.25">
      <c r="K106" s="6" t="s">
        <v>51</v>
      </c>
      <c r="L106" s="6">
        <v>0</v>
      </c>
      <c r="M106" s="6" t="s">
        <v>52</v>
      </c>
      <c r="N106" s="6" t="s">
        <v>53</v>
      </c>
    </row>
    <row r="107" spans="1:15" x14ac:dyDescent="0.25">
      <c r="A107" t="s">
        <v>1</v>
      </c>
      <c r="C107" t="s">
        <v>2</v>
      </c>
      <c r="D107" t="s">
        <v>3</v>
      </c>
      <c r="K107" t="s">
        <v>51</v>
      </c>
      <c r="L107">
        <v>0.24</v>
      </c>
      <c r="M107" t="s">
        <v>52</v>
      </c>
      <c r="O107" t="s">
        <v>58</v>
      </c>
    </row>
    <row r="108" spans="1:15" x14ac:dyDescent="0.25">
      <c r="A108" t="s">
        <v>1</v>
      </c>
      <c r="K108" t="s">
        <v>51</v>
      </c>
      <c r="L108">
        <v>0.18</v>
      </c>
      <c r="M108" t="s">
        <v>52</v>
      </c>
      <c r="O108" t="s">
        <v>58</v>
      </c>
    </row>
    <row r="109" spans="1:15" x14ac:dyDescent="0.25">
      <c r="A109" t="s">
        <v>54</v>
      </c>
      <c r="K109" t="s">
        <v>51</v>
      </c>
      <c r="L109">
        <v>0.19</v>
      </c>
      <c r="M109" t="s">
        <v>52</v>
      </c>
      <c r="O109" t="s">
        <v>66</v>
      </c>
    </row>
    <row r="110" spans="1:15" x14ac:dyDescent="0.25">
      <c r="A110" t="s">
        <v>48</v>
      </c>
      <c r="K110" t="s">
        <v>51</v>
      </c>
      <c r="L110">
        <v>0.3</v>
      </c>
      <c r="M110" t="s">
        <v>52</v>
      </c>
      <c r="O110" t="s">
        <v>66</v>
      </c>
    </row>
    <row r="111" spans="1:15" x14ac:dyDescent="0.25">
      <c r="A111" t="s">
        <v>35</v>
      </c>
      <c r="K111" t="s">
        <v>51</v>
      </c>
      <c r="L111">
        <v>0.45</v>
      </c>
      <c r="M111" t="s">
        <v>52</v>
      </c>
      <c r="O111" t="s">
        <v>58</v>
      </c>
    </row>
    <row r="112" spans="1:15" x14ac:dyDescent="0.25">
      <c r="A112" t="s">
        <v>45</v>
      </c>
      <c r="C112" t="s">
        <v>46</v>
      </c>
      <c r="K112" t="s">
        <v>51</v>
      </c>
      <c r="L112">
        <v>0.36</v>
      </c>
      <c r="M112" t="s">
        <v>52</v>
      </c>
      <c r="O112" t="s">
        <v>66</v>
      </c>
    </row>
    <row r="113" spans="1:15" x14ac:dyDescent="0.25">
      <c r="A113" t="s">
        <v>45</v>
      </c>
      <c r="C113" t="s">
        <v>55</v>
      </c>
      <c r="K113" t="s">
        <v>51</v>
      </c>
      <c r="L113">
        <v>0.39</v>
      </c>
      <c r="M113" t="s">
        <v>52</v>
      </c>
      <c r="O113" t="s">
        <v>66</v>
      </c>
    </row>
    <row r="115" spans="1:15" x14ac:dyDescent="0.25">
      <c r="G115" s="5" t="s">
        <v>13</v>
      </c>
      <c r="K115" t="s">
        <v>56</v>
      </c>
      <c r="L115">
        <v>1</v>
      </c>
      <c r="M115" t="s">
        <v>57</v>
      </c>
      <c r="O115" t="s">
        <v>58</v>
      </c>
    </row>
    <row r="116" spans="1:15" x14ac:dyDescent="0.25">
      <c r="G116" s="5" t="s">
        <v>16</v>
      </c>
      <c r="K116" t="s">
        <v>56</v>
      </c>
      <c r="L116">
        <v>3.5</v>
      </c>
      <c r="M116" t="s">
        <v>57</v>
      </c>
      <c r="O116" t="s">
        <v>58</v>
      </c>
    </row>
    <row r="117" spans="1:15" x14ac:dyDescent="0.25">
      <c r="G117" s="5" t="s">
        <v>17</v>
      </c>
      <c r="K117" t="s">
        <v>56</v>
      </c>
      <c r="L117">
        <v>2</v>
      </c>
      <c r="M117" t="s">
        <v>57</v>
      </c>
      <c r="O117" t="s">
        <v>58</v>
      </c>
    </row>
    <row r="118" spans="1:15" x14ac:dyDescent="0.25">
      <c r="G118" s="5" t="s">
        <v>18</v>
      </c>
      <c r="K118" t="s">
        <v>56</v>
      </c>
      <c r="L118">
        <v>17</v>
      </c>
      <c r="M118" t="s">
        <v>57</v>
      </c>
      <c r="O118" t="s">
        <v>58</v>
      </c>
    </row>
    <row r="119" spans="1:15" x14ac:dyDescent="0.25">
      <c r="G119" s="5" t="s">
        <v>166</v>
      </c>
      <c r="K119" t="s">
        <v>56</v>
      </c>
      <c r="L119">
        <v>0.5</v>
      </c>
      <c r="M119" t="s">
        <v>57</v>
      </c>
      <c r="O119" t="s">
        <v>58</v>
      </c>
    </row>
    <row r="120" spans="1:15" x14ac:dyDescent="0.25">
      <c r="G120" s="5" t="s">
        <v>174</v>
      </c>
      <c r="K120" t="s">
        <v>56</v>
      </c>
      <c r="L120">
        <v>10.7</v>
      </c>
      <c r="M120" t="s">
        <v>57</v>
      </c>
      <c r="O120" t="s">
        <v>58</v>
      </c>
    </row>
    <row r="121" spans="1:15" x14ac:dyDescent="0.25">
      <c r="A121" t="s">
        <v>45</v>
      </c>
      <c r="G121" s="5" t="s">
        <v>16</v>
      </c>
      <c r="K121" t="s">
        <v>56</v>
      </c>
      <c r="L121">
        <v>65</v>
      </c>
      <c r="M121" t="s">
        <v>57</v>
      </c>
      <c r="N121" t="s">
        <v>194</v>
      </c>
      <c r="O121" t="s">
        <v>66</v>
      </c>
    </row>
    <row r="122" spans="1:15" x14ac:dyDescent="0.25">
      <c r="A122" t="s">
        <v>45</v>
      </c>
      <c r="G122" s="5" t="s">
        <v>17</v>
      </c>
      <c r="K122" t="s">
        <v>56</v>
      </c>
      <c r="L122">
        <v>1.5</v>
      </c>
      <c r="M122" t="s">
        <v>57</v>
      </c>
      <c r="N122" t="s">
        <v>193</v>
      </c>
      <c r="O122" t="s">
        <v>66</v>
      </c>
    </row>
    <row r="123" spans="1:15" x14ac:dyDescent="0.25">
      <c r="A123" t="s">
        <v>45</v>
      </c>
      <c r="G123" s="5" t="s">
        <v>18</v>
      </c>
      <c r="K123" t="s">
        <v>56</v>
      </c>
      <c r="L123">
        <v>1.5</v>
      </c>
      <c r="M123" t="s">
        <v>57</v>
      </c>
      <c r="N123" t="s">
        <v>193</v>
      </c>
      <c r="O123" t="s">
        <v>66</v>
      </c>
    </row>
    <row r="124" spans="1:15" x14ac:dyDescent="0.25">
      <c r="G124" s="5"/>
    </row>
    <row r="125" spans="1:15" x14ac:dyDescent="0.25">
      <c r="K125" t="s">
        <v>67</v>
      </c>
      <c r="L125">
        <v>55</v>
      </c>
      <c r="M125" t="s">
        <v>15</v>
      </c>
      <c r="N125" t="s">
        <v>70</v>
      </c>
      <c r="O125" t="s">
        <v>68</v>
      </c>
    </row>
    <row r="126" spans="1:15" x14ac:dyDescent="0.25">
      <c r="G126" s="5"/>
      <c r="K126" t="s">
        <v>69</v>
      </c>
      <c r="L126">
        <v>10</v>
      </c>
      <c r="M126" t="s">
        <v>15</v>
      </c>
      <c r="N126" t="s">
        <v>71</v>
      </c>
      <c r="O126" t="s">
        <v>68</v>
      </c>
    </row>
    <row r="127" spans="1:15" x14ac:dyDescent="0.25">
      <c r="G127" s="5" t="s">
        <v>13</v>
      </c>
      <c r="K127" t="s">
        <v>69</v>
      </c>
      <c r="L127">
        <v>0</v>
      </c>
      <c r="M127" t="s">
        <v>15</v>
      </c>
    </row>
    <row r="129" spans="1:15" x14ac:dyDescent="0.25">
      <c r="A129" s="2" t="s">
        <v>183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s="7" customFormat="1" x14ac:dyDescent="0.25">
      <c r="A130" s="9" t="s">
        <v>74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spans="1:15" x14ac:dyDescent="0.25">
      <c r="A131" t="s">
        <v>48</v>
      </c>
      <c r="K131" t="s">
        <v>4</v>
      </c>
      <c r="L131">
        <v>48</v>
      </c>
      <c r="M131" t="s">
        <v>5</v>
      </c>
      <c r="O131" t="s">
        <v>7</v>
      </c>
    </row>
    <row r="132" spans="1:15" x14ac:dyDescent="0.25">
      <c r="A132" t="s">
        <v>48</v>
      </c>
      <c r="K132" t="s">
        <v>97</v>
      </c>
      <c r="L132" s="12">
        <f>L131 * (6.4/2.29)/16</f>
        <v>8.3842794759825345</v>
      </c>
      <c r="M132" t="s">
        <v>100</v>
      </c>
      <c r="N132" t="s">
        <v>102</v>
      </c>
      <c r="O132" t="s">
        <v>105</v>
      </c>
    </row>
    <row r="133" spans="1:15" x14ac:dyDescent="0.25">
      <c r="A133" t="s">
        <v>48</v>
      </c>
      <c r="K133" t="s">
        <v>98</v>
      </c>
      <c r="L133" s="12">
        <f>L131 * (15.9/(47/39))/16</f>
        <v>39.58085106382979</v>
      </c>
      <c r="M133" t="s">
        <v>101</v>
      </c>
      <c r="N133" t="s">
        <v>103</v>
      </c>
      <c r="O133" t="s">
        <v>105</v>
      </c>
    </row>
    <row r="134" spans="1:15" x14ac:dyDescent="0.25">
      <c r="A134" t="s">
        <v>54</v>
      </c>
      <c r="K134" t="s">
        <v>4</v>
      </c>
      <c r="L134" s="12">
        <v>14</v>
      </c>
      <c r="M134" t="s">
        <v>5</v>
      </c>
      <c r="O134" t="s">
        <v>7</v>
      </c>
    </row>
    <row r="135" spans="1:15" x14ac:dyDescent="0.25">
      <c r="A135" t="s">
        <v>54</v>
      </c>
      <c r="K135" t="s">
        <v>97</v>
      </c>
      <c r="L135" s="12">
        <f>L134 * (4.8/2.29)/14.4</f>
        <v>2.0378457059679769</v>
      </c>
      <c r="M135" t="s">
        <v>100</v>
      </c>
      <c r="O135" t="s">
        <v>181</v>
      </c>
    </row>
    <row r="136" spans="1:15" x14ac:dyDescent="0.25">
      <c r="A136" t="s">
        <v>54</v>
      </c>
      <c r="K136" t="s">
        <v>98</v>
      </c>
      <c r="L136" s="12">
        <f>L134 * (25.2/(47/39))/14.4</f>
        <v>20.329787234042556</v>
      </c>
      <c r="M136" t="s">
        <v>101</v>
      </c>
      <c r="O136" t="s">
        <v>181</v>
      </c>
    </row>
    <row r="137" spans="1:15" x14ac:dyDescent="0.25">
      <c r="A137" t="s">
        <v>54</v>
      </c>
      <c r="E137" t="s">
        <v>86</v>
      </c>
      <c r="K137" t="s">
        <v>4</v>
      </c>
      <c r="L137" s="12">
        <v>0</v>
      </c>
      <c r="M137" t="s">
        <v>5</v>
      </c>
      <c r="N137" t="s">
        <v>208</v>
      </c>
      <c r="O137" t="s">
        <v>7</v>
      </c>
    </row>
    <row r="138" spans="1:15" x14ac:dyDescent="0.25">
      <c r="A138" t="s">
        <v>54</v>
      </c>
      <c r="E138" t="s">
        <v>86</v>
      </c>
      <c r="K138" t="s">
        <v>97</v>
      </c>
      <c r="L138" s="12">
        <v>0</v>
      </c>
      <c r="M138" t="s">
        <v>100</v>
      </c>
    </row>
    <row r="139" spans="1:15" x14ac:dyDescent="0.25">
      <c r="A139" t="s">
        <v>54</v>
      </c>
      <c r="E139" t="s">
        <v>86</v>
      </c>
      <c r="K139" t="s">
        <v>98</v>
      </c>
      <c r="L139" s="12">
        <v>0</v>
      </c>
      <c r="M139" t="s">
        <v>101</v>
      </c>
    </row>
    <row r="140" spans="1:15" x14ac:dyDescent="0.25">
      <c r="A140" t="s">
        <v>45</v>
      </c>
      <c r="E140" t="s">
        <v>204</v>
      </c>
      <c r="K140" t="s">
        <v>4</v>
      </c>
      <c r="L140" s="14">
        <v>0.6</v>
      </c>
      <c r="M140" t="s">
        <v>5</v>
      </c>
      <c r="O140" t="s">
        <v>7</v>
      </c>
    </row>
    <row r="141" spans="1:15" x14ac:dyDescent="0.25">
      <c r="A141" t="s">
        <v>45</v>
      </c>
      <c r="E141" t="s">
        <v>204</v>
      </c>
      <c r="K141" t="s">
        <v>97</v>
      </c>
      <c r="L141" s="14">
        <f>L140 * (0.39/2.29)/0.75</f>
        <v>0.13624454148471615</v>
      </c>
      <c r="M141" t="s">
        <v>100</v>
      </c>
      <c r="N141" t="s">
        <v>102</v>
      </c>
      <c r="O141" t="s">
        <v>104</v>
      </c>
    </row>
    <row r="142" spans="1:15" x14ac:dyDescent="0.25">
      <c r="A142" t="s">
        <v>45</v>
      </c>
      <c r="E142" t="s">
        <v>204</v>
      </c>
      <c r="K142" t="s">
        <v>98</v>
      </c>
      <c r="L142" s="14">
        <f>L140 * (0.33/(47/39))/0.75</f>
        <v>0.21906382978723404</v>
      </c>
      <c r="M142" t="s">
        <v>101</v>
      </c>
      <c r="N142" t="s">
        <v>103</v>
      </c>
      <c r="O142" t="s">
        <v>104</v>
      </c>
    </row>
    <row r="143" spans="1:15" x14ac:dyDescent="0.25">
      <c r="A143" t="s">
        <v>45</v>
      </c>
      <c r="E143" t="s">
        <v>47</v>
      </c>
      <c r="K143" t="s">
        <v>4</v>
      </c>
      <c r="L143">
        <v>0.28999999999999998</v>
      </c>
      <c r="M143" t="s">
        <v>5</v>
      </c>
      <c r="O143" t="s">
        <v>7</v>
      </c>
    </row>
    <row r="144" spans="1:15" x14ac:dyDescent="0.25">
      <c r="A144" t="s">
        <v>45</v>
      </c>
      <c r="E144" t="s">
        <v>47</v>
      </c>
      <c r="K144" t="s">
        <v>97</v>
      </c>
      <c r="L144" s="14">
        <f>L143 * (0.19/2.29)/0.53</f>
        <v>4.5398368624866105E-2</v>
      </c>
      <c r="M144" t="s">
        <v>100</v>
      </c>
      <c r="N144" t="s">
        <v>102</v>
      </c>
      <c r="O144" t="s">
        <v>99</v>
      </c>
    </row>
    <row r="145" spans="1:15" x14ac:dyDescent="0.25">
      <c r="A145" t="s">
        <v>45</v>
      </c>
      <c r="E145" t="s">
        <v>47</v>
      </c>
      <c r="K145" t="s">
        <v>98</v>
      </c>
      <c r="L145" s="14">
        <f>L143 * (0.26/(47/39))/0.53</f>
        <v>0.11804897631473303</v>
      </c>
      <c r="M145" t="s">
        <v>101</v>
      </c>
      <c r="N145" t="s">
        <v>103</v>
      </c>
      <c r="O145" t="s">
        <v>99</v>
      </c>
    </row>
    <row r="146" spans="1:15" x14ac:dyDescent="0.25">
      <c r="A146" t="s">
        <v>45</v>
      </c>
      <c r="E146" t="s">
        <v>205</v>
      </c>
      <c r="K146" t="s">
        <v>4</v>
      </c>
      <c r="L146" s="14">
        <v>0.22</v>
      </c>
      <c r="M146" t="s">
        <v>5</v>
      </c>
      <c r="O146" t="s">
        <v>7</v>
      </c>
    </row>
    <row r="147" spans="1:15" x14ac:dyDescent="0.25">
      <c r="A147" t="s">
        <v>45</v>
      </c>
      <c r="E147" t="s">
        <v>205</v>
      </c>
      <c r="K147" t="s">
        <v>97</v>
      </c>
      <c r="L147" s="67">
        <f>L146 * (0.17/2.29)/0.34</f>
        <v>4.8034934497816588E-2</v>
      </c>
      <c r="M147" t="s">
        <v>100</v>
      </c>
      <c r="N147" t="s">
        <v>102</v>
      </c>
      <c r="O147" t="s">
        <v>207</v>
      </c>
    </row>
    <row r="148" spans="1:15" x14ac:dyDescent="0.25">
      <c r="A148" t="s">
        <v>45</v>
      </c>
      <c r="E148" t="s">
        <v>205</v>
      </c>
      <c r="K148" t="s">
        <v>98</v>
      </c>
      <c r="L148" s="67">
        <f>L146 * (0.14/(47/39))/0.34</f>
        <v>7.5168961201501877E-2</v>
      </c>
      <c r="M148" t="s">
        <v>101</v>
      </c>
      <c r="N148" t="s">
        <v>103</v>
      </c>
      <c r="O148" t="s">
        <v>207</v>
      </c>
    </row>
    <row r="149" spans="1:15" x14ac:dyDescent="0.25">
      <c r="G149" s="5"/>
    </row>
    <row r="150" spans="1:15" s="7" customFormat="1" x14ac:dyDescent="0.25">
      <c r="A150" s="8"/>
      <c r="K150" s="6" t="s">
        <v>72</v>
      </c>
      <c r="L150" s="13">
        <v>0</v>
      </c>
      <c r="M150" s="13"/>
      <c r="N150" s="13" t="s">
        <v>92</v>
      </c>
    </row>
    <row r="151" spans="1:15" s="7" customFormat="1" x14ac:dyDescent="0.25">
      <c r="A151" s="8"/>
      <c r="K151" s="6" t="s">
        <v>76</v>
      </c>
      <c r="L151" s="13">
        <v>0</v>
      </c>
      <c r="M151" s="13"/>
      <c r="N151" s="13" t="s">
        <v>92</v>
      </c>
    </row>
    <row r="152" spans="1:15" s="7" customFormat="1" x14ac:dyDescent="0.25">
      <c r="A152" s="8"/>
      <c r="K152" s="6" t="s">
        <v>77</v>
      </c>
      <c r="L152" s="13">
        <v>0</v>
      </c>
      <c r="M152" s="13"/>
      <c r="N152" s="13" t="s">
        <v>92</v>
      </c>
    </row>
    <row r="153" spans="1:15" x14ac:dyDescent="0.25">
      <c r="A153" t="s">
        <v>1</v>
      </c>
      <c r="D153" t="s">
        <v>3</v>
      </c>
      <c r="G153" s="5"/>
      <c r="K153" t="s">
        <v>72</v>
      </c>
      <c r="L153">
        <v>22.5</v>
      </c>
      <c r="M153" t="s">
        <v>78</v>
      </c>
      <c r="N153" t="s">
        <v>81</v>
      </c>
      <c r="O153" t="s">
        <v>94</v>
      </c>
    </row>
    <row r="154" spans="1:15" x14ac:dyDescent="0.25">
      <c r="A154" t="s">
        <v>1</v>
      </c>
      <c r="D154" t="s">
        <v>3</v>
      </c>
      <c r="G154" s="5"/>
      <c r="K154" t="s">
        <v>76</v>
      </c>
      <c r="L154">
        <v>7.4</v>
      </c>
      <c r="M154" t="s">
        <v>79</v>
      </c>
      <c r="O154" t="s">
        <v>94</v>
      </c>
    </row>
    <row r="155" spans="1:15" x14ac:dyDescent="0.25">
      <c r="A155" t="s">
        <v>1</v>
      </c>
      <c r="D155" t="s">
        <v>3</v>
      </c>
      <c r="G155" s="5"/>
      <c r="K155" t="s">
        <v>77</v>
      </c>
      <c r="L155" s="12">
        <v>2</v>
      </c>
      <c r="M155" t="s">
        <v>80</v>
      </c>
      <c r="O155" t="s">
        <v>94</v>
      </c>
    </row>
    <row r="156" spans="1:15" x14ac:dyDescent="0.25">
      <c r="A156" t="s">
        <v>1</v>
      </c>
      <c r="D156" t="s">
        <v>199</v>
      </c>
      <c r="G156" s="5"/>
      <c r="K156" t="s">
        <v>72</v>
      </c>
      <c r="L156">
        <v>26.4</v>
      </c>
      <c r="M156" t="s">
        <v>78</v>
      </c>
      <c r="N156" t="s">
        <v>83</v>
      </c>
      <c r="O156" t="s">
        <v>94</v>
      </c>
    </row>
    <row r="157" spans="1:15" x14ac:dyDescent="0.25">
      <c r="A157" t="s">
        <v>1</v>
      </c>
      <c r="D157" t="s">
        <v>199</v>
      </c>
      <c r="G157" s="5"/>
      <c r="K157" t="s">
        <v>76</v>
      </c>
      <c r="L157">
        <v>6.85</v>
      </c>
      <c r="M157" t="s">
        <v>79</v>
      </c>
      <c r="O157" t="s">
        <v>94</v>
      </c>
    </row>
    <row r="158" spans="1:15" x14ac:dyDescent="0.25">
      <c r="A158" t="s">
        <v>1</v>
      </c>
      <c r="D158" t="s">
        <v>199</v>
      </c>
      <c r="G158" s="5"/>
      <c r="K158" t="s">
        <v>77</v>
      </c>
      <c r="L158">
        <v>1.69</v>
      </c>
      <c r="M158" t="s">
        <v>80</v>
      </c>
      <c r="O158" t="s">
        <v>94</v>
      </c>
    </row>
    <row r="159" spans="1:15" x14ac:dyDescent="0.25">
      <c r="A159" t="s">
        <v>1</v>
      </c>
      <c r="D159" t="s">
        <v>200</v>
      </c>
      <c r="G159" s="5"/>
      <c r="K159" s="54" t="s">
        <v>72</v>
      </c>
      <c r="L159" s="54">
        <f>L156</f>
        <v>26.4</v>
      </c>
      <c r="M159" s="54" t="s">
        <v>78</v>
      </c>
    </row>
    <row r="160" spans="1:15" x14ac:dyDescent="0.25">
      <c r="A160" t="s">
        <v>1</v>
      </c>
      <c r="D160" t="s">
        <v>200</v>
      </c>
      <c r="G160" s="5"/>
      <c r="K160" s="54" t="s">
        <v>76</v>
      </c>
      <c r="L160" s="54">
        <f t="shared" ref="L160:L170" si="0">L157</f>
        <v>6.85</v>
      </c>
      <c r="M160" s="54" t="s">
        <v>79</v>
      </c>
    </row>
    <row r="161" spans="1:15" x14ac:dyDescent="0.25">
      <c r="A161" t="s">
        <v>1</v>
      </c>
      <c r="D161" t="s">
        <v>200</v>
      </c>
      <c r="G161" s="5"/>
      <c r="K161" s="54" t="s">
        <v>77</v>
      </c>
      <c r="L161" s="54">
        <f t="shared" si="0"/>
        <v>1.69</v>
      </c>
      <c r="M161" s="54" t="s">
        <v>80</v>
      </c>
    </row>
    <row r="162" spans="1:15" x14ac:dyDescent="0.25">
      <c r="A162" t="s">
        <v>1</v>
      </c>
      <c r="D162" t="s">
        <v>201</v>
      </c>
      <c r="G162" s="5"/>
      <c r="K162" s="54" t="s">
        <v>72</v>
      </c>
      <c r="L162" s="54">
        <f t="shared" si="0"/>
        <v>26.4</v>
      </c>
      <c r="M162" s="54" t="s">
        <v>78</v>
      </c>
    </row>
    <row r="163" spans="1:15" x14ac:dyDescent="0.25">
      <c r="A163" t="s">
        <v>1</v>
      </c>
      <c r="D163" t="s">
        <v>201</v>
      </c>
      <c r="G163" s="5"/>
      <c r="K163" s="54" t="s">
        <v>76</v>
      </c>
      <c r="L163" s="54">
        <f t="shared" si="0"/>
        <v>6.85</v>
      </c>
      <c r="M163" s="54" t="s">
        <v>79</v>
      </c>
    </row>
    <row r="164" spans="1:15" x14ac:dyDescent="0.25">
      <c r="A164" t="s">
        <v>1</v>
      </c>
      <c r="D164" t="s">
        <v>201</v>
      </c>
      <c r="G164" s="5"/>
      <c r="K164" s="54" t="s">
        <v>77</v>
      </c>
      <c r="L164" s="54">
        <f t="shared" si="0"/>
        <v>1.69</v>
      </c>
      <c r="M164" s="54" t="s">
        <v>80</v>
      </c>
    </row>
    <row r="165" spans="1:15" x14ac:dyDescent="0.25">
      <c r="A165" t="s">
        <v>1</v>
      </c>
      <c r="D165" t="s">
        <v>202</v>
      </c>
      <c r="G165" s="5"/>
      <c r="K165" s="54" t="s">
        <v>72</v>
      </c>
      <c r="L165" s="54">
        <f t="shared" si="0"/>
        <v>26.4</v>
      </c>
      <c r="M165" s="54" t="s">
        <v>78</v>
      </c>
    </row>
    <row r="166" spans="1:15" x14ac:dyDescent="0.25">
      <c r="A166" t="s">
        <v>1</v>
      </c>
      <c r="D166" t="s">
        <v>202</v>
      </c>
      <c r="G166" s="5"/>
      <c r="K166" s="54" t="s">
        <v>76</v>
      </c>
      <c r="L166" s="54">
        <f t="shared" si="0"/>
        <v>6.85</v>
      </c>
      <c r="M166" s="54" t="s">
        <v>79</v>
      </c>
    </row>
    <row r="167" spans="1:15" x14ac:dyDescent="0.25">
      <c r="A167" t="s">
        <v>1</v>
      </c>
      <c r="D167" t="s">
        <v>202</v>
      </c>
      <c r="G167" s="5"/>
      <c r="K167" s="54" t="s">
        <v>77</v>
      </c>
      <c r="L167" s="54">
        <f t="shared" si="0"/>
        <v>1.69</v>
      </c>
      <c r="M167" s="54" t="s">
        <v>80</v>
      </c>
    </row>
    <row r="168" spans="1:15" x14ac:dyDescent="0.25">
      <c r="A168" t="s">
        <v>1</v>
      </c>
      <c r="D168" t="s">
        <v>203</v>
      </c>
      <c r="G168" s="5"/>
      <c r="K168" s="54" t="s">
        <v>72</v>
      </c>
      <c r="L168" s="54">
        <f t="shared" si="0"/>
        <v>26.4</v>
      </c>
      <c r="M168" s="54" t="s">
        <v>78</v>
      </c>
    </row>
    <row r="169" spans="1:15" x14ac:dyDescent="0.25">
      <c r="A169" t="s">
        <v>1</v>
      </c>
      <c r="D169" t="s">
        <v>203</v>
      </c>
      <c r="G169" s="5"/>
      <c r="K169" s="54" t="s">
        <v>76</v>
      </c>
      <c r="L169" s="54">
        <f t="shared" si="0"/>
        <v>6.85</v>
      </c>
      <c r="M169" s="54" t="s">
        <v>79</v>
      </c>
    </row>
    <row r="170" spans="1:15" x14ac:dyDescent="0.25">
      <c r="A170" t="s">
        <v>1</v>
      </c>
      <c r="D170" t="s">
        <v>203</v>
      </c>
      <c r="G170" s="5"/>
      <c r="K170" s="54" t="s">
        <v>77</v>
      </c>
      <c r="L170" s="54">
        <f t="shared" si="0"/>
        <v>1.69</v>
      </c>
      <c r="M170" s="54" t="s">
        <v>80</v>
      </c>
    </row>
    <row r="171" spans="1:15" x14ac:dyDescent="0.25">
      <c r="A171" t="s">
        <v>1</v>
      </c>
      <c r="D171" t="s">
        <v>8</v>
      </c>
      <c r="G171" s="5"/>
      <c r="K171" t="s">
        <v>72</v>
      </c>
      <c r="L171">
        <f>23.1</f>
        <v>23.1</v>
      </c>
      <c r="M171" t="s">
        <v>78</v>
      </c>
      <c r="N171" t="s">
        <v>82</v>
      </c>
      <c r="O171" t="s">
        <v>94</v>
      </c>
    </row>
    <row r="172" spans="1:15" x14ac:dyDescent="0.25">
      <c r="A172" t="s">
        <v>1</v>
      </c>
      <c r="D172" t="s">
        <v>8</v>
      </c>
      <c r="G172" s="5"/>
      <c r="K172" t="s">
        <v>76</v>
      </c>
      <c r="L172">
        <v>7.4</v>
      </c>
      <c r="M172" t="s">
        <v>79</v>
      </c>
      <c r="O172" t="s">
        <v>94</v>
      </c>
    </row>
    <row r="173" spans="1:15" x14ac:dyDescent="0.25">
      <c r="A173" t="s">
        <v>1</v>
      </c>
      <c r="D173" t="s">
        <v>8</v>
      </c>
      <c r="G173" s="5"/>
      <c r="K173" t="s">
        <v>77</v>
      </c>
      <c r="L173" s="12">
        <v>2</v>
      </c>
      <c r="M173" t="s">
        <v>80</v>
      </c>
      <c r="O173" t="s">
        <v>94</v>
      </c>
    </row>
    <row r="174" spans="1:15" x14ac:dyDescent="0.25">
      <c r="A174" t="s">
        <v>1</v>
      </c>
      <c r="D174" t="s">
        <v>10</v>
      </c>
      <c r="G174" s="5"/>
      <c r="K174" t="s">
        <v>72</v>
      </c>
      <c r="L174">
        <v>27.04</v>
      </c>
      <c r="M174" t="s">
        <v>78</v>
      </c>
      <c r="N174" t="s">
        <v>85</v>
      </c>
      <c r="O174" t="s">
        <v>94</v>
      </c>
    </row>
    <row r="175" spans="1:15" x14ac:dyDescent="0.25">
      <c r="A175" t="s">
        <v>1</v>
      </c>
      <c r="D175" t="s">
        <v>10</v>
      </c>
      <c r="G175" s="5"/>
      <c r="K175" t="s">
        <v>76</v>
      </c>
      <c r="L175">
        <v>7.4</v>
      </c>
      <c r="M175" t="s">
        <v>79</v>
      </c>
      <c r="O175" t="s">
        <v>94</v>
      </c>
    </row>
    <row r="176" spans="1:15" x14ac:dyDescent="0.25">
      <c r="A176" t="s">
        <v>1</v>
      </c>
      <c r="D176" t="s">
        <v>10</v>
      </c>
      <c r="G176" s="5"/>
      <c r="K176" t="s">
        <v>77</v>
      </c>
      <c r="L176">
        <v>1.91</v>
      </c>
      <c r="M176" t="s">
        <v>80</v>
      </c>
      <c r="O176" t="s">
        <v>94</v>
      </c>
    </row>
    <row r="177" spans="1:15" x14ac:dyDescent="0.25">
      <c r="A177" t="s">
        <v>1</v>
      </c>
      <c r="D177" t="s">
        <v>11</v>
      </c>
      <c r="G177" s="5"/>
      <c r="K177" t="s">
        <v>72</v>
      </c>
      <c r="L177">
        <v>27.04</v>
      </c>
      <c r="M177" t="s">
        <v>78</v>
      </c>
      <c r="N177" t="s">
        <v>85</v>
      </c>
      <c r="O177" t="s">
        <v>94</v>
      </c>
    </row>
    <row r="178" spans="1:15" x14ac:dyDescent="0.25">
      <c r="A178" t="s">
        <v>1</v>
      </c>
      <c r="D178" t="s">
        <v>11</v>
      </c>
      <c r="G178" s="5"/>
      <c r="K178" t="s">
        <v>76</v>
      </c>
      <c r="L178">
        <v>7.4</v>
      </c>
      <c r="M178" t="s">
        <v>79</v>
      </c>
      <c r="O178" t="s">
        <v>94</v>
      </c>
    </row>
    <row r="179" spans="1:15" x14ac:dyDescent="0.25">
      <c r="A179" t="s">
        <v>1</v>
      </c>
      <c r="D179" t="s">
        <v>11</v>
      </c>
      <c r="G179" s="5"/>
      <c r="K179" t="s">
        <v>77</v>
      </c>
      <c r="L179">
        <v>1.91</v>
      </c>
      <c r="M179" t="s">
        <v>80</v>
      </c>
      <c r="O179" t="s">
        <v>94</v>
      </c>
    </row>
    <row r="180" spans="1:15" x14ac:dyDescent="0.25">
      <c r="A180" t="s">
        <v>1</v>
      </c>
      <c r="D180" t="s">
        <v>12</v>
      </c>
      <c r="G180" s="5"/>
      <c r="K180" t="s">
        <v>72</v>
      </c>
      <c r="L180">
        <v>25.28</v>
      </c>
      <c r="M180" t="s">
        <v>78</v>
      </c>
      <c r="N180" t="s">
        <v>84</v>
      </c>
      <c r="O180" t="s">
        <v>94</v>
      </c>
    </row>
    <row r="181" spans="1:15" x14ac:dyDescent="0.25">
      <c r="A181" t="s">
        <v>1</v>
      </c>
      <c r="D181" t="s">
        <v>12</v>
      </c>
      <c r="G181" s="5"/>
      <c r="K181" t="s">
        <v>76</v>
      </c>
      <c r="L181">
        <v>7.4</v>
      </c>
      <c r="M181" t="s">
        <v>79</v>
      </c>
      <c r="O181" t="s">
        <v>94</v>
      </c>
    </row>
    <row r="182" spans="1:15" x14ac:dyDescent="0.25">
      <c r="A182" t="s">
        <v>1</v>
      </c>
      <c r="D182" t="s">
        <v>12</v>
      </c>
      <c r="G182" s="5"/>
      <c r="K182" t="s">
        <v>77</v>
      </c>
      <c r="L182" s="12">
        <v>2</v>
      </c>
      <c r="M182" t="s">
        <v>80</v>
      </c>
      <c r="O182" t="s">
        <v>94</v>
      </c>
    </row>
    <row r="183" spans="1:15" x14ac:dyDescent="0.25">
      <c r="G183" s="5"/>
    </row>
    <row r="184" spans="1:15" x14ac:dyDescent="0.25">
      <c r="A184" t="s">
        <v>54</v>
      </c>
      <c r="G184" s="5"/>
      <c r="K184" t="s">
        <v>72</v>
      </c>
      <c r="L184" s="5">
        <v>25</v>
      </c>
      <c r="M184" t="s">
        <v>78</v>
      </c>
      <c r="N184" t="s">
        <v>95</v>
      </c>
      <c r="O184" t="s">
        <v>94</v>
      </c>
    </row>
    <row r="185" spans="1:15" x14ac:dyDescent="0.25">
      <c r="A185" t="s">
        <v>54</v>
      </c>
      <c r="G185" s="5"/>
      <c r="K185" t="s">
        <v>76</v>
      </c>
      <c r="L185" s="5">
        <v>7.8</v>
      </c>
      <c r="M185" t="s">
        <v>79</v>
      </c>
      <c r="O185" t="s">
        <v>94</v>
      </c>
    </row>
    <row r="186" spans="1:15" x14ac:dyDescent="0.25">
      <c r="A186" t="s">
        <v>54</v>
      </c>
      <c r="G186" s="5"/>
      <c r="K186" t="s">
        <v>77</v>
      </c>
      <c r="L186" s="5">
        <v>1.7</v>
      </c>
      <c r="M186" t="s">
        <v>80</v>
      </c>
      <c r="O186" t="s">
        <v>94</v>
      </c>
    </row>
    <row r="187" spans="1:15" x14ac:dyDescent="0.25">
      <c r="A187" t="s">
        <v>54</v>
      </c>
      <c r="D187" t="s">
        <v>86</v>
      </c>
      <c r="G187" s="5"/>
      <c r="K187" t="s">
        <v>72</v>
      </c>
      <c r="L187" s="5">
        <v>26.2</v>
      </c>
      <c r="M187" t="s">
        <v>78</v>
      </c>
      <c r="N187" t="s">
        <v>96</v>
      </c>
      <c r="O187" t="s">
        <v>94</v>
      </c>
    </row>
    <row r="188" spans="1:15" x14ac:dyDescent="0.25">
      <c r="A188" t="s">
        <v>54</v>
      </c>
      <c r="D188" t="s">
        <v>86</v>
      </c>
      <c r="G188" s="5"/>
      <c r="K188" t="s">
        <v>76</v>
      </c>
      <c r="L188" s="5">
        <v>5.2</v>
      </c>
      <c r="M188" t="s">
        <v>79</v>
      </c>
      <c r="O188" t="s">
        <v>94</v>
      </c>
    </row>
    <row r="189" spans="1:15" x14ac:dyDescent="0.25">
      <c r="A189" t="s">
        <v>54</v>
      </c>
      <c r="D189" t="s">
        <v>86</v>
      </c>
      <c r="G189" s="5"/>
      <c r="K189" t="s">
        <v>77</v>
      </c>
      <c r="L189" s="5">
        <v>1.7</v>
      </c>
      <c r="M189" t="s">
        <v>80</v>
      </c>
      <c r="O189" t="s">
        <v>94</v>
      </c>
    </row>
    <row r="190" spans="1:15" x14ac:dyDescent="0.25">
      <c r="G190" s="5"/>
      <c r="L190" s="5"/>
    </row>
    <row r="191" spans="1:15" x14ac:dyDescent="0.25">
      <c r="A191" t="s">
        <v>48</v>
      </c>
      <c r="G191" s="5"/>
      <c r="K191" t="s">
        <v>72</v>
      </c>
      <c r="L191" s="5">
        <v>29.9</v>
      </c>
      <c r="M191" t="s">
        <v>78</v>
      </c>
      <c r="N191" t="s">
        <v>93</v>
      </c>
      <c r="O191" t="s">
        <v>94</v>
      </c>
    </row>
    <row r="192" spans="1:15" x14ac:dyDescent="0.25">
      <c r="A192" t="s">
        <v>48</v>
      </c>
      <c r="G192" s="5"/>
      <c r="K192" t="s">
        <v>76</v>
      </c>
      <c r="L192" s="5">
        <v>7.5</v>
      </c>
      <c r="M192" t="s">
        <v>79</v>
      </c>
      <c r="O192" t="s">
        <v>94</v>
      </c>
    </row>
    <row r="193" spans="1:15" x14ac:dyDescent="0.25">
      <c r="A193" t="s">
        <v>48</v>
      </c>
      <c r="G193" s="5"/>
      <c r="K193" t="s">
        <v>77</v>
      </c>
      <c r="L193" s="5">
        <v>2</v>
      </c>
      <c r="M193" t="s">
        <v>80</v>
      </c>
      <c r="O193" t="s">
        <v>94</v>
      </c>
    </row>
    <row r="194" spans="1:15" x14ac:dyDescent="0.25">
      <c r="G194" s="5"/>
      <c r="L194" s="12"/>
    </row>
    <row r="195" spans="1:15" x14ac:dyDescent="0.25">
      <c r="A195" t="s">
        <v>35</v>
      </c>
      <c r="D195" t="s">
        <v>39</v>
      </c>
      <c r="G195" s="5"/>
      <c r="K195" t="s">
        <v>72</v>
      </c>
      <c r="L195" s="12">
        <v>25</v>
      </c>
      <c r="M195" t="s">
        <v>78</v>
      </c>
      <c r="N195" t="s">
        <v>87</v>
      </c>
      <c r="O195" t="s">
        <v>209</v>
      </c>
    </row>
    <row r="196" spans="1:15" x14ac:dyDescent="0.25">
      <c r="A196" t="s">
        <v>35</v>
      </c>
      <c r="D196" t="s">
        <v>39</v>
      </c>
      <c r="G196" s="5"/>
      <c r="K196" t="s">
        <v>76</v>
      </c>
      <c r="L196">
        <v>5.35</v>
      </c>
      <c r="M196" t="s">
        <v>79</v>
      </c>
      <c r="O196" t="s">
        <v>209</v>
      </c>
    </row>
    <row r="197" spans="1:15" x14ac:dyDescent="0.25">
      <c r="A197" t="s">
        <v>35</v>
      </c>
      <c r="D197" t="s">
        <v>39</v>
      </c>
      <c r="G197" s="5"/>
      <c r="K197" t="s">
        <v>77</v>
      </c>
      <c r="L197" s="14">
        <v>2.08</v>
      </c>
      <c r="M197" t="s">
        <v>80</v>
      </c>
      <c r="O197" t="s">
        <v>209</v>
      </c>
    </row>
    <row r="198" spans="1:15" x14ac:dyDescent="0.25">
      <c r="A198" t="s">
        <v>35</v>
      </c>
      <c r="D198" t="s">
        <v>42</v>
      </c>
      <c r="K198" t="s">
        <v>72</v>
      </c>
      <c r="L198" s="12">
        <v>24.9</v>
      </c>
      <c r="M198" t="s">
        <v>78</v>
      </c>
      <c r="N198" t="s">
        <v>88</v>
      </c>
      <c r="O198" t="s">
        <v>209</v>
      </c>
    </row>
    <row r="199" spans="1:15" x14ac:dyDescent="0.25">
      <c r="A199" t="s">
        <v>35</v>
      </c>
      <c r="D199" t="s">
        <v>42</v>
      </c>
      <c r="K199" t="s">
        <v>76</v>
      </c>
      <c r="L199" s="14">
        <v>5.35</v>
      </c>
      <c r="M199" t="s">
        <v>79</v>
      </c>
      <c r="O199" t="s">
        <v>209</v>
      </c>
    </row>
    <row r="200" spans="1:15" x14ac:dyDescent="0.25">
      <c r="A200" t="s">
        <v>35</v>
      </c>
      <c r="D200" t="s">
        <v>42</v>
      </c>
      <c r="K200" t="s">
        <v>77</v>
      </c>
      <c r="L200" s="14">
        <v>2.25</v>
      </c>
      <c r="M200" t="s">
        <v>80</v>
      </c>
      <c r="O200" t="s">
        <v>209</v>
      </c>
    </row>
    <row r="201" spans="1:15" x14ac:dyDescent="0.25">
      <c r="A201" t="s">
        <v>35</v>
      </c>
      <c r="D201" t="s">
        <v>40</v>
      </c>
      <c r="K201" t="s">
        <v>72</v>
      </c>
      <c r="L201" s="12">
        <v>25</v>
      </c>
      <c r="M201" t="s">
        <v>78</v>
      </c>
      <c r="N201" t="s">
        <v>89</v>
      </c>
      <c r="O201" t="s">
        <v>209</v>
      </c>
    </row>
    <row r="202" spans="1:15" x14ac:dyDescent="0.25">
      <c r="A202" t="s">
        <v>35</v>
      </c>
      <c r="D202" t="s">
        <v>40</v>
      </c>
      <c r="K202" t="s">
        <v>76</v>
      </c>
      <c r="L202" s="14">
        <v>5.35</v>
      </c>
      <c r="M202" t="s">
        <v>79</v>
      </c>
      <c r="O202" t="s">
        <v>209</v>
      </c>
    </row>
    <row r="203" spans="1:15" x14ac:dyDescent="0.25">
      <c r="A203" t="s">
        <v>35</v>
      </c>
      <c r="D203" t="s">
        <v>40</v>
      </c>
      <c r="K203" t="s">
        <v>77</v>
      </c>
      <c r="L203" s="14">
        <v>2.04</v>
      </c>
      <c r="M203" t="s">
        <v>80</v>
      </c>
      <c r="O203" t="s">
        <v>209</v>
      </c>
    </row>
    <row r="204" spans="1:15" x14ac:dyDescent="0.25">
      <c r="A204" t="s">
        <v>35</v>
      </c>
      <c r="D204" t="s">
        <v>41</v>
      </c>
      <c r="G204" s="5"/>
      <c r="K204" t="s">
        <v>72</v>
      </c>
      <c r="L204" s="12">
        <v>23.1</v>
      </c>
      <c r="M204" t="s">
        <v>78</v>
      </c>
      <c r="N204" t="s">
        <v>90</v>
      </c>
      <c r="O204" t="s">
        <v>209</v>
      </c>
    </row>
    <row r="205" spans="1:15" x14ac:dyDescent="0.25">
      <c r="A205" t="s">
        <v>35</v>
      </c>
      <c r="D205" t="s">
        <v>41</v>
      </c>
      <c r="G205" s="5"/>
      <c r="K205" t="s">
        <v>76</v>
      </c>
      <c r="L205" s="14">
        <v>5.36</v>
      </c>
      <c r="M205" t="s">
        <v>79</v>
      </c>
      <c r="O205" t="s">
        <v>209</v>
      </c>
    </row>
    <row r="206" spans="1:15" x14ac:dyDescent="0.25">
      <c r="A206" t="s">
        <v>35</v>
      </c>
      <c r="D206" t="s">
        <v>41</v>
      </c>
      <c r="G206" s="5"/>
      <c r="K206" t="s">
        <v>77</v>
      </c>
      <c r="L206" s="14">
        <v>2.64</v>
      </c>
      <c r="M206" t="s">
        <v>80</v>
      </c>
      <c r="O206" t="s">
        <v>209</v>
      </c>
    </row>
    <row r="207" spans="1:15" x14ac:dyDescent="0.25">
      <c r="A207" t="s">
        <v>35</v>
      </c>
      <c r="D207" t="s">
        <v>36</v>
      </c>
      <c r="G207" s="5"/>
      <c r="K207" t="s">
        <v>72</v>
      </c>
      <c r="L207" s="12">
        <v>24.8</v>
      </c>
      <c r="M207" t="s">
        <v>78</v>
      </c>
      <c r="N207" t="s">
        <v>210</v>
      </c>
      <c r="O207" t="s">
        <v>209</v>
      </c>
    </row>
    <row r="208" spans="1:15" x14ac:dyDescent="0.25">
      <c r="A208" t="s">
        <v>35</v>
      </c>
      <c r="D208" t="s">
        <v>36</v>
      </c>
      <c r="G208" s="5"/>
      <c r="K208" t="s">
        <v>76</v>
      </c>
      <c r="L208" s="14">
        <v>5.32</v>
      </c>
      <c r="M208" t="s">
        <v>79</v>
      </c>
      <c r="O208" t="s">
        <v>209</v>
      </c>
    </row>
    <row r="209" spans="1:15" x14ac:dyDescent="0.25">
      <c r="A209" t="s">
        <v>35</v>
      </c>
      <c r="D209" t="s">
        <v>36</v>
      </c>
      <c r="G209" s="5"/>
      <c r="K209" t="s">
        <v>77</v>
      </c>
      <c r="L209" s="14">
        <v>2.42</v>
      </c>
      <c r="M209" t="s">
        <v>80</v>
      </c>
      <c r="O209" t="s">
        <v>209</v>
      </c>
    </row>
    <row r="210" spans="1:15" x14ac:dyDescent="0.25">
      <c r="A210" t="s">
        <v>35</v>
      </c>
      <c r="D210" t="s">
        <v>37</v>
      </c>
      <c r="G210" s="5"/>
      <c r="K210" t="s">
        <v>72</v>
      </c>
      <c r="L210" s="12">
        <v>25</v>
      </c>
      <c r="M210" t="s">
        <v>78</v>
      </c>
      <c r="N210" t="s">
        <v>91</v>
      </c>
      <c r="O210" t="s">
        <v>209</v>
      </c>
    </row>
    <row r="211" spans="1:15" x14ac:dyDescent="0.25">
      <c r="A211" t="s">
        <v>35</v>
      </c>
      <c r="D211" t="s">
        <v>37</v>
      </c>
      <c r="G211" s="5"/>
      <c r="K211" t="s">
        <v>76</v>
      </c>
      <c r="L211" s="14">
        <v>5.36</v>
      </c>
      <c r="M211" t="s">
        <v>79</v>
      </c>
      <c r="O211" t="s">
        <v>209</v>
      </c>
    </row>
    <row r="212" spans="1:15" x14ac:dyDescent="0.25">
      <c r="A212" t="s">
        <v>35</v>
      </c>
      <c r="D212" t="s">
        <v>37</v>
      </c>
      <c r="G212" s="5"/>
      <c r="K212" t="s">
        <v>77</v>
      </c>
      <c r="L212" s="14">
        <v>2.2799999999999998</v>
      </c>
      <c r="M212" t="s">
        <v>80</v>
      </c>
      <c r="O212" t="s">
        <v>209</v>
      </c>
    </row>
    <row r="213" spans="1:15" x14ac:dyDescent="0.25">
      <c r="G213" s="5"/>
      <c r="L213" s="12"/>
    </row>
    <row r="214" spans="1:15" x14ac:dyDescent="0.25">
      <c r="G214" s="5"/>
      <c r="K214" s="6" t="s">
        <v>106</v>
      </c>
      <c r="L214" s="15">
        <v>0</v>
      </c>
      <c r="M214" s="6" t="s">
        <v>92</v>
      </c>
    </row>
    <row r="215" spans="1:15" x14ac:dyDescent="0.25">
      <c r="G215" s="5"/>
      <c r="K215" s="6" t="s">
        <v>111</v>
      </c>
      <c r="L215" s="15">
        <v>0</v>
      </c>
      <c r="M215" s="6" t="s">
        <v>92</v>
      </c>
    </row>
    <row r="216" spans="1:15" x14ac:dyDescent="0.25">
      <c r="G216" s="5"/>
      <c r="K216" s="6" t="s">
        <v>112</v>
      </c>
      <c r="L216" s="15">
        <v>0</v>
      </c>
      <c r="M216" s="6" t="s">
        <v>92</v>
      </c>
    </row>
    <row r="217" spans="1:15" x14ac:dyDescent="0.25">
      <c r="F217" t="s">
        <v>115</v>
      </c>
      <c r="G217" s="5"/>
      <c r="K217" t="s">
        <v>106</v>
      </c>
      <c r="L217" s="14">
        <f>5.49/1.035</f>
        <v>5.304347826086957</v>
      </c>
      <c r="M217" t="s">
        <v>107</v>
      </c>
      <c r="N217" t="s">
        <v>113</v>
      </c>
      <c r="O217" t="s">
        <v>114</v>
      </c>
    </row>
    <row r="218" spans="1:15" x14ac:dyDescent="0.25">
      <c r="F218" t="s">
        <v>115</v>
      </c>
      <c r="G218" s="5"/>
      <c r="K218" t="s">
        <v>111</v>
      </c>
      <c r="L218" s="14">
        <f>0.97/1.035</f>
        <v>0.9371980676328503</v>
      </c>
      <c r="M218" t="s">
        <v>108</v>
      </c>
      <c r="O218" t="s">
        <v>114</v>
      </c>
    </row>
    <row r="219" spans="1:15" x14ac:dyDescent="0.25">
      <c r="F219" t="s">
        <v>115</v>
      </c>
      <c r="G219" s="5"/>
      <c r="K219" t="s">
        <v>112</v>
      </c>
      <c r="L219" s="14">
        <f>1.6/1.035</f>
        <v>1.5458937198067635</v>
      </c>
      <c r="M219" t="s">
        <v>109</v>
      </c>
      <c r="O219" t="s">
        <v>114</v>
      </c>
    </row>
    <row r="220" spans="1:15" x14ac:dyDescent="0.25">
      <c r="G220" s="5"/>
      <c r="L220" s="14"/>
    </row>
    <row r="221" spans="1:15" x14ac:dyDescent="0.25">
      <c r="A221" s="9" t="s">
        <v>182</v>
      </c>
      <c r="B221" s="10"/>
      <c r="C221" s="10"/>
      <c r="D221" s="10"/>
      <c r="E221" s="10"/>
      <c r="F221" s="10"/>
      <c r="G221" s="11"/>
      <c r="H221" s="10"/>
      <c r="I221" s="10"/>
      <c r="J221" s="10"/>
      <c r="K221" s="10"/>
      <c r="L221" s="10"/>
      <c r="M221" s="10"/>
      <c r="N221" s="10"/>
      <c r="O221" s="10"/>
    </row>
    <row r="222" spans="1:15" x14ac:dyDescent="0.25">
      <c r="G222" s="5"/>
    </row>
    <row r="223" spans="1:15" x14ac:dyDescent="0.25">
      <c r="A223" s="49" t="s">
        <v>175</v>
      </c>
      <c r="G223" s="5"/>
    </row>
    <row r="224" spans="1:15" x14ac:dyDescent="0.25">
      <c r="G224" s="5"/>
      <c r="K224" s="6" t="s">
        <v>25</v>
      </c>
      <c r="L224" s="6">
        <v>0</v>
      </c>
      <c r="M224" s="6"/>
      <c r="N224" s="6" t="s">
        <v>53</v>
      </c>
    </row>
    <row r="225" spans="1:15" x14ac:dyDescent="0.25">
      <c r="A225" t="s">
        <v>1</v>
      </c>
      <c r="G225" t="s">
        <v>16</v>
      </c>
      <c r="K225" t="s">
        <v>25</v>
      </c>
      <c r="L225">
        <v>60</v>
      </c>
      <c r="M225" t="s">
        <v>49</v>
      </c>
      <c r="O225" t="s">
        <v>206</v>
      </c>
    </row>
    <row r="226" spans="1:15" x14ac:dyDescent="0.25">
      <c r="A226" t="s">
        <v>1</v>
      </c>
      <c r="C226" t="s">
        <v>2</v>
      </c>
      <c r="E226" t="s">
        <v>3</v>
      </c>
      <c r="G226" t="s">
        <v>17</v>
      </c>
      <c r="K226" t="s">
        <v>25</v>
      </c>
      <c r="L226">
        <v>51</v>
      </c>
      <c r="M226" t="s">
        <v>49</v>
      </c>
      <c r="O226" t="s">
        <v>206</v>
      </c>
    </row>
    <row r="227" spans="1:15" x14ac:dyDescent="0.25">
      <c r="A227" t="s">
        <v>1</v>
      </c>
      <c r="C227" t="s">
        <v>6</v>
      </c>
      <c r="E227" t="s">
        <v>3</v>
      </c>
      <c r="G227" t="s">
        <v>17</v>
      </c>
      <c r="K227" t="s">
        <v>25</v>
      </c>
      <c r="L227">
        <v>52</v>
      </c>
      <c r="M227" t="s">
        <v>49</v>
      </c>
      <c r="O227" t="s">
        <v>206</v>
      </c>
    </row>
    <row r="228" spans="1:15" x14ac:dyDescent="0.25">
      <c r="A228" t="s">
        <v>1</v>
      </c>
      <c r="E228" t="s">
        <v>9</v>
      </c>
      <c r="G228" t="s">
        <v>17</v>
      </c>
      <c r="K228" t="s">
        <v>25</v>
      </c>
      <c r="L228">
        <v>51</v>
      </c>
      <c r="M228" t="s">
        <v>49</v>
      </c>
      <c r="O228" t="s">
        <v>206</v>
      </c>
    </row>
    <row r="229" spans="1:15" x14ac:dyDescent="0.25">
      <c r="A229" t="s">
        <v>1</v>
      </c>
      <c r="E229" t="s">
        <v>8</v>
      </c>
      <c r="G229" t="s">
        <v>17</v>
      </c>
      <c r="K229" t="s">
        <v>25</v>
      </c>
      <c r="L229">
        <v>51</v>
      </c>
      <c r="M229" t="s">
        <v>49</v>
      </c>
      <c r="O229" t="s">
        <v>206</v>
      </c>
    </row>
    <row r="230" spans="1:15" x14ac:dyDescent="0.25">
      <c r="A230" t="s">
        <v>1</v>
      </c>
      <c r="E230" t="s">
        <v>196</v>
      </c>
      <c r="G230" t="s">
        <v>17</v>
      </c>
      <c r="K230" t="s">
        <v>25</v>
      </c>
      <c r="L230">
        <v>52</v>
      </c>
      <c r="M230" t="s">
        <v>49</v>
      </c>
      <c r="O230" t="s">
        <v>206</v>
      </c>
    </row>
    <row r="231" spans="1:15" x14ac:dyDescent="0.25">
      <c r="A231" t="s">
        <v>1</v>
      </c>
      <c r="G231" t="s">
        <v>18</v>
      </c>
      <c r="K231" t="s">
        <v>25</v>
      </c>
      <c r="L231">
        <v>10</v>
      </c>
      <c r="M231" t="s">
        <v>49</v>
      </c>
      <c r="O231" t="s">
        <v>206</v>
      </c>
    </row>
    <row r="232" spans="1:15" x14ac:dyDescent="0.25">
      <c r="A232" t="s">
        <v>1</v>
      </c>
      <c r="G232" t="s">
        <v>174</v>
      </c>
      <c r="K232" t="s">
        <v>25</v>
      </c>
      <c r="L232">
        <v>60</v>
      </c>
      <c r="M232" t="s">
        <v>49</v>
      </c>
      <c r="O232" t="s">
        <v>206</v>
      </c>
    </row>
    <row r="233" spans="1:15" x14ac:dyDescent="0.25">
      <c r="A233" s="41" t="s">
        <v>1</v>
      </c>
      <c r="G233" s="5" t="s">
        <v>13</v>
      </c>
      <c r="H233" s="5"/>
      <c r="I233" s="5"/>
      <c r="J233" s="5"/>
      <c r="K233" s="5" t="s">
        <v>25</v>
      </c>
      <c r="L233" s="5">
        <v>60</v>
      </c>
      <c r="M233" s="5" t="s">
        <v>49</v>
      </c>
      <c r="N233" s="1"/>
      <c r="O233" t="s">
        <v>180</v>
      </c>
    </row>
    <row r="234" spans="1:15" x14ac:dyDescent="0.25">
      <c r="A234" s="5" t="s">
        <v>48</v>
      </c>
      <c r="B234" s="5"/>
      <c r="C234" s="5"/>
      <c r="D234" s="5"/>
      <c r="E234" s="5"/>
      <c r="F234" s="5"/>
      <c r="G234" s="5" t="s">
        <v>16</v>
      </c>
      <c r="H234" s="5"/>
      <c r="I234" s="5"/>
      <c r="J234" s="5"/>
      <c r="K234" s="5" t="s">
        <v>25</v>
      </c>
      <c r="L234" s="5">
        <v>24</v>
      </c>
      <c r="M234" t="s">
        <v>49</v>
      </c>
      <c r="N234" s="1"/>
      <c r="O234" t="s">
        <v>206</v>
      </c>
    </row>
    <row r="235" spans="1:15" x14ac:dyDescent="0.25">
      <c r="A235" s="5" t="s">
        <v>48</v>
      </c>
      <c r="B235" s="5"/>
      <c r="C235" s="5"/>
      <c r="D235" s="5"/>
      <c r="E235" s="5"/>
      <c r="F235" s="5"/>
      <c r="G235" s="5" t="s">
        <v>17</v>
      </c>
      <c r="H235" s="5"/>
      <c r="I235" s="5"/>
      <c r="J235" s="5"/>
      <c r="K235" s="5" t="s">
        <v>25</v>
      </c>
      <c r="L235" s="5">
        <v>25</v>
      </c>
      <c r="M235" t="s">
        <v>49</v>
      </c>
      <c r="N235" s="1"/>
      <c r="O235" t="s">
        <v>206</v>
      </c>
    </row>
    <row r="236" spans="1:15" x14ac:dyDescent="0.25">
      <c r="A236" s="5" t="s">
        <v>48</v>
      </c>
      <c r="B236" s="5"/>
      <c r="C236" s="5"/>
      <c r="D236" s="5"/>
      <c r="E236" s="5"/>
      <c r="F236" s="5"/>
      <c r="G236" s="5" t="s">
        <v>18</v>
      </c>
      <c r="H236" s="5"/>
      <c r="I236" s="5"/>
      <c r="J236" s="5"/>
      <c r="K236" s="5" t="s">
        <v>25</v>
      </c>
      <c r="L236" s="5">
        <v>10</v>
      </c>
      <c r="M236" t="s">
        <v>49</v>
      </c>
      <c r="N236" s="1"/>
      <c r="O236" t="s">
        <v>206</v>
      </c>
    </row>
    <row r="237" spans="1:15" x14ac:dyDescent="0.25">
      <c r="A237" s="5" t="s">
        <v>48</v>
      </c>
      <c r="B237" s="5"/>
      <c r="C237" s="5"/>
      <c r="D237" s="5"/>
      <c r="E237" s="5"/>
      <c r="F237" s="5"/>
      <c r="G237" s="5" t="s">
        <v>166</v>
      </c>
      <c r="H237" s="5"/>
      <c r="I237" s="5"/>
      <c r="J237" s="5"/>
      <c r="K237" s="5" t="s">
        <v>25</v>
      </c>
      <c r="L237" s="5">
        <v>25</v>
      </c>
      <c r="M237" t="s">
        <v>49</v>
      </c>
      <c r="N237" s="1"/>
      <c r="O237" t="s">
        <v>206</v>
      </c>
    </row>
    <row r="238" spans="1:15" x14ac:dyDescent="0.25">
      <c r="A238" s="5" t="s">
        <v>48</v>
      </c>
      <c r="B238" s="5"/>
      <c r="C238" s="5"/>
      <c r="D238" s="5"/>
      <c r="E238" s="5"/>
      <c r="F238" s="5"/>
      <c r="G238" s="5" t="s">
        <v>13</v>
      </c>
      <c r="H238" s="5"/>
      <c r="I238" s="5"/>
      <c r="J238" s="5"/>
      <c r="K238" s="5" t="s">
        <v>25</v>
      </c>
      <c r="L238" s="5">
        <v>60</v>
      </c>
      <c r="M238" s="5" t="s">
        <v>49</v>
      </c>
      <c r="N238" s="1"/>
      <c r="O238" t="s">
        <v>180</v>
      </c>
    </row>
    <row r="239" spans="1:15" x14ac:dyDescent="0.25">
      <c r="A239" s="5" t="s">
        <v>54</v>
      </c>
      <c r="B239" s="5"/>
      <c r="C239" s="5"/>
      <c r="D239" s="5"/>
      <c r="E239" s="5"/>
      <c r="F239" s="5"/>
      <c r="G239" s="5" t="s">
        <v>16</v>
      </c>
      <c r="H239" s="5"/>
      <c r="I239" s="5"/>
      <c r="J239" s="5"/>
      <c r="K239" s="5" t="s">
        <v>25</v>
      </c>
      <c r="L239" s="5">
        <v>25</v>
      </c>
      <c r="M239" s="5" t="s">
        <v>49</v>
      </c>
      <c r="N239" s="1"/>
      <c r="O239" t="s">
        <v>206</v>
      </c>
    </row>
    <row r="240" spans="1:15" x14ac:dyDescent="0.25">
      <c r="A240" s="5" t="s">
        <v>54</v>
      </c>
      <c r="B240" s="5"/>
      <c r="C240" s="5"/>
      <c r="D240" s="5"/>
      <c r="E240" s="5"/>
      <c r="F240" s="5"/>
      <c r="G240" s="5" t="s">
        <v>17</v>
      </c>
      <c r="H240" s="5"/>
      <c r="I240" s="5"/>
      <c r="J240" s="5"/>
      <c r="K240" s="5" t="s">
        <v>25</v>
      </c>
      <c r="L240" s="5">
        <v>25</v>
      </c>
      <c r="M240" s="5" t="s">
        <v>49</v>
      </c>
      <c r="N240" s="1"/>
      <c r="O240" t="s">
        <v>206</v>
      </c>
    </row>
    <row r="241" spans="1:15" x14ac:dyDescent="0.25">
      <c r="A241" s="5" t="s">
        <v>54</v>
      </c>
      <c r="B241" s="5"/>
      <c r="C241" s="5"/>
      <c r="D241" s="5"/>
      <c r="E241" s="5"/>
      <c r="F241" s="5"/>
      <c r="G241" s="5" t="s">
        <v>13</v>
      </c>
      <c r="H241" s="5"/>
      <c r="I241" s="5"/>
      <c r="J241" s="5"/>
      <c r="K241" s="5" t="s">
        <v>25</v>
      </c>
      <c r="L241" s="5">
        <v>50</v>
      </c>
      <c r="M241" s="5" t="s">
        <v>49</v>
      </c>
      <c r="N241" s="1"/>
      <c r="O241" t="s">
        <v>180</v>
      </c>
    </row>
    <row r="242" spans="1:15" x14ac:dyDescent="0.25">
      <c r="A242" t="s">
        <v>35</v>
      </c>
      <c r="G242" t="s">
        <v>16</v>
      </c>
      <c r="K242" t="s">
        <v>25</v>
      </c>
      <c r="L242">
        <v>70</v>
      </c>
      <c r="M242" t="s">
        <v>49</v>
      </c>
      <c r="O242" t="s">
        <v>206</v>
      </c>
    </row>
    <row r="243" spans="1:15" x14ac:dyDescent="0.25">
      <c r="A243" t="s">
        <v>35</v>
      </c>
      <c r="G243" t="s">
        <v>17</v>
      </c>
      <c r="K243" t="s">
        <v>25</v>
      </c>
      <c r="L243">
        <v>51</v>
      </c>
      <c r="M243" t="s">
        <v>49</v>
      </c>
      <c r="O243" t="s">
        <v>206</v>
      </c>
    </row>
    <row r="244" spans="1:15" x14ac:dyDescent="0.25">
      <c r="A244" t="s">
        <v>35</v>
      </c>
      <c r="G244" t="s">
        <v>18</v>
      </c>
      <c r="K244" t="s">
        <v>25</v>
      </c>
      <c r="L244">
        <v>10</v>
      </c>
      <c r="M244" t="s">
        <v>49</v>
      </c>
      <c r="O244" t="s">
        <v>206</v>
      </c>
    </row>
    <row r="245" spans="1:15" x14ac:dyDescent="0.25">
      <c r="A245" t="s">
        <v>35</v>
      </c>
      <c r="G245" t="s">
        <v>174</v>
      </c>
      <c r="K245" t="s">
        <v>25</v>
      </c>
      <c r="L245">
        <v>70</v>
      </c>
      <c r="M245" t="s">
        <v>49</v>
      </c>
      <c r="O245" t="s">
        <v>206</v>
      </c>
    </row>
    <row r="246" spans="1:15" x14ac:dyDescent="0.25">
      <c r="A246" s="5" t="s">
        <v>45</v>
      </c>
      <c r="B246" s="5"/>
      <c r="C246" s="5"/>
      <c r="D246" s="5"/>
      <c r="E246" s="5"/>
      <c r="F246" s="5"/>
      <c r="G246" s="5" t="s">
        <v>16</v>
      </c>
      <c r="H246" s="5"/>
      <c r="I246" s="5"/>
      <c r="J246" s="5"/>
      <c r="K246" s="5" t="s">
        <v>25</v>
      </c>
      <c r="L246" s="5">
        <v>75</v>
      </c>
      <c r="M246" s="5" t="s">
        <v>49</v>
      </c>
      <c r="N246" s="1"/>
      <c r="O246" t="s">
        <v>206</v>
      </c>
    </row>
    <row r="247" spans="1:15" x14ac:dyDescent="0.25">
      <c r="A247" s="5" t="s">
        <v>45</v>
      </c>
      <c r="B247" s="5"/>
      <c r="C247" s="5"/>
      <c r="D247" s="5"/>
      <c r="E247" s="5"/>
      <c r="F247" s="5"/>
      <c r="G247" s="5" t="s">
        <v>17</v>
      </c>
      <c r="H247" s="5"/>
      <c r="I247" s="5"/>
      <c r="J247" s="5"/>
      <c r="K247" s="5" t="s">
        <v>25</v>
      </c>
      <c r="L247" s="5">
        <v>60</v>
      </c>
      <c r="M247" s="5" t="s">
        <v>49</v>
      </c>
      <c r="N247" s="1"/>
      <c r="O247" t="s">
        <v>206</v>
      </c>
    </row>
    <row r="248" spans="1:15" x14ac:dyDescent="0.25">
      <c r="A248" s="5" t="s">
        <v>45</v>
      </c>
      <c r="B248" s="5"/>
      <c r="C248" s="5"/>
      <c r="D248" s="5"/>
      <c r="E248" s="5"/>
      <c r="F248" s="5"/>
      <c r="G248" s="5" t="s">
        <v>18</v>
      </c>
      <c r="H248" s="5"/>
      <c r="I248" s="5"/>
      <c r="J248" s="5"/>
      <c r="K248" s="5" t="s">
        <v>25</v>
      </c>
      <c r="L248" s="5">
        <v>40</v>
      </c>
      <c r="M248" s="5" t="s">
        <v>49</v>
      </c>
      <c r="N248" s="1"/>
      <c r="O248" t="s">
        <v>206</v>
      </c>
    </row>
    <row r="249" spans="1:15" x14ac:dyDescent="0.25">
      <c r="A249" t="s">
        <v>45</v>
      </c>
      <c r="E249" t="s">
        <v>47</v>
      </c>
      <c r="G249" s="5" t="s">
        <v>16</v>
      </c>
      <c r="K249" s="5" t="s">
        <v>25</v>
      </c>
      <c r="L249">
        <v>40</v>
      </c>
      <c r="M249" s="5" t="s">
        <v>49</v>
      </c>
      <c r="O249" t="s">
        <v>206</v>
      </c>
    </row>
    <row r="250" spans="1:15" x14ac:dyDescent="0.25">
      <c r="A250" t="s">
        <v>45</v>
      </c>
      <c r="E250" t="s">
        <v>47</v>
      </c>
      <c r="G250" s="5" t="s">
        <v>17</v>
      </c>
      <c r="K250" s="5" t="s">
        <v>25</v>
      </c>
      <c r="L250" s="5">
        <v>40</v>
      </c>
      <c r="M250" s="5" t="s">
        <v>49</v>
      </c>
      <c r="O250" t="s">
        <v>206</v>
      </c>
    </row>
    <row r="251" spans="1:15" x14ac:dyDescent="0.25">
      <c r="A251" t="s">
        <v>45</v>
      </c>
      <c r="E251" t="s">
        <v>47</v>
      </c>
      <c r="G251" s="5" t="s">
        <v>18</v>
      </c>
      <c r="K251" s="5" t="s">
        <v>25</v>
      </c>
      <c r="L251" s="5">
        <v>40</v>
      </c>
      <c r="M251" s="5" t="s">
        <v>49</v>
      </c>
      <c r="O251" t="s">
        <v>206</v>
      </c>
    </row>
    <row r="252" spans="1:15" x14ac:dyDescent="0.25">
      <c r="G252" s="5"/>
    </row>
    <row r="253" spans="1:15" x14ac:dyDescent="0.25">
      <c r="A253" s="9" t="s">
        <v>75</v>
      </c>
      <c r="B253" s="10"/>
      <c r="C253" s="10"/>
      <c r="D253" s="10"/>
      <c r="E253" s="10"/>
      <c r="F253" s="10"/>
      <c r="G253" s="11"/>
      <c r="H253" s="10"/>
      <c r="I253" s="10"/>
      <c r="J253" s="10"/>
      <c r="K253" s="10"/>
      <c r="L253" s="10"/>
      <c r="M253" s="10"/>
      <c r="N253" s="10"/>
      <c r="O253" s="10"/>
    </row>
    <row r="254" spans="1:15" s="7" customFormat="1" x14ac:dyDescent="0.25">
      <c r="G254" s="48"/>
    </row>
    <row r="255" spans="1:15" x14ac:dyDescent="0.25">
      <c r="H255" s="6" t="s">
        <v>184</v>
      </c>
      <c r="I255" s="6"/>
      <c r="J255" s="6"/>
      <c r="K255" s="6" t="s">
        <v>20</v>
      </c>
      <c r="L255" s="6">
        <v>0</v>
      </c>
      <c r="M255" s="1"/>
      <c r="N255" s="1"/>
    </row>
    <row r="256" spans="1:15" x14ac:dyDescent="0.25">
      <c r="H256" s="6" t="s">
        <v>184</v>
      </c>
      <c r="I256" s="6"/>
      <c r="J256" s="6"/>
      <c r="K256" s="6" t="s">
        <v>21</v>
      </c>
      <c r="L256" s="6">
        <v>0</v>
      </c>
      <c r="M256" s="1"/>
      <c r="N256" s="1"/>
    </row>
    <row r="257" spans="1:15" x14ac:dyDescent="0.25">
      <c r="A257" s="50"/>
      <c r="H257" s="6"/>
      <c r="I257" s="6"/>
      <c r="J257" s="6"/>
      <c r="K257" s="6" t="s">
        <v>192</v>
      </c>
      <c r="L257" s="6">
        <v>0</v>
      </c>
      <c r="M257" s="1"/>
      <c r="N257" s="1"/>
    </row>
    <row r="258" spans="1:15" x14ac:dyDescent="0.25">
      <c r="A258" s="50"/>
      <c r="L258" s="1"/>
      <c r="M258" s="1"/>
      <c r="N258" s="1"/>
    </row>
    <row r="259" spans="1:15" x14ac:dyDescent="0.25">
      <c r="A259" t="s">
        <v>1</v>
      </c>
      <c r="G259" t="s">
        <v>16</v>
      </c>
      <c r="H259" t="s">
        <v>184</v>
      </c>
      <c r="I259" t="s">
        <v>19</v>
      </c>
      <c r="K259" t="s">
        <v>20</v>
      </c>
      <c r="L259">
        <v>4</v>
      </c>
      <c r="M259" t="s">
        <v>49</v>
      </c>
      <c r="O259" t="s">
        <v>171</v>
      </c>
    </row>
    <row r="260" spans="1:15" x14ac:dyDescent="0.25">
      <c r="A260" t="s">
        <v>1</v>
      </c>
      <c r="G260" t="s">
        <v>17</v>
      </c>
      <c r="H260" t="s">
        <v>184</v>
      </c>
      <c r="I260" t="s">
        <v>19</v>
      </c>
      <c r="K260" t="s">
        <v>20</v>
      </c>
      <c r="L260">
        <v>4</v>
      </c>
      <c r="M260" t="s">
        <v>49</v>
      </c>
      <c r="O260" t="s">
        <v>171</v>
      </c>
    </row>
    <row r="261" spans="1:15" x14ac:dyDescent="0.25">
      <c r="A261" t="s">
        <v>1</v>
      </c>
      <c r="G261" t="s">
        <v>18</v>
      </c>
      <c r="H261" t="s">
        <v>184</v>
      </c>
      <c r="I261" t="s">
        <v>19</v>
      </c>
      <c r="K261" t="s">
        <v>20</v>
      </c>
      <c r="L261">
        <v>20</v>
      </c>
      <c r="M261" t="s">
        <v>49</v>
      </c>
      <c r="O261" t="s">
        <v>171</v>
      </c>
    </row>
    <row r="262" spans="1:15" x14ac:dyDescent="0.25">
      <c r="A262" t="s">
        <v>1</v>
      </c>
      <c r="G262" t="s">
        <v>174</v>
      </c>
      <c r="H262" t="s">
        <v>184</v>
      </c>
      <c r="I262" t="s">
        <v>19</v>
      </c>
      <c r="K262" t="s">
        <v>20</v>
      </c>
      <c r="L262">
        <v>4</v>
      </c>
      <c r="M262" t="s">
        <v>49</v>
      </c>
      <c r="O262" t="s">
        <v>171</v>
      </c>
    </row>
    <row r="263" spans="1:15" x14ac:dyDescent="0.25">
      <c r="A263" s="41" t="s">
        <v>48</v>
      </c>
      <c r="B263" s="41"/>
      <c r="C263" s="41"/>
      <c r="D263" s="41"/>
      <c r="E263" s="41"/>
      <c r="F263" s="41"/>
      <c r="G263" s="41" t="s">
        <v>17</v>
      </c>
      <c r="H263" t="s">
        <v>184</v>
      </c>
      <c r="I263" s="41" t="s">
        <v>19</v>
      </c>
      <c r="J263" s="41"/>
      <c r="K263" s="41" t="s">
        <v>20</v>
      </c>
      <c r="L263" s="41">
        <v>4</v>
      </c>
      <c r="M263" s="41" t="s">
        <v>49</v>
      </c>
      <c r="N263" s="1"/>
      <c r="O263" t="s">
        <v>171</v>
      </c>
    </row>
    <row r="264" spans="1:15" x14ac:dyDescent="0.25">
      <c r="A264" s="41" t="s">
        <v>48</v>
      </c>
      <c r="B264" s="41"/>
      <c r="C264" s="41"/>
      <c r="D264" s="41"/>
      <c r="E264" s="41"/>
      <c r="F264" s="41"/>
      <c r="G264" s="41" t="s">
        <v>18</v>
      </c>
      <c r="H264" t="s">
        <v>184</v>
      </c>
      <c r="I264" s="41" t="s">
        <v>19</v>
      </c>
      <c r="J264" s="41"/>
      <c r="K264" s="41" t="s">
        <v>20</v>
      </c>
      <c r="L264" s="41">
        <v>15</v>
      </c>
      <c r="M264" s="41" t="s">
        <v>49</v>
      </c>
      <c r="N264" s="1"/>
      <c r="O264" t="s">
        <v>171</v>
      </c>
    </row>
    <row r="265" spans="1:15" x14ac:dyDescent="0.25">
      <c r="A265" s="41" t="s">
        <v>48</v>
      </c>
      <c r="B265" s="41"/>
      <c r="C265" s="41"/>
      <c r="D265" s="41"/>
      <c r="E265" s="41"/>
      <c r="F265" s="41"/>
      <c r="G265" s="41" t="s">
        <v>166</v>
      </c>
      <c r="H265" t="s">
        <v>184</v>
      </c>
      <c r="I265" s="41" t="s">
        <v>19</v>
      </c>
      <c r="J265" s="41"/>
      <c r="K265" s="41" t="s">
        <v>20</v>
      </c>
      <c r="L265" s="41">
        <v>4</v>
      </c>
      <c r="M265" s="41" t="s">
        <v>49</v>
      </c>
      <c r="N265" s="1"/>
      <c r="O265" t="s">
        <v>171</v>
      </c>
    </row>
    <row r="266" spans="1:15" x14ac:dyDescent="0.25">
      <c r="A266" s="41" t="s">
        <v>54</v>
      </c>
      <c r="B266" s="41"/>
      <c r="C266" s="41"/>
      <c r="D266" s="41"/>
      <c r="E266" s="41"/>
      <c r="F266" s="41"/>
      <c r="G266" t="s">
        <v>17</v>
      </c>
      <c r="H266" t="s">
        <v>184</v>
      </c>
      <c r="I266" s="41" t="s">
        <v>19</v>
      </c>
      <c r="J266" s="41"/>
      <c r="K266" s="41" t="s">
        <v>20</v>
      </c>
      <c r="L266" s="41">
        <v>4</v>
      </c>
      <c r="M266" s="41" t="s">
        <v>49</v>
      </c>
      <c r="N266" s="1"/>
      <c r="O266" t="s">
        <v>171</v>
      </c>
    </row>
    <row r="267" spans="1:15" x14ac:dyDescent="0.25">
      <c r="A267" s="41" t="s">
        <v>54</v>
      </c>
      <c r="B267" s="41"/>
      <c r="C267" s="41"/>
      <c r="D267" s="41"/>
      <c r="E267" s="41"/>
      <c r="F267" s="41"/>
      <c r="G267" t="s">
        <v>18</v>
      </c>
      <c r="H267" t="s">
        <v>184</v>
      </c>
      <c r="I267" s="41" t="s">
        <v>19</v>
      </c>
      <c r="J267" s="41"/>
      <c r="K267" s="41" t="s">
        <v>20</v>
      </c>
      <c r="L267" s="41">
        <v>15</v>
      </c>
      <c r="M267" s="41" t="s">
        <v>49</v>
      </c>
      <c r="N267" s="1"/>
      <c r="O267" t="s">
        <v>171</v>
      </c>
    </row>
    <row r="268" spans="1:15" x14ac:dyDescent="0.25">
      <c r="A268" t="s">
        <v>35</v>
      </c>
      <c r="G268" t="s">
        <v>16</v>
      </c>
      <c r="H268" t="s">
        <v>184</v>
      </c>
      <c r="I268" t="s">
        <v>19</v>
      </c>
      <c r="K268" t="s">
        <v>20</v>
      </c>
      <c r="L268">
        <v>14</v>
      </c>
      <c r="M268" t="s">
        <v>49</v>
      </c>
      <c r="O268" t="s">
        <v>171</v>
      </c>
    </row>
    <row r="269" spans="1:15" x14ac:dyDescent="0.25">
      <c r="A269" t="s">
        <v>35</v>
      </c>
      <c r="G269" t="s">
        <v>17</v>
      </c>
      <c r="H269" t="s">
        <v>184</v>
      </c>
      <c r="I269" t="s">
        <v>19</v>
      </c>
      <c r="K269" t="s">
        <v>20</v>
      </c>
      <c r="L269">
        <v>10</v>
      </c>
      <c r="M269" t="s">
        <v>49</v>
      </c>
      <c r="O269" t="s">
        <v>171</v>
      </c>
    </row>
    <row r="270" spans="1:15" x14ac:dyDescent="0.25">
      <c r="A270" t="s">
        <v>35</v>
      </c>
      <c r="G270" t="s">
        <v>18</v>
      </c>
      <c r="H270" t="s">
        <v>184</v>
      </c>
      <c r="I270" t="s">
        <v>19</v>
      </c>
      <c r="K270" t="s">
        <v>20</v>
      </c>
      <c r="L270">
        <v>25</v>
      </c>
      <c r="M270" t="s">
        <v>49</v>
      </c>
      <c r="O270" t="s">
        <v>171</v>
      </c>
    </row>
    <row r="271" spans="1:15" x14ac:dyDescent="0.25">
      <c r="A271" t="s">
        <v>35</v>
      </c>
      <c r="G271" t="s">
        <v>174</v>
      </c>
      <c r="H271" t="s">
        <v>184</v>
      </c>
      <c r="I271" t="s">
        <v>19</v>
      </c>
      <c r="K271" t="s">
        <v>20</v>
      </c>
      <c r="L271">
        <v>14</v>
      </c>
      <c r="M271" t="s">
        <v>49</v>
      </c>
      <c r="O271" t="s">
        <v>171</v>
      </c>
    </row>
    <row r="272" spans="1:15" x14ac:dyDescent="0.25">
      <c r="A272" t="s">
        <v>45</v>
      </c>
      <c r="G272" t="s">
        <v>16</v>
      </c>
      <c r="H272" t="s">
        <v>184</v>
      </c>
      <c r="I272" t="s">
        <v>19</v>
      </c>
      <c r="K272" t="s">
        <v>20</v>
      </c>
      <c r="L272">
        <v>10</v>
      </c>
      <c r="M272" t="s">
        <v>49</v>
      </c>
      <c r="O272" t="s">
        <v>171</v>
      </c>
    </row>
    <row r="273" spans="1:15" x14ac:dyDescent="0.25">
      <c r="A273" t="s">
        <v>45</v>
      </c>
      <c r="G273" t="s">
        <v>17</v>
      </c>
      <c r="H273" t="s">
        <v>184</v>
      </c>
      <c r="I273" t="s">
        <v>19</v>
      </c>
      <c r="K273" t="s">
        <v>20</v>
      </c>
      <c r="L273">
        <v>10</v>
      </c>
      <c r="M273" t="s">
        <v>49</v>
      </c>
      <c r="O273" t="s">
        <v>171</v>
      </c>
    </row>
    <row r="274" spans="1:15" x14ac:dyDescent="0.25">
      <c r="A274" t="s">
        <v>45</v>
      </c>
      <c r="G274" t="s">
        <v>18</v>
      </c>
      <c r="H274" t="s">
        <v>184</v>
      </c>
      <c r="I274" t="s">
        <v>19</v>
      </c>
      <c r="K274" t="s">
        <v>20</v>
      </c>
      <c r="L274">
        <v>35</v>
      </c>
      <c r="M274" t="s">
        <v>49</v>
      </c>
      <c r="O274" t="s">
        <v>171</v>
      </c>
    </row>
    <row r="275" spans="1:15" x14ac:dyDescent="0.25">
      <c r="A275" t="s">
        <v>45</v>
      </c>
      <c r="E275" t="s">
        <v>205</v>
      </c>
      <c r="G275" t="s">
        <v>18</v>
      </c>
      <c r="H275" t="s">
        <v>184</v>
      </c>
      <c r="I275" t="s">
        <v>19</v>
      </c>
      <c r="K275" t="s">
        <v>20</v>
      </c>
      <c r="L275">
        <v>20</v>
      </c>
      <c r="M275" t="s">
        <v>49</v>
      </c>
      <c r="O275" t="s">
        <v>171</v>
      </c>
    </row>
    <row r="276" spans="1:15" x14ac:dyDescent="0.25">
      <c r="A276" t="s">
        <v>45</v>
      </c>
      <c r="E276" t="s">
        <v>47</v>
      </c>
      <c r="G276" t="s">
        <v>18</v>
      </c>
      <c r="H276" t="s">
        <v>184</v>
      </c>
      <c r="I276" t="s">
        <v>19</v>
      </c>
      <c r="K276" t="s">
        <v>20</v>
      </c>
      <c r="L276">
        <v>10</v>
      </c>
      <c r="M276" t="s">
        <v>49</v>
      </c>
      <c r="O276" t="s">
        <v>171</v>
      </c>
    </row>
    <row r="277" spans="1:15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</row>
    <row r="278" spans="1:15" x14ac:dyDescent="0.25">
      <c r="A278" t="s">
        <v>1</v>
      </c>
      <c r="G278" t="s">
        <v>16</v>
      </c>
      <c r="H278" t="s">
        <v>184</v>
      </c>
      <c r="I278" t="s">
        <v>19</v>
      </c>
      <c r="K278" t="s">
        <v>21</v>
      </c>
      <c r="L278">
        <v>3</v>
      </c>
      <c r="M278" t="s">
        <v>49</v>
      </c>
      <c r="O278" t="s">
        <v>172</v>
      </c>
    </row>
    <row r="279" spans="1:15" x14ac:dyDescent="0.25">
      <c r="A279" t="s">
        <v>1</v>
      </c>
      <c r="C279" t="s">
        <v>2</v>
      </c>
      <c r="E279" t="s">
        <v>3</v>
      </c>
      <c r="G279" t="s">
        <v>17</v>
      </c>
      <c r="H279" t="s">
        <v>184</v>
      </c>
      <c r="I279" t="s">
        <v>19</v>
      </c>
      <c r="K279" t="s">
        <v>21</v>
      </c>
      <c r="L279">
        <v>18</v>
      </c>
      <c r="M279" t="s">
        <v>49</v>
      </c>
      <c r="O279" t="s">
        <v>172</v>
      </c>
    </row>
    <row r="280" spans="1:15" x14ac:dyDescent="0.25">
      <c r="A280" t="s">
        <v>1</v>
      </c>
      <c r="C280" t="s">
        <v>6</v>
      </c>
      <c r="E280" t="s">
        <v>3</v>
      </c>
      <c r="G280" t="s">
        <v>17</v>
      </c>
      <c r="H280" t="s">
        <v>184</v>
      </c>
      <c r="I280" t="s">
        <v>19</v>
      </c>
      <c r="K280" t="s">
        <v>21</v>
      </c>
      <c r="L280">
        <v>17</v>
      </c>
      <c r="M280" t="s">
        <v>49</v>
      </c>
      <c r="O280" t="s">
        <v>172</v>
      </c>
    </row>
    <row r="281" spans="1:15" x14ac:dyDescent="0.25">
      <c r="A281" t="s">
        <v>1</v>
      </c>
      <c r="E281" t="s">
        <v>9</v>
      </c>
      <c r="G281" t="s">
        <v>17</v>
      </c>
      <c r="H281" t="s">
        <v>184</v>
      </c>
      <c r="I281" t="s">
        <v>19</v>
      </c>
      <c r="K281" t="s">
        <v>21</v>
      </c>
      <c r="L281">
        <v>18</v>
      </c>
      <c r="M281" t="s">
        <v>49</v>
      </c>
      <c r="O281" t="s">
        <v>172</v>
      </c>
    </row>
    <row r="282" spans="1:15" x14ac:dyDescent="0.25">
      <c r="A282" t="s">
        <v>1</v>
      </c>
      <c r="E282" t="s">
        <v>8</v>
      </c>
      <c r="G282" t="s">
        <v>17</v>
      </c>
      <c r="H282" t="s">
        <v>184</v>
      </c>
      <c r="I282" t="s">
        <v>19</v>
      </c>
      <c r="K282" t="s">
        <v>21</v>
      </c>
      <c r="L282">
        <v>18</v>
      </c>
      <c r="M282" t="s">
        <v>49</v>
      </c>
      <c r="O282" t="s">
        <v>172</v>
      </c>
    </row>
    <row r="283" spans="1:15" x14ac:dyDescent="0.25">
      <c r="A283" t="s">
        <v>1</v>
      </c>
      <c r="E283" t="s">
        <v>196</v>
      </c>
      <c r="G283" t="s">
        <v>17</v>
      </c>
      <c r="H283" t="s">
        <v>184</v>
      </c>
      <c r="I283" t="s">
        <v>19</v>
      </c>
      <c r="K283" t="s">
        <v>21</v>
      </c>
      <c r="L283">
        <v>17</v>
      </c>
      <c r="M283" t="s">
        <v>49</v>
      </c>
      <c r="O283" t="s">
        <v>172</v>
      </c>
    </row>
    <row r="284" spans="1:15" x14ac:dyDescent="0.25">
      <c r="A284" t="s">
        <v>1</v>
      </c>
      <c r="G284" t="s">
        <v>18</v>
      </c>
      <c r="H284" t="s">
        <v>184</v>
      </c>
      <c r="I284" t="s">
        <v>19</v>
      </c>
      <c r="K284" t="s">
        <v>21</v>
      </c>
      <c r="L284">
        <v>30</v>
      </c>
      <c r="M284" t="s">
        <v>49</v>
      </c>
      <c r="O284" t="s">
        <v>172</v>
      </c>
    </row>
    <row r="285" spans="1:15" x14ac:dyDescent="0.25">
      <c r="A285" t="s">
        <v>1</v>
      </c>
      <c r="G285" t="s">
        <v>174</v>
      </c>
      <c r="H285" t="s">
        <v>184</v>
      </c>
      <c r="I285" t="s">
        <v>19</v>
      </c>
      <c r="K285" t="s">
        <v>21</v>
      </c>
      <c r="L285">
        <v>2.75</v>
      </c>
      <c r="M285" t="s">
        <v>49</v>
      </c>
      <c r="O285" t="s">
        <v>172</v>
      </c>
    </row>
    <row r="286" spans="1:15" x14ac:dyDescent="0.25">
      <c r="A286" s="41" t="s">
        <v>48</v>
      </c>
      <c r="B286" s="41"/>
      <c r="C286" s="41"/>
      <c r="D286" s="41"/>
      <c r="E286" s="41"/>
      <c r="F286" s="41"/>
      <c r="G286" s="41" t="s">
        <v>17</v>
      </c>
      <c r="H286" t="s">
        <v>184</v>
      </c>
      <c r="I286" s="41" t="s">
        <v>19</v>
      </c>
      <c r="J286" s="41"/>
      <c r="K286" s="41" t="s">
        <v>21</v>
      </c>
      <c r="L286" s="41">
        <v>25</v>
      </c>
      <c r="M286" s="41" t="s">
        <v>49</v>
      </c>
      <c r="N286" s="1"/>
      <c r="O286" t="s">
        <v>172</v>
      </c>
    </row>
    <row r="287" spans="1:15" x14ac:dyDescent="0.25">
      <c r="A287" s="41" t="s">
        <v>48</v>
      </c>
      <c r="B287" s="41"/>
      <c r="C287" s="41"/>
      <c r="D287" s="41"/>
      <c r="E287" s="41"/>
      <c r="F287" s="41"/>
      <c r="G287" s="41" t="s">
        <v>18</v>
      </c>
      <c r="H287" t="s">
        <v>184</v>
      </c>
      <c r="I287" s="41" t="s">
        <v>19</v>
      </c>
      <c r="J287" s="41"/>
      <c r="K287" s="41" t="s">
        <v>21</v>
      </c>
      <c r="L287" s="41">
        <v>33</v>
      </c>
      <c r="M287" s="41" t="s">
        <v>49</v>
      </c>
      <c r="N287" s="1"/>
      <c r="O287" t="s">
        <v>172</v>
      </c>
    </row>
    <row r="288" spans="1:15" x14ac:dyDescent="0.25">
      <c r="A288" s="41" t="s">
        <v>48</v>
      </c>
      <c r="B288" s="41"/>
      <c r="C288" s="41"/>
      <c r="D288" s="41"/>
      <c r="E288" s="41"/>
      <c r="F288" s="41"/>
      <c r="G288" s="41" t="s">
        <v>166</v>
      </c>
      <c r="H288" t="s">
        <v>184</v>
      </c>
      <c r="I288" s="41" t="s">
        <v>19</v>
      </c>
      <c r="J288" s="41"/>
      <c r="K288" s="41" t="s">
        <v>21</v>
      </c>
      <c r="L288" s="41">
        <v>0.25</v>
      </c>
      <c r="M288" s="41" t="s">
        <v>49</v>
      </c>
      <c r="N288" s="1"/>
      <c r="O288" t="s">
        <v>172</v>
      </c>
    </row>
    <row r="289" spans="1:15" x14ac:dyDescent="0.25">
      <c r="A289" t="s">
        <v>35</v>
      </c>
      <c r="G289" t="s">
        <v>16</v>
      </c>
      <c r="H289" t="s">
        <v>184</v>
      </c>
      <c r="I289" t="s">
        <v>19</v>
      </c>
      <c r="K289" t="s">
        <v>21</v>
      </c>
      <c r="L289">
        <v>4</v>
      </c>
      <c r="M289" t="s">
        <v>49</v>
      </c>
      <c r="O289" t="s">
        <v>172</v>
      </c>
    </row>
    <row r="290" spans="1:15" x14ac:dyDescent="0.25">
      <c r="A290" t="s">
        <v>35</v>
      </c>
      <c r="G290" t="s">
        <v>17</v>
      </c>
      <c r="H290" t="s">
        <v>184</v>
      </c>
      <c r="I290" t="s">
        <v>19</v>
      </c>
      <c r="K290" t="s">
        <v>21</v>
      </c>
      <c r="L290">
        <v>18</v>
      </c>
      <c r="M290" t="s">
        <v>49</v>
      </c>
      <c r="O290" t="s">
        <v>172</v>
      </c>
    </row>
    <row r="291" spans="1:15" x14ac:dyDescent="0.25">
      <c r="A291" t="s">
        <v>35</v>
      </c>
      <c r="G291" t="s">
        <v>18</v>
      </c>
      <c r="H291" t="s">
        <v>184</v>
      </c>
      <c r="I291" t="s">
        <v>19</v>
      </c>
      <c r="K291" t="s">
        <v>21</v>
      </c>
      <c r="L291">
        <v>30</v>
      </c>
      <c r="M291" t="s">
        <v>49</v>
      </c>
      <c r="O291" t="s">
        <v>172</v>
      </c>
    </row>
    <row r="292" spans="1:15" x14ac:dyDescent="0.25">
      <c r="A292" t="s">
        <v>35</v>
      </c>
      <c r="G292" t="s">
        <v>174</v>
      </c>
      <c r="H292" t="s">
        <v>184</v>
      </c>
      <c r="I292" t="s">
        <v>19</v>
      </c>
      <c r="K292" t="s">
        <v>21</v>
      </c>
      <c r="L292">
        <v>2.75</v>
      </c>
      <c r="M292" t="s">
        <v>49</v>
      </c>
      <c r="O292" t="s">
        <v>172</v>
      </c>
    </row>
    <row r="293" spans="1:15" x14ac:dyDescent="0.25">
      <c r="A293" t="s">
        <v>45</v>
      </c>
      <c r="G293" t="s">
        <v>16</v>
      </c>
      <c r="H293" t="s">
        <v>184</v>
      </c>
      <c r="I293" t="s">
        <v>19</v>
      </c>
      <c r="K293" t="s">
        <v>21</v>
      </c>
      <c r="L293">
        <v>4</v>
      </c>
      <c r="M293" t="s">
        <v>49</v>
      </c>
      <c r="O293" t="s">
        <v>172</v>
      </c>
    </row>
    <row r="294" spans="1:15" x14ac:dyDescent="0.25">
      <c r="A294" t="s">
        <v>45</v>
      </c>
      <c r="G294" t="s">
        <v>17</v>
      </c>
      <c r="H294" t="s">
        <v>184</v>
      </c>
      <c r="I294" t="s">
        <v>19</v>
      </c>
      <c r="K294" t="s">
        <v>21</v>
      </c>
      <c r="L294">
        <v>12</v>
      </c>
      <c r="M294" t="s">
        <v>49</v>
      </c>
      <c r="O294" t="s">
        <v>172</v>
      </c>
    </row>
    <row r="295" spans="1:15" x14ac:dyDescent="0.25">
      <c r="A295" t="s">
        <v>45</v>
      </c>
      <c r="G295" t="s">
        <v>18</v>
      </c>
      <c r="H295" t="s">
        <v>184</v>
      </c>
      <c r="I295" t="s">
        <v>19</v>
      </c>
      <c r="K295" t="s">
        <v>21</v>
      </c>
      <c r="L295">
        <v>20</v>
      </c>
      <c r="M295" t="s">
        <v>49</v>
      </c>
      <c r="O295" t="s">
        <v>172</v>
      </c>
    </row>
    <row r="296" spans="1:15" x14ac:dyDescent="0.25">
      <c r="A296" t="s">
        <v>45</v>
      </c>
      <c r="E296" t="s">
        <v>47</v>
      </c>
      <c r="G296" t="s">
        <v>17</v>
      </c>
      <c r="H296" t="s">
        <v>184</v>
      </c>
      <c r="I296" t="s">
        <v>19</v>
      </c>
      <c r="K296" t="s">
        <v>21</v>
      </c>
      <c r="L296">
        <v>5</v>
      </c>
      <c r="M296" t="s">
        <v>49</v>
      </c>
      <c r="O296" t="s">
        <v>172</v>
      </c>
    </row>
    <row r="297" spans="1:15" x14ac:dyDescent="0.25">
      <c r="A297" t="s">
        <v>45</v>
      </c>
      <c r="E297" t="s">
        <v>47</v>
      </c>
      <c r="G297" t="s">
        <v>18</v>
      </c>
      <c r="H297" t="s">
        <v>184</v>
      </c>
      <c r="I297" t="s">
        <v>19</v>
      </c>
      <c r="K297" t="s">
        <v>21</v>
      </c>
      <c r="L297">
        <v>5</v>
      </c>
      <c r="M297" t="s">
        <v>49</v>
      </c>
      <c r="O297" t="s">
        <v>172</v>
      </c>
    </row>
    <row r="299" spans="1:15" x14ac:dyDescent="0.25">
      <c r="G299" t="s">
        <v>16</v>
      </c>
      <c r="H299" t="s">
        <v>184</v>
      </c>
      <c r="I299" t="s">
        <v>22</v>
      </c>
      <c r="K299" t="s">
        <v>192</v>
      </c>
      <c r="L299">
        <v>0.01</v>
      </c>
      <c r="M299" t="s">
        <v>50</v>
      </c>
      <c r="O299" t="s">
        <v>179</v>
      </c>
    </row>
    <row r="300" spans="1:15" x14ac:dyDescent="0.25">
      <c r="G300" t="s">
        <v>17</v>
      </c>
      <c r="H300" t="s">
        <v>184</v>
      </c>
      <c r="I300" t="s">
        <v>22</v>
      </c>
      <c r="K300" t="s">
        <v>192</v>
      </c>
      <c r="L300">
        <v>1</v>
      </c>
      <c r="M300" t="s">
        <v>50</v>
      </c>
      <c r="O300" t="s">
        <v>179</v>
      </c>
    </row>
    <row r="301" spans="1:15" x14ac:dyDescent="0.25">
      <c r="G301" t="s">
        <v>18</v>
      </c>
      <c r="H301" t="s">
        <v>184</v>
      </c>
      <c r="I301" t="s">
        <v>22</v>
      </c>
      <c r="K301" t="s">
        <v>192</v>
      </c>
      <c r="L301">
        <v>1</v>
      </c>
      <c r="M301" t="s">
        <v>50</v>
      </c>
      <c r="O301" t="s">
        <v>179</v>
      </c>
    </row>
    <row r="302" spans="1:15" x14ac:dyDescent="0.25">
      <c r="G302" t="s">
        <v>166</v>
      </c>
      <c r="H302" t="s">
        <v>184</v>
      </c>
      <c r="I302" t="s">
        <v>22</v>
      </c>
      <c r="K302" t="s">
        <v>192</v>
      </c>
      <c r="L302">
        <v>1</v>
      </c>
      <c r="M302" t="s">
        <v>50</v>
      </c>
      <c r="O302" t="s">
        <v>179</v>
      </c>
    </row>
    <row r="304" spans="1:15" x14ac:dyDescent="0.25">
      <c r="G304" t="s">
        <v>16</v>
      </c>
      <c r="H304" t="s">
        <v>184</v>
      </c>
      <c r="I304" t="s">
        <v>23</v>
      </c>
      <c r="K304" t="s">
        <v>21</v>
      </c>
      <c r="L304">
        <v>0.5</v>
      </c>
      <c r="M304" t="s">
        <v>49</v>
      </c>
      <c r="O304" t="s">
        <v>178</v>
      </c>
    </row>
    <row r="305" spans="1:15" x14ac:dyDescent="0.25">
      <c r="G305" t="s">
        <v>17</v>
      </c>
      <c r="H305" t="s">
        <v>184</v>
      </c>
      <c r="I305" t="s">
        <v>23</v>
      </c>
      <c r="K305" t="s">
        <v>21</v>
      </c>
      <c r="L305">
        <v>0.5</v>
      </c>
      <c r="M305" t="s">
        <v>49</v>
      </c>
      <c r="O305" t="s">
        <v>178</v>
      </c>
    </row>
    <row r="306" spans="1:15" x14ac:dyDescent="0.25">
      <c r="G306" t="s">
        <v>18</v>
      </c>
      <c r="H306" t="s">
        <v>184</v>
      </c>
      <c r="I306" t="s">
        <v>23</v>
      </c>
      <c r="K306" t="s">
        <v>21</v>
      </c>
      <c r="L306">
        <v>1</v>
      </c>
      <c r="M306" t="s">
        <v>49</v>
      </c>
      <c r="O306" t="s">
        <v>178</v>
      </c>
    </row>
    <row r="307" spans="1:15" x14ac:dyDescent="0.25">
      <c r="G307" t="s">
        <v>174</v>
      </c>
      <c r="H307" t="s">
        <v>184</v>
      </c>
      <c r="I307" t="s">
        <v>23</v>
      </c>
      <c r="K307" t="s">
        <v>21</v>
      </c>
      <c r="L307">
        <v>0</v>
      </c>
      <c r="M307" t="s">
        <v>49</v>
      </c>
      <c r="O307" t="s">
        <v>178</v>
      </c>
    </row>
    <row r="308" spans="1:15" x14ac:dyDescent="0.25">
      <c r="G308" s="41" t="s">
        <v>166</v>
      </c>
      <c r="H308" t="s">
        <v>184</v>
      </c>
      <c r="I308" t="s">
        <v>23</v>
      </c>
      <c r="K308" t="s">
        <v>21</v>
      </c>
      <c r="L308">
        <v>1</v>
      </c>
      <c r="M308" t="s">
        <v>49</v>
      </c>
      <c r="O308" t="s">
        <v>178</v>
      </c>
    </row>
    <row r="310" spans="1:15" x14ac:dyDescent="0.25">
      <c r="G310" t="s">
        <v>16</v>
      </c>
      <c r="H310" t="s">
        <v>184</v>
      </c>
      <c r="I310" t="s">
        <v>24</v>
      </c>
      <c r="K310" t="s">
        <v>192</v>
      </c>
      <c r="L310">
        <v>0.31</v>
      </c>
      <c r="M310" t="s">
        <v>50</v>
      </c>
      <c r="N310" t="s">
        <v>177</v>
      </c>
      <c r="O310" t="s">
        <v>176</v>
      </c>
    </row>
    <row r="311" spans="1:15" x14ac:dyDescent="0.25">
      <c r="G311" t="s">
        <v>17</v>
      </c>
      <c r="H311" t="s">
        <v>184</v>
      </c>
      <c r="I311" t="s">
        <v>24</v>
      </c>
      <c r="K311" t="s">
        <v>192</v>
      </c>
      <c r="L311">
        <v>31</v>
      </c>
      <c r="M311" t="s">
        <v>50</v>
      </c>
      <c r="N311" t="s">
        <v>17</v>
      </c>
      <c r="O311" t="s">
        <v>176</v>
      </c>
    </row>
    <row r="312" spans="1:15" x14ac:dyDescent="0.25">
      <c r="G312" t="s">
        <v>18</v>
      </c>
      <c r="H312" t="s">
        <v>184</v>
      </c>
      <c r="I312" t="s">
        <v>24</v>
      </c>
      <c r="K312" t="s">
        <v>192</v>
      </c>
      <c r="L312">
        <v>31</v>
      </c>
      <c r="M312" t="s">
        <v>50</v>
      </c>
      <c r="N312" t="s">
        <v>17</v>
      </c>
      <c r="O312" t="s">
        <v>176</v>
      </c>
    </row>
    <row r="313" spans="1:15" x14ac:dyDescent="0.25">
      <c r="G313" t="s">
        <v>166</v>
      </c>
      <c r="H313" t="s">
        <v>184</v>
      </c>
      <c r="I313" t="s">
        <v>24</v>
      </c>
      <c r="K313" t="s">
        <v>192</v>
      </c>
      <c r="L313">
        <v>31</v>
      </c>
      <c r="M313" t="s">
        <v>50</v>
      </c>
      <c r="N313" t="s">
        <v>17</v>
      </c>
      <c r="O313" t="s">
        <v>176</v>
      </c>
    </row>
    <row r="315" spans="1:15" x14ac:dyDescent="0.25">
      <c r="A315" s="1" t="s">
        <v>187</v>
      </c>
    </row>
    <row r="316" spans="1:15" x14ac:dyDescent="0.25">
      <c r="H316" t="s">
        <v>185</v>
      </c>
      <c r="I316" t="s">
        <v>185</v>
      </c>
      <c r="K316" t="s">
        <v>20</v>
      </c>
      <c r="L316">
        <v>0</v>
      </c>
    </row>
    <row r="317" spans="1:15" x14ac:dyDescent="0.25">
      <c r="H317" t="s">
        <v>185</v>
      </c>
      <c r="I317" t="s">
        <v>185</v>
      </c>
      <c r="K317" t="s">
        <v>21</v>
      </c>
      <c r="L317">
        <v>0</v>
      </c>
    </row>
    <row r="318" spans="1:15" x14ac:dyDescent="0.25">
      <c r="H318" t="s">
        <v>186</v>
      </c>
      <c r="I318" t="s">
        <v>186</v>
      </c>
      <c r="K318" t="s">
        <v>20</v>
      </c>
      <c r="L318" s="42">
        <v>0</v>
      </c>
    </row>
    <row r="319" spans="1:15" x14ac:dyDescent="0.25">
      <c r="H319" t="s">
        <v>186</v>
      </c>
      <c r="I319" t="s">
        <v>186</v>
      </c>
      <c r="K319" t="s">
        <v>21</v>
      </c>
      <c r="L31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97"/>
  <sheetViews>
    <sheetView workbookViewId="0">
      <selection activeCell="M12" sqref="M12"/>
    </sheetView>
  </sheetViews>
  <sheetFormatPr defaultRowHeight="15" x14ac:dyDescent="0.25"/>
  <sheetData>
    <row r="2" spans="2:26" x14ac:dyDescent="0.25">
      <c r="B2" s="4" t="s">
        <v>149</v>
      </c>
    </row>
    <row r="4" spans="2:26" x14ac:dyDescent="0.25">
      <c r="R4" s="4" t="s">
        <v>168</v>
      </c>
    </row>
    <row r="5" spans="2:26" x14ac:dyDescent="0.25">
      <c r="B5" s="43" t="s">
        <v>164</v>
      </c>
      <c r="C5" s="44" t="s">
        <v>1</v>
      </c>
      <c r="D5" s="44" t="s">
        <v>1</v>
      </c>
      <c r="E5" s="44" t="s">
        <v>1</v>
      </c>
      <c r="F5" s="44" t="s">
        <v>1</v>
      </c>
      <c r="G5" s="44" t="s">
        <v>1</v>
      </c>
      <c r="H5" s="44" t="s">
        <v>48</v>
      </c>
      <c r="I5" s="44" t="s">
        <v>54</v>
      </c>
      <c r="J5" s="44" t="s">
        <v>35</v>
      </c>
      <c r="K5" s="44" t="s">
        <v>35</v>
      </c>
      <c r="L5" s="44" t="s">
        <v>45</v>
      </c>
      <c r="M5" s="44" t="s">
        <v>45</v>
      </c>
      <c r="O5" s="43" t="s">
        <v>164</v>
      </c>
      <c r="P5" s="44" t="str">
        <f t="shared" ref="P5:Z5" si="0">C5</f>
        <v>cattle</v>
      </c>
      <c r="Q5" s="44" t="str">
        <f t="shared" si="0"/>
        <v>cattle</v>
      </c>
      <c r="R5" s="44" t="str">
        <f t="shared" si="0"/>
        <v>cattle</v>
      </c>
      <c r="S5" s="44" t="str">
        <f t="shared" si="0"/>
        <v>cattle</v>
      </c>
      <c r="T5" s="44" t="str">
        <f t="shared" si="0"/>
        <v>cattle</v>
      </c>
      <c r="U5" s="44" t="str">
        <f t="shared" si="0"/>
        <v>horses</v>
      </c>
      <c r="V5" s="44" t="str">
        <f t="shared" si="0"/>
        <v>sheep</v>
      </c>
      <c r="W5" s="44" t="str">
        <f t="shared" si="0"/>
        <v>pigs</v>
      </c>
      <c r="X5" s="44" t="str">
        <f t="shared" si="0"/>
        <v>pigs</v>
      </c>
      <c r="Y5" s="44" t="str">
        <f t="shared" si="0"/>
        <v>poultry</v>
      </c>
      <c r="Z5" s="44" t="str">
        <f t="shared" si="0"/>
        <v>poultry</v>
      </c>
    </row>
    <row r="6" spans="2:26" x14ac:dyDescent="0.25">
      <c r="B6" s="43" t="s">
        <v>165</v>
      </c>
      <c r="C6" s="44" t="s">
        <v>2</v>
      </c>
      <c r="D6" s="44" t="s">
        <v>6</v>
      </c>
      <c r="E6" s="44"/>
      <c r="F6" s="44"/>
      <c r="G6" s="44"/>
      <c r="H6" s="44"/>
      <c r="I6" s="44"/>
      <c r="J6" s="44"/>
      <c r="K6" s="44"/>
      <c r="L6" s="44"/>
      <c r="M6" s="44"/>
      <c r="O6" s="43" t="s">
        <v>165</v>
      </c>
      <c r="P6" s="44" t="str">
        <f>C6</f>
        <v>dairy</v>
      </c>
      <c r="Q6" s="44" t="str">
        <f>D6</f>
        <v>beef</v>
      </c>
      <c r="R6" s="44"/>
      <c r="S6" s="44"/>
      <c r="T6" s="44"/>
      <c r="U6" s="44"/>
      <c r="V6" s="44"/>
      <c r="W6" s="44"/>
      <c r="X6" s="44"/>
      <c r="Y6" s="44"/>
      <c r="Z6" s="44"/>
    </row>
    <row r="7" spans="2:26" x14ac:dyDescent="0.25">
      <c r="B7" s="43" t="s">
        <v>198</v>
      </c>
      <c r="C7" s="44" t="s">
        <v>3</v>
      </c>
      <c r="D7" s="44" t="s">
        <v>3</v>
      </c>
      <c r="E7" s="44" t="s">
        <v>8</v>
      </c>
      <c r="F7" s="44" t="s">
        <v>196</v>
      </c>
      <c r="G7" s="44" t="s">
        <v>9</v>
      </c>
      <c r="H7" s="44"/>
      <c r="I7" s="44"/>
      <c r="J7" s="44"/>
      <c r="K7" s="44" t="s">
        <v>197</v>
      </c>
      <c r="L7" s="44"/>
      <c r="M7" s="44" t="s">
        <v>47</v>
      </c>
      <c r="O7" s="43" t="s">
        <v>198</v>
      </c>
      <c r="P7" s="44" t="str">
        <f>C7</f>
        <v>cows</v>
      </c>
      <c r="Q7" s="44" t="str">
        <f>D7</f>
        <v>cows</v>
      </c>
      <c r="R7" s="44" t="str">
        <f>E7</f>
        <v>heifers</v>
      </c>
      <c r="S7" s="44" t="str">
        <f>F7</f>
        <v>bulls and steers</v>
      </c>
      <c r="T7" s="44" t="str">
        <f>G7</f>
        <v>calves</v>
      </c>
      <c r="U7" s="44"/>
      <c r="V7" s="44"/>
      <c r="W7" s="44"/>
      <c r="X7" s="44" t="str">
        <f>K7</f>
        <v>pigs for meat</v>
      </c>
      <c r="Y7" s="44"/>
      <c r="Z7" s="44" t="str">
        <f>M7</f>
        <v>broilers</v>
      </c>
    </row>
    <row r="8" spans="2:26" x14ac:dyDescent="0.25">
      <c r="B8" s="45" t="s">
        <v>13</v>
      </c>
      <c r="C8" s="42">
        <f>C30</f>
        <v>25.033333333333331</v>
      </c>
      <c r="D8" s="42">
        <f>D30</f>
        <v>55.633333333333333</v>
      </c>
      <c r="E8" s="42">
        <f>E30</f>
        <v>51.70000000000001</v>
      </c>
      <c r="F8" s="42">
        <f>F30</f>
        <v>22.133333333333336</v>
      </c>
      <c r="G8" s="42">
        <f>G30</f>
        <v>34.366666666666667</v>
      </c>
      <c r="H8" s="42">
        <f>K30</f>
        <v>50</v>
      </c>
      <c r="I8" s="42">
        <f>I30</f>
        <v>50</v>
      </c>
      <c r="J8" s="42">
        <v>0</v>
      </c>
      <c r="K8" s="42">
        <v>0</v>
      </c>
      <c r="L8" s="42">
        <v>0</v>
      </c>
      <c r="M8" s="42">
        <v>0</v>
      </c>
      <c r="O8" s="43" t="s">
        <v>173</v>
      </c>
      <c r="P8" s="47" t="str">
        <f>P5&amp;P6&amp;P7</f>
        <v>cattledairycows</v>
      </c>
      <c r="Q8" s="47" t="str">
        <f t="shared" ref="Q8:R8" si="1">Q5&amp;Q6&amp;Q7</f>
        <v>cattlebeefcows</v>
      </c>
      <c r="R8" s="47" t="str">
        <f t="shared" si="1"/>
        <v>cattleheifers</v>
      </c>
      <c r="S8" s="47" t="str">
        <f>S5&amp;S6&amp;S7</f>
        <v>cattlebulls and steers</v>
      </c>
      <c r="T8" s="47" t="str">
        <f>T5&amp;T6&amp;T7</f>
        <v>cattlecalves</v>
      </c>
      <c r="U8" s="47" t="str">
        <f t="shared" ref="U8:X8" si="2">U5&amp;U6&amp;U7</f>
        <v>horses</v>
      </c>
      <c r="V8" s="47" t="str">
        <f t="shared" si="2"/>
        <v>sheep</v>
      </c>
      <c r="W8" s="47" t="str">
        <f t="shared" si="2"/>
        <v>pigs</v>
      </c>
      <c r="X8" s="47" t="str">
        <f t="shared" si="2"/>
        <v>pigspigs for meat</v>
      </c>
      <c r="Y8" s="47" t="str">
        <f>Y5&amp;Y6&amp;Y7</f>
        <v>poultry</v>
      </c>
      <c r="Z8" s="47" t="str">
        <f>Z5&amp;Z6&amp;Z7</f>
        <v>poultrybroilers</v>
      </c>
    </row>
    <row r="9" spans="2:26" x14ac:dyDescent="0.25">
      <c r="B9" s="44" t="s">
        <v>16</v>
      </c>
      <c r="C9" s="42">
        <f>C43</f>
        <v>62.766666666666673</v>
      </c>
      <c r="D9" s="42">
        <f>D43</f>
        <v>9.8666666666666671</v>
      </c>
      <c r="E9" s="42">
        <f>E43</f>
        <v>24.366666666666664</v>
      </c>
      <c r="F9" s="42">
        <f>F43</f>
        <v>34.9</v>
      </c>
      <c r="G9" s="42">
        <f>G43</f>
        <v>16.633333333333333</v>
      </c>
      <c r="H9" s="42">
        <f>J43</f>
        <v>0</v>
      </c>
      <c r="I9" s="42">
        <f>J43</f>
        <v>0</v>
      </c>
      <c r="J9" s="42">
        <f>I43</f>
        <v>47.1</v>
      </c>
      <c r="K9" s="42">
        <f>H43</f>
        <v>79.533333333333346</v>
      </c>
      <c r="L9" s="42">
        <f>K43</f>
        <v>7.7</v>
      </c>
      <c r="M9" s="42">
        <f>L43</f>
        <v>0</v>
      </c>
      <c r="O9" s="44" t="s">
        <v>16</v>
      </c>
      <c r="P9" s="42">
        <f t="shared" ref="P9:Z13" si="3">C9/SUM(C$9:C$13)*100</f>
        <v>83.800623052959494</v>
      </c>
      <c r="Q9" s="42">
        <f t="shared" si="3"/>
        <v>22.222222222222225</v>
      </c>
      <c r="R9" s="42">
        <f t="shared" si="3"/>
        <v>50.379048931771194</v>
      </c>
      <c r="S9" s="42">
        <f t="shared" si="3"/>
        <v>44.83940042826552</v>
      </c>
      <c r="T9" s="42">
        <f t="shared" si="3"/>
        <v>25.355691056910569</v>
      </c>
      <c r="U9" s="42">
        <f t="shared" si="3"/>
        <v>0</v>
      </c>
      <c r="V9" s="42">
        <f t="shared" si="3"/>
        <v>0</v>
      </c>
      <c r="W9" s="42">
        <f t="shared" si="3"/>
        <v>47.115705235078359</v>
      </c>
      <c r="X9" s="42">
        <f t="shared" si="3"/>
        <v>79.533333333333317</v>
      </c>
      <c r="Y9" s="42">
        <f t="shared" si="3"/>
        <v>7.7000000000000011</v>
      </c>
      <c r="Z9" s="42">
        <f t="shared" si="3"/>
        <v>0</v>
      </c>
    </row>
    <row r="10" spans="2:26" x14ac:dyDescent="0.25">
      <c r="B10" s="44" t="s">
        <v>17</v>
      </c>
      <c r="C10" s="42">
        <f>C56</f>
        <v>7</v>
      </c>
      <c r="D10" s="42">
        <f>D56</f>
        <v>13.5</v>
      </c>
      <c r="E10" s="42">
        <f>E56</f>
        <v>9.2333333333333343</v>
      </c>
      <c r="F10" s="42">
        <f>F56</f>
        <v>15.5</v>
      </c>
      <c r="G10" s="42">
        <f>G56</f>
        <v>13.333333333333334</v>
      </c>
      <c r="H10" s="42">
        <f>M56</f>
        <v>33</v>
      </c>
      <c r="I10" s="42">
        <f>J56</f>
        <v>50</v>
      </c>
      <c r="J10" s="42">
        <f>I56</f>
        <v>27.866666666666664</v>
      </c>
      <c r="K10" s="42">
        <f>H56</f>
        <v>2.6666666666666665</v>
      </c>
      <c r="L10" s="42">
        <f>N56</f>
        <v>85.966666666666654</v>
      </c>
      <c r="M10" s="42">
        <f>O56</f>
        <v>0</v>
      </c>
      <c r="O10" s="44" t="s">
        <v>17</v>
      </c>
      <c r="P10" s="42">
        <f t="shared" si="3"/>
        <v>9.3457943925233611</v>
      </c>
      <c r="Q10" s="42">
        <f t="shared" si="3"/>
        <v>30.405405405405407</v>
      </c>
      <c r="R10" s="42">
        <f t="shared" si="3"/>
        <v>19.090282563749142</v>
      </c>
      <c r="S10" s="42">
        <f t="shared" si="3"/>
        <v>19.914346895074946</v>
      </c>
      <c r="T10" s="42">
        <f t="shared" si="3"/>
        <v>20.325203252032519</v>
      </c>
      <c r="U10" s="42">
        <f t="shared" si="3"/>
        <v>66</v>
      </c>
      <c r="V10" s="42">
        <f t="shared" si="3"/>
        <v>100</v>
      </c>
      <c r="W10" s="42">
        <f t="shared" si="3"/>
        <v>27.875958652884293</v>
      </c>
      <c r="X10" s="42">
        <f t="shared" si="3"/>
        <v>2.6666666666666656</v>
      </c>
      <c r="Y10" s="42">
        <f t="shared" si="3"/>
        <v>85.966666666666669</v>
      </c>
      <c r="Z10" s="42">
        <f t="shared" si="3"/>
        <v>0</v>
      </c>
    </row>
    <row r="11" spans="2:26" x14ac:dyDescent="0.25">
      <c r="B11" s="44" t="s">
        <v>18</v>
      </c>
      <c r="C11" s="42">
        <f>C69</f>
        <v>0.96666666666666667</v>
      </c>
      <c r="D11" s="42">
        <f>D69</f>
        <v>19.900000000000002</v>
      </c>
      <c r="E11" s="42">
        <f>E69</f>
        <v>12.833333333333334</v>
      </c>
      <c r="F11" s="42">
        <f>F69</f>
        <v>24.533333333333331</v>
      </c>
      <c r="G11" s="42">
        <f>G69</f>
        <v>33.833333333333336</v>
      </c>
      <c r="H11" s="42">
        <f>K69</f>
        <v>2</v>
      </c>
      <c r="I11" s="42">
        <f>J69</f>
        <v>0</v>
      </c>
      <c r="J11" s="42">
        <f>I69</f>
        <v>15.200000000000001</v>
      </c>
      <c r="K11" s="42">
        <f>H69</f>
        <v>1.1666666666666667</v>
      </c>
      <c r="L11" s="42">
        <f>L69</f>
        <v>6.333333333333333</v>
      </c>
      <c r="M11" s="42">
        <f>M69</f>
        <v>100</v>
      </c>
      <c r="O11" s="44" t="s">
        <v>18</v>
      </c>
      <c r="P11" s="42">
        <f t="shared" si="3"/>
        <v>1.2906097018246547</v>
      </c>
      <c r="Q11" s="42">
        <f t="shared" si="3"/>
        <v>44.819819819819827</v>
      </c>
      <c r="R11" s="42">
        <f t="shared" si="3"/>
        <v>26.533425223983464</v>
      </c>
      <c r="S11" s="42">
        <f t="shared" si="3"/>
        <v>31.520342612419693</v>
      </c>
      <c r="T11" s="42">
        <f t="shared" si="3"/>
        <v>51.575203252032523</v>
      </c>
      <c r="U11" s="42">
        <f t="shared" si="3"/>
        <v>4</v>
      </c>
      <c r="V11" s="42">
        <f t="shared" si="3"/>
        <v>0</v>
      </c>
      <c r="W11" s="42">
        <f t="shared" si="3"/>
        <v>15.205068356118707</v>
      </c>
      <c r="X11" s="42">
        <f t="shared" si="3"/>
        <v>1.1666666666666663</v>
      </c>
      <c r="Y11" s="42">
        <f t="shared" si="3"/>
        <v>6.3333333333333339</v>
      </c>
      <c r="Z11" s="42">
        <f t="shared" si="3"/>
        <v>100</v>
      </c>
    </row>
    <row r="12" spans="2:26" x14ac:dyDescent="0.25">
      <c r="B12" s="44" t="s">
        <v>174</v>
      </c>
      <c r="C12" s="42">
        <f>C83+C97</f>
        <v>4.1666666666666661</v>
      </c>
      <c r="D12" s="42">
        <f>D83+D97</f>
        <v>1.1333333333333333</v>
      </c>
      <c r="E12" s="42">
        <f>E83+E97</f>
        <v>1.9333333333333336</v>
      </c>
      <c r="F12" s="42">
        <f>F83+F97</f>
        <v>2.9000000000000004</v>
      </c>
      <c r="G12" s="42">
        <f>G83+G97</f>
        <v>1.7999999999999998</v>
      </c>
      <c r="H12" s="42">
        <v>0</v>
      </c>
      <c r="I12" s="42">
        <v>0</v>
      </c>
      <c r="J12" s="42">
        <f>J83+J97</f>
        <v>9.7999999999999989</v>
      </c>
      <c r="K12" s="42">
        <f>I83+I97</f>
        <v>16.633333333333333</v>
      </c>
      <c r="L12" s="42">
        <v>0</v>
      </c>
      <c r="M12" s="42">
        <v>0</v>
      </c>
      <c r="O12" s="44" t="s">
        <v>174</v>
      </c>
      <c r="P12" s="42">
        <f t="shared" si="3"/>
        <v>5.562972852692476</v>
      </c>
      <c r="Q12" s="42">
        <f t="shared" si="3"/>
        <v>2.5525525525525525</v>
      </c>
      <c r="R12" s="42">
        <f t="shared" si="3"/>
        <v>3.9972432804962108</v>
      </c>
      <c r="S12" s="42">
        <f t="shared" si="3"/>
        <v>3.7259100642398284</v>
      </c>
      <c r="T12" s="42">
        <f t="shared" si="3"/>
        <v>2.7439024390243896</v>
      </c>
      <c r="U12" s="42">
        <f t="shared" si="3"/>
        <v>0</v>
      </c>
      <c r="V12" s="42">
        <f t="shared" si="3"/>
        <v>0</v>
      </c>
      <c r="W12" s="42">
        <f t="shared" si="3"/>
        <v>9.8032677559186379</v>
      </c>
      <c r="X12" s="42">
        <f t="shared" si="3"/>
        <v>16.633333333333329</v>
      </c>
      <c r="Y12" s="42">
        <f t="shared" si="3"/>
        <v>0</v>
      </c>
      <c r="Z12" s="42">
        <f t="shared" si="3"/>
        <v>0</v>
      </c>
    </row>
    <row r="13" spans="2:26" x14ac:dyDescent="0.25">
      <c r="B13" s="44" t="s">
        <v>166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f>L83</f>
        <v>15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O13" s="44" t="s">
        <v>166</v>
      </c>
      <c r="P13" s="42">
        <f t="shared" si="3"/>
        <v>0</v>
      </c>
      <c r="Q13" s="42">
        <f t="shared" si="3"/>
        <v>0</v>
      </c>
      <c r="R13" s="42">
        <f t="shared" si="3"/>
        <v>0</v>
      </c>
      <c r="S13" s="42">
        <f t="shared" si="3"/>
        <v>0</v>
      </c>
      <c r="T13" s="42">
        <f t="shared" si="3"/>
        <v>0</v>
      </c>
      <c r="U13" s="42">
        <f t="shared" si="3"/>
        <v>30</v>
      </c>
      <c r="V13" s="42">
        <f t="shared" si="3"/>
        <v>0</v>
      </c>
      <c r="W13" s="42">
        <f t="shared" si="3"/>
        <v>0</v>
      </c>
      <c r="X13" s="42">
        <f t="shared" si="3"/>
        <v>0</v>
      </c>
      <c r="Y13" s="42">
        <f t="shared" si="3"/>
        <v>0</v>
      </c>
      <c r="Z13" s="42">
        <f t="shared" si="3"/>
        <v>0</v>
      </c>
    </row>
    <row r="14" spans="2:26" x14ac:dyDescent="0.25">
      <c r="B14" s="43" t="s">
        <v>167</v>
      </c>
      <c r="C14" s="46">
        <f>SUM(C8:C13)</f>
        <v>99.933333333333351</v>
      </c>
      <c r="D14" s="46">
        <f t="shared" ref="D14:E14" si="4">SUM(D8:D13)</f>
        <v>100.03333333333335</v>
      </c>
      <c r="E14" s="46">
        <f t="shared" si="4"/>
        <v>100.06666666666668</v>
      </c>
      <c r="F14" s="46">
        <f>SUM(F8:F13)</f>
        <v>99.966666666666669</v>
      </c>
      <c r="G14" s="46">
        <f t="shared" ref="G14" si="5">SUM(G8:G13)</f>
        <v>99.966666666666654</v>
      </c>
      <c r="H14" s="46">
        <f t="shared" ref="H14" si="6">SUM(H8:H13)</f>
        <v>100</v>
      </c>
      <c r="I14" s="46">
        <f t="shared" ref="I14" si="7">SUM(I8:I13)</f>
        <v>100</v>
      </c>
      <c r="J14" s="46">
        <f t="shared" ref="J14" si="8">SUM(J8:J13)</f>
        <v>99.966666666666669</v>
      </c>
      <c r="K14" s="46">
        <f t="shared" ref="K14" si="9">SUM(K8:K13)</f>
        <v>100.00000000000003</v>
      </c>
      <c r="L14" s="46">
        <f t="shared" ref="L14" si="10">SUM(L8:L13)</f>
        <v>99.999999999999986</v>
      </c>
      <c r="M14" s="46">
        <f t="shared" ref="M14" si="11">SUM(M8:M13)</f>
        <v>100</v>
      </c>
      <c r="O14" s="43" t="s">
        <v>167</v>
      </c>
      <c r="P14" s="46">
        <f>SUM(P9:P13)</f>
        <v>99.999999999999986</v>
      </c>
      <c r="Q14" s="46">
        <f t="shared" ref="Q14:R14" si="12">SUM(Q9:Q13)</f>
        <v>100.00000000000001</v>
      </c>
      <c r="R14" s="46">
        <f t="shared" si="12"/>
        <v>100</v>
      </c>
      <c r="S14" s="46">
        <f>SUM(S9:S13)</f>
        <v>99.999999999999986</v>
      </c>
      <c r="T14" s="46">
        <f>SUM(T9:T13)</f>
        <v>100</v>
      </c>
      <c r="U14" s="46">
        <f t="shared" ref="U14:X14" si="13">SUM(U9:U13)</f>
        <v>100</v>
      </c>
      <c r="V14" s="46">
        <f t="shared" si="13"/>
        <v>100</v>
      </c>
      <c r="W14" s="46">
        <f t="shared" si="13"/>
        <v>100</v>
      </c>
      <c r="X14" s="46">
        <f t="shared" si="13"/>
        <v>99.999999999999986</v>
      </c>
      <c r="Y14" s="46">
        <f>SUM(Y9:Y13)</f>
        <v>100</v>
      </c>
      <c r="Z14" s="46">
        <f>SUM(Z9:Z13)</f>
        <v>100</v>
      </c>
    </row>
    <row r="15" spans="2:26" x14ac:dyDescent="0.25">
      <c r="B15" s="52" t="s">
        <v>155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O15" s="52" t="s">
        <v>155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2:26" x14ac:dyDescent="0.25">
      <c r="B16" s="45" t="s">
        <v>15</v>
      </c>
      <c r="C16" s="42">
        <f>C97/(C83+C97)*100</f>
        <v>65.600000000000009</v>
      </c>
      <c r="D16" s="42">
        <f>D97/(D83+D97)*100</f>
        <v>64.705882352941174</v>
      </c>
      <c r="E16" s="42">
        <f>E97/(E83+E97)*100</f>
        <v>65.517241379310349</v>
      </c>
      <c r="F16" s="42">
        <f>F97/(F83+F97)*100</f>
        <v>65.517241379310349</v>
      </c>
      <c r="G16" s="42">
        <f>G97/(G83+G97)*100</f>
        <v>66.666666666666671</v>
      </c>
      <c r="H16" s="42">
        <v>0</v>
      </c>
      <c r="I16" s="42">
        <v>0</v>
      </c>
      <c r="J16" s="42">
        <f>J97/(J83+J97)*100</f>
        <v>65.986394557823118</v>
      </c>
      <c r="K16" s="42">
        <f>I97/(I83+I97)*100</f>
        <v>65.93186372745491</v>
      </c>
      <c r="L16" s="42">
        <v>0</v>
      </c>
      <c r="M16" s="42">
        <v>0</v>
      </c>
      <c r="O16" s="45" t="s">
        <v>15</v>
      </c>
      <c r="P16" s="51">
        <f t="shared" ref="P16:Z16" si="14">C16</f>
        <v>65.600000000000009</v>
      </c>
      <c r="Q16" s="51">
        <f t="shared" si="14"/>
        <v>64.705882352941174</v>
      </c>
      <c r="R16" s="51">
        <f t="shared" si="14"/>
        <v>65.517241379310349</v>
      </c>
      <c r="S16" s="51">
        <f t="shared" si="14"/>
        <v>65.517241379310349</v>
      </c>
      <c r="T16" s="51">
        <f t="shared" si="14"/>
        <v>66.666666666666671</v>
      </c>
      <c r="U16" s="51">
        <f t="shared" si="14"/>
        <v>0</v>
      </c>
      <c r="V16" s="51">
        <f t="shared" si="14"/>
        <v>0</v>
      </c>
      <c r="W16" s="51">
        <f>J16</f>
        <v>65.986394557823118</v>
      </c>
      <c r="X16" s="51">
        <f t="shared" si="14"/>
        <v>65.93186372745491</v>
      </c>
      <c r="Y16" s="51">
        <f t="shared" si="14"/>
        <v>0</v>
      </c>
      <c r="Z16" s="51">
        <f t="shared" si="14"/>
        <v>0</v>
      </c>
    </row>
    <row r="19" spans="2:13" x14ac:dyDescent="0.25">
      <c r="B19" s="55" t="s">
        <v>142</v>
      </c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</row>
    <row r="20" spans="2:13" ht="33" x14ac:dyDescent="0.25">
      <c r="B20" s="25" t="s">
        <v>131</v>
      </c>
      <c r="C20" s="26" t="s">
        <v>132</v>
      </c>
      <c r="D20" s="26" t="s">
        <v>133</v>
      </c>
      <c r="E20" s="26" t="s">
        <v>134</v>
      </c>
      <c r="F20" s="26" t="s">
        <v>135</v>
      </c>
      <c r="G20" s="26" t="s">
        <v>136</v>
      </c>
      <c r="H20" s="26" t="s">
        <v>143</v>
      </c>
      <c r="I20" s="26" t="s">
        <v>144</v>
      </c>
      <c r="J20" s="26" t="s">
        <v>145</v>
      </c>
      <c r="K20" s="26" t="s">
        <v>146</v>
      </c>
      <c r="L20" s="26" t="s">
        <v>147</v>
      </c>
      <c r="M20" s="21"/>
    </row>
    <row r="21" spans="2:13" x14ac:dyDescent="0.25">
      <c r="B21" s="27">
        <v>1990</v>
      </c>
      <c r="C21" s="23">
        <v>24.8</v>
      </c>
      <c r="D21" s="23">
        <v>48.3</v>
      </c>
      <c r="E21" s="23">
        <v>45.8</v>
      </c>
      <c r="F21" s="23">
        <v>36.700000000000003</v>
      </c>
      <c r="G21" s="23">
        <v>35</v>
      </c>
      <c r="H21" s="28" t="s">
        <v>148</v>
      </c>
      <c r="I21" s="29">
        <v>50</v>
      </c>
      <c r="J21" s="29">
        <v>100</v>
      </c>
      <c r="K21" s="29">
        <v>50</v>
      </c>
      <c r="L21" s="28" t="s">
        <v>148</v>
      </c>
      <c r="M21" s="24"/>
    </row>
    <row r="22" spans="2:13" x14ac:dyDescent="0.25">
      <c r="B22" s="27">
        <v>1995</v>
      </c>
      <c r="C22" s="23">
        <v>24.8</v>
      </c>
      <c r="D22" s="23">
        <v>48.3</v>
      </c>
      <c r="E22" s="23">
        <v>45.8</v>
      </c>
      <c r="F22" s="23">
        <v>36.700000000000003</v>
      </c>
      <c r="G22" s="23">
        <v>35</v>
      </c>
      <c r="H22" s="28" t="s">
        <v>148</v>
      </c>
      <c r="I22" s="29">
        <v>50</v>
      </c>
      <c r="J22" s="29">
        <v>100</v>
      </c>
      <c r="K22" s="29">
        <v>50</v>
      </c>
      <c r="L22" s="28" t="s">
        <v>148</v>
      </c>
      <c r="M22" s="24"/>
    </row>
    <row r="23" spans="2:13" x14ac:dyDescent="0.25">
      <c r="B23" s="27">
        <v>2000</v>
      </c>
      <c r="C23" s="23">
        <v>24.8</v>
      </c>
      <c r="D23" s="23">
        <v>51.7</v>
      </c>
      <c r="E23" s="23">
        <v>49.2</v>
      </c>
      <c r="F23" s="23">
        <v>36.700000000000003</v>
      </c>
      <c r="G23" s="23">
        <v>36.700000000000003</v>
      </c>
      <c r="H23" s="28" t="s">
        <v>148</v>
      </c>
      <c r="I23" s="29">
        <v>50</v>
      </c>
      <c r="J23" s="29">
        <v>100</v>
      </c>
      <c r="K23" s="29">
        <v>50</v>
      </c>
      <c r="L23" s="28" t="s">
        <v>148</v>
      </c>
      <c r="M23" s="24"/>
    </row>
    <row r="24" spans="2:13" x14ac:dyDescent="0.25">
      <c r="B24" s="27">
        <v>2005</v>
      </c>
      <c r="C24" s="23">
        <v>26.1</v>
      </c>
      <c r="D24" s="23">
        <v>58.9</v>
      </c>
      <c r="E24" s="23">
        <v>53.7</v>
      </c>
      <c r="F24" s="23">
        <v>30.2</v>
      </c>
      <c r="G24" s="23">
        <v>36.6</v>
      </c>
      <c r="H24" s="28" t="s">
        <v>148</v>
      </c>
      <c r="I24" s="29">
        <v>50</v>
      </c>
      <c r="J24" s="29">
        <v>100</v>
      </c>
      <c r="K24" s="29">
        <v>50</v>
      </c>
      <c r="L24" s="28" t="s">
        <v>148</v>
      </c>
      <c r="M24" s="24"/>
    </row>
    <row r="25" spans="2:13" x14ac:dyDescent="0.25">
      <c r="B25" s="27">
        <v>2010</v>
      </c>
      <c r="C25" s="23">
        <v>25</v>
      </c>
      <c r="D25" s="23">
        <v>54.1</v>
      </c>
      <c r="E25" s="23">
        <v>51.7</v>
      </c>
      <c r="F25" s="23">
        <v>26.4</v>
      </c>
      <c r="G25" s="23">
        <v>31.4</v>
      </c>
      <c r="H25" s="28" t="s">
        <v>148</v>
      </c>
      <c r="I25" s="29">
        <v>50</v>
      </c>
      <c r="J25" s="29">
        <v>100</v>
      </c>
      <c r="K25" s="29">
        <v>50</v>
      </c>
      <c r="L25" s="28" t="s">
        <v>148</v>
      </c>
      <c r="M25" s="24"/>
    </row>
    <row r="26" spans="2:13" x14ac:dyDescent="0.25">
      <c r="B26" s="27">
        <v>2015</v>
      </c>
      <c r="C26" s="23">
        <v>24.5</v>
      </c>
      <c r="D26" s="23">
        <v>52.1</v>
      </c>
      <c r="E26" s="23">
        <v>49.7</v>
      </c>
      <c r="F26" s="23">
        <v>18.600000000000001</v>
      </c>
      <c r="G26" s="23">
        <v>31.7</v>
      </c>
      <c r="H26" s="28" t="s">
        <v>148</v>
      </c>
      <c r="I26" s="29">
        <v>50</v>
      </c>
      <c r="J26" s="29">
        <v>100</v>
      </c>
      <c r="K26" s="29">
        <v>50</v>
      </c>
      <c r="L26" s="28" t="s">
        <v>148</v>
      </c>
      <c r="M26" s="24"/>
    </row>
    <row r="27" spans="2:13" x14ac:dyDescent="0.25">
      <c r="B27" s="27">
        <v>2019</v>
      </c>
      <c r="C27" s="23">
        <v>25.3</v>
      </c>
      <c r="D27" s="23">
        <v>57.4</v>
      </c>
      <c r="E27" s="23">
        <v>52.7</v>
      </c>
      <c r="F27" s="23">
        <v>23.9</v>
      </c>
      <c r="G27" s="23">
        <v>35.700000000000003</v>
      </c>
      <c r="H27" s="28" t="s">
        <v>148</v>
      </c>
      <c r="I27" s="29">
        <v>50</v>
      </c>
      <c r="J27" s="29">
        <v>100</v>
      </c>
      <c r="K27" s="29">
        <v>50</v>
      </c>
      <c r="L27" s="28" t="s">
        <v>148</v>
      </c>
      <c r="M27" s="24"/>
    </row>
    <row r="28" spans="2:13" x14ac:dyDescent="0.25">
      <c r="B28" s="27">
        <v>2020</v>
      </c>
      <c r="C28" s="23">
        <v>25.3</v>
      </c>
      <c r="D28" s="23">
        <v>57.4</v>
      </c>
      <c r="E28" s="23">
        <v>52.7</v>
      </c>
      <c r="F28" s="23">
        <v>23.9</v>
      </c>
      <c r="G28" s="23">
        <v>35.700000000000003</v>
      </c>
      <c r="H28" s="28" t="s">
        <v>148</v>
      </c>
      <c r="I28" s="29">
        <v>50</v>
      </c>
      <c r="J28" s="29">
        <v>100</v>
      </c>
      <c r="K28" s="29">
        <v>50</v>
      </c>
      <c r="L28" s="28" t="s">
        <v>148</v>
      </c>
      <c r="M28" s="24"/>
    </row>
    <row r="29" spans="2:13" x14ac:dyDescent="0.25">
      <c r="B29" s="27">
        <v>2021</v>
      </c>
      <c r="C29" s="23">
        <v>25.3</v>
      </c>
      <c r="D29" s="23">
        <v>57.4</v>
      </c>
      <c r="E29" s="23">
        <v>52.7</v>
      </c>
      <c r="F29" s="23">
        <v>23.9</v>
      </c>
      <c r="G29" s="23">
        <v>35.700000000000003</v>
      </c>
      <c r="H29" s="28" t="s">
        <v>148</v>
      </c>
      <c r="I29" s="29">
        <v>50</v>
      </c>
      <c r="J29" s="29">
        <v>100</v>
      </c>
      <c r="K29" s="29">
        <v>50</v>
      </c>
      <c r="L29" s="28" t="s">
        <v>148</v>
      </c>
      <c r="M29" s="24"/>
    </row>
    <row r="30" spans="2:13" x14ac:dyDescent="0.25">
      <c r="B30" s="39" t="s">
        <v>163</v>
      </c>
      <c r="C30" s="40">
        <f>AVERAGE(C26:C28)</f>
        <v>25.033333333333331</v>
      </c>
      <c r="D30" s="40">
        <f t="shared" ref="D30:K30" si="15">AVERAGE(D26:D28)</f>
        <v>55.633333333333333</v>
      </c>
      <c r="E30" s="40">
        <f t="shared" si="15"/>
        <v>51.70000000000001</v>
      </c>
      <c r="F30" s="40">
        <f t="shared" si="15"/>
        <v>22.133333333333336</v>
      </c>
      <c r="G30" s="40">
        <f t="shared" si="15"/>
        <v>34.366666666666667</v>
      </c>
      <c r="H30" s="40"/>
      <c r="I30" s="40">
        <f t="shared" si="15"/>
        <v>50</v>
      </c>
      <c r="J30" s="40">
        <f t="shared" si="15"/>
        <v>100</v>
      </c>
      <c r="K30" s="40">
        <f t="shared" si="15"/>
        <v>50</v>
      </c>
      <c r="L30" s="40"/>
      <c r="M30" s="24"/>
    </row>
    <row r="32" spans="2:13" x14ac:dyDescent="0.25">
      <c r="B32" s="61" t="s">
        <v>130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</row>
    <row r="33" spans="2:16" ht="65.25" x14ac:dyDescent="0.25">
      <c r="B33" s="19" t="s">
        <v>131</v>
      </c>
      <c r="C33" s="20" t="s">
        <v>132</v>
      </c>
      <c r="D33" s="20" t="s">
        <v>133</v>
      </c>
      <c r="E33" s="20" t="s">
        <v>134</v>
      </c>
      <c r="F33" s="20" t="s">
        <v>135</v>
      </c>
      <c r="G33" s="20" t="s">
        <v>136</v>
      </c>
      <c r="H33" s="20" t="s">
        <v>137</v>
      </c>
      <c r="I33" s="20" t="s">
        <v>138</v>
      </c>
      <c r="J33" s="20" t="s">
        <v>139</v>
      </c>
      <c r="K33" s="20" t="s">
        <v>140</v>
      </c>
      <c r="L33" s="20" t="s">
        <v>141</v>
      </c>
      <c r="M33" s="21"/>
    </row>
    <row r="34" spans="2:16" x14ac:dyDescent="0.25">
      <c r="B34" s="22">
        <v>1990</v>
      </c>
      <c r="C34" s="23">
        <v>22.6</v>
      </c>
      <c r="D34" s="23">
        <v>15.5</v>
      </c>
      <c r="E34" s="23">
        <v>16.3</v>
      </c>
      <c r="F34" s="23">
        <v>19</v>
      </c>
      <c r="G34" s="23">
        <v>19.5</v>
      </c>
      <c r="H34" s="23">
        <v>44</v>
      </c>
      <c r="I34" s="23">
        <v>44</v>
      </c>
      <c r="J34" s="23">
        <v>0</v>
      </c>
      <c r="K34" s="23">
        <v>25</v>
      </c>
      <c r="L34" s="23">
        <v>0</v>
      </c>
      <c r="M34" s="24"/>
    </row>
    <row r="35" spans="2:16" x14ac:dyDescent="0.25">
      <c r="B35" s="22">
        <v>1995</v>
      </c>
      <c r="C35" s="23">
        <v>30.6</v>
      </c>
      <c r="D35" s="23">
        <v>21</v>
      </c>
      <c r="E35" s="23">
        <v>22</v>
      </c>
      <c r="F35" s="23">
        <v>25.8</v>
      </c>
      <c r="G35" s="23">
        <v>26.5</v>
      </c>
      <c r="H35" s="23">
        <v>63</v>
      </c>
      <c r="I35" s="23">
        <v>63</v>
      </c>
      <c r="J35" s="23">
        <v>0</v>
      </c>
      <c r="K35" s="23">
        <v>25</v>
      </c>
      <c r="L35" s="23">
        <v>0</v>
      </c>
      <c r="M35" s="24"/>
    </row>
    <row r="36" spans="2:16" x14ac:dyDescent="0.25">
      <c r="B36" s="22">
        <v>2000</v>
      </c>
      <c r="C36" s="23">
        <v>39</v>
      </c>
      <c r="D36" s="23">
        <v>12.5</v>
      </c>
      <c r="E36" s="23">
        <v>13.2</v>
      </c>
      <c r="F36" s="23">
        <v>16.399999999999999</v>
      </c>
      <c r="G36" s="23">
        <v>16.399999999999999</v>
      </c>
      <c r="H36" s="23">
        <v>80.5</v>
      </c>
      <c r="I36" s="23">
        <v>25.8</v>
      </c>
      <c r="J36" s="23">
        <v>0</v>
      </c>
      <c r="K36" s="23">
        <v>25</v>
      </c>
      <c r="L36" s="23">
        <v>0</v>
      </c>
      <c r="M36" s="24"/>
    </row>
    <row r="37" spans="2:16" x14ac:dyDescent="0.25">
      <c r="B37" s="22">
        <v>2005</v>
      </c>
      <c r="C37" s="23">
        <v>50.8</v>
      </c>
      <c r="D37" s="23">
        <v>5.9</v>
      </c>
      <c r="E37" s="23">
        <v>19.600000000000001</v>
      </c>
      <c r="F37" s="23">
        <v>22.5</v>
      </c>
      <c r="G37" s="23">
        <v>18.899999999999999</v>
      </c>
      <c r="H37" s="23">
        <v>91.3</v>
      </c>
      <c r="I37" s="23">
        <v>31.8</v>
      </c>
      <c r="J37" s="23">
        <v>0</v>
      </c>
      <c r="K37" s="23">
        <v>20.8</v>
      </c>
      <c r="L37" s="23">
        <v>0</v>
      </c>
      <c r="M37" s="24"/>
    </row>
    <row r="38" spans="2:16" x14ac:dyDescent="0.25">
      <c r="B38" s="22">
        <v>2010</v>
      </c>
      <c r="C38" s="23">
        <v>57.1</v>
      </c>
      <c r="D38" s="23">
        <v>11.2</v>
      </c>
      <c r="E38" s="23">
        <v>22.3</v>
      </c>
      <c r="F38" s="23">
        <v>28.6</v>
      </c>
      <c r="G38" s="23">
        <v>16.8</v>
      </c>
      <c r="H38" s="23">
        <v>91.3</v>
      </c>
      <c r="I38" s="23">
        <v>60.4</v>
      </c>
      <c r="J38" s="23">
        <v>0</v>
      </c>
      <c r="K38" s="23">
        <v>12</v>
      </c>
      <c r="L38" s="23">
        <v>0</v>
      </c>
      <c r="M38" s="24"/>
    </row>
    <row r="39" spans="2:16" x14ac:dyDescent="0.25">
      <c r="B39" s="22">
        <v>2015</v>
      </c>
      <c r="C39" s="23">
        <v>60.4</v>
      </c>
      <c r="D39" s="23">
        <v>10</v>
      </c>
      <c r="E39" s="23">
        <v>24.9</v>
      </c>
      <c r="F39" s="23">
        <v>31.4</v>
      </c>
      <c r="G39" s="23">
        <v>16.100000000000001</v>
      </c>
      <c r="H39" s="23">
        <v>81.400000000000006</v>
      </c>
      <c r="I39" s="23">
        <v>49.7</v>
      </c>
      <c r="J39" s="23">
        <v>0</v>
      </c>
      <c r="K39" s="23">
        <v>9.3000000000000007</v>
      </c>
      <c r="L39" s="23">
        <v>0</v>
      </c>
      <c r="M39" s="24"/>
    </row>
    <row r="40" spans="2:16" x14ac:dyDescent="0.25">
      <c r="B40" s="22">
        <v>2019</v>
      </c>
      <c r="C40" s="23">
        <v>64.099999999999994</v>
      </c>
      <c r="D40" s="23">
        <v>9.8000000000000007</v>
      </c>
      <c r="E40" s="23">
        <v>24.2</v>
      </c>
      <c r="F40" s="23">
        <v>36.700000000000003</v>
      </c>
      <c r="G40" s="23">
        <v>16.899999999999999</v>
      </c>
      <c r="H40" s="23">
        <v>78.900000000000006</v>
      </c>
      <c r="I40" s="23">
        <v>46</v>
      </c>
      <c r="J40" s="23">
        <v>0</v>
      </c>
      <c r="K40" s="23">
        <v>6.9</v>
      </c>
      <c r="L40" s="23">
        <v>0</v>
      </c>
      <c r="M40" s="24"/>
    </row>
    <row r="41" spans="2:16" x14ac:dyDescent="0.25">
      <c r="B41" s="22">
        <v>2020</v>
      </c>
      <c r="C41" s="23">
        <v>63.8</v>
      </c>
      <c r="D41" s="23">
        <v>9.8000000000000007</v>
      </c>
      <c r="E41" s="23">
        <v>24</v>
      </c>
      <c r="F41" s="23">
        <v>36.6</v>
      </c>
      <c r="G41" s="23">
        <v>16.899999999999999</v>
      </c>
      <c r="H41" s="23">
        <v>78.3</v>
      </c>
      <c r="I41" s="23">
        <v>45.6</v>
      </c>
      <c r="J41" s="23">
        <v>0</v>
      </c>
      <c r="K41" s="23">
        <v>6.9</v>
      </c>
      <c r="L41" s="23">
        <v>0</v>
      </c>
      <c r="M41" s="24"/>
    </row>
    <row r="42" spans="2:16" x14ac:dyDescent="0.25">
      <c r="B42" s="22">
        <v>2021</v>
      </c>
      <c r="C42" s="23">
        <v>63.7</v>
      </c>
      <c r="D42" s="23">
        <v>9.6999999999999993</v>
      </c>
      <c r="E42" s="23">
        <v>24</v>
      </c>
      <c r="F42" s="23">
        <v>36.5</v>
      </c>
      <c r="G42" s="23">
        <v>16.8</v>
      </c>
      <c r="H42" s="23">
        <v>77.8</v>
      </c>
      <c r="I42" s="23">
        <v>45.4</v>
      </c>
      <c r="J42" s="23">
        <v>0</v>
      </c>
      <c r="K42" s="23">
        <v>6.9</v>
      </c>
      <c r="L42" s="23">
        <v>0</v>
      </c>
      <c r="M42" s="24"/>
    </row>
    <row r="43" spans="2:16" x14ac:dyDescent="0.25">
      <c r="B43" s="39" t="s">
        <v>163</v>
      </c>
      <c r="C43" s="40">
        <f>AVERAGE(C39:C41)</f>
        <v>62.766666666666673</v>
      </c>
      <c r="D43" s="40">
        <f t="shared" ref="D43:L43" si="16">AVERAGE(D39:D41)</f>
        <v>9.8666666666666671</v>
      </c>
      <c r="E43" s="40">
        <f t="shared" si="16"/>
        <v>24.366666666666664</v>
      </c>
      <c r="F43" s="40">
        <f t="shared" si="16"/>
        <v>34.9</v>
      </c>
      <c r="G43" s="40">
        <f t="shared" si="16"/>
        <v>16.633333333333333</v>
      </c>
      <c r="H43" s="40">
        <f t="shared" si="16"/>
        <v>79.533333333333346</v>
      </c>
      <c r="I43" s="40">
        <f t="shared" si="16"/>
        <v>47.1</v>
      </c>
      <c r="J43" s="40">
        <f t="shared" si="16"/>
        <v>0</v>
      </c>
      <c r="K43" s="40">
        <f t="shared" si="16"/>
        <v>7.7</v>
      </c>
      <c r="L43" s="40">
        <f t="shared" si="16"/>
        <v>0</v>
      </c>
      <c r="M43" s="24"/>
    </row>
    <row r="45" spans="2:16" x14ac:dyDescent="0.25">
      <c r="B45" s="55" t="s">
        <v>157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</row>
    <row r="46" spans="2:16" ht="44.25" x14ac:dyDescent="0.25">
      <c r="B46" s="35" t="s">
        <v>131</v>
      </c>
      <c r="C46" s="36" t="s">
        <v>132</v>
      </c>
      <c r="D46" s="36" t="s">
        <v>133</v>
      </c>
      <c r="E46" s="36" t="s">
        <v>134</v>
      </c>
      <c r="F46" s="36" t="s">
        <v>135</v>
      </c>
      <c r="G46" s="36" t="s">
        <v>136</v>
      </c>
      <c r="H46" s="36" t="s">
        <v>137</v>
      </c>
      <c r="I46" s="36" t="s">
        <v>138</v>
      </c>
      <c r="J46" s="36" t="s">
        <v>158</v>
      </c>
      <c r="K46" s="36" t="s">
        <v>145</v>
      </c>
      <c r="L46" s="36" t="s">
        <v>159</v>
      </c>
      <c r="M46" s="36" t="s">
        <v>146</v>
      </c>
      <c r="N46" s="36" t="s">
        <v>140</v>
      </c>
      <c r="O46" s="36" t="s">
        <v>160</v>
      </c>
      <c r="P46" s="21"/>
    </row>
    <row r="47" spans="2:16" x14ac:dyDescent="0.25">
      <c r="B47" s="22">
        <v>1990</v>
      </c>
      <c r="C47" s="23">
        <v>51.9</v>
      </c>
      <c r="D47" s="23">
        <v>28.9</v>
      </c>
      <c r="E47" s="23">
        <v>30.3</v>
      </c>
      <c r="F47" s="23">
        <v>35.5</v>
      </c>
      <c r="G47" s="23">
        <v>36.4</v>
      </c>
      <c r="H47" s="23">
        <v>54</v>
      </c>
      <c r="I47" s="23">
        <v>45</v>
      </c>
      <c r="J47" s="23">
        <v>50</v>
      </c>
      <c r="K47" s="23">
        <v>0</v>
      </c>
      <c r="L47" s="37">
        <v>100</v>
      </c>
      <c r="M47" s="23">
        <v>33</v>
      </c>
      <c r="N47" s="23">
        <v>55</v>
      </c>
      <c r="O47" s="23">
        <v>0</v>
      </c>
      <c r="P47" s="24"/>
    </row>
    <row r="48" spans="2:16" x14ac:dyDescent="0.25">
      <c r="B48" s="22">
        <v>1995</v>
      </c>
      <c r="C48" s="23">
        <v>43.8</v>
      </c>
      <c r="D48" s="23">
        <v>23.4</v>
      </c>
      <c r="E48" s="23">
        <v>24.5</v>
      </c>
      <c r="F48" s="23">
        <v>28.7</v>
      </c>
      <c r="G48" s="23">
        <v>29.4</v>
      </c>
      <c r="H48" s="23">
        <v>35</v>
      </c>
      <c r="I48" s="23">
        <v>26</v>
      </c>
      <c r="J48" s="23">
        <v>50</v>
      </c>
      <c r="K48" s="23">
        <v>0</v>
      </c>
      <c r="L48" s="37">
        <v>100</v>
      </c>
      <c r="M48" s="23">
        <v>33</v>
      </c>
      <c r="N48" s="23">
        <v>55</v>
      </c>
      <c r="O48" s="23">
        <v>0</v>
      </c>
      <c r="P48" s="24"/>
    </row>
    <row r="49" spans="2:16" x14ac:dyDescent="0.25">
      <c r="B49" s="22">
        <v>2000</v>
      </c>
      <c r="C49" s="23">
        <v>35.299999999999997</v>
      </c>
      <c r="D49" s="23">
        <v>28</v>
      </c>
      <c r="E49" s="23">
        <v>29.5</v>
      </c>
      <c r="F49" s="23">
        <v>36.700000000000003</v>
      </c>
      <c r="G49" s="23">
        <v>36.700000000000003</v>
      </c>
      <c r="H49" s="23">
        <v>18</v>
      </c>
      <c r="I49" s="23">
        <v>67</v>
      </c>
      <c r="J49" s="23">
        <v>50</v>
      </c>
      <c r="K49" s="23">
        <v>0</v>
      </c>
      <c r="L49" s="37">
        <v>100</v>
      </c>
      <c r="M49" s="23">
        <v>33</v>
      </c>
      <c r="N49" s="23">
        <v>55</v>
      </c>
      <c r="O49" s="23">
        <v>0</v>
      </c>
      <c r="P49" s="24"/>
    </row>
    <row r="50" spans="2:16" x14ac:dyDescent="0.25">
      <c r="B50" s="22">
        <v>2005</v>
      </c>
      <c r="C50" s="23">
        <v>22.4</v>
      </c>
      <c r="D50" s="23">
        <v>19</v>
      </c>
      <c r="E50" s="23">
        <v>16.7</v>
      </c>
      <c r="F50" s="23">
        <v>27.2</v>
      </c>
      <c r="G50" s="23">
        <v>22.8</v>
      </c>
      <c r="H50" s="23">
        <v>6.2</v>
      </c>
      <c r="I50" s="23">
        <v>45.6</v>
      </c>
      <c r="J50" s="23">
        <v>50</v>
      </c>
      <c r="K50" s="23">
        <v>0</v>
      </c>
      <c r="L50" s="37">
        <v>100</v>
      </c>
      <c r="M50" s="23">
        <v>33</v>
      </c>
      <c r="N50" s="23">
        <v>72.599999999999994</v>
      </c>
      <c r="O50" s="23">
        <v>0</v>
      </c>
      <c r="P50" s="24"/>
    </row>
    <row r="51" spans="2:16" x14ac:dyDescent="0.25">
      <c r="B51" s="22">
        <v>2010</v>
      </c>
      <c r="C51" s="23">
        <v>16.399999999999999</v>
      </c>
      <c r="D51" s="23">
        <v>20.100000000000001</v>
      </c>
      <c r="E51" s="23">
        <v>15.2</v>
      </c>
      <c r="F51" s="23">
        <v>25.8</v>
      </c>
      <c r="G51" s="23">
        <v>22</v>
      </c>
      <c r="H51" s="23">
        <v>5.2</v>
      </c>
      <c r="I51" s="23">
        <v>30.4</v>
      </c>
      <c r="J51" s="23">
        <v>50</v>
      </c>
      <c r="K51" s="23">
        <v>0</v>
      </c>
      <c r="L51" s="37">
        <v>100</v>
      </c>
      <c r="M51" s="23">
        <v>33</v>
      </c>
      <c r="N51" s="23">
        <v>88</v>
      </c>
      <c r="O51" s="23">
        <v>0</v>
      </c>
      <c r="P51" s="24"/>
    </row>
    <row r="52" spans="2:16" x14ac:dyDescent="0.25">
      <c r="B52" s="22">
        <v>2015</v>
      </c>
      <c r="C52" s="23">
        <v>10.8</v>
      </c>
      <c r="D52" s="23">
        <v>19.899999999999999</v>
      </c>
      <c r="E52" s="23">
        <v>11.9</v>
      </c>
      <c r="F52" s="23">
        <v>25.3</v>
      </c>
      <c r="G52" s="23">
        <v>16.100000000000001</v>
      </c>
      <c r="H52" s="23">
        <v>3.4</v>
      </c>
      <c r="I52" s="23">
        <v>36</v>
      </c>
      <c r="J52" s="23">
        <v>50</v>
      </c>
      <c r="K52" s="23">
        <v>0</v>
      </c>
      <c r="L52" s="37">
        <v>100</v>
      </c>
      <c r="M52" s="23">
        <v>33</v>
      </c>
      <c r="N52" s="23">
        <v>78.099999999999994</v>
      </c>
      <c r="O52" s="23">
        <v>0</v>
      </c>
      <c r="P52" s="24"/>
    </row>
    <row r="53" spans="2:16" x14ac:dyDescent="0.25">
      <c r="B53" s="22">
        <v>2019</v>
      </c>
      <c r="C53" s="23">
        <v>5.0999999999999996</v>
      </c>
      <c r="D53" s="23">
        <v>10.3</v>
      </c>
      <c r="E53" s="23">
        <v>7.9</v>
      </c>
      <c r="F53" s="23">
        <v>10.6</v>
      </c>
      <c r="G53" s="23">
        <v>12</v>
      </c>
      <c r="H53" s="23">
        <v>2.2999999999999998</v>
      </c>
      <c r="I53" s="23">
        <v>23.8</v>
      </c>
      <c r="J53" s="23">
        <v>50</v>
      </c>
      <c r="K53" s="23">
        <v>0</v>
      </c>
      <c r="L53" s="37">
        <v>100</v>
      </c>
      <c r="M53" s="23">
        <v>33</v>
      </c>
      <c r="N53" s="23">
        <v>89.9</v>
      </c>
      <c r="O53" s="23">
        <v>0</v>
      </c>
      <c r="P53" s="24"/>
    </row>
    <row r="54" spans="2:16" x14ac:dyDescent="0.25">
      <c r="B54" s="22">
        <v>2020</v>
      </c>
      <c r="C54" s="23">
        <v>5.0999999999999996</v>
      </c>
      <c r="D54" s="23">
        <v>10.3</v>
      </c>
      <c r="E54" s="23">
        <v>7.9</v>
      </c>
      <c r="F54" s="23">
        <v>10.6</v>
      </c>
      <c r="G54" s="23">
        <v>11.9</v>
      </c>
      <c r="H54" s="23">
        <v>2.2999999999999998</v>
      </c>
      <c r="I54" s="23">
        <v>23.8</v>
      </c>
      <c r="J54" s="23">
        <v>50</v>
      </c>
      <c r="K54" s="23">
        <v>0</v>
      </c>
      <c r="L54" s="37">
        <v>100</v>
      </c>
      <c r="M54" s="23">
        <v>33</v>
      </c>
      <c r="N54" s="23">
        <v>89.9</v>
      </c>
      <c r="O54" s="23">
        <v>0</v>
      </c>
      <c r="P54" s="24"/>
    </row>
    <row r="55" spans="2:16" x14ac:dyDescent="0.25">
      <c r="B55" s="22">
        <v>2021</v>
      </c>
      <c r="C55" s="23">
        <v>5.0999999999999996</v>
      </c>
      <c r="D55" s="23">
        <v>10.3</v>
      </c>
      <c r="E55" s="23">
        <v>7.9</v>
      </c>
      <c r="F55" s="23">
        <v>10.6</v>
      </c>
      <c r="G55" s="23">
        <v>11.9</v>
      </c>
      <c r="H55" s="23">
        <v>2.2999999999999998</v>
      </c>
      <c r="I55" s="23">
        <v>23.8</v>
      </c>
      <c r="J55" s="23">
        <v>50</v>
      </c>
      <c r="K55" s="23">
        <v>0</v>
      </c>
      <c r="L55" s="37">
        <v>100</v>
      </c>
      <c r="M55" s="23">
        <v>33</v>
      </c>
      <c r="N55" s="23">
        <v>89.9</v>
      </c>
      <c r="O55" s="23">
        <v>0</v>
      </c>
      <c r="P55" s="24"/>
    </row>
    <row r="56" spans="2:16" x14ac:dyDescent="0.25">
      <c r="B56" s="39" t="s">
        <v>163</v>
      </c>
      <c r="C56" s="40">
        <f>AVERAGE(C52:C54)</f>
        <v>7</v>
      </c>
      <c r="D56" s="40">
        <f t="shared" ref="D56:O56" si="17">AVERAGE(D52:D54)</f>
        <v>13.5</v>
      </c>
      <c r="E56" s="40">
        <f t="shared" si="17"/>
        <v>9.2333333333333343</v>
      </c>
      <c r="F56" s="40">
        <f t="shared" si="17"/>
        <v>15.5</v>
      </c>
      <c r="G56" s="40">
        <f t="shared" si="17"/>
        <v>13.333333333333334</v>
      </c>
      <c r="H56" s="40">
        <f t="shared" si="17"/>
        <v>2.6666666666666665</v>
      </c>
      <c r="I56" s="40">
        <f t="shared" si="17"/>
        <v>27.866666666666664</v>
      </c>
      <c r="J56" s="40">
        <f t="shared" si="17"/>
        <v>50</v>
      </c>
      <c r="K56" s="40">
        <f t="shared" si="17"/>
        <v>0</v>
      </c>
      <c r="L56" s="40">
        <f t="shared" si="17"/>
        <v>100</v>
      </c>
      <c r="M56" s="40">
        <f t="shared" si="17"/>
        <v>33</v>
      </c>
      <c r="N56" s="40">
        <f t="shared" si="17"/>
        <v>85.966666666666654</v>
      </c>
      <c r="O56" s="40">
        <f t="shared" si="17"/>
        <v>0</v>
      </c>
      <c r="P56" s="24"/>
    </row>
    <row r="58" spans="2:16" x14ac:dyDescent="0.25">
      <c r="B58" s="61" t="s">
        <v>161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</row>
    <row r="59" spans="2:16" ht="65.25" x14ac:dyDescent="0.25">
      <c r="B59" s="38" t="s">
        <v>131</v>
      </c>
      <c r="C59" s="36" t="s">
        <v>132</v>
      </c>
      <c r="D59" s="36" t="s">
        <v>133</v>
      </c>
      <c r="E59" s="36" t="s">
        <v>134</v>
      </c>
      <c r="F59" s="36" t="s">
        <v>135</v>
      </c>
      <c r="G59" s="36" t="s">
        <v>136</v>
      </c>
      <c r="H59" s="36" t="s">
        <v>137</v>
      </c>
      <c r="I59" s="36" t="s">
        <v>138</v>
      </c>
      <c r="J59" s="36" t="s">
        <v>162</v>
      </c>
      <c r="K59" s="36" t="s">
        <v>146</v>
      </c>
      <c r="L59" s="36" t="s">
        <v>140</v>
      </c>
      <c r="M59" s="36" t="s">
        <v>160</v>
      </c>
      <c r="N59" s="21"/>
    </row>
    <row r="60" spans="2:16" x14ac:dyDescent="0.25">
      <c r="B60" s="27">
        <v>1990</v>
      </c>
      <c r="C60" s="23">
        <v>0.8</v>
      </c>
      <c r="D60" s="23">
        <v>7.2</v>
      </c>
      <c r="E60" s="23">
        <v>7.6</v>
      </c>
      <c r="F60" s="23">
        <v>8.9</v>
      </c>
      <c r="G60" s="23">
        <v>9.1</v>
      </c>
      <c r="H60" s="23">
        <v>2</v>
      </c>
      <c r="I60" s="23">
        <v>11</v>
      </c>
      <c r="J60" s="23">
        <v>0</v>
      </c>
      <c r="K60" s="23">
        <v>2</v>
      </c>
      <c r="L60" s="23">
        <v>20</v>
      </c>
      <c r="M60" s="29">
        <v>100</v>
      </c>
      <c r="N60" s="24"/>
    </row>
    <row r="61" spans="2:16" x14ac:dyDescent="0.25">
      <c r="B61" s="27">
        <v>1995</v>
      </c>
      <c r="C61" s="23">
        <v>0.8</v>
      </c>
      <c r="D61" s="23">
        <v>7.2</v>
      </c>
      <c r="E61" s="23">
        <v>7.6</v>
      </c>
      <c r="F61" s="23">
        <v>8.9</v>
      </c>
      <c r="G61" s="23">
        <v>9.1</v>
      </c>
      <c r="H61" s="23">
        <v>2</v>
      </c>
      <c r="I61" s="23">
        <v>11</v>
      </c>
      <c r="J61" s="23">
        <v>0</v>
      </c>
      <c r="K61" s="23">
        <v>2</v>
      </c>
      <c r="L61" s="23">
        <v>20</v>
      </c>
      <c r="M61" s="29">
        <v>100</v>
      </c>
      <c r="N61" s="24"/>
    </row>
    <row r="62" spans="2:16" x14ac:dyDescent="0.25">
      <c r="B62" s="27">
        <v>2000</v>
      </c>
      <c r="C62" s="23">
        <v>0.8</v>
      </c>
      <c r="D62" s="23">
        <v>7.7</v>
      </c>
      <c r="E62" s="23">
        <v>8.1</v>
      </c>
      <c r="F62" s="23">
        <v>10.1</v>
      </c>
      <c r="G62" s="23">
        <v>10.1</v>
      </c>
      <c r="H62" s="23">
        <v>1</v>
      </c>
      <c r="I62" s="23">
        <v>7</v>
      </c>
      <c r="J62" s="23">
        <v>0</v>
      </c>
      <c r="K62" s="23">
        <v>2</v>
      </c>
      <c r="L62" s="23">
        <v>20</v>
      </c>
      <c r="M62" s="29">
        <v>100</v>
      </c>
      <c r="N62" s="24"/>
    </row>
    <row r="63" spans="2:16" x14ac:dyDescent="0.25">
      <c r="B63" s="27">
        <v>2005</v>
      </c>
      <c r="C63" s="23">
        <v>0.4</v>
      </c>
      <c r="D63" s="23">
        <v>16</v>
      </c>
      <c r="E63" s="23">
        <v>9.8000000000000007</v>
      </c>
      <c r="F63" s="23">
        <v>19.899999999999999</v>
      </c>
      <c r="G63" s="23">
        <v>21.6</v>
      </c>
      <c r="H63" s="23">
        <v>1.3</v>
      </c>
      <c r="I63" s="23">
        <v>22.1</v>
      </c>
      <c r="J63" s="23">
        <v>0</v>
      </c>
      <c r="K63" s="23">
        <v>2</v>
      </c>
      <c r="L63" s="23">
        <v>6.6</v>
      </c>
      <c r="M63" s="29">
        <v>100</v>
      </c>
      <c r="N63" s="24"/>
    </row>
    <row r="64" spans="2:16" x14ac:dyDescent="0.25">
      <c r="B64" s="27">
        <v>2010</v>
      </c>
      <c r="C64" s="23">
        <v>0.8</v>
      </c>
      <c r="D64" s="23">
        <v>14.5</v>
      </c>
      <c r="E64" s="23">
        <v>10.5</v>
      </c>
      <c r="F64" s="23">
        <v>18.8</v>
      </c>
      <c r="G64" s="23">
        <v>29.5</v>
      </c>
      <c r="H64" s="23">
        <v>0.9</v>
      </c>
      <c r="I64" s="23">
        <v>7.4</v>
      </c>
      <c r="J64" s="23">
        <v>0</v>
      </c>
      <c r="K64" s="23">
        <v>2</v>
      </c>
      <c r="L64" s="23">
        <v>0</v>
      </c>
      <c r="M64" s="29">
        <v>100</v>
      </c>
      <c r="N64" s="24"/>
    </row>
    <row r="65" spans="2:14" x14ac:dyDescent="0.25">
      <c r="B65" s="27">
        <v>2015</v>
      </c>
      <c r="C65" s="23">
        <v>0.9</v>
      </c>
      <c r="D65" s="23">
        <v>17.100000000000001</v>
      </c>
      <c r="E65" s="23">
        <v>11.9</v>
      </c>
      <c r="F65" s="23">
        <v>22.4</v>
      </c>
      <c r="G65" s="23">
        <v>34.5</v>
      </c>
      <c r="H65" s="23">
        <v>1.5</v>
      </c>
      <c r="I65" s="23">
        <v>6</v>
      </c>
      <c r="J65" s="23">
        <v>0</v>
      </c>
      <c r="K65" s="23">
        <v>2</v>
      </c>
      <c r="L65" s="23">
        <v>12.6</v>
      </c>
      <c r="M65" s="29">
        <v>100</v>
      </c>
      <c r="N65" s="24"/>
    </row>
    <row r="66" spans="2:14" x14ac:dyDescent="0.25">
      <c r="B66" s="27">
        <v>2019</v>
      </c>
      <c r="C66" s="23">
        <v>1</v>
      </c>
      <c r="D66" s="23">
        <v>21.3</v>
      </c>
      <c r="E66" s="23">
        <v>13.3</v>
      </c>
      <c r="F66" s="23">
        <v>25.6</v>
      </c>
      <c r="G66" s="23">
        <v>33.5</v>
      </c>
      <c r="H66" s="23">
        <v>1</v>
      </c>
      <c r="I66" s="23">
        <v>19.8</v>
      </c>
      <c r="J66" s="23">
        <v>0</v>
      </c>
      <c r="K66" s="23">
        <v>2</v>
      </c>
      <c r="L66" s="23">
        <v>3.2</v>
      </c>
      <c r="M66" s="29">
        <v>100</v>
      </c>
      <c r="N66" s="24"/>
    </row>
    <row r="67" spans="2:14" x14ac:dyDescent="0.25">
      <c r="B67" s="27">
        <v>2020</v>
      </c>
      <c r="C67" s="23">
        <v>1</v>
      </c>
      <c r="D67" s="23">
        <v>21.3</v>
      </c>
      <c r="E67" s="23">
        <v>13.3</v>
      </c>
      <c r="F67" s="23">
        <v>25.6</v>
      </c>
      <c r="G67" s="23">
        <v>33.5</v>
      </c>
      <c r="H67" s="23">
        <v>1</v>
      </c>
      <c r="I67" s="23">
        <v>19.8</v>
      </c>
      <c r="J67" s="23">
        <v>0</v>
      </c>
      <c r="K67" s="23">
        <v>2</v>
      </c>
      <c r="L67" s="23">
        <v>3.2</v>
      </c>
      <c r="M67" s="29">
        <v>100</v>
      </c>
      <c r="N67" s="24"/>
    </row>
    <row r="68" spans="2:14" x14ac:dyDescent="0.25">
      <c r="B68" s="27">
        <v>2021</v>
      </c>
      <c r="C68" s="23">
        <v>1</v>
      </c>
      <c r="D68" s="23">
        <v>21.2</v>
      </c>
      <c r="E68" s="23">
        <v>13.3</v>
      </c>
      <c r="F68" s="23">
        <v>25.6</v>
      </c>
      <c r="G68" s="23">
        <v>33.5</v>
      </c>
      <c r="H68" s="23">
        <v>1</v>
      </c>
      <c r="I68" s="23">
        <v>19.8</v>
      </c>
      <c r="J68" s="23">
        <v>0</v>
      </c>
      <c r="K68" s="23">
        <v>2</v>
      </c>
      <c r="L68" s="23">
        <v>3.2</v>
      </c>
      <c r="M68" s="29">
        <v>100</v>
      </c>
      <c r="N68" s="24"/>
    </row>
    <row r="69" spans="2:14" x14ac:dyDescent="0.25">
      <c r="B69" s="39" t="s">
        <v>163</v>
      </c>
      <c r="C69" s="40">
        <f>AVERAGE(C65:C67)</f>
        <v>0.96666666666666667</v>
      </c>
      <c r="D69" s="40">
        <f t="shared" ref="D69:M69" si="18">AVERAGE(D65:D67)</f>
        <v>19.900000000000002</v>
      </c>
      <c r="E69" s="40">
        <f t="shared" si="18"/>
        <v>12.833333333333334</v>
      </c>
      <c r="F69" s="40">
        <f t="shared" si="18"/>
        <v>24.533333333333331</v>
      </c>
      <c r="G69" s="40">
        <f t="shared" si="18"/>
        <v>33.833333333333336</v>
      </c>
      <c r="H69" s="40">
        <f t="shared" si="18"/>
        <v>1.1666666666666667</v>
      </c>
      <c r="I69" s="40">
        <f t="shared" si="18"/>
        <v>15.200000000000001</v>
      </c>
      <c r="J69" s="40">
        <f t="shared" si="18"/>
        <v>0</v>
      </c>
      <c r="K69" s="40">
        <f t="shared" si="18"/>
        <v>2</v>
      </c>
      <c r="L69" s="40">
        <f t="shared" si="18"/>
        <v>6.333333333333333</v>
      </c>
      <c r="M69" s="40">
        <f t="shared" si="18"/>
        <v>100</v>
      </c>
      <c r="N69" s="24"/>
    </row>
    <row r="71" spans="2:14" ht="22.5" customHeight="1" x14ac:dyDescent="0.25">
      <c r="B71" s="55" t="s">
        <v>150</v>
      </c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</row>
    <row r="72" spans="2:14" ht="24" x14ac:dyDescent="0.25">
      <c r="B72" s="56" t="s">
        <v>131</v>
      </c>
      <c r="C72" s="58" t="s">
        <v>151</v>
      </c>
      <c r="D72" s="59"/>
      <c r="E72" s="59"/>
      <c r="F72" s="59"/>
      <c r="G72" s="59"/>
      <c r="H72" s="59"/>
      <c r="I72" s="59"/>
      <c r="J72" s="59"/>
      <c r="K72" s="60"/>
      <c r="L72" s="30" t="s">
        <v>152</v>
      </c>
      <c r="M72" s="31"/>
    </row>
    <row r="73" spans="2:14" ht="49.5" x14ac:dyDescent="0.25">
      <c r="B73" s="57"/>
      <c r="C73" s="20" t="s">
        <v>132</v>
      </c>
      <c r="D73" s="32" t="s">
        <v>133</v>
      </c>
      <c r="E73" s="32" t="s">
        <v>134</v>
      </c>
      <c r="F73" s="32" t="s">
        <v>135</v>
      </c>
      <c r="G73" s="32" t="s">
        <v>136</v>
      </c>
      <c r="H73" s="20" t="s">
        <v>153</v>
      </c>
      <c r="I73" s="32" t="s">
        <v>137</v>
      </c>
      <c r="J73" s="32" t="s">
        <v>138</v>
      </c>
      <c r="K73" s="20" t="s">
        <v>143</v>
      </c>
      <c r="L73" s="20" t="s">
        <v>146</v>
      </c>
      <c r="M73" s="21"/>
    </row>
    <row r="74" spans="2:14" x14ac:dyDescent="0.25">
      <c r="B74" s="27">
        <v>1990</v>
      </c>
      <c r="C74" s="23">
        <v>0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15</v>
      </c>
      <c r="M74" s="24"/>
    </row>
    <row r="75" spans="2:14" x14ac:dyDescent="0.25">
      <c r="B75" s="27">
        <v>1995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15</v>
      </c>
      <c r="M75" s="24"/>
    </row>
    <row r="76" spans="2:14" x14ac:dyDescent="0.25">
      <c r="B76" s="27">
        <v>2000</v>
      </c>
      <c r="C76" s="23">
        <v>0</v>
      </c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0.2</v>
      </c>
      <c r="J76" s="23">
        <v>0.1</v>
      </c>
      <c r="K76" s="23">
        <v>0.1</v>
      </c>
      <c r="L76" s="23">
        <v>15</v>
      </c>
      <c r="M76" s="24"/>
    </row>
    <row r="77" spans="2:14" x14ac:dyDescent="0.25">
      <c r="B77" s="27">
        <v>2005</v>
      </c>
      <c r="C77" s="23">
        <v>0.1</v>
      </c>
      <c r="D77" s="23">
        <v>0</v>
      </c>
      <c r="E77" s="23">
        <v>0</v>
      </c>
      <c r="F77" s="23">
        <v>0.1</v>
      </c>
      <c r="G77" s="23">
        <v>0.1</v>
      </c>
      <c r="H77" s="23">
        <v>0</v>
      </c>
      <c r="I77" s="23">
        <v>0.4</v>
      </c>
      <c r="J77" s="23">
        <v>0.1</v>
      </c>
      <c r="K77" s="23">
        <v>0.3</v>
      </c>
      <c r="L77" s="23">
        <v>15</v>
      </c>
      <c r="M77" s="24"/>
    </row>
    <row r="78" spans="2:14" x14ac:dyDescent="0.25">
      <c r="B78" s="27">
        <v>2010</v>
      </c>
      <c r="C78" s="23">
        <v>0.2</v>
      </c>
      <c r="D78" s="23">
        <v>0.1</v>
      </c>
      <c r="E78" s="23">
        <v>0.1</v>
      </c>
      <c r="F78" s="23">
        <v>0.1</v>
      </c>
      <c r="G78" s="23">
        <v>0.1</v>
      </c>
      <c r="H78" s="23">
        <v>0.1</v>
      </c>
      <c r="I78" s="23">
        <v>0.8</v>
      </c>
      <c r="J78" s="23">
        <v>0.6</v>
      </c>
      <c r="K78" s="23">
        <v>0.8</v>
      </c>
      <c r="L78" s="23">
        <v>15</v>
      </c>
      <c r="M78" s="24"/>
    </row>
    <row r="79" spans="2:14" x14ac:dyDescent="0.25">
      <c r="B79" s="27">
        <v>2015</v>
      </c>
      <c r="C79" s="23">
        <v>1.2</v>
      </c>
      <c r="D79" s="23">
        <v>0.3</v>
      </c>
      <c r="E79" s="23">
        <v>0.6</v>
      </c>
      <c r="F79" s="23">
        <v>0.8</v>
      </c>
      <c r="G79" s="23">
        <v>0.5</v>
      </c>
      <c r="H79" s="23">
        <v>0.5</v>
      </c>
      <c r="I79" s="23">
        <v>4.7</v>
      </c>
      <c r="J79" s="23">
        <v>2.9</v>
      </c>
      <c r="K79" s="23">
        <v>4.2</v>
      </c>
      <c r="L79" s="23">
        <v>15</v>
      </c>
      <c r="M79" s="24"/>
    </row>
    <row r="80" spans="2:14" x14ac:dyDescent="0.25">
      <c r="B80" s="27">
        <v>2019</v>
      </c>
      <c r="C80" s="23">
        <v>1.4</v>
      </c>
      <c r="D80" s="23">
        <v>0.4</v>
      </c>
      <c r="E80" s="23">
        <v>0.6</v>
      </c>
      <c r="F80" s="23">
        <v>1</v>
      </c>
      <c r="G80" s="23">
        <v>0.6</v>
      </c>
      <c r="H80" s="23">
        <v>0.6</v>
      </c>
      <c r="I80" s="23">
        <v>5.7</v>
      </c>
      <c r="J80" s="23">
        <v>3.3</v>
      </c>
      <c r="K80" s="23">
        <v>5.0999999999999996</v>
      </c>
      <c r="L80" s="23">
        <v>15</v>
      </c>
      <c r="M80" s="24"/>
    </row>
    <row r="81" spans="2:13" x14ac:dyDescent="0.25">
      <c r="B81" s="27">
        <v>2020</v>
      </c>
      <c r="C81" s="23">
        <v>1.7</v>
      </c>
      <c r="D81" s="23">
        <v>0.5</v>
      </c>
      <c r="E81" s="23">
        <v>0.8</v>
      </c>
      <c r="F81" s="23">
        <v>1.2</v>
      </c>
      <c r="G81" s="23">
        <v>0.7</v>
      </c>
      <c r="H81" s="23">
        <v>0.7</v>
      </c>
      <c r="I81" s="23">
        <v>6.6</v>
      </c>
      <c r="J81" s="23">
        <v>3.8</v>
      </c>
      <c r="K81" s="23">
        <v>5.9</v>
      </c>
      <c r="L81" s="23">
        <v>15</v>
      </c>
      <c r="M81" s="24"/>
    </row>
    <row r="82" spans="2:13" x14ac:dyDescent="0.25">
      <c r="B82" s="27">
        <v>2021</v>
      </c>
      <c r="C82" s="23">
        <v>2</v>
      </c>
      <c r="D82" s="23">
        <v>0.5</v>
      </c>
      <c r="E82" s="23">
        <v>0.9</v>
      </c>
      <c r="F82" s="23">
        <v>1.4</v>
      </c>
      <c r="G82" s="23">
        <v>0.9</v>
      </c>
      <c r="H82" s="23">
        <v>0.9</v>
      </c>
      <c r="I82" s="23">
        <v>7.6</v>
      </c>
      <c r="J82" s="23">
        <v>4.5</v>
      </c>
      <c r="K82" s="23">
        <v>6.8</v>
      </c>
      <c r="L82" s="23">
        <v>15</v>
      </c>
      <c r="M82" s="24"/>
    </row>
    <row r="83" spans="2:13" x14ac:dyDescent="0.25">
      <c r="B83" s="39" t="s">
        <v>163</v>
      </c>
      <c r="C83" s="40">
        <f>AVERAGE(C79:C81)</f>
        <v>1.4333333333333333</v>
      </c>
      <c r="D83" s="40">
        <f t="shared" ref="D83:L83" si="19">AVERAGE(D79:D81)</f>
        <v>0.39999999999999997</v>
      </c>
      <c r="E83" s="40">
        <f t="shared" si="19"/>
        <v>0.66666666666666663</v>
      </c>
      <c r="F83" s="40">
        <f t="shared" si="19"/>
        <v>1</v>
      </c>
      <c r="G83" s="40">
        <f t="shared" si="19"/>
        <v>0.6</v>
      </c>
      <c r="H83" s="40">
        <f t="shared" si="19"/>
        <v>0.6</v>
      </c>
      <c r="I83" s="40">
        <f t="shared" si="19"/>
        <v>5.666666666666667</v>
      </c>
      <c r="J83" s="40">
        <f t="shared" si="19"/>
        <v>3.3333333333333335</v>
      </c>
      <c r="K83" s="40">
        <f t="shared" si="19"/>
        <v>5.0666666666666673</v>
      </c>
      <c r="L83" s="40">
        <f t="shared" si="19"/>
        <v>15</v>
      </c>
      <c r="M83" s="24"/>
    </row>
    <row r="85" spans="2:13" ht="28.5" customHeight="1" x14ac:dyDescent="0.25">
      <c r="B85" s="61" t="s">
        <v>154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</row>
    <row r="86" spans="2:13" x14ac:dyDescent="0.25">
      <c r="B86" s="62"/>
      <c r="C86" s="64" t="s">
        <v>155</v>
      </c>
      <c r="D86" s="65"/>
      <c r="E86" s="65"/>
      <c r="F86" s="65"/>
      <c r="G86" s="65"/>
      <c r="H86" s="65"/>
      <c r="I86" s="65"/>
      <c r="J86" s="65"/>
      <c r="K86" s="66"/>
      <c r="L86" s="24"/>
    </row>
    <row r="87" spans="2:13" ht="42" x14ac:dyDescent="0.25">
      <c r="B87" s="63"/>
      <c r="C87" s="33" t="s">
        <v>132</v>
      </c>
      <c r="D87" s="34" t="s">
        <v>133</v>
      </c>
      <c r="E87" s="34" t="s">
        <v>134</v>
      </c>
      <c r="F87" s="34" t="s">
        <v>135</v>
      </c>
      <c r="G87" s="34" t="s">
        <v>136</v>
      </c>
      <c r="H87" s="33" t="s">
        <v>153</v>
      </c>
      <c r="I87" s="34" t="s">
        <v>156</v>
      </c>
      <c r="J87" s="34" t="s">
        <v>138</v>
      </c>
      <c r="K87" s="33" t="s">
        <v>143</v>
      </c>
      <c r="L87" s="21"/>
    </row>
    <row r="88" spans="2:13" x14ac:dyDescent="0.25">
      <c r="B88" s="27">
        <v>1990</v>
      </c>
      <c r="C88" s="23">
        <v>0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31"/>
    </row>
    <row r="89" spans="2:13" x14ac:dyDescent="0.25">
      <c r="B89" s="27">
        <v>1995</v>
      </c>
      <c r="C89" s="23">
        <v>0</v>
      </c>
      <c r="D89" s="23">
        <v>0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4"/>
    </row>
    <row r="90" spans="2:13" x14ac:dyDescent="0.25">
      <c r="B90" s="27">
        <v>2000</v>
      </c>
      <c r="C90" s="23">
        <v>0.1</v>
      </c>
      <c r="D90" s="23">
        <v>0</v>
      </c>
      <c r="E90" s="23">
        <v>0</v>
      </c>
      <c r="F90" s="23">
        <v>0.1</v>
      </c>
      <c r="G90" s="23">
        <v>0.1</v>
      </c>
      <c r="H90" s="23">
        <v>0</v>
      </c>
      <c r="I90" s="23">
        <v>0.4</v>
      </c>
      <c r="J90" s="23">
        <v>0.1</v>
      </c>
      <c r="K90" s="23">
        <v>0.3</v>
      </c>
      <c r="L90" s="31"/>
    </row>
    <row r="91" spans="2:13" x14ac:dyDescent="0.25">
      <c r="B91" s="27">
        <v>2005</v>
      </c>
      <c r="C91" s="23">
        <v>0.2</v>
      </c>
      <c r="D91" s="23">
        <v>0.1</v>
      </c>
      <c r="E91" s="23">
        <v>0.1</v>
      </c>
      <c r="F91" s="23">
        <v>0.1</v>
      </c>
      <c r="G91" s="23">
        <v>0.1</v>
      </c>
      <c r="H91" s="23">
        <v>0.1</v>
      </c>
      <c r="I91" s="23">
        <v>0.9</v>
      </c>
      <c r="J91" s="23">
        <v>0.3</v>
      </c>
      <c r="K91" s="23">
        <v>0.7</v>
      </c>
      <c r="L91" s="24"/>
    </row>
    <row r="92" spans="2:13" x14ac:dyDescent="0.25">
      <c r="B92" s="27">
        <v>2010</v>
      </c>
      <c r="C92" s="23">
        <v>0.5</v>
      </c>
      <c r="D92" s="23">
        <v>0.1</v>
      </c>
      <c r="E92" s="23">
        <v>0.2</v>
      </c>
      <c r="F92" s="23">
        <v>0.3</v>
      </c>
      <c r="G92" s="23">
        <v>0.2</v>
      </c>
      <c r="H92" s="23">
        <v>0.2</v>
      </c>
      <c r="I92" s="23">
        <v>1.8</v>
      </c>
      <c r="J92" s="23">
        <v>1.2</v>
      </c>
      <c r="K92" s="23">
        <v>1.6</v>
      </c>
      <c r="L92" s="31"/>
    </row>
    <row r="93" spans="2:13" x14ac:dyDescent="0.25">
      <c r="B93" s="27">
        <v>2015</v>
      </c>
      <c r="C93" s="23">
        <v>2.2000000000000002</v>
      </c>
      <c r="D93" s="23">
        <v>0.6</v>
      </c>
      <c r="E93" s="23">
        <v>1.1000000000000001</v>
      </c>
      <c r="F93" s="23">
        <v>1.5</v>
      </c>
      <c r="G93" s="23">
        <v>1</v>
      </c>
      <c r="H93" s="23">
        <v>1</v>
      </c>
      <c r="I93" s="23">
        <v>8.9</v>
      </c>
      <c r="J93" s="23">
        <v>5.5</v>
      </c>
      <c r="K93" s="23">
        <v>8</v>
      </c>
      <c r="L93" s="31"/>
    </row>
    <row r="94" spans="2:13" x14ac:dyDescent="0.25">
      <c r="B94" s="27">
        <v>2019</v>
      </c>
      <c r="C94" s="23">
        <v>3</v>
      </c>
      <c r="D94" s="23">
        <v>0.8</v>
      </c>
      <c r="E94" s="23">
        <v>1.3</v>
      </c>
      <c r="F94" s="23">
        <v>2.1</v>
      </c>
      <c r="G94" s="23">
        <v>1.3</v>
      </c>
      <c r="H94" s="23">
        <v>1.3</v>
      </c>
      <c r="I94" s="23">
        <v>12.1</v>
      </c>
      <c r="J94" s="23">
        <v>7</v>
      </c>
      <c r="K94" s="23">
        <v>10.8</v>
      </c>
      <c r="L94" s="24"/>
    </row>
    <row r="95" spans="2:13" x14ac:dyDescent="0.25">
      <c r="B95" s="27">
        <v>2020</v>
      </c>
      <c r="C95" s="23">
        <v>3</v>
      </c>
      <c r="D95" s="23">
        <v>0.8</v>
      </c>
      <c r="E95" s="23">
        <v>1.4</v>
      </c>
      <c r="F95" s="23">
        <v>2.1</v>
      </c>
      <c r="G95" s="23">
        <v>1.3</v>
      </c>
      <c r="H95" s="23">
        <v>1.3</v>
      </c>
      <c r="I95" s="23">
        <v>11.9</v>
      </c>
      <c r="J95" s="23">
        <v>6.9</v>
      </c>
      <c r="K95" s="23">
        <v>10.6</v>
      </c>
      <c r="L95" s="31"/>
    </row>
    <row r="96" spans="2:13" x14ac:dyDescent="0.25">
      <c r="B96" s="27">
        <v>2021</v>
      </c>
      <c r="C96" s="23">
        <v>2.9</v>
      </c>
      <c r="D96" s="23">
        <v>0.8</v>
      </c>
      <c r="E96" s="23">
        <v>1.3</v>
      </c>
      <c r="F96" s="23">
        <v>2</v>
      </c>
      <c r="G96" s="23">
        <v>1.3</v>
      </c>
      <c r="H96" s="23">
        <v>1.3</v>
      </c>
      <c r="I96" s="23">
        <v>11.3</v>
      </c>
      <c r="J96" s="23">
        <v>6.6</v>
      </c>
      <c r="K96" s="23">
        <v>10.1</v>
      </c>
      <c r="L96" s="24"/>
    </row>
    <row r="97" spans="2:11" x14ac:dyDescent="0.25">
      <c r="B97" s="39" t="s">
        <v>163</v>
      </c>
      <c r="C97" s="40">
        <f>AVERAGE(C93:C95)</f>
        <v>2.7333333333333329</v>
      </c>
      <c r="D97" s="40">
        <f t="shared" ref="D97:K97" si="20">AVERAGE(D93:D95)</f>
        <v>0.73333333333333339</v>
      </c>
      <c r="E97" s="40">
        <f t="shared" si="20"/>
        <v>1.2666666666666668</v>
      </c>
      <c r="F97" s="40">
        <f t="shared" si="20"/>
        <v>1.9000000000000001</v>
      </c>
      <c r="G97" s="40">
        <f t="shared" si="20"/>
        <v>1.2</v>
      </c>
      <c r="H97" s="40">
        <f t="shared" si="20"/>
        <v>1.2</v>
      </c>
      <c r="I97" s="40">
        <f t="shared" si="20"/>
        <v>10.966666666666667</v>
      </c>
      <c r="J97" s="40">
        <f t="shared" si="20"/>
        <v>6.4666666666666659</v>
      </c>
      <c r="K97" s="40">
        <f t="shared" si="20"/>
        <v>9.7999999999999989</v>
      </c>
    </row>
  </sheetData>
  <mergeCells count="10">
    <mergeCell ref="B86:B87"/>
    <mergeCell ref="C86:K86"/>
    <mergeCell ref="B45:P45"/>
    <mergeCell ref="B58:N58"/>
    <mergeCell ref="B32:M32"/>
    <mergeCell ref="B19:M19"/>
    <mergeCell ref="B71:M71"/>
    <mergeCell ref="B72:B73"/>
    <mergeCell ref="C72:K72"/>
    <mergeCell ref="B85:L8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2024-11-24T13:49:38Z</dcterms:modified>
</cp:coreProperties>
</file>