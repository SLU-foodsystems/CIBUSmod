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feed pars csv" sheetId="8" r:id="rId3"/>
    <sheet name="pigs" sheetId="3" r:id="rId4"/>
    <sheet name="ruminants" sheetId="4" r:id="rId5"/>
    <sheet name="ruminants, roughage" sheetId="6" r:id="rId6"/>
    <sheet name="horses" sheetId="7" r:id="rId7"/>
    <sheet name="poultry" sheetId="5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2" i="1" l="1"/>
  <c r="G44" i="2"/>
  <c r="F44" i="2"/>
  <c r="E44" i="2"/>
  <c r="D44" i="2"/>
  <c r="C44" i="2"/>
  <c r="V44" i="2"/>
  <c r="U44" i="2"/>
  <c r="S44" i="2"/>
  <c r="R44" i="2"/>
  <c r="Q44" i="2"/>
  <c r="P44" i="2"/>
  <c r="O44" i="2"/>
  <c r="T44" i="2" s="1"/>
  <c r="N44" i="2"/>
  <c r="M44" i="2"/>
  <c r="K44" i="2"/>
  <c r="J44" i="2"/>
  <c r="L44" i="2" l="1"/>
  <c r="AP40" i="8" l="1"/>
  <c r="AP32" i="8"/>
  <c r="AP26" i="8"/>
  <c r="AP16" i="8"/>
  <c r="AI16" i="8"/>
  <c r="Q16" i="8"/>
  <c r="P16" i="8"/>
  <c r="AP14" i="8"/>
  <c r="AP12" i="8"/>
  <c r="AP10" i="8"/>
  <c r="AI8" i="8"/>
  <c r="Q8" i="8"/>
  <c r="D8" i="8"/>
  <c r="AI6" i="8"/>
  <c r="Z6" i="8"/>
  <c r="AI5" i="8"/>
  <c r="AH5" i="8"/>
  <c r="Y5" i="8"/>
  <c r="E5" i="8"/>
  <c r="Q4" i="8"/>
  <c r="D4" i="8"/>
  <c r="A42" i="8"/>
  <c r="J42" i="8"/>
  <c r="S42" i="8"/>
  <c r="AB42" i="8"/>
  <c r="AK42" i="8"/>
  <c r="AT42" i="8"/>
  <c r="C46" i="2"/>
  <c r="D46" i="2"/>
  <c r="AT41" i="8"/>
  <c r="AT40" i="8"/>
  <c r="AT39" i="8"/>
  <c r="AT38" i="8"/>
  <c r="AT37" i="8"/>
  <c r="AT36" i="8"/>
  <c r="AT35" i="8"/>
  <c r="AT34" i="8"/>
  <c r="AT33" i="8"/>
  <c r="AT32" i="8"/>
  <c r="AT31" i="8"/>
  <c r="AT30" i="8"/>
  <c r="AT29" i="8"/>
  <c r="AT28" i="8"/>
  <c r="AT27" i="8"/>
  <c r="AT26" i="8"/>
  <c r="AT25" i="8"/>
  <c r="AT24" i="8"/>
  <c r="AT23" i="8"/>
  <c r="AT22" i="8"/>
  <c r="AT21" i="8"/>
  <c r="AT20" i="8"/>
  <c r="AT19" i="8"/>
  <c r="AT18" i="8"/>
  <c r="AT17" i="8"/>
  <c r="AT16" i="8"/>
  <c r="AT15" i="8"/>
  <c r="AT14" i="8"/>
  <c r="AT13" i="8"/>
  <c r="AT12" i="8"/>
  <c r="AT11" i="8"/>
  <c r="AT10" i="8"/>
  <c r="AT9" i="8"/>
  <c r="AT8" i="8"/>
  <c r="AT7" i="8"/>
  <c r="AT6" i="8"/>
  <c r="AT5" i="8"/>
  <c r="AT4" i="8"/>
  <c r="AT3" i="8"/>
  <c r="AK41" i="8"/>
  <c r="AK40" i="8"/>
  <c r="AK39" i="8"/>
  <c r="AK38" i="8"/>
  <c r="AK37" i="8"/>
  <c r="AK36" i="8"/>
  <c r="AK35" i="8"/>
  <c r="AK34" i="8"/>
  <c r="AK33" i="8"/>
  <c r="AK32" i="8"/>
  <c r="AK31" i="8"/>
  <c r="AK30" i="8"/>
  <c r="AK29" i="8"/>
  <c r="AK28" i="8"/>
  <c r="AK27" i="8"/>
  <c r="AK26" i="8"/>
  <c r="AK25" i="8"/>
  <c r="AK24" i="8"/>
  <c r="AK23" i="8"/>
  <c r="AK22" i="8"/>
  <c r="AK21" i="8"/>
  <c r="AK20" i="8"/>
  <c r="AK19" i="8"/>
  <c r="AK18" i="8"/>
  <c r="AK17" i="8"/>
  <c r="AK16" i="8"/>
  <c r="AK15" i="8"/>
  <c r="AK14" i="8"/>
  <c r="AK13" i="8"/>
  <c r="AK12" i="8"/>
  <c r="AK11" i="8"/>
  <c r="AK10" i="8"/>
  <c r="AK9" i="8"/>
  <c r="AK8" i="8"/>
  <c r="AK7" i="8"/>
  <c r="AK6" i="8"/>
  <c r="AK5" i="8"/>
  <c r="AK4" i="8"/>
  <c r="AK3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3" i="8"/>
  <c r="S41" i="8"/>
  <c r="S40" i="8"/>
  <c r="S39" i="8"/>
  <c r="S38" i="8"/>
  <c r="S37" i="8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S6" i="8"/>
  <c r="S5" i="8"/>
  <c r="S4" i="8"/>
  <c r="S3" i="8"/>
  <c r="A9" i="8"/>
  <c r="J9" i="8"/>
  <c r="A10" i="8"/>
  <c r="J10" i="8"/>
  <c r="A11" i="8"/>
  <c r="J11" i="8"/>
  <c r="A12" i="8"/>
  <c r="J12" i="8"/>
  <c r="A13" i="8"/>
  <c r="J13" i="8"/>
  <c r="A14" i="8"/>
  <c r="J14" i="8"/>
  <c r="A15" i="8"/>
  <c r="J15" i="8"/>
  <c r="A16" i="8"/>
  <c r="J16" i="8"/>
  <c r="A17" i="8"/>
  <c r="J17" i="8"/>
  <c r="A18" i="8"/>
  <c r="J18" i="8"/>
  <c r="A19" i="8"/>
  <c r="J19" i="8"/>
  <c r="A20" i="8"/>
  <c r="J20" i="8"/>
  <c r="A21" i="8"/>
  <c r="J21" i="8"/>
  <c r="A22" i="8"/>
  <c r="J22" i="8"/>
  <c r="A23" i="8"/>
  <c r="J23" i="8"/>
  <c r="A24" i="8"/>
  <c r="J24" i="8"/>
  <c r="A25" i="8"/>
  <c r="J25" i="8"/>
  <c r="A26" i="8"/>
  <c r="J26" i="8"/>
  <c r="A27" i="8"/>
  <c r="J27" i="8"/>
  <c r="A28" i="8"/>
  <c r="J28" i="8"/>
  <c r="A29" i="8"/>
  <c r="J29" i="8"/>
  <c r="A30" i="8"/>
  <c r="J30" i="8"/>
  <c r="A31" i="8"/>
  <c r="J31" i="8"/>
  <c r="A32" i="8"/>
  <c r="J32" i="8"/>
  <c r="A33" i="8"/>
  <c r="J33" i="8"/>
  <c r="A34" i="8"/>
  <c r="J34" i="8"/>
  <c r="A35" i="8"/>
  <c r="J35" i="8"/>
  <c r="A36" i="8"/>
  <c r="J36" i="8"/>
  <c r="A37" i="8"/>
  <c r="J37" i="8"/>
  <c r="A38" i="8"/>
  <c r="J38" i="8"/>
  <c r="A39" i="8"/>
  <c r="J39" i="8"/>
  <c r="A40" i="8"/>
  <c r="J40" i="8"/>
  <c r="A41" i="8"/>
  <c r="J41" i="8"/>
  <c r="J8" i="8"/>
  <c r="J7" i="8"/>
  <c r="J6" i="8"/>
  <c r="J5" i="8"/>
  <c r="J4" i="8"/>
  <c r="A8" i="8"/>
  <c r="Z8" i="8" s="1"/>
  <c r="A7" i="8"/>
  <c r="AI7" i="8" s="1"/>
  <c r="A6" i="8"/>
  <c r="A5" i="8"/>
  <c r="A4" i="8"/>
  <c r="Z4" i="8" s="1"/>
  <c r="A3" i="8"/>
  <c r="AI3" i="8" s="1"/>
  <c r="J3" i="8"/>
  <c r="C34" i="2"/>
  <c r="C33" i="2"/>
  <c r="J34" i="2"/>
  <c r="O34" i="2" s="1"/>
  <c r="J33" i="2"/>
  <c r="S33" i="2" s="1"/>
  <c r="AP41" i="8" l="1"/>
  <c r="AP37" i="8"/>
  <c r="AP35" i="8"/>
  <c r="D31" i="8"/>
  <c r="AH29" i="8"/>
  <c r="X29" i="8"/>
  <c r="E29" i="8"/>
  <c r="AG29" i="8"/>
  <c r="P29" i="8"/>
  <c r="Z29" i="8"/>
  <c r="O29" i="8"/>
  <c r="AI27" i="8"/>
  <c r="Y27" i="8"/>
  <c r="O27" i="8"/>
  <c r="Z27" i="8"/>
  <c r="E27" i="8"/>
  <c r="X27" i="8"/>
  <c r="D27" i="8"/>
  <c r="AP19" i="8"/>
  <c r="Z19" i="8"/>
  <c r="P19" i="8"/>
  <c r="AG19" i="8"/>
  <c r="O19" i="8"/>
  <c r="Y19" i="8"/>
  <c r="E19" i="8"/>
  <c r="AP17" i="8"/>
  <c r="AP15" i="8"/>
  <c r="D15" i="8"/>
  <c r="AI42" i="8"/>
  <c r="Y42" i="8"/>
  <c r="O42" i="8"/>
  <c r="E42" i="8"/>
  <c r="AH42" i="8"/>
  <c r="Q42" i="8"/>
  <c r="AP42" i="8"/>
  <c r="AG42" i="8"/>
  <c r="P42" i="8"/>
  <c r="D42" i="8"/>
  <c r="Z3" i="8"/>
  <c r="P7" i="8"/>
  <c r="Z7" i="8"/>
  <c r="AG27" i="8"/>
  <c r="D3" i="8"/>
  <c r="AP36" i="8"/>
  <c r="AQ34" i="8"/>
  <c r="AP34" i="8"/>
  <c r="AI30" i="8"/>
  <c r="D30" i="8"/>
  <c r="AP28" i="8"/>
  <c r="AP24" i="8"/>
  <c r="AP22" i="8"/>
  <c r="AP18" i="8"/>
  <c r="D18" i="8"/>
  <c r="AH16" i="8"/>
  <c r="E16" i="8"/>
  <c r="Z16" i="8"/>
  <c r="D14" i="8"/>
  <c r="D12" i="8"/>
  <c r="D10" i="8"/>
  <c r="AI4" i="8"/>
  <c r="P5" i="8"/>
  <c r="Z5" i="8"/>
  <c r="D6" i="8"/>
  <c r="Q6" i="8"/>
  <c r="E7" i="8"/>
  <c r="AH7" i="8"/>
  <c r="D11" i="8"/>
  <c r="AP11" i="8"/>
  <c r="Y16" i="8"/>
  <c r="D17" i="8"/>
  <c r="Q19" i="8"/>
  <c r="P27" i="8"/>
  <c r="AI29" i="8"/>
  <c r="X42" i="8"/>
  <c r="AH19" i="8"/>
  <c r="AP23" i="8"/>
  <c r="Q29" i="8"/>
  <c r="AQ42" i="8"/>
  <c r="Q3" i="8"/>
  <c r="D7" i="8"/>
  <c r="Q7" i="8"/>
  <c r="D9" i="8"/>
  <c r="AP9" i="8"/>
  <c r="AI19" i="8"/>
  <c r="AH27" i="8"/>
  <c r="Y29" i="8"/>
  <c r="AZ42" i="8"/>
  <c r="P33" i="2"/>
  <c r="Z30" i="8" s="1"/>
  <c r="D5" i="8"/>
  <c r="Q5" i="8"/>
  <c r="Y7" i="8"/>
  <c r="D13" i="8"/>
  <c r="AP13" i="8"/>
  <c r="D16" i="8"/>
  <c r="X19" i="8"/>
  <c r="AP25" i="8"/>
  <c r="Q27" i="8"/>
  <c r="AP29" i="8"/>
  <c r="AP39" i="8"/>
  <c r="Z42" i="8"/>
  <c r="U33" i="2"/>
  <c r="F33" i="2" s="1"/>
  <c r="R34" i="2"/>
  <c r="N34" i="2"/>
  <c r="AG31" i="8" s="1"/>
  <c r="V34" i="2"/>
  <c r="G34" i="2" s="1"/>
  <c r="Q34" i="2"/>
  <c r="M34" i="2"/>
  <c r="AH31" i="8" s="1"/>
  <c r="U34" i="2"/>
  <c r="F34" i="2" s="1"/>
  <c r="P34" i="2"/>
  <c r="Q31" i="8" s="1"/>
  <c r="S34" i="2"/>
  <c r="V33" i="2"/>
  <c r="G33" i="2" s="1"/>
  <c r="M33" i="2"/>
  <c r="Y30" i="8" s="1"/>
  <c r="Q33" i="2"/>
  <c r="N33" i="2"/>
  <c r="O30" i="8" s="1"/>
  <c r="R33" i="2"/>
  <c r="O33" i="2"/>
  <c r="AI31" i="8" l="1"/>
  <c r="Q30" i="8"/>
  <c r="P30" i="8"/>
  <c r="Z31" i="8"/>
  <c r="AH30" i="8"/>
  <c r="P31" i="8"/>
  <c r="AG30" i="8"/>
  <c r="Y31" i="8"/>
  <c r="O31" i="8"/>
  <c r="X30" i="8"/>
  <c r="X31" i="8"/>
  <c r="L34" i="2"/>
  <c r="D34" i="2" s="1"/>
  <c r="E31" i="8" s="1"/>
  <c r="L33" i="2"/>
  <c r="D33" i="2" s="1"/>
  <c r="E30" i="8" s="1"/>
  <c r="R19" i="2" l="1"/>
  <c r="AB45" i="2"/>
  <c r="N22" i="2" l="1"/>
  <c r="L22" i="2"/>
  <c r="Y16" i="2"/>
  <c r="AF16" i="2" s="1"/>
  <c r="AD16" i="2" l="1"/>
  <c r="AZ13" i="8" s="1"/>
  <c r="AC16" i="2"/>
  <c r="AQ13" i="8" s="1"/>
  <c r="AH16" i="2"/>
  <c r="AJ16" i="2"/>
  <c r="AE16" i="2"/>
  <c r="AK16" i="2"/>
  <c r="Z16" i="2"/>
  <c r="K12" i="6"/>
  <c r="AG16" i="2" l="1"/>
  <c r="AA16" i="2"/>
  <c r="N19" i="2"/>
  <c r="N11" i="2"/>
  <c r="N10" i="2"/>
  <c r="N9" i="2"/>
  <c r="N8" i="2"/>
  <c r="N7" i="2"/>
  <c r="N6" i="2"/>
  <c r="AG4" i="8" l="1"/>
  <c r="O4" i="8"/>
  <c r="X4" i="8"/>
  <c r="O5" i="8"/>
  <c r="X5" i="8"/>
  <c r="AG5" i="8"/>
  <c r="O8" i="8"/>
  <c r="X8" i="8"/>
  <c r="AG8" i="8"/>
  <c r="X16" i="8"/>
  <c r="O16" i="8"/>
  <c r="AG16" i="8"/>
  <c r="O6" i="8"/>
  <c r="AG6" i="8"/>
  <c r="X6" i="8"/>
  <c r="AG3" i="8"/>
  <c r="X3" i="8"/>
  <c r="O3" i="8"/>
  <c r="AG7" i="8"/>
  <c r="O7" i="8"/>
  <c r="X7" i="8"/>
  <c r="C21" i="2"/>
  <c r="C20" i="2"/>
  <c r="C19" i="2"/>
  <c r="C18" i="2"/>
  <c r="C13" i="2"/>
  <c r="C14" i="2"/>
  <c r="C15" i="2"/>
  <c r="C16" i="2"/>
  <c r="C17" i="2"/>
  <c r="C12" i="2"/>
  <c r="V10" i="2" l="1"/>
  <c r="U10" i="2"/>
  <c r="V9" i="2"/>
  <c r="G9" i="2" s="1"/>
  <c r="U9" i="2"/>
  <c r="F9" i="2" s="1"/>
  <c r="V7" i="2"/>
  <c r="G7" i="2" s="1"/>
  <c r="U7" i="2"/>
  <c r="U11" i="2" s="1"/>
  <c r="F11" i="2" s="1"/>
  <c r="V8" i="2"/>
  <c r="G8" i="2" s="1"/>
  <c r="U8" i="2"/>
  <c r="F8" i="2" s="1"/>
  <c r="S8" i="2"/>
  <c r="P8" i="2"/>
  <c r="O8" i="2"/>
  <c r="M8" i="2"/>
  <c r="V6" i="2"/>
  <c r="G6" i="2" s="1"/>
  <c r="U6" i="2"/>
  <c r="S6" i="2"/>
  <c r="G10" i="2"/>
  <c r="F10" i="2"/>
  <c r="F7" i="2"/>
  <c r="F6" i="2"/>
  <c r="AK37" i="2"/>
  <c r="AJ37" i="2"/>
  <c r="V32" i="2"/>
  <c r="U32" i="2"/>
  <c r="V30" i="2"/>
  <c r="G30" i="2" s="1"/>
  <c r="U30" i="2"/>
  <c r="F30" i="2" s="1"/>
  <c r="V19" i="2"/>
  <c r="U19" i="2"/>
  <c r="T22" i="2"/>
  <c r="T10" i="2"/>
  <c r="E10" i="2" s="1"/>
  <c r="AI3" i="2"/>
  <c r="T3" i="2"/>
  <c r="AI37" i="2" l="1"/>
  <c r="AI16" i="2"/>
  <c r="T8" i="2"/>
  <c r="E8" i="2" s="1"/>
  <c r="T19" i="2"/>
  <c r="T34" i="2"/>
  <c r="E34" i="2" s="1"/>
  <c r="T33" i="2"/>
  <c r="E33" i="2" s="1"/>
  <c r="T32" i="2"/>
  <c r="T30" i="2"/>
  <c r="E30" i="2" s="1"/>
  <c r="V11" i="2"/>
  <c r="G11" i="2" s="1"/>
  <c r="Y38" i="2" l="1"/>
  <c r="AG37" i="2"/>
  <c r="D22" i="2"/>
  <c r="C11" i="2"/>
  <c r="C10" i="2"/>
  <c r="C9" i="2"/>
  <c r="C8" i="2"/>
  <c r="C7" i="2"/>
  <c r="C6" i="2"/>
  <c r="AA37" i="2"/>
  <c r="R30" i="2"/>
  <c r="L30" i="2" s="1"/>
  <c r="D30" i="2" s="1"/>
  <c r="L19" i="2"/>
  <c r="D19" i="2" s="1"/>
  <c r="O6" i="2"/>
  <c r="S7" i="2"/>
  <c r="S9" i="2"/>
  <c r="O9" i="2"/>
  <c r="T9" i="2" s="1"/>
  <c r="E9" i="2" s="1"/>
  <c r="M9" i="2"/>
  <c r="M7" i="2"/>
  <c r="S11" i="2"/>
  <c r="M11" i="2"/>
  <c r="O11" i="2"/>
  <c r="T11" i="2" s="1"/>
  <c r="E11" i="2" s="1"/>
  <c r="R10" i="2"/>
  <c r="L10" i="2" s="1"/>
  <c r="D10" i="2" s="1"/>
  <c r="P8" i="8" l="1"/>
  <c r="AH8" i="8"/>
  <c r="Y8" i="8"/>
  <c r="P4" i="8"/>
  <c r="Y4" i="8"/>
  <c r="AH4" i="8"/>
  <c r="P6" i="8"/>
  <c r="Y6" i="8"/>
  <c r="AH6" i="8"/>
  <c r="L32" i="1"/>
  <c r="L33" i="1"/>
  <c r="L4" i="1"/>
  <c r="T6" i="2"/>
  <c r="E6" i="2" s="1"/>
  <c r="R6" i="2"/>
  <c r="AD38" i="2"/>
  <c r="AZ35" i="8" s="1"/>
  <c r="AK38" i="2"/>
  <c r="G38" i="2" s="1"/>
  <c r="AJ38" i="2"/>
  <c r="F38" i="2" s="1"/>
  <c r="R11" i="2"/>
  <c r="L11" i="2" s="1"/>
  <c r="D11" i="2" s="1"/>
  <c r="E8" i="8" s="1"/>
  <c r="AE38" i="2"/>
  <c r="AI38" i="2" s="1"/>
  <c r="E38" i="2" s="1"/>
  <c r="AC38" i="2"/>
  <c r="AQ35" i="8" s="1"/>
  <c r="AH38" i="2"/>
  <c r="Z38" i="2"/>
  <c r="AF38" i="2"/>
  <c r="R8" i="2"/>
  <c r="L8" i="2" s="1"/>
  <c r="D8" i="2" s="1"/>
  <c r="R9" i="2"/>
  <c r="L9" i="2" s="1"/>
  <c r="D9" i="2" s="1"/>
  <c r="E6" i="8" s="1"/>
  <c r="AG38" i="2" l="1"/>
  <c r="AA38" i="2" s="1"/>
  <c r="D38" i="2" s="1"/>
  <c r="E35" i="8" s="1"/>
  <c r="L6" i="2"/>
  <c r="D6" i="2" s="1"/>
  <c r="E3" i="8" s="1"/>
  <c r="O7" i="2" l="1"/>
  <c r="T7" i="2" s="1"/>
  <c r="E7" i="2" s="1"/>
  <c r="M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P3" i="8" l="1"/>
  <c r="AH3" i="8"/>
  <c r="Y3" i="8"/>
  <c r="R7" i="2"/>
  <c r="L7" i="2" s="1"/>
  <c r="D7" i="2" s="1"/>
  <c r="E4" i="8" s="1"/>
  <c r="O120" i="1" l="1"/>
  <c r="O119" i="1"/>
  <c r="O118" i="1"/>
  <c r="O117" i="1"/>
  <c r="O116" i="1"/>
  <c r="N118" i="1"/>
  <c r="N117" i="1"/>
  <c r="N116" i="1"/>
  <c r="M120" i="1"/>
  <c r="M119" i="1"/>
  <c r="M118" i="1"/>
  <c r="M117" i="1"/>
  <c r="M116" i="1"/>
  <c r="L120" i="1"/>
  <c r="L119" i="1"/>
  <c r="L117" i="1"/>
  <c r="L116" i="1"/>
  <c r="K120" i="1"/>
  <c r="K119" i="1"/>
  <c r="K118" i="1"/>
  <c r="K117" i="1"/>
  <c r="K116" i="1"/>
  <c r="E117" i="1"/>
  <c r="E116" i="1"/>
  <c r="B116" i="1"/>
  <c r="A120" i="1"/>
  <c r="A119" i="1"/>
  <c r="A118" i="1"/>
  <c r="A117" i="1"/>
  <c r="O114" i="1"/>
  <c r="O113" i="1"/>
  <c r="O112" i="1"/>
  <c r="O111" i="1"/>
  <c r="O110" i="1"/>
  <c r="N112" i="1"/>
  <c r="N111" i="1"/>
  <c r="N110" i="1"/>
  <c r="M114" i="1"/>
  <c r="M113" i="1"/>
  <c r="M112" i="1"/>
  <c r="M111" i="1"/>
  <c r="M110" i="1"/>
  <c r="L114" i="1"/>
  <c r="L113" i="1"/>
  <c r="L111" i="1"/>
  <c r="L110" i="1"/>
  <c r="E111" i="1"/>
  <c r="E110" i="1"/>
  <c r="B110" i="1"/>
  <c r="A114" i="1"/>
  <c r="A113" i="1"/>
  <c r="A112" i="1"/>
  <c r="A111" i="1"/>
  <c r="K114" i="1"/>
  <c r="K113" i="1"/>
  <c r="K112" i="1"/>
  <c r="K111" i="1"/>
  <c r="K110" i="1"/>
  <c r="A116" i="1"/>
  <c r="A110" i="1"/>
  <c r="O108" i="1"/>
  <c r="O107" i="1"/>
  <c r="O106" i="1"/>
  <c r="O105" i="1"/>
  <c r="O104" i="1"/>
  <c r="N106" i="1"/>
  <c r="N105" i="1"/>
  <c r="N104" i="1"/>
  <c r="M108" i="1"/>
  <c r="L108" i="1"/>
  <c r="M107" i="1"/>
  <c r="L107" i="1"/>
  <c r="M106" i="1"/>
  <c r="M105" i="1"/>
  <c r="L105" i="1"/>
  <c r="M104" i="1"/>
  <c r="L104" i="1"/>
  <c r="K108" i="1"/>
  <c r="K107" i="1"/>
  <c r="K106" i="1"/>
  <c r="K105" i="1"/>
  <c r="K104" i="1"/>
  <c r="E105" i="1"/>
  <c r="E104" i="1"/>
  <c r="B104" i="1"/>
  <c r="A108" i="1"/>
  <c r="A107" i="1"/>
  <c r="A106" i="1"/>
  <c r="A105" i="1"/>
  <c r="A104" i="1"/>
  <c r="O95" i="1"/>
  <c r="O96" i="1"/>
  <c r="O97" i="1"/>
  <c r="O98" i="1"/>
  <c r="O99" i="1"/>
  <c r="O100" i="1"/>
  <c r="O101" i="1"/>
  <c r="O102" i="1"/>
  <c r="O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M102" i="1"/>
  <c r="N94" i="1"/>
  <c r="M94" i="1"/>
  <c r="L96" i="1"/>
  <c r="L97" i="1"/>
  <c r="L98" i="1"/>
  <c r="L99" i="1"/>
  <c r="L101" i="1"/>
  <c r="L102" i="1"/>
  <c r="K95" i="1"/>
  <c r="K96" i="1"/>
  <c r="K97" i="1"/>
  <c r="K98" i="1"/>
  <c r="K99" i="1"/>
  <c r="K100" i="1"/>
  <c r="K101" i="1"/>
  <c r="K102" i="1"/>
  <c r="K94" i="1"/>
  <c r="E99" i="1"/>
  <c r="E98" i="1"/>
  <c r="B98" i="1"/>
  <c r="E94" i="1"/>
  <c r="B94" i="1"/>
  <c r="A95" i="1"/>
  <c r="A96" i="1"/>
  <c r="A97" i="1"/>
  <c r="A98" i="1"/>
  <c r="A99" i="1"/>
  <c r="A100" i="1"/>
  <c r="A101" i="1"/>
  <c r="A102" i="1"/>
  <c r="A94" i="1"/>
  <c r="L91" i="1"/>
  <c r="L118" i="1" s="1"/>
  <c r="L86" i="1"/>
  <c r="L95" i="1" s="1"/>
  <c r="L85" i="1"/>
  <c r="L94" i="1" s="1"/>
  <c r="L123" i="1"/>
  <c r="L122" i="1"/>
  <c r="L112" i="1" l="1"/>
  <c r="L100" i="1"/>
  <c r="L106" i="1"/>
  <c r="AO38" i="2"/>
  <c r="AP38" i="2" s="1"/>
  <c r="C38" i="2" s="1"/>
  <c r="D35" i="8" s="1"/>
  <c r="AO13" i="2" l="1"/>
  <c r="AP13" i="2" s="1"/>
  <c r="AO14" i="2"/>
  <c r="AP14" i="2" s="1"/>
  <c r="AO15" i="2"/>
  <c r="AP15" i="2" s="1"/>
  <c r="AO16" i="2"/>
  <c r="AP16" i="2" s="1"/>
  <c r="AO17" i="2"/>
  <c r="AP17" i="2" s="1"/>
  <c r="AO18" i="2"/>
  <c r="AP18" i="2" s="1"/>
  <c r="AO22" i="2"/>
  <c r="AP22" i="2" s="1"/>
  <c r="AO25" i="2"/>
  <c r="AP25" i="2" s="1"/>
  <c r="AO27" i="2"/>
  <c r="AP27" i="2" s="1"/>
  <c r="AO31" i="2"/>
  <c r="AP31" i="2" s="1"/>
  <c r="AO32" i="2"/>
  <c r="AP32" i="2" s="1"/>
  <c r="AO43" i="2"/>
  <c r="AP43" i="2" s="1"/>
  <c r="AO45" i="2"/>
  <c r="AP45" i="2" s="1"/>
  <c r="AO12" i="2"/>
  <c r="AP12" i="2" s="1"/>
  <c r="J12" i="2"/>
  <c r="N12" i="2" s="1"/>
  <c r="X9" i="8" l="1"/>
  <c r="AG9" i="8"/>
  <c r="O9" i="8"/>
  <c r="S12" i="2"/>
  <c r="V12" i="2"/>
  <c r="U12" i="2"/>
  <c r="K12" i="2"/>
  <c r="R12" i="2"/>
  <c r="O12" i="2"/>
  <c r="T12" i="2" s="1"/>
  <c r="Q12" i="2"/>
  <c r="P12" i="2"/>
  <c r="J24" i="2"/>
  <c r="N24" i="2" s="1"/>
  <c r="C30" i="2"/>
  <c r="J16" i="2"/>
  <c r="N16" i="2" s="1"/>
  <c r="O13" i="8" l="1"/>
  <c r="X13" i="8"/>
  <c r="AG13" i="8"/>
  <c r="AG21" i="8"/>
  <c r="X21" i="8"/>
  <c r="O21" i="8"/>
  <c r="Q9" i="8"/>
  <c r="AI9" i="8"/>
  <c r="Z9" i="8"/>
  <c r="S16" i="2"/>
  <c r="V16" i="2"/>
  <c r="G16" i="2" s="1"/>
  <c r="U16" i="2"/>
  <c r="F16" i="2" s="1"/>
  <c r="S24" i="2"/>
  <c r="V24" i="2"/>
  <c r="G24" i="2" s="1"/>
  <c r="U24" i="2"/>
  <c r="F24" i="2" s="1"/>
  <c r="L12" i="2"/>
  <c r="D12" i="2" s="1"/>
  <c r="E9" i="8" s="1"/>
  <c r="L29" i="1"/>
  <c r="M16" i="2"/>
  <c r="R16" i="2"/>
  <c r="Q16" i="2"/>
  <c r="P16" i="2"/>
  <c r="O16" i="2"/>
  <c r="T16" i="2" s="1"/>
  <c r="E16" i="2" s="1"/>
  <c r="K24" i="2"/>
  <c r="C24" i="2" s="1"/>
  <c r="D21" i="8" s="1"/>
  <c r="R24" i="2"/>
  <c r="O24" i="2"/>
  <c r="T24" i="2" s="1"/>
  <c r="E24" i="2" s="1"/>
  <c r="Q24" i="2"/>
  <c r="P24" i="2"/>
  <c r="K16" i="2"/>
  <c r="L14" i="1" s="1"/>
  <c r="M24" i="2"/>
  <c r="L36" i="1"/>
  <c r="L9" i="1"/>
  <c r="L8" i="1"/>
  <c r="L5" i="1"/>
  <c r="L6" i="1"/>
  <c r="L7" i="1"/>
  <c r="Y22" i="2"/>
  <c r="J37" i="2"/>
  <c r="N37" i="2" s="1"/>
  <c r="AI21" i="8" l="1"/>
  <c r="Q21" i="8"/>
  <c r="Z21" i="8"/>
  <c r="P13" i="8"/>
  <c r="AH13" i="8"/>
  <c r="Y13" i="8"/>
  <c r="AG34" i="8"/>
  <c r="O34" i="8"/>
  <c r="X34" i="8"/>
  <c r="Y21" i="8"/>
  <c r="AH21" i="8"/>
  <c r="P21" i="8"/>
  <c r="Q13" i="8"/>
  <c r="AI13" i="8"/>
  <c r="Z13" i="8"/>
  <c r="L23" i="1"/>
  <c r="AK22" i="2"/>
  <c r="G22" i="2" s="1"/>
  <c r="AJ22" i="2"/>
  <c r="F22" i="2" s="1"/>
  <c r="S37" i="2"/>
  <c r="V37" i="2"/>
  <c r="G37" i="2" s="1"/>
  <c r="U37" i="2"/>
  <c r="F37" i="2" s="1"/>
  <c r="L16" i="2"/>
  <c r="D16" i="2" s="1"/>
  <c r="E13" i="8" s="1"/>
  <c r="L24" i="2"/>
  <c r="D24" i="2" s="1"/>
  <c r="E21" i="8" s="1"/>
  <c r="AD22" i="2"/>
  <c r="AZ19" i="8" s="1"/>
  <c r="AE22" i="2"/>
  <c r="AI22" i="2" s="1"/>
  <c r="E22" i="2" s="1"/>
  <c r="AF22" i="2"/>
  <c r="AH22" i="2"/>
  <c r="K37" i="2"/>
  <c r="C37" i="2" s="1"/>
  <c r="D34" i="8" s="1"/>
  <c r="R37" i="2"/>
  <c r="O37" i="2"/>
  <c r="T37" i="2" s="1"/>
  <c r="E37" i="2" s="1"/>
  <c r="Q37" i="2"/>
  <c r="P37" i="2"/>
  <c r="Z22" i="2"/>
  <c r="C22" i="2" s="1"/>
  <c r="D19" i="8" s="1"/>
  <c r="AC22" i="2"/>
  <c r="AQ19" i="8" s="1"/>
  <c r="M37" i="2"/>
  <c r="Q34" i="8" l="1"/>
  <c r="AI34" i="8"/>
  <c r="Z34" i="8"/>
  <c r="P34" i="8"/>
  <c r="Y34" i="8"/>
  <c r="AH34" i="8"/>
  <c r="AG22" i="2"/>
  <c r="AA22" i="2" s="1"/>
  <c r="L37" i="2"/>
  <c r="D37" i="2" s="1"/>
  <c r="E34" i="8" s="1"/>
  <c r="L20" i="1"/>
  <c r="J41" i="2"/>
  <c r="N41" i="2" s="1"/>
  <c r="J13" i="2"/>
  <c r="N13" i="2" s="1"/>
  <c r="J14" i="2"/>
  <c r="N14" i="2" s="1"/>
  <c r="J15" i="2"/>
  <c r="N15" i="2" s="1"/>
  <c r="J17" i="2"/>
  <c r="N17" i="2" s="1"/>
  <c r="J18" i="2"/>
  <c r="N18" i="2" s="1"/>
  <c r="J20" i="2"/>
  <c r="N20" i="2" s="1"/>
  <c r="J21" i="2"/>
  <c r="N21" i="2" s="1"/>
  <c r="J23" i="2"/>
  <c r="N23" i="2" s="1"/>
  <c r="J25" i="2"/>
  <c r="N25" i="2" s="1"/>
  <c r="J27" i="2"/>
  <c r="N27" i="2" s="1"/>
  <c r="J28" i="2"/>
  <c r="N28" i="2" s="1"/>
  <c r="J29" i="2"/>
  <c r="N29" i="2" s="1"/>
  <c r="J31" i="2"/>
  <c r="N31" i="2" s="1"/>
  <c r="J35" i="2"/>
  <c r="N35" i="2" s="1"/>
  <c r="J39" i="2"/>
  <c r="N39" i="2" s="1"/>
  <c r="J40" i="2"/>
  <c r="N40" i="2" s="1"/>
  <c r="J43" i="2"/>
  <c r="N43" i="2" s="1"/>
  <c r="M12" i="2"/>
  <c r="Y12" i="2"/>
  <c r="O32" i="8" l="1"/>
  <c r="X32" i="8"/>
  <c r="AG32" i="8"/>
  <c r="X17" i="8"/>
  <c r="AG17" i="8"/>
  <c r="O17" i="8"/>
  <c r="O40" i="8"/>
  <c r="AG40" i="8"/>
  <c r="X40" i="8"/>
  <c r="X22" i="8"/>
  <c r="AG22" i="8"/>
  <c r="O22" i="8"/>
  <c r="O15" i="8"/>
  <c r="AG15" i="8"/>
  <c r="X15" i="8"/>
  <c r="O10" i="8"/>
  <c r="AG10" i="8"/>
  <c r="X10" i="8"/>
  <c r="AG37" i="8"/>
  <c r="O37" i="8"/>
  <c r="X37" i="8"/>
  <c r="O26" i="8"/>
  <c r="AG26" i="8"/>
  <c r="X26" i="8"/>
  <c r="X20" i="8"/>
  <c r="O20" i="8"/>
  <c r="AG20" i="8"/>
  <c r="X14" i="8"/>
  <c r="AG14" i="8"/>
  <c r="O14" i="8"/>
  <c r="O38" i="8"/>
  <c r="X38" i="8"/>
  <c r="AG38" i="8"/>
  <c r="Y9" i="8"/>
  <c r="AH9" i="8"/>
  <c r="P9" i="8"/>
  <c r="O24" i="8"/>
  <c r="AG24" i="8"/>
  <c r="X24" i="8"/>
  <c r="O11" i="8"/>
  <c r="X11" i="8"/>
  <c r="AG11" i="8"/>
  <c r="AG28" i="8"/>
  <c r="O28" i="8"/>
  <c r="X28" i="8"/>
  <c r="X36" i="8"/>
  <c r="AG36" i="8"/>
  <c r="O36" i="8"/>
  <c r="X25" i="8"/>
  <c r="AG25" i="8"/>
  <c r="O25" i="8"/>
  <c r="O18" i="8"/>
  <c r="X18" i="8"/>
  <c r="AG18" i="8"/>
  <c r="X12" i="8"/>
  <c r="AG12" i="8"/>
  <c r="O12" i="8"/>
  <c r="S39" i="2"/>
  <c r="V39" i="2"/>
  <c r="U39" i="2"/>
  <c r="S15" i="2"/>
  <c r="V15" i="2"/>
  <c r="U15" i="2"/>
  <c r="S35" i="2"/>
  <c r="U35" i="2"/>
  <c r="V35" i="2"/>
  <c r="S31" i="2"/>
  <c r="R32" i="2" s="1"/>
  <c r="L32" i="2" s="1"/>
  <c r="V31" i="2"/>
  <c r="U31" i="2"/>
  <c r="S18" i="2"/>
  <c r="U18" i="2"/>
  <c r="V18" i="2"/>
  <c r="S13" i="2"/>
  <c r="V13" i="2"/>
  <c r="U13" i="2"/>
  <c r="AJ12" i="2"/>
  <c r="F12" i="2" s="1"/>
  <c r="AK12" i="2"/>
  <c r="G12" i="2" s="1"/>
  <c r="S28" i="2"/>
  <c r="V28" i="2"/>
  <c r="U28" i="2"/>
  <c r="S21" i="2"/>
  <c r="U21" i="2"/>
  <c r="V21" i="2"/>
  <c r="S27" i="2"/>
  <c r="U27" i="2"/>
  <c r="V27" i="2"/>
  <c r="S20" i="2"/>
  <c r="V20" i="2"/>
  <c r="U20" i="2"/>
  <c r="S14" i="2"/>
  <c r="U14" i="2"/>
  <c r="V14" i="2"/>
  <c r="S43" i="2"/>
  <c r="V43" i="2"/>
  <c r="U43" i="2"/>
  <c r="S25" i="2"/>
  <c r="V25" i="2"/>
  <c r="U25" i="2"/>
  <c r="S40" i="2"/>
  <c r="V40" i="2"/>
  <c r="U40" i="2"/>
  <c r="S29" i="2"/>
  <c r="U29" i="2"/>
  <c r="V29" i="2"/>
  <c r="S23" i="2"/>
  <c r="V23" i="2"/>
  <c r="G23" i="2" s="1"/>
  <c r="U23" i="2"/>
  <c r="F23" i="2" s="1"/>
  <c r="S17" i="2"/>
  <c r="V17" i="2"/>
  <c r="U17" i="2"/>
  <c r="S41" i="2"/>
  <c r="U41" i="2"/>
  <c r="V41" i="2"/>
  <c r="AE12" i="2"/>
  <c r="AI12" i="2" s="1"/>
  <c r="E12" i="2" s="1"/>
  <c r="AH12" i="2"/>
  <c r="AF12" i="2"/>
  <c r="K43" i="2"/>
  <c r="R43" i="2"/>
  <c r="O43" i="2"/>
  <c r="T43" i="2" s="1"/>
  <c r="Q43" i="2"/>
  <c r="P43" i="2"/>
  <c r="K31" i="2"/>
  <c r="R31" i="2"/>
  <c r="P31" i="2"/>
  <c r="O31" i="2"/>
  <c r="Q31" i="2"/>
  <c r="R25" i="2"/>
  <c r="P25" i="2"/>
  <c r="O25" i="2"/>
  <c r="Q25" i="2"/>
  <c r="K18" i="2"/>
  <c r="R18" i="2"/>
  <c r="Q18" i="2"/>
  <c r="P18" i="2"/>
  <c r="O18" i="2"/>
  <c r="T18" i="2" s="1"/>
  <c r="K13" i="2"/>
  <c r="R13" i="2"/>
  <c r="P13" i="2"/>
  <c r="O13" i="2"/>
  <c r="T13" i="2" s="1"/>
  <c r="Q13" i="2"/>
  <c r="M40" i="2"/>
  <c r="R40" i="2"/>
  <c r="O40" i="2"/>
  <c r="T40" i="2" s="1"/>
  <c r="Q40" i="2"/>
  <c r="P40" i="2"/>
  <c r="M29" i="2"/>
  <c r="R29" i="2"/>
  <c r="Q29" i="2"/>
  <c r="P29" i="2"/>
  <c r="O29" i="2"/>
  <c r="T29" i="2" s="1"/>
  <c r="M23" i="2"/>
  <c r="R23" i="2"/>
  <c r="P23" i="2"/>
  <c r="O23" i="2"/>
  <c r="T23" i="2" s="1"/>
  <c r="E23" i="2" s="1"/>
  <c r="Q23" i="2"/>
  <c r="M17" i="2"/>
  <c r="R17" i="2"/>
  <c r="P17" i="2"/>
  <c r="O17" i="2"/>
  <c r="T17" i="2" s="1"/>
  <c r="Q17" i="2"/>
  <c r="M41" i="2"/>
  <c r="R41" i="2"/>
  <c r="P41" i="2"/>
  <c r="Q41" i="2"/>
  <c r="O41" i="2"/>
  <c r="K39" i="2"/>
  <c r="R39" i="2"/>
  <c r="P39" i="2"/>
  <c r="Q39" i="2"/>
  <c r="O39" i="2"/>
  <c r="T39" i="2" s="1"/>
  <c r="K28" i="2"/>
  <c r="R28" i="2"/>
  <c r="P28" i="2"/>
  <c r="O28" i="2"/>
  <c r="T28" i="2" s="1"/>
  <c r="Q28" i="2"/>
  <c r="K21" i="2"/>
  <c r="R21" i="2"/>
  <c r="Q21" i="2"/>
  <c r="P21" i="2"/>
  <c r="O21" i="2"/>
  <c r="T21" i="2" s="1"/>
  <c r="K15" i="2"/>
  <c r="R15" i="2"/>
  <c r="P15" i="2"/>
  <c r="O15" i="2"/>
  <c r="T15" i="2" s="1"/>
  <c r="Q15" i="2"/>
  <c r="K35" i="2"/>
  <c r="R35" i="2"/>
  <c r="P35" i="2"/>
  <c r="Q35" i="2"/>
  <c r="O35" i="2"/>
  <c r="T35" i="2" s="1"/>
  <c r="K27" i="2"/>
  <c r="R27" i="2"/>
  <c r="Q27" i="2"/>
  <c r="P27" i="2"/>
  <c r="O27" i="2"/>
  <c r="T27" i="2" s="1"/>
  <c r="K20" i="2"/>
  <c r="R20" i="2"/>
  <c r="P20" i="2"/>
  <c r="O20" i="2"/>
  <c r="T20" i="2" s="1"/>
  <c r="Q20" i="2"/>
  <c r="K14" i="2"/>
  <c r="R14" i="2"/>
  <c r="Q14" i="2"/>
  <c r="P14" i="2"/>
  <c r="O14" i="2"/>
  <c r="K25" i="2"/>
  <c r="M25" i="2"/>
  <c r="K41" i="2"/>
  <c r="M35" i="2"/>
  <c r="M27" i="2"/>
  <c r="M20" i="2"/>
  <c r="M14" i="2"/>
  <c r="K40" i="2"/>
  <c r="K29" i="2"/>
  <c r="K23" i="2"/>
  <c r="C23" i="2" s="1"/>
  <c r="D20" i="8" s="1"/>
  <c r="K17" i="2"/>
  <c r="M43" i="2"/>
  <c r="M39" i="2"/>
  <c r="M31" i="2"/>
  <c r="M28" i="2"/>
  <c r="M21" i="2"/>
  <c r="M18" i="2"/>
  <c r="M15" i="2"/>
  <c r="M13" i="2"/>
  <c r="Y45" i="2"/>
  <c r="Y13" i="2"/>
  <c r="Y14" i="2"/>
  <c r="Y15" i="2"/>
  <c r="Z15" i="2" s="1"/>
  <c r="Y17" i="2"/>
  <c r="Y18" i="2"/>
  <c r="Y19" i="2"/>
  <c r="Y20" i="2"/>
  <c r="Y21" i="2"/>
  <c r="Y25" i="2"/>
  <c r="Y26" i="2"/>
  <c r="Y27" i="2"/>
  <c r="Y28" i="2"/>
  <c r="Y29" i="2"/>
  <c r="Y31" i="2"/>
  <c r="Y32" i="2"/>
  <c r="Y35" i="2"/>
  <c r="Y36" i="2"/>
  <c r="Y39" i="2"/>
  <c r="Y40" i="2"/>
  <c r="Y41" i="2"/>
  <c r="Y42" i="2"/>
  <c r="Y43" i="2"/>
  <c r="AC12" i="2"/>
  <c r="AQ9" i="8" s="1"/>
  <c r="Y10" i="8" l="1"/>
  <c r="P10" i="8"/>
  <c r="AH10" i="8"/>
  <c r="AI11" i="8"/>
  <c r="Q11" i="8"/>
  <c r="Z11" i="8"/>
  <c r="Z22" i="8"/>
  <c r="Q22" i="8"/>
  <c r="AI22" i="8"/>
  <c r="Y12" i="8"/>
  <c r="P12" i="8"/>
  <c r="AH12" i="8"/>
  <c r="AH28" i="8"/>
  <c r="Y28" i="8"/>
  <c r="P28" i="8"/>
  <c r="AH17" i="8"/>
  <c r="Y17" i="8"/>
  <c r="P17" i="8"/>
  <c r="AI18" i="8"/>
  <c r="Z18" i="8"/>
  <c r="Q18" i="8"/>
  <c r="AI38" i="8"/>
  <c r="Z38" i="8"/>
  <c r="Q38" i="8"/>
  <c r="P15" i="8"/>
  <c r="AH15" i="8"/>
  <c r="Y15" i="8"/>
  <c r="Y36" i="8"/>
  <c r="P36" i="8"/>
  <c r="AH36" i="8"/>
  <c r="AH24" i="8"/>
  <c r="P24" i="8"/>
  <c r="Y24" i="8"/>
  <c r="Z17" i="8"/>
  <c r="AI17" i="8"/>
  <c r="Q17" i="8"/>
  <c r="Z24" i="8"/>
  <c r="AI24" i="8"/>
  <c r="Q24" i="8"/>
  <c r="AI14" i="8"/>
  <c r="Q14" i="8"/>
  <c r="Z14" i="8"/>
  <c r="P26" i="8"/>
  <c r="AH26" i="8"/>
  <c r="Y26" i="8"/>
  <c r="Z10" i="8"/>
  <c r="Q10" i="8"/>
  <c r="AI10" i="8"/>
  <c r="Z15" i="8"/>
  <c r="Q15" i="8"/>
  <c r="AI15" i="8"/>
  <c r="Y25" i="8"/>
  <c r="P25" i="8"/>
  <c r="AH25" i="8"/>
  <c r="P11" i="8"/>
  <c r="AH11" i="8"/>
  <c r="Y11" i="8"/>
  <c r="Q32" i="8"/>
  <c r="AI32" i="8"/>
  <c r="Z32" i="8"/>
  <c r="Q36" i="8"/>
  <c r="AI36" i="8"/>
  <c r="Z36" i="8"/>
  <c r="P14" i="8"/>
  <c r="AH14" i="8"/>
  <c r="Y14" i="8"/>
  <c r="AI28" i="8"/>
  <c r="Z28" i="8"/>
  <c r="Q28" i="8"/>
  <c r="Y22" i="8"/>
  <c r="P22" i="8"/>
  <c r="AH22" i="8"/>
  <c r="AI12" i="8"/>
  <c r="Q12" i="8"/>
  <c r="Z12" i="8"/>
  <c r="Y20" i="8"/>
  <c r="P20" i="8"/>
  <c r="AH20" i="8"/>
  <c r="P18" i="8"/>
  <c r="AH18" i="8"/>
  <c r="Y18" i="8"/>
  <c r="AH40" i="8"/>
  <c r="P40" i="8"/>
  <c r="Y40" i="8"/>
  <c r="P32" i="8"/>
  <c r="Y32" i="8"/>
  <c r="AH32" i="8"/>
  <c r="Q25" i="8"/>
  <c r="Z25" i="8"/>
  <c r="AI25" i="8"/>
  <c r="AH38" i="8"/>
  <c r="P38" i="8"/>
  <c r="Y38" i="8"/>
  <c r="Z20" i="8"/>
  <c r="AI20" i="8"/>
  <c r="Q20" i="8"/>
  <c r="Z26" i="8"/>
  <c r="Q26" i="8"/>
  <c r="AI26" i="8"/>
  <c r="Q37" i="8"/>
  <c r="Z37" i="8"/>
  <c r="AI37" i="8"/>
  <c r="AH37" i="8"/>
  <c r="Y37" i="8"/>
  <c r="P37" i="8"/>
  <c r="Q40" i="8"/>
  <c r="AI40" i="8"/>
  <c r="Z40" i="8"/>
  <c r="D32" i="2"/>
  <c r="N32" i="2"/>
  <c r="AJ35" i="2"/>
  <c r="AK35" i="2"/>
  <c r="G35" i="2" s="1"/>
  <c r="AJ17" i="2"/>
  <c r="F17" i="2" s="1"/>
  <c r="AK17" i="2"/>
  <c r="G17" i="2" s="1"/>
  <c r="AJ45" i="2"/>
  <c r="F45" i="2" s="1"/>
  <c r="AK45" i="2"/>
  <c r="G45" i="2" s="1"/>
  <c r="L41" i="2"/>
  <c r="D41" i="2" s="1"/>
  <c r="E38" i="8" s="1"/>
  <c r="T41" i="2"/>
  <c r="F35" i="2"/>
  <c r="AJ40" i="2"/>
  <c r="F40" i="2" s="1"/>
  <c r="AK40" i="2"/>
  <c r="G40" i="2" s="1"/>
  <c r="AJ32" i="2"/>
  <c r="F32" i="2" s="1"/>
  <c r="AK32" i="2"/>
  <c r="G32" i="2" s="1"/>
  <c r="AJ27" i="2"/>
  <c r="F27" i="2" s="1"/>
  <c r="AK27" i="2"/>
  <c r="G27" i="2" s="1"/>
  <c r="AK20" i="2"/>
  <c r="G20" i="2" s="1"/>
  <c r="AJ20" i="2"/>
  <c r="F20" i="2" s="1"/>
  <c r="AK15" i="2"/>
  <c r="G15" i="2" s="1"/>
  <c r="AJ15" i="2"/>
  <c r="F15" i="2" s="1"/>
  <c r="AK28" i="2"/>
  <c r="G28" i="2" s="1"/>
  <c r="AJ28" i="2"/>
  <c r="F28" i="2" s="1"/>
  <c r="L14" i="2"/>
  <c r="D14" i="2" s="1"/>
  <c r="E11" i="8" s="1"/>
  <c r="T14" i="2"/>
  <c r="L25" i="2"/>
  <c r="D25" i="2" s="1"/>
  <c r="E22" i="8" s="1"/>
  <c r="T25" i="2"/>
  <c r="L31" i="2"/>
  <c r="D31" i="2" s="1"/>
  <c r="E28" i="8" s="1"/>
  <c r="T31" i="2"/>
  <c r="AK43" i="2"/>
  <c r="G43" i="2" s="1"/>
  <c r="AJ43" i="2"/>
  <c r="F43" i="2" s="1"/>
  <c r="AK39" i="2"/>
  <c r="G39" i="2" s="1"/>
  <c r="AJ39" i="2"/>
  <c r="F39" i="2" s="1"/>
  <c r="AK31" i="2"/>
  <c r="G31" i="2" s="1"/>
  <c r="AJ31" i="2"/>
  <c r="F31" i="2" s="1"/>
  <c r="AK26" i="2"/>
  <c r="G26" i="2" s="1"/>
  <c r="AJ26" i="2"/>
  <c r="F26" i="2" s="1"/>
  <c r="AJ19" i="2"/>
  <c r="F19" i="2" s="1"/>
  <c r="AK19" i="2"/>
  <c r="G19" i="2" s="1"/>
  <c r="AJ14" i="2"/>
  <c r="F14" i="2" s="1"/>
  <c r="AK14" i="2"/>
  <c r="G14" i="2" s="1"/>
  <c r="AK41" i="2"/>
  <c r="G41" i="2" s="1"/>
  <c r="AJ41" i="2"/>
  <c r="F41" i="2" s="1"/>
  <c r="AJ21" i="2"/>
  <c r="F21" i="2" s="1"/>
  <c r="AK21" i="2"/>
  <c r="G21" i="2" s="1"/>
  <c r="AJ42" i="2"/>
  <c r="F42" i="2" s="1"/>
  <c r="AK42" i="2"/>
  <c r="G42" i="2" s="1"/>
  <c r="AK36" i="2"/>
  <c r="G36" i="2" s="1"/>
  <c r="AJ36" i="2"/>
  <c r="F36" i="2" s="1"/>
  <c r="AJ29" i="2"/>
  <c r="F29" i="2" s="1"/>
  <c r="AK29" i="2"/>
  <c r="G29" i="2" s="1"/>
  <c r="AJ25" i="2"/>
  <c r="F25" i="2" s="1"/>
  <c r="AK25" i="2"/>
  <c r="G25" i="2" s="1"/>
  <c r="AK18" i="2"/>
  <c r="G18" i="2" s="1"/>
  <c r="AJ18" i="2"/>
  <c r="F18" i="2" s="1"/>
  <c r="AK13" i="2"/>
  <c r="G13" i="2" s="1"/>
  <c r="AJ13" i="2"/>
  <c r="F13" i="2" s="1"/>
  <c r="L15" i="2"/>
  <c r="L21" i="2"/>
  <c r="D21" i="2" s="1"/>
  <c r="E18" i="8" s="1"/>
  <c r="L20" i="2"/>
  <c r="D20" i="2" s="1"/>
  <c r="E17" i="8" s="1"/>
  <c r="L27" i="2"/>
  <c r="D27" i="2" s="1"/>
  <c r="E24" i="8" s="1"/>
  <c r="L17" i="2"/>
  <c r="D17" i="2" s="1"/>
  <c r="E14" i="8" s="1"/>
  <c r="L40" i="2"/>
  <c r="D40" i="2" s="1"/>
  <c r="E37" i="8" s="1"/>
  <c r="L13" i="2"/>
  <c r="D13" i="2" s="1"/>
  <c r="E10" i="8" s="1"/>
  <c r="L18" i="2"/>
  <c r="D18" i="2" s="1"/>
  <c r="E15" i="8" s="1"/>
  <c r="L43" i="2"/>
  <c r="D43" i="2" s="1"/>
  <c r="E40" i="8" s="1"/>
  <c r="L35" i="2"/>
  <c r="D35" i="2" s="1"/>
  <c r="E32" i="8" s="1"/>
  <c r="L28" i="2"/>
  <c r="D28" i="2" s="1"/>
  <c r="E25" i="8" s="1"/>
  <c r="L39" i="2"/>
  <c r="D39" i="2" s="1"/>
  <c r="E36" i="8" s="1"/>
  <c r="L23" i="2"/>
  <c r="D23" i="2" s="1"/>
  <c r="E20" i="8" s="1"/>
  <c r="L29" i="2"/>
  <c r="D29" i="2" s="1"/>
  <c r="E26" i="8" s="1"/>
  <c r="AG12" i="2"/>
  <c r="AA12" i="2" s="1"/>
  <c r="Z41" i="2"/>
  <c r="C41" i="2" s="1"/>
  <c r="AE41" i="2"/>
  <c r="AI41" i="2" s="1"/>
  <c r="AF41" i="2"/>
  <c r="AH41" i="2"/>
  <c r="Z35" i="2"/>
  <c r="C35" i="2" s="1"/>
  <c r="D32" i="8" s="1"/>
  <c r="AE35" i="2"/>
  <c r="AI35" i="2" s="1"/>
  <c r="E35" i="2" s="1"/>
  <c r="AF35" i="2"/>
  <c r="AH35" i="2"/>
  <c r="Z28" i="2"/>
  <c r="C28" i="2" s="1"/>
  <c r="D25" i="8" s="1"/>
  <c r="AE28" i="2"/>
  <c r="AI28" i="2" s="1"/>
  <c r="E28" i="2" s="1"/>
  <c r="AF28" i="2"/>
  <c r="AH28" i="2"/>
  <c r="Z21" i="2"/>
  <c r="L19" i="1" s="1"/>
  <c r="AE21" i="2"/>
  <c r="AI21" i="2" s="1"/>
  <c r="E21" i="2" s="1"/>
  <c r="AH21" i="2"/>
  <c r="AF21" i="2"/>
  <c r="Z17" i="2"/>
  <c r="AH17" i="2"/>
  <c r="AE17" i="2"/>
  <c r="AI17" i="2" s="1"/>
  <c r="E17" i="2" s="1"/>
  <c r="AF17" i="2"/>
  <c r="AD45" i="2"/>
  <c r="AZ41" i="8" s="1"/>
  <c r="AH45" i="2"/>
  <c r="AE45" i="2"/>
  <c r="AI45" i="2" s="1"/>
  <c r="E45" i="2" s="1"/>
  <c r="AF45" i="2"/>
  <c r="AD40" i="2"/>
  <c r="AZ37" i="8" s="1"/>
  <c r="AH40" i="2"/>
  <c r="AE40" i="2"/>
  <c r="AI40" i="2" s="1"/>
  <c r="E40" i="2" s="1"/>
  <c r="AF40" i="2"/>
  <c r="AD32" i="2"/>
  <c r="AZ29" i="8" s="1"/>
  <c r="AH32" i="2"/>
  <c r="AE32" i="2"/>
  <c r="AI32" i="2" s="1"/>
  <c r="E32" i="2" s="1"/>
  <c r="AF32" i="2"/>
  <c r="AD27" i="2"/>
  <c r="AZ24" i="8" s="1"/>
  <c r="AE27" i="2"/>
  <c r="AI27" i="2" s="1"/>
  <c r="E27" i="2" s="1"/>
  <c r="AH27" i="2"/>
  <c r="AF27" i="2"/>
  <c r="AD20" i="2"/>
  <c r="AZ17" i="8" s="1"/>
  <c r="AH20" i="2"/>
  <c r="AF20" i="2"/>
  <c r="AE20" i="2"/>
  <c r="AI20" i="2" s="1"/>
  <c r="E20" i="2" s="1"/>
  <c r="AD15" i="2"/>
  <c r="AZ12" i="8" s="1"/>
  <c r="AH15" i="2"/>
  <c r="AF15" i="2"/>
  <c r="AE15" i="2"/>
  <c r="AI15" i="2" s="1"/>
  <c r="E15" i="2" s="1"/>
  <c r="AC43" i="2"/>
  <c r="AQ40" i="8" s="1"/>
  <c r="AH43" i="2"/>
  <c r="AF43" i="2"/>
  <c r="AE43" i="2"/>
  <c r="AI43" i="2" s="1"/>
  <c r="E43" i="2" s="1"/>
  <c r="AC39" i="2"/>
  <c r="AQ36" i="8" s="1"/>
  <c r="AH39" i="2"/>
  <c r="AF39" i="2"/>
  <c r="AE39" i="2"/>
  <c r="AI39" i="2" s="1"/>
  <c r="E39" i="2" s="1"/>
  <c r="AC31" i="2"/>
  <c r="AQ28" i="8" s="1"/>
  <c r="AH31" i="2"/>
  <c r="AF31" i="2"/>
  <c r="AE31" i="2"/>
  <c r="AI31" i="2" s="1"/>
  <c r="AC26" i="2"/>
  <c r="AQ23" i="8" s="1"/>
  <c r="AH26" i="2"/>
  <c r="AF26" i="2"/>
  <c r="AE26" i="2"/>
  <c r="AI26" i="2" s="1"/>
  <c r="E26" i="2" s="1"/>
  <c r="AC19" i="2"/>
  <c r="AQ16" i="8" s="1"/>
  <c r="AF19" i="2"/>
  <c r="AE19" i="2"/>
  <c r="AI19" i="2" s="1"/>
  <c r="E19" i="2" s="1"/>
  <c r="AH19" i="2"/>
  <c r="AC14" i="2"/>
  <c r="AQ11" i="8" s="1"/>
  <c r="AF14" i="2"/>
  <c r="AH14" i="2"/>
  <c r="AE14" i="2"/>
  <c r="AI14" i="2" s="1"/>
  <c r="Z42" i="2"/>
  <c r="C42" i="2" s="1"/>
  <c r="D39" i="8" s="1"/>
  <c r="AF42" i="2"/>
  <c r="AE42" i="2"/>
  <c r="AI42" i="2" s="1"/>
  <c r="E42" i="2" s="1"/>
  <c r="AH42" i="2"/>
  <c r="Z36" i="2"/>
  <c r="C36" i="2" s="1"/>
  <c r="D33" i="8" s="1"/>
  <c r="AF36" i="2"/>
  <c r="AE36" i="2"/>
  <c r="AI36" i="2" s="1"/>
  <c r="E36" i="2" s="1"/>
  <c r="AH36" i="2"/>
  <c r="Z29" i="2"/>
  <c r="C29" i="2" s="1"/>
  <c r="D26" i="8" s="1"/>
  <c r="AF29" i="2"/>
  <c r="AH29" i="2"/>
  <c r="AE29" i="2"/>
  <c r="AI29" i="2" s="1"/>
  <c r="E29" i="2" s="1"/>
  <c r="Z25" i="2"/>
  <c r="C25" i="2" s="1"/>
  <c r="D22" i="8" s="1"/>
  <c r="AF25" i="2"/>
  <c r="AE25" i="2"/>
  <c r="AI25" i="2" s="1"/>
  <c r="AH25" i="2"/>
  <c r="Z18" i="2"/>
  <c r="AE18" i="2"/>
  <c r="AI18" i="2" s="1"/>
  <c r="E18" i="2" s="1"/>
  <c r="AF18" i="2"/>
  <c r="AH18" i="2"/>
  <c r="Z13" i="2"/>
  <c r="L11" i="1" s="1"/>
  <c r="AE13" i="2"/>
  <c r="AI13" i="2" s="1"/>
  <c r="E13" i="2" s="1"/>
  <c r="AF13" i="2"/>
  <c r="AH13" i="2"/>
  <c r="L16" i="1"/>
  <c r="L22" i="1"/>
  <c r="Z43" i="2"/>
  <c r="C43" i="2" s="1"/>
  <c r="D40" i="8" s="1"/>
  <c r="Z39" i="2"/>
  <c r="C39" i="2" s="1"/>
  <c r="D36" i="8" s="1"/>
  <c r="Z31" i="2"/>
  <c r="C31" i="2" s="1"/>
  <c r="D28" i="8" s="1"/>
  <c r="Z26" i="2"/>
  <c r="C26" i="2" s="1"/>
  <c r="D23" i="8" s="1"/>
  <c r="Z19" i="2"/>
  <c r="Z14" i="2"/>
  <c r="AD42" i="2"/>
  <c r="AZ39" i="8" s="1"/>
  <c r="AD36" i="2"/>
  <c r="AZ33" i="8" s="1"/>
  <c r="AD29" i="2"/>
  <c r="AZ26" i="8" s="1"/>
  <c r="AD25" i="2"/>
  <c r="AZ22" i="8" s="1"/>
  <c r="AD18" i="2"/>
  <c r="AZ15" i="8" s="1"/>
  <c r="AD13" i="2"/>
  <c r="AZ10" i="8" s="1"/>
  <c r="AC45" i="2"/>
  <c r="AQ41" i="8" s="1"/>
  <c r="AD41" i="2"/>
  <c r="AZ38" i="8" s="1"/>
  <c r="AD35" i="2"/>
  <c r="AZ32" i="8" s="1"/>
  <c r="AD28" i="2"/>
  <c r="AZ25" i="8" s="1"/>
  <c r="AD21" i="2"/>
  <c r="AZ18" i="8" s="1"/>
  <c r="AD17" i="2"/>
  <c r="AZ14" i="8" s="1"/>
  <c r="Z45" i="2"/>
  <c r="C45" i="2" s="1"/>
  <c r="D41" i="8" s="1"/>
  <c r="AC41" i="2"/>
  <c r="AQ38" i="8" s="1"/>
  <c r="AC35" i="2"/>
  <c r="AQ32" i="8" s="1"/>
  <c r="AC28" i="2"/>
  <c r="AQ25" i="8" s="1"/>
  <c r="AC21" i="2"/>
  <c r="AQ18" i="8" s="1"/>
  <c r="AC17" i="2"/>
  <c r="AQ14" i="8" s="1"/>
  <c r="Z12" i="2"/>
  <c r="AC40" i="2"/>
  <c r="AQ37" i="8" s="1"/>
  <c r="Z40" i="2"/>
  <c r="C40" i="2" s="1"/>
  <c r="D37" i="8" s="1"/>
  <c r="Z20" i="2"/>
  <c r="AC32" i="2"/>
  <c r="AQ29" i="8" s="1"/>
  <c r="AC15" i="2"/>
  <c r="AQ12" i="8" s="1"/>
  <c r="AD12" i="2"/>
  <c r="AZ9" i="8" s="1"/>
  <c r="AD43" i="2"/>
  <c r="AZ40" i="8" s="1"/>
  <c r="AC42" i="2"/>
  <c r="AQ39" i="8" s="1"/>
  <c r="AD39" i="2"/>
  <c r="AZ36" i="8" s="1"/>
  <c r="AC36" i="2"/>
  <c r="AQ33" i="8" s="1"/>
  <c r="AD31" i="2"/>
  <c r="AZ28" i="8" s="1"/>
  <c r="AC29" i="2"/>
  <c r="AQ26" i="8" s="1"/>
  <c r="AD26" i="2"/>
  <c r="AZ23" i="8" s="1"/>
  <c r="AC25" i="2"/>
  <c r="AQ22" i="8" s="1"/>
  <c r="AD19" i="2"/>
  <c r="AZ16" i="8" s="1"/>
  <c r="AC18" i="2"/>
  <c r="AQ15" i="8" s="1"/>
  <c r="AD14" i="2"/>
  <c r="AZ11" i="8" s="1"/>
  <c r="AC13" i="2"/>
  <c r="AQ10" i="8" s="1"/>
  <c r="AC27" i="2"/>
  <c r="AQ24" i="8" s="1"/>
  <c r="AC20" i="2"/>
  <c r="AQ17" i="8" s="1"/>
  <c r="Z32" i="2"/>
  <c r="C32" i="2" s="1"/>
  <c r="D29" i="8" s="1"/>
  <c r="Z27" i="2"/>
  <c r="C27" i="2" s="1"/>
  <c r="D24" i="8" s="1"/>
  <c r="L39" i="1" l="1"/>
  <c r="L40" i="1" s="1"/>
  <c r="D38" i="8"/>
  <c r="L34" i="1"/>
  <c r="L35" i="1" s="1"/>
  <c r="E41" i="2"/>
  <c r="E25" i="2"/>
  <c r="D15" i="2"/>
  <c r="E12" i="8" s="1"/>
  <c r="E31" i="2"/>
  <c r="E14" i="2"/>
  <c r="AG29" i="2"/>
  <c r="AA29" i="2" s="1"/>
  <c r="AG31" i="2"/>
  <c r="AA31" i="2" s="1"/>
  <c r="AG43" i="2"/>
  <c r="AA43" i="2" s="1"/>
  <c r="AG15" i="2"/>
  <c r="AA15" i="2" s="1"/>
  <c r="AG25" i="2"/>
  <c r="AA25" i="2" s="1"/>
  <c r="AG36" i="2"/>
  <c r="AA36" i="2" s="1"/>
  <c r="D36" i="2" s="1"/>
  <c r="E33" i="8" s="1"/>
  <c r="AG42" i="2"/>
  <c r="AA42" i="2" s="1"/>
  <c r="AG19" i="2"/>
  <c r="AA19" i="2" s="1"/>
  <c r="AG32" i="2"/>
  <c r="AA32" i="2" s="1"/>
  <c r="AG40" i="2"/>
  <c r="AA40" i="2" s="1"/>
  <c r="AG45" i="2"/>
  <c r="AA45" i="2" s="1"/>
  <c r="D45" i="2" s="1"/>
  <c r="E41" i="8" s="1"/>
  <c r="AG17" i="2"/>
  <c r="AA17" i="2" s="1"/>
  <c r="L24" i="1"/>
  <c r="AG13" i="2"/>
  <c r="AA13" i="2" s="1"/>
  <c r="AG18" i="2"/>
  <c r="AA18" i="2" s="1"/>
  <c r="AG27" i="2"/>
  <c r="AA27" i="2" s="1"/>
  <c r="AG21" i="2"/>
  <c r="AA21" i="2" s="1"/>
  <c r="AG28" i="2"/>
  <c r="AA28" i="2" s="1"/>
  <c r="AG35" i="2"/>
  <c r="AA35" i="2" s="1"/>
  <c r="AG41" i="2"/>
  <c r="AA41" i="2" s="1"/>
  <c r="AG14" i="2"/>
  <c r="AA14" i="2" s="1"/>
  <c r="AG26" i="2"/>
  <c r="AA26" i="2" s="1"/>
  <c r="D26" i="2" s="1"/>
  <c r="E23" i="8" s="1"/>
  <c r="AG39" i="2"/>
  <c r="AA39" i="2" s="1"/>
  <c r="AG20" i="2"/>
  <c r="AA20" i="2" s="1"/>
  <c r="L27" i="1"/>
  <c r="L26" i="1"/>
  <c r="L15" i="1"/>
  <c r="L30" i="1"/>
  <c r="L25" i="1"/>
  <c r="L38" i="1"/>
  <c r="L12" i="1"/>
  <c r="L37" i="1"/>
  <c r="L28" i="1"/>
  <c r="L13" i="1"/>
  <c r="L31" i="1"/>
  <c r="L43" i="1"/>
  <c r="L10" i="1"/>
  <c r="L17" i="1"/>
  <c r="L41" i="1"/>
  <c r="AD37" i="2"/>
  <c r="AZ34" i="8" s="1"/>
  <c r="AB36" i="2" l="1"/>
  <c r="AP33" i="8" s="1"/>
  <c r="D42" i="2"/>
  <c r="E39" i="8" s="1"/>
  <c r="AB41" i="2"/>
  <c r="AP38" i="8" s="1"/>
  <c r="L18" i="1"/>
</calcChain>
</file>

<file path=xl/sharedStrings.xml><?xml version="1.0" encoding="utf-8"?>
<sst xmlns="http://schemas.openxmlformats.org/spreadsheetml/2006/main" count="1490" uniqueCount="614">
  <si>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</si>
  <si>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</si>
  <si>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</si>
  <si>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</si>
  <si>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</si>
  <si>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</si>
  <si>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</si>
  <si>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</si>
  <si>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</si>
  <si>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</si>
  <si>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</si>
  <si>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</si>
  <si>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</si>
  <si>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</si>
  <si>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</si>
  <si>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</si>
  <si>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</si>
  <si>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</si>
  <si>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</si>
  <si>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</si>
  <si>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</si>
  <si>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</si>
  <si>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</si>
  <si>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</si>
  <si>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</si>
  <si>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</si>
  <si>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</si>
  <si>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</si>
  <si>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</si>
  <si>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</si>
  <si>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</si>
  <si>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</si>
  <si>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</si>
  <si>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</si>
  <si>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</si>
  <si>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</si>
  <si>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</si>
  <si>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</si>
  <si>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</si>
  <si>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</si>
  <si>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</si>
  <si>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</si>
  <si>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</si>
  <si>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</si>
  <si>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</si>
  <si>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</si>
  <si>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</si>
  <si>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</si>
  <si>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</si>
  <si>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</si>
  <si>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</si>
  <si>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</si>
  <si>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</si>
  <si>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</si>
  <si>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</si>
  <si>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</si>
  <si>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</si>
  <si>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</si>
  <si>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</si>
  <si>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</si>
  <si>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</si>
  <si>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</si>
  <si>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</si>
  <si>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</si>
  <si>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</si>
  <si>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</si>
  <si>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</si>
  <si>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</si>
  <si>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</si>
  <si>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</si>
  <si>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</si>
  <si>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</si>
  <si>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</si>
  <si>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</si>
  <si>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</si>
  <si>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</si>
  <si>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</si>
  <si>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</si>
  <si>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</si>
  <si>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</si>
  <si>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</si>
  <si>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</si>
  <si>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</si>
  <si>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</si>
  <si>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</si>
  <si>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</si>
  <si>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</si>
  <si>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</si>
  <si>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</si>
  <si>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</si>
  <si>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</si>
  <si>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</si>
  <si>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</si>
  <si>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</si>
  <si>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</si>
  <si>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</si>
  <si>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</si>
  <si>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</si>
  <si>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</si>
  <si>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</si>
  <si>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</si>
  <si>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</si>
  <si>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</si>
  <si>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</si>
  <si>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</si>
  <si>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</si>
  <si>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</si>
  <si>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</si>
  <si>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</si>
  <si>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</si>
  <si>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</si>
  <si>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</si>
  <si>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</si>
  <si>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</si>
  <si>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</si>
  <si>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</si>
  <si>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</si>
  <si>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</si>
  <si>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</si>
  <si>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</si>
  <si>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</si>
  <si>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</si>
  <si>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</si>
  <si>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</si>
  <si>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</si>
  <si>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</si>
  <si>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</si>
  <si>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</si>
  <si>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</si>
  <si>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</si>
  <si>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</si>
  <si>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</si>
  <si>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</si>
  <si>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</si>
  <si>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</si>
  <si>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</si>
  <si>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</si>
  <si>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</si>
  <si>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</si>
  <si>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</si>
  <si>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</si>
  <si>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</si>
  <si>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</si>
  <si>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</si>
  <si>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</si>
  <si>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</si>
  <si>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</si>
  <si>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</si>
  <si>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</si>
  <si>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</si>
  <si>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</si>
  <si>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</si>
  <si>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</si>
  <si>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</si>
  <si>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</si>
  <si>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</si>
  <si>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</si>
  <si>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</si>
  <si>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</si>
  <si>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</si>
  <si>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</si>
  <si>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</si>
  <si>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</si>
  <si>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</si>
  <si>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</si>
  <si>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</si>
  <si>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</si>
  <si>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</si>
  <si>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</si>
  <si>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</si>
  <si>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</si>
  <si>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</si>
  <si>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</si>
  <si>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</si>
  <si>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</si>
  <si>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</si>
  <si>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</si>
  <si>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</si>
  <si>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</si>
  <si>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</si>
  <si>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</si>
  <si>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</si>
  <si>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</si>
  <si>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</si>
  <si>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</si>
  <si>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</si>
  <si>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</si>
  <si>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</si>
  <si>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</si>
  <si>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</si>
  <si>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</si>
  <si>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</si>
  <si>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</si>
  <si>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</si>
  <si>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</si>
  <si>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</si>
  <si>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</si>
  <si>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</si>
  <si>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</si>
  <si>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</si>
  <si>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</si>
  <si>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</si>
  <si>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</si>
  <si>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</si>
  <si>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</si>
  <si>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</si>
  <si>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</si>
  <si>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</si>
  <si>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</si>
  <si>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</si>
  <si>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</si>
  <si>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</si>
  <si>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</si>
  <si>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</si>
  <si>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</si>
  <si>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</si>
  <si>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</si>
  <si>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</si>
  <si>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</si>
  <si>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</si>
  <si>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</si>
  <si>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</si>
  <si>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</si>
  <si>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</si>
  <si>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</si>
  <si>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</si>
  <si>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</si>
  <si>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</si>
  <si>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</si>
  <si>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</si>
  <si>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</si>
  <si>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</si>
  <si>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</si>
  <si>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</si>
  <si>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</si>
  <si>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</si>
  <si>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</si>
  <si>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</si>
  <si>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</si>
  <si>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</si>
  <si>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</si>
  <si>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</si>
  <si>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</si>
  <si>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</si>
  <si>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</si>
  <si>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</si>
  <si>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</si>
  <si>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</si>
  <si>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</si>
  <si>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</si>
  <si>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</si>
  <si>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</si>
  <si>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</si>
  <si>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</si>
  <si>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</si>
  <si>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</si>
  <si>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</si>
  <si>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</si>
  <si>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</si>
  <si>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</si>
  <si>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</si>
  <si>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</si>
  <si>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</si>
  <si>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</si>
  <si>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</si>
  <si>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</si>
  <si>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</si>
  <si>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</si>
  <si>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</si>
  <si>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</si>
  <si>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</si>
  <si>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</si>
  <si>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</si>
  <si>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</si>
  <si>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</si>
  <si>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</si>
  <si>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</si>
  <si>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</si>
  <si>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</si>
  <si>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</si>
  <si>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</si>
  <si>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</si>
  <si>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</si>
  <si>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</si>
  <si>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</si>
  <si>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</si>
  <si>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</si>
  <si>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</si>
  <si>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</si>
  <si>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</si>
  <si>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</si>
  <si>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</si>
  <si>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</si>
  <si>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</si>
  <si>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</si>
  <si>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</si>
  <si>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</si>
  <si>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</si>
  <si>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</si>
  <si>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</si>
  <si>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</si>
  <si>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</si>
  <si>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</si>
  <si>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</si>
  <si>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</si>
  <si>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</si>
  <si>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</si>
  <si>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</si>
  <si>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</si>
  <si>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</si>
  <si>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</si>
  <si>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</si>
  <si>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</si>
  <si>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</si>
  <si>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</si>
  <si>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</si>
  <si>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</si>
  <si>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</si>
  <si>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</si>
  <si>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</si>
  <si>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</si>
  <si>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</si>
  <si>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</si>
  <si>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</si>
  <si>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</si>
  <si>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</si>
  <si>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</si>
  <si>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</si>
  <si>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</si>
  <si>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</si>
  <si>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</si>
  <si>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</si>
  <si>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</si>
  <si>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</si>
  <si>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</si>
  <si>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</si>
  <si>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</si>
  <si>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</si>
  <si>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</si>
  <si>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</si>
  <si>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</si>
  <si>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</si>
  <si>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</si>
  <si>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</si>
  <si>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</si>
  <si>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</si>
  <si>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</si>
  <si>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</si>
  <si>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</si>
  <si>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</si>
  <si>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</si>
  <si>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</si>
  <si>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</si>
  <si>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</si>
  <si>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</si>
  <si>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</si>
  <si>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</si>
  <si>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</si>
  <si>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</si>
  <si>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</si>
  <si>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</si>
  <si>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</si>
  <si>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</si>
  <si>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</si>
  <si>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</si>
  <si>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</si>
  <si>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</si>
  <si>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</si>
  <si>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</si>
  <si>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</si>
  <si>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</si>
  <si>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</si>
  <si>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</si>
  <si>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</si>
  <si>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</si>
  <si>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</si>
  <si>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</si>
  <si>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</si>
  <si>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</si>
  <si>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</si>
  <si>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</si>
  <si>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</si>
  <si>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</si>
  <si>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</si>
  <si>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</si>
  <si>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</si>
  <si>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</si>
  <si>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</si>
  <si>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</si>
  <si>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</si>
  <si>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</si>
  <si>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</si>
  <si>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</si>
  <si>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</si>
  <si>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</si>
  <si>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</si>
  <si>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</si>
  <si>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</si>
  <si>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</si>
  <si>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</si>
  <si>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</si>
  <si>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</si>
  <si>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</si>
  <si>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</si>
  <si>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</si>
  <si>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</si>
  <si>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</si>
  <si>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</si>
  <si>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</si>
  <si>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</si>
  <si>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</si>
  <si>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</si>
  <si>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</si>
  <si>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</si>
  <si>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</si>
  <si>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</si>
  <si>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</si>
  <si>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</si>
  <si>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</si>
  <si>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</si>
  <si>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</si>
  <si>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</si>
  <si>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</si>
  <si>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</si>
  <si>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</si>
  <si>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</si>
  <si>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</si>
  <si>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</si>
  <si>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</si>
  <si>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</si>
  <si>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</si>
  <si>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</si>
  <si>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</si>
  <si>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</si>
  <si>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</si>
  <si>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</si>
  <si>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</si>
  <si>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</si>
  <si>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</si>
  <si>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</si>
  <si>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</si>
  <si>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</si>
  <si>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</si>
  <si>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</si>
  <si>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</si>
  <si>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</si>
  <si>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</si>
  <si>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</si>
  <si>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</si>
  <si>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</si>
  <si>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</si>
  <si>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</si>
  <si>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</si>
  <si>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</si>
  <si>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</si>
  <si>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</si>
  <si>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</si>
  <si>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</si>
  <si>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</si>
  <si>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</si>
  <si>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</si>
  <si>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</si>
  <si>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</si>
  <si>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</si>
  <si>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</si>
  <si>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</si>
  <si>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</si>
  <si>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</si>
  <si>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</si>
  <si>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</si>
  <si>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</si>
  <si>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</si>
  <si>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</si>
  <si>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</si>
  <si>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</si>
  <si>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</si>
  <si>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</si>
  <si>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</si>
  <si>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</si>
  <si>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</si>
  <si>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MJ/kg DM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</si>
  <si>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</si>
  <si>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</si>
  <si>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</si>
  <si>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</si>
  <si>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</si>
  <si>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</si>
  <si>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</si>
  <si>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</si>
  <si>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</si>
  <si>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</si>
  <si>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</si>
  <si>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</si>
  <si>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</si>
  <si>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</si>
  <si>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</si>
  <si>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</si>
  <si>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100% - 55% pasture utilisation</t>
  </si>
  <si>
    <t>100% - 50% pasture utilisation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</si>
  <si>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</si>
  <si>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</si>
  <si>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</si>
  <si>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</si>
  <si>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</si>
  <si>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</si>
  <si>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</si>
  <si>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</si>
  <si>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</si>
  <si>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</si>
  <si>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</si>
  <si>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</si>
  <si>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</si>
  <si>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</si>
  <si>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</si>
  <si>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</si>
  <si>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</si>
  <si>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</si>
  <si>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</si>
  <si>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</si>
  <si>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</si>
  <si>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</si>
  <si>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</si>
  <si>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</si>
  <si>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</si>
  <si>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</si>
  <si>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</si>
  <si>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</si>
  <si>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</si>
  <si>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</si>
  <si>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</si>
  <si>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</si>
  <si>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</si>
  <si>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</si>
  <si>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</si>
  <si>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</si>
  <si>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</si>
  <si>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</si>
  <si>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</si>
  <si>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</si>
  <si>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</si>
  <si>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</si>
  <si>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</si>
  <si>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</si>
  <si>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</si>
  <si>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</si>
  <si>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</si>
  <si>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</si>
  <si>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</si>
  <si>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</si>
  <si>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</si>
  <si>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</si>
  <si>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</si>
  <si>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</si>
  <si>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</si>
  <si>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</si>
  <si>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</si>
  <si>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</si>
  <si>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</si>
  <si>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</si>
  <si>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</si>
  <si>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</si>
  <si>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</si>
  <si>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</si>
  <si>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</si>
  <si>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</si>
  <si>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</si>
  <si>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</si>
  <si>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</si>
  <si>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</si>
  <si>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</si>
  <si>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</si>
  <si>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</si>
  <si>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</si>
  <si>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</si>
  <si>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</si>
  <si>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</si>
  <si>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</si>
  <si>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</si>
  <si>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</si>
  <si>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</si>
  <si>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</si>
  <si>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</si>
  <si>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</si>
  <si>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</si>
  <si>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</si>
  <si>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</si>
  <si>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</si>
  <si>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</si>
  <si>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</si>
  <si>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</si>
  <si>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</si>
  <si>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</si>
  <si>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</si>
  <si>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</si>
  <si>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</si>
  <si>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</si>
  <si>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</si>
  <si>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</si>
  <si>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</si>
  <si>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</si>
  <si>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</si>
  <si>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</si>
  <si>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</si>
  <si>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</si>
  <si>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</si>
  <si>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</si>
  <si>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FeedMgmt-feed_pars.csv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</si>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</sst>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5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97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2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3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3" xfId="0" applyNumberFormat="1" applyFont="1" applyBorder="1"/>
    <xf numFmtId="0" fontId="0" fillId="0" borderId="5" xfId="0" applyBorder="1"/>
    <xf numFmtId="0" fontId="0" fillId="0" borderId="0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3" xfId="0" applyNumberFormat="1" applyFont="1" applyBorder="1"/>
    <xf numFmtId="1" fontId="0" fillId="0" borderId="2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0" borderId="1" xfId="0" applyFont="1" applyBorder="1"/>
    <xf numFmtId="0" fontId="3" fillId="7" borderId="9" xfId="0" applyFont="1" applyFill="1" applyBorder="1"/>
    <xf numFmtId="0" fontId="3" fillId="7" borderId="11" xfId="0" applyFont="1" applyFill="1" applyBorder="1"/>
    <xf numFmtId="0" fontId="3" fillId="7" borderId="10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2" xfId="0" applyNumberFormat="1" applyFont="1" applyBorder="1"/>
    <xf numFmtId="0" fontId="8" fillId="0" borderId="2" xfId="0" applyFont="1" applyBorder="1"/>
    <xf numFmtId="0" fontId="0" fillId="7" borderId="0" xfId="0" applyFill="1" applyAlignment="1">
      <alignment horizontal="right"/>
    </xf>
    <xf numFmtId="164" fontId="0" fillId="0" borderId="5" xfId="0" applyNumberFormat="1" applyBorder="1"/>
    <xf numFmtId="2" fontId="0" fillId="0" borderId="0" xfId="0" applyNumberFormat="1" applyBorder="1"/>
    <xf numFmtId="2" fontId="0" fillId="0" borderId="3" xfId="0" applyNumberFormat="1" applyBorder="1"/>
    <xf numFmtId="2" fontId="15" fillId="0" borderId="0" xfId="0" applyNumberFormat="1" applyFont="1" applyBorder="1"/>
    <xf numFmtId="2" fontId="15" fillId="0" borderId="3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12" xfId="0" applyFont="1" applyBorder="1"/>
    <xf numFmtId="0" fontId="0" fillId="0" borderId="13" xfId="0" applyBorder="1"/>
    <xf numFmtId="0" fontId="0" fillId="0" borderId="14" xfId="0" applyBorder="1"/>
    <xf numFmtId="0" fontId="5" fillId="0" borderId="2" xfId="1" applyBorder="1"/>
    <xf numFmtId="0" fontId="3" fillId="0" borderId="4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11" xfId="0" applyFont="1" applyFill="1" applyBorder="1"/>
    <xf numFmtId="0" fontId="18" fillId="0" borderId="0" xfId="0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3" xfId="0" applyNumberFormat="1" applyBorder="1"/>
    <xf numFmtId="1" fontId="2" fillId="0" borderId="4" xfId="0" applyNumberFormat="1" applyFont="1" applyBorder="1"/>
    <xf numFmtId="164" fontId="2" fillId="0" borderId="6" xfId="0" applyNumberFormat="1" applyFont="1" applyBorder="1"/>
    <xf numFmtId="164" fontId="2" fillId="0" borderId="4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0" fontId="10" fillId="0" borderId="0" xfId="0" applyFont="1"/>
    <xf numFmtId="0" fontId="2" fillId="0" borderId="4" xfId="0" applyFont="1" applyBorder="1"/>
    <xf numFmtId="0" fontId="2" fillId="0" borderId="5" xfId="0" applyFont="1" applyBorder="1"/>
    <xf numFmtId="1" fontId="2" fillId="0" borderId="5" xfId="0" applyNumberFormat="1" applyFont="1" applyBorder="1"/>
    <xf numFmtId="1" fontId="2" fillId="0" borderId="6" xfId="0" applyNumberFormat="1" applyFont="1" applyBorder="1"/>
    <xf numFmtId="164" fontId="2" fillId="0" borderId="5" xfId="0" applyNumberFormat="1" applyFont="1" applyBorder="1"/>
    <xf numFmtId="0" fontId="2" fillId="0" borderId="6" xfId="0" applyFont="1" applyBorder="1"/>
    <xf numFmtId="0" fontId="24" fillId="0" borderId="0" xfId="1" applyFont="1"/>
    <xf numFmtId="0" fontId="2" fillId="0" borderId="8" xfId="0" applyFont="1" applyBorder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cbi.nlm.nih.gov/pmc/articles/PMC3544805/" TargetMode="External"/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7"/>
  <sheetViews>
    <sheetView tabSelected="1" zoomScale="80" zoomScaleNormal="80" workbookViewId="0">
      <pane ySplit="1" topLeftCell="A82" activePane="bottomLeft" state="frozen"/>
      <selection pane="bottomLeft" activeCell="K136" sqref="K136"/>
    </sheetView>
  </sheetViews>
  <sheetFormatPr defaultRowHeight="15" x14ac:dyDescent="0.25"/>
  <cols>
    <col min="6" max="6" width="20.28515625" customWidth="1"/>
    <col min="7" max="7" width="23.5703125" bestFit="1" customWidth="1"/>
    <col min="8" max="8" width="19.5703125" bestFit="1" customWidth="1"/>
    <col min="9" max="9" width="20.140625" customWidth="1"/>
    <col min="10" max="10" width="9.7109375" customWidth="1"/>
    <col min="11" max="11" width="16.42578125" bestFit="1" customWidth="1"/>
    <col min="13" max="13" width="12.7109375" bestFit="1" customWidth="1"/>
    <col min="14" max="14" width="38.140625" customWidth="1"/>
    <col min="15" max="15" width="58" customWidth="1"/>
  </cols>
  <sheetData>
    <row r="1" spans="1:16" x14ac:dyDescent="0.25">
      <c r="A1" s="4" t="s">
        <v>19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314</v>
      </c>
      <c r="H1" s="4" t="s">
        <v>1</v>
      </c>
      <c r="I1" s="4" t="s">
        <v>9</v>
      </c>
      <c r="J1" s="4" t="s">
        <v>590</v>
      </c>
      <c r="K1" s="4" t="s">
        <v>3</v>
      </c>
      <c r="L1" s="4" t="s">
        <v>4</v>
      </c>
      <c r="M1" s="4" t="s">
        <v>5</v>
      </c>
      <c r="N1" s="4" t="s">
        <v>6</v>
      </c>
      <c r="O1" s="4" t="s">
        <v>7</v>
      </c>
    </row>
    <row r="2" spans="1:16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1"/>
      <c r="K2" s="2"/>
      <c r="L2" s="2"/>
      <c r="M2" s="2" t="s">
        <v>591</v>
      </c>
      <c r="N2" s="20" t="s">
        <v>299</v>
      </c>
      <c r="O2" s="2"/>
      <c r="P2" s="5"/>
    </row>
    <row r="3" spans="1:16" x14ac:dyDescent="0.25">
      <c r="K3" s="6" t="s">
        <v>28</v>
      </c>
      <c r="L3" s="17">
        <v>0</v>
      </c>
      <c r="M3" s="6"/>
      <c r="N3" s="6" t="s">
        <v>30</v>
      </c>
    </row>
    <row r="4" spans="1:16" x14ac:dyDescent="0.25">
      <c r="F4" t="s">
        <v>300</v>
      </c>
      <c r="H4" t="s">
        <v>10</v>
      </c>
      <c r="K4" t="s">
        <v>28</v>
      </c>
      <c r="L4" s="18">
        <f>1/INDEX('feed pars'!C$6:C$45/100,MATCH(F4,'feed pars'!B$6:B$45,0))</f>
        <v>1</v>
      </c>
    </row>
    <row r="5" spans="1:16" x14ac:dyDescent="0.25">
      <c r="F5" t="s">
        <v>301</v>
      </c>
      <c r="H5" t="s">
        <v>10</v>
      </c>
      <c r="K5" t="s">
        <v>28</v>
      </c>
      <c r="L5" s="18">
        <f>1/INDEX('feed pars'!C$6:C$45/100,MATCH(F5,'feed pars'!B$6:B$45,0))</f>
        <v>1</v>
      </c>
    </row>
    <row r="6" spans="1:16" x14ac:dyDescent="0.25">
      <c r="F6" t="s">
        <v>302</v>
      </c>
      <c r="H6" t="s">
        <v>10</v>
      </c>
      <c r="K6" t="s">
        <v>28</v>
      </c>
      <c r="L6" s="18">
        <f>1/INDEX('feed pars'!C$6:C$45/100,MATCH(F6,'feed pars'!B$6:B$45,0))</f>
        <v>1</v>
      </c>
    </row>
    <row r="7" spans="1:16" x14ac:dyDescent="0.25">
      <c r="F7" t="s">
        <v>2</v>
      </c>
      <c r="H7" t="s">
        <v>10</v>
      </c>
      <c r="K7" t="s">
        <v>28</v>
      </c>
      <c r="L7" s="18">
        <f>1/INDEX('feed pars'!C$6:C$45/100,MATCH(F7,'feed pars'!B$6:B$45,0))</f>
        <v>1</v>
      </c>
    </row>
    <row r="8" spans="1:16" x14ac:dyDescent="0.25">
      <c r="F8" t="s">
        <v>12</v>
      </c>
      <c r="H8" t="s">
        <v>11</v>
      </c>
      <c r="K8" t="s">
        <v>28</v>
      </c>
      <c r="L8" s="18">
        <f>1/INDEX('feed pars'!C$6:C$45/100,MATCH(F8,'feed pars'!B$6:B$45,0))</f>
        <v>1</v>
      </c>
    </row>
    <row r="9" spans="1:16" x14ac:dyDescent="0.25">
      <c r="F9" t="s">
        <v>29</v>
      </c>
      <c r="H9" t="s">
        <v>29</v>
      </c>
      <c r="K9" t="s">
        <v>28</v>
      </c>
      <c r="L9" s="18">
        <f>1/INDEX('feed pars'!C$6:C$45/100,MATCH(F9,'feed pars'!B$6:B$45,0))</f>
        <v>1</v>
      </c>
    </row>
    <row r="10" spans="1:16" x14ac:dyDescent="0.25">
      <c r="F10" t="s">
        <v>17</v>
      </c>
      <c r="H10" t="s">
        <v>17</v>
      </c>
      <c r="K10" t="s">
        <v>28</v>
      </c>
      <c r="L10" s="18">
        <f>1/INDEX('feed pars'!C$6:C$45/100,MATCH(F10,'feed pars'!B$6:B$45,0))</f>
        <v>1.1627906976744187</v>
      </c>
    </row>
    <row r="11" spans="1:16" x14ac:dyDescent="0.25">
      <c r="F11" t="s">
        <v>33</v>
      </c>
      <c r="H11" t="s">
        <v>33</v>
      </c>
      <c r="K11" t="s">
        <v>28</v>
      </c>
      <c r="L11" s="18">
        <f>1/INDEX('feed pars'!C$6:C$45/100,MATCH(F11,'feed pars'!B$6:B$45,0))</f>
        <v>1.1627906976744187</v>
      </c>
    </row>
    <row r="12" spans="1:16" x14ac:dyDescent="0.25">
      <c r="F12" t="s">
        <v>34</v>
      </c>
      <c r="H12" t="s">
        <v>34</v>
      </c>
      <c r="K12" t="s">
        <v>28</v>
      </c>
      <c r="L12" s="18">
        <f>1/INDEX('feed pars'!C$6:C$45/100,MATCH(F12,'feed pars'!B$6:B$45,0))</f>
        <v>1.1627906976744187</v>
      </c>
    </row>
    <row r="13" spans="1:16" x14ac:dyDescent="0.25">
      <c r="F13" t="s">
        <v>35</v>
      </c>
      <c r="H13" t="s">
        <v>35</v>
      </c>
      <c r="K13" t="s">
        <v>28</v>
      </c>
      <c r="L13" s="18">
        <f>1/INDEX('feed pars'!C$6:C$45/100,MATCH(F13,'feed pars'!B$6:B$45,0))</f>
        <v>1.1627906976744187</v>
      </c>
    </row>
    <row r="14" spans="1:16" x14ac:dyDescent="0.25">
      <c r="F14" t="s">
        <v>306</v>
      </c>
      <c r="H14" t="s">
        <v>306</v>
      </c>
      <c r="K14" t="s">
        <v>28</v>
      </c>
      <c r="L14" s="18">
        <f>1/INDEX('feed pars'!C$6:C$45/100,MATCH(F14,'feed pars'!B$6:B$45,0))</f>
        <v>1.1627906976744187</v>
      </c>
    </row>
    <row r="15" spans="1:16" x14ac:dyDescent="0.25">
      <c r="F15" t="s">
        <v>36</v>
      </c>
      <c r="H15" t="s">
        <v>36</v>
      </c>
      <c r="K15" t="s">
        <v>28</v>
      </c>
      <c r="L15" s="18">
        <f>1/INDEX('feed pars'!C$6:C$45/100,MATCH(F15,'feed pars'!B$6:B$45,0))</f>
        <v>1.1627906976744187</v>
      </c>
    </row>
    <row r="16" spans="1:16" x14ac:dyDescent="0.25">
      <c r="F16" t="s">
        <v>37</v>
      </c>
      <c r="H16" t="s">
        <v>37</v>
      </c>
      <c r="K16" t="s">
        <v>28</v>
      </c>
      <c r="L16" s="18">
        <f>1/INDEX('feed pars'!C$6:C$45/100,MATCH(F16,'feed pars'!B$6:B$45,0))</f>
        <v>1.1764705882352942</v>
      </c>
    </row>
    <row r="17" spans="6:14" x14ac:dyDescent="0.25">
      <c r="F17" t="s">
        <v>38</v>
      </c>
      <c r="H17" t="s">
        <v>38</v>
      </c>
      <c r="K17" t="s">
        <v>28</v>
      </c>
      <c r="L17" s="18">
        <f>1/INDEX('feed pars'!C$6:C$45/100,MATCH(F17,'feed pars'!B$6:B$45,0))</f>
        <v>1.1764705882352942</v>
      </c>
    </row>
    <row r="18" spans="6:14" x14ac:dyDescent="0.25">
      <c r="F18" t="s">
        <v>31</v>
      </c>
      <c r="H18" t="s">
        <v>31</v>
      </c>
      <c r="K18" t="s">
        <v>28</v>
      </c>
      <c r="L18" s="18">
        <f>1/INDEX('feed pars'!C$6:C$45/100,MATCH(F18,'feed pars'!B$6:B$45,0))</f>
        <v>1.0989010989010988</v>
      </c>
    </row>
    <row r="19" spans="6:14" x14ac:dyDescent="0.25">
      <c r="F19" t="s">
        <v>39</v>
      </c>
      <c r="H19" t="s">
        <v>39</v>
      </c>
      <c r="K19" t="s">
        <v>28</v>
      </c>
      <c r="L19" s="18">
        <f>1/INDEX('feed pars'!C$6:C$45/100,MATCH(F19,'feed pars'!B$6:B$45,0))</f>
        <v>1.0989010989010988</v>
      </c>
    </row>
    <row r="20" spans="6:14" x14ac:dyDescent="0.25">
      <c r="F20" s="3" t="s">
        <v>304</v>
      </c>
      <c r="G20" s="3"/>
      <c r="H20" s="3" t="s">
        <v>31</v>
      </c>
      <c r="I20" s="3"/>
      <c r="J20" s="3"/>
      <c r="K20" s="3" t="s">
        <v>28</v>
      </c>
      <c r="L20" s="16">
        <f>1/INDEX('feed pars'!C$6:C$45/100,MATCH(F20,'feed pars'!B$6:B$45,0))*1/0.38</f>
        <v>2.6315789473684212</v>
      </c>
    </row>
    <row r="21" spans="6:14" x14ac:dyDescent="0.25">
      <c r="F21" s="3" t="s">
        <v>304</v>
      </c>
      <c r="G21" s="3"/>
      <c r="H21" s="3" t="s">
        <v>31</v>
      </c>
      <c r="I21" s="3" t="s">
        <v>32</v>
      </c>
      <c r="J21" s="3"/>
      <c r="K21" s="3" t="s">
        <v>305</v>
      </c>
      <c r="L21" s="18"/>
      <c r="N21" s="3" t="s">
        <v>310</v>
      </c>
    </row>
    <row r="22" spans="6:14" x14ac:dyDescent="0.25">
      <c r="F22" t="s">
        <v>296</v>
      </c>
      <c r="I22" t="s">
        <v>296</v>
      </c>
      <c r="K22" t="s">
        <v>28</v>
      </c>
      <c r="L22" s="18">
        <f>1/INDEX('feed pars'!C$6:C$45/100,MATCH(F22,'feed pars'!B$6:B$45,0))</f>
        <v>1.1764705882352942</v>
      </c>
    </row>
    <row r="23" spans="6:14" x14ac:dyDescent="0.25">
      <c r="F23" s="21" t="s">
        <v>307</v>
      </c>
      <c r="G23" s="21"/>
      <c r="H23" s="21" t="s">
        <v>307</v>
      </c>
      <c r="I23" s="21"/>
      <c r="J23" s="21"/>
      <c r="K23" s="21" t="s">
        <v>28</v>
      </c>
      <c r="L23" s="18">
        <f>1/INDEX('feed pars'!C$6:C$45/100,MATCH(F23,'feed pars'!B$6:B$45,0))</f>
        <v>1.1494252873563218</v>
      </c>
      <c r="M23" s="21"/>
      <c r="N23" s="3"/>
    </row>
    <row r="24" spans="6:14" x14ac:dyDescent="0.25">
      <c r="F24" t="s">
        <v>40</v>
      </c>
      <c r="I24" t="s">
        <v>40</v>
      </c>
      <c r="K24" t="s">
        <v>28</v>
      </c>
      <c r="L24" s="18">
        <f>1/INDEX('feed pars'!C$6:C$45/100,MATCH(F24,'feed pars'!B$6:B$45,0))</f>
        <v>1.1428571428571428</v>
      </c>
    </row>
    <row r="25" spans="6:14" x14ac:dyDescent="0.25">
      <c r="F25" s="3" t="s">
        <v>41</v>
      </c>
      <c r="G25" s="3"/>
      <c r="H25" s="3"/>
      <c r="I25" s="3" t="s">
        <v>41</v>
      </c>
      <c r="J25" s="3"/>
      <c r="K25" s="3" t="s">
        <v>28</v>
      </c>
      <c r="L25" s="16">
        <f>1/INDEX('feed pars'!C$6:C$45/100,MATCH(F25,'feed pars'!B$6:B$45,0))</f>
        <v>1.1494252873563218</v>
      </c>
      <c r="M25" s="3"/>
      <c r="N25" s="3" t="s">
        <v>592</v>
      </c>
    </row>
    <row r="26" spans="6:14" x14ac:dyDescent="0.25">
      <c r="F26" t="s">
        <v>32</v>
      </c>
      <c r="I26" t="s">
        <v>32</v>
      </c>
      <c r="K26" t="s">
        <v>28</v>
      </c>
      <c r="L26" s="18">
        <f>1/INDEX('feed pars'!C$6:C$45/100,MATCH(F26,'feed pars'!B$6:B$45,0))</f>
        <v>1.1173184357541899</v>
      </c>
    </row>
    <row r="27" spans="6:14" x14ac:dyDescent="0.25">
      <c r="F27" t="s">
        <v>42</v>
      </c>
      <c r="I27" t="s">
        <v>42</v>
      </c>
      <c r="K27" t="s">
        <v>28</v>
      </c>
      <c r="L27" s="18">
        <f>1/INDEX('feed pars'!C$6:C$45/100,MATCH(F27,'feed pars'!B$6:B$45,0))</f>
        <v>1.0989010989010988</v>
      </c>
    </row>
    <row r="28" spans="6:14" x14ac:dyDescent="0.25">
      <c r="F28" t="s">
        <v>43</v>
      </c>
      <c r="I28" t="s">
        <v>43</v>
      </c>
      <c r="K28" t="s">
        <v>28</v>
      </c>
      <c r="L28" s="18">
        <f>1/INDEX('feed pars'!C$6:C$45/100,MATCH(F28,'feed pars'!B$6:B$45,0))</f>
        <v>1.0989010989010988</v>
      </c>
    </row>
    <row r="29" spans="6:14" x14ac:dyDescent="0.25">
      <c r="F29" t="s">
        <v>308</v>
      </c>
      <c r="I29" t="s">
        <v>308</v>
      </c>
      <c r="K29" t="s">
        <v>28</v>
      </c>
      <c r="L29" s="18">
        <f>1/INDEX('feed pars'!C$6:C$45/100,MATCH(F29,'feed pars'!B$6:B$45,0))</f>
        <v>1.1111111111111112</v>
      </c>
    </row>
    <row r="30" spans="6:14" x14ac:dyDescent="0.25">
      <c r="F30" t="s">
        <v>44</v>
      </c>
      <c r="I30" t="s">
        <v>44</v>
      </c>
      <c r="K30" t="s">
        <v>28</v>
      </c>
      <c r="L30" s="18">
        <f>1/INDEX('feed pars'!C$6:C$45/100,MATCH(F30,'feed pars'!B$6:B$45,0))</f>
        <v>1.1494252873563218</v>
      </c>
    </row>
    <row r="31" spans="6:14" x14ac:dyDescent="0.25">
      <c r="F31" t="s">
        <v>45</v>
      </c>
      <c r="I31" t="s">
        <v>44</v>
      </c>
      <c r="K31" t="s">
        <v>28</v>
      </c>
      <c r="L31" s="18">
        <f>1/INDEX('feed pars'!C$6:C$45/100,MATCH(F31,'feed pars'!B$6:B$45,0))</f>
        <v>1.1389521640091116</v>
      </c>
    </row>
    <row r="32" spans="6:14" x14ac:dyDescent="0.25">
      <c r="F32" t="s">
        <v>593</v>
      </c>
      <c r="I32" t="s">
        <v>593</v>
      </c>
      <c r="K32" t="s">
        <v>28</v>
      </c>
      <c r="L32" s="18">
        <f>1/INDEX('feed pars'!C$6:C$45/100,MATCH(F32,'feed pars'!B$6:B$45,0))</f>
        <v>1.1415525114155252</v>
      </c>
    </row>
    <row r="33" spans="1:15" x14ac:dyDescent="0.25">
      <c r="F33" t="s">
        <v>594</v>
      </c>
      <c r="I33" t="s">
        <v>594</v>
      </c>
      <c r="K33" t="s">
        <v>28</v>
      </c>
      <c r="L33" s="18">
        <f>1/INDEX('feed pars'!C$6:C$45/100,MATCH(F33,'feed pars'!B$6:B$45,0))</f>
        <v>1.1415525114155252</v>
      </c>
    </row>
    <row r="34" spans="1:15" x14ac:dyDescent="0.25">
      <c r="F34" t="s">
        <v>46</v>
      </c>
      <c r="I34" t="s">
        <v>293</v>
      </c>
      <c r="K34" t="s">
        <v>28</v>
      </c>
      <c r="L34" s="18">
        <f>1/INDEX('feed pars'!C$6:C$45/100,MATCH(F34,'feed pars'!B$6:B$45,0))</f>
        <v>1.1111111111111112</v>
      </c>
    </row>
    <row r="35" spans="1:15" x14ac:dyDescent="0.25">
      <c r="F35" t="s">
        <v>47</v>
      </c>
      <c r="I35" t="s">
        <v>293</v>
      </c>
      <c r="K35" t="s">
        <v>28</v>
      </c>
      <c r="L35" s="18">
        <f>L34</f>
        <v>1.1111111111111112</v>
      </c>
    </row>
    <row r="36" spans="1:15" x14ac:dyDescent="0.25">
      <c r="F36" t="s">
        <v>303</v>
      </c>
      <c r="I36" t="s">
        <v>303</v>
      </c>
      <c r="K36" t="s">
        <v>28</v>
      </c>
      <c r="L36" s="16">
        <f>1/0.25</f>
        <v>4</v>
      </c>
    </row>
    <row r="37" spans="1:15" x14ac:dyDescent="0.25">
      <c r="F37" t="s">
        <v>48</v>
      </c>
      <c r="I37" t="s">
        <v>48</v>
      </c>
      <c r="K37" t="s">
        <v>28</v>
      </c>
      <c r="L37" s="18">
        <f>1/INDEX('feed pars'!C$6:C$45/100,MATCH(F37,'feed pars'!B$6:B$45,0))</f>
        <v>1.3245033112582782</v>
      </c>
    </row>
    <row r="38" spans="1:15" x14ac:dyDescent="0.25">
      <c r="F38" t="s">
        <v>49</v>
      </c>
      <c r="I38" t="s">
        <v>49</v>
      </c>
      <c r="K38" t="s">
        <v>28</v>
      </c>
      <c r="L38" s="18">
        <f>1/INDEX('feed pars'!C$6:C$45/100,MATCH(F38,'feed pars'!B$6:B$45,0))</f>
        <v>1.1173184357541899</v>
      </c>
    </row>
    <row r="39" spans="1:15" x14ac:dyDescent="0.25">
      <c r="F39" t="s">
        <v>50</v>
      </c>
      <c r="I39" t="s">
        <v>50</v>
      </c>
      <c r="K39" t="s">
        <v>28</v>
      </c>
      <c r="L39" s="18">
        <f>1/INDEX('feed pars'!C$6:C$45/100,MATCH(F39,'feed pars'!B$6:B$45,0))</f>
        <v>16</v>
      </c>
    </row>
    <row r="40" spans="1:15" x14ac:dyDescent="0.25">
      <c r="F40" t="s">
        <v>51</v>
      </c>
      <c r="I40" t="s">
        <v>50</v>
      </c>
      <c r="K40" t="s">
        <v>28</v>
      </c>
      <c r="L40" s="16">
        <f>L39</f>
        <v>16</v>
      </c>
    </row>
    <row r="41" spans="1:15" x14ac:dyDescent="0.25">
      <c r="F41" t="s">
        <v>52</v>
      </c>
      <c r="I41" t="s">
        <v>52</v>
      </c>
      <c r="K41" t="s">
        <v>28</v>
      </c>
      <c r="L41" s="18">
        <f>1/INDEX('feed pars'!C$6:C$45/100,MATCH(F41,'feed pars'!B$6:B$45,0))</f>
        <v>1.0989010989010988</v>
      </c>
    </row>
    <row r="42" spans="1:15" x14ac:dyDescent="0.25">
      <c r="F42" t="s">
        <v>607</v>
      </c>
      <c r="I42" t="s">
        <v>607</v>
      </c>
      <c r="K42" t="s">
        <v>28</v>
      </c>
      <c r="L42" s="18">
        <f>1/INDEX('feed pars'!C$6:C$45/100,MATCH(F42,'feed pars'!B$6:B$45,0))</f>
        <v>4.3478260869565215</v>
      </c>
    </row>
    <row r="43" spans="1:15" x14ac:dyDescent="0.25">
      <c r="F43" t="s">
        <v>53</v>
      </c>
      <c r="I43" t="s">
        <v>53</v>
      </c>
      <c r="K43" t="s">
        <v>28</v>
      </c>
      <c r="L43" s="18">
        <f>1/INDEX('feed pars'!C$6:C$45/100,MATCH(F43,'feed pars'!B$6:B$45,0))</f>
        <v>1.0869565217391304</v>
      </c>
    </row>
    <row r="44" spans="1:15" x14ac:dyDescent="0.25">
      <c r="A44" s="1" t="s">
        <v>25</v>
      </c>
      <c r="B44" s="1"/>
      <c r="C44" s="1"/>
      <c r="D44" s="1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K45" s="6" t="s">
        <v>23</v>
      </c>
      <c r="L45" s="6">
        <v>0</v>
      </c>
      <c r="M45" s="6"/>
      <c r="N45" s="6" t="s">
        <v>30</v>
      </c>
    </row>
    <row r="46" spans="1:15" x14ac:dyDescent="0.25">
      <c r="H46" t="s">
        <v>10</v>
      </c>
      <c r="K46" t="s">
        <v>23</v>
      </c>
      <c r="L46" s="3">
        <v>95</v>
      </c>
      <c r="M46" t="s">
        <v>24</v>
      </c>
    </row>
    <row r="47" spans="1:15" x14ac:dyDescent="0.25">
      <c r="H47" t="s">
        <v>11</v>
      </c>
      <c r="K47" t="s">
        <v>23</v>
      </c>
      <c r="L47" s="3">
        <v>95</v>
      </c>
      <c r="M47" t="s">
        <v>24</v>
      </c>
    </row>
    <row r="48" spans="1:15" x14ac:dyDescent="0.25">
      <c r="H48" t="s">
        <v>29</v>
      </c>
      <c r="K48" t="s">
        <v>23</v>
      </c>
      <c r="L48" s="3">
        <v>95</v>
      </c>
      <c r="M48" t="s">
        <v>24</v>
      </c>
    </row>
    <row r="49" spans="1:15" x14ac:dyDescent="0.25">
      <c r="A49" t="s">
        <v>21</v>
      </c>
      <c r="H49" t="s">
        <v>33</v>
      </c>
      <c r="K49" t="s">
        <v>23</v>
      </c>
      <c r="L49" s="3">
        <v>50</v>
      </c>
      <c r="M49" t="s">
        <v>24</v>
      </c>
      <c r="N49" s="3"/>
    </row>
    <row r="50" spans="1:15" x14ac:dyDescent="0.25">
      <c r="A50" t="s">
        <v>375</v>
      </c>
      <c r="H50" t="s">
        <v>33</v>
      </c>
      <c r="K50" t="s">
        <v>23</v>
      </c>
      <c r="L50" s="3">
        <v>50</v>
      </c>
      <c r="M50" t="s">
        <v>24</v>
      </c>
      <c r="N50" s="3"/>
    </row>
    <row r="51" spans="1:15" x14ac:dyDescent="0.25">
      <c r="A51" t="s">
        <v>21</v>
      </c>
      <c r="H51" t="s">
        <v>17</v>
      </c>
      <c r="K51" t="s">
        <v>23</v>
      </c>
      <c r="L51" s="3">
        <v>50</v>
      </c>
      <c r="M51" t="s">
        <v>24</v>
      </c>
      <c r="N51" s="3"/>
    </row>
    <row r="52" spans="1:15" x14ac:dyDescent="0.25">
      <c r="A52" t="s">
        <v>375</v>
      </c>
      <c r="H52" t="s">
        <v>17</v>
      </c>
      <c r="K52" t="s">
        <v>23</v>
      </c>
      <c r="L52" s="3">
        <v>50</v>
      </c>
      <c r="M52" t="s">
        <v>24</v>
      </c>
      <c r="N52" s="3"/>
    </row>
    <row r="53" spans="1:15" x14ac:dyDescent="0.25">
      <c r="A53" t="s">
        <v>21</v>
      </c>
      <c r="H53" t="s">
        <v>34</v>
      </c>
      <c r="K53" t="s">
        <v>23</v>
      </c>
      <c r="L53" s="3">
        <v>50</v>
      </c>
      <c r="M53" t="s">
        <v>24</v>
      </c>
      <c r="N53" s="3"/>
    </row>
    <row r="54" spans="1:15" x14ac:dyDescent="0.25">
      <c r="A54" t="s">
        <v>375</v>
      </c>
      <c r="H54" t="s">
        <v>34</v>
      </c>
      <c r="K54" t="s">
        <v>23</v>
      </c>
      <c r="L54" s="3">
        <v>50</v>
      </c>
      <c r="M54" t="s">
        <v>24</v>
      </c>
      <c r="N54" s="3"/>
    </row>
    <row r="55" spans="1:15" x14ac:dyDescent="0.25">
      <c r="A55" s="1" t="s">
        <v>26</v>
      </c>
      <c r="B55" s="1"/>
      <c r="C55" s="1"/>
      <c r="D55" s="1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K56" s="6" t="s">
        <v>27</v>
      </c>
      <c r="L56" s="6">
        <v>0</v>
      </c>
      <c r="M56" s="6"/>
      <c r="N56" s="6" t="s">
        <v>30</v>
      </c>
    </row>
    <row r="57" spans="1:15" x14ac:dyDescent="0.25">
      <c r="H57" t="s">
        <v>307</v>
      </c>
      <c r="K57" t="s">
        <v>27</v>
      </c>
      <c r="L57" s="21">
        <v>100</v>
      </c>
      <c r="M57" s="21" t="s">
        <v>24</v>
      </c>
      <c r="N57" s="6"/>
    </row>
    <row r="58" spans="1:15" x14ac:dyDescent="0.25">
      <c r="I58" t="s">
        <v>40</v>
      </c>
      <c r="K58" t="s">
        <v>27</v>
      </c>
      <c r="L58" s="21">
        <v>100</v>
      </c>
      <c r="M58" s="21" t="s">
        <v>24</v>
      </c>
      <c r="N58" s="6"/>
    </row>
    <row r="59" spans="1:15" x14ac:dyDescent="0.25">
      <c r="I59" t="s">
        <v>32</v>
      </c>
      <c r="K59" t="s">
        <v>27</v>
      </c>
      <c r="L59" s="21">
        <v>61</v>
      </c>
      <c r="M59" t="s">
        <v>24</v>
      </c>
    </row>
    <row r="60" spans="1:15" x14ac:dyDescent="0.25">
      <c r="H60" t="s">
        <v>39</v>
      </c>
      <c r="K60" t="s">
        <v>27</v>
      </c>
      <c r="L60" s="3">
        <v>100</v>
      </c>
      <c r="M60" t="s">
        <v>24</v>
      </c>
      <c r="N60" s="3" t="s">
        <v>295</v>
      </c>
    </row>
    <row r="61" spans="1:15" x14ac:dyDescent="0.25">
      <c r="H61" t="s">
        <v>36</v>
      </c>
      <c r="K61" t="s">
        <v>27</v>
      </c>
      <c r="L61" s="3">
        <v>50</v>
      </c>
      <c r="M61" t="s">
        <v>24</v>
      </c>
      <c r="N61" s="3" t="s">
        <v>377</v>
      </c>
    </row>
    <row r="62" spans="1:15" x14ac:dyDescent="0.25">
      <c r="A62" s="1" t="s">
        <v>322</v>
      </c>
      <c r="B62" s="1"/>
      <c r="C62" s="1"/>
      <c r="D62" s="1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t="s">
        <v>20</v>
      </c>
      <c r="G63" t="s">
        <v>320</v>
      </c>
      <c r="H63" t="s">
        <v>29</v>
      </c>
      <c r="K63" t="s">
        <v>321</v>
      </c>
      <c r="L63" s="3">
        <v>90</v>
      </c>
      <c r="M63" t="s">
        <v>24</v>
      </c>
      <c r="N63" s="3"/>
    </row>
    <row r="64" spans="1:15" x14ac:dyDescent="0.25">
      <c r="A64" t="s">
        <v>20</v>
      </c>
      <c r="B64" t="s">
        <v>315</v>
      </c>
      <c r="E64" t="s">
        <v>316</v>
      </c>
      <c r="G64" t="s">
        <v>320</v>
      </c>
      <c r="H64" t="s">
        <v>29</v>
      </c>
      <c r="K64" t="s">
        <v>321</v>
      </c>
      <c r="L64" s="3">
        <v>5</v>
      </c>
      <c r="M64" t="s">
        <v>24</v>
      </c>
      <c r="N64" s="3"/>
    </row>
    <row r="65" spans="1:14" x14ac:dyDescent="0.25">
      <c r="A65" t="s">
        <v>20</v>
      </c>
      <c r="B65" t="s">
        <v>315</v>
      </c>
      <c r="E65" t="s">
        <v>317</v>
      </c>
      <c r="G65" t="s">
        <v>320</v>
      </c>
      <c r="H65" t="s">
        <v>29</v>
      </c>
      <c r="K65" t="s">
        <v>321</v>
      </c>
      <c r="L65" s="3">
        <v>5</v>
      </c>
      <c r="M65" t="s">
        <v>24</v>
      </c>
      <c r="N65" s="3"/>
    </row>
    <row r="66" spans="1:14" x14ac:dyDescent="0.25">
      <c r="A66" t="s">
        <v>20</v>
      </c>
      <c r="E66" t="s">
        <v>318</v>
      </c>
      <c r="G66" t="s">
        <v>320</v>
      </c>
      <c r="H66" t="s">
        <v>29</v>
      </c>
      <c r="K66" t="s">
        <v>321</v>
      </c>
      <c r="L66" s="3">
        <v>0</v>
      </c>
      <c r="M66" t="s">
        <v>24</v>
      </c>
      <c r="N66" s="3"/>
    </row>
    <row r="67" spans="1:14" x14ac:dyDescent="0.25">
      <c r="A67" t="s">
        <v>20</v>
      </c>
      <c r="B67" t="s">
        <v>315</v>
      </c>
      <c r="E67" t="s">
        <v>319</v>
      </c>
      <c r="G67" t="s">
        <v>320</v>
      </c>
      <c r="H67" t="s">
        <v>29</v>
      </c>
      <c r="K67" t="s">
        <v>321</v>
      </c>
      <c r="L67" s="3">
        <v>0</v>
      </c>
      <c r="M67" t="s">
        <v>24</v>
      </c>
      <c r="N67" s="3"/>
    </row>
    <row r="68" spans="1:14" x14ac:dyDescent="0.25">
      <c r="L68" s="3"/>
      <c r="N68" s="3"/>
    </row>
    <row r="69" spans="1:14" x14ac:dyDescent="0.25">
      <c r="A69" t="s">
        <v>20</v>
      </c>
      <c r="G69" t="s">
        <v>320</v>
      </c>
      <c r="H69" t="s">
        <v>29</v>
      </c>
      <c r="J69">
        <v>811</v>
      </c>
      <c r="K69" t="s">
        <v>321</v>
      </c>
      <c r="L69" s="3">
        <v>100</v>
      </c>
      <c r="M69" t="s">
        <v>24</v>
      </c>
      <c r="N69" s="3"/>
    </row>
    <row r="70" spans="1:14" x14ac:dyDescent="0.25">
      <c r="A70" t="s">
        <v>20</v>
      </c>
      <c r="B70" t="s">
        <v>315</v>
      </c>
      <c r="E70" t="s">
        <v>316</v>
      </c>
      <c r="G70" t="s">
        <v>320</v>
      </c>
      <c r="H70" t="s">
        <v>29</v>
      </c>
      <c r="J70">
        <v>811</v>
      </c>
      <c r="K70" t="s">
        <v>321</v>
      </c>
      <c r="L70" s="3">
        <v>50</v>
      </c>
      <c r="M70" t="s">
        <v>24</v>
      </c>
      <c r="N70" s="3"/>
    </row>
    <row r="71" spans="1:14" x14ac:dyDescent="0.25">
      <c r="A71" t="s">
        <v>20</v>
      </c>
      <c r="B71" t="s">
        <v>315</v>
      </c>
      <c r="E71" t="s">
        <v>317</v>
      </c>
      <c r="G71" t="s">
        <v>320</v>
      </c>
      <c r="H71" t="s">
        <v>29</v>
      </c>
      <c r="J71">
        <v>811</v>
      </c>
      <c r="K71" t="s">
        <v>321</v>
      </c>
      <c r="L71" s="3">
        <v>50</v>
      </c>
      <c r="M71" t="s">
        <v>24</v>
      </c>
      <c r="N71" s="3"/>
    </row>
    <row r="72" spans="1:14" x14ac:dyDescent="0.25">
      <c r="A72" t="s">
        <v>20</v>
      </c>
      <c r="E72" t="s">
        <v>318</v>
      </c>
      <c r="G72" t="s">
        <v>320</v>
      </c>
      <c r="H72" t="s">
        <v>29</v>
      </c>
      <c r="J72">
        <v>811</v>
      </c>
      <c r="K72" t="s">
        <v>321</v>
      </c>
      <c r="L72" s="3">
        <v>0</v>
      </c>
      <c r="M72" t="s">
        <v>24</v>
      </c>
      <c r="N72" s="3"/>
    </row>
    <row r="73" spans="1:14" x14ac:dyDescent="0.25">
      <c r="A73" t="s">
        <v>20</v>
      </c>
      <c r="B73" t="s">
        <v>315</v>
      </c>
      <c r="E73" t="s">
        <v>319</v>
      </c>
      <c r="G73" t="s">
        <v>320</v>
      </c>
      <c r="H73" t="s">
        <v>29</v>
      </c>
      <c r="J73">
        <v>811</v>
      </c>
      <c r="K73" t="s">
        <v>321</v>
      </c>
      <c r="L73" s="3">
        <v>0</v>
      </c>
      <c r="M73" t="s">
        <v>24</v>
      </c>
      <c r="N73" s="3"/>
    </row>
    <row r="74" spans="1:14" x14ac:dyDescent="0.25">
      <c r="A74" t="s">
        <v>20</v>
      </c>
      <c r="G74" t="s">
        <v>320</v>
      </c>
      <c r="H74" t="s">
        <v>29</v>
      </c>
      <c r="J74">
        <v>812</v>
      </c>
      <c r="K74" t="s">
        <v>321</v>
      </c>
      <c r="L74" s="3">
        <v>100</v>
      </c>
      <c r="M74" t="s">
        <v>24</v>
      </c>
      <c r="N74" s="3"/>
    </row>
    <row r="75" spans="1:14" x14ac:dyDescent="0.25">
      <c r="A75" t="s">
        <v>20</v>
      </c>
      <c r="B75" t="s">
        <v>315</v>
      </c>
      <c r="E75" t="s">
        <v>316</v>
      </c>
      <c r="G75" t="s">
        <v>320</v>
      </c>
      <c r="H75" t="s">
        <v>29</v>
      </c>
      <c r="J75">
        <v>812</v>
      </c>
      <c r="K75" t="s">
        <v>321</v>
      </c>
      <c r="L75" s="3">
        <v>50</v>
      </c>
      <c r="M75" t="s">
        <v>24</v>
      </c>
      <c r="N75" s="3"/>
    </row>
    <row r="76" spans="1:14" x14ac:dyDescent="0.25">
      <c r="A76" t="s">
        <v>20</v>
      </c>
      <c r="B76" t="s">
        <v>315</v>
      </c>
      <c r="E76" t="s">
        <v>317</v>
      </c>
      <c r="G76" t="s">
        <v>320</v>
      </c>
      <c r="H76" t="s">
        <v>29</v>
      </c>
      <c r="J76">
        <v>812</v>
      </c>
      <c r="K76" t="s">
        <v>321</v>
      </c>
      <c r="L76" s="3">
        <v>50</v>
      </c>
      <c r="M76" t="s">
        <v>24</v>
      </c>
      <c r="N76" s="3"/>
    </row>
    <row r="77" spans="1:14" x14ac:dyDescent="0.25">
      <c r="A77" t="s">
        <v>20</v>
      </c>
      <c r="E77" t="s">
        <v>318</v>
      </c>
      <c r="G77" t="s">
        <v>320</v>
      </c>
      <c r="H77" t="s">
        <v>29</v>
      </c>
      <c r="J77">
        <v>812</v>
      </c>
      <c r="K77" t="s">
        <v>321</v>
      </c>
      <c r="L77" s="3">
        <v>0</v>
      </c>
      <c r="M77" t="s">
        <v>24</v>
      </c>
      <c r="N77" s="3"/>
    </row>
    <row r="78" spans="1:14" x14ac:dyDescent="0.25">
      <c r="A78" t="s">
        <v>20</v>
      </c>
      <c r="B78" t="s">
        <v>315</v>
      </c>
      <c r="E78" t="s">
        <v>319</v>
      </c>
      <c r="G78" t="s">
        <v>320</v>
      </c>
      <c r="H78" t="s">
        <v>29</v>
      </c>
      <c r="J78">
        <v>812</v>
      </c>
      <c r="K78" t="s">
        <v>321</v>
      </c>
      <c r="L78" s="3">
        <v>0</v>
      </c>
      <c r="M78" t="s">
        <v>24</v>
      </c>
      <c r="N78" s="3"/>
    </row>
    <row r="79" spans="1:14" x14ac:dyDescent="0.25">
      <c r="L79" s="3"/>
      <c r="N79" s="3"/>
    </row>
    <row r="80" spans="1:14" x14ac:dyDescent="0.25">
      <c r="A80" t="s">
        <v>378</v>
      </c>
      <c r="G80" t="s">
        <v>320</v>
      </c>
      <c r="H80" t="s">
        <v>29</v>
      </c>
      <c r="K80" t="s">
        <v>321</v>
      </c>
      <c r="L80" s="3">
        <v>10</v>
      </c>
      <c r="M80" t="s">
        <v>24</v>
      </c>
      <c r="N80" s="3"/>
    </row>
    <row r="81" spans="1:15" x14ac:dyDescent="0.25">
      <c r="L81" s="3"/>
      <c r="N81" s="3"/>
    </row>
    <row r="82" spans="1:15" x14ac:dyDescent="0.25">
      <c r="A82" s="1" t="s">
        <v>382</v>
      </c>
      <c r="B82" s="1"/>
      <c r="C82" s="1"/>
      <c r="D82" s="1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K83" s="6" t="s">
        <v>379</v>
      </c>
      <c r="L83" s="6">
        <v>0</v>
      </c>
      <c r="M83" s="6" t="s">
        <v>24</v>
      </c>
      <c r="N83" s="6" t="s">
        <v>30</v>
      </c>
    </row>
    <row r="84" spans="1:15" x14ac:dyDescent="0.25">
      <c r="K84" s="6" t="s">
        <v>380</v>
      </c>
      <c r="L84" s="6">
        <v>0</v>
      </c>
      <c r="M84" s="6" t="s">
        <v>24</v>
      </c>
      <c r="N84" s="6" t="s">
        <v>30</v>
      </c>
    </row>
    <row r="85" spans="1:15" x14ac:dyDescent="0.25">
      <c r="A85" t="s">
        <v>20</v>
      </c>
      <c r="B85" t="s">
        <v>315</v>
      </c>
      <c r="E85" t="s">
        <v>316</v>
      </c>
      <c r="F85" t="s">
        <v>300</v>
      </c>
      <c r="K85" s="21" t="s">
        <v>379</v>
      </c>
      <c r="L85" s="21">
        <f>(0.8*20+0.2*2)</f>
        <v>16.399999999999999</v>
      </c>
      <c r="M85" s="21" t="s">
        <v>24</v>
      </c>
      <c r="N85" s="21" t="s">
        <v>384</v>
      </c>
      <c r="O85" t="s">
        <v>381</v>
      </c>
    </row>
    <row r="86" spans="1:15" x14ac:dyDescent="0.25">
      <c r="A86" t="s">
        <v>20</v>
      </c>
      <c r="F86" t="s">
        <v>300</v>
      </c>
      <c r="K86" s="21" t="s">
        <v>379</v>
      </c>
      <c r="L86" s="21">
        <f>(0.6*20+0.4*2)</f>
        <v>12.8</v>
      </c>
      <c r="M86" s="21" t="s">
        <v>24</v>
      </c>
      <c r="N86" s="21" t="s">
        <v>385</v>
      </c>
      <c r="O86" t="s">
        <v>381</v>
      </c>
    </row>
    <row r="87" spans="1:15" x14ac:dyDescent="0.25">
      <c r="A87" t="s">
        <v>383</v>
      </c>
      <c r="F87" t="s">
        <v>300</v>
      </c>
      <c r="K87" s="21" t="s">
        <v>379</v>
      </c>
      <c r="L87" s="21">
        <v>2</v>
      </c>
      <c r="M87" s="21" t="s">
        <v>24</v>
      </c>
      <c r="N87" s="21" t="s">
        <v>386</v>
      </c>
      <c r="O87" t="s">
        <v>381</v>
      </c>
    </row>
    <row r="88" spans="1:15" x14ac:dyDescent="0.25">
      <c r="A88" t="s">
        <v>378</v>
      </c>
      <c r="F88" t="s">
        <v>300</v>
      </c>
      <c r="K88" s="21" t="s">
        <v>379</v>
      </c>
      <c r="L88" s="21">
        <v>2</v>
      </c>
      <c r="M88" s="21" t="s">
        <v>24</v>
      </c>
      <c r="N88" s="21" t="s">
        <v>386</v>
      </c>
      <c r="O88" t="s">
        <v>381</v>
      </c>
    </row>
    <row r="89" spans="1:15" x14ac:dyDescent="0.25">
      <c r="A89" t="s">
        <v>20</v>
      </c>
      <c r="B89" t="s">
        <v>315</v>
      </c>
      <c r="E89" t="s">
        <v>316</v>
      </c>
      <c r="F89" t="s">
        <v>300</v>
      </c>
      <c r="K89" s="21" t="s">
        <v>380</v>
      </c>
      <c r="L89" s="21">
        <v>5</v>
      </c>
      <c r="M89" s="21" t="s">
        <v>24</v>
      </c>
      <c r="N89" s="21" t="s">
        <v>387</v>
      </c>
      <c r="O89" t="s">
        <v>381</v>
      </c>
    </row>
    <row r="90" spans="1:15" x14ac:dyDescent="0.25">
      <c r="A90" t="s">
        <v>20</v>
      </c>
      <c r="E90" t="s">
        <v>318</v>
      </c>
      <c r="F90" t="s">
        <v>300</v>
      </c>
      <c r="K90" s="21" t="s">
        <v>380</v>
      </c>
      <c r="L90" s="21">
        <v>5</v>
      </c>
      <c r="M90" s="21" t="s">
        <v>24</v>
      </c>
      <c r="N90" s="21" t="s">
        <v>387</v>
      </c>
      <c r="O90" t="s">
        <v>381</v>
      </c>
    </row>
    <row r="91" spans="1:15" x14ac:dyDescent="0.25">
      <c r="A91" t="s">
        <v>20</v>
      </c>
      <c r="F91" t="s">
        <v>300</v>
      </c>
      <c r="K91" s="21" t="s">
        <v>380</v>
      </c>
      <c r="L91" s="21">
        <f>0.9*5+0.1*15</f>
        <v>6</v>
      </c>
      <c r="M91" s="21" t="s">
        <v>24</v>
      </c>
      <c r="N91" s="21" t="s">
        <v>388</v>
      </c>
      <c r="O91" t="s">
        <v>381</v>
      </c>
    </row>
    <row r="92" spans="1:15" x14ac:dyDescent="0.25">
      <c r="A92" t="s">
        <v>383</v>
      </c>
      <c r="F92" t="s">
        <v>300</v>
      </c>
      <c r="K92" s="21" t="s">
        <v>380</v>
      </c>
      <c r="L92" s="21">
        <v>15</v>
      </c>
      <c r="M92" s="21" t="s">
        <v>24</v>
      </c>
      <c r="N92" s="21"/>
      <c r="O92" t="s">
        <v>381</v>
      </c>
    </row>
    <row r="93" spans="1:15" x14ac:dyDescent="0.25">
      <c r="A93" t="s">
        <v>378</v>
      </c>
      <c r="F93" t="s">
        <v>300</v>
      </c>
      <c r="K93" s="21" t="s">
        <v>380</v>
      </c>
      <c r="L93" s="21">
        <v>15</v>
      </c>
      <c r="M93" s="21" t="s">
        <v>24</v>
      </c>
      <c r="N93" s="21"/>
      <c r="O93" t="s">
        <v>381</v>
      </c>
    </row>
    <row r="94" spans="1:15" x14ac:dyDescent="0.25">
      <c r="A94" s="22" t="str">
        <f>A85</f>
        <v>cattle</v>
      </c>
      <c r="B94" s="22" t="str">
        <f>B85</f>
        <v>dairy</v>
      </c>
      <c r="E94" s="22" t="str">
        <f>E85</f>
        <v>cows</v>
      </c>
      <c r="F94" t="s">
        <v>301</v>
      </c>
      <c r="K94" s="22" t="str">
        <f>K85</f>
        <v>storage_losses</v>
      </c>
      <c r="L94" s="22">
        <f>L85</f>
        <v>16.399999999999999</v>
      </c>
      <c r="M94" s="22" t="str">
        <f>M85</f>
        <v>%</v>
      </c>
      <c r="N94" s="22" t="str">
        <f>N85</f>
        <v>80% in silo</v>
      </c>
      <c r="O94" s="22" t="str">
        <f>O85</f>
        <v>Cederberg &amp; Henriksson. 2020. Gräsmarkernas användning i jordbruket</v>
      </c>
    </row>
    <row r="95" spans="1:15" x14ac:dyDescent="0.25">
      <c r="A95" s="22" t="str">
        <f t="shared" ref="A95:A102" si="0">A86</f>
        <v>cattle</v>
      </c>
      <c r="F95" t="s">
        <v>301</v>
      </c>
      <c r="K95" s="22" t="str">
        <f t="shared" ref="K95:O102" si="1">K86</f>
        <v>storage_losses</v>
      </c>
      <c r="L95" s="22">
        <f t="shared" si="1"/>
        <v>12.8</v>
      </c>
      <c r="M95" s="22" t="str">
        <f t="shared" si="1"/>
        <v>%</v>
      </c>
      <c r="N95" s="22" t="str">
        <f t="shared" si="1"/>
        <v>60% in silo</v>
      </c>
      <c r="O95" s="22" t="str">
        <f t="shared" si="1"/>
        <v>Cederberg &amp; Henriksson. 2020. Gräsmarkernas användning i jordbruket</v>
      </c>
    </row>
    <row r="96" spans="1:15" x14ac:dyDescent="0.25">
      <c r="A96" s="22" t="str">
        <f t="shared" si="0"/>
        <v>sheep</v>
      </c>
      <c r="F96" t="s">
        <v>301</v>
      </c>
      <c r="K96" s="22" t="str">
        <f t="shared" si="1"/>
        <v>storage_losses</v>
      </c>
      <c r="L96" s="22">
        <f t="shared" si="1"/>
        <v>2</v>
      </c>
      <c r="M96" s="22" t="str">
        <f t="shared" si="1"/>
        <v>%</v>
      </c>
      <c r="N96" s="22" t="str">
        <f t="shared" si="1"/>
        <v>0% in silo</v>
      </c>
      <c r="O96" s="22" t="str">
        <f t="shared" si="1"/>
        <v>Cederberg &amp; Henriksson. 2020. Gräsmarkernas användning i jordbruket</v>
      </c>
    </row>
    <row r="97" spans="1:15" x14ac:dyDescent="0.25">
      <c r="A97" s="22" t="str">
        <f t="shared" si="0"/>
        <v>horses</v>
      </c>
      <c r="F97" t="s">
        <v>301</v>
      </c>
      <c r="K97" s="22" t="str">
        <f t="shared" si="1"/>
        <v>storage_losses</v>
      </c>
      <c r="L97" s="22">
        <f t="shared" si="1"/>
        <v>2</v>
      </c>
      <c r="M97" s="22" t="str">
        <f t="shared" si="1"/>
        <v>%</v>
      </c>
      <c r="N97" s="22" t="str">
        <f t="shared" si="1"/>
        <v>0% in silo</v>
      </c>
      <c r="O97" s="22" t="str">
        <f t="shared" si="1"/>
        <v>Cederberg &amp; Henriksson. 2020. Gräsmarkernas användning i jordbruket</v>
      </c>
    </row>
    <row r="98" spans="1:15" x14ac:dyDescent="0.25">
      <c r="A98" s="22" t="str">
        <f t="shared" si="0"/>
        <v>cattle</v>
      </c>
      <c r="B98" s="22" t="str">
        <f>B89</f>
        <v>dairy</v>
      </c>
      <c r="E98" s="22" t="str">
        <f>E89</f>
        <v>cows</v>
      </c>
      <c r="F98" t="s">
        <v>301</v>
      </c>
      <c r="K98" s="22" t="str">
        <f t="shared" si="1"/>
        <v>feeding_losses</v>
      </c>
      <c r="L98" s="22">
        <f t="shared" si="1"/>
        <v>5</v>
      </c>
      <c r="M98" s="22" t="str">
        <f t="shared" si="1"/>
        <v>%</v>
      </c>
      <c r="N98" s="22" t="str">
        <f t="shared" si="1"/>
        <v>No feeding on pasture</v>
      </c>
      <c r="O98" s="22" t="str">
        <f t="shared" si="1"/>
        <v>Cederberg &amp; Henriksson. 2020. Gräsmarkernas användning i jordbruket</v>
      </c>
    </row>
    <row r="99" spans="1:15" x14ac:dyDescent="0.25">
      <c r="A99" s="22" t="str">
        <f t="shared" si="0"/>
        <v>cattle</v>
      </c>
      <c r="E99" s="22" t="str">
        <f>E90</f>
        <v>bulls</v>
      </c>
      <c r="F99" t="s">
        <v>301</v>
      </c>
      <c r="K99" s="22" t="str">
        <f t="shared" si="1"/>
        <v>feeding_losses</v>
      </c>
      <c r="L99" s="22">
        <f t="shared" si="1"/>
        <v>5</v>
      </c>
      <c r="M99" s="22" t="str">
        <f t="shared" si="1"/>
        <v>%</v>
      </c>
      <c r="N99" s="22" t="str">
        <f t="shared" si="1"/>
        <v>No feeding on pasture</v>
      </c>
      <c r="O99" s="22" t="str">
        <f t="shared" si="1"/>
        <v>Cederberg &amp; Henriksson. 2020. Gräsmarkernas användning i jordbruket</v>
      </c>
    </row>
    <row r="100" spans="1:15" x14ac:dyDescent="0.25">
      <c r="A100" s="22" t="str">
        <f t="shared" si="0"/>
        <v>cattle</v>
      </c>
      <c r="F100" t="s">
        <v>301</v>
      </c>
      <c r="K100" s="22" t="str">
        <f t="shared" si="1"/>
        <v>feeding_losses</v>
      </c>
      <c r="L100" s="22">
        <f t="shared" si="1"/>
        <v>6</v>
      </c>
      <c r="M100" s="22" t="str">
        <f t="shared" si="1"/>
        <v>%</v>
      </c>
      <c r="N100" s="22" t="str">
        <f t="shared" si="1"/>
        <v>10% feeding on pasture</v>
      </c>
      <c r="O100" s="22" t="str">
        <f t="shared" si="1"/>
        <v>Cederberg &amp; Henriksson. 2020. Gräsmarkernas användning i jordbruket</v>
      </c>
    </row>
    <row r="101" spans="1:15" x14ac:dyDescent="0.25">
      <c r="A101" s="22" t="str">
        <f t="shared" si="0"/>
        <v>sheep</v>
      </c>
      <c r="F101" t="s">
        <v>301</v>
      </c>
      <c r="K101" s="22" t="str">
        <f t="shared" si="1"/>
        <v>feeding_losses</v>
      </c>
      <c r="L101" s="22">
        <f t="shared" si="1"/>
        <v>15</v>
      </c>
      <c r="M101" s="22" t="str">
        <f t="shared" si="1"/>
        <v>%</v>
      </c>
      <c r="N101" s="22"/>
      <c r="O101" s="22" t="str">
        <f t="shared" ref="O101:O102" si="2">O92</f>
        <v>Cederberg &amp; Henriksson. 2020. Gräsmarkernas användning i jordbruket</v>
      </c>
    </row>
    <row r="102" spans="1:15" x14ac:dyDescent="0.25">
      <c r="A102" s="22" t="str">
        <f t="shared" si="0"/>
        <v>horses</v>
      </c>
      <c r="F102" t="s">
        <v>301</v>
      </c>
      <c r="K102" s="22" t="str">
        <f t="shared" si="1"/>
        <v>feeding_losses</v>
      </c>
      <c r="L102" s="22">
        <f t="shared" si="1"/>
        <v>15</v>
      </c>
      <c r="M102" s="22" t="str">
        <f t="shared" si="1"/>
        <v>%</v>
      </c>
      <c r="N102" s="22"/>
      <c r="O102" s="22" t="str">
        <f t="shared" si="2"/>
        <v>Cederberg &amp; Henriksson. 2020. Gräsmarkernas användning i jordbruket</v>
      </c>
    </row>
    <row r="103" spans="1:15" x14ac:dyDescent="0.25">
      <c r="A103" s="22"/>
      <c r="B103" s="22"/>
      <c r="E103" s="22"/>
      <c r="F103" t="s">
        <v>302</v>
      </c>
      <c r="K103" s="21" t="s">
        <v>379</v>
      </c>
      <c r="L103" s="21">
        <v>5</v>
      </c>
      <c r="M103" s="21" t="s">
        <v>24</v>
      </c>
      <c r="N103" s="21"/>
      <c r="O103" t="s">
        <v>381</v>
      </c>
    </row>
    <row r="104" spans="1:15" x14ac:dyDescent="0.25">
      <c r="A104" s="22" t="str">
        <f>A89</f>
        <v>cattle</v>
      </c>
      <c r="B104" s="22" t="str">
        <f>B89</f>
        <v>dairy</v>
      </c>
      <c r="E104" s="22" t="str">
        <f t="shared" ref="E104:E105" si="3">E89</f>
        <v>cows</v>
      </c>
      <c r="F104" t="s">
        <v>302</v>
      </c>
      <c r="K104" s="22" t="str">
        <f t="shared" ref="K104:O108" si="4">K89</f>
        <v>feeding_losses</v>
      </c>
      <c r="L104" s="22">
        <f t="shared" si="4"/>
        <v>5</v>
      </c>
      <c r="M104" s="22" t="str">
        <f t="shared" si="4"/>
        <v>%</v>
      </c>
      <c r="N104" s="22" t="str">
        <f t="shared" si="4"/>
        <v>No feeding on pasture</v>
      </c>
      <c r="O104" s="22" t="str">
        <f t="shared" si="4"/>
        <v>Cederberg &amp; Henriksson. 2020. Gräsmarkernas användning i jordbruket</v>
      </c>
    </row>
    <row r="105" spans="1:15" x14ac:dyDescent="0.25">
      <c r="A105" s="22" t="str">
        <f t="shared" ref="A105:A108" si="5">A90</f>
        <v>cattle</v>
      </c>
      <c r="E105" s="22" t="str">
        <f t="shared" si="3"/>
        <v>bulls</v>
      </c>
      <c r="F105" t="s">
        <v>302</v>
      </c>
      <c r="K105" s="22" t="str">
        <f t="shared" si="4"/>
        <v>feeding_losses</v>
      </c>
      <c r="L105" s="22">
        <f t="shared" si="4"/>
        <v>5</v>
      </c>
      <c r="M105" s="22" t="str">
        <f t="shared" si="4"/>
        <v>%</v>
      </c>
      <c r="N105" s="22" t="str">
        <f t="shared" si="4"/>
        <v>No feeding on pasture</v>
      </c>
      <c r="O105" s="22" t="str">
        <f t="shared" si="4"/>
        <v>Cederberg &amp; Henriksson. 2020. Gräsmarkernas användning i jordbruket</v>
      </c>
    </row>
    <row r="106" spans="1:15" x14ac:dyDescent="0.25">
      <c r="A106" s="22" t="str">
        <f t="shared" si="5"/>
        <v>cattle</v>
      </c>
      <c r="F106" t="s">
        <v>302</v>
      </c>
      <c r="K106" s="22" t="str">
        <f t="shared" si="4"/>
        <v>feeding_losses</v>
      </c>
      <c r="L106" s="22">
        <f t="shared" si="4"/>
        <v>6</v>
      </c>
      <c r="M106" s="22" t="str">
        <f t="shared" si="4"/>
        <v>%</v>
      </c>
      <c r="N106" s="22" t="str">
        <f t="shared" si="4"/>
        <v>10% feeding on pasture</v>
      </c>
      <c r="O106" s="22" t="str">
        <f t="shared" si="4"/>
        <v>Cederberg &amp; Henriksson. 2020. Gräsmarkernas användning i jordbruket</v>
      </c>
    </row>
    <row r="107" spans="1:15" x14ac:dyDescent="0.25">
      <c r="A107" s="22" t="str">
        <f t="shared" si="5"/>
        <v>sheep</v>
      </c>
      <c r="F107" t="s">
        <v>302</v>
      </c>
      <c r="K107" s="22" t="str">
        <f t="shared" si="4"/>
        <v>feeding_losses</v>
      </c>
      <c r="L107" s="22">
        <f t="shared" si="4"/>
        <v>15</v>
      </c>
      <c r="M107" s="22" t="str">
        <f t="shared" si="4"/>
        <v>%</v>
      </c>
      <c r="N107" s="22"/>
      <c r="O107" s="22" t="str">
        <f t="shared" si="4"/>
        <v>Cederberg &amp; Henriksson. 2020. Gräsmarkernas användning i jordbruket</v>
      </c>
    </row>
    <row r="108" spans="1:15" x14ac:dyDescent="0.25">
      <c r="A108" s="22" t="str">
        <f t="shared" si="5"/>
        <v>horses</v>
      </c>
      <c r="F108" t="s">
        <v>302</v>
      </c>
      <c r="K108" s="22" t="str">
        <f t="shared" si="4"/>
        <v>feeding_losses</v>
      </c>
      <c r="L108" s="22">
        <f t="shared" si="4"/>
        <v>15</v>
      </c>
      <c r="M108" s="22" t="str">
        <f t="shared" si="4"/>
        <v>%</v>
      </c>
      <c r="N108" s="22"/>
      <c r="O108" s="22" t="str">
        <f t="shared" si="4"/>
        <v>Cederberg &amp; Henriksson. 2020. Gräsmarkernas användning i jordbruket</v>
      </c>
    </row>
    <row r="109" spans="1:15" x14ac:dyDescent="0.25">
      <c r="F109" t="s">
        <v>2</v>
      </c>
      <c r="K109" s="21" t="s">
        <v>379</v>
      </c>
      <c r="L109" s="21">
        <v>5</v>
      </c>
      <c r="M109" s="21" t="s">
        <v>24</v>
      </c>
      <c r="N109" s="21"/>
      <c r="O109" t="s">
        <v>381</v>
      </c>
    </row>
    <row r="110" spans="1:15" x14ac:dyDescent="0.25">
      <c r="A110" s="22" t="str">
        <f>A89</f>
        <v>cattle</v>
      </c>
      <c r="B110" s="22" t="str">
        <f>B89</f>
        <v>dairy</v>
      </c>
      <c r="E110" s="22" t="str">
        <f t="shared" ref="E110:E111" si="6">E89</f>
        <v>cows</v>
      </c>
      <c r="F110" t="s">
        <v>2</v>
      </c>
      <c r="K110" s="22" t="str">
        <f t="shared" ref="K110:O114" si="7">K89</f>
        <v>feeding_losses</v>
      </c>
      <c r="L110" s="22">
        <f t="shared" si="7"/>
        <v>5</v>
      </c>
      <c r="M110" s="22" t="str">
        <f t="shared" si="7"/>
        <v>%</v>
      </c>
      <c r="N110" s="22" t="str">
        <f t="shared" si="7"/>
        <v>No feeding on pasture</v>
      </c>
      <c r="O110" s="22" t="str">
        <f t="shared" si="7"/>
        <v>Cederberg &amp; Henriksson. 2020. Gräsmarkernas användning i jordbruket</v>
      </c>
    </row>
    <row r="111" spans="1:15" x14ac:dyDescent="0.25">
      <c r="A111" s="22" t="str">
        <f t="shared" ref="A111:A114" si="8">A90</f>
        <v>cattle</v>
      </c>
      <c r="E111" s="22" t="str">
        <f t="shared" si="6"/>
        <v>bulls</v>
      </c>
      <c r="F111" t="s">
        <v>2</v>
      </c>
      <c r="K111" s="22" t="str">
        <f t="shared" si="7"/>
        <v>feeding_losses</v>
      </c>
      <c r="L111" s="22">
        <f t="shared" si="7"/>
        <v>5</v>
      </c>
      <c r="M111" s="22" t="str">
        <f t="shared" si="7"/>
        <v>%</v>
      </c>
      <c r="N111" s="22" t="str">
        <f t="shared" si="7"/>
        <v>No feeding on pasture</v>
      </c>
      <c r="O111" s="22" t="str">
        <f t="shared" si="7"/>
        <v>Cederberg &amp; Henriksson. 2020. Gräsmarkernas användning i jordbruket</v>
      </c>
    </row>
    <row r="112" spans="1:15" x14ac:dyDescent="0.25">
      <c r="A112" s="22" t="str">
        <f t="shared" si="8"/>
        <v>cattle</v>
      </c>
      <c r="F112" t="s">
        <v>2</v>
      </c>
      <c r="K112" s="22" t="str">
        <f t="shared" si="7"/>
        <v>feeding_losses</v>
      </c>
      <c r="L112" s="22">
        <f t="shared" si="7"/>
        <v>6</v>
      </c>
      <c r="M112" s="22" t="str">
        <f t="shared" si="7"/>
        <v>%</v>
      </c>
      <c r="N112" s="22" t="str">
        <f t="shared" si="7"/>
        <v>10% feeding on pasture</v>
      </c>
      <c r="O112" s="22" t="str">
        <f t="shared" si="7"/>
        <v>Cederberg &amp; Henriksson. 2020. Gräsmarkernas användning i jordbruket</v>
      </c>
    </row>
    <row r="113" spans="1:15" x14ac:dyDescent="0.25">
      <c r="A113" s="22" t="str">
        <f t="shared" si="8"/>
        <v>sheep</v>
      </c>
      <c r="F113" t="s">
        <v>2</v>
      </c>
      <c r="K113" s="22" t="str">
        <f t="shared" si="7"/>
        <v>feeding_losses</v>
      </c>
      <c r="L113" s="22">
        <f t="shared" si="7"/>
        <v>15</v>
      </c>
      <c r="M113" s="22" t="str">
        <f t="shared" si="7"/>
        <v>%</v>
      </c>
      <c r="N113" s="21"/>
      <c r="O113" s="22" t="str">
        <f t="shared" ref="O113:O114" si="9">O92</f>
        <v>Cederberg &amp; Henriksson. 2020. Gräsmarkernas användning i jordbruket</v>
      </c>
    </row>
    <row r="114" spans="1:15" x14ac:dyDescent="0.25">
      <c r="A114" s="22" t="str">
        <f t="shared" si="8"/>
        <v>horses</v>
      </c>
      <c r="F114" t="s">
        <v>2</v>
      </c>
      <c r="K114" s="22" t="str">
        <f t="shared" si="7"/>
        <v>feeding_losses</v>
      </c>
      <c r="L114" s="22">
        <f t="shared" si="7"/>
        <v>15</v>
      </c>
      <c r="M114" s="22" t="str">
        <f t="shared" si="7"/>
        <v>%</v>
      </c>
      <c r="N114" s="21"/>
      <c r="O114" s="22" t="str">
        <f t="shared" si="9"/>
        <v>Cederberg &amp; Henriksson. 2020. Gräsmarkernas användning i jordbruket</v>
      </c>
    </row>
    <row r="115" spans="1:15" x14ac:dyDescent="0.25">
      <c r="F115" t="s">
        <v>12</v>
      </c>
      <c r="K115" s="21" t="s">
        <v>379</v>
      </c>
      <c r="L115" s="21">
        <v>5</v>
      </c>
      <c r="M115" s="21" t="s">
        <v>24</v>
      </c>
      <c r="N115" s="21"/>
      <c r="O115" t="s">
        <v>381</v>
      </c>
    </row>
    <row r="116" spans="1:15" x14ac:dyDescent="0.25">
      <c r="A116" s="22" t="str">
        <f>A89</f>
        <v>cattle</v>
      </c>
      <c r="B116" s="22" t="str">
        <f>B89</f>
        <v>dairy</v>
      </c>
      <c r="E116" s="22" t="str">
        <f t="shared" ref="E116:E117" si="10">E89</f>
        <v>cows</v>
      </c>
      <c r="F116" t="s">
        <v>12</v>
      </c>
      <c r="K116" s="22" t="str">
        <f t="shared" ref="K116:O120" si="11">K89</f>
        <v>feeding_losses</v>
      </c>
      <c r="L116" s="22">
        <f t="shared" si="11"/>
        <v>5</v>
      </c>
      <c r="M116" s="22" t="str">
        <f t="shared" si="11"/>
        <v>%</v>
      </c>
      <c r="N116" s="22" t="str">
        <f t="shared" si="11"/>
        <v>No feeding on pasture</v>
      </c>
      <c r="O116" s="22" t="str">
        <f t="shared" si="11"/>
        <v>Cederberg &amp; Henriksson. 2020. Gräsmarkernas användning i jordbruket</v>
      </c>
    </row>
    <row r="117" spans="1:15" x14ac:dyDescent="0.25">
      <c r="A117" s="22" t="str">
        <f t="shared" ref="A117:A120" si="12">A90</f>
        <v>cattle</v>
      </c>
      <c r="E117" s="22" t="str">
        <f t="shared" si="10"/>
        <v>bulls</v>
      </c>
      <c r="F117" t="s">
        <v>12</v>
      </c>
      <c r="K117" s="22" t="str">
        <f t="shared" si="11"/>
        <v>feeding_losses</v>
      </c>
      <c r="L117" s="22">
        <f t="shared" si="11"/>
        <v>5</v>
      </c>
      <c r="M117" s="22" t="str">
        <f t="shared" si="11"/>
        <v>%</v>
      </c>
      <c r="N117" s="22" t="str">
        <f t="shared" si="11"/>
        <v>No feeding on pasture</v>
      </c>
      <c r="O117" s="22" t="str">
        <f t="shared" si="11"/>
        <v>Cederberg &amp; Henriksson. 2020. Gräsmarkernas användning i jordbruket</v>
      </c>
    </row>
    <row r="118" spans="1:15" x14ac:dyDescent="0.25">
      <c r="A118" s="22" t="str">
        <f t="shared" si="12"/>
        <v>cattle</v>
      </c>
      <c r="F118" t="s">
        <v>12</v>
      </c>
      <c r="K118" s="22" t="str">
        <f t="shared" si="11"/>
        <v>feeding_losses</v>
      </c>
      <c r="L118" s="22">
        <f t="shared" si="11"/>
        <v>6</v>
      </c>
      <c r="M118" s="22" t="str">
        <f t="shared" si="11"/>
        <v>%</v>
      </c>
      <c r="N118" s="22" t="str">
        <f t="shared" si="11"/>
        <v>10% feeding on pasture</v>
      </c>
      <c r="O118" s="22" t="str">
        <f t="shared" si="11"/>
        <v>Cederberg &amp; Henriksson. 2020. Gräsmarkernas användning i jordbruket</v>
      </c>
    </row>
    <row r="119" spans="1:15" x14ac:dyDescent="0.25">
      <c r="A119" s="22" t="str">
        <f t="shared" si="12"/>
        <v>sheep</v>
      </c>
      <c r="F119" t="s">
        <v>12</v>
      </c>
      <c r="K119" s="22" t="str">
        <f t="shared" si="11"/>
        <v>feeding_losses</v>
      </c>
      <c r="L119" s="22">
        <f t="shared" si="11"/>
        <v>15</v>
      </c>
      <c r="M119" s="22" t="str">
        <f t="shared" si="11"/>
        <v>%</v>
      </c>
      <c r="N119" s="21"/>
      <c r="O119" s="22" t="str">
        <f t="shared" ref="O119:O120" si="13">O92</f>
        <v>Cederberg &amp; Henriksson. 2020. Gräsmarkernas användning i jordbruket</v>
      </c>
    </row>
    <row r="120" spans="1:15" x14ac:dyDescent="0.25">
      <c r="A120" s="22" t="str">
        <f t="shared" si="12"/>
        <v>horses</v>
      </c>
      <c r="F120" t="s">
        <v>12</v>
      </c>
      <c r="K120" s="22" t="str">
        <f t="shared" si="11"/>
        <v>feeding_losses</v>
      </c>
      <c r="L120" s="22">
        <f t="shared" si="11"/>
        <v>15</v>
      </c>
      <c r="M120" s="22" t="str">
        <f t="shared" si="11"/>
        <v>%</v>
      </c>
      <c r="N120" s="21"/>
      <c r="O120" s="22" t="str">
        <f t="shared" si="13"/>
        <v>Cederberg &amp; Henriksson. 2020. Gräsmarkernas användning i jordbruket</v>
      </c>
    </row>
    <row r="121" spans="1:15" x14ac:dyDescent="0.25">
      <c r="A121" s="22"/>
      <c r="F121" t="s">
        <v>29</v>
      </c>
      <c r="K121" s="21" t="s">
        <v>379</v>
      </c>
      <c r="L121" s="21">
        <v>0</v>
      </c>
      <c r="M121" t="s">
        <v>24</v>
      </c>
      <c r="N121" s="21" t="s">
        <v>390</v>
      </c>
      <c r="O121" s="22"/>
    </row>
    <row r="122" spans="1:15" x14ac:dyDescent="0.25">
      <c r="A122" t="s">
        <v>20</v>
      </c>
      <c r="F122" t="s">
        <v>29</v>
      </c>
      <c r="K122" t="s">
        <v>380</v>
      </c>
      <c r="L122" s="21">
        <f>100-55</f>
        <v>45</v>
      </c>
      <c r="M122" t="s">
        <v>24</v>
      </c>
      <c r="N122" s="21" t="s">
        <v>497</v>
      </c>
      <c r="O122" t="s">
        <v>381</v>
      </c>
    </row>
    <row r="123" spans="1:15" x14ac:dyDescent="0.25">
      <c r="A123" t="s">
        <v>378</v>
      </c>
      <c r="F123" t="s">
        <v>29</v>
      </c>
      <c r="K123" t="s">
        <v>380</v>
      </c>
      <c r="L123" s="21">
        <f>100-50</f>
        <v>50</v>
      </c>
      <c r="M123" t="s">
        <v>24</v>
      </c>
      <c r="N123" s="21" t="s">
        <v>498</v>
      </c>
      <c r="O123" t="s">
        <v>381</v>
      </c>
    </row>
    <row r="124" spans="1:15" x14ac:dyDescent="0.25">
      <c r="L124" s="3"/>
      <c r="N124" s="21"/>
    </row>
    <row r="125" spans="1:15" x14ac:dyDescent="0.25">
      <c r="A125" s="3" t="s">
        <v>389</v>
      </c>
      <c r="L125" s="3"/>
      <c r="N125" s="21"/>
    </row>
    <row r="126" spans="1:15" x14ac:dyDescent="0.25">
      <c r="L126" s="3"/>
      <c r="N126" s="21"/>
    </row>
    <row r="127" spans="1:15" x14ac:dyDescent="0.25">
      <c r="A127" s="1" t="s">
        <v>608</v>
      </c>
      <c r="B127" s="1"/>
      <c r="C127" s="1"/>
      <c r="D127" s="1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t="s">
        <v>20</v>
      </c>
      <c r="L128" s="21"/>
      <c r="N128" s="21" t="s">
        <v>609</v>
      </c>
    </row>
    <row r="129" spans="1:15" x14ac:dyDescent="0.25">
      <c r="A129" s="3" t="s">
        <v>383</v>
      </c>
      <c r="B129" s="3"/>
      <c r="C129" s="3"/>
      <c r="D129" s="3"/>
      <c r="E129" s="3" t="s">
        <v>490</v>
      </c>
      <c r="F129" s="3"/>
      <c r="G129" s="3"/>
      <c r="H129" s="3"/>
      <c r="I129" s="3"/>
      <c r="J129" s="3"/>
      <c r="K129" s="3" t="s">
        <v>491</v>
      </c>
      <c r="L129" s="3">
        <v>4.5</v>
      </c>
      <c r="M129" s="3" t="s">
        <v>492</v>
      </c>
      <c r="N129" s="3"/>
    </row>
    <row r="130" spans="1:15" x14ac:dyDescent="0.25">
      <c r="A130" s="3" t="s">
        <v>383</v>
      </c>
      <c r="B130" s="3"/>
      <c r="C130" s="3"/>
      <c r="D130" s="3"/>
      <c r="E130" s="3"/>
      <c r="F130" s="3"/>
      <c r="G130" s="3"/>
      <c r="H130" s="3"/>
      <c r="I130" s="3"/>
      <c r="J130" s="3"/>
      <c r="K130" s="3" t="s">
        <v>491</v>
      </c>
      <c r="L130" s="3">
        <v>6.5</v>
      </c>
      <c r="M130" s="3" t="s">
        <v>492</v>
      </c>
      <c r="N130" s="3"/>
    </row>
    <row r="131" spans="1:15" x14ac:dyDescent="0.25">
      <c r="A131" t="s">
        <v>378</v>
      </c>
      <c r="K131" t="s">
        <v>493</v>
      </c>
      <c r="L131" s="21">
        <v>18</v>
      </c>
      <c r="M131" t="s">
        <v>494</v>
      </c>
      <c r="N131" s="3"/>
      <c r="O131" t="s">
        <v>495</v>
      </c>
    </row>
    <row r="132" spans="1:15" x14ac:dyDescent="0.25">
      <c r="A132" t="s">
        <v>21</v>
      </c>
      <c r="K132" t="s">
        <v>493</v>
      </c>
      <c r="L132" s="21">
        <v>1.5</v>
      </c>
      <c r="M132" t="s">
        <v>494</v>
      </c>
      <c r="N132" s="3"/>
      <c r="O132" t="s">
        <v>495</v>
      </c>
    </row>
    <row r="133" spans="1:15" x14ac:dyDescent="0.25">
      <c r="A133" t="s">
        <v>375</v>
      </c>
      <c r="K133" t="s">
        <v>493</v>
      </c>
      <c r="L133" s="21">
        <v>0</v>
      </c>
      <c r="M133" t="s">
        <v>494</v>
      </c>
      <c r="N133" s="3"/>
      <c r="O133" t="s">
        <v>495</v>
      </c>
    </row>
    <row r="134" spans="1:15" x14ac:dyDescent="0.25">
      <c r="L134" s="21"/>
      <c r="N134" s="3"/>
    </row>
    <row r="135" spans="1:15" x14ac:dyDescent="0.25">
      <c r="K135" t="s">
        <v>610</v>
      </c>
      <c r="L135" s="21">
        <v>1</v>
      </c>
      <c r="M135" s="21" t="s">
        <v>611</v>
      </c>
      <c r="N135" s="21" t="s">
        <v>612</v>
      </c>
      <c r="O135" s="21"/>
    </row>
    <row r="136" spans="1:15" x14ac:dyDescent="0.25">
      <c r="A136" t="s">
        <v>20</v>
      </c>
      <c r="K136" t="s">
        <v>610</v>
      </c>
      <c r="L136" s="21">
        <v>1</v>
      </c>
      <c r="M136" s="21" t="s">
        <v>611</v>
      </c>
      <c r="N136" s="21"/>
      <c r="O136" s="21"/>
    </row>
    <row r="137" spans="1:15" x14ac:dyDescent="0.25">
      <c r="A137" t="s">
        <v>20</v>
      </c>
      <c r="B137" t="s">
        <v>315</v>
      </c>
      <c r="E137" t="s">
        <v>316</v>
      </c>
      <c r="K137" t="s">
        <v>610</v>
      </c>
      <c r="L137" s="21">
        <v>1</v>
      </c>
      <c r="M137" s="21" t="s">
        <v>611</v>
      </c>
      <c r="N137" s="21"/>
      <c r="O137" s="21"/>
    </row>
    <row r="138" spans="1:15" x14ac:dyDescent="0.25">
      <c r="A138" t="s">
        <v>20</v>
      </c>
      <c r="B138" t="s">
        <v>315</v>
      </c>
      <c r="E138" t="s">
        <v>318</v>
      </c>
      <c r="K138" t="s">
        <v>610</v>
      </c>
      <c r="L138" s="21">
        <v>1</v>
      </c>
      <c r="M138" s="21" t="s">
        <v>611</v>
      </c>
      <c r="N138" s="21"/>
      <c r="O138" s="21"/>
    </row>
    <row r="139" spans="1:15" x14ac:dyDescent="0.25">
      <c r="A139" t="s">
        <v>20</v>
      </c>
      <c r="B139" t="s">
        <v>613</v>
      </c>
      <c r="E139" t="s">
        <v>318</v>
      </c>
      <c r="K139" t="s">
        <v>610</v>
      </c>
      <c r="L139" s="21">
        <v>1</v>
      </c>
      <c r="M139" s="21" t="s">
        <v>611</v>
      </c>
      <c r="N139" s="21"/>
      <c r="O139" s="21"/>
    </row>
    <row r="140" spans="1:15" x14ac:dyDescent="0.25">
      <c r="L140" s="3"/>
      <c r="N140" s="3"/>
    </row>
    <row r="141" spans="1:15" x14ac:dyDescent="0.25">
      <c r="A141" s="1" t="s">
        <v>22</v>
      </c>
      <c r="B141" s="1"/>
      <c r="C141" s="1"/>
      <c r="D141" s="1"/>
      <c r="E141" s="2"/>
      <c r="F141" s="2"/>
      <c r="G141" s="2"/>
      <c r="H141" s="2"/>
      <c r="I141" s="2"/>
      <c r="J141" s="2"/>
      <c r="K141" s="2"/>
      <c r="L141" s="2"/>
      <c r="M141" s="2"/>
      <c r="N141" s="2" t="s">
        <v>294</v>
      </c>
      <c r="O141" s="2"/>
    </row>
    <row r="142" spans="1:15" x14ac:dyDescent="0.25">
      <c r="K142" t="s">
        <v>376</v>
      </c>
      <c r="L142" s="21" t="s">
        <v>606</v>
      </c>
      <c r="M142" t="s">
        <v>605</v>
      </c>
      <c r="N142" s="3"/>
    </row>
    <row r="143" spans="1:15" x14ac:dyDescent="0.25">
      <c r="K143" t="s">
        <v>481</v>
      </c>
      <c r="L143" s="21" t="s">
        <v>606</v>
      </c>
      <c r="M143" t="s">
        <v>604</v>
      </c>
      <c r="N143" s="3"/>
    </row>
    <row r="144" spans="1:15" x14ac:dyDescent="0.25">
      <c r="K144" t="s">
        <v>18</v>
      </c>
      <c r="L144" s="21" t="s">
        <v>606</v>
      </c>
      <c r="M144" t="s">
        <v>480</v>
      </c>
      <c r="N144" s="21" t="s">
        <v>602</v>
      </c>
    </row>
    <row r="145" spans="11:14" x14ac:dyDescent="0.25">
      <c r="K145" t="s">
        <v>595</v>
      </c>
      <c r="L145" s="21" t="s">
        <v>606</v>
      </c>
      <c r="M145" t="s">
        <v>603</v>
      </c>
      <c r="N145" s="3"/>
    </row>
    <row r="146" spans="11:14" x14ac:dyDescent="0.25">
      <c r="K146" t="s">
        <v>482</v>
      </c>
      <c r="L146" s="21" t="s">
        <v>606</v>
      </c>
      <c r="M146" t="s">
        <v>483</v>
      </c>
      <c r="N146" s="21" t="s">
        <v>484</v>
      </c>
    </row>
    <row r="147" spans="11:14" x14ac:dyDescent="0.25">
      <c r="L147" s="3"/>
      <c r="N147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Q51"/>
  <sheetViews>
    <sheetView topLeftCell="B1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E44" sqref="E44"/>
    </sheetView>
  </sheetViews>
  <sheetFormatPr defaultRowHeight="15" x14ac:dyDescent="0.25"/>
  <cols>
    <col min="2" max="2" width="27" bestFit="1" customWidth="1"/>
    <col min="3" max="9" width="7.5703125" customWidth="1"/>
    <col min="25" max="25" width="7.5703125" customWidth="1"/>
  </cols>
  <sheetData>
    <row r="1" spans="2:43" x14ac:dyDescent="0.25">
      <c r="B1" t="s">
        <v>475</v>
      </c>
      <c r="C1" s="7" t="s">
        <v>114</v>
      </c>
      <c r="D1" s="7"/>
      <c r="E1" s="7"/>
      <c r="F1" s="7"/>
      <c r="G1" s="7"/>
      <c r="H1" s="7"/>
      <c r="I1" s="7"/>
      <c r="Y1" s="7"/>
    </row>
    <row r="3" spans="2:43" x14ac:dyDescent="0.25">
      <c r="C3" s="42" t="s">
        <v>297</v>
      </c>
      <c r="D3" s="43"/>
      <c r="E3" s="43"/>
      <c r="F3" s="43"/>
      <c r="G3" s="43"/>
      <c r="J3" s="42" t="s">
        <v>473</v>
      </c>
      <c r="K3" s="43"/>
      <c r="L3" s="43"/>
      <c r="M3" s="43"/>
      <c r="N3" s="43"/>
      <c r="O3" s="43"/>
      <c r="P3" s="43"/>
      <c r="Q3" s="43"/>
      <c r="R3" s="43"/>
      <c r="S3" s="58" t="s">
        <v>488</v>
      </c>
      <c r="T3" s="43">
        <f>1/6.25</f>
        <v>0.16</v>
      </c>
      <c r="U3" s="43"/>
      <c r="V3" s="43"/>
      <c r="Y3" s="42" t="s">
        <v>21</v>
      </c>
      <c r="Z3" s="43"/>
      <c r="AA3" s="43"/>
      <c r="AB3" s="43"/>
      <c r="AC3" s="43"/>
      <c r="AD3" s="43"/>
      <c r="AE3" s="43"/>
      <c r="AF3" s="43"/>
      <c r="AG3" s="43"/>
      <c r="AH3" s="58" t="s">
        <v>488</v>
      </c>
      <c r="AI3" s="43">
        <f>1/6.25</f>
        <v>0.16</v>
      </c>
      <c r="AJ3" s="43"/>
      <c r="AK3" s="43"/>
      <c r="AO3" s="42" t="s">
        <v>375</v>
      </c>
      <c r="AP3" s="43"/>
    </row>
    <row r="4" spans="2:43" x14ac:dyDescent="0.25">
      <c r="C4" s="41"/>
      <c r="D4" s="2"/>
      <c r="E4" s="2"/>
      <c r="F4" s="2"/>
      <c r="G4" s="2"/>
      <c r="J4" s="46" t="s">
        <v>290</v>
      </c>
      <c r="K4" s="47">
        <v>1</v>
      </c>
      <c r="L4" s="47" t="s">
        <v>573</v>
      </c>
      <c r="M4" s="47">
        <v>2</v>
      </c>
      <c r="N4" s="47">
        <v>6</v>
      </c>
      <c r="O4" s="47">
        <v>7</v>
      </c>
      <c r="P4" s="47">
        <v>8</v>
      </c>
      <c r="Q4" s="47">
        <v>9</v>
      </c>
      <c r="R4" s="47">
        <v>11</v>
      </c>
      <c r="S4" s="47">
        <v>10</v>
      </c>
      <c r="T4" s="47"/>
      <c r="U4" s="47">
        <v>26</v>
      </c>
      <c r="V4" s="47">
        <v>28</v>
      </c>
      <c r="W4" s="4"/>
      <c r="X4" s="4"/>
      <c r="Y4" s="46" t="s">
        <v>290</v>
      </c>
      <c r="Z4" s="47">
        <v>1</v>
      </c>
      <c r="AA4" s="47" t="s">
        <v>573</v>
      </c>
      <c r="AB4" s="47" t="s">
        <v>572</v>
      </c>
      <c r="AC4" s="47">
        <v>2</v>
      </c>
      <c r="AD4" s="47">
        <v>3</v>
      </c>
      <c r="AE4" s="47">
        <v>5</v>
      </c>
      <c r="AF4" s="47">
        <v>6</v>
      </c>
      <c r="AG4" s="47"/>
      <c r="AH4" s="47">
        <v>12</v>
      </c>
      <c r="AI4" s="47"/>
      <c r="AJ4" s="47">
        <v>29</v>
      </c>
      <c r="AK4" s="47">
        <v>31</v>
      </c>
      <c r="AL4" s="4"/>
      <c r="AM4" s="4"/>
      <c r="AN4" s="4"/>
      <c r="AO4" s="46" t="s">
        <v>290</v>
      </c>
      <c r="AP4" s="47">
        <v>1</v>
      </c>
    </row>
    <row r="5" spans="2:43" x14ac:dyDescent="0.25">
      <c r="B5" s="4" t="s">
        <v>54</v>
      </c>
      <c r="C5" s="49" t="s">
        <v>55</v>
      </c>
      <c r="D5" s="51" t="s">
        <v>391</v>
      </c>
      <c r="E5" s="50" t="s">
        <v>485</v>
      </c>
      <c r="F5" s="50" t="s">
        <v>486</v>
      </c>
      <c r="G5" s="51" t="s">
        <v>487</v>
      </c>
      <c r="H5" s="53" t="s">
        <v>476</v>
      </c>
      <c r="J5" s="46" t="s">
        <v>291</v>
      </c>
      <c r="K5" s="49" t="s">
        <v>55</v>
      </c>
      <c r="L5" s="50" t="s">
        <v>479</v>
      </c>
      <c r="M5" s="50" t="s">
        <v>478</v>
      </c>
      <c r="N5" s="50" t="s">
        <v>499</v>
      </c>
      <c r="O5" s="49" t="s">
        <v>394</v>
      </c>
      <c r="P5" s="50" t="s">
        <v>395</v>
      </c>
      <c r="Q5" s="50" t="s">
        <v>396</v>
      </c>
      <c r="R5" s="50" t="s">
        <v>278</v>
      </c>
      <c r="S5" s="51" t="s">
        <v>471</v>
      </c>
      <c r="T5" s="50" t="s">
        <v>485</v>
      </c>
      <c r="U5" s="50" t="s">
        <v>486</v>
      </c>
      <c r="V5" s="51" t="s">
        <v>487</v>
      </c>
      <c r="W5" s="79" t="s">
        <v>476</v>
      </c>
      <c r="Y5" s="46" t="s">
        <v>291</v>
      </c>
      <c r="Z5" s="49" t="s">
        <v>55</v>
      </c>
      <c r="AA5" s="50" t="s">
        <v>479</v>
      </c>
      <c r="AB5" s="73" t="s">
        <v>499</v>
      </c>
      <c r="AC5" s="50" t="s">
        <v>117</v>
      </c>
      <c r="AD5" s="50" t="s">
        <v>116</v>
      </c>
      <c r="AE5" s="49" t="s">
        <v>394</v>
      </c>
      <c r="AF5" s="50" t="s">
        <v>395</v>
      </c>
      <c r="AG5" s="50" t="s">
        <v>477</v>
      </c>
      <c r="AH5" s="51" t="s">
        <v>471</v>
      </c>
      <c r="AI5" s="50" t="s">
        <v>485</v>
      </c>
      <c r="AJ5" s="50" t="s">
        <v>486</v>
      </c>
      <c r="AK5" s="51" t="s">
        <v>487</v>
      </c>
      <c r="AL5" s="79" t="s">
        <v>476</v>
      </c>
      <c r="AM5" s="72" t="s">
        <v>566</v>
      </c>
      <c r="AN5" s="4"/>
      <c r="AO5" s="46" t="s">
        <v>291</v>
      </c>
      <c r="AP5" s="48" t="s">
        <v>55</v>
      </c>
      <c r="AQ5" s="53" t="s">
        <v>476</v>
      </c>
    </row>
    <row r="6" spans="2:43" x14ac:dyDescent="0.25">
      <c r="B6" t="s">
        <v>300</v>
      </c>
      <c r="C6" s="27">
        <f t="shared" ref="C6:C11" si="0">AVERAGE(Z6,K6)</f>
        <v>100</v>
      </c>
      <c r="D6" s="44">
        <f t="shared" ref="D6:D11" si="1">L6</f>
        <v>17.316948400000001</v>
      </c>
      <c r="E6" s="28">
        <f>AVERAGE(T6,AI6)</f>
        <v>2.4239999999999999</v>
      </c>
      <c r="F6" s="60">
        <f>AVERAGE(U6,AJ6)</f>
        <v>0.27999999999999997</v>
      </c>
      <c r="G6" s="61">
        <f>AVERAGE(V6,AK6)</f>
        <v>2.4250000000000003</v>
      </c>
      <c r="J6" s="46"/>
      <c r="K6" s="27">
        <v>100</v>
      </c>
      <c r="L6" s="54">
        <f t="shared" ref="L6:L11" si="2">( 5.7*O6+9.4*P6+4.1*(Q6+R6) ) * 0.004184</f>
        <v>17.316948400000001</v>
      </c>
      <c r="M6" s="28">
        <f>AVERAGE('ruminants, roughage'!D21:D22)</f>
        <v>11.3</v>
      </c>
      <c r="N6" s="28">
        <f>AVERAGE('ruminants, roughage'!H21:H22)</f>
        <v>13.35</v>
      </c>
      <c r="O6" s="45">
        <f>AVERAGE('ruminants, roughage'!I21:I22)</f>
        <v>151.5</v>
      </c>
      <c r="P6" s="34">
        <v>20</v>
      </c>
      <c r="Q6" s="29"/>
      <c r="R6" s="31">
        <f>1000-SUM(O6:Q6,S6)</f>
        <v>753</v>
      </c>
      <c r="S6" s="32">
        <f>AVERAGE('ruminants, roughage'!K21:K22)</f>
        <v>75.5</v>
      </c>
      <c r="T6" s="28">
        <f>O6*T$3/1000*100</f>
        <v>2.4239999999999999</v>
      </c>
      <c r="U6" s="60">
        <f>AVERAGE('ruminants, roughage'!X21:X22)/1000*100</f>
        <v>0.27999999999999997</v>
      </c>
      <c r="V6" s="61">
        <f>AVERAGE('ruminants, roughage'!Z21:Z22)/1000*100</f>
        <v>2.4250000000000003</v>
      </c>
      <c r="Y6" s="46"/>
      <c r="Z6" s="27"/>
      <c r="AA6" s="37"/>
      <c r="AB6" s="37"/>
      <c r="AC6" s="37"/>
      <c r="AD6" s="37"/>
      <c r="AE6" s="27"/>
      <c r="AF6" s="37"/>
      <c r="AG6" s="37"/>
      <c r="AH6" s="38"/>
      <c r="AI6" s="29"/>
      <c r="AJ6" s="29"/>
      <c r="AK6" s="32"/>
      <c r="AL6" s="80"/>
      <c r="AN6" t="s">
        <v>474</v>
      </c>
      <c r="AO6" s="46"/>
      <c r="AP6" s="40"/>
    </row>
    <row r="7" spans="2:43" x14ac:dyDescent="0.25">
      <c r="B7" t="s">
        <v>301</v>
      </c>
      <c r="C7" s="27">
        <f t="shared" si="0"/>
        <v>100</v>
      </c>
      <c r="D7" s="44">
        <f t="shared" si="1"/>
        <v>17.150216</v>
      </c>
      <c r="E7" s="28">
        <f t="shared" ref="E7:E13" si="3">AVERAGE(T7,AI7)</f>
        <v>2.1280000000000001</v>
      </c>
      <c r="F7" s="60">
        <f t="shared" ref="F7:F13" si="4">AVERAGE(U7,AJ7)</f>
        <v>0.27</v>
      </c>
      <c r="G7" s="61">
        <f t="shared" ref="G7:G13" si="5">AVERAGE(V7,AK7)</f>
        <v>2.34</v>
      </c>
      <c r="J7" s="46"/>
      <c r="K7" s="27">
        <v>100</v>
      </c>
      <c r="L7" s="54">
        <f t="shared" si="2"/>
        <v>17.150216</v>
      </c>
      <c r="M7" s="28">
        <f>AVERAGE('ruminants, roughage'!D25:D25)</f>
        <v>10.1</v>
      </c>
      <c r="N7" s="28">
        <f>AVERAGE('ruminants, roughage'!H22:H23)</f>
        <v>11.899999999999999</v>
      </c>
      <c r="O7" s="45">
        <f>AVERAGE('ruminants, roughage'!I25:I25)</f>
        <v>133</v>
      </c>
      <c r="P7" s="34">
        <v>20</v>
      </c>
      <c r="Q7" s="29"/>
      <c r="R7" s="31">
        <f t="shared" ref="R7:R11" si="6">1000-SUM(O7:Q7,S7)</f>
        <v>769</v>
      </c>
      <c r="S7" s="32">
        <f>AVERAGE('ruminants, roughage'!K25:K25)</f>
        <v>78</v>
      </c>
      <c r="T7" s="28">
        <f t="shared" ref="T7:T43" si="7">O7*T$3/1000*100</f>
        <v>2.1280000000000001</v>
      </c>
      <c r="U7" s="60">
        <f>AVERAGE('ruminants, roughage'!X25:X25)/1000*100</f>
        <v>0.27</v>
      </c>
      <c r="V7" s="61">
        <f>AVERAGE('ruminants, roughage'!Z25:Z25)/1000*100</f>
        <v>2.34</v>
      </c>
      <c r="W7" s="80"/>
      <c r="Y7" s="46"/>
      <c r="Z7" s="27"/>
      <c r="AA7" s="37"/>
      <c r="AB7" s="37"/>
      <c r="AC7" s="37"/>
      <c r="AD7" s="37"/>
      <c r="AE7" s="27"/>
      <c r="AF7" s="37"/>
      <c r="AG7" s="37"/>
      <c r="AH7" s="38"/>
      <c r="AI7" s="29"/>
      <c r="AJ7" s="29"/>
      <c r="AK7" s="32"/>
      <c r="AL7" s="80"/>
      <c r="AN7" t="s">
        <v>474</v>
      </c>
      <c r="AO7" s="46"/>
      <c r="AP7" s="40"/>
    </row>
    <row r="8" spans="2:43" x14ac:dyDescent="0.25">
      <c r="B8" t="s">
        <v>302</v>
      </c>
      <c r="C8" s="27">
        <f t="shared" si="0"/>
        <v>100</v>
      </c>
      <c r="D8" s="44">
        <f t="shared" si="1"/>
        <v>16.789764399999999</v>
      </c>
      <c r="E8" s="28">
        <f t="shared" si="3"/>
        <v>1.5439999999999998</v>
      </c>
      <c r="F8" s="60">
        <f t="shared" si="4"/>
        <v>0.21000000000000002</v>
      </c>
      <c r="G8" s="61">
        <f t="shared" si="5"/>
        <v>2.35</v>
      </c>
      <c r="J8" s="46"/>
      <c r="K8" s="27">
        <v>100</v>
      </c>
      <c r="L8" s="54">
        <f t="shared" si="2"/>
        <v>16.789764399999999</v>
      </c>
      <c r="M8" s="33">
        <f>(8.3+8.7)/2</f>
        <v>8.5</v>
      </c>
      <c r="N8" s="33">
        <f>AVERAGE('ruminants, roughage'!H23:H24)</f>
        <v>10.75</v>
      </c>
      <c r="O8" s="56">
        <f>(91+102)/2</f>
        <v>96.5</v>
      </c>
      <c r="P8" s="34">
        <f>(22+23)/2</f>
        <v>22.5</v>
      </c>
      <c r="Q8" s="30"/>
      <c r="R8" s="31">
        <f t="shared" si="6"/>
        <v>793</v>
      </c>
      <c r="S8" s="35">
        <f>(83+93)/2</f>
        <v>88</v>
      </c>
      <c r="T8" s="28">
        <f t="shared" si="7"/>
        <v>1.5439999999999998</v>
      </c>
      <c r="U8" s="60">
        <f>(2+2.2)/2/1000*100</f>
        <v>0.21000000000000002</v>
      </c>
      <c r="V8" s="61">
        <f>(20.3+26.7)/2/1000*100</f>
        <v>2.35</v>
      </c>
      <c r="W8" s="80" t="s">
        <v>472</v>
      </c>
      <c r="X8" t="s">
        <v>474</v>
      </c>
      <c r="Y8" s="46"/>
      <c r="Z8" s="27"/>
      <c r="AA8" s="37"/>
      <c r="AB8" s="37"/>
      <c r="AC8" s="37"/>
      <c r="AD8" s="37"/>
      <c r="AE8" s="27"/>
      <c r="AF8" s="37"/>
      <c r="AG8" s="37"/>
      <c r="AH8" s="38"/>
      <c r="AI8" s="30"/>
      <c r="AJ8" s="30"/>
      <c r="AK8" s="35"/>
      <c r="AL8" s="80"/>
      <c r="AN8" t="s">
        <v>474</v>
      </c>
      <c r="AO8" s="46"/>
      <c r="AP8" s="40"/>
    </row>
    <row r="9" spans="2:43" x14ac:dyDescent="0.25">
      <c r="B9" t="s">
        <v>2</v>
      </c>
      <c r="C9" s="27">
        <f t="shared" si="0"/>
        <v>100</v>
      </c>
      <c r="D9" s="44">
        <f t="shared" si="1"/>
        <v>17.160257599999998</v>
      </c>
      <c r="E9" s="28">
        <f t="shared" si="3"/>
        <v>1.496</v>
      </c>
      <c r="F9" s="60">
        <f t="shared" si="4"/>
        <v>0.21000000000000002</v>
      </c>
      <c r="G9" s="61">
        <f t="shared" si="5"/>
        <v>1.81</v>
      </c>
      <c r="J9" s="46"/>
      <c r="K9" s="27">
        <v>100</v>
      </c>
      <c r="L9" s="54">
        <f t="shared" si="2"/>
        <v>17.160257599999998</v>
      </c>
      <c r="M9" s="28">
        <f>AVERAGE('ruminants, roughage'!D33:D33)</f>
        <v>9.1</v>
      </c>
      <c r="N9" s="28">
        <f>AVERAGE('ruminants, roughage'!H24:H25)</f>
        <v>11.8</v>
      </c>
      <c r="O9" s="45">
        <f>AVERAGE('ruminants, roughage'!I33:I33)</f>
        <v>93.5</v>
      </c>
      <c r="P9" s="34">
        <v>20</v>
      </c>
      <c r="Q9" s="29"/>
      <c r="R9" s="31">
        <f t="shared" si="6"/>
        <v>824.5</v>
      </c>
      <c r="S9" s="32">
        <f>AVERAGE('ruminants, roughage'!K33:K33)</f>
        <v>62</v>
      </c>
      <c r="T9" s="28">
        <f t="shared" si="7"/>
        <v>1.496</v>
      </c>
      <c r="U9" s="60">
        <f>AVERAGE('ruminants, roughage'!X33:X33)/1000*100</f>
        <v>0.21000000000000002</v>
      </c>
      <c r="V9" s="61">
        <f>AVERAGE('ruminants, roughage'!Z33:Z33)/1000*100</f>
        <v>1.81</v>
      </c>
      <c r="W9" s="80"/>
      <c r="Y9" s="46"/>
      <c r="Z9" s="27"/>
      <c r="AA9" s="37"/>
      <c r="AB9" s="37"/>
      <c r="AC9" s="37"/>
      <c r="AD9" s="37"/>
      <c r="AE9" s="27"/>
      <c r="AF9" s="37"/>
      <c r="AG9" s="37"/>
      <c r="AH9" s="38"/>
      <c r="AI9" s="29"/>
      <c r="AJ9" s="29"/>
      <c r="AK9" s="32"/>
      <c r="AL9" s="80"/>
      <c r="AN9" t="s">
        <v>474</v>
      </c>
      <c r="AO9" s="46"/>
      <c r="AP9" s="40"/>
    </row>
    <row r="10" spans="2:43" x14ac:dyDescent="0.25">
      <c r="B10" t="s">
        <v>12</v>
      </c>
      <c r="C10" s="27">
        <f t="shared" si="0"/>
        <v>100</v>
      </c>
      <c r="D10" s="44">
        <f t="shared" si="1"/>
        <v>17.6573168</v>
      </c>
      <c r="E10" s="28">
        <f t="shared" si="3"/>
        <v>1.0880000000000001</v>
      </c>
      <c r="F10" s="60">
        <f t="shared" si="4"/>
        <v>0.16999999999999998</v>
      </c>
      <c r="G10" s="61">
        <f t="shared" si="5"/>
        <v>1.03</v>
      </c>
      <c r="J10" s="46"/>
      <c r="K10" s="27">
        <v>100</v>
      </c>
      <c r="L10" s="54">
        <f t="shared" si="2"/>
        <v>17.6573168</v>
      </c>
      <c r="M10" s="28">
        <v>11</v>
      </c>
      <c r="N10" s="28">
        <f>AVERAGE('ruminants, roughage'!H25:H26)</f>
        <v>12.3</v>
      </c>
      <c r="O10" s="45">
        <v>68</v>
      </c>
      <c r="P10" s="29">
        <v>30</v>
      </c>
      <c r="Q10" s="29">
        <v>198</v>
      </c>
      <c r="R10" s="31">
        <f t="shared" si="6"/>
        <v>668</v>
      </c>
      <c r="S10" s="32">
        <v>36</v>
      </c>
      <c r="T10" s="28">
        <f t="shared" si="7"/>
        <v>1.0880000000000001</v>
      </c>
      <c r="U10" s="60">
        <f>1.7/1000*100</f>
        <v>0.16999999999999998</v>
      </c>
      <c r="V10" s="61">
        <f>10.3/1000*100</f>
        <v>1.03</v>
      </c>
      <c r="W10" s="81" t="s">
        <v>392</v>
      </c>
      <c r="X10" s="7" t="s">
        <v>474</v>
      </c>
      <c r="Y10" s="46"/>
      <c r="Z10" s="27"/>
      <c r="AA10" s="37"/>
      <c r="AB10" s="37"/>
      <c r="AC10" s="37"/>
      <c r="AD10" s="37"/>
      <c r="AE10" s="27"/>
      <c r="AF10" s="37"/>
      <c r="AG10" s="37"/>
      <c r="AH10" s="38"/>
      <c r="AI10" s="29"/>
      <c r="AJ10" s="29"/>
      <c r="AK10" s="32"/>
      <c r="AL10" s="80"/>
      <c r="AN10" t="s">
        <v>474</v>
      </c>
      <c r="AO10" s="46"/>
      <c r="AP10" s="40"/>
    </row>
    <row r="11" spans="2:43" x14ac:dyDescent="0.25">
      <c r="B11" t="s">
        <v>29</v>
      </c>
      <c r="C11" s="27">
        <f t="shared" si="0"/>
        <v>100</v>
      </c>
      <c r="D11" s="44">
        <f t="shared" si="1"/>
        <v>17.411437066666668</v>
      </c>
      <c r="E11" s="28">
        <f t="shared" si="3"/>
        <v>2.2466666666666666</v>
      </c>
      <c r="F11" s="60">
        <f t="shared" si="4"/>
        <v>0.27</v>
      </c>
      <c r="G11" s="61">
        <f t="shared" si="5"/>
        <v>2.34</v>
      </c>
      <c r="J11" s="46"/>
      <c r="K11" s="27">
        <v>100</v>
      </c>
      <c r="L11" s="54">
        <f t="shared" si="2"/>
        <v>17.411437066666668</v>
      </c>
      <c r="M11" s="28">
        <f>AVERAGE('ruminants, roughage'!D3:D14)</f>
        <v>9.9416666666666664</v>
      </c>
      <c r="N11" s="28">
        <f>AVERAGE('ruminants, roughage'!H26:H27)</f>
        <v>12.4</v>
      </c>
      <c r="O11" s="45">
        <f>AVERAGE('ruminants, roughage'!I3:I14)</f>
        <v>140.41666666666666</v>
      </c>
      <c r="P11" s="34">
        <v>20</v>
      </c>
      <c r="Q11" s="29"/>
      <c r="R11" s="31">
        <f t="shared" si="6"/>
        <v>773.91666666666674</v>
      </c>
      <c r="S11" s="32">
        <f>AVERAGE('ruminants, roughage'!K3:K14)</f>
        <v>65.666666666666657</v>
      </c>
      <c r="T11" s="28">
        <f t="shared" si="7"/>
        <v>2.2466666666666666</v>
      </c>
      <c r="U11" s="62">
        <f>U7</f>
        <v>0.27</v>
      </c>
      <c r="V11" s="63">
        <f>V7</f>
        <v>2.34</v>
      </c>
      <c r="W11" s="80"/>
      <c r="Y11" s="46"/>
      <c r="Z11" s="27"/>
      <c r="AA11" s="37"/>
      <c r="AB11" s="37"/>
      <c r="AC11" s="37"/>
      <c r="AD11" s="37"/>
      <c r="AE11" s="27"/>
      <c r="AF11" s="37"/>
      <c r="AG11" s="37"/>
      <c r="AH11" s="38"/>
      <c r="AI11" s="29"/>
      <c r="AJ11" s="29"/>
      <c r="AK11" s="32"/>
      <c r="AL11" s="80"/>
      <c r="AN11" t="s">
        <v>474</v>
      </c>
      <c r="AO11" s="46"/>
      <c r="AP11" s="40"/>
    </row>
    <row r="12" spans="2:43" x14ac:dyDescent="0.25">
      <c r="B12" t="s">
        <v>17</v>
      </c>
      <c r="C12" s="45">
        <f>100-14</f>
        <v>86</v>
      </c>
      <c r="D12" s="44">
        <f t="shared" ref="D12:D25" si="8">L12</f>
        <v>18.210023200000002</v>
      </c>
      <c r="E12" s="28">
        <f t="shared" si="3"/>
        <v>1.9359999999999999</v>
      </c>
      <c r="F12" s="60">
        <f t="shared" si="4"/>
        <v>0.34499999999999997</v>
      </c>
      <c r="G12" s="61">
        <f t="shared" si="5"/>
        <v>0.52500000000000002</v>
      </c>
      <c r="H12" s="65" t="s">
        <v>496</v>
      </c>
      <c r="I12" s="64"/>
      <c r="J12" s="46">
        <f>MATCH($B12,ruminants!$A$3:$A$120,0)</f>
        <v>112</v>
      </c>
      <c r="K12" s="27">
        <f>INDEX(ruminants!$D$3:$AH$120,$J12,K$4)</f>
        <v>87</v>
      </c>
      <c r="L12" s="54">
        <f>( 5.7*O12+9.4*P12+4.1*(Q12+R12) ) * 0.004184</f>
        <v>18.210023200000002</v>
      </c>
      <c r="M12" s="28">
        <f>INDEX(ruminants!$D$3:$AH$120,$J12,M$4)</f>
        <v>14.1</v>
      </c>
      <c r="N12" s="28">
        <f>INDEX(ruminants!$D$3:$AH$120,$J12,N$4)</f>
        <v>16</v>
      </c>
      <c r="O12" s="45">
        <f>INDEX(ruminants!$D$3:$AH$120,$J12,O$4)</f>
        <v>121</v>
      </c>
      <c r="P12" s="29">
        <f>INDEX(ruminants!$D$3:$AH$120,$J12,P$4)</f>
        <v>25</v>
      </c>
      <c r="Q12" s="29">
        <f>INDEX(ruminants!$D$3:$AH$120,$J12,Q$4)</f>
        <v>30</v>
      </c>
      <c r="R12" s="29">
        <f>INDEX(ruminants!$D$3:$AH$120,$J12,R$4)</f>
        <v>806</v>
      </c>
      <c r="S12" s="32">
        <f>INDEX(ruminants!$D$3:$AH$120,$J12,S$4)</f>
        <v>18</v>
      </c>
      <c r="T12" s="28">
        <f t="shared" si="7"/>
        <v>1.9359999999999999</v>
      </c>
      <c r="U12" s="60">
        <f>INDEX(ruminants!$D$3:$AH$120,$J12,U$4)/1000*100</f>
        <v>0.37</v>
      </c>
      <c r="V12" s="61">
        <f>INDEX(ruminants!$D$3:$AH$120,$J12,V$4)/1000*100</f>
        <v>0.47000000000000003</v>
      </c>
      <c r="W12" s="80"/>
      <c r="X12" s="75"/>
      <c r="Y12" s="46">
        <f>MATCH($B12,pigs!$A$3:$A$60,0)</f>
        <v>53</v>
      </c>
      <c r="Z12" s="27">
        <f>INDEX(pigs!$D$3:$AO$60,$Y12,Z$4)</f>
        <v>87</v>
      </c>
      <c r="AA12" s="54">
        <f>( 5.7*AE12+9.4*AF12+4.1*(AG12) ) * 0.004184</f>
        <v>18.032621599999999</v>
      </c>
      <c r="AB12" s="74">
        <v>15.9</v>
      </c>
      <c r="AC12" s="37">
        <f>INDEX(pigs!$D$3:$AO$60,$Y12,AC$4)</f>
        <v>12.1</v>
      </c>
      <c r="AD12" s="37">
        <f>INDEX(pigs!$D$3:$AO$60,$Y12,AD$4)</f>
        <v>12.3</v>
      </c>
      <c r="AE12" s="27">
        <f>INDEX(pigs!$D$3:$AO$60,$Y12,AE$4)</f>
        <v>121</v>
      </c>
      <c r="AF12" s="37">
        <f>INDEX(pigs!$D$3:$AO$60,$Y12,AF$4)</f>
        <v>17</v>
      </c>
      <c r="AG12" s="31">
        <f>1000-SUM(AE12:AF12,AH12)</f>
        <v>844</v>
      </c>
      <c r="AH12" s="38">
        <f>INDEX(pigs!$D$3:$AO$60,$Y12,AH$4)</f>
        <v>18</v>
      </c>
      <c r="AI12" s="28">
        <f>AE12*AI$3/1000*100</f>
        <v>1.9359999999999999</v>
      </c>
      <c r="AJ12" s="60">
        <f>INDEX(pigs!$D$3:$AO$60,$Y12,AJ$4)/1000*100</f>
        <v>0.32</v>
      </c>
      <c r="AK12" s="61">
        <f>INDEX(pigs!$D$3:$AO$60,$Y12,AK$4)/1000*100</f>
        <v>0.57999999999999996</v>
      </c>
      <c r="AL12" s="80"/>
      <c r="AM12" s="77" t="s">
        <v>565</v>
      </c>
      <c r="AN12" t="s">
        <v>474</v>
      </c>
      <c r="AO12" s="46">
        <f>MATCH($B12,poultry!$A$3:$A$41,0)</f>
        <v>35</v>
      </c>
      <c r="AP12" s="40">
        <f>INDEX(poultry!$D$3:$U$41,$AO12,AP$4)</f>
        <v>87</v>
      </c>
    </row>
    <row r="13" spans="2:43" x14ac:dyDescent="0.25">
      <c r="B13" t="s">
        <v>33</v>
      </c>
      <c r="C13" s="45">
        <f t="shared" ref="C13:C17" si="9">100-14</f>
        <v>86</v>
      </c>
      <c r="D13" s="44">
        <f t="shared" si="8"/>
        <v>18.089524000000001</v>
      </c>
      <c r="E13" s="28">
        <f t="shared" si="3"/>
        <v>1.9039999999999999</v>
      </c>
      <c r="F13" s="60">
        <f t="shared" si="4"/>
        <v>0.375</v>
      </c>
      <c r="G13" s="61">
        <f t="shared" si="5"/>
        <v>0.58000000000000007</v>
      </c>
      <c r="H13" s="65" t="s">
        <v>496</v>
      </c>
      <c r="I13" s="4"/>
      <c r="J13" s="46">
        <f>MATCH($B13,ruminants!$A$3:$A$120,0)</f>
        <v>42</v>
      </c>
      <c r="K13" s="27">
        <f>INDEX(ruminants!$D$3:$AH$120,$J13,K$4)</f>
        <v>87</v>
      </c>
      <c r="L13" s="54">
        <f t="shared" ref="L13:L43" si="10">( 5.7*O13+9.4*P13+4.1*(Q13+R13) ) * 0.004184</f>
        <v>18.089524000000001</v>
      </c>
      <c r="M13" s="28">
        <f>INDEX(ruminants!$D$3:$AH$120,$J13,M$4)</f>
        <v>13.2</v>
      </c>
      <c r="N13" s="28">
        <f>INDEX(ruminants!$D$3:$AH$120,$J13,N$4)</f>
        <v>15</v>
      </c>
      <c r="O13" s="45">
        <f>INDEX(ruminants!$D$3:$AH$120,$J13,O$4)</f>
        <v>122</v>
      </c>
      <c r="P13" s="29">
        <f>INDEX(ruminants!$D$3:$AH$120,$J13,P$4)</f>
        <v>27</v>
      </c>
      <c r="Q13" s="29">
        <f>INDEX(ruminants!$D$3:$AH$120,$J13,Q$4)</f>
        <v>62</v>
      </c>
      <c r="R13" s="29">
        <f>INDEX(ruminants!$D$3:$AH$120,$J13,R$4)</f>
        <v>761</v>
      </c>
      <c r="S13" s="32">
        <f>INDEX(ruminants!$D$3:$AH$120,$J13,S$4)</f>
        <v>28</v>
      </c>
      <c r="T13" s="28">
        <f t="shared" si="7"/>
        <v>1.952</v>
      </c>
      <c r="U13" s="60">
        <f>INDEX(ruminants!$D$3:$AH$120,$J13,U$4)/1000*100</f>
        <v>0.4</v>
      </c>
      <c r="V13" s="61">
        <f>INDEX(ruminants!$D$3:$AH$120,$J13,V$4)/1000*100</f>
        <v>0.59000000000000008</v>
      </c>
      <c r="W13" s="80"/>
      <c r="X13" s="75"/>
      <c r="Y13" s="46">
        <f>MATCH($B13,pigs!$A$3:$A$60,0)</f>
        <v>13</v>
      </c>
      <c r="Z13" s="27">
        <f>INDEX(pigs!$D$3:$AO$60,$Y13,Z$4)</f>
        <v>87</v>
      </c>
      <c r="AA13" s="54">
        <f t="shared" ref="AA13:AA15" si="11">( 5.7*AE13+9.4*AF13+4.1*(AG13) ) * 0.004184</f>
        <v>17.950615200000001</v>
      </c>
      <c r="AB13" s="74">
        <v>14.8</v>
      </c>
      <c r="AC13" s="37">
        <f>INDEX(pigs!$D$3:$AO$60,$Y13,AC$4)</f>
        <v>11</v>
      </c>
      <c r="AD13" s="37">
        <f>INDEX(pigs!$D$3:$AO$60,$Y13,AD$4)</f>
        <v>11.2</v>
      </c>
      <c r="AE13" s="27">
        <f>INDEX(pigs!$D$3:$AO$60,$Y13,AE$4)</f>
        <v>116</v>
      </c>
      <c r="AF13" s="37">
        <f>INDEX(pigs!$D$3:$AO$60,$Y13,AF$4)</f>
        <v>21</v>
      </c>
      <c r="AG13" s="31">
        <f t="shared" ref="AG13:AG15" si="12">1000-SUM(AE13:AF13,AH13)</f>
        <v>837</v>
      </c>
      <c r="AH13" s="38">
        <f>INDEX(pigs!$D$3:$AO$60,$Y13,AH$4)</f>
        <v>26</v>
      </c>
      <c r="AI13" s="28">
        <f t="shared" ref="AI13:AI45" si="13">AE13*AI$3/1000*100</f>
        <v>1.8560000000000001</v>
      </c>
      <c r="AJ13" s="60">
        <f>INDEX(pigs!$D$3:$AO$60,$Y13,AJ$4)/1000*100</f>
        <v>0.35000000000000003</v>
      </c>
      <c r="AK13" s="61">
        <f>INDEX(pigs!$D$3:$AO$60,$Y13,AK$4)/1000*100</f>
        <v>0.57000000000000006</v>
      </c>
      <c r="AL13" s="80"/>
      <c r="AM13" s="77" t="s">
        <v>567</v>
      </c>
      <c r="AN13" t="s">
        <v>474</v>
      </c>
      <c r="AO13" s="46">
        <f>MATCH($B13,poultry!$A$3:$A$41,0)</f>
        <v>16</v>
      </c>
      <c r="AP13" s="40">
        <f>INDEX(poultry!$D$3:$U$41,$AO13,AP$4)</f>
        <v>87</v>
      </c>
    </row>
    <row r="14" spans="2:43" x14ac:dyDescent="0.25">
      <c r="B14" t="s">
        <v>34</v>
      </c>
      <c r="C14" s="45">
        <f t="shared" si="9"/>
        <v>86</v>
      </c>
      <c r="D14" s="44">
        <f t="shared" si="8"/>
        <v>18.6602216</v>
      </c>
      <c r="E14" s="28">
        <f t="shared" ref="E14:E15" si="14">AVERAGE(T14,AI14)</f>
        <v>1.7680000000000002</v>
      </c>
      <c r="F14" s="60">
        <f t="shared" ref="F14:F15" si="15">AVERAGE(U14,AJ14)</f>
        <v>0.36499999999999999</v>
      </c>
      <c r="G14" s="61">
        <f t="shared" ref="G14:G15" si="16">AVERAGE(V14,AK14)</f>
        <v>0.54</v>
      </c>
      <c r="H14" s="65" t="s">
        <v>496</v>
      </c>
      <c r="I14" s="4"/>
      <c r="J14" s="46">
        <f>MATCH($B14,ruminants!$A$3:$A$120,0)</f>
        <v>28</v>
      </c>
      <c r="K14" s="27">
        <f>INDEX(ruminants!$D$3:$AH$120,$J14,K$4)</f>
        <v>85</v>
      </c>
      <c r="L14" s="54">
        <f t="shared" si="10"/>
        <v>18.6602216</v>
      </c>
      <c r="M14" s="28">
        <f>INDEX(ruminants!$D$3:$AH$120,$J14,M$4)</f>
        <v>11.7</v>
      </c>
      <c r="N14" s="28">
        <f>INDEX(ruminants!$D$3:$AH$120,$J14,N$4)</f>
        <v>13.3</v>
      </c>
      <c r="O14" s="45">
        <f>INDEX(ruminants!$D$3:$AH$120,$J14,O$4)</f>
        <v>110</v>
      </c>
      <c r="P14" s="29">
        <f>INDEX(ruminants!$D$3:$AH$120,$J14,P$4)</f>
        <v>61</v>
      </c>
      <c r="Q14" s="29">
        <f>INDEX(ruminants!$D$3:$AH$120,$J14,Q$4)</f>
        <v>141</v>
      </c>
      <c r="R14" s="29">
        <f>INDEX(ruminants!$D$3:$AH$120,$J14,R$4)</f>
        <v>654</v>
      </c>
      <c r="S14" s="32">
        <f>INDEX(ruminants!$D$3:$AH$120,$J14,S$4)</f>
        <v>34</v>
      </c>
      <c r="T14" s="28">
        <f t="shared" si="7"/>
        <v>1.76</v>
      </c>
      <c r="U14" s="60">
        <f>INDEX(ruminants!$D$3:$AH$120,$J14,U$4)/1000*100</f>
        <v>0.37</v>
      </c>
      <c r="V14" s="61">
        <f>INDEX(ruminants!$D$3:$AH$120,$J14,V$4)/1000*100</f>
        <v>0.53</v>
      </c>
      <c r="W14" s="80"/>
      <c r="X14" s="75"/>
      <c r="Y14" s="46">
        <f>MATCH($B14,pigs!$A$3:$A$60,0)</f>
        <v>11</v>
      </c>
      <c r="Z14" s="27">
        <f>INDEX(pigs!$D$3:$AO$60,$Y14,Z$4)</f>
        <v>87</v>
      </c>
      <c r="AA14" s="54">
        <f t="shared" si="11"/>
        <v>18.580307199999996</v>
      </c>
      <c r="AB14" s="71">
        <v>12.7</v>
      </c>
      <c r="AC14" s="37">
        <f>INDEX(pigs!$D$3:$AO$60,$Y14,AC$4)</f>
        <v>9</v>
      </c>
      <c r="AD14" s="37">
        <f>INDEX(pigs!$D$3:$AO$60,$Y14,AD$4)</f>
        <v>9.4</v>
      </c>
      <c r="AE14" s="27">
        <f>INDEX(pigs!$D$3:$AO$60,$Y14,AE$4)</f>
        <v>111</v>
      </c>
      <c r="AF14" s="37">
        <f>INDEX(pigs!$D$3:$AO$60,$Y14,AF$4)</f>
        <v>54</v>
      </c>
      <c r="AG14" s="31">
        <f t="shared" si="12"/>
        <v>805</v>
      </c>
      <c r="AH14" s="38">
        <f>INDEX(pigs!$D$3:$AO$60,$Y14,AH$4)</f>
        <v>30</v>
      </c>
      <c r="AI14" s="28">
        <f t="shared" si="13"/>
        <v>1.7760000000000002</v>
      </c>
      <c r="AJ14" s="60">
        <f>INDEX(pigs!$D$3:$AO$60,$Y14,AJ$4)/1000*100</f>
        <v>0.36</v>
      </c>
      <c r="AK14" s="61">
        <f>INDEX(pigs!$D$3:$AO$60,$Y14,AK$4)/1000*100</f>
        <v>0.54999999999999993</v>
      </c>
      <c r="AL14" s="80"/>
      <c r="AM14" s="77" t="s">
        <v>568</v>
      </c>
      <c r="AN14" t="s">
        <v>474</v>
      </c>
      <c r="AO14" s="46">
        <f>MATCH($B14,poultry!$A$3:$A$41,0)</f>
        <v>10</v>
      </c>
      <c r="AP14" s="40">
        <f>INDEX(poultry!$D$3:$U$41,$AO14,AP$4)</f>
        <v>87</v>
      </c>
    </row>
    <row r="15" spans="2:43" x14ac:dyDescent="0.25">
      <c r="B15" t="s">
        <v>35</v>
      </c>
      <c r="C15" s="45">
        <f t="shared" si="9"/>
        <v>86</v>
      </c>
      <c r="D15" s="44">
        <f>L15</f>
        <v>18.2284328</v>
      </c>
      <c r="E15" s="28">
        <f t="shared" si="14"/>
        <v>1.8639999999999999</v>
      </c>
      <c r="F15" s="60">
        <f t="shared" si="15"/>
        <v>0.38</v>
      </c>
      <c r="G15" s="61">
        <f t="shared" si="16"/>
        <v>0.58000000000000007</v>
      </c>
      <c r="H15" s="65" t="s">
        <v>496</v>
      </c>
      <c r="I15" s="4"/>
      <c r="J15" s="46">
        <f>MATCH($B15,ruminants!$A$3:$A$120,0)</f>
        <v>78</v>
      </c>
      <c r="K15" s="27">
        <f>INDEX(ruminants!$D$3:$AH$120,$J15,K$4)</f>
        <v>87</v>
      </c>
      <c r="L15" s="54">
        <f t="shared" si="10"/>
        <v>18.2284328</v>
      </c>
      <c r="M15" s="28">
        <f>INDEX(ruminants!$D$3:$AH$120,$J15,M$4)</f>
        <v>14</v>
      </c>
      <c r="N15" s="28">
        <f>INDEX(ruminants!$D$3:$AH$120,$J15,N$4)</f>
        <v>15.8</v>
      </c>
      <c r="O15" s="45">
        <f>INDEX(ruminants!$D$3:$AH$120,$J15,O$4)</f>
        <v>123</v>
      </c>
      <c r="P15" s="29">
        <f>INDEX(ruminants!$D$3:$AH$120,$J15,P$4)</f>
        <v>26</v>
      </c>
      <c r="Q15" s="29">
        <f>INDEX(ruminants!$D$3:$AH$120,$J15,Q$4)</f>
        <v>33</v>
      </c>
      <c r="R15" s="29">
        <f>INDEX(ruminants!$D$3:$AH$120,$J15,R$4)</f>
        <v>799</v>
      </c>
      <c r="S15" s="32">
        <f>INDEX(ruminants!$D$3:$AH$120,$J15,S$4)</f>
        <v>19</v>
      </c>
      <c r="T15" s="28">
        <f t="shared" si="7"/>
        <v>1.968</v>
      </c>
      <c r="U15" s="60">
        <f>INDEX(ruminants!$D$3:$AH$120,$J15,U$4)/1000*100</f>
        <v>0.4</v>
      </c>
      <c r="V15" s="61">
        <f>INDEX(ruminants!$D$3:$AH$120,$J15,V$4)/1000*100</f>
        <v>0.54</v>
      </c>
      <c r="W15" s="80"/>
      <c r="X15" s="75"/>
      <c r="Y15" s="46">
        <f>MATCH($B15,pigs!$A$3:$A$60,0)</f>
        <v>39</v>
      </c>
      <c r="Z15" s="27">
        <f>INDEX(pigs!$D$3:$AO$60,$Y15,Z$4)</f>
        <v>87</v>
      </c>
      <c r="AA15" s="54">
        <f t="shared" si="11"/>
        <v>17.846015199999997</v>
      </c>
      <c r="AB15" s="71">
        <v>15.6</v>
      </c>
      <c r="AC15" s="37">
        <f>INDEX(pigs!$D$3:$AO$60,$Y15,AC$4)</f>
        <v>11.9</v>
      </c>
      <c r="AD15" s="37">
        <f>INDEX(pigs!$D$3:$AO$60,$Y15,AD$4)</f>
        <v>12</v>
      </c>
      <c r="AE15" s="27">
        <f>INDEX(pigs!$D$3:$AO$60,$Y15,AE$4)</f>
        <v>110</v>
      </c>
      <c r="AF15" s="37">
        <f>INDEX(pigs!$D$3:$AO$60,$Y15,AF$4)</f>
        <v>15</v>
      </c>
      <c r="AG15" s="31">
        <f t="shared" si="12"/>
        <v>853</v>
      </c>
      <c r="AH15" s="38">
        <f>INDEX(pigs!$D$3:$AO$60,$Y15,AH$4)</f>
        <v>22</v>
      </c>
      <c r="AI15" s="28">
        <f t="shared" si="13"/>
        <v>1.76</v>
      </c>
      <c r="AJ15" s="60">
        <f>INDEX(pigs!$D$3:$AO$60,$Y15,AJ$4)/1000*100</f>
        <v>0.36</v>
      </c>
      <c r="AK15" s="61">
        <f>INDEX(pigs!$D$3:$AO$60,$Y15,AK$4)/1000*100</f>
        <v>0.62</v>
      </c>
      <c r="AL15" s="80"/>
      <c r="AM15" s="77" t="s">
        <v>569</v>
      </c>
      <c r="AN15" t="s">
        <v>474</v>
      </c>
      <c r="AO15" s="46">
        <f>MATCH($B15,poultry!$A$3:$A$41,0)</f>
        <v>31</v>
      </c>
      <c r="AP15" s="40">
        <f>INDEX(poultry!$D$3:$U$41,$AO15,AP$4)</f>
        <v>89</v>
      </c>
    </row>
    <row r="16" spans="2:43" x14ac:dyDescent="0.25">
      <c r="B16" t="s">
        <v>306</v>
      </c>
      <c r="C16" s="45">
        <f t="shared" si="9"/>
        <v>86</v>
      </c>
      <c r="D16" s="44">
        <f t="shared" si="8"/>
        <v>17.924256</v>
      </c>
      <c r="E16" s="28">
        <f t="shared" ref="E16:E45" si="17">AVERAGE(T16,AI16)</f>
        <v>1.6240000000000001</v>
      </c>
      <c r="F16" s="60">
        <f t="shared" ref="F16:F45" si="18">AVERAGE(U16,AJ16)</f>
        <v>0.32999999999999996</v>
      </c>
      <c r="G16" s="61">
        <f t="shared" ref="G16:G45" si="19">AVERAGE(V16,AK16)</f>
        <v>0.55499999999999994</v>
      </c>
      <c r="H16" s="65" t="s">
        <v>496</v>
      </c>
      <c r="I16" s="4"/>
      <c r="J16" s="46">
        <f>MATCH($B16,ruminants!$A$3:$A$120,0)</f>
        <v>77</v>
      </c>
      <c r="K16" s="27">
        <f>INDEX(ruminants!$D$3:$AH$120,$J16,K$4)</f>
        <v>87</v>
      </c>
      <c r="L16" s="54">
        <f t="shared" si="10"/>
        <v>17.924256</v>
      </c>
      <c r="M16" s="28">
        <f>INDEX(ruminants!$D$3:$AH$120,$J16,M$4)</f>
        <v>13.9</v>
      </c>
      <c r="N16" s="28">
        <f>INDEX(ruminants!$D$3:$AH$120,$J16,N$4)</f>
        <v>15.8</v>
      </c>
      <c r="O16" s="45">
        <f>INDEX(ruminants!$D$3:$AH$120,$J16,O$4)</f>
        <v>100</v>
      </c>
      <c r="P16" s="29">
        <f>INDEX(ruminants!$D$3:$AH$120,$J16,P$4)</f>
        <v>20</v>
      </c>
      <c r="Q16" s="29">
        <f>INDEX(ruminants!$D$3:$AH$120,$J16,Q$4)</f>
        <v>25</v>
      </c>
      <c r="R16" s="29">
        <f>INDEX(ruminants!$D$3:$AH$120,$J16,R$4)</f>
        <v>835</v>
      </c>
      <c r="S16" s="32">
        <f>INDEX(ruminants!$D$3:$AH$120,$J16,S$4)</f>
        <v>20</v>
      </c>
      <c r="T16" s="28">
        <f t="shared" si="7"/>
        <v>1.6</v>
      </c>
      <c r="U16" s="60">
        <f>INDEX(ruminants!$D$3:$AH$120,$J16,U$4)/1000*100</f>
        <v>0.33999999999999997</v>
      </c>
      <c r="V16" s="61">
        <f>INDEX(ruminants!$D$3:$AH$120,$J16,V$4)/1000*100</f>
        <v>0.54999999999999993</v>
      </c>
      <c r="W16" s="80"/>
      <c r="X16" s="75"/>
      <c r="Y16" s="46">
        <f>MATCH($B16,pigs!$A$3:$A$60,0)</f>
        <v>38</v>
      </c>
      <c r="Z16" s="27">
        <f>INDEX(pigs!$D$3:$AO$60,$Y16,Z$4)</f>
        <v>87</v>
      </c>
      <c r="AA16" s="54">
        <f>( 5.7*AE16+9.4*AF16+4.1*(AG16) ) * 0.004184</f>
        <v>17.794133599999999</v>
      </c>
      <c r="AB16" s="71"/>
      <c r="AC16" s="37">
        <f>INDEX(pigs!$D$3:$AO$60,$Y16,AC$4)</f>
        <v>11.3</v>
      </c>
      <c r="AD16" s="37">
        <f>INDEX(pigs!$D$3:$AO$60,$Y16,AD$4)</f>
        <v>11.5</v>
      </c>
      <c r="AE16" s="27">
        <f>INDEX(pigs!$D$3:$AO$60,$Y16,AE$4)</f>
        <v>103</v>
      </c>
      <c r="AF16" s="37">
        <f>INDEX(pigs!$D$3:$AO$60,$Y16,AF$4)</f>
        <v>14</v>
      </c>
      <c r="AG16" s="31">
        <f t="shared" ref="AG16" si="20">1000-SUM(AE16:AF16,AH16)</f>
        <v>862</v>
      </c>
      <c r="AH16" s="38">
        <f>INDEX(pigs!$D$3:$AO$60,$Y16,AH$4)</f>
        <v>21</v>
      </c>
      <c r="AI16" s="28">
        <f t="shared" ref="AI16" si="21">AE16*AI$3/1000*100</f>
        <v>1.6480000000000001</v>
      </c>
      <c r="AJ16" s="60">
        <f>INDEX(pigs!$D$3:$AO$60,$Y16,AJ$4)/1000*100</f>
        <v>0.32</v>
      </c>
      <c r="AK16" s="61">
        <f>INDEX(pigs!$D$3:$AO$60,$Y16,AK$4)/1000*100</f>
        <v>0.55999999999999994</v>
      </c>
      <c r="AL16" s="80"/>
      <c r="AM16" s="76"/>
      <c r="AN16" t="s">
        <v>474</v>
      </c>
      <c r="AO16" s="46">
        <f>MATCH($B16,poultry!$A$3:$A$41,0)</f>
        <v>30</v>
      </c>
      <c r="AP16" s="40">
        <f>INDEX(poultry!$D$3:$U$41,$AO16,AP$4)</f>
        <v>87</v>
      </c>
    </row>
    <row r="17" spans="2:42" x14ac:dyDescent="0.25">
      <c r="B17" t="s">
        <v>36</v>
      </c>
      <c r="C17" s="45">
        <f t="shared" si="9"/>
        <v>86</v>
      </c>
      <c r="D17" s="44">
        <f t="shared" si="8"/>
        <v>18.3899352</v>
      </c>
      <c r="E17" s="28">
        <f t="shared" si="17"/>
        <v>1.6400000000000001</v>
      </c>
      <c r="F17" s="60">
        <f t="shared" si="18"/>
        <v>0.33999999999999997</v>
      </c>
      <c r="G17" s="61">
        <f t="shared" si="19"/>
        <v>0.46500000000000002</v>
      </c>
      <c r="H17" s="65" t="s">
        <v>496</v>
      </c>
      <c r="I17" s="4"/>
      <c r="J17" s="46">
        <f>MATCH($B17,ruminants!$A$3:$A$120,0)</f>
        <v>53</v>
      </c>
      <c r="K17" s="27">
        <f>INDEX(ruminants!$D$3:$AH$120,$J17,K$4)</f>
        <v>48</v>
      </c>
      <c r="L17" s="54">
        <f t="shared" si="10"/>
        <v>18.3899352</v>
      </c>
      <c r="M17" s="28">
        <f>INDEX(ruminants!$D$3:$AH$120,$J17,M$4)</f>
        <v>12.8</v>
      </c>
      <c r="N17" s="28">
        <f>INDEX(ruminants!$D$3:$AH$120,$J17,N$4)</f>
        <v>14.5</v>
      </c>
      <c r="O17" s="45">
        <f>INDEX(ruminants!$D$3:$AH$120,$J17,O$4)</f>
        <v>111</v>
      </c>
      <c r="P17" s="29">
        <f>INDEX(ruminants!$D$3:$AH$120,$J17,P$4)</f>
        <v>40</v>
      </c>
      <c r="Q17" s="29">
        <f>INDEX(ruminants!$D$3:$AH$120,$J17,Q$4)</f>
        <v>63</v>
      </c>
      <c r="R17" s="29">
        <f>INDEX(ruminants!$D$3:$AH$120,$J17,R$4)</f>
        <v>763</v>
      </c>
      <c r="S17" s="32">
        <f>INDEX(ruminants!$D$3:$AH$120,$J17,S$4)</f>
        <v>23</v>
      </c>
      <c r="T17" s="28">
        <f t="shared" si="7"/>
        <v>1.7760000000000002</v>
      </c>
      <c r="U17" s="60">
        <f>INDEX(ruminants!$D$3:$AH$120,$J17,U$4)/1000*100</f>
        <v>0.36</v>
      </c>
      <c r="V17" s="61">
        <f>INDEX(ruminants!$D$3:$AH$120,$J17,V$4)/1000*100</f>
        <v>0.53</v>
      </c>
      <c r="W17" s="80"/>
      <c r="X17" s="75"/>
      <c r="Y17" s="46">
        <f>MATCH($B17,pigs!$A$3:$A$60,0)</f>
        <v>19</v>
      </c>
      <c r="Z17" s="27">
        <f>INDEX(pigs!$D$3:$AO$60,$Y17,Z$4)</f>
        <v>87</v>
      </c>
      <c r="AA17" s="54">
        <f t="shared" ref="AA17:AA22" si="22">( 5.7*AE17+9.4*AF17+4.1*(AG17) ) * 0.004184</f>
        <v>18.4970456</v>
      </c>
      <c r="AB17" s="71">
        <v>16.5</v>
      </c>
      <c r="AC17" s="37">
        <f>INDEX(pigs!$D$3:$AO$60,$Y17,AC$4)</f>
        <v>12.8</v>
      </c>
      <c r="AD17" s="37">
        <f>INDEX(pigs!$D$3:$AO$60,$Y17,AD$4)</f>
        <v>13.2</v>
      </c>
      <c r="AE17" s="27">
        <f>INDEX(pigs!$D$3:$AO$60,$Y17,AE$4)</f>
        <v>94</v>
      </c>
      <c r="AF17" s="37">
        <f>INDEX(pigs!$D$3:$AO$60,$Y17,AF$4)</f>
        <v>43</v>
      </c>
      <c r="AG17" s="31">
        <f t="shared" ref="AG17:AG22" si="23">1000-SUM(AE17:AF17,AH17)</f>
        <v>849</v>
      </c>
      <c r="AH17" s="38">
        <f>INDEX(pigs!$D$3:$AO$60,$Y17,AH$4)</f>
        <v>14</v>
      </c>
      <c r="AI17" s="28">
        <f t="shared" si="13"/>
        <v>1.5040000000000002</v>
      </c>
      <c r="AJ17" s="60">
        <f>INDEX(pigs!$D$3:$AO$60,$Y17,AJ$4)/1000*100</f>
        <v>0.32</v>
      </c>
      <c r="AK17" s="61">
        <f>INDEX(pigs!$D$3:$AO$60,$Y17,AK$4)/1000*100</f>
        <v>0.4</v>
      </c>
      <c r="AL17" s="80"/>
      <c r="AM17" s="77" t="s">
        <v>570</v>
      </c>
      <c r="AN17" t="s">
        <v>474</v>
      </c>
      <c r="AO17" s="46">
        <f>MATCH($B17,poultry!$A$3:$A$41,0)</f>
        <v>24</v>
      </c>
      <c r="AP17" s="40">
        <f>INDEX(poultry!$D$3:$U$41,$AO17,AP$4)</f>
        <v>87</v>
      </c>
    </row>
    <row r="18" spans="2:42" x14ac:dyDescent="0.25">
      <c r="B18" t="s">
        <v>37</v>
      </c>
      <c r="C18" s="45">
        <f>100-15</f>
        <v>85</v>
      </c>
      <c r="D18" s="44">
        <f t="shared" si="8"/>
        <v>18.478217600000001</v>
      </c>
      <c r="E18" s="28">
        <f t="shared" si="17"/>
        <v>3.7200000000000006</v>
      </c>
      <c r="F18" s="60">
        <f t="shared" si="18"/>
        <v>0.44499999999999995</v>
      </c>
      <c r="G18" s="61">
        <f t="shared" si="19"/>
        <v>1.155</v>
      </c>
      <c r="H18" s="65" t="s">
        <v>496</v>
      </c>
      <c r="I18" s="4"/>
      <c r="J18" s="46">
        <f>MATCH($B18,ruminants!$A$3:$A$120,0)</f>
        <v>115</v>
      </c>
      <c r="K18" s="27">
        <f>INDEX(ruminants!$D$3:$AH$120,$J18,K$4)</f>
        <v>87</v>
      </c>
      <c r="L18" s="54">
        <f t="shared" si="10"/>
        <v>18.478217600000001</v>
      </c>
      <c r="M18" s="28">
        <f>INDEX(ruminants!$D$3:$AH$120,$J18,M$4)</f>
        <v>13.8</v>
      </c>
      <c r="N18" s="28">
        <f>INDEX(ruminants!$D$3:$AH$120,$J18,N$4)</f>
        <v>16</v>
      </c>
      <c r="O18" s="45">
        <f>INDEX(ruminants!$D$3:$AH$120,$J18,O$4)</f>
        <v>226</v>
      </c>
      <c r="P18" s="29">
        <f>INDEX(ruminants!$D$3:$AH$120,$J18,P$4)</f>
        <v>17</v>
      </c>
      <c r="Q18" s="29">
        <f>INDEX(ruminants!$D$3:$AH$120,$J18,Q$4)</f>
        <v>78</v>
      </c>
      <c r="R18" s="29">
        <f>INDEX(ruminants!$D$3:$AH$120,$J18,R$4)</f>
        <v>646</v>
      </c>
      <c r="S18" s="32">
        <f>INDEX(ruminants!$D$3:$AH$120,$J18,S$4)</f>
        <v>33</v>
      </c>
      <c r="T18" s="28">
        <f t="shared" si="7"/>
        <v>3.6160000000000005</v>
      </c>
      <c r="U18" s="60">
        <f>INDEX(ruminants!$D$3:$AH$120,$J18,U$4)/1000*100</f>
        <v>0.43</v>
      </c>
      <c r="V18" s="61">
        <f>INDEX(ruminants!$D$3:$AH$120,$J18,V$4)/1000*100</f>
        <v>1.1100000000000001</v>
      </c>
      <c r="W18" s="80"/>
      <c r="Y18" s="46">
        <f>MATCH($B18,pigs!$A$3:$A$60,0)</f>
        <v>56</v>
      </c>
      <c r="Z18" s="27">
        <f>INDEX(pigs!$D$3:$AO$60,$Y18,Z$4)</f>
        <v>87</v>
      </c>
      <c r="AA18" s="54">
        <f t="shared" si="22"/>
        <v>18.420059999999999</v>
      </c>
      <c r="AB18" s="71">
        <v>16.100000000000001</v>
      </c>
      <c r="AC18" s="37">
        <f>INDEX(pigs!$D$3:$AO$60,$Y18,AC$4)</f>
        <v>11.2</v>
      </c>
      <c r="AD18" s="37">
        <f>INDEX(pigs!$D$3:$AO$60,$Y18,AD$4)</f>
        <v>11.5</v>
      </c>
      <c r="AE18" s="27">
        <f>INDEX(pigs!$D$3:$AO$60,$Y18,AE$4)</f>
        <v>239</v>
      </c>
      <c r="AF18" s="37">
        <f>INDEX(pigs!$D$3:$AO$60,$Y18,AF$4)</f>
        <v>12</v>
      </c>
      <c r="AG18" s="31">
        <f t="shared" si="23"/>
        <v>714</v>
      </c>
      <c r="AH18" s="38">
        <f>INDEX(pigs!$D$3:$AO$60,$Y18,AH$4)</f>
        <v>35</v>
      </c>
      <c r="AI18" s="28">
        <f t="shared" si="13"/>
        <v>3.8240000000000003</v>
      </c>
      <c r="AJ18" s="60">
        <f>INDEX(pigs!$D$3:$AO$60,$Y18,AJ$4)/1000*100</f>
        <v>0.45999999999999996</v>
      </c>
      <c r="AK18" s="61">
        <f>INDEX(pigs!$D$3:$AO$60,$Y18,AK$4)/1000*100</f>
        <v>1.2</v>
      </c>
      <c r="AL18" s="80"/>
      <c r="AM18" s="77" t="s">
        <v>571</v>
      </c>
      <c r="AN18" t="s">
        <v>474</v>
      </c>
      <c r="AO18" s="46">
        <f>MATCH($B18,poultry!$A$3:$A$41,0)</f>
        <v>39</v>
      </c>
      <c r="AP18" s="40">
        <f>INDEX(poultry!$D$3:$U$41,$AO18,AP$4)</f>
        <v>87</v>
      </c>
    </row>
    <row r="19" spans="2:42" x14ac:dyDescent="0.25">
      <c r="B19" t="s">
        <v>38</v>
      </c>
      <c r="C19" s="45">
        <f>100-15</f>
        <v>85</v>
      </c>
      <c r="D19" s="44">
        <f t="shared" si="8"/>
        <v>18.737207199999997</v>
      </c>
      <c r="E19" s="28">
        <f t="shared" si="17"/>
        <v>4.8079999999999998</v>
      </c>
      <c r="F19" s="60">
        <f t="shared" si="18"/>
        <v>0.61499999999999999</v>
      </c>
      <c r="G19" s="61">
        <f t="shared" si="19"/>
        <v>1.375</v>
      </c>
      <c r="H19" s="65" t="s">
        <v>496</v>
      </c>
      <c r="I19" s="4"/>
      <c r="J19" s="46"/>
      <c r="K19" s="45">
        <v>86.6</v>
      </c>
      <c r="L19" s="54">
        <f t="shared" si="10"/>
        <v>18.737207199999997</v>
      </c>
      <c r="M19" s="28">
        <v>13.3</v>
      </c>
      <c r="N19" s="28">
        <f>INDEX(ruminants!$D$3:$AH$120,$J19,N$4)</f>
        <v>12.6</v>
      </c>
      <c r="O19" s="45">
        <v>290</v>
      </c>
      <c r="P19" s="29">
        <v>14</v>
      </c>
      <c r="Q19" s="29">
        <v>91</v>
      </c>
      <c r="R19" s="31">
        <f>1000-SUM(O19:Q19,S19)</f>
        <v>566</v>
      </c>
      <c r="S19" s="32">
        <v>39</v>
      </c>
      <c r="T19" s="28">
        <f t="shared" si="7"/>
        <v>4.6399999999999997</v>
      </c>
      <c r="U19" s="60">
        <f>5.5/1000*100</f>
        <v>0.54999999999999993</v>
      </c>
      <c r="V19" s="61">
        <f>11.5/1000*100</f>
        <v>1.1499999999999999</v>
      </c>
      <c r="W19" s="81" t="s">
        <v>311</v>
      </c>
      <c r="X19" s="7" t="s">
        <v>474</v>
      </c>
      <c r="Y19" s="46">
        <f>MATCH($B19,pigs!$A$3:$A$60,0)</f>
        <v>57</v>
      </c>
      <c r="Z19" s="27">
        <f>INDEX(pigs!$D$3:$AO$60,$Y19,Z$4)</f>
        <v>87</v>
      </c>
      <c r="AA19" s="54">
        <f t="shared" si="22"/>
        <v>18.821305599999999</v>
      </c>
      <c r="AB19" s="71">
        <v>15.5</v>
      </c>
      <c r="AC19" s="37">
        <f>INDEX(pigs!$D$3:$AO$60,$Y19,AC$4)</f>
        <v>10.7</v>
      </c>
      <c r="AD19" s="37">
        <f>INDEX(pigs!$D$3:$AO$60,$Y19,AD$4)</f>
        <v>10.9</v>
      </c>
      <c r="AE19" s="27">
        <f>INDEX(pigs!$D$3:$AO$60,$Y19,AE$4)</f>
        <v>311</v>
      </c>
      <c r="AF19" s="37">
        <f>INDEX(pigs!$D$3:$AO$60,$Y19,AF$4)</f>
        <v>13</v>
      </c>
      <c r="AG19" s="31">
        <f t="shared" si="23"/>
        <v>635</v>
      </c>
      <c r="AH19" s="38">
        <f>INDEX(pigs!$D$3:$AO$60,$Y19,AH$4)</f>
        <v>41</v>
      </c>
      <c r="AI19" s="28">
        <f t="shared" si="13"/>
        <v>4.976</v>
      </c>
      <c r="AJ19" s="60">
        <f>INDEX(pigs!$D$3:$AO$60,$Y19,AJ$4)/1000*100</f>
        <v>0.67999999999999994</v>
      </c>
      <c r="AK19" s="61">
        <f>INDEX(pigs!$D$3:$AO$60,$Y19,AK$4)/1000*100</f>
        <v>1.6</v>
      </c>
      <c r="AL19" s="80"/>
      <c r="AM19" s="77" t="s">
        <v>311</v>
      </c>
      <c r="AN19" t="s">
        <v>474</v>
      </c>
      <c r="AO19" s="46"/>
      <c r="AP19" s="40"/>
    </row>
    <row r="20" spans="2:42" x14ac:dyDescent="0.25">
      <c r="B20" t="s">
        <v>31</v>
      </c>
      <c r="C20" s="45">
        <f>100-9</f>
        <v>91</v>
      </c>
      <c r="D20" s="44">
        <f t="shared" si="8"/>
        <v>27.903096000000001</v>
      </c>
      <c r="E20" s="28">
        <f t="shared" si="17"/>
        <v>3.3360000000000003</v>
      </c>
      <c r="F20" s="60">
        <f t="shared" si="18"/>
        <v>0.81</v>
      </c>
      <c r="G20" s="61">
        <f t="shared" si="19"/>
        <v>0.90999999999999992</v>
      </c>
      <c r="H20" s="65" t="s">
        <v>496</v>
      </c>
      <c r="I20" s="4"/>
      <c r="J20" s="46">
        <f>MATCH($B20,ruminants!$A$3:$A$120,0)</f>
        <v>71</v>
      </c>
      <c r="K20" s="27">
        <f>INDEX(ruminants!$D$3:$AH$120,$J20,K$4)</f>
        <v>93</v>
      </c>
      <c r="L20" s="54">
        <f t="shared" si="10"/>
        <v>27.903096000000001</v>
      </c>
      <c r="M20" s="28">
        <f>INDEX(ruminants!$D$3:$AH$120,$J20,M$4)</f>
        <v>22.1</v>
      </c>
      <c r="N20" s="28">
        <f>INDEX(ruminants!$D$3:$AH$120,$J20,N$4)</f>
        <v>22.1</v>
      </c>
      <c r="O20" s="45">
        <f>INDEX(ruminants!$D$3:$AH$120,$J20,O$4)</f>
        <v>210</v>
      </c>
      <c r="P20" s="29">
        <f>INDEX(ruminants!$D$3:$AH$120,$J20,P$4)</f>
        <v>460</v>
      </c>
      <c r="Q20" s="29">
        <f>INDEX(ruminants!$D$3:$AH$120,$J20,Q$4)</f>
        <v>80</v>
      </c>
      <c r="R20" s="29">
        <f>INDEX(ruminants!$D$3:$AH$120,$J20,R$4)</f>
        <v>200</v>
      </c>
      <c r="S20" s="32">
        <f>INDEX(ruminants!$D$3:$AH$120,$J20,S$4)</f>
        <v>50</v>
      </c>
      <c r="T20" s="28">
        <f t="shared" si="7"/>
        <v>3.3600000000000003</v>
      </c>
      <c r="U20" s="60">
        <f>INDEX(ruminants!$D$3:$AH$120,$J20,U$4)/1000*100</f>
        <v>0.86</v>
      </c>
      <c r="V20" s="61">
        <f>INDEX(ruminants!$D$3:$AH$120,$J20,V$4)/1000*100</f>
        <v>0.81999999999999984</v>
      </c>
      <c r="W20" s="80"/>
      <c r="Y20" s="46">
        <f>MATCH($B20,pigs!$A$3:$A$60,0)</f>
        <v>33</v>
      </c>
      <c r="Z20" s="27">
        <f>INDEX(pigs!$D$3:$AO$60,$Y20,Z$4)</f>
        <v>92</v>
      </c>
      <c r="AA20" s="54">
        <f t="shared" si="22"/>
        <v>27.892217599999999</v>
      </c>
      <c r="AB20" s="71">
        <v>23.5</v>
      </c>
      <c r="AC20" s="37">
        <f>INDEX(pigs!$D$3:$AO$60,$Y20,AC$4)</f>
        <v>18</v>
      </c>
      <c r="AD20" s="37">
        <f>INDEX(pigs!$D$3:$AO$60,$Y20,AD$4)</f>
        <v>18.5</v>
      </c>
      <c r="AE20" s="27">
        <f>INDEX(pigs!$D$3:$AO$60,$Y20,AE$4)</f>
        <v>207</v>
      </c>
      <c r="AF20" s="37">
        <f>INDEX(pigs!$D$3:$AO$60,$Y20,AF$4)</f>
        <v>455</v>
      </c>
      <c r="AG20" s="31">
        <f t="shared" si="23"/>
        <v>295</v>
      </c>
      <c r="AH20" s="38">
        <f>INDEX(pigs!$D$3:$AO$60,$Y20,AH$4)</f>
        <v>43</v>
      </c>
      <c r="AI20" s="28">
        <f t="shared" si="13"/>
        <v>3.3119999999999998</v>
      </c>
      <c r="AJ20" s="60">
        <f>INDEX(pigs!$D$3:$AO$60,$Y20,AJ$4)/1000*100</f>
        <v>0.76</v>
      </c>
      <c r="AK20" s="61">
        <f>INDEX(pigs!$D$3:$AO$60,$Y20,AK$4)/1000*100</f>
        <v>1</v>
      </c>
      <c r="AL20" s="80"/>
      <c r="AM20" s="77" t="s">
        <v>574</v>
      </c>
      <c r="AN20" t="s">
        <v>474</v>
      </c>
      <c r="AO20" s="46"/>
      <c r="AP20" s="40"/>
    </row>
    <row r="21" spans="2:42" x14ac:dyDescent="0.25">
      <c r="B21" t="s">
        <v>39</v>
      </c>
      <c r="C21" s="45">
        <f>100-9</f>
        <v>91</v>
      </c>
      <c r="D21" s="44">
        <f t="shared" si="8"/>
        <v>26.501456000000001</v>
      </c>
      <c r="E21" s="28">
        <f t="shared" si="17"/>
        <v>3.7359999999999998</v>
      </c>
      <c r="F21" s="60">
        <f t="shared" si="18"/>
        <v>0.57000000000000006</v>
      </c>
      <c r="G21" s="61">
        <f t="shared" si="19"/>
        <v>0.89500000000000002</v>
      </c>
      <c r="H21" s="65" t="s">
        <v>496</v>
      </c>
      <c r="I21" s="4"/>
      <c r="J21" s="46">
        <f>MATCH($B21,ruminants!$A$3:$A$120,0)</f>
        <v>45</v>
      </c>
      <c r="K21" s="27">
        <f>INDEX(ruminants!$D$3:$AH$120,$J21,K$4)</f>
        <v>93</v>
      </c>
      <c r="L21" s="54">
        <f t="shared" si="10"/>
        <v>26.501456000000001</v>
      </c>
      <c r="M21" s="28">
        <f>INDEX(ruminants!$D$3:$AH$120,$J21,M$4)</f>
        <v>20.100000000000001</v>
      </c>
      <c r="N21" s="28">
        <f>INDEX(ruminants!$D$3:$AH$120,$J21,N$4)</f>
        <v>20.8</v>
      </c>
      <c r="O21" s="45">
        <f>INDEX(ruminants!$D$3:$AH$120,$J21,O$4)</f>
        <v>240</v>
      </c>
      <c r="P21" s="29">
        <f>INDEX(ruminants!$D$3:$AH$120,$J21,P$4)</f>
        <v>380</v>
      </c>
      <c r="Q21" s="29">
        <f>INDEX(ruminants!$D$3:$AH$120,$J21,Q$4)</f>
        <v>70</v>
      </c>
      <c r="R21" s="29">
        <f>INDEX(ruminants!$D$3:$AH$120,$J21,R$4)</f>
        <v>270</v>
      </c>
      <c r="S21" s="32">
        <f>INDEX(ruminants!$D$3:$AH$120,$J21,S$4)</f>
        <v>40</v>
      </c>
      <c r="T21" s="28">
        <f t="shared" si="7"/>
        <v>3.84</v>
      </c>
      <c r="U21" s="60">
        <f>INDEX(ruminants!$D$3:$AH$120,$J21,U$4)/1000*100</f>
        <v>0.57000000000000006</v>
      </c>
      <c r="V21" s="61">
        <f>INDEX(ruminants!$D$3:$AH$120,$J21,V$4)/1000*100</f>
        <v>0.89999999999999991</v>
      </c>
      <c r="W21" s="80"/>
      <c r="Y21" s="46">
        <f>MATCH($B21,pigs!$A$3:$A$60,0)</f>
        <v>14</v>
      </c>
      <c r="Z21" s="27">
        <f>INDEX(pigs!$D$3:$AO$60,$Y21,Z$4)</f>
        <v>91</v>
      </c>
      <c r="AA21" s="54">
        <f t="shared" si="22"/>
        <v>27.712724000000005</v>
      </c>
      <c r="AB21" s="71">
        <v>20.9</v>
      </c>
      <c r="AC21" s="37">
        <f>INDEX(pigs!$D$3:$AO$60,$Y21,AC$4)</f>
        <v>17.3</v>
      </c>
      <c r="AD21" s="37">
        <f>INDEX(pigs!$D$3:$AO$60,$Y21,AD$4)</f>
        <v>17.5</v>
      </c>
      <c r="AE21" s="27">
        <f>INDEX(pigs!$D$3:$AO$60,$Y21,AE$4)</f>
        <v>227</v>
      </c>
      <c r="AF21" s="37">
        <f>INDEX(pigs!$D$3:$AO$60,$Y21,AF$4)</f>
        <v>437</v>
      </c>
      <c r="AG21" s="31">
        <f t="shared" si="23"/>
        <v>298</v>
      </c>
      <c r="AH21" s="38">
        <f>INDEX(pigs!$D$3:$AO$60,$Y21,AH$4)</f>
        <v>38</v>
      </c>
      <c r="AI21" s="28">
        <f t="shared" si="13"/>
        <v>3.6319999999999997</v>
      </c>
      <c r="AJ21" s="60">
        <f>INDEX(pigs!$D$3:$AO$60,$Y21,AJ$4)/1000*100</f>
        <v>0.57000000000000006</v>
      </c>
      <c r="AK21" s="61">
        <f>INDEX(pigs!$D$3:$AO$60,$Y21,AK$4)/1000*100</f>
        <v>0.89</v>
      </c>
      <c r="AL21" s="80"/>
      <c r="AM21" s="77" t="s">
        <v>575</v>
      </c>
      <c r="AN21" t="s">
        <v>474</v>
      </c>
      <c r="AO21" s="46"/>
      <c r="AP21" s="40"/>
    </row>
    <row r="22" spans="2:42" x14ac:dyDescent="0.25">
      <c r="B22" t="s">
        <v>304</v>
      </c>
      <c r="C22" s="45">
        <f t="shared" ref="C22:C37" si="24">AVERAGE(Z22,K22)</f>
        <v>100</v>
      </c>
      <c r="D22" s="44">
        <f t="shared" si="8"/>
        <v>39.329599999999999</v>
      </c>
      <c r="E22" s="28">
        <f t="shared" si="17"/>
        <v>0</v>
      </c>
      <c r="F22" s="60">
        <f t="shared" si="18"/>
        <v>0</v>
      </c>
      <c r="G22" s="61">
        <f t="shared" si="19"/>
        <v>0</v>
      </c>
      <c r="H22" s="4"/>
      <c r="I22" s="4"/>
      <c r="J22" s="46"/>
      <c r="K22" s="27">
        <v>100</v>
      </c>
      <c r="L22" s="54">
        <f>( 5.7*O22+9.4*P22+4.1*(Q22+R22) ) * 0.004184</f>
        <v>39.329599999999999</v>
      </c>
      <c r="M22" s="28">
        <v>36.6</v>
      </c>
      <c r="N22" s="78">
        <f>M22</f>
        <v>36.6</v>
      </c>
      <c r="O22" s="45">
        <v>0</v>
      </c>
      <c r="P22" s="29">
        <v>1000</v>
      </c>
      <c r="Q22" s="29">
        <v>0</v>
      </c>
      <c r="R22" s="29">
        <v>0</v>
      </c>
      <c r="S22" s="32">
        <v>0</v>
      </c>
      <c r="T22" s="28">
        <f t="shared" si="7"/>
        <v>0</v>
      </c>
      <c r="U22" s="60">
        <v>0</v>
      </c>
      <c r="V22" s="61">
        <v>0</v>
      </c>
      <c r="W22" s="81" t="s">
        <v>312</v>
      </c>
      <c r="X22" t="s">
        <v>474</v>
      </c>
      <c r="Y22" s="46">
        <f>MATCH($B22,pigs!$A$3:$A$60,0)</f>
        <v>28</v>
      </c>
      <c r="Z22" s="27">
        <f>INDEX(pigs!$D$3:$AO$60,$Y22,Z$4)</f>
        <v>100</v>
      </c>
      <c r="AA22" s="54">
        <f t="shared" si="22"/>
        <v>39.329599999999999</v>
      </c>
      <c r="AB22" s="71">
        <v>34.5</v>
      </c>
      <c r="AC22" s="37">
        <f>INDEX(pigs!$D$3:$AO$60,$Y22,AC$4)</f>
        <v>29.8</v>
      </c>
      <c r="AD22" s="37">
        <f>INDEX(pigs!$D$3:$AO$60,$Y22,AD$4)</f>
        <v>29.8</v>
      </c>
      <c r="AE22" s="27">
        <f>INDEX(pigs!$D$3:$AO$60,$Y22,AE$4)</f>
        <v>0</v>
      </c>
      <c r="AF22" s="37">
        <f>INDEX(pigs!$D$3:$AO$60,$Y22,AF$4)</f>
        <v>1000</v>
      </c>
      <c r="AG22" s="31">
        <f t="shared" si="23"/>
        <v>0</v>
      </c>
      <c r="AH22" s="38">
        <f>INDEX(pigs!$D$3:$AO$60,$Y22,AH$4)</f>
        <v>0</v>
      </c>
      <c r="AI22" s="28">
        <f t="shared" si="13"/>
        <v>0</v>
      </c>
      <c r="AJ22" s="60">
        <f>INDEX(pigs!$D$3:$AO$60,$Y22,AJ$4)/1000*100</f>
        <v>0</v>
      </c>
      <c r="AK22" s="61">
        <f>INDEX(pigs!$D$3:$AO$60,$Y22,AK$4)/1000*100</f>
        <v>0</v>
      </c>
      <c r="AL22" s="80"/>
      <c r="AM22" s="77" t="s">
        <v>312</v>
      </c>
      <c r="AN22" t="s">
        <v>474</v>
      </c>
      <c r="AO22" s="46">
        <f>MATCH($B22,poultry!$A$3:$A$41,0)</f>
        <v>1</v>
      </c>
      <c r="AP22" s="40">
        <f>INDEX(poultry!$D$3:$U$41,$AO22,AP$4)</f>
        <v>99</v>
      </c>
    </row>
    <row r="23" spans="2:42" x14ac:dyDescent="0.25">
      <c r="B23" t="s">
        <v>296</v>
      </c>
      <c r="C23" s="45">
        <f t="shared" si="24"/>
        <v>85</v>
      </c>
      <c r="D23" s="44">
        <f t="shared" si="8"/>
        <v>16.927627199999996</v>
      </c>
      <c r="E23" s="28">
        <f t="shared" si="17"/>
        <v>1.1040000000000001</v>
      </c>
      <c r="F23" s="60">
        <f t="shared" si="18"/>
        <v>0.26</v>
      </c>
      <c r="G23" s="61">
        <f t="shared" si="19"/>
        <v>1.6800000000000002</v>
      </c>
      <c r="H23" s="4"/>
      <c r="I23" s="4"/>
      <c r="J23" s="46">
        <f>MATCH($B23,ruminants!$A$3:$A$120,0)</f>
        <v>22</v>
      </c>
      <c r="K23" s="27">
        <f>INDEX(ruminants!$D$3:$AH$120,$J23,K$4)</f>
        <v>85</v>
      </c>
      <c r="L23" s="54">
        <f t="shared" si="10"/>
        <v>16.927627199999996</v>
      </c>
      <c r="M23" s="28">
        <f>INDEX(ruminants!$D$3:$AH$120,$J23,M$4)</f>
        <v>6.6</v>
      </c>
      <c r="N23" s="28">
        <f>INDEX(ruminants!$D$3:$AH$120,$J23,N$4)</f>
        <v>7.6</v>
      </c>
      <c r="O23" s="45">
        <f>INDEX(ruminants!$D$3:$AH$120,$J23,O$4)</f>
        <v>69</v>
      </c>
      <c r="P23" s="29">
        <f>INDEX(ruminants!$D$3:$AH$120,$J23,P$4)</f>
        <v>20</v>
      </c>
      <c r="Q23" s="29">
        <f>INDEX(ruminants!$D$3:$AH$120,$J23,Q$4)</f>
        <v>436</v>
      </c>
      <c r="R23" s="29">
        <f>INDEX(ruminants!$D$3:$AH$120,$J23,R$4)</f>
        <v>409</v>
      </c>
      <c r="S23" s="32">
        <f>INDEX(ruminants!$D$3:$AH$120,$J23,S$4)</f>
        <v>66</v>
      </c>
      <c r="T23" s="28">
        <f t="shared" si="7"/>
        <v>1.1040000000000001</v>
      </c>
      <c r="U23" s="60">
        <f>INDEX(ruminants!$D$3:$AH$120,$J23,U$4)/1000*100</f>
        <v>0.26</v>
      </c>
      <c r="V23" s="61">
        <f>INDEX(ruminants!$D$3:$AH$120,$J23,V$4)/1000*100</f>
        <v>1.6800000000000002</v>
      </c>
      <c r="W23" s="80"/>
      <c r="Y23" s="46"/>
      <c r="Z23" s="27"/>
      <c r="AA23" s="37"/>
      <c r="AB23" s="74"/>
      <c r="AC23" s="37"/>
      <c r="AD23" s="37"/>
      <c r="AE23" s="27"/>
      <c r="AF23" s="37"/>
      <c r="AG23" s="37"/>
      <c r="AH23" s="38"/>
      <c r="AI23" s="28"/>
      <c r="AJ23" s="60"/>
      <c r="AK23" s="61"/>
      <c r="AL23" s="80"/>
      <c r="AM23" s="77"/>
      <c r="AN23" t="s">
        <v>474</v>
      </c>
      <c r="AO23" s="46"/>
      <c r="AP23" s="40"/>
    </row>
    <row r="24" spans="2:42" x14ac:dyDescent="0.25">
      <c r="B24" t="s">
        <v>307</v>
      </c>
      <c r="C24" s="45">
        <f t="shared" si="24"/>
        <v>87</v>
      </c>
      <c r="D24" s="44">
        <f t="shared" si="8"/>
        <v>22.965976000000001</v>
      </c>
      <c r="E24" s="28">
        <f t="shared" si="17"/>
        <v>6.4</v>
      </c>
      <c r="F24" s="60">
        <f t="shared" si="18"/>
        <v>0.63</v>
      </c>
      <c r="G24" s="61">
        <f t="shared" si="19"/>
        <v>1.9</v>
      </c>
      <c r="H24" s="4"/>
      <c r="I24" s="4"/>
      <c r="J24" s="46">
        <f>MATCH($B24,ruminants!$A$3:$A$120,0)</f>
        <v>92</v>
      </c>
      <c r="K24" s="27">
        <f>INDEX(ruminants!$D$3:$AH$120,$J24,K$4)</f>
        <v>87</v>
      </c>
      <c r="L24" s="54">
        <f t="shared" si="10"/>
        <v>22.965976000000001</v>
      </c>
      <c r="M24" s="28">
        <f>INDEX(ruminants!$D$3:$AH$120,$J24,M$4)</f>
        <v>16.399999999999999</v>
      </c>
      <c r="N24" s="28">
        <f>INDEX(ruminants!$D$3:$AH$120,$J24,N$4)</f>
        <v>18.399999999999999</v>
      </c>
      <c r="O24" s="45">
        <f>INDEX(ruminants!$D$3:$AH$120,$J24,O$4)</f>
        <v>400</v>
      </c>
      <c r="P24" s="29">
        <f>INDEX(ruminants!$D$3:$AH$120,$J24,P$4)</f>
        <v>180</v>
      </c>
      <c r="Q24" s="29">
        <f>INDEX(ruminants!$D$3:$AH$120,$J24,Q$4)</f>
        <v>60</v>
      </c>
      <c r="R24" s="29">
        <f>INDEX(ruminants!$D$3:$AH$120,$J24,R$4)</f>
        <v>310</v>
      </c>
      <c r="S24" s="32">
        <f>INDEX(ruminants!$D$3:$AH$120,$J24,S$4)</f>
        <v>50</v>
      </c>
      <c r="T24" s="28">
        <f t="shared" si="7"/>
        <v>6.4</v>
      </c>
      <c r="U24" s="60">
        <f>INDEX(ruminants!$D$3:$AH$120,$J24,U$4)/1000*100</f>
        <v>0.63</v>
      </c>
      <c r="V24" s="61">
        <f>INDEX(ruminants!$D$3:$AH$120,$J24,V$4)/1000*100</f>
        <v>1.9</v>
      </c>
      <c r="W24" s="80"/>
      <c r="Y24" s="46"/>
      <c r="Z24" s="27"/>
      <c r="AA24" s="37"/>
      <c r="AB24" s="74"/>
      <c r="AC24" s="37"/>
      <c r="AD24" s="37"/>
      <c r="AE24" s="27"/>
      <c r="AF24" s="37"/>
      <c r="AG24" s="37"/>
      <c r="AH24" s="38"/>
      <c r="AI24" s="28"/>
      <c r="AJ24" s="60"/>
      <c r="AK24" s="61"/>
      <c r="AL24" s="80"/>
      <c r="AM24" s="77"/>
      <c r="AN24" t="s">
        <v>474</v>
      </c>
      <c r="AO24" s="46"/>
      <c r="AP24" s="40"/>
    </row>
    <row r="25" spans="2:42" x14ac:dyDescent="0.25">
      <c r="B25" t="s">
        <v>40</v>
      </c>
      <c r="C25" s="45">
        <f t="shared" si="24"/>
        <v>87.5</v>
      </c>
      <c r="D25" s="44">
        <f t="shared" si="8"/>
        <v>19.589487999999999</v>
      </c>
      <c r="E25" s="28">
        <f t="shared" si="17"/>
        <v>8.2080000000000002</v>
      </c>
      <c r="F25" s="60">
        <f t="shared" si="18"/>
        <v>0.71499999999999997</v>
      </c>
      <c r="G25" s="61">
        <f t="shared" si="19"/>
        <v>2.3499999999999996</v>
      </c>
      <c r="H25" s="4"/>
      <c r="I25" s="4"/>
      <c r="J25" s="46">
        <f>MATCH($B25,ruminants!$A$3:$A$120,0)</f>
        <v>93</v>
      </c>
      <c r="K25" s="27">
        <f>INDEX(ruminants!$D$3:$AH$120,$J25,K$4)</f>
        <v>87</v>
      </c>
      <c r="L25" s="54">
        <f t="shared" si="10"/>
        <v>19.589487999999999</v>
      </c>
      <c r="M25" s="28">
        <f>INDEX(ruminants!$D$3:$AH$120,$J25,M$4)</f>
        <v>14.6</v>
      </c>
      <c r="N25" s="28">
        <f>INDEX(ruminants!$D$3:$AH$120,$J25,N$4)</f>
        <v>17.8</v>
      </c>
      <c r="O25" s="45">
        <f>INDEX(ruminants!$D$3:$AH$120,$J25,O$4)</f>
        <v>510</v>
      </c>
      <c r="P25" s="29">
        <f>INDEX(ruminants!$D$3:$AH$120,$J25,P$4)</f>
        <v>10</v>
      </c>
      <c r="Q25" s="29">
        <f>INDEX(ruminants!$D$3:$AH$120,$J25,Q$4)</f>
        <v>60</v>
      </c>
      <c r="R25" s="29">
        <f>INDEX(ruminants!$D$3:$AH$120,$J25,R$4)</f>
        <v>350</v>
      </c>
      <c r="S25" s="32">
        <f>INDEX(ruminants!$D$3:$AH$120,$J25,S$4)</f>
        <v>70</v>
      </c>
      <c r="T25" s="28">
        <f t="shared" si="7"/>
        <v>8.16</v>
      </c>
      <c r="U25" s="60">
        <f>INDEX(ruminants!$D$3:$AH$120,$J25,U$4)/1000*100</f>
        <v>0.72</v>
      </c>
      <c r="V25" s="61">
        <f>INDEX(ruminants!$D$3:$AH$120,$J25,V$4)/1000*100</f>
        <v>2.2999999999999998</v>
      </c>
      <c r="W25" s="80"/>
      <c r="Y25" s="46">
        <f>MATCH($B25,pigs!$A$3:$A$60,0)</f>
        <v>43</v>
      </c>
      <c r="Z25" s="27">
        <f>INDEX(pigs!$D$3:$AO$60,$Y25,Z$4)</f>
        <v>88</v>
      </c>
      <c r="AA25" s="54">
        <f t="shared" ref="AA25:AA29" si="25">( 5.7*AE25+9.4*AF25+4.1*(AG25) ) * 0.004184</f>
        <v>19.822118400000001</v>
      </c>
      <c r="AB25" s="71">
        <v>16.8</v>
      </c>
      <c r="AC25" s="37">
        <f>INDEX(pigs!$D$3:$AO$60,$Y25,AC$4)</f>
        <v>9.3000000000000007</v>
      </c>
      <c r="AD25" s="37">
        <f>INDEX(pigs!$D$3:$AO$60,$Y25,AD$4)</f>
        <v>9.9</v>
      </c>
      <c r="AE25" s="27">
        <f>INDEX(pigs!$D$3:$AO$60,$Y25,AE$4)</f>
        <v>516</v>
      </c>
      <c r="AF25" s="37">
        <f>INDEX(pigs!$D$3:$AO$60,$Y25,AF$4)</f>
        <v>21</v>
      </c>
      <c r="AG25" s="31">
        <f t="shared" ref="AG25:AG29" si="26">1000-SUM(AE25:AF25,AH25)</f>
        <v>390</v>
      </c>
      <c r="AH25" s="38">
        <f>INDEX(pigs!$D$3:$AO$60,$Y25,AH$4)</f>
        <v>73</v>
      </c>
      <c r="AI25" s="28">
        <f t="shared" si="13"/>
        <v>8.2560000000000002</v>
      </c>
      <c r="AJ25" s="60">
        <f>INDEX(pigs!$D$3:$AO$60,$Y25,AJ$4)/1000*100</f>
        <v>0.71</v>
      </c>
      <c r="AK25" s="61">
        <f>INDEX(pigs!$D$3:$AO$60,$Y25,AK$4)/1000*100</f>
        <v>2.4</v>
      </c>
      <c r="AL25" s="80"/>
      <c r="AM25" s="77" t="s">
        <v>576</v>
      </c>
      <c r="AN25" t="s">
        <v>474</v>
      </c>
      <c r="AO25" s="46">
        <f>MATCH($B25,poultry!$A$3:$A$41,0)</f>
        <v>33</v>
      </c>
      <c r="AP25" s="40">
        <f>INDEX(poultry!$D$3:$U$41,$AO25,AP$4)</f>
        <v>87</v>
      </c>
    </row>
    <row r="26" spans="2:42" x14ac:dyDescent="0.25">
      <c r="B26" t="s">
        <v>41</v>
      </c>
      <c r="C26" s="45">
        <f t="shared" si="24"/>
        <v>87</v>
      </c>
      <c r="D26" s="44">
        <f>AA26</f>
        <v>20.560594400000003</v>
      </c>
      <c r="E26" s="28">
        <f t="shared" si="17"/>
        <v>9.7439999999999998</v>
      </c>
      <c r="F26" s="60">
        <f t="shared" si="18"/>
        <v>0.86999999999999988</v>
      </c>
      <c r="G26" s="61">
        <f t="shared" si="19"/>
        <v>2.5</v>
      </c>
      <c r="H26" s="4"/>
      <c r="I26" s="4"/>
      <c r="J26" s="46"/>
      <c r="K26" s="27"/>
      <c r="L26" s="37"/>
      <c r="M26" s="28"/>
      <c r="N26" s="28"/>
      <c r="O26" s="45"/>
      <c r="P26" s="29"/>
      <c r="Q26" s="29"/>
      <c r="R26" s="29"/>
      <c r="S26" s="32"/>
      <c r="T26" s="28"/>
      <c r="U26" s="29"/>
      <c r="V26" s="32"/>
      <c r="W26" s="80"/>
      <c r="Y26" s="46">
        <f>MATCH($B26,pigs!$A$3:$A$60,0)</f>
        <v>45</v>
      </c>
      <c r="Z26" s="27">
        <f>INDEX(pigs!$D$3:$AO$60,$Y26,Z$4)</f>
        <v>87</v>
      </c>
      <c r="AA26" s="54">
        <f t="shared" si="25"/>
        <v>20.560594400000003</v>
      </c>
      <c r="AB26" s="71">
        <v>17.3</v>
      </c>
      <c r="AC26" s="37">
        <f>INDEX(pigs!$D$3:$AO$60,$Y26,AC$4)</f>
        <v>9.6999999999999993</v>
      </c>
      <c r="AD26" s="37">
        <f>INDEX(pigs!$D$3:$AO$60,$Y26,AD$4)</f>
        <v>10.3</v>
      </c>
      <c r="AE26" s="27">
        <f>INDEX(pigs!$D$3:$AO$60,$Y26,AE$4)</f>
        <v>609</v>
      </c>
      <c r="AF26" s="37">
        <f>INDEX(pigs!$D$3:$AO$60,$Y26,AF$4)</f>
        <v>27</v>
      </c>
      <c r="AG26" s="31">
        <f t="shared" si="26"/>
        <v>290</v>
      </c>
      <c r="AH26" s="38">
        <f>INDEX(pigs!$D$3:$AO$60,$Y26,AH$4)</f>
        <v>74</v>
      </c>
      <c r="AI26" s="28">
        <f t="shared" si="13"/>
        <v>9.7439999999999998</v>
      </c>
      <c r="AJ26" s="60">
        <f>INDEX(pigs!$D$3:$AO$60,$Y26,AJ$4)/1000*100</f>
        <v>0.86999999999999988</v>
      </c>
      <c r="AK26" s="61">
        <f>INDEX(pigs!$D$3:$AO$60,$Y26,AK$4)/1000*100</f>
        <v>2.5</v>
      </c>
      <c r="AL26" s="80"/>
      <c r="AM26" s="77" t="s">
        <v>577</v>
      </c>
      <c r="AN26" t="s">
        <v>474</v>
      </c>
      <c r="AO26" s="46"/>
      <c r="AP26" s="40"/>
    </row>
    <row r="27" spans="2:42" x14ac:dyDescent="0.25">
      <c r="B27" t="s">
        <v>32</v>
      </c>
      <c r="C27" s="45">
        <f t="shared" si="24"/>
        <v>89.5</v>
      </c>
      <c r="D27" s="44">
        <f t="shared" ref="D27:D35" si="27">L27</f>
        <v>19.4920008</v>
      </c>
      <c r="E27" s="28">
        <f t="shared" si="17"/>
        <v>6.152000000000001</v>
      </c>
      <c r="F27" s="60">
        <f t="shared" si="18"/>
        <v>1.2450000000000001</v>
      </c>
      <c r="G27" s="61">
        <f t="shared" si="19"/>
        <v>1.55</v>
      </c>
      <c r="H27" s="4"/>
      <c r="I27" s="4"/>
      <c r="J27" s="46">
        <f>MATCH($B27,ruminants!$A$3:$A$120,0)</f>
        <v>70</v>
      </c>
      <c r="K27" s="27">
        <f>INDEX(ruminants!$D$3:$AH$120,$J27,K$4)</f>
        <v>90</v>
      </c>
      <c r="L27" s="54">
        <f t="shared" si="10"/>
        <v>19.4920008</v>
      </c>
      <c r="M27" s="28">
        <f>INDEX(ruminants!$D$3:$AH$120,$J27,M$4)</f>
        <v>12.2</v>
      </c>
      <c r="N27" s="28">
        <f>INDEX(ruminants!$D$3:$AH$120,$J27,N$4)</f>
        <v>14.6</v>
      </c>
      <c r="O27" s="45">
        <f>INDEX(ruminants!$D$3:$AH$120,$J27,O$4)</f>
        <v>389</v>
      </c>
      <c r="P27" s="29">
        <f>INDEX(ruminants!$D$3:$AH$120,$J27,P$4)</f>
        <v>46</v>
      </c>
      <c r="Q27" s="29">
        <f>INDEX(ruminants!$D$3:$AH$120,$J27,Q$4)</f>
        <v>140</v>
      </c>
      <c r="R27" s="29">
        <f>INDEX(ruminants!$D$3:$AH$120,$J27,R$4)</f>
        <v>350</v>
      </c>
      <c r="S27" s="32">
        <f>INDEX(ruminants!$D$3:$AH$120,$J27,S$4)</f>
        <v>75</v>
      </c>
      <c r="T27" s="28">
        <f t="shared" si="7"/>
        <v>6.2240000000000002</v>
      </c>
      <c r="U27" s="60">
        <f>INDEX(ruminants!$D$3:$AH$120,$J27,U$4)/1000*100</f>
        <v>1.2</v>
      </c>
      <c r="V27" s="61">
        <f>INDEX(ruminants!$D$3:$AH$120,$J27,V$4)/1000*100</f>
        <v>1.6</v>
      </c>
      <c r="W27" s="80"/>
      <c r="Y27" s="46">
        <f>MATCH($B27,pigs!$A$3:$A$60,0)</f>
        <v>36</v>
      </c>
      <c r="Z27" s="27">
        <f>INDEX(pigs!$D$3:$AO$60,$Y27,Z$4)</f>
        <v>89</v>
      </c>
      <c r="AA27" s="54">
        <f t="shared" si="25"/>
        <v>18.9196296</v>
      </c>
      <c r="AB27" s="71">
        <v>13.3</v>
      </c>
      <c r="AC27" s="37">
        <f>INDEX(pigs!$D$3:$AO$60,$Y27,AC$4)</f>
        <v>7.1</v>
      </c>
      <c r="AD27" s="37">
        <f>INDEX(pigs!$D$3:$AO$60,$Y27,AD$4)</f>
        <v>7.7</v>
      </c>
      <c r="AE27" s="27">
        <f>INDEX(pigs!$D$3:$AO$60,$Y27,AE$4)</f>
        <v>380</v>
      </c>
      <c r="AF27" s="37">
        <f>INDEX(pigs!$D$3:$AO$60,$Y27,AF$4)</f>
        <v>26</v>
      </c>
      <c r="AG27" s="31">
        <f t="shared" si="26"/>
        <v>515</v>
      </c>
      <c r="AH27" s="38">
        <f>INDEX(pigs!$D$3:$AO$60,$Y27,AH$4)</f>
        <v>79</v>
      </c>
      <c r="AI27" s="28">
        <f t="shared" si="13"/>
        <v>6.080000000000001</v>
      </c>
      <c r="AJ27" s="60">
        <f>INDEX(pigs!$D$3:$AO$60,$Y27,AJ$4)/1000*100</f>
        <v>1.29</v>
      </c>
      <c r="AK27" s="61">
        <f>INDEX(pigs!$D$3:$AO$60,$Y27,AK$4)/1000*100</f>
        <v>1.5</v>
      </c>
      <c r="AL27" s="80"/>
      <c r="AM27" s="77" t="s">
        <v>578</v>
      </c>
      <c r="AN27" t="s">
        <v>474</v>
      </c>
      <c r="AO27" s="46">
        <f>MATCH($B27,poultry!$A$3:$A$41,0)</f>
        <v>29</v>
      </c>
      <c r="AP27" s="40">
        <f>INDEX(poultry!$D$3:$U$41,$AO27,AP$4)</f>
        <v>90</v>
      </c>
    </row>
    <row r="28" spans="2:42" x14ac:dyDescent="0.25">
      <c r="B28" t="s">
        <v>42</v>
      </c>
      <c r="C28" s="45">
        <f t="shared" si="24"/>
        <v>91</v>
      </c>
      <c r="D28" s="44">
        <f t="shared" si="27"/>
        <v>19.083224000000001</v>
      </c>
      <c r="E28" s="28">
        <f t="shared" si="17"/>
        <v>6.6640000000000006</v>
      </c>
      <c r="F28" s="60">
        <f t="shared" si="18"/>
        <v>1.3050000000000002</v>
      </c>
      <c r="G28" s="61">
        <f t="shared" si="19"/>
        <v>1.75</v>
      </c>
      <c r="H28" s="4"/>
      <c r="I28" s="4"/>
      <c r="J28" s="46">
        <f>MATCH($B28,ruminants!$A$3:$A$120,0)</f>
        <v>99</v>
      </c>
      <c r="K28" s="27">
        <f>INDEX(ruminants!$D$3:$AH$120,$J28,K$4)</f>
        <v>92</v>
      </c>
      <c r="L28" s="54">
        <f t="shared" si="10"/>
        <v>19.083224000000001</v>
      </c>
      <c r="M28" s="28">
        <f>INDEX(ruminants!$D$3:$AH$120,$J28,M$4)</f>
        <v>11.4</v>
      </c>
      <c r="N28" s="28">
        <f>INDEX(ruminants!$D$3:$AH$120,$J28,N$4)</f>
        <v>14.1</v>
      </c>
      <c r="O28" s="45">
        <f>INDEX(ruminants!$D$3:$AH$120,$J28,O$4)</f>
        <v>460</v>
      </c>
      <c r="P28" s="29">
        <f>INDEX(ruminants!$D$3:$AH$120,$J28,P$4)</f>
        <v>10</v>
      </c>
      <c r="Q28" s="29">
        <f>INDEX(ruminants!$D$3:$AH$120,$J28,Q$4)</f>
        <v>170</v>
      </c>
      <c r="R28" s="29">
        <f>INDEX(ruminants!$D$3:$AH$120,$J28,R$4)</f>
        <v>280</v>
      </c>
      <c r="S28" s="32">
        <f>INDEX(ruminants!$D$3:$AH$120,$J28,S$4)</f>
        <v>80</v>
      </c>
      <c r="T28" s="28">
        <f t="shared" si="7"/>
        <v>7.3600000000000012</v>
      </c>
      <c r="U28" s="60">
        <f>INDEX(ruminants!$D$3:$AH$120,$J28,U$4)/1000*100</f>
        <v>1.35</v>
      </c>
      <c r="V28" s="61">
        <f>INDEX(ruminants!$D$3:$AH$120,$J28,V$4)/1000*100</f>
        <v>1.7999999999999998</v>
      </c>
      <c r="W28" s="80"/>
      <c r="Y28" s="46">
        <f>MATCH($B28,pigs!$A$3:$A$60,0)</f>
        <v>46</v>
      </c>
      <c r="Z28" s="27">
        <f>INDEX(pigs!$D$3:$AO$60,$Y28,Z$4)</f>
        <v>90</v>
      </c>
      <c r="AA28" s="54">
        <f t="shared" si="25"/>
        <v>18.786160000000002</v>
      </c>
      <c r="AB28" s="71">
        <v>10.3</v>
      </c>
      <c r="AC28" s="37">
        <f>INDEX(pigs!$D$3:$AO$60,$Y28,AC$4)</f>
        <v>5.9</v>
      </c>
      <c r="AD28" s="37">
        <f>INDEX(pigs!$D$3:$AO$60,$Y28,AD$4)</f>
        <v>6.5</v>
      </c>
      <c r="AE28" s="27">
        <f>INDEX(pigs!$D$3:$AO$60,$Y28,AE$4)</f>
        <v>373</v>
      </c>
      <c r="AF28" s="37">
        <f>INDEX(pigs!$D$3:$AO$60,$Y28,AF$4)</f>
        <v>19</v>
      </c>
      <c r="AG28" s="31">
        <f t="shared" si="26"/>
        <v>533</v>
      </c>
      <c r="AH28" s="38">
        <f>INDEX(pigs!$D$3:$AO$60,$Y28,AH$4)</f>
        <v>75</v>
      </c>
      <c r="AI28" s="28">
        <f t="shared" si="13"/>
        <v>5.968</v>
      </c>
      <c r="AJ28" s="60">
        <f>INDEX(pigs!$D$3:$AO$60,$Y28,AJ$4)/1000*100</f>
        <v>1.26</v>
      </c>
      <c r="AK28" s="61">
        <f>INDEX(pigs!$D$3:$AO$60,$Y28,AK$4)/1000*100</f>
        <v>1.7000000000000002</v>
      </c>
      <c r="AL28" s="80"/>
      <c r="AM28" s="77" t="s">
        <v>579</v>
      </c>
      <c r="AN28" t="s">
        <v>474</v>
      </c>
      <c r="AO28" s="46"/>
      <c r="AP28" s="40"/>
    </row>
    <row r="29" spans="2:42" x14ac:dyDescent="0.25">
      <c r="B29" t="s">
        <v>43</v>
      </c>
      <c r="C29" s="45">
        <f t="shared" si="24"/>
        <v>91</v>
      </c>
      <c r="D29" s="44">
        <f t="shared" si="27"/>
        <v>19.581538399999999</v>
      </c>
      <c r="E29" s="28">
        <f t="shared" si="17"/>
        <v>2.5360000000000005</v>
      </c>
      <c r="F29" s="60">
        <f t="shared" si="18"/>
        <v>0.64500000000000002</v>
      </c>
      <c r="G29" s="61">
        <f t="shared" si="19"/>
        <v>0.77500000000000002</v>
      </c>
      <c r="H29" s="4"/>
      <c r="I29" s="4"/>
      <c r="J29" s="46">
        <f>MATCH($B29,ruminants!$A$3:$A$120,0)</f>
        <v>60</v>
      </c>
      <c r="K29" s="27">
        <f>INDEX(ruminants!$D$3:$AH$120,$J29,K$4)</f>
        <v>91</v>
      </c>
      <c r="L29" s="54">
        <f t="shared" si="10"/>
        <v>19.581538399999999</v>
      </c>
      <c r="M29" s="28">
        <f>INDEX(ruminants!$D$3:$AH$120,$J29,M$4)</f>
        <v>13.4</v>
      </c>
      <c r="N29" s="28">
        <f>INDEX(ruminants!$D$3:$AH$120,$J29,N$4)</f>
        <v>15</v>
      </c>
      <c r="O29" s="45">
        <f>INDEX(ruminants!$D$3:$AH$120,$J29,O$4)</f>
        <v>154</v>
      </c>
      <c r="P29" s="29">
        <f>INDEX(ruminants!$D$3:$AH$120,$J29,P$4)</f>
        <v>97</v>
      </c>
      <c r="Q29" s="29">
        <f>INDEX(ruminants!$D$3:$AH$120,$J29,Q$4)</f>
        <v>228</v>
      </c>
      <c r="R29" s="29">
        <f>INDEX(ruminants!$D$3:$AH$120,$J29,R$4)</f>
        <v>477</v>
      </c>
      <c r="S29" s="32">
        <f>INDEX(ruminants!$D$3:$AH$120,$J29,S$4)</f>
        <v>44</v>
      </c>
      <c r="T29" s="28">
        <f t="shared" si="7"/>
        <v>2.4640000000000004</v>
      </c>
      <c r="U29" s="60">
        <f>INDEX(ruminants!$D$3:$AH$120,$J29,U$4)/1000*100</f>
        <v>0.65</v>
      </c>
      <c r="V29" s="61">
        <f>INDEX(ruminants!$D$3:$AH$120,$J29,V$4)/1000*100</f>
        <v>0.8</v>
      </c>
      <c r="W29" s="80"/>
      <c r="Y29" s="46">
        <f>MATCH($B29,pigs!$A$3:$A$60,0)</f>
        <v>29</v>
      </c>
      <c r="Z29" s="27">
        <f>INDEX(pigs!$D$3:$AO$60,$Y29,Z$4)</f>
        <v>91</v>
      </c>
      <c r="AA29" s="54">
        <f t="shared" si="25"/>
        <v>19.540953599999998</v>
      </c>
      <c r="AB29" s="71">
        <v>8.4</v>
      </c>
      <c r="AC29" s="37">
        <f>INDEX(pigs!$D$3:$AO$60,$Y29,AC$4)</f>
        <v>5.4</v>
      </c>
      <c r="AD29" s="37">
        <f>INDEX(pigs!$D$3:$AO$60,$Y29,AD$4)</f>
        <v>6.2</v>
      </c>
      <c r="AE29" s="27">
        <f>INDEX(pigs!$D$3:$AO$60,$Y29,AE$4)</f>
        <v>163</v>
      </c>
      <c r="AF29" s="37">
        <f>INDEX(pigs!$D$3:$AO$60,$Y29,AF$4)</f>
        <v>94</v>
      </c>
      <c r="AG29" s="31">
        <f t="shared" si="26"/>
        <v>697</v>
      </c>
      <c r="AH29" s="38">
        <f>INDEX(pigs!$D$3:$AO$60,$Y29,AH$4)</f>
        <v>46</v>
      </c>
      <c r="AI29" s="28">
        <f t="shared" si="13"/>
        <v>2.6080000000000001</v>
      </c>
      <c r="AJ29" s="60">
        <f>INDEX(pigs!$D$3:$AO$60,$Y29,AJ$4)/1000*100</f>
        <v>0.64</v>
      </c>
      <c r="AK29" s="61">
        <f>INDEX(pigs!$D$3:$AO$60,$Y29,AK$4)/1000*100</f>
        <v>0.75</v>
      </c>
      <c r="AL29" s="80"/>
      <c r="AM29" s="77"/>
      <c r="AN29" t="s">
        <v>474</v>
      </c>
      <c r="AO29" s="46"/>
      <c r="AP29" s="40"/>
    </row>
    <row r="30" spans="2:42" x14ac:dyDescent="0.25">
      <c r="B30" t="s">
        <v>308</v>
      </c>
      <c r="C30" s="45">
        <f t="shared" si="24"/>
        <v>90</v>
      </c>
      <c r="D30" s="44">
        <f t="shared" si="27"/>
        <v>16.971140800000001</v>
      </c>
      <c r="E30" s="28">
        <f t="shared" si="17"/>
        <v>2.9279999999999999</v>
      </c>
      <c r="F30" s="60">
        <f t="shared" si="18"/>
        <v>0.27</v>
      </c>
      <c r="G30" s="61">
        <f t="shared" si="19"/>
        <v>2.56</v>
      </c>
      <c r="H30" s="4"/>
      <c r="I30" s="4"/>
      <c r="J30" s="46"/>
      <c r="K30" s="27">
        <v>90</v>
      </c>
      <c r="L30" s="54">
        <f t="shared" si="10"/>
        <v>16.971140800000001</v>
      </c>
      <c r="M30" s="28">
        <v>8.5</v>
      </c>
      <c r="N30" s="28">
        <v>10.7</v>
      </c>
      <c r="O30" s="45">
        <v>183</v>
      </c>
      <c r="P30" s="29">
        <v>27</v>
      </c>
      <c r="Q30" s="29">
        <v>286</v>
      </c>
      <c r="R30" s="31">
        <f>1000-SUM(O30:Q30,S30)</f>
        <v>387</v>
      </c>
      <c r="S30" s="32">
        <v>117</v>
      </c>
      <c r="T30" s="28">
        <f t="shared" si="7"/>
        <v>2.9279999999999999</v>
      </c>
      <c r="U30" s="60">
        <f>2.7/1000*100</f>
        <v>0.27</v>
      </c>
      <c r="V30" s="61">
        <f>25.6/1000*100</f>
        <v>2.56</v>
      </c>
      <c r="W30" s="81" t="s">
        <v>309</v>
      </c>
      <c r="X30" s="7" t="s">
        <v>474</v>
      </c>
      <c r="Y30" s="46"/>
      <c r="Z30" s="27"/>
      <c r="AA30" s="37"/>
      <c r="AB30" s="74"/>
      <c r="AC30" s="37"/>
      <c r="AD30" s="37"/>
      <c r="AE30" s="27"/>
      <c r="AF30" s="37"/>
      <c r="AG30" s="37"/>
      <c r="AH30" s="38"/>
      <c r="AI30" s="28"/>
      <c r="AJ30" s="60"/>
      <c r="AK30" s="61"/>
      <c r="AL30" s="80"/>
      <c r="AM30" s="77"/>
      <c r="AN30" t="s">
        <v>474</v>
      </c>
      <c r="AO30" s="46"/>
      <c r="AP30" s="40"/>
    </row>
    <row r="31" spans="2:42" x14ac:dyDescent="0.25">
      <c r="B31" t="s">
        <v>44</v>
      </c>
      <c r="C31" s="45">
        <f t="shared" si="24"/>
        <v>87</v>
      </c>
      <c r="D31" s="44">
        <f t="shared" si="27"/>
        <v>18.194124000000002</v>
      </c>
      <c r="E31" s="28">
        <f t="shared" si="17"/>
        <v>2.6399999999999997</v>
      </c>
      <c r="F31" s="60">
        <f t="shared" si="18"/>
        <v>1.1950000000000001</v>
      </c>
      <c r="G31" s="61">
        <f t="shared" si="19"/>
        <v>1.35</v>
      </c>
      <c r="H31" s="4"/>
      <c r="I31" s="4"/>
      <c r="J31" s="46">
        <f>MATCH($B31,ruminants!$A$3:$A$120,0)</f>
        <v>111</v>
      </c>
      <c r="K31" s="27">
        <f>INDEX(ruminants!$D$3:$AH$120,$J31,K$4)</f>
        <v>87</v>
      </c>
      <c r="L31" s="54">
        <f t="shared" si="10"/>
        <v>18.194124000000002</v>
      </c>
      <c r="M31" s="28">
        <f>INDEX(ruminants!$D$3:$AH$120,$J31,M$4)</f>
        <v>11</v>
      </c>
      <c r="N31" s="28">
        <f>INDEX(ruminants!$D$3:$AH$120,$J31,N$4)</f>
        <v>12.7</v>
      </c>
      <c r="O31" s="45">
        <f>INDEX(ruminants!$D$3:$AH$120,$J31,O$4)</f>
        <v>160</v>
      </c>
      <c r="P31" s="29">
        <f>INDEX(ruminants!$D$3:$AH$120,$J31,P$4)</f>
        <v>45</v>
      </c>
      <c r="Q31" s="29">
        <f>INDEX(ruminants!$D$3:$AH$120,$J31,Q$4)</f>
        <v>115</v>
      </c>
      <c r="R31" s="29">
        <f>INDEX(ruminants!$D$3:$AH$120,$J31,R$4)</f>
        <v>620</v>
      </c>
      <c r="S31" s="32">
        <f>INDEX(ruminants!$D$3:$AH$120,$J31,S$4)</f>
        <v>60</v>
      </c>
      <c r="T31" s="28">
        <f t="shared" si="7"/>
        <v>2.56</v>
      </c>
      <c r="U31" s="60">
        <f>INDEX(ruminants!$D$3:$AH$120,$J31,U$4)/1000*100</f>
        <v>1.2</v>
      </c>
      <c r="V31" s="61">
        <f>INDEX(ruminants!$D$3:$AH$120,$J31,V$4)/1000*100</f>
        <v>1.2</v>
      </c>
      <c r="W31" s="80"/>
      <c r="Y31" s="46">
        <f>MATCH($B31,pigs!$A$3:$A$60,0)</f>
        <v>55</v>
      </c>
      <c r="Z31" s="27">
        <f>INDEX(pigs!$D$3:$AO$60,$Y31,Z$4)</f>
        <v>87</v>
      </c>
      <c r="AA31" s="54">
        <f t="shared" ref="AA31:AA38" si="28">( 5.7*AE31+9.4*AF31+4.1*(AG31) ) * 0.004184</f>
        <v>18.184500799999999</v>
      </c>
      <c r="AB31" s="71">
        <v>10.8</v>
      </c>
      <c r="AC31" s="37">
        <f>INDEX(pigs!$D$3:$AO$60,$Y31,AC$4)</f>
        <v>7.2</v>
      </c>
      <c r="AD31" s="37">
        <f>INDEX(pigs!$D$3:$AO$60,$Y31,AD$4)</f>
        <v>7.8</v>
      </c>
      <c r="AE31" s="27">
        <f>INDEX(pigs!$D$3:$AO$60,$Y31,AE$4)</f>
        <v>170</v>
      </c>
      <c r="AF31" s="37">
        <f>INDEX(pigs!$D$3:$AO$60,$Y31,AF$4)</f>
        <v>40</v>
      </c>
      <c r="AG31" s="31">
        <f t="shared" ref="AG31:AG37" si="29">1000-SUM(AE31:AF31,AH31)</f>
        <v>732</v>
      </c>
      <c r="AH31" s="38">
        <f>INDEX(pigs!$D$3:$AO$60,$Y31,AH$4)</f>
        <v>58</v>
      </c>
      <c r="AI31" s="28">
        <f t="shared" si="13"/>
        <v>2.7199999999999998</v>
      </c>
      <c r="AJ31" s="60">
        <f>INDEX(pigs!$D$3:$AO$60,$Y31,AJ$4)/1000*100</f>
        <v>1.1900000000000002</v>
      </c>
      <c r="AK31" s="61">
        <f>INDEX(pigs!$D$3:$AO$60,$Y31,AK$4)/1000*100</f>
        <v>1.5</v>
      </c>
      <c r="AL31" s="80"/>
      <c r="AM31" s="77" t="s">
        <v>580</v>
      </c>
      <c r="AN31" t="s">
        <v>474</v>
      </c>
      <c r="AO31" s="46">
        <f>MATCH($B31,poultry!$A$3:$A$41,0)</f>
        <v>38</v>
      </c>
      <c r="AP31" s="40">
        <f>INDEX(poultry!$D$3:$U$41,$AO31,AP$4)</f>
        <v>87</v>
      </c>
    </row>
    <row r="32" spans="2:42" x14ac:dyDescent="0.25">
      <c r="B32" t="s">
        <v>45</v>
      </c>
      <c r="C32" s="45">
        <f t="shared" si="24"/>
        <v>87.8</v>
      </c>
      <c r="D32" s="44">
        <f t="shared" si="27"/>
        <v>18.472360000000002</v>
      </c>
      <c r="E32" s="28">
        <f t="shared" si="17"/>
        <v>2.6160000000000001</v>
      </c>
      <c r="F32" s="60">
        <f t="shared" si="18"/>
        <v>0.81500000000000006</v>
      </c>
      <c r="G32" s="61">
        <f t="shared" si="19"/>
        <v>0.96</v>
      </c>
      <c r="H32" s="4"/>
      <c r="I32" s="4"/>
      <c r="J32" s="46"/>
      <c r="K32" s="45">
        <v>87.6</v>
      </c>
      <c r="L32" s="54">
        <f t="shared" si="10"/>
        <v>18.472360000000002</v>
      </c>
      <c r="M32" s="28">
        <v>13.3</v>
      </c>
      <c r="N32" s="28">
        <f>L32*0.846</f>
        <v>15.627616560000002</v>
      </c>
      <c r="O32" s="45">
        <v>151</v>
      </c>
      <c r="P32" s="29">
        <v>27</v>
      </c>
      <c r="Q32" s="29">
        <v>11</v>
      </c>
      <c r="R32" s="31">
        <f>1000-SUM(O32:Q32,S32)</f>
        <v>794</v>
      </c>
      <c r="S32" s="35">
        <v>17</v>
      </c>
      <c r="T32" s="28">
        <f t="shared" si="7"/>
        <v>2.4159999999999999</v>
      </c>
      <c r="U32" s="60">
        <f>4.4/1000*100</f>
        <v>0.44</v>
      </c>
      <c r="V32" s="61">
        <f>6.2/1000*100</f>
        <v>0.62</v>
      </c>
      <c r="W32" s="81" t="s">
        <v>489</v>
      </c>
      <c r="X32" s="7" t="s">
        <v>474</v>
      </c>
      <c r="Y32" s="46">
        <f>MATCH($B32,pigs!$A$3:$A$60,0)</f>
        <v>54</v>
      </c>
      <c r="Z32" s="27">
        <f>INDEX(pigs!$D$3:$AO$60,$Y32,Z$4)</f>
        <v>88</v>
      </c>
      <c r="AA32" s="54">
        <f t="shared" si="28"/>
        <v>18.379056800000001</v>
      </c>
      <c r="AB32" s="71">
        <v>17.5</v>
      </c>
      <c r="AC32" s="37">
        <f>INDEX(pigs!$D$3:$AO$60,$Y32,AC$4)</f>
        <v>8.6999999999999993</v>
      </c>
      <c r="AD32" s="37">
        <f>INDEX(pigs!$D$3:$AO$60,$Y32,AD$4)</f>
        <v>9.1999999999999993</v>
      </c>
      <c r="AE32" s="27">
        <f>INDEX(pigs!$D$3:$AO$60,$Y32,AE$4)</f>
        <v>176</v>
      </c>
      <c r="AF32" s="37">
        <f>INDEX(pigs!$D$3:$AO$60,$Y32,AF$4)</f>
        <v>40</v>
      </c>
      <c r="AG32" s="31">
        <f t="shared" si="29"/>
        <v>735</v>
      </c>
      <c r="AH32" s="38">
        <f>INDEX(pigs!$D$3:$AO$60,$Y32,AH$4)</f>
        <v>49</v>
      </c>
      <c r="AI32" s="28">
        <f t="shared" si="13"/>
        <v>2.8160000000000003</v>
      </c>
      <c r="AJ32" s="60">
        <f>INDEX(pigs!$D$3:$AO$60,$Y32,AJ$4)/1000*100</f>
        <v>1.1900000000000002</v>
      </c>
      <c r="AK32" s="61">
        <f>INDEX(pigs!$D$3:$AO$60,$Y32,AK$4)/1000*100</f>
        <v>1.3</v>
      </c>
      <c r="AL32" s="80"/>
      <c r="AM32" s="77" t="s">
        <v>489</v>
      </c>
      <c r="AN32" t="s">
        <v>474</v>
      </c>
      <c r="AO32" s="46">
        <f>MATCH($B32,poultry!$A$3:$A$41,0)</f>
        <v>36</v>
      </c>
      <c r="AP32" s="40">
        <f>INDEX(poultry!$D$3:$U$41,$AO32,AP$4)</f>
        <v>87</v>
      </c>
    </row>
    <row r="33" spans="2:42" x14ac:dyDescent="0.25">
      <c r="B33" t="s">
        <v>593</v>
      </c>
      <c r="C33" s="45">
        <f t="shared" ref="C33:C34" si="30">AVERAGE(Z33,K33)</f>
        <v>87.6</v>
      </c>
      <c r="D33" s="44">
        <f t="shared" ref="D33:D34" si="31">L33</f>
        <v>16.941015999999998</v>
      </c>
      <c r="E33" s="28">
        <f t="shared" ref="E33:E34" si="32">AVERAGE(T33,AI33)</f>
        <v>0.48</v>
      </c>
      <c r="F33" s="60">
        <f>AVERAGE(U33,AJ33)</f>
        <v>0.44</v>
      </c>
      <c r="G33" s="61">
        <f t="shared" ref="G33:G34" si="33">AVERAGE(V33,AK33)</f>
        <v>0.6</v>
      </c>
      <c r="H33" s="4"/>
      <c r="I33" s="4"/>
      <c r="J33" s="46">
        <f>MATCH($B33,ruminants!$A$3:$A$120,0)</f>
        <v>29</v>
      </c>
      <c r="K33" s="45">
        <v>87.6</v>
      </c>
      <c r="L33" s="54">
        <f t="shared" si="10"/>
        <v>16.941015999999998</v>
      </c>
      <c r="M33" s="28">
        <f>INDEX(ruminants!$D$3:$AH$120,$J33,M$4)</f>
        <v>5.2</v>
      </c>
      <c r="N33" s="28">
        <f>INDEX(ruminants!$D$3:$AH$120,$J33,N$4)</f>
        <v>6.2</v>
      </c>
      <c r="O33" s="45">
        <f>INDEX(ruminants!$D$3:$AH$120,$J33,O$4)</f>
        <v>30</v>
      </c>
      <c r="P33" s="29">
        <f>INDEX(ruminants!$D$3:$AH$120,$J33,P$4)</f>
        <v>20</v>
      </c>
      <c r="Q33" s="29">
        <f>INDEX(ruminants!$D$3:$AH$120,$J33,Q$4)</f>
        <v>340</v>
      </c>
      <c r="R33" s="29">
        <f>INDEX(ruminants!$D$3:$AH$120,$J33,R$4)</f>
        <v>560</v>
      </c>
      <c r="S33" s="32">
        <f>INDEX(ruminants!$D$3:$AH$120,$J33,S$4)</f>
        <v>50</v>
      </c>
      <c r="T33" s="28">
        <f t="shared" ref="T33:T34" si="34">O33*T$3/1000*100</f>
        <v>0.48</v>
      </c>
      <c r="U33" s="60">
        <f>INDEX(ruminants!$D$3:$AH$120,$J33,U$4)/1000*100</f>
        <v>0.44</v>
      </c>
      <c r="V33" s="61">
        <f>INDEX(ruminants!$D$3:$AH$120,$J33,V$4)/1000*100</f>
        <v>0.6</v>
      </c>
      <c r="W33" s="81"/>
      <c r="X33" s="7"/>
      <c r="Y33" s="46"/>
      <c r="Z33" s="27"/>
      <c r="AA33" s="54"/>
      <c r="AB33" s="71"/>
      <c r="AC33" s="37"/>
      <c r="AD33" s="37"/>
      <c r="AE33" s="27"/>
      <c r="AF33" s="37"/>
      <c r="AG33" s="31"/>
      <c r="AH33" s="38"/>
      <c r="AI33" s="28"/>
      <c r="AJ33" s="60"/>
      <c r="AK33" s="61"/>
      <c r="AL33" s="80"/>
      <c r="AM33" s="77"/>
      <c r="AO33" s="46"/>
      <c r="AP33" s="40"/>
    </row>
    <row r="34" spans="2:42" x14ac:dyDescent="0.25">
      <c r="B34" t="s">
        <v>594</v>
      </c>
      <c r="C34" s="45">
        <f t="shared" si="30"/>
        <v>87.6</v>
      </c>
      <c r="D34" s="44">
        <f t="shared" si="31"/>
        <v>17.3422616</v>
      </c>
      <c r="E34" s="28">
        <f t="shared" si="32"/>
        <v>1.008</v>
      </c>
      <c r="F34" s="60">
        <f t="shared" ref="F34" si="35">AVERAGE(U34,AJ34)</f>
        <v>0.77</v>
      </c>
      <c r="G34" s="61">
        <f t="shared" si="33"/>
        <v>0</v>
      </c>
      <c r="H34" s="4"/>
      <c r="I34" s="4"/>
      <c r="J34" s="46">
        <f>MATCH($B34,ruminants!$A$3:$A$120,0)</f>
        <v>27</v>
      </c>
      <c r="K34" s="45">
        <v>87.6</v>
      </c>
      <c r="L34" s="54">
        <f t="shared" si="10"/>
        <v>17.3422616</v>
      </c>
      <c r="M34" s="28">
        <f>INDEX(ruminants!$D$3:$AH$120,$J34,M$4)</f>
        <v>7.2</v>
      </c>
      <c r="N34" s="28">
        <f>INDEX(ruminants!$D$3:$AH$120,$J34,N$4)</f>
        <v>8.4</v>
      </c>
      <c r="O34" s="45">
        <f>INDEX(ruminants!$D$3:$AH$120,$J34,O$4)</f>
        <v>63</v>
      </c>
      <c r="P34" s="29">
        <f>INDEX(ruminants!$D$3:$AH$120,$J34,P$4)</f>
        <v>32</v>
      </c>
      <c r="Q34" s="29">
        <f>INDEX(ruminants!$D$3:$AH$120,$J34,Q$4)</f>
        <v>290</v>
      </c>
      <c r="R34" s="29">
        <f>INDEX(ruminants!$D$3:$AH$120,$J34,R$4)</f>
        <v>560</v>
      </c>
      <c r="S34" s="32">
        <f>INDEX(ruminants!$D$3:$AH$120,$J34,S$4)</f>
        <v>55</v>
      </c>
      <c r="T34" s="28">
        <f t="shared" si="34"/>
        <v>1.008</v>
      </c>
      <c r="U34" s="60">
        <f>INDEX(ruminants!$D$3:$AH$120,$J34,U$4)/1000*100</f>
        <v>0.77</v>
      </c>
      <c r="V34" s="61">
        <f>INDEX(ruminants!$D$3:$AH$120,$J34,V$4)/1000*100</f>
        <v>0</v>
      </c>
      <c r="W34" s="81"/>
      <c r="X34" s="7"/>
      <c r="Y34" s="46"/>
      <c r="Z34" s="27"/>
      <c r="AA34" s="54"/>
      <c r="AB34" s="71"/>
      <c r="AC34" s="37"/>
      <c r="AD34" s="37"/>
      <c r="AE34" s="27"/>
      <c r="AF34" s="37"/>
      <c r="AG34" s="31"/>
      <c r="AH34" s="38"/>
      <c r="AI34" s="28"/>
      <c r="AJ34" s="60"/>
      <c r="AK34" s="61"/>
      <c r="AL34" s="80"/>
      <c r="AM34" s="77"/>
      <c r="AO34" s="46"/>
      <c r="AP34" s="40"/>
    </row>
    <row r="35" spans="2:42" x14ac:dyDescent="0.25">
      <c r="B35" t="s">
        <v>46</v>
      </c>
      <c r="C35" s="45">
        <f t="shared" si="24"/>
        <v>90</v>
      </c>
      <c r="D35" s="44">
        <f t="shared" si="27"/>
        <v>19.659779199999999</v>
      </c>
      <c r="E35" s="28">
        <f t="shared" si="17"/>
        <v>5.2799999999999994</v>
      </c>
      <c r="F35" s="60">
        <f t="shared" si="18"/>
        <v>0.88</v>
      </c>
      <c r="G35" s="61">
        <f t="shared" si="19"/>
        <v>1.165</v>
      </c>
      <c r="H35" s="4"/>
      <c r="I35" s="4"/>
      <c r="J35" s="46">
        <f>MATCH($B35,ruminants!$A$3:$A$120,0)</f>
        <v>109</v>
      </c>
      <c r="K35" s="27">
        <f>INDEX(ruminants!$D$3:$AH$120,$J35,K$4)</f>
        <v>90</v>
      </c>
      <c r="L35" s="54">
        <f t="shared" si="10"/>
        <v>19.659779199999999</v>
      </c>
      <c r="M35" s="28">
        <f>INDEX(ruminants!$D$3:$AH$120,$J35,M$4)</f>
        <v>13.3</v>
      </c>
      <c r="N35" s="28">
        <f>INDEX(ruminants!$D$3:$AH$120,$J35,N$4)</f>
        <v>15.7</v>
      </c>
      <c r="O35" s="45">
        <f>INDEX(ruminants!$D$3:$AH$120,$J35,O$4)</f>
        <v>320</v>
      </c>
      <c r="P35" s="29">
        <f>INDEX(ruminants!$D$3:$AH$120,$J35,P$4)</f>
        <v>45</v>
      </c>
      <c r="Q35" s="29">
        <f>INDEX(ruminants!$D$3:$AH$120,$J35,Q$4)</f>
        <v>106</v>
      </c>
      <c r="R35" s="29">
        <f>INDEX(ruminants!$D$3:$AH$120,$J35,R$4)</f>
        <v>492</v>
      </c>
      <c r="S35" s="32">
        <f>INDEX(ruminants!$D$3:$AH$120,$J35,S$4)</f>
        <v>37</v>
      </c>
      <c r="T35" s="28">
        <f t="shared" si="7"/>
        <v>5.12</v>
      </c>
      <c r="U35" s="60">
        <f>INDEX(ruminants!$D$3:$AH$120,$J35,U$4)/1000*100</f>
        <v>1.03</v>
      </c>
      <c r="V35" s="61">
        <f>INDEX(ruminants!$D$3:$AH$120,$J35,V$4)/1000*100</f>
        <v>1.3699999999999999</v>
      </c>
      <c r="W35" s="80"/>
      <c r="Y35" s="46">
        <f>MATCH($B35,pigs!$A$3:$A$60,0)</f>
        <v>3</v>
      </c>
      <c r="Z35" s="27">
        <f>INDEX(pigs!$D$3:$AO$60,$Y35,Z$4)</f>
        <v>90</v>
      </c>
      <c r="AA35" s="54">
        <f t="shared" si="28"/>
        <v>20.139265599999998</v>
      </c>
      <c r="AB35" s="71">
        <v>13.9</v>
      </c>
      <c r="AC35" s="37">
        <f>INDEX(pigs!$D$3:$AO$60,$Y35,AC$4)</f>
        <v>8.1</v>
      </c>
      <c r="AD35" s="37">
        <f>INDEX(pigs!$D$3:$AO$60,$Y35,AD$4)</f>
        <v>8.6999999999999993</v>
      </c>
      <c r="AE35" s="27">
        <f>INDEX(pigs!$D$3:$AO$60,$Y35,AE$4)</f>
        <v>340</v>
      </c>
      <c r="AF35" s="37">
        <f>INDEX(pigs!$D$3:$AO$60,$Y35,AF$4)</f>
        <v>66</v>
      </c>
      <c r="AG35" s="31">
        <f t="shared" si="29"/>
        <v>550</v>
      </c>
      <c r="AH35" s="38">
        <f>INDEX(pigs!$D$3:$AO$60,$Y35,AH$4)</f>
        <v>44</v>
      </c>
      <c r="AI35" s="28">
        <f t="shared" si="13"/>
        <v>5.4399999999999995</v>
      </c>
      <c r="AJ35" s="60">
        <f>INDEX(pigs!$D$3:$AO$60,$Y35,AJ$4)/1000*100</f>
        <v>0.73</v>
      </c>
      <c r="AK35" s="61">
        <f>INDEX(pigs!$D$3:$AO$60,$Y35,AK$4)/1000*100</f>
        <v>0.96</v>
      </c>
      <c r="AL35" s="80"/>
      <c r="AM35" s="77" t="s">
        <v>581</v>
      </c>
      <c r="AN35" t="s">
        <v>474</v>
      </c>
      <c r="AO35" s="46"/>
      <c r="AP35" s="40"/>
    </row>
    <row r="36" spans="2:42" x14ac:dyDescent="0.25">
      <c r="B36" t="s">
        <v>47</v>
      </c>
      <c r="C36" s="45">
        <f t="shared" si="24"/>
        <v>11</v>
      </c>
      <c r="D36" s="44">
        <f>AA36</f>
        <v>18.8602168</v>
      </c>
      <c r="E36" s="28">
        <f t="shared" si="17"/>
        <v>4.4800000000000004</v>
      </c>
      <c r="F36" s="60">
        <f t="shared" si="18"/>
        <v>1.0900000000000001</v>
      </c>
      <c r="G36" s="61">
        <f t="shared" si="19"/>
        <v>0</v>
      </c>
      <c r="H36" s="4"/>
      <c r="I36" s="4"/>
      <c r="J36" s="46"/>
      <c r="K36" s="27"/>
      <c r="L36" s="37"/>
      <c r="M36" s="28"/>
      <c r="N36" s="28"/>
      <c r="O36" s="45"/>
      <c r="P36" s="29"/>
      <c r="Q36" s="29"/>
      <c r="R36" s="29"/>
      <c r="S36" s="32"/>
      <c r="T36" s="28"/>
      <c r="U36" s="29"/>
      <c r="V36" s="32"/>
      <c r="W36" s="80"/>
      <c r="Y36" s="46">
        <f>MATCH($B36,pigs!$A$3:$A$60,0)</f>
        <v>1</v>
      </c>
      <c r="Z36" s="27">
        <f>INDEX(pigs!$D$3:$AO$60,$Y36,Z$4)</f>
        <v>11</v>
      </c>
      <c r="AA36" s="54">
        <f t="shared" si="28"/>
        <v>18.8602168</v>
      </c>
      <c r="AB36" s="78">
        <f>(AB35/AA35)*AA36</f>
        <v>13.017208210412599</v>
      </c>
      <c r="AC36" s="37">
        <f>INDEX(pigs!$D$3:$AO$60,$Y36,AC$4)</f>
        <v>8.1999999999999993</v>
      </c>
      <c r="AD36" s="37">
        <f>INDEX(pigs!$D$3:$AO$60,$Y36,AD$4)</f>
        <v>8.9</v>
      </c>
      <c r="AE36" s="27">
        <f>INDEX(pigs!$D$3:$AO$60,$Y36,AE$4)</f>
        <v>280</v>
      </c>
      <c r="AF36" s="37">
        <f>INDEX(pigs!$D$3:$AO$60,$Y36,AF$4)</f>
        <v>45</v>
      </c>
      <c r="AG36" s="31">
        <f t="shared" si="29"/>
        <v>607</v>
      </c>
      <c r="AH36" s="38">
        <f>INDEX(pigs!$D$3:$AO$60,$Y36,AH$4)</f>
        <v>68</v>
      </c>
      <c r="AI36" s="28">
        <f t="shared" si="13"/>
        <v>4.4800000000000004</v>
      </c>
      <c r="AJ36" s="60">
        <f>INDEX(pigs!$D$3:$AO$60,$Y36,AJ$4)/1000*100</f>
        <v>1.0900000000000001</v>
      </c>
      <c r="AK36" s="61">
        <f>INDEX(pigs!$D$3:$AO$60,$Y36,AK$4)/1000*100</f>
        <v>0</v>
      </c>
      <c r="AL36" s="80"/>
      <c r="AM36" s="77"/>
      <c r="AN36" t="s">
        <v>474</v>
      </c>
      <c r="AO36" s="46"/>
      <c r="AP36" s="40"/>
    </row>
    <row r="37" spans="2:42" x14ac:dyDescent="0.25">
      <c r="B37" t="s">
        <v>303</v>
      </c>
      <c r="C37" s="45">
        <f t="shared" si="24"/>
        <v>90</v>
      </c>
      <c r="D37" s="44">
        <f>L37</f>
        <v>19.848896</v>
      </c>
      <c r="E37" s="28">
        <f t="shared" si="17"/>
        <v>3.984</v>
      </c>
      <c r="F37" s="60">
        <f t="shared" si="18"/>
        <v>0.56000000000000005</v>
      </c>
      <c r="G37" s="61">
        <f t="shared" si="19"/>
        <v>0.19500000000000001</v>
      </c>
      <c r="H37" s="4"/>
      <c r="I37" s="4"/>
      <c r="J37" s="46">
        <f>MATCH($B37,ruminants!$A$3:$A$120,0)</f>
        <v>38</v>
      </c>
      <c r="K37" s="27">
        <f>INDEX(ruminants!$D$3:$AH$120,$J37,K$4)</f>
        <v>90</v>
      </c>
      <c r="L37" s="54">
        <f t="shared" si="10"/>
        <v>19.848896</v>
      </c>
      <c r="M37" s="28">
        <f>INDEX(ruminants!$D$3:$AH$120,$J37,M$4)</f>
        <v>11.6</v>
      </c>
      <c r="N37" s="28">
        <f>INDEX(ruminants!$D$3:$AH$120,$J37,N$4)</f>
        <v>13.6</v>
      </c>
      <c r="O37" s="45">
        <f>INDEX(ruminants!$D$3:$AH$120,$J37,O$4)</f>
        <v>240</v>
      </c>
      <c r="P37" s="29">
        <f>INDEX(ruminants!$D$3:$AH$120,$J37,P$4)</f>
        <v>80</v>
      </c>
      <c r="Q37" s="29">
        <f>INDEX(ruminants!$D$3:$AH$120,$J37,Q$4)</f>
        <v>170</v>
      </c>
      <c r="R37" s="29">
        <f>INDEX(ruminants!$D$3:$AH$120,$J37,R$4)</f>
        <v>470</v>
      </c>
      <c r="S37" s="32">
        <f>INDEX(ruminants!$D$3:$AH$120,$J37,S$4)</f>
        <v>40</v>
      </c>
      <c r="T37" s="28">
        <f t="shared" si="7"/>
        <v>3.84</v>
      </c>
      <c r="U37" s="60">
        <f>INDEX(ruminants!$D$3:$AH$120,$J37,U$4)/1000*100</f>
        <v>0.54999999999999993</v>
      </c>
      <c r="V37" s="61">
        <f>INDEX(ruminants!$D$3:$AH$120,$J37,V$4)/1000*100</f>
        <v>0.1</v>
      </c>
      <c r="W37" s="80"/>
      <c r="Y37" s="46"/>
      <c r="Z37" s="27">
        <v>90</v>
      </c>
      <c r="AA37" s="54">
        <f t="shared" si="28"/>
        <v>19.578191199999999</v>
      </c>
      <c r="AB37" s="71">
        <v>10.6</v>
      </c>
      <c r="AC37" s="52">
        <v>6.6</v>
      </c>
      <c r="AD37" s="55">
        <f>AD35/AC35*AC37</f>
        <v>7.0888888888888877</v>
      </c>
      <c r="AE37" s="57">
        <v>258</v>
      </c>
      <c r="AF37" s="52">
        <v>67</v>
      </c>
      <c r="AG37" s="31">
        <f t="shared" si="29"/>
        <v>629</v>
      </c>
      <c r="AH37" s="35">
        <v>46</v>
      </c>
      <c r="AI37" s="28">
        <f t="shared" si="13"/>
        <v>4.1280000000000001</v>
      </c>
      <c r="AJ37" s="60">
        <f>5.7/1000*100</f>
        <v>0.57000000000000006</v>
      </c>
      <c r="AK37" s="61">
        <f>2.9/1000*100</f>
        <v>0.28999999999999998</v>
      </c>
      <c r="AL37" s="81" t="s">
        <v>583</v>
      </c>
      <c r="AM37" s="77" t="s">
        <v>582</v>
      </c>
      <c r="AN37" t="s">
        <v>474</v>
      </c>
      <c r="AO37" s="46"/>
      <c r="AP37" s="40"/>
    </row>
    <row r="38" spans="2:42" x14ac:dyDescent="0.25">
      <c r="B38" t="s">
        <v>374</v>
      </c>
      <c r="C38" s="45">
        <f>AVERAGE(Z38,K38,AP38)</f>
        <v>88.5</v>
      </c>
      <c r="D38" s="44">
        <f>AA38</f>
        <v>22.900705599999998</v>
      </c>
      <c r="E38" s="28">
        <f t="shared" si="17"/>
        <v>10.832000000000001</v>
      </c>
      <c r="F38" s="60">
        <f t="shared" si="18"/>
        <v>0.64</v>
      </c>
      <c r="G38" s="61">
        <f t="shared" si="19"/>
        <v>0.54999999999999993</v>
      </c>
      <c r="H38" s="4"/>
      <c r="I38" s="4"/>
      <c r="J38" s="46"/>
      <c r="K38" s="27"/>
      <c r="L38" s="37"/>
      <c r="M38" s="28"/>
      <c r="N38" s="28"/>
      <c r="O38" s="45"/>
      <c r="P38" s="29"/>
      <c r="Q38" s="29"/>
      <c r="R38" s="29"/>
      <c r="S38" s="32"/>
      <c r="T38" s="28"/>
      <c r="U38" s="29"/>
      <c r="V38" s="32"/>
      <c r="W38" s="80"/>
      <c r="Y38" s="46">
        <f>MATCH($B38,pigs!$A$3:$A$60,0)</f>
        <v>22</v>
      </c>
      <c r="Z38" s="27">
        <f>INDEX(pigs!$D$3:$AO$60,$Y38,Z$4)</f>
        <v>90</v>
      </c>
      <c r="AA38" s="54">
        <f t="shared" si="28"/>
        <v>22.900705599999998</v>
      </c>
      <c r="AB38" s="71">
        <v>21.4</v>
      </c>
      <c r="AC38" s="37">
        <f>INDEX(pigs!$D$3:$AO$60,$Y38,AC$4)</f>
        <v>12.9</v>
      </c>
      <c r="AD38" s="37">
        <f>INDEX(pigs!$D$3:$AO$60,$Y38,AD$4)</f>
        <v>13.3</v>
      </c>
      <c r="AE38" s="27">
        <f>INDEX(pigs!$D$3:$AO$60,$Y38,AE$4)</f>
        <v>677</v>
      </c>
      <c r="AF38" s="37">
        <f>INDEX(pigs!$D$3:$AO$60,$Y38,AF$4)</f>
        <v>71</v>
      </c>
      <c r="AG38" s="31">
        <f t="shared" ref="AG38" si="36">1000-SUM(AE38:AF38,AH38)</f>
        <v>231</v>
      </c>
      <c r="AH38" s="38">
        <f>INDEX(pigs!$D$3:$AO$60,$Y38,AH$4)</f>
        <v>21</v>
      </c>
      <c r="AI38" s="28">
        <f t="shared" si="13"/>
        <v>10.832000000000001</v>
      </c>
      <c r="AJ38" s="60">
        <f>INDEX(pigs!$D$3:$AO$60,$Y38,AJ$4)/1000*100</f>
        <v>0.64</v>
      </c>
      <c r="AK38" s="61">
        <f>INDEX(pigs!$D$3:$AO$60,$Y38,AK$4)/1000*100</f>
        <v>0.54999999999999993</v>
      </c>
      <c r="AL38" s="81"/>
      <c r="AM38" s="77" t="s">
        <v>584</v>
      </c>
      <c r="AN38" t="s">
        <v>474</v>
      </c>
      <c r="AO38" s="46">
        <f>MATCH($B38,poultry!$A$3:$A$41,0)</f>
        <v>25</v>
      </c>
      <c r="AP38" s="40">
        <f>INDEX(poultry!$D$3:$U$41,$AO38,AP$4)</f>
        <v>87</v>
      </c>
    </row>
    <row r="39" spans="2:42" x14ac:dyDescent="0.25">
      <c r="B39" t="s">
        <v>48</v>
      </c>
      <c r="C39" s="45">
        <f t="shared" ref="C39:C45" si="37">AVERAGE(Z39,K39)</f>
        <v>75.5</v>
      </c>
      <c r="D39" s="44">
        <f>L39</f>
        <v>16.1615368</v>
      </c>
      <c r="E39" s="28">
        <f t="shared" si="17"/>
        <v>2.2080000000000002</v>
      </c>
      <c r="F39" s="60">
        <f t="shared" si="18"/>
        <v>0.03</v>
      </c>
      <c r="G39" s="61">
        <f t="shared" si="19"/>
        <v>3.6500000000000004</v>
      </c>
      <c r="H39" s="4"/>
      <c r="I39" s="4"/>
      <c r="J39" s="46">
        <f>MATCH($B39,ruminants!$A$3:$A$120,0)</f>
        <v>88</v>
      </c>
      <c r="K39" s="27">
        <f>INDEX(ruminants!$D$3:$AH$120,$J39,K$4)</f>
        <v>75</v>
      </c>
      <c r="L39" s="54">
        <f t="shared" si="10"/>
        <v>16.1615368</v>
      </c>
      <c r="M39" s="28">
        <f>INDEX(ruminants!$D$3:$AH$120,$J39,M$4)</f>
        <v>12.4</v>
      </c>
      <c r="N39" s="28">
        <f>INDEX(ruminants!$D$3:$AH$120,$J39,N$4)</f>
        <v>14.1</v>
      </c>
      <c r="O39" s="45">
        <f>INDEX(ruminants!$D$3:$AH$120,$J39,O$4)</f>
        <v>131</v>
      </c>
      <c r="P39" s="29">
        <f>INDEX(ruminants!$D$3:$AH$120,$J39,P$4)</f>
        <v>0</v>
      </c>
      <c r="Q39" s="29">
        <f>INDEX(ruminants!$D$3:$AH$120,$J39,Q$4)</f>
        <v>0</v>
      </c>
      <c r="R39" s="29">
        <f>INDEX(ruminants!$D$3:$AH$120,$J39,R$4)</f>
        <v>760</v>
      </c>
      <c r="S39" s="32">
        <f>INDEX(ruminants!$D$3:$AH$120,$J39,S$4)</f>
        <v>109</v>
      </c>
      <c r="T39" s="28">
        <f t="shared" si="7"/>
        <v>2.0960000000000001</v>
      </c>
      <c r="U39" s="60">
        <f>INDEX(ruminants!$D$3:$AH$120,$J39,U$4)/1000*100</f>
        <v>0.02</v>
      </c>
      <c r="V39" s="61">
        <f>INDEX(ruminants!$D$3:$AH$120,$J39,V$4)/1000*100</f>
        <v>4.5</v>
      </c>
      <c r="W39" s="80"/>
      <c r="Y39" s="46">
        <f>MATCH($B39,pigs!$A$3:$A$60,0)</f>
        <v>23</v>
      </c>
      <c r="Z39" s="27">
        <f>INDEX(pigs!$D$3:$AO$60,$Y39,Z$4)</f>
        <v>76</v>
      </c>
      <c r="AA39" s="54">
        <f t="shared" ref="AA39:AA45" si="38">( 5.7*AE39+9.4*AF39+4.1*(AG39) ) * 0.004184</f>
        <v>15.9565208</v>
      </c>
      <c r="AB39" s="71">
        <v>13.1</v>
      </c>
      <c r="AC39" s="37">
        <f>INDEX(pigs!$D$3:$AO$60,$Y39,AC$4)</f>
        <v>8.6999999999999993</v>
      </c>
      <c r="AD39" s="37">
        <f>INDEX(pigs!$D$3:$AO$60,$Y39,AD$4)</f>
        <v>9</v>
      </c>
      <c r="AE39" s="27">
        <f>INDEX(pigs!$D$3:$AO$60,$Y39,AE$4)</f>
        <v>145</v>
      </c>
      <c r="AF39" s="37">
        <f>INDEX(pigs!$D$3:$AO$60,$Y39,AF$4)</f>
        <v>2</v>
      </c>
      <c r="AG39" s="31">
        <f t="shared" ref="AG39:AG45" si="39">1000-SUM(AE39:AF39,AH39)</f>
        <v>724</v>
      </c>
      <c r="AH39" s="38">
        <f>INDEX(pigs!$D$3:$AO$60,$Y39,AH$4)</f>
        <v>129</v>
      </c>
      <c r="AI39" s="28">
        <f t="shared" si="13"/>
        <v>2.3199999999999998</v>
      </c>
      <c r="AJ39" s="60">
        <f>INDEX(pigs!$D$3:$AO$60,$Y39,AJ$4)/1000*100</f>
        <v>0.04</v>
      </c>
      <c r="AK39" s="61">
        <f>INDEX(pigs!$D$3:$AO$60,$Y39,AK$4)/1000*100</f>
        <v>2.8000000000000003</v>
      </c>
      <c r="AL39" s="80"/>
      <c r="AM39" s="77" t="s">
        <v>585</v>
      </c>
      <c r="AN39" t="s">
        <v>474</v>
      </c>
      <c r="AO39" s="46"/>
      <c r="AP39" s="40"/>
    </row>
    <row r="40" spans="2:42" x14ac:dyDescent="0.25">
      <c r="B40" t="s">
        <v>49</v>
      </c>
      <c r="C40" s="45">
        <f t="shared" si="37"/>
        <v>89.5</v>
      </c>
      <c r="D40" s="44">
        <f>L40</f>
        <v>17.334312000000001</v>
      </c>
      <c r="E40" s="28">
        <f t="shared" si="17"/>
        <v>1.448</v>
      </c>
      <c r="F40" s="60">
        <f t="shared" si="18"/>
        <v>0.1</v>
      </c>
      <c r="G40" s="61">
        <f t="shared" si="19"/>
        <v>0.48499999999999999</v>
      </c>
      <c r="H40" s="4"/>
      <c r="I40" s="4"/>
      <c r="J40" s="46">
        <f>MATCH($B40,ruminants!$A$3:$A$120,0)</f>
        <v>91</v>
      </c>
      <c r="K40" s="27">
        <f>INDEX(ruminants!$D$3:$AH$120,$J40,K$4)</f>
        <v>90</v>
      </c>
      <c r="L40" s="54">
        <f t="shared" si="10"/>
        <v>17.334312000000001</v>
      </c>
      <c r="M40" s="28">
        <f>INDEX(ruminants!$D$3:$AH$120,$J40,M$4)</f>
        <v>12.3</v>
      </c>
      <c r="N40" s="28">
        <f>INDEX(ruminants!$D$3:$AH$120,$J40,N$4)</f>
        <v>14.7</v>
      </c>
      <c r="O40" s="45">
        <f>INDEX(ruminants!$D$3:$AH$120,$J40,O$4)</f>
        <v>90</v>
      </c>
      <c r="P40" s="29">
        <f>INDEX(ruminants!$D$3:$AH$120,$J40,P$4)</f>
        <v>32</v>
      </c>
      <c r="Q40" s="29">
        <f>INDEX(ruminants!$D$3:$AH$120,$J40,Q$4)</f>
        <v>187</v>
      </c>
      <c r="R40" s="29">
        <f>INDEX(ruminants!$D$3:$AH$120,$J40,R$4)</f>
        <v>625</v>
      </c>
      <c r="S40" s="32">
        <f>INDEX(ruminants!$D$3:$AH$120,$J40,S$4)</f>
        <v>66</v>
      </c>
      <c r="T40" s="28">
        <f t="shared" si="7"/>
        <v>1.44</v>
      </c>
      <c r="U40" s="60">
        <f>INDEX(ruminants!$D$3:$AH$120,$J40,U$4)/1000*100</f>
        <v>0.1</v>
      </c>
      <c r="V40" s="61">
        <f>INDEX(ruminants!$D$3:$AH$120,$J40,V$4)/1000*100</f>
        <v>0.6</v>
      </c>
      <c r="W40" s="80"/>
      <c r="Y40" s="46">
        <f>MATCH($B40,pigs!$A$3:$A$60,0)</f>
        <v>4</v>
      </c>
      <c r="Z40" s="27">
        <f>INDEX(pigs!$D$3:$AO$60,$Y40,Z$4)</f>
        <v>89</v>
      </c>
      <c r="AA40" s="54">
        <f t="shared" si="38"/>
        <v>16.664453599999998</v>
      </c>
      <c r="AB40" s="71">
        <v>12.2</v>
      </c>
      <c r="AC40" s="37">
        <f>INDEX(pigs!$D$3:$AO$60,$Y40,AC$4)</f>
        <v>6.9</v>
      </c>
      <c r="AD40" s="37">
        <f>INDEX(pigs!$D$3:$AO$60,$Y40,AD$4)</f>
        <v>8</v>
      </c>
      <c r="AE40" s="27">
        <f>INDEX(pigs!$D$3:$AO$60,$Y40,AE$4)</f>
        <v>91</v>
      </c>
      <c r="AF40" s="37">
        <f>INDEX(pigs!$D$3:$AO$60,$Y40,AF$4)</f>
        <v>10</v>
      </c>
      <c r="AG40" s="31">
        <f t="shared" si="39"/>
        <v>822</v>
      </c>
      <c r="AH40" s="38">
        <f>INDEX(pigs!$D$3:$AO$60,$Y40,AH$4)</f>
        <v>77</v>
      </c>
      <c r="AI40" s="28">
        <f t="shared" si="13"/>
        <v>1.456</v>
      </c>
      <c r="AJ40" s="60">
        <f>INDEX(pigs!$D$3:$AO$60,$Y40,AJ$4)/1000*100</f>
        <v>0.1</v>
      </c>
      <c r="AK40" s="61">
        <f>INDEX(pigs!$D$3:$AO$60,$Y40,AK$4)/1000*100</f>
        <v>0.37</v>
      </c>
      <c r="AL40" s="80"/>
      <c r="AM40" s="77" t="s">
        <v>586</v>
      </c>
      <c r="AN40" t="s">
        <v>474</v>
      </c>
      <c r="AO40" s="46"/>
      <c r="AP40" s="40"/>
    </row>
    <row r="41" spans="2:42" x14ac:dyDescent="0.25">
      <c r="B41" t="s">
        <v>50</v>
      </c>
      <c r="C41" s="45">
        <f t="shared" si="37"/>
        <v>6.25</v>
      </c>
      <c r="D41" s="44">
        <f>L41</f>
        <v>16.464040000000001</v>
      </c>
      <c r="E41" s="28">
        <f t="shared" si="17"/>
        <v>1.8800000000000001</v>
      </c>
      <c r="F41" s="60">
        <f t="shared" si="18"/>
        <v>0.76</v>
      </c>
      <c r="G41" s="61">
        <f t="shared" si="19"/>
        <v>2.355</v>
      </c>
      <c r="H41" s="4"/>
      <c r="I41" s="4"/>
      <c r="J41" s="46">
        <f>MATCH($B41,ruminants!$A$3:$A$120,0)</f>
        <v>57</v>
      </c>
      <c r="K41" s="27">
        <f>INDEX(ruminants!$D$3:$AH$120,$J41,K$4)</f>
        <v>7</v>
      </c>
      <c r="L41" s="54">
        <f t="shared" si="10"/>
        <v>16.464040000000001</v>
      </c>
      <c r="M41" s="28">
        <f>INDEX(ruminants!$D$3:$AH$120,$J41,M$4)</f>
        <v>13.6</v>
      </c>
      <c r="N41" s="28">
        <f>INDEX(ruminants!$D$3:$AH$120,$J41,N$4)</f>
        <v>15.1</v>
      </c>
      <c r="O41" s="45">
        <f>INDEX(ruminants!$D$3:$AH$120,$J41,O$4)</f>
        <v>120</v>
      </c>
      <c r="P41" s="29">
        <f>INDEX(ruminants!$D$3:$AH$120,$J41,P$4)</f>
        <v>10</v>
      </c>
      <c r="Q41" s="29">
        <f>INDEX(ruminants!$D$3:$AH$120,$J41,Q$4)</f>
        <v>0</v>
      </c>
      <c r="R41" s="29">
        <f>INDEX(ruminants!$D$3:$AH$120,$J41,R$4)</f>
        <v>770</v>
      </c>
      <c r="S41" s="32">
        <f>INDEX(ruminants!$D$3:$AH$120,$J41,S$4)</f>
        <v>100</v>
      </c>
      <c r="T41" s="28">
        <f t="shared" si="7"/>
        <v>1.92</v>
      </c>
      <c r="U41" s="60">
        <f>INDEX(ruminants!$D$3:$AH$120,$J41,U$4)/1000*100</f>
        <v>0.79</v>
      </c>
      <c r="V41" s="61">
        <f>INDEX(ruminants!$D$3:$AH$120,$J41,V$4)/1000*100</f>
        <v>2.4</v>
      </c>
      <c r="W41" s="80"/>
      <c r="Y41" s="46">
        <f>MATCH($B41,pigs!$A$3:$A$60,0)</f>
        <v>50</v>
      </c>
      <c r="Z41" s="27">
        <f>INDEX(pigs!$D$3:$AO$60,$Y41,Z$4)</f>
        <v>5.5</v>
      </c>
      <c r="AA41" s="54">
        <f t="shared" si="38"/>
        <v>16.870306399999997</v>
      </c>
      <c r="AB41" s="78">
        <f>(AB42/AA42)*AA41</f>
        <v>15.205346051464064</v>
      </c>
      <c r="AC41" s="37">
        <f>INDEX(pigs!$D$3:$AO$60,$Y41,AC$4)</f>
        <v>12.4</v>
      </c>
      <c r="AD41" s="37">
        <f>INDEX(pigs!$D$3:$AO$60,$Y41,AD$4)</f>
        <v>12.2</v>
      </c>
      <c r="AE41" s="27">
        <f>INDEX(pigs!$D$3:$AO$60,$Y41,AE$4)</f>
        <v>115</v>
      </c>
      <c r="AF41" s="37">
        <f>INDEX(pigs!$D$3:$AO$60,$Y41,AF$4)</f>
        <v>19</v>
      </c>
      <c r="AG41" s="31">
        <f t="shared" si="39"/>
        <v>780</v>
      </c>
      <c r="AH41" s="38">
        <f>INDEX(pigs!$D$3:$AO$60,$Y41,AH$4)</f>
        <v>86</v>
      </c>
      <c r="AI41" s="28">
        <f t="shared" si="13"/>
        <v>1.8400000000000003</v>
      </c>
      <c r="AJ41" s="60">
        <f>INDEX(pigs!$D$3:$AO$60,$Y41,AJ$4)/1000*100</f>
        <v>0.73</v>
      </c>
      <c r="AK41" s="61">
        <f>INDEX(pigs!$D$3:$AO$60,$Y41,AK$4)/1000*100</f>
        <v>2.31</v>
      </c>
      <c r="AL41" s="80"/>
      <c r="AM41" s="77"/>
      <c r="AN41" t="s">
        <v>474</v>
      </c>
      <c r="AO41" s="46"/>
      <c r="AP41" s="40"/>
    </row>
    <row r="42" spans="2:42" x14ac:dyDescent="0.25">
      <c r="B42" t="s">
        <v>51</v>
      </c>
      <c r="C42" s="45">
        <f t="shared" si="37"/>
        <v>97</v>
      </c>
      <c r="D42" s="44">
        <f>AA42</f>
        <v>16.975324799999999</v>
      </c>
      <c r="E42" s="28">
        <f t="shared" si="17"/>
        <v>2.0960000000000001</v>
      </c>
      <c r="F42" s="60">
        <f t="shared" si="18"/>
        <v>0.72</v>
      </c>
      <c r="G42" s="61">
        <f t="shared" si="19"/>
        <v>2.1</v>
      </c>
      <c r="H42" s="4"/>
      <c r="I42" s="4"/>
      <c r="J42" s="46"/>
      <c r="K42" s="27"/>
      <c r="L42" s="37"/>
      <c r="M42" s="28"/>
      <c r="N42" s="28"/>
      <c r="O42" s="45"/>
      <c r="P42" s="29"/>
      <c r="Q42" s="29"/>
      <c r="R42" s="29"/>
      <c r="S42" s="32"/>
      <c r="T42" s="28"/>
      <c r="U42" s="29"/>
      <c r="V42" s="32"/>
      <c r="W42" s="80"/>
      <c r="Y42" s="46">
        <f>MATCH($B42,pigs!$A$3:$A$60,0)</f>
        <v>52</v>
      </c>
      <c r="Z42" s="27">
        <f>INDEX(pigs!$D$3:$AO$60,$Y42,Z$4)</f>
        <v>97</v>
      </c>
      <c r="AA42" s="54">
        <f t="shared" si="38"/>
        <v>16.975324799999999</v>
      </c>
      <c r="AB42" s="71">
        <v>15.3</v>
      </c>
      <c r="AC42" s="37">
        <f>INDEX(pigs!$D$3:$AO$60,$Y42,AC$4)</f>
        <v>12.4</v>
      </c>
      <c r="AD42" s="37">
        <f>INDEX(pigs!$D$3:$AO$60,$Y42,AD$4)</f>
        <v>12.2</v>
      </c>
      <c r="AE42" s="27">
        <f>INDEX(pigs!$D$3:$AO$60,$Y42,AE$4)</f>
        <v>131</v>
      </c>
      <c r="AF42" s="37">
        <f>INDEX(pigs!$D$3:$AO$60,$Y42,AF$4)</f>
        <v>22</v>
      </c>
      <c r="AG42" s="31">
        <f t="shared" si="39"/>
        <v>757</v>
      </c>
      <c r="AH42" s="38">
        <f>INDEX(pigs!$D$3:$AO$60,$Y42,AH$4)</f>
        <v>90</v>
      </c>
      <c r="AI42" s="28">
        <f t="shared" si="13"/>
        <v>2.0960000000000001</v>
      </c>
      <c r="AJ42" s="60">
        <f>INDEX(pigs!$D$3:$AO$60,$Y42,AJ$4)/1000*100</f>
        <v>0.72</v>
      </c>
      <c r="AK42" s="61">
        <f>INDEX(pigs!$D$3:$AO$60,$Y42,AK$4)/1000*100</f>
        <v>2.1</v>
      </c>
      <c r="AL42" s="80"/>
      <c r="AM42" s="77" t="s">
        <v>587</v>
      </c>
      <c r="AN42" t="s">
        <v>474</v>
      </c>
      <c r="AO42" s="46"/>
      <c r="AP42" s="40"/>
    </row>
    <row r="43" spans="2:42" x14ac:dyDescent="0.25">
      <c r="B43" t="s">
        <v>52</v>
      </c>
      <c r="C43" s="45">
        <f t="shared" si="37"/>
        <v>91</v>
      </c>
      <c r="D43" s="44">
        <f>L43</f>
        <v>23.055932000000002</v>
      </c>
      <c r="E43" s="28">
        <f t="shared" si="17"/>
        <v>13.48</v>
      </c>
      <c r="F43" s="60">
        <f t="shared" si="18"/>
        <v>0.435</v>
      </c>
      <c r="G43" s="61">
        <f t="shared" si="19"/>
        <v>0.81499999999999995</v>
      </c>
      <c r="H43" s="4"/>
      <c r="I43" s="4"/>
      <c r="J43" s="46">
        <f>MATCH($B43,ruminants!$A$3:$A$120,0)</f>
        <v>65</v>
      </c>
      <c r="K43" s="27">
        <f>INDEX(ruminants!$D$3:$AH$120,$J43,K$4)</f>
        <v>90</v>
      </c>
      <c r="L43" s="54">
        <f t="shared" si="10"/>
        <v>23.055932000000002</v>
      </c>
      <c r="M43" s="28">
        <f>INDEX(ruminants!$D$3:$AH$120,$J43,M$4)</f>
        <v>15.5</v>
      </c>
      <c r="N43" s="28">
        <f>INDEX(ruminants!$D$3:$AH$120,$J43,N$4)</f>
        <v>19.7</v>
      </c>
      <c r="O43" s="45">
        <f>INDEX(ruminants!$D$3:$AH$120,$J43,O$4)</f>
        <v>844</v>
      </c>
      <c r="P43" s="29">
        <f>INDEX(ruminants!$D$3:$AH$120,$J43,P$4)</f>
        <v>33</v>
      </c>
      <c r="Q43" s="29">
        <f>INDEX(ruminants!$D$3:$AH$120,$J43,Q$4)</f>
        <v>4</v>
      </c>
      <c r="R43" s="29">
        <f>INDEX(ruminants!$D$3:$AH$120,$J43,R$4)</f>
        <v>91</v>
      </c>
      <c r="S43" s="32">
        <f>INDEX(ruminants!$D$3:$AH$120,$J43,S$4)</f>
        <v>28</v>
      </c>
      <c r="T43" s="28">
        <f t="shared" si="7"/>
        <v>13.504</v>
      </c>
      <c r="U43" s="60">
        <f>INDEX(ruminants!$D$3:$AH$120,$J43,U$4)/1000*100</f>
        <v>0.44</v>
      </c>
      <c r="V43" s="61">
        <f>INDEX(ruminants!$D$3:$AH$120,$J43,V$4)/1000*100</f>
        <v>0.89</v>
      </c>
      <c r="W43" s="80"/>
      <c r="Y43" s="46">
        <f>MATCH($B43,pigs!$A$3:$A$60,0)</f>
        <v>31</v>
      </c>
      <c r="Z43" s="27">
        <f>INDEX(pigs!$D$3:$AO$60,$Y43,Z$4)</f>
        <v>92</v>
      </c>
      <c r="AA43" s="54">
        <f t="shared" si="38"/>
        <v>22.525819200000001</v>
      </c>
      <c r="AB43" s="71">
        <v>20.8</v>
      </c>
      <c r="AC43" s="37">
        <f>INDEX(pigs!$D$3:$AO$60,$Y43,AC$4)</f>
        <v>11.1</v>
      </c>
      <c r="AD43" s="37">
        <f>INDEX(pigs!$D$3:$AO$60,$Y43,AD$4)</f>
        <v>11.3</v>
      </c>
      <c r="AE43" s="27">
        <f>INDEX(pigs!$D$3:$AO$60,$Y43,AE$4)</f>
        <v>841</v>
      </c>
      <c r="AF43" s="37">
        <f>INDEX(pigs!$D$3:$AO$60,$Y43,AF$4)</f>
        <v>10</v>
      </c>
      <c r="AG43" s="31">
        <f t="shared" si="39"/>
        <v>121</v>
      </c>
      <c r="AH43" s="38">
        <f>INDEX(pigs!$D$3:$AO$60,$Y43,AH$4)</f>
        <v>28</v>
      </c>
      <c r="AI43" s="28">
        <f t="shared" si="13"/>
        <v>13.456000000000001</v>
      </c>
      <c r="AJ43" s="60">
        <f>INDEX(pigs!$D$3:$AO$60,$Y43,AJ$4)/1000*100</f>
        <v>0.43</v>
      </c>
      <c r="AK43" s="61">
        <f>INDEX(pigs!$D$3:$AO$60,$Y43,AK$4)/1000*100</f>
        <v>0.74</v>
      </c>
      <c r="AL43" s="80"/>
      <c r="AM43" s="77" t="s">
        <v>588</v>
      </c>
      <c r="AN43" t="s">
        <v>474</v>
      </c>
      <c r="AO43" s="46">
        <f>MATCH($B43,poultry!$A$3:$A$41,0)</f>
        <v>28</v>
      </c>
      <c r="AP43" s="40">
        <f>INDEX(poultry!$D$3:$U$41,$AO43,AP$4)</f>
        <v>90</v>
      </c>
    </row>
    <row r="44" spans="2:42" x14ac:dyDescent="0.25">
      <c r="B44" t="s">
        <v>607</v>
      </c>
      <c r="C44" s="45">
        <f t="shared" ref="C44" si="40">AVERAGE(Z44,K44)</f>
        <v>23</v>
      </c>
      <c r="D44" s="44">
        <f>L44</f>
        <v>17.035156000000001</v>
      </c>
      <c r="E44" s="28">
        <f t="shared" ref="E44" si="41">AVERAGE(T44,AI44)</f>
        <v>1.44</v>
      </c>
      <c r="F44" s="60">
        <f t="shared" ref="F44" si="42">AVERAGE(U44,AJ44)</f>
        <v>0.22999999999999998</v>
      </c>
      <c r="G44" s="61">
        <f t="shared" ref="G44" si="43">AVERAGE(V44,AK44)</f>
        <v>2.1999999999999997</v>
      </c>
      <c r="H44" s="4"/>
      <c r="I44" s="4"/>
      <c r="J44" s="46">
        <f>MATCH($B44,ruminants!$A$3:$A$120,0)</f>
        <v>63</v>
      </c>
      <c r="K44" s="27">
        <f>INDEX(ruminants!$D$3:$AH$120,$J44,K$4)</f>
        <v>23</v>
      </c>
      <c r="L44" s="54">
        <f t="shared" ref="L44" si="44">( 5.7*O44+9.4*P44+4.1*(Q44+R44) ) * 0.004184</f>
        <v>17.035156000000001</v>
      </c>
      <c r="M44" s="28">
        <f>INDEX(ruminants!$D$3:$AH$120,$J44,M$4)</f>
        <v>13.1</v>
      </c>
      <c r="N44" s="28">
        <f>INDEX(ruminants!$D$3:$AH$120,$J44,N$4)</f>
        <v>14.9</v>
      </c>
      <c r="O44" s="45">
        <f>INDEX(ruminants!$D$3:$AH$120,$J44,O$4)</f>
        <v>90</v>
      </c>
      <c r="P44" s="29">
        <f>INDEX(ruminants!$D$3:$AH$120,$J44,P$4)</f>
        <v>10</v>
      </c>
      <c r="Q44" s="29">
        <f>INDEX(ruminants!$D$3:$AH$120,$J44,Q$4)</f>
        <v>25</v>
      </c>
      <c r="R44" s="29">
        <f>INDEX(ruminants!$D$3:$AH$120,$J44,R$4)</f>
        <v>820</v>
      </c>
      <c r="S44" s="32">
        <f>INDEX(ruminants!$D$3:$AH$120,$J44,S$4)</f>
        <v>55</v>
      </c>
      <c r="T44" s="28">
        <f t="shared" ref="T44" si="45">O44*T$3/1000*100</f>
        <v>1.44</v>
      </c>
      <c r="U44" s="60">
        <f>INDEX(ruminants!$D$3:$AH$120,$J44,U$4)/1000*100</f>
        <v>0.22999999999999998</v>
      </c>
      <c r="V44" s="61">
        <f>INDEX(ruminants!$D$3:$AH$120,$J44,V$4)/1000*100</f>
        <v>2.1999999999999997</v>
      </c>
      <c r="W44" s="80"/>
      <c r="Y44" s="46"/>
      <c r="Z44" s="27"/>
      <c r="AA44" s="54"/>
      <c r="AB44" s="71"/>
      <c r="AC44" s="37"/>
      <c r="AD44" s="37"/>
      <c r="AE44" s="27"/>
      <c r="AF44" s="37"/>
      <c r="AG44" s="31"/>
      <c r="AH44" s="38"/>
      <c r="AI44" s="28"/>
      <c r="AJ44" s="60"/>
      <c r="AK44" s="61"/>
      <c r="AL44" s="80"/>
      <c r="AM44" s="77"/>
      <c r="AO44" s="46"/>
      <c r="AP44" s="40"/>
    </row>
    <row r="45" spans="2:42" x14ac:dyDescent="0.25">
      <c r="B45" t="s">
        <v>53</v>
      </c>
      <c r="C45" s="45">
        <f t="shared" si="37"/>
        <v>92</v>
      </c>
      <c r="D45" s="44">
        <f>AA45</f>
        <v>22.254696000000003</v>
      </c>
      <c r="E45" s="28">
        <f t="shared" si="17"/>
        <v>12.160000000000002</v>
      </c>
      <c r="F45" s="60">
        <f t="shared" si="18"/>
        <v>2.4699999999999998</v>
      </c>
      <c r="G45" s="61">
        <f t="shared" si="19"/>
        <v>1.2</v>
      </c>
      <c r="H45" s="4"/>
      <c r="I45" s="4"/>
      <c r="J45" s="46"/>
      <c r="K45" s="27"/>
      <c r="L45" s="54"/>
      <c r="M45" s="28"/>
      <c r="N45" s="28"/>
      <c r="O45" s="45"/>
      <c r="P45" s="29"/>
      <c r="Q45" s="29"/>
      <c r="R45" s="29"/>
      <c r="S45" s="32"/>
      <c r="T45" s="28"/>
      <c r="U45" s="60"/>
      <c r="V45" s="61"/>
      <c r="W45" s="80"/>
      <c r="Y45" s="46">
        <f>MATCH($B45,pigs!$A$3:$A$60,0)</f>
        <v>7</v>
      </c>
      <c r="Z45" s="27">
        <f>INDEX(pigs!$D$3:$AO$60,$Y45,Z$4)</f>
        <v>92</v>
      </c>
      <c r="AA45" s="54">
        <f t="shared" si="38"/>
        <v>22.254696000000003</v>
      </c>
      <c r="AB45" s="71">
        <f>19.5</f>
        <v>19.5</v>
      </c>
      <c r="AC45" s="37">
        <f>INDEX(pigs!$D$3:$AO$60,$Y45,AC$4)</f>
        <v>10.8</v>
      </c>
      <c r="AD45" s="37">
        <f>INDEX(pigs!$D$3:$AO$60,$Y45,AD$4)</f>
        <v>10.8</v>
      </c>
      <c r="AE45" s="27">
        <f>INDEX(pigs!$D$3:$AO$60,$Y45,AE$4)</f>
        <v>760</v>
      </c>
      <c r="AF45" s="37">
        <f>INDEX(pigs!$D$3:$AO$60,$Y45,AF$4)</f>
        <v>105</v>
      </c>
      <c r="AG45" s="31">
        <f t="shared" si="39"/>
        <v>0</v>
      </c>
      <c r="AH45" s="38">
        <f>INDEX(pigs!$D$3:$AO$60,$Y45,AH$4)</f>
        <v>135</v>
      </c>
      <c r="AI45" s="28">
        <f t="shared" si="13"/>
        <v>12.160000000000002</v>
      </c>
      <c r="AJ45" s="60">
        <f>INDEX(pigs!$D$3:$AO$60,$Y45,AJ$4)/1000*100</f>
        <v>2.4699999999999998</v>
      </c>
      <c r="AK45" s="61">
        <f>INDEX(pigs!$D$3:$AO$60,$Y45,AK$4)/1000*100</f>
        <v>1.2</v>
      </c>
      <c r="AL45" s="80"/>
      <c r="AM45" s="77" t="s">
        <v>589</v>
      </c>
      <c r="AN45" t="s">
        <v>474</v>
      </c>
      <c r="AO45" s="46">
        <f>MATCH($B45,poultry!$A$3:$A$41,0)</f>
        <v>6</v>
      </c>
      <c r="AP45" s="40">
        <f>INDEX(poultry!$D$3:$U$41,$AO45,AP$4)</f>
        <v>92</v>
      </c>
    </row>
    <row r="46" spans="2:42" x14ac:dyDescent="0.25">
      <c r="B46" s="3" t="s">
        <v>313</v>
      </c>
      <c r="C46" s="83">
        <f t="shared" ref="C46" si="46">AVERAGE(Z46,K46)</f>
        <v>100</v>
      </c>
      <c r="D46" s="84">
        <f>AA46</f>
        <v>0</v>
      </c>
      <c r="E46" s="85"/>
      <c r="F46" s="86"/>
      <c r="G46" s="87"/>
      <c r="H46" s="88"/>
      <c r="I46" s="88"/>
      <c r="J46" s="20"/>
      <c r="K46" s="89">
        <v>100</v>
      </c>
      <c r="L46" s="90">
        <v>0</v>
      </c>
      <c r="M46" s="90">
        <v>0</v>
      </c>
      <c r="N46" s="90">
        <v>0</v>
      </c>
      <c r="O46" s="83"/>
      <c r="P46" s="91">
        <v>0</v>
      </c>
      <c r="Q46" s="91"/>
      <c r="R46" s="91"/>
      <c r="S46" s="92"/>
      <c r="T46" s="91"/>
      <c r="U46" s="91"/>
      <c r="V46" s="92"/>
      <c r="W46" s="3"/>
      <c r="X46" s="3"/>
      <c r="Y46" s="20"/>
      <c r="Z46" s="89">
        <v>100</v>
      </c>
      <c r="AA46" s="93">
        <v>0</v>
      </c>
      <c r="AB46" s="93">
        <v>0</v>
      </c>
      <c r="AC46" s="90">
        <v>0</v>
      </c>
      <c r="AD46" s="90">
        <v>0</v>
      </c>
      <c r="AE46" s="89"/>
      <c r="AF46" s="90"/>
      <c r="AG46" s="91"/>
      <c r="AH46" s="94"/>
      <c r="AI46" s="93"/>
      <c r="AJ46" s="86"/>
      <c r="AK46" s="87"/>
      <c r="AL46" s="3"/>
      <c r="AM46" s="95"/>
      <c r="AN46" s="3"/>
      <c r="AO46" s="20"/>
      <c r="AP46" s="96">
        <v>100</v>
      </c>
    </row>
    <row r="48" spans="2:42" x14ac:dyDescent="0.25">
      <c r="D48" s="66" t="s">
        <v>502</v>
      </c>
      <c r="E48" s="67"/>
      <c r="F48" s="67"/>
      <c r="G48" s="67"/>
      <c r="H48" s="67"/>
      <c r="I48" s="67"/>
      <c r="J48" s="68"/>
    </row>
    <row r="49" spans="4:10" x14ac:dyDescent="0.25">
      <c r="D49" s="27" t="s">
        <v>501</v>
      </c>
      <c r="E49" s="37"/>
      <c r="F49" s="37"/>
      <c r="G49" s="37"/>
      <c r="H49" s="37"/>
      <c r="I49" s="37"/>
      <c r="J49" s="38"/>
    </row>
    <row r="50" spans="4:10" x14ac:dyDescent="0.25">
      <c r="D50" s="69" t="s">
        <v>500</v>
      </c>
      <c r="E50" s="37"/>
      <c r="F50" s="37"/>
      <c r="G50" s="37"/>
      <c r="H50" s="37"/>
      <c r="I50" s="37"/>
      <c r="J50" s="38"/>
    </row>
    <row r="51" spans="4:10" x14ac:dyDescent="0.25">
      <c r="D51" s="70" t="s">
        <v>393</v>
      </c>
      <c r="E51" s="36"/>
      <c r="F51" s="36"/>
      <c r="G51" s="36"/>
      <c r="H51" s="36"/>
      <c r="I51" s="36"/>
      <c r="J51" s="39"/>
    </row>
  </sheetData>
  <hyperlinks>
    <hyperlink ref="C1" r:id="rId1"/>
    <hyperlink ref="AL37" r:id="rId2"/>
    <hyperlink ref="W30" r:id="rId3"/>
    <hyperlink ref="W32" r:id="rId4"/>
    <hyperlink ref="W10" r:id="rId5"/>
    <hyperlink ref="W19" r:id="rId6"/>
    <hyperlink ref="W22" r:id="rId7"/>
    <hyperlink ref="D50" r:id="rId8"/>
    <hyperlink ref="AM19" r:id="rId9"/>
    <hyperlink ref="AM18" r:id="rId10"/>
    <hyperlink ref="AM17" r:id="rId11"/>
    <hyperlink ref="AM15" r:id="rId12"/>
    <hyperlink ref="AM14" r:id="rId13"/>
    <hyperlink ref="AM13" r:id="rId14"/>
    <hyperlink ref="AM12" r:id="rId15"/>
    <hyperlink ref="AM20" r:id="rId16"/>
    <hyperlink ref="AM21" r:id="rId17"/>
    <hyperlink ref="AM22" r:id="rId18"/>
    <hyperlink ref="AM25" r:id="rId19"/>
    <hyperlink ref="AM26" r:id="rId20"/>
    <hyperlink ref="AM27" r:id="rId21"/>
    <hyperlink ref="AM28" r:id="rId22"/>
    <hyperlink ref="AM32" r:id="rId23"/>
    <hyperlink ref="AM31" r:id="rId24"/>
    <hyperlink ref="AM35" r:id="rId25"/>
    <hyperlink ref="AM38" r:id="rId26"/>
    <hyperlink ref="AM39" r:id="rId27"/>
    <hyperlink ref="AM40" r:id="rId28"/>
    <hyperlink ref="AM42" r:id="rId29"/>
    <hyperlink ref="AM43" r:id="rId30"/>
    <hyperlink ref="AM45" r:id="rId31"/>
  </hyperlinks>
  <pageMargins left="0.7" right="0.7" top="0.75" bottom="0.75" header="0.3" footer="0.3"/>
  <pageSetup paperSize="9" orientation="portrait" r:id="rId3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42"/>
  <sheetViews>
    <sheetView workbookViewId="0">
      <selection activeCell="BA47" sqref="BA47"/>
    </sheetView>
  </sheetViews>
  <sheetFormatPr defaultRowHeight="15" x14ac:dyDescent="0.25"/>
  <cols>
    <col min="1" max="1" width="27" bestFit="1" customWidth="1"/>
    <col min="2" max="2" width="9.28515625" bestFit="1" customWidth="1"/>
    <col min="3" max="3" width="8.7109375" bestFit="1" customWidth="1"/>
    <col min="4" max="4" width="13.140625" bestFit="1" customWidth="1"/>
    <col min="5" max="5" width="12.28515625" bestFit="1" customWidth="1"/>
    <col min="6" max="9" width="12.28515625" customWidth="1"/>
    <col min="10" max="26" width="8.85546875" customWidth="1"/>
    <col min="31" max="32" width="8.85546875" customWidth="1"/>
    <col min="40" max="41" width="8.85546875" customWidth="1"/>
    <col min="49" max="50" width="8.85546875" customWidth="1"/>
  </cols>
  <sheetData>
    <row r="1" spans="1:53" x14ac:dyDescent="0.25">
      <c r="A1" s="4" t="s">
        <v>596</v>
      </c>
      <c r="B1" s="4"/>
      <c r="C1" s="4"/>
      <c r="J1" s="4" t="s">
        <v>597</v>
      </c>
      <c r="S1" s="4" t="s">
        <v>599</v>
      </c>
      <c r="AB1" s="4" t="s">
        <v>598</v>
      </c>
      <c r="AK1" s="4" t="s">
        <v>600</v>
      </c>
      <c r="AT1" s="4" t="s">
        <v>601</v>
      </c>
    </row>
    <row r="2" spans="1:53" x14ac:dyDescent="0.25">
      <c r="A2" s="36" t="s">
        <v>0</v>
      </c>
      <c r="B2" s="36" t="s">
        <v>19</v>
      </c>
      <c r="C2" s="36" t="s">
        <v>16</v>
      </c>
      <c r="D2" s="36" t="s">
        <v>376</v>
      </c>
      <c r="E2" s="36" t="s">
        <v>481</v>
      </c>
      <c r="F2" s="36" t="s">
        <v>595</v>
      </c>
      <c r="G2" s="36" t="s">
        <v>18</v>
      </c>
      <c r="H2" s="36" t="s">
        <v>482</v>
      </c>
      <c r="I2" s="37"/>
      <c r="J2" s="36" t="s">
        <v>0</v>
      </c>
      <c r="K2" s="36" t="s">
        <v>19</v>
      </c>
      <c r="L2" s="36" t="s">
        <v>16</v>
      </c>
      <c r="M2" s="36" t="s">
        <v>376</v>
      </c>
      <c r="N2" s="36" t="s">
        <v>481</v>
      </c>
      <c r="O2" s="36" t="s">
        <v>595</v>
      </c>
      <c r="P2" s="36" t="s">
        <v>18</v>
      </c>
      <c r="Q2" s="36" t="s">
        <v>482</v>
      </c>
      <c r="S2" s="36" t="s">
        <v>0</v>
      </c>
      <c r="T2" s="36" t="s">
        <v>19</v>
      </c>
      <c r="U2" s="36" t="s">
        <v>16</v>
      </c>
      <c r="V2" s="36" t="s">
        <v>376</v>
      </c>
      <c r="W2" s="36" t="s">
        <v>481</v>
      </c>
      <c r="X2" s="36" t="s">
        <v>595</v>
      </c>
      <c r="Y2" s="36" t="s">
        <v>18</v>
      </c>
      <c r="Z2" s="36" t="s">
        <v>482</v>
      </c>
      <c r="AB2" s="36" t="s">
        <v>0</v>
      </c>
      <c r="AC2" s="36" t="s">
        <v>19</v>
      </c>
      <c r="AD2" s="36" t="s">
        <v>16</v>
      </c>
      <c r="AE2" s="36" t="s">
        <v>376</v>
      </c>
      <c r="AF2" s="36" t="s">
        <v>481</v>
      </c>
      <c r="AG2" s="36" t="s">
        <v>595</v>
      </c>
      <c r="AH2" s="36" t="s">
        <v>18</v>
      </c>
      <c r="AI2" s="36" t="s">
        <v>482</v>
      </c>
      <c r="AK2" s="36" t="s">
        <v>0</v>
      </c>
      <c r="AL2" s="36" t="s">
        <v>19</v>
      </c>
      <c r="AM2" s="36" t="s">
        <v>16</v>
      </c>
      <c r="AN2" s="36" t="s">
        <v>376</v>
      </c>
      <c r="AO2" s="36" t="s">
        <v>481</v>
      </c>
      <c r="AP2" s="36" t="s">
        <v>595</v>
      </c>
      <c r="AQ2" s="36" t="s">
        <v>18</v>
      </c>
      <c r="AR2" s="36" t="s">
        <v>482</v>
      </c>
      <c r="AT2" s="36" t="s">
        <v>0</v>
      </c>
      <c r="AU2" s="36" t="s">
        <v>19</v>
      </c>
      <c r="AV2" s="36" t="s">
        <v>16</v>
      </c>
      <c r="AW2" s="36" t="s">
        <v>376</v>
      </c>
      <c r="AX2" s="36" t="s">
        <v>481</v>
      </c>
      <c r="AY2" s="36" t="s">
        <v>595</v>
      </c>
      <c r="AZ2" s="36" t="s">
        <v>18</v>
      </c>
      <c r="BA2" s="36" t="s">
        <v>482</v>
      </c>
    </row>
    <row r="3" spans="1:53" x14ac:dyDescent="0.25">
      <c r="A3" t="str">
        <f>'feed pars'!$B6</f>
        <v>ley silage, 1st cut</v>
      </c>
      <c r="D3">
        <f>INDEX('feed pars'!C$6:C$46,MATCH(A3,'feed pars'!B$6:B$46,0))</f>
        <v>100</v>
      </c>
      <c r="E3" s="82">
        <f>INDEX('feed pars'!D$6:D$46,MATCH(A3,'feed pars'!B$6:B$46,0))</f>
        <v>17.316948400000001</v>
      </c>
      <c r="F3" s="28"/>
      <c r="G3" s="28"/>
      <c r="H3" s="28"/>
      <c r="I3" s="28"/>
      <c r="J3" s="28" t="str">
        <f>'feed pars'!$B6</f>
        <v>ley silage, 1st cut</v>
      </c>
      <c r="K3" t="s">
        <v>20</v>
      </c>
      <c r="O3" s="67">
        <f>INDEX('feed pars'!$N$6:$N$46,MATCH($A3,'feed pars'!$B$6:$B$46,0))</f>
        <v>13.35</v>
      </c>
      <c r="P3" s="67">
        <f>INDEX('feed pars'!$M$6:$M$46,MATCH($A3,'feed pars'!$B$6:$B$46,0))</f>
        <v>11.3</v>
      </c>
      <c r="Q3" s="67">
        <f>INDEX('feed pars'!$P$6:$P$46,MATCH($A3,'feed pars'!$B$6:$B$46,0))</f>
        <v>20</v>
      </c>
      <c r="S3" s="28" t="str">
        <f>'feed pars'!$B6</f>
        <v>ley silage, 1st cut</v>
      </c>
      <c r="T3" t="s">
        <v>383</v>
      </c>
      <c r="X3" s="67">
        <f>INDEX('feed pars'!$N$6:$N$46,MATCH($A3,'feed pars'!$B$6:$B$46,0))</f>
        <v>13.35</v>
      </c>
      <c r="Y3" s="67">
        <f>INDEX('feed pars'!$M$6:$M$46,MATCH($A3,'feed pars'!$B$6:$B$46,0))</f>
        <v>11.3</v>
      </c>
      <c r="Z3" s="67">
        <f>INDEX('feed pars'!$P$6:$P$46,MATCH($A3,'feed pars'!$B$6:$B$46,0))</f>
        <v>20</v>
      </c>
      <c r="AB3" s="28" t="str">
        <f>'feed pars'!$B6</f>
        <v>ley silage, 1st cut</v>
      </c>
      <c r="AC3" t="s">
        <v>378</v>
      </c>
      <c r="AG3" s="67">
        <f>INDEX('feed pars'!$N$6:$N$46,MATCH($A3,'feed pars'!$B$6:$B$46,0))</f>
        <v>13.35</v>
      </c>
      <c r="AH3" s="67">
        <f>INDEX('feed pars'!$M$6:$M$46,MATCH($A3,'feed pars'!$B$6:$B$46,0))</f>
        <v>11.3</v>
      </c>
      <c r="AI3" s="67">
        <f>INDEX('feed pars'!$P$6:$P$46,MATCH($A3,'feed pars'!$B$6:$B$46,0))</f>
        <v>20</v>
      </c>
      <c r="AK3" s="28" t="str">
        <f>'feed pars'!$B6</f>
        <v>ley silage, 1st cut</v>
      </c>
      <c r="AL3" t="s">
        <v>21</v>
      </c>
      <c r="AP3" s="67"/>
      <c r="AQ3" s="67"/>
      <c r="AR3" s="67"/>
      <c r="AT3" s="28" t="str">
        <f>'feed pars'!$B6</f>
        <v>ley silage, 1st cut</v>
      </c>
      <c r="AU3" t="s">
        <v>21</v>
      </c>
      <c r="AV3" t="s">
        <v>292</v>
      </c>
      <c r="AY3" s="67"/>
      <c r="AZ3" s="67"/>
      <c r="BA3" s="67"/>
    </row>
    <row r="4" spans="1:53" x14ac:dyDescent="0.25">
      <c r="A4" t="str">
        <f>'feed pars'!$B7</f>
        <v>ley silage, regrowth</v>
      </c>
      <c r="D4">
        <f>INDEX('feed pars'!C$6:C$46,MATCH(A4,'feed pars'!B$6:B$46,0))</f>
        <v>100</v>
      </c>
      <c r="E4" s="28">
        <f>INDEX('feed pars'!D$6:D$46,MATCH(A4,'feed pars'!B$6:B$46,0))</f>
        <v>17.150216</v>
      </c>
      <c r="F4" s="28"/>
      <c r="G4" s="28"/>
      <c r="H4" s="28"/>
      <c r="I4" s="28"/>
      <c r="J4" s="28" t="str">
        <f>'feed pars'!$B7</f>
        <v>ley silage, regrowth</v>
      </c>
      <c r="K4" t="s">
        <v>20</v>
      </c>
      <c r="O4" s="37">
        <f>INDEX('feed pars'!$N$6:$N$46,MATCH($A4,'feed pars'!$B$6:$B$46,0))</f>
        <v>11.899999999999999</v>
      </c>
      <c r="P4" s="37">
        <f>INDEX('feed pars'!$M$6:$M$46,MATCH($A4,'feed pars'!$B$6:$B$46,0))</f>
        <v>10.1</v>
      </c>
      <c r="Q4" s="37">
        <f>INDEX('feed pars'!$P$6:$P$46,MATCH($A4,'feed pars'!$B$6:$B$46,0))</f>
        <v>20</v>
      </c>
      <c r="S4" s="28" t="str">
        <f>'feed pars'!$B7</f>
        <v>ley silage, regrowth</v>
      </c>
      <c r="T4" t="s">
        <v>383</v>
      </c>
      <c r="X4" s="37">
        <f>INDEX('feed pars'!$N$6:$N$46,MATCH($A4,'feed pars'!$B$6:$B$46,0))</f>
        <v>11.899999999999999</v>
      </c>
      <c r="Y4" s="37">
        <f>INDEX('feed pars'!$M$6:$M$46,MATCH($A4,'feed pars'!$B$6:$B$46,0))</f>
        <v>10.1</v>
      </c>
      <c r="Z4" s="37">
        <f>INDEX('feed pars'!$P$6:$P$46,MATCH($A4,'feed pars'!$B$6:$B$46,0))</f>
        <v>20</v>
      </c>
      <c r="AB4" s="28" t="str">
        <f>'feed pars'!$B7</f>
        <v>ley silage, regrowth</v>
      </c>
      <c r="AC4" t="s">
        <v>378</v>
      </c>
      <c r="AG4" s="37">
        <f>INDEX('feed pars'!$N$6:$N$46,MATCH($A4,'feed pars'!$B$6:$B$46,0))</f>
        <v>11.899999999999999</v>
      </c>
      <c r="AH4" s="37">
        <f>INDEX('feed pars'!$M$6:$M$46,MATCH($A4,'feed pars'!$B$6:$B$46,0))</f>
        <v>10.1</v>
      </c>
      <c r="AI4" s="37">
        <f>INDEX('feed pars'!$P$6:$P$46,MATCH($A4,'feed pars'!$B$6:$B$46,0))</f>
        <v>20</v>
      </c>
      <c r="AK4" s="28" t="str">
        <f>'feed pars'!$B7</f>
        <v>ley silage, regrowth</v>
      </c>
      <c r="AL4" t="s">
        <v>21</v>
      </c>
      <c r="AP4" s="37"/>
      <c r="AQ4" s="37"/>
      <c r="AR4" s="37"/>
      <c r="AT4" s="28" t="str">
        <f>'feed pars'!$B7</f>
        <v>ley silage, regrowth</v>
      </c>
      <c r="AU4" t="s">
        <v>21</v>
      </c>
      <c r="AV4" t="s">
        <v>292</v>
      </c>
      <c r="AY4" s="37"/>
      <c r="AZ4" s="37"/>
      <c r="BA4" s="37"/>
    </row>
    <row r="5" spans="1:53" x14ac:dyDescent="0.25">
      <c r="A5" t="str">
        <f>'feed pars'!$B8</f>
        <v>other silage</v>
      </c>
      <c r="D5">
        <f>INDEX('feed pars'!C$6:C$46,MATCH(A5,'feed pars'!B$6:B$46,0))</f>
        <v>100</v>
      </c>
      <c r="E5" s="28">
        <f>INDEX('feed pars'!D$6:D$46,MATCH(A5,'feed pars'!B$6:B$46,0))</f>
        <v>16.789764399999999</v>
      </c>
      <c r="F5" s="28"/>
      <c r="G5" s="28"/>
      <c r="H5" s="28"/>
      <c r="I5" s="28"/>
      <c r="J5" s="28" t="str">
        <f>'feed pars'!$B8</f>
        <v>other silage</v>
      </c>
      <c r="K5" t="s">
        <v>20</v>
      </c>
      <c r="O5" s="37">
        <f>INDEX('feed pars'!$N$6:$N$46,MATCH($A5,'feed pars'!$B$6:$B$46,0))</f>
        <v>10.75</v>
      </c>
      <c r="P5" s="37">
        <f>INDEX('feed pars'!$M$6:$M$46,MATCH($A5,'feed pars'!$B$6:$B$46,0))</f>
        <v>8.5</v>
      </c>
      <c r="Q5" s="37">
        <f>INDEX('feed pars'!$P$6:$P$46,MATCH($A5,'feed pars'!$B$6:$B$46,0))</f>
        <v>22.5</v>
      </c>
      <c r="S5" s="28" t="str">
        <f>'feed pars'!$B8</f>
        <v>other silage</v>
      </c>
      <c r="T5" t="s">
        <v>383</v>
      </c>
      <c r="X5" s="37">
        <f>INDEX('feed pars'!$N$6:$N$46,MATCH($A5,'feed pars'!$B$6:$B$46,0))</f>
        <v>10.75</v>
      </c>
      <c r="Y5" s="37">
        <f>INDEX('feed pars'!$M$6:$M$46,MATCH($A5,'feed pars'!$B$6:$B$46,0))</f>
        <v>8.5</v>
      </c>
      <c r="Z5" s="37">
        <f>INDEX('feed pars'!$P$6:$P$46,MATCH($A5,'feed pars'!$B$6:$B$46,0))</f>
        <v>22.5</v>
      </c>
      <c r="AB5" s="28" t="str">
        <f>'feed pars'!$B8</f>
        <v>other silage</v>
      </c>
      <c r="AC5" t="s">
        <v>378</v>
      </c>
      <c r="AG5" s="37">
        <f>INDEX('feed pars'!$N$6:$N$46,MATCH($A5,'feed pars'!$B$6:$B$46,0))</f>
        <v>10.75</v>
      </c>
      <c r="AH5" s="37">
        <f>INDEX('feed pars'!$M$6:$M$46,MATCH($A5,'feed pars'!$B$6:$B$46,0))</f>
        <v>8.5</v>
      </c>
      <c r="AI5" s="37">
        <f>INDEX('feed pars'!$P$6:$P$46,MATCH($A5,'feed pars'!$B$6:$B$46,0))</f>
        <v>22.5</v>
      </c>
      <c r="AK5" s="28" t="str">
        <f>'feed pars'!$B8</f>
        <v>other silage</v>
      </c>
      <c r="AL5" t="s">
        <v>21</v>
      </c>
      <c r="AP5" s="37"/>
      <c r="AQ5" s="37"/>
      <c r="AR5" s="37"/>
      <c r="AT5" s="28" t="str">
        <f>'feed pars'!$B8</f>
        <v>other silage</v>
      </c>
      <c r="AU5" t="s">
        <v>21</v>
      </c>
      <c r="AV5" t="s">
        <v>292</v>
      </c>
      <c r="AY5" s="37"/>
      <c r="AZ5" s="37"/>
      <c r="BA5" s="37"/>
    </row>
    <row r="6" spans="1:53" x14ac:dyDescent="0.25">
      <c r="A6" t="str">
        <f>'feed pars'!$B9</f>
        <v>hay</v>
      </c>
      <c r="D6">
        <f>INDEX('feed pars'!C$6:C$46,MATCH(A6,'feed pars'!B$6:B$46,0))</f>
        <v>100</v>
      </c>
      <c r="E6" s="28">
        <f>INDEX('feed pars'!D$6:D$46,MATCH(A6,'feed pars'!B$6:B$46,0))</f>
        <v>17.160257599999998</v>
      </c>
      <c r="F6" s="28"/>
      <c r="G6" s="28"/>
      <c r="H6" s="28"/>
      <c r="I6" s="28"/>
      <c r="J6" s="28" t="str">
        <f>'feed pars'!$B9</f>
        <v>hay</v>
      </c>
      <c r="K6" t="s">
        <v>20</v>
      </c>
      <c r="O6" s="37">
        <f>INDEX('feed pars'!$N$6:$N$46,MATCH($A6,'feed pars'!$B$6:$B$46,0))</f>
        <v>11.8</v>
      </c>
      <c r="P6" s="37">
        <f>INDEX('feed pars'!$M$6:$M$46,MATCH($A6,'feed pars'!$B$6:$B$46,0))</f>
        <v>9.1</v>
      </c>
      <c r="Q6" s="37">
        <f>INDEX('feed pars'!$P$6:$P$46,MATCH($A6,'feed pars'!$B$6:$B$46,0))</f>
        <v>20</v>
      </c>
      <c r="S6" s="28" t="str">
        <f>'feed pars'!$B9</f>
        <v>hay</v>
      </c>
      <c r="T6" t="s">
        <v>383</v>
      </c>
      <c r="X6" s="37">
        <f>INDEX('feed pars'!$N$6:$N$46,MATCH($A6,'feed pars'!$B$6:$B$46,0))</f>
        <v>11.8</v>
      </c>
      <c r="Y6" s="37">
        <f>INDEX('feed pars'!$M$6:$M$46,MATCH($A6,'feed pars'!$B$6:$B$46,0))</f>
        <v>9.1</v>
      </c>
      <c r="Z6" s="37">
        <f>INDEX('feed pars'!$P$6:$P$46,MATCH($A6,'feed pars'!$B$6:$B$46,0))</f>
        <v>20</v>
      </c>
      <c r="AB6" s="28" t="str">
        <f>'feed pars'!$B9</f>
        <v>hay</v>
      </c>
      <c r="AC6" t="s">
        <v>378</v>
      </c>
      <c r="AG6" s="37">
        <f>INDEX('feed pars'!$N$6:$N$46,MATCH($A6,'feed pars'!$B$6:$B$46,0))</f>
        <v>11.8</v>
      </c>
      <c r="AH6" s="37">
        <f>INDEX('feed pars'!$M$6:$M$46,MATCH($A6,'feed pars'!$B$6:$B$46,0))</f>
        <v>9.1</v>
      </c>
      <c r="AI6" s="37">
        <f>INDEX('feed pars'!$P$6:$P$46,MATCH($A6,'feed pars'!$B$6:$B$46,0))</f>
        <v>20</v>
      </c>
      <c r="AK6" s="28" t="str">
        <f>'feed pars'!$B9</f>
        <v>hay</v>
      </c>
      <c r="AL6" t="s">
        <v>21</v>
      </c>
      <c r="AP6" s="37"/>
      <c r="AQ6" s="37"/>
      <c r="AR6" s="37"/>
      <c r="AT6" s="28" t="str">
        <f>'feed pars'!$B9</f>
        <v>hay</v>
      </c>
      <c r="AU6" t="s">
        <v>21</v>
      </c>
      <c r="AV6" t="s">
        <v>292</v>
      </c>
      <c r="AY6" s="37"/>
      <c r="AZ6" s="37"/>
      <c r="BA6" s="37"/>
    </row>
    <row r="7" spans="1:53" x14ac:dyDescent="0.25">
      <c r="A7" t="str">
        <f>'feed pars'!$B10</f>
        <v>maize silage</v>
      </c>
      <c r="D7">
        <f>INDEX('feed pars'!C$6:C$46,MATCH(A7,'feed pars'!B$6:B$46,0))</f>
        <v>100</v>
      </c>
      <c r="E7" s="28">
        <f>INDEX('feed pars'!D$6:D$46,MATCH(A7,'feed pars'!B$6:B$46,0))</f>
        <v>17.6573168</v>
      </c>
      <c r="F7" s="28"/>
      <c r="G7" s="28"/>
      <c r="H7" s="28"/>
      <c r="I7" s="28"/>
      <c r="J7" s="28" t="str">
        <f>'feed pars'!$B10</f>
        <v>maize silage</v>
      </c>
      <c r="K7" t="s">
        <v>20</v>
      </c>
      <c r="O7" s="37">
        <f>INDEX('feed pars'!$N$6:$N$46,MATCH($A7,'feed pars'!$B$6:$B$46,0))</f>
        <v>12.3</v>
      </c>
      <c r="P7" s="37">
        <f>INDEX('feed pars'!$M$6:$M$46,MATCH($A7,'feed pars'!$B$6:$B$46,0))</f>
        <v>11</v>
      </c>
      <c r="Q7" s="37">
        <f>INDEX('feed pars'!$P$6:$P$46,MATCH($A7,'feed pars'!$B$6:$B$46,0))</f>
        <v>30</v>
      </c>
      <c r="S7" s="28" t="str">
        <f>'feed pars'!$B10</f>
        <v>maize silage</v>
      </c>
      <c r="T7" t="s">
        <v>383</v>
      </c>
      <c r="X7" s="37">
        <f>INDEX('feed pars'!$N$6:$N$46,MATCH($A7,'feed pars'!$B$6:$B$46,0))</f>
        <v>12.3</v>
      </c>
      <c r="Y7" s="37">
        <f>INDEX('feed pars'!$M$6:$M$46,MATCH($A7,'feed pars'!$B$6:$B$46,0))</f>
        <v>11</v>
      </c>
      <c r="Z7" s="37">
        <f>INDEX('feed pars'!$P$6:$P$46,MATCH($A7,'feed pars'!$B$6:$B$46,0))</f>
        <v>30</v>
      </c>
      <c r="AB7" s="28" t="str">
        <f>'feed pars'!$B10</f>
        <v>maize silage</v>
      </c>
      <c r="AC7" t="s">
        <v>378</v>
      </c>
      <c r="AG7" s="37">
        <f>INDEX('feed pars'!$N$6:$N$46,MATCH($A7,'feed pars'!$B$6:$B$46,0))</f>
        <v>12.3</v>
      </c>
      <c r="AH7" s="37">
        <f>INDEX('feed pars'!$M$6:$M$46,MATCH($A7,'feed pars'!$B$6:$B$46,0))</f>
        <v>11</v>
      </c>
      <c r="AI7" s="37">
        <f>INDEX('feed pars'!$P$6:$P$46,MATCH($A7,'feed pars'!$B$6:$B$46,0))</f>
        <v>30</v>
      </c>
      <c r="AK7" s="28" t="str">
        <f>'feed pars'!$B10</f>
        <v>maize silage</v>
      </c>
      <c r="AL7" t="s">
        <v>21</v>
      </c>
      <c r="AP7" s="37"/>
      <c r="AQ7" s="37"/>
      <c r="AR7" s="37"/>
      <c r="AT7" s="28" t="str">
        <f>'feed pars'!$B10</f>
        <v>maize silage</v>
      </c>
      <c r="AU7" t="s">
        <v>21</v>
      </c>
      <c r="AV7" t="s">
        <v>292</v>
      </c>
      <c r="AY7" s="37"/>
      <c r="AZ7" s="37"/>
      <c r="BA7" s="37"/>
    </row>
    <row r="8" spans="1:53" x14ac:dyDescent="0.25">
      <c r="A8" t="str">
        <f>'feed pars'!$B11</f>
        <v>grazing</v>
      </c>
      <c r="D8">
        <f>INDEX('feed pars'!C$6:C$46,MATCH(A8,'feed pars'!B$6:B$46,0))</f>
        <v>100</v>
      </c>
      <c r="E8" s="28">
        <f>INDEX('feed pars'!D$6:D$46,MATCH(A8,'feed pars'!B$6:B$46,0))</f>
        <v>17.411437066666668</v>
      </c>
      <c r="F8" s="28"/>
      <c r="G8" s="28"/>
      <c r="H8" s="28"/>
      <c r="I8" s="28"/>
      <c r="J8" s="28" t="str">
        <f>'feed pars'!$B11</f>
        <v>grazing</v>
      </c>
      <c r="K8" t="s">
        <v>20</v>
      </c>
      <c r="O8" s="37">
        <f>INDEX('feed pars'!$N$6:$N$46,MATCH($A8,'feed pars'!$B$6:$B$46,0))</f>
        <v>12.4</v>
      </c>
      <c r="P8" s="37">
        <f>INDEX('feed pars'!$M$6:$M$46,MATCH($A8,'feed pars'!$B$6:$B$46,0))</f>
        <v>9.9416666666666664</v>
      </c>
      <c r="Q8" s="37">
        <f>INDEX('feed pars'!$P$6:$P$46,MATCH($A8,'feed pars'!$B$6:$B$46,0))</f>
        <v>20</v>
      </c>
      <c r="S8" s="28" t="str">
        <f>'feed pars'!$B11</f>
        <v>grazing</v>
      </c>
      <c r="T8" t="s">
        <v>383</v>
      </c>
      <c r="X8" s="37">
        <f>INDEX('feed pars'!$N$6:$N$46,MATCH($A8,'feed pars'!$B$6:$B$46,0))</f>
        <v>12.4</v>
      </c>
      <c r="Y8" s="37">
        <f>INDEX('feed pars'!$M$6:$M$46,MATCH($A8,'feed pars'!$B$6:$B$46,0))</f>
        <v>9.9416666666666664</v>
      </c>
      <c r="Z8" s="37">
        <f>INDEX('feed pars'!$P$6:$P$46,MATCH($A8,'feed pars'!$B$6:$B$46,0))</f>
        <v>20</v>
      </c>
      <c r="AB8" s="28" t="str">
        <f>'feed pars'!$B11</f>
        <v>grazing</v>
      </c>
      <c r="AC8" t="s">
        <v>378</v>
      </c>
      <c r="AG8" s="37">
        <f>INDEX('feed pars'!$N$6:$N$46,MATCH($A8,'feed pars'!$B$6:$B$46,0))</f>
        <v>12.4</v>
      </c>
      <c r="AH8" s="37">
        <f>INDEX('feed pars'!$M$6:$M$46,MATCH($A8,'feed pars'!$B$6:$B$46,0))</f>
        <v>9.9416666666666664</v>
      </c>
      <c r="AI8" s="37">
        <f>INDEX('feed pars'!$P$6:$P$46,MATCH($A8,'feed pars'!$B$6:$B$46,0))</f>
        <v>20</v>
      </c>
      <c r="AK8" s="28" t="str">
        <f>'feed pars'!$B11</f>
        <v>grazing</v>
      </c>
      <c r="AL8" t="s">
        <v>21</v>
      </c>
      <c r="AP8" s="37"/>
      <c r="AQ8" s="37"/>
      <c r="AR8" s="37"/>
      <c r="AT8" s="28" t="str">
        <f>'feed pars'!$B11</f>
        <v>grazing</v>
      </c>
      <c r="AU8" t="s">
        <v>21</v>
      </c>
      <c r="AV8" t="s">
        <v>292</v>
      </c>
      <c r="AY8" s="37"/>
      <c r="AZ8" s="37"/>
      <c r="BA8" s="37"/>
    </row>
    <row r="9" spans="1:53" x14ac:dyDescent="0.25">
      <c r="A9" t="str">
        <f>'feed pars'!$B12</f>
        <v>wheat</v>
      </c>
      <c r="D9">
        <f>INDEX('feed pars'!C$6:C$46,MATCH(A9,'feed pars'!B$6:B$46,0))</f>
        <v>86</v>
      </c>
      <c r="E9" s="28">
        <f>INDEX('feed pars'!D$6:D$46,MATCH(A9,'feed pars'!B$6:B$46,0))</f>
        <v>18.210023200000002</v>
      </c>
      <c r="F9" s="28"/>
      <c r="G9" s="28"/>
      <c r="H9" s="28"/>
      <c r="I9" s="28"/>
      <c r="J9" s="28" t="str">
        <f>'feed pars'!$B12</f>
        <v>wheat</v>
      </c>
      <c r="K9" t="s">
        <v>20</v>
      </c>
      <c r="O9" s="37">
        <f>INDEX('feed pars'!$N$6:$N$46,MATCH($A9,'feed pars'!$B$6:$B$46,0))</f>
        <v>16</v>
      </c>
      <c r="P9" s="37">
        <f>INDEX('feed pars'!$M$6:$M$46,MATCH($A9,'feed pars'!$B$6:$B$46,0))</f>
        <v>14.1</v>
      </c>
      <c r="Q9" s="37">
        <f>INDEX('feed pars'!$P$6:$P$46,MATCH($A9,'feed pars'!$B$6:$B$46,0))</f>
        <v>25</v>
      </c>
      <c r="S9" s="28" t="str">
        <f>'feed pars'!$B12</f>
        <v>wheat</v>
      </c>
      <c r="T9" t="s">
        <v>383</v>
      </c>
      <c r="X9" s="37">
        <f>INDEX('feed pars'!$N$6:$N$46,MATCH($A9,'feed pars'!$B$6:$B$46,0))</f>
        <v>16</v>
      </c>
      <c r="Y9" s="37">
        <f>INDEX('feed pars'!$M$6:$M$46,MATCH($A9,'feed pars'!$B$6:$B$46,0))</f>
        <v>14.1</v>
      </c>
      <c r="Z9" s="37">
        <f>INDEX('feed pars'!$P$6:$P$46,MATCH($A9,'feed pars'!$B$6:$B$46,0))</f>
        <v>25</v>
      </c>
      <c r="AB9" s="28" t="str">
        <f>'feed pars'!$B12</f>
        <v>wheat</v>
      </c>
      <c r="AC9" t="s">
        <v>378</v>
      </c>
      <c r="AG9" s="37">
        <f>INDEX('feed pars'!$N$6:$N$46,MATCH($A9,'feed pars'!$B$6:$B$46,0))</f>
        <v>16</v>
      </c>
      <c r="AH9" s="37">
        <f>INDEX('feed pars'!$M$6:$M$46,MATCH($A9,'feed pars'!$B$6:$B$46,0))</f>
        <v>14.1</v>
      </c>
      <c r="AI9" s="37">
        <f>INDEX('feed pars'!$P$6:$P$46,MATCH($A9,'feed pars'!$B$6:$B$46,0))</f>
        <v>25</v>
      </c>
      <c r="AK9" s="28" t="str">
        <f>'feed pars'!$B12</f>
        <v>wheat</v>
      </c>
      <c r="AL9" t="s">
        <v>21</v>
      </c>
      <c r="AP9" s="37">
        <f>INDEX('feed pars'!$AB$6:$AB$46,MATCH($A9,'feed pars'!$B$6:$B$46,0))</f>
        <v>15.9</v>
      </c>
      <c r="AQ9" s="37">
        <f>INDEX('feed pars'!$AC$6:$AC$46,MATCH($A9,'feed pars'!$B$6:$B$46,0))</f>
        <v>12.1</v>
      </c>
      <c r="AR9" s="37"/>
      <c r="AT9" s="28" t="str">
        <f>'feed pars'!$B12</f>
        <v>wheat</v>
      </c>
      <c r="AU9" t="s">
        <v>21</v>
      </c>
      <c r="AV9" t="s">
        <v>292</v>
      </c>
      <c r="AY9" s="37"/>
      <c r="AZ9" s="37">
        <f>INDEX('feed pars'!$AD$6:$AD$46,MATCH($A9,'feed pars'!$B$6:$B$46,0))</f>
        <v>12.3</v>
      </c>
      <c r="BA9" s="37"/>
    </row>
    <row r="10" spans="1:53" x14ac:dyDescent="0.25">
      <c r="A10" t="str">
        <f>'feed pars'!$B13</f>
        <v>barley</v>
      </c>
      <c r="D10">
        <f>INDEX('feed pars'!C$6:C$46,MATCH(A10,'feed pars'!B$6:B$46,0))</f>
        <v>86</v>
      </c>
      <c r="E10" s="28">
        <f>INDEX('feed pars'!D$6:D$46,MATCH(A10,'feed pars'!B$6:B$46,0))</f>
        <v>18.089524000000001</v>
      </c>
      <c r="F10" s="28"/>
      <c r="G10" s="28"/>
      <c r="H10" s="28"/>
      <c r="I10" s="28"/>
      <c r="J10" s="28" t="str">
        <f>'feed pars'!$B13</f>
        <v>barley</v>
      </c>
      <c r="K10" t="s">
        <v>20</v>
      </c>
      <c r="O10" s="37">
        <f>INDEX('feed pars'!$N$6:$N$46,MATCH($A10,'feed pars'!$B$6:$B$46,0))</f>
        <v>15</v>
      </c>
      <c r="P10" s="37">
        <f>INDEX('feed pars'!$M$6:$M$46,MATCH($A10,'feed pars'!$B$6:$B$46,0))</f>
        <v>13.2</v>
      </c>
      <c r="Q10" s="37">
        <f>INDEX('feed pars'!$P$6:$P$46,MATCH($A10,'feed pars'!$B$6:$B$46,0))</f>
        <v>27</v>
      </c>
      <c r="S10" s="28" t="str">
        <f>'feed pars'!$B13</f>
        <v>barley</v>
      </c>
      <c r="T10" t="s">
        <v>383</v>
      </c>
      <c r="X10" s="37">
        <f>INDEX('feed pars'!$N$6:$N$46,MATCH($A10,'feed pars'!$B$6:$B$46,0))</f>
        <v>15</v>
      </c>
      <c r="Y10" s="37">
        <f>INDEX('feed pars'!$M$6:$M$46,MATCH($A10,'feed pars'!$B$6:$B$46,0))</f>
        <v>13.2</v>
      </c>
      <c r="Z10" s="37">
        <f>INDEX('feed pars'!$P$6:$P$46,MATCH($A10,'feed pars'!$B$6:$B$46,0))</f>
        <v>27</v>
      </c>
      <c r="AB10" s="28" t="str">
        <f>'feed pars'!$B13</f>
        <v>barley</v>
      </c>
      <c r="AC10" t="s">
        <v>378</v>
      </c>
      <c r="AG10" s="37">
        <f>INDEX('feed pars'!$N$6:$N$46,MATCH($A10,'feed pars'!$B$6:$B$46,0))</f>
        <v>15</v>
      </c>
      <c r="AH10" s="37">
        <f>INDEX('feed pars'!$M$6:$M$46,MATCH($A10,'feed pars'!$B$6:$B$46,0))</f>
        <v>13.2</v>
      </c>
      <c r="AI10" s="37">
        <f>INDEX('feed pars'!$P$6:$P$46,MATCH($A10,'feed pars'!$B$6:$B$46,0))</f>
        <v>27</v>
      </c>
      <c r="AK10" s="28" t="str">
        <f>'feed pars'!$B13</f>
        <v>barley</v>
      </c>
      <c r="AL10" t="s">
        <v>21</v>
      </c>
      <c r="AP10" s="37">
        <f>INDEX('feed pars'!$AB$6:$AB$46,MATCH($A10,'feed pars'!$B$6:$B$46,0))</f>
        <v>14.8</v>
      </c>
      <c r="AQ10" s="37">
        <f>INDEX('feed pars'!$AC$6:$AC$46,MATCH($A10,'feed pars'!$B$6:$B$46,0))</f>
        <v>11</v>
      </c>
      <c r="AR10" s="37"/>
      <c r="AT10" s="28" t="str">
        <f>'feed pars'!$B13</f>
        <v>barley</v>
      </c>
      <c r="AU10" t="s">
        <v>21</v>
      </c>
      <c r="AV10" t="s">
        <v>292</v>
      </c>
      <c r="AY10" s="37"/>
      <c r="AZ10" s="37">
        <f>INDEX('feed pars'!$AD$6:$AD$46,MATCH($A10,'feed pars'!$B$6:$B$46,0))</f>
        <v>11.2</v>
      </c>
      <c r="BA10" s="37"/>
    </row>
    <row r="11" spans="1:53" x14ac:dyDescent="0.25">
      <c r="A11" t="str">
        <f>'feed pars'!$B14</f>
        <v>oats</v>
      </c>
      <c r="D11">
        <f>INDEX('feed pars'!C$6:C$46,MATCH(A11,'feed pars'!B$6:B$46,0))</f>
        <v>86</v>
      </c>
      <c r="E11" s="28">
        <f>INDEX('feed pars'!D$6:D$46,MATCH(A11,'feed pars'!B$6:B$46,0))</f>
        <v>18.6602216</v>
      </c>
      <c r="F11" s="28"/>
      <c r="G11" s="28"/>
      <c r="H11" s="28"/>
      <c r="I11" s="28"/>
      <c r="J11" s="28" t="str">
        <f>'feed pars'!$B14</f>
        <v>oats</v>
      </c>
      <c r="K11" t="s">
        <v>20</v>
      </c>
      <c r="O11" s="37">
        <f>INDEX('feed pars'!$N$6:$N$46,MATCH($A11,'feed pars'!$B$6:$B$46,0))</f>
        <v>13.3</v>
      </c>
      <c r="P11" s="37">
        <f>INDEX('feed pars'!$M$6:$M$46,MATCH($A11,'feed pars'!$B$6:$B$46,0))</f>
        <v>11.7</v>
      </c>
      <c r="Q11" s="37">
        <f>INDEX('feed pars'!$P$6:$P$46,MATCH($A11,'feed pars'!$B$6:$B$46,0))</f>
        <v>61</v>
      </c>
      <c r="S11" s="28" t="str">
        <f>'feed pars'!$B14</f>
        <v>oats</v>
      </c>
      <c r="T11" t="s">
        <v>383</v>
      </c>
      <c r="X11" s="37">
        <f>INDEX('feed pars'!$N$6:$N$46,MATCH($A11,'feed pars'!$B$6:$B$46,0))</f>
        <v>13.3</v>
      </c>
      <c r="Y11" s="37">
        <f>INDEX('feed pars'!$M$6:$M$46,MATCH($A11,'feed pars'!$B$6:$B$46,0))</f>
        <v>11.7</v>
      </c>
      <c r="Z11" s="37">
        <f>INDEX('feed pars'!$P$6:$P$46,MATCH($A11,'feed pars'!$B$6:$B$46,0))</f>
        <v>61</v>
      </c>
      <c r="AB11" s="28" t="str">
        <f>'feed pars'!$B14</f>
        <v>oats</v>
      </c>
      <c r="AC11" t="s">
        <v>378</v>
      </c>
      <c r="AG11" s="37">
        <f>INDEX('feed pars'!$N$6:$N$46,MATCH($A11,'feed pars'!$B$6:$B$46,0))</f>
        <v>13.3</v>
      </c>
      <c r="AH11" s="37">
        <f>INDEX('feed pars'!$M$6:$M$46,MATCH($A11,'feed pars'!$B$6:$B$46,0))</f>
        <v>11.7</v>
      </c>
      <c r="AI11" s="37">
        <f>INDEX('feed pars'!$P$6:$P$46,MATCH($A11,'feed pars'!$B$6:$B$46,0))</f>
        <v>61</v>
      </c>
      <c r="AK11" s="28" t="str">
        <f>'feed pars'!$B14</f>
        <v>oats</v>
      </c>
      <c r="AL11" t="s">
        <v>21</v>
      </c>
      <c r="AP11" s="37">
        <f>INDEX('feed pars'!$AB$6:$AB$46,MATCH($A11,'feed pars'!$B$6:$B$46,0))</f>
        <v>12.7</v>
      </c>
      <c r="AQ11" s="37">
        <f>INDEX('feed pars'!$AC$6:$AC$46,MATCH($A11,'feed pars'!$B$6:$B$46,0))</f>
        <v>9</v>
      </c>
      <c r="AR11" s="37"/>
      <c r="AT11" s="28" t="str">
        <f>'feed pars'!$B14</f>
        <v>oats</v>
      </c>
      <c r="AU11" t="s">
        <v>21</v>
      </c>
      <c r="AV11" t="s">
        <v>292</v>
      </c>
      <c r="AY11" s="37"/>
      <c r="AZ11" s="37">
        <f>INDEX('feed pars'!$AD$6:$AD$46,MATCH($A11,'feed pars'!$B$6:$B$46,0))</f>
        <v>9.4</v>
      </c>
      <c r="BA11" s="37"/>
    </row>
    <row r="12" spans="1:53" x14ac:dyDescent="0.25">
      <c r="A12" t="str">
        <f>'feed pars'!$B15</f>
        <v>triticale</v>
      </c>
      <c r="D12">
        <f>INDEX('feed pars'!C$6:C$46,MATCH(A12,'feed pars'!B$6:B$46,0))</f>
        <v>86</v>
      </c>
      <c r="E12" s="28">
        <f>INDEX('feed pars'!D$6:D$46,MATCH(A12,'feed pars'!B$6:B$46,0))</f>
        <v>18.2284328</v>
      </c>
      <c r="F12" s="28"/>
      <c r="G12" s="28"/>
      <c r="H12" s="28"/>
      <c r="I12" s="28"/>
      <c r="J12" s="28" t="str">
        <f>'feed pars'!$B15</f>
        <v>triticale</v>
      </c>
      <c r="K12" t="s">
        <v>20</v>
      </c>
      <c r="O12" s="37">
        <f>INDEX('feed pars'!$N$6:$N$46,MATCH($A12,'feed pars'!$B$6:$B$46,0))</f>
        <v>15.8</v>
      </c>
      <c r="P12" s="37">
        <f>INDEX('feed pars'!$M$6:$M$46,MATCH($A12,'feed pars'!$B$6:$B$46,0))</f>
        <v>14</v>
      </c>
      <c r="Q12" s="37">
        <f>INDEX('feed pars'!$P$6:$P$46,MATCH($A12,'feed pars'!$B$6:$B$46,0))</f>
        <v>26</v>
      </c>
      <c r="S12" s="28" t="str">
        <f>'feed pars'!$B15</f>
        <v>triticale</v>
      </c>
      <c r="T12" t="s">
        <v>383</v>
      </c>
      <c r="X12" s="37">
        <f>INDEX('feed pars'!$N$6:$N$46,MATCH($A12,'feed pars'!$B$6:$B$46,0))</f>
        <v>15.8</v>
      </c>
      <c r="Y12" s="37">
        <f>INDEX('feed pars'!$M$6:$M$46,MATCH($A12,'feed pars'!$B$6:$B$46,0))</f>
        <v>14</v>
      </c>
      <c r="Z12" s="37">
        <f>INDEX('feed pars'!$P$6:$P$46,MATCH($A12,'feed pars'!$B$6:$B$46,0))</f>
        <v>26</v>
      </c>
      <c r="AB12" s="28" t="str">
        <f>'feed pars'!$B15</f>
        <v>triticale</v>
      </c>
      <c r="AC12" t="s">
        <v>378</v>
      </c>
      <c r="AG12" s="37">
        <f>INDEX('feed pars'!$N$6:$N$46,MATCH($A12,'feed pars'!$B$6:$B$46,0))</f>
        <v>15.8</v>
      </c>
      <c r="AH12" s="37">
        <f>INDEX('feed pars'!$M$6:$M$46,MATCH($A12,'feed pars'!$B$6:$B$46,0))</f>
        <v>14</v>
      </c>
      <c r="AI12" s="37">
        <f>INDEX('feed pars'!$P$6:$P$46,MATCH($A12,'feed pars'!$B$6:$B$46,0))</f>
        <v>26</v>
      </c>
      <c r="AK12" s="28" t="str">
        <f>'feed pars'!$B15</f>
        <v>triticale</v>
      </c>
      <c r="AL12" t="s">
        <v>21</v>
      </c>
      <c r="AP12" s="37">
        <f>INDEX('feed pars'!$AB$6:$AB$46,MATCH($A12,'feed pars'!$B$6:$B$46,0))</f>
        <v>15.6</v>
      </c>
      <c r="AQ12" s="37">
        <f>INDEX('feed pars'!$AC$6:$AC$46,MATCH($A12,'feed pars'!$B$6:$B$46,0))</f>
        <v>11.9</v>
      </c>
      <c r="AR12" s="37"/>
      <c r="AT12" s="28" t="str">
        <f>'feed pars'!$B15</f>
        <v>triticale</v>
      </c>
      <c r="AU12" t="s">
        <v>21</v>
      </c>
      <c r="AV12" t="s">
        <v>292</v>
      </c>
      <c r="AY12" s="37"/>
      <c r="AZ12" s="37">
        <f>INDEX('feed pars'!$AD$6:$AD$46,MATCH($A12,'feed pars'!$B$6:$B$46,0))</f>
        <v>12</v>
      </c>
      <c r="BA12" s="37"/>
    </row>
    <row r="13" spans="1:53" x14ac:dyDescent="0.25">
      <c r="A13" t="str">
        <f>'feed pars'!$B16</f>
        <v>rye</v>
      </c>
      <c r="D13">
        <f>INDEX('feed pars'!C$6:C$46,MATCH(A13,'feed pars'!B$6:B$46,0))</f>
        <v>86</v>
      </c>
      <c r="E13" s="28">
        <f>INDEX('feed pars'!D$6:D$46,MATCH(A13,'feed pars'!B$6:B$46,0))</f>
        <v>17.924256</v>
      </c>
      <c r="F13" s="28"/>
      <c r="G13" s="28"/>
      <c r="H13" s="28"/>
      <c r="I13" s="28"/>
      <c r="J13" s="28" t="str">
        <f>'feed pars'!$B16</f>
        <v>rye</v>
      </c>
      <c r="K13" t="s">
        <v>20</v>
      </c>
      <c r="O13" s="37">
        <f>INDEX('feed pars'!$N$6:$N$46,MATCH($A13,'feed pars'!$B$6:$B$46,0))</f>
        <v>15.8</v>
      </c>
      <c r="P13" s="37">
        <f>INDEX('feed pars'!$M$6:$M$46,MATCH($A13,'feed pars'!$B$6:$B$46,0))</f>
        <v>13.9</v>
      </c>
      <c r="Q13" s="37">
        <f>INDEX('feed pars'!$P$6:$P$46,MATCH($A13,'feed pars'!$B$6:$B$46,0))</f>
        <v>20</v>
      </c>
      <c r="S13" s="28" t="str">
        <f>'feed pars'!$B16</f>
        <v>rye</v>
      </c>
      <c r="T13" t="s">
        <v>383</v>
      </c>
      <c r="X13" s="37">
        <f>INDEX('feed pars'!$N$6:$N$46,MATCH($A13,'feed pars'!$B$6:$B$46,0))</f>
        <v>15.8</v>
      </c>
      <c r="Y13" s="37">
        <f>INDEX('feed pars'!$M$6:$M$46,MATCH($A13,'feed pars'!$B$6:$B$46,0))</f>
        <v>13.9</v>
      </c>
      <c r="Z13" s="37">
        <f>INDEX('feed pars'!$P$6:$P$46,MATCH($A13,'feed pars'!$B$6:$B$46,0))</f>
        <v>20</v>
      </c>
      <c r="AB13" s="28" t="str">
        <f>'feed pars'!$B16</f>
        <v>rye</v>
      </c>
      <c r="AC13" t="s">
        <v>378</v>
      </c>
      <c r="AG13" s="37">
        <f>INDEX('feed pars'!$N$6:$N$46,MATCH($A13,'feed pars'!$B$6:$B$46,0))</f>
        <v>15.8</v>
      </c>
      <c r="AH13" s="37">
        <f>INDEX('feed pars'!$M$6:$M$46,MATCH($A13,'feed pars'!$B$6:$B$46,0))</f>
        <v>13.9</v>
      </c>
      <c r="AI13" s="37">
        <f>INDEX('feed pars'!$P$6:$P$46,MATCH($A13,'feed pars'!$B$6:$B$46,0))</f>
        <v>20</v>
      </c>
      <c r="AK13" s="28" t="str">
        <f>'feed pars'!$B16</f>
        <v>rye</v>
      </c>
      <c r="AL13" t="s">
        <v>21</v>
      </c>
      <c r="AP13" s="37">
        <f>INDEX('feed pars'!$AB$6:$AB$46,MATCH($A13,'feed pars'!$B$6:$B$46,0))</f>
        <v>0</v>
      </c>
      <c r="AQ13" s="37">
        <f>INDEX('feed pars'!$AC$6:$AC$46,MATCH($A13,'feed pars'!$B$6:$B$46,0))</f>
        <v>11.3</v>
      </c>
      <c r="AR13" s="37"/>
      <c r="AT13" s="28" t="str">
        <f>'feed pars'!$B16</f>
        <v>rye</v>
      </c>
      <c r="AU13" t="s">
        <v>21</v>
      </c>
      <c r="AV13" t="s">
        <v>292</v>
      </c>
      <c r="AY13" s="37"/>
      <c r="AZ13" s="37">
        <f>INDEX('feed pars'!$AD$6:$AD$46,MATCH($A13,'feed pars'!$B$6:$B$46,0))</f>
        <v>11.5</v>
      </c>
      <c r="BA13" s="37"/>
    </row>
    <row r="14" spans="1:53" x14ac:dyDescent="0.25">
      <c r="A14" t="str">
        <f>'feed pars'!$B17</f>
        <v>maize</v>
      </c>
      <c r="D14">
        <f>INDEX('feed pars'!C$6:C$46,MATCH(A14,'feed pars'!B$6:B$46,0))</f>
        <v>86</v>
      </c>
      <c r="E14" s="28">
        <f>INDEX('feed pars'!D$6:D$46,MATCH(A14,'feed pars'!B$6:B$46,0))</f>
        <v>18.3899352</v>
      </c>
      <c r="F14" s="28"/>
      <c r="G14" s="28"/>
      <c r="H14" s="28"/>
      <c r="I14" s="28"/>
      <c r="J14" s="28" t="str">
        <f>'feed pars'!$B17</f>
        <v>maize</v>
      </c>
      <c r="K14" t="s">
        <v>20</v>
      </c>
      <c r="O14" s="37">
        <f>INDEX('feed pars'!$N$6:$N$46,MATCH($A14,'feed pars'!$B$6:$B$46,0))</f>
        <v>14.5</v>
      </c>
      <c r="P14" s="37">
        <f>INDEX('feed pars'!$M$6:$M$46,MATCH($A14,'feed pars'!$B$6:$B$46,0))</f>
        <v>12.8</v>
      </c>
      <c r="Q14" s="37">
        <f>INDEX('feed pars'!$P$6:$P$46,MATCH($A14,'feed pars'!$B$6:$B$46,0))</f>
        <v>40</v>
      </c>
      <c r="S14" s="28" t="str">
        <f>'feed pars'!$B17</f>
        <v>maize</v>
      </c>
      <c r="T14" t="s">
        <v>383</v>
      </c>
      <c r="X14" s="37">
        <f>INDEX('feed pars'!$N$6:$N$46,MATCH($A14,'feed pars'!$B$6:$B$46,0))</f>
        <v>14.5</v>
      </c>
      <c r="Y14" s="37">
        <f>INDEX('feed pars'!$M$6:$M$46,MATCH($A14,'feed pars'!$B$6:$B$46,0))</f>
        <v>12.8</v>
      </c>
      <c r="Z14" s="37">
        <f>INDEX('feed pars'!$P$6:$P$46,MATCH($A14,'feed pars'!$B$6:$B$46,0))</f>
        <v>40</v>
      </c>
      <c r="AB14" s="28" t="str">
        <f>'feed pars'!$B17</f>
        <v>maize</v>
      </c>
      <c r="AC14" t="s">
        <v>378</v>
      </c>
      <c r="AG14" s="37">
        <f>INDEX('feed pars'!$N$6:$N$46,MATCH($A14,'feed pars'!$B$6:$B$46,0))</f>
        <v>14.5</v>
      </c>
      <c r="AH14" s="37">
        <f>INDEX('feed pars'!$M$6:$M$46,MATCH($A14,'feed pars'!$B$6:$B$46,0))</f>
        <v>12.8</v>
      </c>
      <c r="AI14" s="37">
        <f>INDEX('feed pars'!$P$6:$P$46,MATCH($A14,'feed pars'!$B$6:$B$46,0))</f>
        <v>40</v>
      </c>
      <c r="AK14" s="28" t="str">
        <f>'feed pars'!$B17</f>
        <v>maize</v>
      </c>
      <c r="AL14" t="s">
        <v>21</v>
      </c>
      <c r="AP14" s="37">
        <f>INDEX('feed pars'!$AB$6:$AB$46,MATCH($A14,'feed pars'!$B$6:$B$46,0))</f>
        <v>16.5</v>
      </c>
      <c r="AQ14" s="37">
        <f>INDEX('feed pars'!$AC$6:$AC$46,MATCH($A14,'feed pars'!$B$6:$B$46,0))</f>
        <v>12.8</v>
      </c>
      <c r="AR14" s="37"/>
      <c r="AT14" s="28" t="str">
        <f>'feed pars'!$B17</f>
        <v>maize</v>
      </c>
      <c r="AU14" t="s">
        <v>21</v>
      </c>
      <c r="AV14" t="s">
        <v>292</v>
      </c>
      <c r="AY14" s="37"/>
      <c r="AZ14" s="37">
        <f>INDEX('feed pars'!$AD$6:$AD$46,MATCH($A14,'feed pars'!$B$6:$B$46,0))</f>
        <v>13.2</v>
      </c>
      <c r="BA14" s="37"/>
    </row>
    <row r="15" spans="1:53" x14ac:dyDescent="0.25">
      <c r="A15" t="str">
        <f>'feed pars'!$B18</f>
        <v>peas</v>
      </c>
      <c r="D15">
        <f>INDEX('feed pars'!C$6:C$46,MATCH(A15,'feed pars'!B$6:B$46,0))</f>
        <v>85</v>
      </c>
      <c r="E15" s="28">
        <f>INDEX('feed pars'!D$6:D$46,MATCH(A15,'feed pars'!B$6:B$46,0))</f>
        <v>18.478217600000001</v>
      </c>
      <c r="F15" s="28"/>
      <c r="G15" s="28"/>
      <c r="H15" s="28"/>
      <c r="I15" s="28"/>
      <c r="J15" s="28" t="str">
        <f>'feed pars'!$B18</f>
        <v>peas</v>
      </c>
      <c r="K15" t="s">
        <v>20</v>
      </c>
      <c r="O15" s="37">
        <f>INDEX('feed pars'!$N$6:$N$46,MATCH($A15,'feed pars'!$B$6:$B$46,0))</f>
        <v>16</v>
      </c>
      <c r="P15" s="37">
        <f>INDEX('feed pars'!$M$6:$M$46,MATCH($A15,'feed pars'!$B$6:$B$46,0))</f>
        <v>13.8</v>
      </c>
      <c r="Q15" s="37">
        <f>INDEX('feed pars'!$P$6:$P$46,MATCH($A15,'feed pars'!$B$6:$B$46,0))</f>
        <v>17</v>
      </c>
      <c r="S15" s="28" t="str">
        <f>'feed pars'!$B18</f>
        <v>peas</v>
      </c>
      <c r="T15" t="s">
        <v>383</v>
      </c>
      <c r="X15" s="37">
        <f>INDEX('feed pars'!$N$6:$N$46,MATCH($A15,'feed pars'!$B$6:$B$46,0))</f>
        <v>16</v>
      </c>
      <c r="Y15" s="37">
        <f>INDEX('feed pars'!$M$6:$M$46,MATCH($A15,'feed pars'!$B$6:$B$46,0))</f>
        <v>13.8</v>
      </c>
      <c r="Z15" s="37">
        <f>INDEX('feed pars'!$P$6:$P$46,MATCH($A15,'feed pars'!$B$6:$B$46,0))</f>
        <v>17</v>
      </c>
      <c r="AB15" s="28" t="str">
        <f>'feed pars'!$B18</f>
        <v>peas</v>
      </c>
      <c r="AC15" t="s">
        <v>378</v>
      </c>
      <c r="AG15" s="37">
        <f>INDEX('feed pars'!$N$6:$N$46,MATCH($A15,'feed pars'!$B$6:$B$46,0))</f>
        <v>16</v>
      </c>
      <c r="AH15" s="37">
        <f>INDEX('feed pars'!$M$6:$M$46,MATCH($A15,'feed pars'!$B$6:$B$46,0))</f>
        <v>13.8</v>
      </c>
      <c r="AI15" s="37">
        <f>INDEX('feed pars'!$P$6:$P$46,MATCH($A15,'feed pars'!$B$6:$B$46,0))</f>
        <v>17</v>
      </c>
      <c r="AK15" s="28" t="str">
        <f>'feed pars'!$B18</f>
        <v>peas</v>
      </c>
      <c r="AL15" t="s">
        <v>21</v>
      </c>
      <c r="AP15" s="37">
        <f>INDEX('feed pars'!$AB$6:$AB$46,MATCH($A15,'feed pars'!$B$6:$B$46,0))</f>
        <v>16.100000000000001</v>
      </c>
      <c r="AQ15" s="37">
        <f>INDEX('feed pars'!$AC$6:$AC$46,MATCH($A15,'feed pars'!$B$6:$B$46,0))</f>
        <v>11.2</v>
      </c>
      <c r="AR15" s="37"/>
      <c r="AT15" s="28" t="str">
        <f>'feed pars'!$B18</f>
        <v>peas</v>
      </c>
      <c r="AU15" t="s">
        <v>21</v>
      </c>
      <c r="AV15" t="s">
        <v>292</v>
      </c>
      <c r="AY15" s="37"/>
      <c r="AZ15" s="37">
        <f>INDEX('feed pars'!$AD$6:$AD$46,MATCH($A15,'feed pars'!$B$6:$B$46,0))</f>
        <v>11.5</v>
      </c>
      <c r="BA15" s="37"/>
    </row>
    <row r="16" spans="1:53" x14ac:dyDescent="0.25">
      <c r="A16" t="str">
        <f>'feed pars'!$B19</f>
        <v>broad beans</v>
      </c>
      <c r="D16">
        <f>INDEX('feed pars'!C$6:C$46,MATCH(A16,'feed pars'!B$6:B$46,0))</f>
        <v>85</v>
      </c>
      <c r="E16" s="28">
        <f>INDEX('feed pars'!D$6:D$46,MATCH(A16,'feed pars'!B$6:B$46,0))</f>
        <v>18.737207199999997</v>
      </c>
      <c r="F16" s="28"/>
      <c r="G16" s="28"/>
      <c r="H16" s="28"/>
      <c r="I16" s="28"/>
      <c r="J16" s="28" t="str">
        <f>'feed pars'!$B19</f>
        <v>broad beans</v>
      </c>
      <c r="K16" t="s">
        <v>20</v>
      </c>
      <c r="O16" s="37">
        <f>INDEX('feed pars'!$N$6:$N$46,MATCH($A16,'feed pars'!$B$6:$B$46,0))</f>
        <v>12.6</v>
      </c>
      <c r="P16" s="37">
        <f>INDEX('feed pars'!$M$6:$M$46,MATCH($A16,'feed pars'!$B$6:$B$46,0))</f>
        <v>13.3</v>
      </c>
      <c r="Q16" s="37">
        <f>INDEX('feed pars'!$P$6:$P$46,MATCH($A16,'feed pars'!$B$6:$B$46,0))</f>
        <v>14</v>
      </c>
      <c r="S16" s="28" t="str">
        <f>'feed pars'!$B19</f>
        <v>broad beans</v>
      </c>
      <c r="T16" t="s">
        <v>383</v>
      </c>
      <c r="X16" s="37">
        <f>INDEX('feed pars'!$N$6:$N$46,MATCH($A16,'feed pars'!$B$6:$B$46,0))</f>
        <v>12.6</v>
      </c>
      <c r="Y16" s="37">
        <f>INDEX('feed pars'!$M$6:$M$46,MATCH($A16,'feed pars'!$B$6:$B$46,0))</f>
        <v>13.3</v>
      </c>
      <c r="Z16" s="37">
        <f>INDEX('feed pars'!$P$6:$P$46,MATCH($A16,'feed pars'!$B$6:$B$46,0))</f>
        <v>14</v>
      </c>
      <c r="AB16" s="28" t="str">
        <f>'feed pars'!$B19</f>
        <v>broad beans</v>
      </c>
      <c r="AC16" t="s">
        <v>378</v>
      </c>
      <c r="AG16" s="37">
        <f>INDEX('feed pars'!$N$6:$N$46,MATCH($A16,'feed pars'!$B$6:$B$46,0))</f>
        <v>12.6</v>
      </c>
      <c r="AH16" s="37">
        <f>INDEX('feed pars'!$M$6:$M$46,MATCH($A16,'feed pars'!$B$6:$B$46,0))</f>
        <v>13.3</v>
      </c>
      <c r="AI16" s="37">
        <f>INDEX('feed pars'!$P$6:$P$46,MATCH($A16,'feed pars'!$B$6:$B$46,0))</f>
        <v>14</v>
      </c>
      <c r="AK16" s="28" t="str">
        <f>'feed pars'!$B19</f>
        <v>broad beans</v>
      </c>
      <c r="AL16" t="s">
        <v>21</v>
      </c>
      <c r="AP16" s="37">
        <f>INDEX('feed pars'!$AB$6:$AB$46,MATCH($A16,'feed pars'!$B$6:$B$46,0))</f>
        <v>15.5</v>
      </c>
      <c r="AQ16" s="37">
        <f>INDEX('feed pars'!$AC$6:$AC$46,MATCH($A16,'feed pars'!$B$6:$B$46,0))</f>
        <v>10.7</v>
      </c>
      <c r="AR16" s="37"/>
      <c r="AT16" s="28" t="str">
        <f>'feed pars'!$B19</f>
        <v>broad beans</v>
      </c>
      <c r="AU16" t="s">
        <v>21</v>
      </c>
      <c r="AV16" t="s">
        <v>292</v>
      </c>
      <c r="AY16" s="37"/>
      <c r="AZ16" s="37">
        <f>INDEX('feed pars'!$AD$6:$AD$46,MATCH($A16,'feed pars'!$B$6:$B$46,0))</f>
        <v>10.9</v>
      </c>
      <c r="BA16" s="37"/>
    </row>
    <row r="17" spans="1:53" x14ac:dyDescent="0.25">
      <c r="A17" t="str">
        <f>'feed pars'!$B20</f>
        <v>rapeseed</v>
      </c>
      <c r="D17">
        <f>INDEX('feed pars'!C$6:C$46,MATCH(A17,'feed pars'!B$6:B$46,0))</f>
        <v>91</v>
      </c>
      <c r="E17" s="28">
        <f>INDEX('feed pars'!D$6:D$46,MATCH(A17,'feed pars'!B$6:B$46,0))</f>
        <v>27.903096000000001</v>
      </c>
      <c r="F17" s="28"/>
      <c r="G17" s="28"/>
      <c r="H17" s="28"/>
      <c r="I17" s="28"/>
      <c r="J17" s="28" t="str">
        <f>'feed pars'!$B20</f>
        <v>rapeseed</v>
      </c>
      <c r="K17" t="s">
        <v>20</v>
      </c>
      <c r="O17" s="37">
        <f>INDEX('feed pars'!$N$6:$N$46,MATCH($A17,'feed pars'!$B$6:$B$46,0))</f>
        <v>22.1</v>
      </c>
      <c r="P17" s="37">
        <f>INDEX('feed pars'!$M$6:$M$46,MATCH($A17,'feed pars'!$B$6:$B$46,0))</f>
        <v>22.1</v>
      </c>
      <c r="Q17" s="37">
        <f>INDEX('feed pars'!$P$6:$P$46,MATCH($A17,'feed pars'!$B$6:$B$46,0))</f>
        <v>460</v>
      </c>
      <c r="S17" s="28" t="str">
        <f>'feed pars'!$B20</f>
        <v>rapeseed</v>
      </c>
      <c r="T17" t="s">
        <v>383</v>
      </c>
      <c r="X17" s="37">
        <f>INDEX('feed pars'!$N$6:$N$46,MATCH($A17,'feed pars'!$B$6:$B$46,0))</f>
        <v>22.1</v>
      </c>
      <c r="Y17" s="37">
        <f>INDEX('feed pars'!$M$6:$M$46,MATCH($A17,'feed pars'!$B$6:$B$46,0))</f>
        <v>22.1</v>
      </c>
      <c r="Z17" s="37">
        <f>INDEX('feed pars'!$P$6:$P$46,MATCH($A17,'feed pars'!$B$6:$B$46,0))</f>
        <v>460</v>
      </c>
      <c r="AB17" s="28" t="str">
        <f>'feed pars'!$B20</f>
        <v>rapeseed</v>
      </c>
      <c r="AC17" t="s">
        <v>378</v>
      </c>
      <c r="AG17" s="37">
        <f>INDEX('feed pars'!$N$6:$N$46,MATCH($A17,'feed pars'!$B$6:$B$46,0))</f>
        <v>22.1</v>
      </c>
      <c r="AH17" s="37">
        <f>INDEX('feed pars'!$M$6:$M$46,MATCH($A17,'feed pars'!$B$6:$B$46,0))</f>
        <v>22.1</v>
      </c>
      <c r="AI17" s="37">
        <f>INDEX('feed pars'!$P$6:$P$46,MATCH($A17,'feed pars'!$B$6:$B$46,0))</f>
        <v>460</v>
      </c>
      <c r="AK17" s="28" t="str">
        <f>'feed pars'!$B20</f>
        <v>rapeseed</v>
      </c>
      <c r="AL17" t="s">
        <v>21</v>
      </c>
      <c r="AP17" s="37">
        <f>INDEX('feed pars'!$AB$6:$AB$46,MATCH($A17,'feed pars'!$B$6:$B$46,0))</f>
        <v>23.5</v>
      </c>
      <c r="AQ17" s="37">
        <f>INDEX('feed pars'!$AC$6:$AC$46,MATCH($A17,'feed pars'!$B$6:$B$46,0))</f>
        <v>18</v>
      </c>
      <c r="AR17" s="37"/>
      <c r="AT17" s="28" t="str">
        <f>'feed pars'!$B20</f>
        <v>rapeseed</v>
      </c>
      <c r="AU17" t="s">
        <v>21</v>
      </c>
      <c r="AV17" t="s">
        <v>292</v>
      </c>
      <c r="AY17" s="37"/>
      <c r="AZ17" s="37">
        <f>INDEX('feed pars'!$AD$6:$AD$46,MATCH($A17,'feed pars'!$B$6:$B$46,0))</f>
        <v>18.5</v>
      </c>
      <c r="BA17" s="37"/>
    </row>
    <row r="18" spans="1:53" x14ac:dyDescent="0.25">
      <c r="A18" t="str">
        <f>'feed pars'!$B21</f>
        <v>linseed</v>
      </c>
      <c r="D18">
        <f>INDEX('feed pars'!C$6:C$46,MATCH(A18,'feed pars'!B$6:B$46,0))</f>
        <v>91</v>
      </c>
      <c r="E18" s="28">
        <f>INDEX('feed pars'!D$6:D$46,MATCH(A18,'feed pars'!B$6:B$46,0))</f>
        <v>26.501456000000001</v>
      </c>
      <c r="F18" s="28"/>
      <c r="G18" s="28"/>
      <c r="H18" s="28"/>
      <c r="I18" s="28"/>
      <c r="J18" s="28" t="str">
        <f>'feed pars'!$B21</f>
        <v>linseed</v>
      </c>
      <c r="K18" t="s">
        <v>20</v>
      </c>
      <c r="O18" s="37">
        <f>INDEX('feed pars'!$N$6:$N$46,MATCH($A18,'feed pars'!$B$6:$B$46,0))</f>
        <v>20.8</v>
      </c>
      <c r="P18" s="37">
        <f>INDEX('feed pars'!$M$6:$M$46,MATCH($A18,'feed pars'!$B$6:$B$46,0))</f>
        <v>20.100000000000001</v>
      </c>
      <c r="Q18" s="37">
        <f>INDEX('feed pars'!$P$6:$P$46,MATCH($A18,'feed pars'!$B$6:$B$46,0))</f>
        <v>380</v>
      </c>
      <c r="S18" s="28" t="str">
        <f>'feed pars'!$B21</f>
        <v>linseed</v>
      </c>
      <c r="T18" t="s">
        <v>383</v>
      </c>
      <c r="X18" s="37">
        <f>INDEX('feed pars'!$N$6:$N$46,MATCH($A18,'feed pars'!$B$6:$B$46,0))</f>
        <v>20.8</v>
      </c>
      <c r="Y18" s="37">
        <f>INDEX('feed pars'!$M$6:$M$46,MATCH($A18,'feed pars'!$B$6:$B$46,0))</f>
        <v>20.100000000000001</v>
      </c>
      <c r="Z18" s="37">
        <f>INDEX('feed pars'!$P$6:$P$46,MATCH($A18,'feed pars'!$B$6:$B$46,0))</f>
        <v>380</v>
      </c>
      <c r="AB18" s="28" t="str">
        <f>'feed pars'!$B21</f>
        <v>linseed</v>
      </c>
      <c r="AC18" t="s">
        <v>378</v>
      </c>
      <c r="AG18" s="37">
        <f>INDEX('feed pars'!$N$6:$N$46,MATCH($A18,'feed pars'!$B$6:$B$46,0))</f>
        <v>20.8</v>
      </c>
      <c r="AH18" s="37">
        <f>INDEX('feed pars'!$M$6:$M$46,MATCH($A18,'feed pars'!$B$6:$B$46,0))</f>
        <v>20.100000000000001</v>
      </c>
      <c r="AI18" s="37">
        <f>INDEX('feed pars'!$P$6:$P$46,MATCH($A18,'feed pars'!$B$6:$B$46,0))</f>
        <v>380</v>
      </c>
      <c r="AK18" s="28" t="str">
        <f>'feed pars'!$B21</f>
        <v>linseed</v>
      </c>
      <c r="AL18" t="s">
        <v>21</v>
      </c>
      <c r="AP18" s="37">
        <f>INDEX('feed pars'!$AB$6:$AB$46,MATCH($A18,'feed pars'!$B$6:$B$46,0))</f>
        <v>20.9</v>
      </c>
      <c r="AQ18" s="37">
        <f>INDEX('feed pars'!$AC$6:$AC$46,MATCH($A18,'feed pars'!$B$6:$B$46,0))</f>
        <v>17.3</v>
      </c>
      <c r="AR18" s="37"/>
      <c r="AT18" s="28" t="str">
        <f>'feed pars'!$B21</f>
        <v>linseed</v>
      </c>
      <c r="AU18" t="s">
        <v>21</v>
      </c>
      <c r="AV18" t="s">
        <v>292</v>
      </c>
      <c r="AY18" s="37"/>
      <c r="AZ18" s="37">
        <f>INDEX('feed pars'!$AD$6:$AD$46,MATCH($A18,'feed pars'!$B$6:$B$46,0))</f>
        <v>17.5</v>
      </c>
      <c r="BA18" s="37"/>
    </row>
    <row r="19" spans="1:53" x14ac:dyDescent="0.25">
      <c r="A19" t="str">
        <f>'feed pars'!$B22</f>
        <v>vegetable oils</v>
      </c>
      <c r="D19">
        <f>INDEX('feed pars'!C$6:C$46,MATCH(A19,'feed pars'!B$6:B$46,0))</f>
        <v>100</v>
      </c>
      <c r="E19" s="28">
        <f>INDEX('feed pars'!D$6:D$46,MATCH(A19,'feed pars'!B$6:B$46,0))</f>
        <v>39.329599999999999</v>
      </c>
      <c r="F19" s="28"/>
      <c r="G19" s="28"/>
      <c r="H19" s="28"/>
      <c r="I19" s="28"/>
      <c r="J19" s="28" t="str">
        <f>'feed pars'!$B22</f>
        <v>vegetable oils</v>
      </c>
      <c r="K19" t="s">
        <v>20</v>
      </c>
      <c r="O19" s="37">
        <f>INDEX('feed pars'!$N$6:$N$46,MATCH($A19,'feed pars'!$B$6:$B$46,0))</f>
        <v>36.6</v>
      </c>
      <c r="P19" s="37">
        <f>INDEX('feed pars'!$M$6:$M$46,MATCH($A19,'feed pars'!$B$6:$B$46,0))</f>
        <v>36.6</v>
      </c>
      <c r="Q19" s="37">
        <f>INDEX('feed pars'!$P$6:$P$46,MATCH($A19,'feed pars'!$B$6:$B$46,0))</f>
        <v>1000</v>
      </c>
      <c r="S19" s="28" t="str">
        <f>'feed pars'!$B22</f>
        <v>vegetable oils</v>
      </c>
      <c r="T19" t="s">
        <v>383</v>
      </c>
      <c r="X19" s="37">
        <f>INDEX('feed pars'!$N$6:$N$46,MATCH($A19,'feed pars'!$B$6:$B$46,0))</f>
        <v>36.6</v>
      </c>
      <c r="Y19" s="37">
        <f>INDEX('feed pars'!$M$6:$M$46,MATCH($A19,'feed pars'!$B$6:$B$46,0))</f>
        <v>36.6</v>
      </c>
      <c r="Z19" s="37">
        <f>INDEX('feed pars'!$P$6:$P$46,MATCH($A19,'feed pars'!$B$6:$B$46,0))</f>
        <v>1000</v>
      </c>
      <c r="AB19" s="28" t="str">
        <f>'feed pars'!$B22</f>
        <v>vegetable oils</v>
      </c>
      <c r="AC19" t="s">
        <v>378</v>
      </c>
      <c r="AG19" s="37">
        <f>INDEX('feed pars'!$N$6:$N$46,MATCH($A19,'feed pars'!$B$6:$B$46,0))</f>
        <v>36.6</v>
      </c>
      <c r="AH19" s="37">
        <f>INDEX('feed pars'!$M$6:$M$46,MATCH($A19,'feed pars'!$B$6:$B$46,0))</f>
        <v>36.6</v>
      </c>
      <c r="AI19" s="37">
        <f>INDEX('feed pars'!$P$6:$P$46,MATCH($A19,'feed pars'!$B$6:$B$46,0))</f>
        <v>1000</v>
      </c>
      <c r="AK19" s="28" t="str">
        <f>'feed pars'!$B22</f>
        <v>vegetable oils</v>
      </c>
      <c r="AL19" t="s">
        <v>21</v>
      </c>
      <c r="AP19" s="37">
        <f>INDEX('feed pars'!$AB$6:$AB$46,MATCH($A19,'feed pars'!$B$6:$B$46,0))</f>
        <v>34.5</v>
      </c>
      <c r="AQ19" s="37">
        <f>INDEX('feed pars'!$AC$6:$AC$46,MATCH($A19,'feed pars'!$B$6:$B$46,0))</f>
        <v>29.8</v>
      </c>
      <c r="AR19" s="37"/>
      <c r="AT19" s="28" t="str">
        <f>'feed pars'!$B22</f>
        <v>vegetable oils</v>
      </c>
      <c r="AU19" t="s">
        <v>21</v>
      </c>
      <c r="AV19" t="s">
        <v>292</v>
      </c>
      <c r="AY19" s="37"/>
      <c r="AZ19" s="37">
        <f>INDEX('feed pars'!$AD$6:$AD$46,MATCH($A19,'feed pars'!$B$6:$B$46,0))</f>
        <v>29.8</v>
      </c>
      <c r="BA19" s="37"/>
    </row>
    <row r="20" spans="1:53" x14ac:dyDescent="0.25">
      <c r="A20" t="str">
        <f>'feed pars'!$B23</f>
        <v>straw</v>
      </c>
      <c r="D20">
        <f>INDEX('feed pars'!C$6:C$46,MATCH(A20,'feed pars'!B$6:B$46,0))</f>
        <v>85</v>
      </c>
      <c r="E20" s="28">
        <f>INDEX('feed pars'!D$6:D$46,MATCH(A20,'feed pars'!B$6:B$46,0))</f>
        <v>16.927627199999996</v>
      </c>
      <c r="F20" s="28"/>
      <c r="G20" s="28"/>
      <c r="H20" s="28"/>
      <c r="I20" s="28"/>
      <c r="J20" s="28" t="str">
        <f>'feed pars'!$B23</f>
        <v>straw</v>
      </c>
      <c r="K20" t="s">
        <v>20</v>
      </c>
      <c r="O20" s="37">
        <f>INDEX('feed pars'!$N$6:$N$46,MATCH($A20,'feed pars'!$B$6:$B$46,0))</f>
        <v>7.6</v>
      </c>
      <c r="P20" s="37">
        <f>INDEX('feed pars'!$M$6:$M$46,MATCH($A20,'feed pars'!$B$6:$B$46,0))</f>
        <v>6.6</v>
      </c>
      <c r="Q20" s="37">
        <f>INDEX('feed pars'!$P$6:$P$46,MATCH($A20,'feed pars'!$B$6:$B$46,0))</f>
        <v>20</v>
      </c>
      <c r="S20" s="28" t="str">
        <f>'feed pars'!$B23</f>
        <v>straw</v>
      </c>
      <c r="T20" t="s">
        <v>383</v>
      </c>
      <c r="X20" s="37">
        <f>INDEX('feed pars'!$N$6:$N$46,MATCH($A20,'feed pars'!$B$6:$B$46,0))</f>
        <v>7.6</v>
      </c>
      <c r="Y20" s="37">
        <f>INDEX('feed pars'!$M$6:$M$46,MATCH($A20,'feed pars'!$B$6:$B$46,0))</f>
        <v>6.6</v>
      </c>
      <c r="Z20" s="37">
        <f>INDEX('feed pars'!$P$6:$P$46,MATCH($A20,'feed pars'!$B$6:$B$46,0))</f>
        <v>20</v>
      </c>
      <c r="AB20" s="28" t="str">
        <f>'feed pars'!$B23</f>
        <v>straw</v>
      </c>
      <c r="AC20" t="s">
        <v>378</v>
      </c>
      <c r="AG20" s="37">
        <f>INDEX('feed pars'!$N$6:$N$46,MATCH($A20,'feed pars'!$B$6:$B$46,0))</f>
        <v>7.6</v>
      </c>
      <c r="AH20" s="37">
        <f>INDEX('feed pars'!$M$6:$M$46,MATCH($A20,'feed pars'!$B$6:$B$46,0))</f>
        <v>6.6</v>
      </c>
      <c r="AI20" s="37">
        <f>INDEX('feed pars'!$P$6:$P$46,MATCH($A20,'feed pars'!$B$6:$B$46,0))</f>
        <v>20</v>
      </c>
      <c r="AK20" s="28" t="str">
        <f>'feed pars'!$B23</f>
        <v>straw</v>
      </c>
      <c r="AL20" t="s">
        <v>21</v>
      </c>
      <c r="AP20" s="37"/>
      <c r="AQ20" s="37"/>
      <c r="AR20" s="37"/>
      <c r="AT20" s="28" t="str">
        <f>'feed pars'!$B23</f>
        <v>straw</v>
      </c>
      <c r="AU20" t="s">
        <v>21</v>
      </c>
      <c r="AV20" t="s">
        <v>292</v>
      </c>
      <c r="AY20" s="37"/>
      <c r="AZ20" s="37"/>
      <c r="BA20" s="37"/>
    </row>
    <row r="21" spans="1:53" x14ac:dyDescent="0.25">
      <c r="A21" t="str">
        <f>'feed pars'!$B24</f>
        <v>soybeans</v>
      </c>
      <c r="D21">
        <f>INDEX('feed pars'!C$6:C$46,MATCH(A21,'feed pars'!B$6:B$46,0))</f>
        <v>87</v>
      </c>
      <c r="E21" s="28">
        <f>INDEX('feed pars'!D$6:D$46,MATCH(A21,'feed pars'!B$6:B$46,0))</f>
        <v>22.965976000000001</v>
      </c>
      <c r="F21" s="28"/>
      <c r="G21" s="28"/>
      <c r="H21" s="28"/>
      <c r="I21" s="28"/>
      <c r="J21" s="28" t="str">
        <f>'feed pars'!$B24</f>
        <v>soybeans</v>
      </c>
      <c r="K21" t="s">
        <v>20</v>
      </c>
      <c r="O21" s="37">
        <f>INDEX('feed pars'!$N$6:$N$46,MATCH($A21,'feed pars'!$B$6:$B$46,0))</f>
        <v>18.399999999999999</v>
      </c>
      <c r="P21" s="37">
        <f>INDEX('feed pars'!$M$6:$M$46,MATCH($A21,'feed pars'!$B$6:$B$46,0))</f>
        <v>16.399999999999999</v>
      </c>
      <c r="Q21" s="37">
        <f>INDEX('feed pars'!$P$6:$P$46,MATCH($A21,'feed pars'!$B$6:$B$46,0))</f>
        <v>180</v>
      </c>
      <c r="S21" s="28" t="str">
        <f>'feed pars'!$B24</f>
        <v>soybeans</v>
      </c>
      <c r="T21" t="s">
        <v>383</v>
      </c>
      <c r="X21" s="37">
        <f>INDEX('feed pars'!$N$6:$N$46,MATCH($A21,'feed pars'!$B$6:$B$46,0))</f>
        <v>18.399999999999999</v>
      </c>
      <c r="Y21" s="37">
        <f>INDEX('feed pars'!$M$6:$M$46,MATCH($A21,'feed pars'!$B$6:$B$46,0))</f>
        <v>16.399999999999999</v>
      </c>
      <c r="Z21" s="37">
        <f>INDEX('feed pars'!$P$6:$P$46,MATCH($A21,'feed pars'!$B$6:$B$46,0))</f>
        <v>180</v>
      </c>
      <c r="AB21" s="28" t="str">
        <f>'feed pars'!$B24</f>
        <v>soybeans</v>
      </c>
      <c r="AC21" t="s">
        <v>378</v>
      </c>
      <c r="AG21" s="37">
        <f>INDEX('feed pars'!$N$6:$N$46,MATCH($A21,'feed pars'!$B$6:$B$46,0))</f>
        <v>18.399999999999999</v>
      </c>
      <c r="AH21" s="37">
        <f>INDEX('feed pars'!$M$6:$M$46,MATCH($A21,'feed pars'!$B$6:$B$46,0))</f>
        <v>16.399999999999999</v>
      </c>
      <c r="AI21" s="37">
        <f>INDEX('feed pars'!$P$6:$P$46,MATCH($A21,'feed pars'!$B$6:$B$46,0))</f>
        <v>180</v>
      </c>
      <c r="AK21" s="28" t="str">
        <f>'feed pars'!$B24</f>
        <v>soybeans</v>
      </c>
      <c r="AL21" t="s">
        <v>21</v>
      </c>
      <c r="AP21" s="37"/>
      <c r="AQ21" s="37"/>
      <c r="AR21" s="37"/>
      <c r="AT21" s="28" t="str">
        <f>'feed pars'!$B24</f>
        <v>soybeans</v>
      </c>
      <c r="AU21" t="s">
        <v>21</v>
      </c>
      <c r="AV21" t="s">
        <v>292</v>
      </c>
      <c r="AY21" s="37"/>
      <c r="AZ21" s="37"/>
      <c r="BA21" s="37"/>
    </row>
    <row r="22" spans="1:53" x14ac:dyDescent="0.25">
      <c r="A22" t="str">
        <f>'feed pars'!$B25</f>
        <v>soybean meal</v>
      </c>
      <c r="D22">
        <f>INDEX('feed pars'!C$6:C$46,MATCH(A22,'feed pars'!B$6:B$46,0))</f>
        <v>87.5</v>
      </c>
      <c r="E22" s="28">
        <f>INDEX('feed pars'!D$6:D$46,MATCH(A22,'feed pars'!B$6:B$46,0))</f>
        <v>19.589487999999999</v>
      </c>
      <c r="F22" s="28"/>
      <c r="G22" s="28"/>
      <c r="H22" s="28"/>
      <c r="I22" s="28"/>
      <c r="J22" s="28" t="str">
        <f>'feed pars'!$B25</f>
        <v>soybean meal</v>
      </c>
      <c r="K22" t="s">
        <v>20</v>
      </c>
      <c r="O22" s="37">
        <f>INDEX('feed pars'!$N$6:$N$46,MATCH($A22,'feed pars'!$B$6:$B$46,0))</f>
        <v>17.8</v>
      </c>
      <c r="P22" s="37">
        <f>INDEX('feed pars'!$M$6:$M$46,MATCH($A22,'feed pars'!$B$6:$B$46,0))</f>
        <v>14.6</v>
      </c>
      <c r="Q22" s="37">
        <f>INDEX('feed pars'!$P$6:$P$46,MATCH($A22,'feed pars'!$B$6:$B$46,0))</f>
        <v>10</v>
      </c>
      <c r="S22" s="28" t="str">
        <f>'feed pars'!$B25</f>
        <v>soybean meal</v>
      </c>
      <c r="T22" t="s">
        <v>383</v>
      </c>
      <c r="X22" s="37">
        <f>INDEX('feed pars'!$N$6:$N$46,MATCH($A22,'feed pars'!$B$6:$B$46,0))</f>
        <v>17.8</v>
      </c>
      <c r="Y22" s="37">
        <f>INDEX('feed pars'!$M$6:$M$46,MATCH($A22,'feed pars'!$B$6:$B$46,0))</f>
        <v>14.6</v>
      </c>
      <c r="Z22" s="37">
        <f>INDEX('feed pars'!$P$6:$P$46,MATCH($A22,'feed pars'!$B$6:$B$46,0))</f>
        <v>10</v>
      </c>
      <c r="AB22" s="28" t="str">
        <f>'feed pars'!$B25</f>
        <v>soybean meal</v>
      </c>
      <c r="AC22" t="s">
        <v>378</v>
      </c>
      <c r="AG22" s="37">
        <f>INDEX('feed pars'!$N$6:$N$46,MATCH($A22,'feed pars'!$B$6:$B$46,0))</f>
        <v>17.8</v>
      </c>
      <c r="AH22" s="37">
        <f>INDEX('feed pars'!$M$6:$M$46,MATCH($A22,'feed pars'!$B$6:$B$46,0))</f>
        <v>14.6</v>
      </c>
      <c r="AI22" s="37">
        <f>INDEX('feed pars'!$P$6:$P$46,MATCH($A22,'feed pars'!$B$6:$B$46,0))</f>
        <v>10</v>
      </c>
      <c r="AK22" s="28" t="str">
        <f>'feed pars'!$B25</f>
        <v>soybean meal</v>
      </c>
      <c r="AL22" t="s">
        <v>21</v>
      </c>
      <c r="AP22" s="37">
        <f>INDEX('feed pars'!$AB$6:$AB$46,MATCH($A22,'feed pars'!$B$6:$B$46,0))</f>
        <v>16.8</v>
      </c>
      <c r="AQ22" s="37">
        <f>INDEX('feed pars'!$AC$6:$AC$46,MATCH($A22,'feed pars'!$B$6:$B$46,0))</f>
        <v>9.3000000000000007</v>
      </c>
      <c r="AR22" s="37"/>
      <c r="AT22" s="28" t="str">
        <f>'feed pars'!$B25</f>
        <v>soybean meal</v>
      </c>
      <c r="AU22" t="s">
        <v>21</v>
      </c>
      <c r="AV22" t="s">
        <v>292</v>
      </c>
      <c r="AY22" s="37"/>
      <c r="AZ22" s="37">
        <f>INDEX('feed pars'!$AD$6:$AD$46,MATCH($A22,'feed pars'!$B$6:$B$46,0))</f>
        <v>9.9</v>
      </c>
      <c r="BA22" s="37"/>
    </row>
    <row r="23" spans="1:53" x14ac:dyDescent="0.25">
      <c r="A23" t="str">
        <f>'feed pars'!$B26</f>
        <v>soybean protein concentrate</v>
      </c>
      <c r="D23">
        <f>INDEX('feed pars'!C$6:C$46,MATCH(A23,'feed pars'!B$6:B$46,0))</f>
        <v>87</v>
      </c>
      <c r="E23" s="28">
        <f>INDEX('feed pars'!D$6:D$46,MATCH(A23,'feed pars'!B$6:B$46,0))</f>
        <v>20.560594400000003</v>
      </c>
      <c r="F23" s="28"/>
      <c r="G23" s="28"/>
      <c r="H23" s="28"/>
      <c r="I23" s="28"/>
      <c r="J23" s="28" t="str">
        <f>'feed pars'!$B26</f>
        <v>soybean protein concentrate</v>
      </c>
      <c r="K23" t="s">
        <v>20</v>
      </c>
      <c r="O23" s="37"/>
      <c r="P23" s="37"/>
      <c r="Q23" s="37"/>
      <c r="S23" s="28" t="str">
        <f>'feed pars'!$B26</f>
        <v>soybean protein concentrate</v>
      </c>
      <c r="T23" t="s">
        <v>383</v>
      </c>
      <c r="X23" s="37"/>
      <c r="Y23" s="37"/>
      <c r="Z23" s="37"/>
      <c r="AB23" s="28" t="str">
        <f>'feed pars'!$B26</f>
        <v>soybean protein concentrate</v>
      </c>
      <c r="AC23" t="s">
        <v>378</v>
      </c>
      <c r="AG23" s="37"/>
      <c r="AH23" s="37"/>
      <c r="AI23" s="37"/>
      <c r="AK23" s="28" t="str">
        <f>'feed pars'!$B26</f>
        <v>soybean protein concentrate</v>
      </c>
      <c r="AL23" t="s">
        <v>21</v>
      </c>
      <c r="AP23" s="37">
        <f>INDEX('feed pars'!$AB$6:$AB$46,MATCH($A23,'feed pars'!$B$6:$B$46,0))</f>
        <v>17.3</v>
      </c>
      <c r="AQ23" s="37">
        <f>INDEX('feed pars'!$AC$6:$AC$46,MATCH($A23,'feed pars'!$B$6:$B$46,0))</f>
        <v>9.6999999999999993</v>
      </c>
      <c r="AR23" s="37"/>
      <c r="AT23" s="28" t="str">
        <f>'feed pars'!$B26</f>
        <v>soybean protein concentrate</v>
      </c>
      <c r="AU23" t="s">
        <v>21</v>
      </c>
      <c r="AV23" t="s">
        <v>292</v>
      </c>
      <c r="AY23" s="37"/>
      <c r="AZ23" s="37">
        <f>INDEX('feed pars'!$AD$6:$AD$46,MATCH($A23,'feed pars'!$B$6:$B$46,0))</f>
        <v>10.3</v>
      </c>
      <c r="BA23" s="37"/>
    </row>
    <row r="24" spans="1:53" x14ac:dyDescent="0.25">
      <c r="A24" t="str">
        <f>'feed pars'!$B27</f>
        <v>rapeseed meal</v>
      </c>
      <c r="D24">
        <f>INDEX('feed pars'!C$6:C$46,MATCH(A24,'feed pars'!B$6:B$46,0))</f>
        <v>89.5</v>
      </c>
      <c r="E24" s="28">
        <f>INDEX('feed pars'!D$6:D$46,MATCH(A24,'feed pars'!B$6:B$46,0))</f>
        <v>19.4920008</v>
      </c>
      <c r="F24" s="28"/>
      <c r="G24" s="28"/>
      <c r="H24" s="28"/>
      <c r="I24" s="28"/>
      <c r="J24" s="28" t="str">
        <f>'feed pars'!$B27</f>
        <v>rapeseed meal</v>
      </c>
      <c r="K24" t="s">
        <v>20</v>
      </c>
      <c r="O24" s="37">
        <f>INDEX('feed pars'!$N$6:$N$46,MATCH($A24,'feed pars'!$B$6:$B$46,0))</f>
        <v>14.6</v>
      </c>
      <c r="P24" s="37">
        <f>INDEX('feed pars'!$M$6:$M$46,MATCH($A24,'feed pars'!$B$6:$B$46,0))</f>
        <v>12.2</v>
      </c>
      <c r="Q24" s="37">
        <f>INDEX('feed pars'!$P$6:$P$46,MATCH($A24,'feed pars'!$B$6:$B$46,0))</f>
        <v>46</v>
      </c>
      <c r="S24" s="28" t="str">
        <f>'feed pars'!$B27</f>
        <v>rapeseed meal</v>
      </c>
      <c r="T24" t="s">
        <v>383</v>
      </c>
      <c r="X24" s="37">
        <f>INDEX('feed pars'!$N$6:$N$46,MATCH($A24,'feed pars'!$B$6:$B$46,0))</f>
        <v>14.6</v>
      </c>
      <c r="Y24" s="37">
        <f>INDEX('feed pars'!$M$6:$M$46,MATCH($A24,'feed pars'!$B$6:$B$46,0))</f>
        <v>12.2</v>
      </c>
      <c r="Z24" s="37">
        <f>INDEX('feed pars'!$P$6:$P$46,MATCH($A24,'feed pars'!$B$6:$B$46,0))</f>
        <v>46</v>
      </c>
      <c r="AB24" s="28" t="str">
        <f>'feed pars'!$B27</f>
        <v>rapeseed meal</v>
      </c>
      <c r="AC24" t="s">
        <v>378</v>
      </c>
      <c r="AG24" s="37">
        <f>INDEX('feed pars'!$N$6:$N$46,MATCH($A24,'feed pars'!$B$6:$B$46,0))</f>
        <v>14.6</v>
      </c>
      <c r="AH24" s="37">
        <f>INDEX('feed pars'!$M$6:$M$46,MATCH($A24,'feed pars'!$B$6:$B$46,0))</f>
        <v>12.2</v>
      </c>
      <c r="AI24" s="37">
        <f>INDEX('feed pars'!$P$6:$P$46,MATCH($A24,'feed pars'!$B$6:$B$46,0))</f>
        <v>46</v>
      </c>
      <c r="AK24" s="28" t="str">
        <f>'feed pars'!$B27</f>
        <v>rapeseed meal</v>
      </c>
      <c r="AL24" t="s">
        <v>21</v>
      </c>
      <c r="AP24" s="37">
        <f>INDEX('feed pars'!$AB$6:$AB$46,MATCH($A24,'feed pars'!$B$6:$B$46,0))</f>
        <v>13.3</v>
      </c>
      <c r="AQ24" s="37">
        <f>INDEX('feed pars'!$AC$6:$AC$46,MATCH($A24,'feed pars'!$B$6:$B$46,0))</f>
        <v>7.1</v>
      </c>
      <c r="AR24" s="37"/>
      <c r="AT24" s="28" t="str">
        <f>'feed pars'!$B27</f>
        <v>rapeseed meal</v>
      </c>
      <c r="AU24" t="s">
        <v>21</v>
      </c>
      <c r="AV24" t="s">
        <v>292</v>
      </c>
      <c r="AY24" s="37"/>
      <c r="AZ24" s="37">
        <f>INDEX('feed pars'!$AD$6:$AD$46,MATCH($A24,'feed pars'!$B$6:$B$46,0))</f>
        <v>7.7</v>
      </c>
      <c r="BA24" s="37"/>
    </row>
    <row r="25" spans="1:53" x14ac:dyDescent="0.25">
      <c r="A25" t="str">
        <f>'feed pars'!$B28</f>
        <v>sunflower seed meal</v>
      </c>
      <c r="D25">
        <f>INDEX('feed pars'!C$6:C$46,MATCH(A25,'feed pars'!B$6:B$46,0))</f>
        <v>91</v>
      </c>
      <c r="E25" s="28">
        <f>INDEX('feed pars'!D$6:D$46,MATCH(A25,'feed pars'!B$6:B$46,0))</f>
        <v>19.083224000000001</v>
      </c>
      <c r="F25" s="28"/>
      <c r="G25" s="28"/>
      <c r="H25" s="28"/>
      <c r="I25" s="28"/>
      <c r="J25" s="28" t="str">
        <f>'feed pars'!$B28</f>
        <v>sunflower seed meal</v>
      </c>
      <c r="K25" t="s">
        <v>20</v>
      </c>
      <c r="O25" s="37">
        <f>INDEX('feed pars'!$N$6:$N$46,MATCH($A25,'feed pars'!$B$6:$B$46,0))</f>
        <v>14.1</v>
      </c>
      <c r="P25" s="37">
        <f>INDEX('feed pars'!$M$6:$M$46,MATCH($A25,'feed pars'!$B$6:$B$46,0))</f>
        <v>11.4</v>
      </c>
      <c r="Q25" s="37">
        <f>INDEX('feed pars'!$P$6:$P$46,MATCH($A25,'feed pars'!$B$6:$B$46,0))</f>
        <v>10</v>
      </c>
      <c r="S25" s="28" t="str">
        <f>'feed pars'!$B28</f>
        <v>sunflower seed meal</v>
      </c>
      <c r="T25" t="s">
        <v>383</v>
      </c>
      <c r="X25" s="37">
        <f>INDEX('feed pars'!$N$6:$N$46,MATCH($A25,'feed pars'!$B$6:$B$46,0))</f>
        <v>14.1</v>
      </c>
      <c r="Y25" s="37">
        <f>INDEX('feed pars'!$M$6:$M$46,MATCH($A25,'feed pars'!$B$6:$B$46,0))</f>
        <v>11.4</v>
      </c>
      <c r="Z25" s="37">
        <f>INDEX('feed pars'!$P$6:$P$46,MATCH($A25,'feed pars'!$B$6:$B$46,0))</f>
        <v>10</v>
      </c>
      <c r="AB25" s="28" t="str">
        <f>'feed pars'!$B28</f>
        <v>sunflower seed meal</v>
      </c>
      <c r="AC25" t="s">
        <v>378</v>
      </c>
      <c r="AG25" s="37">
        <f>INDEX('feed pars'!$N$6:$N$46,MATCH($A25,'feed pars'!$B$6:$B$46,0))</f>
        <v>14.1</v>
      </c>
      <c r="AH25" s="37">
        <f>INDEX('feed pars'!$M$6:$M$46,MATCH($A25,'feed pars'!$B$6:$B$46,0))</f>
        <v>11.4</v>
      </c>
      <c r="AI25" s="37">
        <f>INDEX('feed pars'!$P$6:$P$46,MATCH($A25,'feed pars'!$B$6:$B$46,0))</f>
        <v>10</v>
      </c>
      <c r="AK25" s="28" t="str">
        <f>'feed pars'!$B28</f>
        <v>sunflower seed meal</v>
      </c>
      <c r="AL25" t="s">
        <v>21</v>
      </c>
      <c r="AP25" s="37">
        <f>INDEX('feed pars'!$AB$6:$AB$46,MATCH($A25,'feed pars'!$B$6:$B$46,0))</f>
        <v>10.3</v>
      </c>
      <c r="AQ25" s="37">
        <f>INDEX('feed pars'!$AC$6:$AC$46,MATCH($A25,'feed pars'!$B$6:$B$46,0))</f>
        <v>5.9</v>
      </c>
      <c r="AR25" s="37"/>
      <c r="AT25" s="28" t="str">
        <f>'feed pars'!$B28</f>
        <v>sunflower seed meal</v>
      </c>
      <c r="AU25" t="s">
        <v>21</v>
      </c>
      <c r="AV25" t="s">
        <v>292</v>
      </c>
      <c r="AY25" s="37"/>
      <c r="AZ25" s="37">
        <f>INDEX('feed pars'!$AD$6:$AD$46,MATCH($A25,'feed pars'!$B$6:$B$46,0))</f>
        <v>6.5</v>
      </c>
      <c r="BA25" s="37"/>
    </row>
    <row r="26" spans="1:53" x14ac:dyDescent="0.25">
      <c r="A26" t="str">
        <f>'feed pars'!$B29</f>
        <v>palm kernel expeller</v>
      </c>
      <c r="D26">
        <f>INDEX('feed pars'!C$6:C$46,MATCH(A26,'feed pars'!B$6:B$46,0))</f>
        <v>91</v>
      </c>
      <c r="E26" s="28">
        <f>INDEX('feed pars'!D$6:D$46,MATCH(A26,'feed pars'!B$6:B$46,0))</f>
        <v>19.581538399999999</v>
      </c>
      <c r="F26" s="28"/>
      <c r="G26" s="28"/>
      <c r="H26" s="28"/>
      <c r="I26" s="28"/>
      <c r="J26" s="28" t="str">
        <f>'feed pars'!$B29</f>
        <v>palm kernel expeller</v>
      </c>
      <c r="K26" t="s">
        <v>20</v>
      </c>
      <c r="O26" s="37">
        <f>INDEX('feed pars'!$N$6:$N$46,MATCH($A26,'feed pars'!$B$6:$B$46,0))</f>
        <v>15</v>
      </c>
      <c r="P26" s="37">
        <f>INDEX('feed pars'!$M$6:$M$46,MATCH($A26,'feed pars'!$B$6:$B$46,0))</f>
        <v>13.4</v>
      </c>
      <c r="Q26" s="37">
        <f>INDEX('feed pars'!$P$6:$P$46,MATCH($A26,'feed pars'!$B$6:$B$46,0))</f>
        <v>97</v>
      </c>
      <c r="S26" s="28" t="str">
        <f>'feed pars'!$B29</f>
        <v>palm kernel expeller</v>
      </c>
      <c r="T26" t="s">
        <v>383</v>
      </c>
      <c r="X26" s="37">
        <f>INDEX('feed pars'!$N$6:$N$46,MATCH($A26,'feed pars'!$B$6:$B$46,0))</f>
        <v>15</v>
      </c>
      <c r="Y26" s="37">
        <f>INDEX('feed pars'!$M$6:$M$46,MATCH($A26,'feed pars'!$B$6:$B$46,0))</f>
        <v>13.4</v>
      </c>
      <c r="Z26" s="37">
        <f>INDEX('feed pars'!$P$6:$P$46,MATCH($A26,'feed pars'!$B$6:$B$46,0))</f>
        <v>97</v>
      </c>
      <c r="AB26" s="28" t="str">
        <f>'feed pars'!$B29</f>
        <v>palm kernel expeller</v>
      </c>
      <c r="AC26" t="s">
        <v>378</v>
      </c>
      <c r="AG26" s="37">
        <f>INDEX('feed pars'!$N$6:$N$46,MATCH($A26,'feed pars'!$B$6:$B$46,0))</f>
        <v>15</v>
      </c>
      <c r="AH26" s="37">
        <f>INDEX('feed pars'!$M$6:$M$46,MATCH($A26,'feed pars'!$B$6:$B$46,0))</f>
        <v>13.4</v>
      </c>
      <c r="AI26" s="37">
        <f>INDEX('feed pars'!$P$6:$P$46,MATCH($A26,'feed pars'!$B$6:$B$46,0))</f>
        <v>97</v>
      </c>
      <c r="AK26" s="28" t="str">
        <f>'feed pars'!$B29</f>
        <v>palm kernel expeller</v>
      </c>
      <c r="AL26" t="s">
        <v>21</v>
      </c>
      <c r="AP26" s="37">
        <f>INDEX('feed pars'!$AB$6:$AB$46,MATCH($A26,'feed pars'!$B$6:$B$46,0))</f>
        <v>8.4</v>
      </c>
      <c r="AQ26" s="37">
        <f>INDEX('feed pars'!$AC$6:$AC$46,MATCH($A26,'feed pars'!$B$6:$B$46,0))</f>
        <v>5.4</v>
      </c>
      <c r="AR26" s="37"/>
      <c r="AT26" s="28" t="str">
        <f>'feed pars'!$B29</f>
        <v>palm kernel expeller</v>
      </c>
      <c r="AU26" t="s">
        <v>21</v>
      </c>
      <c r="AV26" t="s">
        <v>292</v>
      </c>
      <c r="AY26" s="37"/>
      <c r="AZ26" s="37">
        <f>INDEX('feed pars'!$AD$6:$AD$46,MATCH($A26,'feed pars'!$B$6:$B$46,0))</f>
        <v>6.2</v>
      </c>
      <c r="BA26" s="37"/>
    </row>
    <row r="27" spans="1:53" x14ac:dyDescent="0.25">
      <c r="A27" t="str">
        <f>'feed pars'!$B30</f>
        <v>luzern meal</v>
      </c>
      <c r="D27">
        <f>INDEX('feed pars'!C$6:C$46,MATCH(A27,'feed pars'!B$6:B$46,0))</f>
        <v>90</v>
      </c>
      <c r="E27" s="28">
        <f>INDEX('feed pars'!D$6:D$46,MATCH(A27,'feed pars'!B$6:B$46,0))</f>
        <v>16.971140800000001</v>
      </c>
      <c r="F27" s="28"/>
      <c r="G27" s="28"/>
      <c r="H27" s="28"/>
      <c r="I27" s="28"/>
      <c r="J27" s="28" t="str">
        <f>'feed pars'!$B30</f>
        <v>luzern meal</v>
      </c>
      <c r="K27" t="s">
        <v>20</v>
      </c>
      <c r="O27" s="37">
        <f>INDEX('feed pars'!$N$6:$N$46,MATCH($A27,'feed pars'!$B$6:$B$46,0))</f>
        <v>10.7</v>
      </c>
      <c r="P27" s="37">
        <f>INDEX('feed pars'!$M$6:$M$46,MATCH($A27,'feed pars'!$B$6:$B$46,0))</f>
        <v>8.5</v>
      </c>
      <c r="Q27" s="37">
        <f>INDEX('feed pars'!$P$6:$P$46,MATCH($A27,'feed pars'!$B$6:$B$46,0))</f>
        <v>27</v>
      </c>
      <c r="S27" s="28" t="str">
        <f>'feed pars'!$B30</f>
        <v>luzern meal</v>
      </c>
      <c r="T27" t="s">
        <v>383</v>
      </c>
      <c r="X27" s="37">
        <f>INDEX('feed pars'!$N$6:$N$46,MATCH($A27,'feed pars'!$B$6:$B$46,0))</f>
        <v>10.7</v>
      </c>
      <c r="Y27" s="37">
        <f>INDEX('feed pars'!$M$6:$M$46,MATCH($A27,'feed pars'!$B$6:$B$46,0))</f>
        <v>8.5</v>
      </c>
      <c r="Z27" s="37">
        <f>INDEX('feed pars'!$P$6:$P$46,MATCH($A27,'feed pars'!$B$6:$B$46,0))</f>
        <v>27</v>
      </c>
      <c r="AB27" s="28" t="str">
        <f>'feed pars'!$B30</f>
        <v>luzern meal</v>
      </c>
      <c r="AC27" t="s">
        <v>378</v>
      </c>
      <c r="AG27" s="37">
        <f>INDEX('feed pars'!$N$6:$N$46,MATCH($A27,'feed pars'!$B$6:$B$46,0))</f>
        <v>10.7</v>
      </c>
      <c r="AH27" s="37">
        <f>INDEX('feed pars'!$M$6:$M$46,MATCH($A27,'feed pars'!$B$6:$B$46,0))</f>
        <v>8.5</v>
      </c>
      <c r="AI27" s="37">
        <f>INDEX('feed pars'!$P$6:$P$46,MATCH($A27,'feed pars'!$B$6:$B$46,0))</f>
        <v>27</v>
      </c>
      <c r="AK27" s="28" t="str">
        <f>'feed pars'!$B30</f>
        <v>luzern meal</v>
      </c>
      <c r="AL27" t="s">
        <v>21</v>
      </c>
      <c r="AP27" s="37"/>
      <c r="AQ27" s="37"/>
      <c r="AR27" s="37"/>
      <c r="AT27" s="28" t="str">
        <f>'feed pars'!$B30</f>
        <v>luzern meal</v>
      </c>
      <c r="AU27" t="s">
        <v>21</v>
      </c>
      <c r="AV27" t="s">
        <v>292</v>
      </c>
      <c r="AY27" s="37"/>
      <c r="AZ27" s="37"/>
      <c r="BA27" s="37"/>
    </row>
    <row r="28" spans="1:53" x14ac:dyDescent="0.25">
      <c r="A28" t="str">
        <f>'feed pars'!$B31</f>
        <v>wheat bran</v>
      </c>
      <c r="D28">
        <f>INDEX('feed pars'!C$6:C$46,MATCH(A28,'feed pars'!B$6:B$46,0))</f>
        <v>87</v>
      </c>
      <c r="E28" s="28">
        <f>INDEX('feed pars'!D$6:D$46,MATCH(A28,'feed pars'!B$6:B$46,0))</f>
        <v>18.194124000000002</v>
      </c>
      <c r="F28" s="28"/>
      <c r="G28" s="28"/>
      <c r="H28" s="28"/>
      <c r="I28" s="28"/>
      <c r="J28" s="28" t="str">
        <f>'feed pars'!$B31</f>
        <v>wheat bran</v>
      </c>
      <c r="K28" t="s">
        <v>20</v>
      </c>
      <c r="O28" s="37">
        <f>INDEX('feed pars'!$N$6:$N$46,MATCH($A28,'feed pars'!$B$6:$B$46,0))</f>
        <v>12.7</v>
      </c>
      <c r="P28" s="37">
        <f>INDEX('feed pars'!$M$6:$M$46,MATCH($A28,'feed pars'!$B$6:$B$46,0))</f>
        <v>11</v>
      </c>
      <c r="Q28" s="37">
        <f>INDEX('feed pars'!$P$6:$P$46,MATCH($A28,'feed pars'!$B$6:$B$46,0))</f>
        <v>45</v>
      </c>
      <c r="S28" s="28" t="str">
        <f>'feed pars'!$B31</f>
        <v>wheat bran</v>
      </c>
      <c r="T28" t="s">
        <v>383</v>
      </c>
      <c r="X28" s="37">
        <f>INDEX('feed pars'!$N$6:$N$46,MATCH($A28,'feed pars'!$B$6:$B$46,0))</f>
        <v>12.7</v>
      </c>
      <c r="Y28" s="37">
        <f>INDEX('feed pars'!$M$6:$M$46,MATCH($A28,'feed pars'!$B$6:$B$46,0))</f>
        <v>11</v>
      </c>
      <c r="Z28" s="37">
        <f>INDEX('feed pars'!$P$6:$P$46,MATCH($A28,'feed pars'!$B$6:$B$46,0))</f>
        <v>45</v>
      </c>
      <c r="AB28" s="28" t="str">
        <f>'feed pars'!$B31</f>
        <v>wheat bran</v>
      </c>
      <c r="AC28" t="s">
        <v>378</v>
      </c>
      <c r="AG28" s="37">
        <f>INDEX('feed pars'!$N$6:$N$46,MATCH($A28,'feed pars'!$B$6:$B$46,0))</f>
        <v>12.7</v>
      </c>
      <c r="AH28" s="37">
        <f>INDEX('feed pars'!$M$6:$M$46,MATCH($A28,'feed pars'!$B$6:$B$46,0))</f>
        <v>11</v>
      </c>
      <c r="AI28" s="37">
        <f>INDEX('feed pars'!$P$6:$P$46,MATCH($A28,'feed pars'!$B$6:$B$46,0))</f>
        <v>45</v>
      </c>
      <c r="AK28" s="28" t="str">
        <f>'feed pars'!$B31</f>
        <v>wheat bran</v>
      </c>
      <c r="AL28" t="s">
        <v>21</v>
      </c>
      <c r="AP28" s="37">
        <f>INDEX('feed pars'!$AB$6:$AB$46,MATCH($A28,'feed pars'!$B$6:$B$46,0))</f>
        <v>10.8</v>
      </c>
      <c r="AQ28" s="37">
        <f>INDEX('feed pars'!$AC$6:$AC$46,MATCH($A28,'feed pars'!$B$6:$B$46,0))</f>
        <v>7.2</v>
      </c>
      <c r="AR28" s="37"/>
      <c r="AT28" s="28" t="str">
        <f>'feed pars'!$B31</f>
        <v>wheat bran</v>
      </c>
      <c r="AU28" t="s">
        <v>21</v>
      </c>
      <c r="AV28" t="s">
        <v>292</v>
      </c>
      <c r="AY28" s="37"/>
      <c r="AZ28" s="37">
        <f>INDEX('feed pars'!$AD$6:$AD$46,MATCH($A28,'feed pars'!$B$6:$B$46,0))</f>
        <v>7.8</v>
      </c>
      <c r="BA28" s="37"/>
    </row>
    <row r="29" spans="1:53" x14ac:dyDescent="0.25">
      <c r="A29" t="str">
        <f>'feed pars'!$B32</f>
        <v>wheat bran, fine</v>
      </c>
      <c r="D29">
        <f>INDEX('feed pars'!C$6:C$46,MATCH(A29,'feed pars'!B$6:B$46,0))</f>
        <v>87.8</v>
      </c>
      <c r="E29" s="28">
        <f>INDEX('feed pars'!D$6:D$46,MATCH(A29,'feed pars'!B$6:B$46,0))</f>
        <v>18.472360000000002</v>
      </c>
      <c r="F29" s="28"/>
      <c r="G29" s="28"/>
      <c r="H29" s="28"/>
      <c r="I29" s="28"/>
      <c r="J29" s="28" t="str">
        <f>'feed pars'!$B32</f>
        <v>wheat bran, fine</v>
      </c>
      <c r="K29" t="s">
        <v>20</v>
      </c>
      <c r="O29" s="37">
        <f>INDEX('feed pars'!$N$6:$N$46,MATCH($A29,'feed pars'!$B$6:$B$46,0))</f>
        <v>15.627616560000002</v>
      </c>
      <c r="P29" s="37">
        <f>INDEX('feed pars'!$M$6:$M$46,MATCH($A29,'feed pars'!$B$6:$B$46,0))</f>
        <v>13.3</v>
      </c>
      <c r="Q29" s="37">
        <f>INDEX('feed pars'!$P$6:$P$46,MATCH($A29,'feed pars'!$B$6:$B$46,0))</f>
        <v>27</v>
      </c>
      <c r="S29" s="28" t="str">
        <f>'feed pars'!$B32</f>
        <v>wheat bran, fine</v>
      </c>
      <c r="T29" t="s">
        <v>383</v>
      </c>
      <c r="X29" s="37">
        <f>INDEX('feed pars'!$N$6:$N$46,MATCH($A29,'feed pars'!$B$6:$B$46,0))</f>
        <v>15.627616560000002</v>
      </c>
      <c r="Y29" s="37">
        <f>INDEX('feed pars'!$M$6:$M$46,MATCH($A29,'feed pars'!$B$6:$B$46,0))</f>
        <v>13.3</v>
      </c>
      <c r="Z29" s="37">
        <f>INDEX('feed pars'!$P$6:$P$46,MATCH($A29,'feed pars'!$B$6:$B$46,0))</f>
        <v>27</v>
      </c>
      <c r="AB29" s="28" t="str">
        <f>'feed pars'!$B32</f>
        <v>wheat bran, fine</v>
      </c>
      <c r="AC29" t="s">
        <v>378</v>
      </c>
      <c r="AG29" s="37">
        <f>INDEX('feed pars'!$N$6:$N$46,MATCH($A29,'feed pars'!$B$6:$B$46,0))</f>
        <v>15.627616560000002</v>
      </c>
      <c r="AH29" s="37">
        <f>INDEX('feed pars'!$M$6:$M$46,MATCH($A29,'feed pars'!$B$6:$B$46,0))</f>
        <v>13.3</v>
      </c>
      <c r="AI29" s="37">
        <f>INDEX('feed pars'!$P$6:$P$46,MATCH($A29,'feed pars'!$B$6:$B$46,0))</f>
        <v>27</v>
      </c>
      <c r="AK29" s="28" t="str">
        <f>'feed pars'!$B32</f>
        <v>wheat bran, fine</v>
      </c>
      <c r="AL29" t="s">
        <v>21</v>
      </c>
      <c r="AP29" s="37">
        <f>INDEX('feed pars'!$AB$6:$AB$46,MATCH($A29,'feed pars'!$B$6:$B$46,0))</f>
        <v>17.5</v>
      </c>
      <c r="AQ29" s="37">
        <f>INDEX('feed pars'!$AC$6:$AC$46,MATCH($A29,'feed pars'!$B$6:$B$46,0))</f>
        <v>8.6999999999999993</v>
      </c>
      <c r="AR29" s="37"/>
      <c r="AT29" s="28" t="str">
        <f>'feed pars'!$B32</f>
        <v>wheat bran, fine</v>
      </c>
      <c r="AU29" t="s">
        <v>21</v>
      </c>
      <c r="AV29" t="s">
        <v>292</v>
      </c>
      <c r="AY29" s="37"/>
      <c r="AZ29" s="37">
        <f>INDEX('feed pars'!$AD$6:$AD$46,MATCH($A29,'feed pars'!$B$6:$B$46,0))</f>
        <v>9.1999999999999993</v>
      </c>
      <c r="BA29" s="37"/>
    </row>
    <row r="30" spans="1:53" x14ac:dyDescent="0.25">
      <c r="A30" t="str">
        <f>'feed pars'!$B33</f>
        <v>oat hulls</v>
      </c>
      <c r="D30">
        <f>INDEX('feed pars'!C$6:C$46,MATCH(A30,'feed pars'!B$6:B$46,0))</f>
        <v>87.6</v>
      </c>
      <c r="E30" s="28">
        <f>INDEX('feed pars'!D$6:D$46,MATCH(A30,'feed pars'!B$6:B$46,0))</f>
        <v>16.941015999999998</v>
      </c>
      <c r="F30" s="28"/>
      <c r="G30" s="28"/>
      <c r="H30" s="28"/>
      <c r="I30" s="28"/>
      <c r="J30" s="28" t="str">
        <f>'feed pars'!$B33</f>
        <v>oat hulls</v>
      </c>
      <c r="K30" t="s">
        <v>20</v>
      </c>
      <c r="O30" s="37">
        <f>INDEX('feed pars'!$N$6:$N$46,MATCH($A30,'feed pars'!$B$6:$B$46,0))</f>
        <v>6.2</v>
      </c>
      <c r="P30" s="37">
        <f>INDEX('feed pars'!$M$6:$M$46,MATCH($A30,'feed pars'!$B$6:$B$46,0))</f>
        <v>5.2</v>
      </c>
      <c r="Q30" s="37">
        <f>INDEX('feed pars'!$P$6:$P$46,MATCH($A30,'feed pars'!$B$6:$B$46,0))</f>
        <v>20</v>
      </c>
      <c r="S30" s="28" t="str">
        <f>'feed pars'!$B33</f>
        <v>oat hulls</v>
      </c>
      <c r="T30" t="s">
        <v>383</v>
      </c>
      <c r="X30" s="37">
        <f>INDEX('feed pars'!$N$6:$N$46,MATCH($A30,'feed pars'!$B$6:$B$46,0))</f>
        <v>6.2</v>
      </c>
      <c r="Y30" s="37">
        <f>INDEX('feed pars'!$M$6:$M$46,MATCH($A30,'feed pars'!$B$6:$B$46,0))</f>
        <v>5.2</v>
      </c>
      <c r="Z30" s="37">
        <f>INDEX('feed pars'!$P$6:$P$46,MATCH($A30,'feed pars'!$B$6:$B$46,0))</f>
        <v>20</v>
      </c>
      <c r="AB30" s="28" t="str">
        <f>'feed pars'!$B33</f>
        <v>oat hulls</v>
      </c>
      <c r="AC30" t="s">
        <v>378</v>
      </c>
      <c r="AG30" s="37">
        <f>INDEX('feed pars'!$N$6:$N$46,MATCH($A30,'feed pars'!$B$6:$B$46,0))</f>
        <v>6.2</v>
      </c>
      <c r="AH30" s="37">
        <f>INDEX('feed pars'!$M$6:$M$46,MATCH($A30,'feed pars'!$B$6:$B$46,0))</f>
        <v>5.2</v>
      </c>
      <c r="AI30" s="37">
        <f>INDEX('feed pars'!$P$6:$P$46,MATCH($A30,'feed pars'!$B$6:$B$46,0))</f>
        <v>20</v>
      </c>
      <c r="AK30" s="28" t="str">
        <f>'feed pars'!$B33</f>
        <v>oat hulls</v>
      </c>
      <c r="AL30" t="s">
        <v>21</v>
      </c>
      <c r="AP30" s="37"/>
      <c r="AQ30" s="37"/>
      <c r="AR30" s="37"/>
      <c r="AT30" s="28" t="str">
        <f>'feed pars'!$B33</f>
        <v>oat hulls</v>
      </c>
      <c r="AU30" t="s">
        <v>21</v>
      </c>
      <c r="AV30" t="s">
        <v>292</v>
      </c>
      <c r="AY30" s="37"/>
      <c r="AZ30" s="37"/>
      <c r="BA30" s="37"/>
    </row>
    <row r="31" spans="1:53" x14ac:dyDescent="0.25">
      <c r="A31" t="str">
        <f>'feed pars'!$B34</f>
        <v>oat bran</v>
      </c>
      <c r="D31">
        <f>INDEX('feed pars'!C$6:C$46,MATCH(A31,'feed pars'!B$6:B$46,0))</f>
        <v>87.6</v>
      </c>
      <c r="E31" s="28">
        <f>INDEX('feed pars'!D$6:D$46,MATCH(A31,'feed pars'!B$6:B$46,0))</f>
        <v>17.3422616</v>
      </c>
      <c r="F31" s="28"/>
      <c r="G31" s="28"/>
      <c r="H31" s="28"/>
      <c r="I31" s="28"/>
      <c r="J31" s="28" t="str">
        <f>'feed pars'!$B34</f>
        <v>oat bran</v>
      </c>
      <c r="K31" t="s">
        <v>20</v>
      </c>
      <c r="O31" s="37">
        <f>INDEX('feed pars'!$N$6:$N$46,MATCH($A31,'feed pars'!$B$6:$B$46,0))</f>
        <v>8.4</v>
      </c>
      <c r="P31" s="37">
        <f>INDEX('feed pars'!$M$6:$M$46,MATCH($A31,'feed pars'!$B$6:$B$46,0))</f>
        <v>7.2</v>
      </c>
      <c r="Q31" s="37">
        <f>INDEX('feed pars'!$P$6:$P$46,MATCH($A31,'feed pars'!$B$6:$B$46,0))</f>
        <v>32</v>
      </c>
      <c r="S31" s="28" t="str">
        <f>'feed pars'!$B34</f>
        <v>oat bran</v>
      </c>
      <c r="T31" t="s">
        <v>383</v>
      </c>
      <c r="X31" s="37">
        <f>INDEX('feed pars'!$N$6:$N$46,MATCH($A31,'feed pars'!$B$6:$B$46,0))</f>
        <v>8.4</v>
      </c>
      <c r="Y31" s="37">
        <f>INDEX('feed pars'!$M$6:$M$46,MATCH($A31,'feed pars'!$B$6:$B$46,0))</f>
        <v>7.2</v>
      </c>
      <c r="Z31" s="37">
        <f>INDEX('feed pars'!$P$6:$P$46,MATCH($A31,'feed pars'!$B$6:$B$46,0))</f>
        <v>32</v>
      </c>
      <c r="AB31" s="28" t="str">
        <f>'feed pars'!$B34</f>
        <v>oat bran</v>
      </c>
      <c r="AC31" t="s">
        <v>378</v>
      </c>
      <c r="AG31" s="37">
        <f>INDEX('feed pars'!$N$6:$N$46,MATCH($A31,'feed pars'!$B$6:$B$46,0))</f>
        <v>8.4</v>
      </c>
      <c r="AH31" s="37">
        <f>INDEX('feed pars'!$M$6:$M$46,MATCH($A31,'feed pars'!$B$6:$B$46,0))</f>
        <v>7.2</v>
      </c>
      <c r="AI31" s="37">
        <f>INDEX('feed pars'!$P$6:$P$46,MATCH($A31,'feed pars'!$B$6:$B$46,0))</f>
        <v>32</v>
      </c>
      <c r="AK31" s="28" t="str">
        <f>'feed pars'!$B34</f>
        <v>oat bran</v>
      </c>
      <c r="AL31" t="s">
        <v>21</v>
      </c>
      <c r="AP31" s="37"/>
      <c r="AQ31" s="37"/>
      <c r="AR31" s="37"/>
      <c r="AT31" s="28" t="str">
        <f>'feed pars'!$B34</f>
        <v>oat bran</v>
      </c>
      <c r="AU31" t="s">
        <v>21</v>
      </c>
      <c r="AV31" t="s">
        <v>292</v>
      </c>
      <c r="AY31" s="37"/>
      <c r="AZ31" s="37"/>
      <c r="BA31" s="37"/>
    </row>
    <row r="32" spans="1:53" x14ac:dyDescent="0.25">
      <c r="A32" t="str">
        <f>'feed pars'!$B35</f>
        <v>wheat distillers grain, dry</v>
      </c>
      <c r="D32">
        <f>INDEX('feed pars'!C$6:C$46,MATCH(A32,'feed pars'!B$6:B$46,0))</f>
        <v>90</v>
      </c>
      <c r="E32" s="28">
        <f>INDEX('feed pars'!D$6:D$46,MATCH(A32,'feed pars'!B$6:B$46,0))</f>
        <v>19.659779199999999</v>
      </c>
      <c r="F32" s="28"/>
      <c r="G32" s="28"/>
      <c r="H32" s="28"/>
      <c r="I32" s="28"/>
      <c r="J32" s="28" t="str">
        <f>'feed pars'!$B35</f>
        <v>wheat distillers grain, dry</v>
      </c>
      <c r="K32" t="s">
        <v>20</v>
      </c>
      <c r="O32" s="37">
        <f>INDEX('feed pars'!$N$6:$N$46,MATCH($A32,'feed pars'!$B$6:$B$46,0))</f>
        <v>15.7</v>
      </c>
      <c r="P32" s="37">
        <f>INDEX('feed pars'!$M$6:$M$46,MATCH($A32,'feed pars'!$B$6:$B$46,0))</f>
        <v>13.3</v>
      </c>
      <c r="Q32" s="37">
        <f>INDEX('feed pars'!$P$6:$P$46,MATCH($A32,'feed pars'!$B$6:$B$46,0))</f>
        <v>45</v>
      </c>
      <c r="S32" s="28" t="str">
        <f>'feed pars'!$B35</f>
        <v>wheat distillers grain, dry</v>
      </c>
      <c r="T32" t="s">
        <v>383</v>
      </c>
      <c r="X32" s="37">
        <f>INDEX('feed pars'!$N$6:$N$46,MATCH($A32,'feed pars'!$B$6:$B$46,0))</f>
        <v>15.7</v>
      </c>
      <c r="Y32" s="37">
        <f>INDEX('feed pars'!$M$6:$M$46,MATCH($A32,'feed pars'!$B$6:$B$46,0))</f>
        <v>13.3</v>
      </c>
      <c r="Z32" s="37">
        <f>INDEX('feed pars'!$P$6:$P$46,MATCH($A32,'feed pars'!$B$6:$B$46,0))</f>
        <v>45</v>
      </c>
      <c r="AB32" s="28" t="str">
        <f>'feed pars'!$B35</f>
        <v>wheat distillers grain, dry</v>
      </c>
      <c r="AC32" t="s">
        <v>378</v>
      </c>
      <c r="AG32" s="37">
        <f>INDEX('feed pars'!$N$6:$N$46,MATCH($A32,'feed pars'!$B$6:$B$46,0))</f>
        <v>15.7</v>
      </c>
      <c r="AH32" s="37">
        <f>INDEX('feed pars'!$M$6:$M$46,MATCH($A32,'feed pars'!$B$6:$B$46,0))</f>
        <v>13.3</v>
      </c>
      <c r="AI32" s="37">
        <f>INDEX('feed pars'!$P$6:$P$46,MATCH($A32,'feed pars'!$B$6:$B$46,0))</f>
        <v>45</v>
      </c>
      <c r="AK32" s="28" t="str">
        <f>'feed pars'!$B35</f>
        <v>wheat distillers grain, dry</v>
      </c>
      <c r="AL32" t="s">
        <v>21</v>
      </c>
      <c r="AP32" s="37">
        <f>INDEX('feed pars'!$AB$6:$AB$46,MATCH($A32,'feed pars'!$B$6:$B$46,0))</f>
        <v>13.9</v>
      </c>
      <c r="AQ32" s="37">
        <f>INDEX('feed pars'!$AC$6:$AC$46,MATCH($A32,'feed pars'!$B$6:$B$46,0))</f>
        <v>8.1</v>
      </c>
      <c r="AR32" s="37"/>
      <c r="AT32" s="28" t="str">
        <f>'feed pars'!$B35</f>
        <v>wheat distillers grain, dry</v>
      </c>
      <c r="AU32" t="s">
        <v>21</v>
      </c>
      <c r="AV32" t="s">
        <v>292</v>
      </c>
      <c r="AY32" s="37"/>
      <c r="AZ32" s="37">
        <f>INDEX('feed pars'!$AD$6:$AD$46,MATCH($A32,'feed pars'!$B$6:$B$46,0))</f>
        <v>8.6999999999999993</v>
      </c>
      <c r="BA32" s="37"/>
    </row>
    <row r="33" spans="1:53" x14ac:dyDescent="0.25">
      <c r="A33" t="str">
        <f>'feed pars'!$B36</f>
        <v>wheat distillers grain, wet</v>
      </c>
      <c r="D33">
        <f>INDEX('feed pars'!C$6:C$46,MATCH(A33,'feed pars'!B$6:B$46,0))</f>
        <v>11</v>
      </c>
      <c r="E33" s="28">
        <f>INDEX('feed pars'!D$6:D$46,MATCH(A33,'feed pars'!B$6:B$46,0))</f>
        <v>18.8602168</v>
      </c>
      <c r="F33" s="28"/>
      <c r="G33" s="28"/>
      <c r="H33" s="28"/>
      <c r="I33" s="28"/>
      <c r="J33" s="28" t="str">
        <f>'feed pars'!$B36</f>
        <v>wheat distillers grain, wet</v>
      </c>
      <c r="K33" t="s">
        <v>20</v>
      </c>
      <c r="O33" s="37"/>
      <c r="P33" s="37"/>
      <c r="Q33" s="37"/>
      <c r="S33" s="28" t="str">
        <f>'feed pars'!$B36</f>
        <v>wheat distillers grain, wet</v>
      </c>
      <c r="T33" t="s">
        <v>383</v>
      </c>
      <c r="X33" s="37"/>
      <c r="Y33" s="37"/>
      <c r="Z33" s="37"/>
      <c r="AB33" s="28" t="str">
        <f>'feed pars'!$B36</f>
        <v>wheat distillers grain, wet</v>
      </c>
      <c r="AC33" t="s">
        <v>378</v>
      </c>
      <c r="AG33" s="37"/>
      <c r="AH33" s="37"/>
      <c r="AI33" s="37"/>
      <c r="AK33" s="28" t="str">
        <f>'feed pars'!$B36</f>
        <v>wheat distillers grain, wet</v>
      </c>
      <c r="AL33" t="s">
        <v>21</v>
      </c>
      <c r="AP33" s="37">
        <f>INDEX('feed pars'!$AB$6:$AB$46,MATCH($A33,'feed pars'!$B$6:$B$46,0))</f>
        <v>13.017208210412599</v>
      </c>
      <c r="AQ33" s="37">
        <f>INDEX('feed pars'!$AC$6:$AC$46,MATCH($A33,'feed pars'!$B$6:$B$46,0))</f>
        <v>8.1999999999999993</v>
      </c>
      <c r="AR33" s="37"/>
      <c r="AT33" s="28" t="str">
        <f>'feed pars'!$B36</f>
        <v>wheat distillers grain, wet</v>
      </c>
      <c r="AU33" t="s">
        <v>21</v>
      </c>
      <c r="AV33" t="s">
        <v>292</v>
      </c>
      <c r="AY33" s="37"/>
      <c r="AZ33" s="37">
        <f>INDEX('feed pars'!$AD$6:$AD$46,MATCH($A33,'feed pars'!$B$6:$B$46,0))</f>
        <v>8.9</v>
      </c>
      <c r="BA33" s="37"/>
    </row>
    <row r="34" spans="1:53" x14ac:dyDescent="0.25">
      <c r="A34" t="str">
        <f>'feed pars'!$B37</f>
        <v>barley brewers grain</v>
      </c>
      <c r="D34">
        <f>INDEX('feed pars'!C$6:C$46,MATCH(A34,'feed pars'!B$6:B$46,0))</f>
        <v>90</v>
      </c>
      <c r="E34" s="28">
        <f>INDEX('feed pars'!D$6:D$46,MATCH(A34,'feed pars'!B$6:B$46,0))</f>
        <v>19.848896</v>
      </c>
      <c r="F34" s="28"/>
      <c r="G34" s="28"/>
      <c r="H34" s="28"/>
      <c r="I34" s="28"/>
      <c r="J34" s="28" t="str">
        <f>'feed pars'!$B37</f>
        <v>barley brewers grain</v>
      </c>
      <c r="K34" t="s">
        <v>20</v>
      </c>
      <c r="O34" s="37">
        <f>INDEX('feed pars'!$N$6:$N$46,MATCH($A34,'feed pars'!$B$6:$B$46,0))</f>
        <v>13.6</v>
      </c>
      <c r="P34" s="37">
        <f>INDEX('feed pars'!$M$6:$M$46,MATCH($A34,'feed pars'!$B$6:$B$46,0))</f>
        <v>11.6</v>
      </c>
      <c r="Q34" s="37">
        <f>INDEX('feed pars'!$P$6:$P$46,MATCH($A34,'feed pars'!$B$6:$B$46,0))</f>
        <v>80</v>
      </c>
      <c r="S34" s="28" t="str">
        <f>'feed pars'!$B37</f>
        <v>barley brewers grain</v>
      </c>
      <c r="T34" t="s">
        <v>383</v>
      </c>
      <c r="X34" s="37">
        <f>INDEX('feed pars'!$N$6:$N$46,MATCH($A34,'feed pars'!$B$6:$B$46,0))</f>
        <v>13.6</v>
      </c>
      <c r="Y34" s="37">
        <f>INDEX('feed pars'!$M$6:$M$46,MATCH($A34,'feed pars'!$B$6:$B$46,0))</f>
        <v>11.6</v>
      </c>
      <c r="Z34" s="37">
        <f>INDEX('feed pars'!$P$6:$P$46,MATCH($A34,'feed pars'!$B$6:$B$46,0))</f>
        <v>80</v>
      </c>
      <c r="AB34" s="28" t="str">
        <f>'feed pars'!$B37</f>
        <v>barley brewers grain</v>
      </c>
      <c r="AC34" t="s">
        <v>378</v>
      </c>
      <c r="AG34" s="37">
        <f>INDEX('feed pars'!$N$6:$N$46,MATCH($A34,'feed pars'!$B$6:$B$46,0))</f>
        <v>13.6</v>
      </c>
      <c r="AH34" s="37">
        <f>INDEX('feed pars'!$M$6:$M$46,MATCH($A34,'feed pars'!$B$6:$B$46,0))</f>
        <v>11.6</v>
      </c>
      <c r="AI34" s="37">
        <f>INDEX('feed pars'!$P$6:$P$46,MATCH($A34,'feed pars'!$B$6:$B$46,0))</f>
        <v>80</v>
      </c>
      <c r="AK34" s="28" t="str">
        <f>'feed pars'!$B37</f>
        <v>barley brewers grain</v>
      </c>
      <c r="AL34" t="s">
        <v>21</v>
      </c>
      <c r="AP34" s="37">
        <f>INDEX('feed pars'!$AB$6:$AB$46,MATCH($A34,'feed pars'!$B$6:$B$46,0))</f>
        <v>10.6</v>
      </c>
      <c r="AQ34" s="37">
        <f>INDEX('feed pars'!$AC$6:$AC$46,MATCH($A34,'feed pars'!$B$6:$B$46,0))</f>
        <v>6.6</v>
      </c>
      <c r="AR34" s="37"/>
      <c r="AT34" s="28" t="str">
        <f>'feed pars'!$B37</f>
        <v>barley brewers grain</v>
      </c>
      <c r="AU34" t="s">
        <v>21</v>
      </c>
      <c r="AV34" t="s">
        <v>292</v>
      </c>
      <c r="AY34" s="37"/>
      <c r="AZ34" s="37">
        <f>INDEX('feed pars'!$AD$6:$AD$46,MATCH($A34,'feed pars'!$B$6:$B$46,0))</f>
        <v>7.0888888888888877</v>
      </c>
      <c r="BA34" s="37"/>
    </row>
    <row r="35" spans="1:53" x14ac:dyDescent="0.25">
      <c r="A35" t="str">
        <f>'feed pars'!$B38</f>
        <v>maize gluten meal</v>
      </c>
      <c r="D35">
        <f>INDEX('feed pars'!C$6:C$46,MATCH(A35,'feed pars'!B$6:B$46,0))</f>
        <v>88.5</v>
      </c>
      <c r="E35" s="28">
        <f>INDEX('feed pars'!D$6:D$46,MATCH(A35,'feed pars'!B$6:B$46,0))</f>
        <v>22.900705599999998</v>
      </c>
      <c r="F35" s="28"/>
      <c r="G35" s="28"/>
      <c r="H35" s="28"/>
      <c r="I35" s="28"/>
      <c r="J35" s="28" t="str">
        <f>'feed pars'!$B38</f>
        <v>maize gluten meal</v>
      </c>
      <c r="K35" t="s">
        <v>20</v>
      </c>
      <c r="O35" s="37"/>
      <c r="P35" s="37"/>
      <c r="Q35" s="37"/>
      <c r="S35" s="28" t="str">
        <f>'feed pars'!$B38</f>
        <v>maize gluten meal</v>
      </c>
      <c r="T35" t="s">
        <v>383</v>
      </c>
      <c r="X35" s="37"/>
      <c r="Y35" s="37"/>
      <c r="Z35" s="37"/>
      <c r="AB35" s="28" t="str">
        <f>'feed pars'!$B38</f>
        <v>maize gluten meal</v>
      </c>
      <c r="AC35" t="s">
        <v>378</v>
      </c>
      <c r="AG35" s="37"/>
      <c r="AH35" s="37"/>
      <c r="AI35" s="37"/>
      <c r="AK35" s="28" t="str">
        <f>'feed pars'!$B38</f>
        <v>maize gluten meal</v>
      </c>
      <c r="AL35" t="s">
        <v>21</v>
      </c>
      <c r="AP35" s="37">
        <f>INDEX('feed pars'!$AB$6:$AB$46,MATCH($A35,'feed pars'!$B$6:$B$46,0))</f>
        <v>21.4</v>
      </c>
      <c r="AQ35" s="37">
        <f>INDEX('feed pars'!$AC$6:$AC$46,MATCH($A35,'feed pars'!$B$6:$B$46,0))</f>
        <v>12.9</v>
      </c>
      <c r="AR35" s="37"/>
      <c r="AT35" s="28" t="str">
        <f>'feed pars'!$B38</f>
        <v>maize gluten meal</v>
      </c>
      <c r="AU35" t="s">
        <v>21</v>
      </c>
      <c r="AV35" t="s">
        <v>292</v>
      </c>
      <c r="AY35" s="37"/>
      <c r="AZ35" s="37">
        <f>INDEX('feed pars'!$AD$6:$AD$46,MATCH($A35,'feed pars'!$B$6:$B$46,0))</f>
        <v>13.3</v>
      </c>
      <c r="BA35" s="37"/>
    </row>
    <row r="36" spans="1:53" x14ac:dyDescent="0.25">
      <c r="A36" t="str">
        <f>'feed pars'!$B39</f>
        <v>sugar beet molasses</v>
      </c>
      <c r="D36">
        <f>INDEX('feed pars'!C$6:C$46,MATCH(A36,'feed pars'!B$6:B$46,0))</f>
        <v>75.5</v>
      </c>
      <c r="E36" s="28">
        <f>INDEX('feed pars'!D$6:D$46,MATCH(A36,'feed pars'!B$6:B$46,0))</f>
        <v>16.1615368</v>
      </c>
      <c r="F36" s="28"/>
      <c r="G36" s="28"/>
      <c r="H36" s="28"/>
      <c r="I36" s="28"/>
      <c r="J36" s="28" t="str">
        <f>'feed pars'!$B39</f>
        <v>sugar beet molasses</v>
      </c>
      <c r="K36" t="s">
        <v>20</v>
      </c>
      <c r="O36" s="37">
        <f>INDEX('feed pars'!$N$6:$N$46,MATCH($A36,'feed pars'!$B$6:$B$46,0))</f>
        <v>14.1</v>
      </c>
      <c r="P36" s="37">
        <f>INDEX('feed pars'!$M$6:$M$46,MATCH($A36,'feed pars'!$B$6:$B$46,0))</f>
        <v>12.4</v>
      </c>
      <c r="Q36" s="37">
        <f>INDEX('feed pars'!$P$6:$P$46,MATCH($A36,'feed pars'!$B$6:$B$46,0))</f>
        <v>0</v>
      </c>
      <c r="S36" s="28" t="str">
        <f>'feed pars'!$B39</f>
        <v>sugar beet molasses</v>
      </c>
      <c r="T36" t="s">
        <v>383</v>
      </c>
      <c r="X36" s="37">
        <f>INDEX('feed pars'!$N$6:$N$46,MATCH($A36,'feed pars'!$B$6:$B$46,0))</f>
        <v>14.1</v>
      </c>
      <c r="Y36" s="37">
        <f>INDEX('feed pars'!$M$6:$M$46,MATCH($A36,'feed pars'!$B$6:$B$46,0))</f>
        <v>12.4</v>
      </c>
      <c r="Z36" s="37">
        <f>INDEX('feed pars'!$P$6:$P$46,MATCH($A36,'feed pars'!$B$6:$B$46,0))</f>
        <v>0</v>
      </c>
      <c r="AB36" s="28" t="str">
        <f>'feed pars'!$B39</f>
        <v>sugar beet molasses</v>
      </c>
      <c r="AC36" t="s">
        <v>378</v>
      </c>
      <c r="AG36" s="37">
        <f>INDEX('feed pars'!$N$6:$N$46,MATCH($A36,'feed pars'!$B$6:$B$46,0))</f>
        <v>14.1</v>
      </c>
      <c r="AH36" s="37">
        <f>INDEX('feed pars'!$M$6:$M$46,MATCH($A36,'feed pars'!$B$6:$B$46,0))</f>
        <v>12.4</v>
      </c>
      <c r="AI36" s="37">
        <f>INDEX('feed pars'!$P$6:$P$46,MATCH($A36,'feed pars'!$B$6:$B$46,0))</f>
        <v>0</v>
      </c>
      <c r="AK36" s="28" t="str">
        <f>'feed pars'!$B39</f>
        <v>sugar beet molasses</v>
      </c>
      <c r="AL36" t="s">
        <v>21</v>
      </c>
      <c r="AP36" s="37">
        <f>INDEX('feed pars'!$AB$6:$AB$46,MATCH($A36,'feed pars'!$B$6:$B$46,0))</f>
        <v>13.1</v>
      </c>
      <c r="AQ36" s="37">
        <f>INDEX('feed pars'!$AC$6:$AC$46,MATCH($A36,'feed pars'!$B$6:$B$46,0))</f>
        <v>8.6999999999999993</v>
      </c>
      <c r="AR36" s="37"/>
      <c r="AT36" s="28" t="str">
        <f>'feed pars'!$B39</f>
        <v>sugar beet molasses</v>
      </c>
      <c r="AU36" t="s">
        <v>21</v>
      </c>
      <c r="AV36" t="s">
        <v>292</v>
      </c>
      <c r="AY36" s="37"/>
      <c r="AZ36" s="37">
        <f>INDEX('feed pars'!$AD$6:$AD$46,MATCH($A36,'feed pars'!$B$6:$B$46,0))</f>
        <v>9</v>
      </c>
      <c r="BA36" s="37"/>
    </row>
    <row r="37" spans="1:53" x14ac:dyDescent="0.25">
      <c r="A37" t="str">
        <f>'feed pars'!$B40</f>
        <v>sugar beet pulp</v>
      </c>
      <c r="D37">
        <f>INDEX('feed pars'!C$6:C$46,MATCH(A37,'feed pars'!B$6:B$46,0))</f>
        <v>89.5</v>
      </c>
      <c r="E37" s="28">
        <f>INDEX('feed pars'!D$6:D$46,MATCH(A37,'feed pars'!B$6:B$46,0))</f>
        <v>17.334312000000001</v>
      </c>
      <c r="F37" s="28"/>
      <c r="G37" s="28"/>
      <c r="H37" s="28"/>
      <c r="I37" s="28"/>
      <c r="J37" s="28" t="str">
        <f>'feed pars'!$B40</f>
        <v>sugar beet pulp</v>
      </c>
      <c r="K37" t="s">
        <v>20</v>
      </c>
      <c r="O37" s="37">
        <f>INDEX('feed pars'!$N$6:$N$46,MATCH($A37,'feed pars'!$B$6:$B$46,0))</f>
        <v>14.7</v>
      </c>
      <c r="P37" s="37">
        <f>INDEX('feed pars'!$M$6:$M$46,MATCH($A37,'feed pars'!$B$6:$B$46,0))</f>
        <v>12.3</v>
      </c>
      <c r="Q37" s="37">
        <f>INDEX('feed pars'!$P$6:$P$46,MATCH($A37,'feed pars'!$B$6:$B$46,0))</f>
        <v>32</v>
      </c>
      <c r="S37" s="28" t="str">
        <f>'feed pars'!$B40</f>
        <v>sugar beet pulp</v>
      </c>
      <c r="T37" t="s">
        <v>383</v>
      </c>
      <c r="X37" s="37">
        <f>INDEX('feed pars'!$N$6:$N$46,MATCH($A37,'feed pars'!$B$6:$B$46,0))</f>
        <v>14.7</v>
      </c>
      <c r="Y37" s="37">
        <f>INDEX('feed pars'!$M$6:$M$46,MATCH($A37,'feed pars'!$B$6:$B$46,0))</f>
        <v>12.3</v>
      </c>
      <c r="Z37" s="37">
        <f>INDEX('feed pars'!$P$6:$P$46,MATCH($A37,'feed pars'!$B$6:$B$46,0))</f>
        <v>32</v>
      </c>
      <c r="AB37" s="28" t="str">
        <f>'feed pars'!$B40</f>
        <v>sugar beet pulp</v>
      </c>
      <c r="AC37" t="s">
        <v>378</v>
      </c>
      <c r="AG37" s="37">
        <f>INDEX('feed pars'!$N$6:$N$46,MATCH($A37,'feed pars'!$B$6:$B$46,0))</f>
        <v>14.7</v>
      </c>
      <c r="AH37" s="37">
        <f>INDEX('feed pars'!$M$6:$M$46,MATCH($A37,'feed pars'!$B$6:$B$46,0))</f>
        <v>12.3</v>
      </c>
      <c r="AI37" s="37">
        <f>INDEX('feed pars'!$P$6:$P$46,MATCH($A37,'feed pars'!$B$6:$B$46,0))</f>
        <v>32</v>
      </c>
      <c r="AK37" s="28" t="str">
        <f>'feed pars'!$B40</f>
        <v>sugar beet pulp</v>
      </c>
      <c r="AL37" t="s">
        <v>21</v>
      </c>
      <c r="AP37" s="37">
        <f>INDEX('feed pars'!$AB$6:$AB$46,MATCH($A37,'feed pars'!$B$6:$B$46,0))</f>
        <v>12.2</v>
      </c>
      <c r="AQ37" s="37">
        <f>INDEX('feed pars'!$AC$6:$AC$46,MATCH($A37,'feed pars'!$B$6:$B$46,0))</f>
        <v>6.9</v>
      </c>
      <c r="AR37" s="37"/>
      <c r="AT37" s="28" t="str">
        <f>'feed pars'!$B40</f>
        <v>sugar beet pulp</v>
      </c>
      <c r="AU37" t="s">
        <v>21</v>
      </c>
      <c r="AV37" t="s">
        <v>292</v>
      </c>
      <c r="AY37" s="37"/>
      <c r="AZ37" s="37">
        <f>INDEX('feed pars'!$AD$6:$AD$46,MATCH($A37,'feed pars'!$B$6:$B$46,0))</f>
        <v>8</v>
      </c>
      <c r="BA37" s="37"/>
    </row>
    <row r="38" spans="1:53" x14ac:dyDescent="0.25">
      <c r="A38" t="str">
        <f>'feed pars'!$B41</f>
        <v>whey</v>
      </c>
      <c r="D38">
        <f>INDEX('feed pars'!C$6:C$46,MATCH(A38,'feed pars'!B$6:B$46,0))</f>
        <v>6.25</v>
      </c>
      <c r="E38" s="28">
        <f>INDEX('feed pars'!D$6:D$46,MATCH(A38,'feed pars'!B$6:B$46,0))</f>
        <v>16.464040000000001</v>
      </c>
      <c r="F38" s="28"/>
      <c r="G38" s="28"/>
      <c r="H38" s="28"/>
      <c r="I38" s="28"/>
      <c r="J38" s="28" t="str">
        <f>'feed pars'!$B41</f>
        <v>whey</v>
      </c>
      <c r="K38" t="s">
        <v>20</v>
      </c>
      <c r="O38" s="37">
        <f>INDEX('feed pars'!$N$6:$N$46,MATCH($A38,'feed pars'!$B$6:$B$46,0))</f>
        <v>15.1</v>
      </c>
      <c r="P38" s="37">
        <f>INDEX('feed pars'!$M$6:$M$46,MATCH($A38,'feed pars'!$B$6:$B$46,0))</f>
        <v>13.6</v>
      </c>
      <c r="Q38" s="37">
        <f>INDEX('feed pars'!$P$6:$P$46,MATCH($A38,'feed pars'!$B$6:$B$46,0))</f>
        <v>10</v>
      </c>
      <c r="S38" s="28" t="str">
        <f>'feed pars'!$B41</f>
        <v>whey</v>
      </c>
      <c r="T38" t="s">
        <v>383</v>
      </c>
      <c r="X38" s="37">
        <f>INDEX('feed pars'!$N$6:$N$46,MATCH($A38,'feed pars'!$B$6:$B$46,0))</f>
        <v>15.1</v>
      </c>
      <c r="Y38" s="37">
        <f>INDEX('feed pars'!$M$6:$M$46,MATCH($A38,'feed pars'!$B$6:$B$46,0))</f>
        <v>13.6</v>
      </c>
      <c r="Z38" s="37">
        <f>INDEX('feed pars'!$P$6:$P$46,MATCH($A38,'feed pars'!$B$6:$B$46,0))</f>
        <v>10</v>
      </c>
      <c r="AB38" s="28" t="str">
        <f>'feed pars'!$B41</f>
        <v>whey</v>
      </c>
      <c r="AC38" t="s">
        <v>378</v>
      </c>
      <c r="AG38" s="37">
        <f>INDEX('feed pars'!$N$6:$N$46,MATCH($A38,'feed pars'!$B$6:$B$46,0))</f>
        <v>15.1</v>
      </c>
      <c r="AH38" s="37">
        <f>INDEX('feed pars'!$M$6:$M$46,MATCH($A38,'feed pars'!$B$6:$B$46,0))</f>
        <v>13.6</v>
      </c>
      <c r="AI38" s="37">
        <f>INDEX('feed pars'!$P$6:$P$46,MATCH($A38,'feed pars'!$B$6:$B$46,0))</f>
        <v>10</v>
      </c>
      <c r="AK38" s="28" t="str">
        <f>'feed pars'!$B41</f>
        <v>whey</v>
      </c>
      <c r="AL38" t="s">
        <v>21</v>
      </c>
      <c r="AP38" s="37">
        <f>INDEX('feed pars'!$AB$6:$AB$46,MATCH($A38,'feed pars'!$B$6:$B$46,0))</f>
        <v>15.205346051464064</v>
      </c>
      <c r="AQ38" s="37">
        <f>INDEX('feed pars'!$AC$6:$AC$46,MATCH($A38,'feed pars'!$B$6:$B$46,0))</f>
        <v>12.4</v>
      </c>
      <c r="AR38" s="37"/>
      <c r="AT38" s="28" t="str">
        <f>'feed pars'!$B41</f>
        <v>whey</v>
      </c>
      <c r="AU38" t="s">
        <v>21</v>
      </c>
      <c r="AV38" t="s">
        <v>292</v>
      </c>
      <c r="AY38" s="37"/>
      <c r="AZ38" s="37">
        <f>INDEX('feed pars'!$AD$6:$AD$46,MATCH($A38,'feed pars'!$B$6:$B$46,0))</f>
        <v>12.2</v>
      </c>
      <c r="BA38" s="37"/>
    </row>
    <row r="39" spans="1:53" x14ac:dyDescent="0.25">
      <c r="A39" t="str">
        <f>'feed pars'!$B42</f>
        <v>whey powder</v>
      </c>
      <c r="D39">
        <f>INDEX('feed pars'!C$6:C$46,MATCH(A39,'feed pars'!B$6:B$46,0))</f>
        <v>97</v>
      </c>
      <c r="E39" s="28">
        <f>INDEX('feed pars'!D$6:D$46,MATCH(A39,'feed pars'!B$6:B$46,0))</f>
        <v>16.975324799999999</v>
      </c>
      <c r="F39" s="28"/>
      <c r="G39" s="28"/>
      <c r="H39" s="28"/>
      <c r="I39" s="28"/>
      <c r="J39" s="28" t="str">
        <f>'feed pars'!$B42</f>
        <v>whey powder</v>
      </c>
      <c r="K39" t="s">
        <v>20</v>
      </c>
      <c r="O39" s="37"/>
      <c r="P39" s="37"/>
      <c r="Q39" s="37"/>
      <c r="S39" s="28" t="str">
        <f>'feed pars'!$B42</f>
        <v>whey powder</v>
      </c>
      <c r="T39" t="s">
        <v>383</v>
      </c>
      <c r="X39" s="37"/>
      <c r="Y39" s="37"/>
      <c r="Z39" s="37"/>
      <c r="AB39" s="28" t="str">
        <f>'feed pars'!$B42</f>
        <v>whey powder</v>
      </c>
      <c r="AC39" t="s">
        <v>378</v>
      </c>
      <c r="AG39" s="37"/>
      <c r="AH39" s="37"/>
      <c r="AI39" s="37"/>
      <c r="AK39" s="28" t="str">
        <f>'feed pars'!$B42</f>
        <v>whey powder</v>
      </c>
      <c r="AL39" t="s">
        <v>21</v>
      </c>
      <c r="AP39" s="37">
        <f>INDEX('feed pars'!$AB$6:$AB$46,MATCH($A39,'feed pars'!$B$6:$B$46,0))</f>
        <v>15.3</v>
      </c>
      <c r="AQ39" s="37">
        <f>INDEX('feed pars'!$AC$6:$AC$46,MATCH($A39,'feed pars'!$B$6:$B$46,0))</f>
        <v>12.4</v>
      </c>
      <c r="AR39" s="37"/>
      <c r="AT39" s="28" t="str">
        <f>'feed pars'!$B42</f>
        <v>whey powder</v>
      </c>
      <c r="AU39" t="s">
        <v>21</v>
      </c>
      <c r="AV39" t="s">
        <v>292</v>
      </c>
      <c r="AY39" s="37"/>
      <c r="AZ39" s="37">
        <f>INDEX('feed pars'!$AD$6:$AD$46,MATCH($A39,'feed pars'!$B$6:$B$46,0))</f>
        <v>12.2</v>
      </c>
      <c r="BA39" s="37"/>
    </row>
    <row r="40" spans="1:53" x14ac:dyDescent="0.25">
      <c r="A40" t="str">
        <f>'feed pars'!$B43</f>
        <v>potatoe protein</v>
      </c>
      <c r="D40">
        <f>INDEX('feed pars'!C$6:C$46,MATCH(A40,'feed pars'!B$6:B$46,0))</f>
        <v>91</v>
      </c>
      <c r="E40" s="28">
        <f>INDEX('feed pars'!D$6:D$46,MATCH(A40,'feed pars'!B$6:B$46,0))</f>
        <v>23.055932000000002</v>
      </c>
      <c r="F40" s="28"/>
      <c r="G40" s="28"/>
      <c r="H40" s="28"/>
      <c r="I40" s="28"/>
      <c r="J40" s="28" t="str">
        <f>'feed pars'!$B43</f>
        <v>potatoe protein</v>
      </c>
      <c r="K40" t="s">
        <v>20</v>
      </c>
      <c r="O40" s="37">
        <f>INDEX('feed pars'!$N$6:$N$46,MATCH($A40,'feed pars'!$B$6:$B$46,0))</f>
        <v>19.7</v>
      </c>
      <c r="P40" s="37">
        <f>INDEX('feed pars'!$M$6:$M$46,MATCH($A40,'feed pars'!$B$6:$B$46,0))</f>
        <v>15.5</v>
      </c>
      <c r="Q40" s="37">
        <f>INDEX('feed pars'!$P$6:$P$46,MATCH($A40,'feed pars'!$B$6:$B$46,0))</f>
        <v>33</v>
      </c>
      <c r="S40" s="28" t="str">
        <f>'feed pars'!$B43</f>
        <v>potatoe protein</v>
      </c>
      <c r="T40" t="s">
        <v>383</v>
      </c>
      <c r="X40" s="37">
        <f>INDEX('feed pars'!$N$6:$N$46,MATCH($A40,'feed pars'!$B$6:$B$46,0))</f>
        <v>19.7</v>
      </c>
      <c r="Y40" s="37">
        <f>INDEX('feed pars'!$M$6:$M$46,MATCH($A40,'feed pars'!$B$6:$B$46,0))</f>
        <v>15.5</v>
      </c>
      <c r="Z40" s="37">
        <f>INDEX('feed pars'!$P$6:$P$46,MATCH($A40,'feed pars'!$B$6:$B$46,0))</f>
        <v>33</v>
      </c>
      <c r="AB40" s="28" t="str">
        <f>'feed pars'!$B43</f>
        <v>potatoe protein</v>
      </c>
      <c r="AC40" t="s">
        <v>378</v>
      </c>
      <c r="AG40" s="37">
        <f>INDEX('feed pars'!$N$6:$N$46,MATCH($A40,'feed pars'!$B$6:$B$46,0))</f>
        <v>19.7</v>
      </c>
      <c r="AH40" s="37">
        <f>INDEX('feed pars'!$M$6:$M$46,MATCH($A40,'feed pars'!$B$6:$B$46,0))</f>
        <v>15.5</v>
      </c>
      <c r="AI40" s="37">
        <f>INDEX('feed pars'!$P$6:$P$46,MATCH($A40,'feed pars'!$B$6:$B$46,0))</f>
        <v>33</v>
      </c>
      <c r="AK40" s="28" t="str">
        <f>'feed pars'!$B43</f>
        <v>potatoe protein</v>
      </c>
      <c r="AL40" t="s">
        <v>21</v>
      </c>
      <c r="AP40" s="37">
        <f>INDEX('feed pars'!$AB$6:$AB$46,MATCH($A40,'feed pars'!$B$6:$B$46,0))</f>
        <v>20.8</v>
      </c>
      <c r="AQ40" s="37">
        <f>INDEX('feed pars'!$AC$6:$AC$46,MATCH($A40,'feed pars'!$B$6:$B$46,0))</f>
        <v>11.1</v>
      </c>
      <c r="AR40" s="37"/>
      <c r="AT40" s="28" t="str">
        <f>'feed pars'!$B43</f>
        <v>potatoe protein</v>
      </c>
      <c r="AU40" t="s">
        <v>21</v>
      </c>
      <c r="AV40" t="s">
        <v>292</v>
      </c>
      <c r="AY40" s="37"/>
      <c r="AZ40" s="37">
        <f>INDEX('feed pars'!$AD$6:$AD$46,MATCH($A40,'feed pars'!$B$6:$B$46,0))</f>
        <v>11.3</v>
      </c>
      <c r="BA40" s="37"/>
    </row>
    <row r="41" spans="1:53" x14ac:dyDescent="0.25">
      <c r="A41" s="37" t="str">
        <f>'feed pars'!$B45</f>
        <v>fish meal</v>
      </c>
      <c r="B41" s="37"/>
      <c r="C41" s="37"/>
      <c r="D41" s="37">
        <f>INDEX('feed pars'!C$6:C$46,MATCH(A41,'feed pars'!B$6:B$46,0))</f>
        <v>92</v>
      </c>
      <c r="E41" s="28">
        <f>INDEX('feed pars'!D$6:D$46,MATCH(A41,'feed pars'!B$6:B$46,0))</f>
        <v>22.254696000000003</v>
      </c>
      <c r="F41" s="28"/>
      <c r="G41" s="28"/>
      <c r="H41" s="28"/>
      <c r="I41" s="28"/>
      <c r="J41" s="28" t="str">
        <f>'feed pars'!$B45</f>
        <v>fish meal</v>
      </c>
      <c r="K41" s="37" t="s">
        <v>20</v>
      </c>
      <c r="L41" s="37"/>
      <c r="M41" s="37"/>
      <c r="N41" s="37"/>
      <c r="O41" s="37"/>
      <c r="P41" s="37"/>
      <c r="Q41" s="37"/>
      <c r="R41" s="37"/>
      <c r="S41" s="28" t="str">
        <f>'feed pars'!$B45</f>
        <v>fish meal</v>
      </c>
      <c r="T41" s="37" t="s">
        <v>383</v>
      </c>
      <c r="U41" s="37"/>
      <c r="V41" s="37"/>
      <c r="W41" s="37"/>
      <c r="X41" s="37"/>
      <c r="Y41" s="37"/>
      <c r="Z41" s="37"/>
      <c r="AA41" s="37"/>
      <c r="AB41" s="28" t="str">
        <f>'feed pars'!$B45</f>
        <v>fish meal</v>
      </c>
      <c r="AC41" s="37" t="s">
        <v>378</v>
      </c>
      <c r="AD41" s="37"/>
      <c r="AE41" s="37"/>
      <c r="AF41" s="37"/>
      <c r="AG41" s="37"/>
      <c r="AH41" s="37"/>
      <c r="AI41" s="37"/>
      <c r="AJ41" s="37"/>
      <c r="AK41" s="28" t="str">
        <f>'feed pars'!$B45</f>
        <v>fish meal</v>
      </c>
      <c r="AL41" s="37" t="s">
        <v>21</v>
      </c>
      <c r="AM41" s="37"/>
      <c r="AN41" s="37"/>
      <c r="AO41" s="37"/>
      <c r="AP41" s="37">
        <f>INDEX('feed pars'!$AB$6:$AB$46,MATCH($A41,'feed pars'!$B$6:$B$46,0))</f>
        <v>19.5</v>
      </c>
      <c r="AQ41" s="37">
        <f>INDEX('feed pars'!$AC$6:$AC$46,MATCH($A41,'feed pars'!$B$6:$B$46,0))</f>
        <v>10.8</v>
      </c>
      <c r="AR41" s="37"/>
      <c r="AS41" s="37"/>
      <c r="AT41" s="28" t="str">
        <f>'feed pars'!$B45</f>
        <v>fish meal</v>
      </c>
      <c r="AU41" s="37" t="s">
        <v>21</v>
      </c>
      <c r="AV41" s="37" t="s">
        <v>292</v>
      </c>
      <c r="AW41" s="37"/>
      <c r="AX41" s="37"/>
      <c r="AY41" s="37"/>
      <c r="AZ41" s="37">
        <f>INDEX('feed pars'!$AD$6:$AD$46,MATCH($A41,'feed pars'!$B$6:$B$46,0))</f>
        <v>10.8</v>
      </c>
      <c r="BA41" s="37"/>
    </row>
    <row r="42" spans="1:53" x14ac:dyDescent="0.25">
      <c r="A42" s="36" t="str">
        <f>'feed pars'!$B46</f>
        <v>minerals</v>
      </c>
      <c r="B42" s="36"/>
      <c r="C42" s="36"/>
      <c r="D42" s="36">
        <f>INDEX('feed pars'!C$6:C$46,MATCH(A42,'feed pars'!B$6:B$46,0))</f>
        <v>100</v>
      </c>
      <c r="E42" s="59">
        <f>INDEX('feed pars'!D$6:D$46,MATCH(A42,'feed pars'!B$6:B$46,0))</f>
        <v>0</v>
      </c>
      <c r="F42" s="59"/>
      <c r="G42" s="59"/>
      <c r="H42" s="59"/>
      <c r="I42" s="28"/>
      <c r="J42" s="59" t="str">
        <f>'feed pars'!$B46</f>
        <v>minerals</v>
      </c>
      <c r="K42" s="36" t="s">
        <v>20</v>
      </c>
      <c r="L42" s="36"/>
      <c r="M42" s="36"/>
      <c r="N42" s="36"/>
      <c r="O42" s="36">
        <f>INDEX('feed pars'!$N$6:$N$46,MATCH($A42,'feed pars'!$B$6:$B$46,0))</f>
        <v>0</v>
      </c>
      <c r="P42" s="36">
        <f>INDEX('feed pars'!$M$6:$M$46,MATCH($A42,'feed pars'!$B$6:$B$46,0))</f>
        <v>0</v>
      </c>
      <c r="Q42" s="36">
        <f>INDEX('feed pars'!$P$6:$P$46,MATCH($A42,'feed pars'!$B$6:$B$46,0))</f>
        <v>0</v>
      </c>
      <c r="S42" s="59" t="str">
        <f>'feed pars'!$B46</f>
        <v>minerals</v>
      </c>
      <c r="T42" s="36" t="s">
        <v>383</v>
      </c>
      <c r="U42" s="36"/>
      <c r="V42" s="36"/>
      <c r="W42" s="36"/>
      <c r="X42" s="36">
        <f>INDEX('feed pars'!$N$6:$N$46,MATCH($A42,'feed pars'!$B$6:$B$46,0))</f>
        <v>0</v>
      </c>
      <c r="Y42" s="36">
        <f>INDEX('feed pars'!$M$6:$M$46,MATCH($A42,'feed pars'!$B$6:$B$46,0))</f>
        <v>0</v>
      </c>
      <c r="Z42" s="36">
        <f>INDEX('feed pars'!$P$6:$P$46,MATCH($A42,'feed pars'!$B$6:$B$46,0))</f>
        <v>0</v>
      </c>
      <c r="AB42" s="59" t="str">
        <f>'feed pars'!$B46</f>
        <v>minerals</v>
      </c>
      <c r="AC42" s="36" t="s">
        <v>378</v>
      </c>
      <c r="AD42" s="36"/>
      <c r="AE42" s="36"/>
      <c r="AF42" s="36"/>
      <c r="AG42" s="36">
        <f>INDEX('feed pars'!$N$6:$N$46,MATCH($A42,'feed pars'!$B$6:$B$46,0))</f>
        <v>0</v>
      </c>
      <c r="AH42" s="36">
        <f>INDEX('feed pars'!$M$6:$M$46,MATCH($A42,'feed pars'!$B$6:$B$46,0))</f>
        <v>0</v>
      </c>
      <c r="AI42" s="36">
        <f>INDEX('feed pars'!$P$6:$P$46,MATCH($A42,'feed pars'!$B$6:$B$46,0))</f>
        <v>0</v>
      </c>
      <c r="AK42" s="59" t="str">
        <f>'feed pars'!$B46</f>
        <v>minerals</v>
      </c>
      <c r="AL42" s="36" t="s">
        <v>21</v>
      </c>
      <c r="AM42" s="36"/>
      <c r="AN42" s="36"/>
      <c r="AO42" s="36"/>
      <c r="AP42" s="36">
        <f>INDEX('feed pars'!$AB$6:$AB$46,MATCH($A42,'feed pars'!$B$6:$B$46,0))</f>
        <v>0</v>
      </c>
      <c r="AQ42" s="36">
        <f>INDEX('feed pars'!$AC$6:$AC$46,MATCH($A42,'feed pars'!$B$6:$B$46,0))</f>
        <v>0</v>
      </c>
      <c r="AR42" s="36"/>
      <c r="AT42" s="59" t="str">
        <f>'feed pars'!$B46</f>
        <v>minerals</v>
      </c>
      <c r="AU42" s="36" t="s">
        <v>21</v>
      </c>
      <c r="AV42" s="36" t="s">
        <v>292</v>
      </c>
      <c r="AW42" s="36"/>
      <c r="AX42" s="36"/>
      <c r="AY42" s="36"/>
      <c r="AZ42" s="36">
        <f>INDEX('feed pars'!$AD$6:$AD$46,MATCH($A42,'feed pars'!$B$6:$B$46,0))</f>
        <v>0</v>
      </c>
      <c r="BA42" s="3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3" workbookViewId="0">
      <selection activeCell="C34" sqref="C34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54</v>
      </c>
      <c r="B2" s="15" t="s">
        <v>118</v>
      </c>
      <c r="C2" s="15" t="s">
        <v>121</v>
      </c>
      <c r="D2" s="15" t="s">
        <v>122</v>
      </c>
      <c r="E2" s="15" t="s">
        <v>117</v>
      </c>
      <c r="F2" s="15" t="s">
        <v>116</v>
      </c>
      <c r="G2" s="15" t="s">
        <v>115</v>
      </c>
      <c r="H2" s="15" t="s">
        <v>123</v>
      </c>
      <c r="I2" s="15" t="s">
        <v>124</v>
      </c>
      <c r="J2" s="15" t="s">
        <v>125</v>
      </c>
      <c r="K2" s="15" t="s">
        <v>119</v>
      </c>
      <c r="L2" s="15" t="s">
        <v>120</v>
      </c>
      <c r="M2" s="15" t="s">
        <v>126</v>
      </c>
      <c r="N2" s="15" t="s">
        <v>127</v>
      </c>
      <c r="O2" s="15" t="s">
        <v>128</v>
      </c>
      <c r="P2" s="15" t="s">
        <v>129</v>
      </c>
      <c r="Q2" s="15" t="s">
        <v>130</v>
      </c>
      <c r="R2" s="15" t="s">
        <v>131</v>
      </c>
      <c r="S2" s="15" t="s">
        <v>132</v>
      </c>
      <c r="T2" s="15" t="s">
        <v>133</v>
      </c>
      <c r="U2" s="15" t="s">
        <v>134</v>
      </c>
      <c r="V2" s="15" t="s">
        <v>135</v>
      </c>
      <c r="W2" s="15" t="s">
        <v>136</v>
      </c>
      <c r="X2" s="15" t="s">
        <v>137</v>
      </c>
      <c r="Y2" s="15" t="s">
        <v>138</v>
      </c>
      <c r="Z2" s="15" t="s">
        <v>139</v>
      </c>
      <c r="AA2" s="15" t="s">
        <v>140</v>
      </c>
      <c r="AB2" s="15" t="s">
        <v>141</v>
      </c>
      <c r="AC2" s="15" t="s">
        <v>142</v>
      </c>
      <c r="AD2" s="15" t="s">
        <v>143</v>
      </c>
      <c r="AE2" s="15" t="s">
        <v>144</v>
      </c>
      <c r="AF2" s="15" t="s">
        <v>145</v>
      </c>
      <c r="AG2" s="15" t="s">
        <v>146</v>
      </c>
      <c r="AH2" s="15" t="s">
        <v>147</v>
      </c>
      <c r="AI2" s="15" t="s">
        <v>148</v>
      </c>
      <c r="AJ2" s="15" t="s">
        <v>149</v>
      </c>
      <c r="AK2" s="15" t="s">
        <v>150</v>
      </c>
      <c r="AL2" s="15" t="s">
        <v>151</v>
      </c>
      <c r="AM2" s="15" t="s">
        <v>152</v>
      </c>
      <c r="AN2" s="15" t="s">
        <v>153</v>
      </c>
      <c r="AO2" s="15" t="s">
        <v>154</v>
      </c>
    </row>
    <row r="3" spans="1:41" x14ac:dyDescent="0.25">
      <c r="A3" t="s">
        <v>47</v>
      </c>
      <c r="B3" s="8">
        <v>1</v>
      </c>
      <c r="C3" s="9" t="s">
        <v>57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58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46</v>
      </c>
      <c r="B5" s="8">
        <v>3</v>
      </c>
      <c r="C5" s="9" t="s">
        <v>59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49</v>
      </c>
      <c r="B6" s="11">
        <v>4</v>
      </c>
      <c r="C6" s="12" t="s">
        <v>60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61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56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53</v>
      </c>
      <c r="B9" s="8">
        <v>7</v>
      </c>
      <c r="C9" s="9" t="s">
        <v>62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63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64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65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34</v>
      </c>
      <c r="B13" s="8">
        <v>11</v>
      </c>
      <c r="C13" s="9" t="s">
        <v>66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67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33</v>
      </c>
      <c r="B15" s="8">
        <v>13</v>
      </c>
      <c r="C15" s="9" t="s">
        <v>68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39</v>
      </c>
      <c r="B16" s="11">
        <v>14</v>
      </c>
      <c r="C16" s="12" t="s">
        <v>69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70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71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72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73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36</v>
      </c>
      <c r="B21" s="8">
        <v>19</v>
      </c>
      <c r="C21" s="9" t="s">
        <v>74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75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76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374</v>
      </c>
      <c r="B24" s="11">
        <v>22</v>
      </c>
      <c r="C24" s="12" t="s">
        <v>77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48</v>
      </c>
      <c r="B25" s="8">
        <v>23</v>
      </c>
      <c r="C25" s="9" t="s">
        <v>78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79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80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81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82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304</v>
      </c>
      <c r="B30" s="11">
        <v>28</v>
      </c>
      <c r="C30" s="12" t="s">
        <v>83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43</v>
      </c>
      <c r="B31" s="8">
        <v>29</v>
      </c>
      <c r="C31" s="9" t="s">
        <v>84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85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52</v>
      </c>
      <c r="B33" s="8">
        <v>31</v>
      </c>
      <c r="C33" s="9" t="s">
        <v>86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87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31</v>
      </c>
      <c r="B35" s="8">
        <v>33</v>
      </c>
      <c r="C35" s="9" t="s">
        <v>88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B36" s="11">
        <v>34</v>
      </c>
      <c r="C36" s="12" t="s">
        <v>89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90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32</v>
      </c>
      <c r="B38" s="11">
        <v>36</v>
      </c>
      <c r="C38" s="12" t="s">
        <v>91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92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306</v>
      </c>
      <c r="B40" s="11">
        <v>38</v>
      </c>
      <c r="C40" s="12" t="s">
        <v>93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35</v>
      </c>
      <c r="B41" s="8">
        <v>39</v>
      </c>
      <c r="C41" s="9" t="s">
        <v>94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95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96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97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40</v>
      </c>
      <c r="B45" s="8">
        <v>43</v>
      </c>
      <c r="C45" s="9" t="s">
        <v>98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99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41</v>
      </c>
      <c r="B47" s="8">
        <v>45</v>
      </c>
      <c r="C47" s="9" t="s">
        <v>100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42</v>
      </c>
      <c r="B48" s="11">
        <v>46</v>
      </c>
      <c r="C48" s="12" t="s">
        <v>101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102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103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104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50</v>
      </c>
      <c r="B52" s="11">
        <v>50</v>
      </c>
      <c r="C52" s="12" t="s">
        <v>105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106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51</v>
      </c>
      <c r="B54" s="11">
        <v>52</v>
      </c>
      <c r="C54" s="12" t="s">
        <v>107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17</v>
      </c>
      <c r="B55" s="8">
        <v>53</v>
      </c>
      <c r="C55" s="9" t="s">
        <v>108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45</v>
      </c>
      <c r="B56" s="11">
        <v>54</v>
      </c>
      <c r="C56" s="12" t="s">
        <v>109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44</v>
      </c>
      <c r="B57" s="8">
        <v>55</v>
      </c>
      <c r="C57" s="9" t="s">
        <v>110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37</v>
      </c>
      <c r="B58" s="11">
        <v>56</v>
      </c>
      <c r="C58" s="12" t="s">
        <v>111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38</v>
      </c>
      <c r="B59" s="8">
        <v>57</v>
      </c>
      <c r="C59" s="9" t="s">
        <v>112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113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38" workbookViewId="0">
      <selection activeCell="A65" sqref="A65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54</v>
      </c>
      <c r="B2" s="15" t="s">
        <v>118</v>
      </c>
      <c r="C2" s="15" t="s">
        <v>121</v>
      </c>
      <c r="D2" s="15" t="s">
        <v>122</v>
      </c>
      <c r="E2" s="15" t="s">
        <v>272</v>
      </c>
      <c r="F2" s="15" t="s">
        <v>273</v>
      </c>
      <c r="G2" s="15" t="s">
        <v>274</v>
      </c>
      <c r="H2" s="15" t="s">
        <v>275</v>
      </c>
      <c r="I2" s="15" t="s">
        <v>276</v>
      </c>
      <c r="J2" s="15" t="s">
        <v>277</v>
      </c>
      <c r="K2" s="15" t="s">
        <v>124</v>
      </c>
      <c r="L2" s="15" t="s">
        <v>125</v>
      </c>
      <c r="M2" s="15" t="s">
        <v>128</v>
      </c>
      <c r="N2" s="15" t="s">
        <v>278</v>
      </c>
      <c r="O2" s="15" t="s">
        <v>279</v>
      </c>
      <c r="P2" s="15" t="s">
        <v>280</v>
      </c>
      <c r="Q2" s="15" t="s">
        <v>281</v>
      </c>
      <c r="R2" s="15" t="s">
        <v>282</v>
      </c>
      <c r="S2" s="15" t="s">
        <v>283</v>
      </c>
      <c r="T2" s="15" t="s">
        <v>284</v>
      </c>
      <c r="U2" s="15" t="s">
        <v>285</v>
      </c>
      <c r="V2" s="15" t="s">
        <v>286</v>
      </c>
      <c r="W2" s="15" t="s">
        <v>127</v>
      </c>
      <c r="X2" s="15" t="s">
        <v>287</v>
      </c>
      <c r="Y2" s="15" t="s">
        <v>126</v>
      </c>
      <c r="Z2" s="15" t="s">
        <v>119</v>
      </c>
      <c r="AA2" s="15" t="s">
        <v>288</v>
      </c>
      <c r="AB2" s="15" t="s">
        <v>144</v>
      </c>
      <c r="AC2" s="15" t="s">
        <v>145</v>
      </c>
      <c r="AD2" s="15" t="s">
        <v>146</v>
      </c>
      <c r="AE2" s="15" t="s">
        <v>147</v>
      </c>
      <c r="AF2" s="15" t="s">
        <v>148</v>
      </c>
      <c r="AG2" s="15" t="s">
        <v>289</v>
      </c>
      <c r="AH2" s="15" t="s">
        <v>148</v>
      </c>
    </row>
    <row r="3" spans="1:34" x14ac:dyDescent="0.25">
      <c r="B3" s="8">
        <v>1</v>
      </c>
      <c r="C3" s="10" t="s">
        <v>155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156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157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158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159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160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161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162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163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164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165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166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167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168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169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170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171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172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173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174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175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296</v>
      </c>
      <c r="B24" s="11">
        <v>22</v>
      </c>
      <c r="C24" s="13" t="s">
        <v>176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177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178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179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180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594</v>
      </c>
      <c r="B29" s="8">
        <v>27</v>
      </c>
      <c r="C29" s="10" t="s">
        <v>181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34</v>
      </c>
      <c r="B30" s="11">
        <v>28</v>
      </c>
      <c r="C30" s="13" t="s">
        <v>182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593</v>
      </c>
      <c r="B31" s="8">
        <v>29</v>
      </c>
      <c r="C31" s="10" t="s">
        <v>183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67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184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185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186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187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188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189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190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303</v>
      </c>
      <c r="B40" s="11">
        <v>38</v>
      </c>
      <c r="C40" s="13" t="s">
        <v>191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192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193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194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33</v>
      </c>
      <c r="B44" s="11">
        <v>42</v>
      </c>
      <c r="C44" s="13" t="s">
        <v>195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196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197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39</v>
      </c>
      <c r="B47" s="8">
        <v>45</v>
      </c>
      <c r="C47" s="10" t="s">
        <v>198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199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200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201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202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B52" s="11">
        <v>50</v>
      </c>
      <c r="C52" s="13" t="s">
        <v>203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12</v>
      </c>
      <c r="B53" s="8">
        <v>51</v>
      </c>
      <c r="C53" s="10" t="s">
        <v>204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205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36</v>
      </c>
      <c r="B55" s="8">
        <v>53</v>
      </c>
      <c r="C55" s="10" t="s">
        <v>206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207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208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209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50</v>
      </c>
      <c r="B59" s="8">
        <v>57</v>
      </c>
      <c r="C59" s="10" t="s">
        <v>210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211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212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43</v>
      </c>
      <c r="B62" s="11">
        <v>60</v>
      </c>
      <c r="C62" s="13" t="s">
        <v>213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214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215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607</v>
      </c>
      <c r="B65" s="8">
        <v>63</v>
      </c>
      <c r="C65" s="10" t="s">
        <v>216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217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52</v>
      </c>
      <c r="B67" s="8">
        <v>65</v>
      </c>
      <c r="C67" s="10" t="s">
        <v>218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298</v>
      </c>
      <c r="B68" s="11">
        <v>66</v>
      </c>
      <c r="C68" s="13" t="s">
        <v>219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220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221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222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32</v>
      </c>
      <c r="B72" s="11">
        <v>70</v>
      </c>
      <c r="C72" s="13" t="s">
        <v>223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31</v>
      </c>
      <c r="B73" s="8">
        <v>71</v>
      </c>
      <c r="C73" s="10" t="s">
        <v>224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225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226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227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228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B78" s="11">
        <v>76</v>
      </c>
      <c r="C78" s="13" t="s">
        <v>229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306</v>
      </c>
      <c r="B79" s="8">
        <v>77</v>
      </c>
      <c r="C79" s="10" t="s">
        <v>230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35</v>
      </c>
      <c r="B80" s="11">
        <v>78</v>
      </c>
      <c r="C80" s="13" t="s">
        <v>231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232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233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234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235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236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237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238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239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240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48</v>
      </c>
      <c r="B90" s="11">
        <v>88</v>
      </c>
      <c r="C90" s="13" t="s">
        <v>241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242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243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49</v>
      </c>
      <c r="B93" s="8">
        <v>91</v>
      </c>
      <c r="C93" s="10" t="s">
        <v>244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307</v>
      </c>
      <c r="B94" s="11">
        <v>92</v>
      </c>
      <c r="C94" s="13" t="s">
        <v>245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40</v>
      </c>
      <c r="B95" s="8">
        <v>93</v>
      </c>
      <c r="C95" s="10" t="s">
        <v>246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247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248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249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250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251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42</v>
      </c>
      <c r="B101" s="8">
        <v>99</v>
      </c>
      <c r="C101" s="10" t="s">
        <v>252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253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254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255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256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257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258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259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260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261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46</v>
      </c>
      <c r="B111" s="8">
        <v>109</v>
      </c>
      <c r="C111" s="10" t="s">
        <v>262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263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44</v>
      </c>
      <c r="B113" s="8">
        <v>111</v>
      </c>
      <c r="C113" s="10" t="s">
        <v>264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17</v>
      </c>
      <c r="B114" s="11">
        <v>112</v>
      </c>
      <c r="C114" s="13" t="s">
        <v>265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266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267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37</v>
      </c>
      <c r="B117" s="8">
        <v>115</v>
      </c>
      <c r="C117" s="10" t="s">
        <v>268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269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270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271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118</v>
      </c>
      <c r="C2" s="15" t="s">
        <v>121</v>
      </c>
      <c r="D2" s="15" t="s">
        <v>324</v>
      </c>
      <c r="E2" s="15" t="s">
        <v>273</v>
      </c>
      <c r="F2" s="15" t="s">
        <v>274</v>
      </c>
      <c r="G2" s="15" t="s">
        <v>397</v>
      </c>
      <c r="H2" s="15" t="s">
        <v>398</v>
      </c>
      <c r="I2" s="15" t="s">
        <v>399</v>
      </c>
      <c r="J2" s="15" t="s">
        <v>400</v>
      </c>
      <c r="K2" s="15" t="s">
        <v>401</v>
      </c>
      <c r="L2" s="15" t="s">
        <v>402</v>
      </c>
      <c r="M2" s="15" t="s">
        <v>403</v>
      </c>
      <c r="N2" s="15" t="s">
        <v>404</v>
      </c>
      <c r="O2" s="15" t="s">
        <v>405</v>
      </c>
      <c r="P2" s="15" t="s">
        <v>406</v>
      </c>
      <c r="Q2" s="15" t="s">
        <v>407</v>
      </c>
      <c r="R2" s="15" t="s">
        <v>408</v>
      </c>
      <c r="S2" s="15" t="s">
        <v>409</v>
      </c>
      <c r="T2" s="15" t="s">
        <v>410</v>
      </c>
      <c r="U2" s="15" t="s">
        <v>119</v>
      </c>
      <c r="V2" s="15" t="s">
        <v>411</v>
      </c>
      <c r="W2" s="15" t="s">
        <v>144</v>
      </c>
      <c r="X2" s="15" t="s">
        <v>145</v>
      </c>
      <c r="Y2" s="15" t="s">
        <v>146</v>
      </c>
      <c r="Z2" s="15" t="s">
        <v>147</v>
      </c>
      <c r="AA2" s="15" t="s">
        <v>148</v>
      </c>
      <c r="AB2" s="15" t="s">
        <v>289</v>
      </c>
    </row>
    <row r="3" spans="2:31" x14ac:dyDescent="0.25">
      <c r="B3" s="8">
        <v>1</v>
      </c>
      <c r="C3" s="23" t="s">
        <v>412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413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414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415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416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417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418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419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420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421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422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423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424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425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426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427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428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429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430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431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432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433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434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435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436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437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438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439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440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441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442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443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444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445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446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447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448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449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450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451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452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453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454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455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456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457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458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459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460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461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462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463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464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465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466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467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468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469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470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54</v>
      </c>
      <c r="B2" s="15" t="s">
        <v>118</v>
      </c>
      <c r="C2" s="15" t="s">
        <v>528</v>
      </c>
      <c r="D2" s="15" t="s">
        <v>323</v>
      </c>
      <c r="E2" s="15" t="s">
        <v>503</v>
      </c>
      <c r="F2" s="15" t="s">
        <v>504</v>
      </c>
      <c r="G2" s="15" t="s">
        <v>505</v>
      </c>
      <c r="H2" s="15" t="s">
        <v>506</v>
      </c>
      <c r="I2" s="15" t="s">
        <v>507</v>
      </c>
      <c r="J2" s="15" t="s">
        <v>508</v>
      </c>
      <c r="K2" s="15" t="s">
        <v>509</v>
      </c>
      <c r="L2" s="15" t="s">
        <v>510</v>
      </c>
      <c r="M2" s="15" t="s">
        <v>511</v>
      </c>
      <c r="N2" s="15" t="s">
        <v>512</v>
      </c>
    </row>
    <row r="3" spans="1:14" x14ac:dyDescent="0.25">
      <c r="B3" s="8">
        <v>1</v>
      </c>
      <c r="C3" s="10" t="s">
        <v>513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514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515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516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167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529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530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531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532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517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518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533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534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535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185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536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537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538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539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519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540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520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541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521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542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218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543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544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545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546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547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548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549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550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522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551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552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553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523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524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554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555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525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556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557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558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526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527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559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560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561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562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563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564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2" sqref="E2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54</v>
      </c>
      <c r="B2" s="15" t="s">
        <v>118</v>
      </c>
      <c r="C2" s="15" t="s">
        <v>121</v>
      </c>
      <c r="D2" s="15" t="s">
        <v>323</v>
      </c>
      <c r="E2" s="15" t="s">
        <v>324</v>
      </c>
      <c r="F2" s="15" t="s">
        <v>325</v>
      </c>
      <c r="G2" s="15" t="s">
        <v>326</v>
      </c>
      <c r="H2" s="15" t="s">
        <v>327</v>
      </c>
      <c r="I2" s="15" t="s">
        <v>328</v>
      </c>
      <c r="J2" s="15" t="s">
        <v>329</v>
      </c>
      <c r="K2" s="15" t="s">
        <v>330</v>
      </c>
      <c r="L2" s="15" t="s">
        <v>126</v>
      </c>
      <c r="M2" s="15" t="s">
        <v>127</v>
      </c>
      <c r="N2" s="15" t="s">
        <v>125</v>
      </c>
      <c r="O2" s="15" t="s">
        <v>144</v>
      </c>
      <c r="P2" s="15" t="s">
        <v>331</v>
      </c>
      <c r="Q2" s="15" t="s">
        <v>332</v>
      </c>
      <c r="R2" s="15" t="s">
        <v>147</v>
      </c>
      <c r="S2" s="15" t="s">
        <v>148</v>
      </c>
      <c r="T2" s="15" t="s">
        <v>333</v>
      </c>
      <c r="U2" s="15" t="s">
        <v>334</v>
      </c>
    </row>
    <row r="3" spans="1:21" x14ac:dyDescent="0.25">
      <c r="A3" t="s">
        <v>304</v>
      </c>
      <c r="B3" s="8">
        <v>1</v>
      </c>
      <c r="C3" s="10" t="s">
        <v>335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336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337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338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339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53</v>
      </c>
      <c r="B8" s="11">
        <v>6</v>
      </c>
      <c r="C8" s="13" t="s">
        <v>340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341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342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343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34</v>
      </c>
      <c r="B12" s="11">
        <v>10</v>
      </c>
      <c r="C12" s="13" t="s">
        <v>344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345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346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347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348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349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33</v>
      </c>
      <c r="B18" s="11">
        <v>16</v>
      </c>
      <c r="C18" s="13" t="s">
        <v>350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351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352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353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354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355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356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357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36</v>
      </c>
      <c r="B26" s="11">
        <v>24</v>
      </c>
      <c r="C26" s="13" t="s">
        <v>358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374</v>
      </c>
      <c r="B27" s="8">
        <v>25</v>
      </c>
      <c r="C27" s="10" t="s">
        <v>359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360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361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52</v>
      </c>
      <c r="B30" s="11">
        <v>28</v>
      </c>
      <c r="C30" s="13" t="s">
        <v>362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32</v>
      </c>
      <c r="B31" s="8">
        <v>29</v>
      </c>
      <c r="C31" s="10" t="s">
        <v>363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306</v>
      </c>
      <c r="B32" s="11">
        <v>30</v>
      </c>
      <c r="C32" s="13" t="s">
        <v>364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35</v>
      </c>
      <c r="B33" s="8">
        <v>31</v>
      </c>
      <c r="C33" s="10" t="s">
        <v>365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366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40</v>
      </c>
      <c r="B35" s="8">
        <v>33</v>
      </c>
      <c r="C35" s="10" t="s">
        <v>367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368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17</v>
      </c>
      <c r="B37" s="8">
        <v>35</v>
      </c>
      <c r="C37" s="10" t="s">
        <v>369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45</v>
      </c>
      <c r="B38" s="11">
        <v>36</v>
      </c>
      <c r="C38" s="13" t="s">
        <v>370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371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44</v>
      </c>
      <c r="B40" s="11">
        <v>38</v>
      </c>
      <c r="C40" s="13" t="s">
        <v>372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37</v>
      </c>
      <c r="B41" s="8">
        <v>39</v>
      </c>
      <c r="C41" s="10" t="s">
        <v>373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2023-10-12T09:42:08Z</dcterms:modified>
</cp:coreProperties>
</file>