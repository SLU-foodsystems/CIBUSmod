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nka0003\Git repos\CIBUSmod\mini\data\default\"/>
    </mc:Choice>
  </mc:AlternateContent>
  <bookViews>
    <workbookView xWindow="0" yWindow="0" windowWidth="16380" windowHeight="8190" tabRatio="500" activeTab="1"/>
  </bookViews>
  <sheets>
    <sheet name="references" sheetId="1" r:id="rId1"/>
    <sheet name="default" sheetId="2" r:id="rId2"/>
  </sheets>
  <calcPr calcId="162913"/>
  <extLst>
    <ext xmlns:loext="http://schemas.libreoffice.org/" uri="{7626C862-2A13-11E5-B345-FEFF819CDC9F}">
      <loext:extCalcPr stringRefSyntax="ExcelA1"/>
    </ext>
  </extLst>
</workbook>
</file>

<file path=xl/calcChain.xml><?xml version="1.0" encoding="utf-8"?>
<calcChain xmlns="http://schemas.openxmlformats.org/spreadsheetml/2006/main">
  <c r="O47" i="2" l="1"/>
  <c r="O43" i="2"/>
  <c r="O42" i="2"/>
</calcChain>
</file>

<file path=xl/sharedStrings.xml><?xml version="1.0" encoding="utf-8"?>
<sst xmlns="http://schemas.openxmlformats.org/spreadsheetml/2006/main" count="426" uniqueCount="100">
  <si>
    <t>Statistics Netherlands (2012) Standardised calculation methods for animal manure and nutrients. Standard data 1990–2008</t>
  </si>
  <si>
    <t>Cederberg, C. &amp; Henriksson, M. (2020). Gräsmarkernas användning i jordbruket</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</si>
  <si>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</si>
  <si>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</si>
  <si>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f_species</t>
  </si>
  <si>
    <t>f_breed</t>
  </si>
  <si>
    <t>f_prod_system</t>
  </si>
  <si>
    <t>f_sub_system</t>
  </si>
  <si>
    <t>f_animal</t>
  </si>
  <si>
    <t>f_feed</t>
  </si>
  <si>
    <t>f_feed_group:feed</t>
  </si>
  <si>
    <t>f_crop_group</t>
  </si>
  <si>
    <t>f_crop_prod</t>
  </si>
  <si>
    <t>f_by_prod</t>
  </si>
  <si>
    <t>f_crop_resid</t>
  </si>
  <si>
    <t>f_region</t>
  </si>
  <si>
    <t>f_feed_par</t>
  </si>
  <si>
    <t>parameter</t>
  </si>
  <si>
    <t>value</t>
  </si>
  <si>
    <t>unit</t>
  </si>
  <si>
    <t>description</t>
  </si>
  <si>
    <t>source</t>
  </si>
  <si>
    <t>Conversion factors: Feeds --&gt; crop products, by-products or crop residues</t>
  </si>
  <si>
    <t>kg product/kg DM feed</t>
  </si>
  <si>
    <t>need to align with DM in products and by-products</t>
  </si>
  <si>
    <t>feed_to_prod</t>
  </si>
  <si>
    <t>fallback</t>
  </si>
  <si>
    <t>Crop products</t>
  </si>
  <si>
    <t>ley silage, 1st cut</t>
  </si>
  <si>
    <t>fodder</t>
  </si>
  <si>
    <t>ley silage, regrowth</t>
  </si>
  <si>
    <t>grazing</t>
  </si>
  <si>
    <t>wheat</t>
  </si>
  <si>
    <t>By-products</t>
  </si>
  <si>
    <t>soybean meal</t>
  </si>
  <si>
    <t>rapeseed meal</t>
  </si>
  <si>
    <t>wheat bran</t>
  </si>
  <si>
    <t>milling by-products from wheat, barley or rye</t>
  </si>
  <si>
    <t>Crop residues</t>
  </si>
  <si>
    <t>Parameters to constrain regional feed supply</t>
  </si>
  <si>
    <r>
      <rPr>
        <sz val="11"/>
        <color theme="4"/>
        <rFont val="Calibri"/>
        <family val="2"/>
        <charset val="1"/>
      </rPr>
      <t>The parameter</t>
    </r>
    <r>
      <rPr>
        <b/>
        <sz val="11"/>
        <color theme="4"/>
        <rFont val="Calibri"/>
        <family val="2"/>
        <charset val="1"/>
      </rPr>
      <t xml:space="preserve"> share_regional</t>
    </r>
    <r>
      <rPr>
        <sz val="11"/>
        <color theme="4"/>
        <rFont val="Calibri"/>
        <family val="2"/>
        <charset val="1"/>
      </rPr>
      <t xml:space="preserve"> constrains crop production in a region to supply at least X% of feed demand in that region. Can differ per species/breed/animal etc.</t>
    </r>
  </si>
  <si>
    <t>share_regional</t>
  </si>
  <si>
    <t>%</t>
  </si>
  <si>
    <t>conventional</t>
  </si>
  <si>
    <t>organic</t>
  </si>
  <si>
    <r>
      <rPr>
        <sz val="11"/>
        <color theme="4"/>
        <rFont val="Calibri"/>
        <family val="2"/>
        <charset val="1"/>
      </rPr>
      <t xml:space="preserve">The paramter </t>
    </r>
    <r>
      <rPr>
        <b/>
        <sz val="11"/>
        <color theme="4"/>
        <rFont val="Calibri"/>
        <family val="2"/>
        <charset val="1"/>
      </rPr>
      <t>max_overproduction</t>
    </r>
    <r>
      <rPr>
        <sz val="11"/>
        <color theme="4"/>
        <rFont val="Calibri"/>
        <family val="2"/>
        <charset val="1"/>
      </rPr>
      <t xml:space="preserve"> constrains crop production to not exceed feed demand plus X% in any region. Only specify this for crop products exclusively used for feed</t>
    </r>
  </si>
  <si>
    <t>max_overproduction</t>
  </si>
  <si>
    <t>Share of crop and by-products that are imported</t>
  </si>
  <si>
    <t>share_imported</t>
  </si>
  <si>
    <t>Max total amounts of crop and by-products that are imported</t>
  </si>
  <si>
    <t>max_total_imported</t>
  </si>
  <si>
    <t>kg product</t>
  </si>
  <si>
    <r>
      <rPr>
        <b/>
        <u/>
        <sz val="11"/>
        <color theme="1"/>
        <rFont val="Calibri"/>
        <family val="2"/>
        <charset val="1"/>
      </rPr>
      <t>Maximum contribution of crop to crop product demand for feed</t>
    </r>
    <r>
      <rPr>
        <sz val="11"/>
        <color theme="1"/>
        <rFont val="Calibri"/>
        <family val="2"/>
        <charset val="1"/>
      </rPr>
      <t xml:space="preserve"> (Primarily used to limit semi-natural pastures in grazing)</t>
    </r>
  </si>
  <si>
    <t>cattle</t>
  </si>
  <si>
    <t>Semi-natural pastures</t>
  </si>
  <si>
    <t>max_crop_in_crop_prod</t>
  </si>
  <si>
    <t>dairy</t>
  </si>
  <si>
    <t>cows</t>
  </si>
  <si>
    <t>Storage and feeding losses</t>
  </si>
  <si>
    <t>storage_losses</t>
  </si>
  <si>
    <t>feeding_losses</t>
  </si>
  <si>
    <t>ley silage</t>
  </si>
  <si>
    <t>80% in silo</t>
  </si>
  <si>
    <t>Cederberg &amp; Henriksson (2020)</t>
  </si>
  <si>
    <t>60% in silo</t>
  </si>
  <si>
    <t>No feeding on pasture</t>
  </si>
  <si>
    <t>bulls</t>
  </si>
  <si>
    <t>10% feeding on pasture</t>
  </si>
  <si>
    <t>dry concentrates</t>
  </si>
  <si>
    <t>??</t>
  </si>
  <si>
    <t>for cattle</t>
  </si>
  <si>
    <t>Statistics Netherlands (2012)</t>
  </si>
  <si>
    <t>Enteric fermentation</t>
  </si>
  <si>
    <t>For cattle Ym is calculated from feed ration</t>
  </si>
  <si>
    <t>enteric_adj</t>
  </si>
  <si>
    <t>-</t>
  </si>
  <si>
    <t>Adjustment factor for enteric methane emissions</t>
  </si>
  <si>
    <t>Feed nutritional parameters</t>
  </si>
  <si>
    <t>see feed pars sheet</t>
  </si>
  <si>
    <t>General</t>
  </si>
  <si>
    <t>GE</t>
  </si>
  <si>
    <t>feed_composition</t>
  </si>
  <si>
    <t>MJ GE/kg DM</t>
  </si>
  <si>
    <t>ASH</t>
  </si>
  <si>
    <t>N</t>
  </si>
  <si>
    <t>P</t>
  </si>
  <si>
    <t>K</t>
  </si>
  <si>
    <t>Cattle</t>
  </si>
  <si>
    <t>ME</t>
  </si>
  <si>
    <t>MJ ME/kg DM</t>
  </si>
  <si>
    <t>Energy in feed used for feed req. calc.: ME for cattle,sheep and horses and NE for pigs</t>
  </si>
  <si>
    <t>DE</t>
  </si>
  <si>
    <t>MJ DE/kg DM</t>
  </si>
  <si>
    <t>fat</t>
  </si>
  <si>
    <t>g/kg DM</t>
  </si>
  <si>
    <t>Total fat</t>
  </si>
  <si>
    <t>AAT</t>
  </si>
  <si>
    <t>g AAT/kg DM</t>
  </si>
  <si>
    <t>PBV</t>
  </si>
  <si>
    <t>g PBV/kg 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</si>
</sst>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9" x14ac:knownFonts="1">
    <font>
      <sz val="11"/>
      <color theme="1"/>
      <name val="Calibri"/>
      <family val="2"/>
      <charset val="1"/>
    </font>
    <font>
      <b/>
      <sz val="11"/>
      <color theme="1"/>
      <name val="Calibri"/>
      <family val="2"/>
      <charset val="1"/>
    </font>
    <font>
      <b/>
      <u/>
      <sz val="11"/>
      <color theme="1"/>
      <name val="Calibri"/>
      <family val="2"/>
      <charset val="1"/>
    </font>
    <font>
      <sz val="11"/>
      <color rgb="FFFF0000"/>
      <name val="Calibri"/>
      <family val="2"/>
      <charset val="1"/>
    </font>
    <font>
      <sz val="11"/>
      <color rgb="FF7030A0"/>
      <name val="Calibri"/>
      <family val="2"/>
      <charset val="1"/>
    </font>
    <font>
      <sz val="11"/>
      <name val="Calibri"/>
      <family val="2"/>
      <charset val="1"/>
    </font>
    <font>
      <sz val="11"/>
      <color theme="4"/>
      <name val="Calibri"/>
      <family val="2"/>
      <charset val="1"/>
    </font>
    <font>
      <b/>
      <sz val="11"/>
      <color theme="4"/>
      <name val="Calibri"/>
      <family val="2"/>
      <charset val="1"/>
    </font>
    <font>
      <sz val="11"/>
      <color rgb="FF000000"/>
      <name val="Calibri"/>
      <family val="2"/>
      <charset val="1"/>
    </font>
  </fonts>
  <fills count="3">
    <fill>
      <patternFill patternType="none"/>
    </fill>
    <fill>
      <patternFill patternType="gray125"/>
    </fill>
    <fill>
      <patternFill patternType="solid">
        <fgColor theme="2"/>
        <bgColor rgb="FFFFFFCC"/>
      </patternFill>
    </fill>
  </fills>
  <borders count="1">
    <border>
      <left/>
      <right/>
      <top/>
      <bottom/>
      <diagonal/>
    </border>
  </borders>
  <cellStyleXfs count="1">
    <xf numFmtId="0" fontId="0" fillId="0" borderId="0"/>
  </cellStyleXfs>
  <cellXfs count="18">
    <xf numFmtId="0" fontId="0" fillId="0" borderId="0" xfId="0"/>
    <xf numFmtId="0" fontId="0" fillId="0" borderId="0" xfId="0" applyFont="1" applyAlignment="1" applyProtection="1"/>
    <xf numFmtId="0" fontId="1" fillId="0" borderId="0" xfId="0" applyFont="1" applyAlignment="1" applyProtection="1"/>
    <xf numFmtId="0" fontId="2" fillId="2" borderId="0" xfId="0" applyFont="1" applyFill="1" applyAlignment="1" applyProtection="1"/>
    <xf numFmtId="0" fontId="0" fillId="2" borderId="0" xfId="0" applyFill="1" applyAlignment="1" applyProtection="1"/>
    <xf numFmtId="0" fontId="3" fillId="2" borderId="0" xfId="0" applyFont="1" applyFill="1" applyAlignment="1" applyProtection="1"/>
    <xf numFmtId="0" fontId="4" fillId="0" borderId="0" xfId="0" applyFont="1" applyAlignment="1" applyProtection="1"/>
    <xf numFmtId="2" fontId="4" fillId="0" borderId="0" xfId="0" applyNumberFormat="1" applyFont="1" applyAlignment="1" applyProtection="1"/>
    <xf numFmtId="0" fontId="2" fillId="0" borderId="0" xfId="0" applyFont="1" applyAlignment="1" applyProtection="1"/>
    <xf numFmtId="2" fontId="5" fillId="0" borderId="0" xfId="0" applyNumberFormat="1" applyFont="1" applyAlignment="1" applyProtection="1"/>
    <xf numFmtId="0" fontId="5" fillId="0" borderId="0" xfId="0" applyFont="1" applyAlignment="1" applyProtection="1"/>
    <xf numFmtId="0" fontId="3" fillId="0" borderId="0" xfId="0" applyFont="1" applyAlignment="1" applyProtection="1"/>
    <xf numFmtId="0" fontId="6" fillId="0" borderId="0" xfId="0" applyFont="1" applyAlignment="1" applyProtection="1"/>
    <xf numFmtId="0" fontId="8" fillId="0" borderId="0" xfId="0" applyFont="1" applyAlignment="1" applyProtection="1"/>
    <xf numFmtId="1" fontId="0" fillId="0" borderId="0" xfId="0" applyNumberFormat="1" applyAlignment="1" applyProtection="1"/>
    <xf numFmtId="0" fontId="0" fillId="0" borderId="0" xfId="0" applyFont="1" applyBorder="1" applyAlignment="1" applyProtection="1"/>
    <xf numFmtId="164" fontId="0" fillId="0" borderId="0" xfId="0" applyNumberFormat="1" applyAlignment="1" applyProtection="1"/>
    <xf numFmtId="1" fontId="5" fillId="0" borderId="0" xfId="0" applyNumberFormat="1" applyFont="1" applyAlignment="1" applyProtection="1"/>
  </cellXfs>
  <cellStyles count="1">
    <cellStyle name="Normal" xfId="0" builtinId="0"/>
  </cellStyles>
  <dxfs count="0"/>
  <tableStyles count="0" defaultTableStyle="TableStyleMedium2" defaultPivotStyle="PivotStyleLight16"/>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zoomScale="94" zoomScaleNormal="94" workbookViewId="0">
      <selection activeCell="B9" sqref="B9"/>
    </sheetView>
  </sheetViews>
  <sheetFormatPr defaultColWidth="8.5703125" defaultRowHeight="15" x14ac:dyDescent="0.25"/>
  <sheetData>
    <row r="1" spans="1:1" x14ac:dyDescent="0.25">
      <c r="A1" s="1" t="s">
        <v>0</v>
      </c>
    </row>
    <row r="2" spans="1:1" x14ac:dyDescent="0.25">
      <c r="A2" s="1" t="s">
        <v>1</v>
      </c>
    </row>
    <row r="3" spans="1:1" x14ac:dyDescent="0.25">
      <c r="A3" s="1" t="s">
        <v>2</v>
      </c>
    </row>
    <row r="4" spans="1:1" x14ac:dyDescent="0.25">
      <c r="A4" s="1" t="s">
        <v>3</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8"/>
  <sheetViews>
    <sheetView tabSelected="1" zoomScale="94" zoomScaleNormal="94" workbookViewId="0">
      <pane ySplit="1" topLeftCell="A106" activePane="bottomLeft" state="frozen"/>
      <selection pane="bottomLeft" activeCell="O140" sqref="O140"/>
    </sheetView>
  </sheetViews>
  <sheetFormatPr defaultColWidth="8.5703125" defaultRowHeight="15" x14ac:dyDescent="0.25"/>
  <cols>
    <col min="6" max="7" width="20.28515625" style="1" customWidth="1"/>
    <col min="8" max="8" width="23.5703125" style="1" customWidth="1"/>
    <col min="9" max="9" width="19.5703125" style="1" customWidth="1"/>
    <col min="10" max="11" width="20.140625" style="1" customWidth="1"/>
    <col min="12" max="12" width="9.7109375" style="1" customWidth="1"/>
    <col min="13" max="14" width="16.42578125" style="1" customWidth="1"/>
    <col min="15" max="15" width="10.85546875" style="1" customWidth="1"/>
    <col min="16" max="16" width="12.7109375" style="1" customWidth="1"/>
    <col min="17" max="17" width="38.140625" style="1" customWidth="1"/>
    <col min="18" max="18" width="58" style="1" customWidth="1"/>
  </cols>
  <sheetData>
    <row r="1" spans="1:19" x14ac:dyDescent="0.25">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row>
    <row r="2" spans="1:19" x14ac:dyDescent="0.25">
      <c r="A2" s="3" t="s">
        <v>22</v>
      </c>
      <c r="B2" s="3"/>
      <c r="C2" s="3"/>
      <c r="D2" s="3"/>
      <c r="E2" s="3"/>
      <c r="F2" s="3"/>
      <c r="G2" s="3"/>
      <c r="H2" s="3"/>
      <c r="I2" s="3"/>
      <c r="J2" s="3"/>
      <c r="K2" s="3"/>
      <c r="L2" s="3"/>
      <c r="M2" s="3"/>
      <c r="N2" s="4"/>
      <c r="O2" s="4"/>
      <c r="P2" s="4" t="s">
        <v>23</v>
      </c>
      <c r="Q2" s="5" t="s">
        <v>24</v>
      </c>
      <c r="R2" s="4"/>
      <c r="S2" s="1"/>
    </row>
    <row r="3" spans="1:19" x14ac:dyDescent="0.25">
      <c r="N3" s="6" t="s">
        <v>25</v>
      </c>
      <c r="O3" s="7">
        <v>0</v>
      </c>
      <c r="P3" s="6"/>
      <c r="Q3" s="6" t="s">
        <v>26</v>
      </c>
    </row>
    <row r="4" spans="1:19" x14ac:dyDescent="0.25">
      <c r="A4" s="8" t="s">
        <v>27</v>
      </c>
      <c r="N4" s="6"/>
      <c r="O4" s="7"/>
      <c r="P4" s="6"/>
      <c r="Q4" s="6"/>
    </row>
    <row r="5" spans="1:19" x14ac:dyDescent="0.25">
      <c r="F5" s="1" t="s">
        <v>28</v>
      </c>
      <c r="I5" s="1" t="s">
        <v>29</v>
      </c>
      <c r="N5" s="1" t="s">
        <v>25</v>
      </c>
      <c r="O5" s="9">
        <v>1</v>
      </c>
    </row>
    <row r="6" spans="1:19" x14ac:dyDescent="0.25">
      <c r="F6" s="1" t="s">
        <v>30</v>
      </c>
      <c r="I6" s="1" t="s">
        <v>29</v>
      </c>
      <c r="N6" s="1" t="s">
        <v>25</v>
      </c>
      <c r="O6" s="9">
        <v>1</v>
      </c>
    </row>
    <row r="7" spans="1:19" x14ac:dyDescent="0.25">
      <c r="F7" s="1" t="s">
        <v>31</v>
      </c>
      <c r="I7" s="1" t="s">
        <v>31</v>
      </c>
      <c r="N7" s="1" t="s">
        <v>25</v>
      </c>
      <c r="O7" s="9">
        <v>1</v>
      </c>
    </row>
    <row r="8" spans="1:19" x14ac:dyDescent="0.25">
      <c r="F8" s="1" t="s">
        <v>32</v>
      </c>
      <c r="I8" s="1" t="s">
        <v>32</v>
      </c>
      <c r="N8" s="1" t="s">
        <v>25</v>
      </c>
      <c r="O8" s="9">
        <v>1</v>
      </c>
    </row>
    <row r="9" spans="1:19" x14ac:dyDescent="0.25">
      <c r="A9" s="8" t="s">
        <v>33</v>
      </c>
      <c r="F9" s="10"/>
      <c r="G9" s="10"/>
      <c r="H9" s="10"/>
      <c r="I9" s="10"/>
      <c r="J9" s="10"/>
      <c r="K9" s="10"/>
      <c r="L9" s="10"/>
      <c r="M9" s="10"/>
      <c r="N9" s="10"/>
      <c r="O9" s="9"/>
      <c r="P9" s="10"/>
      <c r="Q9" s="11"/>
    </row>
    <row r="10" spans="1:19" x14ac:dyDescent="0.25">
      <c r="F10" s="1" t="s">
        <v>34</v>
      </c>
      <c r="J10" s="1" t="s">
        <v>34</v>
      </c>
      <c r="N10" s="1" t="s">
        <v>25</v>
      </c>
      <c r="O10" s="9">
        <v>1</v>
      </c>
    </row>
    <row r="11" spans="1:19" x14ac:dyDescent="0.25">
      <c r="F11" s="1" t="s">
        <v>35</v>
      </c>
      <c r="J11" s="1" t="s">
        <v>35</v>
      </c>
      <c r="N11" s="1" t="s">
        <v>25</v>
      </c>
      <c r="O11" s="9">
        <v>1</v>
      </c>
    </row>
    <row r="12" spans="1:19" x14ac:dyDescent="0.25">
      <c r="F12" s="1" t="s">
        <v>36</v>
      </c>
      <c r="J12" s="1" t="s">
        <v>37</v>
      </c>
      <c r="N12" s="1" t="s">
        <v>25</v>
      </c>
      <c r="O12" s="9">
        <v>1</v>
      </c>
    </row>
    <row r="13" spans="1:19" x14ac:dyDescent="0.25">
      <c r="O13" s="9"/>
    </row>
    <row r="14" spans="1:19" x14ac:dyDescent="0.25">
      <c r="A14" s="8" t="s">
        <v>38</v>
      </c>
      <c r="O14" s="9"/>
    </row>
    <row r="15" spans="1:19" x14ac:dyDescent="0.25">
      <c r="O15" s="9"/>
    </row>
    <row r="16" spans="1:19" x14ac:dyDescent="0.25">
      <c r="A16" s="3" t="s">
        <v>39</v>
      </c>
      <c r="B16" s="3"/>
      <c r="C16" s="3"/>
      <c r="D16" s="3"/>
      <c r="E16" s="4"/>
      <c r="F16" s="4"/>
      <c r="G16" s="4"/>
      <c r="H16" s="4"/>
      <c r="I16" s="4"/>
      <c r="J16" s="4"/>
      <c r="K16" s="4"/>
      <c r="L16" s="4"/>
      <c r="M16" s="4"/>
      <c r="N16" s="4"/>
      <c r="O16" s="4"/>
      <c r="P16" s="4"/>
      <c r="Q16" s="4"/>
      <c r="R16" s="4"/>
    </row>
    <row r="17" spans="1:18" s="1" customFormat="1" x14ac:dyDescent="0.25">
      <c r="A17" s="12" t="s">
        <v>40</v>
      </c>
      <c r="B17" s="8"/>
      <c r="C17" s="8"/>
      <c r="D17" s="8"/>
    </row>
    <row r="18" spans="1:18" x14ac:dyDescent="0.25">
      <c r="N18" s="6" t="s">
        <v>41</v>
      </c>
      <c r="O18" s="6">
        <v>0</v>
      </c>
      <c r="P18" s="6" t="s">
        <v>42</v>
      </c>
      <c r="Q18" s="6" t="s">
        <v>26</v>
      </c>
    </row>
    <row r="19" spans="1:18" x14ac:dyDescent="0.25">
      <c r="I19" s="1" t="s">
        <v>29</v>
      </c>
      <c r="N19" s="1" t="s">
        <v>41</v>
      </c>
      <c r="O19" s="11">
        <v>95</v>
      </c>
      <c r="P19" s="1" t="s">
        <v>42</v>
      </c>
    </row>
    <row r="20" spans="1:18" x14ac:dyDescent="0.25">
      <c r="C20" s="1" t="s">
        <v>43</v>
      </c>
      <c r="I20" s="1" t="s">
        <v>31</v>
      </c>
      <c r="N20" s="1" t="s">
        <v>41</v>
      </c>
      <c r="O20" s="11">
        <v>95</v>
      </c>
      <c r="P20" s="1" t="s">
        <v>42</v>
      </c>
    </row>
    <row r="21" spans="1:18" x14ac:dyDescent="0.25">
      <c r="C21" s="1" t="s">
        <v>44</v>
      </c>
      <c r="I21" s="1" t="s">
        <v>31</v>
      </c>
      <c r="N21" s="1" t="s">
        <v>41</v>
      </c>
      <c r="O21" s="11">
        <v>50</v>
      </c>
      <c r="P21" s="1" t="s">
        <v>42</v>
      </c>
    </row>
    <row r="22" spans="1:18" x14ac:dyDescent="0.25">
      <c r="O22" s="11"/>
      <c r="Q22" s="11"/>
    </row>
    <row r="23" spans="1:18" x14ac:dyDescent="0.25">
      <c r="A23" s="12" t="s">
        <v>45</v>
      </c>
      <c r="O23" s="11"/>
      <c r="Q23" s="11"/>
    </row>
    <row r="24" spans="1:18" x14ac:dyDescent="0.25">
      <c r="I24" s="1" t="s">
        <v>29</v>
      </c>
      <c r="N24" s="1" t="s">
        <v>46</v>
      </c>
      <c r="O24" s="11">
        <v>5</v>
      </c>
      <c r="P24" s="1" t="s">
        <v>42</v>
      </c>
      <c r="Q24" s="11"/>
    </row>
    <row r="25" spans="1:18" x14ac:dyDescent="0.25">
      <c r="I25" s="1" t="s">
        <v>31</v>
      </c>
      <c r="N25" s="1" t="s">
        <v>46</v>
      </c>
      <c r="O25" s="11">
        <v>5</v>
      </c>
      <c r="P25" s="1" t="s">
        <v>42</v>
      </c>
      <c r="Q25" s="11"/>
    </row>
    <row r="26" spans="1:18" x14ac:dyDescent="0.25">
      <c r="O26" s="11"/>
      <c r="Q26" s="11"/>
    </row>
    <row r="27" spans="1:18" x14ac:dyDescent="0.25">
      <c r="A27" s="3" t="s">
        <v>47</v>
      </c>
      <c r="B27" s="3"/>
      <c r="C27" s="3"/>
      <c r="D27" s="3"/>
      <c r="E27" s="4"/>
      <c r="F27" s="4"/>
      <c r="G27" s="4"/>
      <c r="H27" s="4"/>
      <c r="I27" s="4"/>
      <c r="J27" s="4"/>
      <c r="K27" s="4"/>
      <c r="L27" s="4"/>
      <c r="M27" s="4"/>
      <c r="N27" s="4"/>
      <c r="O27" s="4"/>
      <c r="P27" s="4"/>
      <c r="Q27" s="4"/>
      <c r="R27" s="4"/>
    </row>
    <row r="28" spans="1:18" x14ac:dyDescent="0.25">
      <c r="N28" s="6" t="s">
        <v>48</v>
      </c>
      <c r="O28" s="6">
        <v>0</v>
      </c>
      <c r="P28" s="6" t="s">
        <v>42</v>
      </c>
      <c r="Q28" s="6" t="s">
        <v>26</v>
      </c>
    </row>
    <row r="29" spans="1:18" x14ac:dyDescent="0.25">
      <c r="A29" s="3" t="s">
        <v>49</v>
      </c>
      <c r="B29" s="3"/>
      <c r="C29" s="3"/>
      <c r="D29" s="3"/>
      <c r="E29" s="4"/>
      <c r="F29" s="4"/>
      <c r="G29" s="4"/>
      <c r="H29" s="4"/>
      <c r="I29" s="4"/>
      <c r="J29" s="4"/>
      <c r="K29" s="4"/>
      <c r="L29" s="4"/>
      <c r="M29" s="4"/>
      <c r="N29" s="4"/>
      <c r="O29" s="4"/>
      <c r="P29" s="4"/>
      <c r="Q29" s="4"/>
      <c r="R29" s="4"/>
    </row>
    <row r="30" spans="1:18" x14ac:dyDescent="0.25">
      <c r="N30" s="6" t="s">
        <v>50</v>
      </c>
      <c r="O30" s="6">
        <v>0</v>
      </c>
      <c r="P30" s="6" t="s">
        <v>51</v>
      </c>
      <c r="Q30" s="6" t="s">
        <v>26</v>
      </c>
    </row>
    <row r="31" spans="1:18" x14ac:dyDescent="0.25">
      <c r="C31" s="1" t="s">
        <v>43</v>
      </c>
      <c r="I31" s="1" t="s">
        <v>32</v>
      </c>
      <c r="N31" s="13" t="s">
        <v>50</v>
      </c>
      <c r="O31" s="13">
        <v>100000</v>
      </c>
      <c r="P31" s="13"/>
      <c r="Q31" s="6"/>
    </row>
    <row r="32" spans="1:18" x14ac:dyDescent="0.25">
      <c r="C32" s="1" t="s">
        <v>43</v>
      </c>
      <c r="J32" s="1" t="s">
        <v>35</v>
      </c>
      <c r="N32" s="13" t="s">
        <v>50</v>
      </c>
      <c r="O32" s="13">
        <v>200000</v>
      </c>
      <c r="P32" s="13"/>
      <c r="Q32" s="6"/>
    </row>
    <row r="33" spans="1:18" x14ac:dyDescent="0.25">
      <c r="N33" s="6"/>
      <c r="O33" s="6"/>
      <c r="P33" s="6"/>
      <c r="Q33" s="6"/>
    </row>
    <row r="34" spans="1:18" x14ac:dyDescent="0.25">
      <c r="A34" s="3" t="s">
        <v>52</v>
      </c>
      <c r="B34" s="3"/>
      <c r="C34" s="3"/>
      <c r="D34" s="3"/>
      <c r="E34" s="4"/>
      <c r="F34" s="4"/>
      <c r="G34" s="4"/>
      <c r="H34" s="4"/>
      <c r="I34" s="4"/>
      <c r="J34" s="4"/>
      <c r="K34" s="4"/>
      <c r="L34" s="4"/>
      <c r="M34" s="4"/>
      <c r="N34" s="4"/>
      <c r="O34" s="4"/>
      <c r="P34" s="4"/>
      <c r="Q34" s="4"/>
      <c r="R34" s="4"/>
    </row>
    <row r="36" spans="1:18" x14ac:dyDescent="0.25">
      <c r="A36" s="1" t="s">
        <v>53</v>
      </c>
      <c r="H36" s="1" t="s">
        <v>54</v>
      </c>
      <c r="I36" s="1" t="s">
        <v>31</v>
      </c>
      <c r="N36" s="1" t="s">
        <v>55</v>
      </c>
      <c r="O36" s="10">
        <v>30</v>
      </c>
      <c r="P36" s="1" t="s">
        <v>42</v>
      </c>
      <c r="Q36" s="10"/>
    </row>
    <row r="37" spans="1:18" x14ac:dyDescent="0.25">
      <c r="A37" s="1" t="s">
        <v>53</v>
      </c>
      <c r="B37" s="1" t="s">
        <v>56</v>
      </c>
      <c r="E37" s="1" t="s">
        <v>57</v>
      </c>
      <c r="H37" s="1" t="s">
        <v>54</v>
      </c>
      <c r="I37" s="1" t="s">
        <v>31</v>
      </c>
      <c r="N37" s="1" t="s">
        <v>55</v>
      </c>
      <c r="O37" s="10">
        <v>10</v>
      </c>
      <c r="P37" s="1" t="s">
        <v>42</v>
      </c>
      <c r="Q37" s="10"/>
    </row>
    <row r="38" spans="1:18" x14ac:dyDescent="0.25">
      <c r="O38" s="11"/>
      <c r="Q38" s="11"/>
    </row>
    <row r="39" spans="1:18" x14ac:dyDescent="0.25">
      <c r="A39" s="3" t="s">
        <v>58</v>
      </c>
      <c r="B39" s="3"/>
      <c r="C39" s="3"/>
      <c r="D39" s="3"/>
      <c r="E39" s="4"/>
      <c r="F39" s="4"/>
      <c r="G39" s="4"/>
      <c r="H39" s="4"/>
      <c r="I39" s="4"/>
      <c r="J39" s="4"/>
      <c r="K39" s="4"/>
      <c r="L39" s="4"/>
      <c r="M39" s="4"/>
      <c r="N39" s="4"/>
      <c r="O39" s="4"/>
      <c r="P39" s="4"/>
      <c r="Q39" s="4"/>
      <c r="R39" s="4"/>
    </row>
    <row r="40" spans="1:18" x14ac:dyDescent="0.25">
      <c r="N40" s="6" t="s">
        <v>59</v>
      </c>
      <c r="O40" s="6">
        <v>0</v>
      </c>
      <c r="P40" s="6" t="s">
        <v>42</v>
      </c>
      <c r="Q40" s="6" t="s">
        <v>26</v>
      </c>
    </row>
    <row r="41" spans="1:18" x14ac:dyDescent="0.25">
      <c r="N41" s="6" t="s">
        <v>60</v>
      </c>
      <c r="O41" s="6">
        <v>0</v>
      </c>
      <c r="P41" s="6" t="s">
        <v>42</v>
      </c>
      <c r="Q41" s="6" t="s">
        <v>26</v>
      </c>
    </row>
    <row r="42" spans="1:18" x14ac:dyDescent="0.25">
      <c r="A42" s="1" t="s">
        <v>53</v>
      </c>
      <c r="B42" s="1" t="s">
        <v>56</v>
      </c>
      <c r="E42" s="1" t="s">
        <v>57</v>
      </c>
      <c r="G42" s="1" t="s">
        <v>61</v>
      </c>
      <c r="N42" s="10" t="s">
        <v>59</v>
      </c>
      <c r="O42" s="10">
        <f>(0.8*20+0.2*2)</f>
        <v>16.399999999999999</v>
      </c>
      <c r="P42" s="10" t="s">
        <v>42</v>
      </c>
      <c r="Q42" s="10" t="s">
        <v>62</v>
      </c>
      <c r="R42" s="1" t="s">
        <v>63</v>
      </c>
    </row>
    <row r="43" spans="1:18" x14ac:dyDescent="0.25">
      <c r="A43" s="1" t="s">
        <v>53</v>
      </c>
      <c r="G43" s="1" t="s">
        <v>61</v>
      </c>
      <c r="N43" s="10" t="s">
        <v>59</v>
      </c>
      <c r="O43" s="10">
        <f>(0.6*20+0.4*2)</f>
        <v>12.8</v>
      </c>
      <c r="P43" s="10" t="s">
        <v>42</v>
      </c>
      <c r="Q43" s="10" t="s">
        <v>64</v>
      </c>
      <c r="R43" s="1" t="s">
        <v>63</v>
      </c>
    </row>
    <row r="44" spans="1:18" x14ac:dyDescent="0.25">
      <c r="N44" s="10"/>
      <c r="O44" s="10"/>
      <c r="P44" s="10"/>
      <c r="Q44" s="10"/>
    </row>
    <row r="45" spans="1:18" x14ac:dyDescent="0.25">
      <c r="A45" s="1" t="s">
        <v>53</v>
      </c>
      <c r="B45" s="1" t="s">
        <v>56</v>
      </c>
      <c r="E45" s="1" t="s">
        <v>57</v>
      </c>
      <c r="G45" s="1" t="s">
        <v>61</v>
      </c>
      <c r="N45" s="10" t="s">
        <v>60</v>
      </c>
      <c r="O45" s="10">
        <v>5</v>
      </c>
      <c r="P45" s="10" t="s">
        <v>42</v>
      </c>
      <c r="Q45" s="10" t="s">
        <v>65</v>
      </c>
      <c r="R45" s="1" t="s">
        <v>63</v>
      </c>
    </row>
    <row r="46" spans="1:18" x14ac:dyDescent="0.25">
      <c r="A46" s="1" t="s">
        <v>53</v>
      </c>
      <c r="E46" s="1" t="s">
        <v>66</v>
      </c>
      <c r="G46" s="1" t="s">
        <v>61</v>
      </c>
      <c r="N46" s="10" t="s">
        <v>60</v>
      </c>
      <c r="O46" s="10">
        <v>5</v>
      </c>
      <c r="P46" s="10" t="s">
        <v>42</v>
      </c>
      <c r="Q46" s="10" t="s">
        <v>65</v>
      </c>
      <c r="R46" s="1" t="s">
        <v>63</v>
      </c>
    </row>
    <row r="47" spans="1:18" x14ac:dyDescent="0.25">
      <c r="A47" s="1" t="s">
        <v>53</v>
      </c>
      <c r="G47" s="1" t="s">
        <v>61</v>
      </c>
      <c r="N47" s="10" t="s">
        <v>60</v>
      </c>
      <c r="O47" s="10">
        <f>0.9*5+0.1*15</f>
        <v>6</v>
      </c>
      <c r="P47" s="10" t="s">
        <v>42</v>
      </c>
      <c r="Q47" s="10" t="s">
        <v>67</v>
      </c>
      <c r="R47" s="1" t="s">
        <v>63</v>
      </c>
    </row>
    <row r="48" spans="1:18" x14ac:dyDescent="0.25">
      <c r="N48" s="10"/>
      <c r="O48" s="10"/>
      <c r="P48" s="10"/>
      <c r="Q48" s="10"/>
    </row>
    <row r="49" spans="1:18" x14ac:dyDescent="0.25">
      <c r="A49" s="11"/>
      <c r="G49" s="1" t="s">
        <v>68</v>
      </c>
      <c r="N49" s="10" t="s">
        <v>59</v>
      </c>
      <c r="O49" s="10"/>
      <c r="Q49" s="11" t="s">
        <v>69</v>
      </c>
    </row>
    <row r="50" spans="1:18" x14ac:dyDescent="0.25">
      <c r="A50" s="11"/>
      <c r="G50" s="1" t="s">
        <v>68</v>
      </c>
      <c r="N50" s="10" t="s">
        <v>60</v>
      </c>
      <c r="O50" s="10">
        <v>2</v>
      </c>
      <c r="P50" s="10" t="s">
        <v>42</v>
      </c>
      <c r="Q50" s="11" t="s">
        <v>70</v>
      </c>
      <c r="R50" s="1" t="s">
        <v>71</v>
      </c>
    </row>
    <row r="51" spans="1:18" x14ac:dyDescent="0.25">
      <c r="A51" s="11"/>
      <c r="N51" s="10"/>
      <c r="O51" s="10"/>
      <c r="P51" s="10"/>
      <c r="Q51" s="11"/>
    </row>
    <row r="52" spans="1:18" x14ac:dyDescent="0.25">
      <c r="A52" s="3" t="s">
        <v>72</v>
      </c>
      <c r="B52" s="3"/>
      <c r="C52" s="3"/>
      <c r="D52" s="3"/>
      <c r="E52" s="4"/>
      <c r="F52" s="4"/>
      <c r="G52" s="4"/>
      <c r="H52" s="4"/>
      <c r="I52" s="4"/>
      <c r="J52" s="4"/>
      <c r="K52" s="4"/>
      <c r="L52" s="4"/>
      <c r="M52" s="4"/>
      <c r="N52" s="4"/>
      <c r="O52" s="4"/>
      <c r="P52" s="4"/>
      <c r="Q52" s="4"/>
      <c r="R52" s="4"/>
    </row>
    <row r="53" spans="1:18" x14ac:dyDescent="0.25">
      <c r="A53" s="1" t="s">
        <v>53</v>
      </c>
      <c r="O53" s="10"/>
      <c r="Q53" s="10" t="s">
        <v>73</v>
      </c>
    </row>
    <row r="54" spans="1:18" x14ac:dyDescent="0.25">
      <c r="O54" s="10"/>
      <c r="Q54" s="11"/>
    </row>
    <row r="55" spans="1:18" x14ac:dyDescent="0.25">
      <c r="N55" s="1" t="s">
        <v>74</v>
      </c>
      <c r="O55" s="10">
        <v>1</v>
      </c>
      <c r="P55" s="10" t="s">
        <v>75</v>
      </c>
      <c r="Q55" s="10" t="s">
        <v>76</v>
      </c>
      <c r="R55" s="10"/>
    </row>
    <row r="56" spans="1:18" x14ac:dyDescent="0.25">
      <c r="O56" s="11"/>
      <c r="Q56" s="11"/>
    </row>
    <row r="57" spans="1:18" x14ac:dyDescent="0.25">
      <c r="A57" s="3" t="s">
        <v>77</v>
      </c>
      <c r="B57" s="3"/>
      <c r="C57" s="3"/>
      <c r="D57" s="3"/>
      <c r="E57" s="4"/>
      <c r="F57" s="4"/>
      <c r="G57" s="4"/>
      <c r="H57" s="4"/>
      <c r="I57" s="4"/>
      <c r="J57" s="4"/>
      <c r="K57" s="4"/>
      <c r="L57" s="4"/>
      <c r="M57" s="4"/>
      <c r="N57" s="4"/>
      <c r="O57" s="4"/>
      <c r="P57" s="4"/>
      <c r="Q57" s="4" t="s">
        <v>78</v>
      </c>
      <c r="R57" s="4"/>
    </row>
    <row r="58" spans="1:18" x14ac:dyDescent="0.25">
      <c r="A58" s="8" t="s">
        <v>79</v>
      </c>
    </row>
    <row r="59" spans="1:18" x14ac:dyDescent="0.25">
      <c r="F59" s="1" t="s">
        <v>28</v>
      </c>
      <c r="M59" s="1" t="s">
        <v>80</v>
      </c>
      <c r="N59" s="1" t="s">
        <v>81</v>
      </c>
      <c r="O59" s="14">
        <v>17.316948400000001</v>
      </c>
      <c r="P59" s="1" t="s">
        <v>82</v>
      </c>
    </row>
    <row r="60" spans="1:18" x14ac:dyDescent="0.25">
      <c r="F60" s="1" t="s">
        <v>30</v>
      </c>
      <c r="M60" s="1" t="s">
        <v>80</v>
      </c>
      <c r="N60" s="1" t="s">
        <v>81</v>
      </c>
      <c r="O60" s="14">
        <v>17.150216</v>
      </c>
    </row>
    <row r="61" spans="1:18" x14ac:dyDescent="0.25">
      <c r="F61" s="1" t="s">
        <v>31</v>
      </c>
      <c r="M61" s="1" t="s">
        <v>80</v>
      </c>
      <c r="N61" s="1" t="s">
        <v>81</v>
      </c>
      <c r="O61" s="14">
        <v>17.411437070000002</v>
      </c>
    </row>
    <row r="62" spans="1:18" x14ac:dyDescent="0.25">
      <c r="F62" s="1" t="s">
        <v>32</v>
      </c>
      <c r="M62" s="1" t="s">
        <v>80</v>
      </c>
      <c r="N62" s="1" t="s">
        <v>81</v>
      </c>
      <c r="O62" s="14">
        <v>18.210023199999998</v>
      </c>
    </row>
    <row r="63" spans="1:18" x14ac:dyDescent="0.25">
      <c r="F63" s="1" t="s">
        <v>34</v>
      </c>
      <c r="M63" s="1" t="s">
        <v>80</v>
      </c>
      <c r="N63" s="1" t="s">
        <v>81</v>
      </c>
      <c r="O63" s="14">
        <v>19.589487999999999</v>
      </c>
    </row>
    <row r="64" spans="1:18" x14ac:dyDescent="0.25">
      <c r="F64" s="1" t="s">
        <v>35</v>
      </c>
      <c r="M64" s="1" t="s">
        <v>80</v>
      </c>
      <c r="N64" s="1" t="s">
        <v>81</v>
      </c>
      <c r="O64" s="14">
        <v>19.4920008</v>
      </c>
    </row>
    <row r="65" spans="6:15" x14ac:dyDescent="0.25">
      <c r="F65" s="1" t="s">
        <v>36</v>
      </c>
      <c r="M65" s="1" t="s">
        <v>80</v>
      </c>
      <c r="N65" s="1" t="s">
        <v>81</v>
      </c>
      <c r="O65" s="14">
        <v>18.194123999999999</v>
      </c>
    </row>
    <row r="66" spans="6:15" x14ac:dyDescent="0.25">
      <c r="O66" s="14"/>
    </row>
    <row r="67" spans="6:15" x14ac:dyDescent="0.25">
      <c r="F67" s="1" t="s">
        <v>28</v>
      </c>
      <c r="M67" s="15" t="s">
        <v>83</v>
      </c>
      <c r="N67" s="1" t="s">
        <v>81</v>
      </c>
      <c r="O67" s="16">
        <v>7.55</v>
      </c>
    </row>
    <row r="68" spans="6:15" x14ac:dyDescent="0.25">
      <c r="F68" s="1" t="s">
        <v>30</v>
      </c>
      <c r="M68" s="15" t="s">
        <v>83</v>
      </c>
      <c r="N68" s="1" t="s">
        <v>81</v>
      </c>
      <c r="O68" s="16">
        <v>7.8</v>
      </c>
    </row>
    <row r="69" spans="6:15" x14ac:dyDescent="0.25">
      <c r="F69" s="1" t="s">
        <v>31</v>
      </c>
      <c r="M69" s="15" t="s">
        <v>83</v>
      </c>
      <c r="N69" s="1" t="s">
        <v>81</v>
      </c>
      <c r="O69" s="16">
        <v>6.5666666669999998</v>
      </c>
    </row>
    <row r="70" spans="6:15" x14ac:dyDescent="0.25">
      <c r="F70" s="1" t="s">
        <v>32</v>
      </c>
      <c r="M70" s="15" t="s">
        <v>83</v>
      </c>
      <c r="N70" s="1" t="s">
        <v>81</v>
      </c>
      <c r="O70" s="16">
        <v>1.8</v>
      </c>
    </row>
    <row r="71" spans="6:15" x14ac:dyDescent="0.25">
      <c r="F71" s="1" t="s">
        <v>34</v>
      </c>
      <c r="M71" s="15" t="s">
        <v>83</v>
      </c>
      <c r="N71" s="1" t="s">
        <v>81</v>
      </c>
      <c r="O71" s="16">
        <v>7.15</v>
      </c>
    </row>
    <row r="72" spans="6:15" x14ac:dyDescent="0.25">
      <c r="F72" s="1" t="s">
        <v>35</v>
      </c>
      <c r="M72" s="15" t="s">
        <v>83</v>
      </c>
      <c r="N72" s="1" t="s">
        <v>81</v>
      </c>
      <c r="O72" s="16">
        <v>7.7</v>
      </c>
    </row>
    <row r="73" spans="6:15" x14ac:dyDescent="0.25">
      <c r="F73" s="1" t="s">
        <v>36</v>
      </c>
      <c r="M73" s="15" t="s">
        <v>83</v>
      </c>
      <c r="N73" s="1" t="s">
        <v>81</v>
      </c>
      <c r="O73" s="16">
        <v>5.9</v>
      </c>
    </row>
    <row r="74" spans="6:15" x14ac:dyDescent="0.25">
      <c r="O74" s="16"/>
    </row>
    <row r="75" spans="6:15" x14ac:dyDescent="0.25">
      <c r="F75" s="1" t="s">
        <v>28</v>
      </c>
      <c r="M75" s="15" t="s">
        <v>84</v>
      </c>
      <c r="N75" s="1" t="s">
        <v>81</v>
      </c>
      <c r="O75" s="16">
        <v>2.4239999999999999</v>
      </c>
    </row>
    <row r="76" spans="6:15" x14ac:dyDescent="0.25">
      <c r="F76" s="1" t="s">
        <v>30</v>
      </c>
      <c r="M76" s="15" t="s">
        <v>84</v>
      </c>
      <c r="N76" s="1" t="s">
        <v>81</v>
      </c>
      <c r="O76" s="16">
        <v>2.1280000000000001</v>
      </c>
    </row>
    <row r="77" spans="6:15" x14ac:dyDescent="0.25">
      <c r="F77" s="1" t="s">
        <v>31</v>
      </c>
      <c r="M77" s="15" t="s">
        <v>84</v>
      </c>
      <c r="N77" s="1" t="s">
        <v>81</v>
      </c>
      <c r="O77" s="16">
        <v>2.246666667</v>
      </c>
    </row>
    <row r="78" spans="6:15" x14ac:dyDescent="0.25">
      <c r="F78" s="1" t="s">
        <v>32</v>
      </c>
      <c r="M78" s="15" t="s">
        <v>84</v>
      </c>
      <c r="N78" s="1" t="s">
        <v>81</v>
      </c>
      <c r="O78" s="16">
        <v>1.9359999999999999</v>
      </c>
    </row>
    <row r="79" spans="6:15" x14ac:dyDescent="0.25">
      <c r="F79" s="1" t="s">
        <v>34</v>
      </c>
      <c r="M79" s="15" t="s">
        <v>84</v>
      </c>
      <c r="N79" s="1" t="s">
        <v>81</v>
      </c>
      <c r="O79" s="16">
        <v>8.2080000000000002</v>
      </c>
    </row>
    <row r="80" spans="6:15" x14ac:dyDescent="0.25">
      <c r="F80" s="1" t="s">
        <v>35</v>
      </c>
      <c r="M80" s="15" t="s">
        <v>84</v>
      </c>
      <c r="N80" s="1" t="s">
        <v>81</v>
      </c>
      <c r="O80" s="16">
        <v>6.1520000000000001</v>
      </c>
    </row>
    <row r="81" spans="6:15" x14ac:dyDescent="0.25">
      <c r="F81" s="1" t="s">
        <v>36</v>
      </c>
      <c r="M81" s="15" t="s">
        <v>84</v>
      </c>
      <c r="N81" s="1" t="s">
        <v>81</v>
      </c>
      <c r="O81" s="16">
        <v>2.64</v>
      </c>
    </row>
    <row r="82" spans="6:15" x14ac:dyDescent="0.25">
      <c r="O82" s="16"/>
    </row>
    <row r="83" spans="6:15" x14ac:dyDescent="0.25">
      <c r="F83" s="1" t="s">
        <v>28</v>
      </c>
      <c r="M83" s="15" t="s">
        <v>85</v>
      </c>
      <c r="N83" s="1" t="s">
        <v>81</v>
      </c>
      <c r="O83" s="16">
        <v>0.28000000000000003</v>
      </c>
    </row>
    <row r="84" spans="6:15" x14ac:dyDescent="0.25">
      <c r="F84" s="1" t="s">
        <v>30</v>
      </c>
      <c r="M84" s="15" t="s">
        <v>85</v>
      </c>
      <c r="N84" s="1" t="s">
        <v>81</v>
      </c>
      <c r="O84" s="16">
        <v>0.27</v>
      </c>
    </row>
    <row r="85" spans="6:15" x14ac:dyDescent="0.25">
      <c r="F85" s="1" t="s">
        <v>31</v>
      </c>
      <c r="M85" s="15" t="s">
        <v>85</v>
      </c>
      <c r="N85" s="1" t="s">
        <v>81</v>
      </c>
      <c r="O85" s="16">
        <v>0.27</v>
      </c>
    </row>
    <row r="86" spans="6:15" x14ac:dyDescent="0.25">
      <c r="F86" s="1" t="s">
        <v>32</v>
      </c>
      <c r="M86" s="15" t="s">
        <v>85</v>
      </c>
      <c r="N86" s="1" t="s">
        <v>81</v>
      </c>
      <c r="O86" s="16">
        <v>0.34499999999999997</v>
      </c>
    </row>
    <row r="87" spans="6:15" x14ac:dyDescent="0.25">
      <c r="F87" s="1" t="s">
        <v>34</v>
      </c>
      <c r="M87" s="15" t="s">
        <v>85</v>
      </c>
      <c r="N87" s="1" t="s">
        <v>81</v>
      </c>
      <c r="O87" s="16">
        <v>0.71499999999999997</v>
      </c>
    </row>
    <row r="88" spans="6:15" x14ac:dyDescent="0.25">
      <c r="F88" s="1" t="s">
        <v>35</v>
      </c>
      <c r="M88" s="15" t="s">
        <v>85</v>
      </c>
      <c r="N88" s="1" t="s">
        <v>81</v>
      </c>
      <c r="O88" s="16">
        <v>1.2450000000000001</v>
      </c>
    </row>
    <row r="89" spans="6:15" x14ac:dyDescent="0.25">
      <c r="F89" s="1" t="s">
        <v>36</v>
      </c>
      <c r="M89" s="15" t="s">
        <v>85</v>
      </c>
      <c r="N89" s="1" t="s">
        <v>81</v>
      </c>
      <c r="O89" s="16">
        <v>1.1950000000000001</v>
      </c>
    </row>
    <row r="90" spans="6:15" x14ac:dyDescent="0.25">
      <c r="O90" s="16"/>
    </row>
    <row r="91" spans="6:15" x14ac:dyDescent="0.25">
      <c r="F91" s="1" t="s">
        <v>28</v>
      </c>
      <c r="M91" s="15" t="s">
        <v>86</v>
      </c>
      <c r="N91" s="1" t="s">
        <v>81</v>
      </c>
      <c r="O91" s="16">
        <v>2.4249999999999998</v>
      </c>
    </row>
    <row r="92" spans="6:15" x14ac:dyDescent="0.25">
      <c r="F92" s="1" t="s">
        <v>30</v>
      </c>
      <c r="M92" s="15" t="s">
        <v>86</v>
      </c>
      <c r="N92" s="1" t="s">
        <v>81</v>
      </c>
      <c r="O92" s="16">
        <v>2.34</v>
      </c>
    </row>
    <row r="93" spans="6:15" x14ac:dyDescent="0.25">
      <c r="F93" s="1" t="s">
        <v>31</v>
      </c>
      <c r="M93" s="15" t="s">
        <v>86</v>
      </c>
      <c r="N93" s="1" t="s">
        <v>81</v>
      </c>
      <c r="O93" s="16">
        <v>2.34</v>
      </c>
    </row>
    <row r="94" spans="6:15" x14ac:dyDescent="0.25">
      <c r="F94" s="1" t="s">
        <v>32</v>
      </c>
      <c r="M94" s="15" t="s">
        <v>86</v>
      </c>
      <c r="N94" s="1" t="s">
        <v>81</v>
      </c>
      <c r="O94" s="16">
        <v>0.52500000000000002</v>
      </c>
    </row>
    <row r="95" spans="6:15" x14ac:dyDescent="0.25">
      <c r="F95" s="1" t="s">
        <v>34</v>
      </c>
      <c r="M95" s="15" t="s">
        <v>86</v>
      </c>
      <c r="N95" s="1" t="s">
        <v>81</v>
      </c>
      <c r="O95" s="16">
        <v>2.35</v>
      </c>
    </row>
    <row r="96" spans="6:15" x14ac:dyDescent="0.25">
      <c r="F96" s="1" t="s">
        <v>35</v>
      </c>
      <c r="M96" s="15" t="s">
        <v>86</v>
      </c>
      <c r="N96" s="1" t="s">
        <v>81</v>
      </c>
      <c r="O96" s="16">
        <v>1.55</v>
      </c>
    </row>
    <row r="97" spans="1:17" x14ac:dyDescent="0.25">
      <c r="F97" s="1" t="s">
        <v>36</v>
      </c>
      <c r="M97" s="15" t="s">
        <v>86</v>
      </c>
      <c r="N97" s="1" t="s">
        <v>81</v>
      </c>
      <c r="O97" s="16">
        <v>1.35</v>
      </c>
    </row>
    <row r="98" spans="1:17" x14ac:dyDescent="0.25">
      <c r="O98" s="14"/>
    </row>
    <row r="99" spans="1:17" x14ac:dyDescent="0.25">
      <c r="A99" s="8" t="s">
        <v>87</v>
      </c>
      <c r="O99" s="14"/>
    </row>
    <row r="100" spans="1:17" x14ac:dyDescent="0.25">
      <c r="A100" s="1" t="s">
        <v>53</v>
      </c>
      <c r="F100" s="1" t="s">
        <v>28</v>
      </c>
      <c r="M100" s="1" t="s">
        <v>88</v>
      </c>
      <c r="N100" s="1" t="s">
        <v>81</v>
      </c>
      <c r="O100" s="14">
        <v>11.3</v>
      </c>
      <c r="P100" s="1" t="s">
        <v>89</v>
      </c>
      <c r="Q100" s="10" t="s">
        <v>90</v>
      </c>
    </row>
    <row r="101" spans="1:17" x14ac:dyDescent="0.25">
      <c r="A101" s="1" t="s">
        <v>53</v>
      </c>
      <c r="F101" s="1" t="s">
        <v>30</v>
      </c>
      <c r="M101" s="1" t="s">
        <v>88</v>
      </c>
      <c r="N101" s="1" t="s">
        <v>81</v>
      </c>
      <c r="O101" s="14">
        <v>10.1</v>
      </c>
      <c r="Q101" s="10"/>
    </row>
    <row r="102" spans="1:17" x14ac:dyDescent="0.25">
      <c r="A102" s="1" t="s">
        <v>53</v>
      </c>
      <c r="F102" s="1" t="s">
        <v>31</v>
      </c>
      <c r="M102" s="1" t="s">
        <v>88</v>
      </c>
      <c r="N102" s="1" t="s">
        <v>81</v>
      </c>
      <c r="O102" s="14">
        <v>9.9416666669999998</v>
      </c>
      <c r="Q102" s="10"/>
    </row>
    <row r="103" spans="1:17" x14ac:dyDescent="0.25">
      <c r="A103" s="1" t="s">
        <v>53</v>
      </c>
      <c r="F103" s="1" t="s">
        <v>32</v>
      </c>
      <c r="M103" s="1" t="s">
        <v>88</v>
      </c>
      <c r="N103" s="1" t="s">
        <v>81</v>
      </c>
      <c r="O103" s="14">
        <v>14.1</v>
      </c>
      <c r="Q103" s="10"/>
    </row>
    <row r="104" spans="1:17" x14ac:dyDescent="0.25">
      <c r="A104" s="1" t="s">
        <v>53</v>
      </c>
      <c r="F104" s="1" t="s">
        <v>34</v>
      </c>
      <c r="M104" s="1" t="s">
        <v>88</v>
      </c>
      <c r="N104" s="1" t="s">
        <v>81</v>
      </c>
      <c r="O104" s="14">
        <v>14.6</v>
      </c>
      <c r="Q104" s="10"/>
    </row>
    <row r="105" spans="1:17" x14ac:dyDescent="0.25">
      <c r="A105" s="1" t="s">
        <v>53</v>
      </c>
      <c r="F105" s="1" t="s">
        <v>35</v>
      </c>
      <c r="M105" s="1" t="s">
        <v>88</v>
      </c>
      <c r="N105" s="1" t="s">
        <v>81</v>
      </c>
      <c r="O105" s="14">
        <v>12.2</v>
      </c>
      <c r="Q105" s="10"/>
    </row>
    <row r="106" spans="1:17" x14ac:dyDescent="0.25">
      <c r="A106" s="1" t="s">
        <v>53</v>
      </c>
      <c r="F106" s="1" t="s">
        <v>36</v>
      </c>
      <c r="M106" s="1" t="s">
        <v>88</v>
      </c>
      <c r="N106" s="1" t="s">
        <v>81</v>
      </c>
      <c r="O106" s="14">
        <v>11</v>
      </c>
      <c r="Q106" s="10"/>
    </row>
    <row r="107" spans="1:17" x14ac:dyDescent="0.25">
      <c r="O107" s="17"/>
      <c r="Q107" s="10"/>
    </row>
    <row r="108" spans="1:17" x14ac:dyDescent="0.25">
      <c r="A108" s="1" t="s">
        <v>53</v>
      </c>
      <c r="F108" s="1" t="s">
        <v>28</v>
      </c>
      <c r="M108" s="1" t="s">
        <v>91</v>
      </c>
      <c r="N108" s="1" t="s">
        <v>81</v>
      </c>
      <c r="O108" s="14">
        <v>13.35</v>
      </c>
      <c r="P108" s="1" t="s">
        <v>92</v>
      </c>
      <c r="Q108" s="11"/>
    </row>
    <row r="109" spans="1:17" x14ac:dyDescent="0.25">
      <c r="A109" s="1" t="s">
        <v>53</v>
      </c>
      <c r="F109" s="1" t="s">
        <v>30</v>
      </c>
      <c r="M109" s="1" t="s">
        <v>91</v>
      </c>
      <c r="N109" s="1" t="s">
        <v>81</v>
      </c>
      <c r="O109" s="14">
        <v>11.9</v>
      </c>
      <c r="Q109" s="11"/>
    </row>
    <row r="110" spans="1:17" x14ac:dyDescent="0.25">
      <c r="A110" s="1" t="s">
        <v>53</v>
      </c>
      <c r="F110" s="1" t="s">
        <v>31</v>
      </c>
      <c r="M110" s="1" t="s">
        <v>91</v>
      </c>
      <c r="N110" s="1" t="s">
        <v>81</v>
      </c>
      <c r="O110" s="14">
        <v>12.4</v>
      </c>
      <c r="Q110" s="11"/>
    </row>
    <row r="111" spans="1:17" x14ac:dyDescent="0.25">
      <c r="A111" s="1" t="s">
        <v>53</v>
      </c>
      <c r="F111" s="1" t="s">
        <v>32</v>
      </c>
      <c r="M111" s="1" t="s">
        <v>91</v>
      </c>
      <c r="N111" s="1" t="s">
        <v>81</v>
      </c>
      <c r="O111" s="14">
        <v>16</v>
      </c>
      <c r="Q111" s="11"/>
    </row>
    <row r="112" spans="1:17" x14ac:dyDescent="0.25">
      <c r="A112" s="1" t="s">
        <v>53</v>
      </c>
      <c r="F112" s="1" t="s">
        <v>34</v>
      </c>
      <c r="M112" s="1" t="s">
        <v>91</v>
      </c>
      <c r="N112" s="1" t="s">
        <v>81</v>
      </c>
      <c r="O112" s="14">
        <v>17.8</v>
      </c>
      <c r="Q112" s="11"/>
    </row>
    <row r="113" spans="1:17" x14ac:dyDescent="0.25">
      <c r="A113" s="1" t="s">
        <v>53</v>
      </c>
      <c r="F113" s="1" t="s">
        <v>35</v>
      </c>
      <c r="M113" s="1" t="s">
        <v>91</v>
      </c>
      <c r="N113" s="1" t="s">
        <v>81</v>
      </c>
      <c r="O113" s="14">
        <v>14.6</v>
      </c>
      <c r="Q113" s="11"/>
    </row>
    <row r="114" spans="1:17" x14ac:dyDescent="0.25">
      <c r="A114" s="1" t="s">
        <v>53</v>
      </c>
      <c r="F114" s="1" t="s">
        <v>36</v>
      </c>
      <c r="M114" s="1" t="s">
        <v>91</v>
      </c>
      <c r="N114" s="1" t="s">
        <v>81</v>
      </c>
      <c r="O114" s="14">
        <v>12.7</v>
      </c>
      <c r="Q114" s="11"/>
    </row>
    <row r="115" spans="1:17" x14ac:dyDescent="0.25">
      <c r="O115" s="17"/>
      <c r="Q115" s="11"/>
    </row>
    <row r="116" spans="1:17" x14ac:dyDescent="0.25">
      <c r="A116" s="1" t="s">
        <v>53</v>
      </c>
      <c r="F116" s="1" t="s">
        <v>28</v>
      </c>
      <c r="M116" s="1" t="s">
        <v>93</v>
      </c>
      <c r="N116" s="1" t="s">
        <v>81</v>
      </c>
      <c r="O116" s="14">
        <v>20</v>
      </c>
      <c r="P116" s="1" t="s">
        <v>94</v>
      </c>
      <c r="Q116" s="10" t="s">
        <v>95</v>
      </c>
    </row>
    <row r="117" spans="1:17" x14ac:dyDescent="0.25">
      <c r="A117" s="1" t="s">
        <v>53</v>
      </c>
      <c r="F117" s="1" t="s">
        <v>30</v>
      </c>
      <c r="M117" s="1" t="s">
        <v>93</v>
      </c>
      <c r="N117" s="1" t="s">
        <v>81</v>
      </c>
      <c r="O117" s="14">
        <v>20</v>
      </c>
      <c r="Q117" s="10"/>
    </row>
    <row r="118" spans="1:17" x14ac:dyDescent="0.25">
      <c r="A118" s="1" t="s">
        <v>53</v>
      </c>
      <c r="F118" s="1" t="s">
        <v>31</v>
      </c>
      <c r="M118" s="1" t="s">
        <v>93</v>
      </c>
      <c r="N118" s="1" t="s">
        <v>81</v>
      </c>
      <c r="O118" s="14">
        <v>20</v>
      </c>
      <c r="Q118" s="11"/>
    </row>
    <row r="119" spans="1:17" x14ac:dyDescent="0.25">
      <c r="A119" s="1" t="s">
        <v>53</v>
      </c>
      <c r="F119" s="1" t="s">
        <v>32</v>
      </c>
      <c r="M119" s="1" t="s">
        <v>93</v>
      </c>
      <c r="N119" s="1" t="s">
        <v>81</v>
      </c>
      <c r="O119" s="14">
        <v>25</v>
      </c>
    </row>
    <row r="120" spans="1:17" x14ac:dyDescent="0.25">
      <c r="A120" s="1" t="s">
        <v>53</v>
      </c>
      <c r="F120" s="1" t="s">
        <v>34</v>
      </c>
      <c r="M120" s="1" t="s">
        <v>93</v>
      </c>
      <c r="N120" s="1" t="s">
        <v>81</v>
      </c>
      <c r="O120" s="14">
        <v>10</v>
      </c>
      <c r="Q120" s="10"/>
    </row>
    <row r="121" spans="1:17" x14ac:dyDescent="0.25">
      <c r="A121" s="1" t="s">
        <v>53</v>
      </c>
      <c r="F121" s="1" t="s">
        <v>35</v>
      </c>
      <c r="M121" s="1" t="s">
        <v>93</v>
      </c>
      <c r="N121" s="1" t="s">
        <v>81</v>
      </c>
      <c r="O121" s="14">
        <v>46</v>
      </c>
      <c r="Q121" s="11"/>
    </row>
    <row r="122" spans="1:17" x14ac:dyDescent="0.25">
      <c r="A122" s="1" t="s">
        <v>53</v>
      </c>
      <c r="F122" s="1" t="s">
        <v>36</v>
      </c>
      <c r="M122" s="1" t="s">
        <v>93</v>
      </c>
      <c r="N122" s="1" t="s">
        <v>81</v>
      </c>
      <c r="O122" s="14">
        <v>45</v>
      </c>
    </row>
    <row r="123" spans="1:17" x14ac:dyDescent="0.25">
      <c r="O123" s="10"/>
      <c r="Q123" s="10"/>
    </row>
    <row r="124" spans="1:17" x14ac:dyDescent="0.25">
      <c r="A124" s="1" t="s">
        <v>53</v>
      </c>
      <c r="F124" s="1" t="s">
        <v>28</v>
      </c>
      <c r="M124" s="1" t="s">
        <v>96</v>
      </c>
      <c r="N124" s="1" t="s">
        <v>81</v>
      </c>
      <c r="O124" s="14">
        <v>72</v>
      </c>
      <c r="P124" s="1" t="s">
        <v>97</v>
      </c>
      <c r="Q124" s="11"/>
    </row>
    <row r="125" spans="1:17" x14ac:dyDescent="0.25">
      <c r="A125" s="1" t="s">
        <v>53</v>
      </c>
      <c r="F125" s="1" t="s">
        <v>30</v>
      </c>
      <c r="L125" s="8"/>
      <c r="M125" s="1" t="s">
        <v>96</v>
      </c>
      <c r="N125" s="1" t="s">
        <v>81</v>
      </c>
      <c r="O125" s="14">
        <v>69</v>
      </c>
      <c r="P125" s="1" t="s">
        <v>97</v>
      </c>
    </row>
    <row r="126" spans="1:17" x14ac:dyDescent="0.25">
      <c r="A126" s="1" t="s">
        <v>53</v>
      </c>
      <c r="F126" s="1" t="s">
        <v>31</v>
      </c>
      <c r="M126" s="1" t="s">
        <v>96</v>
      </c>
      <c r="N126" s="1" t="s">
        <v>81</v>
      </c>
      <c r="O126" s="14">
        <v>74.3333333333333</v>
      </c>
      <c r="P126" s="1" t="s">
        <v>97</v>
      </c>
      <c r="Q126" s="10"/>
    </row>
    <row r="127" spans="1:17" x14ac:dyDescent="0.25">
      <c r="A127" s="1" t="s">
        <v>53</v>
      </c>
      <c r="F127" s="1" t="s">
        <v>32</v>
      </c>
      <c r="M127" s="1" t="s">
        <v>96</v>
      </c>
      <c r="N127" s="1" t="s">
        <v>81</v>
      </c>
      <c r="O127" s="14">
        <v>95</v>
      </c>
      <c r="P127" s="1" t="s">
        <v>97</v>
      </c>
    </row>
    <row r="128" spans="1:17" x14ac:dyDescent="0.25">
      <c r="A128" s="1" t="s">
        <v>53</v>
      </c>
      <c r="F128" s="1" t="s">
        <v>34</v>
      </c>
      <c r="M128" s="1" t="s">
        <v>96</v>
      </c>
      <c r="N128" s="1" t="s">
        <v>81</v>
      </c>
      <c r="O128" s="14">
        <v>182</v>
      </c>
      <c r="P128" s="1" t="s">
        <v>97</v>
      </c>
    </row>
    <row r="129" spans="1:16" x14ac:dyDescent="0.25">
      <c r="A129" s="1" t="s">
        <v>53</v>
      </c>
      <c r="F129" s="1" t="s">
        <v>35</v>
      </c>
      <c r="M129" s="1" t="s">
        <v>96</v>
      </c>
      <c r="N129" s="1" t="s">
        <v>81</v>
      </c>
      <c r="O129" s="14">
        <v>221</v>
      </c>
      <c r="P129" s="1" t="s">
        <v>97</v>
      </c>
    </row>
    <row r="130" spans="1:16" x14ac:dyDescent="0.25">
      <c r="A130" s="1" t="s">
        <v>53</v>
      </c>
      <c r="F130" s="1" t="s">
        <v>36</v>
      </c>
      <c r="M130" s="1" t="s">
        <v>96</v>
      </c>
      <c r="N130" s="1" t="s">
        <v>81</v>
      </c>
      <c r="O130" s="14">
        <v>73</v>
      </c>
      <c r="P130" s="1" t="s">
        <v>97</v>
      </c>
    </row>
    <row r="132" spans="1:16" x14ac:dyDescent="0.25">
      <c r="A132" s="1" t="s">
        <v>53</v>
      </c>
      <c r="F132" s="1" t="s">
        <v>28</v>
      </c>
      <c r="M132" s="1" t="s">
        <v>98</v>
      </c>
      <c r="N132" s="1" t="s">
        <v>81</v>
      </c>
      <c r="O132">
        <v>26.5</v>
      </c>
      <c r="P132" s="1" t="s">
        <v>99</v>
      </c>
    </row>
    <row r="133" spans="1:16" x14ac:dyDescent="0.25">
      <c r="A133" s="1" t="s">
        <v>53</v>
      </c>
      <c r="F133" s="1" t="s">
        <v>30</v>
      </c>
      <c r="M133" s="1" t="s">
        <v>98</v>
      </c>
      <c r="N133" s="1" t="s">
        <v>81</v>
      </c>
      <c r="O133">
        <v>14</v>
      </c>
      <c r="P133" s="1" t="s">
        <v>99</v>
      </c>
    </row>
    <row r="134" spans="1:16" x14ac:dyDescent="0.25">
      <c r="A134" s="1" t="s">
        <v>53</v>
      </c>
      <c r="F134" s="1" t="s">
        <v>31</v>
      </c>
      <c r="M134" s="1" t="s">
        <v>98</v>
      </c>
      <c r="N134" s="1" t="s">
        <v>81</v>
      </c>
      <c r="O134">
        <v>12.25</v>
      </c>
      <c r="P134" s="1" t="s">
        <v>99</v>
      </c>
    </row>
    <row r="135" spans="1:16" x14ac:dyDescent="0.25">
      <c r="A135" s="1" t="s">
        <v>53</v>
      </c>
      <c r="F135" s="1" t="s">
        <v>32</v>
      </c>
      <c r="M135" s="1" t="s">
        <v>98</v>
      </c>
      <c r="N135" s="1" t="s">
        <v>81</v>
      </c>
      <c r="O135">
        <v>-33</v>
      </c>
      <c r="P135" s="1" t="s">
        <v>99</v>
      </c>
    </row>
    <row r="136" spans="1:16" x14ac:dyDescent="0.25">
      <c r="A136" s="1" t="s">
        <v>53</v>
      </c>
      <c r="F136" s="1" t="s">
        <v>34</v>
      </c>
      <c r="M136" s="1" t="s">
        <v>98</v>
      </c>
      <c r="N136" s="1" t="s">
        <v>81</v>
      </c>
      <c r="O136">
        <v>261</v>
      </c>
      <c r="P136" s="1" t="s">
        <v>99</v>
      </c>
    </row>
    <row r="137" spans="1:16" x14ac:dyDescent="0.25">
      <c r="A137" s="1" t="s">
        <v>53</v>
      </c>
      <c r="F137" s="1" t="s">
        <v>35</v>
      </c>
      <c r="M137" s="1" t="s">
        <v>98</v>
      </c>
      <c r="N137" s="1" t="s">
        <v>81</v>
      </c>
      <c r="O137">
        <v>79</v>
      </c>
      <c r="P137" s="1" t="s">
        <v>99</v>
      </c>
    </row>
    <row r="138" spans="1:16" x14ac:dyDescent="0.25">
      <c r="A138" s="1" t="s">
        <v>53</v>
      </c>
      <c r="F138" s="1" t="s">
        <v>36</v>
      </c>
      <c r="M138" s="1" t="s">
        <v>98</v>
      </c>
      <c r="N138" s="1" t="s">
        <v>81</v>
      </c>
      <c r="O138">
        <v>36</v>
      </c>
      <c r="P138" s="1" t="s">
        <v>99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167</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references</vt:lpstr>
      <vt:lpstr>default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Johan Karlsson</cp:lastModifiedBy>
  <cp:revision>8</cp:revision>
  <dcterms:created xsi:type="dcterms:W3CDTF">2015-06-05T18:17:20Z</dcterms:created>
  <dcterms:modified xsi:type="dcterms:W3CDTF">2024-11-11T19:50:15Z</dcterms:modified>
  <dc:language>en-GB</dc:language>
</cp:coreProperties>
</file>