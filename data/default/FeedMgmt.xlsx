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ferences" sheetId="1" state="visible" r:id="rId3"/>
    <sheet name="default" sheetId="2" state="visible" r:id="rId4"/>
    <sheet name="feed pars" sheetId="3" state="visible" r:id="rId5"/>
    <sheet name="feed pars csv" sheetId="4" state="visible" r:id="rId6"/>
    <sheet name="pigs" sheetId="5" state="visible" r:id="rId7"/>
    <sheet name="ruminants" sheetId="6" state="visible" r:id="rId8"/>
    <sheet name="ruminants, roughage" sheetId="7" state="visible" r:id="rId9"/>
    <sheet name="horses" sheetId="8" state="visible" r:id="rId10"/>
    <sheet name="poult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WW</author>
  </authors>
  <commentList>
    <comment ref="O17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001-0021
AAT8 / PBV8
[2024-11-15]</t>
        </r>
      </text>
    </comment>
    <comment ref="O3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006-0430
AAT8 / PBV8
[2024-11-15]</t>
        </r>
      </text>
    </comment>
    <comment ref="O33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001-0108
AAT8 / PBV8
[2024-11-15]</t>
        </r>
      </text>
    </comment>
    <comment ref="O34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<sst xmlns="http://schemas.openxmlformats.org/spreadsheetml/2006/main" count="1590" uniqueCount="679">
  <si>
    <t xml:space="preserve">Statistics Netherlands (2012) Standardised calculation methods for animal manure and nutrients. Standard data 1990–2008</t>
  </si>
  <si>
    <t xml:space="preserve">Cederberg, C. &amp; Henriksson, M. (2020). Gräsmarkernas användning i jordbruket</t>
  </si>
  <si>
    <t xml:space="preserve"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</si>
  <si>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 xml:space="preserve">Ahlgren, S., Behaderovic, D., Wirsenius, S., Carlsson, A., Hessle, A. Toräng, P., Seeman, A., den Braver, T. &amp;  et al. Kvarnbäck, O. (2022) Miljöpåverkan av svensk nöt- och lammköttsproduktion. RISE</t>
  </si>
  <si>
    <t xml:space="preserve">f_species</t>
  </si>
  <si>
    <t xml:space="preserve">f_breed</t>
  </si>
  <si>
    <t xml:space="preserve">f_prod_system</t>
  </si>
  <si>
    <t xml:space="preserve">f_sub_system</t>
  </si>
  <si>
    <t xml:space="preserve">f_animal</t>
  </si>
  <si>
    <t xml:space="preserve">f_feed</t>
  </si>
  <si>
    <t xml:space="preserve">f_feed_group:feed</t>
  </si>
  <si>
    <t xml:space="preserve">f_crop_group</t>
  </si>
  <si>
    <t xml:space="preserve">f_crop_prod</t>
  </si>
  <si>
    <t xml:space="preserve">f_by_prod</t>
  </si>
  <si>
    <t xml:space="preserve">f_crop_resid</t>
  </si>
  <si>
    <t xml:space="preserve">f_region</t>
  </si>
  <si>
    <t xml:space="preserve">parameter</t>
  </si>
  <si>
    <t xml:space="preserve">value</t>
  </si>
  <si>
    <t xml:space="preserve">unit</t>
  </si>
  <si>
    <t xml:space="preserve">description</t>
  </si>
  <si>
    <t xml:space="preserve">source</t>
  </si>
  <si>
    <t xml:space="preserve">Conversion factors: Feeds --&gt; crop products, by-products or crop residues</t>
  </si>
  <si>
    <t xml:space="preserve">kg product/kg DM feed</t>
  </si>
  <si>
    <t xml:space="preserve">need to align with DM in products and by-products</t>
  </si>
  <si>
    <t xml:space="preserve">feed_to_prod</t>
  </si>
  <si>
    <t xml:space="preserve">fallback</t>
  </si>
  <si>
    <t xml:space="preserve">Crop products</t>
  </si>
  <si>
    <t xml:space="preserve">ley silage, 1st cut</t>
  </si>
  <si>
    <t xml:space="preserve">fodder</t>
  </si>
  <si>
    <t xml:space="preserve">ley silage, regrowth</t>
  </si>
  <si>
    <t xml:space="preserve">other silage</t>
  </si>
  <si>
    <t xml:space="preserve">hay</t>
  </si>
  <si>
    <t xml:space="preserve">maize silage</t>
  </si>
  <si>
    <t xml:space="preserve">maize fodder</t>
  </si>
  <si>
    <t xml:space="preserve">grazing</t>
  </si>
  <si>
    <t xml:space="preserve">wheat</t>
  </si>
  <si>
    <t xml:space="preserve">barley</t>
  </si>
  <si>
    <t xml:space="preserve">oats</t>
  </si>
  <si>
    <t xml:space="preserve">triticale</t>
  </si>
  <si>
    <t xml:space="preserve">rye</t>
  </si>
  <si>
    <t xml:space="preserve">maize</t>
  </si>
  <si>
    <t xml:space="preserve">peas</t>
  </si>
  <si>
    <t xml:space="preserve">broad beans</t>
  </si>
  <si>
    <t xml:space="preserve">rapeseed</t>
  </si>
  <si>
    <t xml:space="preserve">linseed</t>
  </si>
  <si>
    <t xml:space="preserve">vegetable oils</t>
  </si>
  <si>
    <t xml:space="preserve">rapeseed meal</t>
  </si>
  <si>
    <t xml:space="preserve">feed_to_by_prod</t>
  </si>
  <si>
    <t xml:space="preserve">add by-prod generation calculation method!</t>
  </si>
  <si>
    <t xml:space="preserve">soybeans</t>
  </si>
  <si>
    <t xml:space="preserve">By-products</t>
  </si>
  <si>
    <t xml:space="preserve">soybean meal</t>
  </si>
  <si>
    <t xml:space="preserve">soybean protein concentrate</t>
  </si>
  <si>
    <t xml:space="preserve">convert to soybean meal???</t>
  </si>
  <si>
    <t xml:space="preserve">rapeseed cake</t>
  </si>
  <si>
    <t xml:space="preserve">sunflower seed meal</t>
  </si>
  <si>
    <t xml:space="preserve">palm kernel expeller</t>
  </si>
  <si>
    <t xml:space="preserve">luzern meal</t>
  </si>
  <si>
    <t xml:space="preserve">add as crop product?</t>
  </si>
  <si>
    <t xml:space="preserve">wheat bran</t>
  </si>
  <si>
    <t xml:space="preserve">milling by-products from wheat, barley or rye</t>
  </si>
  <si>
    <t xml:space="preserve">wheat bran, fine</t>
  </si>
  <si>
    <t xml:space="preserve">oat hulls</t>
  </si>
  <si>
    <t xml:space="preserve">milling by-products from oats</t>
  </si>
  <si>
    <t xml:space="preserve">oat bran</t>
  </si>
  <si>
    <t xml:space="preserve">rye bran</t>
  </si>
  <si>
    <t xml:space="preserve">wheat distillers grain, dry</t>
  </si>
  <si>
    <t xml:space="preserve">wheat distillers grain</t>
  </si>
  <si>
    <t xml:space="preserve">wheat distillers grain, wet</t>
  </si>
  <si>
    <t xml:space="preserve">barley brewers grain</t>
  </si>
  <si>
    <t xml:space="preserve">sugar beet molasses</t>
  </si>
  <si>
    <t xml:space="preserve">sugar beet pulp</t>
  </si>
  <si>
    <t xml:space="preserve">whey</t>
  </si>
  <si>
    <t xml:space="preserve">whey powder</t>
  </si>
  <si>
    <t xml:space="preserve">potatoe protein</t>
  </si>
  <si>
    <t xml:space="preserve">potatoe offals</t>
  </si>
  <si>
    <t xml:space="preserve">fish meal</t>
  </si>
  <si>
    <t xml:space="preserve">Crop residues</t>
  </si>
  <si>
    <t xml:space="preserve">straw</t>
  </si>
  <si>
    <t xml:space="preserve">Parameters to constrain regional feed supply</t>
  </si>
  <si>
    <r>
      <rPr>
        <sz val="11"/>
        <color theme="4"/>
        <rFont val="Calibri"/>
        <family val="2"/>
        <charset val="1"/>
      </rPr>
      <t xml:space="preserve">The parameter</t>
    </r>
    <r>
      <rPr>
        <b val="true"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</si>
  <si>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 xml:space="preserve">share_regional</t>
  </si>
  <si>
    <t xml:space="preserve">%</t>
  </si>
  <si>
    <t xml:space="preserve">pigs</t>
  </si>
  <si>
    <t xml:space="preserve"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</si>
  <si>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 val="true"/>
        <sz val="11"/>
        <color theme="4"/>
        <rFont val="Calibri"/>
        <family val="2"/>
        <charset val="1"/>
      </rPr>
      <t xml:space="preserve"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</si>
  <si>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 xml:space="preserve">max_overproduction</t>
  </si>
  <si>
    <t xml:space="preserve">Share of crop and by-products that are imported</t>
  </si>
  <si>
    <t xml:space="preserve">share_domestic</t>
  </si>
  <si>
    <t xml:space="preserve">include as crop??</t>
  </si>
  <si>
    <t xml:space="preserve">Borde denna vara 100%? Vad är den tröskade majsarealen?</t>
  </si>
  <si>
    <r>
      <rPr>
        <b val="true"/>
        <u val="single"/>
        <sz val="11"/>
        <color theme="1"/>
        <rFont val="Calibri"/>
        <family val="2"/>
        <charset val="1"/>
      </rPr>
      <t xml:space="preserve"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</si>
  <si>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 xml:space="preserve">cattle</t>
  </si>
  <si>
    <t xml:space="preserve">dairy</t>
  </si>
  <si>
    <t xml:space="preserve">cows</t>
  </si>
  <si>
    <t xml:space="preserve">Semi-natural pastures</t>
  </si>
  <si>
    <t xml:space="preserve">max_crop_in_crop_prod</t>
  </si>
  <si>
    <t xml:space="preserve">Based on 4 weeks grazing for cows with dry period coinciding with grazing period</t>
  </si>
  <si>
    <t xml:space="preserve">Hessle &amp; Danielsson (2024)</t>
  </si>
  <si>
    <t xml:space="preserve">beef</t>
  </si>
  <si>
    <t xml:space="preserve">calves, suckling</t>
  </si>
  <si>
    <t xml:space="preserve">same as suckler cows</t>
  </si>
  <si>
    <t xml:space="preserve">horses</t>
  </si>
  <si>
    <t xml:space="preserve">Cederberg &amp; Henriksson (2020)</t>
  </si>
  <si>
    <t xml:space="preserve">sheep</t>
  </si>
  <si>
    <t xml:space="preserve">Ahlgren et al. (2022)</t>
  </si>
  <si>
    <t xml:space="preserve">autumn lamb</t>
  </si>
  <si>
    <t xml:space="preserve">lambs</t>
  </si>
  <si>
    <t xml:space="preserve">Storage and feeding losses</t>
  </si>
  <si>
    <t xml:space="preserve">storage_losses</t>
  </si>
  <si>
    <t xml:space="preserve">feeding_losses</t>
  </si>
  <si>
    <t xml:space="preserve">ley silage</t>
  </si>
  <si>
    <t xml:space="preserve">80% in silo</t>
  </si>
  <si>
    <t xml:space="preserve">60% in silo</t>
  </si>
  <si>
    <t xml:space="preserve">0% in silo</t>
  </si>
  <si>
    <t xml:space="preserve">No feeding on pasture</t>
  </si>
  <si>
    <t xml:space="preserve">bulls</t>
  </si>
  <si>
    <t xml:space="preserve">10% feeding on pasture</t>
  </si>
  <si>
    <t xml:space="preserve">hay and straw</t>
  </si>
  <si>
    <t xml:space="preserve">dry concentrates</t>
  </si>
  <si>
    <t xml:space="preserve">??</t>
  </si>
  <si>
    <t xml:space="preserve">for cattle</t>
  </si>
  <si>
    <t xml:space="preserve">Statistics Netherlands (2012)</t>
  </si>
  <si>
    <t xml:space="preserve">wet concentrates</t>
  </si>
  <si>
    <t xml:space="preserve">Enteric fermentation</t>
  </si>
  <si>
    <t xml:space="preserve">For cattle Ym is calculated from feed ration</t>
  </si>
  <si>
    <t xml:space="preserve">Ym_enteric</t>
  </si>
  <si>
    <t xml:space="preserve">% of GE</t>
  </si>
  <si>
    <t xml:space="preserve">IPCC 2019</t>
  </si>
  <si>
    <t xml:space="preserve">EF_enteric</t>
  </si>
  <si>
    <t xml:space="preserve">kg CH4/head/year</t>
  </si>
  <si>
    <t xml:space="preserve">NIR 2021</t>
  </si>
  <si>
    <t xml:space="preserve">enteric_adj</t>
  </si>
  <si>
    <t xml:space="preserve">-</t>
  </si>
  <si>
    <t xml:space="preserve">Adjustment factor for enteric methane emissions</t>
  </si>
  <si>
    <t xml:space="preserve">Feed nutritional parameters (these will be removed once Wilhelm's work is fully incorporated)</t>
  </si>
  <si>
    <t xml:space="preserve">see feed pars sheet</t>
  </si>
  <si>
    <t xml:space="preserve">General</t>
  </si>
  <si>
    <t xml:space="preserve">feed_par_DM</t>
  </si>
  <si>
    <t xml:space="preserve">FeedMgmt-feed_pars_general.csv</t>
  </si>
  <si>
    <t xml:space="preserve">kg DM/kg as fed</t>
  </si>
  <si>
    <t xml:space="preserve">feed_par_GE</t>
  </si>
  <si>
    <t xml:space="preserve">MJ GE/kg DM</t>
  </si>
  <si>
    <t xml:space="preserve">feed_par_ASH</t>
  </si>
  <si>
    <t xml:space="preserve">feed_par_N</t>
  </si>
  <si>
    <t xml:space="preserve">feed_par_P</t>
  </si>
  <si>
    <t xml:space="preserve">feed_par_K</t>
  </si>
  <si>
    <t xml:space="preserve">Cattle</t>
  </si>
  <si>
    <t xml:space="preserve">feed_par_E</t>
  </si>
  <si>
    <t xml:space="preserve">FeedMgmt-feed_pars_cattle.csv</t>
  </si>
  <si>
    <t xml:space="preserve">MJ ME/kg DM</t>
  </si>
  <si>
    <t xml:space="preserve">Energy in feed used for feed req. calc.: ME for cattle,sheep and horses and NE for pigs</t>
  </si>
  <si>
    <t xml:space="preserve">feed_par_DE</t>
  </si>
  <si>
    <t xml:space="preserve">MJ DE/kg DM</t>
  </si>
  <si>
    <t xml:space="preserve">feed_par_fat</t>
  </si>
  <si>
    <t xml:space="preserve">g/kg DM</t>
  </si>
  <si>
    <t xml:space="preserve">Total fat</t>
  </si>
  <si>
    <t xml:space="preserve">Sheep</t>
  </si>
  <si>
    <t xml:space="preserve">FeedMgmt-feed_pars_sheep.csv</t>
  </si>
  <si>
    <t xml:space="preserve">Horses</t>
  </si>
  <si>
    <t xml:space="preserve">FeedMgmt-feed_pars_horses.csv</t>
  </si>
  <si>
    <t xml:space="preserve">Pigs</t>
  </si>
  <si>
    <t xml:space="preserve">FeedMgmt-feed_pars_pigs.csv</t>
  </si>
  <si>
    <t xml:space="preserve">MJ NE/kg DM</t>
  </si>
  <si>
    <t xml:space="preserve">Poultry</t>
  </si>
  <si>
    <t xml:space="preserve">feed_par_AME</t>
  </si>
  <si>
    <t xml:space="preserve">FeedMgmt-feed_pars_poultry.csv</t>
  </si>
  <si>
    <t xml:space="preserve">MJ AME/kg DM</t>
  </si>
  <si>
    <t xml:space="preserve">feed_composition</t>
  </si>
  <si>
    <t xml:space="preserve">FeedMgmt-feed_pars.csv</t>
  </si>
  <si>
    <t xml:space="preserve">Source (if no other stated):</t>
  </si>
  <si>
    <t xml:space="preserve">http://www2.freefarm.se/fodertabell/ </t>
  </si>
  <si>
    <t xml:space="preserve">col</t>
  </si>
  <si>
    <t xml:space="preserve">general</t>
  </si>
  <si>
    <t xml:space="preserve">ruminants</t>
  </si>
  <si>
    <t xml:space="preserve">CP --&gt; N</t>
  </si>
  <si>
    <t xml:space="preserve">calculated</t>
  </si>
  <si>
    <t xml:space="preserve">feedipedia</t>
  </si>
  <si>
    <t xml:space="preserve">feed</t>
  </si>
  <si>
    <t xml:space="preserve">%DM</t>
  </si>
  <si>
    <t xml:space="preserve">GE, MJ/kg DM</t>
  </si>
  <si>
    <t xml:space="preserve">ASH, % of DM</t>
  </si>
  <si>
    <t xml:space="preserve">N, % of DM</t>
  </si>
  <si>
    <t xml:space="preserve">P, % of DM</t>
  </si>
  <si>
    <t xml:space="preserve">K, % of DM</t>
  </si>
  <si>
    <t xml:space="preserve">Source</t>
  </si>
  <si>
    <t xml:space="preserve">row</t>
  </si>
  <si>
    <t xml:space="preserve">GE, MJ</t>
  </si>
  <si>
    <t xml:space="preserve">ME, MJ</t>
  </si>
  <si>
    <t xml:space="preserve">AAT, g</t>
  </si>
  <si>
    <t xml:space="preserve">PBV, g</t>
  </si>
  <si>
    <t xml:space="preserve">DE, MJ</t>
  </si>
  <si>
    <t xml:space="preserve">Prot, g</t>
  </si>
  <si>
    <t xml:space="preserve">Fat, g</t>
  </si>
  <si>
    <t xml:space="preserve">Fiber, g</t>
  </si>
  <si>
    <t xml:space="preserve">NFE, g</t>
  </si>
  <si>
    <t xml:space="preserve">Ash, g</t>
  </si>
  <si>
    <t xml:space="preserve">NEv, MJ</t>
  </si>
  <si>
    <t xml:space="preserve">NEs, MJ</t>
  </si>
  <si>
    <t xml:space="preserve">fiber+NFE, g</t>
  </si>
  <si>
    <t xml:space="preserve">Source for DE</t>
  </si>
  <si>
    <t xml:space="preserve">AME?, MJ</t>
  </si>
  <si>
    <t xml:space="preserve"> </t>
  </si>
  <si>
    <t xml:space="preserve">https://www.feedipedia.org/node/500, https://www.feedipedia.org/node/432</t>
  </si>
  <si>
    <t xml:space="preserve">https://www.feedipedia.org/node/13883</t>
  </si>
  <si>
    <t xml:space="preserve">%DM accrding to harvest stat</t>
  </si>
  <si>
    <t xml:space="preserve">https://www.feedipedia.org/node/223</t>
  </si>
  <si>
    <t xml:space="preserve">https://www.feedipedia.org/node/227</t>
  </si>
  <si>
    <t xml:space="preserve">https://www.feedipedia.org/node/231</t>
  </si>
  <si>
    <t xml:space="preserve">https://www.feedipedia.org/node/6476</t>
  </si>
  <si>
    <t xml:space="preserve">https://www.feedipedia.org/node/225</t>
  </si>
  <si>
    <t xml:space="preserve">https://www.feedipedia.org/node/556</t>
  </si>
  <si>
    <t xml:space="preserve">https://www.feedipedia.org/node/264</t>
  </si>
  <si>
    <t xml:space="preserve">https://www.feedipedia.org/node/12799</t>
  </si>
  <si>
    <t xml:space="preserve">https://www.feedipedia.org/node/15617</t>
  </si>
  <si>
    <t xml:space="preserve">https://www.feedipedia.org/node/36</t>
  </si>
  <si>
    <t xml:space="preserve">https://www.feedtables.com/content/rapeseed-oil</t>
  </si>
  <si>
    <t xml:space="preserve">https://www.feedipedia.org/node/12625</t>
  </si>
  <si>
    <t xml:space="preserve">https://www.feedipedia.org/node/26068</t>
  </si>
  <si>
    <t xml:space="preserve">https://www.feedipedia.org/node/11683</t>
  </si>
  <si>
    <t xml:space="preserve">https://www.feedipedia.org/node/12503</t>
  </si>
  <si>
    <t xml:space="preserve">https://www.feedipedia.org/node/12663</t>
  </si>
  <si>
    <t xml:space="preserve">https://www.feedipedia.org/node/11744 </t>
  </si>
  <si>
    <t xml:space="preserve">https://www.feedipedia.org/node/12751</t>
  </si>
  <si>
    <t xml:space="preserve">https://www.feedtables.com/content/wheat-feed-flour</t>
  </si>
  <si>
    <t xml:space="preserve">https://www.feedipedia.org/node/12801</t>
  </si>
  <si>
    <t xml:space="preserve">https://www.feedipedia.org/node/11893</t>
  </si>
  <si>
    <t xml:space="preserve"> https://www.feedipedia.org/node/11893</t>
  </si>
  <si>
    <t xml:space="preserve">maize gluten meal</t>
  </si>
  <si>
    <t xml:space="preserve">https://www.feedipedia.org/node/12288</t>
  </si>
  <si>
    <t xml:space="preserve">https://www.feedipedia.org/node/12340</t>
  </si>
  <si>
    <t xml:space="preserve">https://www.feedipedia.org/node/24378</t>
  </si>
  <si>
    <t xml:space="preserve">https://www.feedipedia.org/node/12893</t>
  </si>
  <si>
    <t xml:space="preserve">https://www.feedtables.com/content/table-feed-profile?feed_pr_id=12371</t>
  </si>
  <si>
    <t xml:space="preserve">https://www.feedipedia.org/node/11685</t>
  </si>
  <si>
    <t xml:space="preserve">minerals</t>
  </si>
  <si>
    <t xml:space="preserve">Around 4% P seems common in mineral feed</t>
  </si>
  <si>
    <t xml:space="preserve">Note</t>
  </si>
  <si>
    <t xml:space="preserve">NorFor AAT20 --&gt; AAT</t>
  </si>
  <si>
    <t xml:space="preserve">Gross energy in feeds is calculated based on equation in:</t>
  </si>
  <si>
    <t xml:space="preserve">drank, torr</t>
  </si>
  <si>
    <t xml:space="preserve">https://www.ncbi.nlm.nih.gov/pmc/articles/PMC3544805/ </t>
  </si>
  <si>
    <t xml:space="preserve">GE  = 5.7× g protein +9.4× g fat +4.1× (g NFE + g fiber)</t>
  </si>
  <si>
    <t xml:space="preserve">NorFor PBV20 --&gt; PBV</t>
  </si>
  <si>
    <t xml:space="preserve">GENERAL</t>
  </si>
  <si>
    <t xml:space="preserve">CATTLE</t>
  </si>
  <si>
    <t xml:space="preserve">SHEEP (same as cattle)</t>
  </si>
  <si>
    <t xml:space="preserve">HORSES</t>
  </si>
  <si>
    <t xml:space="preserve">PIGS</t>
  </si>
  <si>
    <t xml:space="preserve">PIGS (sows)</t>
  </si>
  <si>
    <t xml:space="preserve">POULTRY</t>
  </si>
  <si>
    <t xml:space="preserve">GE</t>
  </si>
  <si>
    <t xml:space="preserve">ASH</t>
  </si>
  <si>
    <t xml:space="preserve">N</t>
  </si>
  <si>
    <t xml:space="preserve">P</t>
  </si>
  <si>
    <t xml:space="preserve">K</t>
  </si>
  <si>
    <t xml:space="preserve">ME</t>
  </si>
  <si>
    <t xml:space="preserve">AAT</t>
  </si>
  <si>
    <t xml:space="preserve">PBV</t>
  </si>
  <si>
    <t xml:space="preserve">DE</t>
  </si>
  <si>
    <t xml:space="preserve">fat</t>
  </si>
  <si>
    <t xml:space="preserve">NE</t>
  </si>
  <si>
    <t xml:space="preserve">AME</t>
  </si>
  <si>
    <t xml:space="preserve">sows</t>
  </si>
  <si>
    <t xml:space="preserve">Nr</t>
  </si>
  <si>
    <t xml:space="preserve">Fodermedel                         </t>
  </si>
  <si>
    <t xml:space="preserve">Ts, %</t>
  </si>
  <si>
    <t xml:space="preserve">OEsv, MJ</t>
  </si>
  <si>
    <t xml:space="preserve">Råprotein, g</t>
  </si>
  <si>
    <t xml:space="preserve">Råfett, g</t>
  </si>
  <si>
    <t xml:space="preserve">Växttråd, g</t>
  </si>
  <si>
    <t xml:space="preserve">NDF, g</t>
  </si>
  <si>
    <t xml:space="preserve">ADF, g</t>
  </si>
  <si>
    <t xml:space="preserve">Stärkelse, g</t>
  </si>
  <si>
    <t xml:space="preserve">Socker, g</t>
  </si>
  <si>
    <t xml:space="preserve">Aska, g</t>
  </si>
  <si>
    <t xml:space="preserve">Lysin, g</t>
  </si>
  <si>
    <t xml:space="preserve">Treonin, g</t>
  </si>
  <si>
    <t xml:space="preserve">Metionin, g</t>
  </si>
  <si>
    <t xml:space="preserve">Cystin, g</t>
  </si>
  <si>
    <t xml:space="preserve">Met+Cys, g</t>
  </si>
  <si>
    <t xml:space="preserve">Tryptofan, g</t>
  </si>
  <si>
    <t xml:space="preserve">Valin, g</t>
  </si>
  <si>
    <t xml:space="preserve">sisLys, g</t>
  </si>
  <si>
    <t xml:space="preserve">sisTreo, g</t>
  </si>
  <si>
    <t xml:space="preserve">sisMet, g</t>
  </si>
  <si>
    <t xml:space="preserve">sisCys, g</t>
  </si>
  <si>
    <t xml:space="preserve">sisMetCys, g</t>
  </si>
  <si>
    <t xml:space="preserve">sisTry, g</t>
  </si>
  <si>
    <t xml:space="preserve">sisVal, g</t>
  </si>
  <si>
    <t xml:space="preserve">sisRp, g</t>
  </si>
  <si>
    <t xml:space="preserve">Ca, g</t>
  </si>
  <si>
    <t xml:space="preserve">P, g</t>
  </si>
  <si>
    <t xml:space="preserve">Mg, g</t>
  </si>
  <si>
    <t xml:space="preserve">K, g</t>
  </si>
  <si>
    <t xml:space="preserve">Na, g</t>
  </si>
  <si>
    <t xml:space="preserve">Mn, mg</t>
  </si>
  <si>
    <t xml:space="preserve">Se, mg</t>
  </si>
  <si>
    <t xml:space="preserve">Cu, mg</t>
  </si>
  <si>
    <t xml:space="preserve">Zn, mg</t>
  </si>
  <si>
    <t xml:space="preserve">Smb P, Pellets %</t>
  </si>
  <si>
    <t xml:space="preserve">Smb P, Mjöl %</t>
  </si>
  <si>
    <t xml:space="preserve">Agrodrank10</t>
  </si>
  <si>
    <t xml:space="preserve">Agrodrank27</t>
  </si>
  <si>
    <t xml:space="preserve">Agrodrank90</t>
  </si>
  <si>
    <t xml:space="preserve">Betfiber, omelasserad</t>
  </si>
  <si>
    <t xml:space="preserve">Drank SBI</t>
  </si>
  <si>
    <t xml:space="preserve">Fetter, animala</t>
  </si>
  <si>
    <t xml:space="preserve">Fiskmjöl</t>
  </si>
  <si>
    <t xml:space="preserve">Foderkalk</t>
  </si>
  <si>
    <t xml:space="preserve">Gräsmjöl</t>
  </si>
  <si>
    <t xml:space="preserve">Halm, vete</t>
  </si>
  <si>
    <t xml:space="preserve">Havre</t>
  </si>
  <si>
    <t xml:space="preserve">Havre, skalad</t>
  </si>
  <si>
    <t xml:space="preserve">Korn</t>
  </si>
  <si>
    <t xml:space="preserve">Linfrö</t>
  </si>
  <si>
    <t xml:space="preserve">Linfröexpeller</t>
  </si>
  <si>
    <t xml:space="preserve">Lupin, vit</t>
  </si>
  <si>
    <t xml:space="preserve">Lusernmjöl</t>
  </si>
  <si>
    <t xml:space="preserve">Lysin, L-HCL</t>
  </si>
  <si>
    <t xml:space="preserve">Majs</t>
  </si>
  <si>
    <t xml:space="preserve">Majsdrank</t>
  </si>
  <si>
    <t xml:space="preserve">Majsglutenfoder</t>
  </si>
  <si>
    <t xml:space="preserve">Majsglutenmjöl</t>
  </si>
  <si>
    <t xml:space="preserve">Melass, bet</t>
  </si>
  <si>
    <t xml:space="preserve">Melass, rör</t>
  </si>
  <si>
    <t xml:space="preserve">Metionin</t>
  </si>
  <si>
    <t xml:space="preserve">Metioninhydroxyanalog</t>
  </si>
  <si>
    <t xml:space="preserve">Monokalciumfosfat</t>
  </si>
  <si>
    <t xml:space="preserve">Oljor, vegetabila</t>
  </si>
  <si>
    <t xml:space="preserve">Palmkärnkaka</t>
  </si>
  <si>
    <t xml:space="preserve">Permeatvassle</t>
  </si>
  <si>
    <t xml:space="preserve">Potatisproteinkoncentrat</t>
  </si>
  <si>
    <t xml:space="preserve">Potatispulpa</t>
  </si>
  <si>
    <t xml:space="preserve">Rapsfrö</t>
  </si>
  <si>
    <t xml:space="preserve">Rapskaka</t>
  </si>
  <si>
    <t xml:space="preserve">Rapskaka, kallpressad</t>
  </si>
  <si>
    <t xml:space="preserve">Rapsmjöl</t>
  </si>
  <si>
    <t xml:space="preserve">Ris, knäckt</t>
  </si>
  <si>
    <t xml:space="preserve">Råg</t>
  </si>
  <si>
    <t xml:space="preserve">Rågvete</t>
  </si>
  <si>
    <t xml:space="preserve">Salt</t>
  </si>
  <si>
    <t xml:space="preserve">Skummjölkspulver</t>
  </si>
  <si>
    <t xml:space="preserve">Sojamjöl, 43% Rp i vara</t>
  </si>
  <si>
    <t xml:space="preserve">Sojamjöl, 45% Rp i vara</t>
  </si>
  <si>
    <t xml:space="preserve">Sojamjöl, 47% Rp i vara</t>
  </si>
  <si>
    <t xml:space="preserve">Sojaprotein-Hamlet 310</t>
  </si>
  <si>
    <t xml:space="preserve">Solrosmjöl</t>
  </si>
  <si>
    <t xml:space="preserve">Sorgum</t>
  </si>
  <si>
    <t xml:space="preserve">Treonin, L</t>
  </si>
  <si>
    <t xml:space="preserve">Tryptofan, L</t>
  </si>
  <si>
    <t xml:space="preserve">Vassle</t>
  </si>
  <si>
    <t xml:space="preserve">Vasslepulver, sur vassle</t>
  </si>
  <si>
    <t xml:space="preserve">Vasslepulver, söt vassle</t>
  </si>
  <si>
    <t xml:space="preserve">Vete</t>
  </si>
  <si>
    <t xml:space="preserve">Vetefodermjöl</t>
  </si>
  <si>
    <t xml:space="preserve">Vetekli</t>
  </si>
  <si>
    <t xml:space="preserve">Ärter</t>
  </si>
  <si>
    <t xml:space="preserve">Åkerböna, vitblommig</t>
  </si>
  <si>
    <t xml:space="preserve">Öljäst</t>
  </si>
  <si>
    <t xml:space="preserve">Oms energi, MJ</t>
  </si>
  <si>
    <t xml:space="preserve">Smb råprot, g</t>
  </si>
  <si>
    <t xml:space="preserve">Smb energi, MJ</t>
  </si>
  <si>
    <t xml:space="preserve">Råprot, g</t>
  </si>
  <si>
    <t xml:space="preserve">Råprotein smb.koeff</t>
  </si>
  <si>
    <t xml:space="preserve">Råfett smb.koeff</t>
  </si>
  <si>
    <t xml:space="preserve">Växttråd smb.koeff</t>
  </si>
  <si>
    <t xml:space="preserve">NFE smb.koeff</t>
  </si>
  <si>
    <t xml:space="preserve">Org subst smb.koeff</t>
  </si>
  <si>
    <t xml:space="preserve">EFD smb.koeff</t>
  </si>
  <si>
    <t xml:space="preserve">EPD smb.koeff</t>
  </si>
  <si>
    <t xml:space="preserve">Protein i tarm smb.koeff</t>
  </si>
  <si>
    <t xml:space="preserve">Pektin, g</t>
  </si>
  <si>
    <t xml:space="preserve">Lignin, g</t>
  </si>
  <si>
    <t xml:space="preserve">CAB, meq</t>
  </si>
  <si>
    <t xml:space="preserve">Asp, bark</t>
  </si>
  <si>
    <t xml:space="preserve">Asp, löv</t>
  </si>
  <si>
    <t xml:space="preserve">Babassu, kaka</t>
  </si>
  <si>
    <t xml:space="preserve">Babassu, mjöl</t>
  </si>
  <si>
    <t xml:space="preserve">Blandsäd, kärna havre/korn</t>
  </si>
  <si>
    <t xml:space="preserve">Blaster, diverse blaster, ensilerade</t>
  </si>
  <si>
    <t xml:space="preserve">Bok, ollon</t>
  </si>
  <si>
    <t xml:space="preserve">Bomull, expeller, ej välskalade</t>
  </si>
  <si>
    <t xml:space="preserve">Bomull, expeller, välskalade</t>
  </si>
  <si>
    <t xml:space="preserve">Bomull, frö</t>
  </si>
  <si>
    <t xml:space="preserve">Bomull, mjöl, oskalat frö</t>
  </si>
  <si>
    <t xml:space="preserve">Bomull, mjöl, skalat frö</t>
  </si>
  <si>
    <t xml:space="preserve">Citruspulpa</t>
  </si>
  <si>
    <t xml:space="preserve">Fett, vegetabiliskt</t>
  </si>
  <si>
    <t xml:space="preserve">Foderbeta, rotfrukt</t>
  </si>
  <si>
    <t xml:space="preserve">Fodercellulosa</t>
  </si>
  <si>
    <t xml:space="preserve">Fodermärgkål, hela plantan, ensilerad</t>
  </si>
  <si>
    <t xml:space="preserve">Fodersockerbeta</t>
  </si>
  <si>
    <t xml:space="preserve">Halm, baljväxt</t>
  </si>
  <si>
    <t xml:space="preserve">Halm, gräs</t>
  </si>
  <si>
    <t xml:space="preserve">Halm, stråsäd, NH3-behandlad</t>
  </si>
  <si>
    <t xml:space="preserve">Halm, stråsäd, ej behandlad</t>
  </si>
  <si>
    <t xml:space="preserve">Halm, stråsäd, torrlutad</t>
  </si>
  <si>
    <t xml:space="preserve">Halm, stråsäd, våtlutad</t>
  </si>
  <si>
    <t xml:space="preserve">Hamp, frö</t>
  </si>
  <si>
    <t xml:space="preserve">Havre, hela plantan, ensilerad</t>
  </si>
  <si>
    <t xml:space="preserve">Havre, kli</t>
  </si>
  <si>
    <t xml:space="preserve">Havre, kärna</t>
  </si>
  <si>
    <t xml:space="preserve">Havre, skal</t>
  </si>
  <si>
    <t xml:space="preserve">Hästkastanj, kastanjer</t>
  </si>
  <si>
    <t xml:space="preserve">Johannesbröd</t>
  </si>
  <si>
    <t xml:space="preserve">Jäst, bryggerijäst</t>
  </si>
  <si>
    <t xml:space="preserve">Kasein</t>
  </si>
  <si>
    <t xml:space="preserve">Kokos, expeller</t>
  </si>
  <si>
    <t xml:space="preserve">Kokos, mjöl</t>
  </si>
  <si>
    <t xml:space="preserve">Korn, drank</t>
  </si>
  <si>
    <t xml:space="preserve">Korn, drav, 24 % rp</t>
  </si>
  <si>
    <t xml:space="preserve">Korn, drav, 28 % rp</t>
  </si>
  <si>
    <t xml:space="preserve">Korn, hela plantan, ensilerad</t>
  </si>
  <si>
    <t xml:space="preserve">Korn, kli</t>
  </si>
  <si>
    <t xml:space="preserve">Korn, kärna</t>
  </si>
  <si>
    <t xml:space="preserve">Korn, maltgroddar</t>
  </si>
  <si>
    <t xml:space="preserve">Kålrot, rotfrukt</t>
  </si>
  <si>
    <t xml:space="preserve">Lin, frö</t>
  </si>
  <si>
    <t xml:space="preserve">Lin, fröexpeller</t>
  </si>
  <si>
    <t xml:space="preserve">Lin, frömjöl</t>
  </si>
  <si>
    <t xml:space="preserve">Lupin (gul), frö</t>
  </si>
  <si>
    <t xml:space="preserve">Lupin (gul), hela plantan, blomning, ensilerad</t>
  </si>
  <si>
    <t xml:space="preserve">Majs, gluten</t>
  </si>
  <si>
    <t xml:space="preserve">Majs, hela plantan, ensilerad</t>
  </si>
  <si>
    <t xml:space="preserve">Majs, kolvkross</t>
  </si>
  <si>
    <t xml:space="preserve">Majs, kärna</t>
  </si>
  <si>
    <t xml:space="preserve">Mjölk, helmjölk</t>
  </si>
  <si>
    <t xml:space="preserve">Mjölk, kärnmjölk, färsk</t>
  </si>
  <si>
    <t xml:space="preserve">Mjölk, skummjölk, färsk</t>
  </si>
  <si>
    <t xml:space="preserve">Mjölk, vassle, färsk</t>
  </si>
  <si>
    <t xml:space="preserve">Mjölk, vassle, permeat</t>
  </si>
  <si>
    <t xml:space="preserve">Morot, rotfrukt</t>
  </si>
  <si>
    <t xml:space="preserve">Oljepalm, kärnexpeller</t>
  </si>
  <si>
    <t xml:space="preserve">Oljepalm, kärnmjöl</t>
  </si>
  <si>
    <t xml:space="preserve">Potatis, drank</t>
  </si>
  <si>
    <t xml:space="preserve">Potatis, knöl</t>
  </si>
  <si>
    <t xml:space="preserve">Potatis, pulpa</t>
  </si>
  <si>
    <t xml:space="preserve">Potatisprotein</t>
  </si>
  <si>
    <t xml:space="preserve">Raps, expeller, enkellåg</t>
  </si>
  <si>
    <t xml:space="preserve">Raps, expeller, värmebehandlad, dubbellåg</t>
  </si>
  <si>
    <t xml:space="preserve">Raps, hela plantan</t>
  </si>
  <si>
    <t xml:space="preserve">Raps, mjöl, dubbellågt</t>
  </si>
  <si>
    <t xml:space="preserve">Raps, mjöl, värmebehandlat, dubbellågt</t>
  </si>
  <si>
    <t xml:space="preserve">Raps/rybs, frö</t>
  </si>
  <si>
    <t xml:space="preserve">Renlav</t>
  </si>
  <si>
    <t xml:space="preserve">Ris, kärna, rå</t>
  </si>
  <si>
    <t xml:space="preserve">Ris, kärna, skalad</t>
  </si>
  <si>
    <t xml:space="preserve">Rova, rotfrukt</t>
  </si>
  <si>
    <t xml:space="preserve">Råg, kli</t>
  </si>
  <si>
    <t xml:space="preserve">Råg, kärna</t>
  </si>
  <si>
    <t xml:space="preserve">Rågvete, kärna</t>
  </si>
  <si>
    <t xml:space="preserve">Rörsocker, melass</t>
  </si>
  <si>
    <t xml:space="preserve">Senap, frö</t>
  </si>
  <si>
    <t xml:space="preserve">Sesam, expeller</t>
  </si>
  <si>
    <t xml:space="preserve">Sesam, frö</t>
  </si>
  <si>
    <t xml:space="preserve">Sesam, mjöl</t>
  </si>
  <si>
    <t xml:space="preserve">Sheanöt, expeller</t>
  </si>
  <si>
    <t xml:space="preserve">Sockerbeta, beta</t>
  </si>
  <si>
    <t xml:space="preserve">Sockerbeta, betmassa, ensilerad</t>
  </si>
  <si>
    <t xml:space="preserve">Sockerbeta, betmassa, ensilerad, hårdpressad</t>
  </si>
  <si>
    <t xml:space="preserve">Sockerbeta, betmelass</t>
  </si>
  <si>
    <t xml:space="preserve">Sockerbeta, blast</t>
  </si>
  <si>
    <t xml:space="preserve">Sockerbeta, melasserad betfiber</t>
  </si>
  <si>
    <t xml:space="preserve">Sockerbeta, omelasserad betfiber</t>
  </si>
  <si>
    <t xml:space="preserve">Soja, böna</t>
  </si>
  <si>
    <t xml:space="preserve">Soja, mjöl</t>
  </si>
  <si>
    <t xml:space="preserve">Soja, mjöl, behandlat</t>
  </si>
  <si>
    <t xml:space="preserve">Solros, expeller, ej välskalad</t>
  </si>
  <si>
    <t xml:space="preserve">Solros, expeller, välskalad</t>
  </si>
  <si>
    <t xml:space="preserve">Solros, frö</t>
  </si>
  <si>
    <t xml:space="preserve">Solros, mjöl, oskalade frön</t>
  </si>
  <si>
    <t xml:space="preserve">Solros, mjöl, skalade frön</t>
  </si>
  <si>
    <t xml:space="preserve">Sorghum (milo), kärna</t>
  </si>
  <si>
    <t xml:space="preserve">Tall, bark</t>
  </si>
  <si>
    <t xml:space="preserve">Tapioka, mjöl</t>
  </si>
  <si>
    <t xml:space="preserve">Trä, melass</t>
  </si>
  <si>
    <t xml:space="preserve">Tång, mjöl</t>
  </si>
  <si>
    <t xml:space="preserve">Urea</t>
  </si>
  <si>
    <t xml:space="preserve">Vallmo, frö</t>
  </si>
  <si>
    <t xml:space="preserve">Vallmo, mjöl</t>
  </si>
  <si>
    <t xml:space="preserve">Vass, sommarskördad</t>
  </si>
  <si>
    <t xml:space="preserve">Vete, drank</t>
  </si>
  <si>
    <t xml:space="preserve">Vete, groddar</t>
  </si>
  <si>
    <t xml:space="preserve">Vete, kli</t>
  </si>
  <si>
    <t xml:space="preserve">Vete, kärna</t>
  </si>
  <si>
    <t xml:space="preserve">Vicker, kärna</t>
  </si>
  <si>
    <t xml:space="preserve">Ärter, hela plantan, fullmatad balja, ensilerad</t>
  </si>
  <si>
    <t xml:space="preserve">Ärter, kärna, mat/foderärt</t>
  </si>
  <si>
    <t xml:space="preserve">Ärter/Vicker, hela pantan, blomning</t>
  </si>
  <si>
    <t xml:space="preserve">Ärter/Vicker/Havre, hela plantan, axgång till blomning, ensilerad</t>
  </si>
  <si>
    <t xml:space="preserve">Åkerböna, hela plantan, blomning, ensilerad</t>
  </si>
  <si>
    <t xml:space="preserve">MJ</t>
  </si>
  <si>
    <t xml:space="preserve">smb rp, g</t>
  </si>
  <si>
    <t xml:space="preserve">smb en, MJ</t>
  </si>
  <si>
    <t xml:space="preserve">rp, g</t>
  </si>
  <si>
    <t xml:space="preserve">vx, g</t>
  </si>
  <si>
    <t xml:space="preserve">a, g</t>
  </si>
  <si>
    <t xml:space="preserve">kolhydr, g</t>
  </si>
  <si>
    <t xml:space="preserve">smb koeff rp</t>
  </si>
  <si>
    <t xml:space="preserve">smb koeff kolh</t>
  </si>
  <si>
    <t xml:space="preserve">smb koeff EFD</t>
  </si>
  <si>
    <t xml:space="preserve">smb koeff EPD</t>
  </si>
  <si>
    <t xml:space="preserve">smb koeff prot i tarm</t>
  </si>
  <si>
    <t xml:space="preserve">socker, g</t>
  </si>
  <si>
    <t xml:space="preserve">pektin, g</t>
  </si>
  <si>
    <t xml:space="preserve">stärkelse, g</t>
  </si>
  <si>
    <t xml:space="preserve">lignin, g</t>
  </si>
  <si>
    <t xml:space="preserve">Bete - Naturbete Fårsvingel efter axgång</t>
  </si>
  <si>
    <t xml:space="preserve">Bete - Naturbete Fårsvingel före axgång</t>
  </si>
  <si>
    <t xml:space="preserve">Bete - Naturbete Tuvtåtel efter axgång</t>
  </si>
  <si>
    <t xml:space="preserve">Bete - NaturbeteTuvtåtel före axgång</t>
  </si>
  <si>
    <t xml:space="preserve">Bete - Naturbete Ängskavle, Ängsgröe, Rödven, Ängshavre efter axgång</t>
  </si>
  <si>
    <t xml:space="preserve">Bete - Naturbete Ängskavle, Ängsgröe, Rödven, Ängshavre före axgång</t>
  </si>
  <si>
    <t xml:space="preserve">Bete - Åkermark ängsgröe, ängsvingel Försommar</t>
  </si>
  <si>
    <t xml:space="preserve">Bete - Åkermark ängsgröe, ängsvingel Förvuxet - försommar</t>
  </si>
  <si>
    <t xml:space="preserve">Bete - Åkermark ängsgröe, ängsvingel Förvuxet - sensommar</t>
  </si>
  <si>
    <t xml:space="preserve">Bete - Åkermark ängsgröe, ängsvingel Högsommar</t>
  </si>
  <si>
    <t xml:space="preserve">Bete - Åkermark ängsgröe, ängsvingel Sensommar</t>
  </si>
  <si>
    <t xml:space="preserve">Bete - Åkermark ängsgröe, ängsvingel Tidig sommar</t>
  </si>
  <si>
    <t xml:space="preserve">Blålusern, medeltidig skörd, hög prot</t>
  </si>
  <si>
    <t xml:space="preserve">Blålusern, medeltidig skörd, låg prot</t>
  </si>
  <si>
    <t xml:space="preserve">Blålusern, sen skörd hög proteinhalt</t>
  </si>
  <si>
    <t xml:space="preserve">Blålusern, sen skörd låg proteinhalt</t>
  </si>
  <si>
    <t xml:space="preserve">Blålusern, tidig skörd, hög prot</t>
  </si>
  <si>
    <t xml:space="preserve">Blålusern, tidig skörd, låg prot</t>
  </si>
  <si>
    <t xml:space="preserve">Ensilage, Blandvall 10,5-11,5 MJ</t>
  </si>
  <si>
    <t xml:space="preserve">Ensilage,Blandvall 11,5-12,0 MJ</t>
  </si>
  <si>
    <t xml:space="preserve">Ensilage, Blandvall 6,0-8,5 MJ</t>
  </si>
  <si>
    <t xml:space="preserve">Ensilage, Blandvall 8,5-9,5 MJ</t>
  </si>
  <si>
    <t xml:space="preserve">Ensilage, Blandvall 9,5-10,5 MJ</t>
  </si>
  <si>
    <t xml:space="preserve">Ensilage mindre än 25% baljv Norra Sverige</t>
  </si>
  <si>
    <t xml:space="preserve">Ensilage mindre än 25% baljv Södra Sverige</t>
  </si>
  <si>
    <t xml:space="preserve">Ensilage mindre än 25 - 50% baljv Hela Sverige</t>
  </si>
  <si>
    <t xml:space="preserve">Ensilage mindre än 25 - 50% baljv Norra Sverige</t>
  </si>
  <si>
    <t xml:space="preserve">Ensilage mindre än 25 - 50% baljv Södra Sverige</t>
  </si>
  <si>
    <t xml:space="preserve">Ensilage mindrä än 25% baljv Hela Sverige</t>
  </si>
  <si>
    <t xml:space="preserve">Getärt</t>
  </si>
  <si>
    <t xml:space="preserve">Hö Hela Sverige</t>
  </si>
  <si>
    <t xml:space="preserve">Hö Norra Sverige</t>
  </si>
  <si>
    <t xml:space="preserve">Hö Södra Sverige</t>
  </si>
  <si>
    <t xml:space="preserve">Käringtand</t>
  </si>
  <si>
    <t xml:space="preserve">Rödklöver 1:a skörd, medeltidig skörd, hög prot</t>
  </si>
  <si>
    <t xml:space="preserve">Rödklöver 1:a skörd, medeltidig skörd, låg prot</t>
  </si>
  <si>
    <t xml:space="preserve">Rödklöver 1:a skörd, sen skörd hög proteinhalt</t>
  </si>
  <si>
    <t xml:space="preserve">Rödklöver 1:a skörd, sen skörd låg proteinhalt</t>
  </si>
  <si>
    <t xml:space="preserve">Rödklöver 1:a skörd, tidig skörd, låg prot</t>
  </si>
  <si>
    <t xml:space="preserve">Rödklöver 1.a skörd, tidig skörd, hög prot</t>
  </si>
  <si>
    <t xml:space="preserve">Rödklöver 2:a skörd, medeltidig skörd, hög prot</t>
  </si>
  <si>
    <t xml:space="preserve">Rödklöver 2:a skörd, medeltidig skörd, låg prot</t>
  </si>
  <si>
    <t xml:space="preserve">Rödklöver 2:a skörd, sen skörd hög proteinhalt</t>
  </si>
  <si>
    <t xml:space="preserve">Rödklöver 2:a skörd, sen skörd låg proteinhalt</t>
  </si>
  <si>
    <t xml:space="preserve">Rödklöver 2:a skörd, tidig skörd, hög prot</t>
  </si>
  <si>
    <t xml:space="preserve">Rödklöver 2:a skörd, tidig skörd, låg prot</t>
  </si>
  <si>
    <t xml:space="preserve">Timotej, Ängsvingel, Rajgräs, Hundäxing 1:a skörd, medeltidig skörd, hög prot</t>
  </si>
  <si>
    <t xml:space="preserve">Timotej, Ängsvingel, Rajgräs, Hundäxing 1:a skörd, medeltidig skörd, låg prot</t>
  </si>
  <si>
    <t xml:space="preserve">Timotej, Ängsvingel, Rajgräs, Hundäxing 1:a skörd, sen skörd hög proteinhalt</t>
  </si>
  <si>
    <t xml:space="preserve">Timotej, Ängsvingel, Rajgräs, Hundäxing 1:a skörd, sen skörd låg proteinhalt</t>
  </si>
  <si>
    <t xml:space="preserve">Timotej, Ängsvingel, Rajgräs, Hundäxing 1:a skörd, tidig skörd, låg prot</t>
  </si>
  <si>
    <t xml:space="preserve">Timotej, Ängsvingel, Rajgräs, Hundäxing 1.a skörd, tidig skörd, hög prot</t>
  </si>
  <si>
    <t xml:space="preserve">Timotej, Ängsvingel, Rajgräs, Hundäxing 2:a skörd, medeltidig skörd, hög prot</t>
  </si>
  <si>
    <t xml:space="preserve">Timotej, Ängsvingel, Rajgräs, Hundäxing 2:a skörd, medeltidig skörd, låg prot</t>
  </si>
  <si>
    <t xml:space="preserve">Timotej, Ängsvingel, Rajgräs, Hundäxing 2:a skörd, sen skörd hög proteinhalt</t>
  </si>
  <si>
    <t xml:space="preserve">Timotej, Ängsvingel, Rajgräs, Hundäxing 2:a skörd, sen skörd låg proteinhalt</t>
  </si>
  <si>
    <t xml:space="preserve">Timotej, Ängsvingel, Rajgräs, Hundäxing 2:a skörd, tidig skörd, hög prot</t>
  </si>
  <si>
    <t xml:space="preserve">Timotej, Ängsvingel, Rajgräs, Hundäxing 2:a skörd, tidig skörd, låg prot</t>
  </si>
  <si>
    <t xml:space="preserve">Vitklöver</t>
  </si>
  <si>
    <t xml:space="preserve">Fodermedel</t>
  </si>
  <si>
    <t xml:space="preserve">%TS</t>
  </si>
  <si>
    <t xml:space="preserve">MJ/kg</t>
  </si>
  <si>
    <t xml:space="preserve">smb rp/kg</t>
  </si>
  <si>
    <t xml:space="preserve">Ca/kg</t>
  </si>
  <si>
    <t xml:space="preserve">P/kg</t>
  </si>
  <si>
    <t xml:space="preserve">Mg/kg</t>
  </si>
  <si>
    <t xml:space="preserve">MJ/kg ts</t>
  </si>
  <si>
    <t xml:space="preserve">smb rp/kg ts</t>
  </si>
  <si>
    <t xml:space="preserve">Ca/kg ts</t>
  </si>
  <si>
    <t xml:space="preserve">P/kg ts</t>
  </si>
  <si>
    <t xml:space="preserve">Mg/kg ts</t>
  </si>
  <si>
    <t xml:space="preserve">Aspbark</t>
  </si>
  <si>
    <t xml:space="preserve">Asplöv</t>
  </si>
  <si>
    <t xml:space="preserve">Baljväxthalm</t>
  </si>
  <si>
    <t xml:space="preserve">Bryggerijäst</t>
  </si>
  <si>
    <t xml:space="preserve">Drank. vete. torkad</t>
  </si>
  <si>
    <t xml:space="preserve">Drank (vete. färsk)</t>
  </si>
  <si>
    <t xml:space="preserve">Fiskmjöl. fetfattigt</t>
  </si>
  <si>
    <t xml:space="preserve">Fiskmjöl. låg fett- och askhalt</t>
  </si>
  <si>
    <t xml:space="preserve">Fiskmjöl. Fettrikt (sillmjöl)</t>
  </si>
  <si>
    <t xml:space="preserve">Gräsfröhalm</t>
  </si>
  <si>
    <t xml:space="preserve">Havre. kli</t>
  </si>
  <si>
    <t xml:space="preserve">Havre. kärna</t>
  </si>
  <si>
    <t xml:space="preserve">Havre. skalad</t>
  </si>
  <si>
    <t xml:space="preserve">Korn. kli</t>
  </si>
  <si>
    <t xml:space="preserve">Korn. kärna</t>
  </si>
  <si>
    <t xml:space="preserve">Lin. frö</t>
  </si>
  <si>
    <t xml:space="preserve">Lin. fröexpeller</t>
  </si>
  <si>
    <t xml:space="preserve">Lupin</t>
  </si>
  <si>
    <t xml:space="preserve">Majs. kärna</t>
  </si>
  <si>
    <t xml:space="preserve">Majsgluten</t>
  </si>
  <si>
    <t xml:space="preserve">Mjölk. skummad färsk</t>
  </si>
  <si>
    <t xml:space="preserve">Morot</t>
  </si>
  <si>
    <t xml:space="preserve">Oljepalm. kärnexpeller</t>
  </si>
  <si>
    <t xml:space="preserve">Raps. expeller. enkellåg</t>
  </si>
  <si>
    <t xml:space="preserve">Raps. expeller värmebehamdlad</t>
  </si>
  <si>
    <t xml:space="preserve">Raps. frö</t>
  </si>
  <si>
    <t xml:space="preserve">Ris. kärna</t>
  </si>
  <si>
    <t xml:space="preserve">Ris. kärna. skalad</t>
  </si>
  <si>
    <t xml:space="preserve">Råg . kli</t>
  </si>
  <si>
    <t xml:space="preserve">Råg . kärna</t>
  </si>
  <si>
    <t xml:space="preserve">Rågvete. kärna</t>
  </si>
  <si>
    <t xml:space="preserve">Rörsockermelass</t>
  </si>
  <si>
    <t xml:space="preserve">Sockebeta. betmelass</t>
  </si>
  <si>
    <t xml:space="preserve">Sockerbeta. mellasserad betfiber</t>
  </si>
  <si>
    <t xml:space="preserve">Sockerbeta. omelasserad betfiber</t>
  </si>
  <si>
    <t xml:space="preserve">Sojaböna</t>
  </si>
  <si>
    <t xml:space="preserve">Sojamjöl. Extraherat</t>
  </si>
  <si>
    <t xml:space="preserve">Solros. expeller. ej välskalad</t>
  </si>
  <si>
    <t xml:space="preserve">Solros. expeller. välskalad</t>
  </si>
  <si>
    <t xml:space="preserve">Sorghum</t>
  </si>
  <si>
    <t xml:space="preserve">Stråsädeshalm. ej bejandlad</t>
  </si>
  <si>
    <t xml:space="preserve">Stråsädeshalm. NH3-behandlad</t>
  </si>
  <si>
    <t xml:space="preserve">Tapioka. mjöl</t>
  </si>
  <si>
    <t xml:space="preserve">Tångmjöl</t>
  </si>
  <si>
    <t xml:space="preserve">Vegetabililskt fett (olja)</t>
  </si>
  <si>
    <t xml:space="preserve">Vete. groddar</t>
  </si>
  <si>
    <t xml:space="preserve">Vete. kli</t>
  </si>
  <si>
    <t xml:space="preserve">Vete. kärna</t>
  </si>
  <si>
    <t xml:space="preserve">Vicker. kärna</t>
  </si>
  <si>
    <t xml:space="preserve">Åkerböna. kärna</t>
  </si>
  <si>
    <t xml:space="preserve">Ärter. kärna. mat/foderärt</t>
  </si>
  <si>
    <t xml:space="preserve">PR, g</t>
  </si>
  <si>
    <t xml:space="preserve">LYS, g</t>
  </si>
  <si>
    <t xml:space="preserve">MET, g</t>
  </si>
  <si>
    <t xml:space="preserve">MET+CYS, g</t>
  </si>
  <si>
    <t xml:space="preserve">Fett, g</t>
  </si>
  <si>
    <t xml:space="preserve">Linolsyra, g</t>
  </si>
  <si>
    <t xml:space="preserve">P tot., g</t>
  </si>
  <si>
    <t xml:space="preserve">P tillg., g</t>
  </si>
  <si>
    <t xml:space="preserve">Cl, g</t>
  </si>
  <si>
    <t xml:space="preserve">Xantofyll, mg</t>
  </si>
  <si>
    <t xml:space="preserve">AKOFEED Standard</t>
  </si>
  <si>
    <t xml:space="preserve">AKOFEEDF30</t>
  </si>
  <si>
    <t xml:space="preserve">DIKALCIUMFOSFAT</t>
  </si>
  <si>
    <t xml:space="preserve">DINATRIUMFOSFAT</t>
  </si>
  <si>
    <t xml:space="preserve">DL-METIONIN</t>
  </si>
  <si>
    <t xml:space="preserve">FISKMJÖL, 2-8% fett</t>
  </si>
  <si>
    <t xml:space="preserve">FISKMJÖL, under 2% FETT</t>
  </si>
  <si>
    <t xml:space="preserve">FISKMJÖL, över 8% fett</t>
  </si>
  <si>
    <t xml:space="preserve">FODERKALK</t>
  </si>
  <si>
    <t xml:space="preserve">HAVRE 490-580 g/l</t>
  </si>
  <si>
    <t xml:space="preserve">HAVRE SKALAD</t>
  </si>
  <si>
    <t xml:space="preserve">HAVRE under 490 g/l</t>
  </si>
  <si>
    <t xml:space="preserve">HAVRE över 580 g/l</t>
  </si>
  <si>
    <t xml:space="preserve">HAVRESKAL</t>
  </si>
  <si>
    <t xml:space="preserve">KOKSALT</t>
  </si>
  <si>
    <t xml:space="preserve">KORN 600-700 g/l</t>
  </si>
  <si>
    <t xml:space="preserve">KORN under 600 g/l</t>
  </si>
  <si>
    <t xml:space="preserve">KORN över 700 g/l</t>
  </si>
  <si>
    <t xml:space="preserve">KÖTTFODERMJÖL, 51-56% rp</t>
  </si>
  <si>
    <t xml:space="preserve">KÖTTFODERMJÖL, 56-63% rp</t>
  </si>
  <si>
    <t xml:space="preserve">KÖTTFODERMJÖL, över 63% rp</t>
  </si>
  <si>
    <t xml:space="preserve">LUCERNMJÖL</t>
  </si>
  <si>
    <t xml:space="preserve">LYSIN_HCL</t>
  </si>
  <si>
    <t xml:space="preserve">MAJS</t>
  </si>
  <si>
    <t xml:space="preserve">MAJSGLUTENMJÖL</t>
  </si>
  <si>
    <t xml:space="preserve">MONOKALCIUMFOSFAT</t>
  </si>
  <si>
    <t xml:space="preserve">NABIKARBONAT</t>
  </si>
  <si>
    <t xml:space="preserve">P0TATISPROTEIN</t>
  </si>
  <si>
    <t xml:space="preserve">RAPSMJöL</t>
  </si>
  <si>
    <t xml:space="preserve">RÅG</t>
  </si>
  <si>
    <t xml:space="preserve">RÅGVETE</t>
  </si>
  <si>
    <t xml:space="preserve">SLAKTERIFETT</t>
  </si>
  <si>
    <t xml:space="preserve">SOJAMJöL</t>
  </si>
  <si>
    <t xml:space="preserve">SOJAOLJA</t>
  </si>
  <si>
    <t xml:space="preserve">VETE</t>
  </si>
  <si>
    <t xml:space="preserve">VETEFODERMJÖL under 5% vt</t>
  </si>
  <si>
    <t xml:space="preserve">VETEFODERMJÖL över 5% vt</t>
  </si>
  <si>
    <t xml:space="preserve">VETEKLI</t>
  </si>
  <si>
    <t xml:space="preserve">ÄRTOR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</si>
</sst>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General"/>
    <numFmt numFmtId="167" formatCode="0.0"/>
    <numFmt numFmtId="168" formatCode="0"/>
    <numFmt numFmtId="169" formatCode="0%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 val="true"/>
      <sz val="11"/>
      <color theme="4"/>
      <name val="Calibri"/>
      <family val="2"/>
      <charset val="1"/>
    </font>
    <font>
      <sz val="11"/>
      <color theme="2" tint="-0.25"/>
      <name val="Calibri"/>
      <family val="2"/>
      <charset val="1"/>
    </font>
    <font>
      <sz val="11"/>
      <color theme="2" tint="-0.5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 tint="0.4999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11"/>
      <color theme="4"/>
      <name val="Calibri"/>
      <family val="2"/>
      <charset val="1"/>
    </font>
    <font>
      <b val="true"/>
      <sz val="11"/>
      <color theme="9"/>
      <name val="Calibri"/>
      <family val="2"/>
      <charset val="1"/>
    </font>
    <font>
      <i val="true"/>
      <sz val="11"/>
      <color theme="9"/>
      <name val="Calibri"/>
      <family val="2"/>
      <charset val="1"/>
    </font>
    <font>
      <u val="single"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5"/>
      <name val="Calibri"/>
      <family val="2"/>
      <charset val="1"/>
    </font>
    <font>
      <sz val="11"/>
      <color theme="9"/>
      <name val="Calibri"/>
      <family val="2"/>
      <charset val="1"/>
    </font>
    <font>
      <u val="single"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</fonts>
  <fills count="10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rgb="FFFF5050"/>
        <bgColor rgb="FFED7D31"/>
      </patternFill>
    </fill>
    <fill>
      <patternFill patternType="solid">
        <fgColor rgb="FFFFCCCC"/>
        <bgColor rgb="FFE7E6E6"/>
      </patternFill>
    </fill>
    <fill>
      <patternFill patternType="solid">
        <fgColor theme="2" tint="-0.1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1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7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1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9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1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1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32" fillId="7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://www2.freefarm.se/fodertabell/" TargetMode="External"/><Relationship Id="rId3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www.feedipedia.org/node/223" TargetMode="External"/><Relationship Id="rId5" Type="http://schemas.openxmlformats.org/officeDocument/2006/relationships/hyperlink" Target="https://www.feedipedia.org/node/227" TargetMode="External"/><Relationship Id="rId6" Type="http://schemas.openxmlformats.org/officeDocument/2006/relationships/hyperlink" Target="https://www.feedipedia.org/node/231" TargetMode="External"/><Relationship Id="rId7" Type="http://schemas.openxmlformats.org/officeDocument/2006/relationships/hyperlink" Target="https://www.feedipedia.org/node/6476" TargetMode="External"/><Relationship Id="rId8" Type="http://schemas.openxmlformats.org/officeDocument/2006/relationships/hyperlink" Target="https://www.feedipedia.org/node/225" TargetMode="External"/><Relationship Id="rId9" Type="http://schemas.openxmlformats.org/officeDocument/2006/relationships/hyperlink" Target="https://www.feedipedia.org/node/556" TargetMode="External"/><Relationship Id="rId10" Type="http://schemas.openxmlformats.org/officeDocument/2006/relationships/hyperlink" Target="https://www.feedipedia.org/node/264" TargetMode="External"/><Relationship Id="rId11" Type="http://schemas.openxmlformats.org/officeDocument/2006/relationships/hyperlink" Target="https://www.feedipedia.org/node/12799" TargetMode="External"/><Relationship Id="rId12" Type="http://schemas.openxmlformats.org/officeDocument/2006/relationships/hyperlink" Target="https://www.feedipedia.org/node/12799" TargetMode="External"/><Relationship Id="rId13" Type="http://schemas.openxmlformats.org/officeDocument/2006/relationships/hyperlink" Target="https://www.feedipedia.org/node/15617" TargetMode="External"/><Relationship Id="rId14" Type="http://schemas.openxmlformats.org/officeDocument/2006/relationships/hyperlink" Target="https://www.feedipedia.org/node/36" TargetMode="External"/><Relationship Id="rId15" Type="http://schemas.openxmlformats.org/officeDocument/2006/relationships/hyperlink" Target="https://www.feedtables.com/content/rapeseed-oil" TargetMode="External"/><Relationship Id="rId16" Type="http://schemas.openxmlformats.org/officeDocument/2006/relationships/hyperlink" Target="https://www.feedtables.com/content/rapeseed-oil" TargetMode="External"/><Relationship Id="rId17" Type="http://schemas.openxmlformats.org/officeDocument/2006/relationships/hyperlink" Target="https://www.feedipedia.org/node/12625" TargetMode="External"/><Relationship Id="rId18" Type="http://schemas.openxmlformats.org/officeDocument/2006/relationships/hyperlink" Target="https://www.feedipedia.org/node/26068" TargetMode="External"/><Relationship Id="rId19" Type="http://schemas.openxmlformats.org/officeDocument/2006/relationships/hyperlink" Target="https://www.feedipedia.org/node/11683" TargetMode="External"/><Relationship Id="rId20" Type="http://schemas.openxmlformats.org/officeDocument/2006/relationships/hyperlink" Target="https://www.feedipedia.org/node/11683" TargetMode="External"/><Relationship Id="rId21" Type="http://schemas.openxmlformats.org/officeDocument/2006/relationships/hyperlink" Target="https://www.feedipedia.org/node/12503" TargetMode="External"/><Relationship Id="rId22" Type="http://schemas.openxmlformats.org/officeDocument/2006/relationships/hyperlink" Target="https://www.feedipedia.org/node/12663" TargetMode="External"/><Relationship Id="rId23" Type="http://schemas.openxmlformats.org/officeDocument/2006/relationships/hyperlink" Target="https://www.feedipedia.org/node/11744" TargetMode="External"/><Relationship Id="rId24" Type="http://schemas.openxmlformats.org/officeDocument/2006/relationships/hyperlink" Target="https://www.feedipedia.org/node/12751" TargetMode="External"/><Relationship Id="rId25" Type="http://schemas.openxmlformats.org/officeDocument/2006/relationships/hyperlink" Target="https://www.feedtables.com/content/wheat-feed-flour" TargetMode="External"/><Relationship Id="rId26" Type="http://schemas.openxmlformats.org/officeDocument/2006/relationships/hyperlink" Target="https://www.feedtables.com/content/wheat-feed-flour" TargetMode="External"/><Relationship Id="rId27" Type="http://schemas.openxmlformats.org/officeDocument/2006/relationships/hyperlink" Target="https://www.feedipedia.org/node/12801" TargetMode="External"/><Relationship Id="rId28" Type="http://schemas.openxmlformats.org/officeDocument/2006/relationships/hyperlink" Target="https://www.feedipedia.org/node/11893" TargetMode="External"/><Relationship Id="rId29" Type="http://schemas.openxmlformats.org/officeDocument/2006/relationships/hyperlink" Target="https://www.feedipedia.org/node/12288" TargetMode="External"/><Relationship Id="rId30" Type="http://schemas.openxmlformats.org/officeDocument/2006/relationships/hyperlink" Target="https://www.feedipedia.org/node/12340" TargetMode="External"/><Relationship Id="rId31" Type="http://schemas.openxmlformats.org/officeDocument/2006/relationships/hyperlink" Target="https://www.feedipedia.org/node/24378" TargetMode="External"/><Relationship Id="rId32" Type="http://schemas.openxmlformats.org/officeDocument/2006/relationships/hyperlink" Target="https://www.feedipedia.org/node/12893" TargetMode="External"/><Relationship Id="rId33" Type="http://schemas.openxmlformats.org/officeDocument/2006/relationships/hyperlink" Target="https://www.feedipedia.org/node/12893" TargetMode="External"/><Relationship Id="rId34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1685" TargetMode="External"/><Relationship Id="rId36" Type="http://schemas.openxmlformats.org/officeDocument/2006/relationships/hyperlink" Target="https://www.feedipedia.org/node/11685" TargetMode="External"/><Relationship Id="rId37" Type="http://schemas.openxmlformats.org/officeDocument/2006/relationships/hyperlink" Target="https://www.ncbi.nlm.nih.gov/pmc/articles/PMC3544805/" TargetMode="External"/><Relationship Id="rId38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slu.se/globalassets/ew/org/inst/huv/verktyg/fodertabeller/gristabell/Agrodrank10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3" Type="http://schemas.openxmlformats.org/officeDocument/2006/relationships/hyperlink" Target="https://www.slu.se/globalassets/ew/org/inst/huv/verktyg/fodertabeller/gristabell/Agrodrank90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3" Type="http://schemas.openxmlformats.org/officeDocument/2006/relationships/hyperlink" Target="https://www.slu.se/globalassets/ew/org/inst/huv/verktyg/fodertabeller/gristabell/Korn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58" Type="http://schemas.openxmlformats.org/officeDocument/2006/relationships/hyperlink" Target="https://www.slu.se/globalassets/ew/org/inst/huv/verktyg/fodertabeller/gristabell/Oljast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1" t="s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71"/>
  <sheetViews>
    <sheetView showFormulas="false" showGridLines="true" showRowColHeaders="true" showZeros="true" rightToLeft="false" tabSelected="true" showOutlineSymbols="true" defaultGridColor="true" view="normal" topLeftCell="E1" colorId="64" zoomScale="80" zoomScaleNormal="80" zoomScalePageLayoutView="100" workbookViewId="0">
      <pane xSplit="0" ySplit="1" topLeftCell="A33" activePane="bottomLeft" state="frozen"/>
      <selection pane="topLeft" activeCell="E1" activeCellId="0" sqref="E1"/>
      <selection pane="bottomLeft" activeCell="M71" activeCellId="0" sqref="M71"/>
    </sheetView>
  </sheetViews>
  <sheetFormatPr defaultColWidth="8.59765625" defaultRowHeight="15" zeroHeight="false" outlineLevelRow="0" outlineLevelCol="0"/>
  <cols>
    <col collapsed="false" customWidth="true" hidden="false" outlineLevel="0" max="7" min="6" style="1" width="20.29"/>
    <col collapsed="false" customWidth="true" hidden="false" outlineLevel="0" max="8" min="8" style="1" width="23.57"/>
    <col collapsed="false" customWidth="true" hidden="false" outlineLevel="0" max="9" min="9" style="1" width="19.57"/>
    <col collapsed="false" customWidth="true" hidden="false" outlineLevel="0" max="11" min="10" style="1" width="20.14"/>
    <col collapsed="false" customWidth="true" hidden="false" outlineLevel="0" max="12" min="12" style="1" width="9.71"/>
    <col collapsed="false" customWidth="true" hidden="false" outlineLevel="0" max="13" min="13" style="1" width="16.43"/>
    <col collapsed="false" customWidth="true" hidden="false" outlineLevel="0" max="14" min="14" style="1" width="25.86"/>
    <col collapsed="false" customWidth="true" hidden="false" outlineLevel="0" max="15" min="15" style="1" width="12.72"/>
    <col collapsed="false" customWidth="true" hidden="false" outlineLevel="0" max="16" min="16" style="1" width="38.14"/>
    <col collapsed="false" customWidth="true" hidden="false" outlineLevel="0" max="17" min="17" style="1" width="58"/>
  </cols>
  <sheetData>
    <row r="1" customFormat="false" ht="15" hidden="false" customHeight="false" outlineLevel="0" collapsed="false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</row>
    <row r="2" customFormat="false" ht="15" hidden="false" customHeight="false" outlineLevel="0" collapsed="false">
      <c r="A2" s="3" t="s">
        <v>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 t="s">
        <v>22</v>
      </c>
      <c r="P2" s="5" t="s">
        <v>23</v>
      </c>
      <c r="Q2" s="4"/>
      <c r="R2" s="1"/>
    </row>
    <row r="3" customFormat="false" ht="15" hidden="false" customHeight="false" outlineLevel="0" collapsed="false">
      <c r="M3" s="6" t="s">
        <v>24</v>
      </c>
      <c r="N3" s="7" t="n">
        <v>0</v>
      </c>
      <c r="O3" s="6"/>
      <c r="P3" s="6" t="s">
        <v>25</v>
      </c>
    </row>
    <row r="4" customFormat="false" ht="15" hidden="false" customHeight="false" outlineLevel="0" collapsed="false">
      <c r="A4" s="8" t="s">
        <v>26</v>
      </c>
      <c r="M4" s="6"/>
      <c r="N4" s="7"/>
      <c r="O4" s="6"/>
      <c r="P4" s="6"/>
    </row>
    <row r="5" customFormat="false" ht="15" hidden="false" customHeight="false" outlineLevel="0" collapsed="false">
      <c r="F5" s="1" t="s">
        <v>27</v>
      </c>
      <c r="I5" s="1" t="s">
        <v>28</v>
      </c>
      <c r="M5" s="1" t="s">
        <v>24</v>
      </c>
      <c r="N5" s="9" t="n">
        <f aca="false">1/INDEX('feed pars'!C$6:C$47/100,MATCH(F5,'feed pars'!B$6:B$47,0))</f>
        <v>1</v>
      </c>
    </row>
    <row r="6" customFormat="false" ht="15" hidden="false" customHeight="false" outlineLevel="0" collapsed="false">
      <c r="F6" s="1" t="s">
        <v>29</v>
      </c>
      <c r="I6" s="1" t="s">
        <v>28</v>
      </c>
      <c r="M6" s="1" t="s">
        <v>24</v>
      </c>
      <c r="N6" s="9" t="n">
        <f aca="false">1/INDEX('feed pars'!C$6:C$47/100,MATCH(F6,'feed pars'!B$6:B$47,0))</f>
        <v>1</v>
      </c>
    </row>
    <row r="7" customFormat="false" ht="15" hidden="false" customHeight="false" outlineLevel="0" collapsed="false">
      <c r="F7" s="1" t="s">
        <v>30</v>
      </c>
      <c r="I7" s="1" t="s">
        <v>28</v>
      </c>
      <c r="M7" s="1" t="s">
        <v>24</v>
      </c>
      <c r="N7" s="9" t="n">
        <f aca="false">1/INDEX('feed pars'!C$6:C$47/100,MATCH(F7,'feed pars'!B$6:B$47,0))</f>
        <v>1</v>
      </c>
    </row>
    <row r="8" customFormat="false" ht="15" hidden="false" customHeight="false" outlineLevel="0" collapsed="false">
      <c r="F8" s="1" t="s">
        <v>31</v>
      </c>
      <c r="I8" s="1" t="s">
        <v>28</v>
      </c>
      <c r="M8" s="1" t="s">
        <v>24</v>
      </c>
      <c r="N8" s="9" t="n">
        <f aca="false">1/INDEX('feed pars'!C$6:C$47/100,MATCH(F8,'feed pars'!B$6:B$47,0))</f>
        <v>1</v>
      </c>
    </row>
    <row r="9" customFormat="false" ht="15" hidden="false" customHeight="false" outlineLevel="0" collapsed="false">
      <c r="F9" s="1" t="s">
        <v>32</v>
      </c>
      <c r="I9" s="1" t="s">
        <v>33</v>
      </c>
      <c r="M9" s="1" t="s">
        <v>24</v>
      </c>
      <c r="N9" s="9" t="n">
        <f aca="false">1/INDEX('feed pars'!C$6:C$47/100,MATCH(F9,'feed pars'!B$6:B$47,0))</f>
        <v>1</v>
      </c>
    </row>
    <row r="10" customFormat="false" ht="15" hidden="false" customHeight="false" outlineLevel="0" collapsed="false">
      <c r="F10" s="1" t="s">
        <v>34</v>
      </c>
      <c r="I10" s="1" t="s">
        <v>34</v>
      </c>
      <c r="M10" s="1" t="s">
        <v>24</v>
      </c>
      <c r="N10" s="9" t="n">
        <f aca="false">1/INDEX('feed pars'!C$6:C$47/100,MATCH(F10,'feed pars'!B$6:B$47,0))</f>
        <v>1</v>
      </c>
    </row>
    <row r="11" customFormat="false" ht="15" hidden="false" customHeight="false" outlineLevel="0" collapsed="false">
      <c r="F11" s="1" t="s">
        <v>35</v>
      </c>
      <c r="I11" s="1" t="s">
        <v>35</v>
      </c>
      <c r="M11" s="1" t="s">
        <v>24</v>
      </c>
      <c r="N11" s="9" t="n">
        <f aca="false">1/INDEX('feed pars'!C$6:C$47/100,MATCH(F11,'feed pars'!B$6:B$47,0))</f>
        <v>1.16279069767442</v>
      </c>
    </row>
    <row r="12" customFormat="false" ht="15" hidden="false" customHeight="false" outlineLevel="0" collapsed="false">
      <c r="F12" s="1" t="s">
        <v>36</v>
      </c>
      <c r="I12" s="1" t="s">
        <v>36</v>
      </c>
      <c r="M12" s="1" t="s">
        <v>24</v>
      </c>
      <c r="N12" s="9" t="n">
        <f aca="false">1/INDEX('feed pars'!C$6:C$47/100,MATCH(F12,'feed pars'!B$6:B$47,0))</f>
        <v>1.16279069767442</v>
      </c>
    </row>
    <row r="13" customFormat="false" ht="15" hidden="false" customHeight="false" outlineLevel="0" collapsed="false">
      <c r="F13" s="1" t="s">
        <v>37</v>
      </c>
      <c r="I13" s="1" t="s">
        <v>37</v>
      </c>
      <c r="M13" s="1" t="s">
        <v>24</v>
      </c>
      <c r="N13" s="9" t="n">
        <f aca="false">1/INDEX('feed pars'!C$6:C$47/100,MATCH(F13,'feed pars'!B$6:B$47,0))</f>
        <v>1.16279069767442</v>
      </c>
    </row>
    <row r="14" customFormat="false" ht="15" hidden="false" customHeight="false" outlineLevel="0" collapsed="false">
      <c r="F14" s="1" t="s">
        <v>38</v>
      </c>
      <c r="I14" s="1" t="s">
        <v>38</v>
      </c>
      <c r="M14" s="1" t="s">
        <v>24</v>
      </c>
      <c r="N14" s="9" t="n">
        <f aca="false">1/INDEX('feed pars'!C$6:C$47/100,MATCH(F14,'feed pars'!B$6:B$47,0))</f>
        <v>1.16279069767442</v>
      </c>
    </row>
    <row r="15" customFormat="false" ht="15" hidden="false" customHeight="false" outlineLevel="0" collapsed="false">
      <c r="F15" s="1" t="s">
        <v>39</v>
      </c>
      <c r="I15" s="1" t="s">
        <v>39</v>
      </c>
      <c r="M15" s="1" t="s">
        <v>24</v>
      </c>
      <c r="N15" s="9" t="n">
        <f aca="false">1/INDEX('feed pars'!C$6:C$47/100,MATCH(F15,'feed pars'!B$6:B$47,0))</f>
        <v>1.16279069767442</v>
      </c>
    </row>
    <row r="16" customFormat="false" ht="15" hidden="false" customHeight="false" outlineLevel="0" collapsed="false">
      <c r="F16" s="1" t="s">
        <v>40</v>
      </c>
      <c r="I16" s="1" t="s">
        <v>40</v>
      </c>
      <c r="M16" s="1" t="s">
        <v>24</v>
      </c>
      <c r="N16" s="9" t="n">
        <f aca="false">1/INDEX('feed pars'!C$6:C$47/100,MATCH(F16,'feed pars'!B$6:B$47,0))</f>
        <v>1.16279069767442</v>
      </c>
    </row>
    <row r="17" customFormat="false" ht="15" hidden="false" customHeight="false" outlineLevel="0" collapsed="false">
      <c r="F17" s="1" t="s">
        <v>41</v>
      </c>
      <c r="I17" s="1" t="s">
        <v>41</v>
      </c>
      <c r="M17" s="1" t="s">
        <v>24</v>
      </c>
      <c r="N17" s="9" t="n">
        <f aca="false">1/INDEX('feed pars'!C$6:C$47/100,MATCH(F17,'feed pars'!B$6:B$47,0))</f>
        <v>1.17647058823529</v>
      </c>
    </row>
    <row r="18" customFormat="false" ht="15" hidden="false" customHeight="false" outlineLevel="0" collapsed="false">
      <c r="F18" s="1" t="s">
        <v>42</v>
      </c>
      <c r="I18" s="1" t="s">
        <v>42</v>
      </c>
      <c r="M18" s="1" t="s">
        <v>24</v>
      </c>
      <c r="N18" s="9" t="n">
        <f aca="false">1/INDEX('feed pars'!C$6:C$47/100,MATCH(F18,'feed pars'!B$6:B$47,0))</f>
        <v>1.17647058823529</v>
      </c>
    </row>
    <row r="19" customFormat="false" ht="15" hidden="false" customHeight="false" outlineLevel="0" collapsed="false">
      <c r="F19" s="1" t="s">
        <v>43</v>
      </c>
      <c r="I19" s="1" t="s">
        <v>43</v>
      </c>
      <c r="M19" s="1" t="s">
        <v>24</v>
      </c>
      <c r="N19" s="9" t="n">
        <f aca="false">1/INDEX('feed pars'!C$6:C$47/100,MATCH(F19,'feed pars'!B$6:B$47,0))</f>
        <v>1.0989010989011</v>
      </c>
    </row>
    <row r="20" customFormat="false" ht="15" hidden="false" customHeight="false" outlineLevel="0" collapsed="false">
      <c r="F20" s="1" t="s">
        <v>44</v>
      </c>
      <c r="I20" s="1" t="s">
        <v>44</v>
      </c>
      <c r="M20" s="1" t="s">
        <v>24</v>
      </c>
      <c r="N20" s="9" t="n">
        <f aca="false">1/INDEX('feed pars'!C$6:C$47/100,MATCH(F20,'feed pars'!B$6:B$47,0))</f>
        <v>1.0989010989011</v>
      </c>
    </row>
    <row r="21" customFormat="false" ht="15" hidden="false" customHeight="false" outlineLevel="0" collapsed="false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 t="n">
        <f aca="false">1/INDEX('feed pars'!C$6:C$47/100,MATCH(F21,'feed pars'!B$6:B$47,0))*1/0.38</f>
        <v>2.63157894736842</v>
      </c>
    </row>
    <row r="22" customFormat="false" ht="15" hidden="false" customHeight="false" outlineLevel="0" collapsed="false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customFormat="false" ht="15" hidden="false" customHeight="false" outlineLevel="0" collapsed="false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 t="n">
        <f aca="false">1/INDEX('feed pars'!C$6:C$47/100,MATCH(F23,'feed pars'!B$6:B$47,0))</f>
        <v>1.14942528735632</v>
      </c>
      <c r="O23" s="12"/>
      <c r="P23" s="10"/>
    </row>
    <row r="24" customFormat="false" ht="15" hidden="false" customHeight="false" outlineLevel="0" collapsed="false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customFormat="false" ht="15" hidden="false" customHeight="false" outlineLevel="0" collapsed="false">
      <c r="F25" s="1" t="s">
        <v>51</v>
      </c>
      <c r="J25" s="1" t="s">
        <v>51</v>
      </c>
      <c r="M25" s="1" t="s">
        <v>24</v>
      </c>
      <c r="N25" s="9" t="n">
        <f aca="false">1/INDEX('feed pars'!C$6:C$47/100,MATCH(F25,'feed pars'!B$6:B$47,0))</f>
        <v>1.14285714285714</v>
      </c>
    </row>
    <row r="26" customFormat="false" ht="15" hidden="false" customHeight="false" outlineLevel="0" collapsed="false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 t="n">
        <f aca="false">1/INDEX('feed pars'!C$6:C$47/100,MATCH(F26,'feed pars'!B$6:B$47,0))</f>
        <v>1.14285714285714</v>
      </c>
      <c r="O26" s="10"/>
      <c r="P26" s="10" t="s">
        <v>53</v>
      </c>
    </row>
    <row r="27" customFormat="false" ht="15" hidden="false" customHeight="false" outlineLevel="0" collapsed="false">
      <c r="F27" s="1" t="s">
        <v>46</v>
      </c>
      <c r="J27" s="1" t="s">
        <v>46</v>
      </c>
      <c r="M27" s="1" t="s">
        <v>24</v>
      </c>
      <c r="N27" s="9" t="n">
        <f aca="false">1/INDEX('feed pars'!C$6:C$47/100,MATCH(F27,'feed pars'!B$6:B$47,0))</f>
        <v>1.11731843575419</v>
      </c>
    </row>
    <row r="28" customFormat="false" ht="15" hidden="false" customHeight="false" outlineLevel="0" collapsed="false">
      <c r="F28" s="1" t="s">
        <v>54</v>
      </c>
      <c r="J28" s="1" t="s">
        <v>54</v>
      </c>
      <c r="M28" s="1" t="s">
        <v>24</v>
      </c>
      <c r="N28" s="9" t="n">
        <f aca="false">1/INDEX('feed pars'!C$6:C$47/100,MATCH(F28,'feed pars'!B$6:B$47,0))</f>
        <v>1.09289617486339</v>
      </c>
    </row>
    <row r="29" customFormat="false" ht="15" hidden="false" customHeight="false" outlineLevel="0" collapsed="false">
      <c r="F29" s="1" t="s">
        <v>55</v>
      </c>
      <c r="J29" s="1" t="s">
        <v>55</v>
      </c>
      <c r="M29" s="1" t="s">
        <v>24</v>
      </c>
      <c r="N29" s="9" t="n">
        <f aca="false">1/INDEX('feed pars'!C$6:C$47/100,MATCH(F29,'feed pars'!B$6:B$47,0))</f>
        <v>1.0989010989011</v>
      </c>
    </row>
    <row r="30" customFormat="false" ht="15" hidden="false" customHeight="false" outlineLevel="0" collapsed="false">
      <c r="F30" s="1" t="s">
        <v>56</v>
      </c>
      <c r="J30" s="1" t="s">
        <v>56</v>
      </c>
      <c r="M30" s="1" t="s">
        <v>24</v>
      </c>
      <c r="N30" s="9" t="n">
        <f aca="false">1/INDEX('feed pars'!C$6:C$47/100,MATCH(F30,'feed pars'!B$6:B$47,0))</f>
        <v>1.0989010989011</v>
      </c>
    </row>
    <row r="31" customFormat="false" ht="15" hidden="false" customHeight="false" outlineLevel="0" collapsed="false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 t="n">
        <f aca="false">1/INDEX('feed pars'!C$6:C$47/100,MATCH(F31,'feed pars'!B$6:B$47,0))</f>
        <v>1.11111111111111</v>
      </c>
      <c r="O31" s="10"/>
      <c r="P31" s="10" t="s">
        <v>58</v>
      </c>
    </row>
    <row r="32" customFormat="false" ht="15" hidden="false" customHeight="false" outlineLevel="0" collapsed="false">
      <c r="F32" s="1" t="s">
        <v>59</v>
      </c>
      <c r="J32" s="1" t="s">
        <v>60</v>
      </c>
      <c r="M32" s="1" t="s">
        <v>24</v>
      </c>
      <c r="N32" s="9" t="n">
        <f aca="false">1/INDEX('feed pars'!C$6:C$47/100,MATCH(F32,'feed pars'!B$6:B$47,0))</f>
        <v>1.14942528735632</v>
      </c>
    </row>
    <row r="33" customFormat="false" ht="15" hidden="false" customHeight="false" outlineLevel="0" collapsed="false">
      <c r="F33" s="1" t="s">
        <v>61</v>
      </c>
      <c r="J33" s="1" t="s">
        <v>60</v>
      </c>
      <c r="M33" s="1" t="s">
        <v>24</v>
      </c>
      <c r="N33" s="9" t="n">
        <f aca="false">1/INDEX('feed pars'!C$6:C$47/100,MATCH(F33,'feed pars'!B$6:B$47,0))</f>
        <v>1.13895216400911</v>
      </c>
    </row>
    <row r="34" customFormat="false" ht="15" hidden="false" customHeight="false" outlineLevel="0" collapsed="false">
      <c r="F34" s="1" t="s">
        <v>62</v>
      </c>
      <c r="J34" s="1" t="s">
        <v>63</v>
      </c>
      <c r="M34" s="1" t="s">
        <v>24</v>
      </c>
      <c r="N34" s="9" t="n">
        <f aca="false">1/INDEX('feed pars'!C$6:C$47/100,MATCH(F34,'feed pars'!B$6:B$47,0))</f>
        <v>1.14155251141553</v>
      </c>
    </row>
    <row r="35" customFormat="false" ht="15" hidden="false" customHeight="false" outlineLevel="0" collapsed="false">
      <c r="F35" s="1" t="s">
        <v>64</v>
      </c>
      <c r="J35" s="1" t="s">
        <v>63</v>
      </c>
      <c r="M35" s="1" t="s">
        <v>24</v>
      </c>
      <c r="N35" s="9" t="n">
        <f aca="false">1/INDEX('feed pars'!C$6:C$47/100,MATCH(F35,'feed pars'!B$6:B$47,0))</f>
        <v>1.14155251141553</v>
      </c>
    </row>
    <row r="36" customFormat="false" ht="15" hidden="false" customHeight="false" outlineLevel="0" collapsed="false">
      <c r="F36" s="1" t="s">
        <v>65</v>
      </c>
      <c r="J36" s="1" t="s">
        <v>60</v>
      </c>
      <c r="M36" s="1" t="s">
        <v>24</v>
      </c>
      <c r="N36" s="9" t="n">
        <f aca="false">1/INDEX('feed pars'!C$6:C$47/100,MATCH(F36,'feed pars'!B$6:B$47,0))</f>
        <v>1.14155251141553</v>
      </c>
    </row>
    <row r="37" customFormat="false" ht="15" hidden="false" customHeight="false" outlineLevel="0" collapsed="false">
      <c r="F37" s="1" t="s">
        <v>66</v>
      </c>
      <c r="J37" s="1" t="s">
        <v>67</v>
      </c>
      <c r="M37" s="1" t="s">
        <v>24</v>
      </c>
      <c r="N37" s="9" t="n">
        <f aca="false">1/INDEX('feed pars'!C$6:C$47/100,MATCH(F37,'feed pars'!B$6:B$47,0))</f>
        <v>1.11111111111111</v>
      </c>
    </row>
    <row r="38" customFormat="false" ht="15" hidden="false" customHeight="false" outlineLevel="0" collapsed="false">
      <c r="F38" s="1" t="s">
        <v>68</v>
      </c>
      <c r="J38" s="1" t="s">
        <v>67</v>
      </c>
      <c r="M38" s="1" t="s">
        <v>24</v>
      </c>
      <c r="N38" s="9" t="n">
        <f aca="false">N37</f>
        <v>1.11111111111111</v>
      </c>
    </row>
    <row r="39" customFormat="false" ht="15" hidden="false" customHeight="false" outlineLevel="0" collapsed="false">
      <c r="F39" s="1" t="s">
        <v>69</v>
      </c>
      <c r="J39" s="1" t="s">
        <v>69</v>
      </c>
      <c r="M39" s="1" t="s">
        <v>24</v>
      </c>
      <c r="N39" s="11" t="n">
        <f aca="false">1/0.25</f>
        <v>4</v>
      </c>
    </row>
    <row r="40" customFormat="false" ht="15" hidden="false" customHeight="false" outlineLevel="0" collapsed="false">
      <c r="F40" s="1" t="s">
        <v>70</v>
      </c>
      <c r="J40" s="1" t="s">
        <v>70</v>
      </c>
      <c r="M40" s="1" t="s">
        <v>24</v>
      </c>
      <c r="N40" s="9" t="n">
        <f aca="false">1/INDEX('feed pars'!C$6:C$47/100,MATCH(F40,'feed pars'!B$6:B$47,0))</f>
        <v>1.32450331125828</v>
      </c>
    </row>
    <row r="41" customFormat="false" ht="15" hidden="false" customHeight="false" outlineLevel="0" collapsed="false">
      <c r="F41" s="1" t="s">
        <v>71</v>
      </c>
      <c r="J41" s="1" t="s">
        <v>71</v>
      </c>
      <c r="M41" s="1" t="s">
        <v>24</v>
      </c>
      <c r="N41" s="9" t="n">
        <f aca="false">1/INDEX('feed pars'!C$6:C$47/100,MATCH(F41,'feed pars'!B$6:B$47,0))</f>
        <v>1.11731843575419</v>
      </c>
    </row>
    <row r="42" customFormat="false" ht="15" hidden="false" customHeight="false" outlineLevel="0" collapsed="false">
      <c r="F42" s="1" t="s">
        <v>72</v>
      </c>
      <c r="J42" s="1" t="s">
        <v>72</v>
      </c>
      <c r="M42" s="1" t="s">
        <v>24</v>
      </c>
      <c r="N42" s="9" t="n">
        <f aca="false">1/INDEX('feed pars'!C$6:C$47/100,MATCH(F42,'feed pars'!B$6:B$47,0))</f>
        <v>16</v>
      </c>
    </row>
    <row r="43" customFormat="false" ht="15" hidden="false" customHeight="false" outlineLevel="0" collapsed="false">
      <c r="F43" s="1" t="s">
        <v>73</v>
      </c>
      <c r="J43" s="1" t="s">
        <v>72</v>
      </c>
      <c r="M43" s="1" t="s">
        <v>24</v>
      </c>
      <c r="N43" s="11" t="n">
        <f aca="false">N42</f>
        <v>16</v>
      </c>
    </row>
    <row r="44" customFormat="false" ht="15" hidden="false" customHeight="false" outlineLevel="0" collapsed="false">
      <c r="F44" s="1" t="s">
        <v>74</v>
      </c>
      <c r="J44" s="1" t="s">
        <v>74</v>
      </c>
      <c r="M44" s="1" t="s">
        <v>24</v>
      </c>
      <c r="N44" s="9" t="n">
        <f aca="false">1/INDEX('feed pars'!C$6:C$47/100,MATCH(F44,'feed pars'!B$6:B$47,0))</f>
        <v>1.0989010989011</v>
      </c>
    </row>
    <row r="45" customFormat="false" ht="15" hidden="false" customHeight="false" outlineLevel="0" collapsed="false">
      <c r="F45" s="1" t="s">
        <v>75</v>
      </c>
      <c r="J45" s="1" t="s">
        <v>75</v>
      </c>
      <c r="M45" s="1" t="s">
        <v>24</v>
      </c>
      <c r="N45" s="9" t="n">
        <f aca="false">1/INDEX('feed pars'!C$6:C$47/100,MATCH(F45,'feed pars'!B$6:B$47,0))</f>
        <v>4.34782608695652</v>
      </c>
    </row>
    <row r="46" customFormat="false" ht="15" hidden="false" customHeight="false" outlineLevel="0" collapsed="false">
      <c r="F46" s="1" t="s">
        <v>76</v>
      </c>
      <c r="J46" s="1" t="s">
        <v>76</v>
      </c>
      <c r="M46" s="1" t="s">
        <v>24</v>
      </c>
      <c r="N46" s="9" t="n">
        <f aca="false">1/INDEX('feed pars'!C$6:C$47/100,MATCH(F46,'feed pars'!B$6:B$47,0))</f>
        <v>1.08636610537751</v>
      </c>
    </row>
    <row r="47" customFormat="false" ht="15" hidden="false" customHeight="false" outlineLevel="0" collapsed="false">
      <c r="N47" s="9"/>
    </row>
    <row r="48" customFormat="false" ht="15" hidden="false" customHeight="false" outlineLevel="0" collapsed="false">
      <c r="A48" s="8" t="s">
        <v>77</v>
      </c>
      <c r="N48" s="9"/>
    </row>
    <row r="49" customFormat="false" ht="15" hidden="false" customHeight="false" outlineLevel="0" collapsed="false">
      <c r="F49" s="1" t="s">
        <v>78</v>
      </c>
      <c r="K49" s="1" t="s">
        <v>78</v>
      </c>
      <c r="M49" s="1" t="s">
        <v>24</v>
      </c>
      <c r="N49" s="9" t="n">
        <v>1</v>
      </c>
    </row>
    <row r="50" customFormat="false" ht="15" hidden="false" customHeight="false" outlineLevel="0" collapsed="false">
      <c r="N50" s="9"/>
    </row>
    <row r="51" customFormat="false" ht="15" hidden="false" customHeight="false" outlineLevel="0" collapsed="false">
      <c r="A51" s="3" t="s">
        <v>79</v>
      </c>
      <c r="B51" s="3"/>
      <c r="C51" s="3"/>
      <c r="D51" s="3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="1" customFormat="true" ht="16.4" hidden="false" customHeight="false" outlineLevel="0" collapsed="false">
      <c r="A52" s="13" t="s">
        <v>80</v>
      </c>
      <c r="B52" s="8"/>
      <c r="C52" s="8"/>
      <c r="D52" s="8"/>
    </row>
    <row r="53" customFormat="false" ht="15" hidden="false" customHeight="false" outlineLevel="0" collapsed="false">
      <c r="M53" s="6" t="s">
        <v>81</v>
      </c>
      <c r="N53" s="6" t="n">
        <v>0</v>
      </c>
      <c r="O53" s="6" t="s">
        <v>82</v>
      </c>
      <c r="P53" s="6" t="s">
        <v>25</v>
      </c>
    </row>
    <row r="54" customFormat="false" ht="15" hidden="false" customHeight="false" outlineLevel="0" collapsed="false">
      <c r="I54" s="1" t="s">
        <v>28</v>
      </c>
      <c r="M54" s="1" t="s">
        <v>81</v>
      </c>
      <c r="N54" s="10" t="n">
        <v>95</v>
      </c>
      <c r="O54" s="1" t="s">
        <v>82</v>
      </c>
    </row>
    <row r="55" customFormat="false" ht="15" hidden="false" customHeight="false" outlineLevel="0" collapsed="false">
      <c r="I55" s="1" t="s">
        <v>33</v>
      </c>
      <c r="M55" s="1" t="s">
        <v>81</v>
      </c>
      <c r="N55" s="10" t="n">
        <v>95</v>
      </c>
      <c r="O55" s="1" t="s">
        <v>82</v>
      </c>
    </row>
    <row r="56" customFormat="false" ht="15" hidden="false" customHeight="false" outlineLevel="0" collapsed="false">
      <c r="I56" s="1" t="s">
        <v>34</v>
      </c>
      <c r="M56" s="1" t="s">
        <v>81</v>
      </c>
      <c r="N56" s="10" t="n">
        <v>95</v>
      </c>
      <c r="O56" s="1" t="s">
        <v>82</v>
      </c>
    </row>
    <row r="57" customFormat="false" ht="15" hidden="false" customHeight="false" outlineLevel="0" collapsed="false">
      <c r="A57" s="1" t="s">
        <v>83</v>
      </c>
      <c r="I57" s="1" t="s">
        <v>36</v>
      </c>
      <c r="M57" s="1" t="s">
        <v>81</v>
      </c>
      <c r="N57" s="10" t="n">
        <v>30</v>
      </c>
      <c r="O57" s="1" t="s">
        <v>82</v>
      </c>
      <c r="P57" s="10"/>
    </row>
    <row r="58" customFormat="false" ht="15" hidden="false" customHeight="false" outlineLevel="0" collapsed="false">
      <c r="A58" s="1" t="s">
        <v>84</v>
      </c>
      <c r="I58" s="1" t="s">
        <v>36</v>
      </c>
      <c r="M58" s="1" t="s">
        <v>81</v>
      </c>
      <c r="N58" s="10" t="n">
        <v>30</v>
      </c>
      <c r="O58" s="1" t="s">
        <v>82</v>
      </c>
      <c r="P58" s="10"/>
    </row>
    <row r="59" customFormat="false" ht="15" hidden="false" customHeight="false" outlineLevel="0" collapsed="false">
      <c r="A59" s="1" t="s">
        <v>83</v>
      </c>
      <c r="I59" s="1" t="s">
        <v>35</v>
      </c>
      <c r="M59" s="1" t="s">
        <v>81</v>
      </c>
      <c r="N59" s="10" t="n">
        <v>30</v>
      </c>
      <c r="O59" s="1" t="s">
        <v>82</v>
      </c>
      <c r="P59" s="10"/>
    </row>
    <row r="60" customFormat="false" ht="15" hidden="false" customHeight="false" outlineLevel="0" collapsed="false">
      <c r="A60" s="1" t="s">
        <v>84</v>
      </c>
      <c r="I60" s="1" t="s">
        <v>35</v>
      </c>
      <c r="M60" s="1" t="s">
        <v>81</v>
      </c>
      <c r="N60" s="10" t="n">
        <v>30</v>
      </c>
      <c r="O60" s="1" t="s">
        <v>82</v>
      </c>
      <c r="P60" s="10"/>
    </row>
    <row r="61" customFormat="false" ht="15" hidden="false" customHeight="false" outlineLevel="0" collapsed="false">
      <c r="A61" s="1" t="s">
        <v>83</v>
      </c>
      <c r="I61" s="1" t="s">
        <v>37</v>
      </c>
      <c r="M61" s="1" t="s">
        <v>81</v>
      </c>
      <c r="N61" s="10" t="n">
        <v>30</v>
      </c>
      <c r="O61" s="1" t="s">
        <v>82</v>
      </c>
      <c r="P61" s="10"/>
    </row>
    <row r="62" customFormat="false" ht="15" hidden="false" customHeight="false" outlineLevel="0" collapsed="false">
      <c r="A62" s="1" t="s">
        <v>84</v>
      </c>
      <c r="I62" s="1" t="s">
        <v>37</v>
      </c>
      <c r="M62" s="1" t="s">
        <v>81</v>
      </c>
      <c r="N62" s="10" t="n">
        <v>30</v>
      </c>
      <c r="O62" s="1" t="s">
        <v>82</v>
      </c>
      <c r="P62" s="10"/>
    </row>
    <row r="63" customFormat="false" ht="15" hidden="false" customHeight="false" outlineLevel="0" collapsed="false">
      <c r="N63" s="10"/>
      <c r="P63" s="10"/>
    </row>
    <row r="64" customFormat="false" ht="16.4" hidden="false" customHeight="false" outlineLevel="0" collapsed="false">
      <c r="A64" s="13" t="s">
        <v>85</v>
      </c>
      <c r="N64" s="10"/>
      <c r="P64" s="10"/>
    </row>
    <row r="65" customFormat="false" ht="15" hidden="false" customHeight="false" outlineLevel="0" collapsed="false">
      <c r="I65" s="1" t="s">
        <v>28</v>
      </c>
      <c r="M65" s="1" t="s">
        <v>86</v>
      </c>
      <c r="N65" s="10" t="n">
        <v>5</v>
      </c>
      <c r="O65" s="1" t="s">
        <v>82</v>
      </c>
      <c r="P65" s="10"/>
    </row>
    <row r="66" customFormat="false" ht="15" hidden="false" customHeight="false" outlineLevel="0" collapsed="false">
      <c r="I66" s="1" t="s">
        <v>33</v>
      </c>
      <c r="M66" s="1" t="s">
        <v>86</v>
      </c>
      <c r="N66" s="10" t="n">
        <v>5</v>
      </c>
      <c r="O66" s="1" t="s">
        <v>82</v>
      </c>
      <c r="P66" s="10"/>
    </row>
    <row r="67" customFormat="false" ht="15" hidden="false" customHeight="false" outlineLevel="0" collapsed="false">
      <c r="I67" s="1" t="s">
        <v>34</v>
      </c>
      <c r="M67" s="1" t="s">
        <v>86</v>
      </c>
      <c r="N67" s="10" t="n">
        <v>5</v>
      </c>
      <c r="O67" s="1" t="s">
        <v>82</v>
      </c>
      <c r="P67" s="10"/>
    </row>
    <row r="68" customFormat="false" ht="15" hidden="false" customHeight="false" outlineLevel="0" collapsed="false">
      <c r="N68" s="10"/>
      <c r="P68" s="10"/>
    </row>
    <row r="69" customFormat="false" ht="15" hidden="false" customHeight="false" outlineLevel="0" collapsed="false">
      <c r="A69" s="3" t="s">
        <v>87</v>
      </c>
      <c r="B69" s="3"/>
      <c r="C69" s="3"/>
      <c r="D69" s="3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customFormat="false" ht="15" hidden="false" customHeight="false" outlineLevel="0" collapsed="false">
      <c r="M70" s="6" t="s">
        <v>88</v>
      </c>
      <c r="N70" s="6" t="n">
        <v>100</v>
      </c>
      <c r="O70" s="6" t="s">
        <v>82</v>
      </c>
      <c r="P70" s="6" t="s">
        <v>25</v>
      </c>
    </row>
    <row r="71" customFormat="false" ht="15" hidden="false" customHeight="false" outlineLevel="0" collapsed="false">
      <c r="I71" s="1" t="s">
        <v>49</v>
      </c>
      <c r="M71" s="1" t="s">
        <v>88</v>
      </c>
      <c r="N71" s="12" t="n">
        <v>0</v>
      </c>
      <c r="O71" s="12" t="s">
        <v>82</v>
      </c>
      <c r="P71" s="6"/>
    </row>
    <row r="72" customFormat="false" ht="15" hidden="false" customHeight="false" outlineLevel="0" collapsed="false">
      <c r="I72" s="1" t="s">
        <v>44</v>
      </c>
      <c r="M72" s="1" t="s">
        <v>88</v>
      </c>
      <c r="N72" s="10" t="n">
        <v>0</v>
      </c>
      <c r="O72" s="1" t="s">
        <v>82</v>
      </c>
      <c r="P72" s="10" t="s">
        <v>89</v>
      </c>
    </row>
    <row r="73" customFormat="false" ht="15" hidden="false" customHeight="false" outlineLevel="0" collapsed="false">
      <c r="I73" s="1" t="s">
        <v>40</v>
      </c>
      <c r="M73" s="1" t="s">
        <v>88</v>
      </c>
      <c r="N73" s="10" t="n">
        <v>50</v>
      </c>
      <c r="O73" s="1" t="s">
        <v>82</v>
      </c>
      <c r="P73" s="10" t="s">
        <v>90</v>
      </c>
    </row>
    <row r="74" customFormat="false" ht="15" hidden="false" customHeight="false" outlineLevel="0" collapsed="false">
      <c r="N74" s="10"/>
      <c r="P74" s="10"/>
    </row>
    <row r="75" customFormat="false" ht="15" hidden="false" customHeight="false" outlineLevel="0" collapsed="false">
      <c r="J75" s="1" t="s">
        <v>51</v>
      </c>
      <c r="M75" s="1" t="s">
        <v>88</v>
      </c>
      <c r="N75" s="10" t="n">
        <v>0</v>
      </c>
      <c r="O75" s="1" t="s">
        <v>82</v>
      </c>
      <c r="P75" s="10"/>
    </row>
    <row r="76" customFormat="false" ht="15" hidden="false" customHeight="false" outlineLevel="0" collapsed="false">
      <c r="J76" s="1" t="s">
        <v>52</v>
      </c>
      <c r="M76" s="1" t="s">
        <v>88</v>
      </c>
      <c r="N76" s="10" t="n">
        <v>0</v>
      </c>
      <c r="O76" s="1" t="s">
        <v>82</v>
      </c>
      <c r="P76" s="10"/>
    </row>
    <row r="77" customFormat="false" ht="15" hidden="false" customHeight="false" outlineLevel="0" collapsed="false">
      <c r="J77" s="1" t="s">
        <v>55</v>
      </c>
      <c r="M77" s="1" t="s">
        <v>88</v>
      </c>
      <c r="N77" s="10" t="n">
        <v>0</v>
      </c>
      <c r="O77" s="1" t="s">
        <v>82</v>
      </c>
      <c r="P77" s="10"/>
    </row>
    <row r="78" customFormat="false" ht="15" hidden="false" customHeight="false" outlineLevel="0" collapsed="false">
      <c r="J78" s="1" t="s">
        <v>56</v>
      </c>
      <c r="M78" s="1" t="s">
        <v>88</v>
      </c>
      <c r="N78" s="10" t="n">
        <v>0</v>
      </c>
      <c r="O78" s="1" t="s">
        <v>82</v>
      </c>
      <c r="P78" s="10"/>
    </row>
    <row r="79" customFormat="false" ht="15" hidden="false" customHeight="false" outlineLevel="0" collapsed="false">
      <c r="J79" s="1" t="s">
        <v>57</v>
      </c>
      <c r="M79" s="1" t="s">
        <v>88</v>
      </c>
      <c r="N79" s="10" t="n">
        <v>0</v>
      </c>
      <c r="O79" s="1" t="s">
        <v>82</v>
      </c>
      <c r="P79" s="10"/>
    </row>
    <row r="80" customFormat="false" ht="15" hidden="false" customHeight="false" outlineLevel="0" collapsed="false">
      <c r="J80" s="1" t="s">
        <v>76</v>
      </c>
      <c r="M80" s="1" t="s">
        <v>88</v>
      </c>
      <c r="N80" s="10" t="n">
        <v>0</v>
      </c>
      <c r="O80" s="1" t="s">
        <v>82</v>
      </c>
      <c r="P80" s="10"/>
    </row>
    <row r="81" customFormat="false" ht="15" hidden="false" customHeight="false" outlineLevel="0" collapsed="false">
      <c r="J81" s="1" t="s">
        <v>74</v>
      </c>
      <c r="M81" s="1" t="s">
        <v>88</v>
      </c>
      <c r="N81" s="10" t="n">
        <v>0</v>
      </c>
      <c r="O81" s="1" t="s">
        <v>82</v>
      </c>
      <c r="P81" s="10"/>
    </row>
    <row r="82" customFormat="false" ht="15" hidden="false" customHeight="false" outlineLevel="0" collapsed="false">
      <c r="J82" s="1" t="s">
        <v>46</v>
      </c>
      <c r="M82" s="1" t="s">
        <v>88</v>
      </c>
      <c r="N82" s="10" t="n">
        <v>50</v>
      </c>
      <c r="O82" s="1" t="s">
        <v>82</v>
      </c>
      <c r="P82" s="10"/>
    </row>
    <row r="83" customFormat="false" ht="15" hidden="false" customHeight="false" outlineLevel="0" collapsed="false">
      <c r="N83" s="10"/>
      <c r="P83" s="10"/>
    </row>
    <row r="84" customFormat="false" ht="15" hidden="false" customHeight="false" outlineLevel="0" collapsed="false">
      <c r="N84" s="10"/>
      <c r="P84" s="10"/>
    </row>
    <row r="85" customFormat="false" ht="15" hidden="false" customHeight="false" outlineLevel="0" collapsed="false">
      <c r="N85" s="10"/>
      <c r="P85" s="10"/>
    </row>
    <row r="86" customFormat="false" ht="15" hidden="false" customHeight="false" outlineLevel="0" collapsed="false">
      <c r="N86" s="10"/>
      <c r="P86" s="10"/>
    </row>
    <row r="87" customFormat="false" ht="15" hidden="false" customHeight="false" outlineLevel="0" collapsed="false">
      <c r="N87" s="10"/>
      <c r="P87" s="10"/>
    </row>
    <row r="88" customFormat="false" ht="15" hidden="false" customHeight="false" outlineLevel="0" collapsed="false">
      <c r="N88" s="10"/>
      <c r="P88" s="10"/>
    </row>
    <row r="89" customFormat="false" ht="16.4" hidden="false" customHeight="false" outlineLevel="0" collapsed="false">
      <c r="A89" s="3" t="s">
        <v>91</v>
      </c>
      <c r="B89" s="3"/>
      <c r="C89" s="3"/>
      <c r="D89" s="3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1" customFormat="false" ht="15" hidden="false" customHeight="false" outlineLevel="0" collapsed="false">
      <c r="A91" s="1" t="s">
        <v>92</v>
      </c>
      <c r="B91" s="1" t="s">
        <v>93</v>
      </c>
      <c r="E91" s="1" t="s">
        <v>94</v>
      </c>
      <c r="H91" s="1" t="s">
        <v>95</v>
      </c>
      <c r="I91" s="1" t="s">
        <v>34</v>
      </c>
      <c r="M91" s="1" t="s">
        <v>96</v>
      </c>
      <c r="N91" s="12" t="n">
        <v>28</v>
      </c>
      <c r="O91" s="1" t="s">
        <v>82</v>
      </c>
      <c r="P91" s="12" t="s">
        <v>97</v>
      </c>
      <c r="Q91" s="1" t="s">
        <v>98</v>
      </c>
    </row>
    <row r="92" customFormat="false" ht="15" hidden="false" customHeight="false" outlineLevel="0" collapsed="false">
      <c r="A92" s="1" t="s">
        <v>92</v>
      </c>
      <c r="B92" s="1" t="s">
        <v>99</v>
      </c>
      <c r="E92" s="1" t="s">
        <v>94</v>
      </c>
      <c r="H92" s="1" t="s">
        <v>95</v>
      </c>
      <c r="I92" s="1" t="s">
        <v>34</v>
      </c>
      <c r="M92" s="1" t="s">
        <v>96</v>
      </c>
      <c r="N92" s="12" t="n">
        <v>100</v>
      </c>
      <c r="O92" s="1" t="s">
        <v>82</v>
      </c>
      <c r="P92" s="12"/>
      <c r="Q92" s="1" t="s">
        <v>98</v>
      </c>
    </row>
    <row r="93" customFormat="false" ht="15" hidden="false" customHeight="false" outlineLevel="0" collapsed="false">
      <c r="A93" s="1" t="s">
        <v>92</v>
      </c>
      <c r="B93" s="1" t="s">
        <v>99</v>
      </c>
      <c r="E93" s="1" t="s">
        <v>100</v>
      </c>
      <c r="H93" s="1" t="s">
        <v>95</v>
      </c>
      <c r="I93" s="1" t="s">
        <v>34</v>
      </c>
      <c r="M93" s="1" t="s">
        <v>96</v>
      </c>
      <c r="N93" s="14" t="n">
        <f aca="false">N92</f>
        <v>100</v>
      </c>
      <c r="O93" s="1" t="s">
        <v>82</v>
      </c>
      <c r="P93" s="12" t="s">
        <v>101</v>
      </c>
      <c r="Q93" s="1" t="s">
        <v>98</v>
      </c>
    </row>
    <row r="94" customFormat="false" ht="15" hidden="false" customHeight="false" outlineLevel="0" collapsed="false">
      <c r="A94" s="1" t="s">
        <v>92</v>
      </c>
      <c r="H94" s="1" t="s">
        <v>95</v>
      </c>
      <c r="I94" s="1" t="s">
        <v>34</v>
      </c>
      <c r="M94" s="1" t="s">
        <v>96</v>
      </c>
      <c r="N94" s="12" t="n">
        <v>80</v>
      </c>
      <c r="O94" s="1" t="s">
        <v>82</v>
      </c>
      <c r="P94" s="12"/>
      <c r="Q94" s="1" t="s">
        <v>98</v>
      </c>
    </row>
    <row r="95" customFormat="false" ht="15" hidden="false" customHeight="false" outlineLevel="0" collapsed="false">
      <c r="A95" s="1" t="s">
        <v>102</v>
      </c>
      <c r="H95" s="1" t="s">
        <v>95</v>
      </c>
      <c r="I95" s="1" t="s">
        <v>34</v>
      </c>
      <c r="M95" s="1" t="s">
        <v>96</v>
      </c>
      <c r="N95" s="12" t="n">
        <v>14.5</v>
      </c>
      <c r="O95" s="1" t="s">
        <v>82</v>
      </c>
      <c r="P95" s="10"/>
      <c r="Q95" s="1" t="s">
        <v>103</v>
      </c>
    </row>
    <row r="96" customFormat="false" ht="15" hidden="false" customHeight="false" outlineLevel="0" collapsed="false">
      <c r="A96" s="1" t="s">
        <v>104</v>
      </c>
      <c r="H96" s="1" t="s">
        <v>95</v>
      </c>
      <c r="I96" s="1" t="s">
        <v>34</v>
      </c>
      <c r="M96" s="1" t="s">
        <v>96</v>
      </c>
      <c r="N96" s="12" t="n">
        <v>100</v>
      </c>
      <c r="O96" s="1" t="s">
        <v>82</v>
      </c>
      <c r="P96" s="10"/>
      <c r="Q96" s="1" t="s">
        <v>105</v>
      </c>
    </row>
    <row r="97" customFormat="false" ht="15" hidden="false" customHeight="false" outlineLevel="0" collapsed="false">
      <c r="A97" s="1" t="s">
        <v>104</v>
      </c>
      <c r="D97" s="1" t="s">
        <v>106</v>
      </c>
      <c r="H97" s="1" t="s">
        <v>95</v>
      </c>
      <c r="I97" s="1" t="s">
        <v>34</v>
      </c>
      <c r="M97" s="1" t="s">
        <v>96</v>
      </c>
      <c r="N97" s="12" t="n">
        <v>66</v>
      </c>
      <c r="O97" s="1" t="s">
        <v>82</v>
      </c>
      <c r="P97" s="10"/>
      <c r="Q97" s="1" t="s">
        <v>105</v>
      </c>
    </row>
    <row r="98" customFormat="false" ht="15" hidden="false" customHeight="false" outlineLevel="0" collapsed="false">
      <c r="A98" s="1" t="s">
        <v>104</v>
      </c>
      <c r="D98" s="1" t="s">
        <v>106</v>
      </c>
      <c r="E98" s="1" t="s">
        <v>107</v>
      </c>
      <c r="H98" s="1" t="s">
        <v>95</v>
      </c>
      <c r="I98" s="1" t="s">
        <v>34</v>
      </c>
      <c r="M98" s="1" t="s">
        <v>96</v>
      </c>
      <c r="N98" s="12" t="n">
        <v>69</v>
      </c>
      <c r="O98" s="1" t="s">
        <v>82</v>
      </c>
      <c r="P98" s="10"/>
      <c r="Q98" s="1" t="s">
        <v>105</v>
      </c>
    </row>
    <row r="99" customFormat="false" ht="15" hidden="false" customHeight="false" outlineLevel="0" collapsed="false">
      <c r="N99" s="10"/>
      <c r="P99" s="10"/>
    </row>
    <row r="100" customFormat="false" ht="15" hidden="false" customHeight="false" outlineLevel="0" collapsed="false">
      <c r="A100" s="3" t="s">
        <v>108</v>
      </c>
      <c r="B100" s="3"/>
      <c r="C100" s="3"/>
      <c r="D100" s="3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customFormat="false" ht="15" hidden="false" customHeight="false" outlineLevel="0" collapsed="false">
      <c r="M101" s="6" t="s">
        <v>109</v>
      </c>
      <c r="N101" s="6" t="n">
        <v>0</v>
      </c>
      <c r="O101" s="6" t="s">
        <v>82</v>
      </c>
      <c r="P101" s="6" t="s">
        <v>25</v>
      </c>
    </row>
    <row r="102" customFormat="false" ht="15" hidden="false" customHeight="false" outlineLevel="0" collapsed="false">
      <c r="M102" s="6" t="s">
        <v>110</v>
      </c>
      <c r="N102" s="6" t="n">
        <v>0</v>
      </c>
      <c r="O102" s="6" t="s">
        <v>82</v>
      </c>
      <c r="P102" s="6" t="s">
        <v>25</v>
      </c>
    </row>
    <row r="103" customFormat="false" ht="15" hidden="false" customHeight="false" outlineLevel="0" collapsed="false">
      <c r="A103" s="1" t="s">
        <v>92</v>
      </c>
      <c r="B103" s="1" t="s">
        <v>93</v>
      </c>
      <c r="E103" s="1" t="s">
        <v>94</v>
      </c>
      <c r="G103" s="1" t="s">
        <v>111</v>
      </c>
      <c r="M103" s="12" t="s">
        <v>109</v>
      </c>
      <c r="N103" s="12" t="n">
        <f aca="false">(0.8*20+0.2*2)</f>
        <v>16.4</v>
      </c>
      <c r="O103" s="12" t="s">
        <v>82</v>
      </c>
      <c r="P103" s="12" t="s">
        <v>112</v>
      </c>
      <c r="Q103" s="1" t="s">
        <v>103</v>
      </c>
    </row>
    <row r="104" customFormat="false" ht="15" hidden="false" customHeight="false" outlineLevel="0" collapsed="false">
      <c r="A104" s="1" t="s">
        <v>92</v>
      </c>
      <c r="G104" s="1" t="s">
        <v>111</v>
      </c>
      <c r="M104" s="12" t="s">
        <v>109</v>
      </c>
      <c r="N104" s="12" t="n">
        <f aca="false">(0.6*20+0.4*2)</f>
        <v>12.8</v>
      </c>
      <c r="O104" s="12" t="s">
        <v>82</v>
      </c>
      <c r="P104" s="12" t="s">
        <v>113</v>
      </c>
      <c r="Q104" s="1" t="s">
        <v>103</v>
      </c>
    </row>
    <row r="105" customFormat="false" ht="15" hidden="false" customHeight="false" outlineLevel="0" collapsed="false">
      <c r="A105" s="1" t="s">
        <v>104</v>
      </c>
      <c r="G105" s="1" t="s">
        <v>111</v>
      </c>
      <c r="M105" s="12" t="s">
        <v>109</v>
      </c>
      <c r="N105" s="12" t="n">
        <v>2</v>
      </c>
      <c r="O105" s="12" t="s">
        <v>82</v>
      </c>
      <c r="P105" s="12" t="s">
        <v>114</v>
      </c>
      <c r="Q105" s="1" t="s">
        <v>103</v>
      </c>
    </row>
    <row r="106" customFormat="false" ht="15" hidden="false" customHeight="false" outlineLevel="0" collapsed="false">
      <c r="A106" s="1" t="s">
        <v>102</v>
      </c>
      <c r="G106" s="1" t="s">
        <v>111</v>
      </c>
      <c r="M106" s="12" t="s">
        <v>109</v>
      </c>
      <c r="N106" s="12" t="n">
        <v>2</v>
      </c>
      <c r="O106" s="12" t="s">
        <v>82</v>
      </c>
      <c r="P106" s="12" t="s">
        <v>114</v>
      </c>
      <c r="Q106" s="1" t="s">
        <v>103</v>
      </c>
    </row>
    <row r="107" customFormat="false" ht="15" hidden="false" customHeight="false" outlineLevel="0" collapsed="false">
      <c r="M107" s="12"/>
      <c r="N107" s="12"/>
      <c r="O107" s="12"/>
      <c r="P107" s="12"/>
    </row>
    <row r="108" customFormat="false" ht="15" hidden="false" customHeight="false" outlineLevel="0" collapsed="false">
      <c r="A108" s="1" t="s">
        <v>92</v>
      </c>
      <c r="B108" s="1" t="s">
        <v>93</v>
      </c>
      <c r="E108" s="1" t="s">
        <v>94</v>
      </c>
      <c r="G108" s="1" t="s">
        <v>111</v>
      </c>
      <c r="M108" s="12" t="s">
        <v>110</v>
      </c>
      <c r="N108" s="12" t="n">
        <v>5</v>
      </c>
      <c r="O108" s="12" t="s">
        <v>82</v>
      </c>
      <c r="P108" s="12" t="s">
        <v>115</v>
      </c>
      <c r="Q108" s="1" t="s">
        <v>103</v>
      </c>
    </row>
    <row r="109" customFormat="false" ht="15" hidden="false" customHeight="false" outlineLevel="0" collapsed="false">
      <c r="A109" s="1" t="s">
        <v>92</v>
      </c>
      <c r="E109" s="1" t="s">
        <v>116</v>
      </c>
      <c r="G109" s="1" t="s">
        <v>111</v>
      </c>
      <c r="M109" s="12" t="s">
        <v>110</v>
      </c>
      <c r="N109" s="12" t="n">
        <v>5</v>
      </c>
      <c r="O109" s="12" t="s">
        <v>82</v>
      </c>
      <c r="P109" s="12" t="s">
        <v>115</v>
      </c>
      <c r="Q109" s="1" t="s">
        <v>103</v>
      </c>
    </row>
    <row r="110" customFormat="false" ht="15" hidden="false" customHeight="false" outlineLevel="0" collapsed="false">
      <c r="A110" s="1" t="s">
        <v>92</v>
      </c>
      <c r="G110" s="1" t="s">
        <v>111</v>
      </c>
      <c r="M110" s="12" t="s">
        <v>110</v>
      </c>
      <c r="N110" s="12" t="n">
        <f aca="false">0.9*5+0.1*15</f>
        <v>6</v>
      </c>
      <c r="O110" s="12" t="s">
        <v>82</v>
      </c>
      <c r="P110" s="12" t="s">
        <v>117</v>
      </c>
      <c r="Q110" s="1" t="s">
        <v>103</v>
      </c>
    </row>
    <row r="111" customFormat="false" ht="15" hidden="false" customHeight="false" outlineLevel="0" collapsed="false">
      <c r="A111" s="1" t="s">
        <v>104</v>
      </c>
      <c r="G111" s="1" t="s">
        <v>111</v>
      </c>
      <c r="M111" s="12" t="s">
        <v>110</v>
      </c>
      <c r="N111" s="12" t="n">
        <v>15</v>
      </c>
      <c r="O111" s="12" t="s">
        <v>82</v>
      </c>
      <c r="P111" s="12"/>
      <c r="Q111" s="1" t="s">
        <v>103</v>
      </c>
    </row>
    <row r="112" customFormat="false" ht="15" hidden="false" customHeight="false" outlineLevel="0" collapsed="false">
      <c r="A112" s="1" t="s">
        <v>102</v>
      </c>
      <c r="G112" s="1" t="s">
        <v>111</v>
      </c>
      <c r="M112" s="12" t="s">
        <v>110</v>
      </c>
      <c r="N112" s="12" t="n">
        <v>15</v>
      </c>
      <c r="O112" s="12" t="s">
        <v>82</v>
      </c>
      <c r="P112" s="12"/>
      <c r="Q112" s="1" t="s">
        <v>103</v>
      </c>
    </row>
    <row r="113" customFormat="false" ht="15" hidden="false" customHeight="false" outlineLevel="0" collapsed="false">
      <c r="M113" s="12"/>
      <c r="N113" s="12"/>
      <c r="O113" s="12"/>
      <c r="P113" s="12"/>
    </row>
    <row r="114" customFormat="false" ht="15" hidden="false" customHeight="false" outlineLevel="0" collapsed="false">
      <c r="A114" s="15"/>
      <c r="B114" s="15"/>
      <c r="E114" s="15"/>
      <c r="G114" s="1" t="s">
        <v>30</v>
      </c>
      <c r="M114" s="12" t="s">
        <v>109</v>
      </c>
      <c r="N114" s="12" t="n">
        <v>5</v>
      </c>
      <c r="O114" s="12" t="s">
        <v>82</v>
      </c>
      <c r="P114" s="12"/>
      <c r="Q114" s="1" t="s">
        <v>103</v>
      </c>
    </row>
    <row r="115" customFormat="false" ht="15" hidden="false" customHeight="false" outlineLevel="0" collapsed="false">
      <c r="A115" s="15" t="str">
        <f aca="false">A108</f>
        <v>cattle</v>
      </c>
      <c r="B115" s="15" t="str">
        <f aca="false">B108</f>
        <v>dairy</v>
      </c>
      <c r="E115" s="15" t="str">
        <f aca="false">E108</f>
        <v>cows</v>
      </c>
      <c r="G115" s="1" t="s">
        <v>30</v>
      </c>
      <c r="M115" s="15" t="str">
        <f aca="false">M108</f>
        <v>feeding_losses</v>
      </c>
      <c r="N115" s="15" t="n">
        <f aca="false">N108</f>
        <v>5</v>
      </c>
      <c r="O115" s="15" t="str">
        <f aca="false">O108</f>
        <v>%</v>
      </c>
      <c r="P115" s="15" t="str">
        <f aca="false">P108</f>
        <v>No feeding on pasture</v>
      </c>
      <c r="Q115" s="15" t="str">
        <f aca="false">Q108</f>
        <v>Cederberg &amp; Henriksson (2020)</v>
      </c>
    </row>
    <row r="116" customFormat="false" ht="15" hidden="false" customHeight="false" outlineLevel="0" collapsed="false">
      <c r="A116" s="15" t="str">
        <f aca="false">A109</f>
        <v>cattle</v>
      </c>
      <c r="E116" s="15" t="str">
        <f aca="false">E109</f>
        <v>bulls</v>
      </c>
      <c r="G116" s="1" t="s">
        <v>30</v>
      </c>
      <c r="M116" s="15" t="str">
        <f aca="false">M109</f>
        <v>feeding_losses</v>
      </c>
      <c r="N116" s="15" t="n">
        <f aca="false">N109</f>
        <v>5</v>
      </c>
      <c r="O116" s="15" t="str">
        <f aca="false">O109</f>
        <v>%</v>
      </c>
      <c r="P116" s="15" t="str">
        <f aca="false">P109</f>
        <v>No feeding on pasture</v>
      </c>
      <c r="Q116" s="15" t="str">
        <f aca="false">Q109</f>
        <v>Cederberg &amp; Henriksson (2020)</v>
      </c>
    </row>
    <row r="117" customFormat="false" ht="15" hidden="false" customHeight="false" outlineLevel="0" collapsed="false">
      <c r="A117" s="15" t="str">
        <f aca="false">A110</f>
        <v>cattle</v>
      </c>
      <c r="G117" s="1" t="s">
        <v>30</v>
      </c>
      <c r="M117" s="15" t="str">
        <f aca="false">M110</f>
        <v>feeding_losses</v>
      </c>
      <c r="N117" s="15" t="n">
        <f aca="false">N110</f>
        <v>6</v>
      </c>
      <c r="O117" s="15" t="str">
        <f aca="false">O110</f>
        <v>%</v>
      </c>
      <c r="P117" s="15" t="str">
        <f aca="false">P110</f>
        <v>10% feeding on pasture</v>
      </c>
      <c r="Q117" s="15" t="str">
        <f aca="false">Q110</f>
        <v>Cederberg &amp; Henriksson (2020)</v>
      </c>
    </row>
    <row r="118" customFormat="false" ht="15" hidden="false" customHeight="false" outlineLevel="0" collapsed="false">
      <c r="A118" s="15" t="str">
        <f aca="false">A111</f>
        <v>sheep</v>
      </c>
      <c r="G118" s="1" t="s">
        <v>30</v>
      </c>
      <c r="M118" s="15" t="str">
        <f aca="false">M111</f>
        <v>feeding_losses</v>
      </c>
      <c r="N118" s="15" t="n">
        <f aca="false">N111</f>
        <v>15</v>
      </c>
      <c r="O118" s="15" t="str">
        <f aca="false">O111</f>
        <v>%</v>
      </c>
      <c r="P118" s="15"/>
      <c r="Q118" s="15" t="str">
        <f aca="false">Q111</f>
        <v>Cederberg &amp; Henriksson (2020)</v>
      </c>
    </row>
    <row r="119" customFormat="false" ht="15" hidden="false" customHeight="false" outlineLevel="0" collapsed="false">
      <c r="A119" s="15" t="str">
        <f aca="false">A112</f>
        <v>horses</v>
      </c>
      <c r="G119" s="1" t="s">
        <v>30</v>
      </c>
      <c r="M119" s="15" t="str">
        <f aca="false">M112</f>
        <v>feeding_losses</v>
      </c>
      <c r="N119" s="15" t="n">
        <f aca="false">N112</f>
        <v>15</v>
      </c>
      <c r="O119" s="15" t="str">
        <f aca="false">O112</f>
        <v>%</v>
      </c>
      <c r="P119" s="15"/>
      <c r="Q119" s="15" t="str">
        <f aca="false">Q112</f>
        <v>Cederberg &amp; Henriksson (2020)</v>
      </c>
    </row>
    <row r="120" customFormat="false" ht="15" hidden="false" customHeight="false" outlineLevel="0" collapsed="false">
      <c r="A120" s="15"/>
      <c r="M120" s="15"/>
      <c r="N120" s="15"/>
      <c r="O120" s="15"/>
      <c r="P120" s="15"/>
      <c r="Q120" s="15"/>
    </row>
    <row r="121" customFormat="false" ht="15" hidden="false" customHeight="false" outlineLevel="0" collapsed="false">
      <c r="G121" s="1" t="s">
        <v>118</v>
      </c>
      <c r="M121" s="12" t="s">
        <v>109</v>
      </c>
      <c r="N121" s="12" t="n">
        <v>5</v>
      </c>
      <c r="O121" s="12" t="s">
        <v>82</v>
      </c>
      <c r="P121" s="12"/>
      <c r="Q121" s="1" t="s">
        <v>103</v>
      </c>
    </row>
    <row r="122" customFormat="false" ht="15" hidden="false" customHeight="false" outlineLevel="0" collapsed="false">
      <c r="A122" s="15" t="str">
        <f aca="false">A108</f>
        <v>cattle</v>
      </c>
      <c r="B122" s="15" t="str">
        <f aca="false">B108</f>
        <v>dairy</v>
      </c>
      <c r="E122" s="15" t="str">
        <f aca="false">E108</f>
        <v>cows</v>
      </c>
      <c r="G122" s="1" t="s">
        <v>118</v>
      </c>
      <c r="M122" s="15" t="str">
        <f aca="false">M108</f>
        <v>feeding_losses</v>
      </c>
      <c r="N122" s="15" t="n">
        <f aca="false">N108</f>
        <v>5</v>
      </c>
      <c r="O122" s="15" t="str">
        <f aca="false">O108</f>
        <v>%</v>
      </c>
      <c r="P122" s="15" t="str">
        <f aca="false">P108</f>
        <v>No feeding on pasture</v>
      </c>
      <c r="Q122" s="15" t="str">
        <f aca="false">Q108</f>
        <v>Cederberg &amp; Henriksson (2020)</v>
      </c>
    </row>
    <row r="123" customFormat="false" ht="15" hidden="false" customHeight="false" outlineLevel="0" collapsed="false">
      <c r="A123" s="15" t="str">
        <f aca="false">A109</f>
        <v>cattle</v>
      </c>
      <c r="E123" s="15" t="str">
        <f aca="false">E109</f>
        <v>bulls</v>
      </c>
      <c r="G123" s="1" t="s">
        <v>118</v>
      </c>
      <c r="M123" s="15" t="str">
        <f aca="false">M109</f>
        <v>feeding_losses</v>
      </c>
      <c r="N123" s="15" t="n">
        <f aca="false">N109</f>
        <v>5</v>
      </c>
      <c r="O123" s="15" t="str">
        <f aca="false">O109</f>
        <v>%</v>
      </c>
      <c r="P123" s="15" t="str">
        <f aca="false">P109</f>
        <v>No feeding on pasture</v>
      </c>
      <c r="Q123" s="15" t="str">
        <f aca="false">Q109</f>
        <v>Cederberg &amp; Henriksson (2020)</v>
      </c>
    </row>
    <row r="124" customFormat="false" ht="15" hidden="false" customHeight="false" outlineLevel="0" collapsed="false">
      <c r="A124" s="15" t="str">
        <f aca="false">A110</f>
        <v>cattle</v>
      </c>
      <c r="G124" s="1" t="s">
        <v>118</v>
      </c>
      <c r="M124" s="15" t="str">
        <f aca="false">M110</f>
        <v>feeding_losses</v>
      </c>
      <c r="N124" s="15" t="n">
        <f aca="false">N110</f>
        <v>6</v>
      </c>
      <c r="O124" s="15" t="str">
        <f aca="false">O110</f>
        <v>%</v>
      </c>
      <c r="P124" s="15" t="str">
        <f aca="false">P110</f>
        <v>10% feeding on pasture</v>
      </c>
      <c r="Q124" s="15" t="str">
        <f aca="false">Q110</f>
        <v>Cederberg &amp; Henriksson (2020)</v>
      </c>
    </row>
    <row r="125" customFormat="false" ht="15" hidden="false" customHeight="false" outlineLevel="0" collapsed="false">
      <c r="A125" s="15" t="str">
        <f aca="false">A111</f>
        <v>sheep</v>
      </c>
      <c r="G125" s="1" t="s">
        <v>118</v>
      </c>
      <c r="M125" s="15" t="str">
        <f aca="false">M111</f>
        <v>feeding_losses</v>
      </c>
      <c r="N125" s="15" t="n">
        <f aca="false">N111</f>
        <v>15</v>
      </c>
      <c r="O125" s="15" t="str">
        <f aca="false">O111</f>
        <v>%</v>
      </c>
      <c r="P125" s="12"/>
      <c r="Q125" s="15" t="str">
        <f aca="false">Q111</f>
        <v>Cederberg &amp; Henriksson (2020)</v>
      </c>
    </row>
    <row r="126" customFormat="false" ht="15" hidden="false" customHeight="false" outlineLevel="0" collapsed="false">
      <c r="A126" s="15" t="str">
        <f aca="false">A112</f>
        <v>horses</v>
      </c>
      <c r="G126" s="1" t="s">
        <v>118</v>
      </c>
      <c r="M126" s="15" t="str">
        <f aca="false">M112</f>
        <v>feeding_losses</v>
      </c>
      <c r="N126" s="15" t="n">
        <f aca="false">N112</f>
        <v>15</v>
      </c>
      <c r="O126" s="15" t="str">
        <f aca="false">O112</f>
        <v>%</v>
      </c>
      <c r="P126" s="12"/>
      <c r="Q126" s="15" t="str">
        <f aca="false">Q112</f>
        <v>Cederberg &amp; Henriksson (2020)</v>
      </c>
    </row>
    <row r="127" customFormat="false" ht="15" hidden="false" customHeight="false" outlineLevel="0" collapsed="false">
      <c r="N127" s="10"/>
      <c r="P127" s="12"/>
    </row>
    <row r="128" customFormat="false" ht="15" hidden="false" customHeight="false" outlineLevel="0" collapsed="false">
      <c r="A128" s="10"/>
      <c r="G128" s="1" t="s">
        <v>119</v>
      </c>
      <c r="M128" s="12" t="s">
        <v>109</v>
      </c>
      <c r="N128" s="12"/>
      <c r="P128" s="10" t="s">
        <v>120</v>
      </c>
    </row>
    <row r="129" customFormat="false" ht="15" hidden="false" customHeight="false" outlineLevel="0" collapsed="false">
      <c r="A129" s="10"/>
      <c r="G129" s="1" t="s">
        <v>119</v>
      </c>
      <c r="M129" s="12" t="s">
        <v>110</v>
      </c>
      <c r="N129" s="12" t="n">
        <v>2</v>
      </c>
      <c r="O129" s="12" t="s">
        <v>82</v>
      </c>
      <c r="P129" s="10" t="s">
        <v>121</v>
      </c>
      <c r="Q129" s="1" t="s">
        <v>122</v>
      </c>
    </row>
    <row r="130" customFormat="false" ht="15" hidden="false" customHeight="false" outlineLevel="0" collapsed="false">
      <c r="A130" s="10"/>
      <c r="M130" s="12"/>
      <c r="N130" s="12"/>
      <c r="O130" s="12"/>
      <c r="P130" s="10"/>
    </row>
    <row r="131" customFormat="false" ht="15" hidden="false" customHeight="false" outlineLevel="0" collapsed="false">
      <c r="A131" s="10"/>
      <c r="G131" s="1" t="s">
        <v>123</v>
      </c>
      <c r="M131" s="12" t="s">
        <v>109</v>
      </c>
      <c r="N131" s="12"/>
      <c r="P131" s="10" t="s">
        <v>120</v>
      </c>
    </row>
    <row r="132" customFormat="false" ht="15" hidden="false" customHeight="false" outlineLevel="0" collapsed="false">
      <c r="A132" s="10"/>
      <c r="G132" s="1" t="s">
        <v>123</v>
      </c>
      <c r="M132" s="12" t="s">
        <v>110</v>
      </c>
      <c r="N132" s="12" t="n">
        <v>3</v>
      </c>
      <c r="O132" s="12" t="s">
        <v>82</v>
      </c>
      <c r="P132" s="10" t="s">
        <v>121</v>
      </c>
      <c r="Q132" s="1" t="s">
        <v>122</v>
      </c>
    </row>
    <row r="133" customFormat="false" ht="15" hidden="false" customHeight="false" outlineLevel="0" collapsed="false">
      <c r="N133" s="10"/>
      <c r="P133" s="12"/>
    </row>
    <row r="134" customFormat="false" ht="15" hidden="false" customHeight="false" outlineLevel="0" collapsed="false">
      <c r="A134" s="3" t="s">
        <v>124</v>
      </c>
      <c r="B134" s="3"/>
      <c r="C134" s="3"/>
      <c r="D134" s="3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 customFormat="false" ht="15" hidden="false" customHeight="false" outlineLevel="0" collapsed="false">
      <c r="A135" s="1" t="s">
        <v>92</v>
      </c>
      <c r="N135" s="12"/>
      <c r="P135" s="12" t="s">
        <v>125</v>
      </c>
    </row>
    <row r="136" customFormat="false" ht="15" hidden="false" customHeight="false" outlineLevel="0" collapsed="false">
      <c r="A136" s="12" t="s">
        <v>104</v>
      </c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2" t="s">
        <v>126</v>
      </c>
      <c r="N136" s="12" t="n">
        <v>6.7</v>
      </c>
      <c r="O136" s="12" t="s">
        <v>127</v>
      </c>
      <c r="P136" s="10"/>
      <c r="Q136" s="1" t="s">
        <v>128</v>
      </c>
    </row>
    <row r="137" customFormat="false" ht="15" hidden="false" customHeight="false" outlineLevel="0" collapsed="false">
      <c r="A137" s="1" t="s">
        <v>102</v>
      </c>
      <c r="M137" s="1" t="s">
        <v>129</v>
      </c>
      <c r="N137" s="12" t="n">
        <v>18</v>
      </c>
      <c r="O137" s="1" t="s">
        <v>130</v>
      </c>
      <c r="P137" s="10"/>
      <c r="Q137" s="1" t="s">
        <v>131</v>
      </c>
    </row>
    <row r="138" customFormat="false" ht="15" hidden="false" customHeight="false" outlineLevel="0" collapsed="false">
      <c r="A138" s="1" t="s">
        <v>83</v>
      </c>
      <c r="M138" s="1" t="s">
        <v>129</v>
      </c>
      <c r="N138" s="12" t="n">
        <v>1.5</v>
      </c>
      <c r="O138" s="1" t="s">
        <v>130</v>
      </c>
      <c r="P138" s="10"/>
      <c r="Q138" s="1" t="s">
        <v>131</v>
      </c>
    </row>
    <row r="139" customFormat="false" ht="15" hidden="false" customHeight="false" outlineLevel="0" collapsed="false">
      <c r="A139" s="1" t="s">
        <v>84</v>
      </c>
      <c r="M139" s="1" t="s">
        <v>129</v>
      </c>
      <c r="N139" s="12" t="n">
        <v>0</v>
      </c>
      <c r="O139" s="1" t="s">
        <v>130</v>
      </c>
      <c r="P139" s="10"/>
      <c r="Q139" s="1" t="s">
        <v>131</v>
      </c>
    </row>
    <row r="140" customFormat="false" ht="15" hidden="false" customHeight="false" outlineLevel="0" collapsed="false">
      <c r="N140" s="12"/>
      <c r="P140" s="10"/>
    </row>
    <row r="141" customFormat="false" ht="15" hidden="false" customHeight="false" outlineLevel="0" collapsed="false">
      <c r="M141" s="1" t="s">
        <v>132</v>
      </c>
      <c r="N141" s="12" t="n">
        <v>1</v>
      </c>
      <c r="O141" s="12" t="s">
        <v>133</v>
      </c>
      <c r="P141" s="12" t="s">
        <v>134</v>
      </c>
      <c r="Q141" s="12"/>
    </row>
    <row r="142" customFormat="false" ht="15" hidden="false" customHeight="false" outlineLevel="0" collapsed="false">
      <c r="A142" s="1" t="s">
        <v>92</v>
      </c>
      <c r="M142" s="1" t="s">
        <v>132</v>
      </c>
      <c r="N142" s="12" t="n">
        <v>1</v>
      </c>
      <c r="O142" s="12" t="s">
        <v>133</v>
      </c>
      <c r="P142" s="12"/>
      <c r="Q142" s="12"/>
    </row>
    <row r="143" customFormat="false" ht="15" hidden="false" customHeight="false" outlineLevel="0" collapsed="false">
      <c r="A143" s="1" t="s">
        <v>92</v>
      </c>
      <c r="B143" s="1" t="s">
        <v>93</v>
      </c>
      <c r="E143" s="1" t="s">
        <v>94</v>
      </c>
      <c r="M143" s="1" t="s">
        <v>132</v>
      </c>
      <c r="N143" s="12" t="n">
        <v>1</v>
      </c>
      <c r="O143" s="12" t="s">
        <v>133</v>
      </c>
      <c r="P143" s="12"/>
      <c r="Q143" s="12"/>
    </row>
    <row r="144" customFormat="false" ht="15" hidden="false" customHeight="false" outlineLevel="0" collapsed="false">
      <c r="A144" s="1" t="s">
        <v>92</v>
      </c>
      <c r="B144" s="1" t="s">
        <v>93</v>
      </c>
      <c r="E144" s="1" t="s">
        <v>116</v>
      </c>
      <c r="M144" s="1" t="s">
        <v>132</v>
      </c>
      <c r="N144" s="12" t="n">
        <v>1</v>
      </c>
      <c r="O144" s="12" t="s">
        <v>133</v>
      </c>
      <c r="P144" s="12"/>
      <c r="Q144" s="12"/>
    </row>
    <row r="145" customFormat="false" ht="15" hidden="false" customHeight="false" outlineLevel="0" collapsed="false">
      <c r="A145" s="1" t="s">
        <v>92</v>
      </c>
      <c r="B145" s="1" t="s">
        <v>99</v>
      </c>
      <c r="E145" s="1" t="s">
        <v>116</v>
      </c>
      <c r="M145" s="1" t="s">
        <v>132</v>
      </c>
      <c r="N145" s="12" t="n">
        <v>1</v>
      </c>
      <c r="O145" s="12" t="s">
        <v>133</v>
      </c>
      <c r="P145" s="12"/>
      <c r="Q145" s="12"/>
    </row>
    <row r="146" customFormat="false" ht="15" hidden="false" customHeight="false" outlineLevel="0" collapsed="false">
      <c r="N146" s="10"/>
      <c r="P146" s="10"/>
    </row>
    <row r="147" customFormat="false" ht="15" hidden="false" customHeight="false" outlineLevel="0" collapsed="false">
      <c r="A147" s="16" t="s">
        <v>135</v>
      </c>
      <c r="B147" s="16"/>
      <c r="C147" s="16"/>
      <c r="D147" s="16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 t="s">
        <v>136</v>
      </c>
      <c r="Q147" s="17"/>
    </row>
    <row r="148" customFormat="false" ht="15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9" t="s">
        <v>137</v>
      </c>
      <c r="M148" s="18"/>
      <c r="N148" s="18"/>
      <c r="O148" s="18"/>
      <c r="P148" s="18"/>
      <c r="Q148" s="18"/>
    </row>
    <row r="149" customFormat="false" ht="15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 t="s">
        <v>138</v>
      </c>
      <c r="N149" s="20" t="s">
        <v>139</v>
      </c>
      <c r="O149" s="18" t="s">
        <v>140</v>
      </c>
      <c r="P149" s="21"/>
      <c r="Q149" s="18"/>
    </row>
    <row r="150" customFormat="false" ht="15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 t="s">
        <v>141</v>
      </c>
      <c r="N150" s="20" t="s">
        <v>139</v>
      </c>
      <c r="O150" s="18" t="s">
        <v>142</v>
      </c>
      <c r="P150" s="21"/>
      <c r="Q150" s="18"/>
    </row>
    <row r="151" customFormat="false" ht="15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22" t="s">
        <v>143</v>
      </c>
      <c r="N151" s="20" t="s">
        <v>139</v>
      </c>
      <c r="O151" s="18"/>
      <c r="P151" s="18"/>
      <c r="Q151" s="18"/>
    </row>
    <row r="152" customFormat="false" ht="15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22" t="s">
        <v>144</v>
      </c>
      <c r="N152" s="20" t="s">
        <v>139</v>
      </c>
      <c r="O152" s="18"/>
      <c r="P152" s="18"/>
      <c r="Q152" s="18"/>
    </row>
    <row r="153" customFormat="false" ht="15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22" t="s">
        <v>145</v>
      </c>
      <c r="N153" s="20" t="s">
        <v>139</v>
      </c>
      <c r="O153" s="18"/>
      <c r="P153" s="18"/>
      <c r="Q153" s="18"/>
    </row>
    <row r="154" customFormat="false" ht="15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22" t="s">
        <v>146</v>
      </c>
      <c r="N154" s="20" t="s">
        <v>139</v>
      </c>
      <c r="O154" s="18"/>
      <c r="P154" s="21"/>
      <c r="Q154" s="18"/>
    </row>
    <row r="155" customFormat="false" ht="15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9" t="s">
        <v>147</v>
      </c>
      <c r="M155" s="18"/>
      <c r="N155" s="18"/>
      <c r="O155" s="18"/>
      <c r="P155" s="18"/>
      <c r="Q155" s="18"/>
    </row>
    <row r="156" customFormat="false" ht="15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 t="s">
        <v>148</v>
      </c>
      <c r="N156" s="20" t="s">
        <v>149</v>
      </c>
      <c r="O156" s="18" t="s">
        <v>150</v>
      </c>
      <c r="P156" s="20" t="s">
        <v>151</v>
      </c>
      <c r="Q156" s="18"/>
    </row>
    <row r="157" customFormat="false" ht="15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 t="s">
        <v>152</v>
      </c>
      <c r="N157" s="20" t="s">
        <v>149</v>
      </c>
      <c r="O157" s="18" t="s">
        <v>153</v>
      </c>
      <c r="P157" s="21"/>
      <c r="Q157" s="18"/>
    </row>
    <row r="158" customFormat="false" ht="15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 t="s">
        <v>154</v>
      </c>
      <c r="N158" s="20" t="s">
        <v>149</v>
      </c>
      <c r="O158" s="18" t="s">
        <v>155</v>
      </c>
      <c r="P158" s="20" t="s">
        <v>156</v>
      </c>
      <c r="Q158" s="18"/>
    </row>
    <row r="159" customFormat="false" ht="15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9" t="s">
        <v>157</v>
      </c>
      <c r="M159" s="18"/>
      <c r="N159" s="18"/>
      <c r="O159" s="18"/>
      <c r="P159" s="18"/>
      <c r="Q159" s="18"/>
    </row>
    <row r="160" customFormat="false" ht="15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 t="s">
        <v>148</v>
      </c>
      <c r="N160" s="20" t="s">
        <v>158</v>
      </c>
      <c r="O160" s="18" t="s">
        <v>150</v>
      </c>
      <c r="P160" s="20" t="s">
        <v>151</v>
      </c>
      <c r="Q160" s="18"/>
    </row>
    <row r="161" customFormat="false" ht="15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 t="s">
        <v>152</v>
      </c>
      <c r="N161" s="20" t="s">
        <v>158</v>
      </c>
      <c r="O161" s="18" t="s">
        <v>153</v>
      </c>
      <c r="P161" s="21"/>
      <c r="Q161" s="18"/>
    </row>
    <row r="162" customFormat="false" ht="15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9" t="s">
        <v>159</v>
      </c>
      <c r="M162" s="18"/>
      <c r="N162" s="18"/>
      <c r="O162" s="18"/>
      <c r="P162" s="18"/>
      <c r="Q162" s="18"/>
    </row>
    <row r="163" customFormat="false" ht="15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 t="s">
        <v>148</v>
      </c>
      <c r="N163" s="20" t="s">
        <v>160</v>
      </c>
      <c r="O163" s="18" t="s">
        <v>150</v>
      </c>
      <c r="P163" s="20" t="s">
        <v>151</v>
      </c>
      <c r="Q163" s="18"/>
    </row>
    <row r="164" customFormat="false" ht="15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 t="s">
        <v>152</v>
      </c>
      <c r="N164" s="20" t="s">
        <v>160</v>
      </c>
      <c r="O164" s="18" t="s">
        <v>153</v>
      </c>
      <c r="P164" s="21"/>
      <c r="Q164" s="18"/>
    </row>
    <row r="165" customFormat="false" ht="15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9" t="s">
        <v>161</v>
      </c>
      <c r="M165" s="18"/>
      <c r="N165" s="18"/>
      <c r="O165" s="18"/>
      <c r="P165" s="18"/>
      <c r="Q165" s="18"/>
    </row>
    <row r="166" customFormat="false" ht="15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 t="s">
        <v>148</v>
      </c>
      <c r="N166" s="20" t="s">
        <v>162</v>
      </c>
      <c r="O166" s="18" t="s">
        <v>163</v>
      </c>
      <c r="P166" s="20" t="s">
        <v>151</v>
      </c>
      <c r="Q166" s="18"/>
    </row>
    <row r="167" customFormat="false" ht="15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 t="s">
        <v>152</v>
      </c>
      <c r="N167" s="20" t="s">
        <v>162</v>
      </c>
      <c r="O167" s="18" t="s">
        <v>153</v>
      </c>
      <c r="P167" s="21"/>
      <c r="Q167" s="18"/>
    </row>
    <row r="168" customFormat="false" ht="15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9" t="s">
        <v>164</v>
      </c>
      <c r="M168" s="18"/>
      <c r="N168" s="18"/>
      <c r="O168" s="18"/>
      <c r="P168" s="18"/>
      <c r="Q168" s="18"/>
    </row>
    <row r="169" customFormat="false" ht="15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 t="s">
        <v>165</v>
      </c>
      <c r="N169" s="20" t="s">
        <v>166</v>
      </c>
      <c r="O169" s="18" t="s">
        <v>167</v>
      </c>
      <c r="P169" s="20"/>
      <c r="Q169" s="18"/>
    </row>
    <row r="171" customFormat="false" ht="15" hidden="false" customHeight="false" outlineLevel="0" collapsed="false">
      <c r="M171" s="1" t="s">
        <v>168</v>
      </c>
      <c r="N171" s="12" t="s">
        <v>169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U54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pane xSplit="1" ySplit="5" topLeftCell="C26" activePane="bottomRight" state="frozen"/>
      <selection pane="topLeft" activeCell="B1" activeCellId="0" sqref="B1"/>
      <selection pane="topRight" activeCell="C1" activeCellId="0" sqref="C1"/>
      <selection pane="bottomLeft" activeCell="B26" activeCellId="0" sqref="B26"/>
      <selection pane="bottomRight" activeCell="V50" activeCellId="0" sqref="V50"/>
    </sheetView>
  </sheetViews>
  <sheetFormatPr defaultColWidth="8.59765625" defaultRowHeight="15" zeroHeight="false" outlineLevelRow="0" outlineLevelCol="0"/>
  <cols>
    <col collapsed="false" customWidth="true" hidden="false" outlineLevel="0" max="2" min="2" style="1" width="27"/>
    <col collapsed="false" customWidth="true" hidden="false" outlineLevel="0" max="10" min="3" style="1" width="7.57"/>
    <col collapsed="false" customWidth="true" hidden="false" outlineLevel="0" max="28" min="28" style="1" width="7.57"/>
    <col collapsed="false" customWidth="true" hidden="false" outlineLevel="0" max="46" min="46" style="1" width="10.29"/>
  </cols>
  <sheetData>
    <row r="1" customFormat="false" ht="16.4" hidden="false" customHeight="false" outlineLevel="0" collapsed="false">
      <c r="B1" s="1" t="s">
        <v>170</v>
      </c>
      <c r="C1" s="23" t="s">
        <v>171</v>
      </c>
      <c r="D1" s="23"/>
      <c r="E1" s="23"/>
      <c r="F1" s="23"/>
      <c r="G1" s="23"/>
      <c r="H1" s="23"/>
      <c r="I1" s="23"/>
      <c r="J1" s="23"/>
      <c r="AB1" s="23"/>
    </row>
    <row r="2" customFormat="false" ht="15" hidden="false" customHeight="false" outlineLevel="0" collapsed="false">
      <c r="B2" s="1" t="s">
        <v>172</v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1" t="n">
        <v>7</v>
      </c>
      <c r="J2" s="1" t="n">
        <v>8</v>
      </c>
      <c r="K2" s="1" t="n">
        <v>9</v>
      </c>
      <c r="L2" s="1" t="n">
        <v>10</v>
      </c>
      <c r="M2" s="1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1" t="n">
        <v>16</v>
      </c>
      <c r="S2" s="2" t="n">
        <v>17</v>
      </c>
      <c r="T2" s="1" t="n">
        <v>18</v>
      </c>
      <c r="U2" s="1" t="n">
        <v>19</v>
      </c>
      <c r="V2" s="1" t="n">
        <v>20</v>
      </c>
      <c r="W2" s="1" t="n">
        <v>21</v>
      </c>
      <c r="X2" s="1" t="n">
        <v>22</v>
      </c>
      <c r="Y2" s="1" t="n">
        <v>23</v>
      </c>
      <c r="Z2" s="1" t="n">
        <v>24</v>
      </c>
      <c r="AA2" s="1" t="n">
        <v>25</v>
      </c>
      <c r="AB2" s="1" t="n">
        <v>26</v>
      </c>
      <c r="AC2" s="1" t="n">
        <v>27</v>
      </c>
      <c r="AD2" s="1" t="n">
        <v>28</v>
      </c>
      <c r="AE2" s="2" t="n">
        <v>29</v>
      </c>
      <c r="AF2" s="2" t="n">
        <v>30</v>
      </c>
      <c r="AG2" s="2" t="n">
        <v>31</v>
      </c>
      <c r="AH2" s="1" t="n">
        <v>32</v>
      </c>
      <c r="AI2" s="1" t="n">
        <v>33</v>
      </c>
      <c r="AJ2" s="1" t="n">
        <v>34</v>
      </c>
      <c r="AK2" s="1" t="n">
        <v>35</v>
      </c>
      <c r="AL2" s="1" t="n">
        <v>36</v>
      </c>
      <c r="AM2" s="1" t="n">
        <v>37</v>
      </c>
      <c r="AN2" s="1" t="n">
        <v>38</v>
      </c>
      <c r="AO2" s="1" t="n">
        <v>39</v>
      </c>
      <c r="AP2" s="1" t="n">
        <v>40</v>
      </c>
      <c r="AQ2" s="1" t="n">
        <v>41</v>
      </c>
      <c r="AR2" s="1" t="n">
        <v>42</v>
      </c>
      <c r="AS2" s="1" t="n">
        <v>43</v>
      </c>
      <c r="AT2" s="2" t="n">
        <v>44</v>
      </c>
    </row>
    <row r="3" customFormat="false" ht="15" hidden="false" customHeight="false" outlineLevel="0" collapsed="false">
      <c r="C3" s="24" t="s">
        <v>173</v>
      </c>
      <c r="D3" s="25"/>
      <c r="E3" s="25"/>
      <c r="F3" s="25"/>
      <c r="G3" s="25"/>
      <c r="H3" s="25"/>
      <c r="K3" s="24" t="s">
        <v>174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6" t="s">
        <v>175</v>
      </c>
      <c r="W3" s="25" t="n">
        <f aca="false">1/6.25</f>
        <v>0.16</v>
      </c>
      <c r="X3" s="25"/>
      <c r="Y3" s="25"/>
      <c r="AB3" s="24" t="s">
        <v>83</v>
      </c>
      <c r="AC3" s="25"/>
      <c r="AD3" s="25"/>
      <c r="AE3" s="25"/>
      <c r="AF3" s="25"/>
      <c r="AG3" s="25"/>
      <c r="AH3" s="25"/>
      <c r="AI3" s="25"/>
      <c r="AJ3" s="25"/>
      <c r="AK3" s="26" t="s">
        <v>175</v>
      </c>
      <c r="AL3" s="25" t="n">
        <f aca="false">1/6.25</f>
        <v>0.16</v>
      </c>
      <c r="AM3" s="25"/>
      <c r="AN3" s="25"/>
      <c r="AR3" s="24" t="s">
        <v>84</v>
      </c>
      <c r="AS3" s="25"/>
      <c r="AT3" s="25"/>
    </row>
    <row r="4" customFormat="false" ht="15" hidden="false" customHeight="false" outlineLevel="0" collapsed="false">
      <c r="C4" s="27"/>
      <c r="D4" s="4"/>
      <c r="E4" s="4"/>
      <c r="F4" s="4"/>
      <c r="G4" s="4"/>
      <c r="H4" s="4"/>
      <c r="K4" s="28" t="s">
        <v>172</v>
      </c>
      <c r="L4" s="29" t="n">
        <v>1</v>
      </c>
      <c r="M4" s="29" t="s">
        <v>176</v>
      </c>
      <c r="N4" s="29" t="n">
        <v>2</v>
      </c>
      <c r="O4" s="29" t="n">
        <v>3</v>
      </c>
      <c r="P4" s="29" t="n">
        <v>4</v>
      </c>
      <c r="Q4" s="29" t="n">
        <v>6</v>
      </c>
      <c r="R4" s="29" t="n">
        <v>7</v>
      </c>
      <c r="S4" s="29" t="n">
        <v>8</v>
      </c>
      <c r="T4" s="29" t="n">
        <v>9</v>
      </c>
      <c r="U4" s="29" t="n">
        <v>11</v>
      </c>
      <c r="V4" s="29" t="n">
        <v>10</v>
      </c>
      <c r="W4" s="29"/>
      <c r="X4" s="29" t="n">
        <v>26</v>
      </c>
      <c r="Y4" s="29" t="n">
        <v>28</v>
      </c>
      <c r="Z4" s="2"/>
      <c r="AA4" s="2"/>
      <c r="AB4" s="28" t="s">
        <v>172</v>
      </c>
      <c r="AC4" s="29" t="n">
        <v>1</v>
      </c>
      <c r="AD4" s="29" t="s">
        <v>176</v>
      </c>
      <c r="AE4" s="29" t="s">
        <v>177</v>
      </c>
      <c r="AF4" s="29" t="n">
        <v>2</v>
      </c>
      <c r="AG4" s="29" t="n">
        <v>3</v>
      </c>
      <c r="AH4" s="29" t="n">
        <v>5</v>
      </c>
      <c r="AI4" s="29" t="n">
        <v>6</v>
      </c>
      <c r="AJ4" s="29"/>
      <c r="AK4" s="29" t="n">
        <v>12</v>
      </c>
      <c r="AL4" s="29"/>
      <c r="AM4" s="29" t="n">
        <v>29</v>
      </c>
      <c r="AN4" s="29" t="n">
        <v>31</v>
      </c>
      <c r="AO4" s="2"/>
      <c r="AP4" s="2"/>
      <c r="AQ4" s="2"/>
      <c r="AR4" s="28" t="s">
        <v>172</v>
      </c>
      <c r="AS4" s="29" t="n">
        <v>1</v>
      </c>
      <c r="AT4" s="29" t="n">
        <v>2</v>
      </c>
    </row>
    <row r="5" customFormat="false" ht="15" hidden="false" customHeight="false" outlineLevel="0" collapsed="false">
      <c r="B5" s="2" t="s">
        <v>178</v>
      </c>
      <c r="C5" s="30" t="s">
        <v>179</v>
      </c>
      <c r="D5" s="31" t="s">
        <v>180</v>
      </c>
      <c r="E5" s="32" t="s">
        <v>181</v>
      </c>
      <c r="F5" s="32" t="s">
        <v>182</v>
      </c>
      <c r="G5" s="32" t="s">
        <v>183</v>
      </c>
      <c r="H5" s="31" t="s">
        <v>184</v>
      </c>
      <c r="I5" s="33" t="s">
        <v>185</v>
      </c>
      <c r="K5" s="28" t="s">
        <v>186</v>
      </c>
      <c r="L5" s="30" t="s">
        <v>179</v>
      </c>
      <c r="M5" s="32" t="s">
        <v>187</v>
      </c>
      <c r="N5" s="32" t="s">
        <v>188</v>
      </c>
      <c r="O5" s="32" t="s">
        <v>189</v>
      </c>
      <c r="P5" s="32" t="s">
        <v>190</v>
      </c>
      <c r="Q5" s="32" t="s">
        <v>191</v>
      </c>
      <c r="R5" s="30" t="s">
        <v>192</v>
      </c>
      <c r="S5" s="32" t="s">
        <v>193</v>
      </c>
      <c r="T5" s="32" t="s">
        <v>194</v>
      </c>
      <c r="U5" s="32" t="s">
        <v>195</v>
      </c>
      <c r="V5" s="31" t="s">
        <v>196</v>
      </c>
      <c r="W5" s="32" t="s">
        <v>182</v>
      </c>
      <c r="X5" s="32" t="s">
        <v>183</v>
      </c>
      <c r="Y5" s="31" t="s">
        <v>184</v>
      </c>
      <c r="Z5" s="34" t="s">
        <v>185</v>
      </c>
      <c r="AB5" s="28" t="s">
        <v>186</v>
      </c>
      <c r="AC5" s="30" t="s">
        <v>179</v>
      </c>
      <c r="AD5" s="32" t="s">
        <v>187</v>
      </c>
      <c r="AE5" s="35" t="s">
        <v>191</v>
      </c>
      <c r="AF5" s="32" t="s">
        <v>197</v>
      </c>
      <c r="AG5" s="32" t="s">
        <v>198</v>
      </c>
      <c r="AH5" s="30" t="s">
        <v>192</v>
      </c>
      <c r="AI5" s="32" t="s">
        <v>193</v>
      </c>
      <c r="AJ5" s="32" t="s">
        <v>199</v>
      </c>
      <c r="AK5" s="31" t="s">
        <v>196</v>
      </c>
      <c r="AL5" s="32" t="s">
        <v>182</v>
      </c>
      <c r="AM5" s="32" t="s">
        <v>183</v>
      </c>
      <c r="AN5" s="31" t="s">
        <v>184</v>
      </c>
      <c r="AO5" s="34" t="s">
        <v>185</v>
      </c>
      <c r="AP5" s="36" t="s">
        <v>200</v>
      </c>
      <c r="AQ5" s="2"/>
      <c r="AR5" s="28" t="s">
        <v>186</v>
      </c>
      <c r="AS5" s="37" t="s">
        <v>179</v>
      </c>
      <c r="AT5" s="38" t="s">
        <v>201</v>
      </c>
      <c r="AU5" s="33" t="s">
        <v>185</v>
      </c>
    </row>
    <row r="6" customFormat="false" ht="15" hidden="false" customHeight="false" outlineLevel="0" collapsed="false">
      <c r="B6" s="1" t="s">
        <v>27</v>
      </c>
      <c r="C6" s="39" t="n">
        <f aca="false">AVERAGE(AC6,L6)</f>
        <v>100</v>
      </c>
      <c r="D6" s="40" t="n">
        <f aca="false">M6</f>
        <v>17.3169484</v>
      </c>
      <c r="E6" s="41" t="n">
        <f aca="false">AVERAGE(V6,AK6)/1000*100</f>
        <v>7.55</v>
      </c>
      <c r="F6" s="42" t="n">
        <f aca="false">AVERAGE(W6,AL6)</f>
        <v>2.424</v>
      </c>
      <c r="G6" s="43" t="n">
        <f aca="false">AVERAGE(X6,AM6)</f>
        <v>0.28</v>
      </c>
      <c r="H6" s="44" t="n">
        <f aca="false">AVERAGE(Y6,AN6)</f>
        <v>2.425</v>
      </c>
      <c r="K6" s="28"/>
      <c r="L6" s="39" t="n">
        <v>100</v>
      </c>
      <c r="M6" s="45" t="n">
        <f aca="false">( 5.7*R6+9.4*S6+4.1*(T6+U6) ) * 0.004184</f>
        <v>17.3169484</v>
      </c>
      <c r="N6" s="42" t="n">
        <f aca="false">AVERAGE('ruminants, roughage'!D21:D22)</f>
        <v>11.3</v>
      </c>
      <c r="O6" s="42" t="n">
        <f aca="false">AVERAGE('ruminants, roughage'!E21:E22)</f>
        <v>72</v>
      </c>
      <c r="P6" s="42" t="n">
        <f aca="false">AVERAGE('ruminants, roughage'!F21:F22)</f>
        <v>26.5</v>
      </c>
      <c r="Q6" s="42" t="n">
        <f aca="false">AVERAGE('ruminants, roughage'!H21:H22)</f>
        <v>13.35</v>
      </c>
      <c r="R6" s="46" t="n">
        <f aca="false">AVERAGE('ruminants, roughage'!I21:I22)</f>
        <v>151.5</v>
      </c>
      <c r="S6" s="47" t="n">
        <v>20</v>
      </c>
      <c r="T6" s="48"/>
      <c r="U6" s="49" t="n">
        <f aca="false">1000-SUM(R6:T6,V6)</f>
        <v>753</v>
      </c>
      <c r="V6" s="50" t="n">
        <f aca="false">AVERAGE('ruminants, roughage'!K21:K22)</f>
        <v>75.5</v>
      </c>
      <c r="W6" s="42" t="n">
        <f aca="false">R6*W$3/1000*100</f>
        <v>2.424</v>
      </c>
      <c r="X6" s="43" t="n">
        <f aca="false">AVERAGE('ruminants, roughage'!X21:X22)/1000*100</f>
        <v>0.28</v>
      </c>
      <c r="Y6" s="44" t="n">
        <f aca="false">AVERAGE('ruminants, roughage'!Z21:Z22)/1000*100</f>
        <v>2.425</v>
      </c>
      <c r="Z6" s="51"/>
      <c r="AB6" s="28"/>
      <c r="AC6" s="39"/>
      <c r="AD6" s="52"/>
      <c r="AE6" s="52"/>
      <c r="AF6" s="52"/>
      <c r="AG6" s="52"/>
      <c r="AH6" s="39"/>
      <c r="AI6" s="52"/>
      <c r="AJ6" s="52"/>
      <c r="AK6" s="53"/>
      <c r="AL6" s="48"/>
      <c r="AM6" s="48"/>
      <c r="AN6" s="50"/>
      <c r="AO6" s="13"/>
      <c r="AQ6" s="1" t="s">
        <v>202</v>
      </c>
      <c r="AR6" s="28"/>
      <c r="AS6" s="54"/>
      <c r="AT6" s="53"/>
    </row>
    <row r="7" customFormat="false" ht="15" hidden="false" customHeight="false" outlineLevel="0" collapsed="false">
      <c r="B7" s="1" t="s">
        <v>29</v>
      </c>
      <c r="C7" s="39" t="n">
        <f aca="false">AVERAGE(AC7,L7)</f>
        <v>100</v>
      </c>
      <c r="D7" s="40" t="n">
        <f aca="false">M7</f>
        <v>17.150216</v>
      </c>
      <c r="E7" s="41" t="n">
        <f aca="false">AVERAGE(V7,AK7)/1000*100</f>
        <v>7.8</v>
      </c>
      <c r="F7" s="42" t="n">
        <f aca="false">AVERAGE(W7,AL7)</f>
        <v>2.128</v>
      </c>
      <c r="G7" s="43" t="n">
        <f aca="false">AVERAGE(X7,AM7)</f>
        <v>0.27</v>
      </c>
      <c r="H7" s="44" t="n">
        <f aca="false">AVERAGE(Y7,AN7)</f>
        <v>2.34</v>
      </c>
      <c r="K7" s="28"/>
      <c r="L7" s="39" t="n">
        <v>100</v>
      </c>
      <c r="M7" s="45" t="n">
        <f aca="false">( 5.7*R7+9.4*S7+4.1*(T7+U7) ) * 0.004184</f>
        <v>17.150216</v>
      </c>
      <c r="N7" s="42" t="n">
        <f aca="false">AVERAGE('ruminants, roughage'!D25)</f>
        <v>10.1</v>
      </c>
      <c r="O7" s="42" t="n">
        <f aca="false">AVERAGE('ruminants, roughage'!E25)</f>
        <v>69</v>
      </c>
      <c r="P7" s="42" t="n">
        <f aca="false">AVERAGE('ruminants, roughage'!F25)</f>
        <v>14</v>
      </c>
      <c r="Q7" s="42" t="n">
        <f aca="false">AVERAGE('ruminants, roughage'!H22:H23)</f>
        <v>11.9</v>
      </c>
      <c r="R7" s="46" t="n">
        <f aca="false">AVERAGE('ruminants, roughage'!I25)</f>
        <v>133</v>
      </c>
      <c r="S7" s="47" t="n">
        <v>20</v>
      </c>
      <c r="T7" s="48"/>
      <c r="U7" s="49" t="n">
        <f aca="false">1000-SUM(R7:T7,V7)</f>
        <v>769</v>
      </c>
      <c r="V7" s="50" t="n">
        <f aca="false">AVERAGE('ruminants, roughage'!K25)</f>
        <v>78</v>
      </c>
      <c r="W7" s="42" t="n">
        <f aca="false">R7*W$3/1000*100</f>
        <v>2.128</v>
      </c>
      <c r="X7" s="43" t="n">
        <f aca="false">AVERAGE('ruminants, roughage'!X25)/1000*100</f>
        <v>0.27</v>
      </c>
      <c r="Y7" s="44" t="n">
        <f aca="false">AVERAGE('ruminants, roughage'!Z25)/1000*100</f>
        <v>2.34</v>
      </c>
      <c r="Z7" s="51"/>
      <c r="AB7" s="28"/>
      <c r="AC7" s="39"/>
      <c r="AD7" s="52"/>
      <c r="AE7" s="52"/>
      <c r="AF7" s="52"/>
      <c r="AG7" s="52"/>
      <c r="AH7" s="39"/>
      <c r="AI7" s="52"/>
      <c r="AJ7" s="52"/>
      <c r="AK7" s="53"/>
      <c r="AL7" s="48"/>
      <c r="AM7" s="48"/>
      <c r="AN7" s="50"/>
      <c r="AO7" s="13"/>
      <c r="AQ7" s="1" t="s">
        <v>202</v>
      </c>
      <c r="AR7" s="28"/>
      <c r="AS7" s="39"/>
      <c r="AT7" s="53"/>
    </row>
    <row r="8" customFormat="false" ht="15" hidden="false" customHeight="false" outlineLevel="0" collapsed="false">
      <c r="B8" s="1" t="s">
        <v>30</v>
      </c>
      <c r="C8" s="39" t="n">
        <f aca="false">AVERAGE(AC8,L8)</f>
        <v>100</v>
      </c>
      <c r="D8" s="40" t="n">
        <f aca="false">M8</f>
        <v>16.7897644</v>
      </c>
      <c r="E8" s="41" t="n">
        <f aca="false">AVERAGE(V8,AK8)/1000*100</f>
        <v>8.8</v>
      </c>
      <c r="F8" s="42" t="n">
        <f aca="false">AVERAGE(W8,AL8)</f>
        <v>1.544</v>
      </c>
      <c r="G8" s="43" t="n">
        <f aca="false">AVERAGE(X8,AM8)</f>
        <v>0.21</v>
      </c>
      <c r="H8" s="44" t="n">
        <f aca="false">AVERAGE(Y8,AN8)</f>
        <v>2.35</v>
      </c>
      <c r="K8" s="28"/>
      <c r="L8" s="39" t="n">
        <v>100</v>
      </c>
      <c r="M8" s="45" t="n">
        <f aca="false">( 5.7*R8+9.4*S8+4.1*(T8+U8) ) * 0.004184</f>
        <v>16.7897644</v>
      </c>
      <c r="N8" s="55" t="n">
        <f aca="false">(8.3+8.7)/2</f>
        <v>8.5</v>
      </c>
      <c r="O8" s="55"/>
      <c r="P8" s="55"/>
      <c r="Q8" s="55" t="n">
        <f aca="false">AVERAGE('ruminants, roughage'!H23:H24)</f>
        <v>10.75</v>
      </c>
      <c r="R8" s="56" t="n">
        <f aca="false">(91+102)/2</f>
        <v>96.5</v>
      </c>
      <c r="S8" s="47" t="n">
        <f aca="false">(22+23)/2</f>
        <v>22.5</v>
      </c>
      <c r="T8" s="57"/>
      <c r="U8" s="49" t="n">
        <f aca="false">1000-SUM(R8:T8,V8)</f>
        <v>793</v>
      </c>
      <c r="V8" s="58" t="n">
        <f aca="false">(83+93)/2</f>
        <v>88</v>
      </c>
      <c r="W8" s="42" t="n">
        <f aca="false">R8*W$3/1000*100</f>
        <v>1.544</v>
      </c>
      <c r="X8" s="43" t="n">
        <f aca="false">(2+2.2)/2/1000*100</f>
        <v>0.21</v>
      </c>
      <c r="Y8" s="44" t="n">
        <f aca="false">(20.3+26.7)/2/1000*100</f>
        <v>2.35</v>
      </c>
      <c r="Z8" s="51" t="s">
        <v>203</v>
      </c>
      <c r="AA8" s="1" t="s">
        <v>202</v>
      </c>
      <c r="AB8" s="28"/>
      <c r="AC8" s="39"/>
      <c r="AD8" s="52"/>
      <c r="AE8" s="52"/>
      <c r="AF8" s="52"/>
      <c r="AG8" s="52"/>
      <c r="AH8" s="39"/>
      <c r="AI8" s="52"/>
      <c r="AJ8" s="52"/>
      <c r="AK8" s="53"/>
      <c r="AL8" s="57"/>
      <c r="AM8" s="57"/>
      <c r="AN8" s="58"/>
      <c r="AO8" s="13"/>
      <c r="AQ8" s="1" t="s">
        <v>202</v>
      </c>
      <c r="AR8" s="28"/>
      <c r="AS8" s="39"/>
      <c r="AT8" s="53"/>
    </row>
    <row r="9" customFormat="false" ht="15" hidden="false" customHeight="false" outlineLevel="0" collapsed="false">
      <c r="B9" s="1" t="s">
        <v>31</v>
      </c>
      <c r="C9" s="39" t="n">
        <f aca="false">AVERAGE(AC9,L9)</f>
        <v>100</v>
      </c>
      <c r="D9" s="40" t="n">
        <f aca="false">M9</f>
        <v>17.1602576</v>
      </c>
      <c r="E9" s="41" t="n">
        <f aca="false">AVERAGE(V9,AK9)/1000*100</f>
        <v>6.2</v>
      </c>
      <c r="F9" s="42" t="n">
        <f aca="false">AVERAGE(W9,AL9)</f>
        <v>1.496</v>
      </c>
      <c r="G9" s="43" t="n">
        <f aca="false">AVERAGE(X9,AM9)</f>
        <v>0.21</v>
      </c>
      <c r="H9" s="44" t="n">
        <f aca="false">AVERAGE(Y9,AN9)</f>
        <v>1.81</v>
      </c>
      <c r="K9" s="28"/>
      <c r="L9" s="39" t="n">
        <v>100</v>
      </c>
      <c r="M9" s="45" t="n">
        <f aca="false">( 5.7*R9+9.4*S9+4.1*(T9+U9) ) * 0.004184</f>
        <v>17.1602576</v>
      </c>
      <c r="N9" s="42" t="n">
        <f aca="false">AVERAGE('ruminants, roughage'!D33)</f>
        <v>9.1</v>
      </c>
      <c r="O9" s="42" t="n">
        <f aca="false">AVERAGE('ruminants, roughage'!E33)</f>
        <v>66</v>
      </c>
      <c r="P9" s="42" t="n">
        <f aca="false">AVERAGE('ruminants, roughage'!F33)</f>
        <v>-19</v>
      </c>
      <c r="Q9" s="42" t="n">
        <f aca="false">AVERAGE('ruminants, roughage'!H24:H25)</f>
        <v>11.8</v>
      </c>
      <c r="R9" s="46" t="n">
        <f aca="false">AVERAGE('ruminants, roughage'!I33)</f>
        <v>93.5</v>
      </c>
      <c r="S9" s="47" t="n">
        <v>20</v>
      </c>
      <c r="T9" s="48"/>
      <c r="U9" s="49" t="n">
        <f aca="false">1000-SUM(R9:T9,V9)</f>
        <v>824.5</v>
      </c>
      <c r="V9" s="50" t="n">
        <f aca="false">AVERAGE('ruminants, roughage'!K33)</f>
        <v>62</v>
      </c>
      <c r="W9" s="42" t="n">
        <f aca="false">R9*W$3/1000*100</f>
        <v>1.496</v>
      </c>
      <c r="X9" s="43" t="n">
        <f aca="false">AVERAGE('ruminants, roughage'!X33)/1000*100</f>
        <v>0.21</v>
      </c>
      <c r="Y9" s="44" t="n">
        <f aca="false">AVERAGE('ruminants, roughage'!Z33)/1000*100</f>
        <v>1.81</v>
      </c>
      <c r="Z9" s="51"/>
      <c r="AB9" s="28"/>
      <c r="AC9" s="39"/>
      <c r="AD9" s="52"/>
      <c r="AE9" s="52"/>
      <c r="AF9" s="52"/>
      <c r="AG9" s="52"/>
      <c r="AH9" s="39"/>
      <c r="AI9" s="52"/>
      <c r="AJ9" s="52"/>
      <c r="AK9" s="53"/>
      <c r="AL9" s="48"/>
      <c r="AM9" s="48"/>
      <c r="AN9" s="50"/>
      <c r="AO9" s="13"/>
      <c r="AQ9" s="1" t="s">
        <v>202</v>
      </c>
      <c r="AR9" s="28"/>
      <c r="AS9" s="39"/>
      <c r="AT9" s="53"/>
    </row>
    <row r="10" customFormat="false" ht="16.4" hidden="false" customHeight="false" outlineLevel="0" collapsed="false">
      <c r="B10" s="1" t="s">
        <v>32</v>
      </c>
      <c r="C10" s="39" t="n">
        <f aca="false">AVERAGE(AC10,L10)</f>
        <v>100</v>
      </c>
      <c r="D10" s="40" t="n">
        <f aca="false">M10</f>
        <v>17.6573168</v>
      </c>
      <c r="E10" s="41" t="n">
        <f aca="false">AVERAGE(V10,AK10)/1000*100</f>
        <v>3.6</v>
      </c>
      <c r="F10" s="42" t="n">
        <f aca="false">AVERAGE(W10,AL10)</f>
        <v>1.088</v>
      </c>
      <c r="G10" s="43" t="n">
        <f aca="false">AVERAGE(X10,AM10)</f>
        <v>0.17</v>
      </c>
      <c r="H10" s="44" t="n">
        <f aca="false">AVERAGE(Y10,AN10)</f>
        <v>1.03</v>
      </c>
      <c r="K10" s="28"/>
      <c r="L10" s="39" t="n">
        <v>100</v>
      </c>
      <c r="M10" s="45" t="n">
        <f aca="false">( 5.7*R10+9.4*S10+4.1*(T10+U10) ) * 0.004184</f>
        <v>17.6573168</v>
      </c>
      <c r="N10" s="42" t="n">
        <v>11</v>
      </c>
      <c r="O10" s="42"/>
      <c r="P10" s="42"/>
      <c r="Q10" s="42" t="n">
        <f aca="false">AVERAGE('ruminants, roughage'!H25:H26)</f>
        <v>12.3</v>
      </c>
      <c r="R10" s="46" t="n">
        <v>68</v>
      </c>
      <c r="S10" s="48" t="n">
        <v>30</v>
      </c>
      <c r="T10" s="48" t="n">
        <v>198</v>
      </c>
      <c r="U10" s="49" t="n">
        <f aca="false">1000-SUM(R10:T10,V10)</f>
        <v>668</v>
      </c>
      <c r="V10" s="50" t="n">
        <v>36</v>
      </c>
      <c r="W10" s="42" t="n">
        <f aca="false">R10*W$3/1000*100</f>
        <v>1.088</v>
      </c>
      <c r="X10" s="43" t="n">
        <f aca="false">1.7/1000*100</f>
        <v>0.17</v>
      </c>
      <c r="Y10" s="44" t="n">
        <f aca="false">10.3/1000*100</f>
        <v>1.03</v>
      </c>
      <c r="Z10" s="51" t="s">
        <v>204</v>
      </c>
      <c r="AA10" s="23" t="s">
        <v>202</v>
      </c>
      <c r="AB10" s="28"/>
      <c r="AC10" s="39"/>
      <c r="AD10" s="52"/>
      <c r="AE10" s="52"/>
      <c r="AF10" s="52"/>
      <c r="AG10" s="52"/>
      <c r="AH10" s="39"/>
      <c r="AI10" s="52"/>
      <c r="AJ10" s="52"/>
      <c r="AK10" s="53"/>
      <c r="AL10" s="48"/>
      <c r="AM10" s="48"/>
      <c r="AN10" s="50"/>
      <c r="AO10" s="13"/>
      <c r="AQ10" s="1" t="s">
        <v>202</v>
      </c>
      <c r="AR10" s="28"/>
      <c r="AS10" s="39"/>
      <c r="AT10" s="53"/>
    </row>
    <row r="11" customFormat="false" ht="15" hidden="false" customHeight="false" outlineLevel="0" collapsed="false">
      <c r="B11" s="1" t="s">
        <v>34</v>
      </c>
      <c r="C11" s="39" t="n">
        <f aca="false">AVERAGE(AC11,L11)</f>
        <v>100</v>
      </c>
      <c r="D11" s="40" t="n">
        <f aca="false">M11</f>
        <v>17.4114370666667</v>
      </c>
      <c r="E11" s="41" t="n">
        <f aca="false">AVERAGE(V11,AK11)/1000*100</f>
        <v>6.56666666666667</v>
      </c>
      <c r="F11" s="42" t="n">
        <f aca="false">AVERAGE(W11,AL11)</f>
        <v>2.24666666666667</v>
      </c>
      <c r="G11" s="43" t="n">
        <f aca="false">AVERAGE(X11,AM11)</f>
        <v>0.27</v>
      </c>
      <c r="H11" s="44" t="n">
        <f aca="false">AVERAGE(Y11,AN11)</f>
        <v>2.34</v>
      </c>
      <c r="K11" s="28"/>
      <c r="L11" s="39" t="n">
        <v>100</v>
      </c>
      <c r="M11" s="45" t="n">
        <f aca="false">( 5.7*R11+9.4*S11+4.1*(T11+U11) ) * 0.004184</f>
        <v>17.4114370666667</v>
      </c>
      <c r="N11" s="42" t="n">
        <f aca="false">AVERAGE('ruminants, roughage'!D3:D14)</f>
        <v>9.94166666666667</v>
      </c>
      <c r="O11" s="42" t="n">
        <f aca="false">AVERAGE('ruminants, roughage'!E3:E14)</f>
        <v>74.3333333333333</v>
      </c>
      <c r="P11" s="42" t="n">
        <f aca="false">AVERAGE('ruminants, roughage'!F3:F14)</f>
        <v>12.25</v>
      </c>
      <c r="Q11" s="42" t="n">
        <f aca="false">AVERAGE('ruminants, roughage'!H26:H27)</f>
        <v>12.4</v>
      </c>
      <c r="R11" s="46" t="n">
        <f aca="false">AVERAGE('ruminants, roughage'!I3:I14)</f>
        <v>140.416666666667</v>
      </c>
      <c r="S11" s="47" t="n">
        <v>20</v>
      </c>
      <c r="T11" s="48"/>
      <c r="U11" s="49" t="n">
        <f aca="false">1000-SUM(R11:T11,V11)</f>
        <v>773.916666666667</v>
      </c>
      <c r="V11" s="50" t="n">
        <f aca="false">AVERAGE('ruminants, roughage'!K3:K14)</f>
        <v>65.6666666666667</v>
      </c>
      <c r="W11" s="42" t="n">
        <f aca="false">R11*W$3/1000*100</f>
        <v>2.24666666666667</v>
      </c>
      <c r="X11" s="59" t="n">
        <f aca="false">X7</f>
        <v>0.27</v>
      </c>
      <c r="Y11" s="60" t="n">
        <f aca="false">Y7</f>
        <v>2.34</v>
      </c>
      <c r="Z11" s="51"/>
      <c r="AB11" s="28"/>
      <c r="AC11" s="39"/>
      <c r="AD11" s="52"/>
      <c r="AE11" s="52"/>
      <c r="AF11" s="52"/>
      <c r="AG11" s="52"/>
      <c r="AH11" s="39"/>
      <c r="AI11" s="52"/>
      <c r="AJ11" s="52"/>
      <c r="AK11" s="53"/>
      <c r="AL11" s="48"/>
      <c r="AM11" s="48"/>
      <c r="AN11" s="50"/>
      <c r="AO11" s="13"/>
      <c r="AQ11" s="1" t="s">
        <v>202</v>
      </c>
      <c r="AR11" s="28"/>
      <c r="AS11" s="39"/>
      <c r="AT11" s="53"/>
    </row>
    <row r="12" customFormat="false" ht="16.4" hidden="false" customHeight="false" outlineLevel="0" collapsed="false">
      <c r="B12" s="1" t="s">
        <v>35</v>
      </c>
      <c r="C12" s="46" t="n">
        <f aca="false">100-14</f>
        <v>86</v>
      </c>
      <c r="D12" s="40" t="n">
        <f aca="false">M12</f>
        <v>18.2100232</v>
      </c>
      <c r="E12" s="41" t="n">
        <f aca="false">AVERAGE(V12,AK12)/1000*100</f>
        <v>1.8</v>
      </c>
      <c r="F12" s="42" t="n">
        <f aca="false">AVERAGE(W12,AL12)</f>
        <v>1.936</v>
      </c>
      <c r="G12" s="43" t="n">
        <f aca="false">AVERAGE(X12,AM12)</f>
        <v>0.345</v>
      </c>
      <c r="H12" s="44" t="n">
        <f aca="false">AVERAGE(Y12,AN12)</f>
        <v>0.525</v>
      </c>
      <c r="I12" s="61" t="s">
        <v>205</v>
      </c>
      <c r="K12" s="28" t="n">
        <f aca="false">MATCH($B12,ruminants!$A$3:$A$120,0)</f>
        <v>112</v>
      </c>
      <c r="L12" s="39" t="n">
        <f aca="false">INDEX(ruminants!$D$3:$AH$120,$K12,L$4)</f>
        <v>87</v>
      </c>
      <c r="M12" s="45" t="n">
        <f aca="false">( 5.7*R12+9.4*S12+4.1*(T12+U12) ) * 0.004184</f>
        <v>18.2100232</v>
      </c>
      <c r="N12" s="42" t="n">
        <f aca="false">INDEX(ruminants!$D$3:$AH$120,$K12,N$4)</f>
        <v>14.1</v>
      </c>
      <c r="O12" s="42" t="n">
        <f aca="false">INDEX(ruminants!$D$3:$AH$120,$K12,O$4)</f>
        <v>95</v>
      </c>
      <c r="P12" s="42" t="n">
        <f aca="false">INDEX(ruminants!$D$3:$AH$120,$K12,P$4)</f>
        <v>-33</v>
      </c>
      <c r="Q12" s="42" t="n">
        <f aca="false">INDEX(ruminants!$D$3:$AH$120,$K12,Q$4)</f>
        <v>16</v>
      </c>
      <c r="R12" s="46" t="n">
        <f aca="false">INDEX(ruminants!$D$3:$AH$120,$K12,R$4)</f>
        <v>121</v>
      </c>
      <c r="S12" s="48" t="n">
        <f aca="false">INDEX(ruminants!$D$3:$AH$120,$K12,S$4)</f>
        <v>25</v>
      </c>
      <c r="T12" s="48" t="n">
        <f aca="false">INDEX(ruminants!$D$3:$AH$120,$K12,T$4)</f>
        <v>30</v>
      </c>
      <c r="U12" s="48" t="n">
        <f aca="false">INDEX(ruminants!$D$3:$AH$120,$K12,U$4)</f>
        <v>806</v>
      </c>
      <c r="V12" s="50" t="n">
        <f aca="false">INDEX(ruminants!$D$3:$AH$120,$K12,V$4)</f>
        <v>18</v>
      </c>
      <c r="W12" s="42" t="n">
        <f aca="false">R12*W$3/1000*100</f>
        <v>1.936</v>
      </c>
      <c r="X12" s="43" t="n">
        <f aca="false">INDEX(ruminants!$D$3:$AH$120,$K12,X$4)/1000*100</f>
        <v>0.37</v>
      </c>
      <c r="Y12" s="44" t="n">
        <f aca="false">INDEX(ruminants!$D$3:$AH$120,$K12,Y$4)/1000*100</f>
        <v>0.47</v>
      </c>
      <c r="Z12" s="51"/>
      <c r="AA12" s="62" t="n">
        <f aca="false">O12/R12</f>
        <v>0.785123966942149</v>
      </c>
      <c r="AB12" s="28" t="n">
        <f aca="false">MATCH($B12,pigs!$A$3:$A$60,0)</f>
        <v>53</v>
      </c>
      <c r="AC12" s="39" t="n">
        <f aca="false">INDEX(pigs!$D$3:$AO$60,$AB12,AC$4)</f>
        <v>87</v>
      </c>
      <c r="AD12" s="45" t="n">
        <f aca="false">( 5.7*AH12+9.4*AI12+4.1*(AJ12) ) * 0.004184</f>
        <v>18.0326216</v>
      </c>
      <c r="AE12" s="63" t="n">
        <v>15.9</v>
      </c>
      <c r="AF12" s="52" t="n">
        <f aca="false">INDEX(pigs!$D$3:$AO$60,$AB12,AF$4)</f>
        <v>12.1</v>
      </c>
      <c r="AG12" s="52" t="n">
        <f aca="false">INDEX(pigs!$D$3:$AO$60,$AB12,AG$4)</f>
        <v>12.3</v>
      </c>
      <c r="AH12" s="39" t="n">
        <f aca="false">INDEX(pigs!$D$3:$AO$60,$AB12,AH$4)</f>
        <v>121</v>
      </c>
      <c r="AI12" s="52" t="n">
        <f aca="false">INDEX(pigs!$D$3:$AO$60,$AB12,AI$4)</f>
        <v>17</v>
      </c>
      <c r="AJ12" s="49" t="n">
        <f aca="false">1000-SUM(AH12:AI12,AK12)</f>
        <v>844</v>
      </c>
      <c r="AK12" s="53" t="n">
        <f aca="false">INDEX(pigs!$D$3:$AO$60,$AB12,AK$4)</f>
        <v>18</v>
      </c>
      <c r="AL12" s="42" t="n">
        <f aca="false">AH12*AL$3/1000*100</f>
        <v>1.936</v>
      </c>
      <c r="AM12" s="43" t="n">
        <f aca="false">INDEX(pigs!$D$3:$AO$60,$AB12,AM$4)/1000*100</f>
        <v>0.32</v>
      </c>
      <c r="AN12" s="44" t="n">
        <f aca="false">INDEX(pigs!$D$3:$AO$60,$AB12,AN$4)/1000*100</f>
        <v>0.58</v>
      </c>
      <c r="AO12" s="13"/>
      <c r="AP12" s="64" t="s">
        <v>206</v>
      </c>
      <c r="AQ12" s="1" t="s">
        <v>202</v>
      </c>
      <c r="AR12" s="28" t="n">
        <f aca="false">MATCH($B12,poultry!$A$3:$A$41,0)</f>
        <v>35</v>
      </c>
      <c r="AS12" s="39" t="n">
        <f aca="false">INDEX(poultry!$D$3:$U$41,$AR12,AS$4)</f>
        <v>87</v>
      </c>
      <c r="AT12" s="65" t="n">
        <f aca="false">INDEX(poultry!$D$3:$U$41,$AR12,AT$4)/(AS12/100)</f>
        <v>14.7126436781609</v>
      </c>
    </row>
    <row r="13" customFormat="false" ht="16.4" hidden="false" customHeight="false" outlineLevel="0" collapsed="false">
      <c r="B13" s="1" t="s">
        <v>36</v>
      </c>
      <c r="C13" s="46" t="n">
        <f aca="false">100-14</f>
        <v>86</v>
      </c>
      <c r="D13" s="40" t="n">
        <f aca="false">M13</f>
        <v>18.089524</v>
      </c>
      <c r="E13" s="41" t="n">
        <f aca="false">AVERAGE(V13,AK13)/1000*100</f>
        <v>2.7</v>
      </c>
      <c r="F13" s="42" t="n">
        <f aca="false">AVERAGE(W13,AL13)</f>
        <v>1.904</v>
      </c>
      <c r="G13" s="43" t="n">
        <f aca="false">AVERAGE(X13,AM13)</f>
        <v>0.375</v>
      </c>
      <c r="H13" s="44" t="n">
        <f aca="false">AVERAGE(Y13,AN13)</f>
        <v>0.58</v>
      </c>
      <c r="I13" s="61" t="s">
        <v>205</v>
      </c>
      <c r="J13" s="2"/>
      <c r="K13" s="28" t="n">
        <f aca="false">MATCH($B13,ruminants!$A$3:$A$120,0)</f>
        <v>42</v>
      </c>
      <c r="L13" s="39" t="n">
        <f aca="false">INDEX(ruminants!$D$3:$AH$120,$K13,L$4)</f>
        <v>87</v>
      </c>
      <c r="M13" s="45" t="n">
        <f aca="false">( 5.7*R13+9.4*S13+4.1*(T13+U13) ) * 0.004184</f>
        <v>18.089524</v>
      </c>
      <c r="N13" s="42" t="n">
        <f aca="false">INDEX(ruminants!$D$3:$AH$120,$K13,N$4)</f>
        <v>13.2</v>
      </c>
      <c r="O13" s="42" t="n">
        <f aca="false">INDEX(ruminants!$D$3:$AH$120,$K13,O$4)</f>
        <v>90</v>
      </c>
      <c r="P13" s="42" t="n">
        <f aca="false">INDEX(ruminants!$D$3:$AH$120,$K13,P$4)</f>
        <v>-29</v>
      </c>
      <c r="Q13" s="42" t="n">
        <f aca="false">INDEX(ruminants!$D$3:$AH$120,$K13,Q$4)</f>
        <v>15</v>
      </c>
      <c r="R13" s="46" t="n">
        <f aca="false">INDEX(ruminants!$D$3:$AH$120,$K13,R$4)</f>
        <v>122</v>
      </c>
      <c r="S13" s="48" t="n">
        <f aca="false">INDEX(ruminants!$D$3:$AH$120,$K13,S$4)</f>
        <v>27</v>
      </c>
      <c r="T13" s="48" t="n">
        <f aca="false">INDEX(ruminants!$D$3:$AH$120,$K13,T$4)</f>
        <v>62</v>
      </c>
      <c r="U13" s="48" t="n">
        <f aca="false">INDEX(ruminants!$D$3:$AH$120,$K13,U$4)</f>
        <v>761</v>
      </c>
      <c r="V13" s="50" t="n">
        <f aca="false">INDEX(ruminants!$D$3:$AH$120,$K13,V$4)</f>
        <v>28</v>
      </c>
      <c r="W13" s="42" t="n">
        <f aca="false">R13*W$3/1000*100</f>
        <v>1.952</v>
      </c>
      <c r="X13" s="43" t="n">
        <f aca="false">INDEX(ruminants!$D$3:$AH$120,$K13,X$4)/1000*100</f>
        <v>0.4</v>
      </c>
      <c r="Y13" s="44" t="n">
        <f aca="false">INDEX(ruminants!$D$3:$AH$120,$K13,Y$4)/1000*100</f>
        <v>0.59</v>
      </c>
      <c r="Z13" s="51"/>
      <c r="AA13" s="62" t="n">
        <f aca="false">O13/R13</f>
        <v>0.737704918032787</v>
      </c>
      <c r="AB13" s="28" t="n">
        <f aca="false">MATCH($B13,pigs!$A$3:$A$60,0)</f>
        <v>13</v>
      </c>
      <c r="AC13" s="39" t="n">
        <f aca="false">INDEX(pigs!$D$3:$AO$60,$AB13,AC$4)</f>
        <v>87</v>
      </c>
      <c r="AD13" s="45" t="n">
        <f aca="false">( 5.7*AH13+9.4*AI13+4.1*(AJ13) ) * 0.004184</f>
        <v>17.9506152</v>
      </c>
      <c r="AE13" s="63" t="n">
        <v>14.8</v>
      </c>
      <c r="AF13" s="52" t="n">
        <f aca="false">INDEX(pigs!$D$3:$AO$60,$AB13,AF$4)</f>
        <v>11</v>
      </c>
      <c r="AG13" s="52" t="n">
        <f aca="false">INDEX(pigs!$D$3:$AO$60,$AB13,AG$4)</f>
        <v>11.2</v>
      </c>
      <c r="AH13" s="39" t="n">
        <f aca="false">INDEX(pigs!$D$3:$AO$60,$AB13,AH$4)</f>
        <v>116</v>
      </c>
      <c r="AI13" s="52" t="n">
        <f aca="false">INDEX(pigs!$D$3:$AO$60,$AB13,AI$4)</f>
        <v>21</v>
      </c>
      <c r="AJ13" s="49" t="n">
        <f aca="false">1000-SUM(AH13:AI13,AK13)</f>
        <v>837</v>
      </c>
      <c r="AK13" s="53" t="n">
        <f aca="false">INDEX(pigs!$D$3:$AO$60,$AB13,AK$4)</f>
        <v>26</v>
      </c>
      <c r="AL13" s="42" t="n">
        <f aca="false">AH13*AL$3/1000*100</f>
        <v>1.856</v>
      </c>
      <c r="AM13" s="43" t="n">
        <f aca="false">INDEX(pigs!$D$3:$AO$60,$AB13,AM$4)/1000*100</f>
        <v>0.35</v>
      </c>
      <c r="AN13" s="44" t="n">
        <f aca="false">INDEX(pigs!$D$3:$AO$60,$AB13,AN$4)/1000*100</f>
        <v>0.57</v>
      </c>
      <c r="AO13" s="13"/>
      <c r="AP13" s="64" t="s">
        <v>207</v>
      </c>
      <c r="AQ13" s="1" t="s">
        <v>202</v>
      </c>
      <c r="AR13" s="28" t="n">
        <f aca="false">MATCH($B13,poultry!$A$3:$A$41,0)</f>
        <v>16</v>
      </c>
      <c r="AS13" s="39" t="n">
        <f aca="false">INDEX(poultry!$D$3:$U$41,$AR13,AS$4)</f>
        <v>87</v>
      </c>
      <c r="AT13" s="65" t="n">
        <f aca="false">INDEX(poultry!$D$3:$U$41,$AR13,AT$4)/(AS13/100)</f>
        <v>13.5632183908046</v>
      </c>
    </row>
    <row r="14" customFormat="false" ht="16.4" hidden="false" customHeight="false" outlineLevel="0" collapsed="false">
      <c r="B14" s="1" t="s">
        <v>37</v>
      </c>
      <c r="C14" s="46" t="n">
        <f aca="false">100-14</f>
        <v>86</v>
      </c>
      <c r="D14" s="40" t="n">
        <f aca="false">M14</f>
        <v>18.6602216</v>
      </c>
      <c r="E14" s="41" t="n">
        <f aca="false">AVERAGE(V14,AK14)/1000*100</f>
        <v>3.2</v>
      </c>
      <c r="F14" s="42" t="n">
        <f aca="false">AVERAGE(W14,AL14)</f>
        <v>1.768</v>
      </c>
      <c r="G14" s="43" t="n">
        <f aca="false">AVERAGE(X14,AM14)</f>
        <v>0.365</v>
      </c>
      <c r="H14" s="44" t="n">
        <f aca="false">AVERAGE(Y14,AN14)</f>
        <v>0.54</v>
      </c>
      <c r="I14" s="61" t="s">
        <v>205</v>
      </c>
      <c r="J14" s="2"/>
      <c r="K14" s="28" t="n">
        <f aca="false">MATCH($B14,ruminants!$A$3:$A$120,0)</f>
        <v>28</v>
      </c>
      <c r="L14" s="39" t="n">
        <f aca="false">INDEX(ruminants!$D$3:$AH$120,$K14,L$4)</f>
        <v>85</v>
      </c>
      <c r="M14" s="45" t="n">
        <f aca="false">( 5.7*R14+9.4*S14+4.1*(T14+U14) ) * 0.004184</f>
        <v>18.6602216</v>
      </c>
      <c r="N14" s="42" t="n">
        <f aca="false">INDEX(ruminants!$D$3:$AH$120,$K14,N$4)</f>
        <v>11.7</v>
      </c>
      <c r="O14" s="42" t="n">
        <f aca="false">INDEX(ruminants!$D$3:$AH$120,$K14,O$4)</f>
        <v>67</v>
      </c>
      <c r="P14" s="42" t="n">
        <f aca="false">INDEX(ruminants!$D$3:$AH$120,$K14,P$4)</f>
        <v>-2</v>
      </c>
      <c r="Q14" s="42" t="n">
        <f aca="false">INDEX(ruminants!$D$3:$AH$120,$K14,Q$4)</f>
        <v>13.3</v>
      </c>
      <c r="R14" s="46" t="n">
        <f aca="false">INDEX(ruminants!$D$3:$AH$120,$K14,R$4)</f>
        <v>110</v>
      </c>
      <c r="S14" s="48" t="n">
        <f aca="false">INDEX(ruminants!$D$3:$AH$120,$K14,S$4)</f>
        <v>61</v>
      </c>
      <c r="T14" s="48" t="n">
        <f aca="false">INDEX(ruminants!$D$3:$AH$120,$K14,T$4)</f>
        <v>141</v>
      </c>
      <c r="U14" s="48" t="n">
        <f aca="false">INDEX(ruminants!$D$3:$AH$120,$K14,U$4)</f>
        <v>654</v>
      </c>
      <c r="V14" s="50" t="n">
        <f aca="false">INDEX(ruminants!$D$3:$AH$120,$K14,V$4)</f>
        <v>34</v>
      </c>
      <c r="W14" s="42" t="n">
        <f aca="false">R14*W$3/1000*100</f>
        <v>1.76</v>
      </c>
      <c r="X14" s="43" t="n">
        <f aca="false">INDEX(ruminants!$D$3:$AH$120,$K14,X$4)/1000*100</f>
        <v>0.37</v>
      </c>
      <c r="Y14" s="44" t="n">
        <f aca="false">INDEX(ruminants!$D$3:$AH$120,$K14,Y$4)/1000*100</f>
        <v>0.53</v>
      </c>
      <c r="Z14" s="51"/>
      <c r="AA14" s="62" t="n">
        <f aca="false">O14/R14</f>
        <v>0.609090909090909</v>
      </c>
      <c r="AB14" s="28" t="n">
        <f aca="false">MATCH($B14,pigs!$A$3:$A$60,0)</f>
        <v>11</v>
      </c>
      <c r="AC14" s="39" t="n">
        <f aca="false">INDEX(pigs!$D$3:$AO$60,$AB14,AC$4)</f>
        <v>87</v>
      </c>
      <c r="AD14" s="45" t="n">
        <f aca="false">( 5.7*AH14+9.4*AI14+4.1*(AJ14) ) * 0.004184</f>
        <v>18.5803072</v>
      </c>
      <c r="AE14" s="66" t="n">
        <v>12.7</v>
      </c>
      <c r="AF14" s="52" t="n">
        <f aca="false">INDEX(pigs!$D$3:$AO$60,$AB14,AF$4)</f>
        <v>9</v>
      </c>
      <c r="AG14" s="52" t="n">
        <f aca="false">INDEX(pigs!$D$3:$AO$60,$AB14,AG$4)</f>
        <v>9.4</v>
      </c>
      <c r="AH14" s="39" t="n">
        <f aca="false">INDEX(pigs!$D$3:$AO$60,$AB14,AH$4)</f>
        <v>111</v>
      </c>
      <c r="AI14" s="52" t="n">
        <f aca="false">INDEX(pigs!$D$3:$AO$60,$AB14,AI$4)</f>
        <v>54</v>
      </c>
      <c r="AJ14" s="49" t="n">
        <f aca="false">1000-SUM(AH14:AI14,AK14)</f>
        <v>805</v>
      </c>
      <c r="AK14" s="53" t="n">
        <f aca="false">INDEX(pigs!$D$3:$AO$60,$AB14,AK$4)</f>
        <v>30</v>
      </c>
      <c r="AL14" s="42" t="n">
        <f aca="false">AH14*AL$3/1000*100</f>
        <v>1.776</v>
      </c>
      <c r="AM14" s="43" t="n">
        <f aca="false">INDEX(pigs!$D$3:$AO$60,$AB14,AM$4)/1000*100</f>
        <v>0.36</v>
      </c>
      <c r="AN14" s="44" t="n">
        <f aca="false">INDEX(pigs!$D$3:$AO$60,$AB14,AN$4)/1000*100</f>
        <v>0.55</v>
      </c>
      <c r="AO14" s="13"/>
      <c r="AP14" s="64" t="s">
        <v>208</v>
      </c>
      <c r="AQ14" s="1" t="s">
        <v>202</v>
      </c>
      <c r="AR14" s="28" t="n">
        <f aca="false">MATCH($B14,poultry!$A$3:$A$41,0)</f>
        <v>10</v>
      </c>
      <c r="AS14" s="39" t="n">
        <f aca="false">INDEX(poultry!$D$3:$U$41,$AR14,AS$4)</f>
        <v>87</v>
      </c>
      <c r="AT14" s="65" t="n">
        <f aca="false">INDEX(poultry!$D$3:$U$41,$AR14,AT$4)/(AS14/100)</f>
        <v>12.2988505747126</v>
      </c>
    </row>
    <row r="15" customFormat="false" ht="16.4" hidden="false" customHeight="false" outlineLevel="0" collapsed="false">
      <c r="B15" s="1" t="s">
        <v>38</v>
      </c>
      <c r="C15" s="46" t="n">
        <f aca="false">100-14</f>
        <v>86</v>
      </c>
      <c r="D15" s="40" t="n">
        <f aca="false">M15</f>
        <v>18.2284328</v>
      </c>
      <c r="E15" s="41" t="n">
        <f aca="false">AVERAGE(V15,AK15)/1000*100</f>
        <v>2.05</v>
      </c>
      <c r="F15" s="42" t="n">
        <f aca="false">AVERAGE(W15,AL15)</f>
        <v>1.864</v>
      </c>
      <c r="G15" s="43" t="n">
        <f aca="false">AVERAGE(X15,AM15)</f>
        <v>0.38</v>
      </c>
      <c r="H15" s="44" t="n">
        <f aca="false">AVERAGE(Y15,AN15)</f>
        <v>0.58</v>
      </c>
      <c r="I15" s="61" t="s">
        <v>205</v>
      </c>
      <c r="J15" s="2"/>
      <c r="K15" s="28" t="n">
        <f aca="false">MATCH($B15,ruminants!$A$3:$A$120,0)</f>
        <v>78</v>
      </c>
      <c r="L15" s="39" t="n">
        <f aca="false">INDEX(ruminants!$D$3:$AH$120,$K15,L$4)</f>
        <v>87</v>
      </c>
      <c r="M15" s="45" t="n">
        <f aca="false">( 5.7*R15+9.4*S15+4.1*(T15+U15) ) * 0.004184</f>
        <v>18.2284328</v>
      </c>
      <c r="N15" s="42" t="n">
        <f aca="false">INDEX(ruminants!$D$3:$AH$120,$K15,N$4)</f>
        <v>14</v>
      </c>
      <c r="O15" s="42" t="n">
        <f aca="false">INDEX(ruminants!$D$3:$AH$120,$K15,O$4)</f>
        <v>95</v>
      </c>
      <c r="P15" s="42" t="n">
        <f aca="false">INDEX(ruminants!$D$3:$AH$120,$K15,P$4)</f>
        <v>-31</v>
      </c>
      <c r="Q15" s="42" t="n">
        <f aca="false">INDEX(ruminants!$D$3:$AH$120,$K15,Q$4)</f>
        <v>15.8</v>
      </c>
      <c r="R15" s="46" t="n">
        <f aca="false">INDEX(ruminants!$D$3:$AH$120,$K15,R$4)</f>
        <v>123</v>
      </c>
      <c r="S15" s="48" t="n">
        <f aca="false">INDEX(ruminants!$D$3:$AH$120,$K15,S$4)</f>
        <v>26</v>
      </c>
      <c r="T15" s="48" t="n">
        <f aca="false">INDEX(ruminants!$D$3:$AH$120,$K15,T$4)</f>
        <v>33</v>
      </c>
      <c r="U15" s="48" t="n">
        <f aca="false">INDEX(ruminants!$D$3:$AH$120,$K15,U$4)</f>
        <v>799</v>
      </c>
      <c r="V15" s="50" t="n">
        <f aca="false">INDEX(ruminants!$D$3:$AH$120,$K15,V$4)</f>
        <v>19</v>
      </c>
      <c r="W15" s="42" t="n">
        <f aca="false">R15*W$3/1000*100</f>
        <v>1.968</v>
      </c>
      <c r="X15" s="43" t="n">
        <f aca="false">INDEX(ruminants!$D$3:$AH$120,$K15,X$4)/1000*100</f>
        <v>0.4</v>
      </c>
      <c r="Y15" s="44" t="n">
        <f aca="false">INDEX(ruminants!$D$3:$AH$120,$K15,Y$4)/1000*100</f>
        <v>0.54</v>
      </c>
      <c r="Z15" s="51"/>
      <c r="AA15" s="62" t="n">
        <f aca="false">O15/R15</f>
        <v>0.772357723577236</v>
      </c>
      <c r="AB15" s="28" t="n">
        <f aca="false">MATCH($B15,pigs!$A$3:$A$60,0)</f>
        <v>39</v>
      </c>
      <c r="AC15" s="39" t="n">
        <f aca="false">INDEX(pigs!$D$3:$AO$60,$AB15,AC$4)</f>
        <v>87</v>
      </c>
      <c r="AD15" s="45" t="n">
        <f aca="false">( 5.7*AH15+9.4*AI15+4.1*(AJ15) ) * 0.004184</f>
        <v>17.8460152</v>
      </c>
      <c r="AE15" s="66" t="n">
        <v>15.6</v>
      </c>
      <c r="AF15" s="52" t="n">
        <f aca="false">INDEX(pigs!$D$3:$AO$60,$AB15,AF$4)</f>
        <v>11.9</v>
      </c>
      <c r="AG15" s="52" t="n">
        <f aca="false">INDEX(pigs!$D$3:$AO$60,$AB15,AG$4)</f>
        <v>12</v>
      </c>
      <c r="AH15" s="39" t="n">
        <f aca="false">INDEX(pigs!$D$3:$AO$60,$AB15,AH$4)</f>
        <v>110</v>
      </c>
      <c r="AI15" s="52" t="n">
        <f aca="false">INDEX(pigs!$D$3:$AO$60,$AB15,AI$4)</f>
        <v>15</v>
      </c>
      <c r="AJ15" s="49" t="n">
        <f aca="false">1000-SUM(AH15:AI15,AK15)</f>
        <v>853</v>
      </c>
      <c r="AK15" s="53" t="n">
        <f aca="false">INDEX(pigs!$D$3:$AO$60,$AB15,AK$4)</f>
        <v>22</v>
      </c>
      <c r="AL15" s="42" t="n">
        <f aca="false">AH15*AL$3/1000*100</f>
        <v>1.76</v>
      </c>
      <c r="AM15" s="43" t="n">
        <f aca="false">INDEX(pigs!$D$3:$AO$60,$AB15,AM$4)/1000*100</f>
        <v>0.36</v>
      </c>
      <c r="AN15" s="44" t="n">
        <f aca="false">INDEX(pigs!$D$3:$AO$60,$AB15,AN$4)/1000*100</f>
        <v>0.62</v>
      </c>
      <c r="AO15" s="13"/>
      <c r="AP15" s="64" t="s">
        <v>209</v>
      </c>
      <c r="AQ15" s="1" t="s">
        <v>202</v>
      </c>
      <c r="AR15" s="28" t="n">
        <f aca="false">MATCH($B15,poultry!$A$3:$A$41,0)</f>
        <v>31</v>
      </c>
      <c r="AS15" s="39" t="n">
        <f aca="false">INDEX(poultry!$D$3:$U$41,$AR15,AS$4)</f>
        <v>89</v>
      </c>
      <c r="AT15" s="65" t="n">
        <f aca="false">INDEX(poultry!$D$3:$U$41,$AR15,AT$4)/(AS15/100)</f>
        <v>14.6067415730337</v>
      </c>
    </row>
    <row r="16" customFormat="false" ht="16.4" hidden="false" customHeight="false" outlineLevel="0" collapsed="false">
      <c r="B16" s="1" t="s">
        <v>39</v>
      </c>
      <c r="C16" s="46" t="n">
        <f aca="false">100-14</f>
        <v>86</v>
      </c>
      <c r="D16" s="40" t="n">
        <f aca="false">M16</f>
        <v>17.924256</v>
      </c>
      <c r="E16" s="41" t="n">
        <f aca="false">AVERAGE(V16,AK16)/1000*100</f>
        <v>2.05</v>
      </c>
      <c r="F16" s="42" t="n">
        <f aca="false">AVERAGE(W16,AL16)</f>
        <v>1.624</v>
      </c>
      <c r="G16" s="43" t="n">
        <f aca="false">AVERAGE(X16,AM16)</f>
        <v>0.33</v>
      </c>
      <c r="H16" s="44" t="n">
        <f aca="false">AVERAGE(Y16,AN16)</f>
        <v>0.555</v>
      </c>
      <c r="I16" s="61" t="s">
        <v>205</v>
      </c>
      <c r="J16" s="2"/>
      <c r="K16" s="28" t="n">
        <f aca="false">MATCH($B16,ruminants!$A$3:$A$120,0)</f>
        <v>77</v>
      </c>
      <c r="L16" s="39" t="n">
        <f aca="false">INDEX(ruminants!$D$3:$AH$120,$K16,L$4)</f>
        <v>87</v>
      </c>
      <c r="M16" s="45" t="n">
        <f aca="false">( 5.7*R16+9.4*S16+4.1*(T16+U16) ) * 0.004184</f>
        <v>17.924256</v>
      </c>
      <c r="N16" s="42" t="n">
        <f aca="false">INDEX(ruminants!$D$3:$AH$120,$K16,N$4)</f>
        <v>13.9</v>
      </c>
      <c r="O16" s="42" t="n">
        <f aca="false">INDEX(ruminants!$D$3:$AH$120,$K16,O$4)</f>
        <v>95</v>
      </c>
      <c r="P16" s="42" t="n">
        <f aca="false">INDEX(ruminants!$D$3:$AH$120,$K16,P$4)</f>
        <v>-57</v>
      </c>
      <c r="Q16" s="42" t="n">
        <f aca="false">INDEX(ruminants!$D$3:$AH$120,$K16,Q$4)</f>
        <v>15.8</v>
      </c>
      <c r="R16" s="46" t="n">
        <f aca="false">INDEX(ruminants!$D$3:$AH$120,$K16,R$4)</f>
        <v>100</v>
      </c>
      <c r="S16" s="48" t="n">
        <f aca="false">INDEX(ruminants!$D$3:$AH$120,$K16,S$4)</f>
        <v>20</v>
      </c>
      <c r="T16" s="48" t="n">
        <f aca="false">INDEX(ruminants!$D$3:$AH$120,$K16,T$4)</f>
        <v>25</v>
      </c>
      <c r="U16" s="48" t="n">
        <f aca="false">INDEX(ruminants!$D$3:$AH$120,$K16,U$4)</f>
        <v>835</v>
      </c>
      <c r="V16" s="50" t="n">
        <f aca="false">INDEX(ruminants!$D$3:$AH$120,$K16,V$4)</f>
        <v>20</v>
      </c>
      <c r="W16" s="42" t="n">
        <f aca="false">R16*W$3/1000*100</f>
        <v>1.6</v>
      </c>
      <c r="X16" s="43" t="n">
        <f aca="false">INDEX(ruminants!$D$3:$AH$120,$K16,X$4)/1000*100</f>
        <v>0.34</v>
      </c>
      <c r="Y16" s="44" t="n">
        <f aca="false">INDEX(ruminants!$D$3:$AH$120,$K16,Y$4)/1000*100</f>
        <v>0.55</v>
      </c>
      <c r="Z16" s="51"/>
      <c r="AA16" s="62" t="n">
        <f aca="false">O16/R16</f>
        <v>0.95</v>
      </c>
      <c r="AB16" s="28" t="n">
        <f aca="false">MATCH($B16,pigs!$A$3:$A$60,0)</f>
        <v>38</v>
      </c>
      <c r="AC16" s="39" t="n">
        <f aca="false">INDEX(pigs!$D$3:$AO$60,$AB16,AC$4)</f>
        <v>87</v>
      </c>
      <c r="AD16" s="45" t="n">
        <f aca="false">( 5.7*AH16+9.4*AI16+4.1*(AJ16) ) * 0.004184</f>
        <v>17.7941336</v>
      </c>
      <c r="AE16" s="66" t="n">
        <v>15.1</v>
      </c>
      <c r="AF16" s="52" t="n">
        <f aca="false">INDEX(pigs!$D$3:$AO$60,$AB16,AF$4)</f>
        <v>11.3</v>
      </c>
      <c r="AG16" s="52" t="n">
        <f aca="false">INDEX(pigs!$D$3:$AO$60,$AB16,AG$4)</f>
        <v>11.5</v>
      </c>
      <c r="AH16" s="39" t="n">
        <f aca="false">INDEX(pigs!$D$3:$AO$60,$AB16,AH$4)</f>
        <v>103</v>
      </c>
      <c r="AI16" s="52" t="n">
        <f aca="false">INDEX(pigs!$D$3:$AO$60,$AB16,AI$4)</f>
        <v>14</v>
      </c>
      <c r="AJ16" s="49" t="n">
        <f aca="false">1000-SUM(AH16:AI16,AK16)</f>
        <v>862</v>
      </c>
      <c r="AK16" s="53" t="n">
        <f aca="false">INDEX(pigs!$D$3:$AO$60,$AB16,AK$4)</f>
        <v>21</v>
      </c>
      <c r="AL16" s="42" t="n">
        <f aca="false">AH16*AL$3/1000*100</f>
        <v>1.648</v>
      </c>
      <c r="AM16" s="43" t="n">
        <f aca="false">INDEX(pigs!$D$3:$AO$60,$AB16,AM$4)/1000*100</f>
        <v>0.32</v>
      </c>
      <c r="AN16" s="44" t="n">
        <f aca="false">INDEX(pigs!$D$3:$AO$60,$AB16,AN$4)/1000*100</f>
        <v>0.56</v>
      </c>
      <c r="AO16" s="13"/>
      <c r="AP16" s="64" t="s">
        <v>210</v>
      </c>
      <c r="AQ16" s="1" t="s">
        <v>202</v>
      </c>
      <c r="AR16" s="28" t="n">
        <f aca="false">MATCH($B16,poultry!$A$3:$A$41,0)</f>
        <v>30</v>
      </c>
      <c r="AS16" s="39" t="n">
        <f aca="false">INDEX(poultry!$D$3:$U$41,$AR16,AS$4)</f>
        <v>87</v>
      </c>
      <c r="AT16" s="65" t="n">
        <f aca="false">INDEX(poultry!$D$3:$U$41,$AR16,AT$4)/(AS16/100)</f>
        <v>12.8735632183908</v>
      </c>
    </row>
    <row r="17" customFormat="false" ht="16.4" hidden="false" customHeight="false" outlineLevel="0" collapsed="false">
      <c r="B17" s="1" t="s">
        <v>40</v>
      </c>
      <c r="C17" s="46" t="n">
        <f aca="false">100-14</f>
        <v>86</v>
      </c>
      <c r="D17" s="40" t="n">
        <f aca="false">M17</f>
        <v>18.3899352</v>
      </c>
      <c r="E17" s="41" t="n">
        <f aca="false">AVERAGE(V17,AK17)/1000*100</f>
        <v>1.85</v>
      </c>
      <c r="F17" s="42" t="n">
        <f aca="false">AVERAGE(W17,AL17)</f>
        <v>1.64</v>
      </c>
      <c r="G17" s="43" t="n">
        <f aca="false">AVERAGE(X17,AM17)</f>
        <v>0.34</v>
      </c>
      <c r="H17" s="44" t="n">
        <f aca="false">AVERAGE(Y17,AN17)</f>
        <v>0.465</v>
      </c>
      <c r="I17" s="61" t="s">
        <v>205</v>
      </c>
      <c r="J17" s="2"/>
      <c r="K17" s="28" t="n">
        <f aca="false">MATCH($B17,ruminants!$A$3:$A$120,0)</f>
        <v>53</v>
      </c>
      <c r="L17" s="39" t="n">
        <f aca="false">INDEX(ruminants!$D$3:$AH$120,$K17,L$4)</f>
        <v>48</v>
      </c>
      <c r="M17" s="45" t="n">
        <f aca="false">( 5.7*R17+9.4*S17+4.1*(T17+U17) ) * 0.004184</f>
        <v>18.3899352</v>
      </c>
      <c r="N17" s="42" t="n">
        <f aca="false">INDEX(ruminants!$D$3:$AH$120,$K17,N$4)</f>
        <v>12.8</v>
      </c>
      <c r="O17" s="66" t="n">
        <v>81</v>
      </c>
      <c r="P17" s="66" t="n">
        <v>-30</v>
      </c>
      <c r="Q17" s="42" t="n">
        <f aca="false">INDEX(ruminants!$D$3:$AH$120,$K17,Q$4)</f>
        <v>14.5</v>
      </c>
      <c r="R17" s="46" t="n">
        <f aca="false">INDEX(ruminants!$D$3:$AH$120,$K17,R$4)</f>
        <v>111</v>
      </c>
      <c r="S17" s="48" t="n">
        <f aca="false">INDEX(ruminants!$D$3:$AH$120,$K17,S$4)</f>
        <v>40</v>
      </c>
      <c r="T17" s="48" t="n">
        <f aca="false">INDEX(ruminants!$D$3:$AH$120,$K17,T$4)</f>
        <v>63</v>
      </c>
      <c r="U17" s="48" t="n">
        <f aca="false">INDEX(ruminants!$D$3:$AH$120,$K17,U$4)</f>
        <v>763</v>
      </c>
      <c r="V17" s="50" t="n">
        <f aca="false">INDEX(ruminants!$D$3:$AH$120,$K17,V$4)</f>
        <v>23</v>
      </c>
      <c r="W17" s="42" t="n">
        <f aca="false">R17*W$3/1000*100</f>
        <v>1.776</v>
      </c>
      <c r="X17" s="43" t="n">
        <f aca="false">INDEX(ruminants!$D$3:$AH$120,$K17,X$4)/1000*100</f>
        <v>0.36</v>
      </c>
      <c r="Y17" s="44" t="n">
        <f aca="false">INDEX(ruminants!$D$3:$AH$120,$K17,Y$4)/1000*100</f>
        <v>0.53</v>
      </c>
      <c r="Z17" s="51"/>
      <c r="AA17" s="62" t="n">
        <f aca="false">O17/R17</f>
        <v>0.72972972972973</v>
      </c>
      <c r="AB17" s="28" t="n">
        <f aca="false">MATCH($B17,pigs!$A$3:$A$60,0)</f>
        <v>19</v>
      </c>
      <c r="AC17" s="39" t="n">
        <f aca="false">INDEX(pigs!$D$3:$AO$60,$AB17,AC$4)</f>
        <v>87</v>
      </c>
      <c r="AD17" s="45" t="n">
        <f aca="false">( 5.7*AH17+9.4*AI17+4.1*(AJ17) ) * 0.004184</f>
        <v>18.4970456</v>
      </c>
      <c r="AE17" s="66" t="n">
        <v>16.5</v>
      </c>
      <c r="AF17" s="52" t="n">
        <f aca="false">INDEX(pigs!$D$3:$AO$60,$AB17,AF$4)</f>
        <v>12.8</v>
      </c>
      <c r="AG17" s="52" t="n">
        <f aca="false">INDEX(pigs!$D$3:$AO$60,$AB17,AG$4)</f>
        <v>13.2</v>
      </c>
      <c r="AH17" s="39" t="n">
        <f aca="false">INDEX(pigs!$D$3:$AO$60,$AB17,AH$4)</f>
        <v>94</v>
      </c>
      <c r="AI17" s="52" t="n">
        <f aca="false">INDEX(pigs!$D$3:$AO$60,$AB17,AI$4)</f>
        <v>43</v>
      </c>
      <c r="AJ17" s="49" t="n">
        <f aca="false">1000-SUM(AH17:AI17,AK17)</f>
        <v>849</v>
      </c>
      <c r="AK17" s="53" t="n">
        <f aca="false">INDEX(pigs!$D$3:$AO$60,$AB17,AK$4)</f>
        <v>14</v>
      </c>
      <c r="AL17" s="42" t="n">
        <f aca="false">AH17*AL$3/1000*100</f>
        <v>1.504</v>
      </c>
      <c r="AM17" s="43" t="n">
        <f aca="false">INDEX(pigs!$D$3:$AO$60,$AB17,AM$4)/1000*100</f>
        <v>0.32</v>
      </c>
      <c r="AN17" s="44" t="n">
        <f aca="false">INDEX(pigs!$D$3:$AO$60,$AB17,AN$4)/1000*100</f>
        <v>0.4</v>
      </c>
      <c r="AO17" s="13"/>
      <c r="AP17" s="64" t="s">
        <v>211</v>
      </c>
      <c r="AQ17" s="1" t="s">
        <v>202</v>
      </c>
      <c r="AR17" s="28" t="n">
        <f aca="false">MATCH($B17,poultry!$A$3:$A$41,0)</f>
        <v>24</v>
      </c>
      <c r="AS17" s="39" t="n">
        <f aca="false">INDEX(poultry!$D$3:$U$41,$AR17,AS$4)</f>
        <v>87</v>
      </c>
      <c r="AT17" s="65" t="n">
        <f aca="false">INDEX(poultry!$D$3:$U$41,$AR17,AT$4)/(AS17/100)</f>
        <v>15.8620689655172</v>
      </c>
    </row>
    <row r="18" customFormat="false" ht="16.4" hidden="false" customHeight="false" outlineLevel="0" collapsed="false">
      <c r="B18" s="1" t="s">
        <v>41</v>
      </c>
      <c r="C18" s="46" t="n">
        <f aca="false">100-15</f>
        <v>85</v>
      </c>
      <c r="D18" s="40" t="n">
        <f aca="false">M18</f>
        <v>18.4782176</v>
      </c>
      <c r="E18" s="41" t="n">
        <f aca="false">AVERAGE(V18,AK18)/1000*100</f>
        <v>3.4</v>
      </c>
      <c r="F18" s="42" t="n">
        <f aca="false">AVERAGE(W18,AL18)</f>
        <v>3.72</v>
      </c>
      <c r="G18" s="43" t="n">
        <f aca="false">AVERAGE(X18,AM18)</f>
        <v>0.445</v>
      </c>
      <c r="H18" s="44" t="n">
        <f aca="false">AVERAGE(Y18,AN18)</f>
        <v>1.155</v>
      </c>
      <c r="I18" s="61" t="s">
        <v>205</v>
      </c>
      <c r="J18" s="2"/>
      <c r="K18" s="28" t="n">
        <f aca="false">MATCH($B18,ruminants!$A$3:$A$120,0)</f>
        <v>115</v>
      </c>
      <c r="L18" s="39" t="n">
        <f aca="false">INDEX(ruminants!$D$3:$AH$120,$K18,L$4)</f>
        <v>87</v>
      </c>
      <c r="M18" s="45" t="n">
        <f aca="false">( 5.7*R18+9.4*S18+4.1*(T18+U18) ) * 0.004184</f>
        <v>18.4782176</v>
      </c>
      <c r="N18" s="42" t="n">
        <f aca="false">INDEX(ruminants!$D$3:$AH$120,$K18,N$4)</f>
        <v>13.8</v>
      </c>
      <c r="O18" s="42" t="n">
        <f aca="false">INDEX(ruminants!$D$3:$AH$120,$K18,O$4)</f>
        <v>97</v>
      </c>
      <c r="P18" s="42" t="n">
        <f aca="false">INDEX(ruminants!$D$3:$AH$120,$K18,P$4)</f>
        <v>69</v>
      </c>
      <c r="Q18" s="42" t="n">
        <f aca="false">INDEX(ruminants!$D$3:$AH$120,$K18,Q$4)</f>
        <v>16</v>
      </c>
      <c r="R18" s="46" t="n">
        <f aca="false">INDEX(ruminants!$D$3:$AH$120,$K18,R$4)</f>
        <v>226</v>
      </c>
      <c r="S18" s="48" t="n">
        <f aca="false">INDEX(ruminants!$D$3:$AH$120,$K18,S$4)</f>
        <v>17</v>
      </c>
      <c r="T18" s="48" t="n">
        <f aca="false">INDEX(ruminants!$D$3:$AH$120,$K18,T$4)</f>
        <v>78</v>
      </c>
      <c r="U18" s="48" t="n">
        <f aca="false">INDEX(ruminants!$D$3:$AH$120,$K18,U$4)</f>
        <v>646</v>
      </c>
      <c r="V18" s="50" t="n">
        <f aca="false">INDEX(ruminants!$D$3:$AH$120,$K18,V$4)</f>
        <v>33</v>
      </c>
      <c r="W18" s="42" t="n">
        <f aca="false">R18*W$3/1000*100</f>
        <v>3.616</v>
      </c>
      <c r="X18" s="43" t="n">
        <f aca="false">INDEX(ruminants!$D$3:$AH$120,$K18,X$4)/1000*100</f>
        <v>0.43</v>
      </c>
      <c r="Y18" s="44" t="n">
        <f aca="false">INDEX(ruminants!$D$3:$AH$120,$K18,Y$4)/1000*100</f>
        <v>1.11</v>
      </c>
      <c r="Z18" s="51"/>
      <c r="AA18" s="62"/>
      <c r="AB18" s="28" t="n">
        <f aca="false">MATCH($B18,pigs!$A$3:$A$60,0)</f>
        <v>56</v>
      </c>
      <c r="AC18" s="39" t="n">
        <f aca="false">INDEX(pigs!$D$3:$AO$60,$AB18,AC$4)</f>
        <v>87</v>
      </c>
      <c r="AD18" s="45" t="n">
        <f aca="false">( 5.7*AH18+9.4*AI18+4.1*(AJ18) ) * 0.004184</f>
        <v>18.42006</v>
      </c>
      <c r="AE18" s="66" t="n">
        <v>16.1</v>
      </c>
      <c r="AF18" s="52" t="n">
        <f aca="false">INDEX(pigs!$D$3:$AO$60,$AB18,AF$4)</f>
        <v>11.2</v>
      </c>
      <c r="AG18" s="52" t="n">
        <f aca="false">INDEX(pigs!$D$3:$AO$60,$AB18,AG$4)</f>
        <v>11.5</v>
      </c>
      <c r="AH18" s="39" t="n">
        <f aca="false">INDEX(pigs!$D$3:$AO$60,$AB18,AH$4)</f>
        <v>239</v>
      </c>
      <c r="AI18" s="52" t="n">
        <f aca="false">INDEX(pigs!$D$3:$AO$60,$AB18,AI$4)</f>
        <v>12</v>
      </c>
      <c r="AJ18" s="49" t="n">
        <f aca="false">1000-SUM(AH18:AI18,AK18)</f>
        <v>714</v>
      </c>
      <c r="AK18" s="53" t="n">
        <f aca="false">INDEX(pigs!$D$3:$AO$60,$AB18,AK$4)</f>
        <v>35</v>
      </c>
      <c r="AL18" s="42" t="n">
        <f aca="false">AH18*AL$3/1000*100</f>
        <v>3.824</v>
      </c>
      <c r="AM18" s="43" t="n">
        <f aca="false">INDEX(pigs!$D$3:$AO$60,$AB18,AM$4)/1000*100</f>
        <v>0.46</v>
      </c>
      <c r="AN18" s="44" t="n">
        <f aca="false">INDEX(pigs!$D$3:$AO$60,$AB18,AN$4)/1000*100</f>
        <v>1.2</v>
      </c>
      <c r="AO18" s="13"/>
      <c r="AP18" s="64" t="s">
        <v>212</v>
      </c>
      <c r="AQ18" s="1" t="s">
        <v>202</v>
      </c>
      <c r="AR18" s="28" t="n">
        <f aca="false">MATCH($B18,poultry!$A$3:$A$41,0)</f>
        <v>39</v>
      </c>
      <c r="AS18" s="39" t="n">
        <f aca="false">INDEX(poultry!$D$3:$U$41,$AR18,AS$4)</f>
        <v>87</v>
      </c>
      <c r="AT18" s="65" t="n">
        <f aca="false">INDEX(poultry!$D$3:$U$41,$AR18,AT$4)/(AS18/100)</f>
        <v>12.6436781609195</v>
      </c>
    </row>
    <row r="19" customFormat="false" ht="16.4" hidden="false" customHeight="false" outlineLevel="0" collapsed="false">
      <c r="B19" s="1" t="s">
        <v>42</v>
      </c>
      <c r="C19" s="46" t="n">
        <f aca="false">100-15</f>
        <v>85</v>
      </c>
      <c r="D19" s="40" t="n">
        <f aca="false">M19</f>
        <v>18.7372072</v>
      </c>
      <c r="E19" s="41" t="n">
        <f aca="false">AVERAGE(V19,AK19)/1000*100</f>
        <v>4</v>
      </c>
      <c r="F19" s="42" t="n">
        <f aca="false">AVERAGE(W19,AL19)</f>
        <v>4.808</v>
      </c>
      <c r="G19" s="43" t="n">
        <f aca="false">AVERAGE(X19,AM19)</f>
        <v>0.615</v>
      </c>
      <c r="H19" s="44" t="n">
        <f aca="false">AVERAGE(Y19,AN19)</f>
        <v>1.375</v>
      </c>
      <c r="I19" s="61" t="s">
        <v>205</v>
      </c>
      <c r="J19" s="2"/>
      <c r="K19" s="28"/>
      <c r="L19" s="46" t="n">
        <v>86.6</v>
      </c>
      <c r="M19" s="45" t="n">
        <f aca="false">( 5.7*R19+9.4*S19+4.1*(T19+U19) ) * 0.004184</f>
        <v>18.7372072</v>
      </c>
      <c r="N19" s="42" t="n">
        <v>13.3</v>
      </c>
      <c r="O19" s="42" t="n">
        <f aca="false">INDEX(ruminants!$D$3:$AH$120,$K19,O$4)</f>
        <v>71</v>
      </c>
      <c r="P19" s="42" t="n">
        <f aca="false">INDEX(ruminants!$D$3:$AH$120,$K19,P$4)</f>
        <v>12</v>
      </c>
      <c r="Q19" s="42" t="n">
        <f aca="false">INDEX(ruminants!$D$3:$AH$120,$K19,Q$4)</f>
        <v>12.6</v>
      </c>
      <c r="R19" s="46" t="n">
        <v>290</v>
      </c>
      <c r="S19" s="48" t="n">
        <v>14</v>
      </c>
      <c r="T19" s="48" t="n">
        <v>91</v>
      </c>
      <c r="U19" s="49" t="n">
        <f aca="false">1000-SUM(R19:T19,V19)</f>
        <v>566</v>
      </c>
      <c r="V19" s="50" t="n">
        <v>39</v>
      </c>
      <c r="W19" s="42" t="n">
        <f aca="false">R19*W$3/1000*100</f>
        <v>4.64</v>
      </c>
      <c r="X19" s="43" t="n">
        <f aca="false">5.5/1000*100</f>
        <v>0.55</v>
      </c>
      <c r="Y19" s="44" t="n">
        <f aca="false">11.5/1000*100</f>
        <v>1.15</v>
      </c>
      <c r="Z19" s="51" t="s">
        <v>213</v>
      </c>
      <c r="AA19" s="62"/>
      <c r="AB19" s="28" t="n">
        <f aca="false">MATCH($B19,pigs!$A$3:$A$60,0)</f>
        <v>57</v>
      </c>
      <c r="AC19" s="39" t="n">
        <f aca="false">INDEX(pigs!$D$3:$AO$60,$AB19,AC$4)</f>
        <v>87</v>
      </c>
      <c r="AD19" s="45" t="n">
        <f aca="false">( 5.7*AH19+9.4*AI19+4.1*(AJ19) ) * 0.004184</f>
        <v>18.8213056</v>
      </c>
      <c r="AE19" s="66" t="n">
        <v>15.5</v>
      </c>
      <c r="AF19" s="52" t="n">
        <f aca="false">INDEX(pigs!$D$3:$AO$60,$AB19,AF$4)</f>
        <v>10.7</v>
      </c>
      <c r="AG19" s="52" t="n">
        <f aca="false">INDEX(pigs!$D$3:$AO$60,$AB19,AG$4)</f>
        <v>10.9</v>
      </c>
      <c r="AH19" s="39" t="n">
        <f aca="false">INDEX(pigs!$D$3:$AO$60,$AB19,AH$4)</f>
        <v>311</v>
      </c>
      <c r="AI19" s="52" t="n">
        <f aca="false">INDEX(pigs!$D$3:$AO$60,$AB19,AI$4)</f>
        <v>13</v>
      </c>
      <c r="AJ19" s="49" t="n">
        <f aca="false">1000-SUM(AH19:AI19,AK19)</f>
        <v>635</v>
      </c>
      <c r="AK19" s="53" t="n">
        <f aca="false">INDEX(pigs!$D$3:$AO$60,$AB19,AK$4)</f>
        <v>41</v>
      </c>
      <c r="AL19" s="42" t="n">
        <f aca="false">AH19*AL$3/1000*100</f>
        <v>4.976</v>
      </c>
      <c r="AM19" s="43" t="n">
        <f aca="false">INDEX(pigs!$D$3:$AO$60,$AB19,AM$4)/1000*100</f>
        <v>0.68</v>
      </c>
      <c r="AN19" s="44" t="n">
        <f aca="false">INDEX(pigs!$D$3:$AO$60,$AB19,AN$4)/1000*100</f>
        <v>1.6</v>
      </c>
      <c r="AO19" s="13"/>
      <c r="AP19" s="64" t="s">
        <v>213</v>
      </c>
      <c r="AQ19" s="1" t="s">
        <v>202</v>
      </c>
      <c r="AR19" s="28"/>
      <c r="AS19" s="39"/>
      <c r="AT19" s="53"/>
    </row>
    <row r="20" customFormat="false" ht="16.4" hidden="false" customHeight="false" outlineLevel="0" collapsed="false">
      <c r="B20" s="1" t="s">
        <v>43</v>
      </c>
      <c r="C20" s="46" t="n">
        <f aca="false">100-9</f>
        <v>91</v>
      </c>
      <c r="D20" s="40" t="n">
        <f aca="false">M20</f>
        <v>27.903096</v>
      </c>
      <c r="E20" s="41" t="n">
        <f aca="false">AVERAGE(V20,AK20)/1000*100</f>
        <v>4.65</v>
      </c>
      <c r="F20" s="42" t="n">
        <f aca="false">AVERAGE(W20,AL20)</f>
        <v>3.336</v>
      </c>
      <c r="G20" s="43" t="n">
        <f aca="false">AVERAGE(X20,AM20)</f>
        <v>0.81</v>
      </c>
      <c r="H20" s="44" t="n">
        <f aca="false">AVERAGE(Y20,AN20)</f>
        <v>0.91</v>
      </c>
      <c r="I20" s="61" t="s">
        <v>205</v>
      </c>
      <c r="J20" s="2"/>
      <c r="K20" s="28" t="n">
        <f aca="false">MATCH($B20,ruminants!$A$3:$A$120,0)</f>
        <v>71</v>
      </c>
      <c r="L20" s="39" t="n">
        <f aca="false">INDEX(ruminants!$D$3:$AH$120,$K20,L$4)</f>
        <v>93</v>
      </c>
      <c r="M20" s="45" t="n">
        <f aca="false">( 5.7*R20+9.4*S20+4.1*(T20+U20) ) * 0.004184</f>
        <v>27.903096</v>
      </c>
      <c r="N20" s="42" t="n">
        <f aca="false">INDEX(ruminants!$D$3:$AH$120,$K20,N$4)</f>
        <v>22.1</v>
      </c>
      <c r="O20" s="42" t="n">
        <f aca="false">INDEX(ruminants!$D$3:$AH$120,$K20,O$4)</f>
        <v>56</v>
      </c>
      <c r="P20" s="42" t="n">
        <f aca="false">INDEX(ruminants!$D$3:$AH$120,$K20,P$4)</f>
        <v>111</v>
      </c>
      <c r="Q20" s="42" t="n">
        <f aca="false">INDEX(ruminants!$D$3:$AH$120,$K20,Q$4)</f>
        <v>22.1</v>
      </c>
      <c r="R20" s="46" t="n">
        <f aca="false">INDEX(ruminants!$D$3:$AH$120,$K20,R$4)</f>
        <v>210</v>
      </c>
      <c r="S20" s="48" t="n">
        <f aca="false">INDEX(ruminants!$D$3:$AH$120,$K20,S$4)</f>
        <v>460</v>
      </c>
      <c r="T20" s="48" t="n">
        <f aca="false">INDEX(ruminants!$D$3:$AH$120,$K20,T$4)</f>
        <v>80</v>
      </c>
      <c r="U20" s="48" t="n">
        <f aca="false">INDEX(ruminants!$D$3:$AH$120,$K20,U$4)</f>
        <v>200</v>
      </c>
      <c r="V20" s="50" t="n">
        <f aca="false">INDEX(ruminants!$D$3:$AH$120,$K20,V$4)</f>
        <v>50</v>
      </c>
      <c r="W20" s="42" t="n">
        <f aca="false">R20*W$3/1000*100</f>
        <v>3.36</v>
      </c>
      <c r="X20" s="43" t="n">
        <f aca="false">INDEX(ruminants!$D$3:$AH$120,$K20,X$4)/1000*100</f>
        <v>0.86</v>
      </c>
      <c r="Y20" s="44" t="n">
        <f aca="false">INDEX(ruminants!$D$3:$AH$120,$K20,Y$4)/1000*100</f>
        <v>0.82</v>
      </c>
      <c r="Z20" s="51"/>
      <c r="AA20" s="62"/>
      <c r="AB20" s="28" t="n">
        <f aca="false">MATCH($B20,pigs!$A$3:$A$60,0)</f>
        <v>33</v>
      </c>
      <c r="AC20" s="39" t="n">
        <f aca="false">INDEX(pigs!$D$3:$AO$60,$AB20,AC$4)</f>
        <v>92</v>
      </c>
      <c r="AD20" s="45" t="n">
        <f aca="false">( 5.7*AH20+9.4*AI20+4.1*(AJ20) ) * 0.004184</f>
        <v>27.8922176</v>
      </c>
      <c r="AE20" s="66" t="n">
        <v>23.5</v>
      </c>
      <c r="AF20" s="52" t="n">
        <f aca="false">INDEX(pigs!$D$3:$AO$60,$AB20,AF$4)</f>
        <v>18</v>
      </c>
      <c r="AG20" s="52" t="n">
        <f aca="false">INDEX(pigs!$D$3:$AO$60,$AB20,AG$4)</f>
        <v>18.5</v>
      </c>
      <c r="AH20" s="39" t="n">
        <f aca="false">INDEX(pigs!$D$3:$AO$60,$AB20,AH$4)</f>
        <v>207</v>
      </c>
      <c r="AI20" s="52" t="n">
        <f aca="false">INDEX(pigs!$D$3:$AO$60,$AB20,AI$4)</f>
        <v>455</v>
      </c>
      <c r="AJ20" s="49" t="n">
        <f aca="false">1000-SUM(AH20:AI20,AK20)</f>
        <v>295</v>
      </c>
      <c r="AK20" s="53" t="n">
        <f aca="false">INDEX(pigs!$D$3:$AO$60,$AB20,AK$4)</f>
        <v>43</v>
      </c>
      <c r="AL20" s="42" t="n">
        <f aca="false">AH20*AL$3/1000*100</f>
        <v>3.312</v>
      </c>
      <c r="AM20" s="43" t="n">
        <f aca="false">INDEX(pigs!$D$3:$AO$60,$AB20,AM$4)/1000*100</f>
        <v>0.76</v>
      </c>
      <c r="AN20" s="44" t="n">
        <f aca="false">INDEX(pigs!$D$3:$AO$60,$AB20,AN$4)/1000*100</f>
        <v>1</v>
      </c>
      <c r="AO20" s="13"/>
      <c r="AP20" s="64" t="s">
        <v>214</v>
      </c>
      <c r="AQ20" s="1" t="s">
        <v>202</v>
      </c>
      <c r="AR20" s="28"/>
      <c r="AS20" s="39"/>
      <c r="AT20" s="53" t="n">
        <v>16.8</v>
      </c>
      <c r="AU20" s="1" t="s">
        <v>214</v>
      </c>
    </row>
    <row r="21" customFormat="false" ht="16.4" hidden="false" customHeight="false" outlineLevel="0" collapsed="false">
      <c r="B21" s="1" t="s">
        <v>44</v>
      </c>
      <c r="C21" s="46" t="n">
        <f aca="false">100-9</f>
        <v>91</v>
      </c>
      <c r="D21" s="40" t="n">
        <f aca="false">M21</f>
        <v>26.501456</v>
      </c>
      <c r="E21" s="41" t="n">
        <f aca="false">AVERAGE(V21,AK21)/1000*100</f>
        <v>3.9</v>
      </c>
      <c r="F21" s="42" t="n">
        <f aca="false">AVERAGE(W21,AL21)</f>
        <v>3.736</v>
      </c>
      <c r="G21" s="43" t="n">
        <f aca="false">AVERAGE(X21,AM21)</f>
        <v>0.57</v>
      </c>
      <c r="H21" s="44" t="n">
        <f aca="false">AVERAGE(Y21,AN21)</f>
        <v>0.895</v>
      </c>
      <c r="I21" s="61" t="s">
        <v>205</v>
      </c>
      <c r="J21" s="2"/>
      <c r="K21" s="28" t="n">
        <f aca="false">MATCH($B21,ruminants!$A$3:$A$120,0)</f>
        <v>45</v>
      </c>
      <c r="L21" s="39" t="n">
        <f aca="false">INDEX(ruminants!$D$3:$AH$120,$K21,L$4)</f>
        <v>93</v>
      </c>
      <c r="M21" s="45" t="n">
        <f aca="false">( 5.7*R21+9.4*S21+4.1*(T21+U21) ) * 0.004184</f>
        <v>26.501456</v>
      </c>
      <c r="N21" s="42" t="n">
        <f aca="false">INDEX(ruminants!$D$3:$AH$120,$K21,N$4)</f>
        <v>20.1</v>
      </c>
      <c r="O21" s="42" t="n">
        <f aca="false">INDEX(ruminants!$D$3:$AH$120,$K21,O$4)</f>
        <v>51</v>
      </c>
      <c r="P21" s="42" t="n">
        <f aca="false">INDEX(ruminants!$D$3:$AH$120,$K21,P$4)</f>
        <v>154</v>
      </c>
      <c r="Q21" s="42" t="n">
        <f aca="false">INDEX(ruminants!$D$3:$AH$120,$K21,Q$4)</f>
        <v>20.8</v>
      </c>
      <c r="R21" s="46" t="n">
        <f aca="false">INDEX(ruminants!$D$3:$AH$120,$K21,R$4)</f>
        <v>240</v>
      </c>
      <c r="S21" s="48" t="n">
        <f aca="false">INDEX(ruminants!$D$3:$AH$120,$K21,S$4)</f>
        <v>380</v>
      </c>
      <c r="T21" s="48" t="n">
        <f aca="false">INDEX(ruminants!$D$3:$AH$120,$K21,T$4)</f>
        <v>70</v>
      </c>
      <c r="U21" s="48" t="n">
        <f aca="false">INDEX(ruminants!$D$3:$AH$120,$K21,U$4)</f>
        <v>270</v>
      </c>
      <c r="V21" s="50" t="n">
        <f aca="false">INDEX(ruminants!$D$3:$AH$120,$K21,V$4)</f>
        <v>40</v>
      </c>
      <c r="W21" s="42" t="n">
        <f aca="false">R21*W$3/1000*100</f>
        <v>3.84</v>
      </c>
      <c r="X21" s="43" t="n">
        <f aca="false">INDEX(ruminants!$D$3:$AH$120,$K21,X$4)/1000*100</f>
        <v>0.57</v>
      </c>
      <c r="Y21" s="44" t="n">
        <f aca="false">INDEX(ruminants!$D$3:$AH$120,$K21,Y$4)/1000*100</f>
        <v>0.9</v>
      </c>
      <c r="Z21" s="51"/>
      <c r="AA21" s="62"/>
      <c r="AB21" s="28" t="n">
        <f aca="false">MATCH($B21,pigs!$A$3:$A$60,0)</f>
        <v>14</v>
      </c>
      <c r="AC21" s="39" t="n">
        <f aca="false">INDEX(pigs!$D$3:$AO$60,$AB21,AC$4)</f>
        <v>91</v>
      </c>
      <c r="AD21" s="45" t="n">
        <f aca="false">( 5.7*AH21+9.4*AI21+4.1*(AJ21) ) * 0.004184</f>
        <v>27.712724</v>
      </c>
      <c r="AE21" s="66" t="n">
        <v>20.9</v>
      </c>
      <c r="AF21" s="52" t="n">
        <f aca="false">INDEX(pigs!$D$3:$AO$60,$AB21,AF$4)</f>
        <v>17.3</v>
      </c>
      <c r="AG21" s="52" t="n">
        <f aca="false">INDEX(pigs!$D$3:$AO$60,$AB21,AG$4)</f>
        <v>17.5</v>
      </c>
      <c r="AH21" s="39" t="n">
        <f aca="false">INDEX(pigs!$D$3:$AO$60,$AB21,AH$4)</f>
        <v>227</v>
      </c>
      <c r="AI21" s="52" t="n">
        <f aca="false">INDEX(pigs!$D$3:$AO$60,$AB21,AI$4)</f>
        <v>437</v>
      </c>
      <c r="AJ21" s="49" t="n">
        <f aca="false">1000-SUM(AH21:AI21,AK21)</f>
        <v>298</v>
      </c>
      <c r="AK21" s="53" t="n">
        <f aca="false">INDEX(pigs!$D$3:$AO$60,$AB21,AK$4)</f>
        <v>38</v>
      </c>
      <c r="AL21" s="42" t="n">
        <f aca="false">AH21*AL$3/1000*100</f>
        <v>3.632</v>
      </c>
      <c r="AM21" s="43" t="n">
        <f aca="false">INDEX(pigs!$D$3:$AO$60,$AB21,AM$4)/1000*100</f>
        <v>0.57</v>
      </c>
      <c r="AN21" s="44" t="n">
        <f aca="false">INDEX(pigs!$D$3:$AO$60,$AB21,AN$4)/1000*100</f>
        <v>0.89</v>
      </c>
      <c r="AO21" s="13"/>
      <c r="AP21" s="64" t="s">
        <v>215</v>
      </c>
      <c r="AQ21" s="1" t="s">
        <v>202</v>
      </c>
      <c r="AR21" s="28"/>
      <c r="AS21" s="39"/>
      <c r="AT21" s="53"/>
    </row>
    <row r="22" customFormat="false" ht="16.4" hidden="false" customHeight="false" outlineLevel="0" collapsed="false">
      <c r="B22" s="1" t="s">
        <v>45</v>
      </c>
      <c r="C22" s="46" t="n">
        <f aca="false">AVERAGE(AC22,L22)</f>
        <v>100</v>
      </c>
      <c r="D22" s="40" t="n">
        <f aca="false">M22</f>
        <v>39.3296</v>
      </c>
      <c r="E22" s="41" t="n">
        <f aca="false">AVERAGE(V22,AK22)/1000*100</f>
        <v>0</v>
      </c>
      <c r="F22" s="42" t="n">
        <f aca="false">AVERAGE(W22,AL22)</f>
        <v>0</v>
      </c>
      <c r="G22" s="43" t="n">
        <f aca="false">AVERAGE(X22,AM22)</f>
        <v>0</v>
      </c>
      <c r="H22" s="44" t="n">
        <f aca="false">AVERAGE(Y22,AN22)</f>
        <v>0</v>
      </c>
      <c r="I22" s="2"/>
      <c r="J22" s="2"/>
      <c r="K22" s="28"/>
      <c r="L22" s="39" t="n">
        <v>100</v>
      </c>
      <c r="M22" s="45" t="n">
        <f aca="false">( 5.7*R22+9.4*S22+4.1*(T22+U22) ) * 0.004184</f>
        <v>39.3296</v>
      </c>
      <c r="N22" s="42" t="n">
        <v>36.6</v>
      </c>
      <c r="O22" s="42" t="n">
        <f aca="false">INDEX(ruminants!$D$3:$AH$120,$K22,O$4)</f>
        <v>47</v>
      </c>
      <c r="P22" s="42" t="n">
        <f aca="false">INDEX(ruminants!$D$3:$AH$120,$K22,P$4)</f>
        <v>-35</v>
      </c>
      <c r="Q22" s="67" t="n">
        <f aca="false">N22</f>
        <v>36.6</v>
      </c>
      <c r="R22" s="46" t="n">
        <v>0</v>
      </c>
      <c r="S22" s="48" t="n">
        <v>1000</v>
      </c>
      <c r="T22" s="48" t="n">
        <v>0</v>
      </c>
      <c r="U22" s="48" t="n">
        <v>0</v>
      </c>
      <c r="V22" s="50" t="n">
        <v>0</v>
      </c>
      <c r="W22" s="42" t="n">
        <f aca="false">R22*W$3/1000*100</f>
        <v>0</v>
      </c>
      <c r="X22" s="43" t="n">
        <v>0</v>
      </c>
      <c r="Y22" s="44" t="n">
        <v>0</v>
      </c>
      <c r="Z22" s="51" t="s">
        <v>216</v>
      </c>
      <c r="AA22" s="62"/>
      <c r="AB22" s="28" t="n">
        <f aca="false">MATCH($B22,pigs!$A$3:$A$60,0)</f>
        <v>28</v>
      </c>
      <c r="AC22" s="39" t="n">
        <f aca="false">INDEX(pigs!$D$3:$AO$60,$AB22,AC$4)</f>
        <v>100</v>
      </c>
      <c r="AD22" s="45" t="n">
        <f aca="false">( 5.7*AH22+9.4*AI22+4.1*(AJ22) ) * 0.004184</f>
        <v>39.3296</v>
      </c>
      <c r="AE22" s="66" t="n">
        <v>34.5</v>
      </c>
      <c r="AF22" s="52" t="n">
        <f aca="false">INDEX(pigs!$D$3:$AO$60,$AB22,AF$4)</f>
        <v>29.8</v>
      </c>
      <c r="AG22" s="52" t="n">
        <f aca="false">INDEX(pigs!$D$3:$AO$60,$AB22,AG$4)</f>
        <v>29.8</v>
      </c>
      <c r="AH22" s="39" t="n">
        <f aca="false">INDEX(pigs!$D$3:$AO$60,$AB22,AH$4)</f>
        <v>0</v>
      </c>
      <c r="AI22" s="52" t="n">
        <f aca="false">INDEX(pigs!$D$3:$AO$60,$AB22,AI$4)</f>
        <v>1000</v>
      </c>
      <c r="AJ22" s="49" t="n">
        <f aca="false">1000-SUM(AH22:AI22,AK22)</f>
        <v>0</v>
      </c>
      <c r="AK22" s="53" t="n">
        <f aca="false">INDEX(pigs!$D$3:$AO$60,$AB22,AK$4)</f>
        <v>0</v>
      </c>
      <c r="AL22" s="42" t="n">
        <f aca="false">AH22*AL$3/1000*100</f>
        <v>0</v>
      </c>
      <c r="AM22" s="43" t="n">
        <f aca="false">INDEX(pigs!$D$3:$AO$60,$AB22,AM$4)/1000*100</f>
        <v>0</v>
      </c>
      <c r="AN22" s="44" t="n">
        <f aca="false">INDEX(pigs!$D$3:$AO$60,$AB22,AN$4)/1000*100</f>
        <v>0</v>
      </c>
      <c r="AO22" s="13"/>
      <c r="AP22" s="64" t="s">
        <v>216</v>
      </c>
      <c r="AQ22" s="1" t="s">
        <v>202</v>
      </c>
      <c r="AR22" s="28" t="n">
        <f aca="false">MATCH($B22,poultry!$A$3:$A$41,0)</f>
        <v>1</v>
      </c>
      <c r="AS22" s="39" t="n">
        <f aca="false">INDEX(poultry!$D$3:$U$41,$AR22,AS$4)</f>
        <v>99</v>
      </c>
      <c r="AT22" s="65" t="n">
        <f aca="false">INDEX(poultry!$D$3:$U$41,$AR22,AT$4)/(AS22/100)</f>
        <v>38.0808080808081</v>
      </c>
    </row>
    <row r="23" customFormat="false" ht="15" hidden="false" customHeight="false" outlineLevel="0" collapsed="false">
      <c r="B23" s="1" t="s">
        <v>78</v>
      </c>
      <c r="C23" s="46" t="n">
        <f aca="false">AVERAGE(AC23,L23)</f>
        <v>85</v>
      </c>
      <c r="D23" s="40" t="n">
        <f aca="false">M23</f>
        <v>16.9276272</v>
      </c>
      <c r="E23" s="41" t="n">
        <f aca="false">AVERAGE(V23,AK23)/1000*100</f>
        <v>6.6</v>
      </c>
      <c r="F23" s="42" t="n">
        <f aca="false">AVERAGE(W23,AL23)</f>
        <v>1.104</v>
      </c>
      <c r="G23" s="43" t="n">
        <f aca="false">AVERAGE(X23,AM23)</f>
        <v>0.26</v>
      </c>
      <c r="H23" s="44" t="n">
        <f aca="false">AVERAGE(Y23,AN23)</f>
        <v>1.68</v>
      </c>
      <c r="I23" s="2"/>
      <c r="J23" s="2"/>
      <c r="K23" s="28" t="n">
        <f aca="false">MATCH($B23,ruminants!$A$3:$A$120,0)</f>
        <v>22</v>
      </c>
      <c r="L23" s="39" t="n">
        <f aca="false">INDEX(ruminants!$D$3:$AH$120,$K23,L$4)</f>
        <v>85</v>
      </c>
      <c r="M23" s="45" t="n">
        <f aca="false">( 5.7*R23+9.4*S23+4.1*(T23+U23) ) * 0.004184</f>
        <v>16.9276272</v>
      </c>
      <c r="N23" s="42" t="n">
        <f aca="false">INDEX(ruminants!$D$3:$AH$120,$K23,N$4)</f>
        <v>6.6</v>
      </c>
      <c r="O23" s="42" t="n">
        <f aca="false">INDEX(ruminants!$D$3:$AH$120,$K23,O$4)</f>
        <v>45</v>
      </c>
      <c r="P23" s="42" t="n">
        <f aca="false">INDEX(ruminants!$D$3:$AH$120,$K23,P$4)</f>
        <v>-60</v>
      </c>
      <c r="Q23" s="42" t="n">
        <f aca="false">INDEX(ruminants!$D$3:$AH$120,$K23,Q$4)</f>
        <v>7.6</v>
      </c>
      <c r="R23" s="46" t="n">
        <f aca="false">INDEX(ruminants!$D$3:$AH$120,$K23,R$4)</f>
        <v>69</v>
      </c>
      <c r="S23" s="48" t="n">
        <f aca="false">INDEX(ruminants!$D$3:$AH$120,$K23,S$4)</f>
        <v>20</v>
      </c>
      <c r="T23" s="48" t="n">
        <f aca="false">INDEX(ruminants!$D$3:$AH$120,$K23,T$4)</f>
        <v>436</v>
      </c>
      <c r="U23" s="48" t="n">
        <f aca="false">INDEX(ruminants!$D$3:$AH$120,$K23,U$4)</f>
        <v>409</v>
      </c>
      <c r="V23" s="50" t="n">
        <f aca="false">INDEX(ruminants!$D$3:$AH$120,$K23,V$4)</f>
        <v>66</v>
      </c>
      <c r="W23" s="42" t="n">
        <f aca="false">R23*W$3/1000*100</f>
        <v>1.104</v>
      </c>
      <c r="X23" s="43" t="n">
        <f aca="false">INDEX(ruminants!$D$3:$AH$120,$K23,X$4)/1000*100</f>
        <v>0.26</v>
      </c>
      <c r="Y23" s="44" t="n">
        <f aca="false">INDEX(ruminants!$D$3:$AH$120,$K23,Y$4)/1000*100</f>
        <v>1.68</v>
      </c>
      <c r="Z23" s="51"/>
      <c r="AA23" s="62"/>
      <c r="AB23" s="28"/>
      <c r="AC23" s="39"/>
      <c r="AD23" s="52"/>
      <c r="AE23" s="63"/>
      <c r="AF23" s="52"/>
      <c r="AG23" s="52"/>
      <c r="AH23" s="39"/>
      <c r="AI23" s="52"/>
      <c r="AJ23" s="52"/>
      <c r="AK23" s="53"/>
      <c r="AL23" s="42"/>
      <c r="AM23" s="43"/>
      <c r="AN23" s="44"/>
      <c r="AO23" s="13"/>
      <c r="AP23" s="64"/>
      <c r="AQ23" s="1" t="s">
        <v>202</v>
      </c>
      <c r="AR23" s="28"/>
      <c r="AS23" s="39"/>
      <c r="AT23" s="53"/>
    </row>
    <row r="24" customFormat="false" ht="16.4" hidden="false" customHeight="false" outlineLevel="0" collapsed="false">
      <c r="B24" s="1" t="s">
        <v>49</v>
      </c>
      <c r="C24" s="46" t="n">
        <f aca="false">AVERAGE(AC24,L24)</f>
        <v>87</v>
      </c>
      <c r="D24" s="40" t="n">
        <f aca="false">M24</f>
        <v>22.965976</v>
      </c>
      <c r="E24" s="41" t="n">
        <f aca="false">AVERAGE(V24,AK24)/1000*100</f>
        <v>5</v>
      </c>
      <c r="F24" s="42" t="n">
        <f aca="false">AVERAGE(W24,AL24)</f>
        <v>6.4</v>
      </c>
      <c r="G24" s="43" t="n">
        <f aca="false">AVERAGE(X24,AM24)</f>
        <v>0.63</v>
      </c>
      <c r="H24" s="44" t="n">
        <f aca="false">AVERAGE(Y24,AN24)</f>
        <v>1.9</v>
      </c>
      <c r="I24" s="2"/>
      <c r="J24" s="2"/>
      <c r="K24" s="28" t="n">
        <f aca="false">MATCH($B24,ruminants!$A$3:$A$120,0)</f>
        <v>92</v>
      </c>
      <c r="L24" s="39" t="n">
        <f aca="false">INDEX(ruminants!$D$3:$AH$120,$K24,L$4)</f>
        <v>87</v>
      </c>
      <c r="M24" s="45" t="n">
        <f aca="false">( 5.7*R24+9.4*S24+4.1*(T24+U24) ) * 0.004184</f>
        <v>22.965976</v>
      </c>
      <c r="N24" s="42" t="n">
        <f aca="false">INDEX(ruminants!$D$3:$AH$120,$K24,N$4)</f>
        <v>16.4</v>
      </c>
      <c r="O24" s="42" t="n">
        <f aca="false">INDEX(ruminants!$D$3:$AH$120,$K24,O$4)</f>
        <v>69</v>
      </c>
      <c r="P24" s="42" t="n">
        <f aca="false">INDEX(ruminants!$D$3:$AH$120,$K24,P$4)</f>
        <v>273</v>
      </c>
      <c r="Q24" s="42" t="n">
        <f aca="false">INDEX(ruminants!$D$3:$AH$120,$K24,Q$4)</f>
        <v>18.4</v>
      </c>
      <c r="R24" s="46" t="n">
        <f aca="false">INDEX(ruminants!$D$3:$AH$120,$K24,R$4)</f>
        <v>400</v>
      </c>
      <c r="S24" s="48" t="n">
        <f aca="false">INDEX(ruminants!$D$3:$AH$120,$K24,S$4)</f>
        <v>180</v>
      </c>
      <c r="T24" s="48" t="n">
        <f aca="false">INDEX(ruminants!$D$3:$AH$120,$K24,T$4)</f>
        <v>60</v>
      </c>
      <c r="U24" s="48" t="n">
        <f aca="false">INDEX(ruminants!$D$3:$AH$120,$K24,U$4)</f>
        <v>310</v>
      </c>
      <c r="V24" s="50" t="n">
        <f aca="false">INDEX(ruminants!$D$3:$AH$120,$K24,V$4)</f>
        <v>50</v>
      </c>
      <c r="W24" s="42" t="n">
        <f aca="false">R24*W$3/1000*100</f>
        <v>6.4</v>
      </c>
      <c r="X24" s="43" t="n">
        <f aca="false">INDEX(ruminants!$D$3:$AH$120,$K24,X$4)/1000*100</f>
        <v>0.63</v>
      </c>
      <c r="Y24" s="44" t="n">
        <f aca="false">INDEX(ruminants!$D$3:$AH$120,$K24,Y$4)/1000*100</f>
        <v>1.9</v>
      </c>
      <c r="Z24" s="51"/>
      <c r="AA24" s="62"/>
      <c r="AB24" s="28"/>
      <c r="AC24" s="39"/>
      <c r="AD24" s="52"/>
      <c r="AE24" s="63"/>
      <c r="AF24" s="52"/>
      <c r="AG24" s="52"/>
      <c r="AH24" s="39"/>
      <c r="AI24" s="52"/>
      <c r="AJ24" s="52"/>
      <c r="AK24" s="53"/>
      <c r="AL24" s="42"/>
      <c r="AM24" s="43"/>
      <c r="AN24" s="44"/>
      <c r="AO24" s="13"/>
      <c r="AP24" s="64"/>
      <c r="AQ24" s="1" t="s">
        <v>202</v>
      </c>
      <c r="AR24" s="28"/>
      <c r="AS24" s="39"/>
      <c r="AT24" s="53" t="n">
        <v>16</v>
      </c>
      <c r="AU24" s="23" t="s">
        <v>217</v>
      </c>
    </row>
    <row r="25" customFormat="false" ht="16.4" hidden="false" customHeight="false" outlineLevel="0" collapsed="false">
      <c r="B25" s="1" t="s">
        <v>51</v>
      </c>
      <c r="C25" s="46" t="n">
        <f aca="false">AVERAGE(AC25,L25)</f>
        <v>87.5</v>
      </c>
      <c r="D25" s="40" t="n">
        <f aca="false">M25</f>
        <v>19.589488</v>
      </c>
      <c r="E25" s="41" t="n">
        <f aca="false">AVERAGE(V25,AK25)/1000*100</f>
        <v>7.15</v>
      </c>
      <c r="F25" s="42" t="n">
        <f aca="false">AVERAGE(W25,AL25)</f>
        <v>8.208</v>
      </c>
      <c r="G25" s="43" t="n">
        <f aca="false">AVERAGE(X25,AM25)</f>
        <v>0.715</v>
      </c>
      <c r="H25" s="44" t="n">
        <f aca="false">AVERAGE(Y25,AN25)</f>
        <v>2.35</v>
      </c>
      <c r="I25" s="2"/>
      <c r="J25" s="2"/>
      <c r="K25" s="28" t="n">
        <f aca="false">MATCH($B25,ruminants!$A$3:$A$120,0)</f>
        <v>93</v>
      </c>
      <c r="L25" s="39" t="n">
        <f aca="false">INDEX(ruminants!$D$3:$AH$120,$K25,L$4)</f>
        <v>87</v>
      </c>
      <c r="M25" s="45" t="n">
        <f aca="false">( 5.7*R25+9.4*S25+4.1*(T25+U25) ) * 0.004184</f>
        <v>19.589488</v>
      </c>
      <c r="N25" s="42" t="n">
        <f aca="false">INDEX(ruminants!$D$3:$AH$120,$K25,N$4)</f>
        <v>14.6</v>
      </c>
      <c r="O25" s="42" t="n">
        <f aca="false">INDEX(ruminants!$D$3:$AH$120,$K25,O$4)</f>
        <v>182</v>
      </c>
      <c r="P25" s="42" t="n">
        <f aca="false">INDEX(ruminants!$D$3:$AH$120,$K25,P$4)</f>
        <v>261</v>
      </c>
      <c r="Q25" s="42" t="n">
        <f aca="false">INDEX(ruminants!$D$3:$AH$120,$K25,Q$4)</f>
        <v>17.8</v>
      </c>
      <c r="R25" s="46" t="n">
        <f aca="false">INDEX(ruminants!$D$3:$AH$120,$K25,R$4)</f>
        <v>510</v>
      </c>
      <c r="S25" s="48" t="n">
        <f aca="false">INDEX(ruminants!$D$3:$AH$120,$K25,S$4)</f>
        <v>10</v>
      </c>
      <c r="T25" s="48" t="n">
        <f aca="false">INDEX(ruminants!$D$3:$AH$120,$K25,T$4)</f>
        <v>60</v>
      </c>
      <c r="U25" s="48" t="n">
        <f aca="false">INDEX(ruminants!$D$3:$AH$120,$K25,U$4)</f>
        <v>350</v>
      </c>
      <c r="V25" s="50" t="n">
        <f aca="false">INDEX(ruminants!$D$3:$AH$120,$K25,V$4)</f>
        <v>70</v>
      </c>
      <c r="W25" s="42" t="n">
        <f aca="false">R25*W$3/1000*100</f>
        <v>8.16</v>
      </c>
      <c r="X25" s="43" t="n">
        <f aca="false">INDEX(ruminants!$D$3:$AH$120,$K25,X$4)/1000*100</f>
        <v>0.72</v>
      </c>
      <c r="Y25" s="44" t="n">
        <f aca="false">INDEX(ruminants!$D$3:$AH$120,$K25,Y$4)/1000*100</f>
        <v>2.3</v>
      </c>
      <c r="Z25" s="51"/>
      <c r="AA25" s="62"/>
      <c r="AB25" s="28" t="n">
        <f aca="false">MATCH($B25,pigs!$A$3:$A$60,0)</f>
        <v>43</v>
      </c>
      <c r="AC25" s="39" t="n">
        <f aca="false">INDEX(pigs!$D$3:$AO$60,$AB25,AC$4)</f>
        <v>88</v>
      </c>
      <c r="AD25" s="45" t="n">
        <f aca="false">( 5.7*AH25+9.4*AI25+4.1*(AJ25) ) * 0.004184</f>
        <v>19.8221184</v>
      </c>
      <c r="AE25" s="66" t="n">
        <v>16.8</v>
      </c>
      <c r="AF25" s="52" t="n">
        <f aca="false">INDEX(pigs!$D$3:$AO$60,$AB25,AF$4)</f>
        <v>9.3</v>
      </c>
      <c r="AG25" s="52" t="n">
        <f aca="false">INDEX(pigs!$D$3:$AO$60,$AB25,AG$4)</f>
        <v>9.9</v>
      </c>
      <c r="AH25" s="39" t="n">
        <f aca="false">INDEX(pigs!$D$3:$AO$60,$AB25,AH$4)</f>
        <v>516</v>
      </c>
      <c r="AI25" s="52" t="n">
        <f aca="false">INDEX(pigs!$D$3:$AO$60,$AB25,AI$4)</f>
        <v>21</v>
      </c>
      <c r="AJ25" s="49" t="n">
        <f aca="false">1000-SUM(AH25:AI25,AK25)</f>
        <v>390</v>
      </c>
      <c r="AK25" s="53" t="n">
        <f aca="false">INDEX(pigs!$D$3:$AO$60,$AB25,AK$4)</f>
        <v>73</v>
      </c>
      <c r="AL25" s="42" t="n">
        <f aca="false">AH25*AL$3/1000*100</f>
        <v>8.256</v>
      </c>
      <c r="AM25" s="43" t="n">
        <f aca="false">INDEX(pigs!$D$3:$AO$60,$AB25,AM$4)/1000*100</f>
        <v>0.71</v>
      </c>
      <c r="AN25" s="44" t="n">
        <f aca="false">INDEX(pigs!$D$3:$AO$60,$AB25,AN$4)/1000*100</f>
        <v>2.4</v>
      </c>
      <c r="AO25" s="13"/>
      <c r="AP25" s="64" t="s">
        <v>218</v>
      </c>
      <c r="AQ25" s="1" t="s">
        <v>202</v>
      </c>
      <c r="AR25" s="28" t="n">
        <f aca="false">MATCH($B25,poultry!$A$3:$A$41,0)</f>
        <v>33</v>
      </c>
      <c r="AS25" s="39" t="n">
        <f aca="false">INDEX(poultry!$D$3:$U$41,$AR25,AS$4)</f>
        <v>87</v>
      </c>
      <c r="AT25" s="65" t="n">
        <f aca="false">INDEX(poultry!$D$3:$U$41,$AR25,AT$4)/(AS25/100)</f>
        <v>10.4597701149425</v>
      </c>
    </row>
    <row r="26" customFormat="false" ht="16.4" hidden="false" customHeight="false" outlineLevel="0" collapsed="false">
      <c r="B26" s="1" t="s">
        <v>52</v>
      </c>
      <c r="C26" s="46" t="n">
        <f aca="false">AVERAGE(AC26,L26)</f>
        <v>87.5</v>
      </c>
      <c r="D26" s="40" t="n">
        <f aca="false">AD26</f>
        <v>20.5605944</v>
      </c>
      <c r="E26" s="41" t="n">
        <f aca="false">AVERAGE(V26,AK26)/1000*100</f>
        <v>7.35</v>
      </c>
      <c r="F26" s="42" t="n">
        <f aca="false">AVERAGE(W26,AL26)</f>
        <v>9.288</v>
      </c>
      <c r="G26" s="43" t="n">
        <f aca="false">AVERAGE(X26,AM26)</f>
        <v>0.79</v>
      </c>
      <c r="H26" s="44" t="n">
        <f aca="false">AVERAGE(Y26,AN26)</f>
        <v>2.465</v>
      </c>
      <c r="I26" s="2"/>
      <c r="J26" s="2"/>
      <c r="K26" s="28"/>
      <c r="L26" s="39" t="n">
        <v>88</v>
      </c>
      <c r="M26" s="45" t="n">
        <f aca="false">( 5.7*R26+9.4*S26+4.1*(T26+U26) ) * 0.004184</f>
        <v>19.974416</v>
      </c>
      <c r="N26" s="42" t="n">
        <v>13.4</v>
      </c>
      <c r="O26" s="42" t="n">
        <f aca="false">INDEX(ruminants!$D$3:$AH$120,$K26,O$4)</f>
        <v>59</v>
      </c>
      <c r="P26" s="42" t="n">
        <f aca="false">INDEX(ruminants!$D$3:$AH$120,$K26,P$4)</f>
        <v>-67</v>
      </c>
      <c r="Q26" s="42" t="n">
        <f aca="false">M26*0.911</f>
        <v>18.196692976</v>
      </c>
      <c r="R26" s="46" t="n">
        <v>552</v>
      </c>
      <c r="S26" s="48" t="n">
        <v>17</v>
      </c>
      <c r="T26" s="48" t="n">
        <v>44</v>
      </c>
      <c r="U26" s="49" t="n">
        <f aca="false">1000-SUM(R26:T26,V26)</f>
        <v>314</v>
      </c>
      <c r="V26" s="50" t="n">
        <v>73</v>
      </c>
      <c r="W26" s="42" t="n">
        <f aca="false">R26*W$3/1000*100</f>
        <v>8.832</v>
      </c>
      <c r="X26" s="43" t="n">
        <f aca="false">7.1/1000*100</f>
        <v>0.71</v>
      </c>
      <c r="Y26" s="44" t="n">
        <f aca="false">24.3/1000*100</f>
        <v>2.43</v>
      </c>
      <c r="Z26" s="51" t="s">
        <v>219</v>
      </c>
      <c r="AA26" s="62"/>
      <c r="AB26" s="28" t="n">
        <f aca="false">MATCH($B26,pigs!$A$3:$A$60,0)</f>
        <v>45</v>
      </c>
      <c r="AC26" s="39" t="n">
        <f aca="false">INDEX(pigs!$D$3:$AO$60,$AB26,AC$4)</f>
        <v>87</v>
      </c>
      <c r="AD26" s="45" t="n">
        <f aca="false">( 5.7*AH26+9.4*AI26+4.1*(AJ26) ) * 0.004184</f>
        <v>20.5605944</v>
      </c>
      <c r="AE26" s="66" t="n">
        <v>17.3</v>
      </c>
      <c r="AF26" s="52" t="n">
        <f aca="false">INDEX(pigs!$D$3:$AO$60,$AB26,AF$4)</f>
        <v>9.7</v>
      </c>
      <c r="AG26" s="52" t="n">
        <f aca="false">INDEX(pigs!$D$3:$AO$60,$AB26,AG$4)</f>
        <v>10.3</v>
      </c>
      <c r="AH26" s="39" t="n">
        <f aca="false">INDEX(pigs!$D$3:$AO$60,$AB26,AH$4)</f>
        <v>609</v>
      </c>
      <c r="AI26" s="52" t="n">
        <f aca="false">INDEX(pigs!$D$3:$AO$60,$AB26,AI$4)</f>
        <v>27</v>
      </c>
      <c r="AJ26" s="49" t="n">
        <f aca="false">1000-SUM(AH26:AI26,AK26)</f>
        <v>290</v>
      </c>
      <c r="AK26" s="53" t="n">
        <f aca="false">INDEX(pigs!$D$3:$AO$60,$AB26,AK$4)</f>
        <v>74</v>
      </c>
      <c r="AL26" s="42" t="n">
        <f aca="false">AH26*AL$3/1000*100</f>
        <v>9.744</v>
      </c>
      <c r="AM26" s="43" t="n">
        <f aca="false">INDEX(pigs!$D$3:$AO$60,$AB26,AM$4)/1000*100</f>
        <v>0.87</v>
      </c>
      <c r="AN26" s="44" t="n">
        <f aca="false">INDEX(pigs!$D$3:$AO$60,$AB26,AN$4)/1000*100</f>
        <v>2.5</v>
      </c>
      <c r="AO26" s="13"/>
      <c r="AP26" s="64" t="s">
        <v>219</v>
      </c>
      <c r="AQ26" s="1" t="s">
        <v>202</v>
      </c>
      <c r="AR26" s="28"/>
      <c r="AS26" s="39"/>
      <c r="AT26" s="53"/>
    </row>
    <row r="27" customFormat="false" ht="16.4" hidden="false" customHeight="false" outlineLevel="0" collapsed="false">
      <c r="B27" s="1" t="s">
        <v>46</v>
      </c>
      <c r="C27" s="46" t="n">
        <f aca="false">AVERAGE(AC27,L27)</f>
        <v>89.5</v>
      </c>
      <c r="D27" s="40" t="n">
        <f aca="false">M27</f>
        <v>19.4920008</v>
      </c>
      <c r="E27" s="41" t="n">
        <f aca="false">AVERAGE(V27,AK27)/1000*100</f>
        <v>7.7</v>
      </c>
      <c r="F27" s="42" t="n">
        <f aca="false">AVERAGE(W27,AL27)</f>
        <v>6.152</v>
      </c>
      <c r="G27" s="43" t="n">
        <f aca="false">AVERAGE(X27,AM27)</f>
        <v>1.245</v>
      </c>
      <c r="H27" s="44" t="n">
        <f aca="false">AVERAGE(Y27,AN27)</f>
        <v>1.55</v>
      </c>
      <c r="I27" s="2"/>
      <c r="J27" s="2"/>
      <c r="K27" s="28" t="n">
        <f aca="false">MATCH($B27,ruminants!$A$3:$A$120,0)</f>
        <v>70</v>
      </c>
      <c r="L27" s="39" t="n">
        <f aca="false">INDEX(ruminants!$D$3:$AH$120,$K27,L$4)</f>
        <v>90</v>
      </c>
      <c r="M27" s="45" t="n">
        <f aca="false">( 5.7*R27+9.4*S27+4.1*(T27+U27) ) * 0.004184</f>
        <v>19.4920008</v>
      </c>
      <c r="N27" s="42" t="n">
        <f aca="false">INDEX(ruminants!$D$3:$AH$120,$K27,N$4)</f>
        <v>12.2</v>
      </c>
      <c r="O27" s="42" t="n">
        <f aca="false">INDEX(ruminants!$D$3:$AH$120,$K27,O$4)</f>
        <v>221</v>
      </c>
      <c r="P27" s="42" t="n">
        <f aca="false">INDEX(ruminants!$D$3:$AH$120,$K27,P$4)</f>
        <v>79</v>
      </c>
      <c r="Q27" s="42" t="n">
        <f aca="false">INDEX(ruminants!$D$3:$AH$120,$K27,Q$4)</f>
        <v>14.6</v>
      </c>
      <c r="R27" s="46" t="n">
        <f aca="false">INDEX(ruminants!$D$3:$AH$120,$K27,R$4)</f>
        <v>389</v>
      </c>
      <c r="S27" s="48" t="n">
        <f aca="false">INDEX(ruminants!$D$3:$AH$120,$K27,S$4)</f>
        <v>46</v>
      </c>
      <c r="T27" s="48" t="n">
        <f aca="false">INDEX(ruminants!$D$3:$AH$120,$K27,T$4)</f>
        <v>140</v>
      </c>
      <c r="U27" s="48" t="n">
        <f aca="false">INDEX(ruminants!$D$3:$AH$120,$K27,U$4)</f>
        <v>350</v>
      </c>
      <c r="V27" s="50" t="n">
        <f aca="false">INDEX(ruminants!$D$3:$AH$120,$K27,V$4)</f>
        <v>75</v>
      </c>
      <c r="W27" s="42" t="n">
        <f aca="false">R27*W$3/1000*100</f>
        <v>6.224</v>
      </c>
      <c r="X27" s="43" t="n">
        <f aca="false">INDEX(ruminants!$D$3:$AH$120,$K27,X$4)/1000*100</f>
        <v>1.2</v>
      </c>
      <c r="Y27" s="44" t="n">
        <f aca="false">INDEX(ruminants!$D$3:$AH$120,$K27,Y$4)/1000*100</f>
        <v>1.6</v>
      </c>
      <c r="Z27" s="51"/>
      <c r="AA27" s="62"/>
      <c r="AB27" s="28" t="n">
        <f aca="false">MATCH($B27,pigs!$A$3:$A$60,0)</f>
        <v>36</v>
      </c>
      <c r="AC27" s="39" t="n">
        <f aca="false">INDEX(pigs!$D$3:$AO$60,$AB27,AC$4)</f>
        <v>89</v>
      </c>
      <c r="AD27" s="45" t="n">
        <f aca="false">( 5.7*AH27+9.4*AI27+4.1*(AJ27) ) * 0.004184</f>
        <v>18.9196296</v>
      </c>
      <c r="AE27" s="66" t="n">
        <v>13.3</v>
      </c>
      <c r="AF27" s="52" t="n">
        <f aca="false">INDEX(pigs!$D$3:$AO$60,$AB27,AF$4)</f>
        <v>7.1</v>
      </c>
      <c r="AG27" s="52" t="n">
        <f aca="false">INDEX(pigs!$D$3:$AO$60,$AB27,AG$4)</f>
        <v>7.7</v>
      </c>
      <c r="AH27" s="39" t="n">
        <f aca="false">INDEX(pigs!$D$3:$AO$60,$AB27,AH$4)</f>
        <v>380</v>
      </c>
      <c r="AI27" s="52" t="n">
        <f aca="false">INDEX(pigs!$D$3:$AO$60,$AB27,AI$4)</f>
        <v>26</v>
      </c>
      <c r="AJ27" s="49" t="n">
        <f aca="false">1000-SUM(AH27:AI27,AK27)</f>
        <v>515</v>
      </c>
      <c r="AK27" s="53" t="n">
        <f aca="false">INDEX(pigs!$D$3:$AO$60,$AB27,AK$4)</f>
        <v>79</v>
      </c>
      <c r="AL27" s="42" t="n">
        <f aca="false">AH27*AL$3/1000*100</f>
        <v>6.08</v>
      </c>
      <c r="AM27" s="43" t="n">
        <f aca="false">INDEX(pigs!$D$3:$AO$60,$AB27,AM$4)/1000*100</f>
        <v>1.29</v>
      </c>
      <c r="AN27" s="44" t="n">
        <f aca="false">INDEX(pigs!$D$3:$AO$60,$AB27,AN$4)/1000*100</f>
        <v>1.5</v>
      </c>
      <c r="AO27" s="13"/>
      <c r="AP27" s="64" t="s">
        <v>220</v>
      </c>
      <c r="AQ27" s="1" t="s">
        <v>202</v>
      </c>
      <c r="AR27" s="28" t="n">
        <f aca="false">MATCH($B27,poultry!$A$3:$A$41,0)</f>
        <v>29</v>
      </c>
      <c r="AS27" s="39" t="n">
        <f aca="false">INDEX(poultry!$D$3:$U$41,$AR27,AS$4)</f>
        <v>90</v>
      </c>
      <c r="AT27" s="65" t="n">
        <f aca="false">INDEX(poultry!$D$3:$U$41,$AR27,AT$4)/(AS27/100)</f>
        <v>8.44444444444445</v>
      </c>
    </row>
    <row r="28" customFormat="false" ht="15" hidden="false" customHeight="false" outlineLevel="0" collapsed="false">
      <c r="B28" s="1" t="s">
        <v>54</v>
      </c>
      <c r="C28" s="46" t="n">
        <f aca="false">AVERAGE(AC28,L28)</f>
        <v>91.5</v>
      </c>
      <c r="D28" s="40" t="n">
        <f aca="false">M28</f>
        <v>21.972276</v>
      </c>
      <c r="E28" s="41" t="n">
        <f aca="false">AVERAGE(V28,AK28)/1000*100</f>
        <v>6.75</v>
      </c>
      <c r="F28" s="42" t="n">
        <f aca="false">AVERAGE(W28,AL28)</f>
        <v>5.168</v>
      </c>
      <c r="G28" s="43" t="n">
        <f aca="false">AVERAGE(X28,AM28)</f>
        <v>1.15</v>
      </c>
      <c r="H28" s="44" t="n">
        <f aca="false">AVERAGE(Y28,AN28)</f>
        <v>1.325</v>
      </c>
      <c r="I28" s="2"/>
      <c r="J28" s="2"/>
      <c r="K28" s="28" t="n">
        <f aca="false">MATCH($B28,ruminants!$A$3:$A$120,0)</f>
        <v>66</v>
      </c>
      <c r="L28" s="39" t="n">
        <f aca="false">INDEX(ruminants!$D$3:$AH$120,$K28,L$4)</f>
        <v>94</v>
      </c>
      <c r="M28" s="45" t="n">
        <f aca="false">( 5.7*R28+9.4*S28+4.1*(T28+U28) ) * 0.004184</f>
        <v>21.972276</v>
      </c>
      <c r="N28" s="42" t="n">
        <f aca="false">INDEX(ruminants!$D$3:$AH$120,$K28,N$4)</f>
        <v>15.6</v>
      </c>
      <c r="O28" s="42" t="n">
        <f aca="false">INDEX(ruminants!$D$3:$AH$120,$K28,O$4)</f>
        <v>80</v>
      </c>
      <c r="P28" s="42" t="n">
        <f aca="false">INDEX(ruminants!$D$3:$AH$120,$K28,P$4)</f>
        <v>180</v>
      </c>
      <c r="Q28" s="42" t="n">
        <f aca="false">INDEX(ruminants!$D$3:$AH$120,$K28,Q$4)</f>
        <v>17.3</v>
      </c>
      <c r="R28" s="46" t="n">
        <f aca="false">INDEX(ruminants!$D$3:$AH$120,$K28,R$4)</f>
        <v>315</v>
      </c>
      <c r="S28" s="48" t="n">
        <f aca="false">INDEX(ruminants!$D$3:$AH$120,$K28,S$4)</f>
        <v>174</v>
      </c>
      <c r="T28" s="48" t="n">
        <f aca="false">INDEX(ruminants!$D$3:$AH$120,$K28,T$4)</f>
        <v>117</v>
      </c>
      <c r="U28" s="48" t="n">
        <f aca="false">INDEX(ruminants!$D$3:$AH$120,$K28,U$4)</f>
        <v>327</v>
      </c>
      <c r="V28" s="50" t="n">
        <f aca="false">INDEX(ruminants!$D$3:$AH$120,$K28,V$4)</f>
        <v>67</v>
      </c>
      <c r="W28" s="42" t="n">
        <f aca="false">R28*W$3/1000*100</f>
        <v>5.04</v>
      </c>
      <c r="X28" s="43" t="n">
        <f aca="false">INDEX(ruminants!$D$3:$AH$120,$K28,X$4)/1000*100</f>
        <v>1.1</v>
      </c>
      <c r="Y28" s="44" t="n">
        <f aca="false">INDEX(ruminants!$D$3:$AH$120,$K28,Y$4)/1000*100</f>
        <v>1.3</v>
      </c>
      <c r="Z28" s="51"/>
      <c r="AA28" s="62"/>
      <c r="AB28" s="28" t="n">
        <f aca="false">MATCH($B28,pigs!$A$3:$A$60,0)</f>
        <v>34</v>
      </c>
      <c r="AC28" s="39" t="n">
        <f aca="false">INDEX(pigs!$D$3:$AO$60,$AB28,AC$4)</f>
        <v>89</v>
      </c>
      <c r="AD28" s="45" t="n">
        <f aca="false">( 5.7*AH28+9.4*AI28+4.1*(AJ28) ) * 0.004184</f>
        <v>21.84048</v>
      </c>
      <c r="AE28" s="66" t="n">
        <v>14.3</v>
      </c>
      <c r="AF28" s="52" t="n">
        <f aca="false">INDEX(pigs!$D$3:$AO$60,$AB28,AF$4)</f>
        <v>9.7</v>
      </c>
      <c r="AG28" s="52" t="n">
        <f aca="false">INDEX(pigs!$D$3:$AO$60,$AB28,AG$4)</f>
        <v>10.2</v>
      </c>
      <c r="AH28" s="39" t="n">
        <f aca="false">INDEX(pigs!$D$3:$AO$60,$AB28,AH$4)</f>
        <v>331</v>
      </c>
      <c r="AI28" s="52" t="n">
        <f aca="false">INDEX(pigs!$D$3:$AO$60,$AB28,AI$4)</f>
        <v>164</v>
      </c>
      <c r="AJ28" s="49" t="n">
        <f aca="false">1000-SUM(AH28:AI28,AK28)</f>
        <v>437</v>
      </c>
      <c r="AK28" s="53" t="n">
        <f aca="false">INDEX(pigs!$D$3:$AO$60,$AB28,AK$4)</f>
        <v>68</v>
      </c>
      <c r="AL28" s="42" t="n">
        <f aca="false">AH28*AL$3/1000*100</f>
        <v>5.296</v>
      </c>
      <c r="AM28" s="43" t="n">
        <f aca="false">INDEX(pigs!$D$3:$AO$60,$AB28,AM$4)/1000*100</f>
        <v>1.2</v>
      </c>
      <c r="AN28" s="44" t="n">
        <f aca="false">INDEX(pigs!$D$3:$AO$60,$AB28,AN$4)/1000*100</f>
        <v>1.35</v>
      </c>
      <c r="AO28" s="13"/>
      <c r="AP28" s="64"/>
      <c r="AR28" s="28"/>
      <c r="AS28" s="39"/>
      <c r="AT28" s="65"/>
    </row>
    <row r="29" customFormat="false" ht="16.4" hidden="false" customHeight="false" outlineLevel="0" collapsed="false">
      <c r="B29" s="1" t="s">
        <v>55</v>
      </c>
      <c r="C29" s="46" t="n">
        <f aca="false">AVERAGE(AC29,L29)</f>
        <v>91</v>
      </c>
      <c r="D29" s="40" t="n">
        <f aca="false">M29</f>
        <v>19.083224</v>
      </c>
      <c r="E29" s="41" t="n">
        <f aca="false">AVERAGE(V29,AK29)/1000*100</f>
        <v>7.75</v>
      </c>
      <c r="F29" s="42" t="n">
        <f aca="false">AVERAGE(W29,AL29)</f>
        <v>6.664</v>
      </c>
      <c r="G29" s="43" t="n">
        <f aca="false">AVERAGE(X29,AM29)</f>
        <v>1.305</v>
      </c>
      <c r="H29" s="44" t="n">
        <f aca="false">AVERAGE(Y29,AN29)</f>
        <v>1.75</v>
      </c>
      <c r="I29" s="2"/>
      <c r="J29" s="2"/>
      <c r="K29" s="28" t="n">
        <f aca="false">MATCH($B29,ruminants!$A$3:$A$120,0)</f>
        <v>99</v>
      </c>
      <c r="L29" s="39" t="n">
        <f aca="false">INDEX(ruminants!$D$3:$AH$120,$K29,L$4)</f>
        <v>92</v>
      </c>
      <c r="M29" s="45" t="n">
        <f aca="false">( 5.7*R29+9.4*S29+4.1*(T29+U29) ) * 0.004184</f>
        <v>19.083224</v>
      </c>
      <c r="N29" s="42" t="n">
        <f aca="false">INDEX(ruminants!$D$3:$AH$120,$K29,N$4)</f>
        <v>11.4</v>
      </c>
      <c r="O29" s="42" t="n">
        <f aca="false">INDEX(ruminants!$D$3:$AH$120,$K29,O$4)</f>
        <v>109</v>
      </c>
      <c r="P29" s="42" t="n">
        <f aca="false">INDEX(ruminants!$D$3:$AH$120,$K29,P$4)</f>
        <v>301</v>
      </c>
      <c r="Q29" s="42" t="n">
        <f aca="false">INDEX(ruminants!$D$3:$AH$120,$K29,Q$4)</f>
        <v>14.1</v>
      </c>
      <c r="R29" s="46" t="n">
        <f aca="false">INDEX(ruminants!$D$3:$AH$120,$K29,R$4)</f>
        <v>460</v>
      </c>
      <c r="S29" s="48" t="n">
        <f aca="false">INDEX(ruminants!$D$3:$AH$120,$K29,S$4)</f>
        <v>10</v>
      </c>
      <c r="T29" s="48" t="n">
        <f aca="false">INDEX(ruminants!$D$3:$AH$120,$K29,T$4)</f>
        <v>170</v>
      </c>
      <c r="U29" s="48" t="n">
        <f aca="false">INDEX(ruminants!$D$3:$AH$120,$K29,U$4)</f>
        <v>280</v>
      </c>
      <c r="V29" s="50" t="n">
        <f aca="false">INDEX(ruminants!$D$3:$AH$120,$K29,V$4)</f>
        <v>80</v>
      </c>
      <c r="W29" s="42" t="n">
        <f aca="false">R29*W$3/1000*100</f>
        <v>7.36</v>
      </c>
      <c r="X29" s="43" t="n">
        <f aca="false">INDEX(ruminants!$D$3:$AH$120,$K29,X$4)/1000*100</f>
        <v>1.35</v>
      </c>
      <c r="Y29" s="44" t="n">
        <f aca="false">INDEX(ruminants!$D$3:$AH$120,$K29,Y$4)/1000*100</f>
        <v>1.8</v>
      </c>
      <c r="Z29" s="51"/>
      <c r="AA29" s="62"/>
      <c r="AB29" s="28" t="n">
        <f aca="false">MATCH($B29,pigs!$A$3:$A$60,0)</f>
        <v>46</v>
      </c>
      <c r="AC29" s="39" t="n">
        <f aca="false">INDEX(pigs!$D$3:$AO$60,$AB29,AC$4)</f>
        <v>90</v>
      </c>
      <c r="AD29" s="45" t="n">
        <f aca="false">( 5.7*AH29+9.4*AI29+4.1*(AJ29) ) * 0.004184</f>
        <v>18.78616</v>
      </c>
      <c r="AE29" s="66" t="n">
        <v>10.3</v>
      </c>
      <c r="AF29" s="52" t="n">
        <f aca="false">INDEX(pigs!$D$3:$AO$60,$AB29,AF$4)</f>
        <v>5.9</v>
      </c>
      <c r="AG29" s="52" t="n">
        <f aca="false">INDEX(pigs!$D$3:$AO$60,$AB29,AG$4)</f>
        <v>6.5</v>
      </c>
      <c r="AH29" s="39" t="n">
        <f aca="false">INDEX(pigs!$D$3:$AO$60,$AB29,AH$4)</f>
        <v>373</v>
      </c>
      <c r="AI29" s="52" t="n">
        <f aca="false">INDEX(pigs!$D$3:$AO$60,$AB29,AI$4)</f>
        <v>19</v>
      </c>
      <c r="AJ29" s="49" t="n">
        <f aca="false">1000-SUM(AH29:AI29,AK29)</f>
        <v>533</v>
      </c>
      <c r="AK29" s="53" t="n">
        <f aca="false">INDEX(pigs!$D$3:$AO$60,$AB29,AK$4)</f>
        <v>75</v>
      </c>
      <c r="AL29" s="42" t="n">
        <f aca="false">AH29*AL$3/1000*100</f>
        <v>5.968</v>
      </c>
      <c r="AM29" s="43" t="n">
        <f aca="false">INDEX(pigs!$D$3:$AO$60,$AB29,AM$4)/1000*100</f>
        <v>1.26</v>
      </c>
      <c r="AN29" s="44" t="n">
        <f aca="false">INDEX(pigs!$D$3:$AO$60,$AB29,AN$4)/1000*100</f>
        <v>1.7</v>
      </c>
      <c r="AO29" s="13"/>
      <c r="AP29" s="64" t="s">
        <v>221</v>
      </c>
      <c r="AQ29" s="1" t="s">
        <v>202</v>
      </c>
      <c r="AR29" s="28"/>
      <c r="AS29" s="39"/>
      <c r="AT29" s="53" t="n">
        <v>8.6</v>
      </c>
      <c r="AU29" s="1" t="s">
        <v>221</v>
      </c>
    </row>
    <row r="30" customFormat="false" ht="15" hidden="false" customHeight="false" outlineLevel="0" collapsed="false">
      <c r="B30" s="1" t="s">
        <v>56</v>
      </c>
      <c r="C30" s="46" t="n">
        <f aca="false">AVERAGE(AC30,L30)</f>
        <v>91</v>
      </c>
      <c r="D30" s="40" t="n">
        <f aca="false">M30</f>
        <v>19.5815384</v>
      </c>
      <c r="E30" s="41" t="n">
        <f aca="false">AVERAGE(V30,AK30)/1000*100</f>
        <v>4.5</v>
      </c>
      <c r="F30" s="42" t="n">
        <f aca="false">AVERAGE(W30,AL30)</f>
        <v>2.536</v>
      </c>
      <c r="G30" s="43" t="n">
        <f aca="false">AVERAGE(X30,AM30)</f>
        <v>0.645</v>
      </c>
      <c r="H30" s="44" t="n">
        <f aca="false">AVERAGE(Y30,AN30)</f>
        <v>0.775</v>
      </c>
      <c r="I30" s="2"/>
      <c r="J30" s="2"/>
      <c r="K30" s="28" t="n">
        <f aca="false">MATCH($B30,ruminants!$A$3:$A$120,0)</f>
        <v>60</v>
      </c>
      <c r="L30" s="39" t="n">
        <f aca="false">INDEX(ruminants!$D$3:$AH$120,$K30,L$4)</f>
        <v>91</v>
      </c>
      <c r="M30" s="45" t="n">
        <f aca="false">( 5.7*R30+9.4*S30+4.1*(T30+U30) ) * 0.004184</f>
        <v>19.5815384</v>
      </c>
      <c r="N30" s="42" t="n">
        <f aca="false">INDEX(ruminants!$D$3:$AH$120,$K30,N$4)</f>
        <v>13.4</v>
      </c>
      <c r="O30" s="42" t="n">
        <f aca="false">INDEX(ruminants!$D$3:$AH$120,$K30,O$4)</f>
        <v>115</v>
      </c>
      <c r="P30" s="42" t="n">
        <f aca="false">INDEX(ruminants!$D$3:$AH$120,$K30,P$4)</f>
        <v>-35</v>
      </c>
      <c r="Q30" s="42" t="n">
        <f aca="false">INDEX(ruminants!$D$3:$AH$120,$K30,Q$4)</f>
        <v>15</v>
      </c>
      <c r="R30" s="46" t="n">
        <f aca="false">INDEX(ruminants!$D$3:$AH$120,$K30,R$4)</f>
        <v>154</v>
      </c>
      <c r="S30" s="48" t="n">
        <f aca="false">INDEX(ruminants!$D$3:$AH$120,$K30,S$4)</f>
        <v>97</v>
      </c>
      <c r="T30" s="48" t="n">
        <f aca="false">INDEX(ruminants!$D$3:$AH$120,$K30,T$4)</f>
        <v>228</v>
      </c>
      <c r="U30" s="48" t="n">
        <f aca="false">INDEX(ruminants!$D$3:$AH$120,$K30,U$4)</f>
        <v>477</v>
      </c>
      <c r="V30" s="50" t="n">
        <f aca="false">INDEX(ruminants!$D$3:$AH$120,$K30,V$4)</f>
        <v>44</v>
      </c>
      <c r="W30" s="42" t="n">
        <f aca="false">R30*W$3/1000*100</f>
        <v>2.464</v>
      </c>
      <c r="X30" s="43" t="n">
        <f aca="false">INDEX(ruminants!$D$3:$AH$120,$K30,X$4)/1000*100</f>
        <v>0.65</v>
      </c>
      <c r="Y30" s="44" t="n">
        <f aca="false">INDEX(ruminants!$D$3:$AH$120,$K30,Y$4)/1000*100</f>
        <v>0.8</v>
      </c>
      <c r="Z30" s="51"/>
      <c r="AA30" s="62"/>
      <c r="AB30" s="28" t="n">
        <f aca="false">MATCH($B30,pigs!$A$3:$A$60,0)</f>
        <v>29</v>
      </c>
      <c r="AC30" s="39" t="n">
        <f aca="false">INDEX(pigs!$D$3:$AO$60,$AB30,AC$4)</f>
        <v>91</v>
      </c>
      <c r="AD30" s="45" t="n">
        <f aca="false">( 5.7*AH30+9.4*AI30+4.1*(AJ30) ) * 0.004184</f>
        <v>19.5409536</v>
      </c>
      <c r="AE30" s="66" t="n">
        <v>8.4</v>
      </c>
      <c r="AF30" s="52" t="n">
        <f aca="false">INDEX(pigs!$D$3:$AO$60,$AB30,AF$4)</f>
        <v>5.4</v>
      </c>
      <c r="AG30" s="52" t="n">
        <f aca="false">INDEX(pigs!$D$3:$AO$60,$AB30,AG$4)</f>
        <v>6.2</v>
      </c>
      <c r="AH30" s="39" t="n">
        <f aca="false">INDEX(pigs!$D$3:$AO$60,$AB30,AH$4)</f>
        <v>163</v>
      </c>
      <c r="AI30" s="52" t="n">
        <f aca="false">INDEX(pigs!$D$3:$AO$60,$AB30,AI$4)</f>
        <v>94</v>
      </c>
      <c r="AJ30" s="49" t="n">
        <f aca="false">1000-SUM(AH30:AI30,AK30)</f>
        <v>697</v>
      </c>
      <c r="AK30" s="53" t="n">
        <f aca="false">INDEX(pigs!$D$3:$AO$60,$AB30,AK$4)</f>
        <v>46</v>
      </c>
      <c r="AL30" s="42" t="n">
        <f aca="false">AH30*AL$3/1000*100</f>
        <v>2.608</v>
      </c>
      <c r="AM30" s="43" t="n">
        <f aca="false">INDEX(pigs!$D$3:$AO$60,$AB30,AM$4)/1000*100</f>
        <v>0.64</v>
      </c>
      <c r="AN30" s="44" t="n">
        <f aca="false">INDEX(pigs!$D$3:$AO$60,$AB30,AN$4)/1000*100</f>
        <v>0.75</v>
      </c>
      <c r="AO30" s="13"/>
      <c r="AP30" s="64"/>
      <c r="AQ30" s="1" t="s">
        <v>202</v>
      </c>
      <c r="AR30" s="28"/>
      <c r="AS30" s="39"/>
      <c r="AT30" s="53"/>
    </row>
    <row r="31" customFormat="false" ht="16.4" hidden="false" customHeight="false" outlineLevel="0" collapsed="false">
      <c r="B31" s="1" t="s">
        <v>57</v>
      </c>
      <c r="C31" s="46" t="n">
        <f aca="false">AVERAGE(AC31,L31)</f>
        <v>90</v>
      </c>
      <c r="D31" s="40" t="n">
        <f aca="false">M31</f>
        <v>16.9711408</v>
      </c>
      <c r="E31" s="41" t="n">
        <f aca="false">AVERAGE(V31,AK31)/1000*100</f>
        <v>11.7</v>
      </c>
      <c r="F31" s="42" t="n">
        <f aca="false">AVERAGE(W31,AL31)</f>
        <v>2.928</v>
      </c>
      <c r="G31" s="43" t="n">
        <f aca="false">AVERAGE(X31,AM31)</f>
        <v>0.27</v>
      </c>
      <c r="H31" s="44" t="n">
        <f aca="false">AVERAGE(Y31,AN31)</f>
        <v>2.56</v>
      </c>
      <c r="I31" s="2"/>
      <c r="J31" s="2"/>
      <c r="K31" s="28"/>
      <c r="L31" s="39" t="n">
        <v>90</v>
      </c>
      <c r="M31" s="45" t="n">
        <f aca="false">( 5.7*R31+9.4*S31+4.1*(T31+U31) ) * 0.004184</f>
        <v>16.9711408</v>
      </c>
      <c r="N31" s="42" t="n">
        <v>8.5</v>
      </c>
      <c r="O31" s="66" t="n">
        <v>62</v>
      </c>
      <c r="P31" s="66" t="n">
        <v>86</v>
      </c>
      <c r="Q31" s="42" t="n">
        <v>10.7</v>
      </c>
      <c r="R31" s="46" t="n">
        <v>183</v>
      </c>
      <c r="S31" s="48" t="n">
        <v>27</v>
      </c>
      <c r="T31" s="48" t="n">
        <v>286</v>
      </c>
      <c r="U31" s="49" t="n">
        <f aca="false">1000-SUM(R31:T31,V31)</f>
        <v>387</v>
      </c>
      <c r="V31" s="50" t="n">
        <v>117</v>
      </c>
      <c r="W31" s="42" t="n">
        <f aca="false">R31*W$3/1000*100</f>
        <v>2.928</v>
      </c>
      <c r="X31" s="43" t="n">
        <f aca="false">2.7/1000*100</f>
        <v>0.27</v>
      </c>
      <c r="Y31" s="44" t="n">
        <f aca="false">25.6/1000*100</f>
        <v>2.56</v>
      </c>
      <c r="Z31" s="51" t="s">
        <v>222</v>
      </c>
      <c r="AA31" s="62"/>
      <c r="AB31" s="28"/>
      <c r="AC31" s="39"/>
      <c r="AD31" s="52"/>
      <c r="AE31" s="63"/>
      <c r="AF31" s="52"/>
      <c r="AG31" s="52"/>
      <c r="AH31" s="39"/>
      <c r="AI31" s="52"/>
      <c r="AJ31" s="52"/>
      <c r="AK31" s="53"/>
      <c r="AL31" s="42"/>
      <c r="AM31" s="43"/>
      <c r="AN31" s="44"/>
      <c r="AO31" s="13"/>
      <c r="AP31" s="64"/>
      <c r="AQ31" s="1" t="s">
        <v>202</v>
      </c>
      <c r="AR31" s="28"/>
      <c r="AS31" s="39"/>
      <c r="AT31" s="53"/>
    </row>
    <row r="32" customFormat="false" ht="16.4" hidden="false" customHeight="false" outlineLevel="0" collapsed="false">
      <c r="B32" s="1" t="s">
        <v>59</v>
      </c>
      <c r="C32" s="46" t="n">
        <f aca="false">AVERAGE(AC32,L32)</f>
        <v>87</v>
      </c>
      <c r="D32" s="40" t="n">
        <f aca="false">M32</f>
        <v>18.194124</v>
      </c>
      <c r="E32" s="41" t="n">
        <f aca="false">AVERAGE(V32,AK32)/1000*100</f>
        <v>5.9</v>
      </c>
      <c r="F32" s="42" t="n">
        <f aca="false">AVERAGE(W32,AL32)</f>
        <v>2.64</v>
      </c>
      <c r="G32" s="43" t="n">
        <f aca="false">AVERAGE(X32,AM32)</f>
        <v>1.195</v>
      </c>
      <c r="H32" s="44" t="n">
        <f aca="false">AVERAGE(Y32,AN32)</f>
        <v>1.35</v>
      </c>
      <c r="I32" s="2"/>
      <c r="J32" s="2"/>
      <c r="K32" s="28" t="n">
        <f aca="false">MATCH($B32,ruminants!$A$3:$A$120,0)</f>
        <v>111</v>
      </c>
      <c r="L32" s="39" t="n">
        <f aca="false">INDEX(ruminants!$D$3:$AH$120,$K32,L$4)</f>
        <v>87</v>
      </c>
      <c r="M32" s="45" t="n">
        <f aca="false">( 5.7*R32+9.4*S32+4.1*(T32+U32) ) * 0.004184</f>
        <v>18.194124</v>
      </c>
      <c r="N32" s="42" t="n">
        <f aca="false">INDEX(ruminants!$D$3:$AH$120,$K32,N$4)</f>
        <v>11</v>
      </c>
      <c r="O32" s="42" t="n">
        <f aca="false">INDEX(ruminants!$D$3:$AH$120,$K32,O$4)</f>
        <v>73</v>
      </c>
      <c r="P32" s="42" t="n">
        <f aca="false">INDEX(ruminants!$D$3:$AH$120,$K32,P$4)</f>
        <v>36</v>
      </c>
      <c r="Q32" s="42" t="n">
        <f aca="false">INDEX(ruminants!$D$3:$AH$120,$K32,Q$4)</f>
        <v>12.7</v>
      </c>
      <c r="R32" s="46" t="n">
        <f aca="false">INDEX(ruminants!$D$3:$AH$120,$K32,R$4)</f>
        <v>160</v>
      </c>
      <c r="S32" s="48" t="n">
        <f aca="false">INDEX(ruminants!$D$3:$AH$120,$K32,S$4)</f>
        <v>45</v>
      </c>
      <c r="T32" s="48" t="n">
        <f aca="false">INDEX(ruminants!$D$3:$AH$120,$K32,T$4)</f>
        <v>115</v>
      </c>
      <c r="U32" s="48" t="n">
        <f aca="false">INDEX(ruminants!$D$3:$AH$120,$K32,U$4)</f>
        <v>620</v>
      </c>
      <c r="V32" s="50" t="n">
        <f aca="false">INDEX(ruminants!$D$3:$AH$120,$K32,V$4)</f>
        <v>60</v>
      </c>
      <c r="W32" s="42" t="n">
        <f aca="false">R32*W$3/1000*100</f>
        <v>2.56</v>
      </c>
      <c r="X32" s="43" t="n">
        <f aca="false">INDEX(ruminants!$D$3:$AH$120,$K32,X$4)/1000*100</f>
        <v>1.2</v>
      </c>
      <c r="Y32" s="44" t="n">
        <f aca="false">INDEX(ruminants!$D$3:$AH$120,$K32,Y$4)/1000*100</f>
        <v>1.2</v>
      </c>
      <c r="Z32" s="51"/>
      <c r="AA32" s="62"/>
      <c r="AB32" s="28" t="n">
        <f aca="false">MATCH($B32,pigs!$A$3:$A$60,0)</f>
        <v>55</v>
      </c>
      <c r="AC32" s="39" t="n">
        <f aca="false">INDEX(pigs!$D$3:$AO$60,$AB32,AC$4)</f>
        <v>87</v>
      </c>
      <c r="AD32" s="45" t="n">
        <f aca="false">( 5.7*AH32+9.4*AI32+4.1*(AJ32) ) * 0.004184</f>
        <v>18.1845008</v>
      </c>
      <c r="AE32" s="66" t="n">
        <v>10.8</v>
      </c>
      <c r="AF32" s="52" t="n">
        <f aca="false">INDEX(pigs!$D$3:$AO$60,$AB32,AF$4)</f>
        <v>7.2</v>
      </c>
      <c r="AG32" s="52" t="n">
        <f aca="false">INDEX(pigs!$D$3:$AO$60,$AB32,AG$4)</f>
        <v>7.8</v>
      </c>
      <c r="AH32" s="39" t="n">
        <f aca="false">INDEX(pigs!$D$3:$AO$60,$AB32,AH$4)</f>
        <v>170</v>
      </c>
      <c r="AI32" s="52" t="n">
        <f aca="false">INDEX(pigs!$D$3:$AO$60,$AB32,AI$4)</f>
        <v>40</v>
      </c>
      <c r="AJ32" s="49" t="n">
        <f aca="false">1000-SUM(AH32:AI32,AK32)</f>
        <v>732</v>
      </c>
      <c r="AK32" s="53" t="n">
        <f aca="false">INDEX(pigs!$D$3:$AO$60,$AB32,AK$4)</f>
        <v>58</v>
      </c>
      <c r="AL32" s="42" t="n">
        <f aca="false">AH32*AL$3/1000*100</f>
        <v>2.72</v>
      </c>
      <c r="AM32" s="43" t="n">
        <f aca="false">INDEX(pigs!$D$3:$AO$60,$AB32,AM$4)/1000*100</f>
        <v>1.19</v>
      </c>
      <c r="AN32" s="44" t="n">
        <f aca="false">INDEX(pigs!$D$3:$AO$60,$AB32,AN$4)/1000*100</f>
        <v>1.5</v>
      </c>
      <c r="AO32" s="13"/>
      <c r="AP32" s="64" t="s">
        <v>223</v>
      </c>
      <c r="AQ32" s="1" t="s">
        <v>202</v>
      </c>
      <c r="AR32" s="28" t="n">
        <f aca="false">MATCH($B32,poultry!$A$3:$A$41,0)</f>
        <v>38</v>
      </c>
      <c r="AS32" s="39" t="n">
        <f aca="false">INDEX(poultry!$D$3:$U$41,$AR32,AS$4)</f>
        <v>87</v>
      </c>
      <c r="AT32" s="65" t="n">
        <f aca="false">INDEX(poultry!$D$3:$U$41,$AR32,AT$4)/(AS32/100)</f>
        <v>7.81609195402299</v>
      </c>
    </row>
    <row r="33" customFormat="false" ht="16.4" hidden="false" customHeight="false" outlineLevel="0" collapsed="false">
      <c r="B33" s="1" t="s">
        <v>61</v>
      </c>
      <c r="C33" s="46" t="n">
        <f aca="false">AVERAGE(AC33,L33)</f>
        <v>87.8</v>
      </c>
      <c r="D33" s="40" t="n">
        <f aca="false">M33</f>
        <v>18.47236</v>
      </c>
      <c r="E33" s="41" t="n">
        <f aca="false">AVERAGE(V33,AK33)/1000*100</f>
        <v>3.3</v>
      </c>
      <c r="F33" s="42" t="n">
        <f aca="false">AVERAGE(W33,AL33)</f>
        <v>2.616</v>
      </c>
      <c r="G33" s="43" t="n">
        <f aca="false">AVERAGE(X33,AM33)</f>
        <v>0.815</v>
      </c>
      <c r="H33" s="44" t="n">
        <f aca="false">AVERAGE(Y33,AN33)</f>
        <v>0.96</v>
      </c>
      <c r="I33" s="2"/>
      <c r="J33" s="2"/>
      <c r="K33" s="28"/>
      <c r="L33" s="46" t="n">
        <v>87.6</v>
      </c>
      <c r="M33" s="45" t="n">
        <f aca="false">( 5.7*R33+9.4*S33+4.1*(T33+U33) ) * 0.004184</f>
        <v>18.47236</v>
      </c>
      <c r="N33" s="42" t="n">
        <v>13.3</v>
      </c>
      <c r="O33" s="66" t="n">
        <v>63</v>
      </c>
      <c r="P33" s="66" t="n">
        <v>98</v>
      </c>
      <c r="Q33" s="42" t="n">
        <f aca="false">M33*0.846</f>
        <v>15.62761656</v>
      </c>
      <c r="R33" s="46" t="n">
        <v>151</v>
      </c>
      <c r="S33" s="48" t="n">
        <v>27</v>
      </c>
      <c r="T33" s="48" t="n">
        <v>11</v>
      </c>
      <c r="U33" s="49" t="n">
        <f aca="false">1000-SUM(R33:T33,V33)</f>
        <v>794</v>
      </c>
      <c r="V33" s="58" t="n">
        <v>17</v>
      </c>
      <c r="W33" s="42" t="n">
        <f aca="false">R33*W$3/1000*100</f>
        <v>2.416</v>
      </c>
      <c r="X33" s="43" t="n">
        <f aca="false">4.4/1000*100</f>
        <v>0.44</v>
      </c>
      <c r="Y33" s="44" t="n">
        <f aca="false">6.2/1000*100</f>
        <v>0.62</v>
      </c>
      <c r="Z33" s="23" t="s">
        <v>224</v>
      </c>
      <c r="AA33" s="62"/>
      <c r="AB33" s="28" t="n">
        <f aca="false">MATCH($B33,pigs!$A$3:$A$60,0)</f>
        <v>54</v>
      </c>
      <c r="AC33" s="39" t="n">
        <f aca="false">INDEX(pigs!$D$3:$AO$60,$AB33,AC$4)</f>
        <v>88</v>
      </c>
      <c r="AD33" s="45" t="n">
        <f aca="false">( 5.7*AH33+9.4*AI33+4.1*(AJ33) ) * 0.004184</f>
        <v>18.3790568</v>
      </c>
      <c r="AE33" s="66" t="n">
        <v>17.5</v>
      </c>
      <c r="AF33" s="52" t="n">
        <f aca="false">INDEX(pigs!$D$3:$AO$60,$AB33,AF$4)</f>
        <v>8.7</v>
      </c>
      <c r="AG33" s="52" t="n">
        <f aca="false">INDEX(pigs!$D$3:$AO$60,$AB33,AG$4)</f>
        <v>9.2</v>
      </c>
      <c r="AH33" s="39" t="n">
        <f aca="false">INDEX(pigs!$D$3:$AO$60,$AB33,AH$4)</f>
        <v>176</v>
      </c>
      <c r="AI33" s="52" t="n">
        <f aca="false">INDEX(pigs!$D$3:$AO$60,$AB33,AI$4)</f>
        <v>40</v>
      </c>
      <c r="AJ33" s="49" t="n">
        <f aca="false">1000-SUM(AH33:AI33,AK33)</f>
        <v>735</v>
      </c>
      <c r="AK33" s="53" t="n">
        <f aca="false">INDEX(pigs!$D$3:$AO$60,$AB33,AK$4)</f>
        <v>49</v>
      </c>
      <c r="AL33" s="42" t="n">
        <f aca="false">AH33*AL$3/1000*100</f>
        <v>2.816</v>
      </c>
      <c r="AM33" s="43" t="n">
        <f aca="false">INDEX(pigs!$D$3:$AO$60,$AB33,AM$4)/1000*100</f>
        <v>1.19</v>
      </c>
      <c r="AN33" s="44" t="n">
        <f aca="false">INDEX(pigs!$D$3:$AO$60,$AB33,AN$4)/1000*100</f>
        <v>1.3</v>
      </c>
      <c r="AO33" s="13"/>
      <c r="AP33" s="64" t="s">
        <v>224</v>
      </c>
      <c r="AQ33" s="1" t="s">
        <v>202</v>
      </c>
      <c r="AR33" s="28" t="n">
        <f aca="false">MATCH($B33,poultry!$A$3:$A$41,0)</f>
        <v>36</v>
      </c>
      <c r="AS33" s="39" t="n">
        <f aca="false">INDEX(poultry!$D$3:$U$41,$AR33,AS$4)</f>
        <v>87</v>
      </c>
      <c r="AT33" s="65" t="n">
        <f aca="false">INDEX(poultry!$D$3:$U$41,$AR33,AT$4)/(AS33/100)</f>
        <v>14.0229885057471</v>
      </c>
    </row>
    <row r="34" customFormat="false" ht="15" hidden="false" customHeight="false" outlineLevel="0" collapsed="false">
      <c r="B34" s="1" t="s">
        <v>62</v>
      </c>
      <c r="C34" s="46" t="n">
        <f aca="false">AVERAGE(AC34,L34)</f>
        <v>87.6</v>
      </c>
      <c r="D34" s="40" t="n">
        <f aca="false">M34</f>
        <v>16.8456208</v>
      </c>
      <c r="E34" s="41" t="n">
        <f aca="false">AVERAGE(V34,AK34)/1000*100</f>
        <v>5</v>
      </c>
      <c r="F34" s="42" t="n">
        <f aca="false">AVERAGE(W34,AL34)</f>
        <v>0.416</v>
      </c>
      <c r="G34" s="43" t="n">
        <f aca="false">AVERAGE(X34,AM34)</f>
        <v>0.44</v>
      </c>
      <c r="H34" s="44" t="n">
        <f aca="false">AVERAGE(Y34,AN34)</f>
        <v>0.6</v>
      </c>
      <c r="I34" s="2"/>
      <c r="J34" s="2"/>
      <c r="K34" s="28" t="n">
        <f aca="false">MATCH($B34,ruminants!$A$3:$A$120,0)</f>
        <v>29</v>
      </c>
      <c r="L34" s="46" t="n">
        <v>87.6</v>
      </c>
      <c r="M34" s="45" t="n">
        <f aca="false">( 5.7*R34+9.4*S34+4.1*(T34+U34) ) * 0.004184</f>
        <v>16.8456208</v>
      </c>
      <c r="N34" s="42" t="n">
        <f aca="false">INDEX(ruminants!$D$3:$AH$120,$K34,N$4)</f>
        <v>5.2</v>
      </c>
      <c r="O34" s="66" t="n">
        <v>32</v>
      </c>
      <c r="P34" s="66" t="n">
        <v>-8</v>
      </c>
      <c r="Q34" s="42" t="n">
        <f aca="false">INDEX(ruminants!$D$3:$AH$120,$K34,Q$4)</f>
        <v>6.2</v>
      </c>
      <c r="R34" s="68" t="n">
        <v>26</v>
      </c>
      <c r="S34" s="48" t="n">
        <f aca="false">INDEX(ruminants!$D$3:$AH$120,$K34,S$4)</f>
        <v>20</v>
      </c>
      <c r="T34" s="48" t="n">
        <f aca="false">INDEX(ruminants!$D$3:$AH$120,$K34,T$4)</f>
        <v>340</v>
      </c>
      <c r="U34" s="48" t="n">
        <f aca="false">INDEX(ruminants!$D$3:$AH$120,$K34,U$4)</f>
        <v>560</v>
      </c>
      <c r="V34" s="50" t="n">
        <f aca="false">INDEX(ruminants!$D$3:$AH$120,$K34,V$4)</f>
        <v>50</v>
      </c>
      <c r="W34" s="42" t="n">
        <f aca="false">R34*W$3/1000*100</f>
        <v>0.416</v>
      </c>
      <c r="X34" s="43" t="n">
        <f aca="false">INDEX(ruminants!$D$3:$AH$120,$K34,X$4)/1000*100</f>
        <v>0.44</v>
      </c>
      <c r="Y34" s="44" t="n">
        <f aca="false">INDEX(ruminants!$D$3:$AH$120,$K34,Y$4)/1000*100</f>
        <v>0.6</v>
      </c>
      <c r="Z34" s="51"/>
      <c r="AA34" s="62"/>
      <c r="AB34" s="28"/>
      <c r="AC34" s="39"/>
      <c r="AD34" s="45"/>
      <c r="AE34" s="66"/>
      <c r="AF34" s="52"/>
      <c r="AG34" s="52"/>
      <c r="AH34" s="39"/>
      <c r="AI34" s="52"/>
      <c r="AJ34" s="49"/>
      <c r="AK34" s="53"/>
      <c r="AL34" s="42"/>
      <c r="AM34" s="43"/>
      <c r="AN34" s="44"/>
      <c r="AO34" s="13"/>
      <c r="AP34" s="64"/>
      <c r="AR34" s="28"/>
      <c r="AS34" s="39"/>
      <c r="AT34" s="53"/>
    </row>
    <row r="35" customFormat="false" ht="15" hidden="false" customHeight="false" outlineLevel="0" collapsed="false">
      <c r="B35" s="1" t="s">
        <v>64</v>
      </c>
      <c r="C35" s="46" t="n">
        <f aca="false">AVERAGE(AC35,L35)</f>
        <v>87.6</v>
      </c>
      <c r="D35" s="40" t="n">
        <f aca="false">M35</f>
        <v>17.3422616</v>
      </c>
      <c r="E35" s="41" t="n">
        <f aca="false">AVERAGE(V35,AK35)/1000*100</f>
        <v>5.5</v>
      </c>
      <c r="F35" s="42" t="n">
        <f aca="false">AVERAGE(W35,AL35)</f>
        <v>1.008</v>
      </c>
      <c r="G35" s="43" t="n">
        <f aca="false">AVERAGE(X35,AM35)</f>
        <v>0.77</v>
      </c>
      <c r="H35" s="44" t="n">
        <f aca="false">AVERAGE(Y35,AN35)</f>
        <v>0</v>
      </c>
      <c r="I35" s="2"/>
      <c r="J35" s="2"/>
      <c r="K35" s="28" t="n">
        <f aca="false">MATCH($B35,ruminants!$A$3:$A$120,0)</f>
        <v>27</v>
      </c>
      <c r="L35" s="46" t="n">
        <v>87.6</v>
      </c>
      <c r="M35" s="45" t="n">
        <f aca="false">( 5.7*R35+9.4*S35+4.1*(T35+U35) ) * 0.004184</f>
        <v>17.3422616</v>
      </c>
      <c r="N35" s="42" t="n">
        <f aca="false">INDEX(ruminants!$D$3:$AH$120,$K35,N$4)</f>
        <v>7.2</v>
      </c>
      <c r="O35" s="42" t="n">
        <f aca="false">INDEX(ruminants!$D$3:$AH$120,$K35,O$4)</f>
        <v>56</v>
      </c>
      <c r="P35" s="42" t="n">
        <f aca="false">INDEX(ruminants!$D$3:$AH$120,$K35,P$4)</f>
        <v>-28</v>
      </c>
      <c r="Q35" s="42" t="n">
        <f aca="false">INDEX(ruminants!$D$3:$AH$120,$K35,Q$4)</f>
        <v>8.4</v>
      </c>
      <c r="R35" s="46" t="n">
        <f aca="false">INDEX(ruminants!$D$3:$AH$120,$K35,R$4)</f>
        <v>63</v>
      </c>
      <c r="S35" s="48" t="n">
        <f aca="false">INDEX(ruminants!$D$3:$AH$120,$K35,S$4)</f>
        <v>32</v>
      </c>
      <c r="T35" s="48" t="n">
        <f aca="false">INDEX(ruminants!$D$3:$AH$120,$K35,T$4)</f>
        <v>290</v>
      </c>
      <c r="U35" s="48" t="n">
        <f aca="false">INDEX(ruminants!$D$3:$AH$120,$K35,U$4)</f>
        <v>560</v>
      </c>
      <c r="V35" s="50" t="n">
        <f aca="false">INDEX(ruminants!$D$3:$AH$120,$K35,V$4)</f>
        <v>55</v>
      </c>
      <c r="W35" s="42" t="n">
        <f aca="false">R35*W$3/1000*100</f>
        <v>1.008</v>
      </c>
      <c r="X35" s="43" t="n">
        <f aca="false">INDEX(ruminants!$D$3:$AH$120,$K35,X$4)/1000*100</f>
        <v>0.77</v>
      </c>
      <c r="Y35" s="44" t="n">
        <f aca="false">INDEX(ruminants!$D$3:$AH$120,$K35,Y$4)/1000*100</f>
        <v>0</v>
      </c>
      <c r="Z35" s="51"/>
      <c r="AA35" s="62"/>
      <c r="AB35" s="28"/>
      <c r="AC35" s="39"/>
      <c r="AD35" s="45"/>
      <c r="AE35" s="66"/>
      <c r="AF35" s="52"/>
      <c r="AG35" s="52"/>
      <c r="AH35" s="39"/>
      <c r="AI35" s="52"/>
      <c r="AJ35" s="49"/>
      <c r="AK35" s="53"/>
      <c r="AL35" s="42"/>
      <c r="AM35" s="43"/>
      <c r="AN35" s="44"/>
      <c r="AO35" s="13"/>
      <c r="AP35" s="64"/>
      <c r="AR35" s="28"/>
      <c r="AS35" s="39"/>
      <c r="AT35" s="53"/>
    </row>
    <row r="36" customFormat="false" ht="15" hidden="false" customHeight="false" outlineLevel="0" collapsed="false">
      <c r="B36" s="1" t="s">
        <v>65</v>
      </c>
      <c r="C36" s="46" t="n">
        <f aca="false">AVERAGE(AC36,L36)</f>
        <v>87.6</v>
      </c>
      <c r="D36" s="40" t="n">
        <f aca="false">M36</f>
        <v>18.340564</v>
      </c>
      <c r="E36" s="41" t="n">
        <f aca="false">AVERAGE(V36,AK36)/1000*100</f>
        <v>4.5</v>
      </c>
      <c r="F36" s="42" t="n">
        <f aca="false">AVERAGE(W36,AL36)</f>
        <v>2.56</v>
      </c>
      <c r="G36" s="43" t="n">
        <f aca="false">AVERAGE(X36,AM36)</f>
        <v>1.11</v>
      </c>
      <c r="H36" s="44" t="n">
        <f aca="false">AVERAGE(Y36,AN36)</f>
        <v>1.6</v>
      </c>
      <c r="I36" s="2"/>
      <c r="J36" s="2"/>
      <c r="K36" s="28" t="n">
        <f aca="false">MATCH($B36,ruminants!$A$3:$A$120,0)</f>
        <v>76</v>
      </c>
      <c r="L36" s="46" t="n">
        <v>87.6</v>
      </c>
      <c r="M36" s="45" t="n">
        <f aca="false">( 5.7*R36+9.4*S36+4.1*(T36+U36) ) * 0.004184</f>
        <v>18.340564</v>
      </c>
      <c r="N36" s="42" t="n">
        <f aca="false">INDEX(ruminants!$D$3:$AH$120,$K36,N$4)</f>
        <v>11.6</v>
      </c>
      <c r="O36" s="42" t="n">
        <f aca="false">INDEX(ruminants!$D$3:$AH$120,$K36,O$4)</f>
        <v>78</v>
      </c>
      <c r="P36" s="42" t="n">
        <f aca="false">INDEX(ruminants!$D$3:$AH$120,$K36,P$4)</f>
        <v>34</v>
      </c>
      <c r="Q36" s="42" t="n">
        <f aca="false">INDEX(ruminants!$D$3:$AH$120,$K36,Q$4)</f>
        <v>13.2</v>
      </c>
      <c r="R36" s="46" t="n">
        <f aca="false">INDEX(ruminants!$D$3:$AH$120,$K36,R$4)</f>
        <v>160</v>
      </c>
      <c r="S36" s="48" t="n">
        <f aca="false">INDEX(ruminants!$D$3:$AH$120,$K36,S$4)</f>
        <v>40</v>
      </c>
      <c r="T36" s="48" t="n">
        <f aca="false">INDEX(ruminants!$D$3:$AH$120,$K36,T$4)</f>
        <v>55</v>
      </c>
      <c r="U36" s="48" t="n">
        <f aca="false">INDEX(ruminants!$D$3:$AH$120,$K36,U$4)</f>
        <v>700</v>
      </c>
      <c r="V36" s="50" t="n">
        <f aca="false">INDEX(ruminants!$D$3:$AH$120,$K36,V$4)</f>
        <v>45</v>
      </c>
      <c r="W36" s="42" t="n">
        <f aca="false">R36*W$3/1000*100</f>
        <v>2.56</v>
      </c>
      <c r="X36" s="43" t="n">
        <f aca="false">INDEX(ruminants!$D$3:$AH$120,$K36,X$4)/1000*100</f>
        <v>1.11</v>
      </c>
      <c r="Y36" s="44" t="n">
        <f aca="false">INDEX(ruminants!$D$3:$AH$120,$K36,Y$4)/1000*100</f>
        <v>1.6</v>
      </c>
      <c r="Z36" s="51"/>
      <c r="AA36" s="62"/>
      <c r="AB36" s="28"/>
      <c r="AC36" s="39"/>
      <c r="AD36" s="45"/>
      <c r="AE36" s="66"/>
      <c r="AF36" s="52"/>
      <c r="AG36" s="52"/>
      <c r="AH36" s="39"/>
      <c r="AI36" s="52"/>
      <c r="AJ36" s="49"/>
      <c r="AK36" s="53"/>
      <c r="AL36" s="42"/>
      <c r="AM36" s="43"/>
      <c r="AN36" s="44"/>
      <c r="AO36" s="13"/>
      <c r="AP36" s="64"/>
      <c r="AR36" s="28"/>
      <c r="AS36" s="39"/>
      <c r="AT36" s="53"/>
    </row>
    <row r="37" customFormat="false" ht="16.4" hidden="false" customHeight="false" outlineLevel="0" collapsed="false">
      <c r="B37" s="1" t="s">
        <v>66</v>
      </c>
      <c r="C37" s="46" t="n">
        <f aca="false">AVERAGE(AC37,L37)</f>
        <v>90</v>
      </c>
      <c r="D37" s="40" t="n">
        <f aca="false">M37</f>
        <v>19.6597792</v>
      </c>
      <c r="E37" s="41" t="n">
        <f aca="false">AVERAGE(V37,AK37)/1000*100</f>
        <v>4.05</v>
      </c>
      <c r="F37" s="42" t="n">
        <f aca="false">AVERAGE(W37,AL37)</f>
        <v>5.28</v>
      </c>
      <c r="G37" s="43" t="n">
        <f aca="false">AVERAGE(X37,AM37)</f>
        <v>0.88</v>
      </c>
      <c r="H37" s="44" t="n">
        <f aca="false">AVERAGE(Y37,AN37)</f>
        <v>1.165</v>
      </c>
      <c r="I37" s="2"/>
      <c r="J37" s="2"/>
      <c r="K37" s="28" t="n">
        <f aca="false">MATCH($B37,ruminants!$A$3:$A$120,0)</f>
        <v>109</v>
      </c>
      <c r="L37" s="39" t="n">
        <f aca="false">INDEX(ruminants!$D$3:$AH$120,$K37,L$4)</f>
        <v>90</v>
      </c>
      <c r="M37" s="45" t="n">
        <f aca="false">( 5.7*R37+9.4*S37+4.1*(T37+U37) ) * 0.004184</f>
        <v>19.6597792</v>
      </c>
      <c r="N37" s="42" t="n">
        <f aca="false">INDEX(ruminants!$D$3:$AH$120,$K37,N$4)</f>
        <v>13.3</v>
      </c>
      <c r="O37" s="42" t="n">
        <f aca="false">INDEX(ruminants!$D$3:$AH$120,$K37,O$4)</f>
        <v>116</v>
      </c>
      <c r="P37" s="42" t="n">
        <f aca="false">INDEX(ruminants!$D$3:$AH$120,$K37,P$4)</f>
        <v>142</v>
      </c>
      <c r="Q37" s="42" t="n">
        <f aca="false">INDEX(ruminants!$D$3:$AH$120,$K37,Q$4)</f>
        <v>15.7</v>
      </c>
      <c r="R37" s="46" t="n">
        <f aca="false">INDEX(ruminants!$D$3:$AH$120,$K37,R$4)</f>
        <v>320</v>
      </c>
      <c r="S37" s="48" t="n">
        <f aca="false">INDEX(ruminants!$D$3:$AH$120,$K37,S$4)</f>
        <v>45</v>
      </c>
      <c r="T37" s="48" t="n">
        <f aca="false">INDEX(ruminants!$D$3:$AH$120,$K37,T$4)</f>
        <v>106</v>
      </c>
      <c r="U37" s="48" t="n">
        <f aca="false">INDEX(ruminants!$D$3:$AH$120,$K37,U$4)</f>
        <v>492</v>
      </c>
      <c r="V37" s="50" t="n">
        <f aca="false">INDEX(ruminants!$D$3:$AH$120,$K37,V$4)</f>
        <v>37</v>
      </c>
      <c r="W37" s="42" t="n">
        <f aca="false">R37*W$3/1000*100</f>
        <v>5.12</v>
      </c>
      <c r="X37" s="43" t="n">
        <f aca="false">INDEX(ruminants!$D$3:$AH$120,$K37,X$4)/1000*100</f>
        <v>1.03</v>
      </c>
      <c r="Y37" s="44" t="n">
        <f aca="false">INDEX(ruminants!$D$3:$AH$120,$K37,Y$4)/1000*100</f>
        <v>1.37</v>
      </c>
      <c r="Z37" s="51"/>
      <c r="AA37" s="62"/>
      <c r="AB37" s="28" t="n">
        <f aca="false">MATCH($B37,pigs!$A$3:$A$60,0)</f>
        <v>3</v>
      </c>
      <c r="AC37" s="39" t="n">
        <f aca="false">INDEX(pigs!$D$3:$AO$60,$AB37,AC$4)</f>
        <v>90</v>
      </c>
      <c r="AD37" s="45" t="n">
        <f aca="false">( 5.7*AH37+9.4*AI37+4.1*(AJ37) ) * 0.004184</f>
        <v>20.1392656</v>
      </c>
      <c r="AE37" s="66" t="n">
        <v>13.9</v>
      </c>
      <c r="AF37" s="52" t="n">
        <f aca="false">INDEX(pigs!$D$3:$AO$60,$AB37,AF$4)</f>
        <v>8.1</v>
      </c>
      <c r="AG37" s="52" t="n">
        <f aca="false">INDEX(pigs!$D$3:$AO$60,$AB37,AG$4)</f>
        <v>8.7</v>
      </c>
      <c r="AH37" s="39" t="n">
        <f aca="false">INDEX(pigs!$D$3:$AO$60,$AB37,AH$4)</f>
        <v>340</v>
      </c>
      <c r="AI37" s="52" t="n">
        <f aca="false">INDEX(pigs!$D$3:$AO$60,$AB37,AI$4)</f>
        <v>66</v>
      </c>
      <c r="AJ37" s="49" t="n">
        <f aca="false">1000-SUM(AH37:AI37,AK37)</f>
        <v>550</v>
      </c>
      <c r="AK37" s="53" t="n">
        <f aca="false">INDEX(pigs!$D$3:$AO$60,$AB37,AK$4)</f>
        <v>44</v>
      </c>
      <c r="AL37" s="42" t="n">
        <f aca="false">AH37*AL$3/1000*100</f>
        <v>5.44</v>
      </c>
      <c r="AM37" s="43" t="n">
        <f aca="false">INDEX(pigs!$D$3:$AO$60,$AB37,AM$4)/1000*100</f>
        <v>0.73</v>
      </c>
      <c r="AN37" s="44" t="n">
        <f aca="false">INDEX(pigs!$D$3:$AO$60,$AB37,AN$4)/1000*100</f>
        <v>0.96</v>
      </c>
      <c r="AO37" s="13"/>
      <c r="AP37" s="64" t="s">
        <v>225</v>
      </c>
      <c r="AQ37" s="1" t="s">
        <v>202</v>
      </c>
      <c r="AR37" s="28"/>
      <c r="AS37" s="39"/>
      <c r="AT37" s="53"/>
    </row>
    <row r="38" customFormat="false" ht="15" hidden="false" customHeight="false" outlineLevel="0" collapsed="false">
      <c r="B38" s="1" t="s">
        <v>68</v>
      </c>
      <c r="C38" s="46" t="n">
        <f aca="false">AVERAGE(AC38,L38)</f>
        <v>11</v>
      </c>
      <c r="D38" s="40" t="n">
        <f aca="false">AD38</f>
        <v>18.8602168</v>
      </c>
      <c r="E38" s="41" t="n">
        <f aca="false">AVERAGE(V38,AK38)/1000*100</f>
        <v>6.8</v>
      </c>
      <c r="F38" s="42" t="n">
        <f aca="false">AVERAGE(W38,AL38)</f>
        <v>4.48</v>
      </c>
      <c r="G38" s="43" t="n">
        <f aca="false">AVERAGE(X38,AM38)</f>
        <v>1.09</v>
      </c>
      <c r="H38" s="44" t="n">
        <f aca="false">AVERAGE(Y38,AN38)</f>
        <v>0</v>
      </c>
      <c r="I38" s="2"/>
      <c r="J38" s="2"/>
      <c r="K38" s="28"/>
      <c r="L38" s="39"/>
      <c r="M38" s="52"/>
      <c r="N38" s="42"/>
      <c r="O38" s="42"/>
      <c r="P38" s="42"/>
      <c r="Q38" s="42"/>
      <c r="R38" s="46"/>
      <c r="S38" s="48"/>
      <c r="T38" s="48"/>
      <c r="U38" s="48"/>
      <c r="V38" s="50"/>
      <c r="W38" s="42"/>
      <c r="X38" s="48"/>
      <c r="Y38" s="50"/>
      <c r="Z38" s="51"/>
      <c r="AA38" s="62"/>
      <c r="AB38" s="28" t="n">
        <f aca="false">MATCH($B38,pigs!$A$3:$A$60,0)</f>
        <v>1</v>
      </c>
      <c r="AC38" s="39" t="n">
        <f aca="false">INDEX(pigs!$D$3:$AO$60,$AB38,AC$4)</f>
        <v>11</v>
      </c>
      <c r="AD38" s="45" t="n">
        <f aca="false">( 5.7*AH38+9.4*AI38+4.1*(AJ38) ) * 0.004184</f>
        <v>18.8602168</v>
      </c>
      <c r="AE38" s="67" t="n">
        <f aca="false">(AE37/AD37)*AD38</f>
        <v>13.0172082104126</v>
      </c>
      <c r="AF38" s="52" t="n">
        <f aca="false">INDEX(pigs!$D$3:$AO$60,$AB38,AF$4)</f>
        <v>8.2</v>
      </c>
      <c r="AG38" s="52" t="n">
        <f aca="false">INDEX(pigs!$D$3:$AO$60,$AB38,AG$4)</f>
        <v>8.9</v>
      </c>
      <c r="AH38" s="39" t="n">
        <f aca="false">INDEX(pigs!$D$3:$AO$60,$AB38,AH$4)</f>
        <v>280</v>
      </c>
      <c r="AI38" s="52" t="n">
        <f aca="false">INDEX(pigs!$D$3:$AO$60,$AB38,AI$4)</f>
        <v>45</v>
      </c>
      <c r="AJ38" s="49" t="n">
        <f aca="false">1000-SUM(AH38:AI38,AK38)</f>
        <v>607</v>
      </c>
      <c r="AK38" s="53" t="n">
        <f aca="false">INDEX(pigs!$D$3:$AO$60,$AB38,AK$4)</f>
        <v>68</v>
      </c>
      <c r="AL38" s="42" t="n">
        <f aca="false">AH38*AL$3/1000*100</f>
        <v>4.48</v>
      </c>
      <c r="AM38" s="43" t="n">
        <f aca="false">INDEX(pigs!$D$3:$AO$60,$AB38,AM$4)/1000*100</f>
        <v>1.09</v>
      </c>
      <c r="AN38" s="44" t="n">
        <f aca="false">INDEX(pigs!$D$3:$AO$60,$AB38,AN$4)/1000*100</f>
        <v>0</v>
      </c>
      <c r="AO38" s="13"/>
      <c r="AP38" s="64"/>
      <c r="AQ38" s="1" t="s">
        <v>202</v>
      </c>
      <c r="AR38" s="28"/>
      <c r="AS38" s="39"/>
      <c r="AT38" s="53"/>
    </row>
    <row r="39" customFormat="false" ht="16.4" hidden="false" customHeight="false" outlineLevel="0" collapsed="false">
      <c r="B39" s="1" t="s">
        <v>69</v>
      </c>
      <c r="C39" s="46" t="n">
        <f aca="false">AVERAGE(AC39,L39)</f>
        <v>90</v>
      </c>
      <c r="D39" s="40" t="n">
        <f aca="false">M39</f>
        <v>19.848896</v>
      </c>
      <c r="E39" s="41" t="n">
        <f aca="false">AVERAGE(V39,AK39)/1000*100</f>
        <v>4.3</v>
      </c>
      <c r="F39" s="42" t="n">
        <f aca="false">AVERAGE(W39,AL39)</f>
        <v>3.984</v>
      </c>
      <c r="G39" s="43" t="n">
        <f aca="false">AVERAGE(X39,AM39)</f>
        <v>0.56</v>
      </c>
      <c r="H39" s="44" t="n">
        <f aca="false">AVERAGE(Y39,AN39)</f>
        <v>0.195</v>
      </c>
      <c r="I39" s="2"/>
      <c r="J39" s="2"/>
      <c r="K39" s="28" t="n">
        <f aca="false">MATCH($B39,ruminants!$A$3:$A$120,0)</f>
        <v>38</v>
      </c>
      <c r="L39" s="39" t="n">
        <f aca="false">INDEX(ruminants!$D$3:$AH$120,$K39,L$4)</f>
        <v>90</v>
      </c>
      <c r="M39" s="45" t="n">
        <f aca="false">( 5.7*R39+9.4*S39+4.1*(T39+U39) ) * 0.004184</f>
        <v>19.848896</v>
      </c>
      <c r="N39" s="42" t="n">
        <f aca="false">INDEX(ruminants!$D$3:$AH$120,$K39,N$4)</f>
        <v>11.6</v>
      </c>
      <c r="O39" s="42" t="n">
        <f aca="false">INDEX(ruminants!$D$3:$AH$120,$K39,O$4)</f>
        <v>141</v>
      </c>
      <c r="P39" s="42" t="n">
        <f aca="false">INDEX(ruminants!$D$3:$AH$120,$K39,P$4)</f>
        <v>20</v>
      </c>
      <c r="Q39" s="42" t="n">
        <f aca="false">INDEX(ruminants!$D$3:$AH$120,$K39,Q$4)</f>
        <v>13.6</v>
      </c>
      <c r="R39" s="46" t="n">
        <f aca="false">INDEX(ruminants!$D$3:$AH$120,$K39,R$4)</f>
        <v>240</v>
      </c>
      <c r="S39" s="48" t="n">
        <f aca="false">INDEX(ruminants!$D$3:$AH$120,$K39,S$4)</f>
        <v>80</v>
      </c>
      <c r="T39" s="48" t="n">
        <f aca="false">INDEX(ruminants!$D$3:$AH$120,$K39,T$4)</f>
        <v>170</v>
      </c>
      <c r="U39" s="48" t="n">
        <f aca="false">INDEX(ruminants!$D$3:$AH$120,$K39,U$4)</f>
        <v>470</v>
      </c>
      <c r="V39" s="50" t="n">
        <f aca="false">INDEX(ruminants!$D$3:$AH$120,$K39,V$4)</f>
        <v>40</v>
      </c>
      <c r="W39" s="42" t="n">
        <f aca="false">R39*W$3/1000*100</f>
        <v>3.84</v>
      </c>
      <c r="X39" s="43" t="n">
        <f aca="false">INDEX(ruminants!$D$3:$AH$120,$K39,X$4)/1000*100</f>
        <v>0.55</v>
      </c>
      <c r="Y39" s="44" t="n">
        <f aca="false">INDEX(ruminants!$D$3:$AH$120,$K39,Y$4)/1000*100</f>
        <v>0.1</v>
      </c>
      <c r="Z39" s="51"/>
      <c r="AA39" s="62"/>
      <c r="AB39" s="28"/>
      <c r="AC39" s="39" t="n">
        <v>90</v>
      </c>
      <c r="AD39" s="45" t="n">
        <f aca="false">( 5.7*AH39+9.4*AI39+4.1*(AJ39) ) * 0.004184</f>
        <v>19.5781912</v>
      </c>
      <c r="AE39" s="66" t="n">
        <v>10.6</v>
      </c>
      <c r="AF39" s="69" t="n">
        <v>6.6</v>
      </c>
      <c r="AG39" s="70" t="n">
        <f aca="false">AG37/AF37*AF39</f>
        <v>7.08888888888889</v>
      </c>
      <c r="AH39" s="71" t="n">
        <v>258</v>
      </c>
      <c r="AI39" s="69" t="n">
        <v>67</v>
      </c>
      <c r="AJ39" s="49" t="n">
        <f aca="false">1000-SUM(AH39:AI39,AK39)</f>
        <v>629</v>
      </c>
      <c r="AK39" s="58" t="n">
        <v>46</v>
      </c>
      <c r="AL39" s="42" t="n">
        <f aca="false">AH39*AL$3/1000*100</f>
        <v>4.128</v>
      </c>
      <c r="AM39" s="43" t="n">
        <f aca="false">5.7/1000*100</f>
        <v>0.57</v>
      </c>
      <c r="AN39" s="44" t="n">
        <f aca="false">2.9/1000*100</f>
        <v>0.29</v>
      </c>
      <c r="AO39" s="51" t="s">
        <v>226</v>
      </c>
      <c r="AP39" s="64" t="s">
        <v>227</v>
      </c>
      <c r="AQ39" s="1" t="s">
        <v>202</v>
      </c>
      <c r="AR39" s="28"/>
      <c r="AS39" s="39"/>
      <c r="AT39" s="53"/>
    </row>
    <row r="40" customFormat="false" ht="16.4" hidden="false" customHeight="false" outlineLevel="0" collapsed="false">
      <c r="B40" s="1" t="s">
        <v>228</v>
      </c>
      <c r="C40" s="46" t="n">
        <f aca="false">AVERAGE(AC40,L40,AS40)</f>
        <v>89.6666666666667</v>
      </c>
      <c r="D40" s="40" t="n">
        <f aca="false">AD40</f>
        <v>22.9007056</v>
      </c>
      <c r="E40" s="41" t="n">
        <f aca="false">AVERAGE(V40,AK40)/1000*100</f>
        <v>1.95</v>
      </c>
      <c r="F40" s="42" t="n">
        <f aca="false">AVERAGE(W40,AL40)</f>
        <v>10.792</v>
      </c>
      <c r="G40" s="43" t="n">
        <f aca="false">AVERAGE(X40,AM40)</f>
        <v>0.485</v>
      </c>
      <c r="H40" s="44" t="n">
        <f aca="false">AVERAGE(Y40,AN40)</f>
        <v>0.325</v>
      </c>
      <c r="I40" s="2"/>
      <c r="J40" s="2"/>
      <c r="K40" s="28" t="n">
        <f aca="false">MATCH($B40,ruminants!$A$3:$A$120,0)</f>
        <v>50</v>
      </c>
      <c r="L40" s="39" t="n">
        <f aca="false">INDEX(ruminants!$D$3:$AH$120,$K40,L$4)</f>
        <v>92</v>
      </c>
      <c r="M40" s="45" t="n">
        <f aca="false">( 5.7*R40+9.4*S40+4.1*(T40+U40) ) * 0.004184</f>
        <v>21.8764624</v>
      </c>
      <c r="N40" s="42" t="n">
        <f aca="false">INDEX(ruminants!$D$3:$AH$120,$K40,N$4)</f>
        <v>16</v>
      </c>
      <c r="O40" s="42" t="n">
        <f aca="false">INDEX(ruminants!$D$3:$AH$120,$K40,O$4)</f>
        <v>476</v>
      </c>
      <c r="P40" s="42" t="n">
        <f aca="false">INDEX(ruminants!$D$3:$AH$120,$K40,P$4)</f>
        <v>82</v>
      </c>
      <c r="Q40" s="42" t="n">
        <f aca="false">INDEX(ruminants!$D$3:$AH$120,$K40,Q$4)</f>
        <v>19.6</v>
      </c>
      <c r="R40" s="46" t="n">
        <f aca="false">INDEX(ruminants!$D$3:$AH$120,$K40,R$4)</f>
        <v>672</v>
      </c>
      <c r="S40" s="48" t="n">
        <f aca="false">INDEX(ruminants!$D$3:$AH$120,$K40,S$4)</f>
        <v>24</v>
      </c>
      <c r="T40" s="48" t="n">
        <f aca="false">INDEX(ruminants!$D$3:$AH$120,$K40,T$4)</f>
        <v>22</v>
      </c>
      <c r="U40" s="48" t="n">
        <f aca="false">INDEX(ruminants!$D$3:$AH$120,$K40,U$4)</f>
        <v>264</v>
      </c>
      <c r="V40" s="50" t="n">
        <f aca="false">INDEX(ruminants!$D$3:$AH$120,$K40,V$4)</f>
        <v>18</v>
      </c>
      <c r="W40" s="42" t="n">
        <f aca="false">R40*W$3/1000*100</f>
        <v>10.752</v>
      </c>
      <c r="X40" s="43" t="n">
        <f aca="false">INDEX(ruminants!$D$3:$AH$120,$K40,X$4)/1000*100</f>
        <v>0.33</v>
      </c>
      <c r="Y40" s="44" t="n">
        <f aca="false">INDEX(ruminants!$D$3:$AH$120,$K40,Y$4)/1000*100</f>
        <v>0.1</v>
      </c>
      <c r="Z40" s="51"/>
      <c r="AA40" s="62"/>
      <c r="AB40" s="28" t="n">
        <f aca="false">MATCH($B40,pigs!$A$3:$A$60,0)</f>
        <v>22</v>
      </c>
      <c r="AC40" s="39" t="n">
        <f aca="false">INDEX(pigs!$D$3:$AO$60,$AB40,AC$4)</f>
        <v>90</v>
      </c>
      <c r="AD40" s="45" t="n">
        <f aca="false">( 5.7*AH40+9.4*AI40+4.1*(AJ40) ) * 0.004184</f>
        <v>22.9007056</v>
      </c>
      <c r="AE40" s="66" t="n">
        <v>21.4</v>
      </c>
      <c r="AF40" s="52" t="n">
        <f aca="false">INDEX(pigs!$D$3:$AO$60,$AB40,AF$4)</f>
        <v>12.9</v>
      </c>
      <c r="AG40" s="52" t="n">
        <f aca="false">INDEX(pigs!$D$3:$AO$60,$AB40,AG$4)</f>
        <v>13.3</v>
      </c>
      <c r="AH40" s="39" t="n">
        <f aca="false">INDEX(pigs!$D$3:$AO$60,$AB40,AH$4)</f>
        <v>677</v>
      </c>
      <c r="AI40" s="52" t="n">
        <f aca="false">INDEX(pigs!$D$3:$AO$60,$AB40,AI$4)</f>
        <v>71</v>
      </c>
      <c r="AJ40" s="49" t="n">
        <f aca="false">1000-SUM(AH40:AI40,AK40)</f>
        <v>231</v>
      </c>
      <c r="AK40" s="53" t="n">
        <f aca="false">INDEX(pigs!$D$3:$AO$60,$AB40,AK$4)</f>
        <v>21</v>
      </c>
      <c r="AL40" s="42" t="n">
        <f aca="false">AH40*AL$3/1000*100</f>
        <v>10.832</v>
      </c>
      <c r="AM40" s="43" t="n">
        <f aca="false">INDEX(pigs!$D$3:$AO$60,$AB40,AM$4)/1000*100</f>
        <v>0.64</v>
      </c>
      <c r="AN40" s="44" t="n">
        <f aca="false">INDEX(pigs!$D$3:$AO$60,$AB40,AN$4)/1000*100</f>
        <v>0.55</v>
      </c>
      <c r="AO40" s="51"/>
      <c r="AP40" s="64" t="s">
        <v>229</v>
      </c>
      <c r="AQ40" s="1" t="s">
        <v>202</v>
      </c>
      <c r="AR40" s="28" t="n">
        <f aca="false">MATCH($B40,poultry!$A$3:$A$41,0)</f>
        <v>25</v>
      </c>
      <c r="AS40" s="39" t="n">
        <f aca="false">INDEX(poultry!$D$3:$U$41,$AR40,AS$4)</f>
        <v>87</v>
      </c>
      <c r="AT40" s="65" t="n">
        <f aca="false">INDEX(poultry!$D$3:$U$41,$AR40,AT$4)/(AS40/100)</f>
        <v>16.3218390804598</v>
      </c>
    </row>
    <row r="41" customFormat="false" ht="16.4" hidden="false" customHeight="false" outlineLevel="0" collapsed="false">
      <c r="B41" s="1" t="s">
        <v>70</v>
      </c>
      <c r="C41" s="46" t="n">
        <f aca="false">AVERAGE(AC41,L41)</f>
        <v>75.5</v>
      </c>
      <c r="D41" s="40" t="n">
        <f aca="false">M41</f>
        <v>16.1615368</v>
      </c>
      <c r="E41" s="41" t="n">
        <f aca="false">AVERAGE(V41,AK41)/1000*100</f>
        <v>11.9</v>
      </c>
      <c r="F41" s="42" t="n">
        <f aca="false">AVERAGE(W41,AL41)</f>
        <v>2.208</v>
      </c>
      <c r="G41" s="43" t="n">
        <f aca="false">AVERAGE(X41,AM41)</f>
        <v>0.03</v>
      </c>
      <c r="H41" s="44" t="n">
        <f aca="false">AVERAGE(Y41,AN41)</f>
        <v>3.65</v>
      </c>
      <c r="I41" s="2"/>
      <c r="J41" s="2"/>
      <c r="K41" s="28" t="n">
        <f aca="false">MATCH($B41,ruminants!$A$3:$A$120,0)</f>
        <v>88</v>
      </c>
      <c r="L41" s="39" t="n">
        <f aca="false">INDEX(ruminants!$D$3:$AH$120,$K41,L$4)</f>
        <v>75</v>
      </c>
      <c r="M41" s="45" t="n">
        <f aca="false">( 5.7*R41+9.4*S41+4.1*(T41+U41) ) * 0.004184</f>
        <v>16.1615368</v>
      </c>
      <c r="N41" s="42" t="n">
        <f aca="false">INDEX(ruminants!$D$3:$AH$120,$K41,N$4)</f>
        <v>12.4</v>
      </c>
      <c r="O41" s="42" t="n">
        <f aca="false">INDEX(ruminants!$D$3:$AH$120,$K41,O$4)</f>
        <v>76</v>
      </c>
      <c r="P41" s="42" t="n">
        <f aca="false">INDEX(ruminants!$D$3:$AH$120,$K41,P$4)</f>
        <v>3</v>
      </c>
      <c r="Q41" s="42" t="n">
        <f aca="false">INDEX(ruminants!$D$3:$AH$120,$K41,Q$4)</f>
        <v>14.1</v>
      </c>
      <c r="R41" s="46" t="n">
        <f aca="false">INDEX(ruminants!$D$3:$AH$120,$K41,R$4)</f>
        <v>131</v>
      </c>
      <c r="S41" s="48" t="n">
        <f aca="false">INDEX(ruminants!$D$3:$AH$120,$K41,S$4)</f>
        <v>0</v>
      </c>
      <c r="T41" s="48" t="n">
        <f aca="false">INDEX(ruminants!$D$3:$AH$120,$K41,T$4)</f>
        <v>0</v>
      </c>
      <c r="U41" s="48" t="n">
        <f aca="false">INDEX(ruminants!$D$3:$AH$120,$K41,U$4)</f>
        <v>760</v>
      </c>
      <c r="V41" s="50" t="n">
        <f aca="false">INDEX(ruminants!$D$3:$AH$120,$K41,V$4)</f>
        <v>109</v>
      </c>
      <c r="W41" s="42" t="n">
        <f aca="false">R41*W$3/1000*100</f>
        <v>2.096</v>
      </c>
      <c r="X41" s="43" t="n">
        <f aca="false">INDEX(ruminants!$D$3:$AH$120,$K41,X$4)/1000*100</f>
        <v>0.02</v>
      </c>
      <c r="Y41" s="44" t="n">
        <f aca="false">INDEX(ruminants!$D$3:$AH$120,$K41,Y$4)/1000*100</f>
        <v>4.5</v>
      </c>
      <c r="Z41" s="51"/>
      <c r="AA41" s="62"/>
      <c r="AB41" s="28" t="n">
        <f aca="false">MATCH($B41,pigs!$A$3:$A$60,0)</f>
        <v>23</v>
      </c>
      <c r="AC41" s="39" t="n">
        <f aca="false">INDEX(pigs!$D$3:$AO$60,$AB41,AC$4)</f>
        <v>76</v>
      </c>
      <c r="AD41" s="45" t="n">
        <f aca="false">( 5.7*AH41+9.4*AI41+4.1*(AJ41) ) * 0.004184</f>
        <v>15.9565208</v>
      </c>
      <c r="AE41" s="66" t="n">
        <v>13.1</v>
      </c>
      <c r="AF41" s="52" t="n">
        <f aca="false">INDEX(pigs!$D$3:$AO$60,$AB41,AF$4)</f>
        <v>8.7</v>
      </c>
      <c r="AG41" s="52" t="n">
        <f aca="false">INDEX(pigs!$D$3:$AO$60,$AB41,AG$4)</f>
        <v>9</v>
      </c>
      <c r="AH41" s="39" t="n">
        <f aca="false">INDEX(pigs!$D$3:$AO$60,$AB41,AH$4)</f>
        <v>145</v>
      </c>
      <c r="AI41" s="52" t="n">
        <f aca="false">INDEX(pigs!$D$3:$AO$60,$AB41,AI$4)</f>
        <v>2</v>
      </c>
      <c r="AJ41" s="49" t="n">
        <f aca="false">1000-SUM(AH41:AI41,AK41)</f>
        <v>724</v>
      </c>
      <c r="AK41" s="53" t="n">
        <f aca="false">INDEX(pigs!$D$3:$AO$60,$AB41,AK$4)</f>
        <v>129</v>
      </c>
      <c r="AL41" s="42" t="n">
        <f aca="false">AH41*AL$3/1000*100</f>
        <v>2.32</v>
      </c>
      <c r="AM41" s="43" t="n">
        <f aca="false">INDEX(pigs!$D$3:$AO$60,$AB41,AM$4)/1000*100</f>
        <v>0.04</v>
      </c>
      <c r="AN41" s="44" t="n">
        <f aca="false">INDEX(pigs!$D$3:$AO$60,$AB41,AN$4)/1000*100</f>
        <v>2.8</v>
      </c>
      <c r="AO41" s="13"/>
      <c r="AP41" s="64" t="s">
        <v>230</v>
      </c>
      <c r="AQ41" s="1" t="s">
        <v>202</v>
      </c>
      <c r="AR41" s="28"/>
      <c r="AS41" s="39"/>
      <c r="AT41" s="53"/>
    </row>
    <row r="42" customFormat="false" ht="16.4" hidden="false" customHeight="false" outlineLevel="0" collapsed="false">
      <c r="B42" s="1" t="s">
        <v>71</v>
      </c>
      <c r="C42" s="46" t="n">
        <f aca="false">AVERAGE(AC42,L42)</f>
        <v>89.5</v>
      </c>
      <c r="D42" s="40" t="n">
        <f aca="false">M42</f>
        <v>17.334312</v>
      </c>
      <c r="E42" s="41" t="n">
        <f aca="false">AVERAGE(V42,AK42)/1000*100</f>
        <v>7.15</v>
      </c>
      <c r="F42" s="42" t="n">
        <f aca="false">AVERAGE(W42,AL42)</f>
        <v>1.448</v>
      </c>
      <c r="G42" s="43" t="n">
        <f aca="false">AVERAGE(X42,AM42)</f>
        <v>0.1</v>
      </c>
      <c r="H42" s="44" t="n">
        <f aca="false">AVERAGE(Y42,AN42)</f>
        <v>0.485</v>
      </c>
      <c r="I42" s="2"/>
      <c r="J42" s="2"/>
      <c r="K42" s="28" t="n">
        <f aca="false">MATCH($B42,ruminants!$A$3:$A$120,0)</f>
        <v>91</v>
      </c>
      <c r="L42" s="39" t="n">
        <f aca="false">INDEX(ruminants!$D$3:$AH$120,$K42,L$4)</f>
        <v>90</v>
      </c>
      <c r="M42" s="45" t="n">
        <f aca="false">( 5.7*R42+9.4*S42+4.1*(T42+U42) ) * 0.004184</f>
        <v>17.334312</v>
      </c>
      <c r="N42" s="42" t="n">
        <f aca="false">INDEX(ruminants!$D$3:$AH$120,$K42,N$4)</f>
        <v>12.3</v>
      </c>
      <c r="O42" s="42" t="n">
        <f aca="false">INDEX(ruminants!$D$3:$AH$120,$K42,O$4)</f>
        <v>107</v>
      </c>
      <c r="P42" s="42" t="n">
        <f aca="false">INDEX(ruminants!$D$3:$AH$120,$K42,P$4)</f>
        <v>-96</v>
      </c>
      <c r="Q42" s="42" t="n">
        <f aca="false">INDEX(ruminants!$D$3:$AH$120,$K42,Q$4)</f>
        <v>14.7</v>
      </c>
      <c r="R42" s="46" t="n">
        <f aca="false">INDEX(ruminants!$D$3:$AH$120,$K42,R$4)</f>
        <v>90</v>
      </c>
      <c r="S42" s="48" t="n">
        <f aca="false">INDEX(ruminants!$D$3:$AH$120,$K42,S$4)</f>
        <v>32</v>
      </c>
      <c r="T42" s="48" t="n">
        <f aca="false">INDEX(ruminants!$D$3:$AH$120,$K42,T$4)</f>
        <v>187</v>
      </c>
      <c r="U42" s="48" t="n">
        <f aca="false">INDEX(ruminants!$D$3:$AH$120,$K42,U$4)</f>
        <v>625</v>
      </c>
      <c r="V42" s="50" t="n">
        <f aca="false">INDEX(ruminants!$D$3:$AH$120,$K42,V$4)</f>
        <v>66</v>
      </c>
      <c r="W42" s="42" t="n">
        <f aca="false">R42*W$3/1000*100</f>
        <v>1.44</v>
      </c>
      <c r="X42" s="43" t="n">
        <f aca="false">INDEX(ruminants!$D$3:$AH$120,$K42,X$4)/1000*100</f>
        <v>0.1</v>
      </c>
      <c r="Y42" s="44" t="n">
        <f aca="false">INDEX(ruminants!$D$3:$AH$120,$K42,Y$4)/1000*100</f>
        <v>0.6</v>
      </c>
      <c r="Z42" s="51"/>
      <c r="AA42" s="62"/>
      <c r="AB42" s="28" t="n">
        <f aca="false">MATCH($B42,pigs!$A$3:$A$60,0)</f>
        <v>4</v>
      </c>
      <c r="AC42" s="39" t="n">
        <f aca="false">INDEX(pigs!$D$3:$AO$60,$AB42,AC$4)</f>
        <v>89</v>
      </c>
      <c r="AD42" s="45" t="n">
        <f aca="false">( 5.7*AH42+9.4*AI42+4.1*(AJ42) ) * 0.004184</f>
        <v>16.6644536</v>
      </c>
      <c r="AE42" s="66" t="n">
        <v>12.2</v>
      </c>
      <c r="AF42" s="52" t="n">
        <f aca="false">INDEX(pigs!$D$3:$AO$60,$AB42,AF$4)</f>
        <v>6.9</v>
      </c>
      <c r="AG42" s="52" t="n">
        <f aca="false">INDEX(pigs!$D$3:$AO$60,$AB42,AG$4)</f>
        <v>8</v>
      </c>
      <c r="AH42" s="39" t="n">
        <f aca="false">INDEX(pigs!$D$3:$AO$60,$AB42,AH$4)</f>
        <v>91</v>
      </c>
      <c r="AI42" s="52" t="n">
        <f aca="false">INDEX(pigs!$D$3:$AO$60,$AB42,AI$4)</f>
        <v>10</v>
      </c>
      <c r="AJ42" s="49" t="n">
        <f aca="false">1000-SUM(AH42:AI42,AK42)</f>
        <v>822</v>
      </c>
      <c r="AK42" s="53" t="n">
        <f aca="false">INDEX(pigs!$D$3:$AO$60,$AB42,AK$4)</f>
        <v>77</v>
      </c>
      <c r="AL42" s="42" t="n">
        <f aca="false">AH42*AL$3/1000*100</f>
        <v>1.456</v>
      </c>
      <c r="AM42" s="43" t="n">
        <f aca="false">INDEX(pigs!$D$3:$AO$60,$AB42,AM$4)/1000*100</f>
        <v>0.1</v>
      </c>
      <c r="AN42" s="44" t="n">
        <f aca="false">INDEX(pigs!$D$3:$AO$60,$AB42,AN$4)/1000*100</f>
        <v>0.37</v>
      </c>
      <c r="AO42" s="13"/>
      <c r="AP42" s="64" t="s">
        <v>231</v>
      </c>
      <c r="AQ42" s="1" t="s">
        <v>202</v>
      </c>
      <c r="AR42" s="28"/>
      <c r="AS42" s="39"/>
      <c r="AT42" s="53"/>
    </row>
    <row r="43" customFormat="false" ht="15" hidden="false" customHeight="false" outlineLevel="0" collapsed="false">
      <c r="B43" s="1" t="s">
        <v>72</v>
      </c>
      <c r="C43" s="46" t="n">
        <f aca="false">AVERAGE(AC43,L43)</f>
        <v>6.25</v>
      </c>
      <c r="D43" s="40" t="n">
        <f aca="false">M43</f>
        <v>16.46404</v>
      </c>
      <c r="E43" s="41" t="n">
        <f aca="false">AVERAGE(V43,AK43)/1000*100</f>
        <v>9.3</v>
      </c>
      <c r="F43" s="42" t="n">
        <f aca="false">AVERAGE(W43,AL43)</f>
        <v>1.88</v>
      </c>
      <c r="G43" s="43" t="n">
        <f aca="false">AVERAGE(X43,AM43)</f>
        <v>0.76</v>
      </c>
      <c r="H43" s="44" t="n">
        <f aca="false">AVERAGE(Y43,AN43)</f>
        <v>2.355</v>
      </c>
      <c r="I43" s="2"/>
      <c r="J43" s="2"/>
      <c r="K43" s="28" t="n">
        <f aca="false">MATCH($B43,ruminants!$A$3:$A$120,0)</f>
        <v>57</v>
      </c>
      <c r="L43" s="39" t="n">
        <f aca="false">INDEX(ruminants!$D$3:$AH$120,$K43,L$4)</f>
        <v>7</v>
      </c>
      <c r="M43" s="45" t="n">
        <f aca="false">( 5.7*R43+9.4*S43+4.1*(T43+U43) ) * 0.004184</f>
        <v>16.46404</v>
      </c>
      <c r="N43" s="42" t="n">
        <f aca="false">INDEX(ruminants!$D$3:$AH$120,$K43,N$4)</f>
        <v>13.6</v>
      </c>
      <c r="O43" s="42" t="n">
        <f aca="false">INDEX(ruminants!$D$3:$AH$120,$K43,O$4)</f>
        <v>82</v>
      </c>
      <c r="P43" s="42" t="n">
        <f aca="false">INDEX(ruminants!$D$3:$AH$120,$K43,P$4)</f>
        <v>-18</v>
      </c>
      <c r="Q43" s="42" t="n">
        <f aca="false">INDEX(ruminants!$D$3:$AH$120,$K43,Q$4)</f>
        <v>15.1</v>
      </c>
      <c r="R43" s="46" t="n">
        <f aca="false">INDEX(ruminants!$D$3:$AH$120,$K43,R$4)</f>
        <v>120</v>
      </c>
      <c r="S43" s="48" t="n">
        <f aca="false">INDEX(ruminants!$D$3:$AH$120,$K43,S$4)</f>
        <v>10</v>
      </c>
      <c r="T43" s="48" t="n">
        <f aca="false">INDEX(ruminants!$D$3:$AH$120,$K43,T$4)</f>
        <v>0</v>
      </c>
      <c r="U43" s="48" t="n">
        <f aca="false">INDEX(ruminants!$D$3:$AH$120,$K43,U$4)</f>
        <v>770</v>
      </c>
      <c r="V43" s="50" t="n">
        <f aca="false">INDEX(ruminants!$D$3:$AH$120,$K43,V$4)</f>
        <v>100</v>
      </c>
      <c r="W43" s="42" t="n">
        <f aca="false">R43*W$3/1000*100</f>
        <v>1.92</v>
      </c>
      <c r="X43" s="43" t="n">
        <f aca="false">INDEX(ruminants!$D$3:$AH$120,$K43,X$4)/1000*100</f>
        <v>0.79</v>
      </c>
      <c r="Y43" s="44" t="n">
        <f aca="false">INDEX(ruminants!$D$3:$AH$120,$K43,Y$4)/1000*100</f>
        <v>2.4</v>
      </c>
      <c r="Z43" s="51"/>
      <c r="AA43" s="62"/>
      <c r="AB43" s="28" t="n">
        <f aca="false">MATCH($B43,pigs!$A$3:$A$60,0)</f>
        <v>50</v>
      </c>
      <c r="AC43" s="39" t="n">
        <f aca="false">INDEX(pigs!$D$3:$AO$60,$AB43,AC$4)</f>
        <v>5.5</v>
      </c>
      <c r="AD43" s="45" t="n">
        <f aca="false">( 5.7*AH43+9.4*AI43+4.1*(AJ43) ) * 0.004184</f>
        <v>16.8703064</v>
      </c>
      <c r="AE43" s="67" t="n">
        <f aca="false">(AE44/AD44)*AD43</f>
        <v>15.2053460514641</v>
      </c>
      <c r="AF43" s="52" t="n">
        <f aca="false">INDEX(pigs!$D$3:$AO$60,$AB43,AF$4)</f>
        <v>12.4</v>
      </c>
      <c r="AG43" s="52" t="n">
        <f aca="false">INDEX(pigs!$D$3:$AO$60,$AB43,AG$4)</f>
        <v>12.2</v>
      </c>
      <c r="AH43" s="39" t="n">
        <f aca="false">INDEX(pigs!$D$3:$AO$60,$AB43,AH$4)</f>
        <v>115</v>
      </c>
      <c r="AI43" s="52" t="n">
        <f aca="false">INDEX(pigs!$D$3:$AO$60,$AB43,AI$4)</f>
        <v>19</v>
      </c>
      <c r="AJ43" s="49" t="n">
        <f aca="false">1000-SUM(AH43:AI43,AK43)</f>
        <v>780</v>
      </c>
      <c r="AK43" s="53" t="n">
        <f aca="false">INDEX(pigs!$D$3:$AO$60,$AB43,AK$4)</f>
        <v>86</v>
      </c>
      <c r="AL43" s="42" t="n">
        <f aca="false">AH43*AL$3/1000*100</f>
        <v>1.84</v>
      </c>
      <c r="AM43" s="43" t="n">
        <f aca="false">INDEX(pigs!$D$3:$AO$60,$AB43,AM$4)/1000*100</f>
        <v>0.73</v>
      </c>
      <c r="AN43" s="44" t="n">
        <f aca="false">INDEX(pigs!$D$3:$AO$60,$AB43,AN$4)/1000*100</f>
        <v>2.31</v>
      </c>
      <c r="AO43" s="13"/>
      <c r="AP43" s="64"/>
      <c r="AQ43" s="1" t="s">
        <v>202</v>
      </c>
      <c r="AR43" s="28"/>
      <c r="AS43" s="39"/>
      <c r="AT43" s="53"/>
    </row>
    <row r="44" customFormat="false" ht="16.4" hidden="false" customHeight="false" outlineLevel="0" collapsed="false">
      <c r="B44" s="1" t="s">
        <v>73</v>
      </c>
      <c r="C44" s="46" t="n">
        <f aca="false">AVERAGE(AC44,L44)</f>
        <v>97</v>
      </c>
      <c r="D44" s="40" t="n">
        <f aca="false">AD44</f>
        <v>16.9753248</v>
      </c>
      <c r="E44" s="41" t="n">
        <f aca="false">AVERAGE(V44,AK44)/1000*100</f>
        <v>8.6</v>
      </c>
      <c r="F44" s="42" t="n">
        <f aca="false">AVERAGE(W44,AL44)</f>
        <v>2.048</v>
      </c>
      <c r="G44" s="43" t="n">
        <f aca="false">AVERAGE(X44,AM44)</f>
        <v>0.68</v>
      </c>
      <c r="H44" s="44" t="n">
        <f aca="false">AVERAGE(Y44,AN44)</f>
        <v>2.1</v>
      </c>
      <c r="I44" s="2"/>
      <c r="J44" s="2"/>
      <c r="K44" s="28"/>
      <c r="L44" s="39" t="n">
        <v>97</v>
      </c>
      <c r="M44" s="45" t="n">
        <f aca="false">( 5.7*R44+9.4*S44+4.1*(T44+U44) ) * 0.004184</f>
        <v>16.8728168</v>
      </c>
      <c r="N44" s="42" t="n">
        <v>12.3</v>
      </c>
      <c r="O44" s="42" t="n">
        <f aca="false">INDEX(ruminants!$D$3:$AH$120,$K44,O$4)</f>
        <v>90</v>
      </c>
      <c r="P44" s="42" t="n">
        <f aca="false">INDEX(ruminants!$D$3:$AH$120,$K44,P$4)</f>
        <v>-29</v>
      </c>
      <c r="Q44" s="42" t="n">
        <f aca="false">M44*0.913</f>
        <v>15.4048817384</v>
      </c>
      <c r="R44" s="39" t="n">
        <v>125</v>
      </c>
      <c r="S44" s="52" t="n">
        <v>13</v>
      </c>
      <c r="T44" s="72" t="n">
        <v>0</v>
      </c>
      <c r="U44" s="49" t="n">
        <f aca="false">1000-SUM(R44:T44,V44)</f>
        <v>780</v>
      </c>
      <c r="V44" s="50" t="n">
        <v>82</v>
      </c>
      <c r="W44" s="42" t="n">
        <f aca="false">R44*W$3/1000*100</f>
        <v>2</v>
      </c>
      <c r="X44" s="43" t="n">
        <f aca="false">6.4/1000*100</f>
        <v>0.64</v>
      </c>
      <c r="Y44" s="44" t="n">
        <f aca="false">21/1000*100</f>
        <v>2.1</v>
      </c>
      <c r="Z44" s="51" t="s">
        <v>232</v>
      </c>
      <c r="AA44" s="62"/>
      <c r="AB44" s="28" t="n">
        <f aca="false">MATCH($B44,pigs!$A$3:$A$60,0)</f>
        <v>52</v>
      </c>
      <c r="AC44" s="39" t="n">
        <f aca="false">INDEX(pigs!$D$3:$AO$60,$AB44,AC$4)</f>
        <v>97</v>
      </c>
      <c r="AD44" s="45" t="n">
        <f aca="false">( 5.7*AH44+9.4*AI44+4.1*(AJ44) ) * 0.004184</f>
        <v>16.9753248</v>
      </c>
      <c r="AE44" s="66" t="n">
        <v>15.3</v>
      </c>
      <c r="AF44" s="52" t="n">
        <f aca="false">INDEX(pigs!$D$3:$AO$60,$AB44,AF$4)</f>
        <v>12.4</v>
      </c>
      <c r="AG44" s="52" t="n">
        <f aca="false">INDEX(pigs!$D$3:$AO$60,$AB44,AG$4)</f>
        <v>12.2</v>
      </c>
      <c r="AH44" s="39" t="n">
        <f aca="false">INDEX(pigs!$D$3:$AO$60,$AB44,AH$4)</f>
        <v>131</v>
      </c>
      <c r="AI44" s="52" t="n">
        <f aca="false">INDEX(pigs!$D$3:$AO$60,$AB44,AI$4)</f>
        <v>22</v>
      </c>
      <c r="AJ44" s="49" t="n">
        <f aca="false">1000-SUM(AH44:AI44,AK44)</f>
        <v>757</v>
      </c>
      <c r="AK44" s="53" t="n">
        <f aca="false">INDEX(pigs!$D$3:$AO$60,$AB44,AK$4)</f>
        <v>90</v>
      </c>
      <c r="AL44" s="42" t="n">
        <f aca="false">AH44*AL$3/1000*100</f>
        <v>2.096</v>
      </c>
      <c r="AM44" s="43" t="n">
        <f aca="false">INDEX(pigs!$D$3:$AO$60,$AB44,AM$4)/1000*100</f>
        <v>0.72</v>
      </c>
      <c r="AN44" s="44" t="n">
        <f aca="false">INDEX(pigs!$D$3:$AO$60,$AB44,AN$4)/1000*100</f>
        <v>2.1</v>
      </c>
      <c r="AO44" s="13"/>
      <c r="AP44" s="64" t="s">
        <v>232</v>
      </c>
      <c r="AQ44" s="1" t="s">
        <v>202</v>
      </c>
      <c r="AR44" s="28"/>
      <c r="AS44" s="39"/>
      <c r="AT44" s="53"/>
    </row>
    <row r="45" customFormat="false" ht="16.4" hidden="false" customHeight="false" outlineLevel="0" collapsed="false">
      <c r="B45" s="1" t="s">
        <v>74</v>
      </c>
      <c r="C45" s="46" t="n">
        <f aca="false">AVERAGE(AC45,L45)</f>
        <v>91</v>
      </c>
      <c r="D45" s="40" t="n">
        <f aca="false">M45</f>
        <v>23.055932</v>
      </c>
      <c r="E45" s="41" t="n">
        <f aca="false">AVERAGE(V45,AK45)/1000*100</f>
        <v>2.8</v>
      </c>
      <c r="F45" s="42" t="n">
        <f aca="false">AVERAGE(W45,AL45)</f>
        <v>13.48</v>
      </c>
      <c r="G45" s="43" t="n">
        <f aca="false">AVERAGE(X45,AM45)</f>
        <v>0.435</v>
      </c>
      <c r="H45" s="44" t="n">
        <f aca="false">AVERAGE(Y45,AN45)</f>
        <v>0.815</v>
      </c>
      <c r="I45" s="2"/>
      <c r="J45" s="2"/>
      <c r="K45" s="28" t="n">
        <f aca="false">MATCH($B45,ruminants!$A$3:$A$120,0)</f>
        <v>65</v>
      </c>
      <c r="L45" s="39" t="n">
        <f aca="false">INDEX(ruminants!$D$3:$AH$120,$K45,L$4)</f>
        <v>90</v>
      </c>
      <c r="M45" s="45" t="n">
        <f aca="false">( 5.7*R45+9.4*S45+4.1*(T45+U45) ) * 0.004184</f>
        <v>23.055932</v>
      </c>
      <c r="N45" s="42" t="n">
        <f aca="false">INDEX(ruminants!$D$3:$AH$120,$K45,N$4)</f>
        <v>15.5</v>
      </c>
      <c r="O45" s="42" t="n">
        <f aca="false">INDEX(ruminants!$D$3:$AH$120,$K45,O$4)</f>
        <v>418</v>
      </c>
      <c r="P45" s="42" t="n">
        <f aca="false">INDEX(ruminants!$D$3:$AH$120,$K45,P$4)</f>
        <v>323</v>
      </c>
      <c r="Q45" s="42" t="n">
        <f aca="false">INDEX(ruminants!$D$3:$AH$120,$K45,Q$4)</f>
        <v>19.7</v>
      </c>
      <c r="R45" s="46" t="n">
        <f aca="false">INDEX(ruminants!$D$3:$AH$120,$K45,R$4)</f>
        <v>844</v>
      </c>
      <c r="S45" s="48" t="n">
        <f aca="false">INDEX(ruminants!$D$3:$AH$120,$K45,S$4)</f>
        <v>33</v>
      </c>
      <c r="T45" s="48" t="n">
        <f aca="false">INDEX(ruminants!$D$3:$AH$120,$K45,T$4)</f>
        <v>4</v>
      </c>
      <c r="U45" s="48" t="n">
        <f aca="false">INDEX(ruminants!$D$3:$AH$120,$K45,U$4)</f>
        <v>91</v>
      </c>
      <c r="V45" s="50" t="n">
        <f aca="false">INDEX(ruminants!$D$3:$AH$120,$K45,V$4)</f>
        <v>28</v>
      </c>
      <c r="W45" s="42" t="n">
        <f aca="false">R45*W$3/1000*100</f>
        <v>13.504</v>
      </c>
      <c r="X45" s="43" t="n">
        <f aca="false">INDEX(ruminants!$D$3:$AH$120,$K45,X$4)/1000*100</f>
        <v>0.44</v>
      </c>
      <c r="Y45" s="44" t="n">
        <f aca="false">INDEX(ruminants!$D$3:$AH$120,$K45,Y$4)/1000*100</f>
        <v>0.89</v>
      </c>
      <c r="Z45" s="51"/>
      <c r="AA45" s="62"/>
      <c r="AB45" s="28" t="n">
        <f aca="false">MATCH($B45,pigs!$A$3:$A$60,0)</f>
        <v>31</v>
      </c>
      <c r="AC45" s="39" t="n">
        <f aca="false">INDEX(pigs!$D$3:$AO$60,$AB45,AC$4)</f>
        <v>92</v>
      </c>
      <c r="AD45" s="45" t="n">
        <f aca="false">( 5.7*AH45+9.4*AI45+4.1*(AJ45) ) * 0.004184</f>
        <v>22.5258192</v>
      </c>
      <c r="AE45" s="66" t="n">
        <v>20.8</v>
      </c>
      <c r="AF45" s="52" t="n">
        <f aca="false">INDEX(pigs!$D$3:$AO$60,$AB45,AF$4)</f>
        <v>11.1</v>
      </c>
      <c r="AG45" s="52" t="n">
        <f aca="false">INDEX(pigs!$D$3:$AO$60,$AB45,AG$4)</f>
        <v>11.3</v>
      </c>
      <c r="AH45" s="39" t="n">
        <f aca="false">INDEX(pigs!$D$3:$AO$60,$AB45,AH$4)</f>
        <v>841</v>
      </c>
      <c r="AI45" s="52" t="n">
        <f aca="false">INDEX(pigs!$D$3:$AO$60,$AB45,AI$4)</f>
        <v>10</v>
      </c>
      <c r="AJ45" s="49" t="n">
        <f aca="false">1000-SUM(AH45:AI45,AK45)</f>
        <v>121</v>
      </c>
      <c r="AK45" s="53" t="n">
        <f aca="false">INDEX(pigs!$D$3:$AO$60,$AB45,AK$4)</f>
        <v>28</v>
      </c>
      <c r="AL45" s="42" t="n">
        <f aca="false">AH45*AL$3/1000*100</f>
        <v>13.456</v>
      </c>
      <c r="AM45" s="43" t="n">
        <f aca="false">INDEX(pigs!$D$3:$AO$60,$AB45,AM$4)/1000*100</f>
        <v>0.43</v>
      </c>
      <c r="AN45" s="44" t="n">
        <f aca="false">INDEX(pigs!$D$3:$AO$60,$AB45,AN$4)/1000*100</f>
        <v>0.74</v>
      </c>
      <c r="AO45" s="13"/>
      <c r="AP45" s="64" t="s">
        <v>233</v>
      </c>
      <c r="AQ45" s="1" t="s">
        <v>202</v>
      </c>
      <c r="AR45" s="28" t="n">
        <f aca="false">MATCH($B45,poultry!$A$3:$A$41,0)</f>
        <v>28</v>
      </c>
      <c r="AS45" s="39" t="n">
        <f aca="false">INDEX(poultry!$D$3:$U$41,$AR45,AS$4)</f>
        <v>90</v>
      </c>
      <c r="AT45" s="65" t="n">
        <f aca="false">INDEX(poultry!$D$3:$U$41,$AR45,AT$4)/(AS45/100)</f>
        <v>16</v>
      </c>
    </row>
    <row r="46" customFormat="false" ht="15" hidden="false" customHeight="false" outlineLevel="0" collapsed="false">
      <c r="B46" s="1" t="s">
        <v>75</v>
      </c>
      <c r="C46" s="46" t="n">
        <f aca="false">AVERAGE(AC46,L46)</f>
        <v>23</v>
      </c>
      <c r="D46" s="40" t="n">
        <f aca="false">M46</f>
        <v>17.035156</v>
      </c>
      <c r="E46" s="41" t="n">
        <f aca="false">AVERAGE(V46,AK46)/1000*100</f>
        <v>5.5</v>
      </c>
      <c r="F46" s="42" t="n">
        <f aca="false">AVERAGE(W46,AL46)</f>
        <v>1.44</v>
      </c>
      <c r="G46" s="43" t="n">
        <f aca="false">AVERAGE(X46,AM46)</f>
        <v>0.23</v>
      </c>
      <c r="H46" s="44" t="n">
        <f aca="false">AVERAGE(Y46,AN46)</f>
        <v>2.2</v>
      </c>
      <c r="I46" s="2"/>
      <c r="J46" s="2"/>
      <c r="K46" s="28" t="n">
        <f aca="false">MATCH($B46,ruminants!$A$3:$A$120,0)</f>
        <v>63</v>
      </c>
      <c r="L46" s="39" t="n">
        <f aca="false">INDEX(ruminants!$D$3:$AH$120,$K46,L$4)</f>
        <v>23</v>
      </c>
      <c r="M46" s="45" t="n">
        <f aca="false">( 5.7*R46+9.4*S46+4.1*(T46+U46) ) * 0.004184</f>
        <v>17.035156</v>
      </c>
      <c r="N46" s="42" t="n">
        <f aca="false">INDEX(ruminants!$D$3:$AH$120,$K46,N$4)</f>
        <v>13.1</v>
      </c>
      <c r="O46" s="42" t="n">
        <f aca="false">INDEX(ruminants!$D$3:$AH$120,$K46,O$4)</f>
        <v>92</v>
      </c>
      <c r="P46" s="42" t="n">
        <f aca="false">INDEX(ruminants!$D$3:$AH$120,$K46,P$4)</f>
        <v>-70</v>
      </c>
      <c r="Q46" s="42" t="n">
        <f aca="false">INDEX(ruminants!$D$3:$AH$120,$K46,Q$4)</f>
        <v>14.9</v>
      </c>
      <c r="R46" s="46" t="n">
        <f aca="false">INDEX(ruminants!$D$3:$AH$120,$K46,R$4)</f>
        <v>90</v>
      </c>
      <c r="S46" s="48" t="n">
        <f aca="false">INDEX(ruminants!$D$3:$AH$120,$K46,S$4)</f>
        <v>10</v>
      </c>
      <c r="T46" s="48" t="n">
        <f aca="false">INDEX(ruminants!$D$3:$AH$120,$K46,T$4)</f>
        <v>25</v>
      </c>
      <c r="U46" s="48" t="n">
        <f aca="false">INDEX(ruminants!$D$3:$AH$120,$K46,U$4)</f>
        <v>820</v>
      </c>
      <c r="V46" s="50" t="n">
        <f aca="false">INDEX(ruminants!$D$3:$AH$120,$K46,V$4)</f>
        <v>55</v>
      </c>
      <c r="W46" s="42" t="n">
        <f aca="false">R46*W$3/1000*100</f>
        <v>1.44</v>
      </c>
      <c r="X46" s="43" t="n">
        <f aca="false">INDEX(ruminants!$D$3:$AH$120,$K46,X$4)/1000*100</f>
        <v>0.23</v>
      </c>
      <c r="Y46" s="44" t="n">
        <f aca="false">INDEX(ruminants!$D$3:$AH$120,$K46,Y$4)/1000*100</f>
        <v>2.2</v>
      </c>
      <c r="Z46" s="51"/>
      <c r="AA46" s="62"/>
      <c r="AB46" s="28"/>
      <c r="AC46" s="39"/>
      <c r="AD46" s="45"/>
      <c r="AE46" s="66"/>
      <c r="AF46" s="52"/>
      <c r="AG46" s="52"/>
      <c r="AH46" s="39"/>
      <c r="AI46" s="52"/>
      <c r="AJ46" s="49"/>
      <c r="AK46" s="53"/>
      <c r="AL46" s="42"/>
      <c r="AM46" s="43"/>
      <c r="AN46" s="44"/>
      <c r="AO46" s="13"/>
      <c r="AP46" s="64"/>
      <c r="AR46" s="28"/>
      <c r="AS46" s="39"/>
      <c r="AT46" s="53"/>
    </row>
    <row r="47" customFormat="false" ht="16.4" hidden="false" customHeight="false" outlineLevel="0" collapsed="false">
      <c r="B47" s="1" t="s">
        <v>76</v>
      </c>
      <c r="C47" s="46" t="n">
        <f aca="false">AVERAGE(AC47,L47)</f>
        <v>92.05</v>
      </c>
      <c r="D47" s="40" t="n">
        <f aca="false">AD47</f>
        <v>22.254696</v>
      </c>
      <c r="E47" s="41" t="n">
        <f aca="false">AVERAGE(V47,AK47)/1000*100</f>
        <v>13.55</v>
      </c>
      <c r="F47" s="42" t="n">
        <f aca="false">AVERAGE(W47,AL47)</f>
        <v>12.112</v>
      </c>
      <c r="G47" s="43" t="n">
        <f aca="false">AVERAGE(X47,AM47)</f>
        <v>2.35</v>
      </c>
      <c r="H47" s="44" t="n">
        <f aca="false">AVERAGE(Y47,AN47)</f>
        <v>1.195</v>
      </c>
      <c r="I47" s="2"/>
      <c r="J47" s="2"/>
      <c r="K47" s="28"/>
      <c r="L47" s="39" t="n">
        <v>92.1</v>
      </c>
      <c r="M47" s="45" t="n">
        <f aca="false">( 5.7*R47+9.4*S47+4.1*(T47+U47) ) * 0.004184</f>
        <v>22.3082512</v>
      </c>
      <c r="N47" s="42" t="n">
        <v>14.8</v>
      </c>
      <c r="O47" s="42" t="n">
        <f aca="false">INDEX(ruminants!$D$3:$AH$120,$K47,O$4)</f>
        <v>51</v>
      </c>
      <c r="P47" s="42" t="n">
        <f aca="false">INDEX(ruminants!$D$3:$AH$120,$K47,P$4)</f>
        <v>154</v>
      </c>
      <c r="Q47" s="42" t="n">
        <f aca="false">M47*0.975</f>
        <v>21.75054492</v>
      </c>
      <c r="R47" s="46" t="n">
        <v>754</v>
      </c>
      <c r="S47" s="48" t="n">
        <v>110</v>
      </c>
      <c r="T47" s="48" t="n">
        <v>0</v>
      </c>
      <c r="U47" s="48" t="n">
        <v>0</v>
      </c>
      <c r="V47" s="50" t="n">
        <v>136</v>
      </c>
      <c r="W47" s="42" t="n">
        <f aca="false">R47*W$3/1000*100</f>
        <v>12.064</v>
      </c>
      <c r="X47" s="43" t="n">
        <f aca="false">22.3/1000*100</f>
        <v>2.23</v>
      </c>
      <c r="Y47" s="44" t="n">
        <f aca="false">11.9/1000*100</f>
        <v>1.19</v>
      </c>
      <c r="Z47" s="51" t="s">
        <v>234</v>
      </c>
      <c r="AA47" s="62"/>
      <c r="AB47" s="28" t="n">
        <f aca="false">MATCH($B47,pigs!$A$3:$A$60,0)</f>
        <v>7</v>
      </c>
      <c r="AC47" s="39" t="n">
        <f aca="false">INDEX(pigs!$D$3:$AO$60,$AB47,AC$4)</f>
        <v>92</v>
      </c>
      <c r="AD47" s="45" t="n">
        <f aca="false">( 5.7*AH47+9.4*AI47+4.1*(AJ47) ) * 0.004184</f>
        <v>22.254696</v>
      </c>
      <c r="AE47" s="66" t="n">
        <f aca="false">19.5</f>
        <v>19.5</v>
      </c>
      <c r="AF47" s="52" t="n">
        <f aca="false">INDEX(pigs!$D$3:$AO$60,$AB47,AF$4)</f>
        <v>10.8</v>
      </c>
      <c r="AG47" s="52" t="n">
        <f aca="false">INDEX(pigs!$D$3:$AO$60,$AB47,AG$4)</f>
        <v>10.8</v>
      </c>
      <c r="AH47" s="39" t="n">
        <f aca="false">INDEX(pigs!$D$3:$AO$60,$AB47,AH$4)</f>
        <v>760</v>
      </c>
      <c r="AI47" s="52" t="n">
        <f aca="false">INDEX(pigs!$D$3:$AO$60,$AB47,AI$4)</f>
        <v>105</v>
      </c>
      <c r="AJ47" s="49" t="n">
        <f aca="false">1000-SUM(AH47:AI47,AK47)</f>
        <v>0</v>
      </c>
      <c r="AK47" s="53" t="n">
        <f aca="false">INDEX(pigs!$D$3:$AO$60,$AB47,AK$4)</f>
        <v>135</v>
      </c>
      <c r="AL47" s="42" t="n">
        <f aca="false">AH47*AL$3/1000*100</f>
        <v>12.16</v>
      </c>
      <c r="AM47" s="43" t="n">
        <f aca="false">INDEX(pigs!$D$3:$AO$60,$AB47,AM$4)/1000*100</f>
        <v>2.47</v>
      </c>
      <c r="AN47" s="44" t="n">
        <f aca="false">INDEX(pigs!$D$3:$AO$60,$AB47,AN$4)/1000*100</f>
        <v>1.2</v>
      </c>
      <c r="AO47" s="13"/>
      <c r="AP47" s="64" t="s">
        <v>234</v>
      </c>
      <c r="AQ47" s="1" t="s">
        <v>202</v>
      </c>
      <c r="AR47" s="28" t="n">
        <f aca="false">MATCH($B47,poultry!$A$3:$A$41,0)</f>
        <v>6</v>
      </c>
      <c r="AS47" s="39" t="n">
        <f aca="false">INDEX(poultry!$D$3:$U$41,$AR47,AS$4)</f>
        <v>92</v>
      </c>
      <c r="AT47" s="65" t="n">
        <f aca="false">INDEX(poultry!$D$3:$U$41,$AR47,AT$4)/(AS47/100)</f>
        <v>13.695652173913</v>
      </c>
    </row>
    <row r="48" customFormat="false" ht="15" hidden="false" customHeight="false" outlineLevel="0" collapsed="false">
      <c r="B48" s="10" t="s">
        <v>235</v>
      </c>
      <c r="C48" s="73" t="n">
        <f aca="false">AVERAGE(AC48,L48)</f>
        <v>100</v>
      </c>
      <c r="D48" s="74" t="n">
        <f aca="false">AD48</f>
        <v>0</v>
      </c>
      <c r="E48" s="75" t="n">
        <f aca="false">AVERAGE(V48,AK48)/1000*100</f>
        <v>100</v>
      </c>
      <c r="F48" s="74" t="n">
        <f aca="false">AVERAGE(W48,AL48)</f>
        <v>0</v>
      </c>
      <c r="G48" s="76" t="n">
        <f aca="false">AVERAGE(X48,AM48)</f>
        <v>4</v>
      </c>
      <c r="H48" s="77" t="n">
        <f aca="false">AVERAGE(Y48,AN48)</f>
        <v>0</v>
      </c>
      <c r="I48" s="78"/>
      <c r="J48" s="78"/>
      <c r="K48" s="5"/>
      <c r="L48" s="79" t="n">
        <v>100</v>
      </c>
      <c r="M48" s="80" t="n">
        <v>0</v>
      </c>
      <c r="N48" s="80" t="n">
        <v>0</v>
      </c>
      <c r="O48" s="80" t="n">
        <v>0</v>
      </c>
      <c r="P48" s="80" t="n">
        <v>0</v>
      </c>
      <c r="Q48" s="80" t="n">
        <v>0</v>
      </c>
      <c r="R48" s="73"/>
      <c r="S48" s="81" t="n">
        <v>0</v>
      </c>
      <c r="T48" s="81" t="n">
        <v>0</v>
      </c>
      <c r="U48" s="81" t="n">
        <v>0</v>
      </c>
      <c r="V48" s="82" t="n">
        <v>1000</v>
      </c>
      <c r="W48" s="81" t="n">
        <v>0</v>
      </c>
      <c r="X48" s="81" t="n">
        <v>4</v>
      </c>
      <c r="Y48" s="82" t="n">
        <v>0</v>
      </c>
      <c r="Z48" s="83" t="s">
        <v>236</v>
      </c>
      <c r="AA48" s="62"/>
      <c r="AB48" s="5"/>
      <c r="AC48" s="79" t="n">
        <v>100</v>
      </c>
      <c r="AD48" s="84" t="n">
        <v>0</v>
      </c>
      <c r="AE48" s="84" t="n">
        <v>0</v>
      </c>
      <c r="AF48" s="80" t="n">
        <v>0</v>
      </c>
      <c r="AG48" s="80" t="n">
        <v>0</v>
      </c>
      <c r="AH48" s="79" t="n">
        <v>0</v>
      </c>
      <c r="AI48" s="80" t="n">
        <v>0</v>
      </c>
      <c r="AJ48" s="81" t="n">
        <v>0</v>
      </c>
      <c r="AK48" s="85" t="n">
        <v>1000</v>
      </c>
      <c r="AL48" s="84"/>
      <c r="AM48" s="76"/>
      <c r="AN48" s="77"/>
      <c r="AO48" s="10"/>
      <c r="AP48" s="86"/>
      <c r="AQ48" s="10"/>
      <c r="AR48" s="5"/>
      <c r="AS48" s="79" t="n">
        <v>100</v>
      </c>
      <c r="AT48" s="85"/>
    </row>
    <row r="50" customFormat="false" ht="15" hidden="false" customHeight="false" outlineLevel="0" collapsed="false">
      <c r="D50" s="87" t="s">
        <v>237</v>
      </c>
      <c r="E50" s="88"/>
      <c r="F50" s="89"/>
      <c r="G50" s="89"/>
      <c r="H50" s="89"/>
      <c r="I50" s="89"/>
      <c r="J50" s="89"/>
      <c r="K50" s="90"/>
      <c r="O50" s="91" t="s">
        <v>238</v>
      </c>
    </row>
    <row r="51" customFormat="false" ht="15" hidden="false" customHeight="false" outlineLevel="0" collapsed="false">
      <c r="D51" s="39" t="s">
        <v>239</v>
      </c>
      <c r="E51" s="52"/>
      <c r="F51" s="52"/>
      <c r="G51" s="52"/>
      <c r="H51" s="52"/>
      <c r="I51" s="52"/>
      <c r="J51" s="52"/>
      <c r="K51" s="53"/>
      <c r="O51" s="1" t="s">
        <v>35</v>
      </c>
      <c r="P51" s="1" t="s">
        <v>36</v>
      </c>
      <c r="Q51" s="1" t="s">
        <v>46</v>
      </c>
      <c r="R51" s="1" t="s">
        <v>240</v>
      </c>
      <c r="S51" s="1" t="s">
        <v>59</v>
      </c>
    </row>
    <row r="52" customFormat="false" ht="16.4" hidden="false" customHeight="false" outlineLevel="0" collapsed="false">
      <c r="D52" s="92" t="s">
        <v>241</v>
      </c>
      <c r="E52" s="23"/>
      <c r="F52" s="52"/>
      <c r="G52" s="52"/>
      <c r="H52" s="52"/>
      <c r="I52" s="52"/>
      <c r="J52" s="52"/>
      <c r="K52" s="53"/>
      <c r="O52" s="93" t="n">
        <f aca="false">95/114</f>
        <v>0.833333333333333</v>
      </c>
      <c r="P52" s="93" t="n">
        <f aca="false">90/95</f>
        <v>0.947368421052632</v>
      </c>
      <c r="Q52" s="93" t="n">
        <f aca="false">80/143</f>
        <v>0.55944055944056</v>
      </c>
      <c r="R52" s="93" t="n">
        <f aca="false">116/140</f>
        <v>0.828571428571429</v>
      </c>
      <c r="S52" s="94" t="n">
        <f aca="false">AVERAGE(O52:R52)</f>
        <v>0.792178435599488</v>
      </c>
    </row>
    <row r="53" customFormat="false" ht="15" hidden="false" customHeight="false" outlineLevel="0" collapsed="false">
      <c r="D53" s="95" t="s">
        <v>242</v>
      </c>
      <c r="E53" s="96"/>
      <c r="F53" s="97"/>
      <c r="G53" s="97"/>
      <c r="H53" s="97"/>
      <c r="I53" s="97"/>
      <c r="J53" s="97"/>
      <c r="K53" s="98"/>
      <c r="O53" s="91" t="s">
        <v>243</v>
      </c>
    </row>
    <row r="54" customFormat="false" ht="15" hidden="false" customHeight="false" outlineLevel="0" collapsed="false">
      <c r="O54" s="93" t="n">
        <f aca="false">-33/-45</f>
        <v>0.733333333333333</v>
      </c>
      <c r="P54" s="93" t="n">
        <f aca="false">-29/-26</f>
        <v>1.11538461538462</v>
      </c>
      <c r="Q54" s="93" t="n">
        <f aca="false">180/175</f>
        <v>1.02857142857143</v>
      </c>
      <c r="R54" s="93" t="n">
        <f aca="false">142/143</f>
        <v>0.993006993006993</v>
      </c>
      <c r="S54" s="94" t="n">
        <f aca="false">AVERAGE(O54:R54)</f>
        <v>0.967574092574093</v>
      </c>
    </row>
  </sheetData>
  <hyperlinks>
    <hyperlink ref="C1" r:id="rId2" display="http://www2.freefarm.se/fodertabell/ "/>
    <hyperlink ref="Z10" r:id="rId3" display="https://www.feedipedia.org/node/13883"/>
    <hyperlink ref="AP12" r:id="rId4" display="https://www.feedipedia.org/node/223"/>
    <hyperlink ref="AP13" r:id="rId5" display="https://www.feedipedia.org/node/227"/>
    <hyperlink ref="AP14" r:id="rId6" display="https://www.feedipedia.org/node/231"/>
    <hyperlink ref="AP15" r:id="rId7" display="https://www.feedipedia.org/node/6476"/>
    <hyperlink ref="AP16" r:id="rId8" display="https://www.feedipedia.org/node/225"/>
    <hyperlink ref="AP17" r:id="rId9" display="https://www.feedipedia.org/node/556"/>
    <hyperlink ref="AP18" r:id="rId10" display="https://www.feedipedia.org/node/264"/>
    <hyperlink ref="Z19" r:id="rId11" display="https://www.feedipedia.org/node/12799"/>
    <hyperlink ref="AP19" r:id="rId12" display="https://www.feedipedia.org/node/12799"/>
    <hyperlink ref="AP20" r:id="rId13" display="https://www.feedipedia.org/node/15617"/>
    <hyperlink ref="AP21" r:id="rId14" display="https://www.feedipedia.org/node/36"/>
    <hyperlink ref="Z22" r:id="rId15" display="https://www.feedtables.com/content/rapeseed-oil"/>
    <hyperlink ref="AP22" r:id="rId16" display="https://www.feedtables.com/content/rapeseed-oil"/>
    <hyperlink ref="AU24" r:id="rId17" display="https://www.feedipedia.org/node/12625"/>
    <hyperlink ref="AP25" r:id="rId18" display="https://www.feedipedia.org/node/26068"/>
    <hyperlink ref="Z26" r:id="rId19" display="https://www.feedipedia.org/node/11683"/>
    <hyperlink ref="AP26" r:id="rId20" display="https://www.feedipedia.org/node/11683"/>
    <hyperlink ref="AP27" r:id="rId21" display="https://www.feedipedia.org/node/12503"/>
    <hyperlink ref="AP29" r:id="rId22" display="https://www.feedipedia.org/node/12663"/>
    <hyperlink ref="Z31" r:id="rId23" display="https://www.feedipedia.org/node/11744 "/>
    <hyperlink ref="AP32" r:id="rId24" display="https://www.feedipedia.org/node/12751"/>
    <hyperlink ref="Z33" r:id="rId25" display="https://www.feedtables.com/content/wheat-feed-flour"/>
    <hyperlink ref="AP33" r:id="rId26" display="https://www.feedtables.com/content/wheat-feed-flour"/>
    <hyperlink ref="AP37" r:id="rId27" display="https://www.feedipedia.org/node/12801"/>
    <hyperlink ref="AO39" r:id="rId28" display="https://www.feedipedia.org/node/11893"/>
    <hyperlink ref="AP40" r:id="rId29" display="https://www.feedipedia.org/node/12288"/>
    <hyperlink ref="AP41" r:id="rId30" display="https://www.feedipedia.org/node/12340"/>
    <hyperlink ref="AP42" r:id="rId31" display="https://www.feedipedia.org/node/24378"/>
    <hyperlink ref="Z44" r:id="rId32" display="https://www.feedipedia.org/node/12893"/>
    <hyperlink ref="AP44" r:id="rId33" display="https://www.feedipedia.org/node/12893"/>
    <hyperlink ref="AP45" r:id="rId34" display="https://www.feedtables.com/content/table-feed-profile?feed_pr_id=12371"/>
    <hyperlink ref="Z47" r:id="rId35" display="https://www.feedipedia.org/node/11685"/>
    <hyperlink ref="AP47" r:id="rId36" display="https://www.feedipedia.org/node/11685"/>
    <hyperlink ref="D52" r:id="rId37" display="https://www.ncbi.nlm.nih.gov/pmc/articles/PMC3544805/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46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I36" activeCellId="0" sqref="I3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7"/>
    <col collapsed="false" customWidth="true" hidden="false" outlineLevel="0" max="3" min="2" style="1" width="10.14"/>
    <col collapsed="false" customWidth="true" hidden="false" outlineLevel="0" max="9" min="4" style="1" width="12.29"/>
    <col collapsed="false" customWidth="true" hidden="false" outlineLevel="0" max="24" min="10" style="1" width="8.86"/>
  </cols>
  <sheetData>
    <row r="1" customFormat="false" ht="15" hidden="false" customHeight="false" outlineLevel="0" collapsed="false">
      <c r="A1" s="27" t="s">
        <v>244</v>
      </c>
      <c r="B1" s="27"/>
      <c r="C1" s="27"/>
      <c r="D1" s="4" t="n">
        <v>2</v>
      </c>
      <c r="E1" s="4" t="n">
        <v>3</v>
      </c>
      <c r="F1" s="4" t="n">
        <v>4</v>
      </c>
      <c r="G1" s="4" t="n">
        <v>5</v>
      </c>
      <c r="H1" s="4" t="n">
        <v>6</v>
      </c>
      <c r="J1" s="27" t="s">
        <v>245</v>
      </c>
      <c r="K1" s="4"/>
      <c r="L1" s="4"/>
      <c r="M1" s="4" t="n">
        <v>12</v>
      </c>
      <c r="N1" s="4" t="n">
        <v>13</v>
      </c>
      <c r="O1" s="4" t="n">
        <v>14</v>
      </c>
      <c r="P1" s="4" t="n">
        <v>15</v>
      </c>
      <c r="Q1" s="4" t="n">
        <v>17</v>
      </c>
      <c r="S1" s="27" t="s">
        <v>246</v>
      </c>
      <c r="T1" s="4"/>
      <c r="U1" s="4"/>
      <c r="V1" s="4" t="n">
        <v>12</v>
      </c>
      <c r="W1" s="4" t="n">
        <v>15</v>
      </c>
      <c r="X1" s="4" t="n">
        <v>17</v>
      </c>
      <c r="Z1" s="27" t="s">
        <v>247</v>
      </c>
      <c r="AA1" s="4"/>
      <c r="AB1" s="4"/>
      <c r="AC1" s="4" t="n">
        <v>12</v>
      </c>
      <c r="AD1" s="4" t="n">
        <v>15</v>
      </c>
      <c r="AE1" s="4" t="n">
        <v>17</v>
      </c>
      <c r="AG1" s="27" t="s">
        <v>248</v>
      </c>
      <c r="AH1" s="4"/>
      <c r="AI1" s="4"/>
      <c r="AJ1" s="4" t="n">
        <v>30</v>
      </c>
      <c r="AK1" s="4" t="n">
        <v>29</v>
      </c>
      <c r="AM1" s="27" t="s">
        <v>249</v>
      </c>
      <c r="AN1" s="4"/>
      <c r="AO1" s="4"/>
      <c r="AP1" s="4" t="n">
        <v>31</v>
      </c>
      <c r="AQ1" s="4"/>
      <c r="AS1" s="27" t="s">
        <v>250</v>
      </c>
      <c r="AT1" s="4"/>
      <c r="AU1" s="4"/>
      <c r="AV1" s="4" t="n">
        <v>44</v>
      </c>
    </row>
    <row r="2" customFormat="false" ht="15" hidden="false" customHeight="false" outlineLevel="0" collapsed="false">
      <c r="A2" s="97" t="s">
        <v>9</v>
      </c>
      <c r="B2" s="97" t="s">
        <v>4</v>
      </c>
      <c r="C2" s="97" t="s">
        <v>8</v>
      </c>
      <c r="D2" s="97" t="s">
        <v>251</v>
      </c>
      <c r="E2" s="97" t="s">
        <v>252</v>
      </c>
      <c r="F2" s="97" t="s">
        <v>253</v>
      </c>
      <c r="G2" s="97" t="s">
        <v>254</v>
      </c>
      <c r="H2" s="97" t="s">
        <v>255</v>
      </c>
      <c r="I2" s="52"/>
      <c r="J2" s="97" t="s">
        <v>9</v>
      </c>
      <c r="K2" s="97" t="s">
        <v>4</v>
      </c>
      <c r="L2" s="97" t="s">
        <v>8</v>
      </c>
      <c r="M2" s="97" t="s">
        <v>256</v>
      </c>
      <c r="N2" s="97" t="s">
        <v>257</v>
      </c>
      <c r="O2" s="97" t="s">
        <v>258</v>
      </c>
      <c r="P2" s="97" t="s">
        <v>259</v>
      </c>
      <c r="Q2" s="97" t="s">
        <v>260</v>
      </c>
      <c r="S2" s="97" t="s">
        <v>9</v>
      </c>
      <c r="T2" s="97" t="s">
        <v>4</v>
      </c>
      <c r="U2" s="97" t="s">
        <v>8</v>
      </c>
      <c r="V2" s="97" t="s">
        <v>256</v>
      </c>
      <c r="W2" s="97" t="s">
        <v>259</v>
      </c>
      <c r="X2" s="97" t="s">
        <v>260</v>
      </c>
      <c r="Z2" s="97" t="s">
        <v>9</v>
      </c>
      <c r="AA2" s="97" t="s">
        <v>4</v>
      </c>
      <c r="AB2" s="97" t="s">
        <v>8</v>
      </c>
      <c r="AC2" s="97" t="s">
        <v>256</v>
      </c>
      <c r="AD2" s="97" t="s">
        <v>259</v>
      </c>
      <c r="AE2" s="97" t="s">
        <v>260</v>
      </c>
      <c r="AG2" s="97" t="s">
        <v>9</v>
      </c>
      <c r="AH2" s="97" t="s">
        <v>4</v>
      </c>
      <c r="AI2" s="97" t="s">
        <v>8</v>
      </c>
      <c r="AJ2" s="97" t="s">
        <v>261</v>
      </c>
      <c r="AK2" s="97" t="s">
        <v>259</v>
      </c>
      <c r="AM2" s="97" t="s">
        <v>9</v>
      </c>
      <c r="AN2" s="97" t="s">
        <v>4</v>
      </c>
      <c r="AO2" s="97" t="s">
        <v>8</v>
      </c>
      <c r="AP2" s="97" t="s">
        <v>261</v>
      </c>
      <c r="AQ2" s="97" t="s">
        <v>259</v>
      </c>
      <c r="AS2" s="97" t="s">
        <v>9</v>
      </c>
      <c r="AT2" s="97" t="s">
        <v>4</v>
      </c>
      <c r="AU2" s="97" t="s">
        <v>8</v>
      </c>
      <c r="AV2" s="99" t="s">
        <v>262</v>
      </c>
    </row>
    <row r="3" customFormat="false" ht="15" hidden="false" customHeight="false" outlineLevel="0" collapsed="false">
      <c r="A3" s="1" t="str">
        <f aca="false">'feed pars'!$B6</f>
        <v>ley silage, 1st cut</v>
      </c>
      <c r="D3" s="100" t="n">
        <f aca="false">IF(AND(INDEX('feed pars'!$C$6:$AT$48,MATCH($A3,'feed pars'!$B$6:$B$48,0),D$1)&lt;&gt;"",D$1&lt;&gt;""), INDEX('feed pars'!$C$6:$AT$48,MATCH($A3,'feed pars'!$B$6:$B$48,0),D$1), "")</f>
        <v>17.3169484</v>
      </c>
      <c r="E3" s="100" t="n">
        <f aca="false">IF(AND(INDEX('feed pars'!$C$6:$AT$48,MATCH($A3,'feed pars'!$B$6:$B$48,0),E$1)&lt;&gt;"",E$1&lt;&gt;""), INDEX('feed pars'!$C$6:$AT$48,MATCH($A3,'feed pars'!$B$6:$B$48,0),E$1), "")</f>
        <v>7.55</v>
      </c>
      <c r="F3" s="100" t="n">
        <f aca="false">IF(AND(INDEX('feed pars'!$C$6:$AT$48,MATCH($A3,'feed pars'!$B$6:$B$48,0),F$1)&lt;&gt;"",F$1&lt;&gt;""), INDEX('feed pars'!$C$6:$AT$48,MATCH($A3,'feed pars'!$B$6:$B$48,0),F$1), "")</f>
        <v>2.424</v>
      </c>
      <c r="G3" s="100" t="n">
        <f aca="false">IF(AND(INDEX('feed pars'!$C$6:$AT$48,MATCH($A3,'feed pars'!$B$6:$B$48,0),G$1)&lt;&gt;"",G$1&lt;&gt;""), INDEX('feed pars'!$C$6:$AT$48,MATCH($A3,'feed pars'!$B$6:$B$48,0),G$1), "")</f>
        <v>0.28</v>
      </c>
      <c r="H3" s="100" t="n">
        <f aca="false">IF(AND(INDEX('feed pars'!$C$6:$AT$48,MATCH($A3,'feed pars'!$B$6:$B$48,0),H$1)&lt;&gt;"",H$1&lt;&gt;""), INDEX('feed pars'!$C$6:$AT$48,MATCH($A3,'feed pars'!$B$6:$B$48,0),H$1), "")</f>
        <v>2.425</v>
      </c>
      <c r="I3" s="42"/>
      <c r="J3" s="42" t="str">
        <f aca="false">'feed pars'!$B6</f>
        <v>ley silage, 1st cut</v>
      </c>
      <c r="K3" s="1" t="s">
        <v>92</v>
      </c>
      <c r="M3" s="100" t="n">
        <f aca="false">IF(AND(INDEX('feed pars'!$C$6:$AT$48,MATCH($A3,'feed pars'!$B$6:$B$48,0),M$1)&lt;&gt;"",M$1&lt;&gt;""), INDEX('feed pars'!$C$6:$AT$48,MATCH($A3,'feed pars'!$B$6:$B$48,0),M$1), "")</f>
        <v>11.3</v>
      </c>
      <c r="N3" s="100" t="n">
        <f aca="false">IF(AND(INDEX('feed pars'!$C$6:$AT$48,MATCH($A3,'feed pars'!$B$6:$B$48,0),N$1)&lt;&gt;"",N$1&lt;&gt;""), INDEX('feed pars'!$C$6:$AT$48,MATCH($A3,'feed pars'!$B$6:$B$48,0),N$1), "")</f>
        <v>72</v>
      </c>
      <c r="O3" s="100" t="n">
        <f aca="false">IF(AND(INDEX('feed pars'!$C$6:$AT$48,MATCH($A3,'feed pars'!$B$6:$B$48,0),O$1)&lt;&gt;"",O$1&lt;&gt;""), INDEX('feed pars'!$C$6:$AT$48,MATCH($A3,'feed pars'!$B$6:$B$48,0),O$1), "")</f>
        <v>26.5</v>
      </c>
      <c r="P3" s="100" t="n">
        <f aca="false">IF(AND(INDEX('feed pars'!$C$6:$AT$48,MATCH($A3,'feed pars'!$B$6:$B$48,0),P$1)&lt;&gt;"",P$1&lt;&gt;""), INDEX('feed pars'!$C$6:$AT$48,MATCH($A3,'feed pars'!$B$6:$B$48,0),P$1), "")</f>
        <v>13.35</v>
      </c>
      <c r="Q3" s="100" t="n">
        <f aca="false">IF(AND(INDEX('feed pars'!$C$6:$AT$48,MATCH($A3,'feed pars'!$B$6:$B$48,0),Q$1)&lt;&gt;"",Q$1&lt;&gt;""), INDEX('feed pars'!$C$6:$AT$48,MATCH($A3,'feed pars'!$B$6:$B$48,0),Q$1), "")</f>
        <v>20</v>
      </c>
      <c r="S3" s="42" t="str">
        <f aca="false">'feed pars'!$B6</f>
        <v>ley silage, 1st cut</v>
      </c>
      <c r="T3" s="1" t="s">
        <v>104</v>
      </c>
      <c r="V3" s="89" t="n">
        <f aca="false">IF(AND(INDEX('feed pars'!$C$6:$AT$48,MATCH($A3,'feed pars'!$B$6:$B$48,0),V$1)&lt;&gt;"",V$1&lt;&gt;""), INDEX('feed pars'!$C$6:$AT$48,MATCH($A3,'feed pars'!$B$6:$B$48,0),V$1), "")</f>
        <v>11.3</v>
      </c>
      <c r="W3" s="89" t="n">
        <f aca="false">IF(AND(INDEX('feed pars'!$C$6:$AT$48,MATCH($A3,'feed pars'!$B$6:$B$48,0),W$1)&lt;&gt;"",W$1&lt;&gt;""), INDEX('feed pars'!$C$6:$AT$48,MATCH($A3,'feed pars'!$B$6:$B$48,0),W$1), "")</f>
        <v>13.35</v>
      </c>
      <c r="X3" s="89" t="n">
        <f aca="false">IF(AND(INDEX('feed pars'!$C$6:$AT$48,MATCH($A3,'feed pars'!$B$6:$B$48,0),X$1)&lt;&gt;"",X$1&lt;&gt;""), INDEX('feed pars'!$C$6:$AT$48,MATCH($A3,'feed pars'!$B$6:$B$48,0),X$1), "")</f>
        <v>20</v>
      </c>
      <c r="Z3" s="42" t="str">
        <f aca="false">'feed pars'!$B6</f>
        <v>ley silage, 1st cut</v>
      </c>
      <c r="AA3" s="1" t="s">
        <v>102</v>
      </c>
      <c r="AC3" s="89" t="n">
        <f aca="false">IF(AND(INDEX('feed pars'!$C$6:$AT$48,MATCH($A3,'feed pars'!$B$6:$B$48,0),AC$1)&lt;&gt;"",AC$1&lt;&gt;""), INDEX('feed pars'!$C$6:$AT$48,MATCH($A3,'feed pars'!$B$6:$B$48,0),AC$1), "")</f>
        <v>11.3</v>
      </c>
      <c r="AD3" s="89" t="n">
        <f aca="false">IF(AND(INDEX('feed pars'!$C$6:$AT$48,MATCH($A3,'feed pars'!$B$6:$B$48,0),AD$1)&lt;&gt;"",AD$1&lt;&gt;""), INDEX('feed pars'!$C$6:$AT$48,MATCH($A3,'feed pars'!$B$6:$B$48,0),AD$1), "")</f>
        <v>13.35</v>
      </c>
      <c r="AE3" s="89" t="n">
        <f aca="false">IF(AND(INDEX('feed pars'!$C$6:$AT$48,MATCH($A3,'feed pars'!$B$6:$B$48,0),AE$1)&lt;&gt;"",AE$1&lt;&gt;""), INDEX('feed pars'!$C$6:$AT$48,MATCH($A3,'feed pars'!$B$6:$B$48,0),AE$1), "")</f>
        <v>20</v>
      </c>
      <c r="AG3" s="42" t="str">
        <f aca="false">'feed pars'!$B6</f>
        <v>ley silage, 1st cut</v>
      </c>
      <c r="AH3" s="1" t="s">
        <v>83</v>
      </c>
      <c r="AJ3" s="89" t="str">
        <f aca="false">IF(AND(INDEX('feed pars'!$C$6:$AT$48,MATCH($A3,'feed pars'!$B$6:$B$48,0),AJ$1)&lt;&gt;"",AJ$1&lt;&gt;""), INDEX('feed pars'!$C$6:$AT$48,MATCH($A3,'feed pars'!$B$6:$B$48,0),AJ$1), "")</f>
        <v/>
      </c>
      <c r="AK3" s="89" t="str">
        <f aca="false">IF(AND(INDEX('feed pars'!$C$6:$AT$48,MATCH($A3,'feed pars'!$B$6:$B$48,0),AK$1)&lt;&gt;"",AK$1&lt;&gt;""), INDEX('feed pars'!$C$6:$AT$48,MATCH($A3,'feed pars'!$B$6:$B$48,0),AK$1), "")</f>
        <v/>
      </c>
      <c r="AM3" s="42" t="str">
        <f aca="false">'feed pars'!$B6</f>
        <v>ley silage, 1st cut</v>
      </c>
      <c r="AN3" s="1" t="s">
        <v>83</v>
      </c>
      <c r="AO3" s="1" t="s">
        <v>263</v>
      </c>
      <c r="AP3" s="89" t="str">
        <f aca="false">IF(AND(INDEX('feed pars'!$C$6:$AT$48,MATCH($A3,'feed pars'!$B$6:$B$48,0),AP$1)&lt;&gt;"",AP$1&lt;&gt;""), INDEX('feed pars'!$C$6:$AT$48,MATCH($A3,'feed pars'!$B$6:$B$48,0),AP$1), "")</f>
        <v/>
      </c>
      <c r="AQ3" s="89" t="str">
        <f aca="false">IF(AND(INDEX('feed pars'!$C$6:$AT$48,MATCH($A3,'feed pars'!$B$6:$B$48,0),AQ$1)&lt;&gt;"",AQ$1&lt;&gt;""), INDEX('feed pars'!$C$6:$AT$48,MATCH($A3,'feed pars'!$B$6:$B$48,0),AQ$1), "")</f>
        <v/>
      </c>
      <c r="AS3" s="42" t="str">
        <f aca="false">'feed pars'!$B6</f>
        <v>ley silage, 1st cut</v>
      </c>
      <c r="AT3" s="1" t="s">
        <v>84</v>
      </c>
      <c r="AV3" s="1" t="str">
        <f aca="false">IF(AND(INDEX('feed pars'!$C$6:$AT$48,MATCH($A3,'feed pars'!$B$6:$B$48,0),AV$1)&lt;&gt;"",AV$1&lt;&gt;""), INDEX('feed pars'!$C$6:$AT$48,MATCH($A3,'feed pars'!$B$6:$B$48,0),AV$1), "")</f>
        <v/>
      </c>
    </row>
    <row r="4" customFormat="false" ht="15" hidden="false" customHeight="false" outlineLevel="0" collapsed="false">
      <c r="A4" s="1" t="str">
        <f aca="false">'feed pars'!$B7</f>
        <v>ley silage, regrowth</v>
      </c>
      <c r="D4" s="42" t="n">
        <f aca="false">IF(AND(INDEX('feed pars'!$C$6:$AT$48,MATCH($A4,'feed pars'!$B$6:$B$48,0),D$1)&lt;&gt;"",D$1&lt;&gt;""), INDEX('feed pars'!$C$6:$AT$48,MATCH($A4,'feed pars'!$B$6:$B$48,0),D$1), "")</f>
        <v>17.150216</v>
      </c>
      <c r="E4" s="42" t="n">
        <f aca="false">IF(AND(INDEX('feed pars'!$C$6:$AT$48,MATCH($A4,'feed pars'!$B$6:$B$48,0),E$1)&lt;&gt;"",E$1&lt;&gt;""), INDEX('feed pars'!$C$6:$AT$48,MATCH($A4,'feed pars'!$B$6:$B$48,0),E$1), "")</f>
        <v>7.8</v>
      </c>
      <c r="F4" s="42" t="n">
        <f aca="false">IF(AND(INDEX('feed pars'!$C$6:$AT$48,MATCH($A4,'feed pars'!$B$6:$B$48,0),F$1)&lt;&gt;"",F$1&lt;&gt;""), INDEX('feed pars'!$C$6:$AT$48,MATCH($A4,'feed pars'!$B$6:$B$48,0),F$1), "")</f>
        <v>2.128</v>
      </c>
      <c r="G4" s="42" t="n">
        <f aca="false">IF(AND(INDEX('feed pars'!$C$6:$AT$48,MATCH($A4,'feed pars'!$B$6:$B$48,0),G$1)&lt;&gt;"",G$1&lt;&gt;""), INDEX('feed pars'!$C$6:$AT$48,MATCH($A4,'feed pars'!$B$6:$B$48,0),G$1), "")</f>
        <v>0.27</v>
      </c>
      <c r="H4" s="42" t="n">
        <f aca="false">IF(AND(INDEX('feed pars'!$C$6:$AT$48,MATCH($A4,'feed pars'!$B$6:$B$48,0),H$1)&lt;&gt;"",H$1&lt;&gt;""), INDEX('feed pars'!$C$6:$AT$48,MATCH($A4,'feed pars'!$B$6:$B$48,0),H$1), "")</f>
        <v>2.34</v>
      </c>
      <c r="I4" s="42"/>
      <c r="J4" s="42" t="str">
        <f aca="false">'feed pars'!$B7</f>
        <v>ley silage, regrowth</v>
      </c>
      <c r="K4" s="1" t="s">
        <v>92</v>
      </c>
      <c r="M4" s="52" t="n">
        <f aca="false">IF(AND(INDEX('feed pars'!$C$6:$AT$48,MATCH($A4,'feed pars'!$B$6:$B$48,0),M$1)&lt;&gt;"",M$1&lt;&gt;""), INDEX('feed pars'!$C$6:$AT$48,MATCH($A4,'feed pars'!$B$6:$B$48,0),M$1), "")</f>
        <v>10.1</v>
      </c>
      <c r="N4" s="52" t="n">
        <f aca="false">IF(AND(INDEX('feed pars'!$C$6:$AT$48,MATCH($A4,'feed pars'!$B$6:$B$48,0),N$1)&lt;&gt;"",N$1&lt;&gt;""), INDEX('feed pars'!$C$6:$AT$48,MATCH($A4,'feed pars'!$B$6:$B$48,0),N$1), "")</f>
        <v>69</v>
      </c>
      <c r="O4" s="52" t="n">
        <f aca="false">IF(AND(INDEX('feed pars'!$C$6:$AT$48,MATCH($A4,'feed pars'!$B$6:$B$48,0),O$1)&lt;&gt;"",O$1&lt;&gt;""), INDEX('feed pars'!$C$6:$AT$48,MATCH($A4,'feed pars'!$B$6:$B$48,0),O$1), "")</f>
        <v>14</v>
      </c>
      <c r="P4" s="52" t="n">
        <f aca="false">IF(AND(INDEX('feed pars'!$C$6:$AT$48,MATCH($A4,'feed pars'!$B$6:$B$48,0),P$1)&lt;&gt;"",P$1&lt;&gt;""), INDEX('feed pars'!$C$6:$AT$48,MATCH($A4,'feed pars'!$B$6:$B$48,0),P$1), "")</f>
        <v>11.9</v>
      </c>
      <c r="Q4" s="52" t="n">
        <f aca="false">IF(AND(INDEX('feed pars'!$C$6:$AT$48,MATCH($A4,'feed pars'!$B$6:$B$48,0),Q$1)&lt;&gt;"",Q$1&lt;&gt;""), INDEX('feed pars'!$C$6:$AT$48,MATCH($A4,'feed pars'!$B$6:$B$48,0),Q$1), "")</f>
        <v>20</v>
      </c>
      <c r="S4" s="42" t="str">
        <f aca="false">'feed pars'!$B7</f>
        <v>ley silage, regrowth</v>
      </c>
      <c r="T4" s="1" t="s">
        <v>104</v>
      </c>
      <c r="V4" s="52" t="n">
        <f aca="false">IF(AND(INDEX('feed pars'!$C$6:$AT$48,MATCH($A4,'feed pars'!$B$6:$B$48,0),V$1)&lt;&gt;"",V$1&lt;&gt;""), INDEX('feed pars'!$C$6:$AT$48,MATCH($A4,'feed pars'!$B$6:$B$48,0),V$1), "")</f>
        <v>10.1</v>
      </c>
      <c r="W4" s="52" t="n">
        <f aca="false">IF(AND(INDEX('feed pars'!$C$6:$AT$48,MATCH($A4,'feed pars'!$B$6:$B$48,0),W$1)&lt;&gt;"",W$1&lt;&gt;""), INDEX('feed pars'!$C$6:$AT$48,MATCH($A4,'feed pars'!$B$6:$B$48,0),W$1), "")</f>
        <v>11.9</v>
      </c>
      <c r="X4" s="52" t="n">
        <f aca="false">IF(AND(INDEX('feed pars'!$C$6:$AT$48,MATCH($A4,'feed pars'!$B$6:$B$48,0),X$1)&lt;&gt;"",X$1&lt;&gt;""), INDEX('feed pars'!$C$6:$AT$48,MATCH($A4,'feed pars'!$B$6:$B$48,0),X$1), "")</f>
        <v>20</v>
      </c>
      <c r="Z4" s="42" t="str">
        <f aca="false">'feed pars'!$B7</f>
        <v>ley silage, regrowth</v>
      </c>
      <c r="AA4" s="1" t="s">
        <v>102</v>
      </c>
      <c r="AC4" s="52" t="n">
        <f aca="false">IF(AND(INDEX('feed pars'!$C$6:$AT$48,MATCH($A4,'feed pars'!$B$6:$B$48,0),AC$1)&lt;&gt;"",AC$1&lt;&gt;""), INDEX('feed pars'!$C$6:$AT$48,MATCH($A4,'feed pars'!$B$6:$B$48,0),AC$1), "")</f>
        <v>10.1</v>
      </c>
      <c r="AD4" s="52" t="n">
        <f aca="false">IF(AND(INDEX('feed pars'!$C$6:$AT$48,MATCH($A4,'feed pars'!$B$6:$B$48,0),AD$1)&lt;&gt;"",AD$1&lt;&gt;""), INDEX('feed pars'!$C$6:$AT$48,MATCH($A4,'feed pars'!$B$6:$B$48,0),AD$1), "")</f>
        <v>11.9</v>
      </c>
      <c r="AE4" s="52" t="n">
        <f aca="false">IF(AND(INDEX('feed pars'!$C$6:$AT$48,MATCH($A4,'feed pars'!$B$6:$B$48,0),AE$1)&lt;&gt;"",AE$1&lt;&gt;""), INDEX('feed pars'!$C$6:$AT$48,MATCH($A4,'feed pars'!$B$6:$B$48,0),AE$1), "")</f>
        <v>20</v>
      </c>
      <c r="AG4" s="42" t="str">
        <f aca="false">'feed pars'!$B7</f>
        <v>ley silage, regrowth</v>
      </c>
      <c r="AH4" s="1" t="s">
        <v>83</v>
      </c>
      <c r="AJ4" s="52" t="str">
        <f aca="false">IF(AND(INDEX('feed pars'!$C$6:$AT$48,MATCH($A4,'feed pars'!$B$6:$B$48,0),AJ$1)&lt;&gt;"",AJ$1&lt;&gt;""), INDEX('feed pars'!$C$6:$AT$48,MATCH($A4,'feed pars'!$B$6:$B$48,0),AJ$1), "")</f>
        <v/>
      </c>
      <c r="AK4" s="52" t="str">
        <f aca="false">IF(AND(INDEX('feed pars'!$C$6:$AT$48,MATCH($A4,'feed pars'!$B$6:$B$48,0),AK$1)&lt;&gt;"",AK$1&lt;&gt;""), INDEX('feed pars'!$C$6:$AT$48,MATCH($A4,'feed pars'!$B$6:$B$48,0),AK$1), "")</f>
        <v/>
      </c>
      <c r="AM4" s="42" t="str">
        <f aca="false">'feed pars'!$B7</f>
        <v>ley silage, regrowth</v>
      </c>
      <c r="AN4" s="1" t="s">
        <v>83</v>
      </c>
      <c r="AO4" s="1" t="s">
        <v>263</v>
      </c>
      <c r="AP4" s="52" t="str">
        <f aca="false">IF(AND(INDEX('feed pars'!$C$6:$AT$48,MATCH($A4,'feed pars'!$B$6:$B$48,0),AP$1)&lt;&gt;"",AP$1&lt;&gt;""), INDEX('feed pars'!$C$6:$AT$48,MATCH($A4,'feed pars'!$B$6:$B$48,0),AP$1), "")</f>
        <v/>
      </c>
      <c r="AQ4" s="52" t="str">
        <f aca="false">IF(AND(INDEX('feed pars'!$C$6:$AT$48,MATCH($A4,'feed pars'!$B$6:$B$48,0),AQ$1)&lt;&gt;"",AQ$1&lt;&gt;""), INDEX('feed pars'!$C$6:$AT$48,MATCH($A4,'feed pars'!$B$6:$B$48,0),AQ$1), "")</f>
        <v/>
      </c>
      <c r="AS4" s="42" t="str">
        <f aca="false">'feed pars'!$B7</f>
        <v>ley silage, regrowth</v>
      </c>
      <c r="AT4" s="1" t="s">
        <v>84</v>
      </c>
      <c r="AV4" s="1" t="str">
        <f aca="false">IF(AND(INDEX('feed pars'!$C$6:$AT$48,MATCH($A4,'feed pars'!$B$6:$B$48,0),AV$1)&lt;&gt;"",AV$1&lt;&gt;""), INDEX('feed pars'!$C$6:$AT$48,MATCH($A4,'feed pars'!$B$6:$B$48,0),AV$1), "")</f>
        <v/>
      </c>
    </row>
    <row r="5" customFormat="false" ht="15" hidden="false" customHeight="false" outlineLevel="0" collapsed="false">
      <c r="A5" s="1" t="str">
        <f aca="false">'feed pars'!$B8</f>
        <v>other silage</v>
      </c>
      <c r="D5" s="42" t="n">
        <f aca="false">IF(AND(INDEX('feed pars'!$C$6:$AT$48,MATCH($A5,'feed pars'!$B$6:$B$48,0),D$1)&lt;&gt;"",D$1&lt;&gt;""), INDEX('feed pars'!$C$6:$AT$48,MATCH($A5,'feed pars'!$B$6:$B$48,0),D$1), "")</f>
        <v>16.7897644</v>
      </c>
      <c r="E5" s="42" t="n">
        <f aca="false">IF(AND(INDEX('feed pars'!$C$6:$AT$48,MATCH($A5,'feed pars'!$B$6:$B$48,0),E$1)&lt;&gt;"",E$1&lt;&gt;""), INDEX('feed pars'!$C$6:$AT$48,MATCH($A5,'feed pars'!$B$6:$B$48,0),E$1), "")</f>
        <v>8.8</v>
      </c>
      <c r="F5" s="42" t="n">
        <f aca="false">IF(AND(INDEX('feed pars'!$C$6:$AT$48,MATCH($A5,'feed pars'!$B$6:$B$48,0),F$1)&lt;&gt;"",F$1&lt;&gt;""), INDEX('feed pars'!$C$6:$AT$48,MATCH($A5,'feed pars'!$B$6:$B$48,0),F$1), "")</f>
        <v>1.544</v>
      </c>
      <c r="G5" s="42" t="n">
        <f aca="false">IF(AND(INDEX('feed pars'!$C$6:$AT$48,MATCH($A5,'feed pars'!$B$6:$B$48,0),G$1)&lt;&gt;"",G$1&lt;&gt;""), INDEX('feed pars'!$C$6:$AT$48,MATCH($A5,'feed pars'!$B$6:$B$48,0),G$1), "")</f>
        <v>0.21</v>
      </c>
      <c r="H5" s="42" t="n">
        <f aca="false">IF(AND(INDEX('feed pars'!$C$6:$AT$48,MATCH($A5,'feed pars'!$B$6:$B$48,0),H$1)&lt;&gt;"",H$1&lt;&gt;""), INDEX('feed pars'!$C$6:$AT$48,MATCH($A5,'feed pars'!$B$6:$B$48,0),H$1), "")</f>
        <v>2.35</v>
      </c>
      <c r="I5" s="42"/>
      <c r="J5" s="42" t="str">
        <f aca="false">'feed pars'!$B8</f>
        <v>other silage</v>
      </c>
      <c r="K5" s="1" t="s">
        <v>92</v>
      </c>
      <c r="M5" s="52" t="n">
        <f aca="false">IF(AND(INDEX('feed pars'!$C$6:$AT$48,MATCH($A5,'feed pars'!$B$6:$B$48,0),M$1)&lt;&gt;"",M$1&lt;&gt;""), INDEX('feed pars'!$C$6:$AT$48,MATCH($A5,'feed pars'!$B$6:$B$48,0),M$1), "")</f>
        <v>8.5</v>
      </c>
      <c r="N5" s="52" t="str">
        <f aca="false">IF(AND(INDEX('feed pars'!$C$6:$AT$48,MATCH($A5,'feed pars'!$B$6:$B$48,0),N$1)&lt;&gt;"",N$1&lt;&gt;""), INDEX('feed pars'!$C$6:$AT$48,MATCH($A5,'feed pars'!$B$6:$B$48,0),N$1), "")</f>
        <v/>
      </c>
      <c r="O5" s="52" t="str">
        <f aca="false">IF(AND(INDEX('feed pars'!$C$6:$AT$48,MATCH($A5,'feed pars'!$B$6:$B$48,0),O$1)&lt;&gt;"",O$1&lt;&gt;""), INDEX('feed pars'!$C$6:$AT$48,MATCH($A5,'feed pars'!$B$6:$B$48,0),O$1), "")</f>
        <v/>
      </c>
      <c r="P5" s="52" t="n">
        <f aca="false">IF(AND(INDEX('feed pars'!$C$6:$AT$48,MATCH($A5,'feed pars'!$B$6:$B$48,0),P$1)&lt;&gt;"",P$1&lt;&gt;""), INDEX('feed pars'!$C$6:$AT$48,MATCH($A5,'feed pars'!$B$6:$B$48,0),P$1), "")</f>
        <v>10.75</v>
      </c>
      <c r="Q5" s="52" t="n">
        <f aca="false">IF(AND(INDEX('feed pars'!$C$6:$AT$48,MATCH($A5,'feed pars'!$B$6:$B$48,0),Q$1)&lt;&gt;"",Q$1&lt;&gt;""), INDEX('feed pars'!$C$6:$AT$48,MATCH($A5,'feed pars'!$B$6:$B$48,0),Q$1), "")</f>
        <v>22.5</v>
      </c>
      <c r="S5" s="42" t="str">
        <f aca="false">'feed pars'!$B8</f>
        <v>other silage</v>
      </c>
      <c r="T5" s="1" t="s">
        <v>104</v>
      </c>
      <c r="V5" s="52" t="n">
        <f aca="false">IF(AND(INDEX('feed pars'!$C$6:$AT$48,MATCH($A5,'feed pars'!$B$6:$B$48,0),V$1)&lt;&gt;"",V$1&lt;&gt;""), INDEX('feed pars'!$C$6:$AT$48,MATCH($A5,'feed pars'!$B$6:$B$48,0),V$1), "")</f>
        <v>8.5</v>
      </c>
      <c r="W5" s="52" t="n">
        <f aca="false">IF(AND(INDEX('feed pars'!$C$6:$AT$48,MATCH($A5,'feed pars'!$B$6:$B$48,0),W$1)&lt;&gt;"",W$1&lt;&gt;""), INDEX('feed pars'!$C$6:$AT$48,MATCH($A5,'feed pars'!$B$6:$B$48,0),W$1), "")</f>
        <v>10.75</v>
      </c>
      <c r="X5" s="52" t="n">
        <f aca="false">IF(AND(INDEX('feed pars'!$C$6:$AT$48,MATCH($A5,'feed pars'!$B$6:$B$48,0),X$1)&lt;&gt;"",X$1&lt;&gt;""), INDEX('feed pars'!$C$6:$AT$48,MATCH($A5,'feed pars'!$B$6:$B$48,0),X$1), "")</f>
        <v>22.5</v>
      </c>
      <c r="Z5" s="42" t="str">
        <f aca="false">'feed pars'!$B8</f>
        <v>other silage</v>
      </c>
      <c r="AA5" s="1" t="s">
        <v>102</v>
      </c>
      <c r="AC5" s="52" t="n">
        <f aca="false">IF(AND(INDEX('feed pars'!$C$6:$AT$48,MATCH($A5,'feed pars'!$B$6:$B$48,0),AC$1)&lt;&gt;"",AC$1&lt;&gt;""), INDEX('feed pars'!$C$6:$AT$48,MATCH($A5,'feed pars'!$B$6:$B$48,0),AC$1), "")</f>
        <v>8.5</v>
      </c>
      <c r="AD5" s="52" t="n">
        <f aca="false">IF(AND(INDEX('feed pars'!$C$6:$AT$48,MATCH($A5,'feed pars'!$B$6:$B$48,0),AD$1)&lt;&gt;"",AD$1&lt;&gt;""), INDEX('feed pars'!$C$6:$AT$48,MATCH($A5,'feed pars'!$B$6:$B$48,0),AD$1), "")</f>
        <v>10.75</v>
      </c>
      <c r="AE5" s="52" t="n">
        <f aca="false">IF(AND(INDEX('feed pars'!$C$6:$AT$48,MATCH($A5,'feed pars'!$B$6:$B$48,0),AE$1)&lt;&gt;"",AE$1&lt;&gt;""), INDEX('feed pars'!$C$6:$AT$48,MATCH($A5,'feed pars'!$B$6:$B$48,0),AE$1), "")</f>
        <v>22.5</v>
      </c>
      <c r="AG5" s="42" t="str">
        <f aca="false">'feed pars'!$B8</f>
        <v>other silage</v>
      </c>
      <c r="AH5" s="1" t="s">
        <v>83</v>
      </c>
      <c r="AJ5" s="52" t="str">
        <f aca="false">IF(AND(INDEX('feed pars'!$C$6:$AT$48,MATCH($A5,'feed pars'!$B$6:$B$48,0),AJ$1)&lt;&gt;"",AJ$1&lt;&gt;""), INDEX('feed pars'!$C$6:$AT$48,MATCH($A5,'feed pars'!$B$6:$B$48,0),AJ$1), "")</f>
        <v/>
      </c>
      <c r="AK5" s="52" t="str">
        <f aca="false">IF(AND(INDEX('feed pars'!$C$6:$AT$48,MATCH($A5,'feed pars'!$B$6:$B$48,0),AK$1)&lt;&gt;"",AK$1&lt;&gt;""), INDEX('feed pars'!$C$6:$AT$48,MATCH($A5,'feed pars'!$B$6:$B$48,0),AK$1), "")</f>
        <v/>
      </c>
      <c r="AM5" s="42" t="str">
        <f aca="false">'feed pars'!$B8</f>
        <v>other silage</v>
      </c>
      <c r="AN5" s="1" t="s">
        <v>83</v>
      </c>
      <c r="AO5" s="1" t="s">
        <v>263</v>
      </c>
      <c r="AP5" s="52" t="str">
        <f aca="false">IF(AND(INDEX('feed pars'!$C$6:$AT$48,MATCH($A5,'feed pars'!$B$6:$B$48,0),AP$1)&lt;&gt;"",AP$1&lt;&gt;""), INDEX('feed pars'!$C$6:$AT$48,MATCH($A5,'feed pars'!$B$6:$B$48,0),AP$1), "")</f>
        <v/>
      </c>
      <c r="AQ5" s="52" t="str">
        <f aca="false">IF(AND(INDEX('feed pars'!$C$6:$AT$48,MATCH($A5,'feed pars'!$B$6:$B$48,0),AQ$1)&lt;&gt;"",AQ$1&lt;&gt;""), INDEX('feed pars'!$C$6:$AT$48,MATCH($A5,'feed pars'!$B$6:$B$48,0),AQ$1), "")</f>
        <v/>
      </c>
      <c r="AS5" s="42" t="str">
        <f aca="false">'feed pars'!$B8</f>
        <v>other silage</v>
      </c>
      <c r="AT5" s="1" t="s">
        <v>84</v>
      </c>
      <c r="AV5" s="1" t="str">
        <f aca="false">IF(AND(INDEX('feed pars'!$C$6:$AT$48,MATCH($A5,'feed pars'!$B$6:$B$48,0),AV$1)&lt;&gt;"",AV$1&lt;&gt;""), INDEX('feed pars'!$C$6:$AT$48,MATCH($A5,'feed pars'!$B$6:$B$48,0),AV$1), "")</f>
        <v/>
      </c>
    </row>
    <row r="6" customFormat="false" ht="15" hidden="false" customHeight="false" outlineLevel="0" collapsed="false">
      <c r="A6" s="1" t="str">
        <f aca="false">'feed pars'!$B9</f>
        <v>hay</v>
      </c>
      <c r="D6" s="42" t="n">
        <f aca="false">IF(AND(INDEX('feed pars'!$C$6:$AT$48,MATCH($A6,'feed pars'!$B$6:$B$48,0),D$1)&lt;&gt;"",D$1&lt;&gt;""), INDEX('feed pars'!$C$6:$AT$48,MATCH($A6,'feed pars'!$B$6:$B$48,0),D$1), "")</f>
        <v>17.1602576</v>
      </c>
      <c r="E6" s="42" t="n">
        <f aca="false">IF(AND(INDEX('feed pars'!$C$6:$AT$48,MATCH($A6,'feed pars'!$B$6:$B$48,0),E$1)&lt;&gt;"",E$1&lt;&gt;""), INDEX('feed pars'!$C$6:$AT$48,MATCH($A6,'feed pars'!$B$6:$B$48,0),E$1), "")</f>
        <v>6.2</v>
      </c>
      <c r="F6" s="42" t="n">
        <f aca="false">IF(AND(INDEX('feed pars'!$C$6:$AT$48,MATCH($A6,'feed pars'!$B$6:$B$48,0),F$1)&lt;&gt;"",F$1&lt;&gt;""), INDEX('feed pars'!$C$6:$AT$48,MATCH($A6,'feed pars'!$B$6:$B$48,0),F$1), "")</f>
        <v>1.496</v>
      </c>
      <c r="G6" s="42" t="n">
        <f aca="false">IF(AND(INDEX('feed pars'!$C$6:$AT$48,MATCH($A6,'feed pars'!$B$6:$B$48,0),G$1)&lt;&gt;"",G$1&lt;&gt;""), INDEX('feed pars'!$C$6:$AT$48,MATCH($A6,'feed pars'!$B$6:$B$48,0),G$1), "")</f>
        <v>0.21</v>
      </c>
      <c r="H6" s="42" t="n">
        <f aca="false">IF(AND(INDEX('feed pars'!$C$6:$AT$48,MATCH($A6,'feed pars'!$B$6:$B$48,0),H$1)&lt;&gt;"",H$1&lt;&gt;""), INDEX('feed pars'!$C$6:$AT$48,MATCH($A6,'feed pars'!$B$6:$B$48,0),H$1), "")</f>
        <v>1.81</v>
      </c>
      <c r="I6" s="42"/>
      <c r="J6" s="42" t="str">
        <f aca="false">'feed pars'!$B9</f>
        <v>hay</v>
      </c>
      <c r="K6" s="1" t="s">
        <v>92</v>
      </c>
      <c r="M6" s="52" t="n">
        <f aca="false">IF(AND(INDEX('feed pars'!$C$6:$AT$48,MATCH($A6,'feed pars'!$B$6:$B$48,0),M$1)&lt;&gt;"",M$1&lt;&gt;""), INDEX('feed pars'!$C$6:$AT$48,MATCH($A6,'feed pars'!$B$6:$B$48,0),M$1), "")</f>
        <v>9.1</v>
      </c>
      <c r="N6" s="52" t="n">
        <f aca="false">IF(AND(INDEX('feed pars'!$C$6:$AT$48,MATCH($A6,'feed pars'!$B$6:$B$48,0),N$1)&lt;&gt;"",N$1&lt;&gt;""), INDEX('feed pars'!$C$6:$AT$48,MATCH($A6,'feed pars'!$B$6:$B$48,0),N$1), "")</f>
        <v>66</v>
      </c>
      <c r="O6" s="52" t="n">
        <f aca="false">IF(AND(INDEX('feed pars'!$C$6:$AT$48,MATCH($A6,'feed pars'!$B$6:$B$48,0),O$1)&lt;&gt;"",O$1&lt;&gt;""), INDEX('feed pars'!$C$6:$AT$48,MATCH($A6,'feed pars'!$B$6:$B$48,0),O$1), "")</f>
        <v>-19</v>
      </c>
      <c r="P6" s="52" t="n">
        <f aca="false">IF(AND(INDEX('feed pars'!$C$6:$AT$48,MATCH($A6,'feed pars'!$B$6:$B$48,0),P$1)&lt;&gt;"",P$1&lt;&gt;""), INDEX('feed pars'!$C$6:$AT$48,MATCH($A6,'feed pars'!$B$6:$B$48,0),P$1), "")</f>
        <v>11.8</v>
      </c>
      <c r="Q6" s="52" t="n">
        <f aca="false">IF(AND(INDEX('feed pars'!$C$6:$AT$48,MATCH($A6,'feed pars'!$B$6:$B$48,0),Q$1)&lt;&gt;"",Q$1&lt;&gt;""), INDEX('feed pars'!$C$6:$AT$48,MATCH($A6,'feed pars'!$B$6:$B$48,0),Q$1), "")</f>
        <v>20</v>
      </c>
      <c r="S6" s="42" t="str">
        <f aca="false">'feed pars'!$B9</f>
        <v>hay</v>
      </c>
      <c r="T6" s="1" t="s">
        <v>104</v>
      </c>
      <c r="V6" s="52" t="n">
        <f aca="false">IF(AND(INDEX('feed pars'!$C$6:$AT$48,MATCH($A6,'feed pars'!$B$6:$B$48,0),V$1)&lt;&gt;"",V$1&lt;&gt;""), INDEX('feed pars'!$C$6:$AT$48,MATCH($A6,'feed pars'!$B$6:$B$48,0),V$1), "")</f>
        <v>9.1</v>
      </c>
      <c r="W6" s="52" t="n">
        <f aca="false">IF(AND(INDEX('feed pars'!$C$6:$AT$48,MATCH($A6,'feed pars'!$B$6:$B$48,0),W$1)&lt;&gt;"",W$1&lt;&gt;""), INDEX('feed pars'!$C$6:$AT$48,MATCH($A6,'feed pars'!$B$6:$B$48,0),W$1), "")</f>
        <v>11.8</v>
      </c>
      <c r="X6" s="52" t="n">
        <f aca="false">IF(AND(INDEX('feed pars'!$C$6:$AT$48,MATCH($A6,'feed pars'!$B$6:$B$48,0),X$1)&lt;&gt;"",X$1&lt;&gt;""), INDEX('feed pars'!$C$6:$AT$48,MATCH($A6,'feed pars'!$B$6:$B$48,0),X$1), "")</f>
        <v>20</v>
      </c>
      <c r="Z6" s="42" t="str">
        <f aca="false">'feed pars'!$B9</f>
        <v>hay</v>
      </c>
      <c r="AA6" s="1" t="s">
        <v>102</v>
      </c>
      <c r="AC6" s="52" t="n">
        <f aca="false">IF(AND(INDEX('feed pars'!$C$6:$AT$48,MATCH($A6,'feed pars'!$B$6:$B$48,0),AC$1)&lt;&gt;"",AC$1&lt;&gt;""), INDEX('feed pars'!$C$6:$AT$48,MATCH($A6,'feed pars'!$B$6:$B$48,0),AC$1), "")</f>
        <v>9.1</v>
      </c>
      <c r="AD6" s="52" t="n">
        <f aca="false">IF(AND(INDEX('feed pars'!$C$6:$AT$48,MATCH($A6,'feed pars'!$B$6:$B$48,0),AD$1)&lt;&gt;"",AD$1&lt;&gt;""), INDEX('feed pars'!$C$6:$AT$48,MATCH($A6,'feed pars'!$B$6:$B$48,0),AD$1), "")</f>
        <v>11.8</v>
      </c>
      <c r="AE6" s="52" t="n">
        <f aca="false">IF(AND(INDEX('feed pars'!$C$6:$AT$48,MATCH($A6,'feed pars'!$B$6:$B$48,0),AE$1)&lt;&gt;"",AE$1&lt;&gt;""), INDEX('feed pars'!$C$6:$AT$48,MATCH($A6,'feed pars'!$B$6:$B$48,0),AE$1), "")</f>
        <v>20</v>
      </c>
      <c r="AG6" s="42" t="str">
        <f aca="false">'feed pars'!$B9</f>
        <v>hay</v>
      </c>
      <c r="AH6" s="1" t="s">
        <v>83</v>
      </c>
      <c r="AJ6" s="52" t="str">
        <f aca="false">IF(AND(INDEX('feed pars'!$C$6:$AT$48,MATCH($A6,'feed pars'!$B$6:$B$48,0),AJ$1)&lt;&gt;"",AJ$1&lt;&gt;""), INDEX('feed pars'!$C$6:$AT$48,MATCH($A6,'feed pars'!$B$6:$B$48,0),AJ$1), "")</f>
        <v/>
      </c>
      <c r="AK6" s="52" t="str">
        <f aca="false">IF(AND(INDEX('feed pars'!$C$6:$AT$48,MATCH($A6,'feed pars'!$B$6:$B$48,0),AK$1)&lt;&gt;"",AK$1&lt;&gt;""), INDEX('feed pars'!$C$6:$AT$48,MATCH($A6,'feed pars'!$B$6:$B$48,0),AK$1), "")</f>
        <v/>
      </c>
      <c r="AM6" s="42" t="str">
        <f aca="false">'feed pars'!$B9</f>
        <v>hay</v>
      </c>
      <c r="AN6" s="1" t="s">
        <v>83</v>
      </c>
      <c r="AO6" s="1" t="s">
        <v>263</v>
      </c>
      <c r="AP6" s="52" t="str">
        <f aca="false">IF(AND(INDEX('feed pars'!$C$6:$AT$48,MATCH($A6,'feed pars'!$B$6:$B$48,0),AP$1)&lt;&gt;"",AP$1&lt;&gt;""), INDEX('feed pars'!$C$6:$AT$48,MATCH($A6,'feed pars'!$B$6:$B$48,0),AP$1), "")</f>
        <v/>
      </c>
      <c r="AQ6" s="52" t="str">
        <f aca="false">IF(AND(INDEX('feed pars'!$C$6:$AT$48,MATCH($A6,'feed pars'!$B$6:$B$48,0),AQ$1)&lt;&gt;"",AQ$1&lt;&gt;""), INDEX('feed pars'!$C$6:$AT$48,MATCH($A6,'feed pars'!$B$6:$B$48,0),AQ$1), "")</f>
        <v/>
      </c>
      <c r="AS6" s="42" t="str">
        <f aca="false">'feed pars'!$B9</f>
        <v>hay</v>
      </c>
      <c r="AT6" s="1" t="s">
        <v>84</v>
      </c>
      <c r="AV6" s="1" t="str">
        <f aca="false">IF(AND(INDEX('feed pars'!$C$6:$AT$48,MATCH($A6,'feed pars'!$B$6:$B$48,0),AV$1)&lt;&gt;"",AV$1&lt;&gt;""), INDEX('feed pars'!$C$6:$AT$48,MATCH($A6,'feed pars'!$B$6:$B$48,0),AV$1), "")</f>
        <v/>
      </c>
    </row>
    <row r="7" customFormat="false" ht="15" hidden="false" customHeight="false" outlineLevel="0" collapsed="false">
      <c r="A7" s="1" t="str">
        <f aca="false">'feed pars'!$B10</f>
        <v>maize silage</v>
      </c>
      <c r="D7" s="42" t="n">
        <f aca="false">IF(AND(INDEX('feed pars'!$C$6:$AT$48,MATCH($A7,'feed pars'!$B$6:$B$48,0),D$1)&lt;&gt;"",D$1&lt;&gt;""), INDEX('feed pars'!$C$6:$AT$48,MATCH($A7,'feed pars'!$B$6:$B$48,0),D$1), "")</f>
        <v>17.6573168</v>
      </c>
      <c r="E7" s="42" t="n">
        <f aca="false">IF(AND(INDEX('feed pars'!$C$6:$AT$48,MATCH($A7,'feed pars'!$B$6:$B$48,0),E$1)&lt;&gt;"",E$1&lt;&gt;""), INDEX('feed pars'!$C$6:$AT$48,MATCH($A7,'feed pars'!$B$6:$B$48,0),E$1), "")</f>
        <v>3.6</v>
      </c>
      <c r="F7" s="42" t="n">
        <f aca="false">IF(AND(INDEX('feed pars'!$C$6:$AT$48,MATCH($A7,'feed pars'!$B$6:$B$48,0),F$1)&lt;&gt;"",F$1&lt;&gt;""), INDEX('feed pars'!$C$6:$AT$48,MATCH($A7,'feed pars'!$B$6:$B$48,0),F$1), "")</f>
        <v>1.088</v>
      </c>
      <c r="G7" s="42" t="n">
        <f aca="false">IF(AND(INDEX('feed pars'!$C$6:$AT$48,MATCH($A7,'feed pars'!$B$6:$B$48,0),G$1)&lt;&gt;"",G$1&lt;&gt;""), INDEX('feed pars'!$C$6:$AT$48,MATCH($A7,'feed pars'!$B$6:$B$48,0),G$1), "")</f>
        <v>0.17</v>
      </c>
      <c r="H7" s="42" t="n">
        <f aca="false">IF(AND(INDEX('feed pars'!$C$6:$AT$48,MATCH($A7,'feed pars'!$B$6:$B$48,0),H$1)&lt;&gt;"",H$1&lt;&gt;""), INDEX('feed pars'!$C$6:$AT$48,MATCH($A7,'feed pars'!$B$6:$B$48,0),H$1), "")</f>
        <v>1.03</v>
      </c>
      <c r="I7" s="42"/>
      <c r="J7" s="42" t="str">
        <f aca="false">'feed pars'!$B10</f>
        <v>maize silage</v>
      </c>
      <c r="K7" s="1" t="s">
        <v>92</v>
      </c>
      <c r="M7" s="52" t="n">
        <f aca="false">IF(AND(INDEX('feed pars'!$C$6:$AT$48,MATCH($A7,'feed pars'!$B$6:$B$48,0),M$1)&lt;&gt;"",M$1&lt;&gt;""), INDEX('feed pars'!$C$6:$AT$48,MATCH($A7,'feed pars'!$B$6:$B$48,0),M$1), "")</f>
        <v>11</v>
      </c>
      <c r="N7" s="52" t="str">
        <f aca="false">IF(AND(INDEX('feed pars'!$C$6:$AT$48,MATCH($A7,'feed pars'!$B$6:$B$48,0),N$1)&lt;&gt;"",N$1&lt;&gt;""), INDEX('feed pars'!$C$6:$AT$48,MATCH($A7,'feed pars'!$B$6:$B$48,0),N$1), "")</f>
        <v/>
      </c>
      <c r="O7" s="52" t="str">
        <f aca="false">IF(AND(INDEX('feed pars'!$C$6:$AT$48,MATCH($A7,'feed pars'!$B$6:$B$48,0),O$1)&lt;&gt;"",O$1&lt;&gt;""), INDEX('feed pars'!$C$6:$AT$48,MATCH($A7,'feed pars'!$B$6:$B$48,0),O$1), "")</f>
        <v/>
      </c>
      <c r="P7" s="52" t="n">
        <f aca="false">IF(AND(INDEX('feed pars'!$C$6:$AT$48,MATCH($A7,'feed pars'!$B$6:$B$48,0),P$1)&lt;&gt;"",P$1&lt;&gt;""), INDEX('feed pars'!$C$6:$AT$48,MATCH($A7,'feed pars'!$B$6:$B$48,0),P$1), "")</f>
        <v>12.3</v>
      </c>
      <c r="Q7" s="52" t="n">
        <f aca="false">IF(AND(INDEX('feed pars'!$C$6:$AT$48,MATCH($A7,'feed pars'!$B$6:$B$48,0),Q$1)&lt;&gt;"",Q$1&lt;&gt;""), INDEX('feed pars'!$C$6:$AT$48,MATCH($A7,'feed pars'!$B$6:$B$48,0),Q$1), "")</f>
        <v>30</v>
      </c>
      <c r="S7" s="42" t="str">
        <f aca="false">'feed pars'!$B10</f>
        <v>maize silage</v>
      </c>
      <c r="T7" s="1" t="s">
        <v>104</v>
      </c>
      <c r="V7" s="52" t="n">
        <f aca="false">IF(AND(INDEX('feed pars'!$C$6:$AT$48,MATCH($A7,'feed pars'!$B$6:$B$48,0),V$1)&lt;&gt;"",V$1&lt;&gt;""), INDEX('feed pars'!$C$6:$AT$48,MATCH($A7,'feed pars'!$B$6:$B$48,0),V$1), "")</f>
        <v>11</v>
      </c>
      <c r="W7" s="52" t="n">
        <f aca="false">IF(AND(INDEX('feed pars'!$C$6:$AT$48,MATCH($A7,'feed pars'!$B$6:$B$48,0),W$1)&lt;&gt;"",W$1&lt;&gt;""), INDEX('feed pars'!$C$6:$AT$48,MATCH($A7,'feed pars'!$B$6:$B$48,0),W$1), "")</f>
        <v>12.3</v>
      </c>
      <c r="X7" s="52" t="n">
        <f aca="false">IF(AND(INDEX('feed pars'!$C$6:$AT$48,MATCH($A7,'feed pars'!$B$6:$B$48,0),X$1)&lt;&gt;"",X$1&lt;&gt;""), INDEX('feed pars'!$C$6:$AT$48,MATCH($A7,'feed pars'!$B$6:$B$48,0),X$1), "")</f>
        <v>30</v>
      </c>
      <c r="Z7" s="42" t="str">
        <f aca="false">'feed pars'!$B10</f>
        <v>maize silage</v>
      </c>
      <c r="AA7" s="1" t="s">
        <v>102</v>
      </c>
      <c r="AC7" s="52" t="n">
        <f aca="false">IF(AND(INDEX('feed pars'!$C$6:$AT$48,MATCH($A7,'feed pars'!$B$6:$B$48,0),AC$1)&lt;&gt;"",AC$1&lt;&gt;""), INDEX('feed pars'!$C$6:$AT$48,MATCH($A7,'feed pars'!$B$6:$B$48,0),AC$1), "")</f>
        <v>11</v>
      </c>
      <c r="AD7" s="52" t="n">
        <f aca="false">IF(AND(INDEX('feed pars'!$C$6:$AT$48,MATCH($A7,'feed pars'!$B$6:$B$48,0),AD$1)&lt;&gt;"",AD$1&lt;&gt;""), INDEX('feed pars'!$C$6:$AT$48,MATCH($A7,'feed pars'!$B$6:$B$48,0),AD$1), "")</f>
        <v>12.3</v>
      </c>
      <c r="AE7" s="52" t="n">
        <f aca="false">IF(AND(INDEX('feed pars'!$C$6:$AT$48,MATCH($A7,'feed pars'!$B$6:$B$48,0),AE$1)&lt;&gt;"",AE$1&lt;&gt;""), INDEX('feed pars'!$C$6:$AT$48,MATCH($A7,'feed pars'!$B$6:$B$48,0),AE$1), "")</f>
        <v>30</v>
      </c>
      <c r="AG7" s="42" t="str">
        <f aca="false">'feed pars'!$B10</f>
        <v>maize silage</v>
      </c>
      <c r="AH7" s="1" t="s">
        <v>83</v>
      </c>
      <c r="AJ7" s="52" t="str">
        <f aca="false">IF(AND(INDEX('feed pars'!$C$6:$AT$48,MATCH($A7,'feed pars'!$B$6:$B$48,0),AJ$1)&lt;&gt;"",AJ$1&lt;&gt;""), INDEX('feed pars'!$C$6:$AT$48,MATCH($A7,'feed pars'!$B$6:$B$48,0),AJ$1), "")</f>
        <v/>
      </c>
      <c r="AK7" s="52" t="str">
        <f aca="false">IF(AND(INDEX('feed pars'!$C$6:$AT$48,MATCH($A7,'feed pars'!$B$6:$B$48,0),AK$1)&lt;&gt;"",AK$1&lt;&gt;""), INDEX('feed pars'!$C$6:$AT$48,MATCH($A7,'feed pars'!$B$6:$B$48,0),AK$1), "")</f>
        <v/>
      </c>
      <c r="AM7" s="42" t="str">
        <f aca="false">'feed pars'!$B10</f>
        <v>maize silage</v>
      </c>
      <c r="AN7" s="1" t="s">
        <v>83</v>
      </c>
      <c r="AO7" s="1" t="s">
        <v>263</v>
      </c>
      <c r="AP7" s="52" t="str">
        <f aca="false">IF(AND(INDEX('feed pars'!$C$6:$AT$48,MATCH($A7,'feed pars'!$B$6:$B$48,0),AP$1)&lt;&gt;"",AP$1&lt;&gt;""), INDEX('feed pars'!$C$6:$AT$48,MATCH($A7,'feed pars'!$B$6:$B$48,0),AP$1), "")</f>
        <v/>
      </c>
      <c r="AQ7" s="52" t="str">
        <f aca="false">IF(AND(INDEX('feed pars'!$C$6:$AT$48,MATCH($A7,'feed pars'!$B$6:$B$48,0),AQ$1)&lt;&gt;"",AQ$1&lt;&gt;""), INDEX('feed pars'!$C$6:$AT$48,MATCH($A7,'feed pars'!$B$6:$B$48,0),AQ$1), "")</f>
        <v/>
      </c>
      <c r="AS7" s="42" t="str">
        <f aca="false">'feed pars'!$B10</f>
        <v>maize silage</v>
      </c>
      <c r="AT7" s="1" t="s">
        <v>84</v>
      </c>
      <c r="AV7" s="1" t="str">
        <f aca="false">IF(AND(INDEX('feed pars'!$C$6:$AT$48,MATCH($A7,'feed pars'!$B$6:$B$48,0),AV$1)&lt;&gt;"",AV$1&lt;&gt;""), INDEX('feed pars'!$C$6:$AT$48,MATCH($A7,'feed pars'!$B$6:$B$48,0),AV$1), "")</f>
        <v/>
      </c>
    </row>
    <row r="8" customFormat="false" ht="15" hidden="false" customHeight="false" outlineLevel="0" collapsed="false">
      <c r="A8" s="1" t="str">
        <f aca="false">'feed pars'!$B11</f>
        <v>grazing</v>
      </c>
      <c r="D8" s="42" t="n">
        <f aca="false">IF(AND(INDEX('feed pars'!$C$6:$AT$48,MATCH($A8,'feed pars'!$B$6:$B$48,0),D$1)&lt;&gt;"",D$1&lt;&gt;""), INDEX('feed pars'!$C$6:$AT$48,MATCH($A8,'feed pars'!$B$6:$B$48,0),D$1), "")</f>
        <v>17.4114370666667</v>
      </c>
      <c r="E8" s="42" t="n">
        <f aca="false">IF(AND(INDEX('feed pars'!$C$6:$AT$48,MATCH($A8,'feed pars'!$B$6:$B$48,0),E$1)&lt;&gt;"",E$1&lt;&gt;""), INDEX('feed pars'!$C$6:$AT$48,MATCH($A8,'feed pars'!$B$6:$B$48,0),E$1), "")</f>
        <v>6.56666666666667</v>
      </c>
      <c r="F8" s="42" t="n">
        <f aca="false">IF(AND(INDEX('feed pars'!$C$6:$AT$48,MATCH($A8,'feed pars'!$B$6:$B$48,0),F$1)&lt;&gt;"",F$1&lt;&gt;""), INDEX('feed pars'!$C$6:$AT$48,MATCH($A8,'feed pars'!$B$6:$B$48,0),F$1), "")</f>
        <v>2.24666666666667</v>
      </c>
      <c r="G8" s="42" t="n">
        <f aca="false">IF(AND(INDEX('feed pars'!$C$6:$AT$48,MATCH($A8,'feed pars'!$B$6:$B$48,0),G$1)&lt;&gt;"",G$1&lt;&gt;""), INDEX('feed pars'!$C$6:$AT$48,MATCH($A8,'feed pars'!$B$6:$B$48,0),G$1), "")</f>
        <v>0.27</v>
      </c>
      <c r="H8" s="42" t="n">
        <f aca="false">IF(AND(INDEX('feed pars'!$C$6:$AT$48,MATCH($A8,'feed pars'!$B$6:$B$48,0),H$1)&lt;&gt;"",H$1&lt;&gt;""), INDEX('feed pars'!$C$6:$AT$48,MATCH($A8,'feed pars'!$B$6:$B$48,0),H$1), "")</f>
        <v>2.34</v>
      </c>
      <c r="I8" s="42"/>
      <c r="J8" s="42" t="str">
        <f aca="false">'feed pars'!$B11</f>
        <v>grazing</v>
      </c>
      <c r="K8" s="1" t="s">
        <v>92</v>
      </c>
      <c r="M8" s="52" t="n">
        <f aca="false">IF(AND(INDEX('feed pars'!$C$6:$AT$48,MATCH($A8,'feed pars'!$B$6:$B$48,0),M$1)&lt;&gt;"",M$1&lt;&gt;""), INDEX('feed pars'!$C$6:$AT$48,MATCH($A8,'feed pars'!$B$6:$B$48,0),M$1), "")</f>
        <v>9.94166666666667</v>
      </c>
      <c r="N8" s="42" t="n">
        <f aca="false">IF(AND(INDEX('feed pars'!$C$6:$AT$48,MATCH($A8,'feed pars'!$B$6:$B$48,0),N$1)&lt;&gt;"",N$1&lt;&gt;""), INDEX('feed pars'!$C$6:$AT$48,MATCH($A8,'feed pars'!$B$6:$B$48,0),N$1), "")</f>
        <v>74.3333333333333</v>
      </c>
      <c r="O8" s="42" t="n">
        <f aca="false">IF(AND(INDEX('feed pars'!$C$6:$AT$48,MATCH($A8,'feed pars'!$B$6:$B$48,0),O$1)&lt;&gt;"",O$1&lt;&gt;""), INDEX('feed pars'!$C$6:$AT$48,MATCH($A8,'feed pars'!$B$6:$B$48,0),O$1), "")</f>
        <v>12.25</v>
      </c>
      <c r="P8" s="42" t="n">
        <f aca="false">IF(AND(INDEX('feed pars'!$C$6:$AT$48,MATCH($A8,'feed pars'!$B$6:$B$48,0),P$1)&lt;&gt;"",P$1&lt;&gt;""), INDEX('feed pars'!$C$6:$AT$48,MATCH($A8,'feed pars'!$B$6:$B$48,0),P$1), "")</f>
        <v>12.4</v>
      </c>
      <c r="Q8" s="52" t="n">
        <f aca="false">IF(AND(INDEX('feed pars'!$C$6:$AT$48,MATCH($A8,'feed pars'!$B$6:$B$48,0),Q$1)&lt;&gt;"",Q$1&lt;&gt;""), INDEX('feed pars'!$C$6:$AT$48,MATCH($A8,'feed pars'!$B$6:$B$48,0),Q$1), "")</f>
        <v>20</v>
      </c>
      <c r="S8" s="42" t="str">
        <f aca="false">'feed pars'!$B11</f>
        <v>grazing</v>
      </c>
      <c r="T8" s="1" t="s">
        <v>104</v>
      </c>
      <c r="V8" s="52" t="n">
        <f aca="false">IF(AND(INDEX('feed pars'!$C$6:$AT$48,MATCH($A8,'feed pars'!$B$6:$B$48,0),V$1)&lt;&gt;"",V$1&lt;&gt;""), INDEX('feed pars'!$C$6:$AT$48,MATCH($A8,'feed pars'!$B$6:$B$48,0),V$1), "")</f>
        <v>9.94166666666667</v>
      </c>
      <c r="W8" s="52" t="n">
        <f aca="false">IF(AND(INDEX('feed pars'!$C$6:$AT$48,MATCH($A8,'feed pars'!$B$6:$B$48,0),W$1)&lt;&gt;"",W$1&lt;&gt;""), INDEX('feed pars'!$C$6:$AT$48,MATCH($A8,'feed pars'!$B$6:$B$48,0),W$1), "")</f>
        <v>12.4</v>
      </c>
      <c r="X8" s="52" t="n">
        <f aca="false">IF(AND(INDEX('feed pars'!$C$6:$AT$48,MATCH($A8,'feed pars'!$B$6:$B$48,0),X$1)&lt;&gt;"",X$1&lt;&gt;""), INDEX('feed pars'!$C$6:$AT$48,MATCH($A8,'feed pars'!$B$6:$B$48,0),X$1), "")</f>
        <v>20</v>
      </c>
      <c r="Z8" s="42" t="str">
        <f aca="false">'feed pars'!$B11</f>
        <v>grazing</v>
      </c>
      <c r="AA8" s="1" t="s">
        <v>102</v>
      </c>
      <c r="AC8" s="52" t="n">
        <f aca="false">IF(AND(INDEX('feed pars'!$C$6:$AT$48,MATCH($A8,'feed pars'!$B$6:$B$48,0),AC$1)&lt;&gt;"",AC$1&lt;&gt;""), INDEX('feed pars'!$C$6:$AT$48,MATCH($A8,'feed pars'!$B$6:$B$48,0),AC$1), "")</f>
        <v>9.94166666666667</v>
      </c>
      <c r="AD8" s="52" t="n">
        <f aca="false">IF(AND(INDEX('feed pars'!$C$6:$AT$48,MATCH($A8,'feed pars'!$B$6:$B$48,0),AD$1)&lt;&gt;"",AD$1&lt;&gt;""), INDEX('feed pars'!$C$6:$AT$48,MATCH($A8,'feed pars'!$B$6:$B$48,0),AD$1), "")</f>
        <v>12.4</v>
      </c>
      <c r="AE8" s="52" t="n">
        <f aca="false">IF(AND(INDEX('feed pars'!$C$6:$AT$48,MATCH($A8,'feed pars'!$B$6:$B$48,0),AE$1)&lt;&gt;"",AE$1&lt;&gt;""), INDEX('feed pars'!$C$6:$AT$48,MATCH($A8,'feed pars'!$B$6:$B$48,0),AE$1), "")</f>
        <v>20</v>
      </c>
      <c r="AG8" s="42" t="str">
        <f aca="false">'feed pars'!$B11</f>
        <v>grazing</v>
      </c>
      <c r="AH8" s="1" t="s">
        <v>83</v>
      </c>
      <c r="AJ8" s="52" t="str">
        <f aca="false">IF(AND(INDEX('feed pars'!$C$6:$AT$48,MATCH($A8,'feed pars'!$B$6:$B$48,0),AJ$1)&lt;&gt;"",AJ$1&lt;&gt;""), INDEX('feed pars'!$C$6:$AT$48,MATCH($A8,'feed pars'!$B$6:$B$48,0),AJ$1), "")</f>
        <v/>
      </c>
      <c r="AK8" s="52" t="str">
        <f aca="false">IF(AND(INDEX('feed pars'!$C$6:$AT$48,MATCH($A8,'feed pars'!$B$6:$B$48,0),AK$1)&lt;&gt;"",AK$1&lt;&gt;""), INDEX('feed pars'!$C$6:$AT$48,MATCH($A8,'feed pars'!$B$6:$B$48,0),AK$1), "")</f>
        <v/>
      </c>
      <c r="AM8" s="42" t="str">
        <f aca="false">'feed pars'!$B11</f>
        <v>grazing</v>
      </c>
      <c r="AN8" s="1" t="s">
        <v>83</v>
      </c>
      <c r="AO8" s="1" t="s">
        <v>263</v>
      </c>
      <c r="AP8" s="52" t="str">
        <f aca="false">IF(AND(INDEX('feed pars'!$C$6:$AT$48,MATCH($A8,'feed pars'!$B$6:$B$48,0),AP$1)&lt;&gt;"",AP$1&lt;&gt;""), INDEX('feed pars'!$C$6:$AT$48,MATCH($A8,'feed pars'!$B$6:$B$48,0),AP$1), "")</f>
        <v/>
      </c>
      <c r="AQ8" s="52" t="str">
        <f aca="false">IF(AND(INDEX('feed pars'!$C$6:$AT$48,MATCH($A8,'feed pars'!$B$6:$B$48,0),AQ$1)&lt;&gt;"",AQ$1&lt;&gt;""), INDEX('feed pars'!$C$6:$AT$48,MATCH($A8,'feed pars'!$B$6:$B$48,0),AQ$1), "")</f>
        <v/>
      </c>
      <c r="AS8" s="42" t="str">
        <f aca="false">'feed pars'!$B11</f>
        <v>grazing</v>
      </c>
      <c r="AT8" s="1" t="s">
        <v>84</v>
      </c>
      <c r="AV8" s="1" t="str">
        <f aca="false">IF(AND(INDEX('feed pars'!$C$6:$AT$48,MATCH($A8,'feed pars'!$B$6:$B$48,0),AV$1)&lt;&gt;"",AV$1&lt;&gt;""), INDEX('feed pars'!$C$6:$AT$48,MATCH($A8,'feed pars'!$B$6:$B$48,0),AV$1), "")</f>
        <v/>
      </c>
    </row>
    <row r="9" customFormat="false" ht="15" hidden="false" customHeight="false" outlineLevel="0" collapsed="false">
      <c r="A9" s="1" t="str">
        <f aca="false">'feed pars'!$B12</f>
        <v>wheat</v>
      </c>
      <c r="D9" s="42" t="n">
        <f aca="false">IF(AND(INDEX('feed pars'!$C$6:$AT$48,MATCH($A9,'feed pars'!$B$6:$B$48,0),D$1)&lt;&gt;"",D$1&lt;&gt;""), INDEX('feed pars'!$C$6:$AT$48,MATCH($A9,'feed pars'!$B$6:$B$48,0),D$1), "")</f>
        <v>18.2100232</v>
      </c>
      <c r="E9" s="42" t="n">
        <f aca="false">IF(AND(INDEX('feed pars'!$C$6:$AT$48,MATCH($A9,'feed pars'!$B$6:$B$48,0),E$1)&lt;&gt;"",E$1&lt;&gt;""), INDEX('feed pars'!$C$6:$AT$48,MATCH($A9,'feed pars'!$B$6:$B$48,0),E$1), "")</f>
        <v>1.8</v>
      </c>
      <c r="F9" s="42" t="n">
        <f aca="false">IF(AND(INDEX('feed pars'!$C$6:$AT$48,MATCH($A9,'feed pars'!$B$6:$B$48,0),F$1)&lt;&gt;"",F$1&lt;&gt;""), INDEX('feed pars'!$C$6:$AT$48,MATCH($A9,'feed pars'!$B$6:$B$48,0),F$1), "")</f>
        <v>1.936</v>
      </c>
      <c r="G9" s="42" t="n">
        <f aca="false">IF(AND(INDEX('feed pars'!$C$6:$AT$48,MATCH($A9,'feed pars'!$B$6:$B$48,0),G$1)&lt;&gt;"",G$1&lt;&gt;""), INDEX('feed pars'!$C$6:$AT$48,MATCH($A9,'feed pars'!$B$6:$B$48,0),G$1), "")</f>
        <v>0.345</v>
      </c>
      <c r="H9" s="42" t="n">
        <f aca="false">IF(AND(INDEX('feed pars'!$C$6:$AT$48,MATCH($A9,'feed pars'!$B$6:$B$48,0),H$1)&lt;&gt;"",H$1&lt;&gt;""), INDEX('feed pars'!$C$6:$AT$48,MATCH($A9,'feed pars'!$B$6:$B$48,0),H$1), "")</f>
        <v>0.525</v>
      </c>
      <c r="I9" s="42"/>
      <c r="J9" s="42" t="str">
        <f aca="false">'feed pars'!$B12</f>
        <v>wheat</v>
      </c>
      <c r="K9" s="1" t="s">
        <v>92</v>
      </c>
      <c r="M9" s="52" t="n">
        <f aca="false">IF(AND(INDEX('feed pars'!$C$6:$AT$48,MATCH($A9,'feed pars'!$B$6:$B$48,0),M$1)&lt;&gt;"",M$1&lt;&gt;""), INDEX('feed pars'!$C$6:$AT$48,MATCH($A9,'feed pars'!$B$6:$B$48,0),M$1), "")</f>
        <v>14.1</v>
      </c>
      <c r="N9" s="52" t="n">
        <f aca="false">IF(AND(INDEX('feed pars'!$C$6:$AT$48,MATCH($A9,'feed pars'!$B$6:$B$48,0),N$1)&lt;&gt;"",N$1&lt;&gt;""), INDEX('feed pars'!$C$6:$AT$48,MATCH($A9,'feed pars'!$B$6:$B$48,0),N$1), "")</f>
        <v>95</v>
      </c>
      <c r="O9" s="52" t="n">
        <f aca="false">IF(AND(INDEX('feed pars'!$C$6:$AT$48,MATCH($A9,'feed pars'!$B$6:$B$48,0),O$1)&lt;&gt;"",O$1&lt;&gt;""), INDEX('feed pars'!$C$6:$AT$48,MATCH($A9,'feed pars'!$B$6:$B$48,0),O$1), "")</f>
        <v>-33</v>
      </c>
      <c r="P9" s="52" t="n">
        <f aca="false">IF(AND(INDEX('feed pars'!$C$6:$AT$48,MATCH($A9,'feed pars'!$B$6:$B$48,0),P$1)&lt;&gt;"",P$1&lt;&gt;""), INDEX('feed pars'!$C$6:$AT$48,MATCH($A9,'feed pars'!$B$6:$B$48,0),P$1), "")</f>
        <v>16</v>
      </c>
      <c r="Q9" s="52" t="n">
        <f aca="false">IF(AND(INDEX('feed pars'!$C$6:$AT$48,MATCH($A9,'feed pars'!$B$6:$B$48,0),Q$1)&lt;&gt;"",Q$1&lt;&gt;""), INDEX('feed pars'!$C$6:$AT$48,MATCH($A9,'feed pars'!$B$6:$B$48,0),Q$1), "")</f>
        <v>25</v>
      </c>
      <c r="S9" s="42" t="str">
        <f aca="false">'feed pars'!$B12</f>
        <v>wheat</v>
      </c>
      <c r="T9" s="1" t="s">
        <v>104</v>
      </c>
      <c r="V9" s="52" t="n">
        <f aca="false">IF(AND(INDEX('feed pars'!$C$6:$AT$48,MATCH($A9,'feed pars'!$B$6:$B$48,0),V$1)&lt;&gt;"",V$1&lt;&gt;""), INDEX('feed pars'!$C$6:$AT$48,MATCH($A9,'feed pars'!$B$6:$B$48,0),V$1), "")</f>
        <v>14.1</v>
      </c>
      <c r="W9" s="52" t="n">
        <f aca="false">IF(AND(INDEX('feed pars'!$C$6:$AT$48,MATCH($A9,'feed pars'!$B$6:$B$48,0),W$1)&lt;&gt;"",W$1&lt;&gt;""), INDEX('feed pars'!$C$6:$AT$48,MATCH($A9,'feed pars'!$B$6:$B$48,0),W$1), "")</f>
        <v>16</v>
      </c>
      <c r="X9" s="52" t="n">
        <f aca="false">IF(AND(INDEX('feed pars'!$C$6:$AT$48,MATCH($A9,'feed pars'!$B$6:$B$48,0),X$1)&lt;&gt;"",X$1&lt;&gt;""), INDEX('feed pars'!$C$6:$AT$48,MATCH($A9,'feed pars'!$B$6:$B$48,0),X$1), "")</f>
        <v>25</v>
      </c>
      <c r="Z9" s="42" t="str">
        <f aca="false">'feed pars'!$B12</f>
        <v>wheat</v>
      </c>
      <c r="AA9" s="1" t="s">
        <v>102</v>
      </c>
      <c r="AC9" s="52" t="n">
        <f aca="false">IF(AND(INDEX('feed pars'!$C$6:$AT$48,MATCH($A9,'feed pars'!$B$6:$B$48,0),AC$1)&lt;&gt;"",AC$1&lt;&gt;""), INDEX('feed pars'!$C$6:$AT$48,MATCH($A9,'feed pars'!$B$6:$B$48,0),AC$1), "")</f>
        <v>14.1</v>
      </c>
      <c r="AD9" s="52" t="n">
        <f aca="false">IF(AND(INDEX('feed pars'!$C$6:$AT$48,MATCH($A9,'feed pars'!$B$6:$B$48,0),AD$1)&lt;&gt;"",AD$1&lt;&gt;""), INDEX('feed pars'!$C$6:$AT$48,MATCH($A9,'feed pars'!$B$6:$B$48,0),AD$1), "")</f>
        <v>16</v>
      </c>
      <c r="AE9" s="52" t="n">
        <f aca="false">IF(AND(INDEX('feed pars'!$C$6:$AT$48,MATCH($A9,'feed pars'!$B$6:$B$48,0),AE$1)&lt;&gt;"",AE$1&lt;&gt;""), INDEX('feed pars'!$C$6:$AT$48,MATCH($A9,'feed pars'!$B$6:$B$48,0),AE$1), "")</f>
        <v>25</v>
      </c>
      <c r="AG9" s="42" t="str">
        <f aca="false">'feed pars'!$B12</f>
        <v>wheat</v>
      </c>
      <c r="AH9" s="1" t="s">
        <v>83</v>
      </c>
      <c r="AI9" s="52"/>
      <c r="AJ9" s="52" t="n">
        <f aca="false">IF(AND(INDEX('feed pars'!$C$6:$AT$48,MATCH($A9,'feed pars'!$B$6:$B$48,0),AJ$1)&lt;&gt;"",AJ$1&lt;&gt;""), INDEX('feed pars'!$C$6:$AT$48,MATCH($A9,'feed pars'!$B$6:$B$48,0),AJ$1), "")</f>
        <v>12.1</v>
      </c>
      <c r="AK9" s="52" t="n">
        <f aca="false">IF(AND(INDEX('feed pars'!$C$6:$AT$48,MATCH($A9,'feed pars'!$B$6:$B$48,0),AK$1)&lt;&gt;"",AK$1&lt;&gt;""), INDEX('feed pars'!$C$6:$AT$48,MATCH($A9,'feed pars'!$B$6:$B$48,0),AK$1), "")</f>
        <v>15.9</v>
      </c>
      <c r="AM9" s="42" t="str">
        <f aca="false">'feed pars'!$B12</f>
        <v>wheat</v>
      </c>
      <c r="AN9" s="1" t="s">
        <v>83</v>
      </c>
      <c r="AO9" s="1" t="s">
        <v>263</v>
      </c>
      <c r="AP9" s="52" t="n">
        <f aca="false">IF(AND(INDEX('feed pars'!$C$6:$AT$48,MATCH($A9,'feed pars'!$B$6:$B$48,0),AP$1)&lt;&gt;"",AP$1&lt;&gt;""), INDEX('feed pars'!$C$6:$AT$48,MATCH($A9,'feed pars'!$B$6:$B$48,0),AP$1), "")</f>
        <v>12.3</v>
      </c>
      <c r="AQ9" s="52" t="str">
        <f aca="false">IF(AND(INDEX('feed pars'!$C$6:$AT$48,MATCH($A9,'feed pars'!$B$6:$B$48,0),AQ$1)&lt;&gt;"",AQ$1&lt;&gt;""), INDEX('feed pars'!$C$6:$AT$48,MATCH($A9,'feed pars'!$B$6:$B$48,0),AQ$1), "")</f>
        <v/>
      </c>
      <c r="AS9" s="42" t="str">
        <f aca="false">'feed pars'!$B12</f>
        <v>wheat</v>
      </c>
      <c r="AT9" s="1" t="s">
        <v>84</v>
      </c>
      <c r="AV9" s="42" t="n">
        <f aca="false">IF(AND(INDEX('feed pars'!$C$6:$AT$48,MATCH($A9,'feed pars'!$B$6:$B$48,0),AV$1)&lt;&gt;"",AV$1&lt;&gt;""), INDEX('feed pars'!$C$6:$AT$48,MATCH($A9,'feed pars'!$B$6:$B$48,0),AV$1), "")</f>
        <v>14.7126436781609</v>
      </c>
    </row>
    <row r="10" customFormat="false" ht="15" hidden="false" customHeight="false" outlineLevel="0" collapsed="false">
      <c r="A10" s="1" t="str">
        <f aca="false">'feed pars'!$B13</f>
        <v>barley</v>
      </c>
      <c r="D10" s="42" t="n">
        <f aca="false">IF(AND(INDEX('feed pars'!$C$6:$AT$48,MATCH($A10,'feed pars'!$B$6:$B$48,0),D$1)&lt;&gt;"",D$1&lt;&gt;""), INDEX('feed pars'!$C$6:$AT$48,MATCH($A10,'feed pars'!$B$6:$B$48,0),D$1), "")</f>
        <v>18.089524</v>
      </c>
      <c r="E10" s="42" t="n">
        <f aca="false">IF(AND(INDEX('feed pars'!$C$6:$AT$48,MATCH($A10,'feed pars'!$B$6:$B$48,0),E$1)&lt;&gt;"",E$1&lt;&gt;""), INDEX('feed pars'!$C$6:$AT$48,MATCH($A10,'feed pars'!$B$6:$B$48,0),E$1), "")</f>
        <v>2.7</v>
      </c>
      <c r="F10" s="42" t="n">
        <f aca="false">IF(AND(INDEX('feed pars'!$C$6:$AT$48,MATCH($A10,'feed pars'!$B$6:$B$48,0),F$1)&lt;&gt;"",F$1&lt;&gt;""), INDEX('feed pars'!$C$6:$AT$48,MATCH($A10,'feed pars'!$B$6:$B$48,0),F$1), "")</f>
        <v>1.904</v>
      </c>
      <c r="G10" s="42" t="n">
        <f aca="false">IF(AND(INDEX('feed pars'!$C$6:$AT$48,MATCH($A10,'feed pars'!$B$6:$B$48,0),G$1)&lt;&gt;"",G$1&lt;&gt;""), INDEX('feed pars'!$C$6:$AT$48,MATCH($A10,'feed pars'!$B$6:$B$48,0),G$1), "")</f>
        <v>0.375</v>
      </c>
      <c r="H10" s="42" t="n">
        <f aca="false">IF(AND(INDEX('feed pars'!$C$6:$AT$48,MATCH($A10,'feed pars'!$B$6:$B$48,0),H$1)&lt;&gt;"",H$1&lt;&gt;""), INDEX('feed pars'!$C$6:$AT$48,MATCH($A10,'feed pars'!$B$6:$B$48,0),H$1), "")</f>
        <v>0.58</v>
      </c>
      <c r="I10" s="42"/>
      <c r="J10" s="42" t="str">
        <f aca="false">'feed pars'!$B13</f>
        <v>barley</v>
      </c>
      <c r="K10" s="1" t="s">
        <v>92</v>
      </c>
      <c r="M10" s="52" t="n">
        <f aca="false">IF(AND(INDEX('feed pars'!$C$6:$AT$48,MATCH($A10,'feed pars'!$B$6:$B$48,0),M$1)&lt;&gt;"",M$1&lt;&gt;""), INDEX('feed pars'!$C$6:$AT$48,MATCH($A10,'feed pars'!$B$6:$B$48,0),M$1), "")</f>
        <v>13.2</v>
      </c>
      <c r="N10" s="52" t="n">
        <f aca="false">IF(AND(INDEX('feed pars'!$C$6:$AT$48,MATCH($A10,'feed pars'!$B$6:$B$48,0),N$1)&lt;&gt;"",N$1&lt;&gt;""), INDEX('feed pars'!$C$6:$AT$48,MATCH($A10,'feed pars'!$B$6:$B$48,0),N$1), "")</f>
        <v>90</v>
      </c>
      <c r="O10" s="52" t="n">
        <f aca="false">IF(AND(INDEX('feed pars'!$C$6:$AT$48,MATCH($A10,'feed pars'!$B$6:$B$48,0),O$1)&lt;&gt;"",O$1&lt;&gt;""), INDEX('feed pars'!$C$6:$AT$48,MATCH($A10,'feed pars'!$B$6:$B$48,0),O$1), "")</f>
        <v>-29</v>
      </c>
      <c r="P10" s="52" t="n">
        <f aca="false">IF(AND(INDEX('feed pars'!$C$6:$AT$48,MATCH($A10,'feed pars'!$B$6:$B$48,0),P$1)&lt;&gt;"",P$1&lt;&gt;""), INDEX('feed pars'!$C$6:$AT$48,MATCH($A10,'feed pars'!$B$6:$B$48,0),P$1), "")</f>
        <v>15</v>
      </c>
      <c r="Q10" s="52" t="n">
        <f aca="false">IF(AND(INDEX('feed pars'!$C$6:$AT$48,MATCH($A10,'feed pars'!$B$6:$B$48,0),Q$1)&lt;&gt;"",Q$1&lt;&gt;""), INDEX('feed pars'!$C$6:$AT$48,MATCH($A10,'feed pars'!$B$6:$B$48,0),Q$1), "")</f>
        <v>27</v>
      </c>
      <c r="S10" s="42" t="str">
        <f aca="false">'feed pars'!$B13</f>
        <v>barley</v>
      </c>
      <c r="T10" s="1" t="s">
        <v>104</v>
      </c>
      <c r="V10" s="52" t="n">
        <f aca="false">IF(AND(INDEX('feed pars'!$C$6:$AT$48,MATCH($A10,'feed pars'!$B$6:$B$48,0),V$1)&lt;&gt;"",V$1&lt;&gt;""), INDEX('feed pars'!$C$6:$AT$48,MATCH($A10,'feed pars'!$B$6:$B$48,0),V$1), "")</f>
        <v>13.2</v>
      </c>
      <c r="W10" s="52" t="n">
        <f aca="false">IF(AND(INDEX('feed pars'!$C$6:$AT$48,MATCH($A10,'feed pars'!$B$6:$B$48,0),W$1)&lt;&gt;"",W$1&lt;&gt;""), INDEX('feed pars'!$C$6:$AT$48,MATCH($A10,'feed pars'!$B$6:$B$48,0),W$1), "")</f>
        <v>15</v>
      </c>
      <c r="X10" s="52" t="n">
        <f aca="false">IF(AND(INDEX('feed pars'!$C$6:$AT$48,MATCH($A10,'feed pars'!$B$6:$B$48,0),X$1)&lt;&gt;"",X$1&lt;&gt;""), INDEX('feed pars'!$C$6:$AT$48,MATCH($A10,'feed pars'!$B$6:$B$48,0),X$1), "")</f>
        <v>27</v>
      </c>
      <c r="Z10" s="42" t="str">
        <f aca="false">'feed pars'!$B13</f>
        <v>barley</v>
      </c>
      <c r="AA10" s="1" t="s">
        <v>102</v>
      </c>
      <c r="AC10" s="52" t="n">
        <f aca="false">IF(AND(INDEX('feed pars'!$C$6:$AT$48,MATCH($A10,'feed pars'!$B$6:$B$48,0),AC$1)&lt;&gt;"",AC$1&lt;&gt;""), INDEX('feed pars'!$C$6:$AT$48,MATCH($A10,'feed pars'!$B$6:$B$48,0),AC$1), "")</f>
        <v>13.2</v>
      </c>
      <c r="AD10" s="52" t="n">
        <f aca="false">IF(AND(INDEX('feed pars'!$C$6:$AT$48,MATCH($A10,'feed pars'!$B$6:$B$48,0),AD$1)&lt;&gt;"",AD$1&lt;&gt;""), INDEX('feed pars'!$C$6:$AT$48,MATCH($A10,'feed pars'!$B$6:$B$48,0),AD$1), "")</f>
        <v>15</v>
      </c>
      <c r="AE10" s="52" t="n">
        <f aca="false">IF(AND(INDEX('feed pars'!$C$6:$AT$48,MATCH($A10,'feed pars'!$B$6:$B$48,0),AE$1)&lt;&gt;"",AE$1&lt;&gt;""), INDEX('feed pars'!$C$6:$AT$48,MATCH($A10,'feed pars'!$B$6:$B$48,0),AE$1), "")</f>
        <v>27</v>
      </c>
      <c r="AG10" s="42" t="str">
        <f aca="false">'feed pars'!$B13</f>
        <v>barley</v>
      </c>
      <c r="AH10" s="1" t="s">
        <v>83</v>
      </c>
      <c r="AI10" s="52"/>
      <c r="AJ10" s="52" t="n">
        <f aca="false">IF(AND(INDEX('feed pars'!$C$6:$AT$48,MATCH($A10,'feed pars'!$B$6:$B$48,0),AJ$1)&lt;&gt;"",AJ$1&lt;&gt;""), INDEX('feed pars'!$C$6:$AT$48,MATCH($A10,'feed pars'!$B$6:$B$48,0),AJ$1), "")</f>
        <v>11</v>
      </c>
      <c r="AK10" s="52" t="n">
        <f aca="false">IF(AND(INDEX('feed pars'!$C$6:$AT$48,MATCH($A10,'feed pars'!$B$6:$B$48,0),AK$1)&lt;&gt;"",AK$1&lt;&gt;""), INDEX('feed pars'!$C$6:$AT$48,MATCH($A10,'feed pars'!$B$6:$B$48,0),AK$1), "")</f>
        <v>14.8</v>
      </c>
      <c r="AM10" s="42" t="str">
        <f aca="false">'feed pars'!$B13</f>
        <v>barley</v>
      </c>
      <c r="AN10" s="1" t="s">
        <v>83</v>
      </c>
      <c r="AO10" s="1" t="s">
        <v>263</v>
      </c>
      <c r="AP10" s="52" t="n">
        <f aca="false">IF(AND(INDEX('feed pars'!$C$6:$AT$48,MATCH($A10,'feed pars'!$B$6:$B$48,0),AP$1)&lt;&gt;"",AP$1&lt;&gt;""), INDEX('feed pars'!$C$6:$AT$48,MATCH($A10,'feed pars'!$B$6:$B$48,0),AP$1), "")</f>
        <v>11.2</v>
      </c>
      <c r="AQ10" s="52" t="str">
        <f aca="false">IF(AND(INDEX('feed pars'!$C$6:$AT$48,MATCH($A10,'feed pars'!$B$6:$B$48,0),AQ$1)&lt;&gt;"",AQ$1&lt;&gt;""), INDEX('feed pars'!$C$6:$AT$48,MATCH($A10,'feed pars'!$B$6:$B$48,0),AQ$1), "")</f>
        <v/>
      </c>
      <c r="AS10" s="42" t="str">
        <f aca="false">'feed pars'!$B13</f>
        <v>barley</v>
      </c>
      <c r="AT10" s="1" t="s">
        <v>84</v>
      </c>
      <c r="AV10" s="42" t="n">
        <f aca="false">IF(AND(INDEX('feed pars'!$C$6:$AT$48,MATCH($A10,'feed pars'!$B$6:$B$48,0),AV$1)&lt;&gt;"",AV$1&lt;&gt;""), INDEX('feed pars'!$C$6:$AT$48,MATCH($A10,'feed pars'!$B$6:$B$48,0),AV$1), "")</f>
        <v>13.5632183908046</v>
      </c>
    </row>
    <row r="11" customFormat="false" ht="15" hidden="false" customHeight="false" outlineLevel="0" collapsed="false">
      <c r="A11" s="1" t="str">
        <f aca="false">'feed pars'!$B14</f>
        <v>oats</v>
      </c>
      <c r="D11" s="42" t="n">
        <f aca="false">IF(AND(INDEX('feed pars'!$C$6:$AT$48,MATCH($A11,'feed pars'!$B$6:$B$48,0),D$1)&lt;&gt;"",D$1&lt;&gt;""), INDEX('feed pars'!$C$6:$AT$48,MATCH($A11,'feed pars'!$B$6:$B$48,0),D$1), "")</f>
        <v>18.6602216</v>
      </c>
      <c r="E11" s="42" t="n">
        <f aca="false">IF(AND(INDEX('feed pars'!$C$6:$AT$48,MATCH($A11,'feed pars'!$B$6:$B$48,0),E$1)&lt;&gt;"",E$1&lt;&gt;""), INDEX('feed pars'!$C$6:$AT$48,MATCH($A11,'feed pars'!$B$6:$B$48,0),E$1), "")</f>
        <v>3.2</v>
      </c>
      <c r="F11" s="42" t="n">
        <f aca="false">IF(AND(INDEX('feed pars'!$C$6:$AT$48,MATCH($A11,'feed pars'!$B$6:$B$48,0),F$1)&lt;&gt;"",F$1&lt;&gt;""), INDEX('feed pars'!$C$6:$AT$48,MATCH($A11,'feed pars'!$B$6:$B$48,0),F$1), "")</f>
        <v>1.768</v>
      </c>
      <c r="G11" s="42" t="n">
        <f aca="false">IF(AND(INDEX('feed pars'!$C$6:$AT$48,MATCH($A11,'feed pars'!$B$6:$B$48,0),G$1)&lt;&gt;"",G$1&lt;&gt;""), INDEX('feed pars'!$C$6:$AT$48,MATCH($A11,'feed pars'!$B$6:$B$48,0),G$1), "")</f>
        <v>0.365</v>
      </c>
      <c r="H11" s="42" t="n">
        <f aca="false">IF(AND(INDEX('feed pars'!$C$6:$AT$48,MATCH($A11,'feed pars'!$B$6:$B$48,0),H$1)&lt;&gt;"",H$1&lt;&gt;""), INDEX('feed pars'!$C$6:$AT$48,MATCH($A11,'feed pars'!$B$6:$B$48,0),H$1), "")</f>
        <v>0.54</v>
      </c>
      <c r="I11" s="42"/>
      <c r="J11" s="42" t="str">
        <f aca="false">'feed pars'!$B14</f>
        <v>oats</v>
      </c>
      <c r="K11" s="1" t="s">
        <v>92</v>
      </c>
      <c r="M11" s="52" t="n">
        <f aca="false">IF(AND(INDEX('feed pars'!$C$6:$AT$48,MATCH($A11,'feed pars'!$B$6:$B$48,0),M$1)&lt;&gt;"",M$1&lt;&gt;""), INDEX('feed pars'!$C$6:$AT$48,MATCH($A11,'feed pars'!$B$6:$B$48,0),M$1), "")</f>
        <v>11.7</v>
      </c>
      <c r="N11" s="52" t="n">
        <f aca="false">IF(AND(INDEX('feed pars'!$C$6:$AT$48,MATCH($A11,'feed pars'!$B$6:$B$48,0),N$1)&lt;&gt;"",N$1&lt;&gt;""), INDEX('feed pars'!$C$6:$AT$48,MATCH($A11,'feed pars'!$B$6:$B$48,0),N$1), "")</f>
        <v>67</v>
      </c>
      <c r="O11" s="52" t="n">
        <f aca="false">IF(AND(INDEX('feed pars'!$C$6:$AT$48,MATCH($A11,'feed pars'!$B$6:$B$48,0),O$1)&lt;&gt;"",O$1&lt;&gt;""), INDEX('feed pars'!$C$6:$AT$48,MATCH($A11,'feed pars'!$B$6:$B$48,0),O$1), "")</f>
        <v>-2</v>
      </c>
      <c r="P11" s="52" t="n">
        <f aca="false">IF(AND(INDEX('feed pars'!$C$6:$AT$48,MATCH($A11,'feed pars'!$B$6:$B$48,0),P$1)&lt;&gt;"",P$1&lt;&gt;""), INDEX('feed pars'!$C$6:$AT$48,MATCH($A11,'feed pars'!$B$6:$B$48,0),P$1), "")</f>
        <v>13.3</v>
      </c>
      <c r="Q11" s="52" t="n">
        <f aca="false">IF(AND(INDEX('feed pars'!$C$6:$AT$48,MATCH($A11,'feed pars'!$B$6:$B$48,0),Q$1)&lt;&gt;"",Q$1&lt;&gt;""), INDEX('feed pars'!$C$6:$AT$48,MATCH($A11,'feed pars'!$B$6:$B$48,0),Q$1), "")</f>
        <v>61</v>
      </c>
      <c r="S11" s="42" t="str">
        <f aca="false">'feed pars'!$B14</f>
        <v>oats</v>
      </c>
      <c r="T11" s="1" t="s">
        <v>104</v>
      </c>
      <c r="V11" s="52" t="n">
        <f aca="false">IF(AND(INDEX('feed pars'!$C$6:$AT$48,MATCH($A11,'feed pars'!$B$6:$B$48,0),V$1)&lt;&gt;"",V$1&lt;&gt;""), INDEX('feed pars'!$C$6:$AT$48,MATCH($A11,'feed pars'!$B$6:$B$48,0),V$1), "")</f>
        <v>11.7</v>
      </c>
      <c r="W11" s="52" t="n">
        <f aca="false">IF(AND(INDEX('feed pars'!$C$6:$AT$48,MATCH($A11,'feed pars'!$B$6:$B$48,0),W$1)&lt;&gt;"",W$1&lt;&gt;""), INDEX('feed pars'!$C$6:$AT$48,MATCH($A11,'feed pars'!$B$6:$B$48,0),W$1), "")</f>
        <v>13.3</v>
      </c>
      <c r="X11" s="52" t="n">
        <f aca="false">IF(AND(INDEX('feed pars'!$C$6:$AT$48,MATCH($A11,'feed pars'!$B$6:$B$48,0),X$1)&lt;&gt;"",X$1&lt;&gt;""), INDEX('feed pars'!$C$6:$AT$48,MATCH($A11,'feed pars'!$B$6:$B$48,0),X$1), "")</f>
        <v>61</v>
      </c>
      <c r="Z11" s="42" t="str">
        <f aca="false">'feed pars'!$B14</f>
        <v>oats</v>
      </c>
      <c r="AA11" s="1" t="s">
        <v>102</v>
      </c>
      <c r="AC11" s="52" t="n">
        <f aca="false">IF(AND(INDEX('feed pars'!$C$6:$AT$48,MATCH($A11,'feed pars'!$B$6:$B$48,0),AC$1)&lt;&gt;"",AC$1&lt;&gt;""), INDEX('feed pars'!$C$6:$AT$48,MATCH($A11,'feed pars'!$B$6:$B$48,0),AC$1), "")</f>
        <v>11.7</v>
      </c>
      <c r="AD11" s="52" t="n">
        <f aca="false">IF(AND(INDEX('feed pars'!$C$6:$AT$48,MATCH($A11,'feed pars'!$B$6:$B$48,0),AD$1)&lt;&gt;"",AD$1&lt;&gt;""), INDEX('feed pars'!$C$6:$AT$48,MATCH($A11,'feed pars'!$B$6:$B$48,0),AD$1), "")</f>
        <v>13.3</v>
      </c>
      <c r="AE11" s="52" t="n">
        <f aca="false">IF(AND(INDEX('feed pars'!$C$6:$AT$48,MATCH($A11,'feed pars'!$B$6:$B$48,0),AE$1)&lt;&gt;"",AE$1&lt;&gt;""), INDEX('feed pars'!$C$6:$AT$48,MATCH($A11,'feed pars'!$B$6:$B$48,0),AE$1), "")</f>
        <v>61</v>
      </c>
      <c r="AG11" s="42" t="str">
        <f aca="false">'feed pars'!$B14</f>
        <v>oats</v>
      </c>
      <c r="AH11" s="1" t="s">
        <v>83</v>
      </c>
      <c r="AI11" s="52"/>
      <c r="AJ11" s="52" t="n">
        <f aca="false">IF(AND(INDEX('feed pars'!$C$6:$AT$48,MATCH($A11,'feed pars'!$B$6:$B$48,0),AJ$1)&lt;&gt;"",AJ$1&lt;&gt;""), INDEX('feed pars'!$C$6:$AT$48,MATCH($A11,'feed pars'!$B$6:$B$48,0),AJ$1), "")</f>
        <v>9</v>
      </c>
      <c r="AK11" s="52" t="n">
        <f aca="false">IF(AND(INDEX('feed pars'!$C$6:$AT$48,MATCH($A11,'feed pars'!$B$6:$B$48,0),AK$1)&lt;&gt;"",AK$1&lt;&gt;""), INDEX('feed pars'!$C$6:$AT$48,MATCH($A11,'feed pars'!$B$6:$B$48,0),AK$1), "")</f>
        <v>12.7</v>
      </c>
      <c r="AM11" s="42" t="str">
        <f aca="false">'feed pars'!$B14</f>
        <v>oats</v>
      </c>
      <c r="AN11" s="1" t="s">
        <v>83</v>
      </c>
      <c r="AO11" s="1" t="s">
        <v>263</v>
      </c>
      <c r="AP11" s="52" t="n">
        <f aca="false">IF(AND(INDEX('feed pars'!$C$6:$AT$48,MATCH($A11,'feed pars'!$B$6:$B$48,0),AP$1)&lt;&gt;"",AP$1&lt;&gt;""), INDEX('feed pars'!$C$6:$AT$48,MATCH($A11,'feed pars'!$B$6:$B$48,0),AP$1), "")</f>
        <v>9.4</v>
      </c>
      <c r="AQ11" s="52" t="str">
        <f aca="false">IF(AND(INDEX('feed pars'!$C$6:$AT$48,MATCH($A11,'feed pars'!$B$6:$B$48,0),AQ$1)&lt;&gt;"",AQ$1&lt;&gt;""), INDEX('feed pars'!$C$6:$AT$48,MATCH($A11,'feed pars'!$B$6:$B$48,0),AQ$1), "")</f>
        <v/>
      </c>
      <c r="AS11" s="42" t="str">
        <f aca="false">'feed pars'!$B14</f>
        <v>oats</v>
      </c>
      <c r="AT11" s="1" t="s">
        <v>84</v>
      </c>
      <c r="AV11" s="42" t="n">
        <f aca="false">IF(AND(INDEX('feed pars'!$C$6:$AT$48,MATCH($A11,'feed pars'!$B$6:$B$48,0),AV$1)&lt;&gt;"",AV$1&lt;&gt;""), INDEX('feed pars'!$C$6:$AT$48,MATCH($A11,'feed pars'!$B$6:$B$48,0),AV$1), "")</f>
        <v>12.2988505747126</v>
      </c>
    </row>
    <row r="12" customFormat="false" ht="15" hidden="false" customHeight="false" outlineLevel="0" collapsed="false">
      <c r="A12" s="1" t="str">
        <f aca="false">'feed pars'!$B15</f>
        <v>triticale</v>
      </c>
      <c r="D12" s="42" t="n">
        <f aca="false">IF(AND(INDEX('feed pars'!$C$6:$AT$48,MATCH($A12,'feed pars'!$B$6:$B$48,0),D$1)&lt;&gt;"",D$1&lt;&gt;""), INDEX('feed pars'!$C$6:$AT$48,MATCH($A12,'feed pars'!$B$6:$B$48,0),D$1), "")</f>
        <v>18.2284328</v>
      </c>
      <c r="E12" s="42" t="n">
        <f aca="false">IF(AND(INDEX('feed pars'!$C$6:$AT$48,MATCH($A12,'feed pars'!$B$6:$B$48,0),E$1)&lt;&gt;"",E$1&lt;&gt;""), INDEX('feed pars'!$C$6:$AT$48,MATCH($A12,'feed pars'!$B$6:$B$48,0),E$1), "")</f>
        <v>2.05</v>
      </c>
      <c r="F12" s="42" t="n">
        <f aca="false">IF(AND(INDEX('feed pars'!$C$6:$AT$48,MATCH($A12,'feed pars'!$B$6:$B$48,0),F$1)&lt;&gt;"",F$1&lt;&gt;""), INDEX('feed pars'!$C$6:$AT$48,MATCH($A12,'feed pars'!$B$6:$B$48,0),F$1), "")</f>
        <v>1.864</v>
      </c>
      <c r="G12" s="42" t="n">
        <f aca="false">IF(AND(INDEX('feed pars'!$C$6:$AT$48,MATCH($A12,'feed pars'!$B$6:$B$48,0),G$1)&lt;&gt;"",G$1&lt;&gt;""), INDEX('feed pars'!$C$6:$AT$48,MATCH($A12,'feed pars'!$B$6:$B$48,0),G$1), "")</f>
        <v>0.38</v>
      </c>
      <c r="H12" s="42" t="n">
        <f aca="false">IF(AND(INDEX('feed pars'!$C$6:$AT$48,MATCH($A12,'feed pars'!$B$6:$B$48,0),H$1)&lt;&gt;"",H$1&lt;&gt;""), INDEX('feed pars'!$C$6:$AT$48,MATCH($A12,'feed pars'!$B$6:$B$48,0),H$1), "")</f>
        <v>0.58</v>
      </c>
      <c r="I12" s="42"/>
      <c r="J12" s="42" t="str">
        <f aca="false">'feed pars'!$B15</f>
        <v>triticale</v>
      </c>
      <c r="K12" s="1" t="s">
        <v>92</v>
      </c>
      <c r="M12" s="52" t="n">
        <f aca="false">IF(AND(INDEX('feed pars'!$C$6:$AT$48,MATCH($A12,'feed pars'!$B$6:$B$48,0),M$1)&lt;&gt;"",M$1&lt;&gt;""), INDEX('feed pars'!$C$6:$AT$48,MATCH($A12,'feed pars'!$B$6:$B$48,0),M$1), "")</f>
        <v>14</v>
      </c>
      <c r="N12" s="52" t="n">
        <f aca="false">IF(AND(INDEX('feed pars'!$C$6:$AT$48,MATCH($A12,'feed pars'!$B$6:$B$48,0),N$1)&lt;&gt;"",N$1&lt;&gt;""), INDEX('feed pars'!$C$6:$AT$48,MATCH($A12,'feed pars'!$B$6:$B$48,0),N$1), "")</f>
        <v>95</v>
      </c>
      <c r="O12" s="52" t="n">
        <f aca="false">IF(AND(INDEX('feed pars'!$C$6:$AT$48,MATCH($A12,'feed pars'!$B$6:$B$48,0),O$1)&lt;&gt;"",O$1&lt;&gt;""), INDEX('feed pars'!$C$6:$AT$48,MATCH($A12,'feed pars'!$B$6:$B$48,0),O$1), "")</f>
        <v>-31</v>
      </c>
      <c r="P12" s="52" t="n">
        <f aca="false">IF(AND(INDEX('feed pars'!$C$6:$AT$48,MATCH($A12,'feed pars'!$B$6:$B$48,0),P$1)&lt;&gt;"",P$1&lt;&gt;""), INDEX('feed pars'!$C$6:$AT$48,MATCH($A12,'feed pars'!$B$6:$B$48,0),P$1), "")</f>
        <v>15.8</v>
      </c>
      <c r="Q12" s="52" t="n">
        <f aca="false">IF(AND(INDEX('feed pars'!$C$6:$AT$48,MATCH($A12,'feed pars'!$B$6:$B$48,0),Q$1)&lt;&gt;"",Q$1&lt;&gt;""), INDEX('feed pars'!$C$6:$AT$48,MATCH($A12,'feed pars'!$B$6:$B$48,0),Q$1), "")</f>
        <v>26</v>
      </c>
      <c r="S12" s="42" t="str">
        <f aca="false">'feed pars'!$B15</f>
        <v>triticale</v>
      </c>
      <c r="T12" s="1" t="s">
        <v>104</v>
      </c>
      <c r="V12" s="52" t="n">
        <f aca="false">IF(AND(INDEX('feed pars'!$C$6:$AT$48,MATCH($A12,'feed pars'!$B$6:$B$48,0),V$1)&lt;&gt;"",V$1&lt;&gt;""), INDEX('feed pars'!$C$6:$AT$48,MATCH($A12,'feed pars'!$B$6:$B$48,0),V$1), "")</f>
        <v>14</v>
      </c>
      <c r="W12" s="52" t="n">
        <f aca="false">IF(AND(INDEX('feed pars'!$C$6:$AT$48,MATCH($A12,'feed pars'!$B$6:$B$48,0),W$1)&lt;&gt;"",W$1&lt;&gt;""), INDEX('feed pars'!$C$6:$AT$48,MATCH($A12,'feed pars'!$B$6:$B$48,0),W$1), "")</f>
        <v>15.8</v>
      </c>
      <c r="X12" s="52" t="n">
        <f aca="false">IF(AND(INDEX('feed pars'!$C$6:$AT$48,MATCH($A12,'feed pars'!$B$6:$B$48,0),X$1)&lt;&gt;"",X$1&lt;&gt;""), INDEX('feed pars'!$C$6:$AT$48,MATCH($A12,'feed pars'!$B$6:$B$48,0),X$1), "")</f>
        <v>26</v>
      </c>
      <c r="Z12" s="42" t="str">
        <f aca="false">'feed pars'!$B15</f>
        <v>triticale</v>
      </c>
      <c r="AA12" s="1" t="s">
        <v>102</v>
      </c>
      <c r="AC12" s="52" t="n">
        <f aca="false">IF(AND(INDEX('feed pars'!$C$6:$AT$48,MATCH($A12,'feed pars'!$B$6:$B$48,0),AC$1)&lt;&gt;"",AC$1&lt;&gt;""), INDEX('feed pars'!$C$6:$AT$48,MATCH($A12,'feed pars'!$B$6:$B$48,0),AC$1), "")</f>
        <v>14</v>
      </c>
      <c r="AD12" s="52" t="n">
        <f aca="false">IF(AND(INDEX('feed pars'!$C$6:$AT$48,MATCH($A12,'feed pars'!$B$6:$B$48,0),AD$1)&lt;&gt;"",AD$1&lt;&gt;""), INDEX('feed pars'!$C$6:$AT$48,MATCH($A12,'feed pars'!$B$6:$B$48,0),AD$1), "")</f>
        <v>15.8</v>
      </c>
      <c r="AE12" s="52" t="n">
        <f aca="false">IF(AND(INDEX('feed pars'!$C$6:$AT$48,MATCH($A12,'feed pars'!$B$6:$B$48,0),AE$1)&lt;&gt;"",AE$1&lt;&gt;""), INDEX('feed pars'!$C$6:$AT$48,MATCH($A12,'feed pars'!$B$6:$B$48,0),AE$1), "")</f>
        <v>26</v>
      </c>
      <c r="AG12" s="42" t="str">
        <f aca="false">'feed pars'!$B15</f>
        <v>triticale</v>
      </c>
      <c r="AH12" s="1" t="s">
        <v>83</v>
      </c>
      <c r="AI12" s="52"/>
      <c r="AJ12" s="52" t="n">
        <f aca="false">IF(AND(INDEX('feed pars'!$C$6:$AT$48,MATCH($A12,'feed pars'!$B$6:$B$48,0),AJ$1)&lt;&gt;"",AJ$1&lt;&gt;""), INDEX('feed pars'!$C$6:$AT$48,MATCH($A12,'feed pars'!$B$6:$B$48,0),AJ$1), "")</f>
        <v>11.9</v>
      </c>
      <c r="AK12" s="52" t="n">
        <f aca="false">IF(AND(INDEX('feed pars'!$C$6:$AT$48,MATCH($A12,'feed pars'!$B$6:$B$48,0),AK$1)&lt;&gt;"",AK$1&lt;&gt;""), INDEX('feed pars'!$C$6:$AT$48,MATCH($A12,'feed pars'!$B$6:$B$48,0),AK$1), "")</f>
        <v>15.6</v>
      </c>
      <c r="AM12" s="42" t="str">
        <f aca="false">'feed pars'!$B15</f>
        <v>triticale</v>
      </c>
      <c r="AN12" s="1" t="s">
        <v>83</v>
      </c>
      <c r="AO12" s="1" t="s">
        <v>263</v>
      </c>
      <c r="AP12" s="52" t="n">
        <f aca="false">IF(AND(INDEX('feed pars'!$C$6:$AT$48,MATCH($A12,'feed pars'!$B$6:$B$48,0),AP$1)&lt;&gt;"",AP$1&lt;&gt;""), INDEX('feed pars'!$C$6:$AT$48,MATCH($A12,'feed pars'!$B$6:$B$48,0),AP$1), "")</f>
        <v>12</v>
      </c>
      <c r="AQ12" s="52" t="str">
        <f aca="false">IF(AND(INDEX('feed pars'!$C$6:$AT$48,MATCH($A12,'feed pars'!$B$6:$B$48,0),AQ$1)&lt;&gt;"",AQ$1&lt;&gt;""), INDEX('feed pars'!$C$6:$AT$48,MATCH($A12,'feed pars'!$B$6:$B$48,0),AQ$1), "")</f>
        <v/>
      </c>
      <c r="AS12" s="42" t="str">
        <f aca="false">'feed pars'!$B15</f>
        <v>triticale</v>
      </c>
      <c r="AT12" s="1" t="s">
        <v>84</v>
      </c>
      <c r="AV12" s="42" t="n">
        <f aca="false">IF(AND(INDEX('feed pars'!$C$6:$AT$48,MATCH($A12,'feed pars'!$B$6:$B$48,0),AV$1)&lt;&gt;"",AV$1&lt;&gt;""), INDEX('feed pars'!$C$6:$AT$48,MATCH($A12,'feed pars'!$B$6:$B$48,0),AV$1), "")</f>
        <v>14.6067415730337</v>
      </c>
    </row>
    <row r="13" customFormat="false" ht="15" hidden="false" customHeight="false" outlineLevel="0" collapsed="false">
      <c r="A13" s="1" t="str">
        <f aca="false">'feed pars'!$B16</f>
        <v>rye</v>
      </c>
      <c r="D13" s="42" t="n">
        <f aca="false">IF(AND(INDEX('feed pars'!$C$6:$AT$48,MATCH($A13,'feed pars'!$B$6:$B$48,0),D$1)&lt;&gt;"",D$1&lt;&gt;""), INDEX('feed pars'!$C$6:$AT$48,MATCH($A13,'feed pars'!$B$6:$B$48,0),D$1), "")</f>
        <v>17.924256</v>
      </c>
      <c r="E13" s="42" t="n">
        <f aca="false">IF(AND(INDEX('feed pars'!$C$6:$AT$48,MATCH($A13,'feed pars'!$B$6:$B$48,0),E$1)&lt;&gt;"",E$1&lt;&gt;""), INDEX('feed pars'!$C$6:$AT$48,MATCH($A13,'feed pars'!$B$6:$B$48,0),E$1), "")</f>
        <v>2.05</v>
      </c>
      <c r="F13" s="42" t="n">
        <f aca="false">IF(AND(INDEX('feed pars'!$C$6:$AT$48,MATCH($A13,'feed pars'!$B$6:$B$48,0),F$1)&lt;&gt;"",F$1&lt;&gt;""), INDEX('feed pars'!$C$6:$AT$48,MATCH($A13,'feed pars'!$B$6:$B$48,0),F$1), "")</f>
        <v>1.624</v>
      </c>
      <c r="G13" s="42" t="n">
        <f aca="false">IF(AND(INDEX('feed pars'!$C$6:$AT$48,MATCH($A13,'feed pars'!$B$6:$B$48,0),G$1)&lt;&gt;"",G$1&lt;&gt;""), INDEX('feed pars'!$C$6:$AT$48,MATCH($A13,'feed pars'!$B$6:$B$48,0),G$1), "")</f>
        <v>0.33</v>
      </c>
      <c r="H13" s="42" t="n">
        <f aca="false">IF(AND(INDEX('feed pars'!$C$6:$AT$48,MATCH($A13,'feed pars'!$B$6:$B$48,0),H$1)&lt;&gt;"",H$1&lt;&gt;""), INDEX('feed pars'!$C$6:$AT$48,MATCH($A13,'feed pars'!$B$6:$B$48,0),H$1), "")</f>
        <v>0.555</v>
      </c>
      <c r="I13" s="42"/>
      <c r="J13" s="42" t="str">
        <f aca="false">'feed pars'!$B16</f>
        <v>rye</v>
      </c>
      <c r="K13" s="1" t="s">
        <v>92</v>
      </c>
      <c r="M13" s="52" t="n">
        <f aca="false">IF(AND(INDEX('feed pars'!$C$6:$AT$48,MATCH($A13,'feed pars'!$B$6:$B$48,0),M$1)&lt;&gt;"",M$1&lt;&gt;""), INDEX('feed pars'!$C$6:$AT$48,MATCH($A13,'feed pars'!$B$6:$B$48,0),M$1), "")</f>
        <v>13.9</v>
      </c>
      <c r="N13" s="52" t="n">
        <f aca="false">IF(AND(INDEX('feed pars'!$C$6:$AT$48,MATCH($A13,'feed pars'!$B$6:$B$48,0),N$1)&lt;&gt;"",N$1&lt;&gt;""), INDEX('feed pars'!$C$6:$AT$48,MATCH($A13,'feed pars'!$B$6:$B$48,0),N$1), "")</f>
        <v>95</v>
      </c>
      <c r="O13" s="52" t="n">
        <f aca="false">IF(AND(INDEX('feed pars'!$C$6:$AT$48,MATCH($A13,'feed pars'!$B$6:$B$48,0),O$1)&lt;&gt;"",O$1&lt;&gt;""), INDEX('feed pars'!$C$6:$AT$48,MATCH($A13,'feed pars'!$B$6:$B$48,0),O$1), "")</f>
        <v>-57</v>
      </c>
      <c r="P13" s="52" t="n">
        <f aca="false">IF(AND(INDEX('feed pars'!$C$6:$AT$48,MATCH($A13,'feed pars'!$B$6:$B$48,0),P$1)&lt;&gt;"",P$1&lt;&gt;""), INDEX('feed pars'!$C$6:$AT$48,MATCH($A13,'feed pars'!$B$6:$B$48,0),P$1), "")</f>
        <v>15.8</v>
      </c>
      <c r="Q13" s="52" t="n">
        <f aca="false">IF(AND(INDEX('feed pars'!$C$6:$AT$48,MATCH($A13,'feed pars'!$B$6:$B$48,0),Q$1)&lt;&gt;"",Q$1&lt;&gt;""), INDEX('feed pars'!$C$6:$AT$48,MATCH($A13,'feed pars'!$B$6:$B$48,0),Q$1), "")</f>
        <v>20</v>
      </c>
      <c r="S13" s="42" t="str">
        <f aca="false">'feed pars'!$B16</f>
        <v>rye</v>
      </c>
      <c r="T13" s="1" t="s">
        <v>104</v>
      </c>
      <c r="V13" s="52" t="n">
        <f aca="false">IF(AND(INDEX('feed pars'!$C$6:$AT$48,MATCH($A13,'feed pars'!$B$6:$B$48,0),V$1)&lt;&gt;"",V$1&lt;&gt;""), INDEX('feed pars'!$C$6:$AT$48,MATCH($A13,'feed pars'!$B$6:$B$48,0),V$1), "")</f>
        <v>13.9</v>
      </c>
      <c r="W13" s="52" t="n">
        <f aca="false">IF(AND(INDEX('feed pars'!$C$6:$AT$48,MATCH($A13,'feed pars'!$B$6:$B$48,0),W$1)&lt;&gt;"",W$1&lt;&gt;""), INDEX('feed pars'!$C$6:$AT$48,MATCH($A13,'feed pars'!$B$6:$B$48,0),W$1), "")</f>
        <v>15.8</v>
      </c>
      <c r="X13" s="52" t="n">
        <f aca="false">IF(AND(INDEX('feed pars'!$C$6:$AT$48,MATCH($A13,'feed pars'!$B$6:$B$48,0),X$1)&lt;&gt;"",X$1&lt;&gt;""), INDEX('feed pars'!$C$6:$AT$48,MATCH($A13,'feed pars'!$B$6:$B$48,0),X$1), "")</f>
        <v>20</v>
      </c>
      <c r="Z13" s="42" t="str">
        <f aca="false">'feed pars'!$B16</f>
        <v>rye</v>
      </c>
      <c r="AA13" s="1" t="s">
        <v>102</v>
      </c>
      <c r="AC13" s="52" t="n">
        <f aca="false">IF(AND(INDEX('feed pars'!$C$6:$AT$48,MATCH($A13,'feed pars'!$B$6:$B$48,0),AC$1)&lt;&gt;"",AC$1&lt;&gt;""), INDEX('feed pars'!$C$6:$AT$48,MATCH($A13,'feed pars'!$B$6:$B$48,0),AC$1), "")</f>
        <v>13.9</v>
      </c>
      <c r="AD13" s="52" t="n">
        <f aca="false">IF(AND(INDEX('feed pars'!$C$6:$AT$48,MATCH($A13,'feed pars'!$B$6:$B$48,0),AD$1)&lt;&gt;"",AD$1&lt;&gt;""), INDEX('feed pars'!$C$6:$AT$48,MATCH($A13,'feed pars'!$B$6:$B$48,0),AD$1), "")</f>
        <v>15.8</v>
      </c>
      <c r="AE13" s="52" t="n">
        <f aca="false">IF(AND(INDEX('feed pars'!$C$6:$AT$48,MATCH($A13,'feed pars'!$B$6:$B$48,0),AE$1)&lt;&gt;"",AE$1&lt;&gt;""), INDEX('feed pars'!$C$6:$AT$48,MATCH($A13,'feed pars'!$B$6:$B$48,0),AE$1), "")</f>
        <v>20</v>
      </c>
      <c r="AG13" s="42" t="str">
        <f aca="false">'feed pars'!$B16</f>
        <v>rye</v>
      </c>
      <c r="AH13" s="1" t="s">
        <v>83</v>
      </c>
      <c r="AI13" s="52"/>
      <c r="AJ13" s="52" t="n">
        <f aca="false">IF(AND(INDEX('feed pars'!$C$6:$AT$48,MATCH($A13,'feed pars'!$B$6:$B$48,0),AJ$1)&lt;&gt;"",AJ$1&lt;&gt;""), INDEX('feed pars'!$C$6:$AT$48,MATCH($A13,'feed pars'!$B$6:$B$48,0),AJ$1), "")</f>
        <v>11.3</v>
      </c>
      <c r="AK13" s="52" t="n">
        <f aca="false">IF(AND(INDEX('feed pars'!$C$6:$AT$48,MATCH($A13,'feed pars'!$B$6:$B$48,0),AK$1)&lt;&gt;"",AK$1&lt;&gt;""), INDEX('feed pars'!$C$6:$AT$48,MATCH($A13,'feed pars'!$B$6:$B$48,0),AK$1), "")</f>
        <v>15.1</v>
      </c>
      <c r="AM13" s="42" t="str">
        <f aca="false">'feed pars'!$B16</f>
        <v>rye</v>
      </c>
      <c r="AN13" s="1" t="s">
        <v>83</v>
      </c>
      <c r="AO13" s="1" t="s">
        <v>263</v>
      </c>
      <c r="AP13" s="52" t="n">
        <f aca="false">IF(AND(INDEX('feed pars'!$C$6:$AT$48,MATCH($A13,'feed pars'!$B$6:$B$48,0),AP$1)&lt;&gt;"",AP$1&lt;&gt;""), INDEX('feed pars'!$C$6:$AT$48,MATCH($A13,'feed pars'!$B$6:$B$48,0),AP$1), "")</f>
        <v>11.5</v>
      </c>
      <c r="AQ13" s="52" t="str">
        <f aca="false">IF(AND(INDEX('feed pars'!$C$6:$AT$48,MATCH($A13,'feed pars'!$B$6:$B$48,0),AQ$1)&lt;&gt;"",AQ$1&lt;&gt;""), INDEX('feed pars'!$C$6:$AT$48,MATCH($A13,'feed pars'!$B$6:$B$48,0),AQ$1), "")</f>
        <v/>
      </c>
      <c r="AS13" s="42" t="str">
        <f aca="false">'feed pars'!$B16</f>
        <v>rye</v>
      </c>
      <c r="AT13" s="1" t="s">
        <v>84</v>
      </c>
      <c r="AV13" s="42" t="n">
        <f aca="false">IF(AND(INDEX('feed pars'!$C$6:$AT$48,MATCH($A13,'feed pars'!$B$6:$B$48,0),AV$1)&lt;&gt;"",AV$1&lt;&gt;""), INDEX('feed pars'!$C$6:$AT$48,MATCH($A13,'feed pars'!$B$6:$B$48,0),AV$1), "")</f>
        <v>12.8735632183908</v>
      </c>
    </row>
    <row r="14" customFormat="false" ht="15" hidden="false" customHeight="false" outlineLevel="0" collapsed="false">
      <c r="A14" s="1" t="str">
        <f aca="false">'feed pars'!$B17</f>
        <v>maize</v>
      </c>
      <c r="D14" s="42" t="n">
        <f aca="false">IF(AND(INDEX('feed pars'!$C$6:$AT$48,MATCH($A14,'feed pars'!$B$6:$B$48,0),D$1)&lt;&gt;"",D$1&lt;&gt;""), INDEX('feed pars'!$C$6:$AT$48,MATCH($A14,'feed pars'!$B$6:$B$48,0),D$1), "")</f>
        <v>18.3899352</v>
      </c>
      <c r="E14" s="42" t="n">
        <f aca="false">IF(AND(INDEX('feed pars'!$C$6:$AT$48,MATCH($A14,'feed pars'!$B$6:$B$48,0),E$1)&lt;&gt;"",E$1&lt;&gt;""), INDEX('feed pars'!$C$6:$AT$48,MATCH($A14,'feed pars'!$B$6:$B$48,0),E$1), "")</f>
        <v>1.85</v>
      </c>
      <c r="F14" s="42" t="n">
        <f aca="false">IF(AND(INDEX('feed pars'!$C$6:$AT$48,MATCH($A14,'feed pars'!$B$6:$B$48,0),F$1)&lt;&gt;"",F$1&lt;&gt;""), INDEX('feed pars'!$C$6:$AT$48,MATCH($A14,'feed pars'!$B$6:$B$48,0),F$1), "")</f>
        <v>1.64</v>
      </c>
      <c r="G14" s="42" t="n">
        <f aca="false">IF(AND(INDEX('feed pars'!$C$6:$AT$48,MATCH($A14,'feed pars'!$B$6:$B$48,0),G$1)&lt;&gt;"",G$1&lt;&gt;""), INDEX('feed pars'!$C$6:$AT$48,MATCH($A14,'feed pars'!$B$6:$B$48,0),G$1), "")</f>
        <v>0.34</v>
      </c>
      <c r="H14" s="42" t="n">
        <f aca="false">IF(AND(INDEX('feed pars'!$C$6:$AT$48,MATCH($A14,'feed pars'!$B$6:$B$48,0),H$1)&lt;&gt;"",H$1&lt;&gt;""), INDEX('feed pars'!$C$6:$AT$48,MATCH($A14,'feed pars'!$B$6:$B$48,0),H$1), "")</f>
        <v>0.465</v>
      </c>
      <c r="I14" s="42"/>
      <c r="J14" s="42" t="str">
        <f aca="false">'feed pars'!$B17</f>
        <v>maize</v>
      </c>
      <c r="K14" s="1" t="s">
        <v>92</v>
      </c>
      <c r="M14" s="52" t="n">
        <f aca="false">IF(AND(INDEX('feed pars'!$C$6:$AT$48,MATCH($A14,'feed pars'!$B$6:$B$48,0),M$1)&lt;&gt;"",M$1&lt;&gt;""), INDEX('feed pars'!$C$6:$AT$48,MATCH($A14,'feed pars'!$B$6:$B$48,0),M$1), "")</f>
        <v>12.8</v>
      </c>
      <c r="N14" s="52" t="n">
        <f aca="false">IF(AND(INDEX('feed pars'!$C$6:$AT$48,MATCH($A14,'feed pars'!$B$6:$B$48,0),N$1)&lt;&gt;"",N$1&lt;&gt;""), INDEX('feed pars'!$C$6:$AT$48,MATCH($A14,'feed pars'!$B$6:$B$48,0),N$1), "")</f>
        <v>81</v>
      </c>
      <c r="O14" s="52" t="n">
        <f aca="false">IF(AND(INDEX('feed pars'!$C$6:$AT$48,MATCH($A14,'feed pars'!$B$6:$B$48,0),O$1)&lt;&gt;"",O$1&lt;&gt;""), INDEX('feed pars'!$C$6:$AT$48,MATCH($A14,'feed pars'!$B$6:$B$48,0),O$1), "")</f>
        <v>-30</v>
      </c>
      <c r="P14" s="52" t="n">
        <f aca="false">IF(AND(INDEX('feed pars'!$C$6:$AT$48,MATCH($A14,'feed pars'!$B$6:$B$48,0),P$1)&lt;&gt;"",P$1&lt;&gt;""), INDEX('feed pars'!$C$6:$AT$48,MATCH($A14,'feed pars'!$B$6:$B$48,0),P$1), "")</f>
        <v>14.5</v>
      </c>
      <c r="Q14" s="52" t="n">
        <f aca="false">IF(AND(INDEX('feed pars'!$C$6:$AT$48,MATCH($A14,'feed pars'!$B$6:$B$48,0),Q$1)&lt;&gt;"",Q$1&lt;&gt;""), INDEX('feed pars'!$C$6:$AT$48,MATCH($A14,'feed pars'!$B$6:$B$48,0),Q$1), "")</f>
        <v>40</v>
      </c>
      <c r="S14" s="42" t="str">
        <f aca="false">'feed pars'!$B17</f>
        <v>maize</v>
      </c>
      <c r="T14" s="1" t="s">
        <v>104</v>
      </c>
      <c r="V14" s="52" t="n">
        <f aca="false">IF(AND(INDEX('feed pars'!$C$6:$AT$48,MATCH($A14,'feed pars'!$B$6:$B$48,0),V$1)&lt;&gt;"",V$1&lt;&gt;""), INDEX('feed pars'!$C$6:$AT$48,MATCH($A14,'feed pars'!$B$6:$B$48,0),V$1), "")</f>
        <v>12.8</v>
      </c>
      <c r="W14" s="52" t="n">
        <f aca="false">IF(AND(INDEX('feed pars'!$C$6:$AT$48,MATCH($A14,'feed pars'!$B$6:$B$48,0),W$1)&lt;&gt;"",W$1&lt;&gt;""), INDEX('feed pars'!$C$6:$AT$48,MATCH($A14,'feed pars'!$B$6:$B$48,0),W$1), "")</f>
        <v>14.5</v>
      </c>
      <c r="X14" s="52" t="n">
        <f aca="false">IF(AND(INDEX('feed pars'!$C$6:$AT$48,MATCH($A14,'feed pars'!$B$6:$B$48,0),X$1)&lt;&gt;"",X$1&lt;&gt;""), INDEX('feed pars'!$C$6:$AT$48,MATCH($A14,'feed pars'!$B$6:$B$48,0),X$1), "")</f>
        <v>40</v>
      </c>
      <c r="Z14" s="42" t="str">
        <f aca="false">'feed pars'!$B17</f>
        <v>maize</v>
      </c>
      <c r="AA14" s="1" t="s">
        <v>102</v>
      </c>
      <c r="AC14" s="52" t="n">
        <f aca="false">IF(AND(INDEX('feed pars'!$C$6:$AT$48,MATCH($A14,'feed pars'!$B$6:$B$48,0),AC$1)&lt;&gt;"",AC$1&lt;&gt;""), INDEX('feed pars'!$C$6:$AT$48,MATCH($A14,'feed pars'!$B$6:$B$48,0),AC$1), "")</f>
        <v>12.8</v>
      </c>
      <c r="AD14" s="52" t="n">
        <f aca="false">IF(AND(INDEX('feed pars'!$C$6:$AT$48,MATCH($A14,'feed pars'!$B$6:$B$48,0),AD$1)&lt;&gt;"",AD$1&lt;&gt;""), INDEX('feed pars'!$C$6:$AT$48,MATCH($A14,'feed pars'!$B$6:$B$48,0),AD$1), "")</f>
        <v>14.5</v>
      </c>
      <c r="AE14" s="52" t="n">
        <f aca="false">IF(AND(INDEX('feed pars'!$C$6:$AT$48,MATCH($A14,'feed pars'!$B$6:$B$48,0),AE$1)&lt;&gt;"",AE$1&lt;&gt;""), INDEX('feed pars'!$C$6:$AT$48,MATCH($A14,'feed pars'!$B$6:$B$48,0),AE$1), "")</f>
        <v>40</v>
      </c>
      <c r="AG14" s="42" t="str">
        <f aca="false">'feed pars'!$B17</f>
        <v>maize</v>
      </c>
      <c r="AH14" s="1" t="s">
        <v>83</v>
      </c>
      <c r="AI14" s="52"/>
      <c r="AJ14" s="52" t="n">
        <f aca="false">IF(AND(INDEX('feed pars'!$C$6:$AT$48,MATCH($A14,'feed pars'!$B$6:$B$48,0),AJ$1)&lt;&gt;"",AJ$1&lt;&gt;""), INDEX('feed pars'!$C$6:$AT$48,MATCH($A14,'feed pars'!$B$6:$B$48,0),AJ$1), "")</f>
        <v>12.8</v>
      </c>
      <c r="AK14" s="52" t="n">
        <f aca="false">IF(AND(INDEX('feed pars'!$C$6:$AT$48,MATCH($A14,'feed pars'!$B$6:$B$48,0),AK$1)&lt;&gt;"",AK$1&lt;&gt;""), INDEX('feed pars'!$C$6:$AT$48,MATCH($A14,'feed pars'!$B$6:$B$48,0),AK$1), "")</f>
        <v>16.5</v>
      </c>
      <c r="AM14" s="42" t="str">
        <f aca="false">'feed pars'!$B17</f>
        <v>maize</v>
      </c>
      <c r="AN14" s="1" t="s">
        <v>83</v>
      </c>
      <c r="AO14" s="1" t="s">
        <v>263</v>
      </c>
      <c r="AP14" s="52" t="n">
        <f aca="false">IF(AND(INDEX('feed pars'!$C$6:$AT$48,MATCH($A14,'feed pars'!$B$6:$B$48,0),AP$1)&lt;&gt;"",AP$1&lt;&gt;""), INDEX('feed pars'!$C$6:$AT$48,MATCH($A14,'feed pars'!$B$6:$B$48,0),AP$1), "")</f>
        <v>13.2</v>
      </c>
      <c r="AQ14" s="52" t="str">
        <f aca="false">IF(AND(INDEX('feed pars'!$C$6:$AT$48,MATCH($A14,'feed pars'!$B$6:$B$48,0),AQ$1)&lt;&gt;"",AQ$1&lt;&gt;""), INDEX('feed pars'!$C$6:$AT$48,MATCH($A14,'feed pars'!$B$6:$B$48,0),AQ$1), "")</f>
        <v/>
      </c>
      <c r="AS14" s="42" t="str">
        <f aca="false">'feed pars'!$B17</f>
        <v>maize</v>
      </c>
      <c r="AT14" s="1" t="s">
        <v>84</v>
      </c>
      <c r="AV14" s="42" t="n">
        <f aca="false">IF(AND(INDEX('feed pars'!$C$6:$AT$48,MATCH($A14,'feed pars'!$B$6:$B$48,0),AV$1)&lt;&gt;"",AV$1&lt;&gt;""), INDEX('feed pars'!$C$6:$AT$48,MATCH($A14,'feed pars'!$B$6:$B$48,0),AV$1), "")</f>
        <v>15.8620689655172</v>
      </c>
    </row>
    <row r="15" customFormat="false" ht="15" hidden="false" customHeight="false" outlineLevel="0" collapsed="false">
      <c r="A15" s="1" t="str">
        <f aca="false">'feed pars'!$B18</f>
        <v>peas</v>
      </c>
      <c r="D15" s="42" t="n">
        <f aca="false">IF(AND(INDEX('feed pars'!$C$6:$AT$48,MATCH($A15,'feed pars'!$B$6:$B$48,0),D$1)&lt;&gt;"",D$1&lt;&gt;""), INDEX('feed pars'!$C$6:$AT$48,MATCH($A15,'feed pars'!$B$6:$B$48,0),D$1), "")</f>
        <v>18.4782176</v>
      </c>
      <c r="E15" s="42" t="n">
        <f aca="false">IF(AND(INDEX('feed pars'!$C$6:$AT$48,MATCH($A15,'feed pars'!$B$6:$B$48,0),E$1)&lt;&gt;"",E$1&lt;&gt;""), INDEX('feed pars'!$C$6:$AT$48,MATCH($A15,'feed pars'!$B$6:$B$48,0),E$1), "")</f>
        <v>3.4</v>
      </c>
      <c r="F15" s="42" t="n">
        <f aca="false">IF(AND(INDEX('feed pars'!$C$6:$AT$48,MATCH($A15,'feed pars'!$B$6:$B$48,0),F$1)&lt;&gt;"",F$1&lt;&gt;""), INDEX('feed pars'!$C$6:$AT$48,MATCH($A15,'feed pars'!$B$6:$B$48,0),F$1), "")</f>
        <v>3.72</v>
      </c>
      <c r="G15" s="42" t="n">
        <f aca="false">IF(AND(INDEX('feed pars'!$C$6:$AT$48,MATCH($A15,'feed pars'!$B$6:$B$48,0),G$1)&lt;&gt;"",G$1&lt;&gt;""), INDEX('feed pars'!$C$6:$AT$48,MATCH($A15,'feed pars'!$B$6:$B$48,0),G$1), "")</f>
        <v>0.445</v>
      </c>
      <c r="H15" s="42" t="n">
        <f aca="false">IF(AND(INDEX('feed pars'!$C$6:$AT$48,MATCH($A15,'feed pars'!$B$6:$B$48,0),H$1)&lt;&gt;"",H$1&lt;&gt;""), INDEX('feed pars'!$C$6:$AT$48,MATCH($A15,'feed pars'!$B$6:$B$48,0),H$1), "")</f>
        <v>1.155</v>
      </c>
      <c r="I15" s="42"/>
      <c r="J15" s="42" t="str">
        <f aca="false">'feed pars'!$B18</f>
        <v>peas</v>
      </c>
      <c r="K15" s="1" t="s">
        <v>92</v>
      </c>
      <c r="M15" s="52" t="n">
        <f aca="false">IF(AND(INDEX('feed pars'!$C$6:$AT$48,MATCH($A15,'feed pars'!$B$6:$B$48,0),M$1)&lt;&gt;"",M$1&lt;&gt;""), INDEX('feed pars'!$C$6:$AT$48,MATCH($A15,'feed pars'!$B$6:$B$48,0),M$1), "")</f>
        <v>13.8</v>
      </c>
      <c r="N15" s="52" t="n">
        <f aca="false">IF(AND(INDEX('feed pars'!$C$6:$AT$48,MATCH($A15,'feed pars'!$B$6:$B$48,0),N$1)&lt;&gt;"",N$1&lt;&gt;""), INDEX('feed pars'!$C$6:$AT$48,MATCH($A15,'feed pars'!$B$6:$B$48,0),N$1), "")</f>
        <v>97</v>
      </c>
      <c r="O15" s="52" t="n">
        <f aca="false">IF(AND(INDEX('feed pars'!$C$6:$AT$48,MATCH($A15,'feed pars'!$B$6:$B$48,0),O$1)&lt;&gt;"",O$1&lt;&gt;""), INDEX('feed pars'!$C$6:$AT$48,MATCH($A15,'feed pars'!$B$6:$B$48,0),O$1), "")</f>
        <v>69</v>
      </c>
      <c r="P15" s="52" t="n">
        <f aca="false">IF(AND(INDEX('feed pars'!$C$6:$AT$48,MATCH($A15,'feed pars'!$B$6:$B$48,0),P$1)&lt;&gt;"",P$1&lt;&gt;""), INDEX('feed pars'!$C$6:$AT$48,MATCH($A15,'feed pars'!$B$6:$B$48,0),P$1), "")</f>
        <v>16</v>
      </c>
      <c r="Q15" s="52" t="n">
        <f aca="false">IF(AND(INDEX('feed pars'!$C$6:$AT$48,MATCH($A15,'feed pars'!$B$6:$B$48,0),Q$1)&lt;&gt;"",Q$1&lt;&gt;""), INDEX('feed pars'!$C$6:$AT$48,MATCH($A15,'feed pars'!$B$6:$B$48,0),Q$1), "")</f>
        <v>17</v>
      </c>
      <c r="S15" s="42" t="str">
        <f aca="false">'feed pars'!$B18</f>
        <v>peas</v>
      </c>
      <c r="T15" s="1" t="s">
        <v>104</v>
      </c>
      <c r="V15" s="52" t="n">
        <f aca="false">IF(AND(INDEX('feed pars'!$C$6:$AT$48,MATCH($A15,'feed pars'!$B$6:$B$48,0),V$1)&lt;&gt;"",V$1&lt;&gt;""), INDEX('feed pars'!$C$6:$AT$48,MATCH($A15,'feed pars'!$B$6:$B$48,0),V$1), "")</f>
        <v>13.8</v>
      </c>
      <c r="W15" s="52" t="n">
        <f aca="false">IF(AND(INDEX('feed pars'!$C$6:$AT$48,MATCH($A15,'feed pars'!$B$6:$B$48,0),W$1)&lt;&gt;"",W$1&lt;&gt;""), INDEX('feed pars'!$C$6:$AT$48,MATCH($A15,'feed pars'!$B$6:$B$48,0),W$1), "")</f>
        <v>16</v>
      </c>
      <c r="X15" s="52" t="n">
        <f aca="false">IF(AND(INDEX('feed pars'!$C$6:$AT$48,MATCH($A15,'feed pars'!$B$6:$B$48,0),X$1)&lt;&gt;"",X$1&lt;&gt;""), INDEX('feed pars'!$C$6:$AT$48,MATCH($A15,'feed pars'!$B$6:$B$48,0),X$1), "")</f>
        <v>17</v>
      </c>
      <c r="Z15" s="42" t="str">
        <f aca="false">'feed pars'!$B18</f>
        <v>peas</v>
      </c>
      <c r="AA15" s="1" t="s">
        <v>102</v>
      </c>
      <c r="AC15" s="52" t="n">
        <f aca="false">IF(AND(INDEX('feed pars'!$C$6:$AT$48,MATCH($A15,'feed pars'!$B$6:$B$48,0),AC$1)&lt;&gt;"",AC$1&lt;&gt;""), INDEX('feed pars'!$C$6:$AT$48,MATCH($A15,'feed pars'!$B$6:$B$48,0),AC$1), "")</f>
        <v>13.8</v>
      </c>
      <c r="AD15" s="52" t="n">
        <f aca="false">IF(AND(INDEX('feed pars'!$C$6:$AT$48,MATCH($A15,'feed pars'!$B$6:$B$48,0),AD$1)&lt;&gt;"",AD$1&lt;&gt;""), INDEX('feed pars'!$C$6:$AT$48,MATCH($A15,'feed pars'!$B$6:$B$48,0),AD$1), "")</f>
        <v>16</v>
      </c>
      <c r="AE15" s="52" t="n">
        <f aca="false">IF(AND(INDEX('feed pars'!$C$6:$AT$48,MATCH($A15,'feed pars'!$B$6:$B$48,0),AE$1)&lt;&gt;"",AE$1&lt;&gt;""), INDEX('feed pars'!$C$6:$AT$48,MATCH($A15,'feed pars'!$B$6:$B$48,0),AE$1), "")</f>
        <v>17</v>
      </c>
      <c r="AG15" s="42" t="str">
        <f aca="false">'feed pars'!$B18</f>
        <v>peas</v>
      </c>
      <c r="AH15" s="1" t="s">
        <v>83</v>
      </c>
      <c r="AI15" s="52"/>
      <c r="AJ15" s="52" t="n">
        <f aca="false">IF(AND(INDEX('feed pars'!$C$6:$AT$48,MATCH($A15,'feed pars'!$B$6:$B$48,0),AJ$1)&lt;&gt;"",AJ$1&lt;&gt;""), INDEX('feed pars'!$C$6:$AT$48,MATCH($A15,'feed pars'!$B$6:$B$48,0),AJ$1), "")</f>
        <v>11.2</v>
      </c>
      <c r="AK15" s="52" t="n">
        <f aca="false">IF(AND(INDEX('feed pars'!$C$6:$AT$48,MATCH($A15,'feed pars'!$B$6:$B$48,0),AK$1)&lt;&gt;"",AK$1&lt;&gt;""), INDEX('feed pars'!$C$6:$AT$48,MATCH($A15,'feed pars'!$B$6:$B$48,0),AK$1), "")</f>
        <v>16.1</v>
      </c>
      <c r="AM15" s="42" t="str">
        <f aca="false">'feed pars'!$B18</f>
        <v>peas</v>
      </c>
      <c r="AN15" s="1" t="s">
        <v>83</v>
      </c>
      <c r="AO15" s="1" t="s">
        <v>263</v>
      </c>
      <c r="AP15" s="52" t="n">
        <f aca="false">IF(AND(INDEX('feed pars'!$C$6:$AT$48,MATCH($A15,'feed pars'!$B$6:$B$48,0),AP$1)&lt;&gt;"",AP$1&lt;&gt;""), INDEX('feed pars'!$C$6:$AT$48,MATCH($A15,'feed pars'!$B$6:$B$48,0),AP$1), "")</f>
        <v>11.5</v>
      </c>
      <c r="AQ15" s="52" t="str">
        <f aca="false">IF(AND(INDEX('feed pars'!$C$6:$AT$48,MATCH($A15,'feed pars'!$B$6:$B$48,0),AQ$1)&lt;&gt;"",AQ$1&lt;&gt;""), INDEX('feed pars'!$C$6:$AT$48,MATCH($A15,'feed pars'!$B$6:$B$48,0),AQ$1), "")</f>
        <v/>
      </c>
      <c r="AS15" s="42" t="str">
        <f aca="false">'feed pars'!$B18</f>
        <v>peas</v>
      </c>
      <c r="AT15" s="1" t="s">
        <v>84</v>
      </c>
      <c r="AV15" s="42" t="n">
        <f aca="false">IF(AND(INDEX('feed pars'!$C$6:$AT$48,MATCH($A15,'feed pars'!$B$6:$B$48,0),AV$1)&lt;&gt;"",AV$1&lt;&gt;""), INDEX('feed pars'!$C$6:$AT$48,MATCH($A15,'feed pars'!$B$6:$B$48,0),AV$1), "")</f>
        <v>12.6436781609195</v>
      </c>
    </row>
    <row r="16" customFormat="false" ht="15" hidden="false" customHeight="false" outlineLevel="0" collapsed="false">
      <c r="A16" s="1" t="str">
        <f aca="false">'feed pars'!$B19</f>
        <v>broad beans</v>
      </c>
      <c r="D16" s="42" t="n">
        <f aca="false">IF(AND(INDEX('feed pars'!$C$6:$AT$48,MATCH($A16,'feed pars'!$B$6:$B$48,0),D$1)&lt;&gt;"",D$1&lt;&gt;""), INDEX('feed pars'!$C$6:$AT$48,MATCH($A16,'feed pars'!$B$6:$B$48,0),D$1), "")</f>
        <v>18.7372072</v>
      </c>
      <c r="E16" s="42" t="n">
        <f aca="false">IF(AND(INDEX('feed pars'!$C$6:$AT$48,MATCH($A16,'feed pars'!$B$6:$B$48,0),E$1)&lt;&gt;"",E$1&lt;&gt;""), INDEX('feed pars'!$C$6:$AT$48,MATCH($A16,'feed pars'!$B$6:$B$48,0),E$1), "")</f>
        <v>4</v>
      </c>
      <c r="F16" s="42" t="n">
        <f aca="false">IF(AND(INDEX('feed pars'!$C$6:$AT$48,MATCH($A16,'feed pars'!$B$6:$B$48,0),F$1)&lt;&gt;"",F$1&lt;&gt;""), INDEX('feed pars'!$C$6:$AT$48,MATCH($A16,'feed pars'!$B$6:$B$48,0),F$1), "")</f>
        <v>4.808</v>
      </c>
      <c r="G16" s="42" t="n">
        <f aca="false">IF(AND(INDEX('feed pars'!$C$6:$AT$48,MATCH($A16,'feed pars'!$B$6:$B$48,0),G$1)&lt;&gt;"",G$1&lt;&gt;""), INDEX('feed pars'!$C$6:$AT$48,MATCH($A16,'feed pars'!$B$6:$B$48,0),G$1), "")</f>
        <v>0.615</v>
      </c>
      <c r="H16" s="42" t="n">
        <f aca="false">IF(AND(INDEX('feed pars'!$C$6:$AT$48,MATCH($A16,'feed pars'!$B$6:$B$48,0),H$1)&lt;&gt;"",H$1&lt;&gt;""), INDEX('feed pars'!$C$6:$AT$48,MATCH($A16,'feed pars'!$B$6:$B$48,0),H$1), "")</f>
        <v>1.375</v>
      </c>
      <c r="I16" s="42"/>
      <c r="J16" s="42" t="str">
        <f aca="false">'feed pars'!$B19</f>
        <v>broad beans</v>
      </c>
      <c r="K16" s="1" t="s">
        <v>92</v>
      </c>
      <c r="M16" s="52" t="n">
        <f aca="false">IF(AND(INDEX('feed pars'!$C$6:$AT$48,MATCH($A16,'feed pars'!$B$6:$B$48,0),M$1)&lt;&gt;"",M$1&lt;&gt;""), INDEX('feed pars'!$C$6:$AT$48,MATCH($A16,'feed pars'!$B$6:$B$48,0),M$1), "")</f>
        <v>13.3</v>
      </c>
      <c r="N16" s="52" t="n">
        <f aca="false">IF(AND(INDEX('feed pars'!$C$6:$AT$48,MATCH($A16,'feed pars'!$B$6:$B$48,0),N$1)&lt;&gt;"",N$1&lt;&gt;""), INDEX('feed pars'!$C$6:$AT$48,MATCH($A16,'feed pars'!$B$6:$B$48,0),N$1), "")</f>
        <v>71</v>
      </c>
      <c r="O16" s="52" t="n">
        <f aca="false">IF(AND(INDEX('feed pars'!$C$6:$AT$48,MATCH($A16,'feed pars'!$B$6:$B$48,0),O$1)&lt;&gt;"",O$1&lt;&gt;""), INDEX('feed pars'!$C$6:$AT$48,MATCH($A16,'feed pars'!$B$6:$B$48,0),O$1), "")</f>
        <v>12</v>
      </c>
      <c r="P16" s="52" t="n">
        <f aca="false">IF(AND(INDEX('feed pars'!$C$6:$AT$48,MATCH($A16,'feed pars'!$B$6:$B$48,0),P$1)&lt;&gt;"",P$1&lt;&gt;""), INDEX('feed pars'!$C$6:$AT$48,MATCH($A16,'feed pars'!$B$6:$B$48,0),P$1), "")</f>
        <v>12.6</v>
      </c>
      <c r="Q16" s="52" t="n">
        <f aca="false">IF(AND(INDEX('feed pars'!$C$6:$AT$48,MATCH($A16,'feed pars'!$B$6:$B$48,0),Q$1)&lt;&gt;"",Q$1&lt;&gt;""), INDEX('feed pars'!$C$6:$AT$48,MATCH($A16,'feed pars'!$B$6:$B$48,0),Q$1), "")</f>
        <v>14</v>
      </c>
      <c r="S16" s="42" t="str">
        <f aca="false">'feed pars'!$B19</f>
        <v>broad beans</v>
      </c>
      <c r="T16" s="1" t="s">
        <v>104</v>
      </c>
      <c r="V16" s="52" t="n">
        <f aca="false">IF(AND(INDEX('feed pars'!$C$6:$AT$48,MATCH($A16,'feed pars'!$B$6:$B$48,0),V$1)&lt;&gt;"",V$1&lt;&gt;""), INDEX('feed pars'!$C$6:$AT$48,MATCH($A16,'feed pars'!$B$6:$B$48,0),V$1), "")</f>
        <v>13.3</v>
      </c>
      <c r="W16" s="52" t="n">
        <f aca="false">IF(AND(INDEX('feed pars'!$C$6:$AT$48,MATCH($A16,'feed pars'!$B$6:$B$48,0),W$1)&lt;&gt;"",W$1&lt;&gt;""), INDEX('feed pars'!$C$6:$AT$48,MATCH($A16,'feed pars'!$B$6:$B$48,0),W$1), "")</f>
        <v>12.6</v>
      </c>
      <c r="X16" s="52" t="n">
        <f aca="false">IF(AND(INDEX('feed pars'!$C$6:$AT$48,MATCH($A16,'feed pars'!$B$6:$B$48,0),X$1)&lt;&gt;"",X$1&lt;&gt;""), INDEX('feed pars'!$C$6:$AT$48,MATCH($A16,'feed pars'!$B$6:$B$48,0),X$1), "")</f>
        <v>14</v>
      </c>
      <c r="Z16" s="42" t="str">
        <f aca="false">'feed pars'!$B19</f>
        <v>broad beans</v>
      </c>
      <c r="AA16" s="1" t="s">
        <v>102</v>
      </c>
      <c r="AC16" s="52" t="n">
        <f aca="false">IF(AND(INDEX('feed pars'!$C$6:$AT$48,MATCH($A16,'feed pars'!$B$6:$B$48,0),AC$1)&lt;&gt;"",AC$1&lt;&gt;""), INDEX('feed pars'!$C$6:$AT$48,MATCH($A16,'feed pars'!$B$6:$B$48,0),AC$1), "")</f>
        <v>13.3</v>
      </c>
      <c r="AD16" s="52" t="n">
        <f aca="false">IF(AND(INDEX('feed pars'!$C$6:$AT$48,MATCH($A16,'feed pars'!$B$6:$B$48,0),AD$1)&lt;&gt;"",AD$1&lt;&gt;""), INDEX('feed pars'!$C$6:$AT$48,MATCH($A16,'feed pars'!$B$6:$B$48,0),AD$1), "")</f>
        <v>12.6</v>
      </c>
      <c r="AE16" s="52" t="n">
        <f aca="false">IF(AND(INDEX('feed pars'!$C$6:$AT$48,MATCH($A16,'feed pars'!$B$6:$B$48,0),AE$1)&lt;&gt;"",AE$1&lt;&gt;""), INDEX('feed pars'!$C$6:$AT$48,MATCH($A16,'feed pars'!$B$6:$B$48,0),AE$1), "")</f>
        <v>14</v>
      </c>
      <c r="AG16" s="42" t="str">
        <f aca="false">'feed pars'!$B19</f>
        <v>broad beans</v>
      </c>
      <c r="AH16" s="1" t="s">
        <v>83</v>
      </c>
      <c r="AI16" s="52"/>
      <c r="AJ16" s="52" t="n">
        <f aca="false">IF(AND(INDEX('feed pars'!$C$6:$AT$48,MATCH($A16,'feed pars'!$B$6:$B$48,0),AJ$1)&lt;&gt;"",AJ$1&lt;&gt;""), INDEX('feed pars'!$C$6:$AT$48,MATCH($A16,'feed pars'!$B$6:$B$48,0),AJ$1), "")</f>
        <v>10.7</v>
      </c>
      <c r="AK16" s="52" t="n">
        <f aca="false">IF(AND(INDEX('feed pars'!$C$6:$AT$48,MATCH($A16,'feed pars'!$B$6:$B$48,0),AK$1)&lt;&gt;"",AK$1&lt;&gt;""), INDEX('feed pars'!$C$6:$AT$48,MATCH($A16,'feed pars'!$B$6:$B$48,0),AK$1), "")</f>
        <v>15.5</v>
      </c>
      <c r="AM16" s="42" t="str">
        <f aca="false">'feed pars'!$B19</f>
        <v>broad beans</v>
      </c>
      <c r="AN16" s="1" t="s">
        <v>83</v>
      </c>
      <c r="AO16" s="1" t="s">
        <v>263</v>
      </c>
      <c r="AP16" s="52" t="n">
        <f aca="false">IF(AND(INDEX('feed pars'!$C$6:$AT$48,MATCH($A16,'feed pars'!$B$6:$B$48,0),AP$1)&lt;&gt;"",AP$1&lt;&gt;""), INDEX('feed pars'!$C$6:$AT$48,MATCH($A16,'feed pars'!$B$6:$B$48,0),AP$1), "")</f>
        <v>10.9</v>
      </c>
      <c r="AQ16" s="52" t="str">
        <f aca="false">IF(AND(INDEX('feed pars'!$C$6:$AT$48,MATCH($A16,'feed pars'!$B$6:$B$48,0),AQ$1)&lt;&gt;"",AQ$1&lt;&gt;""), INDEX('feed pars'!$C$6:$AT$48,MATCH($A16,'feed pars'!$B$6:$B$48,0),AQ$1), "")</f>
        <v/>
      </c>
      <c r="AS16" s="42" t="str">
        <f aca="false">'feed pars'!$B19</f>
        <v>broad beans</v>
      </c>
      <c r="AT16" s="1" t="s">
        <v>84</v>
      </c>
      <c r="AV16" s="42" t="str">
        <f aca="false">IF(AND(INDEX('feed pars'!$C$6:$AT$48,MATCH($A16,'feed pars'!$B$6:$B$48,0),AV$1)&lt;&gt;"",AV$1&lt;&gt;""), INDEX('feed pars'!$C$6:$AT$48,MATCH($A16,'feed pars'!$B$6:$B$48,0),AV$1), "")</f>
        <v/>
      </c>
    </row>
    <row r="17" customFormat="false" ht="15" hidden="false" customHeight="false" outlineLevel="0" collapsed="false">
      <c r="A17" s="1" t="str">
        <f aca="false">'feed pars'!$B20</f>
        <v>rapeseed</v>
      </c>
      <c r="D17" s="42" t="n">
        <f aca="false">IF(AND(INDEX('feed pars'!$C$6:$AT$48,MATCH($A17,'feed pars'!$B$6:$B$48,0),D$1)&lt;&gt;"",D$1&lt;&gt;""), INDEX('feed pars'!$C$6:$AT$48,MATCH($A17,'feed pars'!$B$6:$B$48,0),D$1), "")</f>
        <v>27.903096</v>
      </c>
      <c r="E17" s="42" t="n">
        <f aca="false">IF(AND(INDEX('feed pars'!$C$6:$AT$48,MATCH($A17,'feed pars'!$B$6:$B$48,0),E$1)&lt;&gt;"",E$1&lt;&gt;""), INDEX('feed pars'!$C$6:$AT$48,MATCH($A17,'feed pars'!$B$6:$B$48,0),E$1), "")</f>
        <v>4.65</v>
      </c>
      <c r="F17" s="42" t="n">
        <f aca="false">IF(AND(INDEX('feed pars'!$C$6:$AT$48,MATCH($A17,'feed pars'!$B$6:$B$48,0),F$1)&lt;&gt;"",F$1&lt;&gt;""), INDEX('feed pars'!$C$6:$AT$48,MATCH($A17,'feed pars'!$B$6:$B$48,0),F$1), "")</f>
        <v>3.336</v>
      </c>
      <c r="G17" s="42" t="n">
        <f aca="false">IF(AND(INDEX('feed pars'!$C$6:$AT$48,MATCH($A17,'feed pars'!$B$6:$B$48,0),G$1)&lt;&gt;"",G$1&lt;&gt;""), INDEX('feed pars'!$C$6:$AT$48,MATCH($A17,'feed pars'!$B$6:$B$48,0),G$1), "")</f>
        <v>0.81</v>
      </c>
      <c r="H17" s="42" t="n">
        <f aca="false">IF(AND(INDEX('feed pars'!$C$6:$AT$48,MATCH($A17,'feed pars'!$B$6:$B$48,0),H$1)&lt;&gt;"",H$1&lt;&gt;""), INDEX('feed pars'!$C$6:$AT$48,MATCH($A17,'feed pars'!$B$6:$B$48,0),H$1), "")</f>
        <v>0.91</v>
      </c>
      <c r="I17" s="42"/>
      <c r="J17" s="42" t="str">
        <f aca="false">'feed pars'!$B20</f>
        <v>rapeseed</v>
      </c>
      <c r="K17" s="1" t="s">
        <v>92</v>
      </c>
      <c r="M17" s="52" t="n">
        <f aca="false">IF(AND(INDEX('feed pars'!$C$6:$AT$48,MATCH($A17,'feed pars'!$B$6:$B$48,0),M$1)&lt;&gt;"",M$1&lt;&gt;""), INDEX('feed pars'!$C$6:$AT$48,MATCH($A17,'feed pars'!$B$6:$B$48,0),M$1), "")</f>
        <v>22.1</v>
      </c>
      <c r="N17" s="52" t="n">
        <f aca="false">IF(AND(INDEX('feed pars'!$C$6:$AT$48,MATCH($A17,'feed pars'!$B$6:$B$48,0),N$1)&lt;&gt;"",N$1&lt;&gt;""), INDEX('feed pars'!$C$6:$AT$48,MATCH($A17,'feed pars'!$B$6:$B$48,0),N$1), "")</f>
        <v>56</v>
      </c>
      <c r="O17" s="52" t="n">
        <f aca="false">IF(AND(INDEX('feed pars'!$C$6:$AT$48,MATCH($A17,'feed pars'!$B$6:$B$48,0),O$1)&lt;&gt;"",O$1&lt;&gt;""), INDEX('feed pars'!$C$6:$AT$48,MATCH($A17,'feed pars'!$B$6:$B$48,0),O$1), "")</f>
        <v>111</v>
      </c>
      <c r="P17" s="52" t="n">
        <f aca="false">IF(AND(INDEX('feed pars'!$C$6:$AT$48,MATCH($A17,'feed pars'!$B$6:$B$48,0),P$1)&lt;&gt;"",P$1&lt;&gt;""), INDEX('feed pars'!$C$6:$AT$48,MATCH($A17,'feed pars'!$B$6:$B$48,0),P$1), "")</f>
        <v>22.1</v>
      </c>
      <c r="Q17" s="52" t="n">
        <f aca="false">IF(AND(INDEX('feed pars'!$C$6:$AT$48,MATCH($A17,'feed pars'!$B$6:$B$48,0),Q$1)&lt;&gt;"",Q$1&lt;&gt;""), INDEX('feed pars'!$C$6:$AT$48,MATCH($A17,'feed pars'!$B$6:$B$48,0),Q$1), "")</f>
        <v>460</v>
      </c>
      <c r="S17" s="42" t="str">
        <f aca="false">'feed pars'!$B20</f>
        <v>rapeseed</v>
      </c>
      <c r="T17" s="1" t="s">
        <v>104</v>
      </c>
      <c r="V17" s="52" t="n">
        <f aca="false">IF(AND(INDEX('feed pars'!$C$6:$AT$48,MATCH($A17,'feed pars'!$B$6:$B$48,0),V$1)&lt;&gt;"",V$1&lt;&gt;""), INDEX('feed pars'!$C$6:$AT$48,MATCH($A17,'feed pars'!$B$6:$B$48,0),V$1), "")</f>
        <v>22.1</v>
      </c>
      <c r="W17" s="52" t="n">
        <f aca="false">IF(AND(INDEX('feed pars'!$C$6:$AT$48,MATCH($A17,'feed pars'!$B$6:$B$48,0),W$1)&lt;&gt;"",W$1&lt;&gt;""), INDEX('feed pars'!$C$6:$AT$48,MATCH($A17,'feed pars'!$B$6:$B$48,0),W$1), "")</f>
        <v>22.1</v>
      </c>
      <c r="X17" s="52" t="n">
        <f aca="false">IF(AND(INDEX('feed pars'!$C$6:$AT$48,MATCH($A17,'feed pars'!$B$6:$B$48,0),X$1)&lt;&gt;"",X$1&lt;&gt;""), INDEX('feed pars'!$C$6:$AT$48,MATCH($A17,'feed pars'!$B$6:$B$48,0),X$1), "")</f>
        <v>460</v>
      </c>
      <c r="Z17" s="42" t="str">
        <f aca="false">'feed pars'!$B20</f>
        <v>rapeseed</v>
      </c>
      <c r="AA17" s="1" t="s">
        <v>102</v>
      </c>
      <c r="AC17" s="52" t="n">
        <f aca="false">IF(AND(INDEX('feed pars'!$C$6:$AT$48,MATCH($A17,'feed pars'!$B$6:$B$48,0),AC$1)&lt;&gt;"",AC$1&lt;&gt;""), INDEX('feed pars'!$C$6:$AT$48,MATCH($A17,'feed pars'!$B$6:$B$48,0),AC$1), "")</f>
        <v>22.1</v>
      </c>
      <c r="AD17" s="52" t="n">
        <f aca="false">IF(AND(INDEX('feed pars'!$C$6:$AT$48,MATCH($A17,'feed pars'!$B$6:$B$48,0),AD$1)&lt;&gt;"",AD$1&lt;&gt;""), INDEX('feed pars'!$C$6:$AT$48,MATCH($A17,'feed pars'!$B$6:$B$48,0),AD$1), "")</f>
        <v>22.1</v>
      </c>
      <c r="AE17" s="52" t="n">
        <f aca="false">IF(AND(INDEX('feed pars'!$C$6:$AT$48,MATCH($A17,'feed pars'!$B$6:$B$48,0),AE$1)&lt;&gt;"",AE$1&lt;&gt;""), INDEX('feed pars'!$C$6:$AT$48,MATCH($A17,'feed pars'!$B$6:$B$48,0),AE$1), "")</f>
        <v>460</v>
      </c>
      <c r="AG17" s="42" t="str">
        <f aca="false">'feed pars'!$B20</f>
        <v>rapeseed</v>
      </c>
      <c r="AH17" s="1" t="s">
        <v>83</v>
      </c>
      <c r="AI17" s="52"/>
      <c r="AJ17" s="52" t="n">
        <f aca="false">IF(AND(INDEX('feed pars'!$C$6:$AT$48,MATCH($A17,'feed pars'!$B$6:$B$48,0),AJ$1)&lt;&gt;"",AJ$1&lt;&gt;""), INDEX('feed pars'!$C$6:$AT$48,MATCH($A17,'feed pars'!$B$6:$B$48,0),AJ$1), "")</f>
        <v>18</v>
      </c>
      <c r="AK17" s="52" t="n">
        <f aca="false">IF(AND(INDEX('feed pars'!$C$6:$AT$48,MATCH($A17,'feed pars'!$B$6:$B$48,0),AK$1)&lt;&gt;"",AK$1&lt;&gt;""), INDEX('feed pars'!$C$6:$AT$48,MATCH($A17,'feed pars'!$B$6:$B$48,0),AK$1), "")</f>
        <v>23.5</v>
      </c>
      <c r="AM17" s="42" t="str">
        <f aca="false">'feed pars'!$B20</f>
        <v>rapeseed</v>
      </c>
      <c r="AN17" s="1" t="s">
        <v>83</v>
      </c>
      <c r="AO17" s="1" t="s">
        <v>263</v>
      </c>
      <c r="AP17" s="52" t="n">
        <f aca="false">IF(AND(INDEX('feed pars'!$C$6:$AT$48,MATCH($A17,'feed pars'!$B$6:$B$48,0),AP$1)&lt;&gt;"",AP$1&lt;&gt;""), INDEX('feed pars'!$C$6:$AT$48,MATCH($A17,'feed pars'!$B$6:$B$48,0),AP$1), "")</f>
        <v>18.5</v>
      </c>
      <c r="AQ17" s="52" t="str">
        <f aca="false">IF(AND(INDEX('feed pars'!$C$6:$AT$48,MATCH($A17,'feed pars'!$B$6:$B$48,0),AQ$1)&lt;&gt;"",AQ$1&lt;&gt;""), INDEX('feed pars'!$C$6:$AT$48,MATCH($A17,'feed pars'!$B$6:$B$48,0),AQ$1), "")</f>
        <v/>
      </c>
      <c r="AS17" s="42" t="str">
        <f aca="false">'feed pars'!$B20</f>
        <v>rapeseed</v>
      </c>
      <c r="AT17" s="1" t="s">
        <v>84</v>
      </c>
      <c r="AV17" s="42" t="n">
        <f aca="false">IF(AND(INDEX('feed pars'!$C$6:$AT$48,MATCH($A17,'feed pars'!$B$6:$B$48,0),AV$1)&lt;&gt;"",AV$1&lt;&gt;""), INDEX('feed pars'!$C$6:$AT$48,MATCH($A17,'feed pars'!$B$6:$B$48,0),AV$1), "")</f>
        <v>16.8</v>
      </c>
    </row>
    <row r="18" customFormat="false" ht="15" hidden="false" customHeight="false" outlineLevel="0" collapsed="false">
      <c r="A18" s="1" t="str">
        <f aca="false">'feed pars'!$B21</f>
        <v>linseed</v>
      </c>
      <c r="D18" s="42" t="n">
        <f aca="false">IF(AND(INDEX('feed pars'!$C$6:$AT$48,MATCH($A18,'feed pars'!$B$6:$B$48,0),D$1)&lt;&gt;"",D$1&lt;&gt;""), INDEX('feed pars'!$C$6:$AT$48,MATCH($A18,'feed pars'!$B$6:$B$48,0),D$1), "")</f>
        <v>26.501456</v>
      </c>
      <c r="E18" s="42" t="n">
        <f aca="false">IF(AND(INDEX('feed pars'!$C$6:$AT$48,MATCH($A18,'feed pars'!$B$6:$B$48,0),E$1)&lt;&gt;"",E$1&lt;&gt;""), INDEX('feed pars'!$C$6:$AT$48,MATCH($A18,'feed pars'!$B$6:$B$48,0),E$1), "")</f>
        <v>3.9</v>
      </c>
      <c r="F18" s="42" t="n">
        <f aca="false">IF(AND(INDEX('feed pars'!$C$6:$AT$48,MATCH($A18,'feed pars'!$B$6:$B$48,0),F$1)&lt;&gt;"",F$1&lt;&gt;""), INDEX('feed pars'!$C$6:$AT$48,MATCH($A18,'feed pars'!$B$6:$B$48,0),F$1), "")</f>
        <v>3.736</v>
      </c>
      <c r="G18" s="42" t="n">
        <f aca="false">IF(AND(INDEX('feed pars'!$C$6:$AT$48,MATCH($A18,'feed pars'!$B$6:$B$48,0),G$1)&lt;&gt;"",G$1&lt;&gt;""), INDEX('feed pars'!$C$6:$AT$48,MATCH($A18,'feed pars'!$B$6:$B$48,0),G$1), "")</f>
        <v>0.57</v>
      </c>
      <c r="H18" s="42" t="n">
        <f aca="false">IF(AND(INDEX('feed pars'!$C$6:$AT$48,MATCH($A18,'feed pars'!$B$6:$B$48,0),H$1)&lt;&gt;"",H$1&lt;&gt;""), INDEX('feed pars'!$C$6:$AT$48,MATCH($A18,'feed pars'!$B$6:$B$48,0),H$1), "")</f>
        <v>0.895</v>
      </c>
      <c r="I18" s="42"/>
      <c r="J18" s="42" t="str">
        <f aca="false">'feed pars'!$B21</f>
        <v>linseed</v>
      </c>
      <c r="K18" s="1" t="s">
        <v>92</v>
      </c>
      <c r="M18" s="52" t="n">
        <f aca="false">IF(AND(INDEX('feed pars'!$C$6:$AT$48,MATCH($A18,'feed pars'!$B$6:$B$48,0),M$1)&lt;&gt;"",M$1&lt;&gt;""), INDEX('feed pars'!$C$6:$AT$48,MATCH($A18,'feed pars'!$B$6:$B$48,0),M$1), "")</f>
        <v>20.1</v>
      </c>
      <c r="N18" s="52" t="n">
        <f aca="false">IF(AND(INDEX('feed pars'!$C$6:$AT$48,MATCH($A18,'feed pars'!$B$6:$B$48,0),N$1)&lt;&gt;"",N$1&lt;&gt;""), INDEX('feed pars'!$C$6:$AT$48,MATCH($A18,'feed pars'!$B$6:$B$48,0),N$1), "")</f>
        <v>51</v>
      </c>
      <c r="O18" s="52" t="n">
        <f aca="false">IF(AND(INDEX('feed pars'!$C$6:$AT$48,MATCH($A18,'feed pars'!$B$6:$B$48,0),O$1)&lt;&gt;"",O$1&lt;&gt;""), INDEX('feed pars'!$C$6:$AT$48,MATCH($A18,'feed pars'!$B$6:$B$48,0),O$1), "")</f>
        <v>154</v>
      </c>
      <c r="P18" s="52" t="n">
        <f aca="false">IF(AND(INDEX('feed pars'!$C$6:$AT$48,MATCH($A18,'feed pars'!$B$6:$B$48,0),P$1)&lt;&gt;"",P$1&lt;&gt;""), INDEX('feed pars'!$C$6:$AT$48,MATCH($A18,'feed pars'!$B$6:$B$48,0),P$1), "")</f>
        <v>20.8</v>
      </c>
      <c r="Q18" s="52" t="n">
        <f aca="false">IF(AND(INDEX('feed pars'!$C$6:$AT$48,MATCH($A18,'feed pars'!$B$6:$B$48,0),Q$1)&lt;&gt;"",Q$1&lt;&gt;""), INDEX('feed pars'!$C$6:$AT$48,MATCH($A18,'feed pars'!$B$6:$B$48,0),Q$1), "")</f>
        <v>380</v>
      </c>
      <c r="S18" s="42" t="str">
        <f aca="false">'feed pars'!$B21</f>
        <v>linseed</v>
      </c>
      <c r="T18" s="1" t="s">
        <v>104</v>
      </c>
      <c r="V18" s="52" t="n">
        <f aca="false">IF(AND(INDEX('feed pars'!$C$6:$AT$48,MATCH($A18,'feed pars'!$B$6:$B$48,0),V$1)&lt;&gt;"",V$1&lt;&gt;""), INDEX('feed pars'!$C$6:$AT$48,MATCH($A18,'feed pars'!$B$6:$B$48,0),V$1), "")</f>
        <v>20.1</v>
      </c>
      <c r="W18" s="52" t="n">
        <f aca="false">IF(AND(INDEX('feed pars'!$C$6:$AT$48,MATCH($A18,'feed pars'!$B$6:$B$48,0),W$1)&lt;&gt;"",W$1&lt;&gt;""), INDEX('feed pars'!$C$6:$AT$48,MATCH($A18,'feed pars'!$B$6:$B$48,0),W$1), "")</f>
        <v>20.8</v>
      </c>
      <c r="X18" s="52" t="n">
        <f aca="false">IF(AND(INDEX('feed pars'!$C$6:$AT$48,MATCH($A18,'feed pars'!$B$6:$B$48,0),X$1)&lt;&gt;"",X$1&lt;&gt;""), INDEX('feed pars'!$C$6:$AT$48,MATCH($A18,'feed pars'!$B$6:$B$48,0),X$1), "")</f>
        <v>380</v>
      </c>
      <c r="Z18" s="42" t="str">
        <f aca="false">'feed pars'!$B21</f>
        <v>linseed</v>
      </c>
      <c r="AA18" s="1" t="s">
        <v>102</v>
      </c>
      <c r="AC18" s="52" t="n">
        <f aca="false">IF(AND(INDEX('feed pars'!$C$6:$AT$48,MATCH($A18,'feed pars'!$B$6:$B$48,0),AC$1)&lt;&gt;"",AC$1&lt;&gt;""), INDEX('feed pars'!$C$6:$AT$48,MATCH($A18,'feed pars'!$B$6:$B$48,0),AC$1), "")</f>
        <v>20.1</v>
      </c>
      <c r="AD18" s="52" t="n">
        <f aca="false">IF(AND(INDEX('feed pars'!$C$6:$AT$48,MATCH($A18,'feed pars'!$B$6:$B$48,0),AD$1)&lt;&gt;"",AD$1&lt;&gt;""), INDEX('feed pars'!$C$6:$AT$48,MATCH($A18,'feed pars'!$B$6:$B$48,0),AD$1), "")</f>
        <v>20.8</v>
      </c>
      <c r="AE18" s="52" t="n">
        <f aca="false">IF(AND(INDEX('feed pars'!$C$6:$AT$48,MATCH($A18,'feed pars'!$B$6:$B$48,0),AE$1)&lt;&gt;"",AE$1&lt;&gt;""), INDEX('feed pars'!$C$6:$AT$48,MATCH($A18,'feed pars'!$B$6:$B$48,0),AE$1), "")</f>
        <v>380</v>
      </c>
      <c r="AG18" s="42" t="str">
        <f aca="false">'feed pars'!$B21</f>
        <v>linseed</v>
      </c>
      <c r="AH18" s="1" t="s">
        <v>83</v>
      </c>
      <c r="AI18" s="52"/>
      <c r="AJ18" s="52" t="n">
        <f aca="false">IF(AND(INDEX('feed pars'!$C$6:$AT$48,MATCH($A18,'feed pars'!$B$6:$B$48,0),AJ$1)&lt;&gt;"",AJ$1&lt;&gt;""), INDEX('feed pars'!$C$6:$AT$48,MATCH($A18,'feed pars'!$B$6:$B$48,0),AJ$1), "")</f>
        <v>17.3</v>
      </c>
      <c r="AK18" s="52" t="n">
        <f aca="false">IF(AND(INDEX('feed pars'!$C$6:$AT$48,MATCH($A18,'feed pars'!$B$6:$B$48,0),AK$1)&lt;&gt;"",AK$1&lt;&gt;""), INDEX('feed pars'!$C$6:$AT$48,MATCH($A18,'feed pars'!$B$6:$B$48,0),AK$1), "")</f>
        <v>20.9</v>
      </c>
      <c r="AM18" s="42" t="str">
        <f aca="false">'feed pars'!$B21</f>
        <v>linseed</v>
      </c>
      <c r="AN18" s="1" t="s">
        <v>83</v>
      </c>
      <c r="AO18" s="1" t="s">
        <v>263</v>
      </c>
      <c r="AP18" s="52" t="n">
        <f aca="false">IF(AND(INDEX('feed pars'!$C$6:$AT$48,MATCH($A18,'feed pars'!$B$6:$B$48,0),AP$1)&lt;&gt;"",AP$1&lt;&gt;""), INDEX('feed pars'!$C$6:$AT$48,MATCH($A18,'feed pars'!$B$6:$B$48,0),AP$1), "")</f>
        <v>17.5</v>
      </c>
      <c r="AQ18" s="52" t="str">
        <f aca="false">IF(AND(INDEX('feed pars'!$C$6:$AT$48,MATCH($A18,'feed pars'!$B$6:$B$48,0),AQ$1)&lt;&gt;"",AQ$1&lt;&gt;""), INDEX('feed pars'!$C$6:$AT$48,MATCH($A18,'feed pars'!$B$6:$B$48,0),AQ$1), "")</f>
        <v/>
      </c>
      <c r="AS18" s="42" t="str">
        <f aca="false">'feed pars'!$B21</f>
        <v>linseed</v>
      </c>
      <c r="AT18" s="1" t="s">
        <v>84</v>
      </c>
      <c r="AV18" s="42" t="str">
        <f aca="false">IF(AND(INDEX('feed pars'!$C$6:$AT$48,MATCH($A18,'feed pars'!$B$6:$B$48,0),AV$1)&lt;&gt;"",AV$1&lt;&gt;""), INDEX('feed pars'!$C$6:$AT$48,MATCH($A18,'feed pars'!$B$6:$B$48,0),AV$1), "")</f>
        <v/>
      </c>
    </row>
    <row r="19" customFormat="false" ht="15" hidden="false" customHeight="false" outlineLevel="0" collapsed="false">
      <c r="A19" s="1" t="str">
        <f aca="false">'feed pars'!$B22</f>
        <v>vegetable oils</v>
      </c>
      <c r="D19" s="42" t="n">
        <f aca="false">IF(AND(INDEX('feed pars'!$C$6:$AT$48,MATCH($A19,'feed pars'!$B$6:$B$48,0),D$1)&lt;&gt;"",D$1&lt;&gt;""), INDEX('feed pars'!$C$6:$AT$48,MATCH($A19,'feed pars'!$B$6:$B$48,0),D$1), "")</f>
        <v>39.3296</v>
      </c>
      <c r="E19" s="42" t="n">
        <f aca="false">IF(AND(INDEX('feed pars'!$C$6:$AT$48,MATCH($A19,'feed pars'!$B$6:$B$48,0),E$1)&lt;&gt;"",E$1&lt;&gt;""), INDEX('feed pars'!$C$6:$AT$48,MATCH($A19,'feed pars'!$B$6:$B$48,0),E$1), "")</f>
        <v>0</v>
      </c>
      <c r="F19" s="42" t="n">
        <f aca="false">IF(AND(INDEX('feed pars'!$C$6:$AT$48,MATCH($A19,'feed pars'!$B$6:$B$48,0),F$1)&lt;&gt;"",F$1&lt;&gt;""), INDEX('feed pars'!$C$6:$AT$48,MATCH($A19,'feed pars'!$B$6:$B$48,0),F$1), "")</f>
        <v>0</v>
      </c>
      <c r="G19" s="42" t="n">
        <f aca="false">IF(AND(INDEX('feed pars'!$C$6:$AT$48,MATCH($A19,'feed pars'!$B$6:$B$48,0),G$1)&lt;&gt;"",G$1&lt;&gt;""), INDEX('feed pars'!$C$6:$AT$48,MATCH($A19,'feed pars'!$B$6:$B$48,0),G$1), "")</f>
        <v>0</v>
      </c>
      <c r="H19" s="42" t="n">
        <f aca="false">IF(AND(INDEX('feed pars'!$C$6:$AT$48,MATCH($A19,'feed pars'!$B$6:$B$48,0),H$1)&lt;&gt;"",H$1&lt;&gt;""), INDEX('feed pars'!$C$6:$AT$48,MATCH($A19,'feed pars'!$B$6:$B$48,0),H$1), "")</f>
        <v>0</v>
      </c>
      <c r="I19" s="42"/>
      <c r="J19" s="42" t="str">
        <f aca="false">'feed pars'!$B22</f>
        <v>vegetable oils</v>
      </c>
      <c r="K19" s="1" t="s">
        <v>92</v>
      </c>
      <c r="M19" s="52" t="n">
        <f aca="false">IF(AND(INDEX('feed pars'!$C$6:$AT$48,MATCH($A19,'feed pars'!$B$6:$B$48,0),M$1)&lt;&gt;"",M$1&lt;&gt;""), INDEX('feed pars'!$C$6:$AT$48,MATCH($A19,'feed pars'!$B$6:$B$48,0),M$1), "")</f>
        <v>36.6</v>
      </c>
      <c r="N19" s="52" t="n">
        <f aca="false">IF(AND(INDEX('feed pars'!$C$6:$AT$48,MATCH($A19,'feed pars'!$B$6:$B$48,0),N$1)&lt;&gt;"",N$1&lt;&gt;""), INDEX('feed pars'!$C$6:$AT$48,MATCH($A19,'feed pars'!$B$6:$B$48,0),N$1), "")</f>
        <v>47</v>
      </c>
      <c r="O19" s="52" t="n">
        <f aca="false">IF(AND(INDEX('feed pars'!$C$6:$AT$48,MATCH($A19,'feed pars'!$B$6:$B$48,0),O$1)&lt;&gt;"",O$1&lt;&gt;""), INDEX('feed pars'!$C$6:$AT$48,MATCH($A19,'feed pars'!$B$6:$B$48,0),O$1), "")</f>
        <v>-35</v>
      </c>
      <c r="P19" s="52" t="n">
        <f aca="false">IF(AND(INDEX('feed pars'!$C$6:$AT$48,MATCH($A19,'feed pars'!$B$6:$B$48,0),P$1)&lt;&gt;"",P$1&lt;&gt;""), INDEX('feed pars'!$C$6:$AT$48,MATCH($A19,'feed pars'!$B$6:$B$48,0),P$1), "")</f>
        <v>36.6</v>
      </c>
      <c r="Q19" s="52" t="n">
        <f aca="false">IF(AND(INDEX('feed pars'!$C$6:$AT$48,MATCH($A19,'feed pars'!$B$6:$B$48,0),Q$1)&lt;&gt;"",Q$1&lt;&gt;""), INDEX('feed pars'!$C$6:$AT$48,MATCH($A19,'feed pars'!$B$6:$B$48,0),Q$1), "")</f>
        <v>1000</v>
      </c>
      <c r="S19" s="42" t="str">
        <f aca="false">'feed pars'!$B22</f>
        <v>vegetable oils</v>
      </c>
      <c r="T19" s="1" t="s">
        <v>104</v>
      </c>
      <c r="V19" s="52" t="n">
        <f aca="false">IF(AND(INDEX('feed pars'!$C$6:$AT$48,MATCH($A19,'feed pars'!$B$6:$B$48,0),V$1)&lt;&gt;"",V$1&lt;&gt;""), INDEX('feed pars'!$C$6:$AT$48,MATCH($A19,'feed pars'!$B$6:$B$48,0),V$1), "")</f>
        <v>36.6</v>
      </c>
      <c r="W19" s="52" t="n">
        <f aca="false">IF(AND(INDEX('feed pars'!$C$6:$AT$48,MATCH($A19,'feed pars'!$B$6:$B$48,0),W$1)&lt;&gt;"",W$1&lt;&gt;""), INDEX('feed pars'!$C$6:$AT$48,MATCH($A19,'feed pars'!$B$6:$B$48,0),W$1), "")</f>
        <v>36.6</v>
      </c>
      <c r="X19" s="52" t="n">
        <f aca="false">IF(AND(INDEX('feed pars'!$C$6:$AT$48,MATCH($A19,'feed pars'!$B$6:$B$48,0),X$1)&lt;&gt;"",X$1&lt;&gt;""), INDEX('feed pars'!$C$6:$AT$48,MATCH($A19,'feed pars'!$B$6:$B$48,0),X$1), "")</f>
        <v>1000</v>
      </c>
      <c r="Z19" s="42" t="str">
        <f aca="false">'feed pars'!$B22</f>
        <v>vegetable oils</v>
      </c>
      <c r="AA19" s="1" t="s">
        <v>102</v>
      </c>
      <c r="AC19" s="52" t="n">
        <f aca="false">IF(AND(INDEX('feed pars'!$C$6:$AT$48,MATCH($A19,'feed pars'!$B$6:$B$48,0),AC$1)&lt;&gt;"",AC$1&lt;&gt;""), INDEX('feed pars'!$C$6:$AT$48,MATCH($A19,'feed pars'!$B$6:$B$48,0),AC$1), "")</f>
        <v>36.6</v>
      </c>
      <c r="AD19" s="52" t="n">
        <f aca="false">IF(AND(INDEX('feed pars'!$C$6:$AT$48,MATCH($A19,'feed pars'!$B$6:$B$48,0),AD$1)&lt;&gt;"",AD$1&lt;&gt;""), INDEX('feed pars'!$C$6:$AT$48,MATCH($A19,'feed pars'!$B$6:$B$48,0),AD$1), "")</f>
        <v>36.6</v>
      </c>
      <c r="AE19" s="52" t="n">
        <f aca="false">IF(AND(INDEX('feed pars'!$C$6:$AT$48,MATCH($A19,'feed pars'!$B$6:$B$48,0),AE$1)&lt;&gt;"",AE$1&lt;&gt;""), INDEX('feed pars'!$C$6:$AT$48,MATCH($A19,'feed pars'!$B$6:$B$48,0),AE$1), "")</f>
        <v>1000</v>
      </c>
      <c r="AG19" s="42" t="str">
        <f aca="false">'feed pars'!$B22</f>
        <v>vegetable oils</v>
      </c>
      <c r="AH19" s="1" t="s">
        <v>83</v>
      </c>
      <c r="AI19" s="52"/>
      <c r="AJ19" s="52" t="n">
        <f aca="false">IF(AND(INDEX('feed pars'!$C$6:$AT$48,MATCH($A19,'feed pars'!$B$6:$B$48,0),AJ$1)&lt;&gt;"",AJ$1&lt;&gt;""), INDEX('feed pars'!$C$6:$AT$48,MATCH($A19,'feed pars'!$B$6:$B$48,0),AJ$1), "")</f>
        <v>29.8</v>
      </c>
      <c r="AK19" s="52" t="n">
        <f aca="false">IF(AND(INDEX('feed pars'!$C$6:$AT$48,MATCH($A19,'feed pars'!$B$6:$B$48,0),AK$1)&lt;&gt;"",AK$1&lt;&gt;""), INDEX('feed pars'!$C$6:$AT$48,MATCH($A19,'feed pars'!$B$6:$B$48,0),AK$1), "")</f>
        <v>34.5</v>
      </c>
      <c r="AM19" s="42" t="str">
        <f aca="false">'feed pars'!$B22</f>
        <v>vegetable oils</v>
      </c>
      <c r="AN19" s="1" t="s">
        <v>83</v>
      </c>
      <c r="AO19" s="1" t="s">
        <v>263</v>
      </c>
      <c r="AP19" s="52" t="n">
        <f aca="false">IF(AND(INDEX('feed pars'!$C$6:$AT$48,MATCH($A19,'feed pars'!$B$6:$B$48,0),AP$1)&lt;&gt;"",AP$1&lt;&gt;""), INDEX('feed pars'!$C$6:$AT$48,MATCH($A19,'feed pars'!$B$6:$B$48,0),AP$1), "")</f>
        <v>29.8</v>
      </c>
      <c r="AQ19" s="52" t="str">
        <f aca="false">IF(AND(INDEX('feed pars'!$C$6:$AT$48,MATCH($A19,'feed pars'!$B$6:$B$48,0),AQ$1)&lt;&gt;"",AQ$1&lt;&gt;""), INDEX('feed pars'!$C$6:$AT$48,MATCH($A19,'feed pars'!$B$6:$B$48,0),AQ$1), "")</f>
        <v/>
      </c>
      <c r="AS19" s="42" t="str">
        <f aca="false">'feed pars'!$B22</f>
        <v>vegetable oils</v>
      </c>
      <c r="AT19" s="1" t="s">
        <v>84</v>
      </c>
      <c r="AV19" s="42" t="n">
        <f aca="false">IF(AND(INDEX('feed pars'!$C$6:$AT$48,MATCH($A19,'feed pars'!$B$6:$B$48,0),AV$1)&lt;&gt;"",AV$1&lt;&gt;""), INDEX('feed pars'!$C$6:$AT$48,MATCH($A19,'feed pars'!$B$6:$B$48,0),AV$1), "")</f>
        <v>38.0808080808081</v>
      </c>
    </row>
    <row r="20" customFormat="false" ht="15" hidden="false" customHeight="false" outlineLevel="0" collapsed="false">
      <c r="A20" s="1" t="str">
        <f aca="false">'feed pars'!$B23</f>
        <v>straw</v>
      </c>
      <c r="D20" s="42" t="n">
        <f aca="false">IF(AND(INDEX('feed pars'!$C$6:$AT$48,MATCH($A20,'feed pars'!$B$6:$B$48,0),D$1)&lt;&gt;"",D$1&lt;&gt;""), INDEX('feed pars'!$C$6:$AT$48,MATCH($A20,'feed pars'!$B$6:$B$48,0),D$1), "")</f>
        <v>16.9276272</v>
      </c>
      <c r="E20" s="42" t="n">
        <f aca="false">IF(AND(INDEX('feed pars'!$C$6:$AT$48,MATCH($A20,'feed pars'!$B$6:$B$48,0),E$1)&lt;&gt;"",E$1&lt;&gt;""), INDEX('feed pars'!$C$6:$AT$48,MATCH($A20,'feed pars'!$B$6:$B$48,0),E$1), "")</f>
        <v>6.6</v>
      </c>
      <c r="F20" s="42" t="n">
        <f aca="false">IF(AND(INDEX('feed pars'!$C$6:$AT$48,MATCH($A20,'feed pars'!$B$6:$B$48,0),F$1)&lt;&gt;"",F$1&lt;&gt;""), INDEX('feed pars'!$C$6:$AT$48,MATCH($A20,'feed pars'!$B$6:$B$48,0),F$1), "")</f>
        <v>1.104</v>
      </c>
      <c r="G20" s="42" t="n">
        <f aca="false">IF(AND(INDEX('feed pars'!$C$6:$AT$48,MATCH($A20,'feed pars'!$B$6:$B$48,0),G$1)&lt;&gt;"",G$1&lt;&gt;""), INDEX('feed pars'!$C$6:$AT$48,MATCH($A20,'feed pars'!$B$6:$B$48,0),G$1), "")</f>
        <v>0.26</v>
      </c>
      <c r="H20" s="42" t="n">
        <f aca="false">IF(AND(INDEX('feed pars'!$C$6:$AT$48,MATCH($A20,'feed pars'!$B$6:$B$48,0),H$1)&lt;&gt;"",H$1&lt;&gt;""), INDEX('feed pars'!$C$6:$AT$48,MATCH($A20,'feed pars'!$B$6:$B$48,0),H$1), "")</f>
        <v>1.68</v>
      </c>
      <c r="I20" s="42"/>
      <c r="J20" s="42" t="str">
        <f aca="false">'feed pars'!$B23</f>
        <v>straw</v>
      </c>
      <c r="K20" s="1" t="s">
        <v>92</v>
      </c>
      <c r="M20" s="52" t="n">
        <f aca="false">IF(AND(INDEX('feed pars'!$C$6:$AT$48,MATCH($A20,'feed pars'!$B$6:$B$48,0),M$1)&lt;&gt;"",M$1&lt;&gt;""), INDEX('feed pars'!$C$6:$AT$48,MATCH($A20,'feed pars'!$B$6:$B$48,0),M$1), "")</f>
        <v>6.6</v>
      </c>
      <c r="N20" s="52" t="n">
        <f aca="false">IF(AND(INDEX('feed pars'!$C$6:$AT$48,MATCH($A20,'feed pars'!$B$6:$B$48,0),N$1)&lt;&gt;"",N$1&lt;&gt;""), INDEX('feed pars'!$C$6:$AT$48,MATCH($A20,'feed pars'!$B$6:$B$48,0),N$1), "")</f>
        <v>45</v>
      </c>
      <c r="O20" s="52" t="n">
        <f aca="false">IF(AND(INDEX('feed pars'!$C$6:$AT$48,MATCH($A20,'feed pars'!$B$6:$B$48,0),O$1)&lt;&gt;"",O$1&lt;&gt;""), INDEX('feed pars'!$C$6:$AT$48,MATCH($A20,'feed pars'!$B$6:$B$48,0),O$1), "")</f>
        <v>-60</v>
      </c>
      <c r="P20" s="52" t="n">
        <f aca="false">IF(AND(INDEX('feed pars'!$C$6:$AT$48,MATCH($A20,'feed pars'!$B$6:$B$48,0),P$1)&lt;&gt;"",P$1&lt;&gt;""), INDEX('feed pars'!$C$6:$AT$48,MATCH($A20,'feed pars'!$B$6:$B$48,0),P$1), "")</f>
        <v>7.6</v>
      </c>
      <c r="Q20" s="52" t="n">
        <f aca="false">IF(AND(INDEX('feed pars'!$C$6:$AT$48,MATCH($A20,'feed pars'!$B$6:$B$48,0),Q$1)&lt;&gt;"",Q$1&lt;&gt;""), INDEX('feed pars'!$C$6:$AT$48,MATCH($A20,'feed pars'!$B$6:$B$48,0),Q$1), "")</f>
        <v>20</v>
      </c>
      <c r="S20" s="42" t="str">
        <f aca="false">'feed pars'!$B23</f>
        <v>straw</v>
      </c>
      <c r="T20" s="1" t="s">
        <v>104</v>
      </c>
      <c r="V20" s="52" t="n">
        <f aca="false">IF(AND(INDEX('feed pars'!$C$6:$AT$48,MATCH($A20,'feed pars'!$B$6:$B$48,0),V$1)&lt;&gt;"",V$1&lt;&gt;""), INDEX('feed pars'!$C$6:$AT$48,MATCH($A20,'feed pars'!$B$6:$B$48,0),V$1), "")</f>
        <v>6.6</v>
      </c>
      <c r="W20" s="52" t="n">
        <f aca="false">IF(AND(INDEX('feed pars'!$C$6:$AT$48,MATCH($A20,'feed pars'!$B$6:$B$48,0),W$1)&lt;&gt;"",W$1&lt;&gt;""), INDEX('feed pars'!$C$6:$AT$48,MATCH($A20,'feed pars'!$B$6:$B$48,0),W$1), "")</f>
        <v>7.6</v>
      </c>
      <c r="X20" s="52" t="n">
        <f aca="false">IF(AND(INDEX('feed pars'!$C$6:$AT$48,MATCH($A20,'feed pars'!$B$6:$B$48,0),X$1)&lt;&gt;"",X$1&lt;&gt;""), INDEX('feed pars'!$C$6:$AT$48,MATCH($A20,'feed pars'!$B$6:$B$48,0),X$1), "")</f>
        <v>20</v>
      </c>
      <c r="Z20" s="42" t="str">
        <f aca="false">'feed pars'!$B23</f>
        <v>straw</v>
      </c>
      <c r="AA20" s="1" t="s">
        <v>102</v>
      </c>
      <c r="AC20" s="52" t="n">
        <f aca="false">IF(AND(INDEX('feed pars'!$C$6:$AT$48,MATCH($A20,'feed pars'!$B$6:$B$48,0),AC$1)&lt;&gt;"",AC$1&lt;&gt;""), INDEX('feed pars'!$C$6:$AT$48,MATCH($A20,'feed pars'!$B$6:$B$48,0),AC$1), "")</f>
        <v>6.6</v>
      </c>
      <c r="AD20" s="52" t="n">
        <f aca="false">IF(AND(INDEX('feed pars'!$C$6:$AT$48,MATCH($A20,'feed pars'!$B$6:$B$48,0),AD$1)&lt;&gt;"",AD$1&lt;&gt;""), INDEX('feed pars'!$C$6:$AT$48,MATCH($A20,'feed pars'!$B$6:$B$48,0),AD$1), "")</f>
        <v>7.6</v>
      </c>
      <c r="AE20" s="52" t="n">
        <f aca="false">IF(AND(INDEX('feed pars'!$C$6:$AT$48,MATCH($A20,'feed pars'!$B$6:$B$48,0),AE$1)&lt;&gt;"",AE$1&lt;&gt;""), INDEX('feed pars'!$C$6:$AT$48,MATCH($A20,'feed pars'!$B$6:$B$48,0),AE$1), "")</f>
        <v>20</v>
      </c>
      <c r="AG20" s="42" t="str">
        <f aca="false">'feed pars'!$B23</f>
        <v>straw</v>
      </c>
      <c r="AH20" s="1" t="s">
        <v>83</v>
      </c>
      <c r="AI20" s="52"/>
      <c r="AJ20" s="52" t="str">
        <f aca="false">IF(AND(INDEX('feed pars'!$C$6:$AT$48,MATCH($A20,'feed pars'!$B$6:$B$48,0),AJ$1)&lt;&gt;"",AJ$1&lt;&gt;""), INDEX('feed pars'!$C$6:$AT$48,MATCH($A20,'feed pars'!$B$6:$B$48,0),AJ$1), "")</f>
        <v/>
      </c>
      <c r="AK20" s="52" t="str">
        <f aca="false">IF(AND(INDEX('feed pars'!$C$6:$AT$48,MATCH($A20,'feed pars'!$B$6:$B$48,0),AK$1)&lt;&gt;"",AK$1&lt;&gt;""), INDEX('feed pars'!$C$6:$AT$48,MATCH($A20,'feed pars'!$B$6:$B$48,0),AK$1), "")</f>
        <v/>
      </c>
      <c r="AM20" s="42" t="str">
        <f aca="false">'feed pars'!$B23</f>
        <v>straw</v>
      </c>
      <c r="AN20" s="1" t="s">
        <v>83</v>
      </c>
      <c r="AO20" s="1" t="s">
        <v>263</v>
      </c>
      <c r="AP20" s="52" t="str">
        <f aca="false">IF(AND(INDEX('feed pars'!$C$6:$AT$48,MATCH($A20,'feed pars'!$B$6:$B$48,0),AP$1)&lt;&gt;"",AP$1&lt;&gt;""), INDEX('feed pars'!$C$6:$AT$48,MATCH($A20,'feed pars'!$B$6:$B$48,0),AP$1), "")</f>
        <v/>
      </c>
      <c r="AQ20" s="52" t="str">
        <f aca="false">IF(AND(INDEX('feed pars'!$C$6:$AT$48,MATCH($A20,'feed pars'!$B$6:$B$48,0),AQ$1)&lt;&gt;"",AQ$1&lt;&gt;""), INDEX('feed pars'!$C$6:$AT$48,MATCH($A20,'feed pars'!$B$6:$B$48,0),AQ$1), "")</f>
        <v/>
      </c>
      <c r="AS20" s="42" t="str">
        <f aca="false">'feed pars'!$B23</f>
        <v>straw</v>
      </c>
      <c r="AT20" s="1" t="s">
        <v>84</v>
      </c>
      <c r="AV20" s="42" t="str">
        <f aca="false">IF(AND(INDEX('feed pars'!$C$6:$AT$48,MATCH($A20,'feed pars'!$B$6:$B$48,0),AV$1)&lt;&gt;"",AV$1&lt;&gt;""), INDEX('feed pars'!$C$6:$AT$48,MATCH($A20,'feed pars'!$B$6:$B$48,0),AV$1), "")</f>
        <v/>
      </c>
    </row>
    <row r="21" customFormat="false" ht="15" hidden="false" customHeight="false" outlineLevel="0" collapsed="false">
      <c r="A21" s="1" t="str">
        <f aca="false">'feed pars'!$B24</f>
        <v>soybeans</v>
      </c>
      <c r="D21" s="42" t="n">
        <f aca="false">IF(AND(INDEX('feed pars'!$C$6:$AT$48,MATCH($A21,'feed pars'!$B$6:$B$48,0),D$1)&lt;&gt;"",D$1&lt;&gt;""), INDEX('feed pars'!$C$6:$AT$48,MATCH($A21,'feed pars'!$B$6:$B$48,0),D$1), "")</f>
        <v>22.965976</v>
      </c>
      <c r="E21" s="42" t="n">
        <f aca="false">IF(AND(INDEX('feed pars'!$C$6:$AT$48,MATCH($A21,'feed pars'!$B$6:$B$48,0),E$1)&lt;&gt;"",E$1&lt;&gt;""), INDEX('feed pars'!$C$6:$AT$48,MATCH($A21,'feed pars'!$B$6:$B$48,0),E$1), "")</f>
        <v>5</v>
      </c>
      <c r="F21" s="42" t="n">
        <f aca="false">IF(AND(INDEX('feed pars'!$C$6:$AT$48,MATCH($A21,'feed pars'!$B$6:$B$48,0),F$1)&lt;&gt;"",F$1&lt;&gt;""), INDEX('feed pars'!$C$6:$AT$48,MATCH($A21,'feed pars'!$B$6:$B$48,0),F$1), "")</f>
        <v>6.4</v>
      </c>
      <c r="G21" s="42" t="n">
        <f aca="false">IF(AND(INDEX('feed pars'!$C$6:$AT$48,MATCH($A21,'feed pars'!$B$6:$B$48,0),G$1)&lt;&gt;"",G$1&lt;&gt;""), INDEX('feed pars'!$C$6:$AT$48,MATCH($A21,'feed pars'!$B$6:$B$48,0),G$1), "")</f>
        <v>0.63</v>
      </c>
      <c r="H21" s="42" t="n">
        <f aca="false">IF(AND(INDEX('feed pars'!$C$6:$AT$48,MATCH($A21,'feed pars'!$B$6:$B$48,0),H$1)&lt;&gt;"",H$1&lt;&gt;""), INDEX('feed pars'!$C$6:$AT$48,MATCH($A21,'feed pars'!$B$6:$B$48,0),H$1), "")</f>
        <v>1.9</v>
      </c>
      <c r="I21" s="42"/>
      <c r="J21" s="42" t="str">
        <f aca="false">'feed pars'!$B24</f>
        <v>soybeans</v>
      </c>
      <c r="K21" s="1" t="s">
        <v>92</v>
      </c>
      <c r="M21" s="52" t="n">
        <f aca="false">IF(AND(INDEX('feed pars'!$C$6:$AT$48,MATCH($A21,'feed pars'!$B$6:$B$48,0),M$1)&lt;&gt;"",M$1&lt;&gt;""), INDEX('feed pars'!$C$6:$AT$48,MATCH($A21,'feed pars'!$B$6:$B$48,0),M$1), "")</f>
        <v>16.4</v>
      </c>
      <c r="N21" s="52" t="n">
        <f aca="false">IF(AND(INDEX('feed pars'!$C$6:$AT$48,MATCH($A21,'feed pars'!$B$6:$B$48,0),N$1)&lt;&gt;"",N$1&lt;&gt;""), INDEX('feed pars'!$C$6:$AT$48,MATCH($A21,'feed pars'!$B$6:$B$48,0),N$1), "")</f>
        <v>69</v>
      </c>
      <c r="O21" s="52" t="n">
        <f aca="false">IF(AND(INDEX('feed pars'!$C$6:$AT$48,MATCH($A21,'feed pars'!$B$6:$B$48,0),O$1)&lt;&gt;"",O$1&lt;&gt;""), INDEX('feed pars'!$C$6:$AT$48,MATCH($A21,'feed pars'!$B$6:$B$48,0),O$1), "")</f>
        <v>273</v>
      </c>
      <c r="P21" s="52" t="n">
        <f aca="false">IF(AND(INDEX('feed pars'!$C$6:$AT$48,MATCH($A21,'feed pars'!$B$6:$B$48,0),P$1)&lt;&gt;"",P$1&lt;&gt;""), INDEX('feed pars'!$C$6:$AT$48,MATCH($A21,'feed pars'!$B$6:$B$48,0),P$1), "")</f>
        <v>18.4</v>
      </c>
      <c r="Q21" s="52" t="n">
        <f aca="false">IF(AND(INDEX('feed pars'!$C$6:$AT$48,MATCH($A21,'feed pars'!$B$6:$B$48,0),Q$1)&lt;&gt;"",Q$1&lt;&gt;""), INDEX('feed pars'!$C$6:$AT$48,MATCH($A21,'feed pars'!$B$6:$B$48,0),Q$1), "")</f>
        <v>180</v>
      </c>
      <c r="S21" s="42" t="str">
        <f aca="false">'feed pars'!$B24</f>
        <v>soybeans</v>
      </c>
      <c r="T21" s="1" t="s">
        <v>104</v>
      </c>
      <c r="V21" s="52" t="n">
        <f aca="false">IF(AND(INDEX('feed pars'!$C$6:$AT$48,MATCH($A21,'feed pars'!$B$6:$B$48,0),V$1)&lt;&gt;"",V$1&lt;&gt;""), INDEX('feed pars'!$C$6:$AT$48,MATCH($A21,'feed pars'!$B$6:$B$48,0),V$1), "")</f>
        <v>16.4</v>
      </c>
      <c r="W21" s="52" t="n">
        <f aca="false">IF(AND(INDEX('feed pars'!$C$6:$AT$48,MATCH($A21,'feed pars'!$B$6:$B$48,0),W$1)&lt;&gt;"",W$1&lt;&gt;""), INDEX('feed pars'!$C$6:$AT$48,MATCH($A21,'feed pars'!$B$6:$B$48,0),W$1), "")</f>
        <v>18.4</v>
      </c>
      <c r="X21" s="52" t="n">
        <f aca="false">IF(AND(INDEX('feed pars'!$C$6:$AT$48,MATCH($A21,'feed pars'!$B$6:$B$48,0),X$1)&lt;&gt;"",X$1&lt;&gt;""), INDEX('feed pars'!$C$6:$AT$48,MATCH($A21,'feed pars'!$B$6:$B$48,0),X$1), "")</f>
        <v>180</v>
      </c>
      <c r="Z21" s="42" t="str">
        <f aca="false">'feed pars'!$B24</f>
        <v>soybeans</v>
      </c>
      <c r="AA21" s="1" t="s">
        <v>102</v>
      </c>
      <c r="AC21" s="52" t="n">
        <f aca="false">IF(AND(INDEX('feed pars'!$C$6:$AT$48,MATCH($A21,'feed pars'!$B$6:$B$48,0),AC$1)&lt;&gt;"",AC$1&lt;&gt;""), INDEX('feed pars'!$C$6:$AT$48,MATCH($A21,'feed pars'!$B$6:$B$48,0),AC$1), "")</f>
        <v>16.4</v>
      </c>
      <c r="AD21" s="52" t="n">
        <f aca="false">IF(AND(INDEX('feed pars'!$C$6:$AT$48,MATCH($A21,'feed pars'!$B$6:$B$48,0),AD$1)&lt;&gt;"",AD$1&lt;&gt;""), INDEX('feed pars'!$C$6:$AT$48,MATCH($A21,'feed pars'!$B$6:$B$48,0),AD$1), "")</f>
        <v>18.4</v>
      </c>
      <c r="AE21" s="52" t="n">
        <f aca="false">IF(AND(INDEX('feed pars'!$C$6:$AT$48,MATCH($A21,'feed pars'!$B$6:$B$48,0),AE$1)&lt;&gt;"",AE$1&lt;&gt;""), INDEX('feed pars'!$C$6:$AT$48,MATCH($A21,'feed pars'!$B$6:$B$48,0),AE$1), "")</f>
        <v>180</v>
      </c>
      <c r="AG21" s="42" t="str">
        <f aca="false">'feed pars'!$B24</f>
        <v>soybeans</v>
      </c>
      <c r="AH21" s="1" t="s">
        <v>83</v>
      </c>
      <c r="AI21" s="52"/>
      <c r="AJ21" s="52" t="str">
        <f aca="false">IF(AND(INDEX('feed pars'!$C$6:$AT$48,MATCH($A21,'feed pars'!$B$6:$B$48,0),AJ$1)&lt;&gt;"",AJ$1&lt;&gt;""), INDEX('feed pars'!$C$6:$AT$48,MATCH($A21,'feed pars'!$B$6:$B$48,0),AJ$1), "")</f>
        <v/>
      </c>
      <c r="AK21" s="52" t="str">
        <f aca="false">IF(AND(INDEX('feed pars'!$C$6:$AT$48,MATCH($A21,'feed pars'!$B$6:$B$48,0),AK$1)&lt;&gt;"",AK$1&lt;&gt;""), INDEX('feed pars'!$C$6:$AT$48,MATCH($A21,'feed pars'!$B$6:$B$48,0),AK$1), "")</f>
        <v/>
      </c>
      <c r="AM21" s="42" t="str">
        <f aca="false">'feed pars'!$B24</f>
        <v>soybeans</v>
      </c>
      <c r="AN21" s="1" t="s">
        <v>83</v>
      </c>
      <c r="AO21" s="1" t="s">
        <v>263</v>
      </c>
      <c r="AP21" s="52" t="str">
        <f aca="false">IF(AND(INDEX('feed pars'!$C$6:$AT$48,MATCH($A21,'feed pars'!$B$6:$B$48,0),AP$1)&lt;&gt;"",AP$1&lt;&gt;""), INDEX('feed pars'!$C$6:$AT$48,MATCH($A21,'feed pars'!$B$6:$B$48,0),AP$1), "")</f>
        <v/>
      </c>
      <c r="AQ21" s="52" t="str">
        <f aca="false">IF(AND(INDEX('feed pars'!$C$6:$AT$48,MATCH($A21,'feed pars'!$B$6:$B$48,0),AQ$1)&lt;&gt;"",AQ$1&lt;&gt;""), INDEX('feed pars'!$C$6:$AT$48,MATCH($A21,'feed pars'!$B$6:$B$48,0),AQ$1), "")</f>
        <v/>
      </c>
      <c r="AS21" s="42" t="str">
        <f aca="false">'feed pars'!$B24</f>
        <v>soybeans</v>
      </c>
      <c r="AT21" s="1" t="s">
        <v>84</v>
      </c>
      <c r="AV21" s="42" t="n">
        <f aca="false">IF(AND(INDEX('feed pars'!$C$6:$AT$48,MATCH($A21,'feed pars'!$B$6:$B$48,0),AV$1)&lt;&gt;"",AV$1&lt;&gt;""), INDEX('feed pars'!$C$6:$AT$48,MATCH($A21,'feed pars'!$B$6:$B$48,0),AV$1), "")</f>
        <v>16</v>
      </c>
    </row>
    <row r="22" customFormat="false" ht="15" hidden="false" customHeight="false" outlineLevel="0" collapsed="false">
      <c r="A22" s="1" t="str">
        <f aca="false">'feed pars'!$B25</f>
        <v>soybean meal</v>
      </c>
      <c r="D22" s="42" t="n">
        <f aca="false">IF(AND(INDEX('feed pars'!$C$6:$AT$48,MATCH($A22,'feed pars'!$B$6:$B$48,0),D$1)&lt;&gt;"",D$1&lt;&gt;""), INDEX('feed pars'!$C$6:$AT$48,MATCH($A22,'feed pars'!$B$6:$B$48,0),D$1), "")</f>
        <v>19.589488</v>
      </c>
      <c r="E22" s="42" t="n">
        <f aca="false">IF(AND(INDEX('feed pars'!$C$6:$AT$48,MATCH($A22,'feed pars'!$B$6:$B$48,0),E$1)&lt;&gt;"",E$1&lt;&gt;""), INDEX('feed pars'!$C$6:$AT$48,MATCH($A22,'feed pars'!$B$6:$B$48,0),E$1), "")</f>
        <v>7.15</v>
      </c>
      <c r="F22" s="42" t="n">
        <f aca="false">IF(AND(INDEX('feed pars'!$C$6:$AT$48,MATCH($A22,'feed pars'!$B$6:$B$48,0),F$1)&lt;&gt;"",F$1&lt;&gt;""), INDEX('feed pars'!$C$6:$AT$48,MATCH($A22,'feed pars'!$B$6:$B$48,0),F$1), "")</f>
        <v>8.208</v>
      </c>
      <c r="G22" s="42" t="n">
        <f aca="false">IF(AND(INDEX('feed pars'!$C$6:$AT$48,MATCH($A22,'feed pars'!$B$6:$B$48,0),G$1)&lt;&gt;"",G$1&lt;&gt;""), INDEX('feed pars'!$C$6:$AT$48,MATCH($A22,'feed pars'!$B$6:$B$48,0),G$1), "")</f>
        <v>0.715</v>
      </c>
      <c r="H22" s="42" t="n">
        <f aca="false">IF(AND(INDEX('feed pars'!$C$6:$AT$48,MATCH($A22,'feed pars'!$B$6:$B$48,0),H$1)&lt;&gt;"",H$1&lt;&gt;""), INDEX('feed pars'!$C$6:$AT$48,MATCH($A22,'feed pars'!$B$6:$B$48,0),H$1), "")</f>
        <v>2.35</v>
      </c>
      <c r="I22" s="42"/>
      <c r="J22" s="42" t="str">
        <f aca="false">'feed pars'!$B25</f>
        <v>soybean meal</v>
      </c>
      <c r="K22" s="1" t="s">
        <v>92</v>
      </c>
      <c r="M22" s="52" t="n">
        <f aca="false">IF(AND(INDEX('feed pars'!$C$6:$AT$48,MATCH($A22,'feed pars'!$B$6:$B$48,0),M$1)&lt;&gt;"",M$1&lt;&gt;""), INDEX('feed pars'!$C$6:$AT$48,MATCH($A22,'feed pars'!$B$6:$B$48,0),M$1), "")</f>
        <v>14.6</v>
      </c>
      <c r="N22" s="52" t="n">
        <f aca="false">IF(AND(INDEX('feed pars'!$C$6:$AT$48,MATCH($A22,'feed pars'!$B$6:$B$48,0),N$1)&lt;&gt;"",N$1&lt;&gt;""), INDEX('feed pars'!$C$6:$AT$48,MATCH($A22,'feed pars'!$B$6:$B$48,0),N$1), "")</f>
        <v>182</v>
      </c>
      <c r="O22" s="52" t="n">
        <f aca="false">IF(AND(INDEX('feed pars'!$C$6:$AT$48,MATCH($A22,'feed pars'!$B$6:$B$48,0),O$1)&lt;&gt;"",O$1&lt;&gt;""), INDEX('feed pars'!$C$6:$AT$48,MATCH($A22,'feed pars'!$B$6:$B$48,0),O$1), "")</f>
        <v>261</v>
      </c>
      <c r="P22" s="52" t="n">
        <f aca="false">IF(AND(INDEX('feed pars'!$C$6:$AT$48,MATCH($A22,'feed pars'!$B$6:$B$48,0),P$1)&lt;&gt;"",P$1&lt;&gt;""), INDEX('feed pars'!$C$6:$AT$48,MATCH($A22,'feed pars'!$B$6:$B$48,0),P$1), "")</f>
        <v>17.8</v>
      </c>
      <c r="Q22" s="52" t="n">
        <f aca="false">IF(AND(INDEX('feed pars'!$C$6:$AT$48,MATCH($A22,'feed pars'!$B$6:$B$48,0),Q$1)&lt;&gt;"",Q$1&lt;&gt;""), INDEX('feed pars'!$C$6:$AT$48,MATCH($A22,'feed pars'!$B$6:$B$48,0),Q$1), "")</f>
        <v>10</v>
      </c>
      <c r="S22" s="42" t="str">
        <f aca="false">'feed pars'!$B25</f>
        <v>soybean meal</v>
      </c>
      <c r="T22" s="1" t="s">
        <v>104</v>
      </c>
      <c r="V22" s="52" t="n">
        <f aca="false">IF(AND(INDEX('feed pars'!$C$6:$AT$48,MATCH($A22,'feed pars'!$B$6:$B$48,0),V$1)&lt;&gt;"",V$1&lt;&gt;""), INDEX('feed pars'!$C$6:$AT$48,MATCH($A22,'feed pars'!$B$6:$B$48,0),V$1), "")</f>
        <v>14.6</v>
      </c>
      <c r="W22" s="52" t="n">
        <f aca="false">IF(AND(INDEX('feed pars'!$C$6:$AT$48,MATCH($A22,'feed pars'!$B$6:$B$48,0),W$1)&lt;&gt;"",W$1&lt;&gt;""), INDEX('feed pars'!$C$6:$AT$48,MATCH($A22,'feed pars'!$B$6:$B$48,0),W$1), "")</f>
        <v>17.8</v>
      </c>
      <c r="X22" s="52" t="n">
        <f aca="false">IF(AND(INDEX('feed pars'!$C$6:$AT$48,MATCH($A22,'feed pars'!$B$6:$B$48,0),X$1)&lt;&gt;"",X$1&lt;&gt;""), INDEX('feed pars'!$C$6:$AT$48,MATCH($A22,'feed pars'!$B$6:$B$48,0),X$1), "")</f>
        <v>10</v>
      </c>
      <c r="Z22" s="42" t="str">
        <f aca="false">'feed pars'!$B25</f>
        <v>soybean meal</v>
      </c>
      <c r="AA22" s="1" t="s">
        <v>102</v>
      </c>
      <c r="AC22" s="52" t="n">
        <f aca="false">IF(AND(INDEX('feed pars'!$C$6:$AT$48,MATCH($A22,'feed pars'!$B$6:$B$48,0),AC$1)&lt;&gt;"",AC$1&lt;&gt;""), INDEX('feed pars'!$C$6:$AT$48,MATCH($A22,'feed pars'!$B$6:$B$48,0),AC$1), "")</f>
        <v>14.6</v>
      </c>
      <c r="AD22" s="52" t="n">
        <f aca="false">IF(AND(INDEX('feed pars'!$C$6:$AT$48,MATCH($A22,'feed pars'!$B$6:$B$48,0),AD$1)&lt;&gt;"",AD$1&lt;&gt;""), INDEX('feed pars'!$C$6:$AT$48,MATCH($A22,'feed pars'!$B$6:$B$48,0),AD$1), "")</f>
        <v>17.8</v>
      </c>
      <c r="AE22" s="52" t="n">
        <f aca="false">IF(AND(INDEX('feed pars'!$C$6:$AT$48,MATCH($A22,'feed pars'!$B$6:$B$48,0),AE$1)&lt;&gt;"",AE$1&lt;&gt;""), INDEX('feed pars'!$C$6:$AT$48,MATCH($A22,'feed pars'!$B$6:$B$48,0),AE$1), "")</f>
        <v>10</v>
      </c>
      <c r="AG22" s="42" t="str">
        <f aca="false">'feed pars'!$B25</f>
        <v>soybean meal</v>
      </c>
      <c r="AH22" s="1" t="s">
        <v>83</v>
      </c>
      <c r="AI22" s="52"/>
      <c r="AJ22" s="52" t="n">
        <f aca="false">IF(AND(INDEX('feed pars'!$C$6:$AT$48,MATCH($A22,'feed pars'!$B$6:$B$48,0),AJ$1)&lt;&gt;"",AJ$1&lt;&gt;""), INDEX('feed pars'!$C$6:$AT$48,MATCH($A22,'feed pars'!$B$6:$B$48,0),AJ$1), "")</f>
        <v>9.3</v>
      </c>
      <c r="AK22" s="52" t="n">
        <f aca="false">IF(AND(INDEX('feed pars'!$C$6:$AT$48,MATCH($A22,'feed pars'!$B$6:$B$48,0),AK$1)&lt;&gt;"",AK$1&lt;&gt;""), INDEX('feed pars'!$C$6:$AT$48,MATCH($A22,'feed pars'!$B$6:$B$48,0),AK$1), "")</f>
        <v>16.8</v>
      </c>
      <c r="AM22" s="42" t="str">
        <f aca="false">'feed pars'!$B25</f>
        <v>soybean meal</v>
      </c>
      <c r="AN22" s="1" t="s">
        <v>83</v>
      </c>
      <c r="AO22" s="1" t="s">
        <v>263</v>
      </c>
      <c r="AP22" s="52" t="n">
        <f aca="false">IF(AND(INDEX('feed pars'!$C$6:$AT$48,MATCH($A22,'feed pars'!$B$6:$B$48,0),AP$1)&lt;&gt;"",AP$1&lt;&gt;""), INDEX('feed pars'!$C$6:$AT$48,MATCH($A22,'feed pars'!$B$6:$B$48,0),AP$1), "")</f>
        <v>9.9</v>
      </c>
      <c r="AQ22" s="52" t="str">
        <f aca="false">IF(AND(INDEX('feed pars'!$C$6:$AT$48,MATCH($A22,'feed pars'!$B$6:$B$48,0),AQ$1)&lt;&gt;"",AQ$1&lt;&gt;""), INDEX('feed pars'!$C$6:$AT$48,MATCH($A22,'feed pars'!$B$6:$B$48,0),AQ$1), "")</f>
        <v/>
      </c>
      <c r="AS22" s="42" t="str">
        <f aca="false">'feed pars'!$B25</f>
        <v>soybean meal</v>
      </c>
      <c r="AT22" s="1" t="s">
        <v>84</v>
      </c>
      <c r="AV22" s="42" t="n">
        <f aca="false">IF(AND(INDEX('feed pars'!$C$6:$AT$48,MATCH($A22,'feed pars'!$B$6:$B$48,0),AV$1)&lt;&gt;"",AV$1&lt;&gt;""), INDEX('feed pars'!$C$6:$AT$48,MATCH($A22,'feed pars'!$B$6:$B$48,0),AV$1), "")</f>
        <v>10.4597701149425</v>
      </c>
    </row>
    <row r="23" customFormat="false" ht="15" hidden="false" customHeight="false" outlineLevel="0" collapsed="false">
      <c r="A23" s="1" t="str">
        <f aca="false">'feed pars'!$B26</f>
        <v>soybean protein concentrate</v>
      </c>
      <c r="D23" s="42" t="n">
        <f aca="false">IF(AND(INDEX('feed pars'!$C$6:$AT$48,MATCH($A23,'feed pars'!$B$6:$B$48,0),D$1)&lt;&gt;"",D$1&lt;&gt;""), INDEX('feed pars'!$C$6:$AT$48,MATCH($A23,'feed pars'!$B$6:$B$48,0),D$1), "")</f>
        <v>20.5605944</v>
      </c>
      <c r="E23" s="42" t="n">
        <f aca="false">IF(AND(INDEX('feed pars'!$C$6:$AT$48,MATCH($A23,'feed pars'!$B$6:$B$48,0),E$1)&lt;&gt;"",E$1&lt;&gt;""), INDEX('feed pars'!$C$6:$AT$48,MATCH($A23,'feed pars'!$B$6:$B$48,0),E$1), "")</f>
        <v>7.35</v>
      </c>
      <c r="F23" s="42" t="n">
        <f aca="false">IF(AND(INDEX('feed pars'!$C$6:$AT$48,MATCH($A23,'feed pars'!$B$6:$B$48,0),F$1)&lt;&gt;"",F$1&lt;&gt;""), INDEX('feed pars'!$C$6:$AT$48,MATCH($A23,'feed pars'!$B$6:$B$48,0),F$1), "")</f>
        <v>9.288</v>
      </c>
      <c r="G23" s="42" t="n">
        <f aca="false">IF(AND(INDEX('feed pars'!$C$6:$AT$48,MATCH($A23,'feed pars'!$B$6:$B$48,0),G$1)&lt;&gt;"",G$1&lt;&gt;""), INDEX('feed pars'!$C$6:$AT$48,MATCH($A23,'feed pars'!$B$6:$B$48,0),G$1), "")</f>
        <v>0.79</v>
      </c>
      <c r="H23" s="42" t="n">
        <f aca="false">IF(AND(INDEX('feed pars'!$C$6:$AT$48,MATCH($A23,'feed pars'!$B$6:$B$48,0),H$1)&lt;&gt;"",H$1&lt;&gt;""), INDEX('feed pars'!$C$6:$AT$48,MATCH($A23,'feed pars'!$B$6:$B$48,0),H$1), "")</f>
        <v>2.465</v>
      </c>
      <c r="I23" s="42"/>
      <c r="J23" s="42" t="str">
        <f aca="false">'feed pars'!$B26</f>
        <v>soybean protein concentrate</v>
      </c>
      <c r="K23" s="1" t="s">
        <v>92</v>
      </c>
      <c r="M23" s="42" t="n">
        <f aca="false">IF(AND(INDEX('feed pars'!$C$6:$AT$48,MATCH($A23,'feed pars'!$B$6:$B$48,0),M$1)&lt;&gt;"",M$1&lt;&gt;""), INDEX('feed pars'!$C$6:$AT$48,MATCH($A23,'feed pars'!$B$6:$B$48,0),M$1), "")</f>
        <v>13.4</v>
      </c>
      <c r="N23" s="52" t="n">
        <f aca="false">IF(AND(INDEX('feed pars'!$C$6:$AT$48,MATCH($A23,'feed pars'!$B$6:$B$48,0),N$1)&lt;&gt;"",N$1&lt;&gt;""), INDEX('feed pars'!$C$6:$AT$48,MATCH($A23,'feed pars'!$B$6:$B$48,0),N$1), "")</f>
        <v>59</v>
      </c>
      <c r="O23" s="52" t="n">
        <f aca="false">IF(AND(INDEX('feed pars'!$C$6:$AT$48,MATCH($A23,'feed pars'!$B$6:$B$48,0),O$1)&lt;&gt;"",O$1&lt;&gt;""), INDEX('feed pars'!$C$6:$AT$48,MATCH($A23,'feed pars'!$B$6:$B$48,0),O$1), "")</f>
        <v>-67</v>
      </c>
      <c r="P23" s="52" t="n">
        <f aca="false">IF(AND(INDEX('feed pars'!$C$6:$AT$48,MATCH($A23,'feed pars'!$B$6:$B$48,0),P$1)&lt;&gt;"",P$1&lt;&gt;""), INDEX('feed pars'!$C$6:$AT$48,MATCH($A23,'feed pars'!$B$6:$B$48,0),P$1), "")</f>
        <v>18.196692976</v>
      </c>
      <c r="Q23" s="52" t="n">
        <f aca="false">IF(AND(INDEX('feed pars'!$C$6:$AT$48,MATCH($A23,'feed pars'!$B$6:$B$48,0),Q$1)&lt;&gt;"",Q$1&lt;&gt;""), INDEX('feed pars'!$C$6:$AT$48,MATCH($A23,'feed pars'!$B$6:$B$48,0),Q$1), "")</f>
        <v>17</v>
      </c>
      <c r="S23" s="42" t="str">
        <f aca="false">'feed pars'!$B26</f>
        <v>soybean protein concentrate</v>
      </c>
      <c r="T23" s="1" t="s">
        <v>104</v>
      </c>
      <c r="V23" s="52" t="n">
        <f aca="false">IF(AND(INDEX('feed pars'!$C$6:$AT$48,MATCH($A23,'feed pars'!$B$6:$B$48,0),V$1)&lt;&gt;"",V$1&lt;&gt;""), INDEX('feed pars'!$C$6:$AT$48,MATCH($A23,'feed pars'!$B$6:$B$48,0),V$1), "")</f>
        <v>13.4</v>
      </c>
      <c r="W23" s="52" t="n">
        <f aca="false">IF(AND(INDEX('feed pars'!$C$6:$AT$48,MATCH($A23,'feed pars'!$B$6:$B$48,0),W$1)&lt;&gt;"",W$1&lt;&gt;""), INDEX('feed pars'!$C$6:$AT$48,MATCH($A23,'feed pars'!$B$6:$B$48,0),W$1), "")</f>
        <v>18.196692976</v>
      </c>
      <c r="X23" s="52" t="n">
        <f aca="false">IF(AND(INDEX('feed pars'!$C$6:$AT$48,MATCH($A23,'feed pars'!$B$6:$B$48,0),X$1)&lt;&gt;"",X$1&lt;&gt;""), INDEX('feed pars'!$C$6:$AT$48,MATCH($A23,'feed pars'!$B$6:$B$48,0),X$1), "")</f>
        <v>17</v>
      </c>
      <c r="Z23" s="42" t="str">
        <f aca="false">'feed pars'!$B26</f>
        <v>soybean protein concentrate</v>
      </c>
      <c r="AA23" s="1" t="s">
        <v>102</v>
      </c>
      <c r="AC23" s="52" t="n">
        <f aca="false">IF(AND(INDEX('feed pars'!$C$6:$AT$48,MATCH($A23,'feed pars'!$B$6:$B$48,0),AC$1)&lt;&gt;"",AC$1&lt;&gt;""), INDEX('feed pars'!$C$6:$AT$48,MATCH($A23,'feed pars'!$B$6:$B$48,0),AC$1), "")</f>
        <v>13.4</v>
      </c>
      <c r="AD23" s="52" t="n">
        <f aca="false">IF(AND(INDEX('feed pars'!$C$6:$AT$48,MATCH($A23,'feed pars'!$B$6:$B$48,0),AD$1)&lt;&gt;"",AD$1&lt;&gt;""), INDEX('feed pars'!$C$6:$AT$48,MATCH($A23,'feed pars'!$B$6:$B$48,0),AD$1), "")</f>
        <v>18.196692976</v>
      </c>
      <c r="AE23" s="52" t="n">
        <f aca="false">IF(AND(INDEX('feed pars'!$C$6:$AT$48,MATCH($A23,'feed pars'!$B$6:$B$48,0),AE$1)&lt;&gt;"",AE$1&lt;&gt;""), INDEX('feed pars'!$C$6:$AT$48,MATCH($A23,'feed pars'!$B$6:$B$48,0),AE$1), "")</f>
        <v>17</v>
      </c>
      <c r="AG23" s="42" t="str">
        <f aca="false">'feed pars'!$B26</f>
        <v>soybean protein concentrate</v>
      </c>
      <c r="AH23" s="1" t="s">
        <v>83</v>
      </c>
      <c r="AI23" s="52"/>
      <c r="AJ23" s="52" t="n">
        <f aca="false">IF(AND(INDEX('feed pars'!$C$6:$AT$48,MATCH($A23,'feed pars'!$B$6:$B$48,0),AJ$1)&lt;&gt;"",AJ$1&lt;&gt;""), INDEX('feed pars'!$C$6:$AT$48,MATCH($A23,'feed pars'!$B$6:$B$48,0),AJ$1), "")</f>
        <v>9.7</v>
      </c>
      <c r="AK23" s="52" t="n">
        <f aca="false">IF(AND(INDEX('feed pars'!$C$6:$AT$48,MATCH($A23,'feed pars'!$B$6:$B$48,0),AK$1)&lt;&gt;"",AK$1&lt;&gt;""), INDEX('feed pars'!$C$6:$AT$48,MATCH($A23,'feed pars'!$B$6:$B$48,0),AK$1), "")</f>
        <v>17.3</v>
      </c>
      <c r="AM23" s="42" t="str">
        <f aca="false">'feed pars'!$B26</f>
        <v>soybean protein concentrate</v>
      </c>
      <c r="AN23" s="1" t="s">
        <v>83</v>
      </c>
      <c r="AO23" s="1" t="s">
        <v>263</v>
      </c>
      <c r="AP23" s="52" t="n">
        <f aca="false">IF(AND(INDEX('feed pars'!$C$6:$AT$48,MATCH($A23,'feed pars'!$B$6:$B$48,0),AP$1)&lt;&gt;"",AP$1&lt;&gt;""), INDEX('feed pars'!$C$6:$AT$48,MATCH($A23,'feed pars'!$B$6:$B$48,0),AP$1), "")</f>
        <v>10.3</v>
      </c>
      <c r="AQ23" s="52" t="str">
        <f aca="false">IF(AND(INDEX('feed pars'!$C$6:$AT$48,MATCH($A23,'feed pars'!$B$6:$B$48,0),AQ$1)&lt;&gt;"",AQ$1&lt;&gt;""), INDEX('feed pars'!$C$6:$AT$48,MATCH($A23,'feed pars'!$B$6:$B$48,0),AQ$1), "")</f>
        <v/>
      </c>
      <c r="AS23" s="42" t="str">
        <f aca="false">'feed pars'!$B26</f>
        <v>soybean protein concentrate</v>
      </c>
      <c r="AT23" s="1" t="s">
        <v>84</v>
      </c>
      <c r="AV23" s="42" t="str">
        <f aca="false">IF(AND(INDEX('feed pars'!$C$6:$AT$48,MATCH($A23,'feed pars'!$B$6:$B$48,0),AV$1)&lt;&gt;"",AV$1&lt;&gt;""), INDEX('feed pars'!$C$6:$AT$48,MATCH($A23,'feed pars'!$B$6:$B$48,0),AV$1), "")</f>
        <v/>
      </c>
    </row>
    <row r="24" customFormat="false" ht="15" hidden="false" customHeight="false" outlineLevel="0" collapsed="false">
      <c r="A24" s="1" t="str">
        <f aca="false">'feed pars'!$B27</f>
        <v>rapeseed meal</v>
      </c>
      <c r="D24" s="42" t="n">
        <f aca="false">IF(AND(INDEX('feed pars'!$C$6:$AT$48,MATCH($A24,'feed pars'!$B$6:$B$48,0),D$1)&lt;&gt;"",D$1&lt;&gt;""), INDEX('feed pars'!$C$6:$AT$48,MATCH($A24,'feed pars'!$B$6:$B$48,0),D$1), "")</f>
        <v>19.4920008</v>
      </c>
      <c r="E24" s="42" t="n">
        <f aca="false">IF(AND(INDEX('feed pars'!$C$6:$AT$48,MATCH($A24,'feed pars'!$B$6:$B$48,0),E$1)&lt;&gt;"",E$1&lt;&gt;""), INDEX('feed pars'!$C$6:$AT$48,MATCH($A24,'feed pars'!$B$6:$B$48,0),E$1), "")</f>
        <v>7.7</v>
      </c>
      <c r="F24" s="42" t="n">
        <f aca="false">IF(AND(INDEX('feed pars'!$C$6:$AT$48,MATCH($A24,'feed pars'!$B$6:$B$48,0),F$1)&lt;&gt;"",F$1&lt;&gt;""), INDEX('feed pars'!$C$6:$AT$48,MATCH($A24,'feed pars'!$B$6:$B$48,0),F$1), "")</f>
        <v>6.152</v>
      </c>
      <c r="G24" s="42" t="n">
        <f aca="false">IF(AND(INDEX('feed pars'!$C$6:$AT$48,MATCH($A24,'feed pars'!$B$6:$B$48,0),G$1)&lt;&gt;"",G$1&lt;&gt;""), INDEX('feed pars'!$C$6:$AT$48,MATCH($A24,'feed pars'!$B$6:$B$48,0),G$1), "")</f>
        <v>1.245</v>
      </c>
      <c r="H24" s="42" t="n">
        <f aca="false">IF(AND(INDEX('feed pars'!$C$6:$AT$48,MATCH($A24,'feed pars'!$B$6:$B$48,0),H$1)&lt;&gt;"",H$1&lt;&gt;""), INDEX('feed pars'!$C$6:$AT$48,MATCH($A24,'feed pars'!$B$6:$B$48,0),H$1), "")</f>
        <v>1.55</v>
      </c>
      <c r="I24" s="42"/>
      <c r="J24" s="42" t="str">
        <f aca="false">'feed pars'!$B27</f>
        <v>rapeseed meal</v>
      </c>
      <c r="K24" s="1" t="s">
        <v>92</v>
      </c>
      <c r="M24" s="52" t="n">
        <f aca="false">IF(AND(INDEX('feed pars'!$C$6:$AT$48,MATCH($A24,'feed pars'!$B$6:$B$48,0),M$1)&lt;&gt;"",M$1&lt;&gt;""), INDEX('feed pars'!$C$6:$AT$48,MATCH($A24,'feed pars'!$B$6:$B$48,0),M$1), "")</f>
        <v>12.2</v>
      </c>
      <c r="N24" s="52" t="n">
        <f aca="false">IF(AND(INDEX('feed pars'!$C$6:$AT$48,MATCH($A24,'feed pars'!$B$6:$B$48,0),N$1)&lt;&gt;"",N$1&lt;&gt;""), INDEX('feed pars'!$C$6:$AT$48,MATCH($A24,'feed pars'!$B$6:$B$48,0),N$1), "")</f>
        <v>221</v>
      </c>
      <c r="O24" s="52" t="n">
        <f aca="false">IF(AND(INDEX('feed pars'!$C$6:$AT$48,MATCH($A24,'feed pars'!$B$6:$B$48,0),O$1)&lt;&gt;"",O$1&lt;&gt;""), INDEX('feed pars'!$C$6:$AT$48,MATCH($A24,'feed pars'!$B$6:$B$48,0),O$1), "")</f>
        <v>79</v>
      </c>
      <c r="P24" s="52" t="n">
        <f aca="false">IF(AND(INDEX('feed pars'!$C$6:$AT$48,MATCH($A24,'feed pars'!$B$6:$B$48,0),P$1)&lt;&gt;"",P$1&lt;&gt;""), INDEX('feed pars'!$C$6:$AT$48,MATCH($A24,'feed pars'!$B$6:$B$48,0),P$1), "")</f>
        <v>14.6</v>
      </c>
      <c r="Q24" s="52" t="n">
        <f aca="false">IF(AND(INDEX('feed pars'!$C$6:$AT$48,MATCH($A24,'feed pars'!$B$6:$B$48,0),Q$1)&lt;&gt;"",Q$1&lt;&gt;""), INDEX('feed pars'!$C$6:$AT$48,MATCH($A24,'feed pars'!$B$6:$B$48,0),Q$1), "")</f>
        <v>46</v>
      </c>
      <c r="S24" s="42" t="str">
        <f aca="false">'feed pars'!$B27</f>
        <v>rapeseed meal</v>
      </c>
      <c r="T24" s="1" t="s">
        <v>104</v>
      </c>
      <c r="V24" s="52" t="n">
        <f aca="false">IF(AND(INDEX('feed pars'!$C$6:$AT$48,MATCH($A24,'feed pars'!$B$6:$B$48,0),V$1)&lt;&gt;"",V$1&lt;&gt;""), INDEX('feed pars'!$C$6:$AT$48,MATCH($A24,'feed pars'!$B$6:$B$48,0),V$1), "")</f>
        <v>12.2</v>
      </c>
      <c r="W24" s="52" t="n">
        <f aca="false">IF(AND(INDEX('feed pars'!$C$6:$AT$48,MATCH($A24,'feed pars'!$B$6:$B$48,0),W$1)&lt;&gt;"",W$1&lt;&gt;""), INDEX('feed pars'!$C$6:$AT$48,MATCH($A24,'feed pars'!$B$6:$B$48,0),W$1), "")</f>
        <v>14.6</v>
      </c>
      <c r="X24" s="52" t="n">
        <f aca="false">IF(AND(INDEX('feed pars'!$C$6:$AT$48,MATCH($A24,'feed pars'!$B$6:$B$48,0),X$1)&lt;&gt;"",X$1&lt;&gt;""), INDEX('feed pars'!$C$6:$AT$48,MATCH($A24,'feed pars'!$B$6:$B$48,0),X$1), "")</f>
        <v>46</v>
      </c>
      <c r="Z24" s="42" t="str">
        <f aca="false">'feed pars'!$B27</f>
        <v>rapeseed meal</v>
      </c>
      <c r="AA24" s="1" t="s">
        <v>102</v>
      </c>
      <c r="AC24" s="52" t="n">
        <f aca="false">IF(AND(INDEX('feed pars'!$C$6:$AT$48,MATCH($A24,'feed pars'!$B$6:$B$48,0),AC$1)&lt;&gt;"",AC$1&lt;&gt;""), INDEX('feed pars'!$C$6:$AT$48,MATCH($A24,'feed pars'!$B$6:$B$48,0),AC$1), "")</f>
        <v>12.2</v>
      </c>
      <c r="AD24" s="52" t="n">
        <f aca="false">IF(AND(INDEX('feed pars'!$C$6:$AT$48,MATCH($A24,'feed pars'!$B$6:$B$48,0),AD$1)&lt;&gt;"",AD$1&lt;&gt;""), INDEX('feed pars'!$C$6:$AT$48,MATCH($A24,'feed pars'!$B$6:$B$48,0),AD$1), "")</f>
        <v>14.6</v>
      </c>
      <c r="AE24" s="52" t="n">
        <f aca="false">IF(AND(INDEX('feed pars'!$C$6:$AT$48,MATCH($A24,'feed pars'!$B$6:$B$48,0),AE$1)&lt;&gt;"",AE$1&lt;&gt;""), INDEX('feed pars'!$C$6:$AT$48,MATCH($A24,'feed pars'!$B$6:$B$48,0),AE$1), "")</f>
        <v>46</v>
      </c>
      <c r="AG24" s="42" t="str">
        <f aca="false">'feed pars'!$B27</f>
        <v>rapeseed meal</v>
      </c>
      <c r="AH24" s="1" t="s">
        <v>83</v>
      </c>
      <c r="AI24" s="52"/>
      <c r="AJ24" s="52" t="n">
        <f aca="false">IF(AND(INDEX('feed pars'!$C$6:$AT$48,MATCH($A24,'feed pars'!$B$6:$B$48,0),AJ$1)&lt;&gt;"",AJ$1&lt;&gt;""), INDEX('feed pars'!$C$6:$AT$48,MATCH($A24,'feed pars'!$B$6:$B$48,0),AJ$1), "")</f>
        <v>7.1</v>
      </c>
      <c r="AK24" s="52" t="n">
        <f aca="false">IF(AND(INDEX('feed pars'!$C$6:$AT$48,MATCH($A24,'feed pars'!$B$6:$B$48,0),AK$1)&lt;&gt;"",AK$1&lt;&gt;""), INDEX('feed pars'!$C$6:$AT$48,MATCH($A24,'feed pars'!$B$6:$B$48,0),AK$1), "")</f>
        <v>13.3</v>
      </c>
      <c r="AM24" s="42" t="str">
        <f aca="false">'feed pars'!$B27</f>
        <v>rapeseed meal</v>
      </c>
      <c r="AN24" s="1" t="s">
        <v>83</v>
      </c>
      <c r="AO24" s="1" t="s">
        <v>263</v>
      </c>
      <c r="AP24" s="52" t="n">
        <f aca="false">IF(AND(INDEX('feed pars'!$C$6:$AT$48,MATCH($A24,'feed pars'!$B$6:$B$48,0),AP$1)&lt;&gt;"",AP$1&lt;&gt;""), INDEX('feed pars'!$C$6:$AT$48,MATCH($A24,'feed pars'!$B$6:$B$48,0),AP$1), "")</f>
        <v>7.7</v>
      </c>
      <c r="AQ24" s="52" t="str">
        <f aca="false">IF(AND(INDEX('feed pars'!$C$6:$AT$48,MATCH($A24,'feed pars'!$B$6:$B$48,0),AQ$1)&lt;&gt;"",AQ$1&lt;&gt;""), INDEX('feed pars'!$C$6:$AT$48,MATCH($A24,'feed pars'!$B$6:$B$48,0),AQ$1), "")</f>
        <v/>
      </c>
      <c r="AS24" s="42" t="str">
        <f aca="false">'feed pars'!$B27</f>
        <v>rapeseed meal</v>
      </c>
      <c r="AT24" s="1" t="s">
        <v>84</v>
      </c>
      <c r="AV24" s="42" t="n">
        <f aca="false">IF(AND(INDEX('feed pars'!$C$6:$AT$48,MATCH($A24,'feed pars'!$B$6:$B$48,0),AV$1)&lt;&gt;"",AV$1&lt;&gt;""), INDEX('feed pars'!$C$6:$AT$48,MATCH($A24,'feed pars'!$B$6:$B$48,0),AV$1), "")</f>
        <v>8.44444444444445</v>
      </c>
    </row>
    <row r="25" customFormat="false" ht="15" hidden="false" customHeight="false" outlineLevel="0" collapsed="false">
      <c r="A25" s="1" t="str">
        <f aca="false">'feed pars'!$B28</f>
        <v>rapeseed cake</v>
      </c>
      <c r="D25" s="42" t="n">
        <f aca="false">IF(AND(INDEX('feed pars'!$C$6:$AT$48,MATCH($A25,'feed pars'!$B$6:$B$48,0),D$1)&lt;&gt;"",D$1&lt;&gt;""), INDEX('feed pars'!$C$6:$AT$48,MATCH($A25,'feed pars'!$B$6:$B$48,0),D$1), "")</f>
        <v>21.972276</v>
      </c>
      <c r="E25" s="42" t="n">
        <f aca="false">IF(AND(INDEX('feed pars'!$C$6:$AT$48,MATCH($A25,'feed pars'!$B$6:$B$48,0),E$1)&lt;&gt;"",E$1&lt;&gt;""), INDEX('feed pars'!$C$6:$AT$48,MATCH($A25,'feed pars'!$B$6:$B$48,0),E$1), "")</f>
        <v>6.75</v>
      </c>
      <c r="F25" s="42" t="n">
        <f aca="false">IF(AND(INDEX('feed pars'!$C$6:$AT$48,MATCH($A25,'feed pars'!$B$6:$B$48,0),F$1)&lt;&gt;"",F$1&lt;&gt;""), INDEX('feed pars'!$C$6:$AT$48,MATCH($A25,'feed pars'!$B$6:$B$48,0),F$1), "")</f>
        <v>5.168</v>
      </c>
      <c r="G25" s="42" t="n">
        <f aca="false">IF(AND(INDEX('feed pars'!$C$6:$AT$48,MATCH($A25,'feed pars'!$B$6:$B$48,0),G$1)&lt;&gt;"",G$1&lt;&gt;""), INDEX('feed pars'!$C$6:$AT$48,MATCH($A25,'feed pars'!$B$6:$B$48,0),G$1), "")</f>
        <v>1.15</v>
      </c>
      <c r="H25" s="42" t="n">
        <f aca="false">IF(AND(INDEX('feed pars'!$C$6:$AT$48,MATCH($A25,'feed pars'!$B$6:$B$48,0),H$1)&lt;&gt;"",H$1&lt;&gt;""), INDEX('feed pars'!$C$6:$AT$48,MATCH($A25,'feed pars'!$B$6:$B$48,0),H$1), "")</f>
        <v>1.325</v>
      </c>
      <c r="I25" s="42"/>
      <c r="J25" s="42" t="str">
        <f aca="false">'feed pars'!$B28</f>
        <v>rapeseed cake</v>
      </c>
      <c r="K25" s="1" t="s">
        <v>92</v>
      </c>
      <c r="M25" s="52" t="n">
        <f aca="false">IF(AND(INDEX('feed pars'!$C$6:$AT$48,MATCH($A25,'feed pars'!$B$6:$B$48,0),M$1)&lt;&gt;"",M$1&lt;&gt;""), INDEX('feed pars'!$C$6:$AT$48,MATCH($A25,'feed pars'!$B$6:$B$48,0),M$1), "")</f>
        <v>15.6</v>
      </c>
      <c r="N25" s="52" t="n">
        <f aca="false">IF(AND(INDEX('feed pars'!$C$6:$AT$48,MATCH($A25,'feed pars'!$B$6:$B$48,0),N$1)&lt;&gt;"",N$1&lt;&gt;""), INDEX('feed pars'!$C$6:$AT$48,MATCH($A25,'feed pars'!$B$6:$B$48,0),N$1), "")</f>
        <v>80</v>
      </c>
      <c r="O25" s="52" t="n">
        <f aca="false">IF(AND(INDEX('feed pars'!$C$6:$AT$48,MATCH($A25,'feed pars'!$B$6:$B$48,0),O$1)&lt;&gt;"",O$1&lt;&gt;""), INDEX('feed pars'!$C$6:$AT$48,MATCH($A25,'feed pars'!$B$6:$B$48,0),O$1), "")</f>
        <v>180</v>
      </c>
      <c r="P25" s="52" t="n">
        <f aca="false">IF(AND(INDEX('feed pars'!$C$6:$AT$48,MATCH($A25,'feed pars'!$B$6:$B$48,0),P$1)&lt;&gt;"",P$1&lt;&gt;""), INDEX('feed pars'!$C$6:$AT$48,MATCH($A25,'feed pars'!$B$6:$B$48,0),P$1), "")</f>
        <v>17.3</v>
      </c>
      <c r="Q25" s="52" t="n">
        <f aca="false">IF(AND(INDEX('feed pars'!$C$6:$AT$48,MATCH($A25,'feed pars'!$B$6:$B$48,0),Q$1)&lt;&gt;"",Q$1&lt;&gt;""), INDEX('feed pars'!$C$6:$AT$48,MATCH($A25,'feed pars'!$B$6:$B$48,0),Q$1), "")</f>
        <v>174</v>
      </c>
      <c r="S25" s="42" t="str">
        <f aca="false">'feed pars'!$B28</f>
        <v>rapeseed cake</v>
      </c>
      <c r="T25" s="1" t="s">
        <v>104</v>
      </c>
      <c r="V25" s="52" t="n">
        <f aca="false">IF(AND(INDEX('feed pars'!$C$6:$AT$48,MATCH($A25,'feed pars'!$B$6:$B$48,0),V$1)&lt;&gt;"",V$1&lt;&gt;""), INDEX('feed pars'!$C$6:$AT$48,MATCH($A25,'feed pars'!$B$6:$B$48,0),V$1), "")</f>
        <v>15.6</v>
      </c>
      <c r="W25" s="52" t="n">
        <f aca="false">IF(AND(INDEX('feed pars'!$C$6:$AT$48,MATCH($A25,'feed pars'!$B$6:$B$48,0),W$1)&lt;&gt;"",W$1&lt;&gt;""), INDEX('feed pars'!$C$6:$AT$48,MATCH($A25,'feed pars'!$B$6:$B$48,0),W$1), "")</f>
        <v>17.3</v>
      </c>
      <c r="X25" s="52" t="n">
        <f aca="false">IF(AND(INDEX('feed pars'!$C$6:$AT$48,MATCH($A25,'feed pars'!$B$6:$B$48,0),X$1)&lt;&gt;"",X$1&lt;&gt;""), INDEX('feed pars'!$C$6:$AT$48,MATCH($A25,'feed pars'!$B$6:$B$48,0),X$1), "")</f>
        <v>174</v>
      </c>
      <c r="Z25" s="42" t="str">
        <f aca="false">'feed pars'!$B28</f>
        <v>rapeseed cake</v>
      </c>
      <c r="AA25" s="1" t="s">
        <v>102</v>
      </c>
      <c r="AC25" s="52" t="n">
        <f aca="false">IF(AND(INDEX('feed pars'!$C$6:$AT$48,MATCH($A25,'feed pars'!$B$6:$B$48,0),AC$1)&lt;&gt;"",AC$1&lt;&gt;""), INDEX('feed pars'!$C$6:$AT$48,MATCH($A25,'feed pars'!$B$6:$B$48,0),AC$1), "")</f>
        <v>15.6</v>
      </c>
      <c r="AD25" s="52" t="n">
        <f aca="false">IF(AND(INDEX('feed pars'!$C$6:$AT$48,MATCH($A25,'feed pars'!$B$6:$B$48,0),AD$1)&lt;&gt;"",AD$1&lt;&gt;""), INDEX('feed pars'!$C$6:$AT$48,MATCH($A25,'feed pars'!$B$6:$B$48,0),AD$1), "")</f>
        <v>17.3</v>
      </c>
      <c r="AE25" s="52" t="n">
        <f aca="false">IF(AND(INDEX('feed pars'!$C$6:$AT$48,MATCH($A25,'feed pars'!$B$6:$B$48,0),AE$1)&lt;&gt;"",AE$1&lt;&gt;""), INDEX('feed pars'!$C$6:$AT$48,MATCH($A25,'feed pars'!$B$6:$B$48,0),AE$1), "")</f>
        <v>174</v>
      </c>
      <c r="AG25" s="42" t="str">
        <f aca="false">'feed pars'!$B28</f>
        <v>rapeseed cake</v>
      </c>
      <c r="AH25" s="1" t="s">
        <v>83</v>
      </c>
      <c r="AI25" s="52"/>
      <c r="AJ25" s="52" t="n">
        <f aca="false">IF(AND(INDEX('feed pars'!$C$6:$AT$48,MATCH($A25,'feed pars'!$B$6:$B$48,0),AJ$1)&lt;&gt;"",AJ$1&lt;&gt;""), INDEX('feed pars'!$C$6:$AT$48,MATCH($A25,'feed pars'!$B$6:$B$48,0),AJ$1), "")</f>
        <v>9.7</v>
      </c>
      <c r="AK25" s="52" t="n">
        <f aca="false">IF(AND(INDEX('feed pars'!$C$6:$AT$48,MATCH($A25,'feed pars'!$B$6:$B$48,0),AK$1)&lt;&gt;"",AK$1&lt;&gt;""), INDEX('feed pars'!$C$6:$AT$48,MATCH($A25,'feed pars'!$B$6:$B$48,0),AK$1), "")</f>
        <v>14.3</v>
      </c>
      <c r="AM25" s="42" t="str">
        <f aca="false">'feed pars'!$B28</f>
        <v>rapeseed cake</v>
      </c>
      <c r="AN25" s="1" t="s">
        <v>83</v>
      </c>
      <c r="AO25" s="1" t="s">
        <v>263</v>
      </c>
      <c r="AP25" s="52" t="n">
        <f aca="false">IF(AND(INDEX('feed pars'!$C$6:$AT$48,MATCH($A25,'feed pars'!$B$6:$B$48,0),AP$1)&lt;&gt;"",AP$1&lt;&gt;""), INDEX('feed pars'!$C$6:$AT$48,MATCH($A25,'feed pars'!$B$6:$B$48,0),AP$1), "")</f>
        <v>10.2</v>
      </c>
      <c r="AQ25" s="52" t="str">
        <f aca="false">IF(AND(INDEX('feed pars'!$C$6:$AT$48,MATCH($A25,'feed pars'!$B$6:$B$48,0),AQ$1)&lt;&gt;"",AQ$1&lt;&gt;""), INDEX('feed pars'!$C$6:$AT$48,MATCH($A25,'feed pars'!$B$6:$B$48,0),AQ$1), "")</f>
        <v/>
      </c>
      <c r="AS25" s="42" t="str">
        <f aca="false">'feed pars'!$B28</f>
        <v>rapeseed cake</v>
      </c>
      <c r="AT25" s="1" t="s">
        <v>84</v>
      </c>
      <c r="AV25" s="42" t="str">
        <f aca="false">IF(AND(INDEX('feed pars'!$C$6:$AT$48,MATCH($A25,'feed pars'!$B$6:$B$48,0),AV$1)&lt;&gt;"",AV$1&lt;&gt;""), INDEX('feed pars'!$C$6:$AT$48,MATCH($A25,'feed pars'!$B$6:$B$48,0),AV$1), "")</f>
        <v/>
      </c>
    </row>
    <row r="26" customFormat="false" ht="15" hidden="false" customHeight="false" outlineLevel="0" collapsed="false">
      <c r="A26" s="1" t="str">
        <f aca="false">'feed pars'!$B29</f>
        <v>sunflower seed meal</v>
      </c>
      <c r="D26" s="42" t="n">
        <f aca="false">IF(AND(INDEX('feed pars'!$C$6:$AT$48,MATCH($A26,'feed pars'!$B$6:$B$48,0),D$1)&lt;&gt;"",D$1&lt;&gt;""), INDEX('feed pars'!$C$6:$AT$48,MATCH($A26,'feed pars'!$B$6:$B$48,0),D$1), "")</f>
        <v>19.083224</v>
      </c>
      <c r="E26" s="42" t="n">
        <f aca="false">IF(AND(INDEX('feed pars'!$C$6:$AT$48,MATCH($A26,'feed pars'!$B$6:$B$48,0),E$1)&lt;&gt;"",E$1&lt;&gt;""), INDEX('feed pars'!$C$6:$AT$48,MATCH($A26,'feed pars'!$B$6:$B$48,0),E$1), "")</f>
        <v>7.75</v>
      </c>
      <c r="F26" s="42" t="n">
        <f aca="false">IF(AND(INDEX('feed pars'!$C$6:$AT$48,MATCH($A26,'feed pars'!$B$6:$B$48,0),F$1)&lt;&gt;"",F$1&lt;&gt;""), INDEX('feed pars'!$C$6:$AT$48,MATCH($A26,'feed pars'!$B$6:$B$48,0),F$1), "")</f>
        <v>6.664</v>
      </c>
      <c r="G26" s="42" t="n">
        <f aca="false">IF(AND(INDEX('feed pars'!$C$6:$AT$48,MATCH($A26,'feed pars'!$B$6:$B$48,0),G$1)&lt;&gt;"",G$1&lt;&gt;""), INDEX('feed pars'!$C$6:$AT$48,MATCH($A26,'feed pars'!$B$6:$B$48,0),G$1), "")</f>
        <v>1.305</v>
      </c>
      <c r="H26" s="42" t="n">
        <f aca="false">IF(AND(INDEX('feed pars'!$C$6:$AT$48,MATCH($A26,'feed pars'!$B$6:$B$48,0),H$1)&lt;&gt;"",H$1&lt;&gt;""), INDEX('feed pars'!$C$6:$AT$48,MATCH($A26,'feed pars'!$B$6:$B$48,0),H$1), "")</f>
        <v>1.75</v>
      </c>
      <c r="I26" s="42"/>
      <c r="J26" s="42" t="str">
        <f aca="false">'feed pars'!$B29</f>
        <v>sunflower seed meal</v>
      </c>
      <c r="K26" s="1" t="s">
        <v>92</v>
      </c>
      <c r="M26" s="52" t="n">
        <f aca="false">IF(AND(INDEX('feed pars'!$C$6:$AT$48,MATCH($A26,'feed pars'!$B$6:$B$48,0),M$1)&lt;&gt;"",M$1&lt;&gt;""), INDEX('feed pars'!$C$6:$AT$48,MATCH($A26,'feed pars'!$B$6:$B$48,0),M$1), "")</f>
        <v>11.4</v>
      </c>
      <c r="N26" s="52" t="n">
        <f aca="false">IF(AND(INDEX('feed pars'!$C$6:$AT$48,MATCH($A26,'feed pars'!$B$6:$B$48,0),N$1)&lt;&gt;"",N$1&lt;&gt;""), INDEX('feed pars'!$C$6:$AT$48,MATCH($A26,'feed pars'!$B$6:$B$48,0),N$1), "")</f>
        <v>109</v>
      </c>
      <c r="O26" s="52" t="n">
        <f aca="false">IF(AND(INDEX('feed pars'!$C$6:$AT$48,MATCH($A26,'feed pars'!$B$6:$B$48,0),O$1)&lt;&gt;"",O$1&lt;&gt;""), INDEX('feed pars'!$C$6:$AT$48,MATCH($A26,'feed pars'!$B$6:$B$48,0),O$1), "")</f>
        <v>301</v>
      </c>
      <c r="P26" s="52" t="n">
        <f aca="false">IF(AND(INDEX('feed pars'!$C$6:$AT$48,MATCH($A26,'feed pars'!$B$6:$B$48,0),P$1)&lt;&gt;"",P$1&lt;&gt;""), INDEX('feed pars'!$C$6:$AT$48,MATCH($A26,'feed pars'!$B$6:$B$48,0),P$1), "")</f>
        <v>14.1</v>
      </c>
      <c r="Q26" s="52" t="n">
        <f aca="false">IF(AND(INDEX('feed pars'!$C$6:$AT$48,MATCH($A26,'feed pars'!$B$6:$B$48,0),Q$1)&lt;&gt;"",Q$1&lt;&gt;""), INDEX('feed pars'!$C$6:$AT$48,MATCH($A26,'feed pars'!$B$6:$B$48,0),Q$1), "")</f>
        <v>10</v>
      </c>
      <c r="S26" s="42" t="str">
        <f aca="false">'feed pars'!$B29</f>
        <v>sunflower seed meal</v>
      </c>
      <c r="T26" s="1" t="s">
        <v>104</v>
      </c>
      <c r="V26" s="52" t="n">
        <f aca="false">IF(AND(INDEX('feed pars'!$C$6:$AT$48,MATCH($A26,'feed pars'!$B$6:$B$48,0),V$1)&lt;&gt;"",V$1&lt;&gt;""), INDEX('feed pars'!$C$6:$AT$48,MATCH($A26,'feed pars'!$B$6:$B$48,0),V$1), "")</f>
        <v>11.4</v>
      </c>
      <c r="W26" s="52" t="n">
        <f aca="false">IF(AND(INDEX('feed pars'!$C$6:$AT$48,MATCH($A26,'feed pars'!$B$6:$B$48,0),W$1)&lt;&gt;"",W$1&lt;&gt;""), INDEX('feed pars'!$C$6:$AT$48,MATCH($A26,'feed pars'!$B$6:$B$48,0),W$1), "")</f>
        <v>14.1</v>
      </c>
      <c r="X26" s="52" t="n">
        <f aca="false">IF(AND(INDEX('feed pars'!$C$6:$AT$48,MATCH($A26,'feed pars'!$B$6:$B$48,0),X$1)&lt;&gt;"",X$1&lt;&gt;""), INDEX('feed pars'!$C$6:$AT$48,MATCH($A26,'feed pars'!$B$6:$B$48,0),X$1), "")</f>
        <v>10</v>
      </c>
      <c r="Z26" s="42" t="str">
        <f aca="false">'feed pars'!$B29</f>
        <v>sunflower seed meal</v>
      </c>
      <c r="AA26" s="1" t="s">
        <v>102</v>
      </c>
      <c r="AC26" s="52" t="n">
        <f aca="false">IF(AND(INDEX('feed pars'!$C$6:$AT$48,MATCH($A26,'feed pars'!$B$6:$B$48,0),AC$1)&lt;&gt;"",AC$1&lt;&gt;""), INDEX('feed pars'!$C$6:$AT$48,MATCH($A26,'feed pars'!$B$6:$B$48,0),AC$1), "")</f>
        <v>11.4</v>
      </c>
      <c r="AD26" s="52" t="n">
        <f aca="false">IF(AND(INDEX('feed pars'!$C$6:$AT$48,MATCH($A26,'feed pars'!$B$6:$B$48,0),AD$1)&lt;&gt;"",AD$1&lt;&gt;""), INDEX('feed pars'!$C$6:$AT$48,MATCH($A26,'feed pars'!$B$6:$B$48,0),AD$1), "")</f>
        <v>14.1</v>
      </c>
      <c r="AE26" s="52" t="n">
        <f aca="false">IF(AND(INDEX('feed pars'!$C$6:$AT$48,MATCH($A26,'feed pars'!$B$6:$B$48,0),AE$1)&lt;&gt;"",AE$1&lt;&gt;""), INDEX('feed pars'!$C$6:$AT$48,MATCH($A26,'feed pars'!$B$6:$B$48,0),AE$1), "")</f>
        <v>10</v>
      </c>
      <c r="AG26" s="42" t="str">
        <f aca="false">'feed pars'!$B29</f>
        <v>sunflower seed meal</v>
      </c>
      <c r="AH26" s="1" t="s">
        <v>83</v>
      </c>
      <c r="AI26" s="52"/>
      <c r="AJ26" s="52" t="n">
        <f aca="false">IF(AND(INDEX('feed pars'!$C$6:$AT$48,MATCH($A26,'feed pars'!$B$6:$B$48,0),AJ$1)&lt;&gt;"",AJ$1&lt;&gt;""), INDEX('feed pars'!$C$6:$AT$48,MATCH($A26,'feed pars'!$B$6:$B$48,0),AJ$1), "")</f>
        <v>5.9</v>
      </c>
      <c r="AK26" s="52" t="n">
        <f aca="false">IF(AND(INDEX('feed pars'!$C$6:$AT$48,MATCH($A26,'feed pars'!$B$6:$B$48,0),AK$1)&lt;&gt;"",AK$1&lt;&gt;""), INDEX('feed pars'!$C$6:$AT$48,MATCH($A26,'feed pars'!$B$6:$B$48,0),AK$1), "")</f>
        <v>10.3</v>
      </c>
      <c r="AM26" s="42" t="str">
        <f aca="false">'feed pars'!$B29</f>
        <v>sunflower seed meal</v>
      </c>
      <c r="AN26" s="1" t="s">
        <v>83</v>
      </c>
      <c r="AO26" s="1" t="s">
        <v>263</v>
      </c>
      <c r="AP26" s="52" t="n">
        <f aca="false">IF(AND(INDEX('feed pars'!$C$6:$AT$48,MATCH($A26,'feed pars'!$B$6:$B$48,0),AP$1)&lt;&gt;"",AP$1&lt;&gt;""), INDEX('feed pars'!$C$6:$AT$48,MATCH($A26,'feed pars'!$B$6:$B$48,0),AP$1), "")</f>
        <v>6.5</v>
      </c>
      <c r="AQ26" s="52" t="str">
        <f aca="false">IF(AND(INDEX('feed pars'!$C$6:$AT$48,MATCH($A26,'feed pars'!$B$6:$B$48,0),AQ$1)&lt;&gt;"",AQ$1&lt;&gt;""), INDEX('feed pars'!$C$6:$AT$48,MATCH($A26,'feed pars'!$B$6:$B$48,0),AQ$1), "")</f>
        <v/>
      </c>
      <c r="AS26" s="42" t="str">
        <f aca="false">'feed pars'!$B29</f>
        <v>sunflower seed meal</v>
      </c>
      <c r="AT26" s="1" t="s">
        <v>84</v>
      </c>
      <c r="AV26" s="42" t="n">
        <f aca="false">IF(AND(INDEX('feed pars'!$C$6:$AT$48,MATCH($A26,'feed pars'!$B$6:$B$48,0),AV$1)&lt;&gt;"",AV$1&lt;&gt;""), INDEX('feed pars'!$C$6:$AT$48,MATCH($A26,'feed pars'!$B$6:$B$48,0),AV$1), "")</f>
        <v>8.6</v>
      </c>
    </row>
    <row r="27" customFormat="false" ht="15" hidden="false" customHeight="false" outlineLevel="0" collapsed="false">
      <c r="A27" s="1" t="str">
        <f aca="false">'feed pars'!$B30</f>
        <v>palm kernel expeller</v>
      </c>
      <c r="D27" s="42" t="n">
        <f aca="false">IF(AND(INDEX('feed pars'!$C$6:$AT$48,MATCH($A27,'feed pars'!$B$6:$B$48,0),D$1)&lt;&gt;"",D$1&lt;&gt;""), INDEX('feed pars'!$C$6:$AT$48,MATCH($A27,'feed pars'!$B$6:$B$48,0),D$1), "")</f>
        <v>19.5815384</v>
      </c>
      <c r="E27" s="42" t="n">
        <f aca="false">IF(AND(INDEX('feed pars'!$C$6:$AT$48,MATCH($A27,'feed pars'!$B$6:$B$48,0),E$1)&lt;&gt;"",E$1&lt;&gt;""), INDEX('feed pars'!$C$6:$AT$48,MATCH($A27,'feed pars'!$B$6:$B$48,0),E$1), "")</f>
        <v>4.5</v>
      </c>
      <c r="F27" s="42" t="n">
        <f aca="false">IF(AND(INDEX('feed pars'!$C$6:$AT$48,MATCH($A27,'feed pars'!$B$6:$B$48,0),F$1)&lt;&gt;"",F$1&lt;&gt;""), INDEX('feed pars'!$C$6:$AT$48,MATCH($A27,'feed pars'!$B$6:$B$48,0),F$1), "")</f>
        <v>2.536</v>
      </c>
      <c r="G27" s="42" t="n">
        <f aca="false">IF(AND(INDEX('feed pars'!$C$6:$AT$48,MATCH($A27,'feed pars'!$B$6:$B$48,0),G$1)&lt;&gt;"",G$1&lt;&gt;""), INDEX('feed pars'!$C$6:$AT$48,MATCH($A27,'feed pars'!$B$6:$B$48,0),G$1), "")</f>
        <v>0.645</v>
      </c>
      <c r="H27" s="42" t="n">
        <f aca="false">IF(AND(INDEX('feed pars'!$C$6:$AT$48,MATCH($A27,'feed pars'!$B$6:$B$48,0),H$1)&lt;&gt;"",H$1&lt;&gt;""), INDEX('feed pars'!$C$6:$AT$48,MATCH($A27,'feed pars'!$B$6:$B$48,0),H$1), "")</f>
        <v>0.775</v>
      </c>
      <c r="I27" s="42"/>
      <c r="J27" s="42" t="str">
        <f aca="false">'feed pars'!$B30</f>
        <v>palm kernel expeller</v>
      </c>
      <c r="K27" s="1" t="s">
        <v>92</v>
      </c>
      <c r="M27" s="52" t="n">
        <f aca="false">IF(AND(INDEX('feed pars'!$C$6:$AT$48,MATCH($A27,'feed pars'!$B$6:$B$48,0),M$1)&lt;&gt;"",M$1&lt;&gt;""), INDEX('feed pars'!$C$6:$AT$48,MATCH($A27,'feed pars'!$B$6:$B$48,0),M$1), "")</f>
        <v>13.4</v>
      </c>
      <c r="N27" s="52" t="n">
        <f aca="false">IF(AND(INDEX('feed pars'!$C$6:$AT$48,MATCH($A27,'feed pars'!$B$6:$B$48,0),N$1)&lt;&gt;"",N$1&lt;&gt;""), INDEX('feed pars'!$C$6:$AT$48,MATCH($A27,'feed pars'!$B$6:$B$48,0),N$1), "")</f>
        <v>115</v>
      </c>
      <c r="O27" s="52" t="n">
        <f aca="false">IF(AND(INDEX('feed pars'!$C$6:$AT$48,MATCH($A27,'feed pars'!$B$6:$B$48,0),O$1)&lt;&gt;"",O$1&lt;&gt;""), INDEX('feed pars'!$C$6:$AT$48,MATCH($A27,'feed pars'!$B$6:$B$48,0),O$1), "")</f>
        <v>-35</v>
      </c>
      <c r="P27" s="52" t="n">
        <f aca="false">IF(AND(INDEX('feed pars'!$C$6:$AT$48,MATCH($A27,'feed pars'!$B$6:$B$48,0),P$1)&lt;&gt;"",P$1&lt;&gt;""), INDEX('feed pars'!$C$6:$AT$48,MATCH($A27,'feed pars'!$B$6:$B$48,0),P$1), "")</f>
        <v>15</v>
      </c>
      <c r="Q27" s="52" t="n">
        <f aca="false">IF(AND(INDEX('feed pars'!$C$6:$AT$48,MATCH($A27,'feed pars'!$B$6:$B$48,0),Q$1)&lt;&gt;"",Q$1&lt;&gt;""), INDEX('feed pars'!$C$6:$AT$48,MATCH($A27,'feed pars'!$B$6:$B$48,0),Q$1), "")</f>
        <v>97</v>
      </c>
      <c r="S27" s="42" t="str">
        <f aca="false">'feed pars'!$B30</f>
        <v>palm kernel expeller</v>
      </c>
      <c r="T27" s="1" t="s">
        <v>104</v>
      </c>
      <c r="V27" s="52" t="n">
        <f aca="false">IF(AND(INDEX('feed pars'!$C$6:$AT$48,MATCH($A27,'feed pars'!$B$6:$B$48,0),V$1)&lt;&gt;"",V$1&lt;&gt;""), INDEX('feed pars'!$C$6:$AT$48,MATCH($A27,'feed pars'!$B$6:$B$48,0),V$1), "")</f>
        <v>13.4</v>
      </c>
      <c r="W27" s="52" t="n">
        <f aca="false">IF(AND(INDEX('feed pars'!$C$6:$AT$48,MATCH($A27,'feed pars'!$B$6:$B$48,0),W$1)&lt;&gt;"",W$1&lt;&gt;""), INDEX('feed pars'!$C$6:$AT$48,MATCH($A27,'feed pars'!$B$6:$B$48,0),W$1), "")</f>
        <v>15</v>
      </c>
      <c r="X27" s="52" t="n">
        <f aca="false">IF(AND(INDEX('feed pars'!$C$6:$AT$48,MATCH($A27,'feed pars'!$B$6:$B$48,0),X$1)&lt;&gt;"",X$1&lt;&gt;""), INDEX('feed pars'!$C$6:$AT$48,MATCH($A27,'feed pars'!$B$6:$B$48,0),X$1), "")</f>
        <v>97</v>
      </c>
      <c r="Z27" s="42" t="str">
        <f aca="false">'feed pars'!$B30</f>
        <v>palm kernel expeller</v>
      </c>
      <c r="AA27" s="1" t="s">
        <v>102</v>
      </c>
      <c r="AC27" s="52" t="n">
        <f aca="false">IF(AND(INDEX('feed pars'!$C$6:$AT$48,MATCH($A27,'feed pars'!$B$6:$B$48,0),AC$1)&lt;&gt;"",AC$1&lt;&gt;""), INDEX('feed pars'!$C$6:$AT$48,MATCH($A27,'feed pars'!$B$6:$B$48,0),AC$1), "")</f>
        <v>13.4</v>
      </c>
      <c r="AD27" s="52" t="n">
        <f aca="false">IF(AND(INDEX('feed pars'!$C$6:$AT$48,MATCH($A27,'feed pars'!$B$6:$B$48,0),AD$1)&lt;&gt;"",AD$1&lt;&gt;""), INDEX('feed pars'!$C$6:$AT$48,MATCH($A27,'feed pars'!$B$6:$B$48,0),AD$1), "")</f>
        <v>15</v>
      </c>
      <c r="AE27" s="52" t="n">
        <f aca="false">IF(AND(INDEX('feed pars'!$C$6:$AT$48,MATCH($A27,'feed pars'!$B$6:$B$48,0),AE$1)&lt;&gt;"",AE$1&lt;&gt;""), INDEX('feed pars'!$C$6:$AT$48,MATCH($A27,'feed pars'!$B$6:$B$48,0),AE$1), "")</f>
        <v>97</v>
      </c>
      <c r="AG27" s="42" t="str">
        <f aca="false">'feed pars'!$B30</f>
        <v>palm kernel expeller</v>
      </c>
      <c r="AH27" s="1" t="s">
        <v>83</v>
      </c>
      <c r="AI27" s="52"/>
      <c r="AJ27" s="52" t="n">
        <f aca="false">IF(AND(INDEX('feed pars'!$C$6:$AT$48,MATCH($A27,'feed pars'!$B$6:$B$48,0),AJ$1)&lt;&gt;"",AJ$1&lt;&gt;""), INDEX('feed pars'!$C$6:$AT$48,MATCH($A27,'feed pars'!$B$6:$B$48,0),AJ$1), "")</f>
        <v>5.4</v>
      </c>
      <c r="AK27" s="52" t="n">
        <f aca="false">IF(AND(INDEX('feed pars'!$C$6:$AT$48,MATCH($A27,'feed pars'!$B$6:$B$48,0),AK$1)&lt;&gt;"",AK$1&lt;&gt;""), INDEX('feed pars'!$C$6:$AT$48,MATCH($A27,'feed pars'!$B$6:$B$48,0),AK$1), "")</f>
        <v>8.4</v>
      </c>
      <c r="AM27" s="42" t="str">
        <f aca="false">'feed pars'!$B30</f>
        <v>palm kernel expeller</v>
      </c>
      <c r="AN27" s="1" t="s">
        <v>83</v>
      </c>
      <c r="AO27" s="1" t="s">
        <v>263</v>
      </c>
      <c r="AP27" s="52" t="n">
        <f aca="false">IF(AND(INDEX('feed pars'!$C$6:$AT$48,MATCH($A27,'feed pars'!$B$6:$B$48,0),AP$1)&lt;&gt;"",AP$1&lt;&gt;""), INDEX('feed pars'!$C$6:$AT$48,MATCH($A27,'feed pars'!$B$6:$B$48,0),AP$1), "")</f>
        <v>6.2</v>
      </c>
      <c r="AQ27" s="52" t="str">
        <f aca="false">IF(AND(INDEX('feed pars'!$C$6:$AT$48,MATCH($A27,'feed pars'!$B$6:$B$48,0),AQ$1)&lt;&gt;"",AQ$1&lt;&gt;""), INDEX('feed pars'!$C$6:$AT$48,MATCH($A27,'feed pars'!$B$6:$B$48,0),AQ$1), "")</f>
        <v/>
      </c>
      <c r="AS27" s="42" t="str">
        <f aca="false">'feed pars'!$B30</f>
        <v>palm kernel expeller</v>
      </c>
      <c r="AT27" s="1" t="s">
        <v>84</v>
      </c>
      <c r="AV27" s="42" t="str">
        <f aca="false">IF(AND(INDEX('feed pars'!$C$6:$AT$48,MATCH($A27,'feed pars'!$B$6:$B$48,0),AV$1)&lt;&gt;"",AV$1&lt;&gt;""), INDEX('feed pars'!$C$6:$AT$48,MATCH($A27,'feed pars'!$B$6:$B$48,0),AV$1), "")</f>
        <v/>
      </c>
    </row>
    <row r="28" customFormat="false" ht="15" hidden="false" customHeight="false" outlineLevel="0" collapsed="false">
      <c r="A28" s="1" t="str">
        <f aca="false">'feed pars'!$B31</f>
        <v>luzern meal</v>
      </c>
      <c r="D28" s="42" t="n">
        <f aca="false">IF(AND(INDEX('feed pars'!$C$6:$AT$48,MATCH($A28,'feed pars'!$B$6:$B$48,0),D$1)&lt;&gt;"",D$1&lt;&gt;""), INDEX('feed pars'!$C$6:$AT$48,MATCH($A28,'feed pars'!$B$6:$B$48,0),D$1), "")</f>
        <v>16.9711408</v>
      </c>
      <c r="E28" s="42" t="n">
        <f aca="false">IF(AND(INDEX('feed pars'!$C$6:$AT$48,MATCH($A28,'feed pars'!$B$6:$B$48,0),E$1)&lt;&gt;"",E$1&lt;&gt;""), INDEX('feed pars'!$C$6:$AT$48,MATCH($A28,'feed pars'!$B$6:$B$48,0),E$1), "")</f>
        <v>11.7</v>
      </c>
      <c r="F28" s="42" t="n">
        <f aca="false">IF(AND(INDEX('feed pars'!$C$6:$AT$48,MATCH($A28,'feed pars'!$B$6:$B$48,0),F$1)&lt;&gt;"",F$1&lt;&gt;""), INDEX('feed pars'!$C$6:$AT$48,MATCH($A28,'feed pars'!$B$6:$B$48,0),F$1), "")</f>
        <v>2.928</v>
      </c>
      <c r="G28" s="42" t="n">
        <f aca="false">IF(AND(INDEX('feed pars'!$C$6:$AT$48,MATCH($A28,'feed pars'!$B$6:$B$48,0),G$1)&lt;&gt;"",G$1&lt;&gt;""), INDEX('feed pars'!$C$6:$AT$48,MATCH($A28,'feed pars'!$B$6:$B$48,0),G$1), "")</f>
        <v>0.27</v>
      </c>
      <c r="H28" s="42" t="n">
        <f aca="false">IF(AND(INDEX('feed pars'!$C$6:$AT$48,MATCH($A28,'feed pars'!$B$6:$B$48,0),H$1)&lt;&gt;"",H$1&lt;&gt;""), INDEX('feed pars'!$C$6:$AT$48,MATCH($A28,'feed pars'!$B$6:$B$48,0),H$1), "")</f>
        <v>2.56</v>
      </c>
      <c r="I28" s="42"/>
      <c r="J28" s="42" t="str">
        <f aca="false">'feed pars'!$B31</f>
        <v>luzern meal</v>
      </c>
      <c r="K28" s="1" t="s">
        <v>92</v>
      </c>
      <c r="M28" s="52" t="n">
        <f aca="false">IF(AND(INDEX('feed pars'!$C$6:$AT$48,MATCH($A28,'feed pars'!$B$6:$B$48,0),M$1)&lt;&gt;"",M$1&lt;&gt;""), INDEX('feed pars'!$C$6:$AT$48,MATCH($A28,'feed pars'!$B$6:$B$48,0),M$1), "")</f>
        <v>8.5</v>
      </c>
      <c r="N28" s="52" t="n">
        <f aca="false">IF(AND(INDEX('feed pars'!$C$6:$AT$48,MATCH($A28,'feed pars'!$B$6:$B$48,0),N$1)&lt;&gt;"",N$1&lt;&gt;""), INDEX('feed pars'!$C$6:$AT$48,MATCH($A28,'feed pars'!$B$6:$B$48,0),N$1), "")</f>
        <v>62</v>
      </c>
      <c r="O28" s="52" t="n">
        <f aca="false">IF(AND(INDEX('feed pars'!$C$6:$AT$48,MATCH($A28,'feed pars'!$B$6:$B$48,0),O$1)&lt;&gt;"",O$1&lt;&gt;""), INDEX('feed pars'!$C$6:$AT$48,MATCH($A28,'feed pars'!$B$6:$B$48,0),O$1), "")</f>
        <v>86</v>
      </c>
      <c r="P28" s="52" t="n">
        <f aca="false">IF(AND(INDEX('feed pars'!$C$6:$AT$48,MATCH($A28,'feed pars'!$B$6:$B$48,0),P$1)&lt;&gt;"",P$1&lt;&gt;""), INDEX('feed pars'!$C$6:$AT$48,MATCH($A28,'feed pars'!$B$6:$B$48,0),P$1), "")</f>
        <v>10.7</v>
      </c>
      <c r="Q28" s="52" t="n">
        <f aca="false">IF(AND(INDEX('feed pars'!$C$6:$AT$48,MATCH($A28,'feed pars'!$B$6:$B$48,0),Q$1)&lt;&gt;"",Q$1&lt;&gt;""), INDEX('feed pars'!$C$6:$AT$48,MATCH($A28,'feed pars'!$B$6:$B$48,0),Q$1), "")</f>
        <v>27</v>
      </c>
      <c r="S28" s="42" t="str">
        <f aca="false">'feed pars'!$B31</f>
        <v>luzern meal</v>
      </c>
      <c r="T28" s="1" t="s">
        <v>104</v>
      </c>
      <c r="V28" s="52" t="n">
        <f aca="false">IF(AND(INDEX('feed pars'!$C$6:$AT$48,MATCH($A28,'feed pars'!$B$6:$B$48,0),V$1)&lt;&gt;"",V$1&lt;&gt;""), INDEX('feed pars'!$C$6:$AT$48,MATCH($A28,'feed pars'!$B$6:$B$48,0),V$1), "")</f>
        <v>8.5</v>
      </c>
      <c r="W28" s="52" t="n">
        <f aca="false">IF(AND(INDEX('feed pars'!$C$6:$AT$48,MATCH($A28,'feed pars'!$B$6:$B$48,0),W$1)&lt;&gt;"",W$1&lt;&gt;""), INDEX('feed pars'!$C$6:$AT$48,MATCH($A28,'feed pars'!$B$6:$B$48,0),W$1), "")</f>
        <v>10.7</v>
      </c>
      <c r="X28" s="52" t="n">
        <f aca="false">IF(AND(INDEX('feed pars'!$C$6:$AT$48,MATCH($A28,'feed pars'!$B$6:$B$48,0),X$1)&lt;&gt;"",X$1&lt;&gt;""), INDEX('feed pars'!$C$6:$AT$48,MATCH($A28,'feed pars'!$B$6:$B$48,0),X$1), "")</f>
        <v>27</v>
      </c>
      <c r="Z28" s="42" t="str">
        <f aca="false">'feed pars'!$B31</f>
        <v>luzern meal</v>
      </c>
      <c r="AA28" s="1" t="s">
        <v>102</v>
      </c>
      <c r="AC28" s="52" t="n">
        <f aca="false">IF(AND(INDEX('feed pars'!$C$6:$AT$48,MATCH($A28,'feed pars'!$B$6:$B$48,0),AC$1)&lt;&gt;"",AC$1&lt;&gt;""), INDEX('feed pars'!$C$6:$AT$48,MATCH($A28,'feed pars'!$B$6:$B$48,0),AC$1), "")</f>
        <v>8.5</v>
      </c>
      <c r="AD28" s="52" t="n">
        <f aca="false">IF(AND(INDEX('feed pars'!$C$6:$AT$48,MATCH($A28,'feed pars'!$B$6:$B$48,0),AD$1)&lt;&gt;"",AD$1&lt;&gt;""), INDEX('feed pars'!$C$6:$AT$48,MATCH($A28,'feed pars'!$B$6:$B$48,0),AD$1), "")</f>
        <v>10.7</v>
      </c>
      <c r="AE28" s="52" t="n">
        <f aca="false">IF(AND(INDEX('feed pars'!$C$6:$AT$48,MATCH($A28,'feed pars'!$B$6:$B$48,0),AE$1)&lt;&gt;"",AE$1&lt;&gt;""), INDEX('feed pars'!$C$6:$AT$48,MATCH($A28,'feed pars'!$B$6:$B$48,0),AE$1), "")</f>
        <v>27</v>
      </c>
      <c r="AG28" s="42" t="str">
        <f aca="false">'feed pars'!$B31</f>
        <v>luzern meal</v>
      </c>
      <c r="AH28" s="1" t="s">
        <v>83</v>
      </c>
      <c r="AI28" s="52"/>
      <c r="AJ28" s="52" t="str">
        <f aca="false">IF(AND(INDEX('feed pars'!$C$6:$AT$48,MATCH($A28,'feed pars'!$B$6:$B$48,0),AJ$1)&lt;&gt;"",AJ$1&lt;&gt;""), INDEX('feed pars'!$C$6:$AT$48,MATCH($A28,'feed pars'!$B$6:$B$48,0),AJ$1), "")</f>
        <v/>
      </c>
      <c r="AK28" s="52" t="str">
        <f aca="false">IF(AND(INDEX('feed pars'!$C$6:$AT$48,MATCH($A28,'feed pars'!$B$6:$B$48,0),AK$1)&lt;&gt;"",AK$1&lt;&gt;""), INDEX('feed pars'!$C$6:$AT$48,MATCH($A28,'feed pars'!$B$6:$B$48,0),AK$1), "")</f>
        <v/>
      </c>
      <c r="AM28" s="42" t="str">
        <f aca="false">'feed pars'!$B31</f>
        <v>luzern meal</v>
      </c>
      <c r="AN28" s="1" t="s">
        <v>83</v>
      </c>
      <c r="AO28" s="1" t="s">
        <v>263</v>
      </c>
      <c r="AP28" s="52" t="str">
        <f aca="false">IF(AND(INDEX('feed pars'!$C$6:$AT$48,MATCH($A28,'feed pars'!$B$6:$B$48,0),AP$1)&lt;&gt;"",AP$1&lt;&gt;""), INDEX('feed pars'!$C$6:$AT$48,MATCH($A28,'feed pars'!$B$6:$B$48,0),AP$1), "")</f>
        <v/>
      </c>
      <c r="AQ28" s="52" t="str">
        <f aca="false">IF(AND(INDEX('feed pars'!$C$6:$AT$48,MATCH($A28,'feed pars'!$B$6:$B$48,0),AQ$1)&lt;&gt;"",AQ$1&lt;&gt;""), INDEX('feed pars'!$C$6:$AT$48,MATCH($A28,'feed pars'!$B$6:$B$48,0),AQ$1), "")</f>
        <v/>
      </c>
      <c r="AS28" s="42" t="str">
        <f aca="false">'feed pars'!$B31</f>
        <v>luzern meal</v>
      </c>
      <c r="AT28" s="1" t="s">
        <v>84</v>
      </c>
      <c r="AV28" s="42" t="str">
        <f aca="false">IF(AND(INDEX('feed pars'!$C$6:$AT$48,MATCH($A28,'feed pars'!$B$6:$B$48,0),AV$1)&lt;&gt;"",AV$1&lt;&gt;""), INDEX('feed pars'!$C$6:$AT$48,MATCH($A28,'feed pars'!$B$6:$B$48,0),AV$1), "")</f>
        <v/>
      </c>
    </row>
    <row r="29" customFormat="false" ht="15" hidden="false" customHeight="false" outlineLevel="0" collapsed="false">
      <c r="A29" s="1" t="str">
        <f aca="false">'feed pars'!$B32</f>
        <v>wheat bran</v>
      </c>
      <c r="D29" s="42" t="n">
        <f aca="false">IF(AND(INDEX('feed pars'!$C$6:$AT$48,MATCH($A29,'feed pars'!$B$6:$B$48,0),D$1)&lt;&gt;"",D$1&lt;&gt;""), INDEX('feed pars'!$C$6:$AT$48,MATCH($A29,'feed pars'!$B$6:$B$48,0),D$1), "")</f>
        <v>18.194124</v>
      </c>
      <c r="E29" s="42" t="n">
        <f aca="false">IF(AND(INDEX('feed pars'!$C$6:$AT$48,MATCH($A29,'feed pars'!$B$6:$B$48,0),E$1)&lt;&gt;"",E$1&lt;&gt;""), INDEX('feed pars'!$C$6:$AT$48,MATCH($A29,'feed pars'!$B$6:$B$48,0),E$1), "")</f>
        <v>5.9</v>
      </c>
      <c r="F29" s="42" t="n">
        <f aca="false">IF(AND(INDEX('feed pars'!$C$6:$AT$48,MATCH($A29,'feed pars'!$B$6:$B$48,0),F$1)&lt;&gt;"",F$1&lt;&gt;""), INDEX('feed pars'!$C$6:$AT$48,MATCH($A29,'feed pars'!$B$6:$B$48,0),F$1), "")</f>
        <v>2.64</v>
      </c>
      <c r="G29" s="42" t="n">
        <f aca="false">IF(AND(INDEX('feed pars'!$C$6:$AT$48,MATCH($A29,'feed pars'!$B$6:$B$48,0),G$1)&lt;&gt;"",G$1&lt;&gt;""), INDEX('feed pars'!$C$6:$AT$48,MATCH($A29,'feed pars'!$B$6:$B$48,0),G$1), "")</f>
        <v>1.195</v>
      </c>
      <c r="H29" s="42" t="n">
        <f aca="false">IF(AND(INDEX('feed pars'!$C$6:$AT$48,MATCH($A29,'feed pars'!$B$6:$B$48,0),H$1)&lt;&gt;"",H$1&lt;&gt;""), INDEX('feed pars'!$C$6:$AT$48,MATCH($A29,'feed pars'!$B$6:$B$48,0),H$1), "")</f>
        <v>1.35</v>
      </c>
      <c r="I29" s="42"/>
      <c r="J29" s="42" t="str">
        <f aca="false">'feed pars'!$B32</f>
        <v>wheat bran</v>
      </c>
      <c r="K29" s="1" t="s">
        <v>92</v>
      </c>
      <c r="M29" s="52" t="n">
        <f aca="false">IF(AND(INDEX('feed pars'!$C$6:$AT$48,MATCH($A29,'feed pars'!$B$6:$B$48,0),M$1)&lt;&gt;"",M$1&lt;&gt;""), INDEX('feed pars'!$C$6:$AT$48,MATCH($A29,'feed pars'!$B$6:$B$48,0),M$1), "")</f>
        <v>11</v>
      </c>
      <c r="N29" s="52" t="n">
        <f aca="false">IF(AND(INDEX('feed pars'!$C$6:$AT$48,MATCH($A29,'feed pars'!$B$6:$B$48,0),N$1)&lt;&gt;"",N$1&lt;&gt;""), INDEX('feed pars'!$C$6:$AT$48,MATCH($A29,'feed pars'!$B$6:$B$48,0),N$1), "")</f>
        <v>73</v>
      </c>
      <c r="O29" s="52" t="n">
        <f aca="false">IF(AND(INDEX('feed pars'!$C$6:$AT$48,MATCH($A29,'feed pars'!$B$6:$B$48,0),O$1)&lt;&gt;"",O$1&lt;&gt;""), INDEX('feed pars'!$C$6:$AT$48,MATCH($A29,'feed pars'!$B$6:$B$48,0),O$1), "")</f>
        <v>36</v>
      </c>
      <c r="P29" s="52" t="n">
        <f aca="false">IF(AND(INDEX('feed pars'!$C$6:$AT$48,MATCH($A29,'feed pars'!$B$6:$B$48,0),P$1)&lt;&gt;"",P$1&lt;&gt;""), INDEX('feed pars'!$C$6:$AT$48,MATCH($A29,'feed pars'!$B$6:$B$48,0),P$1), "")</f>
        <v>12.7</v>
      </c>
      <c r="Q29" s="52" t="n">
        <f aca="false">IF(AND(INDEX('feed pars'!$C$6:$AT$48,MATCH($A29,'feed pars'!$B$6:$B$48,0),Q$1)&lt;&gt;"",Q$1&lt;&gt;""), INDEX('feed pars'!$C$6:$AT$48,MATCH($A29,'feed pars'!$B$6:$B$48,0),Q$1), "")</f>
        <v>45</v>
      </c>
      <c r="S29" s="42" t="str">
        <f aca="false">'feed pars'!$B32</f>
        <v>wheat bran</v>
      </c>
      <c r="T29" s="1" t="s">
        <v>104</v>
      </c>
      <c r="V29" s="52" t="n">
        <f aca="false">IF(AND(INDEX('feed pars'!$C$6:$AT$48,MATCH($A29,'feed pars'!$B$6:$B$48,0),V$1)&lt;&gt;"",V$1&lt;&gt;""), INDEX('feed pars'!$C$6:$AT$48,MATCH($A29,'feed pars'!$B$6:$B$48,0),V$1), "")</f>
        <v>11</v>
      </c>
      <c r="W29" s="52" t="n">
        <f aca="false">IF(AND(INDEX('feed pars'!$C$6:$AT$48,MATCH($A29,'feed pars'!$B$6:$B$48,0),W$1)&lt;&gt;"",W$1&lt;&gt;""), INDEX('feed pars'!$C$6:$AT$48,MATCH($A29,'feed pars'!$B$6:$B$48,0),W$1), "")</f>
        <v>12.7</v>
      </c>
      <c r="X29" s="52" t="n">
        <f aca="false">IF(AND(INDEX('feed pars'!$C$6:$AT$48,MATCH($A29,'feed pars'!$B$6:$B$48,0),X$1)&lt;&gt;"",X$1&lt;&gt;""), INDEX('feed pars'!$C$6:$AT$48,MATCH($A29,'feed pars'!$B$6:$B$48,0),X$1), "")</f>
        <v>45</v>
      </c>
      <c r="Z29" s="42" t="str">
        <f aca="false">'feed pars'!$B32</f>
        <v>wheat bran</v>
      </c>
      <c r="AA29" s="1" t="s">
        <v>102</v>
      </c>
      <c r="AC29" s="52" t="n">
        <f aca="false">IF(AND(INDEX('feed pars'!$C$6:$AT$48,MATCH($A29,'feed pars'!$B$6:$B$48,0),AC$1)&lt;&gt;"",AC$1&lt;&gt;""), INDEX('feed pars'!$C$6:$AT$48,MATCH($A29,'feed pars'!$B$6:$B$48,0),AC$1), "")</f>
        <v>11</v>
      </c>
      <c r="AD29" s="52" t="n">
        <f aca="false">IF(AND(INDEX('feed pars'!$C$6:$AT$48,MATCH($A29,'feed pars'!$B$6:$B$48,0),AD$1)&lt;&gt;"",AD$1&lt;&gt;""), INDEX('feed pars'!$C$6:$AT$48,MATCH($A29,'feed pars'!$B$6:$B$48,0),AD$1), "")</f>
        <v>12.7</v>
      </c>
      <c r="AE29" s="52" t="n">
        <f aca="false">IF(AND(INDEX('feed pars'!$C$6:$AT$48,MATCH($A29,'feed pars'!$B$6:$B$48,0),AE$1)&lt;&gt;"",AE$1&lt;&gt;""), INDEX('feed pars'!$C$6:$AT$48,MATCH($A29,'feed pars'!$B$6:$B$48,0),AE$1), "")</f>
        <v>45</v>
      </c>
      <c r="AG29" s="42" t="str">
        <f aca="false">'feed pars'!$B32</f>
        <v>wheat bran</v>
      </c>
      <c r="AH29" s="1" t="s">
        <v>83</v>
      </c>
      <c r="AI29" s="52"/>
      <c r="AJ29" s="52" t="n">
        <f aca="false">IF(AND(INDEX('feed pars'!$C$6:$AT$48,MATCH($A29,'feed pars'!$B$6:$B$48,0),AJ$1)&lt;&gt;"",AJ$1&lt;&gt;""), INDEX('feed pars'!$C$6:$AT$48,MATCH($A29,'feed pars'!$B$6:$B$48,0),AJ$1), "")</f>
        <v>7.2</v>
      </c>
      <c r="AK29" s="52" t="n">
        <f aca="false">IF(AND(INDEX('feed pars'!$C$6:$AT$48,MATCH($A29,'feed pars'!$B$6:$B$48,0),AK$1)&lt;&gt;"",AK$1&lt;&gt;""), INDEX('feed pars'!$C$6:$AT$48,MATCH($A29,'feed pars'!$B$6:$B$48,0),AK$1), "")</f>
        <v>10.8</v>
      </c>
      <c r="AM29" s="42" t="str">
        <f aca="false">'feed pars'!$B32</f>
        <v>wheat bran</v>
      </c>
      <c r="AN29" s="1" t="s">
        <v>83</v>
      </c>
      <c r="AO29" s="1" t="s">
        <v>263</v>
      </c>
      <c r="AP29" s="52" t="n">
        <f aca="false">IF(AND(INDEX('feed pars'!$C$6:$AT$48,MATCH($A29,'feed pars'!$B$6:$B$48,0),AP$1)&lt;&gt;"",AP$1&lt;&gt;""), INDEX('feed pars'!$C$6:$AT$48,MATCH($A29,'feed pars'!$B$6:$B$48,0),AP$1), "")</f>
        <v>7.8</v>
      </c>
      <c r="AQ29" s="52" t="str">
        <f aca="false">IF(AND(INDEX('feed pars'!$C$6:$AT$48,MATCH($A29,'feed pars'!$B$6:$B$48,0),AQ$1)&lt;&gt;"",AQ$1&lt;&gt;""), INDEX('feed pars'!$C$6:$AT$48,MATCH($A29,'feed pars'!$B$6:$B$48,0),AQ$1), "")</f>
        <v/>
      </c>
      <c r="AS29" s="42" t="str">
        <f aca="false">'feed pars'!$B32</f>
        <v>wheat bran</v>
      </c>
      <c r="AT29" s="1" t="s">
        <v>84</v>
      </c>
      <c r="AV29" s="42" t="n">
        <f aca="false">IF(AND(INDEX('feed pars'!$C$6:$AT$48,MATCH($A29,'feed pars'!$B$6:$B$48,0),AV$1)&lt;&gt;"",AV$1&lt;&gt;""), INDEX('feed pars'!$C$6:$AT$48,MATCH($A29,'feed pars'!$B$6:$B$48,0),AV$1), "")</f>
        <v>7.81609195402299</v>
      </c>
    </row>
    <row r="30" customFormat="false" ht="15" hidden="false" customHeight="false" outlineLevel="0" collapsed="false">
      <c r="A30" s="1" t="str">
        <f aca="false">'feed pars'!$B33</f>
        <v>wheat bran, fine</v>
      </c>
      <c r="D30" s="42" t="n">
        <f aca="false">IF(AND(INDEX('feed pars'!$C$6:$AT$48,MATCH($A30,'feed pars'!$B$6:$B$48,0),D$1)&lt;&gt;"",D$1&lt;&gt;""), INDEX('feed pars'!$C$6:$AT$48,MATCH($A30,'feed pars'!$B$6:$B$48,0),D$1), "")</f>
        <v>18.47236</v>
      </c>
      <c r="E30" s="42" t="n">
        <f aca="false">IF(AND(INDEX('feed pars'!$C$6:$AT$48,MATCH($A30,'feed pars'!$B$6:$B$48,0),E$1)&lt;&gt;"",E$1&lt;&gt;""), INDEX('feed pars'!$C$6:$AT$48,MATCH($A30,'feed pars'!$B$6:$B$48,0),E$1), "")</f>
        <v>3.3</v>
      </c>
      <c r="F30" s="42" t="n">
        <f aca="false">IF(AND(INDEX('feed pars'!$C$6:$AT$48,MATCH($A30,'feed pars'!$B$6:$B$48,0),F$1)&lt;&gt;"",F$1&lt;&gt;""), INDEX('feed pars'!$C$6:$AT$48,MATCH($A30,'feed pars'!$B$6:$B$48,0),F$1), "")</f>
        <v>2.616</v>
      </c>
      <c r="G30" s="42" t="n">
        <f aca="false">IF(AND(INDEX('feed pars'!$C$6:$AT$48,MATCH($A30,'feed pars'!$B$6:$B$48,0),G$1)&lt;&gt;"",G$1&lt;&gt;""), INDEX('feed pars'!$C$6:$AT$48,MATCH($A30,'feed pars'!$B$6:$B$48,0),G$1), "")</f>
        <v>0.815</v>
      </c>
      <c r="H30" s="42" t="n">
        <f aca="false">IF(AND(INDEX('feed pars'!$C$6:$AT$48,MATCH($A30,'feed pars'!$B$6:$B$48,0),H$1)&lt;&gt;"",H$1&lt;&gt;""), INDEX('feed pars'!$C$6:$AT$48,MATCH($A30,'feed pars'!$B$6:$B$48,0),H$1), "")</f>
        <v>0.96</v>
      </c>
      <c r="I30" s="42"/>
      <c r="J30" s="42" t="str">
        <f aca="false">'feed pars'!$B33</f>
        <v>wheat bran, fine</v>
      </c>
      <c r="K30" s="1" t="s">
        <v>92</v>
      </c>
      <c r="M30" s="42" t="n">
        <f aca="false">IF(AND(INDEX('feed pars'!$C$6:$AT$48,MATCH($A30,'feed pars'!$B$6:$B$48,0),M$1)&lt;&gt;"",M$1&lt;&gt;""), INDEX('feed pars'!$C$6:$AT$48,MATCH($A30,'feed pars'!$B$6:$B$48,0),M$1), "")</f>
        <v>13.3</v>
      </c>
      <c r="N30" s="52" t="n">
        <f aca="false">IF(AND(INDEX('feed pars'!$C$6:$AT$48,MATCH($A30,'feed pars'!$B$6:$B$48,0),N$1)&lt;&gt;"",N$1&lt;&gt;""), INDEX('feed pars'!$C$6:$AT$48,MATCH($A30,'feed pars'!$B$6:$B$48,0),N$1), "")</f>
        <v>63</v>
      </c>
      <c r="O30" s="52" t="n">
        <f aca="false">IF(AND(INDEX('feed pars'!$C$6:$AT$48,MATCH($A30,'feed pars'!$B$6:$B$48,0),O$1)&lt;&gt;"",O$1&lt;&gt;""), INDEX('feed pars'!$C$6:$AT$48,MATCH($A30,'feed pars'!$B$6:$B$48,0),O$1), "")</f>
        <v>98</v>
      </c>
      <c r="P30" s="52" t="n">
        <f aca="false">IF(AND(INDEX('feed pars'!$C$6:$AT$48,MATCH($A30,'feed pars'!$B$6:$B$48,0),P$1)&lt;&gt;"",P$1&lt;&gt;""), INDEX('feed pars'!$C$6:$AT$48,MATCH($A30,'feed pars'!$B$6:$B$48,0),P$1), "")</f>
        <v>15.62761656</v>
      </c>
      <c r="Q30" s="52" t="n">
        <f aca="false">IF(AND(INDEX('feed pars'!$C$6:$AT$48,MATCH($A30,'feed pars'!$B$6:$B$48,0),Q$1)&lt;&gt;"",Q$1&lt;&gt;""), INDEX('feed pars'!$C$6:$AT$48,MATCH($A30,'feed pars'!$B$6:$B$48,0),Q$1), "")</f>
        <v>27</v>
      </c>
      <c r="S30" s="42" t="str">
        <f aca="false">'feed pars'!$B33</f>
        <v>wheat bran, fine</v>
      </c>
      <c r="T30" s="1" t="s">
        <v>104</v>
      </c>
      <c r="V30" s="52" t="n">
        <f aca="false">IF(AND(INDEX('feed pars'!$C$6:$AT$48,MATCH($A30,'feed pars'!$B$6:$B$48,0),V$1)&lt;&gt;"",V$1&lt;&gt;""), INDEX('feed pars'!$C$6:$AT$48,MATCH($A30,'feed pars'!$B$6:$B$48,0),V$1), "")</f>
        <v>13.3</v>
      </c>
      <c r="W30" s="52" t="n">
        <f aca="false">IF(AND(INDEX('feed pars'!$C$6:$AT$48,MATCH($A30,'feed pars'!$B$6:$B$48,0),W$1)&lt;&gt;"",W$1&lt;&gt;""), INDEX('feed pars'!$C$6:$AT$48,MATCH($A30,'feed pars'!$B$6:$B$48,0),W$1), "")</f>
        <v>15.62761656</v>
      </c>
      <c r="X30" s="52" t="n">
        <f aca="false">IF(AND(INDEX('feed pars'!$C$6:$AT$48,MATCH($A30,'feed pars'!$B$6:$B$48,0),X$1)&lt;&gt;"",X$1&lt;&gt;""), INDEX('feed pars'!$C$6:$AT$48,MATCH($A30,'feed pars'!$B$6:$B$48,0),X$1), "")</f>
        <v>27</v>
      </c>
      <c r="Z30" s="42" t="str">
        <f aca="false">'feed pars'!$B33</f>
        <v>wheat bran, fine</v>
      </c>
      <c r="AA30" s="1" t="s">
        <v>102</v>
      </c>
      <c r="AC30" s="52" t="n">
        <f aca="false">IF(AND(INDEX('feed pars'!$C$6:$AT$48,MATCH($A30,'feed pars'!$B$6:$B$48,0),AC$1)&lt;&gt;"",AC$1&lt;&gt;""), INDEX('feed pars'!$C$6:$AT$48,MATCH($A30,'feed pars'!$B$6:$B$48,0),AC$1), "")</f>
        <v>13.3</v>
      </c>
      <c r="AD30" s="52" t="n">
        <f aca="false">IF(AND(INDEX('feed pars'!$C$6:$AT$48,MATCH($A30,'feed pars'!$B$6:$B$48,0),AD$1)&lt;&gt;"",AD$1&lt;&gt;""), INDEX('feed pars'!$C$6:$AT$48,MATCH($A30,'feed pars'!$B$6:$B$48,0),AD$1), "")</f>
        <v>15.62761656</v>
      </c>
      <c r="AE30" s="52" t="n">
        <f aca="false">IF(AND(INDEX('feed pars'!$C$6:$AT$48,MATCH($A30,'feed pars'!$B$6:$B$48,0),AE$1)&lt;&gt;"",AE$1&lt;&gt;""), INDEX('feed pars'!$C$6:$AT$48,MATCH($A30,'feed pars'!$B$6:$B$48,0),AE$1), "")</f>
        <v>27</v>
      </c>
      <c r="AG30" s="42" t="str">
        <f aca="false">'feed pars'!$B33</f>
        <v>wheat bran, fine</v>
      </c>
      <c r="AH30" s="1" t="s">
        <v>83</v>
      </c>
      <c r="AI30" s="52"/>
      <c r="AJ30" s="52" t="n">
        <f aca="false">IF(AND(INDEX('feed pars'!$C$6:$AT$48,MATCH($A30,'feed pars'!$B$6:$B$48,0),AJ$1)&lt;&gt;"",AJ$1&lt;&gt;""), INDEX('feed pars'!$C$6:$AT$48,MATCH($A30,'feed pars'!$B$6:$B$48,0),AJ$1), "")</f>
        <v>8.7</v>
      </c>
      <c r="AK30" s="52" t="n">
        <f aca="false">IF(AND(INDEX('feed pars'!$C$6:$AT$48,MATCH($A30,'feed pars'!$B$6:$B$48,0),AK$1)&lt;&gt;"",AK$1&lt;&gt;""), INDEX('feed pars'!$C$6:$AT$48,MATCH($A30,'feed pars'!$B$6:$B$48,0),AK$1), "")</f>
        <v>17.5</v>
      </c>
      <c r="AM30" s="42" t="str">
        <f aca="false">'feed pars'!$B33</f>
        <v>wheat bran, fine</v>
      </c>
      <c r="AN30" s="1" t="s">
        <v>83</v>
      </c>
      <c r="AO30" s="1" t="s">
        <v>263</v>
      </c>
      <c r="AP30" s="52" t="n">
        <f aca="false">IF(AND(INDEX('feed pars'!$C$6:$AT$48,MATCH($A30,'feed pars'!$B$6:$B$48,0),AP$1)&lt;&gt;"",AP$1&lt;&gt;""), INDEX('feed pars'!$C$6:$AT$48,MATCH($A30,'feed pars'!$B$6:$B$48,0),AP$1), "")</f>
        <v>9.2</v>
      </c>
      <c r="AQ30" s="52" t="str">
        <f aca="false">IF(AND(INDEX('feed pars'!$C$6:$AT$48,MATCH($A30,'feed pars'!$B$6:$B$48,0),AQ$1)&lt;&gt;"",AQ$1&lt;&gt;""), INDEX('feed pars'!$C$6:$AT$48,MATCH($A30,'feed pars'!$B$6:$B$48,0),AQ$1), "")</f>
        <v/>
      </c>
      <c r="AS30" s="42" t="str">
        <f aca="false">'feed pars'!$B33</f>
        <v>wheat bran, fine</v>
      </c>
      <c r="AT30" s="1" t="s">
        <v>84</v>
      </c>
      <c r="AV30" s="42" t="n">
        <f aca="false">IF(AND(INDEX('feed pars'!$C$6:$AT$48,MATCH($A30,'feed pars'!$B$6:$B$48,0),AV$1)&lt;&gt;"",AV$1&lt;&gt;""), INDEX('feed pars'!$C$6:$AT$48,MATCH($A30,'feed pars'!$B$6:$B$48,0),AV$1), "")</f>
        <v>14.0229885057471</v>
      </c>
    </row>
    <row r="31" customFormat="false" ht="15" hidden="false" customHeight="false" outlineLevel="0" collapsed="false">
      <c r="A31" s="1" t="str">
        <f aca="false">'feed pars'!$B34</f>
        <v>oat hulls</v>
      </c>
      <c r="D31" s="42" t="n">
        <f aca="false">IF(AND(INDEX('feed pars'!$C$6:$AT$48,MATCH($A31,'feed pars'!$B$6:$B$48,0),D$1)&lt;&gt;"",D$1&lt;&gt;""), INDEX('feed pars'!$C$6:$AT$48,MATCH($A31,'feed pars'!$B$6:$B$48,0),D$1), "")</f>
        <v>16.8456208</v>
      </c>
      <c r="E31" s="42" t="n">
        <f aca="false">IF(AND(INDEX('feed pars'!$C$6:$AT$48,MATCH($A31,'feed pars'!$B$6:$B$48,0),E$1)&lt;&gt;"",E$1&lt;&gt;""), INDEX('feed pars'!$C$6:$AT$48,MATCH($A31,'feed pars'!$B$6:$B$48,0),E$1), "")</f>
        <v>5</v>
      </c>
      <c r="F31" s="42" t="n">
        <f aca="false">IF(AND(INDEX('feed pars'!$C$6:$AT$48,MATCH($A31,'feed pars'!$B$6:$B$48,0),F$1)&lt;&gt;"",F$1&lt;&gt;""), INDEX('feed pars'!$C$6:$AT$48,MATCH($A31,'feed pars'!$B$6:$B$48,0),F$1), "")</f>
        <v>0.416</v>
      </c>
      <c r="G31" s="42" t="n">
        <f aca="false">IF(AND(INDEX('feed pars'!$C$6:$AT$48,MATCH($A31,'feed pars'!$B$6:$B$48,0),G$1)&lt;&gt;"",G$1&lt;&gt;""), INDEX('feed pars'!$C$6:$AT$48,MATCH($A31,'feed pars'!$B$6:$B$48,0),G$1), "")</f>
        <v>0.44</v>
      </c>
      <c r="H31" s="42" t="n">
        <f aca="false">IF(AND(INDEX('feed pars'!$C$6:$AT$48,MATCH($A31,'feed pars'!$B$6:$B$48,0),H$1)&lt;&gt;"",H$1&lt;&gt;""), INDEX('feed pars'!$C$6:$AT$48,MATCH($A31,'feed pars'!$B$6:$B$48,0),H$1), "")</f>
        <v>0.6</v>
      </c>
      <c r="I31" s="42"/>
      <c r="J31" s="42" t="str">
        <f aca="false">'feed pars'!$B34</f>
        <v>oat hulls</v>
      </c>
      <c r="K31" s="1" t="s">
        <v>92</v>
      </c>
      <c r="M31" s="52" t="n">
        <f aca="false">IF(AND(INDEX('feed pars'!$C$6:$AT$48,MATCH($A31,'feed pars'!$B$6:$B$48,0),M$1)&lt;&gt;"",M$1&lt;&gt;""), INDEX('feed pars'!$C$6:$AT$48,MATCH($A31,'feed pars'!$B$6:$B$48,0),M$1), "")</f>
        <v>5.2</v>
      </c>
      <c r="N31" s="52" t="n">
        <f aca="false">IF(AND(INDEX('feed pars'!$C$6:$AT$48,MATCH($A31,'feed pars'!$B$6:$B$48,0),N$1)&lt;&gt;"",N$1&lt;&gt;""), INDEX('feed pars'!$C$6:$AT$48,MATCH($A31,'feed pars'!$B$6:$B$48,0),N$1), "")</f>
        <v>32</v>
      </c>
      <c r="O31" s="52" t="n">
        <f aca="false">IF(AND(INDEX('feed pars'!$C$6:$AT$48,MATCH($A31,'feed pars'!$B$6:$B$48,0),O$1)&lt;&gt;"",O$1&lt;&gt;""), INDEX('feed pars'!$C$6:$AT$48,MATCH($A31,'feed pars'!$B$6:$B$48,0),O$1), "")</f>
        <v>-8</v>
      </c>
      <c r="P31" s="52" t="n">
        <f aca="false">IF(AND(INDEX('feed pars'!$C$6:$AT$48,MATCH($A31,'feed pars'!$B$6:$B$48,0),P$1)&lt;&gt;"",P$1&lt;&gt;""), INDEX('feed pars'!$C$6:$AT$48,MATCH($A31,'feed pars'!$B$6:$B$48,0),P$1), "")</f>
        <v>6.2</v>
      </c>
      <c r="Q31" s="52" t="n">
        <f aca="false">IF(AND(INDEX('feed pars'!$C$6:$AT$48,MATCH($A31,'feed pars'!$B$6:$B$48,0),Q$1)&lt;&gt;"",Q$1&lt;&gt;""), INDEX('feed pars'!$C$6:$AT$48,MATCH($A31,'feed pars'!$B$6:$B$48,0),Q$1), "")</f>
        <v>20</v>
      </c>
      <c r="S31" s="42" t="str">
        <f aca="false">'feed pars'!$B34</f>
        <v>oat hulls</v>
      </c>
      <c r="T31" s="1" t="s">
        <v>104</v>
      </c>
      <c r="V31" s="52" t="n">
        <f aca="false">IF(AND(INDEX('feed pars'!$C$6:$AT$48,MATCH($A31,'feed pars'!$B$6:$B$48,0),V$1)&lt;&gt;"",V$1&lt;&gt;""), INDEX('feed pars'!$C$6:$AT$48,MATCH($A31,'feed pars'!$B$6:$B$48,0),V$1), "")</f>
        <v>5.2</v>
      </c>
      <c r="W31" s="52" t="n">
        <f aca="false">IF(AND(INDEX('feed pars'!$C$6:$AT$48,MATCH($A31,'feed pars'!$B$6:$B$48,0),W$1)&lt;&gt;"",W$1&lt;&gt;""), INDEX('feed pars'!$C$6:$AT$48,MATCH($A31,'feed pars'!$B$6:$B$48,0),W$1), "")</f>
        <v>6.2</v>
      </c>
      <c r="X31" s="52" t="n">
        <f aca="false">IF(AND(INDEX('feed pars'!$C$6:$AT$48,MATCH($A31,'feed pars'!$B$6:$B$48,0),X$1)&lt;&gt;"",X$1&lt;&gt;""), INDEX('feed pars'!$C$6:$AT$48,MATCH($A31,'feed pars'!$B$6:$B$48,0),X$1), "")</f>
        <v>20</v>
      </c>
      <c r="Z31" s="42" t="str">
        <f aca="false">'feed pars'!$B34</f>
        <v>oat hulls</v>
      </c>
      <c r="AA31" s="1" t="s">
        <v>102</v>
      </c>
      <c r="AC31" s="52" t="n">
        <f aca="false">IF(AND(INDEX('feed pars'!$C$6:$AT$48,MATCH($A31,'feed pars'!$B$6:$B$48,0),AC$1)&lt;&gt;"",AC$1&lt;&gt;""), INDEX('feed pars'!$C$6:$AT$48,MATCH($A31,'feed pars'!$B$6:$B$48,0),AC$1), "")</f>
        <v>5.2</v>
      </c>
      <c r="AD31" s="52" t="n">
        <f aca="false">IF(AND(INDEX('feed pars'!$C$6:$AT$48,MATCH($A31,'feed pars'!$B$6:$B$48,0),AD$1)&lt;&gt;"",AD$1&lt;&gt;""), INDEX('feed pars'!$C$6:$AT$48,MATCH($A31,'feed pars'!$B$6:$B$48,0),AD$1), "")</f>
        <v>6.2</v>
      </c>
      <c r="AE31" s="52" t="n">
        <f aca="false">IF(AND(INDEX('feed pars'!$C$6:$AT$48,MATCH($A31,'feed pars'!$B$6:$B$48,0),AE$1)&lt;&gt;"",AE$1&lt;&gt;""), INDEX('feed pars'!$C$6:$AT$48,MATCH($A31,'feed pars'!$B$6:$B$48,0),AE$1), "")</f>
        <v>20</v>
      </c>
      <c r="AG31" s="42" t="str">
        <f aca="false">'feed pars'!$B34</f>
        <v>oat hulls</v>
      </c>
      <c r="AH31" s="1" t="s">
        <v>83</v>
      </c>
      <c r="AI31" s="52"/>
      <c r="AJ31" s="52" t="str">
        <f aca="false">IF(AND(INDEX('feed pars'!$C$6:$AT$48,MATCH($A31,'feed pars'!$B$6:$B$48,0),AJ$1)&lt;&gt;"",AJ$1&lt;&gt;""), INDEX('feed pars'!$C$6:$AT$48,MATCH($A31,'feed pars'!$B$6:$B$48,0),AJ$1), "")</f>
        <v/>
      </c>
      <c r="AK31" s="52" t="str">
        <f aca="false">IF(AND(INDEX('feed pars'!$C$6:$AT$48,MATCH($A31,'feed pars'!$B$6:$B$48,0),AK$1)&lt;&gt;"",AK$1&lt;&gt;""), INDEX('feed pars'!$C$6:$AT$48,MATCH($A31,'feed pars'!$B$6:$B$48,0),AK$1), "")</f>
        <v/>
      </c>
      <c r="AM31" s="42" t="str">
        <f aca="false">'feed pars'!$B34</f>
        <v>oat hulls</v>
      </c>
      <c r="AN31" s="1" t="s">
        <v>83</v>
      </c>
      <c r="AO31" s="1" t="s">
        <v>263</v>
      </c>
      <c r="AP31" s="52" t="str">
        <f aca="false">IF(AND(INDEX('feed pars'!$C$6:$AT$48,MATCH($A31,'feed pars'!$B$6:$B$48,0),AP$1)&lt;&gt;"",AP$1&lt;&gt;""), INDEX('feed pars'!$C$6:$AT$48,MATCH($A31,'feed pars'!$B$6:$B$48,0),AP$1), "")</f>
        <v/>
      </c>
      <c r="AQ31" s="52" t="str">
        <f aca="false">IF(AND(INDEX('feed pars'!$C$6:$AT$48,MATCH($A31,'feed pars'!$B$6:$B$48,0),AQ$1)&lt;&gt;"",AQ$1&lt;&gt;""), INDEX('feed pars'!$C$6:$AT$48,MATCH($A31,'feed pars'!$B$6:$B$48,0),AQ$1), "")</f>
        <v/>
      </c>
      <c r="AS31" s="42" t="str">
        <f aca="false">'feed pars'!$B34</f>
        <v>oat hulls</v>
      </c>
      <c r="AT31" s="1" t="s">
        <v>84</v>
      </c>
      <c r="AV31" s="42" t="str">
        <f aca="false">IF(AND(INDEX('feed pars'!$C$6:$AT$48,MATCH($A31,'feed pars'!$B$6:$B$48,0),AV$1)&lt;&gt;"",AV$1&lt;&gt;""), INDEX('feed pars'!$C$6:$AT$48,MATCH($A31,'feed pars'!$B$6:$B$48,0),AV$1), "")</f>
        <v/>
      </c>
    </row>
    <row r="32" customFormat="false" ht="15" hidden="false" customHeight="false" outlineLevel="0" collapsed="false">
      <c r="A32" s="1" t="str">
        <f aca="false">'feed pars'!$B35</f>
        <v>oat bran</v>
      </c>
      <c r="D32" s="42" t="n">
        <f aca="false">IF(AND(INDEX('feed pars'!$C$6:$AT$48,MATCH($A32,'feed pars'!$B$6:$B$48,0),D$1)&lt;&gt;"",D$1&lt;&gt;""), INDEX('feed pars'!$C$6:$AT$48,MATCH($A32,'feed pars'!$B$6:$B$48,0),D$1), "")</f>
        <v>17.3422616</v>
      </c>
      <c r="E32" s="42" t="n">
        <f aca="false">IF(AND(INDEX('feed pars'!$C$6:$AT$48,MATCH($A32,'feed pars'!$B$6:$B$48,0),E$1)&lt;&gt;"",E$1&lt;&gt;""), INDEX('feed pars'!$C$6:$AT$48,MATCH($A32,'feed pars'!$B$6:$B$48,0),E$1), "")</f>
        <v>5.5</v>
      </c>
      <c r="F32" s="42" t="n">
        <f aca="false">IF(AND(INDEX('feed pars'!$C$6:$AT$48,MATCH($A32,'feed pars'!$B$6:$B$48,0),F$1)&lt;&gt;"",F$1&lt;&gt;""), INDEX('feed pars'!$C$6:$AT$48,MATCH($A32,'feed pars'!$B$6:$B$48,0),F$1), "")</f>
        <v>1.008</v>
      </c>
      <c r="G32" s="42" t="n">
        <f aca="false">IF(AND(INDEX('feed pars'!$C$6:$AT$48,MATCH($A32,'feed pars'!$B$6:$B$48,0),G$1)&lt;&gt;"",G$1&lt;&gt;""), INDEX('feed pars'!$C$6:$AT$48,MATCH($A32,'feed pars'!$B$6:$B$48,0),G$1), "")</f>
        <v>0.77</v>
      </c>
      <c r="H32" s="42" t="n">
        <f aca="false">IF(AND(INDEX('feed pars'!$C$6:$AT$48,MATCH($A32,'feed pars'!$B$6:$B$48,0),H$1)&lt;&gt;"",H$1&lt;&gt;""), INDEX('feed pars'!$C$6:$AT$48,MATCH($A32,'feed pars'!$B$6:$B$48,0),H$1), "")</f>
        <v>0</v>
      </c>
      <c r="I32" s="42"/>
      <c r="J32" s="42" t="str">
        <f aca="false">'feed pars'!$B35</f>
        <v>oat bran</v>
      </c>
      <c r="K32" s="1" t="s">
        <v>92</v>
      </c>
      <c r="M32" s="52" t="n">
        <f aca="false">IF(AND(INDEX('feed pars'!$C$6:$AT$48,MATCH($A32,'feed pars'!$B$6:$B$48,0),M$1)&lt;&gt;"",M$1&lt;&gt;""), INDEX('feed pars'!$C$6:$AT$48,MATCH($A32,'feed pars'!$B$6:$B$48,0),M$1), "")</f>
        <v>7.2</v>
      </c>
      <c r="N32" s="52" t="n">
        <f aca="false">IF(AND(INDEX('feed pars'!$C$6:$AT$48,MATCH($A32,'feed pars'!$B$6:$B$48,0),N$1)&lt;&gt;"",N$1&lt;&gt;""), INDEX('feed pars'!$C$6:$AT$48,MATCH($A32,'feed pars'!$B$6:$B$48,0),N$1), "")</f>
        <v>56</v>
      </c>
      <c r="O32" s="52" t="n">
        <f aca="false">IF(AND(INDEX('feed pars'!$C$6:$AT$48,MATCH($A32,'feed pars'!$B$6:$B$48,0),O$1)&lt;&gt;"",O$1&lt;&gt;""), INDEX('feed pars'!$C$6:$AT$48,MATCH($A32,'feed pars'!$B$6:$B$48,0),O$1), "")</f>
        <v>-28</v>
      </c>
      <c r="P32" s="52" t="n">
        <f aca="false">IF(AND(INDEX('feed pars'!$C$6:$AT$48,MATCH($A32,'feed pars'!$B$6:$B$48,0),P$1)&lt;&gt;"",P$1&lt;&gt;""), INDEX('feed pars'!$C$6:$AT$48,MATCH($A32,'feed pars'!$B$6:$B$48,0),P$1), "")</f>
        <v>8.4</v>
      </c>
      <c r="Q32" s="52" t="n">
        <f aca="false">IF(AND(INDEX('feed pars'!$C$6:$AT$48,MATCH($A32,'feed pars'!$B$6:$B$48,0),Q$1)&lt;&gt;"",Q$1&lt;&gt;""), INDEX('feed pars'!$C$6:$AT$48,MATCH($A32,'feed pars'!$B$6:$B$48,0),Q$1), "")</f>
        <v>32</v>
      </c>
      <c r="S32" s="42" t="str">
        <f aca="false">'feed pars'!$B35</f>
        <v>oat bran</v>
      </c>
      <c r="T32" s="1" t="s">
        <v>104</v>
      </c>
      <c r="V32" s="52" t="n">
        <f aca="false">IF(AND(INDEX('feed pars'!$C$6:$AT$48,MATCH($A32,'feed pars'!$B$6:$B$48,0),V$1)&lt;&gt;"",V$1&lt;&gt;""), INDEX('feed pars'!$C$6:$AT$48,MATCH($A32,'feed pars'!$B$6:$B$48,0),V$1), "")</f>
        <v>7.2</v>
      </c>
      <c r="W32" s="52" t="n">
        <f aca="false">IF(AND(INDEX('feed pars'!$C$6:$AT$48,MATCH($A32,'feed pars'!$B$6:$B$48,0),W$1)&lt;&gt;"",W$1&lt;&gt;""), INDEX('feed pars'!$C$6:$AT$48,MATCH($A32,'feed pars'!$B$6:$B$48,0),W$1), "")</f>
        <v>8.4</v>
      </c>
      <c r="X32" s="52" t="n">
        <f aca="false">IF(AND(INDEX('feed pars'!$C$6:$AT$48,MATCH($A32,'feed pars'!$B$6:$B$48,0),X$1)&lt;&gt;"",X$1&lt;&gt;""), INDEX('feed pars'!$C$6:$AT$48,MATCH($A32,'feed pars'!$B$6:$B$48,0),X$1), "")</f>
        <v>32</v>
      </c>
      <c r="Z32" s="42" t="str">
        <f aca="false">'feed pars'!$B35</f>
        <v>oat bran</v>
      </c>
      <c r="AA32" s="1" t="s">
        <v>102</v>
      </c>
      <c r="AC32" s="52" t="n">
        <f aca="false">IF(AND(INDEX('feed pars'!$C$6:$AT$48,MATCH($A32,'feed pars'!$B$6:$B$48,0),AC$1)&lt;&gt;"",AC$1&lt;&gt;""), INDEX('feed pars'!$C$6:$AT$48,MATCH($A32,'feed pars'!$B$6:$B$48,0),AC$1), "")</f>
        <v>7.2</v>
      </c>
      <c r="AD32" s="52" t="n">
        <f aca="false">IF(AND(INDEX('feed pars'!$C$6:$AT$48,MATCH($A32,'feed pars'!$B$6:$B$48,0),AD$1)&lt;&gt;"",AD$1&lt;&gt;""), INDEX('feed pars'!$C$6:$AT$48,MATCH($A32,'feed pars'!$B$6:$B$48,0),AD$1), "")</f>
        <v>8.4</v>
      </c>
      <c r="AE32" s="52" t="n">
        <f aca="false">IF(AND(INDEX('feed pars'!$C$6:$AT$48,MATCH($A32,'feed pars'!$B$6:$B$48,0),AE$1)&lt;&gt;"",AE$1&lt;&gt;""), INDEX('feed pars'!$C$6:$AT$48,MATCH($A32,'feed pars'!$B$6:$B$48,0),AE$1), "")</f>
        <v>32</v>
      </c>
      <c r="AG32" s="42" t="str">
        <f aca="false">'feed pars'!$B35</f>
        <v>oat bran</v>
      </c>
      <c r="AH32" s="1" t="s">
        <v>83</v>
      </c>
      <c r="AI32" s="52"/>
      <c r="AJ32" s="52" t="str">
        <f aca="false">IF(AND(INDEX('feed pars'!$C$6:$AT$48,MATCH($A32,'feed pars'!$B$6:$B$48,0),AJ$1)&lt;&gt;"",AJ$1&lt;&gt;""), INDEX('feed pars'!$C$6:$AT$48,MATCH($A32,'feed pars'!$B$6:$B$48,0),AJ$1), "")</f>
        <v/>
      </c>
      <c r="AK32" s="52" t="str">
        <f aca="false">IF(AND(INDEX('feed pars'!$C$6:$AT$48,MATCH($A32,'feed pars'!$B$6:$B$48,0),AK$1)&lt;&gt;"",AK$1&lt;&gt;""), INDEX('feed pars'!$C$6:$AT$48,MATCH($A32,'feed pars'!$B$6:$B$48,0),AK$1), "")</f>
        <v/>
      </c>
      <c r="AM32" s="42" t="str">
        <f aca="false">'feed pars'!$B35</f>
        <v>oat bran</v>
      </c>
      <c r="AN32" s="1" t="s">
        <v>83</v>
      </c>
      <c r="AO32" s="1" t="s">
        <v>263</v>
      </c>
      <c r="AP32" s="52" t="str">
        <f aca="false">IF(AND(INDEX('feed pars'!$C$6:$AT$48,MATCH($A32,'feed pars'!$B$6:$B$48,0),AP$1)&lt;&gt;"",AP$1&lt;&gt;""), INDEX('feed pars'!$C$6:$AT$48,MATCH($A32,'feed pars'!$B$6:$B$48,0),AP$1), "")</f>
        <v/>
      </c>
      <c r="AQ32" s="52" t="str">
        <f aca="false">IF(AND(INDEX('feed pars'!$C$6:$AT$48,MATCH($A32,'feed pars'!$B$6:$B$48,0),AQ$1)&lt;&gt;"",AQ$1&lt;&gt;""), INDEX('feed pars'!$C$6:$AT$48,MATCH($A32,'feed pars'!$B$6:$B$48,0),AQ$1), "")</f>
        <v/>
      </c>
      <c r="AS32" s="42" t="str">
        <f aca="false">'feed pars'!$B35</f>
        <v>oat bran</v>
      </c>
      <c r="AT32" s="1" t="s">
        <v>84</v>
      </c>
      <c r="AV32" s="42" t="str">
        <f aca="false">IF(AND(INDEX('feed pars'!$C$6:$AT$48,MATCH($A32,'feed pars'!$B$6:$B$48,0),AV$1)&lt;&gt;"",AV$1&lt;&gt;""), INDEX('feed pars'!$C$6:$AT$48,MATCH($A32,'feed pars'!$B$6:$B$48,0),AV$1), "")</f>
        <v/>
      </c>
    </row>
    <row r="33" customFormat="false" ht="15" hidden="false" customHeight="false" outlineLevel="0" collapsed="false">
      <c r="A33" s="1" t="str">
        <f aca="false">'feed pars'!$B36</f>
        <v>rye bran</v>
      </c>
      <c r="D33" s="42" t="n">
        <f aca="false">IF(AND(INDEX('feed pars'!$C$6:$AT$48,MATCH($A33,'feed pars'!$B$6:$B$48,0),D$1)&lt;&gt;"",D$1&lt;&gt;""), INDEX('feed pars'!$C$6:$AT$48,MATCH($A33,'feed pars'!$B$6:$B$48,0),D$1), "")</f>
        <v>18.340564</v>
      </c>
      <c r="E33" s="42" t="n">
        <f aca="false">IF(AND(INDEX('feed pars'!$C$6:$AT$48,MATCH($A33,'feed pars'!$B$6:$B$48,0),E$1)&lt;&gt;"",E$1&lt;&gt;""), INDEX('feed pars'!$C$6:$AT$48,MATCH($A33,'feed pars'!$B$6:$B$48,0),E$1), "")</f>
        <v>4.5</v>
      </c>
      <c r="F33" s="42" t="n">
        <f aca="false">IF(AND(INDEX('feed pars'!$C$6:$AT$48,MATCH($A33,'feed pars'!$B$6:$B$48,0),F$1)&lt;&gt;"",F$1&lt;&gt;""), INDEX('feed pars'!$C$6:$AT$48,MATCH($A33,'feed pars'!$B$6:$B$48,0),F$1), "")</f>
        <v>2.56</v>
      </c>
      <c r="G33" s="42" t="n">
        <f aca="false">IF(AND(INDEX('feed pars'!$C$6:$AT$48,MATCH($A33,'feed pars'!$B$6:$B$48,0),G$1)&lt;&gt;"",G$1&lt;&gt;""), INDEX('feed pars'!$C$6:$AT$48,MATCH($A33,'feed pars'!$B$6:$B$48,0),G$1), "")</f>
        <v>1.11</v>
      </c>
      <c r="H33" s="42" t="n">
        <f aca="false">IF(AND(INDEX('feed pars'!$C$6:$AT$48,MATCH($A33,'feed pars'!$B$6:$B$48,0),H$1)&lt;&gt;"",H$1&lt;&gt;""), INDEX('feed pars'!$C$6:$AT$48,MATCH($A33,'feed pars'!$B$6:$B$48,0),H$1), "")</f>
        <v>1.6</v>
      </c>
      <c r="J33" s="42" t="str">
        <f aca="false">'feed pars'!$B36</f>
        <v>rye bran</v>
      </c>
      <c r="K33" s="1" t="s">
        <v>92</v>
      </c>
      <c r="M33" s="52" t="n">
        <f aca="false">IF(AND(INDEX('feed pars'!$C$6:$AT$48,MATCH($A33,'feed pars'!$B$6:$B$48,0),M$1)&lt;&gt;"",M$1&lt;&gt;""), INDEX('feed pars'!$C$6:$AT$48,MATCH($A33,'feed pars'!$B$6:$B$48,0),M$1), "")</f>
        <v>11.6</v>
      </c>
      <c r="N33" s="52" t="n">
        <f aca="false">IF(AND(INDEX('feed pars'!$C$6:$AT$48,MATCH($A33,'feed pars'!$B$6:$B$48,0),N$1)&lt;&gt;"",N$1&lt;&gt;""), INDEX('feed pars'!$C$6:$AT$48,MATCH($A33,'feed pars'!$B$6:$B$48,0),N$1), "")</f>
        <v>78</v>
      </c>
      <c r="O33" s="52" t="n">
        <f aca="false">IF(AND(INDEX('feed pars'!$C$6:$AT$48,MATCH($A33,'feed pars'!$B$6:$B$48,0),O$1)&lt;&gt;"",O$1&lt;&gt;""), INDEX('feed pars'!$C$6:$AT$48,MATCH($A33,'feed pars'!$B$6:$B$48,0),O$1), "")</f>
        <v>34</v>
      </c>
      <c r="P33" s="52" t="n">
        <f aca="false">IF(AND(INDEX('feed pars'!$C$6:$AT$48,MATCH($A33,'feed pars'!$B$6:$B$48,0),P$1)&lt;&gt;"",P$1&lt;&gt;""), INDEX('feed pars'!$C$6:$AT$48,MATCH($A33,'feed pars'!$B$6:$B$48,0),P$1), "")</f>
        <v>13.2</v>
      </c>
      <c r="Q33" s="52" t="n">
        <f aca="false">IF(AND(INDEX('feed pars'!$C$6:$AT$48,MATCH($A33,'feed pars'!$B$6:$B$48,0),Q$1)&lt;&gt;"",Q$1&lt;&gt;""), INDEX('feed pars'!$C$6:$AT$48,MATCH($A33,'feed pars'!$B$6:$B$48,0),Q$1), "")</f>
        <v>40</v>
      </c>
      <c r="S33" s="42" t="str">
        <f aca="false">'feed pars'!$B36</f>
        <v>rye bran</v>
      </c>
      <c r="T33" s="1" t="s">
        <v>104</v>
      </c>
      <c r="V33" s="52" t="n">
        <f aca="false">IF(AND(INDEX('feed pars'!$C$6:$AT$48,MATCH($A33,'feed pars'!$B$6:$B$48,0),V$1)&lt;&gt;"",V$1&lt;&gt;""), INDEX('feed pars'!$C$6:$AT$48,MATCH($A33,'feed pars'!$B$6:$B$48,0),V$1), "")</f>
        <v>11.6</v>
      </c>
      <c r="W33" s="52" t="n">
        <f aca="false">IF(AND(INDEX('feed pars'!$C$6:$AT$48,MATCH($A33,'feed pars'!$B$6:$B$48,0),W$1)&lt;&gt;"",W$1&lt;&gt;""), INDEX('feed pars'!$C$6:$AT$48,MATCH($A33,'feed pars'!$B$6:$B$48,0),W$1), "")</f>
        <v>13.2</v>
      </c>
      <c r="X33" s="52" t="n">
        <f aca="false">IF(AND(INDEX('feed pars'!$C$6:$AT$48,MATCH($A33,'feed pars'!$B$6:$B$48,0),X$1)&lt;&gt;"",X$1&lt;&gt;""), INDEX('feed pars'!$C$6:$AT$48,MATCH($A33,'feed pars'!$B$6:$B$48,0),X$1), "")</f>
        <v>40</v>
      </c>
      <c r="Z33" s="42" t="str">
        <f aca="false">'feed pars'!$B36</f>
        <v>rye bran</v>
      </c>
      <c r="AA33" s="1" t="s">
        <v>102</v>
      </c>
      <c r="AC33" s="52" t="n">
        <f aca="false">IF(AND(INDEX('feed pars'!$C$6:$AT$48,MATCH($A33,'feed pars'!$B$6:$B$48,0),AC$1)&lt;&gt;"",AC$1&lt;&gt;""), INDEX('feed pars'!$C$6:$AT$48,MATCH($A33,'feed pars'!$B$6:$B$48,0),AC$1), "")</f>
        <v>11.6</v>
      </c>
      <c r="AD33" s="52" t="n">
        <f aca="false">IF(AND(INDEX('feed pars'!$C$6:$AT$48,MATCH($A33,'feed pars'!$B$6:$B$48,0),AD$1)&lt;&gt;"",AD$1&lt;&gt;""), INDEX('feed pars'!$C$6:$AT$48,MATCH($A33,'feed pars'!$B$6:$B$48,0),AD$1), "")</f>
        <v>13.2</v>
      </c>
      <c r="AE33" s="52" t="n">
        <f aca="false">IF(AND(INDEX('feed pars'!$C$6:$AT$48,MATCH($A33,'feed pars'!$B$6:$B$48,0),AE$1)&lt;&gt;"",AE$1&lt;&gt;""), INDEX('feed pars'!$C$6:$AT$48,MATCH($A33,'feed pars'!$B$6:$B$48,0),AE$1), "")</f>
        <v>40</v>
      </c>
      <c r="AG33" s="42" t="str">
        <f aca="false">'feed pars'!$B36</f>
        <v>rye bran</v>
      </c>
      <c r="AH33" s="1" t="s">
        <v>83</v>
      </c>
      <c r="AJ33" s="1" t="str">
        <f aca="false">IF(AND(INDEX('feed pars'!$C$6:$AT$48,MATCH($A33,'feed pars'!$B$6:$B$48,0),AJ$1)&lt;&gt;"",AJ$1&lt;&gt;""), INDEX('feed pars'!$C$6:$AT$48,MATCH($A33,'feed pars'!$B$6:$B$48,0),AJ$1), "")</f>
        <v/>
      </c>
      <c r="AK33" s="1" t="str">
        <f aca="false">IF(AND(INDEX('feed pars'!$C$6:$AT$48,MATCH($A33,'feed pars'!$B$6:$B$48,0),AK$1)&lt;&gt;"",AK$1&lt;&gt;""), INDEX('feed pars'!$C$6:$AT$48,MATCH($A33,'feed pars'!$B$6:$B$48,0),AK$1), "")</f>
        <v/>
      </c>
      <c r="AM33" s="42" t="str">
        <f aca="false">'feed pars'!$B36</f>
        <v>rye bran</v>
      </c>
      <c r="AN33" s="1" t="s">
        <v>83</v>
      </c>
      <c r="AO33" s="1" t="s">
        <v>263</v>
      </c>
      <c r="AP33" s="52" t="str">
        <f aca="false">IF(AND(INDEX('feed pars'!$C$6:$AT$48,MATCH($A33,'feed pars'!$B$6:$B$48,0),AP$1)&lt;&gt;"",AP$1&lt;&gt;""), INDEX('feed pars'!$C$6:$AT$48,MATCH($A33,'feed pars'!$B$6:$B$48,0),AP$1), "")</f>
        <v/>
      </c>
      <c r="AQ33" s="52" t="str">
        <f aca="false">IF(AND(INDEX('feed pars'!$C$6:$AT$48,MATCH($A33,'feed pars'!$B$6:$B$48,0),AQ$1)&lt;&gt;"",AQ$1&lt;&gt;""), INDEX('feed pars'!$C$6:$AT$48,MATCH($A33,'feed pars'!$B$6:$B$48,0),AQ$1), "")</f>
        <v/>
      </c>
      <c r="AS33" s="42" t="str">
        <f aca="false">'feed pars'!$B36</f>
        <v>rye bran</v>
      </c>
      <c r="AT33" s="1" t="s">
        <v>84</v>
      </c>
      <c r="AV33" s="1" t="str">
        <f aca="false">IF(AND(INDEX('feed pars'!$C$6:$AT$48,MATCH($A33,'feed pars'!$B$6:$B$48,0),AV$1)&lt;&gt;"",AV$1&lt;&gt;""), INDEX('feed pars'!$C$6:$AT$48,MATCH($A33,'feed pars'!$B$6:$B$48,0),AV$1), "")</f>
        <v/>
      </c>
    </row>
    <row r="34" customFormat="false" ht="15" hidden="false" customHeight="false" outlineLevel="0" collapsed="false">
      <c r="A34" s="1" t="str">
        <f aca="false">'feed pars'!$B37</f>
        <v>wheat distillers grain, dry</v>
      </c>
      <c r="D34" s="42" t="n">
        <f aca="false">IF(AND(INDEX('feed pars'!$C$6:$AT$48,MATCH($A34,'feed pars'!$B$6:$B$48,0),D$1)&lt;&gt;"",D$1&lt;&gt;""), INDEX('feed pars'!$C$6:$AT$48,MATCH($A34,'feed pars'!$B$6:$B$48,0),D$1), "")</f>
        <v>19.6597792</v>
      </c>
      <c r="E34" s="42" t="n">
        <f aca="false">IF(AND(INDEX('feed pars'!$C$6:$AT$48,MATCH($A34,'feed pars'!$B$6:$B$48,0),E$1)&lt;&gt;"",E$1&lt;&gt;""), INDEX('feed pars'!$C$6:$AT$48,MATCH($A34,'feed pars'!$B$6:$B$48,0),E$1), "")</f>
        <v>4.05</v>
      </c>
      <c r="F34" s="42" t="n">
        <f aca="false">IF(AND(INDEX('feed pars'!$C$6:$AT$48,MATCH($A34,'feed pars'!$B$6:$B$48,0),F$1)&lt;&gt;"",F$1&lt;&gt;""), INDEX('feed pars'!$C$6:$AT$48,MATCH($A34,'feed pars'!$B$6:$B$48,0),F$1), "")</f>
        <v>5.28</v>
      </c>
      <c r="G34" s="42" t="n">
        <f aca="false">IF(AND(INDEX('feed pars'!$C$6:$AT$48,MATCH($A34,'feed pars'!$B$6:$B$48,0),G$1)&lt;&gt;"",G$1&lt;&gt;""), INDEX('feed pars'!$C$6:$AT$48,MATCH($A34,'feed pars'!$B$6:$B$48,0),G$1), "")</f>
        <v>0.88</v>
      </c>
      <c r="H34" s="42" t="n">
        <f aca="false">IF(AND(INDEX('feed pars'!$C$6:$AT$48,MATCH($A34,'feed pars'!$B$6:$B$48,0),H$1)&lt;&gt;"",H$1&lt;&gt;""), INDEX('feed pars'!$C$6:$AT$48,MATCH($A34,'feed pars'!$B$6:$B$48,0),H$1), "")</f>
        <v>1.165</v>
      </c>
      <c r="I34" s="42"/>
      <c r="J34" s="42" t="str">
        <f aca="false">'feed pars'!$B37</f>
        <v>wheat distillers grain, dry</v>
      </c>
      <c r="K34" s="1" t="s">
        <v>92</v>
      </c>
      <c r="M34" s="52" t="n">
        <f aca="false">IF(AND(INDEX('feed pars'!$C$6:$AT$48,MATCH($A34,'feed pars'!$B$6:$B$48,0),M$1)&lt;&gt;"",M$1&lt;&gt;""), INDEX('feed pars'!$C$6:$AT$48,MATCH($A34,'feed pars'!$B$6:$B$48,0),M$1), "")</f>
        <v>13.3</v>
      </c>
      <c r="N34" s="52" t="n">
        <f aca="false">IF(AND(INDEX('feed pars'!$C$6:$AT$48,MATCH($A34,'feed pars'!$B$6:$B$48,0),N$1)&lt;&gt;"",N$1&lt;&gt;""), INDEX('feed pars'!$C$6:$AT$48,MATCH($A34,'feed pars'!$B$6:$B$48,0),N$1), "")</f>
        <v>116</v>
      </c>
      <c r="O34" s="52" t="n">
        <f aca="false">IF(AND(INDEX('feed pars'!$C$6:$AT$48,MATCH($A34,'feed pars'!$B$6:$B$48,0),O$1)&lt;&gt;"",O$1&lt;&gt;""), INDEX('feed pars'!$C$6:$AT$48,MATCH($A34,'feed pars'!$B$6:$B$48,0),O$1), "")</f>
        <v>142</v>
      </c>
      <c r="P34" s="52" t="n">
        <f aca="false">IF(AND(INDEX('feed pars'!$C$6:$AT$48,MATCH($A34,'feed pars'!$B$6:$B$48,0),P$1)&lt;&gt;"",P$1&lt;&gt;""), INDEX('feed pars'!$C$6:$AT$48,MATCH($A34,'feed pars'!$B$6:$B$48,0),P$1), "")</f>
        <v>15.7</v>
      </c>
      <c r="Q34" s="52" t="n">
        <f aca="false">IF(AND(INDEX('feed pars'!$C$6:$AT$48,MATCH($A34,'feed pars'!$B$6:$B$48,0),Q$1)&lt;&gt;"",Q$1&lt;&gt;""), INDEX('feed pars'!$C$6:$AT$48,MATCH($A34,'feed pars'!$B$6:$B$48,0),Q$1), "")</f>
        <v>45</v>
      </c>
      <c r="S34" s="42" t="str">
        <f aca="false">'feed pars'!$B37</f>
        <v>wheat distillers grain, dry</v>
      </c>
      <c r="T34" s="1" t="s">
        <v>104</v>
      </c>
      <c r="V34" s="52" t="n">
        <f aca="false">IF(AND(INDEX('feed pars'!$C$6:$AT$48,MATCH($A34,'feed pars'!$B$6:$B$48,0),V$1)&lt;&gt;"",V$1&lt;&gt;""), INDEX('feed pars'!$C$6:$AT$48,MATCH($A34,'feed pars'!$B$6:$B$48,0),V$1), "")</f>
        <v>13.3</v>
      </c>
      <c r="W34" s="52" t="n">
        <f aca="false">IF(AND(INDEX('feed pars'!$C$6:$AT$48,MATCH($A34,'feed pars'!$B$6:$B$48,0),W$1)&lt;&gt;"",W$1&lt;&gt;""), INDEX('feed pars'!$C$6:$AT$48,MATCH($A34,'feed pars'!$B$6:$B$48,0),W$1), "")</f>
        <v>15.7</v>
      </c>
      <c r="X34" s="52" t="n">
        <f aca="false">IF(AND(INDEX('feed pars'!$C$6:$AT$48,MATCH($A34,'feed pars'!$B$6:$B$48,0),X$1)&lt;&gt;"",X$1&lt;&gt;""), INDEX('feed pars'!$C$6:$AT$48,MATCH($A34,'feed pars'!$B$6:$B$48,0),X$1), "")</f>
        <v>45</v>
      </c>
      <c r="Z34" s="42" t="str">
        <f aca="false">'feed pars'!$B37</f>
        <v>wheat distillers grain, dry</v>
      </c>
      <c r="AA34" s="1" t="s">
        <v>102</v>
      </c>
      <c r="AC34" s="52" t="n">
        <f aca="false">IF(AND(INDEX('feed pars'!$C$6:$AT$48,MATCH($A34,'feed pars'!$B$6:$B$48,0),AC$1)&lt;&gt;"",AC$1&lt;&gt;""), INDEX('feed pars'!$C$6:$AT$48,MATCH($A34,'feed pars'!$B$6:$B$48,0),AC$1), "")</f>
        <v>13.3</v>
      </c>
      <c r="AD34" s="52" t="n">
        <f aca="false">IF(AND(INDEX('feed pars'!$C$6:$AT$48,MATCH($A34,'feed pars'!$B$6:$B$48,0),AD$1)&lt;&gt;"",AD$1&lt;&gt;""), INDEX('feed pars'!$C$6:$AT$48,MATCH($A34,'feed pars'!$B$6:$B$48,0),AD$1), "")</f>
        <v>15.7</v>
      </c>
      <c r="AE34" s="52" t="n">
        <f aca="false">IF(AND(INDEX('feed pars'!$C$6:$AT$48,MATCH($A34,'feed pars'!$B$6:$B$48,0),AE$1)&lt;&gt;"",AE$1&lt;&gt;""), INDEX('feed pars'!$C$6:$AT$48,MATCH($A34,'feed pars'!$B$6:$B$48,0),AE$1), "")</f>
        <v>45</v>
      </c>
      <c r="AG34" s="42" t="str">
        <f aca="false">'feed pars'!$B37</f>
        <v>wheat distillers grain, dry</v>
      </c>
      <c r="AH34" s="1" t="s">
        <v>83</v>
      </c>
      <c r="AI34" s="52"/>
      <c r="AJ34" s="52" t="n">
        <f aca="false">IF(AND(INDEX('feed pars'!$C$6:$AT$48,MATCH($A34,'feed pars'!$B$6:$B$48,0),AJ$1)&lt;&gt;"",AJ$1&lt;&gt;""), INDEX('feed pars'!$C$6:$AT$48,MATCH($A34,'feed pars'!$B$6:$B$48,0),AJ$1), "")</f>
        <v>8.1</v>
      </c>
      <c r="AK34" s="52" t="n">
        <f aca="false">IF(AND(INDEX('feed pars'!$C$6:$AT$48,MATCH($A34,'feed pars'!$B$6:$B$48,0),AK$1)&lt;&gt;"",AK$1&lt;&gt;""), INDEX('feed pars'!$C$6:$AT$48,MATCH($A34,'feed pars'!$B$6:$B$48,0),AK$1), "")</f>
        <v>13.9</v>
      </c>
      <c r="AM34" s="42" t="str">
        <f aca="false">'feed pars'!$B37</f>
        <v>wheat distillers grain, dry</v>
      </c>
      <c r="AN34" s="1" t="s">
        <v>83</v>
      </c>
      <c r="AO34" s="1" t="s">
        <v>263</v>
      </c>
      <c r="AP34" s="52" t="n">
        <f aca="false">IF(AND(INDEX('feed pars'!$C$6:$AT$48,MATCH($A34,'feed pars'!$B$6:$B$48,0),AP$1)&lt;&gt;"",AP$1&lt;&gt;""), INDEX('feed pars'!$C$6:$AT$48,MATCH($A34,'feed pars'!$B$6:$B$48,0),AP$1), "")</f>
        <v>8.7</v>
      </c>
      <c r="AQ34" s="52" t="str">
        <f aca="false">IF(AND(INDEX('feed pars'!$C$6:$AT$48,MATCH($A34,'feed pars'!$B$6:$B$48,0),AQ$1)&lt;&gt;"",AQ$1&lt;&gt;""), INDEX('feed pars'!$C$6:$AT$48,MATCH($A34,'feed pars'!$B$6:$B$48,0),AQ$1), "")</f>
        <v/>
      </c>
      <c r="AS34" s="42" t="str">
        <f aca="false">'feed pars'!$B37</f>
        <v>wheat distillers grain, dry</v>
      </c>
      <c r="AT34" s="1" t="s">
        <v>84</v>
      </c>
      <c r="AV34" s="42" t="str">
        <f aca="false">IF(AND(INDEX('feed pars'!$C$6:$AT$48,MATCH($A34,'feed pars'!$B$6:$B$48,0),AV$1)&lt;&gt;"",AV$1&lt;&gt;""), INDEX('feed pars'!$C$6:$AT$48,MATCH($A34,'feed pars'!$B$6:$B$48,0),AV$1), "")</f>
        <v/>
      </c>
    </row>
    <row r="35" customFormat="false" ht="15" hidden="false" customHeight="false" outlineLevel="0" collapsed="false">
      <c r="A35" s="1" t="str">
        <f aca="false">'feed pars'!$B38</f>
        <v>wheat distillers grain, wet</v>
      </c>
      <c r="D35" s="42" t="n">
        <f aca="false">IF(AND(INDEX('feed pars'!$C$6:$AT$48,MATCH($A35,'feed pars'!$B$6:$B$48,0),D$1)&lt;&gt;"",D$1&lt;&gt;""), INDEX('feed pars'!$C$6:$AT$48,MATCH($A35,'feed pars'!$B$6:$B$48,0),D$1), "")</f>
        <v>18.8602168</v>
      </c>
      <c r="E35" s="42" t="n">
        <f aca="false">IF(AND(INDEX('feed pars'!$C$6:$AT$48,MATCH($A35,'feed pars'!$B$6:$B$48,0),E$1)&lt;&gt;"",E$1&lt;&gt;""), INDEX('feed pars'!$C$6:$AT$48,MATCH($A35,'feed pars'!$B$6:$B$48,0),E$1), "")</f>
        <v>6.8</v>
      </c>
      <c r="F35" s="42" t="n">
        <f aca="false">IF(AND(INDEX('feed pars'!$C$6:$AT$48,MATCH($A35,'feed pars'!$B$6:$B$48,0),F$1)&lt;&gt;"",F$1&lt;&gt;""), INDEX('feed pars'!$C$6:$AT$48,MATCH($A35,'feed pars'!$B$6:$B$48,0),F$1), "")</f>
        <v>4.48</v>
      </c>
      <c r="G35" s="42" t="n">
        <f aca="false">IF(AND(INDEX('feed pars'!$C$6:$AT$48,MATCH($A35,'feed pars'!$B$6:$B$48,0),G$1)&lt;&gt;"",G$1&lt;&gt;""), INDEX('feed pars'!$C$6:$AT$48,MATCH($A35,'feed pars'!$B$6:$B$48,0),G$1), "")</f>
        <v>1.09</v>
      </c>
      <c r="H35" s="42" t="n">
        <f aca="false">IF(AND(INDEX('feed pars'!$C$6:$AT$48,MATCH($A35,'feed pars'!$B$6:$B$48,0),H$1)&lt;&gt;"",H$1&lt;&gt;""), INDEX('feed pars'!$C$6:$AT$48,MATCH($A35,'feed pars'!$B$6:$B$48,0),H$1), "")</f>
        <v>0</v>
      </c>
      <c r="I35" s="42"/>
      <c r="J35" s="42" t="str">
        <f aca="false">'feed pars'!$B38</f>
        <v>wheat distillers grain, wet</v>
      </c>
      <c r="K35" s="1" t="s">
        <v>92</v>
      </c>
      <c r="M35" s="52" t="str">
        <f aca="false">IF(AND(INDEX('feed pars'!$C$6:$AT$48,MATCH($A35,'feed pars'!$B$6:$B$48,0),M$1)&lt;&gt;"",M$1&lt;&gt;""), INDEX('feed pars'!$C$6:$AT$48,MATCH($A35,'feed pars'!$B$6:$B$48,0),M$1), "")</f>
        <v/>
      </c>
      <c r="N35" s="52" t="str">
        <f aca="false">IF(AND(INDEX('feed pars'!$C$6:$AT$48,MATCH($A35,'feed pars'!$B$6:$B$48,0),N$1)&lt;&gt;"",N$1&lt;&gt;""), INDEX('feed pars'!$C$6:$AT$48,MATCH($A35,'feed pars'!$B$6:$B$48,0),N$1), "")</f>
        <v/>
      </c>
      <c r="O35" s="52" t="str">
        <f aca="false">IF(AND(INDEX('feed pars'!$C$6:$AT$48,MATCH($A35,'feed pars'!$B$6:$B$48,0),O$1)&lt;&gt;"",O$1&lt;&gt;""), INDEX('feed pars'!$C$6:$AT$48,MATCH($A35,'feed pars'!$B$6:$B$48,0),O$1), "")</f>
        <v/>
      </c>
      <c r="P35" s="52" t="str">
        <f aca="false">IF(AND(INDEX('feed pars'!$C$6:$AT$48,MATCH($A35,'feed pars'!$B$6:$B$48,0),P$1)&lt;&gt;"",P$1&lt;&gt;""), INDEX('feed pars'!$C$6:$AT$48,MATCH($A35,'feed pars'!$B$6:$B$48,0),P$1), "")</f>
        <v/>
      </c>
      <c r="Q35" s="52" t="str">
        <f aca="false">IF(AND(INDEX('feed pars'!$C$6:$AT$48,MATCH($A35,'feed pars'!$B$6:$B$48,0),Q$1)&lt;&gt;"",Q$1&lt;&gt;""), INDEX('feed pars'!$C$6:$AT$48,MATCH($A35,'feed pars'!$B$6:$B$48,0),Q$1), "")</f>
        <v/>
      </c>
      <c r="S35" s="42" t="str">
        <f aca="false">'feed pars'!$B38</f>
        <v>wheat distillers grain, wet</v>
      </c>
      <c r="T35" s="1" t="s">
        <v>104</v>
      </c>
      <c r="V35" s="52" t="str">
        <f aca="false">IF(AND(INDEX('feed pars'!$C$6:$AT$48,MATCH($A35,'feed pars'!$B$6:$B$48,0),V$1)&lt;&gt;"",V$1&lt;&gt;""), INDEX('feed pars'!$C$6:$AT$48,MATCH($A35,'feed pars'!$B$6:$B$48,0),V$1), "")</f>
        <v/>
      </c>
      <c r="W35" s="52" t="str">
        <f aca="false">IF(AND(INDEX('feed pars'!$C$6:$AT$48,MATCH($A35,'feed pars'!$B$6:$B$48,0),W$1)&lt;&gt;"",W$1&lt;&gt;""), INDEX('feed pars'!$C$6:$AT$48,MATCH($A35,'feed pars'!$B$6:$B$48,0),W$1), "")</f>
        <v/>
      </c>
      <c r="X35" s="52" t="str">
        <f aca="false">IF(AND(INDEX('feed pars'!$C$6:$AT$48,MATCH($A35,'feed pars'!$B$6:$B$48,0),X$1)&lt;&gt;"",X$1&lt;&gt;""), INDEX('feed pars'!$C$6:$AT$48,MATCH($A35,'feed pars'!$B$6:$B$48,0),X$1), "")</f>
        <v/>
      </c>
      <c r="Z35" s="42" t="str">
        <f aca="false">'feed pars'!$B38</f>
        <v>wheat distillers grain, wet</v>
      </c>
      <c r="AA35" s="1" t="s">
        <v>102</v>
      </c>
      <c r="AC35" s="52" t="str">
        <f aca="false">IF(AND(INDEX('feed pars'!$C$6:$AT$48,MATCH($A35,'feed pars'!$B$6:$B$48,0),AC$1)&lt;&gt;"",AC$1&lt;&gt;""), INDEX('feed pars'!$C$6:$AT$48,MATCH($A35,'feed pars'!$B$6:$B$48,0),AC$1), "")</f>
        <v/>
      </c>
      <c r="AD35" s="52" t="str">
        <f aca="false">IF(AND(INDEX('feed pars'!$C$6:$AT$48,MATCH($A35,'feed pars'!$B$6:$B$48,0),AD$1)&lt;&gt;"",AD$1&lt;&gt;""), INDEX('feed pars'!$C$6:$AT$48,MATCH($A35,'feed pars'!$B$6:$B$48,0),AD$1), "")</f>
        <v/>
      </c>
      <c r="AE35" s="52" t="str">
        <f aca="false">IF(AND(INDEX('feed pars'!$C$6:$AT$48,MATCH($A35,'feed pars'!$B$6:$B$48,0),AE$1)&lt;&gt;"",AE$1&lt;&gt;""), INDEX('feed pars'!$C$6:$AT$48,MATCH($A35,'feed pars'!$B$6:$B$48,0),AE$1), "")</f>
        <v/>
      </c>
      <c r="AG35" s="42" t="str">
        <f aca="false">'feed pars'!$B38</f>
        <v>wheat distillers grain, wet</v>
      </c>
      <c r="AH35" s="1" t="s">
        <v>83</v>
      </c>
      <c r="AI35" s="52"/>
      <c r="AJ35" s="52" t="n">
        <f aca="false">IF(AND(INDEX('feed pars'!$C$6:$AT$48,MATCH($A35,'feed pars'!$B$6:$B$48,0),AJ$1)&lt;&gt;"",AJ$1&lt;&gt;""), INDEX('feed pars'!$C$6:$AT$48,MATCH($A35,'feed pars'!$B$6:$B$48,0),AJ$1), "")</f>
        <v>8.2</v>
      </c>
      <c r="AK35" s="52" t="n">
        <f aca="false">IF(AND(INDEX('feed pars'!$C$6:$AT$48,MATCH($A35,'feed pars'!$B$6:$B$48,0),AK$1)&lt;&gt;"",AK$1&lt;&gt;""), INDEX('feed pars'!$C$6:$AT$48,MATCH($A35,'feed pars'!$B$6:$B$48,0),AK$1), "")</f>
        <v>13.0172082104126</v>
      </c>
      <c r="AM35" s="42" t="str">
        <f aca="false">'feed pars'!$B38</f>
        <v>wheat distillers grain, wet</v>
      </c>
      <c r="AN35" s="1" t="s">
        <v>83</v>
      </c>
      <c r="AO35" s="1" t="s">
        <v>263</v>
      </c>
      <c r="AP35" s="52" t="n">
        <f aca="false">IF(AND(INDEX('feed pars'!$C$6:$AT$48,MATCH($A35,'feed pars'!$B$6:$B$48,0),AP$1)&lt;&gt;"",AP$1&lt;&gt;""), INDEX('feed pars'!$C$6:$AT$48,MATCH($A35,'feed pars'!$B$6:$B$48,0),AP$1), "")</f>
        <v>8.9</v>
      </c>
      <c r="AQ35" s="52" t="str">
        <f aca="false">IF(AND(INDEX('feed pars'!$C$6:$AT$48,MATCH($A35,'feed pars'!$B$6:$B$48,0),AQ$1)&lt;&gt;"",AQ$1&lt;&gt;""), INDEX('feed pars'!$C$6:$AT$48,MATCH($A35,'feed pars'!$B$6:$B$48,0),AQ$1), "")</f>
        <v/>
      </c>
      <c r="AS35" s="42" t="str">
        <f aca="false">'feed pars'!$B38</f>
        <v>wheat distillers grain, wet</v>
      </c>
      <c r="AT35" s="1" t="s">
        <v>84</v>
      </c>
      <c r="AV35" s="42" t="str">
        <f aca="false">IF(AND(INDEX('feed pars'!$C$6:$AT$48,MATCH($A35,'feed pars'!$B$6:$B$48,0),AV$1)&lt;&gt;"",AV$1&lt;&gt;""), INDEX('feed pars'!$C$6:$AT$48,MATCH($A35,'feed pars'!$B$6:$B$48,0),AV$1), "")</f>
        <v/>
      </c>
    </row>
    <row r="36" customFormat="false" ht="15" hidden="false" customHeight="false" outlineLevel="0" collapsed="false">
      <c r="A36" s="1" t="str">
        <f aca="false">'feed pars'!$B39</f>
        <v>barley brewers grain</v>
      </c>
      <c r="D36" s="42" t="n">
        <f aca="false">IF(AND(INDEX('feed pars'!$C$6:$AT$48,MATCH($A36,'feed pars'!$B$6:$B$48,0),D$1)&lt;&gt;"",D$1&lt;&gt;""), INDEX('feed pars'!$C$6:$AT$48,MATCH($A36,'feed pars'!$B$6:$B$48,0),D$1), "")</f>
        <v>19.848896</v>
      </c>
      <c r="E36" s="42" t="n">
        <f aca="false">IF(AND(INDEX('feed pars'!$C$6:$AT$48,MATCH($A36,'feed pars'!$B$6:$B$48,0),E$1)&lt;&gt;"",E$1&lt;&gt;""), INDEX('feed pars'!$C$6:$AT$48,MATCH($A36,'feed pars'!$B$6:$B$48,0),E$1), "")</f>
        <v>4.3</v>
      </c>
      <c r="F36" s="42" t="n">
        <f aca="false">IF(AND(INDEX('feed pars'!$C$6:$AT$48,MATCH($A36,'feed pars'!$B$6:$B$48,0),F$1)&lt;&gt;"",F$1&lt;&gt;""), INDEX('feed pars'!$C$6:$AT$48,MATCH($A36,'feed pars'!$B$6:$B$48,0),F$1), "")</f>
        <v>3.984</v>
      </c>
      <c r="G36" s="42" t="n">
        <f aca="false">IF(AND(INDEX('feed pars'!$C$6:$AT$48,MATCH($A36,'feed pars'!$B$6:$B$48,0),G$1)&lt;&gt;"",G$1&lt;&gt;""), INDEX('feed pars'!$C$6:$AT$48,MATCH($A36,'feed pars'!$B$6:$B$48,0),G$1), "")</f>
        <v>0.56</v>
      </c>
      <c r="H36" s="42" t="n">
        <f aca="false">IF(AND(INDEX('feed pars'!$C$6:$AT$48,MATCH($A36,'feed pars'!$B$6:$B$48,0),H$1)&lt;&gt;"",H$1&lt;&gt;""), INDEX('feed pars'!$C$6:$AT$48,MATCH($A36,'feed pars'!$B$6:$B$48,0),H$1), "")</f>
        <v>0.195</v>
      </c>
      <c r="I36" s="42"/>
      <c r="J36" s="42" t="str">
        <f aca="false">'feed pars'!$B39</f>
        <v>barley brewers grain</v>
      </c>
      <c r="K36" s="1" t="s">
        <v>92</v>
      </c>
      <c r="M36" s="52" t="n">
        <f aca="false">IF(AND(INDEX('feed pars'!$C$6:$AT$48,MATCH($A36,'feed pars'!$B$6:$B$48,0),M$1)&lt;&gt;"",M$1&lt;&gt;""), INDEX('feed pars'!$C$6:$AT$48,MATCH($A36,'feed pars'!$B$6:$B$48,0),M$1), "")</f>
        <v>11.6</v>
      </c>
      <c r="N36" s="52" t="n">
        <f aca="false">IF(AND(INDEX('feed pars'!$C$6:$AT$48,MATCH($A36,'feed pars'!$B$6:$B$48,0),N$1)&lt;&gt;"",N$1&lt;&gt;""), INDEX('feed pars'!$C$6:$AT$48,MATCH($A36,'feed pars'!$B$6:$B$48,0),N$1), "")</f>
        <v>141</v>
      </c>
      <c r="O36" s="52" t="n">
        <f aca="false">IF(AND(INDEX('feed pars'!$C$6:$AT$48,MATCH($A36,'feed pars'!$B$6:$B$48,0),O$1)&lt;&gt;"",O$1&lt;&gt;""), INDEX('feed pars'!$C$6:$AT$48,MATCH($A36,'feed pars'!$B$6:$B$48,0),O$1), "")</f>
        <v>20</v>
      </c>
      <c r="P36" s="52" t="n">
        <f aca="false">IF(AND(INDEX('feed pars'!$C$6:$AT$48,MATCH($A36,'feed pars'!$B$6:$B$48,0),P$1)&lt;&gt;"",P$1&lt;&gt;""), INDEX('feed pars'!$C$6:$AT$48,MATCH($A36,'feed pars'!$B$6:$B$48,0),P$1), "")</f>
        <v>13.6</v>
      </c>
      <c r="Q36" s="52" t="n">
        <f aca="false">IF(AND(INDEX('feed pars'!$C$6:$AT$48,MATCH($A36,'feed pars'!$B$6:$B$48,0),Q$1)&lt;&gt;"",Q$1&lt;&gt;""), INDEX('feed pars'!$C$6:$AT$48,MATCH($A36,'feed pars'!$B$6:$B$48,0),Q$1), "")</f>
        <v>80</v>
      </c>
      <c r="S36" s="42" t="str">
        <f aca="false">'feed pars'!$B39</f>
        <v>barley brewers grain</v>
      </c>
      <c r="T36" s="1" t="s">
        <v>104</v>
      </c>
      <c r="V36" s="52" t="n">
        <f aca="false">IF(AND(INDEX('feed pars'!$C$6:$AT$48,MATCH($A36,'feed pars'!$B$6:$B$48,0),V$1)&lt;&gt;"",V$1&lt;&gt;""), INDEX('feed pars'!$C$6:$AT$48,MATCH($A36,'feed pars'!$B$6:$B$48,0),V$1), "")</f>
        <v>11.6</v>
      </c>
      <c r="W36" s="52" t="n">
        <f aca="false">IF(AND(INDEX('feed pars'!$C$6:$AT$48,MATCH($A36,'feed pars'!$B$6:$B$48,0),W$1)&lt;&gt;"",W$1&lt;&gt;""), INDEX('feed pars'!$C$6:$AT$48,MATCH($A36,'feed pars'!$B$6:$B$48,0),W$1), "")</f>
        <v>13.6</v>
      </c>
      <c r="X36" s="52" t="n">
        <f aca="false">IF(AND(INDEX('feed pars'!$C$6:$AT$48,MATCH($A36,'feed pars'!$B$6:$B$48,0),X$1)&lt;&gt;"",X$1&lt;&gt;""), INDEX('feed pars'!$C$6:$AT$48,MATCH($A36,'feed pars'!$B$6:$B$48,0),X$1), "")</f>
        <v>80</v>
      </c>
      <c r="Z36" s="42" t="str">
        <f aca="false">'feed pars'!$B39</f>
        <v>barley brewers grain</v>
      </c>
      <c r="AA36" s="1" t="s">
        <v>102</v>
      </c>
      <c r="AC36" s="52" t="n">
        <f aca="false">IF(AND(INDEX('feed pars'!$C$6:$AT$48,MATCH($A36,'feed pars'!$B$6:$B$48,0),AC$1)&lt;&gt;"",AC$1&lt;&gt;""), INDEX('feed pars'!$C$6:$AT$48,MATCH($A36,'feed pars'!$B$6:$B$48,0),AC$1), "")</f>
        <v>11.6</v>
      </c>
      <c r="AD36" s="52" t="n">
        <f aca="false">IF(AND(INDEX('feed pars'!$C$6:$AT$48,MATCH($A36,'feed pars'!$B$6:$B$48,0),AD$1)&lt;&gt;"",AD$1&lt;&gt;""), INDEX('feed pars'!$C$6:$AT$48,MATCH($A36,'feed pars'!$B$6:$B$48,0),AD$1), "")</f>
        <v>13.6</v>
      </c>
      <c r="AE36" s="52" t="n">
        <f aca="false">IF(AND(INDEX('feed pars'!$C$6:$AT$48,MATCH($A36,'feed pars'!$B$6:$B$48,0),AE$1)&lt;&gt;"",AE$1&lt;&gt;""), INDEX('feed pars'!$C$6:$AT$48,MATCH($A36,'feed pars'!$B$6:$B$48,0),AE$1), "")</f>
        <v>80</v>
      </c>
      <c r="AG36" s="42" t="str">
        <f aca="false">'feed pars'!$B39</f>
        <v>barley brewers grain</v>
      </c>
      <c r="AH36" s="1" t="s">
        <v>83</v>
      </c>
      <c r="AI36" s="52"/>
      <c r="AJ36" s="52" t="n">
        <f aca="false">IF(AND(INDEX('feed pars'!$C$6:$AT$48,MATCH($A36,'feed pars'!$B$6:$B$48,0),AJ$1)&lt;&gt;"",AJ$1&lt;&gt;""), INDEX('feed pars'!$C$6:$AT$48,MATCH($A36,'feed pars'!$B$6:$B$48,0),AJ$1), "")</f>
        <v>6.6</v>
      </c>
      <c r="AK36" s="52" t="n">
        <f aca="false">IF(AND(INDEX('feed pars'!$C$6:$AT$48,MATCH($A36,'feed pars'!$B$6:$B$48,0),AK$1)&lt;&gt;"",AK$1&lt;&gt;""), INDEX('feed pars'!$C$6:$AT$48,MATCH($A36,'feed pars'!$B$6:$B$48,0),AK$1), "")</f>
        <v>10.6</v>
      </c>
      <c r="AM36" s="42" t="str">
        <f aca="false">'feed pars'!$B39</f>
        <v>barley brewers grain</v>
      </c>
      <c r="AN36" s="1" t="s">
        <v>83</v>
      </c>
      <c r="AO36" s="1" t="s">
        <v>263</v>
      </c>
      <c r="AP36" s="52" t="n">
        <f aca="false">IF(AND(INDEX('feed pars'!$C$6:$AT$48,MATCH($A36,'feed pars'!$B$6:$B$48,0),AP$1)&lt;&gt;"",AP$1&lt;&gt;""), INDEX('feed pars'!$C$6:$AT$48,MATCH($A36,'feed pars'!$B$6:$B$48,0),AP$1), "")</f>
        <v>7.08888888888889</v>
      </c>
      <c r="AQ36" s="52" t="str">
        <f aca="false">IF(AND(INDEX('feed pars'!$C$6:$AT$48,MATCH($A36,'feed pars'!$B$6:$B$48,0),AQ$1)&lt;&gt;"",AQ$1&lt;&gt;""), INDEX('feed pars'!$C$6:$AT$48,MATCH($A36,'feed pars'!$B$6:$B$48,0),AQ$1), "")</f>
        <v/>
      </c>
      <c r="AS36" s="42" t="str">
        <f aca="false">'feed pars'!$B39</f>
        <v>barley brewers grain</v>
      </c>
      <c r="AT36" s="1" t="s">
        <v>84</v>
      </c>
      <c r="AV36" s="42" t="str">
        <f aca="false">IF(AND(INDEX('feed pars'!$C$6:$AT$48,MATCH($A36,'feed pars'!$B$6:$B$48,0),AV$1)&lt;&gt;"",AV$1&lt;&gt;""), INDEX('feed pars'!$C$6:$AT$48,MATCH($A36,'feed pars'!$B$6:$B$48,0),AV$1), "")</f>
        <v/>
      </c>
    </row>
    <row r="37" customFormat="false" ht="15" hidden="false" customHeight="false" outlineLevel="0" collapsed="false">
      <c r="A37" s="1" t="str">
        <f aca="false">'feed pars'!$B40</f>
        <v>maize gluten meal</v>
      </c>
      <c r="D37" s="42" t="n">
        <f aca="false">IF(AND(INDEX('feed pars'!$C$6:$AT$48,MATCH($A37,'feed pars'!$B$6:$B$48,0),D$1)&lt;&gt;"",D$1&lt;&gt;""), INDEX('feed pars'!$C$6:$AT$48,MATCH($A37,'feed pars'!$B$6:$B$48,0),D$1), "")</f>
        <v>22.9007056</v>
      </c>
      <c r="E37" s="42" t="n">
        <f aca="false">IF(AND(INDEX('feed pars'!$C$6:$AT$48,MATCH($A37,'feed pars'!$B$6:$B$48,0),E$1)&lt;&gt;"",E$1&lt;&gt;""), INDEX('feed pars'!$C$6:$AT$48,MATCH($A37,'feed pars'!$B$6:$B$48,0),E$1), "")</f>
        <v>1.95</v>
      </c>
      <c r="F37" s="42" t="n">
        <f aca="false">IF(AND(INDEX('feed pars'!$C$6:$AT$48,MATCH($A37,'feed pars'!$B$6:$B$48,0),F$1)&lt;&gt;"",F$1&lt;&gt;""), INDEX('feed pars'!$C$6:$AT$48,MATCH($A37,'feed pars'!$B$6:$B$48,0),F$1), "")</f>
        <v>10.792</v>
      </c>
      <c r="G37" s="42" t="n">
        <f aca="false">IF(AND(INDEX('feed pars'!$C$6:$AT$48,MATCH($A37,'feed pars'!$B$6:$B$48,0),G$1)&lt;&gt;"",G$1&lt;&gt;""), INDEX('feed pars'!$C$6:$AT$48,MATCH($A37,'feed pars'!$B$6:$B$48,0),G$1), "")</f>
        <v>0.485</v>
      </c>
      <c r="H37" s="42" t="n">
        <f aca="false">IF(AND(INDEX('feed pars'!$C$6:$AT$48,MATCH($A37,'feed pars'!$B$6:$B$48,0),H$1)&lt;&gt;"",H$1&lt;&gt;""), INDEX('feed pars'!$C$6:$AT$48,MATCH($A37,'feed pars'!$B$6:$B$48,0),H$1), "")</f>
        <v>0.325</v>
      </c>
      <c r="I37" s="42"/>
      <c r="J37" s="42" t="str">
        <f aca="false">'feed pars'!$B40</f>
        <v>maize gluten meal</v>
      </c>
      <c r="K37" s="1" t="s">
        <v>92</v>
      </c>
      <c r="M37" s="52" t="n">
        <f aca="false">IF(AND(INDEX('feed pars'!$C$6:$AT$48,MATCH($A37,'feed pars'!$B$6:$B$48,0),M$1)&lt;&gt;"",M$1&lt;&gt;""), INDEX('feed pars'!$C$6:$AT$48,MATCH($A37,'feed pars'!$B$6:$B$48,0),M$1), "")</f>
        <v>16</v>
      </c>
      <c r="N37" s="52" t="n">
        <f aca="false">IF(AND(INDEX('feed pars'!$C$6:$AT$48,MATCH($A37,'feed pars'!$B$6:$B$48,0),N$1)&lt;&gt;"",N$1&lt;&gt;""), INDEX('feed pars'!$C$6:$AT$48,MATCH($A37,'feed pars'!$B$6:$B$48,0),N$1), "")</f>
        <v>476</v>
      </c>
      <c r="O37" s="52" t="n">
        <f aca="false">IF(AND(INDEX('feed pars'!$C$6:$AT$48,MATCH($A37,'feed pars'!$B$6:$B$48,0),O$1)&lt;&gt;"",O$1&lt;&gt;""), INDEX('feed pars'!$C$6:$AT$48,MATCH($A37,'feed pars'!$B$6:$B$48,0),O$1), "")</f>
        <v>82</v>
      </c>
      <c r="P37" s="52" t="n">
        <f aca="false">IF(AND(INDEX('feed pars'!$C$6:$AT$48,MATCH($A37,'feed pars'!$B$6:$B$48,0),P$1)&lt;&gt;"",P$1&lt;&gt;""), INDEX('feed pars'!$C$6:$AT$48,MATCH($A37,'feed pars'!$B$6:$B$48,0),P$1), "")</f>
        <v>19.6</v>
      </c>
      <c r="Q37" s="52" t="n">
        <f aca="false">IF(AND(INDEX('feed pars'!$C$6:$AT$48,MATCH($A37,'feed pars'!$B$6:$B$48,0),Q$1)&lt;&gt;"",Q$1&lt;&gt;""), INDEX('feed pars'!$C$6:$AT$48,MATCH($A37,'feed pars'!$B$6:$B$48,0),Q$1), "")</f>
        <v>24</v>
      </c>
      <c r="S37" s="42" t="str">
        <f aca="false">'feed pars'!$B40</f>
        <v>maize gluten meal</v>
      </c>
      <c r="T37" s="1" t="s">
        <v>104</v>
      </c>
      <c r="V37" s="52" t="n">
        <f aca="false">IF(AND(INDEX('feed pars'!$C$6:$AT$48,MATCH($A37,'feed pars'!$B$6:$B$48,0),V$1)&lt;&gt;"",V$1&lt;&gt;""), INDEX('feed pars'!$C$6:$AT$48,MATCH($A37,'feed pars'!$B$6:$B$48,0),V$1), "")</f>
        <v>16</v>
      </c>
      <c r="W37" s="52" t="n">
        <f aca="false">IF(AND(INDEX('feed pars'!$C$6:$AT$48,MATCH($A37,'feed pars'!$B$6:$B$48,0),W$1)&lt;&gt;"",W$1&lt;&gt;""), INDEX('feed pars'!$C$6:$AT$48,MATCH($A37,'feed pars'!$B$6:$B$48,0),W$1), "")</f>
        <v>19.6</v>
      </c>
      <c r="X37" s="52" t="n">
        <f aca="false">IF(AND(INDEX('feed pars'!$C$6:$AT$48,MATCH($A37,'feed pars'!$B$6:$B$48,0),X$1)&lt;&gt;"",X$1&lt;&gt;""), INDEX('feed pars'!$C$6:$AT$48,MATCH($A37,'feed pars'!$B$6:$B$48,0),X$1), "")</f>
        <v>24</v>
      </c>
      <c r="Z37" s="42" t="str">
        <f aca="false">'feed pars'!$B40</f>
        <v>maize gluten meal</v>
      </c>
      <c r="AA37" s="1" t="s">
        <v>102</v>
      </c>
      <c r="AC37" s="52" t="n">
        <f aca="false">IF(AND(INDEX('feed pars'!$C$6:$AT$48,MATCH($A37,'feed pars'!$B$6:$B$48,0),AC$1)&lt;&gt;"",AC$1&lt;&gt;""), INDEX('feed pars'!$C$6:$AT$48,MATCH($A37,'feed pars'!$B$6:$B$48,0),AC$1), "")</f>
        <v>16</v>
      </c>
      <c r="AD37" s="52" t="n">
        <f aca="false">IF(AND(INDEX('feed pars'!$C$6:$AT$48,MATCH($A37,'feed pars'!$B$6:$B$48,0),AD$1)&lt;&gt;"",AD$1&lt;&gt;""), INDEX('feed pars'!$C$6:$AT$48,MATCH($A37,'feed pars'!$B$6:$B$48,0),AD$1), "")</f>
        <v>19.6</v>
      </c>
      <c r="AE37" s="52" t="n">
        <f aca="false">IF(AND(INDEX('feed pars'!$C$6:$AT$48,MATCH($A37,'feed pars'!$B$6:$B$48,0),AE$1)&lt;&gt;"",AE$1&lt;&gt;""), INDEX('feed pars'!$C$6:$AT$48,MATCH($A37,'feed pars'!$B$6:$B$48,0),AE$1), "")</f>
        <v>24</v>
      </c>
      <c r="AG37" s="42" t="str">
        <f aca="false">'feed pars'!$B40</f>
        <v>maize gluten meal</v>
      </c>
      <c r="AH37" s="1" t="s">
        <v>83</v>
      </c>
      <c r="AI37" s="52"/>
      <c r="AJ37" s="52" t="n">
        <f aca="false">IF(AND(INDEX('feed pars'!$C$6:$AT$48,MATCH($A37,'feed pars'!$B$6:$B$48,0),AJ$1)&lt;&gt;"",AJ$1&lt;&gt;""), INDEX('feed pars'!$C$6:$AT$48,MATCH($A37,'feed pars'!$B$6:$B$48,0),AJ$1), "")</f>
        <v>12.9</v>
      </c>
      <c r="AK37" s="52" t="n">
        <f aca="false">IF(AND(INDEX('feed pars'!$C$6:$AT$48,MATCH($A37,'feed pars'!$B$6:$B$48,0),AK$1)&lt;&gt;"",AK$1&lt;&gt;""), INDEX('feed pars'!$C$6:$AT$48,MATCH($A37,'feed pars'!$B$6:$B$48,0),AK$1), "")</f>
        <v>21.4</v>
      </c>
      <c r="AM37" s="42" t="str">
        <f aca="false">'feed pars'!$B40</f>
        <v>maize gluten meal</v>
      </c>
      <c r="AN37" s="1" t="s">
        <v>83</v>
      </c>
      <c r="AO37" s="1" t="s">
        <v>263</v>
      </c>
      <c r="AP37" s="52" t="n">
        <f aca="false">IF(AND(INDEX('feed pars'!$C$6:$AT$48,MATCH($A37,'feed pars'!$B$6:$B$48,0),AP$1)&lt;&gt;"",AP$1&lt;&gt;""), INDEX('feed pars'!$C$6:$AT$48,MATCH($A37,'feed pars'!$B$6:$B$48,0),AP$1), "")</f>
        <v>13.3</v>
      </c>
      <c r="AQ37" s="52" t="str">
        <f aca="false">IF(AND(INDEX('feed pars'!$C$6:$AT$48,MATCH($A37,'feed pars'!$B$6:$B$48,0),AQ$1)&lt;&gt;"",AQ$1&lt;&gt;""), INDEX('feed pars'!$C$6:$AT$48,MATCH($A37,'feed pars'!$B$6:$B$48,0),AQ$1), "")</f>
        <v/>
      </c>
      <c r="AS37" s="42" t="str">
        <f aca="false">'feed pars'!$B40</f>
        <v>maize gluten meal</v>
      </c>
      <c r="AT37" s="1" t="s">
        <v>84</v>
      </c>
      <c r="AV37" s="42" t="n">
        <f aca="false">IF(AND(INDEX('feed pars'!$C$6:$AT$48,MATCH($A37,'feed pars'!$B$6:$B$48,0),AV$1)&lt;&gt;"",AV$1&lt;&gt;""), INDEX('feed pars'!$C$6:$AT$48,MATCH($A37,'feed pars'!$B$6:$B$48,0),AV$1), "")</f>
        <v>16.3218390804598</v>
      </c>
    </row>
    <row r="38" customFormat="false" ht="15" hidden="false" customHeight="false" outlineLevel="0" collapsed="false">
      <c r="A38" s="1" t="str">
        <f aca="false">'feed pars'!$B41</f>
        <v>sugar beet molasses</v>
      </c>
      <c r="D38" s="42" t="n">
        <f aca="false">IF(AND(INDEX('feed pars'!$C$6:$AT$48,MATCH($A38,'feed pars'!$B$6:$B$48,0),D$1)&lt;&gt;"",D$1&lt;&gt;""), INDEX('feed pars'!$C$6:$AT$48,MATCH($A38,'feed pars'!$B$6:$B$48,0),D$1), "")</f>
        <v>16.1615368</v>
      </c>
      <c r="E38" s="42" t="n">
        <f aca="false">IF(AND(INDEX('feed pars'!$C$6:$AT$48,MATCH($A38,'feed pars'!$B$6:$B$48,0),E$1)&lt;&gt;"",E$1&lt;&gt;""), INDEX('feed pars'!$C$6:$AT$48,MATCH($A38,'feed pars'!$B$6:$B$48,0),E$1), "")</f>
        <v>11.9</v>
      </c>
      <c r="F38" s="42" t="n">
        <f aca="false">IF(AND(INDEX('feed pars'!$C$6:$AT$48,MATCH($A38,'feed pars'!$B$6:$B$48,0),F$1)&lt;&gt;"",F$1&lt;&gt;""), INDEX('feed pars'!$C$6:$AT$48,MATCH($A38,'feed pars'!$B$6:$B$48,0),F$1), "")</f>
        <v>2.208</v>
      </c>
      <c r="G38" s="42" t="n">
        <f aca="false">IF(AND(INDEX('feed pars'!$C$6:$AT$48,MATCH($A38,'feed pars'!$B$6:$B$48,0),G$1)&lt;&gt;"",G$1&lt;&gt;""), INDEX('feed pars'!$C$6:$AT$48,MATCH($A38,'feed pars'!$B$6:$B$48,0),G$1), "")</f>
        <v>0.03</v>
      </c>
      <c r="H38" s="42" t="n">
        <f aca="false">IF(AND(INDEX('feed pars'!$C$6:$AT$48,MATCH($A38,'feed pars'!$B$6:$B$48,0),H$1)&lt;&gt;"",H$1&lt;&gt;""), INDEX('feed pars'!$C$6:$AT$48,MATCH($A38,'feed pars'!$B$6:$B$48,0),H$1), "")</f>
        <v>3.65</v>
      </c>
      <c r="I38" s="42"/>
      <c r="J38" s="42" t="str">
        <f aca="false">'feed pars'!$B41</f>
        <v>sugar beet molasses</v>
      </c>
      <c r="K38" s="1" t="s">
        <v>92</v>
      </c>
      <c r="M38" s="52" t="n">
        <f aca="false">IF(AND(INDEX('feed pars'!$C$6:$AT$48,MATCH($A38,'feed pars'!$B$6:$B$48,0),M$1)&lt;&gt;"",M$1&lt;&gt;""), INDEX('feed pars'!$C$6:$AT$48,MATCH($A38,'feed pars'!$B$6:$B$48,0),M$1), "")</f>
        <v>12.4</v>
      </c>
      <c r="N38" s="52" t="n">
        <f aca="false">IF(AND(INDEX('feed pars'!$C$6:$AT$48,MATCH($A38,'feed pars'!$B$6:$B$48,0),N$1)&lt;&gt;"",N$1&lt;&gt;""), INDEX('feed pars'!$C$6:$AT$48,MATCH($A38,'feed pars'!$B$6:$B$48,0),N$1), "")</f>
        <v>76</v>
      </c>
      <c r="O38" s="52" t="n">
        <f aca="false">IF(AND(INDEX('feed pars'!$C$6:$AT$48,MATCH($A38,'feed pars'!$B$6:$B$48,0),O$1)&lt;&gt;"",O$1&lt;&gt;""), INDEX('feed pars'!$C$6:$AT$48,MATCH($A38,'feed pars'!$B$6:$B$48,0),O$1), "")</f>
        <v>3</v>
      </c>
      <c r="P38" s="52" t="n">
        <f aca="false">IF(AND(INDEX('feed pars'!$C$6:$AT$48,MATCH($A38,'feed pars'!$B$6:$B$48,0),P$1)&lt;&gt;"",P$1&lt;&gt;""), INDEX('feed pars'!$C$6:$AT$48,MATCH($A38,'feed pars'!$B$6:$B$48,0),P$1), "")</f>
        <v>14.1</v>
      </c>
      <c r="Q38" s="52" t="n">
        <f aca="false">IF(AND(INDEX('feed pars'!$C$6:$AT$48,MATCH($A38,'feed pars'!$B$6:$B$48,0),Q$1)&lt;&gt;"",Q$1&lt;&gt;""), INDEX('feed pars'!$C$6:$AT$48,MATCH($A38,'feed pars'!$B$6:$B$48,0),Q$1), "")</f>
        <v>0</v>
      </c>
      <c r="S38" s="42" t="str">
        <f aca="false">'feed pars'!$B41</f>
        <v>sugar beet molasses</v>
      </c>
      <c r="T38" s="1" t="s">
        <v>104</v>
      </c>
      <c r="V38" s="52" t="n">
        <f aca="false">IF(AND(INDEX('feed pars'!$C$6:$AT$48,MATCH($A38,'feed pars'!$B$6:$B$48,0),V$1)&lt;&gt;"",V$1&lt;&gt;""), INDEX('feed pars'!$C$6:$AT$48,MATCH($A38,'feed pars'!$B$6:$B$48,0),V$1), "")</f>
        <v>12.4</v>
      </c>
      <c r="W38" s="52" t="n">
        <f aca="false">IF(AND(INDEX('feed pars'!$C$6:$AT$48,MATCH($A38,'feed pars'!$B$6:$B$48,0),W$1)&lt;&gt;"",W$1&lt;&gt;""), INDEX('feed pars'!$C$6:$AT$48,MATCH($A38,'feed pars'!$B$6:$B$48,0),W$1), "")</f>
        <v>14.1</v>
      </c>
      <c r="X38" s="52" t="n">
        <f aca="false">IF(AND(INDEX('feed pars'!$C$6:$AT$48,MATCH($A38,'feed pars'!$B$6:$B$48,0),X$1)&lt;&gt;"",X$1&lt;&gt;""), INDEX('feed pars'!$C$6:$AT$48,MATCH($A38,'feed pars'!$B$6:$B$48,0),X$1), "")</f>
        <v>0</v>
      </c>
      <c r="Z38" s="42" t="str">
        <f aca="false">'feed pars'!$B41</f>
        <v>sugar beet molasses</v>
      </c>
      <c r="AA38" s="1" t="s">
        <v>102</v>
      </c>
      <c r="AC38" s="52" t="n">
        <f aca="false">IF(AND(INDEX('feed pars'!$C$6:$AT$48,MATCH($A38,'feed pars'!$B$6:$B$48,0),AC$1)&lt;&gt;"",AC$1&lt;&gt;""), INDEX('feed pars'!$C$6:$AT$48,MATCH($A38,'feed pars'!$B$6:$B$48,0),AC$1), "")</f>
        <v>12.4</v>
      </c>
      <c r="AD38" s="52" t="n">
        <f aca="false">IF(AND(INDEX('feed pars'!$C$6:$AT$48,MATCH($A38,'feed pars'!$B$6:$B$48,0),AD$1)&lt;&gt;"",AD$1&lt;&gt;""), INDEX('feed pars'!$C$6:$AT$48,MATCH($A38,'feed pars'!$B$6:$B$48,0),AD$1), "")</f>
        <v>14.1</v>
      </c>
      <c r="AE38" s="52" t="n">
        <f aca="false">IF(AND(INDEX('feed pars'!$C$6:$AT$48,MATCH($A38,'feed pars'!$B$6:$B$48,0),AE$1)&lt;&gt;"",AE$1&lt;&gt;""), INDEX('feed pars'!$C$6:$AT$48,MATCH($A38,'feed pars'!$B$6:$B$48,0),AE$1), "")</f>
        <v>0</v>
      </c>
      <c r="AG38" s="42" t="str">
        <f aca="false">'feed pars'!$B41</f>
        <v>sugar beet molasses</v>
      </c>
      <c r="AH38" s="1" t="s">
        <v>83</v>
      </c>
      <c r="AI38" s="52"/>
      <c r="AJ38" s="52" t="n">
        <f aca="false">IF(AND(INDEX('feed pars'!$C$6:$AT$48,MATCH($A38,'feed pars'!$B$6:$B$48,0),AJ$1)&lt;&gt;"",AJ$1&lt;&gt;""), INDEX('feed pars'!$C$6:$AT$48,MATCH($A38,'feed pars'!$B$6:$B$48,0),AJ$1), "")</f>
        <v>8.7</v>
      </c>
      <c r="AK38" s="52" t="n">
        <f aca="false">IF(AND(INDEX('feed pars'!$C$6:$AT$48,MATCH($A38,'feed pars'!$B$6:$B$48,0),AK$1)&lt;&gt;"",AK$1&lt;&gt;""), INDEX('feed pars'!$C$6:$AT$48,MATCH($A38,'feed pars'!$B$6:$B$48,0),AK$1), "")</f>
        <v>13.1</v>
      </c>
      <c r="AM38" s="42" t="str">
        <f aca="false">'feed pars'!$B41</f>
        <v>sugar beet molasses</v>
      </c>
      <c r="AN38" s="1" t="s">
        <v>83</v>
      </c>
      <c r="AO38" s="1" t="s">
        <v>263</v>
      </c>
      <c r="AP38" s="52" t="n">
        <f aca="false">IF(AND(INDEX('feed pars'!$C$6:$AT$48,MATCH($A38,'feed pars'!$B$6:$B$48,0),AP$1)&lt;&gt;"",AP$1&lt;&gt;""), INDEX('feed pars'!$C$6:$AT$48,MATCH($A38,'feed pars'!$B$6:$B$48,0),AP$1), "")</f>
        <v>9</v>
      </c>
      <c r="AQ38" s="52" t="str">
        <f aca="false">IF(AND(INDEX('feed pars'!$C$6:$AT$48,MATCH($A38,'feed pars'!$B$6:$B$48,0),AQ$1)&lt;&gt;"",AQ$1&lt;&gt;""), INDEX('feed pars'!$C$6:$AT$48,MATCH($A38,'feed pars'!$B$6:$B$48,0),AQ$1), "")</f>
        <v/>
      </c>
      <c r="AS38" s="42" t="str">
        <f aca="false">'feed pars'!$B41</f>
        <v>sugar beet molasses</v>
      </c>
      <c r="AT38" s="1" t="s">
        <v>84</v>
      </c>
      <c r="AV38" s="42" t="str">
        <f aca="false">IF(AND(INDEX('feed pars'!$C$6:$AT$48,MATCH($A38,'feed pars'!$B$6:$B$48,0),AV$1)&lt;&gt;"",AV$1&lt;&gt;""), INDEX('feed pars'!$C$6:$AT$48,MATCH($A38,'feed pars'!$B$6:$B$48,0),AV$1), "")</f>
        <v/>
      </c>
    </row>
    <row r="39" customFormat="false" ht="15" hidden="false" customHeight="false" outlineLevel="0" collapsed="false">
      <c r="A39" s="1" t="str">
        <f aca="false">'feed pars'!$B42</f>
        <v>sugar beet pulp</v>
      </c>
      <c r="D39" s="42" t="n">
        <f aca="false">IF(AND(INDEX('feed pars'!$C$6:$AT$48,MATCH($A39,'feed pars'!$B$6:$B$48,0),D$1)&lt;&gt;"",D$1&lt;&gt;""), INDEX('feed pars'!$C$6:$AT$48,MATCH($A39,'feed pars'!$B$6:$B$48,0),D$1), "")</f>
        <v>17.334312</v>
      </c>
      <c r="E39" s="42" t="n">
        <f aca="false">IF(AND(INDEX('feed pars'!$C$6:$AT$48,MATCH($A39,'feed pars'!$B$6:$B$48,0),E$1)&lt;&gt;"",E$1&lt;&gt;""), INDEX('feed pars'!$C$6:$AT$48,MATCH($A39,'feed pars'!$B$6:$B$48,0),E$1), "")</f>
        <v>7.15</v>
      </c>
      <c r="F39" s="42" t="n">
        <f aca="false">IF(AND(INDEX('feed pars'!$C$6:$AT$48,MATCH($A39,'feed pars'!$B$6:$B$48,0),F$1)&lt;&gt;"",F$1&lt;&gt;""), INDEX('feed pars'!$C$6:$AT$48,MATCH($A39,'feed pars'!$B$6:$B$48,0),F$1), "")</f>
        <v>1.448</v>
      </c>
      <c r="G39" s="42" t="n">
        <f aca="false">IF(AND(INDEX('feed pars'!$C$6:$AT$48,MATCH($A39,'feed pars'!$B$6:$B$48,0),G$1)&lt;&gt;"",G$1&lt;&gt;""), INDEX('feed pars'!$C$6:$AT$48,MATCH($A39,'feed pars'!$B$6:$B$48,0),G$1), "")</f>
        <v>0.1</v>
      </c>
      <c r="H39" s="42" t="n">
        <f aca="false">IF(AND(INDEX('feed pars'!$C$6:$AT$48,MATCH($A39,'feed pars'!$B$6:$B$48,0),H$1)&lt;&gt;"",H$1&lt;&gt;""), INDEX('feed pars'!$C$6:$AT$48,MATCH($A39,'feed pars'!$B$6:$B$48,0),H$1), "")</f>
        <v>0.485</v>
      </c>
      <c r="I39" s="42"/>
      <c r="J39" s="42" t="str">
        <f aca="false">'feed pars'!$B42</f>
        <v>sugar beet pulp</v>
      </c>
      <c r="K39" s="1" t="s">
        <v>92</v>
      </c>
      <c r="M39" s="52" t="n">
        <f aca="false">IF(AND(INDEX('feed pars'!$C$6:$AT$48,MATCH($A39,'feed pars'!$B$6:$B$48,0),M$1)&lt;&gt;"",M$1&lt;&gt;""), INDEX('feed pars'!$C$6:$AT$48,MATCH($A39,'feed pars'!$B$6:$B$48,0),M$1), "")</f>
        <v>12.3</v>
      </c>
      <c r="N39" s="52" t="n">
        <f aca="false">IF(AND(INDEX('feed pars'!$C$6:$AT$48,MATCH($A39,'feed pars'!$B$6:$B$48,0),N$1)&lt;&gt;"",N$1&lt;&gt;""), INDEX('feed pars'!$C$6:$AT$48,MATCH($A39,'feed pars'!$B$6:$B$48,0),N$1), "")</f>
        <v>107</v>
      </c>
      <c r="O39" s="52" t="n">
        <f aca="false">IF(AND(INDEX('feed pars'!$C$6:$AT$48,MATCH($A39,'feed pars'!$B$6:$B$48,0),O$1)&lt;&gt;"",O$1&lt;&gt;""), INDEX('feed pars'!$C$6:$AT$48,MATCH($A39,'feed pars'!$B$6:$B$48,0),O$1), "")</f>
        <v>-96</v>
      </c>
      <c r="P39" s="52" t="n">
        <f aca="false">IF(AND(INDEX('feed pars'!$C$6:$AT$48,MATCH($A39,'feed pars'!$B$6:$B$48,0),P$1)&lt;&gt;"",P$1&lt;&gt;""), INDEX('feed pars'!$C$6:$AT$48,MATCH($A39,'feed pars'!$B$6:$B$48,0),P$1), "")</f>
        <v>14.7</v>
      </c>
      <c r="Q39" s="52" t="n">
        <f aca="false">IF(AND(INDEX('feed pars'!$C$6:$AT$48,MATCH($A39,'feed pars'!$B$6:$B$48,0),Q$1)&lt;&gt;"",Q$1&lt;&gt;""), INDEX('feed pars'!$C$6:$AT$48,MATCH($A39,'feed pars'!$B$6:$B$48,0),Q$1), "")</f>
        <v>32</v>
      </c>
      <c r="S39" s="42" t="str">
        <f aca="false">'feed pars'!$B42</f>
        <v>sugar beet pulp</v>
      </c>
      <c r="T39" s="1" t="s">
        <v>104</v>
      </c>
      <c r="V39" s="52" t="n">
        <f aca="false">IF(AND(INDEX('feed pars'!$C$6:$AT$48,MATCH($A39,'feed pars'!$B$6:$B$48,0),V$1)&lt;&gt;"",V$1&lt;&gt;""), INDEX('feed pars'!$C$6:$AT$48,MATCH($A39,'feed pars'!$B$6:$B$48,0),V$1), "")</f>
        <v>12.3</v>
      </c>
      <c r="W39" s="52" t="n">
        <f aca="false">IF(AND(INDEX('feed pars'!$C$6:$AT$48,MATCH($A39,'feed pars'!$B$6:$B$48,0),W$1)&lt;&gt;"",W$1&lt;&gt;""), INDEX('feed pars'!$C$6:$AT$48,MATCH($A39,'feed pars'!$B$6:$B$48,0),W$1), "")</f>
        <v>14.7</v>
      </c>
      <c r="X39" s="52" t="n">
        <f aca="false">IF(AND(INDEX('feed pars'!$C$6:$AT$48,MATCH($A39,'feed pars'!$B$6:$B$48,0),X$1)&lt;&gt;"",X$1&lt;&gt;""), INDEX('feed pars'!$C$6:$AT$48,MATCH($A39,'feed pars'!$B$6:$B$48,0),X$1), "")</f>
        <v>32</v>
      </c>
      <c r="Z39" s="42" t="str">
        <f aca="false">'feed pars'!$B42</f>
        <v>sugar beet pulp</v>
      </c>
      <c r="AA39" s="1" t="s">
        <v>102</v>
      </c>
      <c r="AC39" s="52" t="n">
        <f aca="false">IF(AND(INDEX('feed pars'!$C$6:$AT$48,MATCH($A39,'feed pars'!$B$6:$B$48,0),AC$1)&lt;&gt;"",AC$1&lt;&gt;""), INDEX('feed pars'!$C$6:$AT$48,MATCH($A39,'feed pars'!$B$6:$B$48,0),AC$1), "")</f>
        <v>12.3</v>
      </c>
      <c r="AD39" s="52" t="n">
        <f aca="false">IF(AND(INDEX('feed pars'!$C$6:$AT$48,MATCH($A39,'feed pars'!$B$6:$B$48,0),AD$1)&lt;&gt;"",AD$1&lt;&gt;""), INDEX('feed pars'!$C$6:$AT$48,MATCH($A39,'feed pars'!$B$6:$B$48,0),AD$1), "")</f>
        <v>14.7</v>
      </c>
      <c r="AE39" s="52" t="n">
        <f aca="false">IF(AND(INDEX('feed pars'!$C$6:$AT$48,MATCH($A39,'feed pars'!$B$6:$B$48,0),AE$1)&lt;&gt;"",AE$1&lt;&gt;""), INDEX('feed pars'!$C$6:$AT$48,MATCH($A39,'feed pars'!$B$6:$B$48,0),AE$1), "")</f>
        <v>32</v>
      </c>
      <c r="AG39" s="42" t="str">
        <f aca="false">'feed pars'!$B42</f>
        <v>sugar beet pulp</v>
      </c>
      <c r="AH39" s="1" t="s">
        <v>83</v>
      </c>
      <c r="AI39" s="52"/>
      <c r="AJ39" s="52" t="n">
        <f aca="false">IF(AND(INDEX('feed pars'!$C$6:$AT$48,MATCH($A39,'feed pars'!$B$6:$B$48,0),AJ$1)&lt;&gt;"",AJ$1&lt;&gt;""), INDEX('feed pars'!$C$6:$AT$48,MATCH($A39,'feed pars'!$B$6:$B$48,0),AJ$1), "")</f>
        <v>6.9</v>
      </c>
      <c r="AK39" s="52" t="n">
        <f aca="false">IF(AND(INDEX('feed pars'!$C$6:$AT$48,MATCH($A39,'feed pars'!$B$6:$B$48,0),AK$1)&lt;&gt;"",AK$1&lt;&gt;""), INDEX('feed pars'!$C$6:$AT$48,MATCH($A39,'feed pars'!$B$6:$B$48,0),AK$1), "")</f>
        <v>12.2</v>
      </c>
      <c r="AM39" s="42" t="str">
        <f aca="false">'feed pars'!$B42</f>
        <v>sugar beet pulp</v>
      </c>
      <c r="AN39" s="1" t="s">
        <v>83</v>
      </c>
      <c r="AO39" s="1" t="s">
        <v>263</v>
      </c>
      <c r="AP39" s="52" t="n">
        <f aca="false">IF(AND(INDEX('feed pars'!$C$6:$AT$48,MATCH($A39,'feed pars'!$B$6:$B$48,0),AP$1)&lt;&gt;"",AP$1&lt;&gt;""), INDEX('feed pars'!$C$6:$AT$48,MATCH($A39,'feed pars'!$B$6:$B$48,0),AP$1), "")</f>
        <v>8</v>
      </c>
      <c r="AQ39" s="52" t="str">
        <f aca="false">IF(AND(INDEX('feed pars'!$C$6:$AT$48,MATCH($A39,'feed pars'!$B$6:$B$48,0),AQ$1)&lt;&gt;"",AQ$1&lt;&gt;""), INDEX('feed pars'!$C$6:$AT$48,MATCH($A39,'feed pars'!$B$6:$B$48,0),AQ$1), "")</f>
        <v/>
      </c>
      <c r="AS39" s="42" t="str">
        <f aca="false">'feed pars'!$B42</f>
        <v>sugar beet pulp</v>
      </c>
      <c r="AT39" s="1" t="s">
        <v>84</v>
      </c>
      <c r="AV39" s="42" t="str">
        <f aca="false">IF(AND(INDEX('feed pars'!$C$6:$AT$48,MATCH($A39,'feed pars'!$B$6:$B$48,0),AV$1)&lt;&gt;"",AV$1&lt;&gt;""), INDEX('feed pars'!$C$6:$AT$48,MATCH($A39,'feed pars'!$B$6:$B$48,0),AV$1), "")</f>
        <v/>
      </c>
    </row>
    <row r="40" customFormat="false" ht="15" hidden="false" customHeight="false" outlineLevel="0" collapsed="false">
      <c r="A40" s="1" t="str">
        <f aca="false">'feed pars'!$B43</f>
        <v>whey</v>
      </c>
      <c r="D40" s="42" t="n">
        <f aca="false">IF(AND(INDEX('feed pars'!$C$6:$AT$48,MATCH($A40,'feed pars'!$B$6:$B$48,0),D$1)&lt;&gt;"",D$1&lt;&gt;""), INDEX('feed pars'!$C$6:$AT$48,MATCH($A40,'feed pars'!$B$6:$B$48,0),D$1), "")</f>
        <v>16.46404</v>
      </c>
      <c r="E40" s="42" t="n">
        <f aca="false">IF(AND(INDEX('feed pars'!$C$6:$AT$48,MATCH($A40,'feed pars'!$B$6:$B$48,0),E$1)&lt;&gt;"",E$1&lt;&gt;""), INDEX('feed pars'!$C$6:$AT$48,MATCH($A40,'feed pars'!$B$6:$B$48,0),E$1), "")</f>
        <v>9.3</v>
      </c>
      <c r="F40" s="42" t="n">
        <f aca="false">IF(AND(INDEX('feed pars'!$C$6:$AT$48,MATCH($A40,'feed pars'!$B$6:$B$48,0),F$1)&lt;&gt;"",F$1&lt;&gt;""), INDEX('feed pars'!$C$6:$AT$48,MATCH($A40,'feed pars'!$B$6:$B$48,0),F$1), "")</f>
        <v>1.88</v>
      </c>
      <c r="G40" s="42" t="n">
        <f aca="false">IF(AND(INDEX('feed pars'!$C$6:$AT$48,MATCH($A40,'feed pars'!$B$6:$B$48,0),G$1)&lt;&gt;"",G$1&lt;&gt;""), INDEX('feed pars'!$C$6:$AT$48,MATCH($A40,'feed pars'!$B$6:$B$48,0),G$1), "")</f>
        <v>0.76</v>
      </c>
      <c r="H40" s="42" t="n">
        <f aca="false">IF(AND(INDEX('feed pars'!$C$6:$AT$48,MATCH($A40,'feed pars'!$B$6:$B$48,0),H$1)&lt;&gt;"",H$1&lt;&gt;""), INDEX('feed pars'!$C$6:$AT$48,MATCH($A40,'feed pars'!$B$6:$B$48,0),H$1), "")</f>
        <v>2.355</v>
      </c>
      <c r="I40" s="42"/>
      <c r="J40" s="42" t="str">
        <f aca="false">'feed pars'!$B43</f>
        <v>whey</v>
      </c>
      <c r="K40" s="1" t="s">
        <v>92</v>
      </c>
      <c r="M40" s="52" t="n">
        <f aca="false">IF(AND(INDEX('feed pars'!$C$6:$AT$48,MATCH($A40,'feed pars'!$B$6:$B$48,0),M$1)&lt;&gt;"",M$1&lt;&gt;""), INDEX('feed pars'!$C$6:$AT$48,MATCH($A40,'feed pars'!$B$6:$B$48,0),M$1), "")</f>
        <v>13.6</v>
      </c>
      <c r="N40" s="52" t="n">
        <f aca="false">IF(AND(INDEX('feed pars'!$C$6:$AT$48,MATCH($A40,'feed pars'!$B$6:$B$48,0),N$1)&lt;&gt;"",N$1&lt;&gt;""), INDEX('feed pars'!$C$6:$AT$48,MATCH($A40,'feed pars'!$B$6:$B$48,0),N$1), "")</f>
        <v>82</v>
      </c>
      <c r="O40" s="52" t="n">
        <f aca="false">IF(AND(INDEX('feed pars'!$C$6:$AT$48,MATCH($A40,'feed pars'!$B$6:$B$48,0),O$1)&lt;&gt;"",O$1&lt;&gt;""), INDEX('feed pars'!$C$6:$AT$48,MATCH($A40,'feed pars'!$B$6:$B$48,0),O$1), "")</f>
        <v>-18</v>
      </c>
      <c r="P40" s="52" t="n">
        <f aca="false">IF(AND(INDEX('feed pars'!$C$6:$AT$48,MATCH($A40,'feed pars'!$B$6:$B$48,0),P$1)&lt;&gt;"",P$1&lt;&gt;""), INDEX('feed pars'!$C$6:$AT$48,MATCH($A40,'feed pars'!$B$6:$B$48,0),P$1), "")</f>
        <v>15.1</v>
      </c>
      <c r="Q40" s="52" t="n">
        <f aca="false">IF(AND(INDEX('feed pars'!$C$6:$AT$48,MATCH($A40,'feed pars'!$B$6:$B$48,0),Q$1)&lt;&gt;"",Q$1&lt;&gt;""), INDEX('feed pars'!$C$6:$AT$48,MATCH($A40,'feed pars'!$B$6:$B$48,0),Q$1), "")</f>
        <v>10</v>
      </c>
      <c r="S40" s="42" t="str">
        <f aca="false">'feed pars'!$B43</f>
        <v>whey</v>
      </c>
      <c r="T40" s="1" t="s">
        <v>104</v>
      </c>
      <c r="V40" s="52" t="n">
        <f aca="false">IF(AND(INDEX('feed pars'!$C$6:$AT$48,MATCH($A40,'feed pars'!$B$6:$B$48,0),V$1)&lt;&gt;"",V$1&lt;&gt;""), INDEX('feed pars'!$C$6:$AT$48,MATCH($A40,'feed pars'!$B$6:$B$48,0),V$1), "")</f>
        <v>13.6</v>
      </c>
      <c r="W40" s="52" t="n">
        <f aca="false">IF(AND(INDEX('feed pars'!$C$6:$AT$48,MATCH($A40,'feed pars'!$B$6:$B$48,0),W$1)&lt;&gt;"",W$1&lt;&gt;""), INDEX('feed pars'!$C$6:$AT$48,MATCH($A40,'feed pars'!$B$6:$B$48,0),W$1), "")</f>
        <v>15.1</v>
      </c>
      <c r="X40" s="52" t="n">
        <f aca="false">IF(AND(INDEX('feed pars'!$C$6:$AT$48,MATCH($A40,'feed pars'!$B$6:$B$48,0),X$1)&lt;&gt;"",X$1&lt;&gt;""), INDEX('feed pars'!$C$6:$AT$48,MATCH($A40,'feed pars'!$B$6:$B$48,0),X$1), "")</f>
        <v>10</v>
      </c>
      <c r="Z40" s="42" t="str">
        <f aca="false">'feed pars'!$B43</f>
        <v>whey</v>
      </c>
      <c r="AA40" s="1" t="s">
        <v>102</v>
      </c>
      <c r="AC40" s="52" t="n">
        <f aca="false">IF(AND(INDEX('feed pars'!$C$6:$AT$48,MATCH($A40,'feed pars'!$B$6:$B$48,0),AC$1)&lt;&gt;"",AC$1&lt;&gt;""), INDEX('feed pars'!$C$6:$AT$48,MATCH($A40,'feed pars'!$B$6:$B$48,0),AC$1), "")</f>
        <v>13.6</v>
      </c>
      <c r="AD40" s="52" t="n">
        <f aca="false">IF(AND(INDEX('feed pars'!$C$6:$AT$48,MATCH($A40,'feed pars'!$B$6:$B$48,0),AD$1)&lt;&gt;"",AD$1&lt;&gt;""), INDEX('feed pars'!$C$6:$AT$48,MATCH($A40,'feed pars'!$B$6:$B$48,0),AD$1), "")</f>
        <v>15.1</v>
      </c>
      <c r="AE40" s="52" t="n">
        <f aca="false">IF(AND(INDEX('feed pars'!$C$6:$AT$48,MATCH($A40,'feed pars'!$B$6:$B$48,0),AE$1)&lt;&gt;"",AE$1&lt;&gt;""), INDEX('feed pars'!$C$6:$AT$48,MATCH($A40,'feed pars'!$B$6:$B$48,0),AE$1), "")</f>
        <v>10</v>
      </c>
      <c r="AG40" s="42" t="str">
        <f aca="false">'feed pars'!$B43</f>
        <v>whey</v>
      </c>
      <c r="AH40" s="1" t="s">
        <v>83</v>
      </c>
      <c r="AI40" s="52"/>
      <c r="AJ40" s="52" t="n">
        <f aca="false">IF(AND(INDEX('feed pars'!$C$6:$AT$48,MATCH($A40,'feed pars'!$B$6:$B$48,0),AJ$1)&lt;&gt;"",AJ$1&lt;&gt;""), INDEX('feed pars'!$C$6:$AT$48,MATCH($A40,'feed pars'!$B$6:$B$48,0),AJ$1), "")</f>
        <v>12.4</v>
      </c>
      <c r="AK40" s="52" t="n">
        <f aca="false">IF(AND(INDEX('feed pars'!$C$6:$AT$48,MATCH($A40,'feed pars'!$B$6:$B$48,0),AK$1)&lt;&gt;"",AK$1&lt;&gt;""), INDEX('feed pars'!$C$6:$AT$48,MATCH($A40,'feed pars'!$B$6:$B$48,0),AK$1), "")</f>
        <v>15.2053460514641</v>
      </c>
      <c r="AM40" s="42" t="str">
        <f aca="false">'feed pars'!$B43</f>
        <v>whey</v>
      </c>
      <c r="AN40" s="1" t="s">
        <v>83</v>
      </c>
      <c r="AO40" s="1" t="s">
        <v>263</v>
      </c>
      <c r="AP40" s="52" t="n">
        <f aca="false">IF(AND(INDEX('feed pars'!$C$6:$AT$48,MATCH($A40,'feed pars'!$B$6:$B$48,0),AP$1)&lt;&gt;"",AP$1&lt;&gt;""), INDEX('feed pars'!$C$6:$AT$48,MATCH($A40,'feed pars'!$B$6:$B$48,0),AP$1), "")</f>
        <v>12.2</v>
      </c>
      <c r="AQ40" s="52" t="str">
        <f aca="false">IF(AND(INDEX('feed pars'!$C$6:$AT$48,MATCH($A40,'feed pars'!$B$6:$B$48,0),AQ$1)&lt;&gt;"",AQ$1&lt;&gt;""), INDEX('feed pars'!$C$6:$AT$48,MATCH($A40,'feed pars'!$B$6:$B$48,0),AQ$1), "")</f>
        <v/>
      </c>
      <c r="AS40" s="42" t="str">
        <f aca="false">'feed pars'!$B43</f>
        <v>whey</v>
      </c>
      <c r="AT40" s="1" t="s">
        <v>84</v>
      </c>
      <c r="AV40" s="42" t="str">
        <f aca="false">IF(AND(INDEX('feed pars'!$C$6:$AT$48,MATCH($A40,'feed pars'!$B$6:$B$48,0),AV$1)&lt;&gt;"",AV$1&lt;&gt;""), INDEX('feed pars'!$C$6:$AT$48,MATCH($A40,'feed pars'!$B$6:$B$48,0),AV$1), "")</f>
        <v/>
      </c>
    </row>
    <row r="41" customFormat="false" ht="15" hidden="false" customHeight="false" outlineLevel="0" collapsed="false">
      <c r="A41" s="1" t="str">
        <f aca="false">'feed pars'!$B44</f>
        <v>whey powder</v>
      </c>
      <c r="D41" s="42" t="n">
        <f aca="false">IF(AND(INDEX('feed pars'!$C$6:$AT$48,MATCH($A41,'feed pars'!$B$6:$B$48,0),D$1)&lt;&gt;"",D$1&lt;&gt;""), INDEX('feed pars'!$C$6:$AT$48,MATCH($A41,'feed pars'!$B$6:$B$48,0),D$1), "")</f>
        <v>16.9753248</v>
      </c>
      <c r="E41" s="42" t="n">
        <f aca="false">IF(AND(INDEX('feed pars'!$C$6:$AT$48,MATCH($A41,'feed pars'!$B$6:$B$48,0),E$1)&lt;&gt;"",E$1&lt;&gt;""), INDEX('feed pars'!$C$6:$AT$48,MATCH($A41,'feed pars'!$B$6:$B$48,0),E$1), "")</f>
        <v>8.6</v>
      </c>
      <c r="F41" s="42" t="n">
        <f aca="false">IF(AND(INDEX('feed pars'!$C$6:$AT$48,MATCH($A41,'feed pars'!$B$6:$B$48,0),F$1)&lt;&gt;"",F$1&lt;&gt;""), INDEX('feed pars'!$C$6:$AT$48,MATCH($A41,'feed pars'!$B$6:$B$48,0),F$1), "")</f>
        <v>2.048</v>
      </c>
      <c r="G41" s="42" t="n">
        <f aca="false">IF(AND(INDEX('feed pars'!$C$6:$AT$48,MATCH($A41,'feed pars'!$B$6:$B$48,0),G$1)&lt;&gt;"",G$1&lt;&gt;""), INDEX('feed pars'!$C$6:$AT$48,MATCH($A41,'feed pars'!$B$6:$B$48,0),G$1), "")</f>
        <v>0.68</v>
      </c>
      <c r="H41" s="42" t="n">
        <f aca="false">IF(AND(INDEX('feed pars'!$C$6:$AT$48,MATCH($A41,'feed pars'!$B$6:$B$48,0),H$1)&lt;&gt;"",H$1&lt;&gt;""), INDEX('feed pars'!$C$6:$AT$48,MATCH($A41,'feed pars'!$B$6:$B$48,0),H$1), "")</f>
        <v>2.1</v>
      </c>
      <c r="I41" s="42"/>
      <c r="J41" s="42" t="str">
        <f aca="false">'feed pars'!$B44</f>
        <v>whey powder</v>
      </c>
      <c r="K41" s="1" t="s">
        <v>92</v>
      </c>
      <c r="M41" s="42" t="n">
        <f aca="false">IF(AND(INDEX('feed pars'!$C$6:$AT$48,MATCH($A41,'feed pars'!$B$6:$B$48,0),M$1)&lt;&gt;"",M$1&lt;&gt;""), INDEX('feed pars'!$C$6:$AT$48,MATCH($A41,'feed pars'!$B$6:$B$48,0),M$1), "")</f>
        <v>12.3</v>
      </c>
      <c r="N41" s="52" t="n">
        <f aca="false">IF(AND(INDEX('feed pars'!$C$6:$AT$48,MATCH($A41,'feed pars'!$B$6:$B$48,0),N$1)&lt;&gt;"",N$1&lt;&gt;""), INDEX('feed pars'!$C$6:$AT$48,MATCH($A41,'feed pars'!$B$6:$B$48,0),N$1), "")</f>
        <v>90</v>
      </c>
      <c r="O41" s="52" t="n">
        <f aca="false">IF(AND(INDEX('feed pars'!$C$6:$AT$48,MATCH($A41,'feed pars'!$B$6:$B$48,0),O$1)&lt;&gt;"",O$1&lt;&gt;""), INDEX('feed pars'!$C$6:$AT$48,MATCH($A41,'feed pars'!$B$6:$B$48,0),O$1), "")</f>
        <v>-29</v>
      </c>
      <c r="P41" s="52" t="n">
        <f aca="false">IF(AND(INDEX('feed pars'!$C$6:$AT$48,MATCH($A41,'feed pars'!$B$6:$B$48,0),P$1)&lt;&gt;"",P$1&lt;&gt;""), INDEX('feed pars'!$C$6:$AT$48,MATCH($A41,'feed pars'!$B$6:$B$48,0),P$1), "")</f>
        <v>15.4048817384</v>
      </c>
      <c r="Q41" s="52" t="n">
        <f aca="false">IF(AND(INDEX('feed pars'!$C$6:$AT$48,MATCH($A41,'feed pars'!$B$6:$B$48,0),Q$1)&lt;&gt;"",Q$1&lt;&gt;""), INDEX('feed pars'!$C$6:$AT$48,MATCH($A41,'feed pars'!$B$6:$B$48,0),Q$1), "")</f>
        <v>13</v>
      </c>
      <c r="S41" s="42" t="str">
        <f aca="false">'feed pars'!$B44</f>
        <v>whey powder</v>
      </c>
      <c r="T41" s="1" t="s">
        <v>104</v>
      </c>
      <c r="V41" s="52" t="n">
        <f aca="false">IF(AND(INDEX('feed pars'!$C$6:$AT$48,MATCH($A41,'feed pars'!$B$6:$B$48,0),V$1)&lt;&gt;"",V$1&lt;&gt;""), INDEX('feed pars'!$C$6:$AT$48,MATCH($A41,'feed pars'!$B$6:$B$48,0),V$1), "")</f>
        <v>12.3</v>
      </c>
      <c r="W41" s="52" t="n">
        <f aca="false">IF(AND(INDEX('feed pars'!$C$6:$AT$48,MATCH($A41,'feed pars'!$B$6:$B$48,0),W$1)&lt;&gt;"",W$1&lt;&gt;""), INDEX('feed pars'!$C$6:$AT$48,MATCH($A41,'feed pars'!$B$6:$B$48,0),W$1), "")</f>
        <v>15.4048817384</v>
      </c>
      <c r="X41" s="52" t="n">
        <f aca="false">IF(AND(INDEX('feed pars'!$C$6:$AT$48,MATCH($A41,'feed pars'!$B$6:$B$48,0),X$1)&lt;&gt;"",X$1&lt;&gt;""), INDEX('feed pars'!$C$6:$AT$48,MATCH($A41,'feed pars'!$B$6:$B$48,0),X$1), "")</f>
        <v>13</v>
      </c>
      <c r="Z41" s="42" t="str">
        <f aca="false">'feed pars'!$B44</f>
        <v>whey powder</v>
      </c>
      <c r="AA41" s="1" t="s">
        <v>102</v>
      </c>
      <c r="AC41" s="52" t="n">
        <f aca="false">IF(AND(INDEX('feed pars'!$C$6:$AT$48,MATCH($A41,'feed pars'!$B$6:$B$48,0),AC$1)&lt;&gt;"",AC$1&lt;&gt;""), INDEX('feed pars'!$C$6:$AT$48,MATCH($A41,'feed pars'!$B$6:$B$48,0),AC$1), "")</f>
        <v>12.3</v>
      </c>
      <c r="AD41" s="52" t="n">
        <f aca="false">IF(AND(INDEX('feed pars'!$C$6:$AT$48,MATCH($A41,'feed pars'!$B$6:$B$48,0),AD$1)&lt;&gt;"",AD$1&lt;&gt;""), INDEX('feed pars'!$C$6:$AT$48,MATCH($A41,'feed pars'!$B$6:$B$48,0),AD$1), "")</f>
        <v>15.4048817384</v>
      </c>
      <c r="AE41" s="52" t="n">
        <f aca="false">IF(AND(INDEX('feed pars'!$C$6:$AT$48,MATCH($A41,'feed pars'!$B$6:$B$48,0),AE$1)&lt;&gt;"",AE$1&lt;&gt;""), INDEX('feed pars'!$C$6:$AT$48,MATCH($A41,'feed pars'!$B$6:$B$48,0),AE$1), "")</f>
        <v>13</v>
      </c>
      <c r="AG41" s="42" t="str">
        <f aca="false">'feed pars'!$B44</f>
        <v>whey powder</v>
      </c>
      <c r="AH41" s="1" t="s">
        <v>83</v>
      </c>
      <c r="AI41" s="52"/>
      <c r="AJ41" s="52" t="n">
        <f aca="false">IF(AND(INDEX('feed pars'!$C$6:$AT$48,MATCH($A41,'feed pars'!$B$6:$B$48,0),AJ$1)&lt;&gt;"",AJ$1&lt;&gt;""), INDEX('feed pars'!$C$6:$AT$48,MATCH($A41,'feed pars'!$B$6:$B$48,0),AJ$1), "")</f>
        <v>12.4</v>
      </c>
      <c r="AK41" s="52" t="n">
        <f aca="false">IF(AND(INDEX('feed pars'!$C$6:$AT$48,MATCH($A41,'feed pars'!$B$6:$B$48,0),AK$1)&lt;&gt;"",AK$1&lt;&gt;""), INDEX('feed pars'!$C$6:$AT$48,MATCH($A41,'feed pars'!$B$6:$B$48,0),AK$1), "")</f>
        <v>15.3</v>
      </c>
      <c r="AM41" s="42" t="str">
        <f aca="false">'feed pars'!$B44</f>
        <v>whey powder</v>
      </c>
      <c r="AN41" s="1" t="s">
        <v>83</v>
      </c>
      <c r="AO41" s="1" t="s">
        <v>263</v>
      </c>
      <c r="AP41" s="52" t="n">
        <f aca="false">IF(AND(INDEX('feed pars'!$C$6:$AT$48,MATCH($A41,'feed pars'!$B$6:$B$48,0),AP$1)&lt;&gt;"",AP$1&lt;&gt;""), INDEX('feed pars'!$C$6:$AT$48,MATCH($A41,'feed pars'!$B$6:$B$48,0),AP$1), "")</f>
        <v>12.2</v>
      </c>
      <c r="AQ41" s="52" t="str">
        <f aca="false">IF(AND(INDEX('feed pars'!$C$6:$AT$48,MATCH($A41,'feed pars'!$B$6:$B$48,0),AQ$1)&lt;&gt;"",AQ$1&lt;&gt;""), INDEX('feed pars'!$C$6:$AT$48,MATCH($A41,'feed pars'!$B$6:$B$48,0),AQ$1), "")</f>
        <v/>
      </c>
      <c r="AS41" s="42" t="str">
        <f aca="false">'feed pars'!$B44</f>
        <v>whey powder</v>
      </c>
      <c r="AT41" s="1" t="s">
        <v>84</v>
      </c>
      <c r="AV41" s="42" t="str">
        <f aca="false">IF(AND(INDEX('feed pars'!$C$6:$AT$48,MATCH($A41,'feed pars'!$B$6:$B$48,0),AV$1)&lt;&gt;"",AV$1&lt;&gt;""), INDEX('feed pars'!$C$6:$AT$48,MATCH($A41,'feed pars'!$B$6:$B$48,0),AV$1), "")</f>
        <v/>
      </c>
    </row>
    <row r="42" customFormat="false" ht="15" hidden="false" customHeight="false" outlineLevel="0" collapsed="false">
      <c r="A42" s="1" t="str">
        <f aca="false">'feed pars'!$B45</f>
        <v>potatoe protein</v>
      </c>
      <c r="D42" s="42" t="n">
        <f aca="false">IF(AND(INDEX('feed pars'!$C$6:$AT$48,MATCH($A42,'feed pars'!$B$6:$B$48,0),D$1)&lt;&gt;"",D$1&lt;&gt;""), INDEX('feed pars'!$C$6:$AT$48,MATCH($A42,'feed pars'!$B$6:$B$48,0),D$1), "")</f>
        <v>23.055932</v>
      </c>
      <c r="E42" s="42" t="n">
        <f aca="false">IF(AND(INDEX('feed pars'!$C$6:$AT$48,MATCH($A42,'feed pars'!$B$6:$B$48,0),E$1)&lt;&gt;"",E$1&lt;&gt;""), INDEX('feed pars'!$C$6:$AT$48,MATCH($A42,'feed pars'!$B$6:$B$48,0),E$1), "")</f>
        <v>2.8</v>
      </c>
      <c r="F42" s="42" t="n">
        <f aca="false">IF(AND(INDEX('feed pars'!$C$6:$AT$48,MATCH($A42,'feed pars'!$B$6:$B$48,0),F$1)&lt;&gt;"",F$1&lt;&gt;""), INDEX('feed pars'!$C$6:$AT$48,MATCH($A42,'feed pars'!$B$6:$B$48,0),F$1), "")</f>
        <v>13.48</v>
      </c>
      <c r="G42" s="42" t="n">
        <f aca="false">IF(AND(INDEX('feed pars'!$C$6:$AT$48,MATCH($A42,'feed pars'!$B$6:$B$48,0),G$1)&lt;&gt;"",G$1&lt;&gt;""), INDEX('feed pars'!$C$6:$AT$48,MATCH($A42,'feed pars'!$B$6:$B$48,0),G$1), "")</f>
        <v>0.435</v>
      </c>
      <c r="H42" s="42" t="n">
        <f aca="false">IF(AND(INDEX('feed pars'!$C$6:$AT$48,MATCH($A42,'feed pars'!$B$6:$B$48,0),H$1)&lt;&gt;"",H$1&lt;&gt;""), INDEX('feed pars'!$C$6:$AT$48,MATCH($A42,'feed pars'!$B$6:$B$48,0),H$1), "")</f>
        <v>0.815</v>
      </c>
      <c r="I42" s="42"/>
      <c r="J42" s="42" t="str">
        <f aca="false">'feed pars'!$B45</f>
        <v>potatoe protein</v>
      </c>
      <c r="K42" s="1" t="s">
        <v>92</v>
      </c>
      <c r="M42" s="52" t="n">
        <f aca="false">IF(AND(INDEX('feed pars'!$C$6:$AT$48,MATCH($A42,'feed pars'!$B$6:$B$48,0),M$1)&lt;&gt;"",M$1&lt;&gt;""), INDEX('feed pars'!$C$6:$AT$48,MATCH($A42,'feed pars'!$B$6:$B$48,0),M$1), "")</f>
        <v>15.5</v>
      </c>
      <c r="N42" s="52" t="n">
        <f aca="false">IF(AND(INDEX('feed pars'!$C$6:$AT$48,MATCH($A42,'feed pars'!$B$6:$B$48,0),N$1)&lt;&gt;"",N$1&lt;&gt;""), INDEX('feed pars'!$C$6:$AT$48,MATCH($A42,'feed pars'!$B$6:$B$48,0),N$1), "")</f>
        <v>418</v>
      </c>
      <c r="O42" s="52" t="n">
        <f aca="false">IF(AND(INDEX('feed pars'!$C$6:$AT$48,MATCH($A42,'feed pars'!$B$6:$B$48,0),O$1)&lt;&gt;"",O$1&lt;&gt;""), INDEX('feed pars'!$C$6:$AT$48,MATCH($A42,'feed pars'!$B$6:$B$48,0),O$1), "")</f>
        <v>323</v>
      </c>
      <c r="P42" s="52" t="n">
        <f aca="false">IF(AND(INDEX('feed pars'!$C$6:$AT$48,MATCH($A42,'feed pars'!$B$6:$B$48,0),P$1)&lt;&gt;"",P$1&lt;&gt;""), INDEX('feed pars'!$C$6:$AT$48,MATCH($A42,'feed pars'!$B$6:$B$48,0),P$1), "")</f>
        <v>19.7</v>
      </c>
      <c r="Q42" s="52" t="n">
        <f aca="false">IF(AND(INDEX('feed pars'!$C$6:$AT$48,MATCH($A42,'feed pars'!$B$6:$B$48,0),Q$1)&lt;&gt;"",Q$1&lt;&gt;""), INDEX('feed pars'!$C$6:$AT$48,MATCH($A42,'feed pars'!$B$6:$B$48,0),Q$1), "")</f>
        <v>33</v>
      </c>
      <c r="S42" s="42" t="str">
        <f aca="false">'feed pars'!$B45</f>
        <v>potatoe protein</v>
      </c>
      <c r="T42" s="1" t="s">
        <v>104</v>
      </c>
      <c r="V42" s="52" t="n">
        <f aca="false">IF(AND(INDEX('feed pars'!$C$6:$AT$48,MATCH($A42,'feed pars'!$B$6:$B$48,0),V$1)&lt;&gt;"",V$1&lt;&gt;""), INDEX('feed pars'!$C$6:$AT$48,MATCH($A42,'feed pars'!$B$6:$B$48,0),V$1), "")</f>
        <v>15.5</v>
      </c>
      <c r="W42" s="52" t="n">
        <f aca="false">IF(AND(INDEX('feed pars'!$C$6:$AT$48,MATCH($A42,'feed pars'!$B$6:$B$48,0),W$1)&lt;&gt;"",W$1&lt;&gt;""), INDEX('feed pars'!$C$6:$AT$48,MATCH($A42,'feed pars'!$B$6:$B$48,0),W$1), "")</f>
        <v>19.7</v>
      </c>
      <c r="X42" s="52" t="n">
        <f aca="false">IF(AND(INDEX('feed pars'!$C$6:$AT$48,MATCH($A42,'feed pars'!$B$6:$B$48,0),X$1)&lt;&gt;"",X$1&lt;&gt;""), INDEX('feed pars'!$C$6:$AT$48,MATCH($A42,'feed pars'!$B$6:$B$48,0),X$1), "")</f>
        <v>33</v>
      </c>
      <c r="Z42" s="42" t="str">
        <f aca="false">'feed pars'!$B45</f>
        <v>potatoe protein</v>
      </c>
      <c r="AA42" s="1" t="s">
        <v>102</v>
      </c>
      <c r="AC42" s="52" t="n">
        <f aca="false">IF(AND(INDEX('feed pars'!$C$6:$AT$48,MATCH($A42,'feed pars'!$B$6:$B$48,0),AC$1)&lt;&gt;"",AC$1&lt;&gt;""), INDEX('feed pars'!$C$6:$AT$48,MATCH($A42,'feed pars'!$B$6:$B$48,0),AC$1), "")</f>
        <v>15.5</v>
      </c>
      <c r="AD42" s="52" t="n">
        <f aca="false">IF(AND(INDEX('feed pars'!$C$6:$AT$48,MATCH($A42,'feed pars'!$B$6:$B$48,0),AD$1)&lt;&gt;"",AD$1&lt;&gt;""), INDEX('feed pars'!$C$6:$AT$48,MATCH($A42,'feed pars'!$B$6:$B$48,0),AD$1), "")</f>
        <v>19.7</v>
      </c>
      <c r="AE42" s="52" t="n">
        <f aca="false">IF(AND(INDEX('feed pars'!$C$6:$AT$48,MATCH($A42,'feed pars'!$B$6:$B$48,0),AE$1)&lt;&gt;"",AE$1&lt;&gt;""), INDEX('feed pars'!$C$6:$AT$48,MATCH($A42,'feed pars'!$B$6:$B$48,0),AE$1), "")</f>
        <v>33</v>
      </c>
      <c r="AG42" s="42" t="str">
        <f aca="false">'feed pars'!$B45</f>
        <v>potatoe protein</v>
      </c>
      <c r="AH42" s="1" t="s">
        <v>83</v>
      </c>
      <c r="AI42" s="52"/>
      <c r="AJ42" s="52" t="n">
        <f aca="false">IF(AND(INDEX('feed pars'!$C$6:$AT$48,MATCH($A42,'feed pars'!$B$6:$B$48,0),AJ$1)&lt;&gt;"",AJ$1&lt;&gt;""), INDEX('feed pars'!$C$6:$AT$48,MATCH($A42,'feed pars'!$B$6:$B$48,0),AJ$1), "")</f>
        <v>11.1</v>
      </c>
      <c r="AK42" s="52" t="n">
        <f aca="false">IF(AND(INDEX('feed pars'!$C$6:$AT$48,MATCH($A42,'feed pars'!$B$6:$B$48,0),AK$1)&lt;&gt;"",AK$1&lt;&gt;""), INDEX('feed pars'!$C$6:$AT$48,MATCH($A42,'feed pars'!$B$6:$B$48,0),AK$1), "")</f>
        <v>20.8</v>
      </c>
      <c r="AM42" s="42" t="str">
        <f aca="false">'feed pars'!$B45</f>
        <v>potatoe protein</v>
      </c>
      <c r="AN42" s="1" t="s">
        <v>83</v>
      </c>
      <c r="AO42" s="1" t="s">
        <v>263</v>
      </c>
      <c r="AP42" s="52" t="n">
        <f aca="false">IF(AND(INDEX('feed pars'!$C$6:$AT$48,MATCH($A42,'feed pars'!$B$6:$B$48,0),AP$1)&lt;&gt;"",AP$1&lt;&gt;""), INDEX('feed pars'!$C$6:$AT$48,MATCH($A42,'feed pars'!$B$6:$B$48,0),AP$1), "")</f>
        <v>11.3</v>
      </c>
      <c r="AQ42" s="52" t="str">
        <f aca="false">IF(AND(INDEX('feed pars'!$C$6:$AT$48,MATCH($A42,'feed pars'!$B$6:$B$48,0),AQ$1)&lt;&gt;"",AQ$1&lt;&gt;""), INDEX('feed pars'!$C$6:$AT$48,MATCH($A42,'feed pars'!$B$6:$B$48,0),AQ$1), "")</f>
        <v/>
      </c>
      <c r="AS42" s="42" t="str">
        <f aca="false">'feed pars'!$B45</f>
        <v>potatoe protein</v>
      </c>
      <c r="AT42" s="1" t="s">
        <v>84</v>
      </c>
      <c r="AV42" s="42" t="n">
        <f aca="false">IF(AND(INDEX('feed pars'!$C$6:$AT$48,MATCH($A42,'feed pars'!$B$6:$B$48,0),AV$1)&lt;&gt;"",AV$1&lt;&gt;""), INDEX('feed pars'!$C$6:$AT$48,MATCH($A42,'feed pars'!$B$6:$B$48,0),AV$1), "")</f>
        <v>16</v>
      </c>
    </row>
    <row r="43" customFormat="false" ht="15" hidden="false" customHeight="false" outlineLevel="0" collapsed="false">
      <c r="A43" s="1" t="str">
        <f aca="false">'feed pars'!$B46</f>
        <v>potatoe offals</v>
      </c>
      <c r="D43" s="42" t="n">
        <f aca="false">IF(AND(INDEX('feed pars'!$C$6:$AT$48,MATCH($A43,'feed pars'!$B$6:$B$48,0),D$1)&lt;&gt;"",D$1&lt;&gt;""), INDEX('feed pars'!$C$6:$AT$48,MATCH($A43,'feed pars'!$B$6:$B$48,0),D$1), "")</f>
        <v>17.035156</v>
      </c>
      <c r="E43" s="42" t="n">
        <f aca="false">IF(AND(INDEX('feed pars'!$C$6:$AT$48,MATCH($A43,'feed pars'!$B$6:$B$48,0),E$1)&lt;&gt;"",E$1&lt;&gt;""), INDEX('feed pars'!$C$6:$AT$48,MATCH($A43,'feed pars'!$B$6:$B$48,0),E$1), "")</f>
        <v>5.5</v>
      </c>
      <c r="F43" s="42" t="n">
        <f aca="false">IF(AND(INDEX('feed pars'!$C$6:$AT$48,MATCH($A43,'feed pars'!$B$6:$B$48,0),F$1)&lt;&gt;"",F$1&lt;&gt;""), INDEX('feed pars'!$C$6:$AT$48,MATCH($A43,'feed pars'!$B$6:$B$48,0),F$1), "")</f>
        <v>1.44</v>
      </c>
      <c r="G43" s="42" t="n">
        <f aca="false">IF(AND(INDEX('feed pars'!$C$6:$AT$48,MATCH($A43,'feed pars'!$B$6:$B$48,0),G$1)&lt;&gt;"",G$1&lt;&gt;""), INDEX('feed pars'!$C$6:$AT$48,MATCH($A43,'feed pars'!$B$6:$B$48,0),G$1), "")</f>
        <v>0.23</v>
      </c>
      <c r="H43" s="42" t="n">
        <f aca="false">IF(AND(INDEX('feed pars'!$C$6:$AT$48,MATCH($A43,'feed pars'!$B$6:$B$48,0),H$1)&lt;&gt;"",H$1&lt;&gt;""), INDEX('feed pars'!$C$6:$AT$48,MATCH($A43,'feed pars'!$B$6:$B$48,0),H$1), "")</f>
        <v>2.2</v>
      </c>
      <c r="I43" s="42"/>
      <c r="J43" s="42" t="str">
        <f aca="false">'feed pars'!$B46</f>
        <v>potatoe offals</v>
      </c>
      <c r="K43" s="52" t="s">
        <v>92</v>
      </c>
      <c r="L43" s="52"/>
      <c r="M43" s="42" t="n">
        <f aca="false">IF(AND(INDEX('feed pars'!$C$6:$AT$48,MATCH($A43,'feed pars'!$B$6:$B$48,0),M$1)&lt;&gt;"",M$1&lt;&gt;""), INDEX('feed pars'!$C$6:$AT$48,MATCH($A43,'feed pars'!$B$6:$B$48,0),M$1), "")</f>
        <v>13.1</v>
      </c>
      <c r="N43" s="52" t="n">
        <f aca="false">IF(AND(INDEX('feed pars'!$C$6:$AT$48,MATCH($A43,'feed pars'!$B$6:$B$48,0),N$1)&lt;&gt;"",N$1&lt;&gt;""), INDEX('feed pars'!$C$6:$AT$48,MATCH($A43,'feed pars'!$B$6:$B$48,0),N$1), "")</f>
        <v>92</v>
      </c>
      <c r="O43" s="52" t="n">
        <f aca="false">IF(AND(INDEX('feed pars'!$C$6:$AT$48,MATCH($A43,'feed pars'!$B$6:$B$48,0),O$1)&lt;&gt;"",O$1&lt;&gt;""), INDEX('feed pars'!$C$6:$AT$48,MATCH($A43,'feed pars'!$B$6:$B$48,0),O$1), "")</f>
        <v>-70</v>
      </c>
      <c r="P43" s="52" t="n">
        <f aca="false">IF(AND(INDEX('feed pars'!$C$6:$AT$48,MATCH($A43,'feed pars'!$B$6:$B$48,0),P$1)&lt;&gt;"",P$1&lt;&gt;""), INDEX('feed pars'!$C$6:$AT$48,MATCH($A43,'feed pars'!$B$6:$B$48,0),P$1), "")</f>
        <v>14.9</v>
      </c>
      <c r="Q43" s="52" t="n">
        <f aca="false">IF(AND(INDEX('feed pars'!$C$6:$AT$48,MATCH($A43,'feed pars'!$B$6:$B$48,0),Q$1)&lt;&gt;"",Q$1&lt;&gt;""), INDEX('feed pars'!$C$6:$AT$48,MATCH($A43,'feed pars'!$B$6:$B$48,0),Q$1), "")</f>
        <v>10</v>
      </c>
      <c r="R43" s="52"/>
      <c r="S43" s="42" t="str">
        <f aca="false">'feed pars'!$B46</f>
        <v>potatoe offals</v>
      </c>
      <c r="T43" s="52" t="s">
        <v>104</v>
      </c>
      <c r="U43" s="52"/>
      <c r="V43" s="52" t="n">
        <f aca="false">IF(AND(INDEX('feed pars'!$C$6:$AT$48,MATCH($A43,'feed pars'!$B$6:$B$48,0),V$1)&lt;&gt;"",V$1&lt;&gt;""), INDEX('feed pars'!$C$6:$AT$48,MATCH($A43,'feed pars'!$B$6:$B$48,0),V$1), "")</f>
        <v>13.1</v>
      </c>
      <c r="W43" s="52" t="n">
        <f aca="false">IF(AND(INDEX('feed pars'!$C$6:$AT$48,MATCH($A43,'feed pars'!$B$6:$B$48,0),W$1)&lt;&gt;"",W$1&lt;&gt;""), INDEX('feed pars'!$C$6:$AT$48,MATCH($A43,'feed pars'!$B$6:$B$48,0),W$1), "")</f>
        <v>14.9</v>
      </c>
      <c r="X43" s="52" t="n">
        <f aca="false">IF(AND(INDEX('feed pars'!$C$6:$AT$48,MATCH($A43,'feed pars'!$B$6:$B$48,0),X$1)&lt;&gt;"",X$1&lt;&gt;""), INDEX('feed pars'!$C$6:$AT$48,MATCH($A43,'feed pars'!$B$6:$B$48,0),X$1), "")</f>
        <v>10</v>
      </c>
      <c r="Y43" s="52"/>
      <c r="Z43" s="42" t="str">
        <f aca="false">'feed pars'!$B46</f>
        <v>potatoe offals</v>
      </c>
      <c r="AA43" s="52" t="s">
        <v>102</v>
      </c>
      <c r="AB43" s="52"/>
      <c r="AC43" s="52" t="n">
        <f aca="false">IF(AND(INDEX('feed pars'!$C$6:$AT$48,MATCH($A43,'feed pars'!$B$6:$B$48,0),AC$1)&lt;&gt;"",AC$1&lt;&gt;""), INDEX('feed pars'!$C$6:$AT$48,MATCH($A43,'feed pars'!$B$6:$B$48,0),AC$1), "")</f>
        <v>13.1</v>
      </c>
      <c r="AD43" s="52" t="n">
        <f aca="false">IF(AND(INDEX('feed pars'!$C$6:$AT$48,MATCH($A43,'feed pars'!$B$6:$B$48,0),AD$1)&lt;&gt;"",AD$1&lt;&gt;""), INDEX('feed pars'!$C$6:$AT$48,MATCH($A43,'feed pars'!$B$6:$B$48,0),AD$1), "")</f>
        <v>14.9</v>
      </c>
      <c r="AE43" s="52" t="n">
        <f aca="false">IF(AND(INDEX('feed pars'!$C$6:$AT$48,MATCH($A43,'feed pars'!$B$6:$B$48,0),AE$1)&lt;&gt;"",AE$1&lt;&gt;""), INDEX('feed pars'!$C$6:$AT$48,MATCH($A43,'feed pars'!$B$6:$B$48,0),AE$1), "")</f>
        <v>10</v>
      </c>
      <c r="AG43" s="42" t="str">
        <f aca="false">'feed pars'!$B46</f>
        <v>potatoe offals</v>
      </c>
      <c r="AH43" s="52" t="s">
        <v>83</v>
      </c>
      <c r="AI43" s="52"/>
      <c r="AJ43" s="52" t="str">
        <f aca="false">IF(AND(INDEX('feed pars'!$C$6:$AT$48,MATCH($A43,'feed pars'!$B$6:$B$48,0),AJ$1)&lt;&gt;"",AJ$1&lt;&gt;""), INDEX('feed pars'!$C$6:$AT$48,MATCH($A43,'feed pars'!$B$6:$B$48,0),AJ$1), "")</f>
        <v/>
      </c>
      <c r="AK43" s="52" t="str">
        <f aca="false">IF(AND(INDEX('feed pars'!$C$6:$AT$48,MATCH($A43,'feed pars'!$B$6:$B$48,0),AK$1)&lt;&gt;"",AK$1&lt;&gt;""), INDEX('feed pars'!$C$6:$AT$48,MATCH($A43,'feed pars'!$B$6:$B$48,0),AK$1), "")</f>
        <v/>
      </c>
      <c r="AL43" s="52"/>
      <c r="AM43" s="42" t="str">
        <f aca="false">'feed pars'!$B46</f>
        <v>potatoe offals</v>
      </c>
      <c r="AN43" s="52" t="s">
        <v>83</v>
      </c>
      <c r="AO43" s="52" t="s">
        <v>263</v>
      </c>
      <c r="AP43" s="52" t="str">
        <f aca="false">IF(AND(INDEX('feed pars'!$C$6:$AT$48,MATCH($A43,'feed pars'!$B$6:$B$48,0),AP$1)&lt;&gt;"",AP$1&lt;&gt;""), INDEX('feed pars'!$C$6:$AT$48,MATCH($A43,'feed pars'!$B$6:$B$48,0),AP$1), "")</f>
        <v/>
      </c>
      <c r="AQ43" s="52" t="str">
        <f aca="false">IF(AND(INDEX('feed pars'!$C$6:$AT$48,MATCH($A43,'feed pars'!$B$6:$B$48,0),AQ$1)&lt;&gt;"",AQ$1&lt;&gt;""), INDEX('feed pars'!$C$6:$AT$48,MATCH($A43,'feed pars'!$B$6:$B$48,0),AQ$1), "")</f>
        <v/>
      </c>
      <c r="AS43" s="42" t="str">
        <f aca="false">'feed pars'!$B46</f>
        <v>potatoe offals</v>
      </c>
      <c r="AT43" s="52" t="s">
        <v>84</v>
      </c>
      <c r="AU43" s="52"/>
      <c r="AV43" s="42" t="str">
        <f aca="false">IF(AND(INDEX('feed pars'!$C$6:$AT$48,MATCH($A43,'feed pars'!$B$6:$B$48,0),AV$1)&lt;&gt;"",AV$1&lt;&gt;""), INDEX('feed pars'!$C$6:$AT$48,MATCH($A43,'feed pars'!$B$6:$B$48,0),AV$1), "")</f>
        <v/>
      </c>
    </row>
    <row r="44" customFormat="false" ht="15" hidden="false" customHeight="false" outlineLevel="0" collapsed="false">
      <c r="A44" s="1" t="str">
        <f aca="false">'feed pars'!$B47</f>
        <v>fish meal</v>
      </c>
      <c r="D44" s="42" t="n">
        <f aca="false">IF(AND(INDEX('feed pars'!$C$6:$AT$48,MATCH($A44,'feed pars'!$B$6:$B$48,0),D$1)&lt;&gt;"",D$1&lt;&gt;""), INDEX('feed pars'!$C$6:$AT$48,MATCH($A44,'feed pars'!$B$6:$B$48,0),D$1), "")</f>
        <v>22.254696</v>
      </c>
      <c r="E44" s="42" t="n">
        <f aca="false">IF(AND(INDEX('feed pars'!$C$6:$AT$48,MATCH($A44,'feed pars'!$B$6:$B$48,0),E$1)&lt;&gt;"",E$1&lt;&gt;""), INDEX('feed pars'!$C$6:$AT$48,MATCH($A44,'feed pars'!$B$6:$B$48,0),E$1), "")</f>
        <v>13.55</v>
      </c>
      <c r="F44" s="42" t="n">
        <f aca="false">IF(AND(INDEX('feed pars'!$C$6:$AT$48,MATCH($A44,'feed pars'!$B$6:$B$48,0),F$1)&lt;&gt;"",F$1&lt;&gt;""), INDEX('feed pars'!$C$6:$AT$48,MATCH($A44,'feed pars'!$B$6:$B$48,0),F$1), "")</f>
        <v>12.112</v>
      </c>
      <c r="G44" s="42" t="n">
        <f aca="false">IF(AND(INDEX('feed pars'!$C$6:$AT$48,MATCH($A44,'feed pars'!$B$6:$B$48,0),G$1)&lt;&gt;"",G$1&lt;&gt;""), INDEX('feed pars'!$C$6:$AT$48,MATCH($A44,'feed pars'!$B$6:$B$48,0),G$1), "")</f>
        <v>2.35</v>
      </c>
      <c r="H44" s="42" t="n">
        <f aca="false">IF(AND(INDEX('feed pars'!$C$6:$AT$48,MATCH($A44,'feed pars'!$B$6:$B$48,0),H$1)&lt;&gt;"",H$1&lt;&gt;""), INDEX('feed pars'!$C$6:$AT$48,MATCH($A44,'feed pars'!$B$6:$B$48,0),H$1), "")</f>
        <v>1.195</v>
      </c>
      <c r="I44" s="42"/>
      <c r="J44" s="42" t="str">
        <f aca="false">'feed pars'!$B47</f>
        <v>fish meal</v>
      </c>
      <c r="K44" s="42" t="s">
        <v>92</v>
      </c>
      <c r="L44" s="42"/>
      <c r="M44" s="42" t="n">
        <f aca="false">IF(AND(INDEX('feed pars'!$C$6:$AT$48,MATCH($A44,'feed pars'!$B$6:$B$48,0),M$1)&lt;&gt;"",M$1&lt;&gt;""), INDEX('feed pars'!$C$6:$AT$48,MATCH($A44,'feed pars'!$B$6:$B$48,0),M$1), "")</f>
        <v>14.8</v>
      </c>
      <c r="N44" s="42" t="n">
        <f aca="false">IF(AND(INDEX('feed pars'!$C$6:$AT$48,MATCH($A44,'feed pars'!$B$6:$B$48,0),N$1)&lt;&gt;"",N$1&lt;&gt;""), INDEX('feed pars'!$C$6:$AT$48,MATCH($A44,'feed pars'!$B$6:$B$48,0),N$1), "")</f>
        <v>51</v>
      </c>
      <c r="O44" s="42" t="n">
        <f aca="false">IF(AND(INDEX('feed pars'!$C$6:$AT$48,MATCH($A44,'feed pars'!$B$6:$B$48,0),O$1)&lt;&gt;"",O$1&lt;&gt;""), INDEX('feed pars'!$C$6:$AT$48,MATCH($A44,'feed pars'!$B$6:$B$48,0),O$1), "")</f>
        <v>154</v>
      </c>
      <c r="P44" s="42" t="n">
        <f aca="false">IF(AND(INDEX('feed pars'!$C$6:$AT$48,MATCH($A44,'feed pars'!$B$6:$B$48,0),P$1)&lt;&gt;"",P$1&lt;&gt;""), INDEX('feed pars'!$C$6:$AT$48,MATCH($A44,'feed pars'!$B$6:$B$48,0),P$1), "")</f>
        <v>21.75054492</v>
      </c>
      <c r="Q44" s="42" t="n">
        <f aca="false">IF(AND(INDEX('feed pars'!$C$6:$AT$48,MATCH($A44,'feed pars'!$B$6:$B$48,0),Q$1)&lt;&gt;"",Q$1&lt;&gt;""), INDEX('feed pars'!$C$6:$AT$48,MATCH($A44,'feed pars'!$B$6:$B$48,0),Q$1), "")</f>
        <v>110</v>
      </c>
      <c r="S44" s="42" t="str">
        <f aca="false">'feed pars'!$B47</f>
        <v>fish meal</v>
      </c>
      <c r="T44" s="42" t="s">
        <v>104</v>
      </c>
      <c r="U44" s="42"/>
      <c r="V44" s="42" t="n">
        <f aca="false">IF(AND(INDEX('feed pars'!$C$6:$AT$48,MATCH($A44,'feed pars'!$B$6:$B$48,0),V$1)&lt;&gt;"",V$1&lt;&gt;""), INDEX('feed pars'!$C$6:$AT$48,MATCH($A44,'feed pars'!$B$6:$B$48,0),V$1), "")</f>
        <v>14.8</v>
      </c>
      <c r="W44" s="42" t="n">
        <f aca="false">IF(AND(INDEX('feed pars'!$C$6:$AT$48,MATCH($A44,'feed pars'!$B$6:$B$48,0),W$1)&lt;&gt;"",W$1&lt;&gt;""), INDEX('feed pars'!$C$6:$AT$48,MATCH($A44,'feed pars'!$B$6:$B$48,0),W$1), "")</f>
        <v>21.75054492</v>
      </c>
      <c r="X44" s="42" t="n">
        <f aca="false">IF(AND(INDEX('feed pars'!$C$6:$AT$48,MATCH($A44,'feed pars'!$B$6:$B$48,0),X$1)&lt;&gt;"",X$1&lt;&gt;""), INDEX('feed pars'!$C$6:$AT$48,MATCH($A44,'feed pars'!$B$6:$B$48,0),X$1), "")</f>
        <v>110</v>
      </c>
      <c r="Z44" s="42" t="str">
        <f aca="false">'feed pars'!$B47</f>
        <v>fish meal</v>
      </c>
      <c r="AA44" s="42" t="s">
        <v>102</v>
      </c>
      <c r="AB44" s="42"/>
      <c r="AC44" s="42" t="n">
        <f aca="false">IF(AND(INDEX('feed pars'!$C$6:$AT$48,MATCH($A44,'feed pars'!$B$6:$B$48,0),AC$1)&lt;&gt;"",AC$1&lt;&gt;""), INDEX('feed pars'!$C$6:$AT$48,MATCH($A44,'feed pars'!$B$6:$B$48,0),AC$1), "")</f>
        <v>14.8</v>
      </c>
      <c r="AD44" s="42" t="n">
        <f aca="false">IF(AND(INDEX('feed pars'!$C$6:$AT$48,MATCH($A44,'feed pars'!$B$6:$B$48,0),AD$1)&lt;&gt;"",AD$1&lt;&gt;""), INDEX('feed pars'!$C$6:$AT$48,MATCH($A44,'feed pars'!$B$6:$B$48,0),AD$1), "")</f>
        <v>21.75054492</v>
      </c>
      <c r="AE44" s="42" t="n">
        <f aca="false">IF(AND(INDEX('feed pars'!$C$6:$AT$48,MATCH($A44,'feed pars'!$B$6:$B$48,0),AE$1)&lt;&gt;"",AE$1&lt;&gt;""), INDEX('feed pars'!$C$6:$AT$48,MATCH($A44,'feed pars'!$B$6:$B$48,0),AE$1), "")</f>
        <v>110</v>
      </c>
      <c r="AG44" s="42" t="str">
        <f aca="false">'feed pars'!$B47</f>
        <v>fish meal</v>
      </c>
      <c r="AH44" s="42" t="s">
        <v>83</v>
      </c>
      <c r="AI44" s="42"/>
      <c r="AJ44" s="42" t="n">
        <f aca="false">IF(AND(INDEX('feed pars'!$C$6:$AT$48,MATCH($A44,'feed pars'!$B$6:$B$48,0),AJ$1)&lt;&gt;"",AJ$1&lt;&gt;""), INDEX('feed pars'!$C$6:$AT$48,MATCH($A44,'feed pars'!$B$6:$B$48,0),AJ$1), "")</f>
        <v>10.8</v>
      </c>
      <c r="AK44" s="42" t="n">
        <f aca="false">IF(AND(INDEX('feed pars'!$C$6:$AT$48,MATCH($A44,'feed pars'!$B$6:$B$48,0),AK$1)&lt;&gt;"",AK$1&lt;&gt;""), INDEX('feed pars'!$C$6:$AT$48,MATCH($A44,'feed pars'!$B$6:$B$48,0),AK$1), "")</f>
        <v>19.5</v>
      </c>
      <c r="AM44" s="42" t="str">
        <f aca="false">'feed pars'!$B47</f>
        <v>fish meal</v>
      </c>
      <c r="AN44" s="42" t="s">
        <v>83</v>
      </c>
      <c r="AO44" s="42" t="s">
        <v>263</v>
      </c>
      <c r="AP44" s="52" t="n">
        <f aca="false">IF(AND(INDEX('feed pars'!$C$6:$AT$48,MATCH($A44,'feed pars'!$B$6:$B$48,0),AP$1)&lt;&gt;"",AP$1&lt;&gt;""), INDEX('feed pars'!$C$6:$AT$48,MATCH($A44,'feed pars'!$B$6:$B$48,0),AP$1), "")</f>
        <v>10.8</v>
      </c>
      <c r="AQ44" s="52" t="str">
        <f aca="false">IF(AND(INDEX('feed pars'!$C$6:$AT$48,MATCH($A44,'feed pars'!$B$6:$B$48,0),AQ$1)&lt;&gt;"",AQ$1&lt;&gt;""), INDEX('feed pars'!$C$6:$AT$48,MATCH($A44,'feed pars'!$B$6:$B$48,0),AQ$1), "")</f>
        <v/>
      </c>
      <c r="AS44" s="42" t="str">
        <f aca="false">'feed pars'!$B47</f>
        <v>fish meal</v>
      </c>
      <c r="AT44" s="42" t="s">
        <v>84</v>
      </c>
      <c r="AU44" s="42"/>
      <c r="AV44" s="42" t="n">
        <f aca="false">IF(AND(INDEX('feed pars'!$C$6:$AT$48,MATCH($A44,'feed pars'!$B$6:$B$48,0),AV$1)&lt;&gt;"",AV$1&lt;&gt;""), INDEX('feed pars'!$C$6:$AT$48,MATCH($A44,'feed pars'!$B$6:$B$48,0),AV$1), "")</f>
        <v>13.695652173913</v>
      </c>
    </row>
    <row r="45" customFormat="false" ht="15" hidden="false" customHeight="false" outlineLevel="0" collapsed="false">
      <c r="A45" s="97" t="str">
        <f aca="false">'feed pars'!$B48</f>
        <v>minerals</v>
      </c>
      <c r="B45" s="97"/>
      <c r="C45" s="97"/>
      <c r="D45" s="101" t="n">
        <f aca="false">IF(AND(INDEX('feed pars'!$C$6:$AT$48,MATCH($A45,'feed pars'!$B$6:$B$48,0),D$1)&lt;&gt;"",D$1&lt;&gt;""), INDEX('feed pars'!$C$6:$AT$48,MATCH($A45,'feed pars'!$B$6:$B$48,0),D$1), "")</f>
        <v>0</v>
      </c>
      <c r="E45" s="101" t="n">
        <f aca="false">IF(AND(INDEX('feed pars'!$C$6:$AT$48,MATCH($A45,'feed pars'!$B$6:$B$48,0),E$1)&lt;&gt;"",E$1&lt;&gt;""), INDEX('feed pars'!$C$6:$AT$48,MATCH($A45,'feed pars'!$B$6:$B$48,0),E$1), "")</f>
        <v>100</v>
      </c>
      <c r="F45" s="101" t="n">
        <f aca="false">IF(AND(INDEX('feed pars'!$C$6:$AT$48,MATCH($A45,'feed pars'!$B$6:$B$48,0),F$1)&lt;&gt;"",F$1&lt;&gt;""), INDEX('feed pars'!$C$6:$AT$48,MATCH($A45,'feed pars'!$B$6:$B$48,0),F$1), "")</f>
        <v>0</v>
      </c>
      <c r="G45" s="101" t="n">
        <f aca="false">IF(AND(INDEX('feed pars'!$C$6:$AT$48,MATCH($A45,'feed pars'!$B$6:$B$48,0),G$1)&lt;&gt;"",G$1&lt;&gt;""), INDEX('feed pars'!$C$6:$AT$48,MATCH($A45,'feed pars'!$B$6:$B$48,0),G$1), "")</f>
        <v>4</v>
      </c>
      <c r="H45" s="101" t="n">
        <f aca="false">IF(AND(INDEX('feed pars'!$C$6:$AT$48,MATCH($A45,'feed pars'!$B$6:$B$48,0),H$1)&lt;&gt;"",H$1&lt;&gt;""), INDEX('feed pars'!$C$6:$AT$48,MATCH($A45,'feed pars'!$B$6:$B$48,0),H$1), "")</f>
        <v>0</v>
      </c>
      <c r="J45" s="101" t="str">
        <f aca="false">'feed pars'!$B48</f>
        <v>minerals</v>
      </c>
      <c r="K45" s="101" t="s">
        <v>92</v>
      </c>
      <c r="L45" s="101"/>
      <c r="M45" s="101" t="n">
        <f aca="false">IF(AND(INDEX('feed pars'!$C$6:$AT$48,MATCH($A45,'feed pars'!$B$6:$B$48,0),M$1)&lt;&gt;"",M$1&lt;&gt;""), INDEX('feed pars'!$C$6:$AT$48,MATCH($A45,'feed pars'!$B$6:$B$48,0),M$1), "")</f>
        <v>0</v>
      </c>
      <c r="N45" s="101" t="n">
        <f aca="false">IF(AND(INDEX('feed pars'!$C$6:$AT$48,MATCH($A45,'feed pars'!$B$6:$B$48,0),N$1)&lt;&gt;"",N$1&lt;&gt;""), INDEX('feed pars'!$C$6:$AT$48,MATCH($A45,'feed pars'!$B$6:$B$48,0),N$1), "")</f>
        <v>0</v>
      </c>
      <c r="O45" s="101" t="n">
        <f aca="false">IF(AND(INDEX('feed pars'!$C$6:$AT$48,MATCH($A45,'feed pars'!$B$6:$B$48,0),O$1)&lt;&gt;"",O$1&lt;&gt;""), INDEX('feed pars'!$C$6:$AT$48,MATCH($A45,'feed pars'!$B$6:$B$48,0),O$1), "")</f>
        <v>0</v>
      </c>
      <c r="P45" s="101" t="n">
        <f aca="false">IF(AND(INDEX('feed pars'!$C$6:$AT$48,MATCH($A45,'feed pars'!$B$6:$B$48,0),P$1)&lt;&gt;"",P$1&lt;&gt;""), INDEX('feed pars'!$C$6:$AT$48,MATCH($A45,'feed pars'!$B$6:$B$48,0),P$1), "")</f>
        <v>0</v>
      </c>
      <c r="Q45" s="101" t="n">
        <f aca="false">IF(AND(INDEX('feed pars'!$C$6:$AT$48,MATCH($A45,'feed pars'!$B$6:$B$48,0),Q$1)&lt;&gt;"",Q$1&lt;&gt;""), INDEX('feed pars'!$C$6:$AT$48,MATCH($A45,'feed pars'!$B$6:$B$48,0),Q$1), "")</f>
        <v>0</v>
      </c>
      <c r="S45" s="101" t="str">
        <f aca="false">'feed pars'!$B48</f>
        <v>minerals</v>
      </c>
      <c r="T45" s="101" t="s">
        <v>104</v>
      </c>
      <c r="U45" s="101"/>
      <c r="V45" s="101" t="n">
        <f aca="false">IF(AND(INDEX('feed pars'!$C$6:$AT$48,MATCH($A45,'feed pars'!$B$6:$B$48,0),V$1)&lt;&gt;"",V$1&lt;&gt;""), INDEX('feed pars'!$C$6:$AT$48,MATCH($A45,'feed pars'!$B$6:$B$48,0),V$1), "")</f>
        <v>0</v>
      </c>
      <c r="W45" s="101" t="n">
        <f aca="false">IF(AND(INDEX('feed pars'!$C$6:$AT$48,MATCH($A45,'feed pars'!$B$6:$B$48,0),W$1)&lt;&gt;"",W$1&lt;&gt;""), INDEX('feed pars'!$C$6:$AT$48,MATCH($A45,'feed pars'!$B$6:$B$48,0),W$1), "")</f>
        <v>0</v>
      </c>
      <c r="X45" s="101" t="n">
        <f aca="false">IF(AND(INDEX('feed pars'!$C$6:$AT$48,MATCH($A45,'feed pars'!$B$6:$B$48,0),X$1)&lt;&gt;"",X$1&lt;&gt;""), INDEX('feed pars'!$C$6:$AT$48,MATCH($A45,'feed pars'!$B$6:$B$48,0),X$1), "")</f>
        <v>0</v>
      </c>
      <c r="Z45" s="101" t="str">
        <f aca="false">'feed pars'!$B48</f>
        <v>minerals</v>
      </c>
      <c r="AA45" s="101" t="s">
        <v>102</v>
      </c>
      <c r="AB45" s="101"/>
      <c r="AC45" s="101" t="n">
        <f aca="false">IF(AND(INDEX('feed pars'!$C$6:$AT$48,MATCH($A45,'feed pars'!$B$6:$B$48,0),AC$1)&lt;&gt;"",AC$1&lt;&gt;""), INDEX('feed pars'!$C$6:$AT$48,MATCH($A45,'feed pars'!$B$6:$B$48,0),AC$1), "")</f>
        <v>0</v>
      </c>
      <c r="AD45" s="101" t="n">
        <f aca="false">IF(AND(INDEX('feed pars'!$C$6:$AT$48,MATCH($A45,'feed pars'!$B$6:$B$48,0),AD$1)&lt;&gt;"",AD$1&lt;&gt;""), INDEX('feed pars'!$C$6:$AT$48,MATCH($A45,'feed pars'!$B$6:$B$48,0),AD$1), "")</f>
        <v>0</v>
      </c>
      <c r="AE45" s="101" t="n">
        <f aca="false">IF(AND(INDEX('feed pars'!$C$6:$AT$48,MATCH($A45,'feed pars'!$B$6:$B$48,0),AE$1)&lt;&gt;"",AE$1&lt;&gt;""), INDEX('feed pars'!$C$6:$AT$48,MATCH($A45,'feed pars'!$B$6:$B$48,0),AE$1), "")</f>
        <v>0</v>
      </c>
      <c r="AG45" s="101" t="str">
        <f aca="false">'feed pars'!$B48</f>
        <v>minerals</v>
      </c>
      <c r="AH45" s="101" t="s">
        <v>83</v>
      </c>
      <c r="AI45" s="101"/>
      <c r="AJ45" s="101" t="n">
        <f aca="false">IF(AND(INDEX('feed pars'!$C$6:$AT$48,MATCH($A45,'feed pars'!$B$6:$B$48,0),AJ$1)&lt;&gt;"",AJ$1&lt;&gt;""), INDEX('feed pars'!$C$6:$AT$48,MATCH($A45,'feed pars'!$B$6:$B$48,0),AJ$1), "")</f>
        <v>0</v>
      </c>
      <c r="AK45" s="101" t="n">
        <f aca="false">IF(AND(INDEX('feed pars'!$C$6:$AT$48,MATCH($A45,'feed pars'!$B$6:$B$48,0),AK$1)&lt;&gt;"",AK$1&lt;&gt;""), INDEX('feed pars'!$C$6:$AT$48,MATCH($A45,'feed pars'!$B$6:$B$48,0),AK$1), "")</f>
        <v>0</v>
      </c>
      <c r="AM45" s="101" t="str">
        <f aca="false">'feed pars'!$B48</f>
        <v>minerals</v>
      </c>
      <c r="AN45" s="101" t="s">
        <v>83</v>
      </c>
      <c r="AO45" s="101" t="s">
        <v>263</v>
      </c>
      <c r="AP45" s="97" t="n">
        <f aca="false">IF(AND(INDEX('feed pars'!$C$6:$AT$48,MATCH($A45,'feed pars'!$B$6:$B$48,0),AP$1)&lt;&gt;"",AP$1&lt;&gt;""), INDEX('feed pars'!$C$6:$AT$48,MATCH($A45,'feed pars'!$B$6:$B$48,0),AP$1), "")</f>
        <v>0</v>
      </c>
      <c r="AQ45" s="97" t="str">
        <f aca="false">IF(AND(INDEX('feed pars'!$C$6:$AT$48,MATCH($A45,'feed pars'!$B$6:$B$48,0),AQ$1)&lt;&gt;"",AQ$1&lt;&gt;""), INDEX('feed pars'!$C$6:$AT$48,MATCH($A45,'feed pars'!$B$6:$B$48,0),AQ$1), "")</f>
        <v/>
      </c>
      <c r="AS45" s="101" t="str">
        <f aca="false">'feed pars'!$B48</f>
        <v>minerals</v>
      </c>
      <c r="AT45" s="101" t="s">
        <v>84</v>
      </c>
      <c r="AU45" s="101"/>
      <c r="AV45" s="101" t="str">
        <f aca="false">IF(AND(INDEX('feed pars'!$C$6:$AT$48,MATCH($A45,'feed pars'!$B$6:$B$48,0),AV$1)&lt;&gt;"",AV$1&lt;&gt;""), INDEX('feed pars'!$C$6:$AT$48,MATCH($A45,'feed pars'!$B$6:$B$48,0),AV$1), "")</f>
        <v/>
      </c>
    </row>
    <row r="46" customFormat="false" ht="15" hidden="false" customHeight="false" outlineLevel="0" collapsed="false">
      <c r="AG46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6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37" activeCellId="0" sqref="A3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.14"/>
    <col collapsed="false" customWidth="true" hidden="false" outlineLevel="0" max="3" min="3" style="1" width="24.57"/>
  </cols>
  <sheetData>
    <row r="1" customFormat="false" ht="15" hidden="false" customHeight="false" outlineLevel="0" collapsed="false">
      <c r="D1" s="1" t="n">
        <v>1</v>
      </c>
      <c r="E1" s="1" t="n">
        <v>2</v>
      </c>
      <c r="F1" s="1" t="n">
        <v>3</v>
      </c>
      <c r="G1" s="1" t="n">
        <v>4</v>
      </c>
      <c r="H1" s="1" t="n">
        <v>5</v>
      </c>
      <c r="I1" s="1" t="n">
        <v>6</v>
      </c>
      <c r="J1" s="1" t="n">
        <v>7</v>
      </c>
      <c r="K1" s="1" t="n">
        <v>8</v>
      </c>
      <c r="L1" s="1" t="n">
        <v>9</v>
      </c>
      <c r="M1" s="1" t="n">
        <v>10</v>
      </c>
      <c r="N1" s="1" t="n">
        <v>11</v>
      </c>
      <c r="O1" s="1" t="n">
        <v>12</v>
      </c>
      <c r="P1" s="1" t="n">
        <v>13</v>
      </c>
      <c r="Q1" s="1" t="n">
        <v>14</v>
      </c>
      <c r="R1" s="1" t="n">
        <v>15</v>
      </c>
      <c r="S1" s="1" t="n">
        <v>16</v>
      </c>
      <c r="T1" s="1" t="n">
        <v>17</v>
      </c>
      <c r="U1" s="1" t="n">
        <v>18</v>
      </c>
      <c r="V1" s="1" t="n">
        <v>19</v>
      </c>
      <c r="W1" s="1" t="n">
        <v>20</v>
      </c>
      <c r="X1" s="1" t="n">
        <v>21</v>
      </c>
      <c r="Y1" s="1" t="n">
        <v>22</v>
      </c>
      <c r="Z1" s="1" t="n">
        <v>23</v>
      </c>
      <c r="AA1" s="1" t="n">
        <v>24</v>
      </c>
      <c r="AB1" s="1" t="n">
        <v>25</v>
      </c>
      <c r="AC1" s="1" t="n">
        <v>26</v>
      </c>
      <c r="AD1" s="1" t="n">
        <v>27</v>
      </c>
      <c r="AE1" s="1" t="n">
        <v>28</v>
      </c>
      <c r="AF1" s="1" t="n">
        <v>29</v>
      </c>
      <c r="AG1" s="1" t="n">
        <v>30</v>
      </c>
      <c r="AH1" s="1" t="n">
        <v>31</v>
      </c>
      <c r="AI1" s="1" t="n">
        <v>32</v>
      </c>
      <c r="AJ1" s="1" t="n">
        <v>33</v>
      </c>
      <c r="AK1" s="1" t="n">
        <v>34</v>
      </c>
      <c r="AL1" s="1" t="n">
        <v>35</v>
      </c>
      <c r="AM1" s="1" t="n">
        <v>36</v>
      </c>
      <c r="AN1" s="1" t="n">
        <v>37</v>
      </c>
      <c r="AO1" s="1" t="n">
        <v>38</v>
      </c>
    </row>
    <row r="2" customFormat="false" ht="25.35" hidden="false" customHeight="false" outlineLevel="0" collapsed="false">
      <c r="A2" s="102" t="s">
        <v>178</v>
      </c>
      <c r="B2" s="103" t="s">
        <v>264</v>
      </c>
      <c r="C2" s="103" t="s">
        <v>265</v>
      </c>
      <c r="D2" s="103" t="s">
        <v>266</v>
      </c>
      <c r="E2" s="103" t="s">
        <v>197</v>
      </c>
      <c r="F2" s="103" t="s">
        <v>198</v>
      </c>
      <c r="G2" s="103" t="s">
        <v>267</v>
      </c>
      <c r="H2" s="103" t="s">
        <v>268</v>
      </c>
      <c r="I2" s="103" t="s">
        <v>269</v>
      </c>
      <c r="J2" s="103" t="s">
        <v>270</v>
      </c>
      <c r="K2" s="103" t="s">
        <v>271</v>
      </c>
      <c r="L2" s="103" t="s">
        <v>272</v>
      </c>
      <c r="M2" s="103" t="s">
        <v>273</v>
      </c>
      <c r="N2" s="103" t="s">
        <v>274</v>
      </c>
      <c r="O2" s="103" t="s">
        <v>275</v>
      </c>
      <c r="P2" s="103" t="s">
        <v>276</v>
      </c>
      <c r="Q2" s="103" t="s">
        <v>277</v>
      </c>
      <c r="R2" s="103" t="s">
        <v>278</v>
      </c>
      <c r="S2" s="103" t="s">
        <v>279</v>
      </c>
      <c r="T2" s="103" t="s">
        <v>280</v>
      </c>
      <c r="U2" s="103" t="s">
        <v>281</v>
      </c>
      <c r="V2" s="103" t="s">
        <v>282</v>
      </c>
      <c r="W2" s="103" t="s">
        <v>283</v>
      </c>
      <c r="X2" s="103" t="s">
        <v>284</v>
      </c>
      <c r="Y2" s="103" t="s">
        <v>285</v>
      </c>
      <c r="Z2" s="103" t="s">
        <v>286</v>
      </c>
      <c r="AA2" s="103" t="s">
        <v>287</v>
      </c>
      <c r="AB2" s="103" t="s">
        <v>288</v>
      </c>
      <c r="AC2" s="103" t="s">
        <v>289</v>
      </c>
      <c r="AD2" s="103" t="s">
        <v>290</v>
      </c>
      <c r="AE2" s="103" t="s">
        <v>291</v>
      </c>
      <c r="AF2" s="103" t="s">
        <v>292</v>
      </c>
      <c r="AG2" s="103" t="s">
        <v>293</v>
      </c>
      <c r="AH2" s="103" t="s">
        <v>294</v>
      </c>
      <c r="AI2" s="103" t="s">
        <v>295</v>
      </c>
      <c r="AJ2" s="103" t="s">
        <v>296</v>
      </c>
      <c r="AK2" s="103" t="s">
        <v>297</v>
      </c>
      <c r="AL2" s="103" t="s">
        <v>298</v>
      </c>
      <c r="AM2" s="103" t="s">
        <v>299</v>
      </c>
      <c r="AN2" s="103" t="s">
        <v>300</v>
      </c>
      <c r="AO2" s="103" t="s">
        <v>301</v>
      </c>
    </row>
    <row r="3" customFormat="false" ht="16.4" hidden="false" customHeight="false" outlineLevel="0" collapsed="false">
      <c r="A3" s="1" t="s">
        <v>68</v>
      </c>
      <c r="B3" s="104" t="n">
        <v>1</v>
      </c>
      <c r="C3" s="105" t="s">
        <v>302</v>
      </c>
      <c r="D3" s="106" t="n">
        <v>11</v>
      </c>
      <c r="E3" s="106" t="n">
        <v>8.2</v>
      </c>
      <c r="F3" s="106" t="n">
        <v>8.9</v>
      </c>
      <c r="G3" s="106" t="n">
        <v>10.8</v>
      </c>
      <c r="H3" s="106" t="n">
        <v>280</v>
      </c>
      <c r="I3" s="106" t="n">
        <v>45</v>
      </c>
      <c r="J3" s="106" t="n">
        <v>22</v>
      </c>
      <c r="K3" s="106"/>
      <c r="L3" s="106"/>
      <c r="M3" s="106"/>
      <c r="N3" s="106"/>
      <c r="O3" s="106" t="n">
        <v>68</v>
      </c>
      <c r="P3" s="106" t="n">
        <v>8.7</v>
      </c>
      <c r="Q3" s="106" t="n">
        <v>9.6</v>
      </c>
      <c r="R3" s="106" t="n">
        <v>5.2</v>
      </c>
      <c r="S3" s="106" t="n">
        <v>6.7</v>
      </c>
      <c r="T3" s="106" t="n">
        <v>11.9</v>
      </c>
      <c r="U3" s="106" t="n">
        <v>4.2</v>
      </c>
      <c r="V3" s="106" t="n">
        <v>10</v>
      </c>
      <c r="W3" s="106" t="n">
        <v>5.7</v>
      </c>
      <c r="X3" s="106" t="n">
        <v>7.7</v>
      </c>
      <c r="Y3" s="106" t="n">
        <v>4.5</v>
      </c>
      <c r="Z3" s="106" t="n">
        <v>5.5</v>
      </c>
      <c r="AA3" s="106" t="n">
        <v>10</v>
      </c>
      <c r="AB3" s="106" t="n">
        <v>3.4</v>
      </c>
      <c r="AC3" s="106" t="n">
        <v>8</v>
      </c>
      <c r="AD3" s="106" t="n">
        <v>196</v>
      </c>
      <c r="AE3" s="106" t="n">
        <v>0.9</v>
      </c>
      <c r="AF3" s="106" t="n">
        <v>10.9</v>
      </c>
      <c r="AG3" s="106"/>
      <c r="AH3" s="106"/>
      <c r="AI3" s="106" t="n">
        <v>1.8</v>
      </c>
      <c r="AJ3" s="106"/>
      <c r="AK3" s="106"/>
      <c r="AL3" s="106"/>
      <c r="AM3" s="106"/>
      <c r="AN3" s="106" t="n">
        <v>20</v>
      </c>
      <c r="AO3" s="106" t="n">
        <v>20</v>
      </c>
    </row>
    <row r="4" customFormat="false" ht="16.4" hidden="false" customHeight="false" outlineLevel="0" collapsed="false">
      <c r="B4" s="107" t="n">
        <v>2</v>
      </c>
      <c r="C4" s="108" t="s">
        <v>303</v>
      </c>
      <c r="D4" s="109" t="n">
        <v>28</v>
      </c>
      <c r="E4" s="109" t="n">
        <v>8.2</v>
      </c>
      <c r="F4" s="109" t="n">
        <v>8.9</v>
      </c>
      <c r="G4" s="109" t="n">
        <v>10.9</v>
      </c>
      <c r="H4" s="109" t="n">
        <v>364</v>
      </c>
      <c r="I4" s="109" t="n">
        <v>43</v>
      </c>
      <c r="J4" s="109" t="n">
        <v>15</v>
      </c>
      <c r="K4" s="109" t="n">
        <v>71</v>
      </c>
      <c r="L4" s="109"/>
      <c r="M4" s="109" t="n">
        <v>15</v>
      </c>
      <c r="N4" s="109"/>
      <c r="O4" s="109" t="n">
        <v>80</v>
      </c>
      <c r="P4" s="109" t="n">
        <v>11.3</v>
      </c>
      <c r="Q4" s="109" t="n">
        <v>12.5</v>
      </c>
      <c r="R4" s="109" t="n">
        <v>6.8</v>
      </c>
      <c r="S4" s="109" t="n">
        <v>8.7</v>
      </c>
      <c r="T4" s="109" t="n">
        <v>15.5</v>
      </c>
      <c r="U4" s="109" t="n">
        <v>5.4</v>
      </c>
      <c r="V4" s="109" t="n">
        <v>13</v>
      </c>
      <c r="W4" s="109" t="n">
        <v>7.5</v>
      </c>
      <c r="X4" s="109" t="n">
        <v>10</v>
      </c>
      <c r="Y4" s="109" t="n">
        <v>5.8</v>
      </c>
      <c r="Z4" s="109" t="n">
        <v>7.1</v>
      </c>
      <c r="AA4" s="109" t="n">
        <v>13</v>
      </c>
      <c r="AB4" s="109" t="n">
        <v>4.4</v>
      </c>
      <c r="AC4" s="109" t="n">
        <v>10.4</v>
      </c>
      <c r="AD4" s="109" t="n">
        <v>255</v>
      </c>
      <c r="AE4" s="109" t="n">
        <v>1.1</v>
      </c>
      <c r="AF4" s="109" t="n">
        <v>13.9</v>
      </c>
      <c r="AG4" s="109"/>
      <c r="AH4" s="109"/>
      <c r="AI4" s="109" t="n">
        <v>4.3</v>
      </c>
      <c r="AJ4" s="109"/>
      <c r="AK4" s="109"/>
      <c r="AL4" s="109"/>
      <c r="AM4" s="109"/>
      <c r="AN4" s="109" t="n">
        <v>20</v>
      </c>
      <c r="AO4" s="109" t="n">
        <v>20</v>
      </c>
    </row>
    <row r="5" customFormat="false" ht="16.4" hidden="false" customHeight="false" outlineLevel="0" collapsed="false">
      <c r="A5" s="1" t="s">
        <v>66</v>
      </c>
      <c r="B5" s="104" t="n">
        <v>3</v>
      </c>
      <c r="C5" s="105" t="s">
        <v>304</v>
      </c>
      <c r="D5" s="106" t="n">
        <v>90</v>
      </c>
      <c r="E5" s="106" t="n">
        <v>8.1</v>
      </c>
      <c r="F5" s="106" t="n">
        <v>8.7</v>
      </c>
      <c r="G5" s="106" t="n">
        <v>10.7</v>
      </c>
      <c r="H5" s="106" t="n">
        <v>340</v>
      </c>
      <c r="I5" s="106" t="n">
        <v>66</v>
      </c>
      <c r="J5" s="106"/>
      <c r="K5" s="106" t="n">
        <v>354</v>
      </c>
      <c r="L5" s="106"/>
      <c r="M5" s="106" t="n">
        <v>14</v>
      </c>
      <c r="N5" s="106"/>
      <c r="O5" s="106" t="n">
        <v>44</v>
      </c>
      <c r="P5" s="106" t="n">
        <v>10.6</v>
      </c>
      <c r="Q5" s="106" t="n">
        <v>11.7</v>
      </c>
      <c r="R5" s="106" t="n">
        <v>6.3</v>
      </c>
      <c r="S5" s="106" t="n">
        <v>8.1</v>
      </c>
      <c r="T5" s="106" t="n">
        <v>14.5</v>
      </c>
      <c r="U5" s="106" t="n">
        <v>5.1</v>
      </c>
      <c r="V5" s="106" t="n">
        <v>12.1</v>
      </c>
      <c r="W5" s="106" t="n">
        <v>7</v>
      </c>
      <c r="X5" s="106" t="n">
        <v>9.3</v>
      </c>
      <c r="Y5" s="106" t="n">
        <v>5.4</v>
      </c>
      <c r="Z5" s="106" t="n">
        <v>6.7</v>
      </c>
      <c r="AA5" s="106" t="n">
        <v>12.1</v>
      </c>
      <c r="AB5" s="106" t="n">
        <v>4.1</v>
      </c>
      <c r="AC5" s="106" t="n">
        <v>9.7</v>
      </c>
      <c r="AD5" s="106" t="n">
        <v>231</v>
      </c>
      <c r="AE5" s="106" t="n">
        <v>1</v>
      </c>
      <c r="AF5" s="106" t="n">
        <v>7.3</v>
      </c>
      <c r="AG5" s="106" t="n">
        <v>2.6</v>
      </c>
      <c r="AH5" s="106" t="n">
        <v>9.6</v>
      </c>
      <c r="AI5" s="106"/>
      <c r="AJ5" s="106"/>
      <c r="AK5" s="106" t="n">
        <v>0</v>
      </c>
      <c r="AL5" s="106"/>
      <c r="AM5" s="106"/>
      <c r="AN5" s="106" t="n">
        <v>20</v>
      </c>
      <c r="AO5" s="106" t="n">
        <v>20</v>
      </c>
    </row>
    <row r="6" customFormat="false" ht="16.4" hidden="false" customHeight="false" outlineLevel="0" collapsed="false">
      <c r="A6" s="1" t="s">
        <v>71</v>
      </c>
      <c r="B6" s="107" t="n">
        <v>4</v>
      </c>
      <c r="C6" s="108" t="s">
        <v>305</v>
      </c>
      <c r="D6" s="109" t="n">
        <v>89</v>
      </c>
      <c r="E6" s="109" t="n">
        <v>6.9</v>
      </c>
      <c r="F6" s="109" t="n">
        <v>8</v>
      </c>
      <c r="G6" s="109" t="n">
        <v>11.6</v>
      </c>
      <c r="H6" s="109" t="n">
        <v>91</v>
      </c>
      <c r="I6" s="109" t="n">
        <v>10</v>
      </c>
      <c r="J6" s="109" t="n">
        <v>194</v>
      </c>
      <c r="K6" s="109" t="n">
        <v>454</v>
      </c>
      <c r="L6" s="109" t="n">
        <v>231</v>
      </c>
      <c r="M6" s="109" t="n">
        <v>0</v>
      </c>
      <c r="N6" s="109" t="n">
        <v>75</v>
      </c>
      <c r="O6" s="109" t="n">
        <v>77</v>
      </c>
      <c r="P6" s="109" t="n">
        <v>7.2</v>
      </c>
      <c r="Q6" s="109" t="n">
        <v>4.5</v>
      </c>
      <c r="R6" s="109" t="n">
        <v>1.7</v>
      </c>
      <c r="S6" s="109" t="n">
        <v>1.2</v>
      </c>
      <c r="T6" s="109" t="n">
        <v>2.9</v>
      </c>
      <c r="U6" s="109" t="n">
        <v>0.9</v>
      </c>
      <c r="V6" s="109" t="n">
        <v>6.2</v>
      </c>
      <c r="W6" s="109" t="n">
        <v>3.6</v>
      </c>
      <c r="X6" s="109" t="n">
        <v>1.4</v>
      </c>
      <c r="Y6" s="109" t="n">
        <v>1</v>
      </c>
      <c r="Z6" s="109" t="n">
        <v>0.3</v>
      </c>
      <c r="AA6" s="109" t="n">
        <v>1.2</v>
      </c>
      <c r="AB6" s="109" t="n">
        <v>0.4</v>
      </c>
      <c r="AC6" s="109" t="n">
        <v>2.6</v>
      </c>
      <c r="AD6" s="109" t="n">
        <v>48</v>
      </c>
      <c r="AE6" s="109" t="n">
        <v>11.4</v>
      </c>
      <c r="AF6" s="109" t="n">
        <v>1</v>
      </c>
      <c r="AG6" s="109" t="n">
        <v>2.3</v>
      </c>
      <c r="AH6" s="109" t="n">
        <v>3.7</v>
      </c>
      <c r="AI6" s="109" t="n">
        <v>0.6</v>
      </c>
      <c r="AJ6" s="109" t="n">
        <v>54</v>
      </c>
      <c r="AK6" s="109" t="n">
        <v>0.1</v>
      </c>
      <c r="AL6" s="109" t="n">
        <v>6.9</v>
      </c>
      <c r="AM6" s="109" t="n">
        <v>16</v>
      </c>
      <c r="AN6" s="109" t="n">
        <v>20</v>
      </c>
      <c r="AO6" s="109" t="n">
        <v>20</v>
      </c>
    </row>
    <row r="7" customFormat="false" ht="16.4" hidden="false" customHeight="false" outlineLevel="0" collapsed="false">
      <c r="B7" s="104" t="n">
        <v>5</v>
      </c>
      <c r="C7" s="105" t="s">
        <v>306</v>
      </c>
      <c r="D7" s="106" t="n">
        <v>8.1</v>
      </c>
      <c r="E7" s="106" t="n">
        <v>8</v>
      </c>
      <c r="F7" s="106" t="n">
        <v>8.5</v>
      </c>
      <c r="G7" s="106" t="n">
        <v>11.7</v>
      </c>
      <c r="H7" s="106" t="n">
        <v>371</v>
      </c>
      <c r="I7" s="106" t="n">
        <v>65</v>
      </c>
      <c r="J7" s="106" t="n">
        <v>90</v>
      </c>
      <c r="K7" s="106" t="n">
        <v>338</v>
      </c>
      <c r="L7" s="106"/>
      <c r="M7" s="106" t="n">
        <v>0</v>
      </c>
      <c r="N7" s="106"/>
      <c r="O7" s="106" t="n">
        <v>53</v>
      </c>
      <c r="P7" s="106" t="n">
        <v>11.5</v>
      </c>
      <c r="Q7" s="106" t="n">
        <v>12.7</v>
      </c>
      <c r="R7" s="106" t="n">
        <v>6.9</v>
      </c>
      <c r="S7" s="106" t="n">
        <v>8.9</v>
      </c>
      <c r="T7" s="106" t="n">
        <v>15.8</v>
      </c>
      <c r="U7" s="106" t="n">
        <v>5.5</v>
      </c>
      <c r="V7" s="106" t="n">
        <v>13.2</v>
      </c>
      <c r="W7" s="106" t="n">
        <v>7.6</v>
      </c>
      <c r="X7" s="106" t="n">
        <v>10.2</v>
      </c>
      <c r="Y7" s="106" t="n">
        <v>5.9</v>
      </c>
      <c r="Z7" s="106" t="n">
        <v>7.3</v>
      </c>
      <c r="AA7" s="106" t="n">
        <v>13.3</v>
      </c>
      <c r="AB7" s="106" t="n">
        <v>4.5</v>
      </c>
      <c r="AC7" s="106" t="n">
        <v>10.6</v>
      </c>
      <c r="AD7" s="106" t="n">
        <v>252</v>
      </c>
      <c r="AE7" s="106" t="n">
        <v>2.1</v>
      </c>
      <c r="AF7" s="106" t="n">
        <v>8.8</v>
      </c>
      <c r="AG7" s="106" t="n">
        <v>3.1</v>
      </c>
      <c r="AH7" s="106" t="n">
        <v>11.7</v>
      </c>
      <c r="AI7" s="106" t="n">
        <v>2.21</v>
      </c>
      <c r="AJ7" s="106"/>
      <c r="AK7" s="106"/>
      <c r="AL7" s="106"/>
      <c r="AM7" s="106"/>
      <c r="AN7" s="106" t="n">
        <v>20</v>
      </c>
      <c r="AO7" s="106" t="n">
        <v>20</v>
      </c>
    </row>
    <row r="8" customFormat="false" ht="16.4" hidden="false" customHeight="false" outlineLevel="0" collapsed="false">
      <c r="B8" s="107" t="n">
        <v>6</v>
      </c>
      <c r="C8" s="108" t="s">
        <v>307</v>
      </c>
      <c r="D8" s="109" t="n">
        <v>100</v>
      </c>
      <c r="E8" s="109" t="n">
        <v>29.8</v>
      </c>
      <c r="F8" s="109" t="n">
        <v>29.8</v>
      </c>
      <c r="G8" s="109" t="n">
        <v>34</v>
      </c>
      <c r="H8" s="109" t="n">
        <v>0</v>
      </c>
      <c r="I8" s="109" t="n">
        <v>1000</v>
      </c>
      <c r="J8" s="109" t="n">
        <v>0</v>
      </c>
      <c r="K8" s="109" t="n">
        <v>0</v>
      </c>
      <c r="L8" s="109" t="n">
        <v>0</v>
      </c>
      <c r="M8" s="109" t="n">
        <v>0</v>
      </c>
      <c r="N8" s="109" t="n">
        <v>0</v>
      </c>
      <c r="O8" s="109" t="n">
        <v>0</v>
      </c>
      <c r="P8" s="109" t="n">
        <v>0</v>
      </c>
      <c r="Q8" s="109" t="n">
        <v>0</v>
      </c>
      <c r="R8" s="109" t="n">
        <v>0</v>
      </c>
      <c r="S8" s="109" t="n">
        <v>0</v>
      </c>
      <c r="T8" s="109" t="n">
        <v>0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B8" s="109" t="n">
        <v>0</v>
      </c>
      <c r="AC8" s="109" t="n">
        <v>0</v>
      </c>
      <c r="AD8" s="109" t="n">
        <v>0</v>
      </c>
      <c r="AE8" s="109" t="n">
        <v>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K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</row>
    <row r="9" customFormat="false" ht="16.4" hidden="false" customHeight="false" outlineLevel="0" collapsed="false">
      <c r="A9" s="1" t="s">
        <v>76</v>
      </c>
      <c r="B9" s="104" t="n">
        <v>7</v>
      </c>
      <c r="C9" s="105" t="s">
        <v>308</v>
      </c>
      <c r="D9" s="106" t="n">
        <v>92</v>
      </c>
      <c r="E9" s="106" t="n">
        <v>10.8</v>
      </c>
      <c r="F9" s="106" t="n">
        <v>10.8</v>
      </c>
      <c r="G9" s="106" t="n">
        <v>17.5</v>
      </c>
      <c r="H9" s="106" t="n">
        <v>760</v>
      </c>
      <c r="I9" s="106" t="n">
        <v>105</v>
      </c>
      <c r="J9" s="106" t="n">
        <v>0</v>
      </c>
      <c r="K9" s="106" t="n">
        <v>0</v>
      </c>
      <c r="L9" s="106" t="n">
        <v>0</v>
      </c>
      <c r="M9" s="106" t="n">
        <v>0</v>
      </c>
      <c r="N9" s="106" t="n">
        <v>0</v>
      </c>
      <c r="O9" s="106" t="n">
        <v>135</v>
      </c>
      <c r="P9" s="106" t="n">
        <v>57.2</v>
      </c>
      <c r="Q9" s="106" t="n">
        <v>31.6</v>
      </c>
      <c r="R9" s="106" t="n">
        <v>21.6</v>
      </c>
      <c r="S9" s="106" t="n">
        <v>6.3</v>
      </c>
      <c r="T9" s="106" t="n">
        <v>28</v>
      </c>
      <c r="U9" s="106" t="n">
        <v>7.8</v>
      </c>
      <c r="V9" s="106" t="n">
        <v>38.5</v>
      </c>
      <c r="W9" s="106" t="n">
        <v>53.2</v>
      </c>
      <c r="X9" s="106" t="n">
        <v>29.1</v>
      </c>
      <c r="Y9" s="106" t="n">
        <v>20.1</v>
      </c>
      <c r="Z9" s="106" t="n">
        <v>5.4</v>
      </c>
      <c r="AA9" s="106" t="n">
        <v>25.5</v>
      </c>
      <c r="AB9" s="106" t="n">
        <v>6.9</v>
      </c>
      <c r="AC9" s="106" t="n">
        <v>35.4</v>
      </c>
      <c r="AD9" s="106" t="n">
        <v>676</v>
      </c>
      <c r="AE9" s="106" t="n">
        <v>39.1</v>
      </c>
      <c r="AF9" s="106" t="n">
        <v>24.7</v>
      </c>
      <c r="AG9" s="106" t="n">
        <v>2.3</v>
      </c>
      <c r="AH9" s="106" t="n">
        <v>12</v>
      </c>
      <c r="AI9" s="106" t="n">
        <v>10</v>
      </c>
      <c r="AJ9" s="106" t="n">
        <v>6</v>
      </c>
      <c r="AK9" s="106" t="n">
        <v>2.4</v>
      </c>
      <c r="AL9" s="106" t="n">
        <v>4.6</v>
      </c>
      <c r="AM9" s="106" t="n">
        <v>84</v>
      </c>
      <c r="AN9" s="106" t="n">
        <v>77</v>
      </c>
      <c r="AO9" s="106" t="n">
        <v>77</v>
      </c>
    </row>
    <row r="10" customFormat="false" ht="16.4" hidden="false" customHeight="false" outlineLevel="0" collapsed="false">
      <c r="B10" s="107" t="n">
        <v>8</v>
      </c>
      <c r="C10" s="108" t="s">
        <v>309</v>
      </c>
      <c r="D10" s="109" t="n">
        <v>100</v>
      </c>
      <c r="E10" s="109" t="n">
        <v>0</v>
      </c>
      <c r="F10" s="109" t="n">
        <v>0</v>
      </c>
      <c r="G10" s="109" t="n">
        <v>0</v>
      </c>
      <c r="H10" s="109" t="n">
        <v>0</v>
      </c>
      <c r="I10" s="109" t="n">
        <v>0</v>
      </c>
      <c r="J10" s="109" t="n">
        <v>0</v>
      </c>
      <c r="K10" s="109" t="n">
        <v>0</v>
      </c>
      <c r="L10" s="109" t="n">
        <v>0</v>
      </c>
      <c r="M10" s="109" t="n">
        <v>0</v>
      </c>
      <c r="N10" s="109" t="n">
        <v>0</v>
      </c>
      <c r="O10" s="109" t="n">
        <v>1000</v>
      </c>
      <c r="P10" s="109" t="n">
        <v>0</v>
      </c>
      <c r="Q10" s="109" t="n">
        <v>0</v>
      </c>
      <c r="R10" s="109" t="n">
        <v>0</v>
      </c>
      <c r="S10" s="109" t="n">
        <v>0</v>
      </c>
      <c r="T10" s="109" t="n">
        <v>0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B10" s="109" t="n">
        <v>0</v>
      </c>
      <c r="AC10" s="109" t="n">
        <v>0</v>
      </c>
      <c r="AD10" s="109" t="n">
        <v>0</v>
      </c>
      <c r="AE10" s="109" t="n">
        <v>375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K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</row>
    <row r="11" customFormat="false" ht="16.4" hidden="false" customHeight="false" outlineLevel="0" collapsed="false">
      <c r="B11" s="104" t="n">
        <v>9</v>
      </c>
      <c r="C11" s="105" t="s">
        <v>310</v>
      </c>
      <c r="D11" s="106" t="n">
        <v>90</v>
      </c>
      <c r="E11" s="106" t="n">
        <v>3.9</v>
      </c>
      <c r="F11" s="106" t="n">
        <v>4.7</v>
      </c>
      <c r="G11" s="106" t="n">
        <v>7.7</v>
      </c>
      <c r="H11" s="106" t="n">
        <v>167</v>
      </c>
      <c r="I11" s="106" t="n">
        <v>34</v>
      </c>
      <c r="J11" s="106" t="n">
        <v>260</v>
      </c>
      <c r="K11" s="106" t="n">
        <v>542</v>
      </c>
      <c r="L11" s="106" t="n">
        <v>307</v>
      </c>
      <c r="M11" s="106" t="n">
        <v>0</v>
      </c>
      <c r="N11" s="106" t="n">
        <v>101</v>
      </c>
      <c r="O11" s="106" t="n">
        <v>87</v>
      </c>
      <c r="P11" s="106" t="n">
        <v>6.9</v>
      </c>
      <c r="Q11" s="106" t="n">
        <v>6.4</v>
      </c>
      <c r="R11" s="106" t="n">
        <v>2.4</v>
      </c>
      <c r="S11" s="106" t="n">
        <v>1.5</v>
      </c>
      <c r="T11" s="106" t="n">
        <v>3.8</v>
      </c>
      <c r="U11" s="106" t="n">
        <v>2.4</v>
      </c>
      <c r="V11" s="106" t="n">
        <v>8.5</v>
      </c>
      <c r="W11" s="106" t="n">
        <v>5.3</v>
      </c>
      <c r="X11" s="106" t="n">
        <v>4.9</v>
      </c>
      <c r="Y11" s="106" t="n">
        <v>2</v>
      </c>
      <c r="Z11" s="106" t="n">
        <v>1.1</v>
      </c>
      <c r="AA11" s="106" t="n">
        <v>3</v>
      </c>
      <c r="AB11" s="106" t="n">
        <v>1.9</v>
      </c>
      <c r="AC11" s="106" t="n">
        <v>6.6</v>
      </c>
      <c r="AD11" s="106" t="n">
        <v>87</v>
      </c>
      <c r="AE11" s="106" t="n">
        <v>6</v>
      </c>
      <c r="AF11" s="106" t="n">
        <v>3.1</v>
      </c>
      <c r="AG11" s="106" t="n">
        <v>1.9</v>
      </c>
      <c r="AH11" s="106" t="n">
        <v>23</v>
      </c>
      <c r="AI11" s="106" t="n">
        <v>4.3</v>
      </c>
      <c r="AJ11" s="106" t="n">
        <v>54</v>
      </c>
      <c r="AK11" s="106" t="n">
        <v>0.22</v>
      </c>
      <c r="AL11" s="106" t="n">
        <v>7.8</v>
      </c>
      <c r="AM11" s="106" t="n">
        <v>36</v>
      </c>
      <c r="AN11" s="106" t="n">
        <v>20</v>
      </c>
      <c r="AO11" s="106" t="n">
        <v>20</v>
      </c>
    </row>
    <row r="12" customFormat="false" ht="16.4" hidden="false" customHeight="false" outlineLevel="0" collapsed="false">
      <c r="B12" s="107" t="n">
        <v>10</v>
      </c>
      <c r="C12" s="108" t="s">
        <v>311</v>
      </c>
      <c r="D12" s="109" t="n">
        <v>91</v>
      </c>
      <c r="E12" s="109" t="n">
        <v>1.1</v>
      </c>
      <c r="F12" s="109" t="n">
        <v>1.6</v>
      </c>
      <c r="G12" s="109"/>
      <c r="H12" s="109" t="n">
        <v>42</v>
      </c>
      <c r="I12" s="109" t="n">
        <v>14</v>
      </c>
      <c r="J12" s="109" t="n">
        <v>418</v>
      </c>
      <c r="K12" s="109" t="n">
        <v>789</v>
      </c>
      <c r="L12" s="109" t="n">
        <v>501</v>
      </c>
      <c r="M12" s="109" t="n">
        <v>8</v>
      </c>
      <c r="N12" s="109" t="n">
        <v>16</v>
      </c>
      <c r="O12" s="109" t="n">
        <v>64</v>
      </c>
      <c r="P12" s="109" t="n">
        <v>0</v>
      </c>
      <c r="Q12" s="109" t="n">
        <v>0</v>
      </c>
      <c r="R12" s="109" t="n">
        <v>0</v>
      </c>
      <c r="S12" s="109" t="n">
        <v>0</v>
      </c>
      <c r="T12" s="109" t="n">
        <v>0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B12" s="109" t="n">
        <v>0</v>
      </c>
      <c r="AC12" s="109" t="n">
        <v>0</v>
      </c>
      <c r="AD12" s="109" t="n">
        <v>9</v>
      </c>
      <c r="AE12" s="109" t="n">
        <v>4.9</v>
      </c>
      <c r="AF12" s="109" t="n">
        <v>0.8</v>
      </c>
      <c r="AG12" s="109" t="n">
        <v>0.7</v>
      </c>
      <c r="AH12" s="109" t="n">
        <v>10.3</v>
      </c>
      <c r="AI12" s="109" t="n">
        <v>0.33</v>
      </c>
      <c r="AJ12" s="109" t="n">
        <v>47</v>
      </c>
      <c r="AK12" s="109"/>
      <c r="AL12" s="109" t="n">
        <v>3.3</v>
      </c>
      <c r="AM12" s="109" t="n">
        <v>21</v>
      </c>
      <c r="AN12" s="109" t="n">
        <v>20</v>
      </c>
      <c r="AO12" s="109" t="n">
        <v>20</v>
      </c>
    </row>
    <row r="13" customFormat="false" ht="16.4" hidden="false" customHeight="false" outlineLevel="0" collapsed="false">
      <c r="A13" s="1" t="s">
        <v>37</v>
      </c>
      <c r="B13" s="104" t="n">
        <v>11</v>
      </c>
      <c r="C13" s="105" t="s">
        <v>312</v>
      </c>
      <c r="D13" s="106" t="n">
        <v>87</v>
      </c>
      <c r="E13" s="106" t="n">
        <v>9</v>
      </c>
      <c r="F13" s="106" t="n">
        <v>9.4</v>
      </c>
      <c r="G13" s="106" t="n">
        <v>12.1</v>
      </c>
      <c r="H13" s="106" t="n">
        <v>111</v>
      </c>
      <c r="I13" s="106" t="n">
        <v>54</v>
      </c>
      <c r="J13" s="106" t="n">
        <v>138</v>
      </c>
      <c r="K13" s="106" t="n">
        <v>372</v>
      </c>
      <c r="L13" s="106" t="n">
        <v>169</v>
      </c>
      <c r="M13" s="106" t="n">
        <v>411</v>
      </c>
      <c r="N13" s="106" t="n">
        <v>13</v>
      </c>
      <c r="O13" s="106" t="n">
        <v>30</v>
      </c>
      <c r="P13" s="106" t="n">
        <v>4.7</v>
      </c>
      <c r="Q13" s="106" t="n">
        <v>3.9</v>
      </c>
      <c r="R13" s="106" t="n">
        <v>2</v>
      </c>
      <c r="S13" s="106" t="n">
        <v>3.7</v>
      </c>
      <c r="T13" s="106" t="n">
        <v>5.7</v>
      </c>
      <c r="U13" s="106" t="n">
        <v>1.4</v>
      </c>
      <c r="V13" s="106" t="n">
        <v>5.9</v>
      </c>
      <c r="W13" s="106" t="n">
        <v>3.4</v>
      </c>
      <c r="X13" s="106" t="n">
        <v>2.7</v>
      </c>
      <c r="Y13" s="106" t="n">
        <v>1.7</v>
      </c>
      <c r="Z13" s="106" t="n">
        <v>2.8</v>
      </c>
      <c r="AA13" s="106" t="n">
        <v>4.4</v>
      </c>
      <c r="AB13" s="106" t="n">
        <v>1.1</v>
      </c>
      <c r="AC13" s="106" t="n">
        <v>4.5</v>
      </c>
      <c r="AD13" s="106" t="n">
        <v>84</v>
      </c>
      <c r="AE13" s="106" t="n">
        <v>0.8</v>
      </c>
      <c r="AF13" s="106" t="n">
        <v>3.6</v>
      </c>
      <c r="AG13" s="106" t="n">
        <v>1.2</v>
      </c>
      <c r="AH13" s="106" t="n">
        <v>5.5</v>
      </c>
      <c r="AI13" s="106" t="n">
        <v>0.3</v>
      </c>
      <c r="AJ13" s="106" t="n">
        <v>43</v>
      </c>
      <c r="AK13" s="106" t="n">
        <v>0.03</v>
      </c>
      <c r="AL13" s="106" t="n">
        <v>2.7</v>
      </c>
      <c r="AM13" s="106" t="n">
        <v>31</v>
      </c>
      <c r="AN13" s="106" t="n">
        <v>32</v>
      </c>
      <c r="AO13" s="106" t="n">
        <v>32</v>
      </c>
    </row>
    <row r="14" customFormat="false" ht="16.4" hidden="false" customHeight="false" outlineLevel="0" collapsed="false">
      <c r="B14" s="107" t="n">
        <v>12</v>
      </c>
      <c r="C14" s="108" t="s">
        <v>313</v>
      </c>
      <c r="D14" s="109" t="n">
        <v>87</v>
      </c>
      <c r="E14" s="109" t="n">
        <v>11.6</v>
      </c>
      <c r="F14" s="109" t="n">
        <v>11.8</v>
      </c>
      <c r="G14" s="109"/>
      <c r="H14" s="109" t="n">
        <v>124</v>
      </c>
      <c r="I14" s="109" t="n">
        <v>29</v>
      </c>
      <c r="J14" s="109" t="n">
        <v>47</v>
      </c>
      <c r="K14" s="109" t="n">
        <v>136</v>
      </c>
      <c r="L14" s="109" t="n">
        <v>54</v>
      </c>
      <c r="M14" s="109" t="n">
        <v>615</v>
      </c>
      <c r="N14" s="109" t="n">
        <v>14</v>
      </c>
      <c r="O14" s="109" t="n">
        <v>25</v>
      </c>
      <c r="P14" s="109" t="n">
        <v>5.2</v>
      </c>
      <c r="Q14" s="109" t="n">
        <v>4.4</v>
      </c>
      <c r="R14" s="109" t="n">
        <v>2.2</v>
      </c>
      <c r="S14" s="109" t="n">
        <v>3.9</v>
      </c>
      <c r="T14" s="109" t="n">
        <v>6.1</v>
      </c>
      <c r="U14" s="109" t="n">
        <v>1.6</v>
      </c>
      <c r="V14" s="109" t="n">
        <v>6.6</v>
      </c>
      <c r="W14" s="109" t="n">
        <v>4.1</v>
      </c>
      <c r="X14" s="109" t="n">
        <v>3.5</v>
      </c>
      <c r="Y14" s="109" t="n">
        <v>1.9</v>
      </c>
      <c r="Z14" s="109" t="n">
        <v>3.3</v>
      </c>
      <c r="AA14" s="109" t="n">
        <v>5.2</v>
      </c>
      <c r="AB14" s="109" t="n">
        <v>1.3</v>
      </c>
      <c r="AC14" s="109" t="n">
        <v>5.3</v>
      </c>
      <c r="AD14" s="109" t="n">
        <v>102</v>
      </c>
      <c r="AE14" s="109" t="n">
        <v>1</v>
      </c>
      <c r="AF14" s="109" t="n">
        <v>3.4</v>
      </c>
      <c r="AG14" s="109"/>
      <c r="AH14" s="109"/>
      <c r="AI14" s="109"/>
      <c r="AJ14" s="109"/>
      <c r="AK14" s="109"/>
      <c r="AL14" s="109"/>
      <c r="AM14" s="109"/>
      <c r="AN14" s="109" t="n">
        <v>32</v>
      </c>
      <c r="AO14" s="109" t="n">
        <v>32</v>
      </c>
    </row>
    <row r="15" customFormat="false" ht="16.4" hidden="false" customHeight="false" outlineLevel="0" collapsed="false">
      <c r="A15" s="1" t="s">
        <v>36</v>
      </c>
      <c r="B15" s="104" t="n">
        <v>13</v>
      </c>
      <c r="C15" s="105" t="s">
        <v>314</v>
      </c>
      <c r="D15" s="106" t="n">
        <v>87</v>
      </c>
      <c r="E15" s="106" t="n">
        <v>11</v>
      </c>
      <c r="F15" s="106" t="n">
        <v>11.2</v>
      </c>
      <c r="G15" s="106" t="n">
        <v>14.2</v>
      </c>
      <c r="H15" s="106" t="n">
        <v>116</v>
      </c>
      <c r="I15" s="106" t="n">
        <v>21</v>
      </c>
      <c r="J15" s="106" t="n">
        <v>53</v>
      </c>
      <c r="K15" s="106" t="n">
        <v>216</v>
      </c>
      <c r="L15" s="106" t="n">
        <v>63</v>
      </c>
      <c r="M15" s="106" t="n">
        <v>602</v>
      </c>
      <c r="N15" s="106" t="n">
        <v>25</v>
      </c>
      <c r="O15" s="106" t="n">
        <v>26</v>
      </c>
      <c r="P15" s="106" t="n">
        <v>4.4</v>
      </c>
      <c r="Q15" s="106" t="n">
        <v>4</v>
      </c>
      <c r="R15" s="106" t="n">
        <v>2</v>
      </c>
      <c r="S15" s="106" t="n">
        <v>2.7</v>
      </c>
      <c r="T15" s="106" t="n">
        <v>4.7</v>
      </c>
      <c r="U15" s="106" t="n">
        <v>1.4</v>
      </c>
      <c r="V15" s="106" t="n">
        <v>6</v>
      </c>
      <c r="W15" s="106" t="n">
        <v>3.3</v>
      </c>
      <c r="X15" s="106" t="n">
        <v>3</v>
      </c>
      <c r="Y15" s="106" t="n">
        <v>1.7</v>
      </c>
      <c r="Z15" s="106" t="n">
        <v>2.3</v>
      </c>
      <c r="AA15" s="106" t="n">
        <v>3.9</v>
      </c>
      <c r="AB15" s="106" t="n">
        <v>1.1</v>
      </c>
      <c r="AC15" s="106" t="n">
        <v>4.8</v>
      </c>
      <c r="AD15" s="106" t="n">
        <v>93</v>
      </c>
      <c r="AE15" s="106" t="n">
        <v>0.5</v>
      </c>
      <c r="AF15" s="106" t="n">
        <v>3.5</v>
      </c>
      <c r="AG15" s="106" t="n">
        <v>1.2</v>
      </c>
      <c r="AH15" s="106" t="n">
        <v>5.7</v>
      </c>
      <c r="AI15" s="106" t="n">
        <v>0.4</v>
      </c>
      <c r="AJ15" s="106" t="n">
        <v>14</v>
      </c>
      <c r="AK15" s="106" t="n">
        <v>0.04</v>
      </c>
      <c r="AL15" s="106" t="n">
        <v>2.9</v>
      </c>
      <c r="AM15" s="106" t="n">
        <v>28</v>
      </c>
      <c r="AN15" s="106" t="n">
        <v>32</v>
      </c>
      <c r="AO15" s="106" t="n">
        <v>41</v>
      </c>
    </row>
    <row r="16" customFormat="false" ht="16.4" hidden="false" customHeight="false" outlineLevel="0" collapsed="false">
      <c r="A16" s="1" t="s">
        <v>44</v>
      </c>
      <c r="B16" s="107" t="n">
        <v>14</v>
      </c>
      <c r="C16" s="108" t="s">
        <v>315</v>
      </c>
      <c r="D16" s="109" t="n">
        <v>91</v>
      </c>
      <c r="E16" s="109" t="n">
        <v>17.3</v>
      </c>
      <c r="F16" s="109" t="n">
        <v>17.5</v>
      </c>
      <c r="G16" s="109" t="n">
        <v>21.3</v>
      </c>
      <c r="H16" s="109" t="n">
        <v>227</v>
      </c>
      <c r="I16" s="109" t="n">
        <v>437</v>
      </c>
      <c r="J16" s="109" t="n">
        <v>80</v>
      </c>
      <c r="K16" s="109" t="n">
        <v>203</v>
      </c>
      <c r="L16" s="109" t="n">
        <v>83</v>
      </c>
      <c r="M16" s="109" t="n">
        <v>0</v>
      </c>
      <c r="N16" s="109" t="n">
        <v>29</v>
      </c>
      <c r="O16" s="109" t="n">
        <v>38</v>
      </c>
      <c r="P16" s="109" t="n">
        <v>9.8</v>
      </c>
      <c r="Q16" s="109" t="n">
        <v>11.6</v>
      </c>
      <c r="R16" s="109" t="n">
        <v>4.8</v>
      </c>
      <c r="S16" s="109" t="n">
        <v>4.9</v>
      </c>
      <c r="T16" s="109" t="n">
        <v>9.8</v>
      </c>
      <c r="U16" s="109" t="n">
        <v>4.3</v>
      </c>
      <c r="V16" s="109" t="n">
        <v>13.3</v>
      </c>
      <c r="W16" s="109" t="n">
        <v>7.5</v>
      </c>
      <c r="X16" s="109" t="n">
        <v>8.8</v>
      </c>
      <c r="Y16" s="109" t="n">
        <v>4.1</v>
      </c>
      <c r="Z16" s="109" t="n">
        <v>3.6</v>
      </c>
      <c r="AA16" s="109" t="n">
        <v>7.7</v>
      </c>
      <c r="AB16" s="109" t="n">
        <v>3.3</v>
      </c>
      <c r="AC16" s="109" t="n">
        <v>10.3</v>
      </c>
      <c r="AD16" s="109" t="n">
        <v>193</v>
      </c>
      <c r="AE16" s="109" t="n">
        <v>2.6</v>
      </c>
      <c r="AF16" s="109" t="n">
        <v>5.7</v>
      </c>
      <c r="AG16" s="109" t="n">
        <v>4.1</v>
      </c>
      <c r="AH16" s="109" t="n">
        <v>8.9</v>
      </c>
      <c r="AI16" s="109" t="n">
        <v>0.4</v>
      </c>
      <c r="AJ16" s="109" t="n">
        <v>30</v>
      </c>
      <c r="AK16" s="109" t="n">
        <v>0.4</v>
      </c>
      <c r="AL16" s="109" t="n">
        <v>14</v>
      </c>
      <c r="AM16" s="109" t="n">
        <v>50</v>
      </c>
      <c r="AN16" s="109" t="n">
        <v>20</v>
      </c>
      <c r="AO16" s="109" t="n">
        <v>20</v>
      </c>
    </row>
    <row r="17" customFormat="false" ht="16.4" hidden="false" customHeight="false" outlineLevel="0" collapsed="false">
      <c r="B17" s="104" t="n">
        <v>15</v>
      </c>
      <c r="C17" s="105" t="s">
        <v>316</v>
      </c>
      <c r="D17" s="106" t="n">
        <v>90</v>
      </c>
      <c r="E17" s="106" t="n">
        <v>9.2</v>
      </c>
      <c r="F17" s="106" t="n">
        <v>9.7</v>
      </c>
      <c r="G17" s="106" t="n">
        <v>14.2</v>
      </c>
      <c r="H17" s="106" t="n">
        <v>342</v>
      </c>
      <c r="I17" s="106" t="n">
        <v>90</v>
      </c>
      <c r="J17" s="106" t="n">
        <v>113</v>
      </c>
      <c r="K17" s="106" t="n">
        <v>259</v>
      </c>
      <c r="L17" s="106" t="n">
        <v>157</v>
      </c>
      <c r="M17" s="106" t="n">
        <v>0</v>
      </c>
      <c r="N17" s="106" t="n">
        <v>38</v>
      </c>
      <c r="O17" s="106" t="n">
        <v>65</v>
      </c>
      <c r="P17" s="106" t="n">
        <v>12.9</v>
      </c>
      <c r="Q17" s="106" t="n">
        <v>13</v>
      </c>
      <c r="R17" s="106" t="n">
        <v>5.9</v>
      </c>
      <c r="S17" s="106" t="n">
        <v>6.6</v>
      </c>
      <c r="T17" s="106" t="n">
        <v>12.5</v>
      </c>
      <c r="U17" s="106" t="n">
        <v>5.2</v>
      </c>
      <c r="V17" s="106" t="n">
        <v>16.4</v>
      </c>
      <c r="W17" s="106" t="n">
        <v>9.9</v>
      </c>
      <c r="X17" s="106" t="n">
        <v>9.9</v>
      </c>
      <c r="Y17" s="106" t="n">
        <v>5</v>
      </c>
      <c r="Z17" s="106" t="n">
        <v>4.8</v>
      </c>
      <c r="AA17" s="106" t="n">
        <v>9.8</v>
      </c>
      <c r="AB17" s="106" t="n">
        <v>4</v>
      </c>
      <c r="AC17" s="106" t="n">
        <v>12.7</v>
      </c>
      <c r="AD17" s="106" t="n">
        <v>301</v>
      </c>
      <c r="AE17" s="106" t="n">
        <v>4.7</v>
      </c>
      <c r="AF17" s="106" t="n">
        <v>9.1</v>
      </c>
      <c r="AG17" s="106" t="n">
        <v>5.5</v>
      </c>
      <c r="AH17" s="106" t="n">
        <v>13</v>
      </c>
      <c r="AI17" s="106" t="n">
        <v>0.9</v>
      </c>
      <c r="AJ17" s="106" t="n">
        <v>43</v>
      </c>
      <c r="AK17" s="106" t="n">
        <v>0.5</v>
      </c>
      <c r="AL17" s="106" t="n">
        <v>20</v>
      </c>
      <c r="AM17" s="106" t="n">
        <v>73</v>
      </c>
      <c r="AN17" s="106" t="n">
        <v>12</v>
      </c>
      <c r="AO17" s="106" t="n">
        <v>12</v>
      </c>
    </row>
    <row r="18" customFormat="false" ht="16.4" hidden="false" customHeight="false" outlineLevel="0" collapsed="false">
      <c r="B18" s="107" t="n">
        <v>16</v>
      </c>
      <c r="C18" s="108" t="s">
        <v>317</v>
      </c>
      <c r="D18" s="109" t="n">
        <v>89</v>
      </c>
      <c r="E18" s="109" t="n">
        <v>10.3</v>
      </c>
      <c r="F18" s="109" t="n">
        <v>10.9</v>
      </c>
      <c r="G18" s="109" t="n">
        <v>15.4</v>
      </c>
      <c r="H18" s="109" t="n">
        <v>385</v>
      </c>
      <c r="I18" s="109" t="n">
        <v>95</v>
      </c>
      <c r="J18" s="109" t="n">
        <v>128</v>
      </c>
      <c r="K18" s="109" t="n">
        <v>214</v>
      </c>
      <c r="L18" s="109" t="n">
        <v>154</v>
      </c>
      <c r="M18" s="109" t="n">
        <v>0</v>
      </c>
      <c r="N18" s="109" t="n">
        <v>72</v>
      </c>
      <c r="O18" s="109" t="n">
        <v>39</v>
      </c>
      <c r="P18" s="109" t="n">
        <v>18.7</v>
      </c>
      <c r="Q18" s="109" t="n">
        <v>14.2</v>
      </c>
      <c r="R18" s="109" t="n">
        <v>3</v>
      </c>
      <c r="S18" s="109" t="n">
        <v>6.3</v>
      </c>
      <c r="T18" s="109" t="n">
        <v>9.3</v>
      </c>
      <c r="U18" s="109" t="n">
        <v>2.7</v>
      </c>
      <c r="V18" s="109" t="n">
        <v>16.5</v>
      </c>
      <c r="W18" s="109" t="n">
        <v>15.3</v>
      </c>
      <c r="X18" s="109" t="n">
        <v>11.1</v>
      </c>
      <c r="Y18" s="109" t="n">
        <v>2.3</v>
      </c>
      <c r="Z18" s="109" t="n">
        <v>4.8</v>
      </c>
      <c r="AA18" s="109" t="n">
        <v>7.1</v>
      </c>
      <c r="AB18" s="109" t="n">
        <v>2.1</v>
      </c>
      <c r="AC18" s="109" t="n">
        <v>12.2</v>
      </c>
      <c r="AD18" s="109" t="n">
        <v>316</v>
      </c>
      <c r="AE18" s="109" t="n">
        <v>3.8</v>
      </c>
      <c r="AF18" s="109" t="n">
        <v>4.3</v>
      </c>
      <c r="AG18" s="109" t="n">
        <v>1.9</v>
      </c>
      <c r="AH18" s="109" t="n">
        <v>13</v>
      </c>
      <c r="AI18" s="109" t="n">
        <v>0.5</v>
      </c>
      <c r="AJ18" s="109" t="n">
        <v>20</v>
      </c>
      <c r="AK18" s="109" t="n">
        <v>0.09</v>
      </c>
      <c r="AL18" s="109" t="n">
        <v>4.5</v>
      </c>
      <c r="AM18" s="109" t="n">
        <v>30</v>
      </c>
      <c r="AN18" s="109" t="n">
        <v>50</v>
      </c>
      <c r="AO18" s="109" t="n">
        <v>50</v>
      </c>
    </row>
    <row r="19" customFormat="false" ht="16.4" hidden="false" customHeight="false" outlineLevel="0" collapsed="false">
      <c r="B19" s="104" t="n">
        <v>17</v>
      </c>
      <c r="C19" s="105" t="s">
        <v>318</v>
      </c>
      <c r="D19" s="106" t="n">
        <v>91</v>
      </c>
      <c r="E19" s="106" t="n">
        <v>4.1</v>
      </c>
      <c r="F19" s="106" t="n">
        <v>4.8</v>
      </c>
      <c r="G19" s="106" t="n">
        <v>7.1</v>
      </c>
      <c r="H19" s="106" t="n">
        <v>185</v>
      </c>
      <c r="I19" s="106" t="n">
        <v>28</v>
      </c>
      <c r="J19" s="106" t="n">
        <v>283</v>
      </c>
      <c r="K19" s="106" t="n">
        <v>461</v>
      </c>
      <c r="L19" s="106" t="n">
        <v>326</v>
      </c>
      <c r="M19" s="106" t="n">
        <v>0</v>
      </c>
      <c r="N19" s="106" t="n">
        <v>46</v>
      </c>
      <c r="O19" s="106" t="n">
        <v>117</v>
      </c>
      <c r="P19" s="106" t="n">
        <v>8.5</v>
      </c>
      <c r="Q19" s="106" t="n">
        <v>7.5</v>
      </c>
      <c r="R19" s="106" t="n">
        <v>2.7</v>
      </c>
      <c r="S19" s="106" t="n">
        <v>2.5</v>
      </c>
      <c r="T19" s="106" t="n">
        <v>5.2</v>
      </c>
      <c r="U19" s="106" t="n">
        <v>2.6</v>
      </c>
      <c r="V19" s="106" t="n">
        <v>10.1</v>
      </c>
      <c r="W19" s="106" t="n">
        <v>5.3</v>
      </c>
      <c r="X19" s="106" t="n">
        <v>5</v>
      </c>
      <c r="Y19" s="106" t="n">
        <v>2.1</v>
      </c>
      <c r="Z19" s="106" t="n">
        <v>0.9</v>
      </c>
      <c r="AA19" s="106" t="n">
        <v>3</v>
      </c>
      <c r="AB19" s="106" t="n">
        <v>1.2</v>
      </c>
      <c r="AC19" s="106" t="n">
        <v>7</v>
      </c>
      <c r="AD19" s="106" t="n">
        <v>79</v>
      </c>
      <c r="AE19" s="106" t="n">
        <v>22.4</v>
      </c>
      <c r="AF19" s="106" t="n">
        <v>2.7</v>
      </c>
      <c r="AG19" s="106" t="n">
        <v>1.8</v>
      </c>
      <c r="AH19" s="106" t="n">
        <v>26.1</v>
      </c>
      <c r="AI19" s="106" t="n">
        <v>0.2</v>
      </c>
      <c r="AJ19" s="106" t="n">
        <v>62</v>
      </c>
      <c r="AK19" s="106" t="n">
        <v>0.28</v>
      </c>
      <c r="AL19" s="106" t="n">
        <v>5.6</v>
      </c>
      <c r="AM19" s="106" t="n">
        <v>21</v>
      </c>
      <c r="AN19" s="106" t="n">
        <v>20</v>
      </c>
      <c r="AO19" s="106" t="n">
        <v>20</v>
      </c>
    </row>
    <row r="20" customFormat="false" ht="16.4" hidden="false" customHeight="false" outlineLevel="0" collapsed="false">
      <c r="B20" s="107" t="n">
        <v>18</v>
      </c>
      <c r="C20" s="108" t="s">
        <v>319</v>
      </c>
      <c r="D20" s="109" t="n">
        <v>99.5</v>
      </c>
      <c r="E20" s="109" t="n">
        <v>14.2</v>
      </c>
      <c r="F20" s="109" t="n">
        <v>14.2</v>
      </c>
      <c r="G20" s="109" t="n">
        <v>17.8</v>
      </c>
      <c r="H20" s="109" t="n">
        <v>959</v>
      </c>
      <c r="I20" s="109" t="n">
        <v>0</v>
      </c>
      <c r="J20" s="109" t="n">
        <v>0</v>
      </c>
      <c r="K20" s="109" t="n">
        <v>0</v>
      </c>
      <c r="L20" s="109" t="n">
        <v>0</v>
      </c>
      <c r="M20" s="109" t="n">
        <v>0</v>
      </c>
      <c r="N20" s="109" t="n">
        <v>0</v>
      </c>
      <c r="O20" s="109" t="n">
        <v>0</v>
      </c>
      <c r="P20" s="109" t="n">
        <v>802</v>
      </c>
      <c r="Q20" s="109" t="n">
        <v>0</v>
      </c>
      <c r="R20" s="109" t="n">
        <v>0</v>
      </c>
      <c r="S20" s="109" t="n">
        <v>0</v>
      </c>
      <c r="T20" s="109" t="n">
        <v>0</v>
      </c>
      <c r="U20" s="109" t="n">
        <v>0</v>
      </c>
      <c r="V20" s="109" t="n">
        <v>0</v>
      </c>
      <c r="W20" s="109" t="n">
        <v>802</v>
      </c>
      <c r="X20" s="109" t="n">
        <v>0</v>
      </c>
      <c r="Y20" s="109" t="n">
        <v>0</v>
      </c>
      <c r="Z20" s="109" t="n">
        <v>0</v>
      </c>
      <c r="AA20" s="109" t="n">
        <v>0</v>
      </c>
      <c r="AB20" s="109" t="n">
        <v>0</v>
      </c>
      <c r="AC20" s="109" t="n">
        <v>0</v>
      </c>
      <c r="AD20" s="109" t="n">
        <v>959</v>
      </c>
      <c r="AE20" s="109" t="n">
        <v>0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K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</row>
    <row r="21" customFormat="false" ht="16.4" hidden="false" customHeight="false" outlineLevel="0" collapsed="false">
      <c r="A21" s="1" t="s">
        <v>40</v>
      </c>
      <c r="B21" s="104" t="n">
        <v>19</v>
      </c>
      <c r="C21" s="105" t="s">
        <v>320</v>
      </c>
      <c r="D21" s="106" t="n">
        <v>87</v>
      </c>
      <c r="E21" s="106" t="n">
        <v>12.8</v>
      </c>
      <c r="F21" s="106" t="n">
        <v>13.2</v>
      </c>
      <c r="G21" s="106" t="n">
        <v>15.6</v>
      </c>
      <c r="H21" s="106" t="n">
        <v>94</v>
      </c>
      <c r="I21" s="106" t="n">
        <v>43</v>
      </c>
      <c r="J21" s="106" t="n">
        <v>25</v>
      </c>
      <c r="K21" s="106" t="n">
        <v>120</v>
      </c>
      <c r="L21" s="106" t="n">
        <v>30</v>
      </c>
      <c r="M21" s="106" t="n">
        <v>742</v>
      </c>
      <c r="N21" s="106" t="n">
        <v>19</v>
      </c>
      <c r="O21" s="106" t="n">
        <v>14</v>
      </c>
      <c r="P21" s="106" t="n">
        <v>2.8</v>
      </c>
      <c r="Q21" s="106" t="n">
        <v>3.5</v>
      </c>
      <c r="R21" s="106" t="n">
        <v>2</v>
      </c>
      <c r="S21" s="106" t="n">
        <v>2.3</v>
      </c>
      <c r="T21" s="106" t="n">
        <v>4.3</v>
      </c>
      <c r="U21" s="106" t="n">
        <v>0.6</v>
      </c>
      <c r="V21" s="106" t="n">
        <v>4.7</v>
      </c>
      <c r="W21" s="106" t="n">
        <v>2.2</v>
      </c>
      <c r="X21" s="106" t="n">
        <v>2.9</v>
      </c>
      <c r="Y21" s="106" t="n">
        <v>1.8</v>
      </c>
      <c r="Z21" s="106" t="n">
        <v>2</v>
      </c>
      <c r="AA21" s="106" t="n">
        <v>3.9</v>
      </c>
      <c r="AB21" s="106" t="n">
        <v>0.5</v>
      </c>
      <c r="AC21" s="106" t="n">
        <v>4.1</v>
      </c>
      <c r="AD21" s="106" t="n">
        <v>81</v>
      </c>
      <c r="AE21" s="106" t="n">
        <v>0.1</v>
      </c>
      <c r="AF21" s="106" t="n">
        <v>3.2</v>
      </c>
      <c r="AG21" s="106" t="n">
        <v>1.2</v>
      </c>
      <c r="AH21" s="106" t="n">
        <v>4</v>
      </c>
      <c r="AI21" s="106" t="n">
        <v>0.3</v>
      </c>
      <c r="AJ21" s="106" t="n">
        <v>6</v>
      </c>
      <c r="AK21" s="106" t="n">
        <v>0.06</v>
      </c>
      <c r="AL21" s="106" t="n">
        <v>3.6</v>
      </c>
      <c r="AM21" s="106" t="n">
        <v>28</v>
      </c>
      <c r="AN21" s="106" t="n">
        <v>28</v>
      </c>
      <c r="AO21" s="106" t="n">
        <v>28</v>
      </c>
    </row>
    <row r="22" customFormat="false" ht="16.4" hidden="false" customHeight="false" outlineLevel="0" collapsed="false">
      <c r="B22" s="107" t="n">
        <v>20</v>
      </c>
      <c r="C22" s="108" t="s">
        <v>321</v>
      </c>
      <c r="D22" s="109" t="n">
        <v>88</v>
      </c>
      <c r="E22" s="109" t="n">
        <v>8</v>
      </c>
      <c r="F22" s="109" t="n">
        <v>9.2</v>
      </c>
      <c r="G22" s="109" t="n">
        <v>0</v>
      </c>
      <c r="H22" s="109" t="n">
        <v>279</v>
      </c>
      <c r="I22" s="109" t="n">
        <v>58</v>
      </c>
      <c r="J22" s="109" t="n">
        <v>83</v>
      </c>
      <c r="K22" s="109" t="n">
        <v>356</v>
      </c>
      <c r="L22" s="109" t="n">
        <v>102</v>
      </c>
      <c r="M22" s="109" t="n">
        <v>130</v>
      </c>
      <c r="N22" s="109" t="n">
        <v>6</v>
      </c>
      <c r="O22" s="109" t="n">
        <v>68</v>
      </c>
      <c r="P22" s="109" t="n">
        <v>7.1</v>
      </c>
      <c r="Q22" s="109" t="n">
        <v>9.7</v>
      </c>
      <c r="R22" s="109" t="n">
        <v>4.9</v>
      </c>
      <c r="S22" s="109" t="n">
        <v>5.4</v>
      </c>
      <c r="T22" s="109" t="n">
        <v>10.2</v>
      </c>
      <c r="U22" s="109" t="n">
        <v>1.9</v>
      </c>
      <c r="V22" s="109" t="n">
        <v>13.1</v>
      </c>
      <c r="W22" s="109" t="n">
        <v>4.1</v>
      </c>
      <c r="X22" s="109" t="n">
        <v>6</v>
      </c>
      <c r="Y22" s="109" t="n">
        <v>3.7</v>
      </c>
      <c r="Z22" s="109" t="n">
        <v>3.2</v>
      </c>
      <c r="AA22" s="109" t="n">
        <v>6.8</v>
      </c>
      <c r="AB22" s="109" t="n">
        <v>1.3</v>
      </c>
      <c r="AC22" s="109" t="n">
        <v>8.6</v>
      </c>
      <c r="AD22" s="109" t="n">
        <v>173</v>
      </c>
      <c r="AE22" s="109" t="n">
        <v>2.4</v>
      </c>
      <c r="AF22" s="109" t="n">
        <v>9.5</v>
      </c>
      <c r="AG22" s="109" t="n">
        <v>3.3</v>
      </c>
      <c r="AH22" s="109" t="n">
        <v>14.1</v>
      </c>
      <c r="AI22" s="109" t="n">
        <v>6.1</v>
      </c>
      <c r="AJ22" s="109" t="n">
        <v>21</v>
      </c>
      <c r="AK22" s="109" t="n">
        <v>0.39</v>
      </c>
      <c r="AL22" s="109" t="n">
        <v>11.4</v>
      </c>
      <c r="AM22" s="109" t="n">
        <v>74</v>
      </c>
      <c r="AN22" s="109" t="n">
        <v>31</v>
      </c>
      <c r="AO22" s="109" t="n">
        <v>31</v>
      </c>
    </row>
    <row r="23" customFormat="false" ht="16.4" hidden="false" customHeight="false" outlineLevel="0" collapsed="false">
      <c r="B23" s="104" t="n">
        <v>21</v>
      </c>
      <c r="C23" s="105" t="s">
        <v>322</v>
      </c>
      <c r="D23" s="106" t="n">
        <v>88</v>
      </c>
      <c r="E23" s="106" t="n">
        <v>7.8</v>
      </c>
      <c r="F23" s="106" t="n">
        <v>9</v>
      </c>
      <c r="G23" s="106" t="n">
        <v>12.6</v>
      </c>
      <c r="H23" s="106" t="n">
        <v>219</v>
      </c>
      <c r="I23" s="106" t="n">
        <v>31</v>
      </c>
      <c r="J23" s="106" t="n">
        <v>85</v>
      </c>
      <c r="K23" s="106" t="n">
        <v>384</v>
      </c>
      <c r="L23" s="106" t="n">
        <v>100</v>
      </c>
      <c r="M23" s="106" t="n">
        <v>205</v>
      </c>
      <c r="N23" s="106" t="n">
        <v>19</v>
      </c>
      <c r="O23" s="106" t="n">
        <v>70</v>
      </c>
      <c r="P23" s="106" t="n">
        <v>6.6</v>
      </c>
      <c r="Q23" s="106" t="n">
        <v>7.4</v>
      </c>
      <c r="R23" s="106" t="n">
        <v>3.7</v>
      </c>
      <c r="S23" s="106" t="n">
        <v>4.3</v>
      </c>
      <c r="T23" s="106" t="n">
        <v>8</v>
      </c>
      <c r="U23" s="106" t="n">
        <v>1.4</v>
      </c>
      <c r="V23" s="106" t="n">
        <v>10.1</v>
      </c>
      <c r="W23" s="106" t="n">
        <v>4.4</v>
      </c>
      <c r="X23" s="106" t="n">
        <v>5.2</v>
      </c>
      <c r="Y23" s="106" t="n">
        <v>3.1</v>
      </c>
      <c r="Z23" s="106" t="n">
        <v>3</v>
      </c>
      <c r="AA23" s="106" t="n">
        <v>6.1</v>
      </c>
      <c r="AB23" s="106" t="n">
        <v>0.9</v>
      </c>
      <c r="AC23" s="106" t="n">
        <v>7.6</v>
      </c>
      <c r="AD23" s="106" t="n">
        <v>151</v>
      </c>
      <c r="AE23" s="106" t="n">
        <v>0.7</v>
      </c>
      <c r="AF23" s="106" t="n">
        <v>10.4</v>
      </c>
      <c r="AG23" s="106" t="n">
        <v>4.7</v>
      </c>
      <c r="AH23" s="106" t="n">
        <v>14</v>
      </c>
      <c r="AI23" s="106" t="n">
        <v>2.4</v>
      </c>
      <c r="AJ23" s="106" t="n">
        <v>23</v>
      </c>
      <c r="AK23" s="106" t="n">
        <v>0.15</v>
      </c>
      <c r="AL23" s="106" t="n">
        <v>5.4</v>
      </c>
      <c r="AM23" s="106" t="n">
        <v>82</v>
      </c>
      <c r="AN23" s="106" t="n">
        <v>22</v>
      </c>
      <c r="AO23" s="106" t="n">
        <v>22</v>
      </c>
    </row>
    <row r="24" customFormat="false" ht="16.4" hidden="false" customHeight="false" outlineLevel="0" collapsed="false">
      <c r="A24" s="1" t="s">
        <v>228</v>
      </c>
      <c r="B24" s="107" t="n">
        <v>22</v>
      </c>
      <c r="C24" s="108" t="s">
        <v>323</v>
      </c>
      <c r="D24" s="109" t="n">
        <v>90</v>
      </c>
      <c r="E24" s="109" t="n">
        <v>12.9</v>
      </c>
      <c r="F24" s="109" t="n">
        <v>13.3</v>
      </c>
      <c r="G24" s="109" t="n">
        <v>17.8</v>
      </c>
      <c r="H24" s="109" t="n">
        <v>677</v>
      </c>
      <c r="I24" s="109" t="n">
        <v>71</v>
      </c>
      <c r="J24" s="109" t="n">
        <v>12</v>
      </c>
      <c r="K24" s="109" t="n">
        <v>26</v>
      </c>
      <c r="L24" s="109" t="n">
        <v>8</v>
      </c>
      <c r="M24" s="109" t="n">
        <v>192</v>
      </c>
      <c r="N24" s="109" t="n">
        <v>4</v>
      </c>
      <c r="O24" s="109" t="n">
        <v>21</v>
      </c>
      <c r="P24" s="109" t="n">
        <v>11.9</v>
      </c>
      <c r="Q24" s="109" t="n">
        <v>22.7</v>
      </c>
      <c r="R24" s="109" t="n">
        <v>16.3</v>
      </c>
      <c r="S24" s="109" t="n">
        <v>12.1</v>
      </c>
      <c r="T24" s="109" t="n">
        <v>28.4</v>
      </c>
      <c r="U24" s="109" t="n">
        <v>3.2</v>
      </c>
      <c r="V24" s="109" t="n">
        <v>31.2</v>
      </c>
      <c r="W24" s="109" t="n">
        <v>10.6</v>
      </c>
      <c r="X24" s="109" t="n">
        <v>20.9</v>
      </c>
      <c r="Y24" s="109" t="n">
        <v>15.5</v>
      </c>
      <c r="Z24" s="109" t="n">
        <v>11.1</v>
      </c>
      <c r="AA24" s="109" t="n">
        <v>26.7</v>
      </c>
      <c r="AB24" s="109" t="n">
        <v>2.8</v>
      </c>
      <c r="AC24" s="109" t="n">
        <v>28.4</v>
      </c>
      <c r="AD24" s="109" t="n">
        <v>623</v>
      </c>
      <c r="AE24" s="109" t="n">
        <v>0.3</v>
      </c>
      <c r="AF24" s="109" t="n">
        <v>6.4</v>
      </c>
      <c r="AG24" s="109" t="n">
        <v>1.6</v>
      </c>
      <c r="AH24" s="109" t="n">
        <v>5.5</v>
      </c>
      <c r="AI24" s="109" t="n">
        <v>0.8</v>
      </c>
      <c r="AJ24" s="109" t="n">
        <v>11</v>
      </c>
      <c r="AK24" s="109" t="n">
        <v>0.09</v>
      </c>
      <c r="AL24" s="109" t="n">
        <v>11</v>
      </c>
      <c r="AM24" s="109" t="n">
        <v>39</v>
      </c>
      <c r="AN24" s="109" t="n">
        <v>19</v>
      </c>
      <c r="AO24" s="109" t="n">
        <v>19</v>
      </c>
    </row>
    <row r="25" customFormat="false" ht="16.4" hidden="false" customHeight="false" outlineLevel="0" collapsed="false">
      <c r="A25" s="1" t="s">
        <v>70</v>
      </c>
      <c r="B25" s="104" t="n">
        <v>23</v>
      </c>
      <c r="C25" s="105" t="s">
        <v>324</v>
      </c>
      <c r="D25" s="106" t="n">
        <v>76</v>
      </c>
      <c r="E25" s="106" t="n">
        <v>8.7</v>
      </c>
      <c r="F25" s="106" t="n">
        <v>9</v>
      </c>
      <c r="G25" s="106" t="n">
        <v>12.9</v>
      </c>
      <c r="H25" s="106" t="n">
        <v>145</v>
      </c>
      <c r="I25" s="106" t="n">
        <v>2</v>
      </c>
      <c r="J25" s="106" t="n">
        <v>0</v>
      </c>
      <c r="K25" s="106" t="n">
        <v>0</v>
      </c>
      <c r="L25" s="106" t="n">
        <v>0</v>
      </c>
      <c r="M25" s="106" t="n">
        <v>0</v>
      </c>
      <c r="N25" s="106" t="n">
        <v>616</v>
      </c>
      <c r="O25" s="106" t="n">
        <v>129</v>
      </c>
      <c r="P25" s="106" t="n">
        <v>2.1</v>
      </c>
      <c r="Q25" s="106" t="n">
        <v>0.9</v>
      </c>
      <c r="R25" s="106" t="n">
        <v>0.3</v>
      </c>
      <c r="S25" s="106" t="n">
        <v>0.9</v>
      </c>
      <c r="T25" s="106" t="n">
        <v>1.2</v>
      </c>
      <c r="U25" s="106" t="n">
        <v>1.1</v>
      </c>
      <c r="V25" s="106" t="n">
        <v>2.5</v>
      </c>
      <c r="W25" s="106" t="n">
        <v>1.6</v>
      </c>
      <c r="X25" s="106" t="n">
        <v>0.7</v>
      </c>
      <c r="Y25" s="106" t="n">
        <v>0.3</v>
      </c>
      <c r="Z25" s="106" t="n">
        <v>0.7</v>
      </c>
      <c r="AA25" s="106" t="n">
        <v>0.9</v>
      </c>
      <c r="AB25" s="106" t="n">
        <v>0.8</v>
      </c>
      <c r="AC25" s="106" t="n">
        <v>1.9</v>
      </c>
      <c r="AD25" s="106" t="n">
        <v>75</v>
      </c>
      <c r="AE25" s="106" t="n">
        <v>5.4</v>
      </c>
      <c r="AF25" s="106" t="n">
        <v>0.4</v>
      </c>
      <c r="AG25" s="106" t="n">
        <v>0.3</v>
      </c>
      <c r="AH25" s="106" t="n">
        <v>28</v>
      </c>
      <c r="AI25" s="106" t="n">
        <v>4.1</v>
      </c>
      <c r="AJ25" s="106" t="n">
        <v>17</v>
      </c>
      <c r="AK25" s="106" t="n">
        <v>0.1</v>
      </c>
      <c r="AL25" s="106" t="n">
        <v>4.1</v>
      </c>
      <c r="AM25" s="106" t="n">
        <v>16</v>
      </c>
      <c r="AN25" s="106" t="n">
        <v>20</v>
      </c>
      <c r="AO25" s="106" t="n">
        <v>20</v>
      </c>
    </row>
    <row r="26" customFormat="false" ht="16.4" hidden="false" customHeight="false" outlineLevel="0" collapsed="false">
      <c r="B26" s="107" t="n">
        <v>24</v>
      </c>
      <c r="C26" s="108" t="s">
        <v>325</v>
      </c>
      <c r="D26" s="109" t="n">
        <v>74</v>
      </c>
      <c r="E26" s="109" t="n">
        <v>8.7</v>
      </c>
      <c r="F26" s="109" t="n">
        <v>9</v>
      </c>
      <c r="G26" s="109" t="n">
        <v>12.9</v>
      </c>
      <c r="H26" s="109" t="n">
        <v>55</v>
      </c>
      <c r="I26" s="109" t="n">
        <v>15</v>
      </c>
      <c r="J26" s="109" t="n">
        <v>0</v>
      </c>
      <c r="K26" s="109" t="n">
        <v>0</v>
      </c>
      <c r="L26" s="109" t="n">
        <v>0</v>
      </c>
      <c r="M26" s="109" t="n">
        <v>0</v>
      </c>
      <c r="N26" s="109" t="n">
        <v>640</v>
      </c>
      <c r="O26" s="109" t="n">
        <v>140</v>
      </c>
      <c r="P26" s="109" t="n">
        <v>0.2</v>
      </c>
      <c r="Q26" s="109" t="n">
        <v>0.8</v>
      </c>
      <c r="R26" s="109" t="n">
        <v>0.2</v>
      </c>
      <c r="S26" s="109" t="n">
        <v>0.5</v>
      </c>
      <c r="T26" s="109" t="n">
        <v>0.7</v>
      </c>
      <c r="U26" s="109" t="n">
        <v>0.1</v>
      </c>
      <c r="V26" s="109" t="n">
        <v>1.7</v>
      </c>
      <c r="W26" s="109" t="n">
        <v>0.2</v>
      </c>
      <c r="X26" s="109" t="n">
        <v>0.6</v>
      </c>
      <c r="Y26" s="109" t="n">
        <v>0.2</v>
      </c>
      <c r="Z26" s="109" t="n">
        <v>0.4</v>
      </c>
      <c r="AA26" s="109" t="n">
        <v>0.6</v>
      </c>
      <c r="AB26" s="109" t="n">
        <v>0.1</v>
      </c>
      <c r="AC26" s="109" t="n">
        <v>1.3</v>
      </c>
      <c r="AD26" s="109" t="n">
        <v>25</v>
      </c>
      <c r="AE26" s="109" t="n">
        <v>5.4</v>
      </c>
      <c r="AF26" s="109" t="n">
        <v>0.7</v>
      </c>
      <c r="AG26" s="109" t="n">
        <v>4</v>
      </c>
      <c r="AH26" s="109" t="n">
        <v>49</v>
      </c>
      <c r="AI26" s="109" t="n">
        <v>2.3</v>
      </c>
      <c r="AJ26" s="109" t="n">
        <v>13</v>
      </c>
      <c r="AK26" s="109" t="n">
        <v>0.4</v>
      </c>
      <c r="AL26" s="109" t="n">
        <v>4.6</v>
      </c>
      <c r="AM26" s="109" t="n">
        <v>8</v>
      </c>
      <c r="AN26" s="109" t="n">
        <v>20</v>
      </c>
      <c r="AO26" s="109" t="n">
        <v>20</v>
      </c>
    </row>
    <row r="27" customFormat="false" ht="16.4" hidden="false" customHeight="false" outlineLevel="0" collapsed="false">
      <c r="B27" s="104" t="n">
        <v>25</v>
      </c>
      <c r="C27" s="105" t="s">
        <v>326</v>
      </c>
      <c r="D27" s="106" t="n">
        <v>99.5</v>
      </c>
      <c r="E27" s="106" t="n">
        <v>17.4</v>
      </c>
      <c r="F27" s="106" t="n">
        <v>17.4</v>
      </c>
      <c r="G27" s="106" t="n">
        <v>10.9</v>
      </c>
      <c r="H27" s="106" t="n">
        <v>587</v>
      </c>
      <c r="I27" s="106" t="n">
        <v>0</v>
      </c>
      <c r="J27" s="106" t="n">
        <v>0</v>
      </c>
      <c r="K27" s="106" t="n">
        <v>0</v>
      </c>
      <c r="L27" s="106" t="n">
        <v>0</v>
      </c>
      <c r="M27" s="106" t="n">
        <v>0</v>
      </c>
      <c r="N27" s="106" t="n">
        <v>0</v>
      </c>
      <c r="O27" s="106" t="n">
        <v>0</v>
      </c>
      <c r="P27" s="106" t="n">
        <v>0</v>
      </c>
      <c r="Q27" s="106" t="n">
        <v>0</v>
      </c>
      <c r="R27" s="106" t="n">
        <v>995</v>
      </c>
      <c r="S27" s="106" t="n">
        <v>0</v>
      </c>
      <c r="T27" s="106" t="n">
        <v>995</v>
      </c>
      <c r="U27" s="106" t="n">
        <v>0</v>
      </c>
      <c r="V27" s="106" t="n">
        <v>0</v>
      </c>
      <c r="W27" s="106" t="n">
        <v>0</v>
      </c>
      <c r="X27" s="106" t="n">
        <v>0</v>
      </c>
      <c r="Y27" s="106" t="n">
        <v>995</v>
      </c>
      <c r="Z27" s="106" t="n">
        <v>0</v>
      </c>
      <c r="AA27" s="106" t="n">
        <v>995</v>
      </c>
      <c r="AB27" s="106" t="n">
        <v>0</v>
      </c>
      <c r="AC27" s="106" t="n">
        <v>0</v>
      </c>
      <c r="AD27" s="106" t="n">
        <v>587</v>
      </c>
      <c r="AE27" s="106" t="n">
        <v>0</v>
      </c>
      <c r="AF27" s="106" t="n">
        <v>0</v>
      </c>
      <c r="AG27" s="106" t="n">
        <v>0</v>
      </c>
      <c r="AH27" s="106" t="n">
        <v>0</v>
      </c>
      <c r="AI27" s="106" t="n">
        <v>0</v>
      </c>
      <c r="AJ27" s="106" t="n">
        <v>0</v>
      </c>
      <c r="AK27" s="106" t="n">
        <v>0</v>
      </c>
      <c r="AL27" s="106" t="n">
        <v>0</v>
      </c>
      <c r="AM27" s="106" t="n">
        <v>0</v>
      </c>
      <c r="AN27" s="106" t="n">
        <v>0</v>
      </c>
      <c r="AO27" s="106" t="n">
        <v>0</v>
      </c>
    </row>
    <row r="28" customFormat="false" ht="16.4" hidden="false" customHeight="false" outlineLevel="0" collapsed="false">
      <c r="B28" s="107" t="n">
        <v>26</v>
      </c>
      <c r="C28" s="108" t="s">
        <v>327</v>
      </c>
      <c r="D28" s="109" t="n">
        <v>88</v>
      </c>
      <c r="E28" s="109" t="n">
        <v>17.4</v>
      </c>
      <c r="F28" s="109" t="n">
        <v>17.4</v>
      </c>
      <c r="G28" s="109" t="n">
        <v>10.9</v>
      </c>
      <c r="H28" s="109" t="n">
        <v>587</v>
      </c>
      <c r="I28" s="109" t="n">
        <v>0</v>
      </c>
      <c r="J28" s="109" t="n">
        <v>0</v>
      </c>
      <c r="K28" s="109" t="n">
        <v>0</v>
      </c>
      <c r="L28" s="109" t="n">
        <v>0</v>
      </c>
      <c r="M28" s="109" t="n">
        <v>0</v>
      </c>
      <c r="N28" s="109" t="n">
        <v>0</v>
      </c>
      <c r="O28" s="109" t="n">
        <v>0</v>
      </c>
      <c r="P28" s="109" t="n">
        <v>0</v>
      </c>
      <c r="Q28" s="109" t="n">
        <v>0</v>
      </c>
      <c r="R28" s="109" t="n">
        <v>870</v>
      </c>
      <c r="S28" s="109" t="n">
        <v>0</v>
      </c>
      <c r="T28" s="109" t="n">
        <v>870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653</v>
      </c>
      <c r="Z28" s="109" t="n">
        <v>0</v>
      </c>
      <c r="AA28" s="109" t="n">
        <v>653</v>
      </c>
      <c r="AB28" s="109" t="n">
        <v>0</v>
      </c>
      <c r="AC28" s="109" t="n">
        <v>0</v>
      </c>
      <c r="AD28" s="109" t="n">
        <v>587</v>
      </c>
      <c r="AE28" s="109" t="n">
        <v>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K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</row>
    <row r="29" customFormat="false" ht="16.4" hidden="false" customHeight="false" outlineLevel="0" collapsed="false">
      <c r="B29" s="104" t="n">
        <v>27</v>
      </c>
      <c r="C29" s="105" t="s">
        <v>328</v>
      </c>
      <c r="D29" s="106" t="n">
        <v>100</v>
      </c>
      <c r="E29" s="106" t="n">
        <v>0</v>
      </c>
      <c r="F29" s="106" t="n">
        <v>0</v>
      </c>
      <c r="G29" s="106" t="n">
        <v>0</v>
      </c>
      <c r="H29" s="106" t="n">
        <v>0</v>
      </c>
      <c r="I29" s="106" t="n">
        <v>0</v>
      </c>
      <c r="J29" s="106" t="n">
        <v>0</v>
      </c>
      <c r="K29" s="106" t="n">
        <v>0</v>
      </c>
      <c r="L29" s="106" t="n">
        <v>0</v>
      </c>
      <c r="M29" s="106" t="n">
        <v>0</v>
      </c>
      <c r="N29" s="106" t="n">
        <v>0</v>
      </c>
      <c r="O29" s="106" t="n">
        <v>1000</v>
      </c>
      <c r="P29" s="106" t="n">
        <v>0</v>
      </c>
      <c r="Q29" s="106" t="n">
        <v>0</v>
      </c>
      <c r="R29" s="106" t="n">
        <v>0</v>
      </c>
      <c r="S29" s="106" t="n">
        <v>0</v>
      </c>
      <c r="T29" s="106" t="n">
        <v>0</v>
      </c>
      <c r="U29" s="106" t="n">
        <v>0</v>
      </c>
      <c r="V29" s="106" t="n">
        <v>0</v>
      </c>
      <c r="W29" s="106" t="n">
        <v>0</v>
      </c>
      <c r="X29" s="106" t="n">
        <v>0</v>
      </c>
      <c r="Y29" s="106" t="n">
        <v>0</v>
      </c>
      <c r="Z29" s="106" t="n">
        <v>0</v>
      </c>
      <c r="AA29" s="106" t="n">
        <v>0</v>
      </c>
      <c r="AB29" s="106" t="n">
        <v>0</v>
      </c>
      <c r="AC29" s="106" t="n">
        <v>0</v>
      </c>
      <c r="AD29" s="106" t="n">
        <v>0</v>
      </c>
      <c r="AE29" s="106" t="n">
        <v>195</v>
      </c>
      <c r="AF29" s="106" t="n">
        <v>230</v>
      </c>
      <c r="AG29" s="106" t="n">
        <v>0</v>
      </c>
      <c r="AH29" s="106" t="n">
        <v>0</v>
      </c>
      <c r="AI29" s="106" t="n">
        <v>0</v>
      </c>
      <c r="AJ29" s="106" t="n">
        <v>0</v>
      </c>
      <c r="AK29" s="106" t="n">
        <v>0</v>
      </c>
      <c r="AL29" s="106" t="n">
        <v>0</v>
      </c>
      <c r="AM29" s="106" t="n">
        <v>0</v>
      </c>
      <c r="AN29" s="106" t="n">
        <v>83</v>
      </c>
      <c r="AO29" s="106" t="n">
        <v>83</v>
      </c>
    </row>
    <row r="30" customFormat="false" ht="16.4" hidden="false" customHeight="false" outlineLevel="0" collapsed="false">
      <c r="A30" s="1" t="s">
        <v>45</v>
      </c>
      <c r="B30" s="107" t="n">
        <v>28</v>
      </c>
      <c r="C30" s="108" t="s">
        <v>329</v>
      </c>
      <c r="D30" s="109" t="n">
        <v>100</v>
      </c>
      <c r="E30" s="109" t="n">
        <v>29.8</v>
      </c>
      <c r="F30" s="109" t="n">
        <v>29.8</v>
      </c>
      <c r="G30" s="109" t="n">
        <v>34</v>
      </c>
      <c r="H30" s="109" t="n">
        <v>0</v>
      </c>
      <c r="I30" s="109" t="n">
        <v>1000</v>
      </c>
      <c r="J30" s="109" t="n">
        <v>0</v>
      </c>
      <c r="K30" s="109" t="n">
        <v>0</v>
      </c>
      <c r="L30" s="109" t="n">
        <v>0</v>
      </c>
      <c r="M30" s="109" t="n">
        <v>0</v>
      </c>
      <c r="N30" s="109" t="n">
        <v>0</v>
      </c>
      <c r="O30" s="109" t="n">
        <v>0</v>
      </c>
      <c r="P30" s="109" t="n">
        <v>0</v>
      </c>
      <c r="Q30" s="109" t="n">
        <v>0</v>
      </c>
      <c r="R30" s="109" t="n">
        <v>0</v>
      </c>
      <c r="S30" s="109" t="n">
        <v>0</v>
      </c>
      <c r="T30" s="109" t="n">
        <v>0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B30" s="109" t="n">
        <v>0</v>
      </c>
      <c r="AC30" s="109" t="n">
        <v>0</v>
      </c>
      <c r="AD30" s="109" t="n">
        <v>0</v>
      </c>
      <c r="AE30" s="109" t="n">
        <v>0</v>
      </c>
      <c r="AF30" s="109" t="n">
        <v>0</v>
      </c>
      <c r="AG30" s="109" t="n">
        <v>0</v>
      </c>
      <c r="AH30" s="109" t="n">
        <v>0</v>
      </c>
      <c r="AI30" s="109" t="n">
        <v>0</v>
      </c>
      <c r="AJ30" s="109" t="n">
        <v>0</v>
      </c>
      <c r="AK30" s="109" t="n">
        <v>0</v>
      </c>
      <c r="AL30" s="109" t="n">
        <v>0</v>
      </c>
      <c r="AM30" s="109" t="n">
        <v>0</v>
      </c>
      <c r="AN30" s="109" t="n">
        <v>0</v>
      </c>
      <c r="AO30" s="109" t="n">
        <v>0</v>
      </c>
    </row>
    <row r="31" customFormat="false" ht="16.4" hidden="false" customHeight="false" outlineLevel="0" collapsed="false">
      <c r="A31" s="1" t="s">
        <v>56</v>
      </c>
      <c r="B31" s="104" t="n">
        <v>29</v>
      </c>
      <c r="C31" s="105" t="s">
        <v>330</v>
      </c>
      <c r="D31" s="106" t="n">
        <v>91</v>
      </c>
      <c r="E31" s="106" t="n">
        <v>5.4</v>
      </c>
      <c r="F31" s="106" t="n">
        <v>6.2</v>
      </c>
      <c r="G31" s="106"/>
      <c r="H31" s="106" t="n">
        <v>163</v>
      </c>
      <c r="I31" s="106" t="n">
        <v>94</v>
      </c>
      <c r="J31" s="106" t="n">
        <v>62</v>
      </c>
      <c r="K31" s="106" t="n">
        <v>726</v>
      </c>
      <c r="L31" s="106" t="n">
        <v>445</v>
      </c>
      <c r="M31" s="106" t="n">
        <v>0</v>
      </c>
      <c r="N31" s="106" t="n">
        <v>22</v>
      </c>
      <c r="O31" s="106" t="n">
        <v>46</v>
      </c>
      <c r="P31" s="106" t="n">
        <v>4.5</v>
      </c>
      <c r="Q31" s="106" t="n">
        <v>4.9</v>
      </c>
      <c r="R31" s="106" t="n">
        <v>2.9</v>
      </c>
      <c r="S31" s="106" t="n">
        <v>1.8</v>
      </c>
      <c r="T31" s="106" t="n">
        <v>4.7</v>
      </c>
      <c r="U31" s="106" t="n">
        <v>1.1</v>
      </c>
      <c r="V31" s="106" t="n">
        <v>8.1</v>
      </c>
      <c r="W31" s="106" t="n">
        <v>1.7</v>
      </c>
      <c r="X31" s="106" t="n">
        <v>2.5</v>
      </c>
      <c r="Y31" s="106" t="n">
        <v>2</v>
      </c>
      <c r="Z31" s="106" t="n">
        <v>0.8</v>
      </c>
      <c r="AA31" s="106" t="n">
        <v>2.8</v>
      </c>
      <c r="AB31" s="106" t="n">
        <v>0.6</v>
      </c>
      <c r="AC31" s="106" t="n">
        <v>5.3</v>
      </c>
      <c r="AD31" s="106" t="n">
        <v>88</v>
      </c>
      <c r="AE31" s="106" t="n">
        <v>4.2</v>
      </c>
      <c r="AF31" s="106" t="n">
        <v>6.4</v>
      </c>
      <c r="AG31" s="106" t="n">
        <v>3.3</v>
      </c>
      <c r="AH31" s="106" t="n">
        <v>7.5</v>
      </c>
      <c r="AI31" s="106" t="n">
        <v>0.1</v>
      </c>
      <c r="AJ31" s="106" t="n">
        <v>260</v>
      </c>
      <c r="AK31" s="106"/>
      <c r="AL31" s="106" t="n">
        <v>25</v>
      </c>
      <c r="AM31" s="106" t="n">
        <v>47</v>
      </c>
      <c r="AN31" s="106" t="n">
        <v>31</v>
      </c>
      <c r="AO31" s="106" t="n">
        <v>31</v>
      </c>
    </row>
    <row r="32" customFormat="false" ht="16.4" hidden="false" customHeight="false" outlineLevel="0" collapsed="false">
      <c r="B32" s="107" t="n">
        <v>30</v>
      </c>
      <c r="C32" s="108" t="s">
        <v>331</v>
      </c>
      <c r="D32" s="109" t="n">
        <v>16.5</v>
      </c>
      <c r="E32" s="109" t="n">
        <v>11.9</v>
      </c>
      <c r="F32" s="109" t="n">
        <v>11.7</v>
      </c>
      <c r="G32" s="109" t="n">
        <v>14.1</v>
      </c>
      <c r="H32" s="109" t="n">
        <v>29</v>
      </c>
      <c r="I32" s="109" t="n">
        <v>0</v>
      </c>
      <c r="J32" s="109" t="n">
        <v>0</v>
      </c>
      <c r="K32" s="109" t="n">
        <v>0</v>
      </c>
      <c r="L32" s="109" t="n">
        <v>0</v>
      </c>
      <c r="M32" s="109" t="n">
        <v>0</v>
      </c>
      <c r="N32" s="109" t="n">
        <v>880</v>
      </c>
      <c r="O32" s="109" t="n">
        <v>90</v>
      </c>
      <c r="P32" s="109" t="n">
        <v>2.1</v>
      </c>
      <c r="Q32" s="109" t="n">
        <v>1.7</v>
      </c>
      <c r="R32" s="109" t="n">
        <v>0.5</v>
      </c>
      <c r="S32" s="109" t="n">
        <v>0.5</v>
      </c>
      <c r="T32" s="109" t="n">
        <v>1</v>
      </c>
      <c r="U32" s="109" t="n">
        <v>0.4</v>
      </c>
      <c r="V32" s="109" t="n">
        <v>1.5</v>
      </c>
      <c r="W32" s="109" t="n">
        <v>1.9</v>
      </c>
      <c r="X32" s="109" t="n">
        <v>1.4</v>
      </c>
      <c r="Y32" s="109" t="n">
        <v>0.4</v>
      </c>
      <c r="Z32" s="109" t="n">
        <v>0.4</v>
      </c>
      <c r="AA32" s="109" t="n">
        <v>0.9</v>
      </c>
      <c r="AB32" s="109" t="n">
        <v>0.3</v>
      </c>
      <c r="AC32" s="109" t="n">
        <v>1.3</v>
      </c>
      <c r="AD32" s="109" t="n">
        <v>23</v>
      </c>
      <c r="AE32" s="109" t="n">
        <v>7</v>
      </c>
      <c r="AF32" s="109" t="n">
        <v>7</v>
      </c>
      <c r="AG32" s="109" t="n">
        <v>1</v>
      </c>
      <c r="AH32" s="109" t="n">
        <v>25</v>
      </c>
      <c r="AI32" s="109" t="n">
        <v>9</v>
      </c>
      <c r="AJ32" s="109"/>
      <c r="AK32" s="109"/>
      <c r="AL32" s="109"/>
      <c r="AM32" s="109"/>
      <c r="AN32" s="109" t="n">
        <v>90</v>
      </c>
      <c r="AO32" s="109" t="n">
        <v>90</v>
      </c>
    </row>
    <row r="33" customFormat="false" ht="16.4" hidden="false" customHeight="false" outlineLevel="0" collapsed="false">
      <c r="A33" s="1" t="s">
        <v>74</v>
      </c>
      <c r="B33" s="104" t="n">
        <v>31</v>
      </c>
      <c r="C33" s="105" t="s">
        <v>332</v>
      </c>
      <c r="D33" s="106" t="n">
        <v>92</v>
      </c>
      <c r="E33" s="106" t="n">
        <v>11.1</v>
      </c>
      <c r="F33" s="106" t="n">
        <v>11.3</v>
      </c>
      <c r="G33" s="106" t="n">
        <v>17.1</v>
      </c>
      <c r="H33" s="106" t="n">
        <v>841</v>
      </c>
      <c r="I33" s="106" t="n">
        <v>10</v>
      </c>
      <c r="J33" s="106" t="n">
        <v>9</v>
      </c>
      <c r="K33" s="106" t="n">
        <v>65</v>
      </c>
      <c r="L33" s="106" t="n">
        <v>19</v>
      </c>
      <c r="M33" s="106" t="n">
        <v>7</v>
      </c>
      <c r="N33" s="106" t="n">
        <v>10</v>
      </c>
      <c r="O33" s="106" t="n">
        <v>28</v>
      </c>
      <c r="P33" s="106" t="n">
        <v>63.8</v>
      </c>
      <c r="Q33" s="106" t="n">
        <v>46.7</v>
      </c>
      <c r="R33" s="106" t="n">
        <v>18.8</v>
      </c>
      <c r="S33" s="106" t="n">
        <v>11.2</v>
      </c>
      <c r="T33" s="106" t="n">
        <v>30</v>
      </c>
      <c r="U33" s="106" t="n">
        <v>10.3</v>
      </c>
      <c r="V33" s="106" t="n">
        <v>55.5</v>
      </c>
      <c r="W33" s="106" t="n">
        <v>56.8</v>
      </c>
      <c r="X33" s="106" t="n">
        <v>42</v>
      </c>
      <c r="Y33" s="106" t="n">
        <v>17.1</v>
      </c>
      <c r="Z33" s="106" t="n">
        <v>8.7</v>
      </c>
      <c r="AA33" s="106" t="n">
        <v>25.8</v>
      </c>
      <c r="AB33" s="106" t="n">
        <v>7.7</v>
      </c>
      <c r="AC33" s="106" t="n">
        <v>49.4</v>
      </c>
      <c r="AD33" s="106" t="n">
        <v>732</v>
      </c>
      <c r="AE33" s="106" t="n">
        <v>0.5</v>
      </c>
      <c r="AF33" s="106" t="n">
        <v>4.3</v>
      </c>
      <c r="AG33" s="106" t="n">
        <v>0.5</v>
      </c>
      <c r="AH33" s="106" t="n">
        <v>7.4</v>
      </c>
      <c r="AI33" s="106" t="n">
        <v>0.3</v>
      </c>
      <c r="AJ33" s="106" t="n">
        <v>4</v>
      </c>
      <c r="AK33" s="106"/>
      <c r="AL33" s="106" t="n">
        <v>11</v>
      </c>
      <c r="AM33" s="106" t="n">
        <v>21</v>
      </c>
      <c r="AN33" s="106" t="n">
        <v>20</v>
      </c>
      <c r="AO33" s="106" t="n">
        <v>20</v>
      </c>
    </row>
    <row r="34" customFormat="false" ht="16.4" hidden="false" customHeight="false" outlineLevel="0" collapsed="false">
      <c r="B34" s="107" t="n">
        <v>32</v>
      </c>
      <c r="C34" s="108" t="s">
        <v>333</v>
      </c>
      <c r="D34" s="109" t="n">
        <v>18</v>
      </c>
      <c r="E34" s="109" t="n">
        <v>10.5</v>
      </c>
      <c r="F34" s="109" t="n">
        <v>10.8</v>
      </c>
      <c r="G34" s="109" t="n">
        <v>14.4</v>
      </c>
      <c r="H34" s="109" t="n">
        <v>127</v>
      </c>
      <c r="I34" s="109" t="n">
        <v>13</v>
      </c>
      <c r="J34" s="109" t="n">
        <v>47</v>
      </c>
      <c r="K34" s="109" t="n">
        <v>116</v>
      </c>
      <c r="L34" s="109" t="n">
        <v>60</v>
      </c>
      <c r="M34" s="109" t="n">
        <v>470</v>
      </c>
      <c r="N34" s="109" t="n">
        <v>21</v>
      </c>
      <c r="O34" s="109" t="n">
        <v>71</v>
      </c>
      <c r="P34" s="109" t="n">
        <v>6.6</v>
      </c>
      <c r="Q34" s="109" t="n">
        <v>5.1</v>
      </c>
      <c r="R34" s="109" t="n">
        <v>2</v>
      </c>
      <c r="S34" s="109" t="n">
        <v>1.7</v>
      </c>
      <c r="T34" s="109" t="n">
        <v>3.7</v>
      </c>
      <c r="U34" s="109" t="n">
        <v>1.2</v>
      </c>
      <c r="V34" s="109" t="n">
        <v>6.6</v>
      </c>
      <c r="W34" s="109" t="n">
        <v>5.1</v>
      </c>
      <c r="X34" s="109" t="n">
        <v>3.9</v>
      </c>
      <c r="Y34" s="109" t="n">
        <v>1.7</v>
      </c>
      <c r="Z34" s="109" t="n">
        <v>1.2</v>
      </c>
      <c r="AA34" s="109" t="n">
        <v>2.9</v>
      </c>
      <c r="AB34" s="109" t="n">
        <v>0.9</v>
      </c>
      <c r="AC34" s="109" t="n">
        <v>5.1</v>
      </c>
      <c r="AD34" s="109" t="n">
        <v>96</v>
      </c>
      <c r="AE34" s="109" t="n">
        <v>1.9</v>
      </c>
      <c r="AF34" s="109" t="n">
        <v>2.3</v>
      </c>
      <c r="AG34" s="109"/>
      <c r="AH34" s="109"/>
      <c r="AI34" s="109"/>
      <c r="AJ34" s="109"/>
      <c r="AK34" s="109"/>
      <c r="AL34" s="109"/>
      <c r="AM34" s="109"/>
      <c r="AN34" s="109" t="n">
        <v>20</v>
      </c>
      <c r="AO34" s="109" t="n">
        <v>20</v>
      </c>
    </row>
    <row r="35" customFormat="false" ht="16.4" hidden="false" customHeight="false" outlineLevel="0" collapsed="false">
      <c r="A35" s="1" t="s">
        <v>43</v>
      </c>
      <c r="B35" s="104" t="n">
        <v>33</v>
      </c>
      <c r="C35" s="105" t="s">
        <v>334</v>
      </c>
      <c r="D35" s="106" t="n">
        <v>92</v>
      </c>
      <c r="E35" s="106" t="n">
        <v>18</v>
      </c>
      <c r="F35" s="106" t="n">
        <v>18.5</v>
      </c>
      <c r="G35" s="106" t="n">
        <v>22.1</v>
      </c>
      <c r="H35" s="106" t="n">
        <v>207</v>
      </c>
      <c r="I35" s="106" t="n">
        <v>455</v>
      </c>
      <c r="J35" s="106" t="n">
        <v>89</v>
      </c>
      <c r="K35" s="106" t="n">
        <v>190</v>
      </c>
      <c r="L35" s="106" t="n">
        <v>134</v>
      </c>
      <c r="M35" s="106" t="n">
        <v>0</v>
      </c>
      <c r="N35" s="106" t="n">
        <v>55</v>
      </c>
      <c r="O35" s="106" t="n">
        <v>43</v>
      </c>
      <c r="P35" s="106" t="n">
        <v>12.9</v>
      </c>
      <c r="Q35" s="106" t="n">
        <v>9.9</v>
      </c>
      <c r="R35" s="106" t="n">
        <v>4.5</v>
      </c>
      <c r="S35" s="106" t="n">
        <v>5.1</v>
      </c>
      <c r="T35" s="106" t="n">
        <v>9.6</v>
      </c>
      <c r="U35" s="106" t="n">
        <v>2.7</v>
      </c>
      <c r="V35" s="106" t="n">
        <v>10.8</v>
      </c>
      <c r="W35" s="106" t="n">
        <v>10.1</v>
      </c>
      <c r="X35" s="106" t="n">
        <v>7</v>
      </c>
      <c r="Y35" s="106" t="n">
        <v>3.6</v>
      </c>
      <c r="Z35" s="106" t="n">
        <v>4.1</v>
      </c>
      <c r="AA35" s="106" t="n">
        <v>7.7</v>
      </c>
      <c r="AB35" s="106" t="n">
        <v>2</v>
      </c>
      <c r="AC35" s="106" t="n">
        <v>7.6</v>
      </c>
      <c r="AD35" s="106" t="n">
        <v>149</v>
      </c>
      <c r="AE35" s="106" t="n">
        <v>5.8</v>
      </c>
      <c r="AF35" s="106" t="n">
        <v>7.6</v>
      </c>
      <c r="AG35" s="106" t="n">
        <v>3.5</v>
      </c>
      <c r="AH35" s="106" t="n">
        <v>10</v>
      </c>
      <c r="AI35" s="106" t="n">
        <v>0.2</v>
      </c>
      <c r="AJ35" s="106" t="n">
        <v>42</v>
      </c>
      <c r="AK35" s="106"/>
      <c r="AL35" s="106" t="n">
        <v>4.1</v>
      </c>
      <c r="AM35" s="106" t="n">
        <v>42</v>
      </c>
      <c r="AN35" s="106" t="n">
        <v>30</v>
      </c>
      <c r="AO35" s="106" t="n">
        <v>30</v>
      </c>
    </row>
    <row r="36" customFormat="false" ht="16.4" hidden="false" customHeight="false" outlineLevel="0" collapsed="false">
      <c r="A36" s="1" t="s">
        <v>54</v>
      </c>
      <c r="B36" s="107" t="n">
        <v>34</v>
      </c>
      <c r="C36" s="108" t="s">
        <v>335</v>
      </c>
      <c r="D36" s="109" t="n">
        <v>89</v>
      </c>
      <c r="E36" s="109" t="n">
        <v>9.7</v>
      </c>
      <c r="F36" s="109" t="n">
        <v>10.2</v>
      </c>
      <c r="G36" s="109" t="n">
        <v>14.3</v>
      </c>
      <c r="H36" s="109" t="n">
        <v>331</v>
      </c>
      <c r="I36" s="109" t="n">
        <v>164</v>
      </c>
      <c r="J36" s="109" t="n">
        <v>122</v>
      </c>
      <c r="K36" s="109" t="n">
        <v>275</v>
      </c>
      <c r="L36" s="109" t="n">
        <v>192</v>
      </c>
      <c r="M36" s="109" t="n">
        <v>0</v>
      </c>
      <c r="N36" s="109" t="n">
        <v>77</v>
      </c>
      <c r="O36" s="109" t="n">
        <v>68</v>
      </c>
      <c r="P36" s="109" t="n">
        <v>17.7</v>
      </c>
      <c r="Q36" s="109" t="n">
        <v>14.2</v>
      </c>
      <c r="R36" s="109" t="n">
        <v>6.8</v>
      </c>
      <c r="S36" s="109" t="n">
        <v>8</v>
      </c>
      <c r="T36" s="109" t="n">
        <v>14.8</v>
      </c>
      <c r="U36" s="109" t="n">
        <v>4</v>
      </c>
      <c r="V36" s="109" t="n">
        <v>16.7</v>
      </c>
      <c r="W36" s="109" t="n">
        <v>13.3</v>
      </c>
      <c r="X36" s="109" t="n">
        <v>10.7</v>
      </c>
      <c r="Y36" s="109" t="n">
        <v>5.9</v>
      </c>
      <c r="Z36" s="109" t="n">
        <v>6.5</v>
      </c>
      <c r="AA36" s="109" t="n">
        <v>12.4</v>
      </c>
      <c r="AB36" s="109" t="n">
        <v>3.2</v>
      </c>
      <c r="AC36" s="109" t="n">
        <v>12.9</v>
      </c>
      <c r="AD36" s="109" t="n">
        <v>258</v>
      </c>
      <c r="AE36" s="109" t="n">
        <v>8.1</v>
      </c>
      <c r="AF36" s="109" t="n">
        <v>12</v>
      </c>
      <c r="AG36" s="109" t="n">
        <v>4.7</v>
      </c>
      <c r="AH36" s="109" t="n">
        <v>13.5</v>
      </c>
      <c r="AI36" s="109" t="n">
        <v>0.1</v>
      </c>
      <c r="AJ36" s="109" t="n">
        <v>61</v>
      </c>
      <c r="AK36" s="109"/>
      <c r="AL36" s="109" t="n">
        <v>7.3</v>
      </c>
      <c r="AM36" s="109" t="n">
        <v>59</v>
      </c>
      <c r="AN36" s="109" t="n">
        <v>32</v>
      </c>
      <c r="AO36" s="109" t="n">
        <v>32</v>
      </c>
    </row>
    <row r="37" customFormat="false" ht="16.4" hidden="false" customHeight="false" outlineLevel="0" collapsed="false">
      <c r="B37" s="104" t="n">
        <v>35</v>
      </c>
      <c r="C37" s="105" t="s">
        <v>336</v>
      </c>
      <c r="D37" s="106" t="n">
        <v>89</v>
      </c>
      <c r="E37" s="106" t="n">
        <v>10.5</v>
      </c>
      <c r="F37" s="106" t="n">
        <v>11</v>
      </c>
      <c r="G37" s="106" t="n">
        <v>15.1</v>
      </c>
      <c r="H37" s="106" t="n">
        <v>276</v>
      </c>
      <c r="I37" s="106" t="n">
        <v>200</v>
      </c>
      <c r="J37" s="106" t="n">
        <v>62</v>
      </c>
      <c r="K37" s="106" t="n">
        <v>254</v>
      </c>
      <c r="L37" s="106" t="n">
        <v>180</v>
      </c>
      <c r="M37" s="106" t="n">
        <v>0</v>
      </c>
      <c r="N37" s="106" t="n">
        <v>74</v>
      </c>
      <c r="O37" s="106" t="n">
        <v>58</v>
      </c>
      <c r="P37" s="106" t="n">
        <v>14.8</v>
      </c>
      <c r="Q37" s="106" t="n">
        <v>11.8</v>
      </c>
      <c r="R37" s="106" t="n">
        <v>5.7</v>
      </c>
      <c r="S37" s="106" t="n">
        <v>6.7</v>
      </c>
      <c r="T37" s="106" t="n">
        <v>12.4</v>
      </c>
      <c r="U37" s="106" t="n">
        <v>3.3</v>
      </c>
      <c r="V37" s="106" t="n">
        <v>14</v>
      </c>
      <c r="W37" s="106" t="n">
        <v>11.1</v>
      </c>
      <c r="X37" s="106" t="n">
        <v>8.9</v>
      </c>
      <c r="Y37" s="106" t="n">
        <v>4.9</v>
      </c>
      <c r="Z37" s="106" t="n">
        <v>5.4</v>
      </c>
      <c r="AA37" s="106" t="n">
        <v>10.4</v>
      </c>
      <c r="AB37" s="106" t="n">
        <v>2.7</v>
      </c>
      <c r="AC37" s="106" t="n">
        <v>10.7</v>
      </c>
      <c r="AD37" s="106" t="n">
        <v>215</v>
      </c>
      <c r="AE37" s="106" t="n">
        <v>7.8</v>
      </c>
      <c r="AF37" s="106" t="n">
        <v>11.5</v>
      </c>
      <c r="AG37" s="106" t="n">
        <v>4.5</v>
      </c>
      <c r="AH37" s="106" t="n">
        <v>13</v>
      </c>
      <c r="AI37" s="106" t="n">
        <v>0.1</v>
      </c>
      <c r="AJ37" s="106" t="n">
        <v>59</v>
      </c>
      <c r="AK37" s="106" t="n">
        <v>0.11</v>
      </c>
      <c r="AL37" s="106" t="n">
        <v>7</v>
      </c>
      <c r="AM37" s="106" t="n">
        <v>53</v>
      </c>
      <c r="AN37" s="106" t="n">
        <v>32</v>
      </c>
      <c r="AO37" s="106" t="n">
        <v>32</v>
      </c>
    </row>
    <row r="38" customFormat="false" ht="16.4" hidden="false" customHeight="false" outlineLevel="0" collapsed="false">
      <c r="A38" s="1" t="s">
        <v>46</v>
      </c>
      <c r="B38" s="107" t="n">
        <v>36</v>
      </c>
      <c r="C38" s="108" t="s">
        <v>337</v>
      </c>
      <c r="D38" s="109" t="n">
        <v>89</v>
      </c>
      <c r="E38" s="109" t="n">
        <v>7.1</v>
      </c>
      <c r="F38" s="109" t="n">
        <v>7.7</v>
      </c>
      <c r="G38" s="109" t="n">
        <v>11.5</v>
      </c>
      <c r="H38" s="109" t="n">
        <v>380</v>
      </c>
      <c r="I38" s="109" t="n">
        <v>26</v>
      </c>
      <c r="J38" s="109" t="n">
        <v>139</v>
      </c>
      <c r="K38" s="109" t="n">
        <v>319</v>
      </c>
      <c r="L38" s="109" t="n">
        <v>221</v>
      </c>
      <c r="M38" s="109" t="n">
        <v>0</v>
      </c>
      <c r="N38" s="109" t="n">
        <v>87</v>
      </c>
      <c r="O38" s="109" t="n">
        <v>79</v>
      </c>
      <c r="P38" s="109" t="n">
        <v>20.3</v>
      </c>
      <c r="Q38" s="109" t="n">
        <v>16.3</v>
      </c>
      <c r="R38" s="109" t="n">
        <v>7.8</v>
      </c>
      <c r="S38" s="109" t="n">
        <v>9.2</v>
      </c>
      <c r="T38" s="109" t="n">
        <v>17</v>
      </c>
      <c r="U38" s="109" t="n">
        <v>4.6</v>
      </c>
      <c r="V38" s="109" t="n">
        <v>19.2</v>
      </c>
      <c r="W38" s="109" t="n">
        <v>15.2</v>
      </c>
      <c r="X38" s="109" t="n">
        <v>12.2</v>
      </c>
      <c r="Y38" s="109" t="n">
        <v>6.8</v>
      </c>
      <c r="Z38" s="109" t="n">
        <v>7.5</v>
      </c>
      <c r="AA38" s="109" t="n">
        <v>14.3</v>
      </c>
      <c r="AB38" s="109" t="n">
        <v>3.7</v>
      </c>
      <c r="AC38" s="109" t="n">
        <v>14.8</v>
      </c>
      <c r="AD38" s="109" t="n">
        <v>300</v>
      </c>
      <c r="AE38" s="109" t="n">
        <v>9.6</v>
      </c>
      <c r="AF38" s="109" t="n">
        <v>12.9</v>
      </c>
      <c r="AG38" s="109" t="n">
        <v>5.3</v>
      </c>
      <c r="AH38" s="109" t="n">
        <v>15</v>
      </c>
      <c r="AI38" s="109" t="n">
        <v>0.4</v>
      </c>
      <c r="AJ38" s="109" t="n">
        <v>76</v>
      </c>
      <c r="AK38" s="109" t="n">
        <v>0.09</v>
      </c>
      <c r="AL38" s="109" t="n">
        <v>6.4</v>
      </c>
      <c r="AM38" s="109" t="n">
        <v>73</v>
      </c>
      <c r="AN38" s="109" t="n">
        <v>32</v>
      </c>
      <c r="AO38" s="109" t="n">
        <v>32</v>
      </c>
    </row>
    <row r="39" customFormat="false" ht="16.4" hidden="false" customHeight="false" outlineLevel="0" collapsed="false">
      <c r="B39" s="104" t="n">
        <v>37</v>
      </c>
      <c r="C39" s="105" t="s">
        <v>338</v>
      </c>
      <c r="D39" s="106" t="n">
        <v>87</v>
      </c>
      <c r="E39" s="106" t="n">
        <v>13.5</v>
      </c>
      <c r="F39" s="106" t="n">
        <v>13.5</v>
      </c>
      <c r="G39" s="106" t="n">
        <v>15.5</v>
      </c>
      <c r="H39" s="106" t="n">
        <v>88</v>
      </c>
      <c r="I39" s="106" t="n">
        <v>14</v>
      </c>
      <c r="J39" s="106" t="n">
        <v>12</v>
      </c>
      <c r="K39" s="106" t="n">
        <v>59</v>
      </c>
      <c r="L39" s="106" t="n">
        <v>15</v>
      </c>
      <c r="M39" s="106" t="n">
        <v>882</v>
      </c>
      <c r="N39" s="106" t="n">
        <v>5</v>
      </c>
      <c r="O39" s="106" t="n">
        <v>10</v>
      </c>
      <c r="P39" s="106" t="n">
        <v>3.2</v>
      </c>
      <c r="Q39" s="106" t="n">
        <v>3</v>
      </c>
      <c r="R39" s="106" t="n">
        <v>2.1</v>
      </c>
      <c r="S39" s="106" t="n">
        <v>2.1</v>
      </c>
      <c r="T39" s="106" t="n">
        <v>4.2</v>
      </c>
      <c r="U39" s="106" t="n">
        <v>1</v>
      </c>
      <c r="V39" s="106" t="n">
        <v>5.2</v>
      </c>
      <c r="W39" s="106" t="n">
        <v>2.5</v>
      </c>
      <c r="X39" s="106" t="n">
        <v>2.3</v>
      </c>
      <c r="Y39" s="106" t="n">
        <v>1.8</v>
      </c>
      <c r="Z39" s="106" t="n">
        <v>1.5</v>
      </c>
      <c r="AA39" s="106" t="n">
        <v>3.3</v>
      </c>
      <c r="AB39" s="106" t="n">
        <v>0.8</v>
      </c>
      <c r="AC39" s="106" t="n">
        <v>4</v>
      </c>
      <c r="AD39" s="106" t="n">
        <v>79</v>
      </c>
      <c r="AE39" s="106" t="n">
        <v>0.5</v>
      </c>
      <c r="AF39" s="106" t="n">
        <v>2.3</v>
      </c>
      <c r="AG39" s="106" t="n">
        <v>1.5</v>
      </c>
      <c r="AH39" s="106" t="n">
        <v>2.5</v>
      </c>
      <c r="AI39" s="106" t="n">
        <v>0.4</v>
      </c>
      <c r="AJ39" s="106" t="n">
        <v>13</v>
      </c>
      <c r="AK39" s="106" t="n">
        <v>0.3</v>
      </c>
      <c r="AL39" s="106" t="n">
        <v>24</v>
      </c>
      <c r="AM39" s="106" t="n">
        <v>19</v>
      </c>
      <c r="AN39" s="106" t="n">
        <v>20</v>
      </c>
      <c r="AO39" s="106" t="n">
        <v>20</v>
      </c>
    </row>
    <row r="40" customFormat="false" ht="16.4" hidden="false" customHeight="false" outlineLevel="0" collapsed="false">
      <c r="A40" s="1" t="s">
        <v>39</v>
      </c>
      <c r="B40" s="107" t="n">
        <v>38</v>
      </c>
      <c r="C40" s="108" t="s">
        <v>339</v>
      </c>
      <c r="D40" s="109" t="n">
        <v>87</v>
      </c>
      <c r="E40" s="109" t="n">
        <v>11.3</v>
      </c>
      <c r="F40" s="109" t="n">
        <v>11.5</v>
      </c>
      <c r="G40" s="109" t="n">
        <v>14.8</v>
      </c>
      <c r="H40" s="109" t="n">
        <v>103</v>
      </c>
      <c r="I40" s="109" t="n">
        <v>14</v>
      </c>
      <c r="J40" s="109" t="n">
        <v>22</v>
      </c>
      <c r="K40" s="109" t="n">
        <v>161</v>
      </c>
      <c r="L40" s="109" t="n">
        <v>36</v>
      </c>
      <c r="M40" s="109" t="n">
        <v>616</v>
      </c>
      <c r="N40" s="109" t="n">
        <v>36</v>
      </c>
      <c r="O40" s="109" t="n">
        <v>21</v>
      </c>
      <c r="P40" s="109" t="n">
        <v>4</v>
      </c>
      <c r="Q40" s="109" t="n">
        <v>3.5</v>
      </c>
      <c r="R40" s="109" t="n">
        <v>1.6</v>
      </c>
      <c r="S40" s="109" t="n">
        <v>2.3</v>
      </c>
      <c r="T40" s="109" t="n">
        <v>4</v>
      </c>
      <c r="U40" s="109" t="n">
        <v>1</v>
      </c>
      <c r="V40" s="109" t="n">
        <v>5</v>
      </c>
      <c r="W40" s="109" t="n">
        <v>2.9</v>
      </c>
      <c r="X40" s="109" t="n">
        <v>2.5</v>
      </c>
      <c r="Y40" s="109" t="n">
        <v>1.3</v>
      </c>
      <c r="Z40" s="109" t="n">
        <v>1.9</v>
      </c>
      <c r="AA40" s="109" t="n">
        <v>3.3</v>
      </c>
      <c r="AB40" s="109" t="n">
        <v>0.8</v>
      </c>
      <c r="AC40" s="109" t="n">
        <v>3.8</v>
      </c>
      <c r="AD40" s="109" t="n">
        <v>79</v>
      </c>
      <c r="AE40" s="109" t="n">
        <v>0.5</v>
      </c>
      <c r="AF40" s="109" t="n">
        <v>3.2</v>
      </c>
      <c r="AG40" s="109" t="n">
        <v>1.1</v>
      </c>
      <c r="AH40" s="109" t="n">
        <v>5.6</v>
      </c>
      <c r="AI40" s="109" t="n">
        <v>0.4</v>
      </c>
      <c r="AJ40" s="109" t="n">
        <v>28</v>
      </c>
      <c r="AK40" s="109" t="n">
        <v>0.03</v>
      </c>
      <c r="AL40" s="109" t="n">
        <v>3.5</v>
      </c>
      <c r="AM40" s="109" t="n">
        <v>34</v>
      </c>
      <c r="AN40" s="109" t="n">
        <v>30</v>
      </c>
      <c r="AO40" s="109" t="n">
        <v>50</v>
      </c>
    </row>
    <row r="41" customFormat="false" ht="16.4" hidden="false" customHeight="false" outlineLevel="0" collapsed="false">
      <c r="A41" s="1" t="s">
        <v>38</v>
      </c>
      <c r="B41" s="104" t="n">
        <v>39</v>
      </c>
      <c r="C41" s="105" t="s">
        <v>340</v>
      </c>
      <c r="D41" s="106" t="n">
        <v>87</v>
      </c>
      <c r="E41" s="106" t="n">
        <v>11.9</v>
      </c>
      <c r="F41" s="106" t="n">
        <v>12</v>
      </c>
      <c r="G41" s="106" t="n">
        <v>14.9</v>
      </c>
      <c r="H41" s="106" t="n">
        <v>110</v>
      </c>
      <c r="I41" s="106" t="n">
        <v>15</v>
      </c>
      <c r="J41" s="106" t="n">
        <v>27</v>
      </c>
      <c r="K41" s="106" t="n">
        <v>146</v>
      </c>
      <c r="L41" s="106" t="n">
        <v>37</v>
      </c>
      <c r="M41" s="106" t="n">
        <v>686</v>
      </c>
      <c r="N41" s="106" t="n">
        <v>31</v>
      </c>
      <c r="O41" s="106" t="n">
        <v>22</v>
      </c>
      <c r="P41" s="106" t="n">
        <v>4.5</v>
      </c>
      <c r="Q41" s="106" t="n">
        <v>3.7</v>
      </c>
      <c r="R41" s="106" t="n">
        <v>2</v>
      </c>
      <c r="S41" s="106" t="n">
        <v>2.9</v>
      </c>
      <c r="T41" s="106" t="n">
        <v>4.9</v>
      </c>
      <c r="U41" s="106" t="n">
        <v>1.4</v>
      </c>
      <c r="V41" s="106" t="n">
        <v>5.4</v>
      </c>
      <c r="W41" s="106" t="n">
        <v>3.7</v>
      </c>
      <c r="X41" s="106" t="n">
        <v>3</v>
      </c>
      <c r="Y41" s="106" t="n">
        <v>1.8</v>
      </c>
      <c r="Z41" s="106" t="n">
        <v>2.6</v>
      </c>
      <c r="AA41" s="106" t="n">
        <v>4.5</v>
      </c>
      <c r="AB41" s="106" t="n">
        <v>1.2</v>
      </c>
      <c r="AC41" s="106" t="n">
        <v>4.6</v>
      </c>
      <c r="AD41" s="106" t="n">
        <v>96</v>
      </c>
      <c r="AE41" s="106" t="n">
        <v>0.5</v>
      </c>
      <c r="AF41" s="106" t="n">
        <v>3.6</v>
      </c>
      <c r="AG41" s="106" t="n">
        <v>1.2</v>
      </c>
      <c r="AH41" s="106" t="n">
        <v>6.2</v>
      </c>
      <c r="AI41" s="106" t="n">
        <v>0.3</v>
      </c>
      <c r="AJ41" s="106" t="n">
        <v>28</v>
      </c>
      <c r="AK41" s="106"/>
      <c r="AL41" s="106" t="n">
        <v>4</v>
      </c>
      <c r="AM41" s="106" t="n">
        <v>37</v>
      </c>
      <c r="AN41" s="106" t="n">
        <v>30</v>
      </c>
      <c r="AO41" s="106" t="n">
        <v>48</v>
      </c>
    </row>
    <row r="42" customFormat="false" ht="16.4" hidden="false" customHeight="false" outlineLevel="0" collapsed="false">
      <c r="B42" s="107" t="n">
        <v>40</v>
      </c>
      <c r="C42" s="108" t="s">
        <v>341</v>
      </c>
      <c r="D42" s="109" t="n">
        <v>100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09" t="n">
        <v>0</v>
      </c>
      <c r="M42" s="109" t="n">
        <v>0</v>
      </c>
      <c r="N42" s="109" t="n">
        <v>0</v>
      </c>
      <c r="O42" s="109" t="n">
        <v>1000</v>
      </c>
      <c r="P42" s="109" t="n">
        <v>0</v>
      </c>
      <c r="Q42" s="109" t="n">
        <v>0</v>
      </c>
      <c r="R42" s="109" t="n">
        <v>0</v>
      </c>
      <c r="S42" s="109" t="n">
        <v>0</v>
      </c>
      <c r="T42" s="109" t="n">
        <v>0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B42" s="109" t="n">
        <v>0</v>
      </c>
      <c r="AC42" s="109" t="n">
        <v>0</v>
      </c>
      <c r="AD42" s="109" t="n">
        <v>0</v>
      </c>
      <c r="AE42" s="109" t="n">
        <v>0</v>
      </c>
      <c r="AF42" s="109" t="n">
        <v>0</v>
      </c>
      <c r="AG42" s="109" t="n">
        <v>0</v>
      </c>
      <c r="AH42" s="109" t="n">
        <v>0</v>
      </c>
      <c r="AI42" s="109" t="n">
        <v>393</v>
      </c>
      <c r="AJ42" s="109" t="n">
        <v>0</v>
      </c>
      <c r="AK42" s="109" t="n">
        <v>0</v>
      </c>
      <c r="AL42" s="109" t="n">
        <v>0</v>
      </c>
      <c r="AM42" s="109" t="n">
        <v>0</v>
      </c>
      <c r="AN42" s="109" t="n">
        <v>0</v>
      </c>
      <c r="AO42" s="109" t="n">
        <v>0</v>
      </c>
    </row>
    <row r="43" customFormat="false" ht="16.4" hidden="false" customHeight="false" outlineLevel="0" collapsed="false">
      <c r="B43" s="104" t="n">
        <v>41</v>
      </c>
      <c r="C43" s="105" t="s">
        <v>342</v>
      </c>
      <c r="D43" s="106" t="n">
        <v>95</v>
      </c>
      <c r="E43" s="106" t="n">
        <v>12</v>
      </c>
      <c r="F43" s="106" t="n">
        <v>11.9</v>
      </c>
      <c r="G43" s="106" t="n">
        <v>16</v>
      </c>
      <c r="H43" s="106" t="n">
        <v>360</v>
      </c>
      <c r="I43" s="106" t="n">
        <v>17</v>
      </c>
      <c r="J43" s="106" t="n">
        <v>0</v>
      </c>
      <c r="K43" s="106" t="n">
        <v>0</v>
      </c>
      <c r="L43" s="106" t="n">
        <v>0</v>
      </c>
      <c r="M43" s="106" t="n">
        <v>0</v>
      </c>
      <c r="N43" s="106" t="n">
        <v>505</v>
      </c>
      <c r="O43" s="106" t="n">
        <v>86</v>
      </c>
      <c r="P43" s="106" t="n">
        <v>28.3</v>
      </c>
      <c r="Q43" s="106" t="n">
        <v>15.7</v>
      </c>
      <c r="R43" s="106" t="n">
        <v>10.2</v>
      </c>
      <c r="S43" s="106" t="n">
        <v>2.8</v>
      </c>
      <c r="T43" s="106" t="n">
        <v>13.1</v>
      </c>
      <c r="U43" s="106" t="n">
        <v>4.7</v>
      </c>
      <c r="V43" s="106" t="n">
        <v>22.2</v>
      </c>
      <c r="W43" s="106" t="n">
        <v>27.5</v>
      </c>
      <c r="X43" s="106" t="n">
        <v>14.3</v>
      </c>
      <c r="Y43" s="106" t="n">
        <v>9.9</v>
      </c>
      <c r="Z43" s="106" t="n">
        <v>2.4</v>
      </c>
      <c r="AA43" s="106" t="n">
        <v>12.3</v>
      </c>
      <c r="AB43" s="106" t="n">
        <v>3.6</v>
      </c>
      <c r="AC43" s="106" t="n">
        <v>19.8</v>
      </c>
      <c r="AD43" s="106" t="n">
        <v>320</v>
      </c>
      <c r="AE43" s="106" t="n">
        <v>13.7</v>
      </c>
      <c r="AF43" s="106" t="n">
        <v>10.2</v>
      </c>
      <c r="AG43" s="106" t="n">
        <v>1.2</v>
      </c>
      <c r="AH43" s="106" t="n">
        <v>14</v>
      </c>
      <c r="AI43" s="106" t="n">
        <v>5.6</v>
      </c>
      <c r="AJ43" s="106" t="n">
        <v>2</v>
      </c>
      <c r="AK43" s="106" t="n">
        <v>0.1</v>
      </c>
      <c r="AL43" s="106" t="n">
        <v>3</v>
      </c>
      <c r="AM43" s="106" t="n">
        <v>44</v>
      </c>
      <c r="AN43" s="106" t="n">
        <v>90</v>
      </c>
      <c r="AO43" s="106" t="n">
        <v>90</v>
      </c>
    </row>
    <row r="44" customFormat="false" ht="16.4" hidden="false" customHeight="false" outlineLevel="0" collapsed="false">
      <c r="B44" s="107" t="n">
        <v>42</v>
      </c>
      <c r="C44" s="108" t="s">
        <v>343</v>
      </c>
      <c r="D44" s="109" t="n">
        <v>88</v>
      </c>
      <c r="E44" s="109" t="n">
        <v>9.2</v>
      </c>
      <c r="F44" s="109" t="n">
        <v>9.9</v>
      </c>
      <c r="G44" s="109" t="n">
        <v>14.5</v>
      </c>
      <c r="H44" s="109" t="n">
        <v>494</v>
      </c>
      <c r="I44" s="109" t="n">
        <v>19</v>
      </c>
      <c r="J44" s="109" t="n">
        <v>70</v>
      </c>
      <c r="K44" s="109" t="n">
        <v>142</v>
      </c>
      <c r="L44" s="109" t="n">
        <v>85</v>
      </c>
      <c r="M44" s="109" t="n">
        <v>0</v>
      </c>
      <c r="N44" s="109" t="n">
        <v>97</v>
      </c>
      <c r="O44" s="109" t="n">
        <v>74</v>
      </c>
      <c r="P44" s="109" t="n">
        <v>30.3</v>
      </c>
      <c r="Q44" s="109" t="n">
        <v>19.3</v>
      </c>
      <c r="R44" s="109" t="n">
        <v>7.1</v>
      </c>
      <c r="S44" s="109" t="n">
        <v>7.4</v>
      </c>
      <c r="T44" s="109" t="n">
        <v>14.4</v>
      </c>
      <c r="U44" s="109" t="n">
        <v>6.4</v>
      </c>
      <c r="V44" s="109" t="n">
        <v>23.8</v>
      </c>
      <c r="W44" s="109" t="n">
        <v>27.3</v>
      </c>
      <c r="X44" s="109" t="n">
        <v>16.6</v>
      </c>
      <c r="Y44" s="109" t="n">
        <v>6.5</v>
      </c>
      <c r="Z44" s="109" t="n">
        <v>6.4</v>
      </c>
      <c r="AA44" s="109" t="n">
        <v>12.8</v>
      </c>
      <c r="AB44" s="109" t="n">
        <v>5.7</v>
      </c>
      <c r="AC44" s="109" t="n">
        <v>20.9</v>
      </c>
      <c r="AD44" s="109" t="n">
        <v>430</v>
      </c>
      <c r="AE44" s="109" t="n">
        <v>3.9</v>
      </c>
      <c r="AF44" s="109" t="n">
        <v>7.1</v>
      </c>
      <c r="AG44" s="109" t="n">
        <v>3.3</v>
      </c>
      <c r="AH44" s="109" t="n">
        <v>24</v>
      </c>
      <c r="AI44" s="109" t="n">
        <v>0.05</v>
      </c>
      <c r="AJ44" s="109" t="n">
        <v>40</v>
      </c>
      <c r="AK44" s="109"/>
      <c r="AL44" s="109"/>
      <c r="AM44" s="109"/>
      <c r="AN44" s="109" t="n">
        <v>20</v>
      </c>
      <c r="AO44" s="109" t="n">
        <v>20</v>
      </c>
    </row>
    <row r="45" customFormat="false" ht="16.4" hidden="false" customHeight="false" outlineLevel="0" collapsed="false">
      <c r="A45" s="1" t="s">
        <v>51</v>
      </c>
      <c r="B45" s="104" t="n">
        <v>43</v>
      </c>
      <c r="C45" s="105" t="s">
        <v>344</v>
      </c>
      <c r="D45" s="106" t="n">
        <v>88</v>
      </c>
      <c r="E45" s="106" t="n">
        <v>9.3</v>
      </c>
      <c r="F45" s="106" t="n">
        <v>9.9</v>
      </c>
      <c r="G45" s="106" t="n">
        <v>14.6</v>
      </c>
      <c r="H45" s="106" t="n">
        <v>516</v>
      </c>
      <c r="I45" s="106" t="n">
        <v>21</v>
      </c>
      <c r="J45" s="106" t="n">
        <v>68</v>
      </c>
      <c r="K45" s="106" t="n">
        <v>139</v>
      </c>
      <c r="L45" s="106" t="n">
        <v>83</v>
      </c>
      <c r="M45" s="106" t="n">
        <v>0</v>
      </c>
      <c r="N45" s="106" t="n">
        <v>94</v>
      </c>
      <c r="O45" s="106" t="n">
        <v>73</v>
      </c>
      <c r="P45" s="106" t="n">
        <v>31.6</v>
      </c>
      <c r="Q45" s="106" t="n">
        <v>20.1</v>
      </c>
      <c r="R45" s="106" t="n">
        <v>7.3</v>
      </c>
      <c r="S45" s="106" t="n">
        <v>7.6</v>
      </c>
      <c r="T45" s="106" t="n">
        <v>14.9</v>
      </c>
      <c r="U45" s="106" t="n">
        <v>6.7</v>
      </c>
      <c r="V45" s="106" t="n">
        <v>24.9</v>
      </c>
      <c r="W45" s="106" t="n">
        <v>28.4</v>
      </c>
      <c r="X45" s="106" t="n">
        <v>17.5</v>
      </c>
      <c r="Y45" s="106" t="n">
        <v>6.7</v>
      </c>
      <c r="Z45" s="106" t="n">
        <v>6.5</v>
      </c>
      <c r="AA45" s="106" t="n">
        <v>13.3</v>
      </c>
      <c r="AB45" s="106" t="n">
        <v>6</v>
      </c>
      <c r="AC45" s="106" t="n">
        <v>21.9</v>
      </c>
      <c r="AD45" s="106" t="n">
        <v>454</v>
      </c>
      <c r="AE45" s="106" t="n">
        <v>3.9</v>
      </c>
      <c r="AF45" s="106" t="n">
        <v>7.1</v>
      </c>
      <c r="AG45" s="106" t="n">
        <v>3.3</v>
      </c>
      <c r="AH45" s="106" t="n">
        <v>24</v>
      </c>
      <c r="AI45" s="106" t="n">
        <v>0.3</v>
      </c>
      <c r="AJ45" s="106" t="n">
        <v>43</v>
      </c>
      <c r="AK45" s="106" t="n">
        <v>0.22</v>
      </c>
      <c r="AL45" s="106" t="n">
        <v>21</v>
      </c>
      <c r="AM45" s="106" t="n">
        <v>53</v>
      </c>
      <c r="AN45" s="106" t="n">
        <v>32</v>
      </c>
      <c r="AO45" s="106" t="n">
        <v>32</v>
      </c>
    </row>
    <row r="46" customFormat="false" ht="16.4" hidden="false" customHeight="false" outlineLevel="0" collapsed="false">
      <c r="B46" s="107" t="n">
        <v>44</v>
      </c>
      <c r="C46" s="108" t="s">
        <v>345</v>
      </c>
      <c r="D46" s="109" t="n">
        <v>88</v>
      </c>
      <c r="E46" s="109" t="n">
        <v>9.6</v>
      </c>
      <c r="F46" s="109" t="n">
        <v>10.1</v>
      </c>
      <c r="G46" s="109" t="n">
        <v>14.7</v>
      </c>
      <c r="H46" s="109" t="n">
        <v>539</v>
      </c>
      <c r="I46" s="109" t="n">
        <v>17</v>
      </c>
      <c r="J46" s="109" t="n">
        <v>44</v>
      </c>
      <c r="K46" s="109" t="n">
        <v>102</v>
      </c>
      <c r="L46" s="109" t="n">
        <v>55</v>
      </c>
      <c r="M46" s="109" t="n">
        <v>0</v>
      </c>
      <c r="N46" s="109" t="n">
        <v>105</v>
      </c>
      <c r="O46" s="109" t="n">
        <v>72</v>
      </c>
      <c r="P46" s="109" t="n">
        <v>32.9</v>
      </c>
      <c r="Q46" s="109" t="n">
        <v>20.9</v>
      </c>
      <c r="R46" s="109" t="n">
        <v>7.5</v>
      </c>
      <c r="S46" s="109" t="n">
        <v>7.8</v>
      </c>
      <c r="T46" s="109" t="n">
        <v>15.4</v>
      </c>
      <c r="U46" s="109" t="n">
        <v>7</v>
      </c>
      <c r="V46" s="109" t="n">
        <v>26</v>
      </c>
      <c r="W46" s="109" t="n">
        <v>30.3</v>
      </c>
      <c r="X46" s="109" t="n">
        <v>18.6</v>
      </c>
      <c r="Y46" s="109" t="n">
        <v>7</v>
      </c>
      <c r="Z46" s="109" t="n">
        <v>6.9</v>
      </c>
      <c r="AA46" s="109" t="n">
        <v>14</v>
      </c>
      <c r="AB46" s="109" t="n">
        <v>6.4</v>
      </c>
      <c r="AC46" s="109" t="n">
        <v>23.4</v>
      </c>
      <c r="AD46" s="109" t="n">
        <v>485</v>
      </c>
      <c r="AE46" s="109" t="n">
        <v>4</v>
      </c>
      <c r="AF46" s="109" t="n">
        <v>7.7</v>
      </c>
      <c r="AG46" s="109" t="n">
        <v>3.6</v>
      </c>
      <c r="AH46" s="109" t="n">
        <v>25</v>
      </c>
      <c r="AI46" s="109" t="n">
        <v>0.5</v>
      </c>
      <c r="AJ46" s="109" t="n">
        <v>54</v>
      </c>
      <c r="AK46" s="109" t="n">
        <v>0.19</v>
      </c>
      <c r="AL46" s="109" t="n">
        <v>18</v>
      </c>
      <c r="AM46" s="109" t="n">
        <v>55</v>
      </c>
      <c r="AN46" s="109" t="n">
        <v>32</v>
      </c>
      <c r="AO46" s="109" t="n">
        <v>32</v>
      </c>
    </row>
    <row r="47" customFormat="false" ht="16.4" hidden="false" customHeight="false" outlineLevel="0" collapsed="false">
      <c r="A47" s="1" t="s">
        <v>52</v>
      </c>
      <c r="B47" s="104" t="n">
        <v>45</v>
      </c>
      <c r="C47" s="105" t="s">
        <v>346</v>
      </c>
      <c r="D47" s="106" t="n">
        <v>87</v>
      </c>
      <c r="E47" s="106" t="n">
        <v>9.7</v>
      </c>
      <c r="F47" s="106" t="n">
        <v>10.3</v>
      </c>
      <c r="G47" s="106" t="n">
        <v>14.8</v>
      </c>
      <c r="H47" s="106" t="n">
        <v>609</v>
      </c>
      <c r="I47" s="106" t="n">
        <v>27</v>
      </c>
      <c r="J47" s="106" t="n">
        <v>38</v>
      </c>
      <c r="K47" s="106" t="n">
        <v>102</v>
      </c>
      <c r="L47" s="106" t="n">
        <v>55</v>
      </c>
      <c r="M47" s="106" t="n">
        <v>0</v>
      </c>
      <c r="N47" s="106" t="n">
        <v>105</v>
      </c>
      <c r="O47" s="106" t="n">
        <v>74</v>
      </c>
      <c r="P47" s="106" t="n">
        <v>37.2</v>
      </c>
      <c r="Q47" s="106" t="n">
        <v>23.6</v>
      </c>
      <c r="R47" s="106" t="n">
        <v>8.5</v>
      </c>
      <c r="S47" s="106" t="n">
        <v>8.8</v>
      </c>
      <c r="T47" s="106" t="n">
        <v>17.4</v>
      </c>
      <c r="U47" s="106" t="n">
        <v>7.9</v>
      </c>
      <c r="V47" s="106" t="n">
        <v>29.4</v>
      </c>
      <c r="W47" s="106" t="n">
        <v>34.2</v>
      </c>
      <c r="X47" s="106" t="n">
        <v>21</v>
      </c>
      <c r="Y47" s="106" t="n">
        <v>7.9</v>
      </c>
      <c r="Z47" s="106" t="n">
        <v>7.8</v>
      </c>
      <c r="AA47" s="106" t="n">
        <v>15.8</v>
      </c>
      <c r="AB47" s="106" t="n">
        <v>7.2</v>
      </c>
      <c r="AC47" s="106" t="n">
        <v>26.4</v>
      </c>
      <c r="AD47" s="106" t="n">
        <v>548</v>
      </c>
      <c r="AE47" s="106" t="n">
        <v>2.7</v>
      </c>
      <c r="AF47" s="106" t="n">
        <v>8.7</v>
      </c>
      <c r="AG47" s="106" t="n">
        <v>3.8</v>
      </c>
      <c r="AH47" s="106" t="n">
        <v>25</v>
      </c>
      <c r="AI47" s="106" t="n">
        <v>0.4</v>
      </c>
      <c r="AJ47" s="106" t="n">
        <v>54</v>
      </c>
      <c r="AK47" s="106"/>
      <c r="AL47" s="106" t="n">
        <v>26</v>
      </c>
      <c r="AM47" s="106" t="n">
        <v>65</v>
      </c>
      <c r="AN47" s="106" t="n">
        <v>32</v>
      </c>
      <c r="AO47" s="106" t="n">
        <v>32</v>
      </c>
    </row>
    <row r="48" customFormat="false" ht="16.4" hidden="false" customHeight="false" outlineLevel="0" collapsed="false">
      <c r="A48" s="1" t="s">
        <v>55</v>
      </c>
      <c r="B48" s="107" t="n">
        <v>46</v>
      </c>
      <c r="C48" s="108" t="s">
        <v>347</v>
      </c>
      <c r="D48" s="109" t="n">
        <v>90</v>
      </c>
      <c r="E48" s="109" t="n">
        <v>5.9</v>
      </c>
      <c r="F48" s="109" t="n">
        <v>6.5</v>
      </c>
      <c r="G48" s="109" t="n">
        <v>9.4</v>
      </c>
      <c r="H48" s="109" t="n">
        <v>373</v>
      </c>
      <c r="I48" s="109" t="n">
        <v>19</v>
      </c>
      <c r="J48" s="109" t="n">
        <v>236</v>
      </c>
      <c r="K48" s="109" t="n">
        <v>400</v>
      </c>
      <c r="L48" s="109" t="n">
        <v>276</v>
      </c>
      <c r="M48" s="109" t="n">
        <v>0</v>
      </c>
      <c r="N48" s="109" t="n">
        <v>63</v>
      </c>
      <c r="O48" s="109" t="n">
        <v>75</v>
      </c>
      <c r="P48" s="109" t="n">
        <v>13.2</v>
      </c>
      <c r="Q48" s="109" t="n">
        <v>13.4</v>
      </c>
      <c r="R48" s="109" t="n">
        <v>8.5</v>
      </c>
      <c r="S48" s="109" t="n">
        <v>6.4</v>
      </c>
      <c r="T48" s="109" t="n">
        <v>14.9</v>
      </c>
      <c r="U48" s="109" t="n">
        <v>4.6</v>
      </c>
      <c r="V48" s="109" t="n">
        <v>18.3</v>
      </c>
      <c r="W48" s="109" t="n">
        <v>10.8</v>
      </c>
      <c r="X48" s="109" t="n">
        <v>10.9</v>
      </c>
      <c r="Y48" s="109" t="n">
        <v>7.8</v>
      </c>
      <c r="Z48" s="109" t="n">
        <v>5.2</v>
      </c>
      <c r="AA48" s="109" t="n">
        <v>13.1</v>
      </c>
      <c r="AB48" s="109" t="n">
        <v>3.9</v>
      </c>
      <c r="AC48" s="109" t="n">
        <v>15.2</v>
      </c>
      <c r="AD48" s="109" t="n">
        <v>306</v>
      </c>
      <c r="AE48" s="109" t="n">
        <v>4.1</v>
      </c>
      <c r="AF48" s="109" t="n">
        <v>12.6</v>
      </c>
      <c r="AG48" s="109" t="n">
        <v>6.7</v>
      </c>
      <c r="AH48" s="109" t="n">
        <v>17</v>
      </c>
      <c r="AI48" s="109" t="n">
        <v>0.3</v>
      </c>
      <c r="AJ48" s="109" t="n">
        <v>47</v>
      </c>
      <c r="AK48" s="109" t="n">
        <v>0.15</v>
      </c>
      <c r="AL48" s="109" t="n">
        <v>36</v>
      </c>
      <c r="AM48" s="109" t="n">
        <v>110</v>
      </c>
      <c r="AN48" s="109" t="n">
        <v>19</v>
      </c>
      <c r="AO48" s="109" t="n">
        <v>19</v>
      </c>
    </row>
    <row r="49" customFormat="false" ht="16.4" hidden="false" customHeight="false" outlineLevel="0" collapsed="false">
      <c r="B49" s="104" t="n">
        <v>47</v>
      </c>
      <c r="C49" s="105" t="s">
        <v>348</v>
      </c>
      <c r="D49" s="106" t="n">
        <v>87</v>
      </c>
      <c r="E49" s="106" t="n">
        <v>12.7</v>
      </c>
      <c r="F49" s="106" t="n">
        <v>12.8</v>
      </c>
      <c r="G49" s="106" t="n">
        <v>15.3</v>
      </c>
      <c r="H49" s="106" t="n">
        <v>109</v>
      </c>
      <c r="I49" s="106" t="n">
        <v>34</v>
      </c>
      <c r="J49" s="106" t="n">
        <v>27</v>
      </c>
      <c r="K49" s="106" t="n">
        <v>108</v>
      </c>
      <c r="L49" s="106" t="n">
        <v>43</v>
      </c>
      <c r="M49" s="106" t="n">
        <v>741</v>
      </c>
      <c r="N49" s="106" t="n">
        <v>12</v>
      </c>
      <c r="O49" s="106" t="n">
        <v>17</v>
      </c>
      <c r="P49" s="106" t="n">
        <v>2.5</v>
      </c>
      <c r="Q49" s="106" t="n">
        <v>3.6</v>
      </c>
      <c r="R49" s="106" t="n">
        <v>1.8</v>
      </c>
      <c r="S49" s="106" t="n">
        <v>2</v>
      </c>
      <c r="T49" s="106" t="n">
        <v>3.8</v>
      </c>
      <c r="U49" s="106" t="n">
        <v>1.1</v>
      </c>
      <c r="V49" s="106" t="n">
        <v>5.9</v>
      </c>
      <c r="W49" s="106" t="n">
        <v>1.9</v>
      </c>
      <c r="X49" s="106" t="n">
        <v>2.7</v>
      </c>
      <c r="Y49" s="106" t="n">
        <v>1.5</v>
      </c>
      <c r="Z49" s="106" t="n">
        <v>1.5</v>
      </c>
      <c r="AA49" s="106" t="n">
        <v>3.1</v>
      </c>
      <c r="AB49" s="106" t="n">
        <v>0.9</v>
      </c>
      <c r="AC49" s="106" t="n">
        <v>4.8</v>
      </c>
      <c r="AD49" s="106" t="n">
        <v>86</v>
      </c>
      <c r="AE49" s="106" t="n">
        <v>0.3</v>
      </c>
      <c r="AF49" s="106" t="n">
        <v>2.9</v>
      </c>
      <c r="AG49" s="106" t="n">
        <v>1.4</v>
      </c>
      <c r="AH49" s="106" t="n">
        <v>3.5</v>
      </c>
      <c r="AI49" s="106" t="n">
        <v>0.1</v>
      </c>
      <c r="AJ49" s="106" t="n">
        <v>16</v>
      </c>
      <c r="AK49" s="106" t="n">
        <v>0.12</v>
      </c>
      <c r="AL49" s="106" t="n">
        <v>7</v>
      </c>
      <c r="AM49" s="106" t="n">
        <v>20</v>
      </c>
      <c r="AN49" s="106" t="n">
        <v>25</v>
      </c>
      <c r="AO49" s="106" t="n">
        <v>25</v>
      </c>
    </row>
    <row r="50" customFormat="false" ht="16.4" hidden="false" customHeight="false" outlineLevel="0" collapsed="false">
      <c r="B50" s="107" t="n">
        <v>48</v>
      </c>
      <c r="C50" s="108" t="s">
        <v>349</v>
      </c>
      <c r="D50" s="109" t="n">
        <v>99</v>
      </c>
      <c r="E50" s="109" t="n">
        <v>12.3</v>
      </c>
      <c r="F50" s="109" t="n">
        <v>12.3</v>
      </c>
      <c r="G50" s="109" t="n">
        <v>15.5</v>
      </c>
      <c r="H50" s="109" t="n">
        <v>735</v>
      </c>
      <c r="I50" s="109" t="n">
        <v>0</v>
      </c>
      <c r="J50" s="109" t="n">
        <v>0</v>
      </c>
      <c r="K50" s="109" t="n">
        <v>0</v>
      </c>
      <c r="L50" s="109" t="n">
        <v>0</v>
      </c>
      <c r="M50" s="109" t="n">
        <v>0</v>
      </c>
      <c r="N50" s="109" t="n">
        <v>0</v>
      </c>
      <c r="O50" s="109" t="n">
        <v>0</v>
      </c>
      <c r="P50" s="109" t="n">
        <v>0</v>
      </c>
      <c r="Q50" s="109" t="n">
        <v>995</v>
      </c>
      <c r="R50" s="109" t="n">
        <v>0</v>
      </c>
      <c r="S50" s="109" t="n">
        <v>0</v>
      </c>
      <c r="T50" s="109" t="n">
        <v>0</v>
      </c>
      <c r="U50" s="109" t="n">
        <v>0</v>
      </c>
      <c r="V50" s="109" t="n">
        <v>0</v>
      </c>
      <c r="W50" s="109" t="n">
        <v>0</v>
      </c>
      <c r="X50" s="109" t="n">
        <v>995</v>
      </c>
      <c r="Y50" s="109" t="n">
        <v>0</v>
      </c>
      <c r="Z50" s="109" t="n">
        <v>0</v>
      </c>
      <c r="AA50" s="109" t="n">
        <v>0</v>
      </c>
      <c r="AB50" s="109" t="n">
        <v>0</v>
      </c>
      <c r="AC50" s="109" t="n">
        <v>0</v>
      </c>
      <c r="AD50" s="109" t="n">
        <v>735</v>
      </c>
      <c r="AE50" s="109" t="n">
        <v>0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K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</row>
    <row r="51" customFormat="false" ht="16.4" hidden="false" customHeight="false" outlineLevel="0" collapsed="false">
      <c r="B51" s="104" t="n">
        <v>49</v>
      </c>
      <c r="C51" s="105" t="s">
        <v>350</v>
      </c>
      <c r="D51" s="106" t="n">
        <v>99</v>
      </c>
      <c r="E51" s="106" t="n">
        <v>20.1</v>
      </c>
      <c r="F51" s="106" t="n">
        <v>20.1</v>
      </c>
      <c r="G51" s="106"/>
      <c r="H51" s="106" t="n">
        <v>857</v>
      </c>
      <c r="I51" s="106" t="n">
        <v>0</v>
      </c>
      <c r="J51" s="106" t="n">
        <v>0</v>
      </c>
      <c r="K51" s="106" t="n">
        <v>0</v>
      </c>
      <c r="L51" s="106" t="n">
        <v>0</v>
      </c>
      <c r="M51" s="106" t="n">
        <v>0</v>
      </c>
      <c r="N51" s="106" t="n">
        <v>0</v>
      </c>
      <c r="O51" s="106" t="n">
        <v>0</v>
      </c>
      <c r="P51" s="106" t="n">
        <v>0</v>
      </c>
      <c r="Q51" s="106" t="n">
        <v>0</v>
      </c>
      <c r="R51" s="106" t="n">
        <v>0</v>
      </c>
      <c r="S51" s="106" t="n">
        <v>0</v>
      </c>
      <c r="T51" s="106" t="n">
        <v>0</v>
      </c>
      <c r="U51" s="106" t="n">
        <v>990</v>
      </c>
      <c r="V51" s="106" t="n">
        <v>0</v>
      </c>
      <c r="W51" s="106" t="n">
        <v>0</v>
      </c>
      <c r="X51" s="106" t="n">
        <v>0</v>
      </c>
      <c r="Y51" s="106" t="n">
        <v>0</v>
      </c>
      <c r="Z51" s="106" t="n">
        <v>0</v>
      </c>
      <c r="AA51" s="106" t="n">
        <v>0</v>
      </c>
      <c r="AB51" s="106" t="n">
        <v>990</v>
      </c>
      <c r="AC51" s="106" t="n">
        <v>0</v>
      </c>
      <c r="AD51" s="106" t="n">
        <v>857</v>
      </c>
      <c r="AE51" s="106" t="n">
        <v>0</v>
      </c>
      <c r="AF51" s="106" t="n">
        <v>0</v>
      </c>
      <c r="AG51" s="106" t="n">
        <v>0</v>
      </c>
      <c r="AH51" s="106" t="n">
        <v>0</v>
      </c>
      <c r="AI51" s="106" t="n">
        <v>0</v>
      </c>
      <c r="AJ51" s="106" t="n">
        <v>0</v>
      </c>
      <c r="AK51" s="106" t="n">
        <v>0</v>
      </c>
      <c r="AL51" s="106" t="n">
        <v>0</v>
      </c>
      <c r="AM51" s="106" t="n">
        <v>0</v>
      </c>
      <c r="AN51" s="106" t="n">
        <v>0</v>
      </c>
      <c r="AO51" s="106" t="n">
        <v>0</v>
      </c>
    </row>
    <row r="52" customFormat="false" ht="16.4" hidden="false" customHeight="false" outlineLevel="0" collapsed="false">
      <c r="A52" s="1" t="s">
        <v>72</v>
      </c>
      <c r="B52" s="107" t="n">
        <v>50</v>
      </c>
      <c r="C52" s="108" t="s">
        <v>351</v>
      </c>
      <c r="D52" s="109" t="n">
        <v>5.5</v>
      </c>
      <c r="E52" s="109" t="n">
        <v>12.4</v>
      </c>
      <c r="F52" s="109" t="n">
        <v>12.2</v>
      </c>
      <c r="G52" s="109" t="n">
        <v>15.6</v>
      </c>
      <c r="H52" s="109" t="n">
        <v>115</v>
      </c>
      <c r="I52" s="109" t="n">
        <v>19</v>
      </c>
      <c r="J52" s="109" t="n">
        <v>0</v>
      </c>
      <c r="K52" s="109" t="n">
        <v>0</v>
      </c>
      <c r="L52" s="109" t="n">
        <v>0</v>
      </c>
      <c r="M52" s="109" t="n">
        <v>0</v>
      </c>
      <c r="N52" s="109" t="n">
        <v>768</v>
      </c>
      <c r="O52" s="109" t="n">
        <v>86</v>
      </c>
      <c r="P52" s="109" t="n">
        <v>8.5</v>
      </c>
      <c r="Q52" s="109" t="n">
        <v>6.6</v>
      </c>
      <c r="R52" s="109" t="n">
        <v>1.8</v>
      </c>
      <c r="S52" s="109" t="n">
        <v>2</v>
      </c>
      <c r="T52" s="109" t="n">
        <v>3.8</v>
      </c>
      <c r="U52" s="109" t="n">
        <v>1.5</v>
      </c>
      <c r="V52" s="109" t="n">
        <v>5.9</v>
      </c>
      <c r="W52" s="109" t="n">
        <v>7.6</v>
      </c>
      <c r="X52" s="109" t="n">
        <v>5.6</v>
      </c>
      <c r="Y52" s="109" t="n">
        <v>1.7</v>
      </c>
      <c r="Z52" s="109" t="n">
        <v>1.8</v>
      </c>
      <c r="AA52" s="109" t="n">
        <v>3.4</v>
      </c>
      <c r="AB52" s="109" t="n">
        <v>1.3</v>
      </c>
      <c r="AC52" s="109" t="n">
        <v>5.1</v>
      </c>
      <c r="AD52" s="109" t="n">
        <v>93</v>
      </c>
      <c r="AE52" s="109" t="n">
        <v>8.7</v>
      </c>
      <c r="AF52" s="109" t="n">
        <v>7.3</v>
      </c>
      <c r="AG52" s="109" t="n">
        <v>1.3</v>
      </c>
      <c r="AH52" s="109" t="n">
        <v>23.1</v>
      </c>
      <c r="AI52" s="109" t="n">
        <v>7.7</v>
      </c>
      <c r="AJ52" s="109" t="n">
        <v>3</v>
      </c>
      <c r="AK52" s="109" t="n">
        <v>0.05</v>
      </c>
      <c r="AL52" s="109" t="n">
        <v>22</v>
      </c>
      <c r="AM52" s="109" t="n">
        <v>17</v>
      </c>
      <c r="AN52" s="109" t="n">
        <v>90</v>
      </c>
      <c r="AO52" s="109" t="n">
        <v>90</v>
      </c>
    </row>
    <row r="53" customFormat="false" ht="16.4" hidden="false" customHeight="false" outlineLevel="0" collapsed="false">
      <c r="B53" s="104" t="n">
        <v>51</v>
      </c>
      <c r="C53" s="105" t="s">
        <v>352</v>
      </c>
      <c r="D53" s="106" t="n">
        <v>98</v>
      </c>
      <c r="E53" s="106" t="n">
        <v>11.6</v>
      </c>
      <c r="F53" s="106" t="n">
        <v>11.5</v>
      </c>
      <c r="G53" s="106" t="n">
        <v>15</v>
      </c>
      <c r="H53" s="106" t="n">
        <v>99</v>
      </c>
      <c r="I53" s="106" t="n">
        <v>22</v>
      </c>
      <c r="J53" s="106" t="n">
        <v>0</v>
      </c>
      <c r="K53" s="106" t="n">
        <v>0</v>
      </c>
      <c r="L53" s="106" t="n">
        <v>0</v>
      </c>
      <c r="M53" s="106" t="n">
        <v>0</v>
      </c>
      <c r="N53" s="106" t="n">
        <v>643</v>
      </c>
      <c r="O53" s="106" t="n">
        <v>120</v>
      </c>
      <c r="P53" s="106" t="n">
        <v>7.4</v>
      </c>
      <c r="Q53" s="106" t="n">
        <v>5.5</v>
      </c>
      <c r="R53" s="106" t="n">
        <v>1.5</v>
      </c>
      <c r="S53" s="106" t="n">
        <v>1.7</v>
      </c>
      <c r="T53" s="106" t="n">
        <v>3.2</v>
      </c>
      <c r="U53" s="106" t="n">
        <v>1.2</v>
      </c>
      <c r="V53" s="106" t="n">
        <v>4.9</v>
      </c>
      <c r="W53" s="106" t="n">
        <v>6.6</v>
      </c>
      <c r="X53" s="106" t="n">
        <v>4.7</v>
      </c>
      <c r="Y53" s="106" t="n">
        <v>1.4</v>
      </c>
      <c r="Z53" s="106" t="n">
        <v>1.5</v>
      </c>
      <c r="AA53" s="106" t="n">
        <v>2.9</v>
      </c>
      <c r="AB53" s="106" t="n">
        <v>1</v>
      </c>
      <c r="AC53" s="106" t="n">
        <v>4.3</v>
      </c>
      <c r="AD53" s="106" t="n">
        <v>80</v>
      </c>
      <c r="AE53" s="106" t="n">
        <v>17.2</v>
      </c>
      <c r="AF53" s="106" t="n">
        <v>10.3</v>
      </c>
      <c r="AG53" s="106" t="n">
        <v>1.5</v>
      </c>
      <c r="AH53" s="106" t="n">
        <v>21.4</v>
      </c>
      <c r="AI53" s="106" t="n">
        <v>7.1</v>
      </c>
      <c r="AJ53" s="106" t="n">
        <v>3</v>
      </c>
      <c r="AK53" s="106" t="n">
        <v>0.2</v>
      </c>
      <c r="AL53" s="106" t="n">
        <v>1.6</v>
      </c>
      <c r="AM53" s="106" t="n">
        <v>65</v>
      </c>
      <c r="AN53" s="106" t="n">
        <v>90</v>
      </c>
      <c r="AO53" s="106" t="n">
        <v>90</v>
      </c>
    </row>
    <row r="54" customFormat="false" ht="16.4" hidden="false" customHeight="false" outlineLevel="0" collapsed="false">
      <c r="A54" s="1" t="s">
        <v>73</v>
      </c>
      <c r="B54" s="107" t="n">
        <v>52</v>
      </c>
      <c r="C54" s="108" t="s">
        <v>353</v>
      </c>
      <c r="D54" s="109" t="n">
        <v>97</v>
      </c>
      <c r="E54" s="109" t="n">
        <v>12.4</v>
      </c>
      <c r="F54" s="109" t="n">
        <v>12.2</v>
      </c>
      <c r="G54" s="109" t="n">
        <v>14.9</v>
      </c>
      <c r="H54" s="109" t="n">
        <v>131</v>
      </c>
      <c r="I54" s="109" t="n">
        <v>22</v>
      </c>
      <c r="J54" s="109" t="n">
        <v>0</v>
      </c>
      <c r="K54" s="109" t="n">
        <v>0</v>
      </c>
      <c r="L54" s="109" t="n">
        <v>0</v>
      </c>
      <c r="M54" s="109" t="n">
        <v>0</v>
      </c>
      <c r="N54" s="109" t="n">
        <v>756</v>
      </c>
      <c r="O54" s="109" t="n">
        <v>90</v>
      </c>
      <c r="P54" s="109" t="n">
        <v>9.7</v>
      </c>
      <c r="Q54" s="109" t="n">
        <v>7.5</v>
      </c>
      <c r="R54" s="109" t="n">
        <v>2.1</v>
      </c>
      <c r="S54" s="109" t="n">
        <v>2.3</v>
      </c>
      <c r="T54" s="109" t="n">
        <v>4.3</v>
      </c>
      <c r="U54" s="109" t="n">
        <v>1.7</v>
      </c>
      <c r="V54" s="109" t="n">
        <v>6.7</v>
      </c>
      <c r="W54" s="109" t="n">
        <v>8.6</v>
      </c>
      <c r="X54" s="109" t="n">
        <v>6.4</v>
      </c>
      <c r="Y54" s="109" t="n">
        <v>1.9</v>
      </c>
      <c r="Z54" s="109" t="n">
        <v>2</v>
      </c>
      <c r="AA54" s="109" t="n">
        <v>3.9</v>
      </c>
      <c r="AB54" s="109" t="n">
        <v>1.5</v>
      </c>
      <c r="AC54" s="109" t="n">
        <v>5.8</v>
      </c>
      <c r="AD54" s="109" t="n">
        <v>106</v>
      </c>
      <c r="AE54" s="109" t="n">
        <v>8.5</v>
      </c>
      <c r="AF54" s="109" t="n">
        <v>7.2</v>
      </c>
      <c r="AG54" s="109" t="n">
        <v>1.5</v>
      </c>
      <c r="AH54" s="109" t="n">
        <v>21</v>
      </c>
      <c r="AI54" s="109" t="n">
        <v>6.6</v>
      </c>
      <c r="AJ54" s="109" t="n">
        <v>3.1</v>
      </c>
      <c r="AK54" s="109" t="n">
        <v>0.31</v>
      </c>
      <c r="AL54" s="109" t="n">
        <v>2</v>
      </c>
      <c r="AM54" s="109" t="n">
        <v>21</v>
      </c>
      <c r="AN54" s="109" t="n">
        <v>90</v>
      </c>
      <c r="AO54" s="109" t="n">
        <v>90</v>
      </c>
    </row>
    <row r="55" customFormat="false" ht="16.4" hidden="false" customHeight="false" outlineLevel="0" collapsed="false">
      <c r="A55" s="1" t="s">
        <v>35</v>
      </c>
      <c r="B55" s="104" t="n">
        <v>53</v>
      </c>
      <c r="C55" s="105" t="s">
        <v>354</v>
      </c>
      <c r="D55" s="106" t="n">
        <v>87</v>
      </c>
      <c r="E55" s="106" t="n">
        <v>12.1</v>
      </c>
      <c r="F55" s="106" t="n">
        <v>12.3</v>
      </c>
      <c r="G55" s="106" t="n">
        <v>15.2</v>
      </c>
      <c r="H55" s="106" t="n">
        <v>121</v>
      </c>
      <c r="I55" s="106" t="n">
        <v>17</v>
      </c>
      <c r="J55" s="106" t="n">
        <v>26</v>
      </c>
      <c r="K55" s="106" t="n">
        <v>143</v>
      </c>
      <c r="L55" s="106" t="n">
        <v>36</v>
      </c>
      <c r="M55" s="106" t="n">
        <v>698</v>
      </c>
      <c r="N55" s="106" t="n">
        <v>27</v>
      </c>
      <c r="O55" s="106" t="n">
        <v>18</v>
      </c>
      <c r="P55" s="106" t="n">
        <v>3.5</v>
      </c>
      <c r="Q55" s="106" t="n">
        <v>3.7</v>
      </c>
      <c r="R55" s="106" t="n">
        <v>2</v>
      </c>
      <c r="S55" s="106" t="n">
        <v>3</v>
      </c>
      <c r="T55" s="106" t="n">
        <v>5</v>
      </c>
      <c r="U55" s="106" t="n">
        <v>1.5</v>
      </c>
      <c r="V55" s="106" t="n">
        <v>5.4</v>
      </c>
      <c r="W55" s="106" t="n">
        <v>2.8</v>
      </c>
      <c r="X55" s="106" t="n">
        <v>3.1</v>
      </c>
      <c r="Y55" s="106" t="n">
        <v>1.8</v>
      </c>
      <c r="Z55" s="106" t="n">
        <v>2.7</v>
      </c>
      <c r="AA55" s="106" t="n">
        <v>4.5</v>
      </c>
      <c r="AB55" s="106" t="n">
        <v>1.3</v>
      </c>
      <c r="AC55" s="106" t="n">
        <v>4.6</v>
      </c>
      <c r="AD55" s="106" t="n">
        <v>107</v>
      </c>
      <c r="AE55" s="106" t="n">
        <v>0.5</v>
      </c>
      <c r="AF55" s="106" t="n">
        <v>3.2</v>
      </c>
      <c r="AG55" s="106" t="n">
        <v>1.2</v>
      </c>
      <c r="AH55" s="106" t="n">
        <v>5.8</v>
      </c>
      <c r="AI55" s="106" t="n">
        <v>0.4</v>
      </c>
      <c r="AJ55" s="106" t="n">
        <v>29</v>
      </c>
      <c r="AK55" s="106" t="n">
        <v>0.06</v>
      </c>
      <c r="AL55" s="106" t="n">
        <v>3.2</v>
      </c>
      <c r="AM55" s="106" t="n">
        <v>40</v>
      </c>
      <c r="AN55" s="106" t="n">
        <v>30</v>
      </c>
      <c r="AO55" s="106" t="n">
        <v>45</v>
      </c>
    </row>
    <row r="56" customFormat="false" ht="16.4" hidden="false" customHeight="false" outlineLevel="0" collapsed="false">
      <c r="A56" s="1" t="s">
        <v>61</v>
      </c>
      <c r="B56" s="107" t="n">
        <v>54</v>
      </c>
      <c r="C56" s="108" t="s">
        <v>355</v>
      </c>
      <c r="D56" s="109" t="n">
        <v>88</v>
      </c>
      <c r="E56" s="109" t="n">
        <v>8.7</v>
      </c>
      <c r="F56" s="109" t="n">
        <v>9.2</v>
      </c>
      <c r="G56" s="109" t="n">
        <v>13.9</v>
      </c>
      <c r="H56" s="109" t="n">
        <v>176</v>
      </c>
      <c r="I56" s="109" t="n">
        <v>40</v>
      </c>
      <c r="J56" s="109" t="n">
        <v>80</v>
      </c>
      <c r="K56" s="109" t="n">
        <v>356</v>
      </c>
      <c r="L56" s="109" t="n">
        <v>104</v>
      </c>
      <c r="M56" s="109" t="n">
        <v>314</v>
      </c>
      <c r="N56" s="109" t="n">
        <v>70</v>
      </c>
      <c r="O56" s="109" t="n">
        <v>49</v>
      </c>
      <c r="P56" s="109" t="n">
        <v>7</v>
      </c>
      <c r="Q56" s="109" t="n">
        <v>5.6</v>
      </c>
      <c r="R56" s="109" t="n">
        <v>2.7</v>
      </c>
      <c r="S56" s="109" t="n">
        <v>3.5</v>
      </c>
      <c r="T56" s="109" t="n">
        <v>6.2</v>
      </c>
      <c r="U56" s="109" t="n">
        <v>2.3</v>
      </c>
      <c r="V56" s="109" t="n">
        <v>7.9</v>
      </c>
      <c r="W56" s="109" t="n">
        <v>5.3</v>
      </c>
      <c r="X56" s="109" t="n">
        <v>4</v>
      </c>
      <c r="Y56" s="109" t="n">
        <v>2.2</v>
      </c>
      <c r="Z56" s="109" t="n">
        <v>2.7</v>
      </c>
      <c r="AA56" s="109" t="n">
        <v>4.9</v>
      </c>
      <c r="AB56" s="109" t="n">
        <v>1.8</v>
      </c>
      <c r="AC56" s="109" t="n">
        <v>6.2</v>
      </c>
      <c r="AD56" s="109" t="n">
        <v>133</v>
      </c>
      <c r="AE56" s="109" t="n">
        <v>0.9</v>
      </c>
      <c r="AF56" s="109" t="n">
        <v>11.9</v>
      </c>
      <c r="AG56" s="109" t="n">
        <v>4.2</v>
      </c>
      <c r="AH56" s="109" t="n">
        <v>13</v>
      </c>
      <c r="AI56" s="109" t="n">
        <v>0.3</v>
      </c>
      <c r="AJ56" s="109" t="n">
        <v>145</v>
      </c>
      <c r="AK56" s="109" t="n">
        <v>0.07</v>
      </c>
      <c r="AL56" s="109" t="n">
        <v>13</v>
      </c>
      <c r="AM56" s="109" t="n">
        <v>106</v>
      </c>
      <c r="AN56" s="109" t="n">
        <v>25</v>
      </c>
      <c r="AO56" s="109" t="n">
        <v>50</v>
      </c>
    </row>
    <row r="57" customFormat="false" ht="16.4" hidden="false" customHeight="false" outlineLevel="0" collapsed="false">
      <c r="A57" s="1" t="s">
        <v>59</v>
      </c>
      <c r="B57" s="104" t="n">
        <v>55</v>
      </c>
      <c r="C57" s="105" t="s">
        <v>356</v>
      </c>
      <c r="D57" s="106" t="n">
        <v>87</v>
      </c>
      <c r="E57" s="106" t="n">
        <v>7.2</v>
      </c>
      <c r="F57" s="106" t="n">
        <v>7.8</v>
      </c>
      <c r="G57" s="106" t="n">
        <v>11.1</v>
      </c>
      <c r="H57" s="106" t="n">
        <v>170</v>
      </c>
      <c r="I57" s="106" t="n">
        <v>40</v>
      </c>
      <c r="J57" s="106" t="n">
        <v>105</v>
      </c>
      <c r="K57" s="106" t="n">
        <v>455</v>
      </c>
      <c r="L57" s="106" t="n">
        <v>136</v>
      </c>
      <c r="M57" s="106" t="n">
        <v>227</v>
      </c>
      <c r="N57" s="106" t="n">
        <v>76</v>
      </c>
      <c r="O57" s="106" t="n">
        <v>58</v>
      </c>
      <c r="P57" s="106" t="n">
        <v>6.7</v>
      </c>
      <c r="Q57" s="106" t="n">
        <v>5.3</v>
      </c>
      <c r="R57" s="106" t="n">
        <v>2.6</v>
      </c>
      <c r="S57" s="106" t="n">
        <v>3.6</v>
      </c>
      <c r="T57" s="106" t="n">
        <v>6.2</v>
      </c>
      <c r="U57" s="106" t="n">
        <v>2.2</v>
      </c>
      <c r="V57" s="106" t="n">
        <v>7.6</v>
      </c>
      <c r="W57" s="106" t="n">
        <v>4.6</v>
      </c>
      <c r="X57" s="106" t="n">
        <v>3.4</v>
      </c>
      <c r="Y57" s="106" t="n">
        <v>2</v>
      </c>
      <c r="Z57" s="106" t="n">
        <v>2.6</v>
      </c>
      <c r="AA57" s="106" t="n">
        <v>4.6</v>
      </c>
      <c r="AB57" s="106" t="n">
        <v>1.7</v>
      </c>
      <c r="AC57" s="106" t="n">
        <v>5.5</v>
      </c>
      <c r="AD57" s="106" t="n">
        <v>115</v>
      </c>
      <c r="AE57" s="106" t="n">
        <v>1.1</v>
      </c>
      <c r="AF57" s="106" t="n">
        <v>11.9</v>
      </c>
      <c r="AG57" s="106" t="n">
        <v>4.5</v>
      </c>
      <c r="AH57" s="106" t="n">
        <v>15</v>
      </c>
      <c r="AI57" s="106" t="n">
        <v>0.1</v>
      </c>
      <c r="AJ57" s="106" t="n">
        <v>111</v>
      </c>
      <c r="AK57" s="106" t="n">
        <v>0.05</v>
      </c>
      <c r="AL57" s="106" t="n">
        <v>12</v>
      </c>
      <c r="AM57" s="106" t="n">
        <v>89</v>
      </c>
      <c r="AN57" s="106" t="n">
        <v>25</v>
      </c>
      <c r="AO57" s="106" t="n">
        <v>50</v>
      </c>
    </row>
    <row r="58" customFormat="false" ht="16.4" hidden="false" customHeight="false" outlineLevel="0" collapsed="false">
      <c r="A58" s="1" t="s">
        <v>41</v>
      </c>
      <c r="B58" s="107" t="n">
        <v>56</v>
      </c>
      <c r="C58" s="108" t="s">
        <v>357</v>
      </c>
      <c r="D58" s="109" t="n">
        <v>87</v>
      </c>
      <c r="E58" s="109" t="n">
        <v>11.2</v>
      </c>
      <c r="F58" s="109" t="n">
        <v>11.5</v>
      </c>
      <c r="G58" s="109" t="n">
        <v>14.7</v>
      </c>
      <c r="H58" s="109" t="n">
        <v>239</v>
      </c>
      <c r="I58" s="109" t="n">
        <v>12</v>
      </c>
      <c r="J58" s="109" t="n">
        <v>60</v>
      </c>
      <c r="K58" s="109" t="n">
        <v>139</v>
      </c>
      <c r="L58" s="109" t="n">
        <v>69</v>
      </c>
      <c r="M58" s="109" t="n">
        <v>516</v>
      </c>
      <c r="N58" s="109" t="n">
        <v>45</v>
      </c>
      <c r="O58" s="109" t="n">
        <v>35</v>
      </c>
      <c r="P58" s="109" t="n">
        <v>17.3</v>
      </c>
      <c r="Q58" s="109" t="n">
        <v>9.1</v>
      </c>
      <c r="R58" s="109" t="n">
        <v>2.3</v>
      </c>
      <c r="S58" s="109" t="n">
        <v>3.2</v>
      </c>
      <c r="T58" s="109" t="n">
        <v>5.5</v>
      </c>
      <c r="U58" s="109" t="n">
        <v>2.1</v>
      </c>
      <c r="V58" s="109" t="n">
        <v>11.3</v>
      </c>
      <c r="W58" s="109" t="n">
        <v>14.4</v>
      </c>
      <c r="X58" s="109" t="n">
        <v>6.9</v>
      </c>
      <c r="Y58" s="109" t="n">
        <v>1.8</v>
      </c>
      <c r="Z58" s="109" t="n">
        <v>2.3</v>
      </c>
      <c r="AA58" s="109" t="n">
        <v>4.1</v>
      </c>
      <c r="AB58" s="109" t="n">
        <v>1.5</v>
      </c>
      <c r="AC58" s="109" t="n">
        <v>8.7</v>
      </c>
      <c r="AD58" s="109" t="n">
        <v>191</v>
      </c>
      <c r="AE58" s="109" t="n">
        <v>0.9</v>
      </c>
      <c r="AF58" s="109" t="n">
        <v>4.6</v>
      </c>
      <c r="AG58" s="109" t="n">
        <v>1.3</v>
      </c>
      <c r="AH58" s="109" t="n">
        <v>12</v>
      </c>
      <c r="AI58" s="109" t="n">
        <v>0.2</v>
      </c>
      <c r="AJ58" s="109" t="n">
        <v>16</v>
      </c>
      <c r="AK58" s="109"/>
      <c r="AL58" s="109" t="n">
        <v>6.7</v>
      </c>
      <c r="AM58" s="109" t="n">
        <v>39</v>
      </c>
      <c r="AN58" s="109" t="n">
        <v>47</v>
      </c>
      <c r="AO58" s="109" t="n">
        <v>47</v>
      </c>
    </row>
    <row r="59" customFormat="false" ht="16.4" hidden="false" customHeight="false" outlineLevel="0" collapsed="false">
      <c r="A59" s="1" t="s">
        <v>42</v>
      </c>
      <c r="B59" s="104" t="n">
        <v>57</v>
      </c>
      <c r="C59" s="105" t="s">
        <v>358</v>
      </c>
      <c r="D59" s="106" t="n">
        <v>87</v>
      </c>
      <c r="E59" s="106" t="n">
        <v>10.7</v>
      </c>
      <c r="F59" s="106" t="n">
        <v>10.9</v>
      </c>
      <c r="G59" s="106" t="n">
        <v>13.8</v>
      </c>
      <c r="H59" s="106" t="n">
        <v>311</v>
      </c>
      <c r="I59" s="106" t="n">
        <v>13</v>
      </c>
      <c r="J59" s="106" t="n">
        <v>87</v>
      </c>
      <c r="K59" s="106" t="n">
        <v>160</v>
      </c>
      <c r="L59" s="106" t="n">
        <v>106</v>
      </c>
      <c r="M59" s="106" t="n">
        <v>433</v>
      </c>
      <c r="N59" s="106" t="n">
        <v>43</v>
      </c>
      <c r="O59" s="106" t="n">
        <v>41</v>
      </c>
      <c r="P59" s="106" t="n">
        <v>20</v>
      </c>
      <c r="Q59" s="106" t="n">
        <v>11.1</v>
      </c>
      <c r="R59" s="106" t="n">
        <v>2.2</v>
      </c>
      <c r="S59" s="106" t="n">
        <v>4</v>
      </c>
      <c r="T59" s="106" t="n">
        <v>6.2</v>
      </c>
      <c r="U59" s="106" t="n">
        <v>2.6</v>
      </c>
      <c r="V59" s="106" t="n">
        <v>14.1</v>
      </c>
      <c r="W59" s="106" t="n">
        <v>17.6</v>
      </c>
      <c r="X59" s="106" t="n">
        <v>9.2</v>
      </c>
      <c r="Y59" s="106" t="n">
        <v>1.8</v>
      </c>
      <c r="Z59" s="106" t="n">
        <v>3</v>
      </c>
      <c r="AA59" s="106" t="n">
        <v>4.9</v>
      </c>
      <c r="AB59" s="106" t="n">
        <v>2.1</v>
      </c>
      <c r="AC59" s="106" t="n">
        <v>11.6</v>
      </c>
      <c r="AD59" s="106" t="n">
        <v>261</v>
      </c>
      <c r="AE59" s="106" t="n">
        <v>1.7</v>
      </c>
      <c r="AF59" s="106" t="n">
        <v>6.8</v>
      </c>
      <c r="AG59" s="106" t="n">
        <v>1.8</v>
      </c>
      <c r="AH59" s="106" t="n">
        <v>16</v>
      </c>
      <c r="AI59" s="106" t="n">
        <v>0.3</v>
      </c>
      <c r="AJ59" s="106" t="n">
        <v>22</v>
      </c>
      <c r="AK59" s="106" t="n">
        <v>0.02</v>
      </c>
      <c r="AL59" s="106" t="n">
        <v>15</v>
      </c>
      <c r="AM59" s="106" t="n">
        <v>53</v>
      </c>
      <c r="AN59" s="106" t="n">
        <v>37</v>
      </c>
      <c r="AO59" s="106" t="n">
        <v>37</v>
      </c>
    </row>
    <row r="60" customFormat="false" ht="16.4" hidden="false" customHeight="false" outlineLevel="0" collapsed="false">
      <c r="B60" s="107" t="n">
        <v>58</v>
      </c>
      <c r="C60" s="108" t="s">
        <v>359</v>
      </c>
      <c r="D60" s="109" t="n">
        <v>12</v>
      </c>
      <c r="E60" s="109" t="n">
        <v>9.5</v>
      </c>
      <c r="F60" s="109" t="n">
        <v>9.9</v>
      </c>
      <c r="G60" s="109" t="n">
        <v>14.8</v>
      </c>
      <c r="H60" s="109" t="n">
        <v>369</v>
      </c>
      <c r="I60" s="109" t="n">
        <v>18</v>
      </c>
      <c r="J60" s="109" t="n">
        <v>24</v>
      </c>
      <c r="K60" s="109"/>
      <c r="L60" s="109"/>
      <c r="M60" s="109"/>
      <c r="N60" s="109"/>
      <c r="O60" s="109" t="n">
        <v>60</v>
      </c>
      <c r="P60" s="109" t="n">
        <v>22.6</v>
      </c>
      <c r="Q60" s="109" t="n">
        <v>15.9</v>
      </c>
      <c r="R60" s="109" t="n">
        <v>5.6</v>
      </c>
      <c r="S60" s="109" t="n">
        <v>2.3</v>
      </c>
      <c r="T60" s="109" t="n">
        <v>7.8</v>
      </c>
      <c r="U60" s="109" t="n">
        <v>3.8</v>
      </c>
      <c r="V60" s="109" t="n">
        <v>17.5</v>
      </c>
      <c r="W60" s="109" t="n">
        <v>16.7</v>
      </c>
      <c r="X60" s="109" t="n">
        <v>10.5</v>
      </c>
      <c r="Y60" s="109" t="n">
        <v>3.8</v>
      </c>
      <c r="Z60" s="109" t="n">
        <v>1.1</v>
      </c>
      <c r="AA60" s="109" t="n">
        <v>4.9</v>
      </c>
      <c r="AB60" s="109" t="n">
        <v>2.1</v>
      </c>
      <c r="AC60" s="109" t="n">
        <v>11.5</v>
      </c>
      <c r="AD60" s="109" t="n">
        <v>255</v>
      </c>
      <c r="AE60" s="109" t="n">
        <v>2.6</v>
      </c>
      <c r="AF60" s="109" t="n">
        <v>11.6</v>
      </c>
      <c r="AG60" s="109" t="n">
        <v>1.8</v>
      </c>
      <c r="AH60" s="109" t="n">
        <v>18.1</v>
      </c>
      <c r="AI60" s="109"/>
      <c r="AJ60" s="109" t="n">
        <v>12</v>
      </c>
      <c r="AK60" s="109" t="n">
        <v>0.1</v>
      </c>
      <c r="AL60" s="109" t="n">
        <v>22</v>
      </c>
      <c r="AM60" s="109" t="n">
        <v>54</v>
      </c>
      <c r="AN60" s="109" t="n">
        <v>20</v>
      </c>
      <c r="AO60" s="109" t="n">
        <v>20</v>
      </c>
    </row>
  </sheetData>
  <hyperlinks>
    <hyperlink ref="C3" r:id="rId1" display="Agrodrank10"/>
    <hyperlink ref="C4" r:id="rId2" display="Agrodrank27"/>
    <hyperlink ref="C5" r:id="rId3" display="Agrodrank90"/>
    <hyperlink ref="C6" r:id="rId4" display="Betfiber, omelasserad"/>
    <hyperlink ref="C7" r:id="rId5" display="Drank SBI"/>
    <hyperlink ref="C8" r:id="rId6" display="Fetter, animala"/>
    <hyperlink ref="C9" r:id="rId7" display="Fiskmjöl"/>
    <hyperlink ref="C10" r:id="rId8" display="Foderkalk"/>
    <hyperlink ref="C11" r:id="rId9" display="Gräsmjöl"/>
    <hyperlink ref="C12" r:id="rId10" display="Halm, vete"/>
    <hyperlink ref="C13" r:id="rId11" display="Havre"/>
    <hyperlink ref="C14" r:id="rId12" display="Havre, skalad"/>
    <hyperlink ref="C15" r:id="rId13" display="Korn"/>
    <hyperlink ref="C16" r:id="rId14" display="Linfrö"/>
    <hyperlink ref="C17" r:id="rId15" display="Linfröexpeller"/>
    <hyperlink ref="C18" r:id="rId16" display="Lupin, vit"/>
    <hyperlink ref="C19" r:id="rId17" display="Lusernmjöl"/>
    <hyperlink ref="C20" r:id="rId18" display="Lysin, L-HCL"/>
    <hyperlink ref="C21" r:id="rId19" display="Majs"/>
    <hyperlink ref="C22" r:id="rId20" display="Majsdrank"/>
    <hyperlink ref="C23" r:id="rId21" display="Majsglutenfoder"/>
    <hyperlink ref="C24" r:id="rId22" display="Majsglutenmjöl"/>
    <hyperlink ref="C25" r:id="rId23" display="Melass, bet"/>
    <hyperlink ref="C26" r:id="rId24" display="Melass, rör"/>
    <hyperlink ref="C27" r:id="rId25" display="Metionin"/>
    <hyperlink ref="C28" r:id="rId26" display="Metioninhydroxyanalog"/>
    <hyperlink ref="C29" r:id="rId27" display="Monokalciumfosfat"/>
    <hyperlink ref="C30" r:id="rId28" display="Oljor, vegetabila"/>
    <hyperlink ref="C31" r:id="rId29" display="Palmkärnkaka"/>
    <hyperlink ref="C32" r:id="rId30" display="Permeatvassle"/>
    <hyperlink ref="C33" r:id="rId31" display="Potatisproteinkoncentrat"/>
    <hyperlink ref="C34" r:id="rId32" display="Potatispulpa"/>
    <hyperlink ref="C35" r:id="rId33" display="Rapsfrö"/>
    <hyperlink ref="C36" r:id="rId34" display="Rapskaka"/>
    <hyperlink ref="C37" r:id="rId35" display="Rapskaka, kallpressad"/>
    <hyperlink ref="C38" r:id="rId36" display="Rapsmjöl"/>
    <hyperlink ref="C39" r:id="rId37" display="Ris, knäckt"/>
    <hyperlink ref="C40" r:id="rId38" display="Råg"/>
    <hyperlink ref="C41" r:id="rId39" display="Rågvete"/>
    <hyperlink ref="C42" r:id="rId40" display="Salt"/>
    <hyperlink ref="C43" r:id="rId41" display="Skummjölkspulver"/>
    <hyperlink ref="C44" r:id="rId42" display="Sojamjöl, 43% Rp i vara"/>
    <hyperlink ref="C45" r:id="rId43" display="Sojamjöl, 45% Rp i vara"/>
    <hyperlink ref="C46" r:id="rId44" display="Sojamjöl, 47% Rp i vara"/>
    <hyperlink ref="C47" r:id="rId45" display="Sojaprotein-Hamlet 310"/>
    <hyperlink ref="C48" r:id="rId46" display="Solrosmjöl"/>
    <hyperlink ref="C49" r:id="rId47" display="Sorgum"/>
    <hyperlink ref="C50" r:id="rId48" display="Treonin, L"/>
    <hyperlink ref="C51" r:id="rId49" display="Tryptofan, L"/>
    <hyperlink ref="C52" r:id="rId50" display="Vassle"/>
    <hyperlink ref="C53" r:id="rId51" display="Vasslepulver, sur vassle"/>
    <hyperlink ref="C54" r:id="rId52" display="Vasslepulver, söt vassle"/>
    <hyperlink ref="C55" r:id="rId53" display="Vete"/>
    <hyperlink ref="C56" r:id="rId54" display="Vetefodermjöl"/>
    <hyperlink ref="C57" r:id="rId55" display="Vetekli"/>
    <hyperlink ref="C58" r:id="rId56" display="Ärter"/>
    <hyperlink ref="C59" r:id="rId57" display="Åkerböna, vitblommig"/>
    <hyperlink ref="C60" r:id="rId58" display="Öljäs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0" activeCellId="0" sqref="E3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43"/>
    <col collapsed="false" customWidth="true" hidden="false" outlineLevel="0" max="3" min="3" style="1" width="39.57"/>
  </cols>
  <sheetData>
    <row r="1" customFormat="false" ht="15" hidden="false" customHeight="false" outlineLevel="0" collapsed="false">
      <c r="D1" s="1" t="n">
        <v>1</v>
      </c>
      <c r="E1" s="1" t="n">
        <v>2</v>
      </c>
      <c r="F1" s="1" t="n">
        <v>3</v>
      </c>
      <c r="G1" s="1" t="n">
        <v>4</v>
      </c>
      <c r="H1" s="1" t="n">
        <v>5</v>
      </c>
      <c r="I1" s="1" t="n">
        <v>6</v>
      </c>
      <c r="J1" s="1" t="n">
        <v>7</v>
      </c>
      <c r="K1" s="1" t="n">
        <v>8</v>
      </c>
      <c r="L1" s="1" t="n">
        <v>9</v>
      </c>
      <c r="M1" s="1" t="n">
        <v>10</v>
      </c>
      <c r="N1" s="1" t="n">
        <v>11</v>
      </c>
      <c r="O1" s="1" t="n">
        <v>12</v>
      </c>
      <c r="P1" s="1" t="n">
        <v>13</v>
      </c>
      <c r="Q1" s="1" t="n">
        <v>14</v>
      </c>
      <c r="R1" s="1" t="n">
        <v>15</v>
      </c>
      <c r="S1" s="1" t="n">
        <v>16</v>
      </c>
      <c r="T1" s="1" t="n">
        <v>17</v>
      </c>
      <c r="U1" s="1" t="n">
        <v>18</v>
      </c>
      <c r="V1" s="1" t="n">
        <v>19</v>
      </c>
      <c r="W1" s="1" t="n">
        <v>20</v>
      </c>
      <c r="X1" s="1" t="n">
        <v>21</v>
      </c>
      <c r="Y1" s="1" t="n">
        <v>22</v>
      </c>
      <c r="Z1" s="1" t="n">
        <v>23</v>
      </c>
      <c r="AA1" s="1" t="n">
        <v>24</v>
      </c>
      <c r="AB1" s="1" t="n">
        <v>25</v>
      </c>
      <c r="AC1" s="1" t="n">
        <v>26</v>
      </c>
      <c r="AD1" s="1" t="n">
        <v>27</v>
      </c>
      <c r="AE1" s="1" t="n">
        <v>28</v>
      </c>
      <c r="AF1" s="1" t="n">
        <v>29</v>
      </c>
      <c r="AG1" s="1" t="n">
        <v>30</v>
      </c>
      <c r="AH1" s="1" t="n">
        <v>31</v>
      </c>
    </row>
    <row r="2" customFormat="false" ht="37.3" hidden="false" customHeight="false" outlineLevel="0" collapsed="false">
      <c r="A2" s="2" t="s">
        <v>178</v>
      </c>
      <c r="B2" s="103" t="s">
        <v>264</v>
      </c>
      <c r="C2" s="103" t="s">
        <v>265</v>
      </c>
      <c r="D2" s="103" t="s">
        <v>266</v>
      </c>
      <c r="E2" s="103" t="s">
        <v>360</v>
      </c>
      <c r="F2" s="103" t="s">
        <v>189</v>
      </c>
      <c r="G2" s="103" t="s">
        <v>190</v>
      </c>
      <c r="H2" s="103" t="s">
        <v>361</v>
      </c>
      <c r="I2" s="103" t="s">
        <v>362</v>
      </c>
      <c r="J2" s="103" t="s">
        <v>363</v>
      </c>
      <c r="K2" s="103" t="s">
        <v>269</v>
      </c>
      <c r="L2" s="103" t="s">
        <v>270</v>
      </c>
      <c r="M2" s="103" t="s">
        <v>275</v>
      </c>
      <c r="N2" s="103" t="s">
        <v>195</v>
      </c>
      <c r="O2" s="103" t="s">
        <v>364</v>
      </c>
      <c r="P2" s="103" t="s">
        <v>365</v>
      </c>
      <c r="Q2" s="103" t="s">
        <v>366</v>
      </c>
      <c r="R2" s="103" t="s">
        <v>367</v>
      </c>
      <c r="S2" s="103" t="s">
        <v>368</v>
      </c>
      <c r="T2" s="103" t="s">
        <v>369</v>
      </c>
      <c r="U2" s="103" t="s">
        <v>370</v>
      </c>
      <c r="V2" s="103" t="s">
        <v>371</v>
      </c>
      <c r="W2" s="103" t="s">
        <v>274</v>
      </c>
      <c r="X2" s="103" t="s">
        <v>372</v>
      </c>
      <c r="Y2" s="103" t="s">
        <v>273</v>
      </c>
      <c r="Z2" s="103" t="s">
        <v>271</v>
      </c>
      <c r="AA2" s="103" t="s">
        <v>373</v>
      </c>
      <c r="AB2" s="103" t="s">
        <v>291</v>
      </c>
      <c r="AC2" s="103" t="s">
        <v>292</v>
      </c>
      <c r="AD2" s="103" t="s">
        <v>293</v>
      </c>
      <c r="AE2" s="103" t="s">
        <v>294</v>
      </c>
      <c r="AF2" s="103" t="s">
        <v>295</v>
      </c>
      <c r="AG2" s="103" t="s">
        <v>374</v>
      </c>
      <c r="AH2" s="103" t="s">
        <v>295</v>
      </c>
    </row>
    <row r="3" customFormat="false" ht="15" hidden="false" customHeight="false" outlineLevel="0" collapsed="false">
      <c r="B3" s="104" t="n">
        <v>1</v>
      </c>
      <c r="C3" s="106" t="s">
        <v>375</v>
      </c>
      <c r="D3" s="106" t="n">
        <v>50</v>
      </c>
      <c r="E3" s="106" t="n">
        <v>7.9</v>
      </c>
      <c r="F3" s="106"/>
      <c r="G3" s="106"/>
      <c r="H3" s="106" t="n">
        <v>18</v>
      </c>
      <c r="I3" s="106" t="n">
        <v>8.9</v>
      </c>
      <c r="J3" s="106" t="n">
        <v>60</v>
      </c>
      <c r="K3" s="106" t="n">
        <v>110</v>
      </c>
      <c r="L3" s="106" t="n">
        <v>330</v>
      </c>
      <c r="M3" s="106" t="n">
        <v>40</v>
      </c>
      <c r="N3" s="106" t="n">
        <v>460</v>
      </c>
      <c r="O3" s="106" t="n">
        <v>30</v>
      </c>
      <c r="P3" s="106" t="n">
        <v>75</v>
      </c>
      <c r="Q3" s="106" t="n">
        <v>15</v>
      </c>
      <c r="R3" s="106" t="n">
        <v>60</v>
      </c>
      <c r="S3" s="106" t="n">
        <v>44</v>
      </c>
      <c r="T3" s="106"/>
      <c r="U3" s="106"/>
      <c r="V3" s="106"/>
      <c r="W3" s="106"/>
      <c r="X3" s="106"/>
      <c r="Y3" s="106"/>
      <c r="Z3" s="106"/>
      <c r="AA3" s="106"/>
      <c r="AB3" s="106" t="n">
        <v>12</v>
      </c>
      <c r="AC3" s="106" t="n">
        <v>0.6</v>
      </c>
      <c r="AD3" s="106"/>
      <c r="AE3" s="106"/>
      <c r="AF3" s="106"/>
      <c r="AG3" s="106"/>
      <c r="AH3" s="103"/>
    </row>
    <row r="4" customFormat="false" ht="15" hidden="false" customHeight="false" outlineLevel="0" collapsed="false">
      <c r="B4" s="107" t="n">
        <v>2</v>
      </c>
      <c r="C4" s="109" t="s">
        <v>376</v>
      </c>
      <c r="D4" s="109" t="n">
        <v>85</v>
      </c>
      <c r="E4" s="109" t="n">
        <v>7.9</v>
      </c>
      <c r="F4" s="109"/>
      <c r="G4" s="109"/>
      <c r="H4" s="109" t="n">
        <v>90</v>
      </c>
      <c r="I4" s="109" t="n">
        <v>9.6</v>
      </c>
      <c r="J4" s="109" t="n">
        <v>150</v>
      </c>
      <c r="K4" s="109" t="n">
        <v>70</v>
      </c>
      <c r="L4" s="109" t="n">
        <v>230</v>
      </c>
      <c r="M4" s="109" t="n">
        <v>70</v>
      </c>
      <c r="N4" s="109" t="n">
        <v>480</v>
      </c>
      <c r="O4" s="109" t="n">
        <v>60</v>
      </c>
      <c r="P4" s="109" t="n">
        <v>35</v>
      </c>
      <c r="Q4" s="109" t="n">
        <v>50</v>
      </c>
      <c r="R4" s="109" t="n">
        <v>55</v>
      </c>
      <c r="S4" s="109" t="n">
        <v>53</v>
      </c>
      <c r="T4" s="109"/>
      <c r="U4" s="109"/>
      <c r="V4" s="109"/>
      <c r="W4" s="109"/>
      <c r="X4" s="109"/>
      <c r="Y4" s="109"/>
      <c r="Z4" s="109"/>
      <c r="AA4" s="109"/>
      <c r="AB4" s="109" t="n">
        <v>14.1</v>
      </c>
      <c r="AC4" s="109" t="n">
        <v>1.2</v>
      </c>
      <c r="AD4" s="109"/>
      <c r="AE4" s="109"/>
      <c r="AF4" s="109"/>
      <c r="AG4" s="109"/>
      <c r="AH4" s="109"/>
    </row>
    <row r="5" customFormat="false" ht="15" hidden="false" customHeight="false" outlineLevel="0" collapsed="false">
      <c r="B5" s="104" t="n">
        <v>3</v>
      </c>
      <c r="C5" s="106" t="s">
        <v>377</v>
      </c>
      <c r="D5" s="106" t="n">
        <v>90</v>
      </c>
      <c r="E5" s="106" t="n">
        <v>12.8</v>
      </c>
      <c r="F5" s="106"/>
      <c r="G5" s="106"/>
      <c r="H5" s="106" t="n">
        <v>213</v>
      </c>
      <c r="I5" s="106" t="n">
        <v>14.6</v>
      </c>
      <c r="J5" s="106" t="n">
        <v>250</v>
      </c>
      <c r="K5" s="106" t="n">
        <v>80</v>
      </c>
      <c r="L5" s="106" t="n">
        <v>170</v>
      </c>
      <c r="M5" s="106" t="n">
        <v>60</v>
      </c>
      <c r="N5" s="106" t="n">
        <v>440</v>
      </c>
      <c r="O5" s="106" t="n">
        <v>85</v>
      </c>
      <c r="P5" s="106" t="n">
        <v>90</v>
      </c>
      <c r="Q5" s="106" t="n">
        <v>30</v>
      </c>
      <c r="R5" s="106" t="n">
        <v>80</v>
      </c>
      <c r="S5" s="106" t="n">
        <v>73</v>
      </c>
      <c r="T5" s="106"/>
      <c r="U5" s="106"/>
      <c r="V5" s="106"/>
      <c r="W5" s="106"/>
      <c r="X5" s="106"/>
      <c r="Y5" s="106"/>
      <c r="Z5" s="106"/>
      <c r="AA5" s="106"/>
      <c r="AB5" s="106" t="n">
        <v>1.8</v>
      </c>
      <c r="AC5" s="106" t="n">
        <v>7.7</v>
      </c>
      <c r="AD5" s="106" t="n">
        <v>4.4</v>
      </c>
      <c r="AE5" s="106" t="n">
        <v>10</v>
      </c>
      <c r="AF5" s="106" t="n">
        <v>0.3</v>
      </c>
      <c r="AG5" s="106"/>
      <c r="AH5" s="106" t="n">
        <v>0.3</v>
      </c>
    </row>
    <row r="6" customFormat="false" ht="15" hidden="false" customHeight="false" outlineLevel="0" collapsed="false">
      <c r="B6" s="107" t="n">
        <v>4</v>
      </c>
      <c r="C6" s="109" t="s">
        <v>378</v>
      </c>
      <c r="D6" s="109" t="n">
        <v>90</v>
      </c>
      <c r="E6" s="109" t="n">
        <v>11.2</v>
      </c>
      <c r="F6" s="109"/>
      <c r="G6" s="109"/>
      <c r="H6" s="109" t="n">
        <v>221</v>
      </c>
      <c r="I6" s="109" t="n">
        <v>13.4</v>
      </c>
      <c r="J6" s="109" t="n">
        <v>260</v>
      </c>
      <c r="K6" s="109" t="n">
        <v>10</v>
      </c>
      <c r="L6" s="109" t="n">
        <v>180</v>
      </c>
      <c r="M6" s="109" t="n">
        <v>60</v>
      </c>
      <c r="N6" s="109" t="n">
        <v>490</v>
      </c>
      <c r="O6" s="109" t="n">
        <v>85</v>
      </c>
      <c r="P6" s="109" t="n">
        <v>90</v>
      </c>
      <c r="Q6" s="109" t="n">
        <v>30</v>
      </c>
      <c r="R6" s="109" t="n">
        <v>80</v>
      </c>
      <c r="S6" s="109" t="n">
        <v>72</v>
      </c>
      <c r="T6" s="109"/>
      <c r="U6" s="109"/>
      <c r="V6" s="109"/>
      <c r="W6" s="109"/>
      <c r="X6" s="109"/>
      <c r="Y6" s="109"/>
      <c r="Z6" s="109"/>
      <c r="AA6" s="109"/>
      <c r="AB6" s="109" t="n">
        <v>2.2</v>
      </c>
      <c r="AC6" s="109" t="n">
        <v>12.2</v>
      </c>
      <c r="AD6" s="109"/>
      <c r="AE6" s="109"/>
      <c r="AF6" s="109"/>
      <c r="AG6" s="109"/>
      <c r="AH6" s="109"/>
    </row>
    <row r="7" customFormat="false" ht="15" hidden="false" customHeight="false" outlineLevel="0" collapsed="false">
      <c r="B7" s="104" t="n">
        <v>5</v>
      </c>
      <c r="C7" s="106" t="s">
        <v>379</v>
      </c>
      <c r="D7" s="106" t="n">
        <v>84</v>
      </c>
      <c r="E7" s="106" t="n">
        <v>12.4</v>
      </c>
      <c r="F7" s="106" t="n">
        <v>78</v>
      </c>
      <c r="G7" s="106" t="n">
        <v>-16</v>
      </c>
      <c r="H7" s="106" t="n">
        <v>90</v>
      </c>
      <c r="I7" s="106" t="n">
        <v>14.1</v>
      </c>
      <c r="J7" s="106" t="n">
        <v>116</v>
      </c>
      <c r="K7" s="106" t="n">
        <v>43</v>
      </c>
      <c r="L7" s="106" t="n">
        <v>100</v>
      </c>
      <c r="M7" s="106" t="n">
        <v>28</v>
      </c>
      <c r="N7" s="106" t="n">
        <v>713</v>
      </c>
      <c r="O7" s="106" t="n">
        <v>78</v>
      </c>
      <c r="P7" s="106" t="n">
        <v>82</v>
      </c>
      <c r="Q7" s="106" t="n">
        <v>30</v>
      </c>
      <c r="R7" s="106" t="n">
        <v>83</v>
      </c>
      <c r="S7" s="106" t="n">
        <v>81</v>
      </c>
      <c r="T7" s="106"/>
      <c r="U7" s="106" t="n">
        <v>82</v>
      </c>
      <c r="V7" s="106" t="n">
        <v>71</v>
      </c>
      <c r="W7" s="106" t="n">
        <v>18</v>
      </c>
      <c r="X7" s="106"/>
      <c r="Y7" s="106" t="n">
        <v>434</v>
      </c>
      <c r="Z7" s="106" t="n">
        <v>277</v>
      </c>
      <c r="AA7" s="106" t="n">
        <v>20</v>
      </c>
      <c r="AB7" s="106" t="n">
        <v>0.6</v>
      </c>
      <c r="AC7" s="106" t="n">
        <v>4</v>
      </c>
      <c r="AD7" s="106" t="n">
        <v>1.3</v>
      </c>
      <c r="AE7" s="106" t="n">
        <v>5.6</v>
      </c>
      <c r="AF7" s="106" t="n">
        <v>0.3</v>
      </c>
      <c r="AG7" s="106"/>
      <c r="AH7" s="106" t="n">
        <v>0.3</v>
      </c>
    </row>
    <row r="8" customFormat="false" ht="15" hidden="false" customHeight="false" outlineLevel="0" collapsed="false">
      <c r="B8" s="107" t="n">
        <v>6</v>
      </c>
      <c r="C8" s="109" t="s">
        <v>380</v>
      </c>
      <c r="D8" s="109" t="n">
        <v>14</v>
      </c>
      <c r="E8" s="109" t="n">
        <v>10.2</v>
      </c>
      <c r="F8" s="109" t="n">
        <v>74</v>
      </c>
      <c r="G8" s="109" t="n">
        <v>46</v>
      </c>
      <c r="H8" s="109" t="n">
        <v>138</v>
      </c>
      <c r="I8" s="109" t="n">
        <v>12.3</v>
      </c>
      <c r="J8" s="109" t="n">
        <v>180</v>
      </c>
      <c r="K8" s="109" t="n">
        <v>30</v>
      </c>
      <c r="L8" s="109" t="n">
        <v>130</v>
      </c>
      <c r="M8" s="109" t="n">
        <v>180</v>
      </c>
      <c r="N8" s="109" t="n">
        <v>480</v>
      </c>
      <c r="O8" s="109"/>
      <c r="P8" s="109" t="n">
        <v>50</v>
      </c>
      <c r="Q8" s="109" t="n">
        <v>80</v>
      </c>
      <c r="R8" s="109" t="n">
        <v>80</v>
      </c>
      <c r="S8" s="109" t="n">
        <v>78</v>
      </c>
      <c r="T8" s="109"/>
      <c r="U8" s="109" t="n">
        <v>74</v>
      </c>
      <c r="V8" s="109" t="n">
        <v>73</v>
      </c>
      <c r="W8" s="109" t="n">
        <v>120</v>
      </c>
      <c r="X8" s="109"/>
      <c r="Y8" s="109" t="n">
        <v>0</v>
      </c>
      <c r="Z8" s="109"/>
      <c r="AA8" s="109"/>
      <c r="AB8" s="109" t="n">
        <v>15</v>
      </c>
      <c r="AC8" s="109" t="n">
        <v>2.8</v>
      </c>
      <c r="AD8" s="109" t="n">
        <v>3</v>
      </c>
      <c r="AE8" s="109" t="n">
        <v>37</v>
      </c>
      <c r="AF8" s="109" t="n">
        <v>10</v>
      </c>
      <c r="AG8" s="109"/>
      <c r="AH8" s="109" t="n">
        <v>10</v>
      </c>
    </row>
    <row r="9" customFormat="false" ht="15" hidden="false" customHeight="false" outlineLevel="0" collapsed="false">
      <c r="B9" s="104" t="n">
        <v>7</v>
      </c>
      <c r="C9" s="106" t="s">
        <v>381</v>
      </c>
      <c r="D9" s="106" t="n">
        <v>85</v>
      </c>
      <c r="E9" s="106" t="n">
        <v>15.6</v>
      </c>
      <c r="F9" s="106"/>
      <c r="G9" s="106"/>
      <c r="H9" s="106" t="n">
        <v>113</v>
      </c>
      <c r="I9" s="106" t="n">
        <v>16</v>
      </c>
      <c r="J9" s="106" t="n">
        <v>150</v>
      </c>
      <c r="K9" s="106" t="n">
        <v>300</v>
      </c>
      <c r="L9" s="106" t="n">
        <v>210</v>
      </c>
      <c r="M9" s="106" t="n">
        <v>50</v>
      </c>
      <c r="N9" s="106" t="n">
        <v>290</v>
      </c>
      <c r="O9" s="106" t="n">
        <v>75</v>
      </c>
      <c r="P9" s="106" t="n">
        <v>90</v>
      </c>
      <c r="Q9" s="106" t="n">
        <v>30</v>
      </c>
      <c r="R9" s="106" t="n">
        <v>60</v>
      </c>
      <c r="S9" s="106" t="n">
        <v>65</v>
      </c>
      <c r="T9" s="106"/>
      <c r="U9" s="106"/>
      <c r="V9" s="106"/>
      <c r="W9" s="106"/>
      <c r="X9" s="106"/>
      <c r="Y9" s="106"/>
      <c r="Z9" s="106"/>
      <c r="AA9" s="106"/>
      <c r="AB9" s="106" t="n">
        <v>5.9</v>
      </c>
      <c r="AC9" s="106" t="n">
        <v>3.5</v>
      </c>
      <c r="AD9" s="106"/>
      <c r="AE9" s="106"/>
      <c r="AF9" s="106"/>
      <c r="AG9" s="106"/>
      <c r="AH9" s="106"/>
    </row>
    <row r="10" customFormat="false" ht="15" hidden="false" customHeight="false" outlineLevel="0" collapsed="false">
      <c r="B10" s="107" t="n">
        <v>8</v>
      </c>
      <c r="C10" s="109" t="s">
        <v>382</v>
      </c>
      <c r="D10" s="109" t="n">
        <v>92</v>
      </c>
      <c r="E10" s="109" t="n">
        <v>10.9</v>
      </c>
      <c r="F10" s="109"/>
      <c r="G10" s="109"/>
      <c r="H10" s="109" t="n">
        <v>221</v>
      </c>
      <c r="I10" s="109" t="n">
        <v>12.5</v>
      </c>
      <c r="J10" s="109" t="n">
        <v>270</v>
      </c>
      <c r="K10" s="109" t="n">
        <v>70</v>
      </c>
      <c r="L10" s="109" t="n">
        <v>200</v>
      </c>
      <c r="M10" s="109" t="n">
        <v>70</v>
      </c>
      <c r="N10" s="109" t="n">
        <v>390</v>
      </c>
      <c r="O10" s="109" t="n">
        <v>82</v>
      </c>
      <c r="P10" s="109" t="n">
        <v>95</v>
      </c>
      <c r="Q10" s="109" t="n">
        <v>25</v>
      </c>
      <c r="R10" s="109" t="n">
        <v>60</v>
      </c>
      <c r="S10" s="109" t="n">
        <v>60</v>
      </c>
      <c r="T10" s="109"/>
      <c r="U10" s="109" t="n">
        <v>58</v>
      </c>
      <c r="V10" s="109" t="n">
        <v>86</v>
      </c>
      <c r="W10" s="109" t="n">
        <v>54</v>
      </c>
      <c r="X10" s="109"/>
      <c r="Y10" s="109" t="n">
        <v>15</v>
      </c>
      <c r="Z10" s="109"/>
      <c r="AA10" s="109"/>
      <c r="AB10" s="109" t="n">
        <v>2.2</v>
      </c>
      <c r="AC10" s="109" t="n">
        <v>11.9</v>
      </c>
      <c r="AD10" s="109" t="n">
        <v>6.4</v>
      </c>
      <c r="AE10" s="109" t="n">
        <v>18</v>
      </c>
      <c r="AF10" s="109" t="n">
        <v>0.2</v>
      </c>
      <c r="AG10" s="109"/>
      <c r="AH10" s="109" t="n">
        <v>0.2</v>
      </c>
    </row>
    <row r="11" customFormat="false" ht="15" hidden="false" customHeight="false" outlineLevel="0" collapsed="false">
      <c r="B11" s="104" t="n">
        <v>9</v>
      </c>
      <c r="C11" s="106" t="s">
        <v>383</v>
      </c>
      <c r="D11" s="106" t="n">
        <v>92</v>
      </c>
      <c r="E11" s="106" t="n">
        <v>13.2</v>
      </c>
      <c r="F11" s="106" t="n">
        <v>162</v>
      </c>
      <c r="G11" s="106" t="n">
        <v>210</v>
      </c>
      <c r="H11" s="106" t="n">
        <v>374</v>
      </c>
      <c r="I11" s="106" t="n">
        <v>15.6</v>
      </c>
      <c r="J11" s="106" t="n">
        <v>440</v>
      </c>
      <c r="K11" s="106" t="n">
        <v>70</v>
      </c>
      <c r="L11" s="106" t="n">
        <v>100</v>
      </c>
      <c r="M11" s="106" t="n">
        <v>70</v>
      </c>
      <c r="N11" s="106" t="n">
        <v>320</v>
      </c>
      <c r="O11" s="106" t="n">
        <v>85</v>
      </c>
      <c r="P11" s="106" t="n">
        <v>90</v>
      </c>
      <c r="Q11" s="106" t="n">
        <v>30</v>
      </c>
      <c r="R11" s="106" t="n">
        <v>70</v>
      </c>
      <c r="S11" s="106" t="n">
        <v>74</v>
      </c>
      <c r="T11" s="106" t="n">
        <v>44</v>
      </c>
      <c r="U11" s="106" t="n">
        <v>58</v>
      </c>
      <c r="V11" s="106" t="n">
        <v>86</v>
      </c>
      <c r="W11" s="106" t="n">
        <v>54</v>
      </c>
      <c r="X11" s="106"/>
      <c r="Y11" s="106" t="n">
        <v>15</v>
      </c>
      <c r="Z11" s="106" t="n">
        <v>257</v>
      </c>
      <c r="AA11" s="106" t="n">
        <v>60</v>
      </c>
      <c r="AB11" s="106" t="n">
        <v>2.2</v>
      </c>
      <c r="AC11" s="106" t="n">
        <v>11.9</v>
      </c>
      <c r="AD11" s="106" t="n">
        <v>6.4</v>
      </c>
      <c r="AE11" s="106" t="n">
        <v>18</v>
      </c>
      <c r="AF11" s="106" t="n">
        <v>0.2</v>
      </c>
      <c r="AG11" s="106" t="n">
        <v>71</v>
      </c>
      <c r="AH11" s="106" t="n">
        <v>0.2</v>
      </c>
    </row>
    <row r="12" customFormat="false" ht="15" hidden="false" customHeight="false" outlineLevel="0" collapsed="false">
      <c r="B12" s="107" t="n">
        <v>10</v>
      </c>
      <c r="C12" s="109" t="s">
        <v>384</v>
      </c>
      <c r="D12" s="109" t="n">
        <v>92</v>
      </c>
      <c r="E12" s="109" t="n">
        <v>15.3</v>
      </c>
      <c r="F12" s="109"/>
      <c r="G12" s="109"/>
      <c r="H12" s="109" t="n">
        <v>168</v>
      </c>
      <c r="I12" s="109" t="n">
        <v>16.5</v>
      </c>
      <c r="J12" s="109" t="n">
        <v>240</v>
      </c>
      <c r="K12" s="109" t="n">
        <v>250</v>
      </c>
      <c r="L12" s="109" t="n">
        <v>250</v>
      </c>
      <c r="M12" s="109" t="n">
        <v>50</v>
      </c>
      <c r="N12" s="109" t="n">
        <v>210</v>
      </c>
      <c r="O12" s="109" t="n">
        <v>70</v>
      </c>
      <c r="P12" s="109" t="n">
        <v>90</v>
      </c>
      <c r="Q12" s="109" t="n">
        <v>60</v>
      </c>
      <c r="R12" s="109" t="n">
        <v>60</v>
      </c>
      <c r="S12" s="109" t="n">
        <v>70</v>
      </c>
      <c r="T12" s="109"/>
      <c r="U12" s="109"/>
      <c r="V12" s="109"/>
      <c r="W12" s="109"/>
      <c r="X12" s="109"/>
      <c r="Y12" s="109"/>
      <c r="Z12" s="109" t="n">
        <v>400</v>
      </c>
      <c r="AA12" s="109" t="n">
        <v>150</v>
      </c>
      <c r="AB12" s="109" t="n">
        <v>1.6</v>
      </c>
      <c r="AC12" s="109" t="n">
        <v>9.8</v>
      </c>
      <c r="AD12" s="109" t="n">
        <v>4.1</v>
      </c>
      <c r="AE12" s="109" t="n">
        <v>11.8</v>
      </c>
      <c r="AF12" s="109" t="n">
        <v>0.1</v>
      </c>
      <c r="AG12" s="109"/>
      <c r="AH12" s="109" t="n">
        <v>0.1</v>
      </c>
    </row>
    <row r="13" customFormat="false" ht="15" hidden="false" customHeight="false" outlineLevel="0" collapsed="false">
      <c r="B13" s="104" t="n">
        <v>11</v>
      </c>
      <c r="C13" s="106" t="s">
        <v>385</v>
      </c>
      <c r="D13" s="106" t="n">
        <v>92</v>
      </c>
      <c r="E13" s="106" t="n">
        <v>8.8</v>
      </c>
      <c r="F13" s="106"/>
      <c r="G13" s="106"/>
      <c r="H13" s="106" t="n">
        <v>230</v>
      </c>
      <c r="I13" s="106" t="n">
        <v>10.8</v>
      </c>
      <c r="J13" s="106" t="n">
        <v>280</v>
      </c>
      <c r="K13" s="106" t="n">
        <v>10</v>
      </c>
      <c r="L13" s="106" t="n">
        <v>300</v>
      </c>
      <c r="M13" s="106" t="n">
        <v>60</v>
      </c>
      <c r="N13" s="106" t="n">
        <v>350</v>
      </c>
      <c r="O13" s="106" t="n">
        <v>82</v>
      </c>
      <c r="P13" s="106" t="n">
        <v>90</v>
      </c>
      <c r="Q13" s="106" t="n">
        <v>25</v>
      </c>
      <c r="R13" s="106" t="n">
        <v>60</v>
      </c>
      <c r="S13" s="106" t="n">
        <v>59</v>
      </c>
      <c r="T13" s="106"/>
      <c r="U13" s="106"/>
      <c r="V13" s="106"/>
      <c r="W13" s="106" t="n">
        <v>15</v>
      </c>
      <c r="X13" s="106"/>
      <c r="Y13" s="106" t="n">
        <v>54</v>
      </c>
      <c r="Z13" s="106"/>
      <c r="AA13" s="106"/>
      <c r="AB13" s="106" t="n">
        <v>2.1</v>
      </c>
      <c r="AC13" s="106" t="n">
        <v>12.6</v>
      </c>
      <c r="AD13" s="106" t="n">
        <v>6.9</v>
      </c>
      <c r="AE13" s="106" t="n">
        <v>19</v>
      </c>
      <c r="AF13" s="106" t="n">
        <v>0.2</v>
      </c>
      <c r="AG13" s="106"/>
      <c r="AH13" s="106" t="n">
        <v>0.2</v>
      </c>
    </row>
    <row r="14" customFormat="false" ht="15" hidden="false" customHeight="false" outlineLevel="0" collapsed="false">
      <c r="B14" s="107" t="n">
        <v>12</v>
      </c>
      <c r="C14" s="109" t="s">
        <v>386</v>
      </c>
      <c r="D14" s="109" t="n">
        <v>90</v>
      </c>
      <c r="E14" s="109" t="n">
        <v>12</v>
      </c>
      <c r="F14" s="109" t="n">
        <v>167</v>
      </c>
      <c r="G14" s="109" t="n">
        <v>244</v>
      </c>
      <c r="H14" s="109" t="n">
        <v>417</v>
      </c>
      <c r="I14" s="109" t="n">
        <v>14.7</v>
      </c>
      <c r="J14" s="109" t="n">
        <v>490</v>
      </c>
      <c r="K14" s="109" t="n">
        <v>10</v>
      </c>
      <c r="L14" s="109" t="n">
        <v>110</v>
      </c>
      <c r="M14" s="109" t="n">
        <v>80</v>
      </c>
      <c r="N14" s="109" t="n">
        <v>310</v>
      </c>
      <c r="O14" s="109" t="n">
        <v>85</v>
      </c>
      <c r="P14" s="109" t="n">
        <v>90</v>
      </c>
      <c r="Q14" s="109" t="n">
        <v>30</v>
      </c>
      <c r="R14" s="109" t="n">
        <v>70</v>
      </c>
      <c r="S14" s="109" t="n">
        <v>73</v>
      </c>
      <c r="T14" s="109"/>
      <c r="U14" s="109" t="n">
        <v>59</v>
      </c>
      <c r="V14" s="109" t="n">
        <v>82</v>
      </c>
      <c r="W14" s="109" t="n">
        <v>15</v>
      </c>
      <c r="X14" s="109"/>
      <c r="Y14" s="109" t="n">
        <v>54</v>
      </c>
      <c r="Z14" s="109" t="n">
        <v>260</v>
      </c>
      <c r="AA14" s="109" t="n">
        <v>60</v>
      </c>
      <c r="AB14" s="109" t="n">
        <v>2.1</v>
      </c>
      <c r="AC14" s="109" t="n">
        <v>12.6</v>
      </c>
      <c r="AD14" s="109" t="n">
        <v>6.5</v>
      </c>
      <c r="AE14" s="109" t="n">
        <v>19</v>
      </c>
      <c r="AF14" s="109" t="n">
        <v>0.2</v>
      </c>
      <c r="AG14" s="109"/>
      <c r="AH14" s="109" t="n">
        <v>0.2</v>
      </c>
    </row>
    <row r="15" customFormat="false" ht="15" hidden="false" customHeight="false" outlineLevel="0" collapsed="false">
      <c r="B15" s="104" t="n">
        <v>13</v>
      </c>
      <c r="C15" s="106" t="s">
        <v>387</v>
      </c>
      <c r="D15" s="106" t="n">
        <v>90</v>
      </c>
      <c r="E15" s="106" t="n">
        <v>12.6</v>
      </c>
      <c r="F15" s="106" t="n">
        <v>94</v>
      </c>
      <c r="G15" s="106" t="n">
        <v>-89</v>
      </c>
      <c r="H15" s="106" t="n">
        <v>30</v>
      </c>
      <c r="I15" s="106" t="n">
        <v>14.5</v>
      </c>
      <c r="J15" s="106" t="n">
        <v>70</v>
      </c>
      <c r="K15" s="106" t="n">
        <v>26</v>
      </c>
      <c r="L15" s="106" t="n">
        <v>132</v>
      </c>
      <c r="M15" s="106" t="n">
        <v>65</v>
      </c>
      <c r="N15" s="106" t="n">
        <v>707</v>
      </c>
      <c r="O15" s="106" t="n">
        <v>43</v>
      </c>
      <c r="P15" s="106" t="n">
        <v>81</v>
      </c>
      <c r="Q15" s="106" t="n">
        <v>79</v>
      </c>
      <c r="R15" s="106" t="n">
        <v>92</v>
      </c>
      <c r="S15" s="106"/>
      <c r="T15" s="106" t="n">
        <v>75</v>
      </c>
      <c r="U15" s="106" t="n">
        <v>66</v>
      </c>
      <c r="V15" s="106" t="n">
        <v>79</v>
      </c>
      <c r="W15" s="106" t="n">
        <v>243</v>
      </c>
      <c r="X15" s="106" t="n">
        <v>238</v>
      </c>
      <c r="Y15" s="106" t="n">
        <v>60</v>
      </c>
      <c r="Z15" s="106" t="n">
        <v>195</v>
      </c>
      <c r="AA15" s="106"/>
      <c r="AB15" s="106" t="n">
        <v>15.5</v>
      </c>
      <c r="AC15" s="106" t="n">
        <v>1.3</v>
      </c>
      <c r="AD15" s="106" t="n">
        <v>1.8</v>
      </c>
      <c r="AE15" s="106" t="n">
        <v>10.7</v>
      </c>
      <c r="AF15" s="106"/>
      <c r="AG15" s="106"/>
      <c r="AH15" s="106"/>
    </row>
    <row r="16" customFormat="false" ht="15" hidden="false" customHeight="false" outlineLevel="0" collapsed="false">
      <c r="B16" s="107" t="n">
        <v>14</v>
      </c>
      <c r="C16" s="109" t="s">
        <v>388</v>
      </c>
      <c r="D16" s="109" t="n">
        <v>99</v>
      </c>
      <c r="E16" s="109" t="n">
        <v>31.5</v>
      </c>
      <c r="F16" s="109" t="n">
        <v>0</v>
      </c>
      <c r="G16" s="109" t="n">
        <v>0</v>
      </c>
      <c r="H16" s="109" t="n">
        <v>0</v>
      </c>
      <c r="I16" s="109"/>
      <c r="J16" s="109" t="n">
        <v>0</v>
      </c>
      <c r="K16" s="109" t="n">
        <v>1000</v>
      </c>
      <c r="L16" s="109" t="n">
        <v>0</v>
      </c>
      <c r="M16" s="109" t="n">
        <v>0</v>
      </c>
      <c r="N16" s="109" t="n">
        <v>0</v>
      </c>
      <c r="O16" s="109"/>
      <c r="P16" s="109"/>
      <c r="Q16" s="109"/>
      <c r="R16" s="109"/>
      <c r="S16" s="109"/>
      <c r="T16" s="109"/>
      <c r="U16" s="109"/>
      <c r="V16" s="109"/>
      <c r="W16" s="109" t="n">
        <v>0</v>
      </c>
      <c r="X16" s="109"/>
      <c r="Y16" s="109" t="n">
        <v>0</v>
      </c>
      <c r="Z16" s="109" t="n">
        <v>0</v>
      </c>
      <c r="AA16" s="109" t="n">
        <v>0</v>
      </c>
      <c r="AB16" s="109" t="n">
        <v>0</v>
      </c>
      <c r="AC16" s="109" t="n">
        <v>0</v>
      </c>
      <c r="AD16" s="109" t="n">
        <v>0</v>
      </c>
      <c r="AE16" s="109" t="n">
        <v>0</v>
      </c>
      <c r="AF16" s="109" t="n">
        <v>0</v>
      </c>
      <c r="AG16" s="109"/>
      <c r="AH16" s="109" t="n">
        <v>0</v>
      </c>
    </row>
    <row r="17" customFormat="false" ht="15" hidden="false" customHeight="false" outlineLevel="0" collapsed="false">
      <c r="B17" s="104" t="n">
        <v>15</v>
      </c>
      <c r="C17" s="106" t="s">
        <v>389</v>
      </c>
      <c r="D17" s="106" t="n">
        <v>12</v>
      </c>
      <c r="E17" s="106" t="n">
        <v>12.5</v>
      </c>
      <c r="F17" s="106" t="n">
        <v>87</v>
      </c>
      <c r="G17" s="106" t="n">
        <v>-71</v>
      </c>
      <c r="H17" s="106" t="n">
        <v>48</v>
      </c>
      <c r="I17" s="106" t="n">
        <v>14.3</v>
      </c>
      <c r="J17" s="106" t="n">
        <v>80</v>
      </c>
      <c r="K17" s="106" t="n">
        <v>10</v>
      </c>
      <c r="L17" s="106" t="n">
        <v>70</v>
      </c>
      <c r="M17" s="106" t="n">
        <v>90</v>
      </c>
      <c r="N17" s="106" t="n">
        <v>750</v>
      </c>
      <c r="O17" s="106" t="n">
        <v>60</v>
      </c>
      <c r="P17" s="106" t="n">
        <v>0</v>
      </c>
      <c r="Q17" s="106" t="n">
        <v>70</v>
      </c>
      <c r="R17" s="106" t="n">
        <v>95</v>
      </c>
      <c r="S17" s="106" t="n">
        <v>89</v>
      </c>
      <c r="T17" s="106"/>
      <c r="U17" s="106" t="n">
        <v>82</v>
      </c>
      <c r="V17" s="106" t="n">
        <v>61</v>
      </c>
      <c r="W17" s="106" t="n">
        <v>610</v>
      </c>
      <c r="X17" s="106"/>
      <c r="Y17" s="106" t="n">
        <v>0</v>
      </c>
      <c r="Z17" s="106"/>
      <c r="AA17" s="106"/>
      <c r="AB17" s="106" t="n">
        <v>2.3</v>
      </c>
      <c r="AC17" s="106" t="n">
        <v>1.6</v>
      </c>
      <c r="AD17" s="106" t="n">
        <v>1.3</v>
      </c>
      <c r="AE17" s="106" t="n">
        <v>15</v>
      </c>
      <c r="AF17" s="106" t="n">
        <v>1.5</v>
      </c>
      <c r="AG17" s="106" t="n">
        <v>346</v>
      </c>
      <c r="AH17" s="106" t="n">
        <v>1.5</v>
      </c>
    </row>
    <row r="18" customFormat="false" ht="15" hidden="false" customHeight="false" outlineLevel="0" collapsed="false">
      <c r="B18" s="107" t="n">
        <v>16</v>
      </c>
      <c r="C18" s="109" t="s">
        <v>390</v>
      </c>
      <c r="D18" s="109" t="n">
        <v>90</v>
      </c>
      <c r="E18" s="109" t="n">
        <v>10.6</v>
      </c>
      <c r="F18" s="109" t="n">
        <v>89</v>
      </c>
      <c r="G18" s="109" t="n">
        <v>-150</v>
      </c>
      <c r="H18" s="109" t="n">
        <v>0</v>
      </c>
      <c r="I18" s="109" t="n">
        <v>14.5</v>
      </c>
      <c r="J18" s="109" t="n">
        <v>3</v>
      </c>
      <c r="K18" s="109" t="n">
        <v>5</v>
      </c>
      <c r="L18" s="109" t="n">
        <v>815</v>
      </c>
      <c r="M18" s="109" t="n">
        <v>7</v>
      </c>
      <c r="N18" s="109" t="n">
        <v>170</v>
      </c>
      <c r="O18" s="109" t="n">
        <v>0</v>
      </c>
      <c r="P18" s="109" t="n">
        <v>40</v>
      </c>
      <c r="Q18" s="109" t="n">
        <v>90</v>
      </c>
      <c r="R18" s="109" t="n">
        <v>60</v>
      </c>
      <c r="S18" s="109" t="n">
        <v>90</v>
      </c>
      <c r="T18" s="109"/>
      <c r="U18" s="109" t="n">
        <v>0</v>
      </c>
      <c r="V18" s="109" t="n">
        <v>0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</row>
    <row r="19" customFormat="false" ht="15" hidden="false" customHeight="false" outlineLevel="0" collapsed="false">
      <c r="B19" s="104" t="n">
        <v>17</v>
      </c>
      <c r="C19" s="106" t="s">
        <v>391</v>
      </c>
      <c r="D19" s="106" t="n">
        <v>15</v>
      </c>
      <c r="E19" s="106" t="n">
        <v>10.6</v>
      </c>
      <c r="F19" s="106" t="n">
        <v>71</v>
      </c>
      <c r="G19" s="106" t="n">
        <v>12</v>
      </c>
      <c r="H19" s="106" t="n">
        <v>100</v>
      </c>
      <c r="I19" s="106" t="n">
        <v>12.6</v>
      </c>
      <c r="J19" s="106" t="n">
        <v>140</v>
      </c>
      <c r="K19" s="106" t="n">
        <v>30</v>
      </c>
      <c r="L19" s="106" t="n">
        <v>200</v>
      </c>
      <c r="M19" s="106" t="n">
        <v>130</v>
      </c>
      <c r="N19" s="106" t="n">
        <v>500</v>
      </c>
      <c r="O19" s="106"/>
      <c r="P19" s="106" t="n">
        <v>58</v>
      </c>
      <c r="Q19" s="106" t="n">
        <v>58</v>
      </c>
      <c r="R19" s="106" t="n">
        <v>88</v>
      </c>
      <c r="S19" s="106" t="n">
        <v>72</v>
      </c>
      <c r="T19" s="106"/>
      <c r="U19" s="106" t="n">
        <v>80</v>
      </c>
      <c r="V19" s="106" t="n">
        <v>63</v>
      </c>
      <c r="W19" s="106" t="n">
        <v>10</v>
      </c>
      <c r="X19" s="106"/>
      <c r="Y19" s="106" t="n">
        <v>0</v>
      </c>
      <c r="Z19" s="106"/>
      <c r="AA19" s="106"/>
      <c r="AB19" s="106" t="n">
        <v>19.4</v>
      </c>
      <c r="AC19" s="106" t="n">
        <v>4.3</v>
      </c>
      <c r="AD19" s="106" t="n">
        <v>2.8</v>
      </c>
      <c r="AE19" s="106" t="n">
        <v>30</v>
      </c>
      <c r="AF19" s="106" t="n">
        <v>2.5</v>
      </c>
      <c r="AG19" s="106"/>
      <c r="AH19" s="106" t="n">
        <v>2.5</v>
      </c>
    </row>
    <row r="20" customFormat="false" ht="15" hidden="false" customHeight="false" outlineLevel="0" collapsed="false">
      <c r="B20" s="107" t="n">
        <v>18</v>
      </c>
      <c r="C20" s="109" t="s">
        <v>392</v>
      </c>
      <c r="D20" s="109" t="n">
        <v>16</v>
      </c>
      <c r="E20" s="109" t="n">
        <v>12.7</v>
      </c>
      <c r="F20" s="109" t="n">
        <v>90</v>
      </c>
      <c r="G20" s="109" t="n">
        <v>-93</v>
      </c>
      <c r="H20" s="109" t="n">
        <v>36</v>
      </c>
      <c r="I20" s="109" t="n">
        <v>14.5</v>
      </c>
      <c r="J20" s="109" t="n">
        <v>60</v>
      </c>
      <c r="K20" s="109" t="n">
        <v>10</v>
      </c>
      <c r="L20" s="109" t="n">
        <v>68</v>
      </c>
      <c r="M20" s="109" t="n">
        <v>78</v>
      </c>
      <c r="N20" s="109" t="n">
        <v>784</v>
      </c>
      <c r="O20" s="109" t="n">
        <v>60</v>
      </c>
      <c r="P20" s="109" t="n">
        <v>0</v>
      </c>
      <c r="Q20" s="109" t="n">
        <v>65</v>
      </c>
      <c r="R20" s="109" t="n">
        <v>95</v>
      </c>
      <c r="S20" s="109" t="n">
        <v>90</v>
      </c>
      <c r="T20" s="109"/>
      <c r="U20" s="109" t="n">
        <v>80</v>
      </c>
      <c r="V20" s="109" t="n">
        <v>82</v>
      </c>
      <c r="W20" s="109" t="n">
        <v>680</v>
      </c>
      <c r="X20" s="109"/>
      <c r="Y20" s="109" t="n">
        <v>0</v>
      </c>
      <c r="Z20" s="109"/>
      <c r="AA20" s="109"/>
      <c r="AB20" s="109" t="n">
        <v>1.8</v>
      </c>
      <c r="AC20" s="109" t="n">
        <v>1.7</v>
      </c>
      <c r="AD20" s="109" t="n">
        <v>1.4</v>
      </c>
      <c r="AE20" s="109" t="n">
        <v>21</v>
      </c>
      <c r="AF20" s="109" t="n">
        <v>2</v>
      </c>
      <c r="AG20" s="109"/>
      <c r="AH20" s="109" t="n">
        <v>1.5</v>
      </c>
    </row>
    <row r="21" customFormat="false" ht="15" hidden="false" customHeight="false" outlineLevel="0" collapsed="false">
      <c r="B21" s="104" t="n">
        <v>19</v>
      </c>
      <c r="C21" s="106" t="s">
        <v>393</v>
      </c>
      <c r="D21" s="106" t="n">
        <v>90</v>
      </c>
      <c r="E21" s="106" t="n">
        <v>7.3</v>
      </c>
      <c r="F21" s="106" t="n">
        <v>43</v>
      </c>
      <c r="G21" s="106" t="n">
        <v>-9</v>
      </c>
      <c r="H21" s="106" t="n">
        <v>47</v>
      </c>
      <c r="I21" s="106" t="n">
        <v>8.4</v>
      </c>
      <c r="J21" s="106" t="n">
        <v>105</v>
      </c>
      <c r="K21" s="106" t="n">
        <v>20</v>
      </c>
      <c r="L21" s="106" t="n">
        <v>450</v>
      </c>
      <c r="M21" s="106" t="n">
        <v>71</v>
      </c>
      <c r="N21" s="106" t="n">
        <v>354</v>
      </c>
      <c r="O21" s="106" t="n">
        <v>45</v>
      </c>
      <c r="P21" s="106" t="n">
        <v>40</v>
      </c>
      <c r="Q21" s="106" t="n">
        <v>50</v>
      </c>
      <c r="R21" s="106" t="n">
        <v>50</v>
      </c>
      <c r="S21" s="106" t="n">
        <v>49</v>
      </c>
      <c r="T21" s="106"/>
      <c r="U21" s="106" t="n">
        <v>60</v>
      </c>
      <c r="V21" s="106" t="n">
        <v>0</v>
      </c>
      <c r="W21" s="106" t="n">
        <v>0</v>
      </c>
      <c r="X21" s="106"/>
      <c r="Y21" s="106" t="n">
        <v>0</v>
      </c>
      <c r="Z21" s="106"/>
      <c r="AA21" s="106"/>
      <c r="AB21" s="106" t="n">
        <v>13</v>
      </c>
      <c r="AC21" s="106" t="n">
        <v>2.4</v>
      </c>
      <c r="AD21" s="106" t="n">
        <v>3.9</v>
      </c>
      <c r="AE21" s="106" t="n">
        <v>14</v>
      </c>
      <c r="AF21" s="106" t="n">
        <v>0.1</v>
      </c>
      <c r="AG21" s="106"/>
      <c r="AH21" s="106" t="n">
        <v>0.1</v>
      </c>
    </row>
    <row r="22" customFormat="false" ht="15" hidden="false" customHeight="false" outlineLevel="0" collapsed="false">
      <c r="B22" s="107" t="n">
        <v>20</v>
      </c>
      <c r="C22" s="109" t="s">
        <v>394</v>
      </c>
      <c r="D22" s="109" t="n">
        <v>89</v>
      </c>
      <c r="E22" s="109" t="n">
        <v>6.9</v>
      </c>
      <c r="F22" s="109" t="n">
        <v>47</v>
      </c>
      <c r="G22" s="109" t="n">
        <v>-35</v>
      </c>
      <c r="H22" s="109" t="n">
        <v>29</v>
      </c>
      <c r="I22" s="109" t="n">
        <v>8.6</v>
      </c>
      <c r="J22" s="109" t="n">
        <v>73</v>
      </c>
      <c r="K22" s="109" t="n">
        <v>20</v>
      </c>
      <c r="L22" s="109" t="n">
        <v>400</v>
      </c>
      <c r="M22" s="109" t="n">
        <v>64</v>
      </c>
      <c r="N22" s="109" t="n">
        <v>443</v>
      </c>
      <c r="O22" s="109" t="n">
        <v>40</v>
      </c>
      <c r="P22" s="109" t="n">
        <v>40</v>
      </c>
      <c r="Q22" s="109" t="n">
        <v>55</v>
      </c>
      <c r="R22" s="109" t="n">
        <v>50</v>
      </c>
      <c r="S22" s="109" t="n">
        <v>51</v>
      </c>
      <c r="T22" s="109"/>
      <c r="U22" s="109" t="n">
        <v>60</v>
      </c>
      <c r="V22" s="109" t="n">
        <v>0</v>
      </c>
      <c r="W22" s="109" t="n">
        <v>0</v>
      </c>
      <c r="X22" s="109"/>
      <c r="Y22" s="109" t="n">
        <v>0</v>
      </c>
      <c r="Z22" s="109"/>
      <c r="AA22" s="109"/>
      <c r="AB22" s="109" t="n">
        <v>3.3</v>
      </c>
      <c r="AC22" s="109" t="n">
        <v>1.4</v>
      </c>
      <c r="AD22" s="109" t="n">
        <v>1.4</v>
      </c>
      <c r="AE22" s="109" t="n">
        <v>25</v>
      </c>
      <c r="AF22" s="109" t="n">
        <v>1</v>
      </c>
      <c r="AG22" s="109"/>
      <c r="AH22" s="109" t="n">
        <v>1</v>
      </c>
    </row>
    <row r="23" customFormat="false" ht="15" hidden="false" customHeight="false" outlineLevel="0" collapsed="false">
      <c r="B23" s="104" t="n">
        <v>21</v>
      </c>
      <c r="C23" s="106" t="s">
        <v>395</v>
      </c>
      <c r="D23" s="106" t="n">
        <v>80</v>
      </c>
      <c r="E23" s="106" t="n">
        <v>8.3</v>
      </c>
      <c r="F23" s="106" t="n">
        <v>54</v>
      </c>
      <c r="G23" s="106" t="n">
        <v>4</v>
      </c>
      <c r="H23" s="106" t="n">
        <v>50</v>
      </c>
      <c r="I23" s="106" t="n">
        <v>10.3</v>
      </c>
      <c r="J23" s="106" t="n">
        <v>119</v>
      </c>
      <c r="K23" s="106" t="n">
        <v>20</v>
      </c>
      <c r="L23" s="106" t="n">
        <v>400</v>
      </c>
      <c r="M23" s="106" t="n">
        <v>60</v>
      </c>
      <c r="N23" s="106" t="n">
        <v>401</v>
      </c>
      <c r="O23" s="106" t="n">
        <v>42</v>
      </c>
      <c r="P23" s="106" t="n">
        <v>40</v>
      </c>
      <c r="Q23" s="106" t="n">
        <v>65</v>
      </c>
      <c r="R23" s="106" t="n">
        <v>62</v>
      </c>
      <c r="S23" s="106" t="n">
        <v>61</v>
      </c>
      <c r="T23" s="106"/>
      <c r="U23" s="106" t="n">
        <v>80</v>
      </c>
      <c r="V23" s="106" t="n">
        <v>0</v>
      </c>
      <c r="W23" s="106" t="n">
        <v>0</v>
      </c>
      <c r="X23" s="106"/>
      <c r="Y23" s="106" t="n">
        <v>0</v>
      </c>
      <c r="Z23" s="106"/>
      <c r="AA23" s="106"/>
      <c r="AB23" s="106" t="n">
        <v>3.3</v>
      </c>
      <c r="AC23" s="106" t="n">
        <v>1.1</v>
      </c>
      <c r="AD23" s="106" t="n">
        <v>1.3</v>
      </c>
      <c r="AE23" s="106" t="n">
        <v>19</v>
      </c>
      <c r="AF23" s="106" t="n">
        <v>3</v>
      </c>
      <c r="AG23" s="106"/>
      <c r="AH23" s="106" t="n">
        <v>3</v>
      </c>
    </row>
    <row r="24" customFormat="false" ht="15" hidden="false" customHeight="false" outlineLevel="0" collapsed="false">
      <c r="A24" s="1" t="s">
        <v>78</v>
      </c>
      <c r="B24" s="107" t="n">
        <v>22</v>
      </c>
      <c r="C24" s="109" t="s">
        <v>396</v>
      </c>
      <c r="D24" s="109" t="n">
        <v>85</v>
      </c>
      <c r="E24" s="109" t="n">
        <v>6.6</v>
      </c>
      <c r="F24" s="109" t="n">
        <v>45</v>
      </c>
      <c r="G24" s="109" t="n">
        <v>-60</v>
      </c>
      <c r="H24" s="109" t="n">
        <v>0</v>
      </c>
      <c r="I24" s="109" t="n">
        <v>7.6</v>
      </c>
      <c r="J24" s="109" t="n">
        <v>69</v>
      </c>
      <c r="K24" s="109" t="n">
        <v>20</v>
      </c>
      <c r="L24" s="109" t="n">
        <v>436</v>
      </c>
      <c r="M24" s="109" t="n">
        <v>66</v>
      </c>
      <c r="N24" s="109" t="n">
        <v>409</v>
      </c>
      <c r="O24" s="109" t="n">
        <v>0</v>
      </c>
      <c r="P24" s="109" t="n">
        <v>40</v>
      </c>
      <c r="Q24" s="109" t="n">
        <v>55</v>
      </c>
      <c r="R24" s="109" t="n">
        <v>45</v>
      </c>
      <c r="S24" s="109" t="n">
        <v>47</v>
      </c>
      <c r="T24" s="109" t="n">
        <v>25</v>
      </c>
      <c r="U24" s="109" t="n">
        <v>23</v>
      </c>
      <c r="V24" s="109" t="n">
        <v>0</v>
      </c>
      <c r="W24" s="109" t="n">
        <v>0</v>
      </c>
      <c r="X24" s="109"/>
      <c r="Y24" s="109" t="n">
        <v>0</v>
      </c>
      <c r="Z24" s="109" t="n">
        <v>748</v>
      </c>
      <c r="AA24" s="109" t="n">
        <v>120</v>
      </c>
      <c r="AB24" s="109" t="n">
        <v>7.5</v>
      </c>
      <c r="AC24" s="109" t="n">
        <v>2.6</v>
      </c>
      <c r="AD24" s="109" t="n">
        <v>2.8</v>
      </c>
      <c r="AE24" s="109" t="n">
        <v>16.8</v>
      </c>
      <c r="AF24" s="109" t="n">
        <v>3</v>
      </c>
      <c r="AG24" s="109" t="n">
        <v>162</v>
      </c>
      <c r="AH24" s="109" t="n">
        <v>3</v>
      </c>
    </row>
    <row r="25" customFormat="false" ht="15" hidden="false" customHeight="false" outlineLevel="0" collapsed="false">
      <c r="B25" s="104" t="n">
        <v>23</v>
      </c>
      <c r="C25" s="106" t="s">
        <v>397</v>
      </c>
      <c r="D25" s="106" t="n">
        <v>59</v>
      </c>
      <c r="E25" s="106" t="n">
        <v>7.9</v>
      </c>
      <c r="F25" s="106" t="n">
        <v>63</v>
      </c>
      <c r="G25" s="106" t="n">
        <v>-74</v>
      </c>
      <c r="H25" s="106" t="n">
        <v>0</v>
      </c>
      <c r="I25" s="106" t="n">
        <v>10.4</v>
      </c>
      <c r="J25" s="106" t="n">
        <v>40</v>
      </c>
      <c r="K25" s="106" t="n">
        <v>15</v>
      </c>
      <c r="L25" s="106" t="n">
        <v>408</v>
      </c>
      <c r="M25" s="106" t="n">
        <v>100</v>
      </c>
      <c r="N25" s="106" t="n">
        <v>437</v>
      </c>
      <c r="O25" s="106" t="n">
        <v>0</v>
      </c>
      <c r="P25" s="106" t="n">
        <v>35</v>
      </c>
      <c r="Q25" s="106" t="n">
        <v>75</v>
      </c>
      <c r="R25" s="106" t="n">
        <v>65</v>
      </c>
      <c r="S25" s="106" t="n">
        <v>65</v>
      </c>
      <c r="T25" s="106" t="n">
        <v>34</v>
      </c>
      <c r="U25" s="106" t="n">
        <v>80</v>
      </c>
      <c r="V25" s="106" t="n">
        <v>0</v>
      </c>
      <c r="W25" s="106" t="n">
        <v>0</v>
      </c>
      <c r="X25" s="106"/>
      <c r="Y25" s="106" t="n">
        <v>0</v>
      </c>
      <c r="Z25" s="106"/>
      <c r="AA25" s="106"/>
      <c r="AB25" s="106" t="n">
        <v>3.3</v>
      </c>
      <c r="AC25" s="106" t="n">
        <v>1.1</v>
      </c>
      <c r="AD25" s="106" t="n">
        <v>1.3</v>
      </c>
      <c r="AE25" s="106" t="n">
        <v>19</v>
      </c>
      <c r="AF25" s="106" t="n">
        <v>28.1</v>
      </c>
      <c r="AG25" s="106"/>
      <c r="AH25" s="106" t="n">
        <v>28</v>
      </c>
    </row>
    <row r="26" customFormat="false" ht="15" hidden="false" customHeight="false" outlineLevel="0" collapsed="false">
      <c r="B26" s="107" t="n">
        <v>24</v>
      </c>
      <c r="C26" s="109" t="s">
        <v>398</v>
      </c>
      <c r="D26" s="109" t="n">
        <v>74</v>
      </c>
      <c r="E26" s="109" t="n">
        <v>8.2</v>
      </c>
      <c r="F26" s="109" t="n">
        <v>59</v>
      </c>
      <c r="G26" s="109" t="n">
        <v>-67</v>
      </c>
      <c r="H26" s="109" t="n">
        <v>0</v>
      </c>
      <c r="I26" s="109" t="n">
        <v>9.8</v>
      </c>
      <c r="J26" s="109" t="n">
        <v>40</v>
      </c>
      <c r="K26" s="109" t="n">
        <v>15</v>
      </c>
      <c r="L26" s="109" t="n">
        <v>421</v>
      </c>
      <c r="M26" s="109" t="n">
        <v>73</v>
      </c>
      <c r="N26" s="109" t="n">
        <v>451</v>
      </c>
      <c r="O26" s="109" t="n">
        <v>0</v>
      </c>
      <c r="P26" s="109" t="n">
        <v>35</v>
      </c>
      <c r="Q26" s="109" t="n">
        <v>65</v>
      </c>
      <c r="R26" s="109" t="n">
        <v>62</v>
      </c>
      <c r="S26" s="109" t="n">
        <v>73</v>
      </c>
      <c r="T26" s="109"/>
      <c r="U26" s="109" t="n">
        <v>80</v>
      </c>
      <c r="V26" s="109" t="n">
        <v>0</v>
      </c>
      <c r="W26" s="109" t="n">
        <v>0</v>
      </c>
      <c r="X26" s="109"/>
      <c r="Y26" s="109" t="n">
        <v>0</v>
      </c>
      <c r="Z26" s="109"/>
      <c r="AA26" s="109"/>
      <c r="AB26" s="109" t="n">
        <v>3.2</v>
      </c>
      <c r="AC26" s="109" t="n">
        <v>1.8</v>
      </c>
      <c r="AD26" s="109"/>
      <c r="AE26" s="109"/>
      <c r="AF26" s="109"/>
      <c r="AG26" s="109"/>
      <c r="AH26" s="109"/>
    </row>
    <row r="27" customFormat="false" ht="15" hidden="false" customHeight="false" outlineLevel="0" collapsed="false">
      <c r="B27" s="104" t="n">
        <v>25</v>
      </c>
      <c r="C27" s="106" t="s">
        <v>399</v>
      </c>
      <c r="D27" s="106" t="n">
        <v>93</v>
      </c>
      <c r="E27" s="106" t="n">
        <v>17.7</v>
      </c>
      <c r="F27" s="106"/>
      <c r="G27" s="106"/>
      <c r="H27" s="106" t="n">
        <v>140</v>
      </c>
      <c r="I27" s="106" t="n">
        <v>18.2</v>
      </c>
      <c r="J27" s="106" t="n">
        <v>200</v>
      </c>
      <c r="K27" s="106" t="n">
        <v>350</v>
      </c>
      <c r="L27" s="106" t="n">
        <v>170</v>
      </c>
      <c r="M27" s="106" t="n">
        <v>50</v>
      </c>
      <c r="N27" s="106" t="n">
        <v>230</v>
      </c>
      <c r="O27" s="106" t="n">
        <v>70</v>
      </c>
      <c r="P27" s="106" t="n">
        <v>90</v>
      </c>
      <c r="Q27" s="106" t="n">
        <v>30</v>
      </c>
      <c r="R27" s="106" t="n">
        <v>80</v>
      </c>
      <c r="S27" s="106" t="n">
        <v>73</v>
      </c>
      <c r="T27" s="106"/>
      <c r="U27" s="106"/>
      <c r="V27" s="106"/>
      <c r="W27" s="106"/>
      <c r="X27" s="106"/>
      <c r="Y27" s="106"/>
      <c r="Z27" s="106"/>
      <c r="AA27" s="106"/>
      <c r="AB27" s="106" t="n">
        <v>1.7</v>
      </c>
      <c r="AC27" s="106" t="n">
        <v>6</v>
      </c>
      <c r="AD27" s="106"/>
      <c r="AE27" s="106"/>
      <c r="AF27" s="106"/>
      <c r="AG27" s="106"/>
      <c r="AH27" s="106"/>
    </row>
    <row r="28" customFormat="false" ht="15" hidden="false" customHeight="false" outlineLevel="0" collapsed="false">
      <c r="B28" s="107" t="n">
        <v>26</v>
      </c>
      <c r="C28" s="109" t="s">
        <v>400</v>
      </c>
      <c r="D28" s="109" t="n">
        <v>37</v>
      </c>
      <c r="E28" s="109" t="n">
        <v>9.1</v>
      </c>
      <c r="F28" s="109" t="n">
        <v>58</v>
      </c>
      <c r="G28" s="109" t="n">
        <v>-8</v>
      </c>
      <c r="H28" s="109" t="n">
        <v>69</v>
      </c>
      <c r="I28" s="109" t="n">
        <v>11.2</v>
      </c>
      <c r="J28" s="109" t="n">
        <v>107</v>
      </c>
      <c r="K28" s="109" t="n">
        <v>25</v>
      </c>
      <c r="L28" s="109" t="n">
        <v>313</v>
      </c>
      <c r="M28" s="109" t="n">
        <v>72</v>
      </c>
      <c r="N28" s="109" t="n">
        <v>483</v>
      </c>
      <c r="O28" s="109"/>
      <c r="P28" s="109" t="n">
        <v>54</v>
      </c>
      <c r="Q28" s="109" t="n">
        <v>62</v>
      </c>
      <c r="R28" s="109" t="n">
        <v>68</v>
      </c>
      <c r="S28" s="109" t="n">
        <v>63</v>
      </c>
      <c r="T28" s="109"/>
      <c r="U28" s="109" t="n">
        <v>80</v>
      </c>
      <c r="V28" s="109" t="n">
        <v>19</v>
      </c>
      <c r="W28" s="109"/>
      <c r="X28" s="109"/>
      <c r="Y28" s="109"/>
      <c r="Z28" s="109" t="n">
        <v>536</v>
      </c>
      <c r="AA28" s="109" t="n">
        <v>90</v>
      </c>
      <c r="AB28" s="109" t="n">
        <v>4.5</v>
      </c>
      <c r="AC28" s="109" t="n">
        <v>2.9</v>
      </c>
      <c r="AD28" s="109" t="n">
        <v>1.4</v>
      </c>
      <c r="AE28" s="109" t="n">
        <v>20.1</v>
      </c>
      <c r="AF28" s="109" t="n">
        <v>1.5</v>
      </c>
      <c r="AG28" s="109"/>
      <c r="AH28" s="109" t="n">
        <v>0.5</v>
      </c>
    </row>
    <row r="29" customFormat="false" ht="15" hidden="false" customHeight="false" outlineLevel="0" collapsed="false">
      <c r="A29" s="1" t="s">
        <v>64</v>
      </c>
      <c r="B29" s="104" t="n">
        <v>27</v>
      </c>
      <c r="C29" s="106" t="s">
        <v>401</v>
      </c>
      <c r="D29" s="106" t="n">
        <v>87</v>
      </c>
      <c r="E29" s="106" t="n">
        <v>7.2</v>
      </c>
      <c r="F29" s="106" t="n">
        <v>56</v>
      </c>
      <c r="G29" s="106" t="n">
        <v>-28</v>
      </c>
      <c r="H29" s="106" t="n">
        <v>35</v>
      </c>
      <c r="I29" s="106" t="n">
        <v>8.4</v>
      </c>
      <c r="J29" s="106" t="n">
        <v>63</v>
      </c>
      <c r="K29" s="106" t="n">
        <v>32</v>
      </c>
      <c r="L29" s="106" t="n">
        <v>290</v>
      </c>
      <c r="M29" s="106" t="n">
        <v>55</v>
      </c>
      <c r="N29" s="106" t="n">
        <v>560</v>
      </c>
      <c r="O29" s="106" t="n">
        <v>56</v>
      </c>
      <c r="P29" s="106" t="n">
        <v>65</v>
      </c>
      <c r="Q29" s="106" t="n">
        <v>30</v>
      </c>
      <c r="R29" s="106" t="n">
        <v>55</v>
      </c>
      <c r="S29" s="106" t="n">
        <v>48</v>
      </c>
      <c r="T29" s="106"/>
      <c r="U29" s="106" t="n">
        <v>67</v>
      </c>
      <c r="V29" s="106" t="n">
        <v>77</v>
      </c>
      <c r="W29" s="106"/>
      <c r="X29" s="106"/>
      <c r="Y29" s="106"/>
      <c r="Z29" s="106"/>
      <c r="AA29" s="106"/>
      <c r="AB29" s="106" t="n">
        <v>2</v>
      </c>
      <c r="AC29" s="106" t="n">
        <v>7.7</v>
      </c>
      <c r="AD29" s="106"/>
      <c r="AE29" s="106"/>
      <c r="AF29" s="106"/>
      <c r="AG29" s="106"/>
      <c r="AH29" s="106"/>
    </row>
    <row r="30" customFormat="false" ht="15" hidden="false" customHeight="false" outlineLevel="0" collapsed="false">
      <c r="A30" s="1" t="s">
        <v>37</v>
      </c>
      <c r="B30" s="107" t="n">
        <v>28</v>
      </c>
      <c r="C30" s="109" t="s">
        <v>402</v>
      </c>
      <c r="D30" s="109" t="n">
        <v>85</v>
      </c>
      <c r="E30" s="109" t="n">
        <v>11.7</v>
      </c>
      <c r="F30" s="109" t="n">
        <v>67</v>
      </c>
      <c r="G30" s="109" t="n">
        <v>-2</v>
      </c>
      <c r="H30" s="109" t="n">
        <v>88</v>
      </c>
      <c r="I30" s="109" t="n">
        <v>13.3</v>
      </c>
      <c r="J30" s="109" t="n">
        <v>110</v>
      </c>
      <c r="K30" s="109" t="n">
        <v>61</v>
      </c>
      <c r="L30" s="109" t="n">
        <v>141</v>
      </c>
      <c r="M30" s="109" t="n">
        <v>34</v>
      </c>
      <c r="N30" s="109" t="n">
        <v>654</v>
      </c>
      <c r="O30" s="109" t="n">
        <v>80</v>
      </c>
      <c r="P30" s="109" t="n">
        <v>88</v>
      </c>
      <c r="Q30" s="109" t="n">
        <v>30</v>
      </c>
      <c r="R30" s="109" t="n">
        <v>76</v>
      </c>
      <c r="S30" s="109" t="n">
        <v>75</v>
      </c>
      <c r="T30" s="109" t="n">
        <v>37</v>
      </c>
      <c r="U30" s="109" t="n">
        <v>86</v>
      </c>
      <c r="V30" s="109" t="n">
        <v>73</v>
      </c>
      <c r="W30" s="109" t="n">
        <v>10</v>
      </c>
      <c r="X30" s="109" t="n">
        <v>21</v>
      </c>
      <c r="Y30" s="109" t="n">
        <v>338</v>
      </c>
      <c r="Z30" s="109" t="n">
        <v>358</v>
      </c>
      <c r="AA30" s="109" t="n">
        <v>30</v>
      </c>
      <c r="AB30" s="109" t="n">
        <v>0.7</v>
      </c>
      <c r="AC30" s="109" t="n">
        <v>3.7</v>
      </c>
      <c r="AD30" s="109" t="n">
        <v>1.2</v>
      </c>
      <c r="AE30" s="109" t="n">
        <v>5.3</v>
      </c>
      <c r="AF30" s="109" t="n">
        <v>0.1</v>
      </c>
      <c r="AG30" s="109" t="n">
        <v>-32</v>
      </c>
      <c r="AH30" s="109" t="n">
        <v>0.1</v>
      </c>
    </row>
    <row r="31" customFormat="false" ht="15" hidden="false" customHeight="false" outlineLevel="0" collapsed="false">
      <c r="A31" s="1" t="s">
        <v>62</v>
      </c>
      <c r="B31" s="104" t="n">
        <v>29</v>
      </c>
      <c r="C31" s="106" t="s">
        <v>403</v>
      </c>
      <c r="D31" s="106" t="n">
        <v>87</v>
      </c>
      <c r="E31" s="106" t="n">
        <v>5.2</v>
      </c>
      <c r="F31" s="106"/>
      <c r="G31" s="106"/>
      <c r="H31" s="106" t="n">
        <v>9</v>
      </c>
      <c r="I31" s="106" t="n">
        <v>6.2</v>
      </c>
      <c r="J31" s="106" t="n">
        <v>30</v>
      </c>
      <c r="K31" s="106" t="n">
        <v>20</v>
      </c>
      <c r="L31" s="106" t="n">
        <v>340</v>
      </c>
      <c r="M31" s="106" t="n">
        <v>50</v>
      </c>
      <c r="N31" s="106" t="n">
        <v>560</v>
      </c>
      <c r="O31" s="106" t="n">
        <v>30</v>
      </c>
      <c r="P31" s="106" t="n">
        <v>80</v>
      </c>
      <c r="Q31" s="106" t="n">
        <v>35</v>
      </c>
      <c r="R31" s="106" t="n">
        <v>35</v>
      </c>
      <c r="S31" s="106" t="n">
        <v>36</v>
      </c>
      <c r="T31" s="106"/>
      <c r="U31" s="106"/>
      <c r="V31" s="106"/>
      <c r="W31" s="106" t="n">
        <v>11</v>
      </c>
      <c r="X31" s="106"/>
      <c r="Y31" s="106" t="n">
        <v>130</v>
      </c>
      <c r="Z31" s="106" t="n">
        <v>780</v>
      </c>
      <c r="AA31" s="106" t="n">
        <v>80</v>
      </c>
      <c r="AB31" s="106" t="n">
        <v>1.2</v>
      </c>
      <c r="AC31" s="106" t="n">
        <v>4.4</v>
      </c>
      <c r="AD31" s="106" t="n">
        <v>1</v>
      </c>
      <c r="AE31" s="106" t="n">
        <v>6</v>
      </c>
      <c r="AF31" s="106" t="n">
        <v>0.3</v>
      </c>
      <c r="AG31" s="106"/>
      <c r="AH31" s="106" t="n">
        <v>0.3</v>
      </c>
    </row>
    <row r="32" customFormat="false" ht="15" hidden="false" customHeight="false" outlineLevel="0" collapsed="false">
      <c r="B32" s="107" t="n">
        <v>30</v>
      </c>
      <c r="C32" s="109" t="s">
        <v>313</v>
      </c>
      <c r="D32" s="109" t="n">
        <v>87</v>
      </c>
      <c r="E32" s="109" t="n">
        <v>13.1</v>
      </c>
      <c r="F32" s="109" t="n">
        <v>75</v>
      </c>
      <c r="G32" s="109" t="n">
        <v>37</v>
      </c>
      <c r="H32" s="109" t="n">
        <v>118</v>
      </c>
      <c r="I32" s="109" t="n">
        <v>14.8</v>
      </c>
      <c r="J32" s="109" t="n">
        <v>160</v>
      </c>
      <c r="K32" s="109" t="n">
        <v>67</v>
      </c>
      <c r="L32" s="109" t="n">
        <v>33</v>
      </c>
      <c r="M32" s="109" t="n">
        <v>23</v>
      </c>
      <c r="N32" s="109" t="n">
        <v>717</v>
      </c>
      <c r="O32" s="109" t="n">
        <v>74</v>
      </c>
      <c r="P32" s="109" t="n">
        <v>80</v>
      </c>
      <c r="Q32" s="109" t="n">
        <v>25</v>
      </c>
      <c r="R32" s="109" t="n">
        <v>80</v>
      </c>
      <c r="S32" s="109" t="n">
        <v>77</v>
      </c>
      <c r="T32" s="109" t="n">
        <v>87</v>
      </c>
      <c r="U32" s="109" t="n">
        <v>88</v>
      </c>
      <c r="V32" s="109" t="n">
        <v>77</v>
      </c>
      <c r="W32" s="109" t="n">
        <v>13</v>
      </c>
      <c r="X32" s="109"/>
      <c r="Y32" s="109" t="n">
        <v>637</v>
      </c>
      <c r="Z32" s="109" t="n">
        <v>94</v>
      </c>
      <c r="AA32" s="109"/>
      <c r="AB32" s="109" t="n">
        <v>0.8</v>
      </c>
      <c r="AC32" s="109" t="n">
        <v>4.6</v>
      </c>
      <c r="AD32" s="109" t="n">
        <v>1.3</v>
      </c>
      <c r="AE32" s="109" t="n">
        <v>4</v>
      </c>
      <c r="AF32" s="109"/>
      <c r="AG32" s="109"/>
      <c r="AH32" s="109"/>
    </row>
    <row r="33" customFormat="false" ht="15" hidden="false" customHeight="false" outlineLevel="0" collapsed="false">
      <c r="B33" s="104" t="n">
        <v>31</v>
      </c>
      <c r="C33" s="106" t="s">
        <v>404</v>
      </c>
      <c r="D33" s="106" t="n">
        <v>50</v>
      </c>
      <c r="E33" s="106" t="n">
        <v>13.5</v>
      </c>
      <c r="F33" s="106"/>
      <c r="G33" s="106"/>
      <c r="H33" s="106" t="n">
        <v>48</v>
      </c>
      <c r="I33" s="106" t="n">
        <v>15.1</v>
      </c>
      <c r="J33" s="106" t="n">
        <v>80</v>
      </c>
      <c r="K33" s="106" t="n">
        <v>50</v>
      </c>
      <c r="L33" s="106" t="n">
        <v>50</v>
      </c>
      <c r="M33" s="106" t="n">
        <v>30</v>
      </c>
      <c r="N33" s="106" t="n">
        <v>790</v>
      </c>
      <c r="O33" s="106" t="n">
        <v>60</v>
      </c>
      <c r="P33" s="106" t="n">
        <v>80</v>
      </c>
      <c r="Q33" s="106" t="n">
        <v>30</v>
      </c>
      <c r="R33" s="106" t="n">
        <v>90</v>
      </c>
      <c r="S33" s="106" t="n">
        <v>84</v>
      </c>
      <c r="T33" s="106"/>
      <c r="U33" s="106"/>
      <c r="V33" s="106"/>
      <c r="W33" s="106"/>
      <c r="X33" s="106"/>
      <c r="Y33" s="106"/>
      <c r="Z33" s="106"/>
      <c r="AA33" s="106"/>
      <c r="AB33" s="106" t="n">
        <v>1</v>
      </c>
      <c r="AC33" s="106" t="n">
        <v>4</v>
      </c>
      <c r="AD33" s="106"/>
      <c r="AE33" s="106"/>
      <c r="AF33" s="106"/>
      <c r="AG33" s="106"/>
      <c r="AH33" s="106"/>
    </row>
    <row r="34" customFormat="false" ht="15" hidden="false" customHeight="false" outlineLevel="0" collapsed="false">
      <c r="B34" s="107" t="n">
        <v>32</v>
      </c>
      <c r="C34" s="109" t="s">
        <v>405</v>
      </c>
      <c r="D34" s="109" t="n">
        <v>82</v>
      </c>
      <c r="E34" s="109" t="n">
        <v>10.7</v>
      </c>
      <c r="F34" s="109" t="n">
        <v>91</v>
      </c>
      <c r="G34" s="109" t="n">
        <v>-107</v>
      </c>
      <c r="H34" s="109" t="n">
        <v>0</v>
      </c>
      <c r="I34" s="109" t="n">
        <v>12</v>
      </c>
      <c r="J34" s="109" t="n">
        <v>43</v>
      </c>
      <c r="K34" s="109" t="n">
        <v>0</v>
      </c>
      <c r="L34" s="109" t="n">
        <v>79</v>
      </c>
      <c r="M34" s="109" t="n">
        <v>30</v>
      </c>
      <c r="N34" s="109" t="n">
        <v>848</v>
      </c>
      <c r="O34" s="109" t="n">
        <v>0</v>
      </c>
      <c r="P34" s="109" t="n">
        <v>0</v>
      </c>
      <c r="Q34" s="109" t="n">
        <v>47</v>
      </c>
      <c r="R34" s="109" t="n">
        <v>80</v>
      </c>
      <c r="S34" s="109" t="n">
        <v>74</v>
      </c>
      <c r="T34" s="109" t="n">
        <v>36</v>
      </c>
      <c r="U34" s="109" t="n">
        <v>49</v>
      </c>
      <c r="V34" s="109" t="n">
        <v>82</v>
      </c>
      <c r="W34" s="109" t="n">
        <v>457</v>
      </c>
      <c r="X34" s="109"/>
      <c r="Y34" s="109" t="n">
        <v>0</v>
      </c>
      <c r="Z34" s="109" t="n">
        <v>288</v>
      </c>
      <c r="AA34" s="109"/>
      <c r="AB34" s="109" t="n">
        <v>4.5</v>
      </c>
      <c r="AC34" s="109" t="n">
        <v>1</v>
      </c>
      <c r="AD34" s="109"/>
      <c r="AE34" s="109"/>
      <c r="AF34" s="109"/>
      <c r="AG34" s="109"/>
      <c r="AH34" s="109"/>
    </row>
    <row r="35" customFormat="false" ht="15" hidden="false" customHeight="false" outlineLevel="0" collapsed="false">
      <c r="B35" s="104" t="n">
        <v>33</v>
      </c>
      <c r="C35" s="106" t="s">
        <v>406</v>
      </c>
      <c r="D35" s="106" t="n">
        <v>90</v>
      </c>
      <c r="E35" s="106" t="n">
        <v>14.6</v>
      </c>
      <c r="F35" s="106" t="n">
        <v>110</v>
      </c>
      <c r="G35" s="106" t="n">
        <v>332</v>
      </c>
      <c r="H35" s="106" t="n">
        <v>450</v>
      </c>
      <c r="I35" s="106" t="n">
        <v>17.7</v>
      </c>
      <c r="J35" s="106" t="n">
        <v>500</v>
      </c>
      <c r="K35" s="106" t="n">
        <v>10</v>
      </c>
      <c r="L35" s="106" t="n">
        <v>20</v>
      </c>
      <c r="M35" s="106" t="n">
        <v>70</v>
      </c>
      <c r="N35" s="106" t="n">
        <v>400</v>
      </c>
      <c r="O35" s="106" t="n">
        <v>90</v>
      </c>
      <c r="P35" s="106" t="n">
        <v>75</v>
      </c>
      <c r="Q35" s="106" t="n">
        <v>90</v>
      </c>
      <c r="R35" s="106" t="n">
        <v>90</v>
      </c>
      <c r="S35" s="106" t="n">
        <v>90</v>
      </c>
      <c r="T35" s="106"/>
      <c r="U35" s="106" t="n">
        <v>80</v>
      </c>
      <c r="V35" s="106" t="n">
        <v>82</v>
      </c>
      <c r="W35" s="106"/>
      <c r="X35" s="106"/>
      <c r="Y35" s="106"/>
      <c r="Z35" s="106"/>
      <c r="AA35" s="106"/>
      <c r="AB35" s="106" t="n">
        <v>2.2</v>
      </c>
      <c r="AC35" s="106" t="n">
        <v>15.6</v>
      </c>
      <c r="AD35" s="106" t="n">
        <v>2.6</v>
      </c>
      <c r="AE35" s="106" t="n">
        <v>24</v>
      </c>
      <c r="AF35" s="106" t="n">
        <v>2.4</v>
      </c>
      <c r="AG35" s="106"/>
      <c r="AH35" s="106" t="n">
        <v>2.4</v>
      </c>
    </row>
    <row r="36" customFormat="false" ht="15" hidden="false" customHeight="false" outlineLevel="0" collapsed="false">
      <c r="B36" s="107" t="n">
        <v>34</v>
      </c>
      <c r="C36" s="109" t="s">
        <v>407</v>
      </c>
      <c r="D36" s="109" t="n">
        <v>88</v>
      </c>
      <c r="E36" s="109" t="n">
        <v>15.3</v>
      </c>
      <c r="F36" s="109" t="n">
        <v>3</v>
      </c>
      <c r="G36" s="109" t="n">
        <v>865</v>
      </c>
      <c r="H36" s="109" t="n">
        <v>783</v>
      </c>
      <c r="I36" s="109" t="n">
        <v>19.5</v>
      </c>
      <c r="J36" s="109" t="n">
        <v>870</v>
      </c>
      <c r="K36" s="109" t="n">
        <v>0</v>
      </c>
      <c r="L36" s="109" t="n">
        <v>0</v>
      </c>
      <c r="M36" s="109" t="n">
        <v>100</v>
      </c>
      <c r="N36" s="109" t="n">
        <v>30</v>
      </c>
      <c r="O36" s="109" t="n">
        <v>90</v>
      </c>
      <c r="P36" s="109" t="n">
        <v>0</v>
      </c>
      <c r="Q36" s="109" t="n">
        <v>0</v>
      </c>
      <c r="R36" s="109" t="n">
        <v>100</v>
      </c>
      <c r="S36" s="109" t="n">
        <v>91</v>
      </c>
      <c r="T36" s="109"/>
      <c r="U36" s="109" t="n">
        <v>100</v>
      </c>
      <c r="V36" s="109" t="n">
        <v>82</v>
      </c>
      <c r="W36" s="109" t="n">
        <v>0</v>
      </c>
      <c r="X36" s="109"/>
      <c r="Y36" s="109" t="n">
        <v>0</v>
      </c>
      <c r="Z36" s="109"/>
      <c r="AA36" s="109"/>
      <c r="AB36" s="109" t="n">
        <v>34</v>
      </c>
      <c r="AC36" s="109" t="n">
        <v>19</v>
      </c>
      <c r="AD36" s="109" t="n">
        <v>0.1</v>
      </c>
      <c r="AE36" s="109" t="n">
        <v>0</v>
      </c>
      <c r="AF36" s="109" t="n">
        <v>0.2</v>
      </c>
      <c r="AG36" s="109"/>
      <c r="AH36" s="109" t="n">
        <v>0.2</v>
      </c>
    </row>
    <row r="37" customFormat="false" ht="15" hidden="false" customHeight="false" outlineLevel="0" collapsed="false">
      <c r="B37" s="104" t="n">
        <v>35</v>
      </c>
      <c r="C37" s="106" t="s">
        <v>408</v>
      </c>
      <c r="D37" s="106" t="n">
        <v>94</v>
      </c>
      <c r="E37" s="106" t="n">
        <v>14.7</v>
      </c>
      <c r="F37" s="106" t="n">
        <v>125</v>
      </c>
      <c r="G37" s="106" t="n">
        <v>32</v>
      </c>
      <c r="H37" s="106" t="n">
        <v>178</v>
      </c>
      <c r="I37" s="106" t="n">
        <v>16.5</v>
      </c>
      <c r="J37" s="106" t="n">
        <v>223</v>
      </c>
      <c r="K37" s="106" t="n">
        <v>113</v>
      </c>
      <c r="L37" s="106" t="n">
        <v>115</v>
      </c>
      <c r="M37" s="106" t="n">
        <v>57</v>
      </c>
      <c r="N37" s="106" t="n">
        <v>492</v>
      </c>
      <c r="O37" s="106" t="n">
        <v>80</v>
      </c>
      <c r="P37" s="106" t="n">
        <v>95</v>
      </c>
      <c r="Q37" s="106" t="n">
        <v>65</v>
      </c>
      <c r="R37" s="106" t="n">
        <v>85</v>
      </c>
      <c r="S37" s="106" t="n">
        <v>82</v>
      </c>
      <c r="T37" s="106" t="n">
        <v>56</v>
      </c>
      <c r="U37" s="106" t="n">
        <v>54</v>
      </c>
      <c r="V37" s="106" t="n">
        <v>83</v>
      </c>
      <c r="W37" s="106" t="n">
        <v>110</v>
      </c>
      <c r="X37" s="106"/>
      <c r="Y37" s="106" t="n">
        <v>6</v>
      </c>
      <c r="Z37" s="106" t="n">
        <v>388</v>
      </c>
      <c r="AA37" s="106"/>
      <c r="AB37" s="106" t="n">
        <v>1</v>
      </c>
      <c r="AC37" s="106" t="n">
        <v>5.4</v>
      </c>
      <c r="AD37" s="106" t="n">
        <v>3.3</v>
      </c>
      <c r="AE37" s="106" t="n">
        <v>21</v>
      </c>
      <c r="AF37" s="106" t="n">
        <v>1</v>
      </c>
      <c r="AG37" s="106" t="n">
        <v>202</v>
      </c>
      <c r="AH37" s="106" t="n">
        <v>1</v>
      </c>
    </row>
    <row r="38" customFormat="false" ht="15" hidden="false" customHeight="false" outlineLevel="0" collapsed="false">
      <c r="B38" s="107" t="n">
        <v>36</v>
      </c>
      <c r="C38" s="109" t="s">
        <v>409</v>
      </c>
      <c r="D38" s="109" t="n">
        <v>92</v>
      </c>
      <c r="E38" s="109" t="n">
        <v>12</v>
      </c>
      <c r="F38" s="109" t="n">
        <v>153</v>
      </c>
      <c r="G38" s="109" t="n">
        <v>26</v>
      </c>
      <c r="H38" s="109" t="n">
        <v>208</v>
      </c>
      <c r="I38" s="109" t="n">
        <v>14.3</v>
      </c>
      <c r="J38" s="109" t="n">
        <v>260</v>
      </c>
      <c r="K38" s="109" t="n">
        <v>10</v>
      </c>
      <c r="L38" s="109" t="n">
        <v>160</v>
      </c>
      <c r="M38" s="109" t="n">
        <v>70</v>
      </c>
      <c r="N38" s="109" t="n">
        <v>500</v>
      </c>
      <c r="O38" s="109" t="n">
        <v>80</v>
      </c>
      <c r="P38" s="109" t="n">
        <v>80</v>
      </c>
      <c r="Q38" s="109" t="n">
        <v>60</v>
      </c>
      <c r="R38" s="109" t="n">
        <v>85</v>
      </c>
      <c r="S38" s="109" t="n">
        <v>79</v>
      </c>
      <c r="T38" s="109"/>
      <c r="U38" s="109" t="n">
        <v>46</v>
      </c>
      <c r="V38" s="109" t="n">
        <v>82</v>
      </c>
      <c r="W38" s="109" t="n">
        <v>112</v>
      </c>
      <c r="X38" s="109"/>
      <c r="Y38" s="109" t="n">
        <v>19</v>
      </c>
      <c r="Z38" s="109" t="n">
        <v>580</v>
      </c>
      <c r="AA38" s="109"/>
      <c r="AB38" s="109" t="n">
        <v>1.4</v>
      </c>
      <c r="AC38" s="109" t="n">
        <v>6.4</v>
      </c>
      <c r="AD38" s="109" t="n">
        <v>3.6</v>
      </c>
      <c r="AE38" s="109" t="n">
        <v>23</v>
      </c>
      <c r="AF38" s="109" t="n">
        <v>0.6</v>
      </c>
      <c r="AG38" s="109"/>
      <c r="AH38" s="109" t="n">
        <v>0.6</v>
      </c>
    </row>
    <row r="39" customFormat="false" ht="15" hidden="false" customHeight="false" outlineLevel="0" collapsed="false">
      <c r="B39" s="104" t="n">
        <v>37</v>
      </c>
      <c r="C39" s="106" t="s">
        <v>410</v>
      </c>
      <c r="D39" s="106" t="n">
        <v>7</v>
      </c>
      <c r="E39" s="106" t="n">
        <v>12.5</v>
      </c>
      <c r="F39" s="106" t="n">
        <v>72</v>
      </c>
      <c r="G39" s="106" t="n">
        <v>184</v>
      </c>
      <c r="H39" s="106" t="n">
        <v>210</v>
      </c>
      <c r="I39" s="106" t="n">
        <v>14.4</v>
      </c>
      <c r="J39" s="106" t="n">
        <v>300</v>
      </c>
      <c r="K39" s="106" t="n">
        <v>120</v>
      </c>
      <c r="L39" s="106" t="n">
        <v>90</v>
      </c>
      <c r="M39" s="106" t="n">
        <v>40</v>
      </c>
      <c r="N39" s="106" t="n">
        <v>450</v>
      </c>
      <c r="O39" s="106" t="n">
        <v>70</v>
      </c>
      <c r="P39" s="106" t="n">
        <v>80</v>
      </c>
      <c r="Q39" s="106" t="n">
        <v>60</v>
      </c>
      <c r="R39" s="106" t="n">
        <v>65</v>
      </c>
      <c r="S39" s="106" t="n">
        <v>68</v>
      </c>
      <c r="T39" s="106"/>
      <c r="U39" s="106" t="n">
        <v>82</v>
      </c>
      <c r="V39" s="106" t="n">
        <v>77</v>
      </c>
      <c r="W39" s="106"/>
      <c r="X39" s="106"/>
      <c r="Y39" s="106"/>
      <c r="Z39" s="106"/>
      <c r="AA39" s="106"/>
      <c r="AB39" s="106" t="n">
        <v>2.5</v>
      </c>
      <c r="AC39" s="106" t="n">
        <v>7.5</v>
      </c>
      <c r="AD39" s="106" t="n">
        <v>2</v>
      </c>
      <c r="AE39" s="106" t="n">
        <v>1</v>
      </c>
      <c r="AF39" s="106" t="n">
        <v>0.3</v>
      </c>
      <c r="AG39" s="106"/>
      <c r="AH39" s="106" t="n">
        <v>0.3</v>
      </c>
    </row>
    <row r="40" customFormat="false" ht="15" hidden="false" customHeight="false" outlineLevel="0" collapsed="false">
      <c r="A40" s="1" t="s">
        <v>69</v>
      </c>
      <c r="B40" s="107" t="n">
        <v>38</v>
      </c>
      <c r="C40" s="109" t="s">
        <v>411</v>
      </c>
      <c r="D40" s="109" t="n">
        <v>90</v>
      </c>
      <c r="E40" s="109" t="n">
        <v>11.6</v>
      </c>
      <c r="F40" s="109" t="n">
        <v>141</v>
      </c>
      <c r="G40" s="109" t="n">
        <v>20</v>
      </c>
      <c r="H40" s="109" t="n">
        <v>180</v>
      </c>
      <c r="I40" s="109" t="n">
        <v>13.6</v>
      </c>
      <c r="J40" s="109" t="n">
        <v>240</v>
      </c>
      <c r="K40" s="109" t="n">
        <v>80</v>
      </c>
      <c r="L40" s="109" t="n">
        <v>170</v>
      </c>
      <c r="M40" s="109" t="n">
        <v>40</v>
      </c>
      <c r="N40" s="109" t="n">
        <v>470</v>
      </c>
      <c r="O40" s="109" t="n">
        <v>75</v>
      </c>
      <c r="P40" s="109" t="n">
        <v>85</v>
      </c>
      <c r="Q40" s="109" t="n">
        <v>55</v>
      </c>
      <c r="R40" s="109" t="n">
        <v>65</v>
      </c>
      <c r="S40" s="109" t="n">
        <v>67</v>
      </c>
      <c r="T40" s="109"/>
      <c r="U40" s="109" t="n">
        <v>38</v>
      </c>
      <c r="V40" s="109" t="n">
        <v>78</v>
      </c>
      <c r="W40" s="109" t="n">
        <v>20</v>
      </c>
      <c r="X40" s="109" t="n">
        <v>29</v>
      </c>
      <c r="Y40" s="109" t="n">
        <v>100</v>
      </c>
      <c r="Z40" s="109" t="n">
        <v>460</v>
      </c>
      <c r="AA40" s="109" t="n">
        <v>60</v>
      </c>
      <c r="AB40" s="109" t="n">
        <v>2</v>
      </c>
      <c r="AC40" s="109" t="n">
        <v>5.5</v>
      </c>
      <c r="AD40" s="109" t="n">
        <v>2</v>
      </c>
      <c r="AE40" s="109" t="n">
        <v>1</v>
      </c>
      <c r="AF40" s="109" t="n">
        <v>0.3</v>
      </c>
      <c r="AG40" s="109"/>
      <c r="AH40" s="109" t="n">
        <v>0.3</v>
      </c>
    </row>
    <row r="41" customFormat="false" ht="15" hidden="false" customHeight="false" outlineLevel="0" collapsed="false">
      <c r="B41" s="104" t="n">
        <v>39</v>
      </c>
      <c r="C41" s="106" t="s">
        <v>412</v>
      </c>
      <c r="D41" s="106" t="n">
        <v>90</v>
      </c>
      <c r="E41" s="106" t="n">
        <v>11.8</v>
      </c>
      <c r="F41" s="106" t="n">
        <v>155</v>
      </c>
      <c r="G41" s="106" t="n">
        <v>40</v>
      </c>
      <c r="H41" s="106" t="n">
        <v>210</v>
      </c>
      <c r="I41" s="106" t="n">
        <v>13.9</v>
      </c>
      <c r="J41" s="106" t="n">
        <v>280</v>
      </c>
      <c r="K41" s="106" t="n">
        <v>80</v>
      </c>
      <c r="L41" s="106" t="n">
        <v>170</v>
      </c>
      <c r="M41" s="106" t="n">
        <v>40</v>
      </c>
      <c r="N41" s="106" t="n">
        <v>430</v>
      </c>
      <c r="O41" s="106" t="n">
        <v>75</v>
      </c>
      <c r="P41" s="106" t="n">
        <v>85</v>
      </c>
      <c r="Q41" s="106" t="n">
        <v>55</v>
      </c>
      <c r="R41" s="106" t="n">
        <v>65</v>
      </c>
      <c r="S41" s="106" t="n">
        <v>67</v>
      </c>
      <c r="T41" s="106" t="n">
        <v>36</v>
      </c>
      <c r="U41" s="106" t="n">
        <v>38</v>
      </c>
      <c r="V41" s="106" t="n">
        <v>78</v>
      </c>
      <c r="W41" s="106"/>
      <c r="X41" s="106"/>
      <c r="Y41" s="106"/>
      <c r="Z41" s="106" t="n">
        <v>483</v>
      </c>
      <c r="AA41" s="106"/>
      <c r="AB41" s="106" t="n">
        <v>2</v>
      </c>
      <c r="AC41" s="106" t="n">
        <v>5.5</v>
      </c>
      <c r="AD41" s="106" t="n">
        <v>1.5</v>
      </c>
      <c r="AE41" s="106" t="n">
        <v>1</v>
      </c>
      <c r="AF41" s="106" t="n">
        <v>0.6</v>
      </c>
      <c r="AG41" s="106"/>
      <c r="AH41" s="106" t="n">
        <v>0.6</v>
      </c>
    </row>
    <row r="42" customFormat="false" ht="15" hidden="false" customHeight="false" outlineLevel="0" collapsed="false">
      <c r="B42" s="107" t="n">
        <v>40</v>
      </c>
      <c r="C42" s="109" t="s">
        <v>413</v>
      </c>
      <c r="D42" s="109" t="n">
        <v>37</v>
      </c>
      <c r="E42" s="109" t="n">
        <v>9.8</v>
      </c>
      <c r="F42" s="109" t="n">
        <v>61</v>
      </c>
      <c r="G42" s="109" t="n">
        <v>-9</v>
      </c>
      <c r="H42" s="109" t="n">
        <v>75</v>
      </c>
      <c r="I42" s="109" t="n">
        <v>11.8</v>
      </c>
      <c r="J42" s="109" t="n">
        <v>113</v>
      </c>
      <c r="K42" s="109" t="n">
        <v>23</v>
      </c>
      <c r="L42" s="109" t="n">
        <v>295</v>
      </c>
      <c r="M42" s="109" t="n">
        <v>68</v>
      </c>
      <c r="N42" s="109" t="n">
        <v>501</v>
      </c>
      <c r="O42" s="109"/>
      <c r="P42" s="109" t="n">
        <v>60</v>
      </c>
      <c r="Q42" s="109" t="n">
        <v>60</v>
      </c>
      <c r="R42" s="109" t="n">
        <v>75</v>
      </c>
      <c r="S42" s="109" t="n">
        <v>72</v>
      </c>
      <c r="T42" s="109" t="n">
        <v>45</v>
      </c>
      <c r="U42" s="109" t="n">
        <v>80</v>
      </c>
      <c r="V42" s="109" t="n">
        <v>17</v>
      </c>
      <c r="W42" s="109" t="n">
        <v>18</v>
      </c>
      <c r="X42" s="109" t="n">
        <v>31</v>
      </c>
      <c r="Y42" s="109" t="n">
        <v>204</v>
      </c>
      <c r="Z42" s="109" t="n">
        <v>559</v>
      </c>
      <c r="AA42" s="109"/>
      <c r="AB42" s="109" t="n">
        <v>4.7</v>
      </c>
      <c r="AC42" s="109" t="n">
        <v>2.7</v>
      </c>
      <c r="AD42" s="109" t="n">
        <v>1.4</v>
      </c>
      <c r="AE42" s="109" t="n">
        <v>18.2</v>
      </c>
      <c r="AF42" s="109" t="n">
        <v>0.7</v>
      </c>
      <c r="AG42" s="109" t="n">
        <v>239</v>
      </c>
      <c r="AH42" s="109" t="n">
        <v>1.6</v>
      </c>
    </row>
    <row r="43" customFormat="false" ht="15" hidden="false" customHeight="false" outlineLevel="0" collapsed="false">
      <c r="B43" s="104" t="n">
        <v>41</v>
      </c>
      <c r="C43" s="106" t="s">
        <v>414</v>
      </c>
      <c r="D43" s="106" t="n">
        <v>87</v>
      </c>
      <c r="E43" s="106" t="n">
        <v>10.3</v>
      </c>
      <c r="F43" s="106" t="n">
        <v>70</v>
      </c>
      <c r="G43" s="106" t="n">
        <v>28</v>
      </c>
      <c r="H43" s="106" t="n">
        <v>105</v>
      </c>
      <c r="I43" s="106" t="n">
        <v>11.8</v>
      </c>
      <c r="J43" s="106" t="n">
        <v>140</v>
      </c>
      <c r="K43" s="106" t="n">
        <v>50</v>
      </c>
      <c r="L43" s="106" t="n">
        <v>160</v>
      </c>
      <c r="M43" s="106" t="n">
        <v>60</v>
      </c>
      <c r="N43" s="106" t="n">
        <v>590</v>
      </c>
      <c r="O43" s="106" t="n">
        <v>75</v>
      </c>
      <c r="P43" s="106" t="n">
        <v>75</v>
      </c>
      <c r="Q43" s="106" t="n">
        <v>30</v>
      </c>
      <c r="R43" s="106" t="n">
        <v>70</v>
      </c>
      <c r="S43" s="106" t="n">
        <v>64</v>
      </c>
      <c r="T43" s="106"/>
      <c r="U43" s="106" t="n">
        <v>79</v>
      </c>
      <c r="V43" s="106" t="n">
        <v>82</v>
      </c>
      <c r="W43" s="106"/>
      <c r="X43" s="106"/>
      <c r="Y43" s="106"/>
      <c r="Z43" s="106"/>
      <c r="AA43" s="106"/>
      <c r="AB43" s="106" t="n">
        <v>1.1</v>
      </c>
      <c r="AC43" s="106" t="n">
        <v>8</v>
      </c>
      <c r="AD43" s="106"/>
      <c r="AE43" s="106"/>
      <c r="AF43" s="106"/>
      <c r="AG43" s="106"/>
      <c r="AH43" s="106"/>
    </row>
    <row r="44" customFormat="false" ht="15" hidden="false" customHeight="false" outlineLevel="0" collapsed="false">
      <c r="A44" s="1" t="s">
        <v>36</v>
      </c>
      <c r="B44" s="107" t="n">
        <v>42</v>
      </c>
      <c r="C44" s="109" t="s">
        <v>415</v>
      </c>
      <c r="D44" s="109" t="n">
        <v>87</v>
      </c>
      <c r="E44" s="109" t="n">
        <v>13.2</v>
      </c>
      <c r="F44" s="109" t="n">
        <v>90</v>
      </c>
      <c r="G44" s="109" t="n">
        <v>-29</v>
      </c>
      <c r="H44" s="109" t="n">
        <v>93</v>
      </c>
      <c r="I44" s="109" t="n">
        <v>15</v>
      </c>
      <c r="J44" s="109" t="n">
        <v>122</v>
      </c>
      <c r="K44" s="109" t="n">
        <v>27</v>
      </c>
      <c r="L44" s="109" t="n">
        <v>62</v>
      </c>
      <c r="M44" s="109" t="n">
        <v>28</v>
      </c>
      <c r="N44" s="109" t="n">
        <v>761</v>
      </c>
      <c r="O44" s="109" t="n">
        <v>76</v>
      </c>
      <c r="P44" s="109" t="n">
        <v>75</v>
      </c>
      <c r="Q44" s="109" t="n">
        <v>30</v>
      </c>
      <c r="R44" s="109" t="n">
        <v>89</v>
      </c>
      <c r="S44" s="109" t="n">
        <v>86</v>
      </c>
      <c r="T44" s="109" t="n">
        <v>53</v>
      </c>
      <c r="U44" s="109" t="n">
        <v>78</v>
      </c>
      <c r="V44" s="109" t="n">
        <v>69</v>
      </c>
      <c r="W44" s="109" t="n">
        <v>24</v>
      </c>
      <c r="X44" s="109" t="n">
        <v>22</v>
      </c>
      <c r="Y44" s="109" t="n">
        <v>518</v>
      </c>
      <c r="Z44" s="109" t="n">
        <v>229</v>
      </c>
      <c r="AA44" s="109" t="n">
        <v>20</v>
      </c>
      <c r="AB44" s="109" t="n">
        <v>0.4</v>
      </c>
      <c r="AC44" s="109" t="n">
        <v>4</v>
      </c>
      <c r="AD44" s="109" t="n">
        <v>1.3</v>
      </c>
      <c r="AE44" s="109" t="n">
        <v>5.9</v>
      </c>
      <c r="AF44" s="109" t="n">
        <v>0.3</v>
      </c>
      <c r="AG44" s="109" t="n">
        <v>15</v>
      </c>
      <c r="AH44" s="109" t="n">
        <v>0.3</v>
      </c>
    </row>
    <row r="45" customFormat="false" ht="15" hidden="false" customHeight="false" outlineLevel="0" collapsed="false">
      <c r="B45" s="104" t="n">
        <v>43</v>
      </c>
      <c r="C45" s="106" t="s">
        <v>416</v>
      </c>
      <c r="D45" s="106" t="n">
        <v>86</v>
      </c>
      <c r="E45" s="106" t="n">
        <v>12.2</v>
      </c>
      <c r="F45" s="106" t="n">
        <v>84</v>
      </c>
      <c r="G45" s="106" t="n">
        <v>174</v>
      </c>
      <c r="H45" s="106" t="n">
        <v>281</v>
      </c>
      <c r="I45" s="106" t="n">
        <v>14.7</v>
      </c>
      <c r="J45" s="106" t="n">
        <v>351</v>
      </c>
      <c r="K45" s="106" t="n">
        <v>36</v>
      </c>
      <c r="L45" s="106" t="n">
        <v>137</v>
      </c>
      <c r="M45" s="106" t="n">
        <v>70</v>
      </c>
      <c r="N45" s="106" t="n">
        <v>406</v>
      </c>
      <c r="O45" s="106" t="n">
        <v>80</v>
      </c>
      <c r="P45" s="106" t="n">
        <v>75</v>
      </c>
      <c r="Q45" s="106" t="n">
        <v>70</v>
      </c>
      <c r="R45" s="106" t="n">
        <v>75</v>
      </c>
      <c r="S45" s="106" t="n">
        <v>76</v>
      </c>
      <c r="T45" s="106"/>
      <c r="U45" s="106" t="n">
        <v>70</v>
      </c>
      <c r="V45" s="106" t="n">
        <v>47</v>
      </c>
      <c r="W45" s="106" t="n">
        <v>150</v>
      </c>
      <c r="X45" s="106" t="n">
        <v>23</v>
      </c>
      <c r="Y45" s="106" t="n">
        <v>50</v>
      </c>
      <c r="Z45" s="106" t="n">
        <v>422</v>
      </c>
      <c r="AA45" s="106" t="n">
        <v>30</v>
      </c>
      <c r="AB45" s="106" t="n">
        <v>2.6</v>
      </c>
      <c r="AC45" s="106" t="n">
        <v>8.8</v>
      </c>
      <c r="AD45" s="106" t="n">
        <v>2</v>
      </c>
      <c r="AE45" s="106" t="n">
        <v>22</v>
      </c>
      <c r="AF45" s="106" t="n">
        <v>0.8</v>
      </c>
      <c r="AG45" s="106"/>
      <c r="AH45" s="106" t="n">
        <v>0.8</v>
      </c>
    </row>
    <row r="46" customFormat="false" ht="15" hidden="false" customHeight="false" outlineLevel="0" collapsed="false">
      <c r="B46" s="107" t="n">
        <v>44</v>
      </c>
      <c r="C46" s="109" t="s">
        <v>417</v>
      </c>
      <c r="D46" s="109" t="n">
        <v>12</v>
      </c>
      <c r="E46" s="109" t="n">
        <v>12.4</v>
      </c>
      <c r="F46" s="109" t="n">
        <v>90</v>
      </c>
      <c r="G46" s="109" t="n">
        <v>-53</v>
      </c>
      <c r="H46" s="109" t="n">
        <v>63</v>
      </c>
      <c r="I46" s="109" t="n">
        <v>14.4</v>
      </c>
      <c r="J46" s="109" t="n">
        <v>105</v>
      </c>
      <c r="K46" s="109" t="n">
        <v>10</v>
      </c>
      <c r="L46" s="109" t="n">
        <v>100</v>
      </c>
      <c r="M46" s="109" t="n">
        <v>60</v>
      </c>
      <c r="N46" s="109" t="n">
        <v>725</v>
      </c>
      <c r="O46" s="109" t="n">
        <v>60</v>
      </c>
      <c r="P46" s="109" t="n">
        <v>0</v>
      </c>
      <c r="Q46" s="109" t="n">
        <v>75</v>
      </c>
      <c r="R46" s="109" t="n">
        <v>95</v>
      </c>
      <c r="S46" s="109" t="n">
        <v>87</v>
      </c>
      <c r="T46" s="109"/>
      <c r="U46" s="109" t="n">
        <v>80</v>
      </c>
      <c r="V46" s="109" t="n">
        <v>61</v>
      </c>
      <c r="W46" s="109" t="n">
        <v>400</v>
      </c>
      <c r="X46" s="109"/>
      <c r="Y46" s="109" t="n">
        <v>0</v>
      </c>
      <c r="Z46" s="109" t="n">
        <v>440</v>
      </c>
      <c r="AA46" s="109" t="n">
        <v>100</v>
      </c>
      <c r="AB46" s="109" t="n">
        <v>4.2</v>
      </c>
      <c r="AC46" s="109" t="n">
        <v>2.8</v>
      </c>
      <c r="AD46" s="109" t="n">
        <v>1</v>
      </c>
      <c r="AE46" s="109" t="n">
        <v>18</v>
      </c>
      <c r="AF46" s="109" t="n">
        <v>1.1</v>
      </c>
      <c r="AG46" s="109"/>
      <c r="AH46" s="109" t="n">
        <v>1.7</v>
      </c>
    </row>
    <row r="47" customFormat="false" ht="15" hidden="false" customHeight="false" outlineLevel="0" collapsed="false">
      <c r="A47" s="1" t="s">
        <v>44</v>
      </c>
      <c r="B47" s="104" t="n">
        <v>45</v>
      </c>
      <c r="C47" s="106" t="s">
        <v>418</v>
      </c>
      <c r="D47" s="106" t="n">
        <v>93</v>
      </c>
      <c r="E47" s="106" t="n">
        <v>20.1</v>
      </c>
      <c r="F47" s="106" t="n">
        <v>51</v>
      </c>
      <c r="G47" s="106" t="n">
        <v>154</v>
      </c>
      <c r="H47" s="106" t="n">
        <v>206</v>
      </c>
      <c r="I47" s="106" t="n">
        <v>20.8</v>
      </c>
      <c r="J47" s="106" t="n">
        <v>240</v>
      </c>
      <c r="K47" s="106" t="n">
        <v>380</v>
      </c>
      <c r="L47" s="106" t="n">
        <v>70</v>
      </c>
      <c r="M47" s="106" t="n">
        <v>40</v>
      </c>
      <c r="N47" s="106" t="n">
        <v>270</v>
      </c>
      <c r="O47" s="106" t="n">
        <v>86</v>
      </c>
      <c r="P47" s="106" t="n">
        <v>90</v>
      </c>
      <c r="Q47" s="106" t="n">
        <v>30</v>
      </c>
      <c r="R47" s="106" t="n">
        <v>80</v>
      </c>
      <c r="S47" s="106" t="n">
        <v>82</v>
      </c>
      <c r="T47" s="106"/>
      <c r="U47" s="106" t="n">
        <v>82</v>
      </c>
      <c r="V47" s="106" t="n">
        <v>70</v>
      </c>
      <c r="W47" s="106" t="n">
        <v>26</v>
      </c>
      <c r="X47" s="106"/>
      <c r="Y47" s="106" t="n">
        <v>54</v>
      </c>
      <c r="Z47" s="106" t="n">
        <v>140</v>
      </c>
      <c r="AA47" s="106"/>
      <c r="AB47" s="106" t="n">
        <v>2.8</v>
      </c>
      <c r="AC47" s="106" t="n">
        <v>5.7</v>
      </c>
      <c r="AD47" s="106" t="n">
        <v>3.9</v>
      </c>
      <c r="AE47" s="106" t="n">
        <v>9</v>
      </c>
      <c r="AF47" s="106" t="n">
        <v>0.4</v>
      </c>
      <c r="AG47" s="106"/>
      <c r="AH47" s="106" t="n">
        <v>0.4</v>
      </c>
    </row>
    <row r="48" customFormat="false" ht="15" hidden="false" customHeight="false" outlineLevel="0" collapsed="false">
      <c r="B48" s="107" t="n">
        <v>46</v>
      </c>
      <c r="C48" s="109" t="s">
        <v>419</v>
      </c>
      <c r="D48" s="109" t="n">
        <v>90</v>
      </c>
      <c r="E48" s="109" t="n">
        <v>16.2</v>
      </c>
      <c r="F48" s="109" t="n">
        <v>78</v>
      </c>
      <c r="G48" s="109" t="n">
        <v>178</v>
      </c>
      <c r="H48" s="109" t="n">
        <v>255</v>
      </c>
      <c r="I48" s="109" t="n">
        <v>17.8</v>
      </c>
      <c r="J48" s="109" t="n">
        <v>297</v>
      </c>
      <c r="K48" s="109" t="n">
        <v>198</v>
      </c>
      <c r="L48" s="109" t="n">
        <v>93</v>
      </c>
      <c r="M48" s="109" t="n">
        <v>50</v>
      </c>
      <c r="N48" s="109" t="n">
        <v>362</v>
      </c>
      <c r="O48" s="109" t="n">
        <v>86</v>
      </c>
      <c r="P48" s="109" t="n">
        <v>90</v>
      </c>
      <c r="Q48" s="109" t="n">
        <v>30</v>
      </c>
      <c r="R48" s="109" t="n">
        <v>80</v>
      </c>
      <c r="S48" s="109" t="n">
        <v>82</v>
      </c>
      <c r="T48" s="109" t="n">
        <v>50</v>
      </c>
      <c r="U48" s="109" t="n">
        <v>79</v>
      </c>
      <c r="V48" s="109" t="n">
        <v>83</v>
      </c>
      <c r="W48" s="109" t="n">
        <v>54</v>
      </c>
      <c r="X48" s="109"/>
      <c r="Y48" s="109" t="n">
        <v>26</v>
      </c>
      <c r="Z48" s="109" t="n">
        <v>465</v>
      </c>
      <c r="AA48" s="109"/>
      <c r="AB48" s="109" t="n">
        <v>3.7</v>
      </c>
      <c r="AC48" s="109" t="n">
        <v>8.6</v>
      </c>
      <c r="AD48" s="109" t="n">
        <v>5.2</v>
      </c>
      <c r="AE48" s="109" t="n">
        <v>11</v>
      </c>
      <c r="AF48" s="109" t="n">
        <v>0.8</v>
      </c>
      <c r="AG48" s="109"/>
      <c r="AH48" s="109" t="n">
        <v>0.8</v>
      </c>
    </row>
    <row r="49" customFormat="false" ht="15" hidden="false" customHeight="false" outlineLevel="0" collapsed="false">
      <c r="B49" s="104" t="n">
        <v>47</v>
      </c>
      <c r="C49" s="106" t="s">
        <v>420</v>
      </c>
      <c r="D49" s="106" t="n">
        <v>90</v>
      </c>
      <c r="E49" s="106" t="n">
        <v>12.5</v>
      </c>
      <c r="F49" s="106" t="n">
        <v>151</v>
      </c>
      <c r="G49" s="106" t="n">
        <v>175</v>
      </c>
      <c r="H49" s="106" t="n">
        <v>344</v>
      </c>
      <c r="I49" s="106" t="n">
        <v>15.1</v>
      </c>
      <c r="J49" s="106" t="n">
        <v>400</v>
      </c>
      <c r="K49" s="106" t="n">
        <v>20</v>
      </c>
      <c r="L49" s="106" t="n">
        <v>110</v>
      </c>
      <c r="M49" s="106" t="n">
        <v>60</v>
      </c>
      <c r="N49" s="106" t="n">
        <v>410</v>
      </c>
      <c r="O49" s="106" t="n">
        <v>86</v>
      </c>
      <c r="P49" s="106" t="n">
        <v>70</v>
      </c>
      <c r="Q49" s="106" t="n">
        <v>30</v>
      </c>
      <c r="R49" s="106" t="n">
        <v>80</v>
      </c>
      <c r="S49" s="106" t="n">
        <v>76</v>
      </c>
      <c r="T49" s="106"/>
      <c r="U49" s="106" t="n">
        <v>60</v>
      </c>
      <c r="V49" s="106" t="n">
        <v>83</v>
      </c>
      <c r="W49" s="106" t="n">
        <v>54</v>
      </c>
      <c r="X49" s="106"/>
      <c r="Y49" s="106" t="n">
        <v>26</v>
      </c>
      <c r="Z49" s="106"/>
      <c r="AA49" s="106"/>
      <c r="AB49" s="106" t="n">
        <v>3.9</v>
      </c>
      <c r="AC49" s="106" t="n">
        <v>8.8</v>
      </c>
      <c r="AD49" s="106" t="n">
        <v>5.2</v>
      </c>
      <c r="AE49" s="106" t="n">
        <v>11</v>
      </c>
      <c r="AF49" s="106" t="n">
        <v>0.8</v>
      </c>
      <c r="AG49" s="106" t="n">
        <v>34</v>
      </c>
      <c r="AH49" s="106" t="n">
        <v>0.8</v>
      </c>
    </row>
    <row r="50" customFormat="false" ht="15" hidden="false" customHeight="false" outlineLevel="0" collapsed="false">
      <c r="B50" s="107" t="n">
        <v>48</v>
      </c>
      <c r="C50" s="109" t="s">
        <v>421</v>
      </c>
      <c r="D50" s="109" t="n">
        <v>87</v>
      </c>
      <c r="E50" s="109" t="n">
        <v>13.6</v>
      </c>
      <c r="F50" s="109" t="n">
        <v>139</v>
      </c>
      <c r="G50" s="109" t="n">
        <v>265</v>
      </c>
      <c r="H50" s="109" t="n">
        <v>390</v>
      </c>
      <c r="I50" s="109" t="n">
        <v>16.6</v>
      </c>
      <c r="J50" s="109" t="n">
        <v>453</v>
      </c>
      <c r="K50" s="109" t="n">
        <v>49</v>
      </c>
      <c r="L50" s="109" t="n">
        <v>163</v>
      </c>
      <c r="M50" s="109" t="n">
        <v>48</v>
      </c>
      <c r="N50" s="109" t="n">
        <v>287</v>
      </c>
      <c r="O50" s="109" t="n">
        <v>86</v>
      </c>
      <c r="P50" s="109" t="n">
        <v>75</v>
      </c>
      <c r="Q50" s="109" t="n">
        <v>70</v>
      </c>
      <c r="R50" s="109" t="n">
        <v>80</v>
      </c>
      <c r="S50" s="109" t="n">
        <v>81</v>
      </c>
      <c r="T50" s="109"/>
      <c r="U50" s="109" t="n">
        <v>72</v>
      </c>
      <c r="V50" s="109" t="n">
        <v>95</v>
      </c>
      <c r="W50" s="109" t="n">
        <v>50</v>
      </c>
      <c r="X50" s="109"/>
      <c r="Y50" s="109" t="n">
        <v>220</v>
      </c>
      <c r="Z50" s="109" t="n">
        <v>263</v>
      </c>
      <c r="AA50" s="109"/>
      <c r="AB50" s="109" t="n">
        <v>3.6</v>
      </c>
      <c r="AC50" s="109" t="n">
        <v>7.5</v>
      </c>
      <c r="AD50" s="109" t="n">
        <v>3.1</v>
      </c>
      <c r="AE50" s="109" t="n">
        <v>14</v>
      </c>
      <c r="AF50" s="109" t="n">
        <v>0.2</v>
      </c>
      <c r="AG50" s="109"/>
      <c r="AH50" s="109" t="n">
        <v>0.2</v>
      </c>
    </row>
    <row r="51" customFormat="false" ht="15" hidden="false" customHeight="false" outlineLevel="0" collapsed="false">
      <c r="B51" s="104" t="n">
        <v>49</v>
      </c>
      <c r="C51" s="106" t="s">
        <v>422</v>
      </c>
      <c r="D51" s="106" t="n">
        <v>13</v>
      </c>
      <c r="E51" s="106" t="n">
        <v>10.1</v>
      </c>
      <c r="F51" s="106" t="n">
        <v>66</v>
      </c>
      <c r="G51" s="106" t="n">
        <v>57</v>
      </c>
      <c r="H51" s="106" t="n">
        <v>138</v>
      </c>
      <c r="I51" s="106" t="n">
        <v>12.3</v>
      </c>
      <c r="J51" s="106" t="n">
        <v>180</v>
      </c>
      <c r="K51" s="106" t="n">
        <v>30</v>
      </c>
      <c r="L51" s="106" t="n">
        <v>220</v>
      </c>
      <c r="M51" s="106" t="n">
        <v>130</v>
      </c>
      <c r="N51" s="106" t="n">
        <v>440</v>
      </c>
      <c r="O51" s="106"/>
      <c r="P51" s="106" t="n">
        <v>58</v>
      </c>
      <c r="Q51" s="106" t="n">
        <v>62</v>
      </c>
      <c r="R51" s="106" t="n">
        <v>79</v>
      </c>
      <c r="S51" s="106" t="n">
        <v>74</v>
      </c>
      <c r="T51" s="106"/>
      <c r="U51" s="106" t="n">
        <v>80</v>
      </c>
      <c r="V51" s="106" t="n">
        <v>61</v>
      </c>
      <c r="W51" s="106" t="n">
        <v>10</v>
      </c>
      <c r="X51" s="106"/>
      <c r="Y51" s="106" t="n">
        <v>60</v>
      </c>
      <c r="Z51" s="106"/>
      <c r="AA51" s="106"/>
      <c r="AB51" s="106" t="n">
        <v>10.2</v>
      </c>
      <c r="AC51" s="106" t="n">
        <v>2.6</v>
      </c>
      <c r="AD51" s="106" t="n">
        <v>2.3</v>
      </c>
      <c r="AE51" s="106" t="n">
        <v>32</v>
      </c>
      <c r="AF51" s="106" t="n">
        <v>0.5</v>
      </c>
      <c r="AG51" s="106"/>
      <c r="AH51" s="106" t="n">
        <v>0.5</v>
      </c>
    </row>
    <row r="52" customFormat="false" ht="15" hidden="false" customHeight="false" outlineLevel="0" collapsed="false">
      <c r="A52" s="1" t="s">
        <v>228</v>
      </c>
      <c r="B52" s="107" t="n">
        <v>50</v>
      </c>
      <c r="C52" s="109" t="s">
        <v>423</v>
      </c>
      <c r="D52" s="109" t="n">
        <v>92</v>
      </c>
      <c r="E52" s="109" t="n">
        <v>16</v>
      </c>
      <c r="F52" s="109" t="n">
        <v>476</v>
      </c>
      <c r="G52" s="109" t="n">
        <v>82</v>
      </c>
      <c r="H52" s="109" t="n">
        <v>598</v>
      </c>
      <c r="I52" s="109" t="n">
        <v>19.6</v>
      </c>
      <c r="J52" s="109" t="n">
        <v>672</v>
      </c>
      <c r="K52" s="109" t="n">
        <v>24</v>
      </c>
      <c r="L52" s="109" t="n">
        <v>22</v>
      </c>
      <c r="M52" s="109" t="n">
        <v>18</v>
      </c>
      <c r="N52" s="109" t="n">
        <v>264</v>
      </c>
      <c r="O52" s="109" t="n">
        <v>89</v>
      </c>
      <c r="P52" s="109" t="n">
        <v>85</v>
      </c>
      <c r="Q52" s="109" t="n">
        <v>30</v>
      </c>
      <c r="R52" s="109" t="n">
        <v>95</v>
      </c>
      <c r="S52" s="109" t="n">
        <v>88</v>
      </c>
      <c r="T52" s="109" t="n">
        <v>71</v>
      </c>
      <c r="U52" s="109" t="n">
        <v>19</v>
      </c>
      <c r="V52" s="109" t="n">
        <v>97</v>
      </c>
      <c r="W52" s="109" t="n">
        <v>0</v>
      </c>
      <c r="X52" s="109" t="n">
        <v>12</v>
      </c>
      <c r="Y52" s="109" t="n">
        <v>150</v>
      </c>
      <c r="Z52" s="109" t="n">
        <v>140</v>
      </c>
      <c r="AA52" s="109" t="n">
        <v>10</v>
      </c>
      <c r="AB52" s="109" t="n">
        <v>0.4</v>
      </c>
      <c r="AC52" s="109" t="n">
        <v>3.3</v>
      </c>
      <c r="AD52" s="109" t="n">
        <v>1.2</v>
      </c>
      <c r="AE52" s="109" t="n">
        <v>1</v>
      </c>
      <c r="AF52" s="109" t="n">
        <v>0.6</v>
      </c>
      <c r="AG52" s="109"/>
      <c r="AH52" s="109" t="n">
        <v>0.6</v>
      </c>
    </row>
    <row r="53" customFormat="false" ht="15" hidden="false" customHeight="false" outlineLevel="0" collapsed="false">
      <c r="A53" s="1" t="s">
        <v>32</v>
      </c>
      <c r="B53" s="104" t="n">
        <v>51</v>
      </c>
      <c r="C53" s="106" t="s">
        <v>424</v>
      </c>
      <c r="D53" s="106" t="n">
        <v>22</v>
      </c>
      <c r="E53" s="106" t="n">
        <v>10.4</v>
      </c>
      <c r="F53" s="106" t="n">
        <v>76</v>
      </c>
      <c r="G53" s="106" t="n">
        <v>-40</v>
      </c>
      <c r="H53" s="106" t="n">
        <v>62</v>
      </c>
      <c r="I53" s="106" t="n">
        <v>12.6</v>
      </c>
      <c r="J53" s="106" t="n">
        <v>99</v>
      </c>
      <c r="K53" s="106" t="n">
        <v>22</v>
      </c>
      <c r="L53" s="106" t="n">
        <v>299</v>
      </c>
      <c r="M53" s="106" t="n">
        <v>65</v>
      </c>
      <c r="N53" s="106" t="n">
        <v>515</v>
      </c>
      <c r="O53" s="106"/>
      <c r="P53" s="106" t="n">
        <v>71</v>
      </c>
      <c r="Q53" s="106" t="n">
        <v>74</v>
      </c>
      <c r="R53" s="106" t="n">
        <v>76</v>
      </c>
      <c r="S53" s="106" t="n">
        <v>71</v>
      </c>
      <c r="T53" s="106" t="n">
        <v>35</v>
      </c>
      <c r="U53" s="106" t="n">
        <v>70</v>
      </c>
      <c r="V53" s="106" t="n">
        <v>57</v>
      </c>
      <c r="W53" s="106"/>
      <c r="X53" s="106"/>
      <c r="Y53" s="106"/>
      <c r="Z53" s="106" t="n">
        <v>617</v>
      </c>
      <c r="AA53" s="106"/>
      <c r="AB53" s="106" t="n">
        <v>6.5</v>
      </c>
      <c r="AC53" s="106" t="n">
        <v>2.5</v>
      </c>
      <c r="AD53" s="106" t="n">
        <v>1.3</v>
      </c>
      <c r="AE53" s="106" t="n">
        <v>16</v>
      </c>
      <c r="AF53" s="106" t="n">
        <v>0.4</v>
      </c>
      <c r="AG53" s="106" t="n">
        <v>299</v>
      </c>
      <c r="AH53" s="106" t="n">
        <v>0.2</v>
      </c>
    </row>
    <row r="54" customFormat="false" ht="15" hidden="false" customHeight="false" outlineLevel="0" collapsed="false">
      <c r="B54" s="107" t="n">
        <v>52</v>
      </c>
      <c r="C54" s="109" t="s">
        <v>425</v>
      </c>
      <c r="D54" s="109" t="n">
        <v>32</v>
      </c>
      <c r="E54" s="109" t="n">
        <v>11</v>
      </c>
      <c r="F54" s="109" t="n">
        <v>82</v>
      </c>
      <c r="G54" s="109" t="n">
        <v>-55</v>
      </c>
      <c r="H54" s="109" t="n">
        <v>54</v>
      </c>
      <c r="I54" s="109" t="n">
        <v>13</v>
      </c>
      <c r="J54" s="109" t="n">
        <v>91</v>
      </c>
      <c r="K54" s="109" t="n">
        <v>22</v>
      </c>
      <c r="L54" s="109" t="n">
        <v>231</v>
      </c>
      <c r="M54" s="109" t="n">
        <v>44</v>
      </c>
      <c r="N54" s="109" t="n">
        <v>612</v>
      </c>
      <c r="O54" s="109"/>
      <c r="P54" s="109" t="n">
        <v>71</v>
      </c>
      <c r="Q54" s="109" t="n">
        <v>68</v>
      </c>
      <c r="R54" s="109" t="n">
        <v>80</v>
      </c>
      <c r="S54" s="109" t="n">
        <v>75</v>
      </c>
      <c r="T54" s="109" t="n">
        <v>31</v>
      </c>
      <c r="U54" s="109" t="n">
        <v>67</v>
      </c>
      <c r="V54" s="109" t="n">
        <v>67</v>
      </c>
      <c r="W54" s="109" t="n">
        <v>75</v>
      </c>
      <c r="X54" s="109" t="n">
        <v>28</v>
      </c>
      <c r="Y54" s="109" t="n">
        <v>223</v>
      </c>
      <c r="Z54" s="109" t="n">
        <v>496</v>
      </c>
      <c r="AA54" s="109"/>
      <c r="AB54" s="109" t="n">
        <v>2.4</v>
      </c>
      <c r="AC54" s="109" t="n">
        <v>2.3</v>
      </c>
      <c r="AD54" s="109" t="n">
        <v>1.2</v>
      </c>
      <c r="AE54" s="109" t="n">
        <v>11.1</v>
      </c>
      <c r="AF54" s="109" t="n">
        <v>0.4</v>
      </c>
      <c r="AG54" s="109" t="n">
        <v>174</v>
      </c>
      <c r="AH54" s="109" t="n">
        <v>0.2</v>
      </c>
    </row>
    <row r="55" customFormat="false" ht="15" hidden="false" customHeight="false" outlineLevel="0" collapsed="false">
      <c r="A55" s="1" t="s">
        <v>40</v>
      </c>
      <c r="B55" s="104" t="n">
        <v>53</v>
      </c>
      <c r="C55" s="106" t="s">
        <v>426</v>
      </c>
      <c r="D55" s="106" t="n">
        <v>48</v>
      </c>
      <c r="E55" s="106" t="n">
        <v>12.8</v>
      </c>
      <c r="F55" s="106"/>
      <c r="G55" s="106"/>
      <c r="H55" s="106" t="n">
        <v>73</v>
      </c>
      <c r="I55" s="106" t="n">
        <v>14.5</v>
      </c>
      <c r="J55" s="106" t="n">
        <v>111</v>
      </c>
      <c r="K55" s="106" t="n">
        <v>40</v>
      </c>
      <c r="L55" s="106" t="n">
        <v>63</v>
      </c>
      <c r="M55" s="106" t="n">
        <v>23</v>
      </c>
      <c r="N55" s="106" t="n">
        <v>763</v>
      </c>
      <c r="O55" s="106" t="n">
        <v>66</v>
      </c>
      <c r="P55" s="106" t="n">
        <v>60</v>
      </c>
      <c r="Q55" s="106" t="n">
        <v>63</v>
      </c>
      <c r="R55" s="106" t="n">
        <v>85</v>
      </c>
      <c r="S55" s="106" t="n">
        <v>80</v>
      </c>
      <c r="T55" s="106"/>
      <c r="U55" s="106" t="n">
        <v>0</v>
      </c>
      <c r="V55" s="106" t="n">
        <v>0</v>
      </c>
      <c r="W55" s="106" t="n">
        <v>27</v>
      </c>
      <c r="X55" s="106"/>
      <c r="Y55" s="106" t="n">
        <v>550</v>
      </c>
      <c r="Z55" s="106" t="n">
        <v>280</v>
      </c>
      <c r="AA55" s="106" t="n">
        <v>20</v>
      </c>
      <c r="AB55" s="106" t="n">
        <v>0.5</v>
      </c>
      <c r="AC55" s="106" t="n">
        <v>3.6</v>
      </c>
      <c r="AD55" s="106" t="n">
        <v>0.5</v>
      </c>
      <c r="AE55" s="106" t="n">
        <v>5.3</v>
      </c>
      <c r="AF55" s="106" t="n">
        <v>0.2</v>
      </c>
      <c r="AG55" s="106"/>
      <c r="AH55" s="106" t="n">
        <v>0.2</v>
      </c>
    </row>
    <row r="56" customFormat="false" ht="15" hidden="false" customHeight="false" outlineLevel="0" collapsed="false">
      <c r="B56" s="107" t="n">
        <v>54</v>
      </c>
      <c r="C56" s="109" t="s">
        <v>427</v>
      </c>
      <c r="D56" s="109" t="n">
        <v>87</v>
      </c>
      <c r="E56" s="109" t="n">
        <v>14.6</v>
      </c>
      <c r="F56" s="109" t="n">
        <v>122</v>
      </c>
      <c r="G56" s="109" t="n">
        <v>-89</v>
      </c>
      <c r="H56" s="109" t="n">
        <v>73</v>
      </c>
      <c r="I56" s="109" t="n">
        <v>16.4</v>
      </c>
      <c r="J56" s="109" t="n">
        <v>100</v>
      </c>
      <c r="K56" s="109" t="n">
        <v>50</v>
      </c>
      <c r="L56" s="109" t="n">
        <v>25</v>
      </c>
      <c r="M56" s="109" t="n">
        <v>15</v>
      </c>
      <c r="N56" s="109" t="n">
        <v>810</v>
      </c>
      <c r="O56" s="109" t="n">
        <v>73</v>
      </c>
      <c r="P56" s="109" t="n">
        <v>85</v>
      </c>
      <c r="Q56" s="109" t="n">
        <v>30</v>
      </c>
      <c r="R56" s="109" t="n">
        <v>93</v>
      </c>
      <c r="S56" s="109" t="n">
        <v>89</v>
      </c>
      <c r="T56" s="109" t="n">
        <v>54</v>
      </c>
      <c r="U56" s="109" t="n">
        <v>47</v>
      </c>
      <c r="V56" s="109" t="n">
        <v>90</v>
      </c>
      <c r="W56" s="109" t="n">
        <v>17</v>
      </c>
      <c r="X56" s="109"/>
      <c r="Y56" s="109" t="n">
        <v>712</v>
      </c>
      <c r="Z56" s="109" t="n">
        <v>94</v>
      </c>
      <c r="AA56" s="109" t="n">
        <v>10</v>
      </c>
      <c r="AB56" s="109" t="n">
        <v>0.1</v>
      </c>
      <c r="AC56" s="109" t="n">
        <v>3</v>
      </c>
      <c r="AD56" s="109" t="n">
        <v>1.2</v>
      </c>
      <c r="AE56" s="109" t="n">
        <v>3.8</v>
      </c>
      <c r="AF56" s="109" t="n">
        <v>0.1</v>
      </c>
      <c r="AG56" s="109"/>
      <c r="AH56" s="109" t="n">
        <v>0.1</v>
      </c>
    </row>
    <row r="57" customFormat="false" ht="15" hidden="false" customHeight="false" outlineLevel="0" collapsed="false">
      <c r="B57" s="104" t="n">
        <v>55</v>
      </c>
      <c r="C57" s="106" t="s">
        <v>428</v>
      </c>
      <c r="D57" s="106" t="n">
        <v>13</v>
      </c>
      <c r="E57" s="106" t="n">
        <v>21.7</v>
      </c>
      <c r="F57" s="106" t="n">
        <v>39</v>
      </c>
      <c r="G57" s="106" t="n">
        <v>200</v>
      </c>
      <c r="H57" s="106" t="n">
        <v>252</v>
      </c>
      <c r="I57" s="106" t="n">
        <v>22.7</v>
      </c>
      <c r="J57" s="106" t="n">
        <v>265</v>
      </c>
      <c r="K57" s="106" t="n">
        <v>310</v>
      </c>
      <c r="L57" s="106" t="n">
        <v>0</v>
      </c>
      <c r="M57" s="106" t="n">
        <v>60</v>
      </c>
      <c r="N57" s="106" t="n">
        <v>365</v>
      </c>
      <c r="O57" s="106" t="n">
        <v>95</v>
      </c>
      <c r="P57" s="106" t="n">
        <v>100</v>
      </c>
      <c r="Q57" s="106" t="n">
        <v>0</v>
      </c>
      <c r="R57" s="106" t="n">
        <v>100</v>
      </c>
      <c r="S57" s="106" t="n">
        <v>99</v>
      </c>
      <c r="T57" s="106"/>
      <c r="U57" s="106" t="n">
        <v>100</v>
      </c>
      <c r="V57" s="106" t="n">
        <v>100</v>
      </c>
      <c r="W57" s="106" t="n">
        <v>365</v>
      </c>
      <c r="X57" s="106"/>
      <c r="Y57" s="106" t="n">
        <v>0</v>
      </c>
      <c r="Z57" s="106" t="n">
        <v>0</v>
      </c>
      <c r="AA57" s="106" t="n">
        <v>0</v>
      </c>
      <c r="AB57" s="106" t="n">
        <v>10</v>
      </c>
      <c r="AC57" s="106" t="n">
        <v>7.4</v>
      </c>
      <c r="AD57" s="106" t="n">
        <v>0.9</v>
      </c>
      <c r="AE57" s="106" t="n">
        <v>11</v>
      </c>
      <c r="AF57" s="106" t="n">
        <v>3.2</v>
      </c>
      <c r="AG57" s="106" t="n">
        <v>64</v>
      </c>
      <c r="AH57" s="106" t="n">
        <v>3.2</v>
      </c>
    </row>
    <row r="58" customFormat="false" ht="15" hidden="false" customHeight="false" outlineLevel="0" collapsed="false">
      <c r="B58" s="107" t="n">
        <v>56</v>
      </c>
      <c r="C58" s="109" t="s">
        <v>429</v>
      </c>
      <c r="D58" s="109" t="n">
        <v>8</v>
      </c>
      <c r="E58" s="109" t="n">
        <v>14.9</v>
      </c>
      <c r="F58" s="109" t="n">
        <v>52</v>
      </c>
      <c r="G58" s="109" t="n">
        <v>252</v>
      </c>
      <c r="H58" s="109" t="n">
        <v>289</v>
      </c>
      <c r="I58" s="109" t="n">
        <v>17</v>
      </c>
      <c r="J58" s="109" t="n">
        <v>340</v>
      </c>
      <c r="K58" s="109" t="n">
        <v>55</v>
      </c>
      <c r="L58" s="109" t="n">
        <v>0</v>
      </c>
      <c r="M58" s="109" t="n">
        <v>115</v>
      </c>
      <c r="N58" s="109" t="n">
        <v>490</v>
      </c>
      <c r="O58" s="109" t="n">
        <v>85</v>
      </c>
      <c r="P58" s="109" t="n">
        <v>100</v>
      </c>
      <c r="Q58" s="109" t="n">
        <v>0</v>
      </c>
      <c r="R58" s="109" t="n">
        <v>100</v>
      </c>
      <c r="S58" s="109" t="n">
        <v>94</v>
      </c>
      <c r="T58" s="109"/>
      <c r="U58" s="109" t="n">
        <v>100</v>
      </c>
      <c r="V58" s="109" t="n">
        <v>100</v>
      </c>
      <c r="W58" s="109" t="n">
        <v>490</v>
      </c>
      <c r="X58" s="109"/>
      <c r="Y58" s="109" t="n">
        <v>0</v>
      </c>
      <c r="Z58" s="109" t="n">
        <v>0</v>
      </c>
      <c r="AA58" s="109" t="n">
        <v>0</v>
      </c>
      <c r="AB58" s="109" t="n">
        <v>16</v>
      </c>
      <c r="AC58" s="109" t="n">
        <v>11</v>
      </c>
      <c r="AD58" s="109" t="n">
        <v>1.1</v>
      </c>
      <c r="AE58" s="109" t="n">
        <v>18</v>
      </c>
      <c r="AF58" s="109"/>
      <c r="AG58" s="109"/>
      <c r="AH58" s="109"/>
    </row>
    <row r="59" customFormat="false" ht="15" hidden="false" customHeight="false" outlineLevel="0" collapsed="false">
      <c r="A59" s="1" t="s">
        <v>72</v>
      </c>
      <c r="B59" s="104" t="n">
        <v>57</v>
      </c>
      <c r="C59" s="106" t="s">
        <v>430</v>
      </c>
      <c r="D59" s="106" t="n">
        <v>7</v>
      </c>
      <c r="E59" s="106" t="n">
        <v>13.6</v>
      </c>
      <c r="F59" s="106" t="n">
        <v>82</v>
      </c>
      <c r="G59" s="106" t="n">
        <v>-18</v>
      </c>
      <c r="H59" s="106" t="n">
        <v>85</v>
      </c>
      <c r="I59" s="106" t="n">
        <v>15.1</v>
      </c>
      <c r="J59" s="106" t="n">
        <v>120</v>
      </c>
      <c r="K59" s="106" t="n">
        <v>10</v>
      </c>
      <c r="L59" s="106" t="n">
        <v>0</v>
      </c>
      <c r="M59" s="106" t="n">
        <v>100</v>
      </c>
      <c r="N59" s="106" t="n">
        <v>770</v>
      </c>
      <c r="O59" s="106" t="n">
        <v>71</v>
      </c>
      <c r="P59" s="106" t="n">
        <v>100</v>
      </c>
      <c r="Q59" s="106" t="n">
        <v>0</v>
      </c>
      <c r="R59" s="106" t="n">
        <v>100</v>
      </c>
      <c r="S59" s="106" t="n">
        <v>96</v>
      </c>
      <c r="T59" s="106"/>
      <c r="U59" s="106" t="n">
        <v>100</v>
      </c>
      <c r="V59" s="106" t="n">
        <v>100</v>
      </c>
      <c r="W59" s="106" t="n">
        <v>770</v>
      </c>
      <c r="X59" s="106"/>
      <c r="Y59" s="106" t="n">
        <v>0</v>
      </c>
      <c r="Z59" s="106" t="n">
        <v>0</v>
      </c>
      <c r="AA59" s="106" t="n">
        <v>0</v>
      </c>
      <c r="AB59" s="106" t="n">
        <v>7.2</v>
      </c>
      <c r="AC59" s="106" t="n">
        <v>7.9</v>
      </c>
      <c r="AD59" s="106" t="n">
        <v>1.4</v>
      </c>
      <c r="AE59" s="106" t="n">
        <v>24</v>
      </c>
      <c r="AF59" s="106" t="n">
        <v>10.6</v>
      </c>
      <c r="AG59" s="106"/>
      <c r="AH59" s="106" t="n">
        <v>10</v>
      </c>
    </row>
    <row r="60" customFormat="false" ht="15" hidden="false" customHeight="false" outlineLevel="0" collapsed="false">
      <c r="B60" s="107" t="n">
        <v>58</v>
      </c>
      <c r="C60" s="109" t="s">
        <v>431</v>
      </c>
      <c r="D60" s="109" t="n">
        <v>6</v>
      </c>
      <c r="E60" s="109" t="n">
        <v>13.5</v>
      </c>
      <c r="F60" s="109" t="n">
        <v>91</v>
      </c>
      <c r="G60" s="109" t="n">
        <v>-99</v>
      </c>
      <c r="H60" s="109" t="n">
        <v>20</v>
      </c>
      <c r="I60" s="109" t="n">
        <v>14.8</v>
      </c>
      <c r="J60" s="109" t="n">
        <v>54</v>
      </c>
      <c r="K60" s="109" t="n">
        <v>5</v>
      </c>
      <c r="L60" s="109" t="n">
        <v>0</v>
      </c>
      <c r="M60" s="109" t="n">
        <v>87</v>
      </c>
      <c r="N60" s="109" t="n">
        <v>854</v>
      </c>
      <c r="O60" s="109" t="n">
        <v>37</v>
      </c>
      <c r="P60" s="109" t="n">
        <v>100</v>
      </c>
      <c r="Q60" s="109" t="n">
        <v>0</v>
      </c>
      <c r="R60" s="109" t="n">
        <v>100</v>
      </c>
      <c r="S60" s="109" t="n">
        <v>96</v>
      </c>
      <c r="T60" s="109"/>
      <c r="U60" s="109" t="n">
        <v>100</v>
      </c>
      <c r="V60" s="109" t="n">
        <v>100</v>
      </c>
      <c r="W60" s="109" t="n">
        <v>854</v>
      </c>
      <c r="X60" s="109"/>
      <c r="Y60" s="109" t="n">
        <v>0</v>
      </c>
      <c r="Z60" s="109" t="n">
        <v>0</v>
      </c>
      <c r="AA60" s="109" t="n">
        <v>0</v>
      </c>
      <c r="AB60" s="109" t="n">
        <v>4.6</v>
      </c>
      <c r="AC60" s="109" t="n">
        <v>7.4</v>
      </c>
      <c r="AD60" s="109" t="n">
        <v>1.4</v>
      </c>
      <c r="AE60" s="109" t="n">
        <v>13</v>
      </c>
      <c r="AF60" s="109" t="n">
        <v>8.3</v>
      </c>
      <c r="AG60" s="109"/>
      <c r="AH60" s="109" t="n">
        <v>8.6</v>
      </c>
    </row>
    <row r="61" customFormat="false" ht="15" hidden="false" customHeight="false" outlineLevel="0" collapsed="false">
      <c r="B61" s="104" t="n">
        <v>59</v>
      </c>
      <c r="C61" s="106" t="s">
        <v>432</v>
      </c>
      <c r="D61" s="106" t="n">
        <v>12</v>
      </c>
      <c r="E61" s="106" t="n">
        <v>12.1</v>
      </c>
      <c r="F61" s="106" t="n">
        <v>88</v>
      </c>
      <c r="G61" s="106" t="n">
        <v>-49</v>
      </c>
      <c r="H61" s="106" t="n">
        <v>63</v>
      </c>
      <c r="I61" s="106" t="n">
        <v>13.9</v>
      </c>
      <c r="J61" s="106" t="n">
        <v>105</v>
      </c>
      <c r="K61" s="106" t="n">
        <v>10</v>
      </c>
      <c r="L61" s="106" t="n">
        <v>110</v>
      </c>
      <c r="M61" s="106" t="n">
        <v>80</v>
      </c>
      <c r="N61" s="106" t="n">
        <v>695</v>
      </c>
      <c r="O61" s="106" t="n">
        <v>60</v>
      </c>
      <c r="P61" s="106" t="n">
        <v>0</v>
      </c>
      <c r="Q61" s="106" t="n">
        <v>75</v>
      </c>
      <c r="R61" s="106" t="n">
        <v>95</v>
      </c>
      <c r="S61" s="106" t="n">
        <v>87</v>
      </c>
      <c r="T61" s="106"/>
      <c r="U61" s="106" t="n">
        <v>80</v>
      </c>
      <c r="V61" s="106" t="n">
        <v>65</v>
      </c>
      <c r="W61" s="106" t="n">
        <v>600</v>
      </c>
      <c r="X61" s="106"/>
      <c r="Y61" s="106" t="n">
        <v>0</v>
      </c>
      <c r="Z61" s="106" t="n">
        <v>90</v>
      </c>
      <c r="AA61" s="106" t="n">
        <v>0</v>
      </c>
      <c r="AB61" s="106" t="n">
        <v>3.3</v>
      </c>
      <c r="AC61" s="106" t="n">
        <v>2.8</v>
      </c>
      <c r="AD61" s="106" t="n">
        <v>2</v>
      </c>
      <c r="AE61" s="106" t="n">
        <v>28</v>
      </c>
      <c r="AF61" s="106" t="n">
        <v>10.4</v>
      </c>
      <c r="AG61" s="106"/>
      <c r="AH61" s="106" t="n">
        <v>10.4</v>
      </c>
    </row>
    <row r="62" customFormat="false" ht="15" hidden="false" customHeight="false" outlineLevel="0" collapsed="false">
      <c r="A62" s="1" t="s">
        <v>56</v>
      </c>
      <c r="B62" s="107" t="n">
        <v>60</v>
      </c>
      <c r="C62" s="109" t="s">
        <v>433</v>
      </c>
      <c r="D62" s="109" t="n">
        <v>91</v>
      </c>
      <c r="E62" s="109" t="n">
        <v>13.4</v>
      </c>
      <c r="F62" s="109" t="n">
        <v>115</v>
      </c>
      <c r="G62" s="109" t="n">
        <v>-35</v>
      </c>
      <c r="H62" s="109" t="n">
        <v>126</v>
      </c>
      <c r="I62" s="109" t="n">
        <v>15</v>
      </c>
      <c r="J62" s="109" t="n">
        <v>154</v>
      </c>
      <c r="K62" s="109" t="n">
        <v>97</v>
      </c>
      <c r="L62" s="109" t="n">
        <v>228</v>
      </c>
      <c r="M62" s="109" t="n">
        <v>44</v>
      </c>
      <c r="N62" s="109" t="n">
        <v>477</v>
      </c>
      <c r="O62" s="109" t="n">
        <v>82</v>
      </c>
      <c r="P62" s="109" t="n">
        <v>90</v>
      </c>
      <c r="Q62" s="109" t="n">
        <v>40</v>
      </c>
      <c r="R62" s="109" t="n">
        <v>90</v>
      </c>
      <c r="S62" s="109" t="n">
        <v>80</v>
      </c>
      <c r="T62" s="109"/>
      <c r="U62" s="109" t="n">
        <v>38</v>
      </c>
      <c r="V62" s="109" t="n">
        <v>73</v>
      </c>
      <c r="W62" s="109" t="n">
        <v>150</v>
      </c>
      <c r="X62" s="109" t="n">
        <v>19</v>
      </c>
      <c r="Y62" s="109" t="n">
        <v>0</v>
      </c>
      <c r="Z62" s="109" t="n">
        <v>620</v>
      </c>
      <c r="AA62" s="109"/>
      <c r="AB62" s="109" t="n">
        <v>2.1</v>
      </c>
      <c r="AC62" s="109" t="n">
        <v>6.5</v>
      </c>
      <c r="AD62" s="109" t="n">
        <v>3.1</v>
      </c>
      <c r="AE62" s="109" t="n">
        <v>8</v>
      </c>
      <c r="AF62" s="109" t="n">
        <v>0.1</v>
      </c>
      <c r="AG62" s="109"/>
      <c r="AH62" s="109" t="n">
        <v>0.1</v>
      </c>
    </row>
    <row r="63" customFormat="false" ht="15" hidden="false" customHeight="false" outlineLevel="0" collapsed="false">
      <c r="B63" s="104" t="n">
        <v>61</v>
      </c>
      <c r="C63" s="106" t="s">
        <v>434</v>
      </c>
      <c r="D63" s="106" t="n">
        <v>91</v>
      </c>
      <c r="E63" s="106" t="n">
        <v>12.5</v>
      </c>
      <c r="F63" s="106" t="n">
        <v>151</v>
      </c>
      <c r="G63" s="106" t="n">
        <v>-30</v>
      </c>
      <c r="H63" s="106" t="n">
        <v>166</v>
      </c>
      <c r="I63" s="106" t="n">
        <v>14.7</v>
      </c>
      <c r="J63" s="106" t="n">
        <v>202</v>
      </c>
      <c r="K63" s="106" t="n">
        <v>13</v>
      </c>
      <c r="L63" s="106" t="n">
        <v>168</v>
      </c>
      <c r="M63" s="106" t="n">
        <v>46</v>
      </c>
      <c r="N63" s="106" t="n">
        <v>571</v>
      </c>
      <c r="O63" s="106" t="n">
        <v>82</v>
      </c>
      <c r="P63" s="106" t="n">
        <v>75</v>
      </c>
      <c r="Q63" s="106" t="n">
        <v>50</v>
      </c>
      <c r="R63" s="106" t="n">
        <v>90</v>
      </c>
      <c r="S63" s="106" t="n">
        <v>80</v>
      </c>
      <c r="T63" s="106"/>
      <c r="U63" s="106" t="n">
        <v>38</v>
      </c>
      <c r="V63" s="106" t="n">
        <v>82</v>
      </c>
      <c r="W63" s="106" t="n">
        <v>150</v>
      </c>
      <c r="X63" s="106"/>
      <c r="Y63" s="106" t="n">
        <v>50</v>
      </c>
      <c r="Z63" s="106" t="n">
        <v>620</v>
      </c>
      <c r="AA63" s="106"/>
      <c r="AB63" s="106" t="n">
        <v>2.1</v>
      </c>
      <c r="AC63" s="106" t="n">
        <v>6.5</v>
      </c>
      <c r="AD63" s="106" t="n">
        <v>3.1</v>
      </c>
      <c r="AE63" s="106" t="n">
        <v>8</v>
      </c>
      <c r="AF63" s="106" t="n">
        <v>0.1</v>
      </c>
      <c r="AG63" s="106"/>
      <c r="AH63" s="106" t="n">
        <v>0.1</v>
      </c>
    </row>
    <row r="64" customFormat="false" ht="15" hidden="false" customHeight="false" outlineLevel="0" collapsed="false">
      <c r="B64" s="107" t="n">
        <v>62</v>
      </c>
      <c r="C64" s="109" t="s">
        <v>435</v>
      </c>
      <c r="D64" s="109" t="n">
        <v>6</v>
      </c>
      <c r="E64" s="109" t="n">
        <v>11.4</v>
      </c>
      <c r="F64" s="109" t="n">
        <v>94</v>
      </c>
      <c r="G64" s="109" t="n">
        <v>52</v>
      </c>
      <c r="H64" s="109" t="n">
        <v>160</v>
      </c>
      <c r="I64" s="109" t="n">
        <v>13.3</v>
      </c>
      <c r="J64" s="109" t="n">
        <v>200</v>
      </c>
      <c r="K64" s="109" t="n">
        <v>7</v>
      </c>
      <c r="L64" s="109" t="n">
        <v>59</v>
      </c>
      <c r="M64" s="109" t="n">
        <v>113</v>
      </c>
      <c r="N64" s="109" t="n">
        <v>621</v>
      </c>
      <c r="O64" s="109" t="n">
        <v>80</v>
      </c>
      <c r="P64" s="109" t="n">
        <v>65</v>
      </c>
      <c r="Q64" s="109" t="n">
        <v>60</v>
      </c>
      <c r="R64" s="109" t="n">
        <v>81</v>
      </c>
      <c r="S64" s="109" t="n">
        <v>80</v>
      </c>
      <c r="T64" s="109"/>
      <c r="U64" s="109" t="n">
        <v>74</v>
      </c>
      <c r="V64" s="109" t="n">
        <v>82</v>
      </c>
      <c r="W64" s="109"/>
      <c r="X64" s="109"/>
      <c r="Y64" s="109"/>
      <c r="Z64" s="109"/>
      <c r="AA64" s="109"/>
      <c r="AB64" s="109" t="n">
        <v>2.8</v>
      </c>
      <c r="AC64" s="109" t="n">
        <v>7.3</v>
      </c>
      <c r="AD64" s="109" t="n">
        <v>0</v>
      </c>
      <c r="AE64" s="109" t="n">
        <v>55</v>
      </c>
      <c r="AF64" s="109" t="n">
        <v>0.6</v>
      </c>
      <c r="AG64" s="109"/>
      <c r="AH64" s="109" t="n">
        <v>0.6</v>
      </c>
    </row>
    <row r="65" customFormat="false" ht="15" hidden="false" customHeight="false" outlineLevel="0" collapsed="false">
      <c r="A65" s="1" t="s">
        <v>75</v>
      </c>
      <c r="B65" s="104" t="n">
        <v>63</v>
      </c>
      <c r="C65" s="106" t="s">
        <v>436</v>
      </c>
      <c r="D65" s="106" t="n">
        <v>23</v>
      </c>
      <c r="E65" s="106" t="n">
        <v>13.1</v>
      </c>
      <c r="F65" s="106" t="n">
        <v>92</v>
      </c>
      <c r="G65" s="106" t="n">
        <v>-70</v>
      </c>
      <c r="H65" s="106" t="n">
        <v>50</v>
      </c>
      <c r="I65" s="106" t="n">
        <v>14.9</v>
      </c>
      <c r="J65" s="106" t="n">
        <v>90</v>
      </c>
      <c r="K65" s="106" t="n">
        <v>10</v>
      </c>
      <c r="L65" s="106" t="n">
        <v>25</v>
      </c>
      <c r="M65" s="106" t="n">
        <v>55</v>
      </c>
      <c r="N65" s="106" t="n">
        <v>820</v>
      </c>
      <c r="O65" s="106" t="n">
        <v>55</v>
      </c>
      <c r="P65" s="106" t="n">
        <v>0</v>
      </c>
      <c r="Q65" s="106" t="n">
        <v>55</v>
      </c>
      <c r="R65" s="106" t="n">
        <v>95</v>
      </c>
      <c r="S65" s="106" t="n">
        <v>90</v>
      </c>
      <c r="T65" s="106"/>
      <c r="U65" s="106" t="n">
        <v>80</v>
      </c>
      <c r="V65" s="106" t="n">
        <v>65</v>
      </c>
      <c r="W65" s="106" t="n">
        <v>0</v>
      </c>
      <c r="X65" s="106" t="n">
        <v>26</v>
      </c>
      <c r="Y65" s="106" t="n">
        <v>740</v>
      </c>
      <c r="Z65" s="106" t="n">
        <v>73</v>
      </c>
      <c r="AA65" s="106" t="n">
        <v>14</v>
      </c>
      <c r="AB65" s="106" t="n">
        <v>0.3</v>
      </c>
      <c r="AC65" s="106" t="n">
        <v>2.3</v>
      </c>
      <c r="AD65" s="106" t="n">
        <v>1.4</v>
      </c>
      <c r="AE65" s="106" t="n">
        <v>22</v>
      </c>
      <c r="AF65" s="106" t="n">
        <v>0.6</v>
      </c>
      <c r="AG65" s="106" t="n">
        <v>404</v>
      </c>
      <c r="AH65" s="106" t="n">
        <v>0.6</v>
      </c>
    </row>
    <row r="66" customFormat="false" ht="15" hidden="false" customHeight="false" outlineLevel="0" collapsed="false">
      <c r="B66" s="107" t="n">
        <v>64</v>
      </c>
      <c r="C66" s="109" t="s">
        <v>437</v>
      </c>
      <c r="D66" s="109" t="n">
        <v>14</v>
      </c>
      <c r="E66" s="109" t="n">
        <v>10.8</v>
      </c>
      <c r="F66" s="109" t="n">
        <v>95</v>
      </c>
      <c r="G66" s="109" t="n">
        <v>-7</v>
      </c>
      <c r="H66" s="109" t="n">
        <v>50</v>
      </c>
      <c r="I66" s="109" t="n">
        <v>12.7</v>
      </c>
      <c r="J66" s="109" t="n">
        <v>160</v>
      </c>
      <c r="K66" s="109" t="n">
        <v>5</v>
      </c>
      <c r="L66" s="109" t="n">
        <v>180</v>
      </c>
      <c r="M66" s="109" t="n">
        <v>80</v>
      </c>
      <c r="N66" s="109" t="n">
        <v>575</v>
      </c>
      <c r="O66" s="109" t="n">
        <v>31</v>
      </c>
      <c r="P66" s="109" t="n">
        <v>0</v>
      </c>
      <c r="Q66" s="109" t="n">
        <v>73</v>
      </c>
      <c r="R66" s="109" t="n">
        <v>93</v>
      </c>
      <c r="S66" s="109"/>
      <c r="T66" s="109"/>
      <c r="U66" s="109" t="n">
        <v>70</v>
      </c>
      <c r="V66" s="109" t="n">
        <v>77</v>
      </c>
      <c r="W66" s="109" t="n">
        <v>10</v>
      </c>
      <c r="X66" s="109"/>
      <c r="Y66" s="109" t="n">
        <v>300</v>
      </c>
      <c r="Z66" s="109"/>
      <c r="AA66" s="109"/>
      <c r="AB66" s="109" t="n">
        <v>2</v>
      </c>
      <c r="AC66" s="109" t="n">
        <v>2.9</v>
      </c>
      <c r="AD66" s="109" t="n">
        <v>2.4</v>
      </c>
      <c r="AE66" s="109" t="n">
        <v>5</v>
      </c>
      <c r="AF66" s="109" t="n">
        <v>0.3</v>
      </c>
      <c r="AG66" s="109"/>
      <c r="AH66" s="109" t="n">
        <v>0.3</v>
      </c>
    </row>
    <row r="67" customFormat="false" ht="15" hidden="false" customHeight="false" outlineLevel="0" collapsed="false">
      <c r="A67" s="1" t="s">
        <v>74</v>
      </c>
      <c r="B67" s="104" t="n">
        <v>65</v>
      </c>
      <c r="C67" s="106" t="s">
        <v>438</v>
      </c>
      <c r="D67" s="106" t="n">
        <v>90</v>
      </c>
      <c r="E67" s="106" t="n">
        <v>15.5</v>
      </c>
      <c r="F67" s="106" t="n">
        <v>418</v>
      </c>
      <c r="G67" s="106" t="n">
        <v>323</v>
      </c>
      <c r="H67" s="106" t="n">
        <v>751</v>
      </c>
      <c r="I67" s="106" t="n">
        <v>19.7</v>
      </c>
      <c r="J67" s="106" t="n">
        <v>844</v>
      </c>
      <c r="K67" s="106" t="n">
        <v>33</v>
      </c>
      <c r="L67" s="106" t="n">
        <v>4</v>
      </c>
      <c r="M67" s="106" t="n">
        <v>28</v>
      </c>
      <c r="N67" s="106" t="n">
        <v>91</v>
      </c>
      <c r="O67" s="106" t="n">
        <v>89</v>
      </c>
      <c r="P67" s="106"/>
      <c r="Q67" s="106" t="n">
        <v>55</v>
      </c>
      <c r="R67" s="106" t="n">
        <v>90</v>
      </c>
      <c r="S67" s="106"/>
      <c r="T67" s="106" t="n">
        <v>49</v>
      </c>
      <c r="U67" s="106" t="n">
        <v>40</v>
      </c>
      <c r="V67" s="106" t="n">
        <v>95</v>
      </c>
      <c r="W67" s="106"/>
      <c r="X67" s="106" t="n">
        <v>15</v>
      </c>
      <c r="Y67" s="106"/>
      <c r="Z67" s="106" t="n">
        <v>20</v>
      </c>
      <c r="AA67" s="106"/>
      <c r="AB67" s="106" t="n">
        <v>1.1</v>
      </c>
      <c r="AC67" s="106" t="n">
        <v>4.4</v>
      </c>
      <c r="AD67" s="106" t="n">
        <v>1.1</v>
      </c>
      <c r="AE67" s="106" t="n">
        <v>8.9</v>
      </c>
      <c r="AF67" s="106" t="n">
        <v>0.6</v>
      </c>
      <c r="AG67" s="106"/>
      <c r="AH67" s="106" t="n">
        <v>0.6</v>
      </c>
    </row>
    <row r="68" customFormat="false" ht="15" hidden="false" customHeight="false" outlineLevel="0" collapsed="false">
      <c r="A68" s="1" t="s">
        <v>54</v>
      </c>
      <c r="B68" s="107" t="n">
        <v>66</v>
      </c>
      <c r="C68" s="109" t="s">
        <v>439</v>
      </c>
      <c r="D68" s="109" t="n">
        <v>94</v>
      </c>
      <c r="E68" s="109" t="n">
        <v>15.6</v>
      </c>
      <c r="F68" s="109" t="n">
        <v>80</v>
      </c>
      <c r="G68" s="109" t="n">
        <v>180</v>
      </c>
      <c r="H68" s="109" t="n">
        <v>268</v>
      </c>
      <c r="I68" s="109" t="n">
        <v>17.3</v>
      </c>
      <c r="J68" s="109" t="n">
        <v>315</v>
      </c>
      <c r="K68" s="109" t="n">
        <v>174</v>
      </c>
      <c r="L68" s="109" t="n">
        <v>117</v>
      </c>
      <c r="M68" s="109" t="n">
        <v>67</v>
      </c>
      <c r="N68" s="109" t="n">
        <v>327</v>
      </c>
      <c r="O68" s="109" t="n">
        <v>85</v>
      </c>
      <c r="P68" s="109" t="n">
        <v>95</v>
      </c>
      <c r="Q68" s="109" t="n">
        <v>30</v>
      </c>
      <c r="R68" s="109" t="n">
        <v>80</v>
      </c>
      <c r="S68" s="109" t="n">
        <v>77</v>
      </c>
      <c r="T68" s="109" t="n">
        <v>39</v>
      </c>
      <c r="U68" s="109" t="n">
        <v>74</v>
      </c>
      <c r="V68" s="109" t="n">
        <v>70</v>
      </c>
      <c r="W68" s="109" t="n">
        <v>20</v>
      </c>
      <c r="X68" s="109" t="n">
        <v>53</v>
      </c>
      <c r="Y68" s="109" t="n">
        <v>10</v>
      </c>
      <c r="Z68" s="109"/>
      <c r="AA68" s="109"/>
      <c r="AB68" s="109" t="n">
        <v>8</v>
      </c>
      <c r="AC68" s="109" t="n">
        <v>11</v>
      </c>
      <c r="AD68" s="109" t="n">
        <v>5</v>
      </c>
      <c r="AE68" s="109" t="n">
        <v>13</v>
      </c>
      <c r="AF68" s="109" t="n">
        <v>0.5</v>
      </c>
      <c r="AG68" s="109" t="n">
        <v>-60</v>
      </c>
      <c r="AH68" s="109" t="n">
        <v>0.5</v>
      </c>
    </row>
    <row r="69" customFormat="false" ht="15" hidden="false" customHeight="false" outlineLevel="0" collapsed="false">
      <c r="B69" s="104" t="n">
        <v>67</v>
      </c>
      <c r="C69" s="106" t="s">
        <v>440</v>
      </c>
      <c r="D69" s="106" t="n">
        <v>94</v>
      </c>
      <c r="E69" s="106" t="n">
        <v>15.5</v>
      </c>
      <c r="F69" s="106" t="n">
        <v>171</v>
      </c>
      <c r="G69" s="106" t="n">
        <v>87</v>
      </c>
      <c r="H69" s="106" t="n">
        <v>288</v>
      </c>
      <c r="I69" s="106" t="n">
        <v>17.2</v>
      </c>
      <c r="J69" s="106" t="n">
        <v>339</v>
      </c>
      <c r="K69" s="106" t="n">
        <v>169</v>
      </c>
      <c r="L69" s="106" t="n">
        <v>137</v>
      </c>
      <c r="M69" s="106" t="n">
        <v>66</v>
      </c>
      <c r="N69" s="106" t="n">
        <v>289</v>
      </c>
      <c r="O69" s="106" t="n">
        <v>85</v>
      </c>
      <c r="P69" s="106" t="n">
        <v>95</v>
      </c>
      <c r="Q69" s="106" t="n">
        <v>30</v>
      </c>
      <c r="R69" s="106" t="n">
        <v>80</v>
      </c>
      <c r="S69" s="106" t="n">
        <v>77</v>
      </c>
      <c r="T69" s="106" t="n">
        <v>39</v>
      </c>
      <c r="U69" s="106" t="n">
        <v>40</v>
      </c>
      <c r="V69" s="106" t="n">
        <v>82</v>
      </c>
      <c r="W69" s="106" t="n">
        <v>20</v>
      </c>
      <c r="X69" s="106" t="n">
        <v>53</v>
      </c>
      <c r="Y69" s="106" t="n">
        <v>6</v>
      </c>
      <c r="Z69" s="106" t="n">
        <v>311</v>
      </c>
      <c r="AA69" s="106"/>
      <c r="AB69" s="106" t="n">
        <v>7.5</v>
      </c>
      <c r="AC69" s="106" t="n">
        <v>12.4</v>
      </c>
      <c r="AD69" s="106" t="n">
        <v>4.2</v>
      </c>
      <c r="AE69" s="106" t="n">
        <v>13.2</v>
      </c>
      <c r="AF69" s="106" t="n">
        <v>0.8</v>
      </c>
      <c r="AG69" s="106" t="n">
        <v>-42</v>
      </c>
      <c r="AH69" s="106" t="n">
        <v>0.5</v>
      </c>
    </row>
    <row r="70" customFormat="false" ht="15" hidden="false" customHeight="false" outlineLevel="0" collapsed="false">
      <c r="B70" s="107" t="n">
        <v>68</v>
      </c>
      <c r="C70" s="109" t="s">
        <v>441</v>
      </c>
      <c r="D70" s="109" t="n">
        <v>21</v>
      </c>
      <c r="E70" s="109" t="n">
        <v>11.1</v>
      </c>
      <c r="F70" s="109" t="n">
        <v>80</v>
      </c>
      <c r="G70" s="109" t="n">
        <v>5</v>
      </c>
      <c r="H70" s="109" t="n">
        <v>102</v>
      </c>
      <c r="I70" s="109" t="n">
        <v>13.5</v>
      </c>
      <c r="J70" s="109" t="n">
        <v>142</v>
      </c>
      <c r="K70" s="109" t="n">
        <v>30</v>
      </c>
      <c r="L70" s="109" t="n">
        <v>261</v>
      </c>
      <c r="M70" s="109" t="n">
        <v>100</v>
      </c>
      <c r="N70" s="109" t="n">
        <v>467</v>
      </c>
      <c r="O70" s="109"/>
      <c r="P70" s="109" t="n">
        <v>50</v>
      </c>
      <c r="Q70" s="109" t="n">
        <v>79</v>
      </c>
      <c r="R70" s="109" t="n">
        <v>86</v>
      </c>
      <c r="S70" s="109" t="n">
        <v>81</v>
      </c>
      <c r="T70" s="109"/>
      <c r="U70" s="109" t="n">
        <v>80</v>
      </c>
      <c r="V70" s="109" t="n">
        <v>82</v>
      </c>
      <c r="W70" s="109"/>
      <c r="X70" s="109"/>
      <c r="Y70" s="109"/>
      <c r="Z70" s="109"/>
      <c r="AA70" s="109"/>
      <c r="AB70" s="109" t="n">
        <v>10</v>
      </c>
      <c r="AC70" s="109" t="n">
        <v>2.8</v>
      </c>
      <c r="AD70" s="109"/>
      <c r="AE70" s="109"/>
      <c r="AF70" s="109"/>
      <c r="AG70" s="109"/>
      <c r="AH70" s="109"/>
    </row>
    <row r="71" customFormat="false" ht="15" hidden="false" customHeight="false" outlineLevel="0" collapsed="false">
      <c r="B71" s="104" t="n">
        <v>69</v>
      </c>
      <c r="C71" s="106" t="s">
        <v>442</v>
      </c>
      <c r="D71" s="106" t="n">
        <v>90</v>
      </c>
      <c r="E71" s="106" t="n">
        <v>12.4</v>
      </c>
      <c r="F71" s="106" t="n">
        <v>112</v>
      </c>
      <c r="G71" s="106" t="n">
        <v>231</v>
      </c>
      <c r="H71" s="106" t="n">
        <v>340</v>
      </c>
      <c r="I71" s="106" t="n">
        <v>14.8</v>
      </c>
      <c r="J71" s="106" t="n">
        <v>400</v>
      </c>
      <c r="K71" s="106" t="n">
        <v>45</v>
      </c>
      <c r="L71" s="106" t="n">
        <v>123</v>
      </c>
      <c r="M71" s="106" t="n">
        <v>77</v>
      </c>
      <c r="N71" s="106" t="n">
        <v>355</v>
      </c>
      <c r="O71" s="106" t="n">
        <v>85</v>
      </c>
      <c r="P71" s="106" t="n">
        <v>67</v>
      </c>
      <c r="Q71" s="106" t="n">
        <v>30</v>
      </c>
      <c r="R71" s="106" t="n">
        <v>80</v>
      </c>
      <c r="S71" s="106" t="n">
        <v>77</v>
      </c>
      <c r="T71" s="106" t="n">
        <v>47</v>
      </c>
      <c r="U71" s="106" t="n">
        <v>72</v>
      </c>
      <c r="V71" s="106" t="n">
        <v>82</v>
      </c>
      <c r="W71" s="106" t="n">
        <v>20</v>
      </c>
      <c r="X71" s="106" t="n">
        <v>50</v>
      </c>
      <c r="Y71" s="106" t="n">
        <v>13</v>
      </c>
      <c r="Z71" s="106" t="n">
        <v>243</v>
      </c>
      <c r="AA71" s="106"/>
      <c r="AB71" s="106" t="n">
        <v>7.9</v>
      </c>
      <c r="AC71" s="106" t="n">
        <v>14.4</v>
      </c>
      <c r="AD71" s="106" t="n">
        <v>5.6</v>
      </c>
      <c r="AE71" s="106" t="n">
        <v>15.8</v>
      </c>
      <c r="AF71" s="106" t="n">
        <v>0.1</v>
      </c>
      <c r="AG71" s="106" t="n">
        <v>-13</v>
      </c>
      <c r="AH71" s="106" t="n">
        <v>0.1</v>
      </c>
    </row>
    <row r="72" customFormat="false" ht="15" hidden="false" customHeight="false" outlineLevel="0" collapsed="false">
      <c r="A72" s="1" t="s">
        <v>46</v>
      </c>
      <c r="B72" s="107" t="n">
        <v>70</v>
      </c>
      <c r="C72" s="109" t="s">
        <v>443</v>
      </c>
      <c r="D72" s="109" t="n">
        <v>90</v>
      </c>
      <c r="E72" s="109" t="n">
        <v>12.2</v>
      </c>
      <c r="F72" s="109" t="n">
        <v>221</v>
      </c>
      <c r="G72" s="109" t="n">
        <v>79</v>
      </c>
      <c r="H72" s="109" t="n">
        <v>331</v>
      </c>
      <c r="I72" s="109" t="n">
        <v>14.6</v>
      </c>
      <c r="J72" s="109" t="n">
        <v>389</v>
      </c>
      <c r="K72" s="109" t="n">
        <v>46</v>
      </c>
      <c r="L72" s="109" t="n">
        <v>140</v>
      </c>
      <c r="M72" s="109" t="n">
        <v>75</v>
      </c>
      <c r="N72" s="109" t="n">
        <v>350</v>
      </c>
      <c r="O72" s="109" t="n">
        <v>85</v>
      </c>
      <c r="P72" s="109" t="n">
        <v>67</v>
      </c>
      <c r="Q72" s="109" t="n">
        <v>30</v>
      </c>
      <c r="R72" s="109" t="n">
        <v>80</v>
      </c>
      <c r="S72" s="109" t="n">
        <v>77</v>
      </c>
      <c r="T72" s="109" t="n">
        <v>47</v>
      </c>
      <c r="U72" s="109" t="n">
        <v>35</v>
      </c>
      <c r="V72" s="109" t="n">
        <v>87</v>
      </c>
      <c r="W72" s="109" t="n">
        <v>20</v>
      </c>
      <c r="X72" s="109" t="n">
        <v>50</v>
      </c>
      <c r="Y72" s="109" t="n">
        <v>6</v>
      </c>
      <c r="Z72" s="109" t="n">
        <v>332</v>
      </c>
      <c r="AA72" s="109"/>
      <c r="AB72" s="109" t="n">
        <v>8</v>
      </c>
      <c r="AC72" s="109" t="n">
        <v>12</v>
      </c>
      <c r="AD72" s="109" t="n">
        <v>6</v>
      </c>
      <c r="AE72" s="109" t="n">
        <v>16</v>
      </c>
      <c r="AF72" s="109" t="n">
        <v>0.3</v>
      </c>
      <c r="AG72" s="109" t="n">
        <v>1</v>
      </c>
      <c r="AH72" s="109" t="n">
        <v>0.1</v>
      </c>
    </row>
    <row r="73" customFormat="false" ht="15" hidden="false" customHeight="false" outlineLevel="0" collapsed="false">
      <c r="A73" s="1" t="s">
        <v>43</v>
      </c>
      <c r="B73" s="104" t="n">
        <v>71</v>
      </c>
      <c r="C73" s="106" t="s">
        <v>444</v>
      </c>
      <c r="D73" s="106" t="n">
        <v>93</v>
      </c>
      <c r="E73" s="106" t="n">
        <v>22.1</v>
      </c>
      <c r="F73" s="106" t="n">
        <v>56</v>
      </c>
      <c r="G73" s="106" t="n">
        <v>111</v>
      </c>
      <c r="H73" s="106" t="n">
        <v>170</v>
      </c>
      <c r="I73" s="106" t="n">
        <v>22.1</v>
      </c>
      <c r="J73" s="106" t="n">
        <v>210</v>
      </c>
      <c r="K73" s="106" t="n">
        <v>460</v>
      </c>
      <c r="L73" s="106" t="n">
        <v>80</v>
      </c>
      <c r="M73" s="106" t="n">
        <v>50</v>
      </c>
      <c r="N73" s="106" t="n">
        <v>200</v>
      </c>
      <c r="O73" s="106" t="n">
        <v>81</v>
      </c>
      <c r="P73" s="106" t="n">
        <v>95</v>
      </c>
      <c r="Q73" s="106" t="n">
        <v>25</v>
      </c>
      <c r="R73" s="106" t="n">
        <v>80</v>
      </c>
      <c r="S73" s="106" t="n">
        <v>82</v>
      </c>
      <c r="T73" s="106" t="n">
        <v>45</v>
      </c>
      <c r="U73" s="106" t="n">
        <v>68</v>
      </c>
      <c r="V73" s="106" t="n">
        <v>64</v>
      </c>
      <c r="W73" s="106" t="n">
        <v>10</v>
      </c>
      <c r="X73" s="106" t="n">
        <v>26</v>
      </c>
      <c r="Y73" s="106" t="n">
        <v>10</v>
      </c>
      <c r="Z73" s="106" t="n">
        <v>120</v>
      </c>
      <c r="AA73" s="106" t="n">
        <v>30</v>
      </c>
      <c r="AB73" s="106" t="n">
        <v>4.3</v>
      </c>
      <c r="AC73" s="106" t="n">
        <v>8.6</v>
      </c>
      <c r="AD73" s="106" t="n">
        <v>2.4</v>
      </c>
      <c r="AE73" s="106" t="n">
        <v>8.2</v>
      </c>
      <c r="AF73" s="106" t="n">
        <v>0.1</v>
      </c>
      <c r="AG73" s="106"/>
      <c r="AH73" s="106" t="n">
        <v>0.1</v>
      </c>
    </row>
    <row r="74" customFormat="false" ht="15" hidden="false" customHeight="false" outlineLevel="0" collapsed="false">
      <c r="B74" s="107" t="n">
        <v>72</v>
      </c>
      <c r="C74" s="109" t="s">
        <v>445</v>
      </c>
      <c r="D74" s="109" t="n">
        <v>35</v>
      </c>
      <c r="E74" s="109" t="n">
        <v>7.6</v>
      </c>
      <c r="F74" s="109" t="n">
        <v>54</v>
      </c>
      <c r="G74" s="109" t="n">
        <v>-90</v>
      </c>
      <c r="H74" s="109" t="n">
        <v>0</v>
      </c>
      <c r="I74" s="109" t="n">
        <v>9.2</v>
      </c>
      <c r="J74" s="109" t="n">
        <v>30</v>
      </c>
      <c r="K74" s="109" t="n">
        <v>20</v>
      </c>
      <c r="L74" s="109" t="n">
        <v>410</v>
      </c>
      <c r="M74" s="109" t="n">
        <v>10</v>
      </c>
      <c r="N74" s="109" t="n">
        <v>530</v>
      </c>
      <c r="O74" s="109" t="n">
        <v>0</v>
      </c>
      <c r="P74" s="109" t="n">
        <v>70</v>
      </c>
      <c r="Q74" s="109" t="n">
        <v>45</v>
      </c>
      <c r="R74" s="109" t="n">
        <v>60</v>
      </c>
      <c r="S74" s="109" t="n">
        <v>52</v>
      </c>
      <c r="T74" s="109" t="n">
        <v>3</v>
      </c>
      <c r="U74" s="109" t="n">
        <v>0</v>
      </c>
      <c r="V74" s="109" t="n">
        <v>0</v>
      </c>
      <c r="W74" s="109"/>
      <c r="X74" s="109"/>
      <c r="Y74" s="109"/>
      <c r="Z74" s="109"/>
      <c r="AA74" s="109"/>
      <c r="AB74" s="109" t="n">
        <v>0.9</v>
      </c>
      <c r="AC74" s="109" t="n">
        <v>0.3</v>
      </c>
      <c r="AD74" s="109"/>
      <c r="AE74" s="109"/>
      <c r="AF74" s="109"/>
      <c r="AG74" s="109"/>
      <c r="AH74" s="109"/>
    </row>
    <row r="75" customFormat="false" ht="15" hidden="false" customHeight="false" outlineLevel="0" collapsed="false">
      <c r="B75" s="104" t="n">
        <v>73</v>
      </c>
      <c r="C75" s="106" t="s">
        <v>446</v>
      </c>
      <c r="D75" s="106" t="n">
        <v>89</v>
      </c>
      <c r="E75" s="106" t="n">
        <v>12.7</v>
      </c>
      <c r="F75" s="106" t="n">
        <v>99</v>
      </c>
      <c r="G75" s="106" t="n">
        <v>-77</v>
      </c>
      <c r="H75" s="106" t="n">
        <v>51</v>
      </c>
      <c r="I75" s="106" t="n">
        <v>14.5</v>
      </c>
      <c r="J75" s="106" t="n">
        <v>82</v>
      </c>
      <c r="K75" s="106" t="n">
        <v>19</v>
      </c>
      <c r="L75" s="106" t="n">
        <v>112</v>
      </c>
      <c r="M75" s="106" t="n">
        <v>51</v>
      </c>
      <c r="N75" s="106" t="n">
        <v>736</v>
      </c>
      <c r="O75" s="106" t="n">
        <v>62</v>
      </c>
      <c r="P75" s="106" t="n">
        <v>50</v>
      </c>
      <c r="Q75" s="106" t="n">
        <v>45</v>
      </c>
      <c r="R75" s="106" t="n">
        <v>95</v>
      </c>
      <c r="S75" s="106" t="n">
        <v>85</v>
      </c>
      <c r="T75" s="106"/>
      <c r="U75" s="106" t="n">
        <v>70</v>
      </c>
      <c r="V75" s="106" t="n">
        <v>90</v>
      </c>
      <c r="W75" s="106" t="n">
        <v>0</v>
      </c>
      <c r="X75" s="106"/>
      <c r="Y75" s="106" t="n">
        <v>691</v>
      </c>
      <c r="Z75" s="106" t="n">
        <v>160</v>
      </c>
      <c r="AA75" s="106"/>
      <c r="AB75" s="106" t="n">
        <v>0.7</v>
      </c>
      <c r="AC75" s="106" t="n">
        <v>2.9</v>
      </c>
      <c r="AD75" s="106" t="n">
        <v>1.5</v>
      </c>
      <c r="AE75" s="106" t="n">
        <v>3.6</v>
      </c>
      <c r="AF75" s="106" t="n">
        <v>0.6</v>
      </c>
      <c r="AG75" s="106"/>
      <c r="AH75" s="106" t="n">
        <v>0.6</v>
      </c>
    </row>
    <row r="76" customFormat="false" ht="15" hidden="false" customHeight="false" outlineLevel="0" collapsed="false">
      <c r="B76" s="107" t="n">
        <v>74</v>
      </c>
      <c r="C76" s="109" t="s">
        <v>447</v>
      </c>
      <c r="D76" s="109" t="n">
        <v>87</v>
      </c>
      <c r="E76" s="109" t="n">
        <v>14.4</v>
      </c>
      <c r="F76" s="109" t="n">
        <v>110</v>
      </c>
      <c r="G76" s="109" t="n">
        <v>-96</v>
      </c>
      <c r="H76" s="109" t="n">
        <v>50</v>
      </c>
      <c r="I76" s="109" t="n">
        <v>16.2</v>
      </c>
      <c r="J76" s="109" t="n">
        <v>81</v>
      </c>
      <c r="K76" s="109" t="n">
        <v>10</v>
      </c>
      <c r="L76" s="109" t="n">
        <v>8</v>
      </c>
      <c r="M76" s="109" t="n">
        <v>5</v>
      </c>
      <c r="N76" s="109" t="n">
        <v>896</v>
      </c>
      <c r="O76" s="109" t="n">
        <v>62</v>
      </c>
      <c r="P76" s="109" t="n">
        <v>50</v>
      </c>
      <c r="Q76" s="109" t="n">
        <v>45</v>
      </c>
      <c r="R76" s="109" t="n">
        <v>95</v>
      </c>
      <c r="S76" s="109" t="n">
        <v>91</v>
      </c>
      <c r="T76" s="109" t="n">
        <v>80</v>
      </c>
      <c r="U76" s="109" t="n">
        <v>70</v>
      </c>
      <c r="V76" s="109" t="n">
        <v>90</v>
      </c>
      <c r="W76" s="109" t="n">
        <v>0</v>
      </c>
      <c r="X76" s="109"/>
      <c r="Y76" s="109" t="n">
        <v>850</v>
      </c>
      <c r="Z76" s="109" t="n">
        <v>13</v>
      </c>
      <c r="AA76" s="109"/>
      <c r="AB76" s="109" t="n">
        <v>0.3</v>
      </c>
      <c r="AC76" s="109" t="n">
        <v>1.1</v>
      </c>
      <c r="AD76" s="109" t="n">
        <v>1.2</v>
      </c>
      <c r="AE76" s="109" t="n">
        <v>1.5</v>
      </c>
      <c r="AF76" s="109" t="n">
        <v>0.8</v>
      </c>
      <c r="AG76" s="109"/>
      <c r="AH76" s="109" t="n">
        <v>0.8</v>
      </c>
    </row>
    <row r="77" customFormat="false" ht="15" hidden="false" customHeight="false" outlineLevel="0" collapsed="false">
      <c r="B77" s="104" t="n">
        <v>75</v>
      </c>
      <c r="C77" s="106" t="s">
        <v>448</v>
      </c>
      <c r="D77" s="106" t="n">
        <v>9</v>
      </c>
      <c r="E77" s="106" t="n">
        <v>10.9</v>
      </c>
      <c r="F77" s="106" t="n">
        <v>79</v>
      </c>
      <c r="G77" s="106" t="n">
        <v>-21</v>
      </c>
      <c r="H77" s="106" t="n">
        <v>72</v>
      </c>
      <c r="I77" s="106" t="n">
        <v>12.7</v>
      </c>
      <c r="J77" s="106" t="n">
        <v>120</v>
      </c>
      <c r="K77" s="106" t="n">
        <v>10</v>
      </c>
      <c r="L77" s="106" t="n">
        <v>110</v>
      </c>
      <c r="M77" s="106" t="n">
        <v>110</v>
      </c>
      <c r="N77" s="106" t="n">
        <v>650</v>
      </c>
      <c r="O77" s="106" t="n">
        <v>60</v>
      </c>
      <c r="P77" s="106" t="n">
        <v>0</v>
      </c>
      <c r="Q77" s="106" t="n">
        <v>60</v>
      </c>
      <c r="R77" s="106" t="n">
        <v>90</v>
      </c>
      <c r="S77" s="106" t="n">
        <v>81</v>
      </c>
      <c r="T77" s="106"/>
      <c r="U77" s="106" t="n">
        <v>80</v>
      </c>
      <c r="V77" s="106" t="n">
        <v>61</v>
      </c>
      <c r="W77" s="106" t="n">
        <v>400</v>
      </c>
      <c r="X77" s="106"/>
      <c r="Y77" s="106" t="n">
        <v>0</v>
      </c>
      <c r="Z77" s="106"/>
      <c r="AA77" s="106"/>
      <c r="AB77" s="106" t="n">
        <v>4.2</v>
      </c>
      <c r="AC77" s="106" t="n">
        <v>2.8</v>
      </c>
      <c r="AD77" s="106" t="n">
        <v>1</v>
      </c>
      <c r="AE77" s="106" t="n">
        <v>18</v>
      </c>
      <c r="AF77" s="106" t="n">
        <v>1.1</v>
      </c>
      <c r="AG77" s="106"/>
      <c r="AH77" s="106" t="n">
        <v>1.1</v>
      </c>
    </row>
    <row r="78" customFormat="false" ht="15" hidden="false" customHeight="false" outlineLevel="0" collapsed="false">
      <c r="A78" s="1" t="s">
        <v>65</v>
      </c>
      <c r="B78" s="107" t="n">
        <v>76</v>
      </c>
      <c r="C78" s="109" t="s">
        <v>449</v>
      </c>
      <c r="D78" s="109" t="n">
        <v>87</v>
      </c>
      <c r="E78" s="109" t="n">
        <v>11.6</v>
      </c>
      <c r="F78" s="109" t="n">
        <v>78</v>
      </c>
      <c r="G78" s="109" t="n">
        <v>34</v>
      </c>
      <c r="H78" s="109" t="n">
        <v>120</v>
      </c>
      <c r="I78" s="109" t="n">
        <v>13.2</v>
      </c>
      <c r="J78" s="109" t="n">
        <v>160</v>
      </c>
      <c r="K78" s="109" t="n">
        <v>40</v>
      </c>
      <c r="L78" s="109" t="n">
        <v>55</v>
      </c>
      <c r="M78" s="109" t="n">
        <v>45</v>
      </c>
      <c r="N78" s="109" t="n">
        <v>700</v>
      </c>
      <c r="O78" s="109" t="n">
        <v>75</v>
      </c>
      <c r="P78" s="109" t="n">
        <v>70</v>
      </c>
      <c r="Q78" s="109" t="n">
        <v>30</v>
      </c>
      <c r="R78" s="109" t="n">
        <v>75</v>
      </c>
      <c r="S78" s="109" t="n">
        <v>72</v>
      </c>
      <c r="T78" s="109"/>
      <c r="U78" s="109" t="n">
        <v>82</v>
      </c>
      <c r="V78" s="109" t="n">
        <v>83</v>
      </c>
      <c r="W78" s="109" t="n">
        <v>153</v>
      </c>
      <c r="X78" s="109"/>
      <c r="Y78" s="109" t="n">
        <v>167</v>
      </c>
      <c r="Z78" s="109"/>
      <c r="AA78" s="109"/>
      <c r="AB78" s="109" t="n">
        <v>1.1</v>
      </c>
      <c r="AC78" s="109" t="n">
        <v>11.1</v>
      </c>
      <c r="AD78" s="109" t="n">
        <v>3.5</v>
      </c>
      <c r="AE78" s="109" t="n">
        <v>16</v>
      </c>
      <c r="AF78" s="109" t="n">
        <v>0.1</v>
      </c>
      <c r="AG78" s="109"/>
      <c r="AH78" s="109" t="n">
        <v>0.1</v>
      </c>
    </row>
    <row r="79" customFormat="false" ht="15" hidden="false" customHeight="false" outlineLevel="0" collapsed="false">
      <c r="A79" s="1" t="s">
        <v>39</v>
      </c>
      <c r="B79" s="104" t="n">
        <v>77</v>
      </c>
      <c r="C79" s="106" t="s">
        <v>450</v>
      </c>
      <c r="D79" s="106" t="n">
        <v>87</v>
      </c>
      <c r="E79" s="106" t="n">
        <v>13.9</v>
      </c>
      <c r="F79" s="106" t="n">
        <v>95</v>
      </c>
      <c r="G79" s="106" t="n">
        <v>-57</v>
      </c>
      <c r="H79" s="106" t="n">
        <v>80</v>
      </c>
      <c r="I79" s="106" t="n">
        <v>15.8</v>
      </c>
      <c r="J79" s="106" t="n">
        <v>100</v>
      </c>
      <c r="K79" s="106" t="n">
        <v>20</v>
      </c>
      <c r="L79" s="106" t="n">
        <v>25</v>
      </c>
      <c r="M79" s="106" t="n">
        <v>20</v>
      </c>
      <c r="N79" s="106" t="n">
        <v>835</v>
      </c>
      <c r="O79" s="106" t="n">
        <v>80</v>
      </c>
      <c r="P79" s="106" t="n">
        <v>60</v>
      </c>
      <c r="Q79" s="106" t="n">
        <v>30</v>
      </c>
      <c r="R79" s="106" t="n">
        <v>92</v>
      </c>
      <c r="S79" s="106" t="n">
        <v>89</v>
      </c>
      <c r="T79" s="106" t="n">
        <v>47</v>
      </c>
      <c r="U79" s="106" t="n">
        <v>82</v>
      </c>
      <c r="V79" s="106" t="n">
        <v>83</v>
      </c>
      <c r="W79" s="106" t="n">
        <v>70</v>
      </c>
      <c r="X79" s="106"/>
      <c r="Y79" s="106" t="n">
        <v>640</v>
      </c>
      <c r="Z79" s="106" t="n">
        <v>136</v>
      </c>
      <c r="AA79" s="106"/>
      <c r="AB79" s="106" t="n">
        <v>0.4</v>
      </c>
      <c r="AC79" s="106" t="n">
        <v>3.4</v>
      </c>
      <c r="AD79" s="106" t="n">
        <v>1</v>
      </c>
      <c r="AE79" s="106" t="n">
        <v>5.5</v>
      </c>
      <c r="AF79" s="106" t="n">
        <v>0.1</v>
      </c>
      <c r="AG79" s="106"/>
      <c r="AH79" s="106" t="n">
        <v>0.1</v>
      </c>
    </row>
    <row r="80" customFormat="false" ht="15" hidden="false" customHeight="false" outlineLevel="0" collapsed="false">
      <c r="A80" s="1" t="s">
        <v>38</v>
      </c>
      <c r="B80" s="107" t="n">
        <v>78</v>
      </c>
      <c r="C80" s="109" t="s">
        <v>451</v>
      </c>
      <c r="D80" s="109" t="n">
        <v>87</v>
      </c>
      <c r="E80" s="109" t="n">
        <v>14</v>
      </c>
      <c r="F80" s="109" t="n">
        <v>95</v>
      </c>
      <c r="G80" s="109" t="n">
        <v>-31</v>
      </c>
      <c r="H80" s="109" t="n">
        <v>98</v>
      </c>
      <c r="I80" s="109" t="n">
        <v>15.8</v>
      </c>
      <c r="J80" s="109" t="n">
        <v>123</v>
      </c>
      <c r="K80" s="109" t="n">
        <v>26</v>
      </c>
      <c r="L80" s="109" t="n">
        <v>33</v>
      </c>
      <c r="M80" s="109" t="n">
        <v>19</v>
      </c>
      <c r="N80" s="109" t="n">
        <v>799</v>
      </c>
      <c r="O80" s="109" t="n">
        <v>80</v>
      </c>
      <c r="P80" s="109" t="n">
        <v>65</v>
      </c>
      <c r="Q80" s="109" t="n">
        <v>30</v>
      </c>
      <c r="R80" s="109" t="n">
        <v>92</v>
      </c>
      <c r="S80" s="109" t="n">
        <v>89</v>
      </c>
      <c r="T80" s="109" t="n">
        <v>56</v>
      </c>
      <c r="U80" s="109" t="n">
        <v>83</v>
      </c>
      <c r="V80" s="109" t="n">
        <v>90</v>
      </c>
      <c r="W80" s="109" t="n">
        <v>32</v>
      </c>
      <c r="X80" s="109" t="n">
        <v>20</v>
      </c>
      <c r="Y80" s="109" t="n">
        <v>609</v>
      </c>
      <c r="Z80" s="109" t="n">
        <v>148</v>
      </c>
      <c r="AA80" s="109"/>
      <c r="AB80" s="109" t="n">
        <v>0.4</v>
      </c>
      <c r="AC80" s="109" t="n">
        <v>4</v>
      </c>
      <c r="AD80" s="109" t="n">
        <v>1.4</v>
      </c>
      <c r="AE80" s="109" t="n">
        <v>5.4</v>
      </c>
      <c r="AF80" s="109" t="n">
        <v>0.1</v>
      </c>
      <c r="AG80" s="109"/>
      <c r="AH80" s="109" t="n">
        <v>0.1</v>
      </c>
    </row>
    <row r="81" customFormat="false" ht="15" hidden="false" customHeight="false" outlineLevel="0" collapsed="false">
      <c r="B81" s="104" t="n">
        <v>79</v>
      </c>
      <c r="C81" s="106" t="s">
        <v>452</v>
      </c>
      <c r="D81" s="106" t="n">
        <v>78</v>
      </c>
      <c r="E81" s="106" t="n">
        <v>11.4</v>
      </c>
      <c r="F81" s="106" t="n">
        <v>78</v>
      </c>
      <c r="G81" s="106" t="n">
        <v>-76</v>
      </c>
      <c r="H81" s="106" t="n">
        <v>21</v>
      </c>
      <c r="I81" s="106" t="n">
        <v>12.7</v>
      </c>
      <c r="J81" s="106" t="n">
        <v>55</v>
      </c>
      <c r="K81" s="106" t="n">
        <v>0</v>
      </c>
      <c r="L81" s="106" t="n">
        <v>0</v>
      </c>
      <c r="M81" s="106" t="n">
        <v>142</v>
      </c>
      <c r="N81" s="106" t="n">
        <v>803</v>
      </c>
      <c r="O81" s="106" t="n">
        <v>38</v>
      </c>
      <c r="P81" s="106"/>
      <c r="Q81" s="106"/>
      <c r="R81" s="106" t="n">
        <v>91</v>
      </c>
      <c r="S81" s="106" t="n">
        <v>86</v>
      </c>
      <c r="T81" s="106"/>
      <c r="U81" s="106" t="n">
        <v>100</v>
      </c>
      <c r="V81" s="106" t="n">
        <v>100</v>
      </c>
      <c r="W81" s="106" t="n">
        <v>618</v>
      </c>
      <c r="X81" s="106"/>
      <c r="Y81" s="106" t="n">
        <v>0</v>
      </c>
      <c r="Z81" s="106"/>
      <c r="AA81" s="106"/>
      <c r="AB81" s="106" t="n">
        <v>8</v>
      </c>
      <c r="AC81" s="106" t="n">
        <v>0.8</v>
      </c>
      <c r="AD81" s="106" t="n">
        <v>4.4</v>
      </c>
      <c r="AE81" s="106" t="n">
        <v>50</v>
      </c>
      <c r="AF81" s="106" t="n">
        <v>2.4</v>
      </c>
      <c r="AG81" s="106"/>
      <c r="AH81" s="106" t="n">
        <v>11.6</v>
      </c>
    </row>
    <row r="82" customFormat="false" ht="15" hidden="false" customHeight="false" outlineLevel="0" collapsed="false">
      <c r="B82" s="107" t="n">
        <v>80</v>
      </c>
      <c r="C82" s="109" t="s">
        <v>453</v>
      </c>
      <c r="D82" s="109" t="n">
        <v>93</v>
      </c>
      <c r="E82" s="109" t="n">
        <v>22.1</v>
      </c>
      <c r="F82" s="109"/>
      <c r="G82" s="109"/>
      <c r="H82" s="109" t="n">
        <v>170</v>
      </c>
      <c r="I82" s="109" t="n">
        <v>22.1</v>
      </c>
      <c r="J82" s="109" t="n">
        <v>210</v>
      </c>
      <c r="K82" s="109" t="n">
        <v>460</v>
      </c>
      <c r="L82" s="109" t="n">
        <v>80</v>
      </c>
      <c r="M82" s="109" t="n">
        <v>50</v>
      </c>
      <c r="N82" s="109" t="n">
        <v>200</v>
      </c>
      <c r="O82" s="109" t="n">
        <v>81</v>
      </c>
      <c r="P82" s="109" t="n">
        <v>95</v>
      </c>
      <c r="Q82" s="109" t="n">
        <v>25</v>
      </c>
      <c r="R82" s="109" t="n">
        <v>80</v>
      </c>
      <c r="S82" s="109" t="n">
        <v>82</v>
      </c>
      <c r="T82" s="109"/>
      <c r="U82" s="109"/>
      <c r="V82" s="109"/>
      <c r="W82" s="109"/>
      <c r="X82" s="109"/>
      <c r="Y82" s="109"/>
      <c r="Z82" s="109"/>
      <c r="AA82" s="109"/>
      <c r="AB82" s="109" t="n">
        <v>4.3</v>
      </c>
      <c r="AC82" s="109" t="n">
        <v>8.6</v>
      </c>
      <c r="AD82" s="109"/>
      <c r="AE82" s="109"/>
      <c r="AF82" s="109"/>
      <c r="AG82" s="109"/>
      <c r="AH82" s="109"/>
    </row>
    <row r="83" customFormat="false" ht="15" hidden="false" customHeight="false" outlineLevel="0" collapsed="false">
      <c r="B83" s="104" t="n">
        <v>81</v>
      </c>
      <c r="C83" s="106" t="s">
        <v>454</v>
      </c>
      <c r="D83" s="106" t="n">
        <v>90</v>
      </c>
      <c r="E83" s="106" t="n">
        <v>14.4</v>
      </c>
      <c r="F83" s="106"/>
      <c r="G83" s="106"/>
      <c r="H83" s="106" t="n">
        <v>405</v>
      </c>
      <c r="I83" s="106" t="n">
        <v>16.9</v>
      </c>
      <c r="J83" s="106" t="n">
        <v>450</v>
      </c>
      <c r="K83" s="106" t="n">
        <v>90</v>
      </c>
      <c r="L83" s="106" t="n">
        <v>80</v>
      </c>
      <c r="M83" s="106" t="n">
        <v>120</v>
      </c>
      <c r="N83" s="106" t="n">
        <v>260</v>
      </c>
      <c r="O83" s="106" t="n">
        <v>90</v>
      </c>
      <c r="P83" s="106" t="n">
        <v>95</v>
      </c>
      <c r="Q83" s="106" t="n">
        <v>60</v>
      </c>
      <c r="R83" s="106" t="n">
        <v>75</v>
      </c>
      <c r="S83" s="106" t="n">
        <v>83</v>
      </c>
      <c r="T83" s="106"/>
      <c r="U83" s="106" t="n">
        <v>70</v>
      </c>
      <c r="V83" s="106" t="n">
        <v>83</v>
      </c>
      <c r="W83" s="106" t="n">
        <v>100</v>
      </c>
      <c r="X83" s="106"/>
      <c r="Y83" s="106" t="n">
        <v>25</v>
      </c>
      <c r="Z83" s="106"/>
      <c r="AA83" s="106"/>
      <c r="AB83" s="106" t="n">
        <v>18.9</v>
      </c>
      <c r="AC83" s="106" t="n">
        <v>11.4</v>
      </c>
      <c r="AD83" s="106" t="n">
        <v>6.4</v>
      </c>
      <c r="AE83" s="106" t="n">
        <v>7</v>
      </c>
      <c r="AF83" s="106" t="n">
        <v>0.1</v>
      </c>
      <c r="AG83" s="106"/>
      <c r="AH83" s="106" t="n">
        <v>0.1</v>
      </c>
    </row>
    <row r="84" customFormat="false" ht="15" hidden="false" customHeight="false" outlineLevel="0" collapsed="false">
      <c r="B84" s="107" t="n">
        <v>82</v>
      </c>
      <c r="C84" s="109" t="s">
        <v>455</v>
      </c>
      <c r="D84" s="109" t="n">
        <v>94</v>
      </c>
      <c r="E84" s="109" t="n">
        <v>23.2</v>
      </c>
      <c r="F84" s="109"/>
      <c r="G84" s="109"/>
      <c r="H84" s="109" t="n">
        <v>198</v>
      </c>
      <c r="I84" s="109" t="n">
        <v>23.2</v>
      </c>
      <c r="J84" s="109" t="n">
        <v>220</v>
      </c>
      <c r="K84" s="109" t="n">
        <v>500</v>
      </c>
      <c r="L84" s="109" t="n">
        <v>70</v>
      </c>
      <c r="M84" s="109" t="n">
        <v>60</v>
      </c>
      <c r="N84" s="109" t="n">
        <v>150</v>
      </c>
      <c r="O84" s="109" t="n">
        <v>90</v>
      </c>
      <c r="P84" s="109" t="n">
        <v>95</v>
      </c>
      <c r="Q84" s="109" t="n">
        <v>30</v>
      </c>
      <c r="R84" s="109" t="n">
        <v>70</v>
      </c>
      <c r="S84" s="109" t="n">
        <v>85</v>
      </c>
      <c r="T84" s="109"/>
      <c r="U84" s="109"/>
      <c r="V84" s="109"/>
      <c r="W84" s="109"/>
      <c r="X84" s="109"/>
      <c r="Y84" s="109"/>
      <c r="Z84" s="109"/>
      <c r="AA84" s="109"/>
      <c r="AB84" s="109" t="n">
        <v>12.8</v>
      </c>
      <c r="AC84" s="109" t="n">
        <v>6.4</v>
      </c>
      <c r="AD84" s="109"/>
      <c r="AE84" s="109"/>
      <c r="AF84" s="109"/>
      <c r="AG84" s="109"/>
      <c r="AH84" s="109"/>
    </row>
    <row r="85" customFormat="false" ht="15" hidden="false" customHeight="false" outlineLevel="0" collapsed="false">
      <c r="B85" s="104" t="n">
        <v>83</v>
      </c>
      <c r="C85" s="106" t="s">
        <v>456</v>
      </c>
      <c r="D85" s="106" t="n">
        <v>90</v>
      </c>
      <c r="E85" s="106" t="n">
        <v>12.5</v>
      </c>
      <c r="F85" s="106"/>
      <c r="G85" s="106"/>
      <c r="H85" s="106" t="n">
        <v>450</v>
      </c>
      <c r="I85" s="106" t="n">
        <v>15.5</v>
      </c>
      <c r="J85" s="106" t="n">
        <v>500</v>
      </c>
      <c r="K85" s="106" t="n">
        <v>15</v>
      </c>
      <c r="L85" s="106" t="n">
        <v>85</v>
      </c>
      <c r="M85" s="106" t="n">
        <v>135</v>
      </c>
      <c r="N85" s="106" t="n">
        <v>265</v>
      </c>
      <c r="O85" s="106" t="n">
        <v>90</v>
      </c>
      <c r="P85" s="106" t="n">
        <v>95</v>
      </c>
      <c r="Q85" s="106" t="n">
        <v>60</v>
      </c>
      <c r="R85" s="106" t="n">
        <v>70</v>
      </c>
      <c r="S85" s="106" t="n">
        <v>81</v>
      </c>
      <c r="T85" s="106"/>
      <c r="U85" s="106" t="n">
        <v>70</v>
      </c>
      <c r="V85" s="106" t="n">
        <v>77</v>
      </c>
      <c r="W85" s="106" t="n">
        <v>100</v>
      </c>
      <c r="X85" s="106"/>
      <c r="Y85" s="106" t="n">
        <v>25</v>
      </c>
      <c r="Z85" s="106"/>
      <c r="AA85" s="106"/>
      <c r="AB85" s="106" t="n">
        <v>18.9</v>
      </c>
      <c r="AC85" s="106" t="n">
        <v>11.4</v>
      </c>
      <c r="AD85" s="106" t="n">
        <v>6.4</v>
      </c>
      <c r="AE85" s="106" t="n">
        <v>7</v>
      </c>
      <c r="AF85" s="106" t="n">
        <v>0.1</v>
      </c>
      <c r="AG85" s="106"/>
      <c r="AH85" s="106" t="n">
        <v>0.1</v>
      </c>
    </row>
    <row r="86" customFormat="false" ht="15" hidden="false" customHeight="false" outlineLevel="0" collapsed="false">
      <c r="B86" s="107" t="n">
        <v>84</v>
      </c>
      <c r="C86" s="109" t="s">
        <v>457</v>
      </c>
      <c r="D86" s="109" t="n">
        <v>90</v>
      </c>
      <c r="E86" s="109" t="n">
        <v>9.5</v>
      </c>
      <c r="F86" s="109" t="n">
        <v>31</v>
      </c>
      <c r="G86" s="109" t="n">
        <v>9</v>
      </c>
      <c r="H86" s="109" t="n">
        <v>0</v>
      </c>
      <c r="I86" s="109" t="n">
        <v>9.7</v>
      </c>
      <c r="J86" s="109" t="n">
        <v>133</v>
      </c>
      <c r="K86" s="109" t="n">
        <v>152</v>
      </c>
      <c r="L86" s="109" t="n">
        <v>74</v>
      </c>
      <c r="M86" s="109" t="n">
        <v>51</v>
      </c>
      <c r="N86" s="109" t="n">
        <v>590</v>
      </c>
      <c r="O86" s="109" t="n">
        <v>0</v>
      </c>
      <c r="P86" s="109" t="n">
        <v>89</v>
      </c>
      <c r="Q86" s="109" t="n">
        <v>14</v>
      </c>
      <c r="R86" s="109" t="n">
        <v>48</v>
      </c>
      <c r="S86" s="109" t="n">
        <v>43</v>
      </c>
      <c r="T86" s="109" t="n">
        <v>44</v>
      </c>
      <c r="U86" s="109" t="n">
        <v>46</v>
      </c>
      <c r="V86" s="109" t="n">
        <v>0</v>
      </c>
      <c r="W86" s="109"/>
      <c r="X86" s="109"/>
      <c r="Y86" s="109"/>
      <c r="Z86" s="109" t="n">
        <v>293</v>
      </c>
      <c r="AA86" s="109"/>
      <c r="AB86" s="109" t="n">
        <v>2.4</v>
      </c>
      <c r="AC86" s="109" t="n">
        <v>2.6</v>
      </c>
      <c r="AD86" s="109"/>
      <c r="AE86" s="109"/>
      <c r="AF86" s="109"/>
      <c r="AG86" s="109"/>
      <c r="AH86" s="109"/>
    </row>
    <row r="87" customFormat="false" ht="15" hidden="false" customHeight="false" outlineLevel="0" collapsed="false">
      <c r="B87" s="104" t="n">
        <v>85</v>
      </c>
      <c r="C87" s="106" t="s">
        <v>458</v>
      </c>
      <c r="D87" s="106" t="n">
        <v>24</v>
      </c>
      <c r="E87" s="106" t="n">
        <v>12.8</v>
      </c>
      <c r="F87" s="106" t="n">
        <v>92</v>
      </c>
      <c r="G87" s="106" t="n">
        <v>-99</v>
      </c>
      <c r="H87" s="106" t="n">
        <v>27</v>
      </c>
      <c r="I87" s="106" t="n">
        <v>14.4</v>
      </c>
      <c r="J87" s="106" t="n">
        <v>60</v>
      </c>
      <c r="K87" s="106" t="n">
        <v>10</v>
      </c>
      <c r="L87" s="106" t="n">
        <v>60</v>
      </c>
      <c r="M87" s="106" t="n">
        <v>50</v>
      </c>
      <c r="N87" s="106" t="n">
        <v>820</v>
      </c>
      <c r="O87" s="106" t="n">
        <v>45</v>
      </c>
      <c r="P87" s="106"/>
      <c r="Q87" s="106" t="n">
        <v>70</v>
      </c>
      <c r="R87" s="106" t="n">
        <v>95</v>
      </c>
      <c r="S87" s="106" t="n">
        <v>90</v>
      </c>
      <c r="T87" s="106"/>
      <c r="U87" s="106" t="n">
        <v>80</v>
      </c>
      <c r="V87" s="106" t="n">
        <v>61</v>
      </c>
      <c r="W87" s="106" t="n">
        <v>650</v>
      </c>
      <c r="X87" s="106"/>
      <c r="Y87" s="106" t="n">
        <v>0</v>
      </c>
      <c r="Z87" s="106"/>
      <c r="AA87" s="106"/>
      <c r="AB87" s="106" t="n">
        <v>2.2</v>
      </c>
      <c r="AC87" s="106" t="n">
        <v>1.4</v>
      </c>
      <c r="AD87" s="106" t="n">
        <v>1.2</v>
      </c>
      <c r="AE87" s="106" t="n">
        <v>10</v>
      </c>
      <c r="AF87" s="106" t="n">
        <v>1</v>
      </c>
      <c r="AG87" s="106"/>
      <c r="AH87" s="106" t="n">
        <v>1</v>
      </c>
    </row>
    <row r="88" customFormat="false" ht="15" hidden="false" customHeight="false" outlineLevel="0" collapsed="false">
      <c r="B88" s="107" t="n">
        <v>86</v>
      </c>
      <c r="C88" s="109" t="s">
        <v>459</v>
      </c>
      <c r="D88" s="109" t="n">
        <v>14</v>
      </c>
      <c r="E88" s="109" t="n">
        <v>11.7</v>
      </c>
      <c r="F88" s="109" t="n">
        <v>87</v>
      </c>
      <c r="G88" s="109" t="n">
        <v>-44</v>
      </c>
      <c r="H88" s="109" t="n">
        <v>74</v>
      </c>
      <c r="I88" s="109" t="n">
        <v>13.8</v>
      </c>
      <c r="J88" s="109" t="n">
        <v>107</v>
      </c>
      <c r="K88" s="109" t="n">
        <v>10</v>
      </c>
      <c r="L88" s="109" t="n">
        <v>197</v>
      </c>
      <c r="M88" s="109" t="n">
        <v>65</v>
      </c>
      <c r="N88" s="109" t="n">
        <v>621</v>
      </c>
      <c r="O88" s="109" t="n">
        <v>69</v>
      </c>
      <c r="P88" s="109"/>
      <c r="Q88" s="109" t="n">
        <v>70</v>
      </c>
      <c r="R88" s="109" t="n">
        <v>90</v>
      </c>
      <c r="S88" s="109" t="n">
        <v>83</v>
      </c>
      <c r="T88" s="109"/>
      <c r="U88" s="109" t="n">
        <v>75</v>
      </c>
      <c r="V88" s="109" t="n">
        <v>75</v>
      </c>
      <c r="W88" s="109"/>
      <c r="X88" s="109"/>
      <c r="Y88" s="109"/>
      <c r="Z88" s="109"/>
      <c r="AA88" s="109"/>
      <c r="AB88" s="109" t="n">
        <v>7</v>
      </c>
      <c r="AC88" s="109" t="n">
        <v>1</v>
      </c>
      <c r="AD88" s="109" t="n">
        <v>1.4</v>
      </c>
      <c r="AE88" s="109" t="n">
        <v>6</v>
      </c>
      <c r="AF88" s="109" t="n">
        <v>0.8</v>
      </c>
      <c r="AG88" s="109"/>
      <c r="AH88" s="109" t="n">
        <v>0.8</v>
      </c>
    </row>
    <row r="89" customFormat="false" ht="15" hidden="false" customHeight="false" outlineLevel="0" collapsed="false">
      <c r="B89" s="104" t="n">
        <v>87</v>
      </c>
      <c r="C89" s="106" t="s">
        <v>460</v>
      </c>
      <c r="D89" s="106" t="n">
        <v>27</v>
      </c>
      <c r="E89" s="106" t="n">
        <v>12.8</v>
      </c>
      <c r="F89" s="106" t="n">
        <v>100</v>
      </c>
      <c r="G89" s="106" t="n">
        <v>-69</v>
      </c>
      <c r="H89" s="106" t="n">
        <v>80</v>
      </c>
      <c r="I89" s="106" t="n">
        <v>15.3</v>
      </c>
      <c r="J89" s="106" t="n">
        <v>108</v>
      </c>
      <c r="K89" s="106" t="n">
        <v>8</v>
      </c>
      <c r="L89" s="106" t="n">
        <v>176</v>
      </c>
      <c r="M89" s="106" t="n">
        <v>73</v>
      </c>
      <c r="N89" s="106" t="n">
        <v>635</v>
      </c>
      <c r="O89" s="106" t="n">
        <v>74</v>
      </c>
      <c r="P89" s="106"/>
      <c r="Q89" s="106" t="n">
        <v>96</v>
      </c>
      <c r="R89" s="106" t="n">
        <v>95</v>
      </c>
      <c r="S89" s="106"/>
      <c r="T89" s="106" t="n">
        <v>74</v>
      </c>
      <c r="U89" s="106" t="n">
        <v>61</v>
      </c>
      <c r="V89" s="106" t="n">
        <v>70</v>
      </c>
      <c r="W89" s="106" t="n">
        <v>38</v>
      </c>
      <c r="X89" s="106"/>
      <c r="Y89" s="106" t="n">
        <v>5</v>
      </c>
      <c r="Z89" s="106" t="n">
        <v>445</v>
      </c>
      <c r="AA89" s="106" t="n">
        <v>28</v>
      </c>
      <c r="AB89" s="106" t="n">
        <v>8.8</v>
      </c>
      <c r="AC89" s="106" t="n">
        <v>0.8</v>
      </c>
      <c r="AD89" s="106" t="n">
        <v>1.7</v>
      </c>
      <c r="AE89" s="106" t="n">
        <v>13.7</v>
      </c>
      <c r="AF89" s="106" t="n">
        <v>1.4</v>
      </c>
      <c r="AG89" s="106"/>
      <c r="AH89" s="106" t="n">
        <v>0.8</v>
      </c>
    </row>
    <row r="90" customFormat="false" ht="15" hidden="false" customHeight="false" outlineLevel="0" collapsed="false">
      <c r="A90" s="1" t="s">
        <v>70</v>
      </c>
      <c r="B90" s="107" t="n">
        <v>88</v>
      </c>
      <c r="C90" s="109" t="s">
        <v>461</v>
      </c>
      <c r="D90" s="109" t="n">
        <v>75</v>
      </c>
      <c r="E90" s="109" t="n">
        <v>12.4</v>
      </c>
      <c r="F90" s="109" t="n">
        <v>76</v>
      </c>
      <c r="G90" s="109" t="n">
        <v>3</v>
      </c>
      <c r="H90" s="109" t="n">
        <v>92</v>
      </c>
      <c r="I90" s="109" t="n">
        <v>14.1</v>
      </c>
      <c r="J90" s="109" t="n">
        <v>131</v>
      </c>
      <c r="K90" s="109"/>
      <c r="L90" s="109"/>
      <c r="M90" s="109" t="n">
        <v>109</v>
      </c>
      <c r="N90" s="109" t="n">
        <v>760</v>
      </c>
      <c r="O90" s="109" t="n">
        <v>70</v>
      </c>
      <c r="P90" s="109"/>
      <c r="Q90" s="109"/>
      <c r="R90" s="109" t="n">
        <v>94</v>
      </c>
      <c r="S90" s="109" t="n">
        <v>90</v>
      </c>
      <c r="T90" s="109"/>
      <c r="U90" s="109" t="n">
        <v>100</v>
      </c>
      <c r="V90" s="109" t="n">
        <v>100</v>
      </c>
      <c r="W90" s="109" t="n">
        <v>590</v>
      </c>
      <c r="X90" s="109"/>
      <c r="Y90" s="109"/>
      <c r="Z90" s="109" t="n">
        <v>0</v>
      </c>
      <c r="AA90" s="109"/>
      <c r="AB90" s="109" t="n">
        <v>2</v>
      </c>
      <c r="AC90" s="109" t="n">
        <v>0.2</v>
      </c>
      <c r="AD90" s="109" t="n">
        <v>0.1</v>
      </c>
      <c r="AE90" s="109" t="n">
        <v>45</v>
      </c>
      <c r="AF90" s="109" t="n">
        <v>12</v>
      </c>
      <c r="AG90" s="109" t="n">
        <v>1200</v>
      </c>
      <c r="AH90" s="109" t="n">
        <v>12</v>
      </c>
    </row>
    <row r="91" customFormat="false" ht="15" hidden="false" customHeight="false" outlineLevel="0" collapsed="false">
      <c r="B91" s="104" t="n">
        <v>89</v>
      </c>
      <c r="C91" s="106" t="s">
        <v>462</v>
      </c>
      <c r="D91" s="106" t="n">
        <v>19</v>
      </c>
      <c r="E91" s="106" t="n">
        <v>10.1</v>
      </c>
      <c r="F91" s="106" t="n">
        <v>69</v>
      </c>
      <c r="G91" s="106" t="n">
        <v>24</v>
      </c>
      <c r="H91" s="106" t="n">
        <v>106</v>
      </c>
      <c r="I91" s="106" t="n">
        <v>12.1</v>
      </c>
      <c r="J91" s="106" t="n">
        <v>146</v>
      </c>
      <c r="K91" s="106" t="n">
        <v>30</v>
      </c>
      <c r="L91" s="106" t="n">
        <v>150</v>
      </c>
      <c r="M91" s="106" t="n">
        <v>173</v>
      </c>
      <c r="N91" s="106" t="n">
        <v>501</v>
      </c>
      <c r="O91" s="106"/>
      <c r="P91" s="106" t="n">
        <v>50</v>
      </c>
      <c r="Q91" s="106" t="n">
        <v>80</v>
      </c>
      <c r="R91" s="106" t="n">
        <v>80</v>
      </c>
      <c r="S91" s="106"/>
      <c r="T91" s="106"/>
      <c r="U91" s="106" t="n">
        <v>80</v>
      </c>
      <c r="V91" s="106" t="n">
        <v>73</v>
      </c>
      <c r="W91" s="106" t="n">
        <v>120</v>
      </c>
      <c r="X91" s="106"/>
      <c r="Y91" s="106"/>
      <c r="Z91" s="106"/>
      <c r="AA91" s="106"/>
      <c r="AB91" s="106" t="n">
        <v>13</v>
      </c>
      <c r="AC91" s="106" t="n">
        <v>2.7</v>
      </c>
      <c r="AD91" s="106" t="n">
        <v>4.1</v>
      </c>
      <c r="AE91" s="106" t="n">
        <v>30</v>
      </c>
      <c r="AF91" s="106" t="n">
        <v>9.7</v>
      </c>
      <c r="AG91" s="106"/>
      <c r="AH91" s="106" t="n">
        <v>9.7</v>
      </c>
    </row>
    <row r="92" customFormat="false" ht="15" hidden="false" customHeight="false" outlineLevel="0" collapsed="false">
      <c r="B92" s="107" t="n">
        <v>90</v>
      </c>
      <c r="C92" s="109" t="s">
        <v>463</v>
      </c>
      <c r="D92" s="109" t="n">
        <v>91</v>
      </c>
      <c r="E92" s="109" t="n">
        <v>12.5</v>
      </c>
      <c r="F92" s="109" t="n">
        <v>97</v>
      </c>
      <c r="G92" s="109" t="n">
        <v>-56</v>
      </c>
      <c r="H92" s="109" t="n">
        <v>77</v>
      </c>
      <c r="I92" s="109" t="n">
        <v>14.5</v>
      </c>
      <c r="J92" s="109" t="n">
        <v>111</v>
      </c>
      <c r="K92" s="109" t="n">
        <v>23</v>
      </c>
      <c r="L92" s="109" t="n">
        <v>120</v>
      </c>
      <c r="M92" s="109" t="n">
        <v>86</v>
      </c>
      <c r="N92" s="109" t="n">
        <v>660</v>
      </c>
      <c r="O92" s="109" t="n">
        <v>69</v>
      </c>
      <c r="P92" s="109"/>
      <c r="Q92" s="109" t="n">
        <v>95</v>
      </c>
      <c r="R92" s="109" t="n">
        <v>95</v>
      </c>
      <c r="S92" s="109"/>
      <c r="T92" s="109" t="n">
        <v>72</v>
      </c>
      <c r="U92" s="109" t="n">
        <v>69</v>
      </c>
      <c r="V92" s="109" t="n">
        <v>82</v>
      </c>
      <c r="W92" s="109" t="n">
        <v>242</v>
      </c>
      <c r="X92" s="109" t="n">
        <v>164</v>
      </c>
      <c r="Y92" s="109" t="n">
        <v>0</v>
      </c>
      <c r="Z92" s="109" t="n">
        <v>334</v>
      </c>
      <c r="AA92" s="109" t="n">
        <v>14</v>
      </c>
      <c r="AB92" s="109" t="n">
        <v>9.5</v>
      </c>
      <c r="AC92" s="109" t="n">
        <v>0.7</v>
      </c>
      <c r="AD92" s="109" t="n">
        <v>1.3</v>
      </c>
      <c r="AE92" s="109" t="n">
        <v>21</v>
      </c>
      <c r="AF92" s="109" t="n">
        <v>5.5</v>
      </c>
      <c r="AG92" s="109" t="n">
        <v>495</v>
      </c>
      <c r="AH92" s="109" t="n">
        <v>5.5</v>
      </c>
    </row>
    <row r="93" customFormat="false" ht="15" hidden="false" customHeight="false" outlineLevel="0" collapsed="false">
      <c r="A93" s="1" t="s">
        <v>71</v>
      </c>
      <c r="B93" s="104" t="n">
        <v>91</v>
      </c>
      <c r="C93" s="106" t="s">
        <v>464</v>
      </c>
      <c r="D93" s="106" t="n">
        <v>90</v>
      </c>
      <c r="E93" s="106" t="n">
        <v>12.3</v>
      </c>
      <c r="F93" s="106" t="n">
        <v>107</v>
      </c>
      <c r="G93" s="106" t="n">
        <v>-96</v>
      </c>
      <c r="H93" s="106" t="n">
        <v>59</v>
      </c>
      <c r="I93" s="106" t="n">
        <v>14.7</v>
      </c>
      <c r="J93" s="106" t="n">
        <v>90</v>
      </c>
      <c r="K93" s="106" t="n">
        <v>32</v>
      </c>
      <c r="L93" s="106" t="n">
        <v>187</v>
      </c>
      <c r="M93" s="106" t="n">
        <v>66</v>
      </c>
      <c r="N93" s="106" t="n">
        <v>625</v>
      </c>
      <c r="O93" s="106" t="n">
        <v>65</v>
      </c>
      <c r="P93" s="106"/>
      <c r="Q93" s="106" t="n">
        <v>95</v>
      </c>
      <c r="R93" s="106" t="n">
        <v>94</v>
      </c>
      <c r="S93" s="106" t="n">
        <v>89</v>
      </c>
      <c r="T93" s="106" t="n">
        <v>69</v>
      </c>
      <c r="U93" s="106" t="n">
        <v>46</v>
      </c>
      <c r="V93" s="106" t="n">
        <v>80</v>
      </c>
      <c r="W93" s="106" t="n">
        <v>100</v>
      </c>
      <c r="X93" s="106" t="n">
        <v>239</v>
      </c>
      <c r="Y93" s="106"/>
      <c r="Z93" s="106" t="n">
        <v>454</v>
      </c>
      <c r="AA93" s="106"/>
      <c r="AB93" s="106" t="n">
        <v>7</v>
      </c>
      <c r="AC93" s="106" t="n">
        <v>1</v>
      </c>
      <c r="AD93" s="106" t="n">
        <v>1.4</v>
      </c>
      <c r="AE93" s="106" t="n">
        <v>6</v>
      </c>
      <c r="AF93" s="106" t="n">
        <v>0.8</v>
      </c>
      <c r="AG93" s="106"/>
      <c r="AH93" s="106" t="n">
        <v>0.8</v>
      </c>
    </row>
    <row r="94" customFormat="false" ht="15" hidden="false" customHeight="false" outlineLevel="0" collapsed="false">
      <c r="A94" s="1" t="s">
        <v>49</v>
      </c>
      <c r="B94" s="107" t="n">
        <v>92</v>
      </c>
      <c r="C94" s="109" t="s">
        <v>465</v>
      </c>
      <c r="D94" s="109" t="n">
        <v>87</v>
      </c>
      <c r="E94" s="109" t="n">
        <v>16.4</v>
      </c>
      <c r="F94" s="109" t="n">
        <v>69</v>
      </c>
      <c r="G94" s="109" t="n">
        <v>273</v>
      </c>
      <c r="H94" s="109" t="n">
        <v>360</v>
      </c>
      <c r="I94" s="109" t="n">
        <v>18.4</v>
      </c>
      <c r="J94" s="109" t="n">
        <v>400</v>
      </c>
      <c r="K94" s="109" t="n">
        <v>180</v>
      </c>
      <c r="L94" s="109" t="n">
        <v>60</v>
      </c>
      <c r="M94" s="109" t="n">
        <v>50</v>
      </c>
      <c r="N94" s="109" t="n">
        <v>310</v>
      </c>
      <c r="O94" s="109" t="n">
        <v>90</v>
      </c>
      <c r="P94" s="109" t="n">
        <v>90</v>
      </c>
      <c r="Q94" s="109" t="n">
        <v>40</v>
      </c>
      <c r="R94" s="109" t="n">
        <v>70</v>
      </c>
      <c r="S94" s="109" t="n">
        <v>80</v>
      </c>
      <c r="T94" s="109"/>
      <c r="U94" s="109" t="n">
        <v>79</v>
      </c>
      <c r="V94" s="109" t="n">
        <v>60</v>
      </c>
      <c r="W94" s="109" t="n">
        <v>50</v>
      </c>
      <c r="X94" s="109"/>
      <c r="Y94" s="109" t="n">
        <v>150</v>
      </c>
      <c r="Z94" s="109" t="n">
        <v>101</v>
      </c>
      <c r="AA94" s="109"/>
      <c r="AB94" s="109" t="n">
        <v>2.6</v>
      </c>
      <c r="AC94" s="109" t="n">
        <v>6.3</v>
      </c>
      <c r="AD94" s="109" t="n">
        <v>2.8</v>
      </c>
      <c r="AE94" s="109" t="n">
        <v>19</v>
      </c>
      <c r="AF94" s="109" t="n">
        <v>0.3</v>
      </c>
      <c r="AG94" s="109"/>
      <c r="AH94" s="109" t="n">
        <v>0.1</v>
      </c>
    </row>
    <row r="95" customFormat="false" ht="15" hidden="false" customHeight="false" outlineLevel="0" collapsed="false">
      <c r="A95" s="1" t="s">
        <v>51</v>
      </c>
      <c r="B95" s="104" t="n">
        <v>93</v>
      </c>
      <c r="C95" s="106" t="s">
        <v>466</v>
      </c>
      <c r="D95" s="106" t="n">
        <v>87</v>
      </c>
      <c r="E95" s="106" t="n">
        <v>14.6</v>
      </c>
      <c r="F95" s="106" t="n">
        <v>182</v>
      </c>
      <c r="G95" s="106" t="n">
        <v>261</v>
      </c>
      <c r="H95" s="106" t="n">
        <v>469</v>
      </c>
      <c r="I95" s="106" t="n">
        <v>17.8</v>
      </c>
      <c r="J95" s="106" t="n">
        <v>510</v>
      </c>
      <c r="K95" s="106" t="n">
        <v>10</v>
      </c>
      <c r="L95" s="106" t="n">
        <v>60</v>
      </c>
      <c r="M95" s="106" t="n">
        <v>70</v>
      </c>
      <c r="N95" s="106" t="n">
        <v>350</v>
      </c>
      <c r="O95" s="106" t="n">
        <v>92</v>
      </c>
      <c r="P95" s="106" t="n">
        <v>50</v>
      </c>
      <c r="Q95" s="106" t="n">
        <v>70</v>
      </c>
      <c r="R95" s="106" t="n">
        <v>92</v>
      </c>
      <c r="S95" s="106" t="n">
        <v>90</v>
      </c>
      <c r="T95" s="106" t="n">
        <v>72</v>
      </c>
      <c r="U95" s="106" t="n">
        <v>64</v>
      </c>
      <c r="V95" s="106" t="n">
        <v>92</v>
      </c>
      <c r="W95" s="106" t="n">
        <v>121</v>
      </c>
      <c r="X95" s="106" t="n">
        <v>51</v>
      </c>
      <c r="Y95" s="106" t="n">
        <v>62</v>
      </c>
      <c r="Z95" s="106" t="n">
        <v>95</v>
      </c>
      <c r="AA95" s="106"/>
      <c r="AB95" s="106" t="n">
        <v>3.2</v>
      </c>
      <c r="AC95" s="106" t="n">
        <v>7.2</v>
      </c>
      <c r="AD95" s="106" t="n">
        <v>2.7</v>
      </c>
      <c r="AE95" s="106" t="n">
        <v>23</v>
      </c>
      <c r="AF95" s="106" t="n">
        <v>0.3</v>
      </c>
      <c r="AG95" s="106"/>
      <c r="AH95" s="106" t="n">
        <v>0.3</v>
      </c>
    </row>
    <row r="96" customFormat="false" ht="15" hidden="false" customHeight="false" outlineLevel="0" collapsed="false">
      <c r="B96" s="107" t="n">
        <v>94</v>
      </c>
      <c r="C96" s="109" t="s">
        <v>467</v>
      </c>
      <c r="D96" s="109" t="n">
        <v>87</v>
      </c>
      <c r="E96" s="109" t="n">
        <v>13.8</v>
      </c>
      <c r="F96" s="109" t="n">
        <v>292</v>
      </c>
      <c r="G96" s="109" t="n">
        <v>79</v>
      </c>
      <c r="H96" s="109" t="n">
        <v>437</v>
      </c>
      <c r="I96" s="109" t="n">
        <v>16.9</v>
      </c>
      <c r="J96" s="109" t="n">
        <v>475</v>
      </c>
      <c r="K96" s="109" t="n">
        <v>8</v>
      </c>
      <c r="L96" s="109" t="n">
        <v>60</v>
      </c>
      <c r="M96" s="109" t="n">
        <v>70</v>
      </c>
      <c r="N96" s="109" t="n">
        <v>387</v>
      </c>
      <c r="O96" s="109" t="n">
        <v>92</v>
      </c>
      <c r="P96" s="109" t="n">
        <v>50</v>
      </c>
      <c r="Q96" s="109" t="n">
        <v>70</v>
      </c>
      <c r="R96" s="109" t="n">
        <v>81</v>
      </c>
      <c r="S96" s="109"/>
      <c r="T96" s="109" t="n">
        <v>50</v>
      </c>
      <c r="U96" s="109" t="n">
        <v>30</v>
      </c>
      <c r="V96" s="109" t="n">
        <v>90</v>
      </c>
      <c r="W96" s="109"/>
      <c r="X96" s="109" t="n">
        <v>53</v>
      </c>
      <c r="Y96" s="109"/>
      <c r="Z96" s="109"/>
      <c r="AA96" s="109"/>
      <c r="AB96" s="109" t="n">
        <v>4.9</v>
      </c>
      <c r="AC96" s="109" t="n">
        <v>6.6</v>
      </c>
      <c r="AD96" s="109" t="n">
        <v>3.5</v>
      </c>
      <c r="AE96" s="109" t="n">
        <v>22</v>
      </c>
      <c r="AF96" s="109" t="n">
        <v>0.2</v>
      </c>
      <c r="AG96" s="109"/>
      <c r="AH96" s="109"/>
    </row>
    <row r="97" customFormat="false" ht="15" hidden="false" customHeight="false" outlineLevel="0" collapsed="false">
      <c r="B97" s="104" t="n">
        <v>95</v>
      </c>
      <c r="C97" s="106" t="s">
        <v>468</v>
      </c>
      <c r="D97" s="106" t="n">
        <v>92</v>
      </c>
      <c r="E97" s="106" t="n">
        <v>11.7</v>
      </c>
      <c r="F97" s="106" t="n">
        <v>89</v>
      </c>
      <c r="G97" s="106" t="n">
        <v>194</v>
      </c>
      <c r="H97" s="106" t="n">
        <v>275</v>
      </c>
      <c r="I97" s="106" t="n">
        <v>13.6</v>
      </c>
      <c r="J97" s="106" t="n">
        <v>320</v>
      </c>
      <c r="K97" s="106" t="n">
        <v>90</v>
      </c>
      <c r="L97" s="106" t="n">
        <v>235</v>
      </c>
      <c r="M97" s="106" t="n">
        <v>70</v>
      </c>
      <c r="N97" s="106" t="n">
        <v>285</v>
      </c>
      <c r="O97" s="106" t="n">
        <v>86</v>
      </c>
      <c r="P97" s="106" t="n">
        <v>90</v>
      </c>
      <c r="Q97" s="106" t="n">
        <v>30</v>
      </c>
      <c r="R97" s="106" t="n">
        <v>60</v>
      </c>
      <c r="S97" s="106" t="n">
        <v>64</v>
      </c>
      <c r="T97" s="106"/>
      <c r="U97" s="106" t="n">
        <v>74</v>
      </c>
      <c r="V97" s="106" t="n">
        <v>89</v>
      </c>
      <c r="W97" s="106" t="n">
        <v>69</v>
      </c>
      <c r="X97" s="106"/>
      <c r="Y97" s="106" t="n">
        <v>42</v>
      </c>
      <c r="Z97" s="106" t="n">
        <v>380</v>
      </c>
      <c r="AA97" s="106"/>
      <c r="AB97" s="106" t="n">
        <v>4.3</v>
      </c>
      <c r="AC97" s="106" t="n">
        <v>13</v>
      </c>
      <c r="AD97" s="106" t="n">
        <v>6.5</v>
      </c>
      <c r="AE97" s="106" t="n">
        <v>17.4</v>
      </c>
      <c r="AF97" s="106" t="n">
        <v>0.2</v>
      </c>
      <c r="AG97" s="106"/>
      <c r="AH97" s="106" t="n">
        <v>0.2</v>
      </c>
    </row>
    <row r="98" customFormat="false" ht="15" hidden="false" customHeight="false" outlineLevel="0" collapsed="false">
      <c r="B98" s="107" t="n">
        <v>96</v>
      </c>
      <c r="C98" s="109" t="s">
        <v>469</v>
      </c>
      <c r="D98" s="109" t="n">
        <v>92</v>
      </c>
      <c r="E98" s="109" t="n">
        <v>12.8</v>
      </c>
      <c r="F98" s="109" t="n">
        <v>100</v>
      </c>
      <c r="G98" s="109" t="n">
        <v>265</v>
      </c>
      <c r="H98" s="109" t="n">
        <v>369</v>
      </c>
      <c r="I98" s="109" t="n">
        <v>15.1</v>
      </c>
      <c r="J98" s="109" t="n">
        <v>410</v>
      </c>
      <c r="K98" s="109" t="n">
        <v>80</v>
      </c>
      <c r="L98" s="109" t="n">
        <v>160</v>
      </c>
      <c r="M98" s="109" t="n">
        <v>70</v>
      </c>
      <c r="N98" s="109" t="n">
        <v>280</v>
      </c>
      <c r="O98" s="109" t="n">
        <v>90</v>
      </c>
      <c r="P98" s="109" t="n">
        <v>90</v>
      </c>
      <c r="Q98" s="109" t="n">
        <v>30</v>
      </c>
      <c r="R98" s="109" t="n">
        <v>60</v>
      </c>
      <c r="S98" s="109" t="n">
        <v>71</v>
      </c>
      <c r="T98" s="109"/>
      <c r="U98" s="109" t="n">
        <v>74</v>
      </c>
      <c r="V98" s="109" t="n">
        <v>85</v>
      </c>
      <c r="W98" s="109" t="n">
        <v>69</v>
      </c>
      <c r="X98" s="109" t="n">
        <v>66</v>
      </c>
      <c r="Y98" s="109" t="n">
        <v>42</v>
      </c>
      <c r="Z98" s="109" t="n">
        <v>280</v>
      </c>
      <c r="AA98" s="109"/>
      <c r="AB98" s="109" t="n">
        <v>3.7</v>
      </c>
      <c r="AC98" s="109" t="n">
        <v>11.1</v>
      </c>
      <c r="AD98" s="109" t="n">
        <v>6</v>
      </c>
      <c r="AE98" s="109" t="n">
        <v>17.2</v>
      </c>
      <c r="AF98" s="109" t="n">
        <v>0.2</v>
      </c>
      <c r="AG98" s="109"/>
      <c r="AH98" s="109" t="n">
        <v>0.2</v>
      </c>
    </row>
    <row r="99" customFormat="false" ht="15" hidden="false" customHeight="false" outlineLevel="0" collapsed="false">
      <c r="B99" s="104" t="n">
        <v>97</v>
      </c>
      <c r="C99" s="106" t="s">
        <v>470</v>
      </c>
      <c r="D99" s="106" t="n">
        <v>93</v>
      </c>
      <c r="E99" s="106" t="n">
        <v>15.2</v>
      </c>
      <c r="F99" s="106" t="n">
        <v>29</v>
      </c>
      <c r="G99" s="106" t="n">
        <v>118</v>
      </c>
      <c r="H99" s="106" t="n">
        <v>145</v>
      </c>
      <c r="I99" s="106" t="n">
        <v>15.8</v>
      </c>
      <c r="J99" s="106" t="n">
        <v>170</v>
      </c>
      <c r="K99" s="106" t="n">
        <v>300</v>
      </c>
      <c r="L99" s="106" t="n">
        <v>300</v>
      </c>
      <c r="M99" s="106" t="n">
        <v>40</v>
      </c>
      <c r="N99" s="106" t="n">
        <v>190</v>
      </c>
      <c r="O99" s="106" t="n">
        <v>85</v>
      </c>
      <c r="P99" s="106" t="n">
        <v>95</v>
      </c>
      <c r="Q99" s="106" t="n">
        <v>30</v>
      </c>
      <c r="R99" s="106" t="n">
        <v>30</v>
      </c>
      <c r="S99" s="106" t="n">
        <v>60</v>
      </c>
      <c r="T99" s="106"/>
      <c r="U99" s="106" t="n">
        <v>85</v>
      </c>
      <c r="V99" s="106" t="n">
        <v>60</v>
      </c>
      <c r="W99" s="106" t="n">
        <v>230</v>
      </c>
      <c r="X99" s="106"/>
      <c r="Y99" s="106" t="n">
        <v>150</v>
      </c>
      <c r="Z99" s="106"/>
      <c r="AA99" s="106"/>
      <c r="AB99" s="106" t="n">
        <v>2.2</v>
      </c>
      <c r="AC99" s="106" t="n">
        <v>6.1</v>
      </c>
      <c r="AD99" s="106" t="n">
        <v>3.8</v>
      </c>
      <c r="AE99" s="106" t="n">
        <v>9</v>
      </c>
      <c r="AF99" s="106" t="n">
        <v>0.7</v>
      </c>
      <c r="AG99" s="106"/>
      <c r="AH99" s="106" t="n">
        <v>0.7</v>
      </c>
    </row>
    <row r="100" customFormat="false" ht="15" hidden="false" customHeight="false" outlineLevel="0" collapsed="false">
      <c r="B100" s="107" t="n">
        <v>98</v>
      </c>
      <c r="C100" s="109" t="s">
        <v>471</v>
      </c>
      <c r="D100" s="109" t="n">
        <v>92</v>
      </c>
      <c r="E100" s="109" t="n">
        <v>8</v>
      </c>
      <c r="F100" s="109" t="n">
        <v>78</v>
      </c>
      <c r="G100" s="109" t="n">
        <v>175</v>
      </c>
      <c r="H100" s="109" t="n">
        <v>247</v>
      </c>
      <c r="I100" s="109" t="n">
        <v>10.1</v>
      </c>
      <c r="J100" s="109" t="n">
        <v>290</v>
      </c>
      <c r="K100" s="109" t="n">
        <v>10</v>
      </c>
      <c r="L100" s="109" t="n">
        <v>370</v>
      </c>
      <c r="M100" s="109" t="n">
        <v>60</v>
      </c>
      <c r="N100" s="109" t="n">
        <v>270</v>
      </c>
      <c r="O100" s="109" t="n">
        <v>85</v>
      </c>
      <c r="P100" s="109" t="n">
        <v>90</v>
      </c>
      <c r="Q100" s="109" t="n">
        <v>30</v>
      </c>
      <c r="R100" s="109" t="n">
        <v>40</v>
      </c>
      <c r="S100" s="109" t="n">
        <v>50</v>
      </c>
      <c r="T100" s="109"/>
      <c r="U100" s="109" t="n">
        <v>74</v>
      </c>
      <c r="V100" s="109" t="n">
        <v>85</v>
      </c>
      <c r="W100" s="109" t="n">
        <v>69</v>
      </c>
      <c r="X100" s="109"/>
      <c r="Y100" s="109" t="n">
        <v>42</v>
      </c>
      <c r="Z100" s="109" t="n">
        <v>410</v>
      </c>
      <c r="AA100" s="109"/>
      <c r="AB100" s="109" t="n">
        <v>3.7</v>
      </c>
      <c r="AC100" s="109" t="n">
        <v>10.4</v>
      </c>
      <c r="AD100" s="109" t="n">
        <v>5.6</v>
      </c>
      <c r="AE100" s="109" t="n">
        <v>15</v>
      </c>
      <c r="AF100" s="109" t="n">
        <v>0.2</v>
      </c>
      <c r="AG100" s="109"/>
      <c r="AH100" s="109" t="n">
        <v>0.2</v>
      </c>
    </row>
    <row r="101" customFormat="false" ht="15" hidden="false" customHeight="false" outlineLevel="0" collapsed="false">
      <c r="A101" s="1" t="s">
        <v>55</v>
      </c>
      <c r="B101" s="104" t="n">
        <v>99</v>
      </c>
      <c r="C101" s="106" t="s">
        <v>472</v>
      </c>
      <c r="D101" s="106" t="n">
        <v>92</v>
      </c>
      <c r="E101" s="106" t="n">
        <v>11.4</v>
      </c>
      <c r="F101" s="106" t="n">
        <v>109</v>
      </c>
      <c r="G101" s="106" t="n">
        <v>301</v>
      </c>
      <c r="H101" s="106" t="n">
        <v>414</v>
      </c>
      <c r="I101" s="106" t="n">
        <v>14.1</v>
      </c>
      <c r="J101" s="106" t="n">
        <v>460</v>
      </c>
      <c r="K101" s="106" t="n">
        <v>10</v>
      </c>
      <c r="L101" s="106" t="n">
        <v>170</v>
      </c>
      <c r="M101" s="106" t="n">
        <v>80</v>
      </c>
      <c r="N101" s="106" t="n">
        <v>280</v>
      </c>
      <c r="O101" s="106" t="n">
        <v>90</v>
      </c>
      <c r="P101" s="106" t="n">
        <v>90</v>
      </c>
      <c r="Q101" s="106" t="n">
        <v>30</v>
      </c>
      <c r="R101" s="106" t="n">
        <v>60</v>
      </c>
      <c r="S101" s="106" t="n">
        <v>70</v>
      </c>
      <c r="T101" s="106"/>
      <c r="U101" s="106" t="n">
        <v>74</v>
      </c>
      <c r="V101" s="106" t="n">
        <v>85</v>
      </c>
      <c r="W101" s="106" t="n">
        <v>69</v>
      </c>
      <c r="X101" s="106"/>
      <c r="Y101" s="106" t="n">
        <v>42</v>
      </c>
      <c r="Z101" s="106" t="n">
        <v>280</v>
      </c>
      <c r="AA101" s="106"/>
      <c r="AB101" s="106" t="n">
        <v>4.5</v>
      </c>
      <c r="AC101" s="106" t="n">
        <v>13.5</v>
      </c>
      <c r="AD101" s="106" t="n">
        <v>6.7</v>
      </c>
      <c r="AE101" s="106" t="n">
        <v>18</v>
      </c>
      <c r="AF101" s="106" t="n">
        <v>0.2</v>
      </c>
      <c r="AG101" s="106" t="n">
        <v>222</v>
      </c>
      <c r="AH101" s="106" t="n">
        <v>0.2</v>
      </c>
    </row>
    <row r="102" customFormat="false" ht="15" hidden="false" customHeight="false" outlineLevel="0" collapsed="false">
      <c r="B102" s="107" t="n">
        <v>100</v>
      </c>
      <c r="C102" s="109" t="s">
        <v>473</v>
      </c>
      <c r="D102" s="109" t="n">
        <v>87</v>
      </c>
      <c r="E102" s="109" t="n">
        <v>14.4</v>
      </c>
      <c r="F102" s="109" t="n">
        <v>145</v>
      </c>
      <c r="G102" s="109" t="n">
        <v>-99</v>
      </c>
      <c r="H102" s="109" t="n">
        <v>94</v>
      </c>
      <c r="I102" s="109" t="n">
        <v>16.2</v>
      </c>
      <c r="J102" s="109" t="n">
        <v>120</v>
      </c>
      <c r="K102" s="109" t="n">
        <v>30</v>
      </c>
      <c r="L102" s="109" t="n">
        <v>25</v>
      </c>
      <c r="M102" s="109" t="n">
        <v>20</v>
      </c>
      <c r="N102" s="109" t="n">
        <v>805</v>
      </c>
      <c r="O102" s="109" t="n">
        <v>78</v>
      </c>
      <c r="P102" s="109" t="n">
        <v>85</v>
      </c>
      <c r="Q102" s="109" t="n">
        <v>30</v>
      </c>
      <c r="R102" s="109" t="n">
        <v>93</v>
      </c>
      <c r="S102" s="109" t="n">
        <v>89</v>
      </c>
      <c r="T102" s="109"/>
      <c r="U102" s="109" t="n">
        <v>30</v>
      </c>
      <c r="V102" s="109" t="n">
        <v>90</v>
      </c>
      <c r="W102" s="109" t="n">
        <v>11</v>
      </c>
      <c r="X102" s="109"/>
      <c r="Y102" s="109" t="n">
        <v>749</v>
      </c>
      <c r="Z102" s="109"/>
      <c r="AA102" s="109"/>
      <c r="AB102" s="109" t="n">
        <v>0.5</v>
      </c>
      <c r="AC102" s="109" t="n">
        <v>3.1</v>
      </c>
      <c r="AD102" s="109" t="n">
        <v>1.4</v>
      </c>
      <c r="AE102" s="109" t="n">
        <v>4</v>
      </c>
      <c r="AF102" s="109" t="n">
        <v>0.1</v>
      </c>
      <c r="AG102" s="109"/>
      <c r="AH102" s="109" t="n">
        <v>0.1</v>
      </c>
    </row>
    <row r="103" customFormat="false" ht="15" hidden="false" customHeight="false" outlineLevel="0" collapsed="false">
      <c r="B103" s="104" t="n">
        <v>101</v>
      </c>
      <c r="C103" s="106" t="s">
        <v>474</v>
      </c>
      <c r="D103" s="106" t="n">
        <v>50</v>
      </c>
      <c r="E103" s="106" t="n">
        <v>7.5</v>
      </c>
      <c r="F103" s="106" t="n">
        <v>45</v>
      </c>
      <c r="G103" s="106" t="n">
        <v>-76</v>
      </c>
      <c r="H103" s="106" t="n">
        <v>0</v>
      </c>
      <c r="I103" s="106" t="n">
        <v>8.5</v>
      </c>
      <c r="J103" s="106" t="n">
        <v>30</v>
      </c>
      <c r="K103" s="106" t="n">
        <v>50</v>
      </c>
      <c r="L103" s="106" t="n">
        <v>270</v>
      </c>
      <c r="M103" s="106" t="n">
        <v>30</v>
      </c>
      <c r="N103" s="106" t="n">
        <v>620</v>
      </c>
      <c r="O103" s="106" t="n">
        <v>0</v>
      </c>
      <c r="P103" s="106" t="n">
        <v>65</v>
      </c>
      <c r="Q103" s="106" t="n">
        <v>20</v>
      </c>
      <c r="R103" s="106" t="n">
        <v>60</v>
      </c>
      <c r="S103" s="106" t="n">
        <v>47</v>
      </c>
      <c r="T103" s="106"/>
      <c r="U103" s="106" t="n">
        <v>0</v>
      </c>
      <c r="V103" s="106" t="n">
        <v>0</v>
      </c>
      <c r="W103" s="106"/>
      <c r="X103" s="106"/>
      <c r="Y103" s="106"/>
      <c r="Z103" s="106"/>
      <c r="AA103" s="106"/>
      <c r="AB103" s="106" t="n">
        <v>10</v>
      </c>
      <c r="AC103" s="106" t="n">
        <v>0.6</v>
      </c>
      <c r="AD103" s="106"/>
      <c r="AE103" s="106"/>
      <c r="AF103" s="106"/>
      <c r="AG103" s="106"/>
      <c r="AH103" s="106"/>
    </row>
    <row r="104" customFormat="false" ht="15" hidden="false" customHeight="false" outlineLevel="0" collapsed="false">
      <c r="B104" s="107" t="n">
        <v>102</v>
      </c>
      <c r="C104" s="109" t="s">
        <v>475</v>
      </c>
      <c r="D104" s="109" t="n">
        <v>88</v>
      </c>
      <c r="E104" s="109" t="n">
        <v>13.1</v>
      </c>
      <c r="F104" s="109" t="n">
        <v>93</v>
      </c>
      <c r="G104" s="109" t="n">
        <v>-124</v>
      </c>
      <c r="H104" s="109" t="n">
        <v>3</v>
      </c>
      <c r="I104" s="109" t="n">
        <v>14.7</v>
      </c>
      <c r="J104" s="109" t="n">
        <v>32</v>
      </c>
      <c r="K104" s="109" t="n">
        <v>8</v>
      </c>
      <c r="L104" s="109" t="n">
        <v>44</v>
      </c>
      <c r="M104" s="109" t="n">
        <v>62</v>
      </c>
      <c r="N104" s="109" t="n">
        <v>854</v>
      </c>
      <c r="O104" s="109" t="n">
        <v>10</v>
      </c>
      <c r="P104" s="109" t="n">
        <v>70</v>
      </c>
      <c r="Q104" s="109" t="n">
        <v>55</v>
      </c>
      <c r="R104" s="109" t="n">
        <v>95</v>
      </c>
      <c r="S104" s="109" t="n">
        <v>90</v>
      </c>
      <c r="T104" s="109"/>
      <c r="U104" s="109" t="n">
        <v>80</v>
      </c>
      <c r="V104" s="109" t="n">
        <v>77</v>
      </c>
      <c r="W104" s="109" t="n">
        <v>50</v>
      </c>
      <c r="X104" s="109"/>
      <c r="Y104" s="109" t="n">
        <v>750</v>
      </c>
      <c r="Z104" s="109" t="n">
        <v>80</v>
      </c>
      <c r="AA104" s="109"/>
      <c r="AB104" s="109" t="n">
        <v>2.4</v>
      </c>
      <c r="AC104" s="109" t="n">
        <v>1.2</v>
      </c>
      <c r="AD104" s="109" t="n">
        <v>1.3</v>
      </c>
      <c r="AE104" s="109" t="n">
        <v>9</v>
      </c>
      <c r="AF104" s="109" t="n">
        <v>0.2</v>
      </c>
      <c r="AG104" s="109"/>
      <c r="AH104" s="109" t="n">
        <v>0.2</v>
      </c>
    </row>
    <row r="105" customFormat="false" ht="15" hidden="false" customHeight="false" outlineLevel="0" collapsed="false">
      <c r="B105" s="104" t="n">
        <v>103</v>
      </c>
      <c r="C105" s="106" t="s">
        <v>476</v>
      </c>
      <c r="D105" s="106" t="n">
        <v>50</v>
      </c>
      <c r="E105" s="106" t="n">
        <v>12.4</v>
      </c>
      <c r="F105" s="106" t="n">
        <v>85</v>
      </c>
      <c r="G105" s="106" t="n">
        <v>-133</v>
      </c>
      <c r="H105" s="106" t="n">
        <v>0</v>
      </c>
      <c r="I105" s="106" t="n">
        <v>13.8</v>
      </c>
      <c r="J105" s="106" t="n">
        <v>10</v>
      </c>
      <c r="K105" s="106" t="n">
        <v>10</v>
      </c>
      <c r="L105" s="106"/>
      <c r="M105" s="106" t="n">
        <v>30</v>
      </c>
      <c r="N105" s="106" t="n">
        <v>950</v>
      </c>
      <c r="O105" s="106" t="n">
        <v>0</v>
      </c>
      <c r="P105" s="106" t="n">
        <v>0</v>
      </c>
      <c r="Q105" s="106" t="n">
        <v>0</v>
      </c>
      <c r="R105" s="106" t="n">
        <v>84</v>
      </c>
      <c r="S105" s="106" t="n">
        <v>82</v>
      </c>
      <c r="T105" s="106"/>
      <c r="U105" s="106" t="n">
        <v>100</v>
      </c>
      <c r="V105" s="106" t="n">
        <v>100</v>
      </c>
      <c r="W105" s="106"/>
      <c r="X105" s="106"/>
      <c r="Y105" s="106"/>
      <c r="Z105" s="106"/>
      <c r="AA105" s="106"/>
      <c r="AB105" s="106" t="n">
        <v>5.6</v>
      </c>
      <c r="AC105" s="106" t="n">
        <v>0.9</v>
      </c>
      <c r="AD105" s="106" t="n">
        <v>1</v>
      </c>
      <c r="AE105" s="106" t="n">
        <v>6</v>
      </c>
      <c r="AF105" s="106" t="n">
        <v>0.2</v>
      </c>
      <c r="AG105" s="106"/>
      <c r="AH105" s="106" t="n">
        <v>0.2</v>
      </c>
    </row>
    <row r="106" customFormat="false" ht="15" hidden="false" customHeight="false" outlineLevel="0" collapsed="false">
      <c r="B106" s="107" t="n">
        <v>104</v>
      </c>
      <c r="C106" s="109" t="s">
        <v>477</v>
      </c>
      <c r="D106" s="109" t="n">
        <v>89</v>
      </c>
      <c r="E106" s="109" t="n">
        <v>6.4</v>
      </c>
      <c r="F106" s="109"/>
      <c r="G106" s="109"/>
      <c r="H106" s="109" t="n">
        <v>0</v>
      </c>
      <c r="I106" s="109" t="n">
        <v>7</v>
      </c>
      <c r="J106" s="109" t="n">
        <v>60</v>
      </c>
      <c r="K106" s="109" t="n">
        <v>40</v>
      </c>
      <c r="L106" s="109" t="n">
        <v>50</v>
      </c>
      <c r="M106" s="109" t="n">
        <v>190</v>
      </c>
      <c r="N106" s="109" t="n">
        <v>660</v>
      </c>
      <c r="O106" s="109" t="n">
        <v>0</v>
      </c>
      <c r="P106" s="109" t="n">
        <v>95</v>
      </c>
      <c r="Q106" s="109" t="n">
        <v>0</v>
      </c>
      <c r="R106" s="109" t="n">
        <v>50</v>
      </c>
      <c r="S106" s="109" t="n">
        <v>45</v>
      </c>
      <c r="T106" s="109"/>
      <c r="U106" s="109"/>
      <c r="V106" s="109"/>
      <c r="W106" s="109"/>
      <c r="X106" s="109"/>
      <c r="Y106" s="109"/>
      <c r="Z106" s="109"/>
      <c r="AA106" s="109"/>
      <c r="AB106" s="109" t="n">
        <v>9.5</v>
      </c>
      <c r="AC106" s="109" t="n">
        <v>1.6</v>
      </c>
      <c r="AD106" s="109"/>
      <c r="AE106" s="109"/>
      <c r="AF106" s="109"/>
      <c r="AG106" s="109"/>
      <c r="AH106" s="109"/>
    </row>
    <row r="107" customFormat="false" ht="15" hidden="false" customHeight="false" outlineLevel="0" collapsed="false">
      <c r="B107" s="104" t="n">
        <v>105</v>
      </c>
      <c r="C107" s="106" t="s">
        <v>478</v>
      </c>
      <c r="D107" s="106" t="n">
        <v>98</v>
      </c>
      <c r="E107" s="106"/>
      <c r="F107" s="106" t="n">
        <v>0</v>
      </c>
      <c r="G107" s="106" t="n">
        <v>2900</v>
      </c>
      <c r="H107" s="106" t="n">
        <v>2320</v>
      </c>
      <c r="I107" s="106"/>
      <c r="J107" s="106" t="n">
        <v>2900</v>
      </c>
      <c r="K107" s="106" t="n">
        <v>0</v>
      </c>
      <c r="L107" s="106" t="n">
        <v>0</v>
      </c>
      <c r="M107" s="106" t="n">
        <v>0</v>
      </c>
      <c r="N107" s="106" t="n">
        <v>0</v>
      </c>
      <c r="O107" s="106" t="n">
        <v>80</v>
      </c>
      <c r="P107" s="106"/>
      <c r="Q107" s="106"/>
      <c r="R107" s="106"/>
      <c r="S107" s="106"/>
      <c r="T107" s="106"/>
      <c r="U107" s="106" t="n">
        <v>100</v>
      </c>
      <c r="V107" s="106" t="n">
        <v>100</v>
      </c>
      <c r="W107" s="106" t="n">
        <v>0</v>
      </c>
      <c r="X107" s="106"/>
      <c r="Y107" s="106" t="n">
        <v>0</v>
      </c>
      <c r="Z107" s="106" t="n">
        <v>0</v>
      </c>
      <c r="AA107" s="106" t="n">
        <v>0</v>
      </c>
      <c r="AB107" s="106" t="n">
        <v>0</v>
      </c>
      <c r="AC107" s="106" t="n">
        <v>0</v>
      </c>
      <c r="AD107" s="106" t="n">
        <v>0</v>
      </c>
      <c r="AE107" s="106" t="n">
        <v>0</v>
      </c>
      <c r="AF107" s="106" t="n">
        <v>0</v>
      </c>
      <c r="AG107" s="106"/>
      <c r="AH107" s="106"/>
    </row>
    <row r="108" customFormat="false" ht="15" hidden="false" customHeight="false" outlineLevel="0" collapsed="false">
      <c r="B108" s="107" t="n">
        <v>106</v>
      </c>
      <c r="C108" s="109" t="s">
        <v>479</v>
      </c>
      <c r="D108" s="109" t="n">
        <v>93</v>
      </c>
      <c r="E108" s="109" t="n">
        <v>20.8</v>
      </c>
      <c r="F108" s="109"/>
      <c r="G108" s="109"/>
      <c r="H108" s="109" t="n">
        <v>176</v>
      </c>
      <c r="I108" s="109" t="n">
        <v>21</v>
      </c>
      <c r="J108" s="109" t="n">
        <v>220</v>
      </c>
      <c r="K108" s="109" t="n">
        <v>450</v>
      </c>
      <c r="L108" s="109" t="n">
        <v>80</v>
      </c>
      <c r="M108" s="109" t="n">
        <v>70</v>
      </c>
      <c r="N108" s="109" t="n">
        <v>180</v>
      </c>
      <c r="O108" s="109" t="n">
        <v>80</v>
      </c>
      <c r="P108" s="109" t="n">
        <v>90</v>
      </c>
      <c r="Q108" s="109" t="n">
        <v>30</v>
      </c>
      <c r="R108" s="109" t="n">
        <v>80</v>
      </c>
      <c r="S108" s="109" t="n">
        <v>81</v>
      </c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</row>
    <row r="109" customFormat="false" ht="15" hidden="false" customHeight="false" outlineLevel="0" collapsed="false">
      <c r="B109" s="104" t="n">
        <v>107</v>
      </c>
      <c r="C109" s="106" t="s">
        <v>480</v>
      </c>
      <c r="D109" s="106" t="n">
        <v>90</v>
      </c>
      <c r="E109" s="106" t="n">
        <v>10.7</v>
      </c>
      <c r="F109" s="106"/>
      <c r="G109" s="106"/>
      <c r="H109" s="106" t="n">
        <v>349</v>
      </c>
      <c r="I109" s="106" t="n">
        <v>13.2</v>
      </c>
      <c r="J109" s="106" t="n">
        <v>410</v>
      </c>
      <c r="K109" s="106" t="n">
        <v>20</v>
      </c>
      <c r="L109" s="106" t="n">
        <v>160</v>
      </c>
      <c r="M109" s="106" t="n">
        <v>140</v>
      </c>
      <c r="N109" s="106" t="n">
        <v>270</v>
      </c>
      <c r="O109" s="106" t="n">
        <v>85</v>
      </c>
      <c r="P109" s="106" t="n">
        <v>90</v>
      </c>
      <c r="Q109" s="106" t="n">
        <v>30</v>
      </c>
      <c r="R109" s="106" t="n">
        <v>70</v>
      </c>
      <c r="S109" s="106" t="n">
        <v>70</v>
      </c>
      <c r="T109" s="106"/>
      <c r="U109" s="106"/>
      <c r="V109" s="106"/>
      <c r="W109" s="106"/>
      <c r="X109" s="106"/>
      <c r="Y109" s="106"/>
      <c r="Z109" s="106"/>
      <c r="AA109" s="106"/>
      <c r="AB109" s="106" t="n">
        <v>24</v>
      </c>
      <c r="AC109" s="106" t="n">
        <v>14</v>
      </c>
      <c r="AD109" s="106"/>
      <c r="AE109" s="106"/>
      <c r="AF109" s="106"/>
      <c r="AG109" s="106"/>
      <c r="AH109" s="106"/>
    </row>
    <row r="110" customFormat="false" ht="15" hidden="false" customHeight="false" outlineLevel="0" collapsed="false">
      <c r="B110" s="107" t="n">
        <v>108</v>
      </c>
      <c r="C110" s="109" t="s">
        <v>481</v>
      </c>
      <c r="D110" s="109" t="n">
        <v>85</v>
      </c>
      <c r="E110" s="109" t="n">
        <v>6.4</v>
      </c>
      <c r="F110" s="109"/>
      <c r="G110" s="109"/>
      <c r="H110" s="109" t="n">
        <v>94</v>
      </c>
      <c r="I110" s="109" t="n">
        <v>8</v>
      </c>
      <c r="J110" s="109" t="n">
        <v>170</v>
      </c>
      <c r="K110" s="109" t="n">
        <v>20</v>
      </c>
      <c r="L110" s="109" t="n">
        <v>330</v>
      </c>
      <c r="M110" s="109" t="n">
        <v>80</v>
      </c>
      <c r="N110" s="109" t="n">
        <v>400</v>
      </c>
      <c r="O110" s="109" t="n">
        <v>55</v>
      </c>
      <c r="P110" s="109" t="n">
        <v>40</v>
      </c>
      <c r="Q110" s="109" t="n">
        <v>48</v>
      </c>
      <c r="R110" s="109" t="n">
        <v>40</v>
      </c>
      <c r="S110" s="109" t="n">
        <v>46</v>
      </c>
      <c r="T110" s="109"/>
      <c r="U110" s="109"/>
      <c r="V110" s="109"/>
      <c r="W110" s="109"/>
      <c r="X110" s="109"/>
      <c r="Y110" s="109"/>
      <c r="Z110" s="109"/>
      <c r="AA110" s="109"/>
      <c r="AB110" s="109" t="n">
        <v>3.5</v>
      </c>
      <c r="AC110" s="109" t="n">
        <v>0.6</v>
      </c>
      <c r="AD110" s="109"/>
      <c r="AE110" s="109"/>
      <c r="AF110" s="109"/>
      <c r="AG110" s="109"/>
      <c r="AH110" s="109"/>
    </row>
    <row r="111" customFormat="false" ht="15" hidden="false" customHeight="false" outlineLevel="0" collapsed="false">
      <c r="A111" s="1" t="s">
        <v>66</v>
      </c>
      <c r="B111" s="104" t="n">
        <v>109</v>
      </c>
      <c r="C111" s="106" t="s">
        <v>482</v>
      </c>
      <c r="D111" s="106" t="n">
        <v>90</v>
      </c>
      <c r="E111" s="106" t="n">
        <v>13.3</v>
      </c>
      <c r="F111" s="106" t="n">
        <v>116</v>
      </c>
      <c r="G111" s="106" t="n">
        <v>142</v>
      </c>
      <c r="H111" s="106" t="n">
        <v>272</v>
      </c>
      <c r="I111" s="106" t="n">
        <v>15.7</v>
      </c>
      <c r="J111" s="106" t="n">
        <v>320</v>
      </c>
      <c r="K111" s="106" t="n">
        <v>45</v>
      </c>
      <c r="L111" s="106" t="n">
        <v>106</v>
      </c>
      <c r="M111" s="106" t="n">
        <v>37</v>
      </c>
      <c r="N111" s="106" t="n">
        <v>492</v>
      </c>
      <c r="O111" s="106" t="n">
        <v>85</v>
      </c>
      <c r="P111" s="106" t="n">
        <v>80</v>
      </c>
      <c r="Q111" s="106" t="n">
        <v>60</v>
      </c>
      <c r="R111" s="106" t="n">
        <v>80</v>
      </c>
      <c r="S111" s="106" t="n">
        <v>84</v>
      </c>
      <c r="T111" s="106" t="n">
        <v>49</v>
      </c>
      <c r="U111" s="106" t="n">
        <v>70</v>
      </c>
      <c r="V111" s="106" t="n">
        <v>82</v>
      </c>
      <c r="W111" s="106"/>
      <c r="X111" s="106" t="n">
        <v>19</v>
      </c>
      <c r="Y111" s="106" t="n">
        <v>0</v>
      </c>
      <c r="Z111" s="106" t="n">
        <v>270</v>
      </c>
      <c r="AA111" s="106"/>
      <c r="AB111" s="106" t="n">
        <v>2.6</v>
      </c>
      <c r="AC111" s="106" t="n">
        <v>10.3</v>
      </c>
      <c r="AD111" s="106" t="n">
        <v>3</v>
      </c>
      <c r="AE111" s="106" t="n">
        <v>13.7</v>
      </c>
      <c r="AF111" s="106" t="n">
        <v>1.6</v>
      </c>
      <c r="AG111" s="106"/>
      <c r="AH111" s="106"/>
    </row>
    <row r="112" customFormat="false" ht="15" hidden="false" customHeight="false" outlineLevel="0" collapsed="false">
      <c r="B112" s="107" t="n">
        <v>110</v>
      </c>
      <c r="C112" s="109" t="s">
        <v>483</v>
      </c>
      <c r="D112" s="109" t="n">
        <v>87</v>
      </c>
      <c r="E112" s="109" t="n">
        <v>15.8</v>
      </c>
      <c r="F112" s="109" t="n">
        <v>99</v>
      </c>
      <c r="G112" s="109" t="n">
        <v>150</v>
      </c>
      <c r="H112" s="109" t="n">
        <v>276</v>
      </c>
      <c r="I112" s="109" t="n">
        <v>18.2</v>
      </c>
      <c r="J112" s="109" t="n">
        <v>300</v>
      </c>
      <c r="K112" s="109" t="n">
        <v>90</v>
      </c>
      <c r="L112" s="109" t="n">
        <v>25</v>
      </c>
      <c r="M112" s="109" t="n">
        <v>45</v>
      </c>
      <c r="N112" s="109" t="n">
        <v>540</v>
      </c>
      <c r="O112" s="109" t="n">
        <v>92</v>
      </c>
      <c r="P112" s="109" t="n">
        <v>90</v>
      </c>
      <c r="Q112" s="109" t="n">
        <v>30</v>
      </c>
      <c r="R112" s="109" t="n">
        <v>92</v>
      </c>
      <c r="S112" s="109" t="n">
        <v>90</v>
      </c>
      <c r="T112" s="109"/>
      <c r="U112" s="109" t="n">
        <v>80</v>
      </c>
      <c r="V112" s="109" t="n">
        <v>89</v>
      </c>
      <c r="W112" s="109"/>
      <c r="X112" s="109"/>
      <c r="Y112" s="109"/>
      <c r="Z112" s="109"/>
      <c r="AA112" s="109"/>
      <c r="AB112" s="109" t="n">
        <v>1.3</v>
      </c>
      <c r="AC112" s="109" t="n">
        <v>11.2</v>
      </c>
      <c r="AD112" s="109" t="n">
        <v>3.1</v>
      </c>
      <c r="AE112" s="109" t="n">
        <v>12</v>
      </c>
      <c r="AF112" s="109" t="n">
        <v>0.1</v>
      </c>
      <c r="AG112" s="109"/>
      <c r="AH112" s="109" t="n">
        <v>0.1</v>
      </c>
    </row>
    <row r="113" customFormat="false" ht="15" hidden="false" customHeight="false" outlineLevel="0" collapsed="false">
      <c r="A113" s="1" t="s">
        <v>59</v>
      </c>
      <c r="B113" s="104" t="n">
        <v>111</v>
      </c>
      <c r="C113" s="106" t="s">
        <v>484</v>
      </c>
      <c r="D113" s="106" t="n">
        <v>87</v>
      </c>
      <c r="E113" s="106" t="n">
        <v>11</v>
      </c>
      <c r="F113" s="106" t="n">
        <v>73</v>
      </c>
      <c r="G113" s="106" t="n">
        <v>36</v>
      </c>
      <c r="H113" s="106" t="n">
        <v>125</v>
      </c>
      <c r="I113" s="106" t="n">
        <v>12.7</v>
      </c>
      <c r="J113" s="106" t="n">
        <v>160</v>
      </c>
      <c r="K113" s="106" t="n">
        <v>45</v>
      </c>
      <c r="L113" s="106" t="n">
        <v>115</v>
      </c>
      <c r="M113" s="106" t="n">
        <v>60</v>
      </c>
      <c r="N113" s="106" t="n">
        <v>620</v>
      </c>
      <c r="O113" s="106" t="n">
        <v>78</v>
      </c>
      <c r="P113" s="106" t="n">
        <v>80</v>
      </c>
      <c r="Q113" s="106" t="n">
        <v>30</v>
      </c>
      <c r="R113" s="106" t="n">
        <v>73</v>
      </c>
      <c r="S113" s="106" t="n">
        <v>69</v>
      </c>
      <c r="T113" s="106" t="n">
        <v>44</v>
      </c>
      <c r="U113" s="106" t="n">
        <v>77</v>
      </c>
      <c r="V113" s="106" t="n">
        <v>68</v>
      </c>
      <c r="W113" s="106" t="n">
        <v>56</v>
      </c>
      <c r="X113" s="106" t="n">
        <v>25</v>
      </c>
      <c r="Y113" s="106" t="n">
        <v>210</v>
      </c>
      <c r="Z113" s="106" t="n">
        <v>464</v>
      </c>
      <c r="AA113" s="106"/>
      <c r="AB113" s="106" t="n">
        <v>1.7</v>
      </c>
      <c r="AC113" s="106" t="n">
        <v>12</v>
      </c>
      <c r="AD113" s="106" t="n">
        <v>5.3</v>
      </c>
      <c r="AE113" s="106" t="n">
        <v>12</v>
      </c>
      <c r="AF113" s="106" t="n">
        <v>0.5</v>
      </c>
      <c r="AG113" s="106"/>
      <c r="AH113" s="106" t="n">
        <v>0.5</v>
      </c>
    </row>
    <row r="114" customFormat="false" ht="15" hidden="false" customHeight="false" outlineLevel="0" collapsed="false">
      <c r="A114" s="1" t="s">
        <v>35</v>
      </c>
      <c r="B114" s="107" t="n">
        <v>112</v>
      </c>
      <c r="C114" s="109" t="s">
        <v>485</v>
      </c>
      <c r="D114" s="109" t="n">
        <v>87</v>
      </c>
      <c r="E114" s="109" t="n">
        <v>14.1</v>
      </c>
      <c r="F114" s="109" t="n">
        <v>95</v>
      </c>
      <c r="G114" s="109" t="n">
        <v>-33</v>
      </c>
      <c r="H114" s="109" t="n">
        <v>98</v>
      </c>
      <c r="I114" s="109" t="n">
        <v>16</v>
      </c>
      <c r="J114" s="109" t="n">
        <v>121</v>
      </c>
      <c r="K114" s="109" t="n">
        <v>25</v>
      </c>
      <c r="L114" s="109" t="n">
        <v>30</v>
      </c>
      <c r="M114" s="109" t="n">
        <v>18</v>
      </c>
      <c r="N114" s="109" t="n">
        <v>806</v>
      </c>
      <c r="O114" s="109" t="n">
        <v>81</v>
      </c>
      <c r="P114" s="109" t="n">
        <v>70</v>
      </c>
      <c r="Q114" s="109" t="n">
        <v>30</v>
      </c>
      <c r="R114" s="109" t="n">
        <v>92</v>
      </c>
      <c r="S114" s="109" t="n">
        <v>88</v>
      </c>
      <c r="T114" s="109" t="n">
        <v>55</v>
      </c>
      <c r="U114" s="109" t="n">
        <v>84</v>
      </c>
      <c r="V114" s="109" t="n">
        <v>89</v>
      </c>
      <c r="W114" s="109" t="n">
        <v>31</v>
      </c>
      <c r="X114" s="109" t="n">
        <v>26</v>
      </c>
      <c r="Y114" s="109" t="n">
        <v>644</v>
      </c>
      <c r="Z114" s="109" t="n">
        <v>138</v>
      </c>
      <c r="AA114" s="109"/>
      <c r="AB114" s="109" t="n">
        <v>0.3</v>
      </c>
      <c r="AC114" s="109" t="n">
        <v>3.7</v>
      </c>
      <c r="AD114" s="109" t="n">
        <v>1.3</v>
      </c>
      <c r="AE114" s="109" t="n">
        <v>4.7</v>
      </c>
      <c r="AF114" s="109" t="n">
        <v>0.2</v>
      </c>
      <c r="AG114" s="109" t="n">
        <v>13</v>
      </c>
      <c r="AH114" s="109" t="n">
        <v>0.2</v>
      </c>
    </row>
    <row r="115" customFormat="false" ht="15" hidden="false" customHeight="false" outlineLevel="0" collapsed="false">
      <c r="B115" s="104" t="n">
        <v>113</v>
      </c>
      <c r="C115" s="106" t="s">
        <v>486</v>
      </c>
      <c r="D115" s="106" t="n">
        <v>87</v>
      </c>
      <c r="E115" s="106" t="n">
        <v>13.9</v>
      </c>
      <c r="F115" s="106" t="n">
        <v>101</v>
      </c>
      <c r="G115" s="106" t="n">
        <v>141</v>
      </c>
      <c r="H115" s="106" t="n">
        <v>264</v>
      </c>
      <c r="I115" s="106" t="n">
        <v>16.4</v>
      </c>
      <c r="J115" s="106" t="n">
        <v>300</v>
      </c>
      <c r="K115" s="106" t="n">
        <v>20</v>
      </c>
      <c r="L115" s="106" t="n">
        <v>70</v>
      </c>
      <c r="M115" s="106" t="n">
        <v>40</v>
      </c>
      <c r="N115" s="106" t="n">
        <v>570</v>
      </c>
      <c r="O115" s="106" t="n">
        <v>88</v>
      </c>
      <c r="P115" s="106" t="n">
        <v>70</v>
      </c>
      <c r="Q115" s="106" t="n">
        <v>40</v>
      </c>
      <c r="R115" s="106" t="n">
        <v>92</v>
      </c>
      <c r="S115" s="106" t="n">
        <v>87</v>
      </c>
      <c r="T115" s="106"/>
      <c r="U115" s="106" t="n">
        <v>80</v>
      </c>
      <c r="V115" s="106" t="n">
        <v>82</v>
      </c>
      <c r="W115" s="106"/>
      <c r="X115" s="106"/>
      <c r="Y115" s="106"/>
      <c r="Z115" s="106"/>
      <c r="AA115" s="106"/>
      <c r="AB115" s="106" t="n">
        <v>1.5</v>
      </c>
      <c r="AC115" s="106" t="n">
        <v>5.2</v>
      </c>
      <c r="AD115" s="106"/>
      <c r="AE115" s="106"/>
      <c r="AF115" s="106"/>
      <c r="AG115" s="106"/>
      <c r="AH115" s="106"/>
    </row>
    <row r="116" customFormat="false" ht="15" hidden="false" customHeight="false" outlineLevel="0" collapsed="false">
      <c r="B116" s="107" t="n">
        <v>114</v>
      </c>
      <c r="C116" s="109" t="s">
        <v>487</v>
      </c>
      <c r="D116" s="109" t="n">
        <v>19</v>
      </c>
      <c r="E116" s="109" t="n">
        <v>12.2</v>
      </c>
      <c r="F116" s="109" t="n">
        <v>77</v>
      </c>
      <c r="G116" s="109" t="n">
        <v>39</v>
      </c>
      <c r="H116" s="109" t="n">
        <v>152</v>
      </c>
      <c r="I116" s="109" t="n">
        <v>14.7</v>
      </c>
      <c r="J116" s="109" t="n">
        <v>183</v>
      </c>
      <c r="K116" s="109" t="n">
        <v>28</v>
      </c>
      <c r="L116" s="109" t="n">
        <v>213</v>
      </c>
      <c r="M116" s="109" t="n">
        <v>49</v>
      </c>
      <c r="N116" s="109" t="n">
        <v>527</v>
      </c>
      <c r="O116" s="109" t="n">
        <v>83</v>
      </c>
      <c r="P116" s="109" t="n">
        <v>65</v>
      </c>
      <c r="Q116" s="109" t="n">
        <v>60</v>
      </c>
      <c r="R116" s="109" t="n">
        <v>90</v>
      </c>
      <c r="S116" s="109"/>
      <c r="T116" s="109"/>
      <c r="U116" s="109" t="n">
        <v>80</v>
      </c>
      <c r="V116" s="109" t="n">
        <v>53</v>
      </c>
      <c r="W116" s="109" t="n">
        <v>60</v>
      </c>
      <c r="X116" s="109" t="n">
        <v>102</v>
      </c>
      <c r="Y116" s="109" t="n">
        <v>160</v>
      </c>
      <c r="Z116" s="109" t="n">
        <v>310</v>
      </c>
      <c r="AA116" s="109" t="n">
        <v>60</v>
      </c>
      <c r="AB116" s="109" t="n">
        <v>11</v>
      </c>
      <c r="AC116" s="109" t="n">
        <v>2.7</v>
      </c>
      <c r="AD116" s="109" t="n">
        <v>2.3</v>
      </c>
      <c r="AE116" s="109" t="n">
        <v>20</v>
      </c>
      <c r="AF116" s="109" t="n">
        <v>1.1</v>
      </c>
      <c r="AG116" s="109"/>
      <c r="AH116" s="109" t="n">
        <v>0.4</v>
      </c>
    </row>
    <row r="117" customFormat="false" ht="15" hidden="false" customHeight="false" outlineLevel="0" collapsed="false">
      <c r="A117" s="1" t="s">
        <v>41</v>
      </c>
      <c r="B117" s="104" t="n">
        <v>115</v>
      </c>
      <c r="C117" s="106" t="s">
        <v>488</v>
      </c>
      <c r="D117" s="106" t="n">
        <v>87</v>
      </c>
      <c r="E117" s="106" t="n">
        <v>13.8</v>
      </c>
      <c r="F117" s="106" t="n">
        <v>97</v>
      </c>
      <c r="G117" s="106" t="n">
        <v>69</v>
      </c>
      <c r="H117" s="106" t="n">
        <v>199</v>
      </c>
      <c r="I117" s="106" t="n">
        <v>16</v>
      </c>
      <c r="J117" s="106" t="n">
        <v>226</v>
      </c>
      <c r="K117" s="106" t="n">
        <v>17</v>
      </c>
      <c r="L117" s="106" t="n">
        <v>78</v>
      </c>
      <c r="M117" s="106" t="n">
        <v>33</v>
      </c>
      <c r="N117" s="106" t="n">
        <v>646</v>
      </c>
      <c r="O117" s="106" t="n">
        <v>88</v>
      </c>
      <c r="P117" s="106" t="n">
        <v>70</v>
      </c>
      <c r="Q117" s="106" t="n">
        <v>40</v>
      </c>
      <c r="R117" s="106" t="n">
        <v>92</v>
      </c>
      <c r="S117" s="106" t="n">
        <v>87</v>
      </c>
      <c r="T117" s="106" t="n">
        <v>55</v>
      </c>
      <c r="U117" s="106" t="n">
        <v>80</v>
      </c>
      <c r="V117" s="106" t="n">
        <v>78</v>
      </c>
      <c r="W117" s="106" t="n">
        <v>50</v>
      </c>
      <c r="X117" s="106" t="n">
        <v>38</v>
      </c>
      <c r="Y117" s="106" t="n">
        <v>550</v>
      </c>
      <c r="Z117" s="106" t="n">
        <v>100</v>
      </c>
      <c r="AA117" s="106"/>
      <c r="AB117" s="106" t="n">
        <v>0.9</v>
      </c>
      <c r="AC117" s="106" t="n">
        <v>4.3</v>
      </c>
      <c r="AD117" s="106" t="n">
        <v>1.3</v>
      </c>
      <c r="AE117" s="106" t="n">
        <v>11.1</v>
      </c>
      <c r="AF117" s="106" t="n">
        <v>0.3</v>
      </c>
      <c r="AG117" s="106" t="n">
        <v>113</v>
      </c>
      <c r="AH117" s="106" t="n">
        <v>0.3</v>
      </c>
    </row>
    <row r="118" customFormat="false" ht="15" hidden="false" customHeight="false" outlineLevel="0" collapsed="false">
      <c r="B118" s="107" t="n">
        <v>116</v>
      </c>
      <c r="C118" s="109" t="s">
        <v>489</v>
      </c>
      <c r="D118" s="109" t="n">
        <v>31</v>
      </c>
      <c r="E118" s="109" t="n">
        <v>10</v>
      </c>
      <c r="F118" s="109" t="n">
        <v>65</v>
      </c>
      <c r="G118" s="109" t="n">
        <v>5</v>
      </c>
      <c r="H118" s="109" t="n">
        <v>89</v>
      </c>
      <c r="I118" s="109" t="n">
        <v>12.2</v>
      </c>
      <c r="J118" s="109" t="n">
        <v>128</v>
      </c>
      <c r="K118" s="109" t="n">
        <v>30</v>
      </c>
      <c r="L118" s="109" t="n">
        <v>291</v>
      </c>
      <c r="M118" s="109" t="n">
        <v>71</v>
      </c>
      <c r="N118" s="109" t="n">
        <v>480</v>
      </c>
      <c r="O118" s="109"/>
      <c r="P118" s="109" t="n">
        <v>60</v>
      </c>
      <c r="Q118" s="109" t="n">
        <v>62</v>
      </c>
      <c r="R118" s="109" t="n">
        <v>76</v>
      </c>
      <c r="S118" s="109" t="n">
        <v>73</v>
      </c>
      <c r="T118" s="109"/>
      <c r="U118" s="109" t="n">
        <v>80</v>
      </c>
      <c r="V118" s="109" t="n">
        <v>43</v>
      </c>
      <c r="W118" s="109"/>
      <c r="X118" s="109"/>
      <c r="Y118" s="109"/>
      <c r="Z118" s="109" t="n">
        <v>499</v>
      </c>
      <c r="AA118" s="109"/>
      <c r="AB118" s="109" t="n">
        <v>8</v>
      </c>
      <c r="AC118" s="109" t="n">
        <v>2.8</v>
      </c>
      <c r="AD118" s="109" t="n">
        <v>2.1</v>
      </c>
      <c r="AE118" s="109" t="n">
        <v>19.6</v>
      </c>
      <c r="AF118" s="109"/>
      <c r="AG118" s="109"/>
      <c r="AH118" s="109"/>
    </row>
    <row r="119" customFormat="false" ht="25.35" hidden="false" customHeight="false" outlineLevel="0" collapsed="false">
      <c r="B119" s="104" t="n">
        <v>117</v>
      </c>
      <c r="C119" s="106" t="s">
        <v>490</v>
      </c>
      <c r="D119" s="106" t="n">
        <v>31</v>
      </c>
      <c r="E119" s="106" t="n">
        <v>9</v>
      </c>
      <c r="F119" s="106" t="n">
        <v>57</v>
      </c>
      <c r="G119" s="106" t="n">
        <v>10</v>
      </c>
      <c r="H119" s="106" t="n">
        <v>83</v>
      </c>
      <c r="I119" s="106" t="n">
        <v>11</v>
      </c>
      <c r="J119" s="106" t="n">
        <v>122</v>
      </c>
      <c r="K119" s="106" t="n">
        <v>30</v>
      </c>
      <c r="L119" s="106" t="n">
        <v>299</v>
      </c>
      <c r="M119" s="106" t="n">
        <v>74</v>
      </c>
      <c r="N119" s="106" t="n">
        <v>475</v>
      </c>
      <c r="O119" s="106"/>
      <c r="P119" s="106" t="n">
        <v>54</v>
      </c>
      <c r="Q119" s="106" t="n">
        <v>57</v>
      </c>
      <c r="R119" s="106" t="n">
        <v>67</v>
      </c>
      <c r="S119" s="106" t="n">
        <v>64</v>
      </c>
      <c r="T119" s="106"/>
      <c r="U119" s="106" t="n">
        <v>80</v>
      </c>
      <c r="V119" s="106" t="n">
        <v>33</v>
      </c>
      <c r="W119" s="106"/>
      <c r="X119" s="106"/>
      <c r="Y119" s="106"/>
      <c r="Z119" s="106" t="n">
        <v>535</v>
      </c>
      <c r="AA119" s="106"/>
      <c r="AB119" s="106" t="n">
        <v>6.2</v>
      </c>
      <c r="AC119" s="106" t="n">
        <v>2.9</v>
      </c>
      <c r="AD119" s="106" t="n">
        <v>1.7</v>
      </c>
      <c r="AE119" s="106" t="n">
        <v>20</v>
      </c>
      <c r="AF119" s="106"/>
      <c r="AG119" s="106"/>
      <c r="AH119" s="106"/>
    </row>
    <row r="120" customFormat="false" ht="15" hidden="false" customHeight="false" outlineLevel="0" collapsed="false">
      <c r="B120" s="107" t="n">
        <v>118</v>
      </c>
      <c r="C120" s="109" t="s">
        <v>491</v>
      </c>
      <c r="D120" s="109" t="n">
        <v>18</v>
      </c>
      <c r="E120" s="109" t="n">
        <v>9.2</v>
      </c>
      <c r="F120" s="109" t="n">
        <v>51</v>
      </c>
      <c r="G120" s="109" t="n">
        <v>80</v>
      </c>
      <c r="H120" s="109" t="n">
        <v>149</v>
      </c>
      <c r="I120" s="109" t="n">
        <v>11.4</v>
      </c>
      <c r="J120" s="109" t="n">
        <v>192</v>
      </c>
      <c r="K120" s="109" t="n">
        <v>36</v>
      </c>
      <c r="L120" s="109" t="n">
        <v>299</v>
      </c>
      <c r="M120" s="109" t="n">
        <v>114</v>
      </c>
      <c r="N120" s="109" t="n">
        <v>359</v>
      </c>
      <c r="O120" s="109"/>
      <c r="P120" s="109" t="n">
        <v>56</v>
      </c>
      <c r="Q120" s="109" t="n">
        <v>54</v>
      </c>
      <c r="R120" s="109" t="n">
        <v>70</v>
      </c>
      <c r="S120" s="109" t="n">
        <v>64</v>
      </c>
      <c r="T120" s="109"/>
      <c r="U120" s="109" t="n">
        <v>80</v>
      </c>
      <c r="V120" s="109" t="n">
        <v>28</v>
      </c>
      <c r="W120" s="109"/>
      <c r="X120" s="109"/>
      <c r="Y120" s="109"/>
      <c r="Z120" s="109"/>
      <c r="AA120" s="109"/>
      <c r="AB120" s="109" t="n">
        <v>13</v>
      </c>
      <c r="AC120" s="109" t="n">
        <v>4.7</v>
      </c>
      <c r="AD120" s="109" t="n">
        <v>2.5</v>
      </c>
      <c r="AE120" s="109" t="n">
        <v>17</v>
      </c>
      <c r="AF120" s="109" t="n">
        <v>2.7</v>
      </c>
      <c r="AG120" s="109"/>
      <c r="AH120" s="109" t="n">
        <v>2.7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57"/>
    <col collapsed="false" customWidth="true" hidden="false" outlineLevel="0" max="3" min="3" style="1" width="44.29"/>
    <col collapsed="false" customWidth="true" hidden="false" outlineLevel="0" max="11" min="11" style="1" width="10.14"/>
  </cols>
  <sheetData>
    <row r="2" customFormat="false" ht="37.3" hidden="false" customHeight="false" outlineLevel="0" collapsed="false">
      <c r="B2" s="103" t="s">
        <v>264</v>
      </c>
      <c r="C2" s="103" t="s">
        <v>265</v>
      </c>
      <c r="D2" s="103" t="s">
        <v>492</v>
      </c>
      <c r="E2" s="103" t="s">
        <v>189</v>
      </c>
      <c r="F2" s="103" t="s">
        <v>190</v>
      </c>
      <c r="G2" s="103" t="s">
        <v>493</v>
      </c>
      <c r="H2" s="103" t="s">
        <v>494</v>
      </c>
      <c r="I2" s="103" t="s">
        <v>495</v>
      </c>
      <c r="J2" s="103" t="s">
        <v>496</v>
      </c>
      <c r="K2" s="103" t="s">
        <v>497</v>
      </c>
      <c r="L2" s="103" t="s">
        <v>498</v>
      </c>
      <c r="M2" s="103" t="s">
        <v>499</v>
      </c>
      <c r="N2" s="103" t="s">
        <v>500</v>
      </c>
      <c r="O2" s="103" t="s">
        <v>501</v>
      </c>
      <c r="P2" s="103" t="s">
        <v>502</v>
      </c>
      <c r="Q2" s="103" t="s">
        <v>503</v>
      </c>
      <c r="R2" s="103" t="s">
        <v>504</v>
      </c>
      <c r="S2" s="103" t="s">
        <v>505</v>
      </c>
      <c r="T2" s="103" t="s">
        <v>506</v>
      </c>
      <c r="U2" s="103" t="s">
        <v>271</v>
      </c>
      <c r="V2" s="103" t="s">
        <v>507</v>
      </c>
      <c r="W2" s="103" t="s">
        <v>291</v>
      </c>
      <c r="X2" s="103" t="s">
        <v>292</v>
      </c>
      <c r="Y2" s="103" t="s">
        <v>293</v>
      </c>
      <c r="Z2" s="103" t="s">
        <v>294</v>
      </c>
      <c r="AA2" s="103" t="s">
        <v>295</v>
      </c>
      <c r="AB2" s="103" t="s">
        <v>374</v>
      </c>
    </row>
    <row r="3" customFormat="false" ht="15" hidden="false" customHeight="false" outlineLevel="0" collapsed="false">
      <c r="B3" s="104" t="n">
        <v>1</v>
      </c>
      <c r="C3" s="110" t="s">
        <v>508</v>
      </c>
      <c r="D3" s="106" t="n">
        <v>9.4</v>
      </c>
      <c r="E3" s="106" t="n">
        <v>72</v>
      </c>
      <c r="F3" s="106" t="n">
        <v>-22</v>
      </c>
      <c r="G3" s="106" t="n">
        <v>64</v>
      </c>
      <c r="H3" s="106" t="n">
        <v>11.4</v>
      </c>
      <c r="I3" s="106" t="n">
        <v>101</v>
      </c>
      <c r="J3" s="106"/>
      <c r="K3" s="106" t="n">
        <v>48</v>
      </c>
      <c r="L3" s="106" t="n">
        <v>803</v>
      </c>
      <c r="M3" s="106" t="n">
        <v>63</v>
      </c>
      <c r="N3" s="106" t="n">
        <v>66</v>
      </c>
      <c r="O3" s="106" t="n">
        <v>43</v>
      </c>
      <c r="P3" s="106" t="n">
        <v>80</v>
      </c>
      <c r="Q3" s="106" t="n">
        <v>82</v>
      </c>
      <c r="R3" s="106"/>
      <c r="S3" s="106"/>
      <c r="T3" s="106"/>
      <c r="U3" s="106" t="n">
        <v>626</v>
      </c>
      <c r="V3" s="106"/>
      <c r="W3" s="106"/>
      <c r="X3" s="106"/>
      <c r="Y3" s="106"/>
      <c r="Z3" s="106"/>
      <c r="AA3" s="106"/>
      <c r="AB3" s="106"/>
      <c r="AD3" s="1" t="n">
        <f aca="false">SUM(I3,K3:L3)</f>
        <v>952</v>
      </c>
      <c r="AE3" s="1" t="n">
        <f aca="false">1000-AD3</f>
        <v>48</v>
      </c>
    </row>
    <row r="4" customFormat="false" ht="15" hidden="false" customHeight="false" outlineLevel="0" collapsed="false">
      <c r="B4" s="107" t="n">
        <v>2</v>
      </c>
      <c r="C4" s="111" t="s">
        <v>509</v>
      </c>
      <c r="D4" s="109" t="n">
        <v>9.4</v>
      </c>
      <c r="E4" s="109" t="n">
        <v>72</v>
      </c>
      <c r="F4" s="109" t="n">
        <v>-26</v>
      </c>
      <c r="G4" s="109" t="n">
        <v>60</v>
      </c>
      <c r="H4" s="109" t="n">
        <v>11.4</v>
      </c>
      <c r="I4" s="109" t="n">
        <v>97</v>
      </c>
      <c r="J4" s="109"/>
      <c r="K4" s="109" t="n">
        <v>58</v>
      </c>
      <c r="L4" s="109" t="n">
        <v>808</v>
      </c>
      <c r="M4" s="109" t="n">
        <v>62</v>
      </c>
      <c r="N4" s="109" t="n">
        <v>66</v>
      </c>
      <c r="O4" s="109" t="n">
        <v>43</v>
      </c>
      <c r="P4" s="109" t="n">
        <v>80</v>
      </c>
      <c r="Q4" s="109" t="n">
        <v>82</v>
      </c>
      <c r="R4" s="109"/>
      <c r="S4" s="109"/>
      <c r="T4" s="109"/>
      <c r="U4" s="109" t="n">
        <v>612</v>
      </c>
      <c r="V4" s="109"/>
      <c r="W4" s="109"/>
      <c r="X4" s="109"/>
      <c r="Y4" s="109"/>
      <c r="Z4" s="109"/>
      <c r="AA4" s="109"/>
      <c r="AB4" s="109"/>
      <c r="AD4" s="1" t="n">
        <f aca="false">SUM(I4,K4:L4)</f>
        <v>963</v>
      </c>
      <c r="AE4" s="1" t="n">
        <f aca="false">1000-AD4</f>
        <v>37</v>
      </c>
    </row>
    <row r="5" customFormat="false" ht="15" hidden="false" customHeight="false" outlineLevel="0" collapsed="false">
      <c r="B5" s="104" t="n">
        <v>3</v>
      </c>
      <c r="C5" s="110" t="s">
        <v>510</v>
      </c>
      <c r="D5" s="106" t="n">
        <v>6.1</v>
      </c>
      <c r="E5" s="106" t="n">
        <v>51</v>
      </c>
      <c r="F5" s="106" t="n">
        <v>6</v>
      </c>
      <c r="G5" s="106" t="n">
        <v>56</v>
      </c>
      <c r="H5" s="106" t="n">
        <v>8.2</v>
      </c>
      <c r="I5" s="106" t="n">
        <v>93</v>
      </c>
      <c r="J5" s="106"/>
      <c r="K5" s="106" t="n">
        <v>58</v>
      </c>
      <c r="L5" s="106" t="n">
        <v>814</v>
      </c>
      <c r="M5" s="106" t="n">
        <v>60</v>
      </c>
      <c r="N5" s="106" t="n">
        <v>44</v>
      </c>
      <c r="O5" s="106" t="n">
        <v>20</v>
      </c>
      <c r="P5" s="106" t="n">
        <v>80</v>
      </c>
      <c r="Q5" s="106" t="n">
        <v>82</v>
      </c>
      <c r="R5" s="106"/>
      <c r="S5" s="106"/>
      <c r="T5" s="106"/>
      <c r="U5" s="106" t="n">
        <v>622</v>
      </c>
      <c r="V5" s="106"/>
      <c r="W5" s="106"/>
      <c r="X5" s="106"/>
      <c r="Y5" s="106"/>
      <c r="Z5" s="106"/>
      <c r="AA5" s="106"/>
      <c r="AB5" s="106"/>
      <c r="AD5" s="1" t="n">
        <f aca="false">SUM(I5,K5:L5)</f>
        <v>965</v>
      </c>
      <c r="AE5" s="1" t="n">
        <f aca="false">1000-AD5</f>
        <v>35</v>
      </c>
    </row>
    <row r="6" customFormat="false" ht="15" hidden="false" customHeight="false" outlineLevel="0" collapsed="false">
      <c r="B6" s="107" t="n">
        <v>4</v>
      </c>
      <c r="C6" s="111" t="s">
        <v>511</v>
      </c>
      <c r="D6" s="109" t="n">
        <v>9.4</v>
      </c>
      <c r="E6" s="109" t="n">
        <v>72</v>
      </c>
      <c r="F6" s="109" t="n">
        <v>12</v>
      </c>
      <c r="G6" s="109" t="n">
        <v>95</v>
      </c>
      <c r="H6" s="109" t="n">
        <v>11.6</v>
      </c>
      <c r="I6" s="109" t="n">
        <v>135</v>
      </c>
      <c r="J6" s="109"/>
      <c r="K6" s="109" t="n">
        <v>68</v>
      </c>
      <c r="L6" s="109" t="n">
        <v>753</v>
      </c>
      <c r="M6" s="109" t="n">
        <v>71</v>
      </c>
      <c r="N6" s="109" t="n">
        <v>66</v>
      </c>
      <c r="O6" s="109" t="n">
        <v>43</v>
      </c>
      <c r="P6" s="109" t="n">
        <v>80</v>
      </c>
      <c r="Q6" s="109" t="n">
        <v>82</v>
      </c>
      <c r="R6" s="109"/>
      <c r="S6" s="109"/>
      <c r="T6" s="109"/>
      <c r="U6" s="109" t="n">
        <v>521</v>
      </c>
      <c r="V6" s="109"/>
      <c r="W6" s="109"/>
      <c r="X6" s="109"/>
      <c r="Y6" s="109"/>
      <c r="Z6" s="109"/>
      <c r="AA6" s="109"/>
      <c r="AB6" s="109"/>
      <c r="AD6" s="1" t="n">
        <f aca="false">SUM(I6,K6:L6)</f>
        <v>956</v>
      </c>
      <c r="AE6" s="1" t="n">
        <f aca="false">1000-AD6</f>
        <v>44</v>
      </c>
    </row>
    <row r="7" customFormat="false" ht="15" hidden="false" customHeight="false" outlineLevel="0" collapsed="false">
      <c r="B7" s="104" t="n">
        <v>5</v>
      </c>
      <c r="C7" s="110" t="s">
        <v>512</v>
      </c>
      <c r="D7" s="106" t="n">
        <v>10.5</v>
      </c>
      <c r="E7" s="106" t="n">
        <v>78</v>
      </c>
      <c r="F7" s="106" t="n">
        <v>-24</v>
      </c>
      <c r="G7" s="106" t="n">
        <v>72</v>
      </c>
      <c r="H7" s="106" t="n">
        <v>12.5</v>
      </c>
      <c r="I7" s="106" t="n">
        <v>110</v>
      </c>
      <c r="J7" s="106"/>
      <c r="K7" s="106" t="n">
        <v>76</v>
      </c>
      <c r="L7" s="106" t="n">
        <v>790</v>
      </c>
      <c r="M7" s="106" t="n">
        <v>65</v>
      </c>
      <c r="N7" s="106" t="n">
        <v>73</v>
      </c>
      <c r="O7" s="106" t="n">
        <v>51</v>
      </c>
      <c r="P7" s="106" t="n">
        <v>80</v>
      </c>
      <c r="Q7" s="106" t="n">
        <v>82</v>
      </c>
      <c r="R7" s="106"/>
      <c r="S7" s="106"/>
      <c r="T7" s="106"/>
      <c r="U7" s="106" t="n">
        <v>593</v>
      </c>
      <c r="V7" s="106"/>
      <c r="W7" s="106"/>
      <c r="X7" s="106"/>
      <c r="Y7" s="106"/>
      <c r="Z7" s="106"/>
      <c r="AA7" s="106"/>
      <c r="AB7" s="106"/>
      <c r="AD7" s="1" t="n">
        <f aca="false">SUM(I7,K7:L7)</f>
        <v>976</v>
      </c>
      <c r="AE7" s="1" t="n">
        <f aca="false">1000-AD7</f>
        <v>24</v>
      </c>
    </row>
    <row r="8" customFormat="false" ht="15" hidden="false" customHeight="false" outlineLevel="0" collapsed="false">
      <c r="B8" s="107" t="n">
        <v>6</v>
      </c>
      <c r="C8" s="111" t="s">
        <v>513</v>
      </c>
      <c r="D8" s="109" t="n">
        <v>11.1</v>
      </c>
      <c r="E8" s="109" t="n">
        <v>81</v>
      </c>
      <c r="F8" s="109" t="n">
        <v>27</v>
      </c>
      <c r="G8" s="109" t="n">
        <v>125</v>
      </c>
      <c r="H8" s="109" t="n">
        <v>13.2</v>
      </c>
      <c r="I8" s="109" t="n">
        <v>167</v>
      </c>
      <c r="J8" s="109"/>
      <c r="K8" s="109" t="n">
        <v>86</v>
      </c>
      <c r="L8" s="109" t="n">
        <v>707</v>
      </c>
      <c r="M8" s="109" t="n">
        <v>75</v>
      </c>
      <c r="N8" s="109" t="n">
        <v>78</v>
      </c>
      <c r="O8" s="109" t="n">
        <v>55</v>
      </c>
      <c r="P8" s="109" t="n">
        <v>80</v>
      </c>
      <c r="Q8" s="109" t="n">
        <v>82</v>
      </c>
      <c r="R8" s="109"/>
      <c r="S8" s="109"/>
      <c r="T8" s="109"/>
      <c r="U8" s="109" t="n">
        <v>491</v>
      </c>
      <c r="V8" s="109"/>
      <c r="W8" s="109"/>
      <c r="X8" s="109"/>
      <c r="Y8" s="109"/>
      <c r="Z8" s="109"/>
      <c r="AA8" s="109"/>
      <c r="AB8" s="109"/>
      <c r="AD8" s="1" t="n">
        <f aca="false">SUM(I8,K8:L8)</f>
        <v>960</v>
      </c>
      <c r="AE8" s="1" t="n">
        <f aca="false">1000-AD8</f>
        <v>40</v>
      </c>
    </row>
    <row r="9" customFormat="false" ht="15" hidden="false" customHeight="false" outlineLevel="0" collapsed="false">
      <c r="B9" s="104" t="n">
        <v>7</v>
      </c>
      <c r="C9" s="110" t="s">
        <v>514</v>
      </c>
      <c r="D9" s="106" t="n">
        <v>11</v>
      </c>
      <c r="E9" s="106" t="n">
        <v>80</v>
      </c>
      <c r="F9" s="106" t="n">
        <v>52</v>
      </c>
      <c r="G9" s="106" t="n">
        <v>147</v>
      </c>
      <c r="H9" s="106" t="n">
        <v>13.2</v>
      </c>
      <c r="I9" s="106" t="n">
        <v>190</v>
      </c>
      <c r="J9" s="106"/>
      <c r="K9" s="112" t="n">
        <f aca="false">AVERAGE(K$3:K$8)</f>
        <v>65.6666666666667</v>
      </c>
      <c r="L9" s="106" t="n">
        <v>673</v>
      </c>
      <c r="M9" s="106" t="n">
        <v>77</v>
      </c>
      <c r="N9" s="106" t="n">
        <v>77</v>
      </c>
      <c r="O9" s="106" t="n">
        <v>54</v>
      </c>
      <c r="P9" s="106" t="n">
        <v>80</v>
      </c>
      <c r="Q9" s="106" t="n">
        <v>82</v>
      </c>
      <c r="R9" s="106" t="n">
        <v>130</v>
      </c>
      <c r="S9" s="106"/>
      <c r="T9" s="106"/>
      <c r="U9" s="106" t="n">
        <v>480</v>
      </c>
      <c r="V9" s="106" t="n">
        <v>29</v>
      </c>
      <c r="W9" s="106"/>
      <c r="X9" s="106"/>
      <c r="Y9" s="106"/>
      <c r="Z9" s="106"/>
      <c r="AA9" s="106"/>
      <c r="AB9" s="106"/>
      <c r="AD9" s="113" t="n">
        <f aca="false">SUM(I9,K9:L9)</f>
        <v>928.666666666667</v>
      </c>
      <c r="AE9" s="113" t="n">
        <f aca="false">1000-AD9</f>
        <v>71.3333333333334</v>
      </c>
    </row>
    <row r="10" customFormat="false" ht="15" hidden="false" customHeight="false" outlineLevel="0" collapsed="false">
      <c r="B10" s="107" t="n">
        <v>8</v>
      </c>
      <c r="C10" s="111" t="s">
        <v>515</v>
      </c>
      <c r="D10" s="109" t="n">
        <v>10.1</v>
      </c>
      <c r="E10" s="109" t="n">
        <v>76</v>
      </c>
      <c r="F10" s="109" t="n">
        <v>-38</v>
      </c>
      <c r="G10" s="109" t="n">
        <v>55</v>
      </c>
      <c r="H10" s="109" t="n">
        <v>12</v>
      </c>
      <c r="I10" s="109" t="n">
        <v>92</v>
      </c>
      <c r="J10" s="109"/>
      <c r="K10" s="114" t="n">
        <f aca="false">AVERAGE(K$3:K$8)</f>
        <v>65.6666666666667</v>
      </c>
      <c r="L10" s="109" t="n">
        <v>816</v>
      </c>
      <c r="M10" s="109" t="n">
        <v>60</v>
      </c>
      <c r="N10" s="109" t="n">
        <v>71</v>
      </c>
      <c r="O10" s="109" t="n">
        <v>48</v>
      </c>
      <c r="P10" s="109" t="n">
        <v>80</v>
      </c>
      <c r="Q10" s="109" t="n">
        <v>82</v>
      </c>
      <c r="R10" s="109"/>
      <c r="S10" s="109"/>
      <c r="T10" s="109"/>
      <c r="U10" s="109" t="n">
        <v>540</v>
      </c>
      <c r="V10" s="109" t="n">
        <v>40</v>
      </c>
      <c r="W10" s="109"/>
      <c r="X10" s="109"/>
      <c r="Y10" s="109"/>
      <c r="Z10" s="109"/>
      <c r="AA10" s="109"/>
      <c r="AB10" s="109"/>
      <c r="AD10" s="113" t="n">
        <f aca="false">SUM(I10,K10:L10)</f>
        <v>973.666666666667</v>
      </c>
      <c r="AE10" s="113" t="n">
        <f aca="false">1000-AD10</f>
        <v>26.3333333333334</v>
      </c>
    </row>
    <row r="11" customFormat="false" ht="15" hidden="false" customHeight="false" outlineLevel="0" collapsed="false">
      <c r="B11" s="104" t="n">
        <v>9</v>
      </c>
      <c r="C11" s="110" t="s">
        <v>516</v>
      </c>
      <c r="D11" s="106" t="n">
        <v>9.5</v>
      </c>
      <c r="E11" s="106" t="n">
        <v>72</v>
      </c>
      <c r="F11" s="106" t="n">
        <v>-14</v>
      </c>
      <c r="G11" s="106" t="n">
        <v>72</v>
      </c>
      <c r="H11" s="106" t="n">
        <v>11.6</v>
      </c>
      <c r="I11" s="106" t="n">
        <v>110</v>
      </c>
      <c r="J11" s="106"/>
      <c r="K11" s="112" t="n">
        <f aca="false">AVERAGE(K$3:K$8)</f>
        <v>65.6666666666667</v>
      </c>
      <c r="L11" s="106" t="n">
        <v>789</v>
      </c>
      <c r="M11" s="106" t="n">
        <v>65</v>
      </c>
      <c r="N11" s="106" t="n">
        <v>67</v>
      </c>
      <c r="O11" s="106" t="n">
        <v>44</v>
      </c>
      <c r="P11" s="106" t="n">
        <v>80</v>
      </c>
      <c r="Q11" s="106" t="n">
        <v>82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D11" s="113" t="n">
        <f aca="false">SUM(I11,K11:L11)</f>
        <v>964.666666666667</v>
      </c>
      <c r="AE11" s="113" t="n">
        <f aca="false">1000-AD11</f>
        <v>35.3333333333334</v>
      </c>
    </row>
    <row r="12" customFormat="false" ht="15" hidden="false" customHeight="false" outlineLevel="0" collapsed="false">
      <c r="B12" s="107" t="n">
        <v>10</v>
      </c>
      <c r="C12" s="111" t="s">
        <v>517</v>
      </c>
      <c r="D12" s="109" t="n">
        <v>10.5</v>
      </c>
      <c r="E12" s="109" t="n">
        <v>78</v>
      </c>
      <c r="F12" s="109" t="n">
        <v>32</v>
      </c>
      <c r="G12" s="109" t="n">
        <v>128</v>
      </c>
      <c r="H12" s="109" t="n">
        <v>12.8</v>
      </c>
      <c r="I12" s="109" t="n">
        <v>170</v>
      </c>
      <c r="J12" s="109"/>
      <c r="K12" s="114" t="n">
        <f aca="false">AVERAGE(K$3:K$8)</f>
        <v>65.6666666666667</v>
      </c>
      <c r="L12" s="109" t="n">
        <v>702</v>
      </c>
      <c r="M12" s="109" t="n">
        <v>75</v>
      </c>
      <c r="N12" s="109" t="n">
        <v>74</v>
      </c>
      <c r="O12" s="109" t="n">
        <v>51</v>
      </c>
      <c r="P12" s="109" t="n">
        <v>80</v>
      </c>
      <c r="Q12" s="109" t="n">
        <v>82</v>
      </c>
      <c r="R12" s="109" t="n">
        <v>70</v>
      </c>
      <c r="S12" s="109" t="n">
        <v>41</v>
      </c>
      <c r="T12" s="109"/>
      <c r="U12" s="109" t="n">
        <v>510</v>
      </c>
      <c r="V12" s="109" t="n">
        <v>33</v>
      </c>
      <c r="W12" s="109"/>
      <c r="X12" s="109"/>
      <c r="Y12" s="109"/>
      <c r="Z12" s="109"/>
      <c r="AA12" s="109"/>
      <c r="AB12" s="109"/>
      <c r="AD12" s="113" t="n">
        <f aca="false">SUM(I12,K12:L12)</f>
        <v>937.666666666667</v>
      </c>
      <c r="AE12" s="113" t="n">
        <f aca="false">1000-AD12</f>
        <v>62.3333333333334</v>
      </c>
    </row>
    <row r="13" customFormat="false" ht="15" hidden="false" customHeight="false" outlineLevel="0" collapsed="false">
      <c r="B13" s="104" t="n">
        <v>11</v>
      </c>
      <c r="C13" s="110" t="s">
        <v>518</v>
      </c>
      <c r="D13" s="106" t="n">
        <v>10.8</v>
      </c>
      <c r="E13" s="106" t="n">
        <v>78</v>
      </c>
      <c r="F13" s="106" t="n">
        <v>74</v>
      </c>
      <c r="G13" s="106" t="n">
        <v>166</v>
      </c>
      <c r="H13" s="106" t="n">
        <v>13.1</v>
      </c>
      <c r="I13" s="106" t="n">
        <v>210</v>
      </c>
      <c r="J13" s="106"/>
      <c r="K13" s="112" t="n">
        <f aca="false">AVERAGE(K$3:K$8)</f>
        <v>65.6666666666667</v>
      </c>
      <c r="L13" s="106" t="n">
        <v>643</v>
      </c>
      <c r="M13" s="106" t="n">
        <v>79</v>
      </c>
      <c r="N13" s="106" t="n">
        <v>76</v>
      </c>
      <c r="O13" s="106" t="n">
        <v>53</v>
      </c>
      <c r="P13" s="106" t="n">
        <v>80</v>
      </c>
      <c r="Q13" s="106" t="n">
        <v>82</v>
      </c>
      <c r="R13" s="106" t="n">
        <v>80</v>
      </c>
      <c r="S13" s="106"/>
      <c r="T13" s="106"/>
      <c r="U13" s="106" t="n">
        <v>470</v>
      </c>
      <c r="V13" s="106" t="n">
        <v>33</v>
      </c>
      <c r="W13" s="106"/>
      <c r="X13" s="106"/>
      <c r="Y13" s="106"/>
      <c r="Z13" s="106"/>
      <c r="AA13" s="106"/>
      <c r="AB13" s="106"/>
      <c r="AD13" s="113" t="n">
        <f aca="false">SUM(I13,K13:L13)</f>
        <v>918.666666666667</v>
      </c>
      <c r="AE13" s="113" t="n">
        <f aca="false">1000-AD13</f>
        <v>81.3333333333334</v>
      </c>
    </row>
    <row r="14" customFormat="false" ht="15" hidden="false" customHeight="false" outlineLevel="0" collapsed="false">
      <c r="B14" s="107" t="n">
        <v>12</v>
      </c>
      <c r="C14" s="111" t="s">
        <v>519</v>
      </c>
      <c r="D14" s="109" t="n">
        <v>11.5</v>
      </c>
      <c r="E14" s="109" t="n">
        <v>82</v>
      </c>
      <c r="F14" s="109" t="n">
        <v>68</v>
      </c>
      <c r="G14" s="109" t="n">
        <v>166</v>
      </c>
      <c r="H14" s="109" t="n">
        <v>13.7</v>
      </c>
      <c r="I14" s="109" t="n">
        <v>210</v>
      </c>
      <c r="J14" s="109"/>
      <c r="K14" s="114" t="n">
        <f aca="false">AVERAGE(K$3:K$8)</f>
        <v>65.6666666666667</v>
      </c>
      <c r="L14" s="109" t="n">
        <v>643</v>
      </c>
      <c r="M14" s="109" t="n">
        <v>79</v>
      </c>
      <c r="N14" s="109" t="n">
        <v>81</v>
      </c>
      <c r="O14" s="109" t="n">
        <v>58</v>
      </c>
      <c r="P14" s="109" t="n">
        <v>80</v>
      </c>
      <c r="Q14" s="109" t="n">
        <v>82</v>
      </c>
      <c r="R14" s="109" t="n">
        <v>200</v>
      </c>
      <c r="S14" s="109"/>
      <c r="T14" s="109"/>
      <c r="U14" s="109" t="n">
        <v>420</v>
      </c>
      <c r="V14" s="109" t="n">
        <v>24</v>
      </c>
      <c r="W14" s="109"/>
      <c r="X14" s="109"/>
      <c r="Y14" s="109"/>
      <c r="Z14" s="109"/>
      <c r="AA14" s="109"/>
      <c r="AB14" s="109"/>
      <c r="AD14" s="113" t="n">
        <f aca="false">SUM(I14,K14:L14)</f>
        <v>918.666666666667</v>
      </c>
      <c r="AE14" s="113" t="n">
        <f aca="false">1000-AD14</f>
        <v>81.3333333333334</v>
      </c>
    </row>
    <row r="15" customFormat="false" ht="15" hidden="false" customHeight="false" outlineLevel="0" collapsed="false">
      <c r="B15" s="104" t="n">
        <v>13</v>
      </c>
      <c r="C15" s="110" t="s">
        <v>520</v>
      </c>
      <c r="D15" s="106" t="n">
        <v>9.8</v>
      </c>
      <c r="E15" s="106" t="n">
        <v>70</v>
      </c>
      <c r="F15" s="106" t="n">
        <v>83</v>
      </c>
      <c r="G15" s="106" t="n">
        <v>160</v>
      </c>
      <c r="H15" s="106" t="n">
        <v>12.4</v>
      </c>
      <c r="I15" s="106" t="n">
        <v>204</v>
      </c>
      <c r="J15" s="106"/>
      <c r="K15" s="106" t="n">
        <v>100</v>
      </c>
      <c r="L15" s="106" t="n">
        <v>652</v>
      </c>
      <c r="M15" s="106" t="n">
        <v>79</v>
      </c>
      <c r="N15" s="106" t="n">
        <v>69</v>
      </c>
      <c r="O15" s="106" t="n">
        <v>46</v>
      </c>
      <c r="P15" s="106" t="n">
        <v>80</v>
      </c>
      <c r="Q15" s="106" t="n">
        <v>82</v>
      </c>
      <c r="R15" s="106" t="n">
        <v>40</v>
      </c>
      <c r="S15" s="106" t="n">
        <v>84</v>
      </c>
      <c r="T15" s="106" t="n">
        <v>15</v>
      </c>
      <c r="U15" s="106" t="n">
        <v>390</v>
      </c>
      <c r="V15" s="106" t="n">
        <v>60</v>
      </c>
      <c r="W15" s="106" t="n">
        <v>17</v>
      </c>
      <c r="X15" s="106" t="n">
        <v>3</v>
      </c>
      <c r="Y15" s="106" t="n">
        <v>2.2</v>
      </c>
      <c r="Z15" s="106" t="n">
        <v>28</v>
      </c>
      <c r="AA15" s="106" t="n">
        <v>1.4</v>
      </c>
      <c r="AB15" s="106"/>
      <c r="AD15" s="1" t="n">
        <f aca="false">SUM(I15,K15:L15)</f>
        <v>956</v>
      </c>
      <c r="AE15" s="1" t="n">
        <f aca="false">1000-AD15</f>
        <v>44</v>
      </c>
    </row>
    <row r="16" customFormat="false" ht="15" hidden="false" customHeight="false" outlineLevel="0" collapsed="false">
      <c r="B16" s="107" t="n">
        <v>14</v>
      </c>
      <c r="C16" s="111" t="s">
        <v>521</v>
      </c>
      <c r="D16" s="109" t="n">
        <v>9.8</v>
      </c>
      <c r="E16" s="109" t="n">
        <v>70</v>
      </c>
      <c r="F16" s="109" t="n">
        <v>61</v>
      </c>
      <c r="G16" s="109" t="n">
        <v>140</v>
      </c>
      <c r="H16" s="109" t="n">
        <v>12.2</v>
      </c>
      <c r="I16" s="109" t="n">
        <v>182</v>
      </c>
      <c r="J16" s="109"/>
      <c r="K16" s="109" t="n">
        <v>100</v>
      </c>
      <c r="L16" s="109" t="n">
        <v>684</v>
      </c>
      <c r="M16" s="109" t="n">
        <v>77</v>
      </c>
      <c r="N16" s="109" t="n">
        <v>69</v>
      </c>
      <c r="O16" s="109" t="n">
        <v>46</v>
      </c>
      <c r="P16" s="109" t="n">
        <v>80</v>
      </c>
      <c r="Q16" s="109" t="n">
        <v>82</v>
      </c>
      <c r="R16" s="109" t="n">
        <v>40</v>
      </c>
      <c r="S16" s="109" t="n">
        <v>84</v>
      </c>
      <c r="T16" s="109" t="n">
        <v>15</v>
      </c>
      <c r="U16" s="109" t="n">
        <v>390</v>
      </c>
      <c r="V16" s="109" t="n">
        <v>60</v>
      </c>
      <c r="W16" s="109" t="n">
        <v>17</v>
      </c>
      <c r="X16" s="109" t="n">
        <v>3</v>
      </c>
      <c r="Y16" s="109" t="n">
        <v>2.2</v>
      </c>
      <c r="Z16" s="109" t="n">
        <v>28</v>
      </c>
      <c r="AA16" s="109" t="n">
        <v>1.4</v>
      </c>
      <c r="AB16" s="109"/>
      <c r="AD16" s="1" t="n">
        <f aca="false">SUM(I16,K16:L16)</f>
        <v>966</v>
      </c>
      <c r="AE16" s="1" t="n">
        <f aca="false">1000-AD16</f>
        <v>34</v>
      </c>
    </row>
    <row r="17" customFormat="false" ht="15" hidden="false" customHeight="false" outlineLevel="0" collapsed="false">
      <c r="B17" s="104" t="n">
        <v>15</v>
      </c>
      <c r="C17" s="110" t="s">
        <v>522</v>
      </c>
      <c r="D17" s="106" t="n">
        <v>9.3</v>
      </c>
      <c r="E17" s="106" t="n">
        <v>67</v>
      </c>
      <c r="F17" s="106" t="n">
        <v>56</v>
      </c>
      <c r="G17" s="106" t="n">
        <v>130</v>
      </c>
      <c r="H17" s="106" t="n">
        <v>11.8</v>
      </c>
      <c r="I17" s="106" t="n">
        <v>172</v>
      </c>
      <c r="J17" s="106"/>
      <c r="K17" s="106" t="n">
        <v>100</v>
      </c>
      <c r="L17" s="106" t="n">
        <v>699</v>
      </c>
      <c r="M17" s="106" t="n">
        <v>76</v>
      </c>
      <c r="N17" s="106" t="n">
        <v>66</v>
      </c>
      <c r="O17" s="106" t="n">
        <v>43</v>
      </c>
      <c r="P17" s="106" t="n">
        <v>80</v>
      </c>
      <c r="Q17" s="106" t="n">
        <v>82</v>
      </c>
      <c r="R17" s="106" t="n">
        <v>40</v>
      </c>
      <c r="S17" s="106"/>
      <c r="T17" s="106" t="n">
        <v>15</v>
      </c>
      <c r="U17" s="106" t="n">
        <v>460</v>
      </c>
      <c r="V17" s="106" t="n">
        <v>90</v>
      </c>
      <c r="W17" s="106" t="n">
        <v>17</v>
      </c>
      <c r="X17" s="106" t="n">
        <v>3</v>
      </c>
      <c r="Y17" s="106" t="n">
        <v>2.2</v>
      </c>
      <c r="Z17" s="106" t="n">
        <v>28</v>
      </c>
      <c r="AA17" s="106" t="n">
        <v>1.4</v>
      </c>
      <c r="AB17" s="106"/>
      <c r="AD17" s="1" t="n">
        <f aca="false">SUM(I17,K17:L17)</f>
        <v>971</v>
      </c>
      <c r="AE17" s="1" t="n">
        <f aca="false">1000-AD17</f>
        <v>29</v>
      </c>
    </row>
    <row r="18" customFormat="false" ht="15" hidden="false" customHeight="false" outlineLevel="0" collapsed="false">
      <c r="B18" s="107" t="n">
        <v>16</v>
      </c>
      <c r="C18" s="111" t="s">
        <v>523</v>
      </c>
      <c r="D18" s="109" t="n">
        <v>9.3</v>
      </c>
      <c r="E18" s="109" t="n">
        <v>67</v>
      </c>
      <c r="F18" s="109" t="n">
        <v>34</v>
      </c>
      <c r="G18" s="109" t="n">
        <v>110</v>
      </c>
      <c r="H18" s="109" t="n">
        <v>11.6</v>
      </c>
      <c r="I18" s="109" t="n">
        <v>150</v>
      </c>
      <c r="J18" s="109"/>
      <c r="K18" s="109" t="n">
        <v>100</v>
      </c>
      <c r="L18" s="109" t="n">
        <v>731</v>
      </c>
      <c r="M18" s="109" t="n">
        <v>73</v>
      </c>
      <c r="N18" s="109" t="n">
        <v>66</v>
      </c>
      <c r="O18" s="109" t="n">
        <v>43</v>
      </c>
      <c r="P18" s="109" t="n">
        <v>80</v>
      </c>
      <c r="Q18" s="109" t="n">
        <v>82</v>
      </c>
      <c r="R18" s="109" t="n">
        <v>40</v>
      </c>
      <c r="S18" s="109"/>
      <c r="T18" s="109" t="n">
        <v>15</v>
      </c>
      <c r="U18" s="109" t="n">
        <v>460</v>
      </c>
      <c r="V18" s="109" t="n">
        <v>90</v>
      </c>
      <c r="W18" s="109" t="n">
        <v>17</v>
      </c>
      <c r="X18" s="109" t="n">
        <v>3</v>
      </c>
      <c r="Y18" s="109" t="n">
        <v>2.2</v>
      </c>
      <c r="Z18" s="109" t="n">
        <v>28</v>
      </c>
      <c r="AA18" s="109" t="n">
        <v>1.4</v>
      </c>
      <c r="AB18" s="109"/>
      <c r="AD18" s="1" t="n">
        <f aca="false">SUM(I18,K18:L18)</f>
        <v>981</v>
      </c>
      <c r="AE18" s="1" t="n">
        <f aca="false">1000-AD18</f>
        <v>19</v>
      </c>
    </row>
    <row r="19" customFormat="false" ht="15" hidden="false" customHeight="false" outlineLevel="0" collapsed="false">
      <c r="B19" s="104" t="n">
        <v>17</v>
      </c>
      <c r="C19" s="110" t="s">
        <v>524</v>
      </c>
      <c r="D19" s="106" t="n">
        <v>10.2</v>
      </c>
      <c r="E19" s="106" t="n">
        <v>71</v>
      </c>
      <c r="F19" s="106" t="n">
        <v>121</v>
      </c>
      <c r="G19" s="106" t="n">
        <v>200</v>
      </c>
      <c r="H19" s="106" t="n">
        <v>12.9</v>
      </c>
      <c r="I19" s="106" t="n">
        <v>246</v>
      </c>
      <c r="J19" s="106"/>
      <c r="K19" s="106" t="n">
        <v>100</v>
      </c>
      <c r="L19" s="106" t="n">
        <v>591</v>
      </c>
      <c r="M19" s="106" t="n">
        <v>81</v>
      </c>
      <c r="N19" s="106" t="n">
        <v>72</v>
      </c>
      <c r="O19" s="106" t="n">
        <v>49</v>
      </c>
      <c r="P19" s="106" t="n">
        <v>80</v>
      </c>
      <c r="Q19" s="106" t="n">
        <v>82</v>
      </c>
      <c r="R19" s="106" t="n">
        <v>40</v>
      </c>
      <c r="S19" s="106"/>
      <c r="T19" s="106" t="n">
        <v>15</v>
      </c>
      <c r="U19" s="106" t="n">
        <v>360</v>
      </c>
      <c r="V19" s="106" t="n">
        <v>50</v>
      </c>
      <c r="W19" s="106" t="n">
        <v>16</v>
      </c>
      <c r="X19" s="106" t="n">
        <v>2.8</v>
      </c>
      <c r="Y19" s="106" t="n">
        <v>2</v>
      </c>
      <c r="Z19" s="106" t="n">
        <v>30</v>
      </c>
      <c r="AA19" s="106" t="n">
        <v>1.5</v>
      </c>
      <c r="AB19" s="106"/>
      <c r="AD19" s="1" t="n">
        <f aca="false">SUM(I19,K19:L19)</f>
        <v>937</v>
      </c>
      <c r="AE19" s="1" t="n">
        <f aca="false">1000-AD19</f>
        <v>63</v>
      </c>
    </row>
    <row r="20" customFormat="false" ht="15" hidden="false" customHeight="false" outlineLevel="0" collapsed="false">
      <c r="B20" s="107" t="n">
        <v>18</v>
      </c>
      <c r="C20" s="111" t="s">
        <v>525</v>
      </c>
      <c r="D20" s="109" t="n">
        <v>10.2</v>
      </c>
      <c r="E20" s="109" t="n">
        <v>72</v>
      </c>
      <c r="F20" s="109" t="n">
        <v>89</v>
      </c>
      <c r="G20" s="109" t="n">
        <v>170</v>
      </c>
      <c r="H20" s="109" t="n">
        <v>12.7</v>
      </c>
      <c r="I20" s="109" t="n">
        <v>214</v>
      </c>
      <c r="J20" s="109"/>
      <c r="K20" s="109" t="n">
        <v>100</v>
      </c>
      <c r="L20" s="109" t="n">
        <v>638</v>
      </c>
      <c r="M20" s="109" t="n">
        <v>79</v>
      </c>
      <c r="N20" s="109" t="n">
        <v>72</v>
      </c>
      <c r="O20" s="109" t="n">
        <v>49</v>
      </c>
      <c r="P20" s="109" t="n">
        <v>80</v>
      </c>
      <c r="Q20" s="109" t="n">
        <v>82</v>
      </c>
      <c r="R20" s="109" t="n">
        <v>40</v>
      </c>
      <c r="S20" s="109"/>
      <c r="T20" s="109" t="n">
        <v>15</v>
      </c>
      <c r="U20" s="109" t="n">
        <v>360</v>
      </c>
      <c r="V20" s="109" t="n">
        <v>50</v>
      </c>
      <c r="W20" s="109" t="n">
        <v>16</v>
      </c>
      <c r="X20" s="109" t="n">
        <v>2.8</v>
      </c>
      <c r="Y20" s="109" t="n">
        <v>2</v>
      </c>
      <c r="Z20" s="109" t="n">
        <v>30</v>
      </c>
      <c r="AA20" s="109" t="n">
        <v>1.5</v>
      </c>
      <c r="AB20" s="109"/>
      <c r="AD20" s="1" t="n">
        <f aca="false">SUM(I20,K20:L20)</f>
        <v>952</v>
      </c>
      <c r="AE20" s="1" t="n">
        <f aca="false">1000-AD20</f>
        <v>48</v>
      </c>
    </row>
    <row r="21" customFormat="false" ht="15" hidden="false" customHeight="false" outlineLevel="0" collapsed="false">
      <c r="B21" s="104" t="n">
        <v>19</v>
      </c>
      <c r="C21" s="110" t="s">
        <v>526</v>
      </c>
      <c r="D21" s="106" t="n">
        <v>10.9</v>
      </c>
      <c r="E21" s="106" t="n">
        <v>71</v>
      </c>
      <c r="F21" s="106" t="n">
        <v>22</v>
      </c>
      <c r="G21" s="106" t="n">
        <v>105</v>
      </c>
      <c r="H21" s="106" t="n">
        <v>13</v>
      </c>
      <c r="I21" s="106" t="n">
        <v>145</v>
      </c>
      <c r="J21" s="106" t="n">
        <v>286</v>
      </c>
      <c r="K21" s="106" t="n">
        <v>76</v>
      </c>
      <c r="L21" s="106" t="n">
        <v>710</v>
      </c>
      <c r="M21" s="106" t="n">
        <v>72</v>
      </c>
      <c r="N21" s="106" t="n">
        <v>74</v>
      </c>
      <c r="O21" s="106" t="n">
        <v>54</v>
      </c>
      <c r="P21" s="106" t="n">
        <v>80</v>
      </c>
      <c r="Q21" s="106" t="n">
        <v>82</v>
      </c>
      <c r="R21" s="106" t="n">
        <v>66.9</v>
      </c>
      <c r="S21" s="106"/>
      <c r="T21" s="106" t="n">
        <v>69</v>
      </c>
      <c r="U21" s="106" t="n">
        <v>530</v>
      </c>
      <c r="V21" s="106"/>
      <c r="W21" s="106" t="n">
        <v>6</v>
      </c>
      <c r="X21" s="106" t="n">
        <v>2.8</v>
      </c>
      <c r="Y21" s="106" t="n">
        <v>1.8</v>
      </c>
      <c r="Z21" s="106" t="n">
        <v>24</v>
      </c>
      <c r="AA21" s="106"/>
      <c r="AB21" s="106"/>
      <c r="AD21" s="1" t="n">
        <f aca="false">SUM(I21,K21:L21)</f>
        <v>931</v>
      </c>
      <c r="AE21" s="1" t="n">
        <f aca="false">1000-AD21</f>
        <v>69</v>
      </c>
    </row>
    <row r="22" customFormat="false" ht="15" hidden="false" customHeight="false" outlineLevel="0" collapsed="false">
      <c r="B22" s="107" t="n">
        <v>20</v>
      </c>
      <c r="C22" s="111" t="s">
        <v>527</v>
      </c>
      <c r="D22" s="109" t="n">
        <v>11.7</v>
      </c>
      <c r="E22" s="109" t="n">
        <v>73</v>
      </c>
      <c r="F22" s="109" t="n">
        <v>31</v>
      </c>
      <c r="G22" s="109" t="n">
        <v>117</v>
      </c>
      <c r="H22" s="109" t="n">
        <v>13.7</v>
      </c>
      <c r="I22" s="109" t="n">
        <v>158</v>
      </c>
      <c r="J22" s="109" t="n">
        <v>251</v>
      </c>
      <c r="K22" s="109" t="n">
        <v>75</v>
      </c>
      <c r="L22" s="109" t="n">
        <v>691</v>
      </c>
      <c r="M22" s="109" t="n">
        <v>74</v>
      </c>
      <c r="N22" s="109" t="n">
        <v>77</v>
      </c>
      <c r="O22" s="109" t="n">
        <v>59</v>
      </c>
      <c r="P22" s="109" t="n">
        <v>80</v>
      </c>
      <c r="Q22" s="109" t="n">
        <v>82</v>
      </c>
      <c r="R22" s="109" t="n">
        <v>104</v>
      </c>
      <c r="S22" s="109"/>
      <c r="T22" s="109"/>
      <c r="U22" s="109" t="n">
        <v>495</v>
      </c>
      <c r="V22" s="109"/>
      <c r="W22" s="109" t="n">
        <v>5.5</v>
      </c>
      <c r="X22" s="109" t="n">
        <v>2.8</v>
      </c>
      <c r="Y22" s="109" t="n">
        <v>1.8</v>
      </c>
      <c r="Z22" s="109" t="n">
        <v>24.5</v>
      </c>
      <c r="AA22" s="109"/>
      <c r="AB22" s="109"/>
      <c r="AD22" s="1" t="n">
        <f aca="false">SUM(I22,K22:L22)</f>
        <v>924</v>
      </c>
      <c r="AE22" s="1" t="n">
        <f aca="false">1000-AD22</f>
        <v>76</v>
      </c>
    </row>
    <row r="23" customFormat="false" ht="15" hidden="false" customHeight="false" outlineLevel="0" collapsed="false">
      <c r="B23" s="104" t="n">
        <v>21</v>
      </c>
      <c r="C23" s="110" t="s">
        <v>528</v>
      </c>
      <c r="D23" s="106" t="n">
        <v>8</v>
      </c>
      <c r="E23" s="106" t="n">
        <v>62</v>
      </c>
      <c r="F23" s="106" t="n">
        <v>-1</v>
      </c>
      <c r="G23" s="106" t="n">
        <v>68</v>
      </c>
      <c r="H23" s="106" t="n">
        <v>10.1</v>
      </c>
      <c r="I23" s="106" t="n">
        <v>106</v>
      </c>
      <c r="J23" s="106"/>
      <c r="K23" s="106" t="n">
        <v>77</v>
      </c>
      <c r="L23" s="106" t="n">
        <v>768</v>
      </c>
      <c r="M23" s="106" t="n">
        <v>64</v>
      </c>
      <c r="N23" s="106" t="n">
        <v>63</v>
      </c>
      <c r="O23" s="106" t="n">
        <v>34</v>
      </c>
      <c r="P23" s="106" t="n">
        <v>80</v>
      </c>
      <c r="Q23" s="106" t="n">
        <v>82</v>
      </c>
      <c r="R23" s="106" t="n">
        <v>126</v>
      </c>
      <c r="S23" s="106"/>
      <c r="T23" s="106"/>
      <c r="U23" s="106" t="n">
        <v>625</v>
      </c>
      <c r="V23" s="106"/>
      <c r="W23" s="106" t="n">
        <v>6.4</v>
      </c>
      <c r="X23" s="106" t="n">
        <v>2.3</v>
      </c>
      <c r="Y23" s="106" t="n">
        <v>1.7</v>
      </c>
      <c r="Z23" s="106" t="n">
        <v>17</v>
      </c>
      <c r="AA23" s="106"/>
      <c r="AB23" s="106"/>
      <c r="AD23" s="1" t="n">
        <f aca="false">SUM(I23,K23:L23)</f>
        <v>951</v>
      </c>
      <c r="AE23" s="1" t="n">
        <f aca="false">1000-AD23</f>
        <v>49</v>
      </c>
    </row>
    <row r="24" customFormat="false" ht="15" hidden="false" customHeight="false" outlineLevel="0" collapsed="false">
      <c r="B24" s="107" t="n">
        <v>22</v>
      </c>
      <c r="C24" s="111" t="s">
        <v>529</v>
      </c>
      <c r="D24" s="109" t="n">
        <v>9.2</v>
      </c>
      <c r="E24" s="109" t="n">
        <v>66</v>
      </c>
      <c r="F24" s="109" t="n">
        <v>6</v>
      </c>
      <c r="G24" s="109" t="n">
        <v>81</v>
      </c>
      <c r="H24" s="109" t="n">
        <v>11.4</v>
      </c>
      <c r="I24" s="109" t="n">
        <v>120</v>
      </c>
      <c r="J24" s="109" t="n">
        <v>328</v>
      </c>
      <c r="K24" s="109" t="n">
        <v>72</v>
      </c>
      <c r="L24" s="109" t="n">
        <v>747</v>
      </c>
      <c r="M24" s="109" t="n">
        <v>68</v>
      </c>
      <c r="N24" s="109" t="n">
        <v>67</v>
      </c>
      <c r="O24" s="109" t="n">
        <v>42</v>
      </c>
      <c r="P24" s="109" t="n">
        <v>80</v>
      </c>
      <c r="Q24" s="109" t="n">
        <v>82</v>
      </c>
      <c r="R24" s="109" t="n">
        <v>26</v>
      </c>
      <c r="S24" s="109"/>
      <c r="T24" s="109" t="n">
        <v>272</v>
      </c>
      <c r="U24" s="109" t="n">
        <v>599</v>
      </c>
      <c r="V24" s="109"/>
      <c r="W24" s="109" t="n">
        <v>6.8</v>
      </c>
      <c r="X24" s="109" t="n">
        <v>2.5</v>
      </c>
      <c r="Y24" s="109" t="n">
        <v>1.8</v>
      </c>
      <c r="Z24" s="109" t="n">
        <v>21</v>
      </c>
      <c r="AA24" s="109"/>
      <c r="AB24" s="109"/>
      <c r="AD24" s="1" t="n">
        <f aca="false">SUM(I24,K24:L24)</f>
        <v>939</v>
      </c>
      <c r="AE24" s="1" t="n">
        <f aca="false">1000-AD24</f>
        <v>61</v>
      </c>
    </row>
    <row r="25" customFormat="false" ht="15" hidden="false" customHeight="false" outlineLevel="0" collapsed="false">
      <c r="B25" s="104" t="n">
        <v>23</v>
      </c>
      <c r="C25" s="110" t="s">
        <v>530</v>
      </c>
      <c r="D25" s="106" t="n">
        <v>10.1</v>
      </c>
      <c r="E25" s="106" t="n">
        <v>69</v>
      </c>
      <c r="F25" s="106" t="n">
        <v>14</v>
      </c>
      <c r="G25" s="106" t="n">
        <v>94</v>
      </c>
      <c r="H25" s="106" t="n">
        <v>12.2</v>
      </c>
      <c r="I25" s="106" t="n">
        <v>133</v>
      </c>
      <c r="J25" s="106" t="n">
        <v>302</v>
      </c>
      <c r="K25" s="106" t="n">
        <v>78</v>
      </c>
      <c r="L25" s="106" t="n">
        <v>728</v>
      </c>
      <c r="M25" s="106" t="n">
        <v>70</v>
      </c>
      <c r="N25" s="106" t="n">
        <v>71</v>
      </c>
      <c r="O25" s="106" t="n">
        <v>48</v>
      </c>
      <c r="P25" s="106" t="n">
        <v>80</v>
      </c>
      <c r="Q25" s="106" t="n">
        <v>82</v>
      </c>
      <c r="R25" s="106" t="n">
        <v>48.1</v>
      </c>
      <c r="S25" s="106"/>
      <c r="T25" s="106" t="n">
        <v>85.5</v>
      </c>
      <c r="U25" s="106" t="n">
        <v>569</v>
      </c>
      <c r="V25" s="106"/>
      <c r="W25" s="106" t="n">
        <v>6.3</v>
      </c>
      <c r="X25" s="106" t="n">
        <v>2.7</v>
      </c>
      <c r="Y25" s="106" t="n">
        <v>1.8</v>
      </c>
      <c r="Z25" s="106" t="n">
        <v>23.4</v>
      </c>
      <c r="AA25" s="106"/>
      <c r="AB25" s="106"/>
      <c r="AD25" s="1" t="n">
        <f aca="false">SUM(I25,K25:L25)</f>
        <v>939</v>
      </c>
      <c r="AE25" s="1" t="n">
        <f aca="false">1000-AD25</f>
        <v>61</v>
      </c>
    </row>
    <row r="26" customFormat="false" ht="15" hidden="false" customHeight="false" outlineLevel="0" collapsed="false">
      <c r="B26" s="107" t="n">
        <v>24</v>
      </c>
      <c r="C26" s="111" t="s">
        <v>531</v>
      </c>
      <c r="D26" s="109" t="n">
        <v>10.3</v>
      </c>
      <c r="E26" s="109" t="n">
        <v>70</v>
      </c>
      <c r="F26" s="109" t="n">
        <v>12</v>
      </c>
      <c r="G26" s="109" t="n">
        <v>93</v>
      </c>
      <c r="H26" s="109" t="n">
        <v>12.4</v>
      </c>
      <c r="I26" s="109" t="n">
        <v>132</v>
      </c>
      <c r="J26" s="109" t="n">
        <v>296</v>
      </c>
      <c r="K26" s="109" t="n">
        <v>73</v>
      </c>
      <c r="L26" s="109" t="n">
        <v>729</v>
      </c>
      <c r="M26" s="109" t="n">
        <v>70</v>
      </c>
      <c r="N26" s="109" t="n">
        <v>71</v>
      </c>
      <c r="O26" s="109" t="n">
        <v>50</v>
      </c>
      <c r="P26" s="109" t="n">
        <v>80</v>
      </c>
      <c r="Q26" s="109" t="n">
        <v>82</v>
      </c>
      <c r="R26" s="109" t="n">
        <v>55.8</v>
      </c>
      <c r="S26" s="109"/>
      <c r="T26" s="109" t="n">
        <v>41</v>
      </c>
      <c r="U26" s="109" t="n">
        <v>563</v>
      </c>
      <c r="V26" s="109"/>
      <c r="W26" s="109" t="n">
        <v>6.3</v>
      </c>
      <c r="X26" s="109" t="n">
        <v>2.6</v>
      </c>
      <c r="Y26" s="109" t="n">
        <v>1.8</v>
      </c>
      <c r="Z26" s="109" t="n">
        <v>20</v>
      </c>
      <c r="AA26" s="109"/>
      <c r="AB26" s="109"/>
      <c r="AD26" s="1" t="n">
        <f aca="false">SUM(I26,K26:L26)</f>
        <v>934</v>
      </c>
      <c r="AE26" s="1" t="n">
        <f aca="false">1000-AD26</f>
        <v>66</v>
      </c>
    </row>
    <row r="27" customFormat="false" ht="15" hidden="false" customHeight="false" outlineLevel="0" collapsed="false">
      <c r="B27" s="104" t="n">
        <v>25</v>
      </c>
      <c r="C27" s="110" t="s">
        <v>532</v>
      </c>
      <c r="D27" s="106" t="n">
        <v>10.3</v>
      </c>
      <c r="E27" s="106" t="n">
        <v>70</v>
      </c>
      <c r="F27" s="106" t="n">
        <v>17</v>
      </c>
      <c r="G27" s="106" t="n">
        <v>97</v>
      </c>
      <c r="H27" s="106" t="n">
        <v>12.4</v>
      </c>
      <c r="I27" s="106" t="n">
        <v>137</v>
      </c>
      <c r="J27" s="106" t="n">
        <v>298</v>
      </c>
      <c r="K27" s="106" t="n">
        <v>80</v>
      </c>
      <c r="L27" s="106" t="n">
        <v>722</v>
      </c>
      <c r="M27" s="106" t="n">
        <v>71</v>
      </c>
      <c r="N27" s="106" t="n">
        <v>71</v>
      </c>
      <c r="O27" s="106" t="n">
        <v>50</v>
      </c>
      <c r="P27" s="106" t="n">
        <v>80</v>
      </c>
      <c r="Q27" s="106" t="n">
        <v>82</v>
      </c>
      <c r="R27" s="106" t="n">
        <v>41.8</v>
      </c>
      <c r="S27" s="106"/>
      <c r="T27" s="106" t="n">
        <v>124</v>
      </c>
      <c r="U27" s="106" t="n">
        <v>558</v>
      </c>
      <c r="V27" s="106"/>
      <c r="W27" s="106" t="n">
        <v>5.8</v>
      </c>
      <c r="X27" s="106" t="n">
        <v>2.7</v>
      </c>
      <c r="Y27" s="106" t="n">
        <v>1.8</v>
      </c>
      <c r="Z27" s="106" t="n">
        <v>23.9</v>
      </c>
      <c r="AA27" s="106"/>
      <c r="AB27" s="106"/>
      <c r="AD27" s="1" t="n">
        <f aca="false">SUM(I27,K27:L27)</f>
        <v>939</v>
      </c>
      <c r="AE27" s="1" t="n">
        <f aca="false">1000-AD27</f>
        <v>61</v>
      </c>
    </row>
    <row r="28" customFormat="false" ht="15" hidden="false" customHeight="false" outlineLevel="0" collapsed="false">
      <c r="B28" s="107" t="n">
        <v>26</v>
      </c>
      <c r="C28" s="111" t="s">
        <v>533</v>
      </c>
      <c r="D28" s="109" t="n">
        <v>10.1</v>
      </c>
      <c r="E28" s="109" t="n">
        <v>69</v>
      </c>
      <c r="F28" s="109" t="n">
        <v>21</v>
      </c>
      <c r="G28" s="109" t="n">
        <v>100</v>
      </c>
      <c r="H28" s="109" t="n">
        <v>12.3</v>
      </c>
      <c r="I28" s="109" t="n">
        <v>140</v>
      </c>
      <c r="J28" s="109" t="n">
        <v>289</v>
      </c>
      <c r="K28" s="109" t="n">
        <v>83</v>
      </c>
      <c r="L28" s="109" t="n">
        <v>718</v>
      </c>
      <c r="M28" s="109" t="n">
        <v>72</v>
      </c>
      <c r="N28" s="109" t="n">
        <v>71</v>
      </c>
      <c r="O28" s="109" t="n">
        <v>48</v>
      </c>
      <c r="P28" s="109" t="n">
        <v>80</v>
      </c>
      <c r="Q28" s="109" t="n">
        <v>82</v>
      </c>
      <c r="R28" s="109" t="n">
        <v>28.6</v>
      </c>
      <c r="S28" s="109"/>
      <c r="T28" s="109"/>
      <c r="U28" s="109" t="n">
        <v>538</v>
      </c>
      <c r="V28" s="109"/>
      <c r="W28" s="109" t="n">
        <v>7.8</v>
      </c>
      <c r="X28" s="109" t="n">
        <v>2.7</v>
      </c>
      <c r="Y28" s="109" t="n">
        <v>2</v>
      </c>
      <c r="Z28" s="109" t="n">
        <v>23.8</v>
      </c>
      <c r="AA28" s="109"/>
      <c r="AB28" s="109"/>
      <c r="AD28" s="1" t="n">
        <f aca="false">SUM(I28,K28:L28)</f>
        <v>941</v>
      </c>
      <c r="AE28" s="1" t="n">
        <f aca="false">1000-AD28</f>
        <v>59</v>
      </c>
    </row>
    <row r="29" customFormat="false" ht="15" hidden="false" customHeight="false" outlineLevel="0" collapsed="false">
      <c r="B29" s="104" t="n">
        <v>27</v>
      </c>
      <c r="C29" s="110" t="s">
        <v>534</v>
      </c>
      <c r="D29" s="106" t="n">
        <v>10.2</v>
      </c>
      <c r="E29" s="106" t="n">
        <v>69</v>
      </c>
      <c r="F29" s="106" t="n">
        <v>14</v>
      </c>
      <c r="G29" s="106" t="n">
        <v>94</v>
      </c>
      <c r="H29" s="106" t="n">
        <v>12.3</v>
      </c>
      <c r="I29" s="106" t="n">
        <v>134</v>
      </c>
      <c r="J29" s="106" t="n">
        <v>262</v>
      </c>
      <c r="K29" s="106" t="n">
        <v>76</v>
      </c>
      <c r="L29" s="106" t="n">
        <v>727</v>
      </c>
      <c r="M29" s="106" t="n">
        <v>70</v>
      </c>
      <c r="N29" s="106" t="n">
        <v>71</v>
      </c>
      <c r="O29" s="106" t="n">
        <v>49</v>
      </c>
      <c r="P29" s="106" t="n">
        <v>80</v>
      </c>
      <c r="Q29" s="106" t="n">
        <v>82</v>
      </c>
      <c r="R29" s="106" t="n">
        <v>98.7</v>
      </c>
      <c r="S29" s="106"/>
      <c r="T29" s="106"/>
      <c r="U29" s="106" t="n">
        <v>544</v>
      </c>
      <c r="V29" s="106"/>
      <c r="W29" s="106" t="n">
        <v>7.7</v>
      </c>
      <c r="X29" s="106" t="n">
        <v>2.6</v>
      </c>
      <c r="Y29" s="106" t="n">
        <v>2</v>
      </c>
      <c r="Z29" s="106" t="n">
        <v>19.4</v>
      </c>
      <c r="AA29" s="106"/>
      <c r="AB29" s="106"/>
      <c r="AD29" s="1" t="n">
        <f aca="false">SUM(I29,K29:L29)</f>
        <v>937</v>
      </c>
      <c r="AE29" s="1" t="n">
        <f aca="false">1000-AD29</f>
        <v>63</v>
      </c>
    </row>
    <row r="30" customFormat="false" ht="15" hidden="false" customHeight="false" outlineLevel="0" collapsed="false">
      <c r="B30" s="107" t="n">
        <v>28</v>
      </c>
      <c r="C30" s="111" t="s">
        <v>535</v>
      </c>
      <c r="D30" s="109" t="n">
        <v>10.1</v>
      </c>
      <c r="E30" s="109" t="n">
        <v>69</v>
      </c>
      <c r="F30" s="109" t="n">
        <v>23</v>
      </c>
      <c r="G30" s="109" t="n">
        <v>102</v>
      </c>
      <c r="H30" s="109" t="n">
        <v>12.3</v>
      </c>
      <c r="I30" s="109" t="n">
        <v>142</v>
      </c>
      <c r="J30" s="109" t="n">
        <v>293</v>
      </c>
      <c r="K30" s="109" t="n">
        <v>88</v>
      </c>
      <c r="L30" s="109" t="n">
        <v>714</v>
      </c>
      <c r="M30" s="109" t="n">
        <v>72</v>
      </c>
      <c r="N30" s="109" t="n">
        <v>71</v>
      </c>
      <c r="O30" s="109" t="n">
        <v>48</v>
      </c>
      <c r="P30" s="109" t="n">
        <v>80</v>
      </c>
      <c r="Q30" s="109" t="n">
        <v>82</v>
      </c>
      <c r="R30" s="109" t="n">
        <v>13.8</v>
      </c>
      <c r="S30" s="109"/>
      <c r="T30" s="109"/>
      <c r="U30" s="109" t="n">
        <v>537</v>
      </c>
      <c r="V30" s="109"/>
      <c r="W30" s="109" t="n">
        <v>7.7</v>
      </c>
      <c r="X30" s="109" t="n">
        <v>2.7</v>
      </c>
      <c r="Y30" s="109" t="n">
        <v>1.9</v>
      </c>
      <c r="Z30" s="109" t="n">
        <v>24.6</v>
      </c>
      <c r="AA30" s="109"/>
      <c r="AB30" s="109"/>
      <c r="AD30" s="1" t="n">
        <f aca="false">SUM(I30,K30:L30)</f>
        <v>944</v>
      </c>
      <c r="AE30" s="1" t="n">
        <f aca="false">1000-AD30</f>
        <v>56</v>
      </c>
    </row>
    <row r="31" customFormat="false" ht="15" hidden="false" customHeight="false" outlineLevel="0" collapsed="false">
      <c r="B31" s="104" t="n">
        <v>29</v>
      </c>
      <c r="C31" s="110" t="s">
        <v>536</v>
      </c>
      <c r="D31" s="106" t="n">
        <v>10.2</v>
      </c>
      <c r="E31" s="106" t="n">
        <v>69</v>
      </c>
      <c r="F31" s="106" t="n">
        <v>14</v>
      </c>
      <c r="G31" s="106" t="n">
        <v>94</v>
      </c>
      <c r="H31" s="106" t="n">
        <v>12.3</v>
      </c>
      <c r="I31" s="106" t="n">
        <v>134</v>
      </c>
      <c r="J31" s="106" t="n">
        <v>297</v>
      </c>
      <c r="K31" s="106" t="n">
        <v>74</v>
      </c>
      <c r="L31" s="106" t="n">
        <v>727</v>
      </c>
      <c r="M31" s="106" t="n">
        <v>70</v>
      </c>
      <c r="N31" s="106" t="n">
        <v>71</v>
      </c>
      <c r="O31" s="106" t="n">
        <v>49</v>
      </c>
      <c r="P31" s="106" t="n">
        <v>80</v>
      </c>
      <c r="Q31" s="106" t="n">
        <v>82</v>
      </c>
      <c r="R31" s="106" t="n">
        <v>47</v>
      </c>
      <c r="S31" s="106"/>
      <c r="T31" s="106" t="n">
        <v>96.6</v>
      </c>
      <c r="U31" s="106" t="n">
        <v>573</v>
      </c>
      <c r="V31" s="106"/>
      <c r="W31" s="106" t="n">
        <v>6</v>
      </c>
      <c r="X31" s="106" t="n">
        <v>2.7</v>
      </c>
      <c r="Y31" s="106" t="n">
        <v>1.8</v>
      </c>
      <c r="Z31" s="106" t="n">
        <v>22</v>
      </c>
      <c r="AA31" s="106"/>
      <c r="AB31" s="106"/>
      <c r="AD31" s="1" t="n">
        <f aca="false">SUM(I31,K31:L31)</f>
        <v>935</v>
      </c>
      <c r="AE31" s="1" t="n">
        <f aca="false">1000-AD31</f>
        <v>65</v>
      </c>
    </row>
    <row r="32" customFormat="false" ht="15" hidden="false" customHeight="false" outlineLevel="0" collapsed="false">
      <c r="B32" s="107" t="n">
        <v>30</v>
      </c>
      <c r="C32" s="111" t="s">
        <v>537</v>
      </c>
      <c r="D32" s="109" t="n">
        <v>9.9</v>
      </c>
      <c r="E32" s="109" t="n">
        <v>68</v>
      </c>
      <c r="F32" s="109" t="n">
        <v>99</v>
      </c>
      <c r="G32" s="109" t="n">
        <v>173</v>
      </c>
      <c r="H32" s="109" t="n">
        <v>12.5</v>
      </c>
      <c r="I32" s="109" t="n">
        <v>218</v>
      </c>
      <c r="J32" s="109"/>
      <c r="K32" s="109" t="n">
        <v>83</v>
      </c>
      <c r="L32" s="109" t="n">
        <v>640</v>
      </c>
      <c r="M32" s="109" t="n">
        <v>80</v>
      </c>
      <c r="N32" s="109" t="n">
        <v>70</v>
      </c>
      <c r="O32" s="109" t="n">
        <v>47</v>
      </c>
      <c r="P32" s="109" t="n">
        <v>80</v>
      </c>
      <c r="Q32" s="109" t="n">
        <v>82</v>
      </c>
      <c r="R32" s="109"/>
      <c r="S32" s="109"/>
      <c r="T32" s="109"/>
      <c r="U32" s="109" t="n">
        <v>409</v>
      </c>
      <c r="V32" s="109" t="n">
        <v>38</v>
      </c>
      <c r="W32" s="109" t="n">
        <v>13</v>
      </c>
      <c r="X32" s="109" t="n">
        <v>3</v>
      </c>
      <c r="Y32" s="109" t="n">
        <v>2.4</v>
      </c>
      <c r="Z32" s="109" t="n">
        <v>22</v>
      </c>
      <c r="AA32" s="109" t="n">
        <v>0.6</v>
      </c>
      <c r="AB32" s="109"/>
      <c r="AD32" s="1" t="n">
        <f aca="false">SUM(I32,K32:L32)</f>
        <v>941</v>
      </c>
      <c r="AE32" s="1" t="n">
        <f aca="false">1000-AD32</f>
        <v>59</v>
      </c>
    </row>
    <row r="33" customFormat="false" ht="15" hidden="false" customHeight="false" outlineLevel="0" collapsed="false">
      <c r="B33" s="104" t="n">
        <v>31</v>
      </c>
      <c r="C33" s="110" t="s">
        <v>538</v>
      </c>
      <c r="D33" s="106" t="n">
        <v>9.1</v>
      </c>
      <c r="E33" s="106" t="n">
        <v>66</v>
      </c>
      <c r="F33" s="106" t="n">
        <v>-19</v>
      </c>
      <c r="G33" s="106" t="n">
        <v>56</v>
      </c>
      <c r="H33" s="106" t="n">
        <v>11.1</v>
      </c>
      <c r="I33" s="106" t="n">
        <v>93.5</v>
      </c>
      <c r="J33" s="106" t="n">
        <v>317</v>
      </c>
      <c r="K33" s="106" t="n">
        <v>62</v>
      </c>
      <c r="L33" s="106" t="n">
        <v>813</v>
      </c>
      <c r="M33" s="106" t="n">
        <v>60</v>
      </c>
      <c r="N33" s="106" t="n">
        <v>64</v>
      </c>
      <c r="O33" s="106" t="n">
        <v>41</v>
      </c>
      <c r="P33" s="106" t="n">
        <v>80</v>
      </c>
      <c r="Q33" s="106" t="n">
        <v>82</v>
      </c>
      <c r="R33" s="106" t="n">
        <v>142</v>
      </c>
      <c r="S33" s="106"/>
      <c r="T33" s="106"/>
      <c r="U33" s="106" t="n">
        <v>652</v>
      </c>
      <c r="V33" s="106"/>
      <c r="W33" s="106" t="n">
        <v>3.7</v>
      </c>
      <c r="X33" s="106" t="n">
        <v>2.1</v>
      </c>
      <c r="Y33" s="106" t="n">
        <v>1.2</v>
      </c>
      <c r="Z33" s="106" t="n">
        <v>18.1</v>
      </c>
      <c r="AA33" s="106"/>
      <c r="AB33" s="106"/>
      <c r="AD33" s="113" t="n">
        <f aca="false">SUM(I33,K33:L33)</f>
        <v>968.5</v>
      </c>
      <c r="AE33" s="113" t="n">
        <f aca="false">1000-AD33</f>
        <v>31.5</v>
      </c>
    </row>
    <row r="34" customFormat="false" ht="15" hidden="false" customHeight="false" outlineLevel="0" collapsed="false">
      <c r="B34" s="107" t="n">
        <v>32</v>
      </c>
      <c r="C34" s="111" t="s">
        <v>539</v>
      </c>
      <c r="D34" s="109" t="n">
        <v>9.3</v>
      </c>
      <c r="E34" s="109" t="n">
        <v>67</v>
      </c>
      <c r="F34" s="109" t="n">
        <v>-19</v>
      </c>
      <c r="G34" s="109" t="n">
        <v>58</v>
      </c>
      <c r="H34" s="109" t="n">
        <v>11.3</v>
      </c>
      <c r="I34" s="109" t="n">
        <v>95.5</v>
      </c>
      <c r="J34" s="109" t="n">
        <v>330</v>
      </c>
      <c r="K34" s="109" t="n">
        <v>59</v>
      </c>
      <c r="L34" s="109" t="n">
        <v>811</v>
      </c>
      <c r="M34" s="109" t="n">
        <v>61</v>
      </c>
      <c r="N34" s="109" t="n">
        <v>66</v>
      </c>
      <c r="O34" s="109" t="n">
        <v>43</v>
      </c>
      <c r="P34" s="109" t="n">
        <v>80</v>
      </c>
      <c r="Q34" s="109" t="n">
        <v>82</v>
      </c>
      <c r="R34" s="109" t="n">
        <v>144</v>
      </c>
      <c r="S34" s="109"/>
      <c r="T34" s="109"/>
      <c r="U34" s="109" t="n">
        <v>616</v>
      </c>
      <c r="V34" s="109"/>
      <c r="W34" s="109" t="n">
        <v>4.3</v>
      </c>
      <c r="X34" s="109" t="n">
        <v>2.1</v>
      </c>
      <c r="Y34" s="109" t="n">
        <v>1.4</v>
      </c>
      <c r="Z34" s="109" t="n">
        <v>16.4</v>
      </c>
      <c r="AA34" s="109"/>
      <c r="AB34" s="109"/>
      <c r="AD34" s="113" t="n">
        <f aca="false">SUM(I34,K34:L34)</f>
        <v>965.5</v>
      </c>
      <c r="AE34" s="113" t="n">
        <f aca="false">1000-AD34</f>
        <v>34.5</v>
      </c>
    </row>
    <row r="35" customFormat="false" ht="15" hidden="false" customHeight="false" outlineLevel="0" collapsed="false">
      <c r="B35" s="104" t="n">
        <v>33</v>
      </c>
      <c r="C35" s="110" t="s">
        <v>540</v>
      </c>
      <c r="D35" s="106" t="n">
        <v>9.2</v>
      </c>
      <c r="E35" s="106" t="n">
        <v>66</v>
      </c>
      <c r="F35" s="106" t="n">
        <v>-18</v>
      </c>
      <c r="G35" s="106" t="n">
        <v>58</v>
      </c>
      <c r="H35" s="106" t="n">
        <v>11.2</v>
      </c>
      <c r="I35" s="106" t="n">
        <v>95.3</v>
      </c>
      <c r="J35" s="106" t="n">
        <v>271</v>
      </c>
      <c r="K35" s="106" t="n">
        <v>60</v>
      </c>
      <c r="L35" s="106" t="n">
        <v>811</v>
      </c>
      <c r="M35" s="106" t="n">
        <v>61</v>
      </c>
      <c r="N35" s="106" t="n">
        <v>65</v>
      </c>
      <c r="O35" s="106" t="n">
        <v>42</v>
      </c>
      <c r="P35" s="106" t="n">
        <v>80</v>
      </c>
      <c r="Q35" s="106" t="n">
        <v>82</v>
      </c>
      <c r="R35" s="106" t="n">
        <v>133</v>
      </c>
      <c r="S35" s="106"/>
      <c r="T35" s="106"/>
      <c r="U35" s="106" t="n">
        <v>656</v>
      </c>
      <c r="V35" s="106"/>
      <c r="W35" s="106" t="n">
        <v>3.7</v>
      </c>
      <c r="X35" s="106" t="n">
        <v>2.1</v>
      </c>
      <c r="Y35" s="106" t="n">
        <v>1.2</v>
      </c>
      <c r="Z35" s="106" t="n">
        <v>19</v>
      </c>
      <c r="AA35" s="106"/>
      <c r="AB35" s="106"/>
      <c r="AD35" s="113" t="n">
        <f aca="false">SUM(I35,K35:L35)</f>
        <v>966.3</v>
      </c>
      <c r="AE35" s="113" t="n">
        <f aca="false">1000-AD35</f>
        <v>33.7</v>
      </c>
    </row>
    <row r="36" customFormat="false" ht="15" hidden="false" customHeight="false" outlineLevel="0" collapsed="false">
      <c r="B36" s="107" t="n">
        <v>34</v>
      </c>
      <c r="C36" s="111" t="s">
        <v>541</v>
      </c>
      <c r="D36" s="109" t="n">
        <v>9.4</v>
      </c>
      <c r="E36" s="109" t="n">
        <v>67</v>
      </c>
      <c r="F36" s="109" t="n">
        <v>79</v>
      </c>
      <c r="G36" s="109" t="n">
        <v>153</v>
      </c>
      <c r="H36" s="109" t="n">
        <v>12</v>
      </c>
      <c r="I36" s="109" t="n">
        <v>196</v>
      </c>
      <c r="J36" s="109"/>
      <c r="K36" s="109" t="n">
        <v>100</v>
      </c>
      <c r="L36" s="109" t="n">
        <v>636</v>
      </c>
      <c r="M36" s="109" t="n">
        <v>78</v>
      </c>
      <c r="N36" s="109" t="n">
        <v>68</v>
      </c>
      <c r="O36" s="109" t="n">
        <v>43</v>
      </c>
      <c r="P36" s="109" t="n">
        <v>80</v>
      </c>
      <c r="Q36" s="109" t="n">
        <v>82</v>
      </c>
      <c r="R36" s="109"/>
      <c r="S36" s="109" t="n">
        <v>90</v>
      </c>
      <c r="T36" s="109"/>
      <c r="U36" s="109" t="n">
        <v>370</v>
      </c>
      <c r="V36" s="109" t="n">
        <v>72</v>
      </c>
      <c r="W36" s="109"/>
      <c r="X36" s="109"/>
      <c r="Y36" s="109"/>
      <c r="Z36" s="109"/>
      <c r="AA36" s="109"/>
      <c r="AB36" s="109"/>
      <c r="AD36" s="1" t="n">
        <f aca="false">SUM(I36,K36:L36)</f>
        <v>932</v>
      </c>
      <c r="AE36" s="1" t="n">
        <f aca="false">1000-AD36</f>
        <v>68</v>
      </c>
    </row>
    <row r="37" customFormat="false" ht="15" hidden="false" customHeight="false" outlineLevel="0" collapsed="false">
      <c r="B37" s="104" t="n">
        <v>35</v>
      </c>
      <c r="C37" s="110" t="s">
        <v>542</v>
      </c>
      <c r="D37" s="106" t="n">
        <v>10.2</v>
      </c>
      <c r="E37" s="106" t="n">
        <v>72</v>
      </c>
      <c r="F37" s="106" t="n">
        <v>89</v>
      </c>
      <c r="G37" s="106" t="n">
        <v>170</v>
      </c>
      <c r="H37" s="106" t="n">
        <v>12.7</v>
      </c>
      <c r="I37" s="106" t="n">
        <v>214</v>
      </c>
      <c r="J37" s="106"/>
      <c r="K37" s="106" t="n">
        <v>90</v>
      </c>
      <c r="L37" s="106" t="n">
        <v>638</v>
      </c>
      <c r="M37" s="106" t="n">
        <v>79</v>
      </c>
      <c r="N37" s="106" t="n">
        <v>72</v>
      </c>
      <c r="O37" s="106" t="n">
        <v>49</v>
      </c>
      <c r="P37" s="106" t="n">
        <v>80</v>
      </c>
      <c r="Q37" s="106" t="n">
        <v>82</v>
      </c>
      <c r="R37" s="106" t="n">
        <v>65</v>
      </c>
      <c r="S37" s="106" t="n">
        <v>120</v>
      </c>
      <c r="T37" s="106" t="n">
        <v>25</v>
      </c>
      <c r="U37" s="106" t="n">
        <v>430</v>
      </c>
      <c r="V37" s="106" t="n">
        <v>70</v>
      </c>
      <c r="W37" s="106" t="n">
        <v>15</v>
      </c>
      <c r="X37" s="106" t="n">
        <v>3</v>
      </c>
      <c r="Y37" s="106" t="n">
        <v>2.8</v>
      </c>
      <c r="Z37" s="106" t="n">
        <v>25</v>
      </c>
      <c r="AA37" s="106" t="n">
        <v>0.4</v>
      </c>
      <c r="AB37" s="106"/>
      <c r="AD37" s="1" t="n">
        <f aca="false">SUM(I37,K37:L37)</f>
        <v>942</v>
      </c>
      <c r="AE37" s="1" t="n">
        <f aca="false">1000-AD37</f>
        <v>58</v>
      </c>
    </row>
    <row r="38" customFormat="false" ht="15" hidden="false" customHeight="false" outlineLevel="0" collapsed="false">
      <c r="B38" s="107" t="n">
        <v>36</v>
      </c>
      <c r="C38" s="111" t="s">
        <v>543</v>
      </c>
      <c r="D38" s="109" t="n">
        <v>10.2</v>
      </c>
      <c r="E38" s="109" t="n">
        <v>72</v>
      </c>
      <c r="F38" s="109" t="n">
        <v>69</v>
      </c>
      <c r="G38" s="109" t="n">
        <v>150</v>
      </c>
      <c r="H38" s="109" t="n">
        <v>12.6</v>
      </c>
      <c r="I38" s="109" t="n">
        <v>193</v>
      </c>
      <c r="J38" s="109"/>
      <c r="K38" s="109" t="n">
        <v>90</v>
      </c>
      <c r="L38" s="109" t="n">
        <v>668</v>
      </c>
      <c r="M38" s="109" t="n">
        <v>78</v>
      </c>
      <c r="N38" s="109" t="n">
        <v>72</v>
      </c>
      <c r="O38" s="109" t="n">
        <v>49</v>
      </c>
      <c r="P38" s="109" t="n">
        <v>80</v>
      </c>
      <c r="Q38" s="109" t="n">
        <v>82</v>
      </c>
      <c r="R38" s="109" t="n">
        <v>65</v>
      </c>
      <c r="S38" s="109" t="n">
        <v>120</v>
      </c>
      <c r="T38" s="109" t="n">
        <v>25</v>
      </c>
      <c r="U38" s="109" t="n">
        <v>430</v>
      </c>
      <c r="V38" s="109" t="n">
        <v>70</v>
      </c>
      <c r="W38" s="109" t="n">
        <v>15</v>
      </c>
      <c r="X38" s="109" t="n">
        <v>3</v>
      </c>
      <c r="Y38" s="109" t="n">
        <v>2.8</v>
      </c>
      <c r="Z38" s="109" t="n">
        <v>25</v>
      </c>
      <c r="AA38" s="109" t="n">
        <v>0.4</v>
      </c>
      <c r="AB38" s="109"/>
      <c r="AD38" s="1" t="n">
        <f aca="false">SUM(I38,K38:L38)</f>
        <v>951</v>
      </c>
      <c r="AE38" s="1" t="n">
        <f aca="false">1000-AD38</f>
        <v>49</v>
      </c>
    </row>
    <row r="39" customFormat="false" ht="15" hidden="false" customHeight="false" outlineLevel="0" collapsed="false">
      <c r="B39" s="104" t="n">
        <v>37</v>
      </c>
      <c r="C39" s="110" t="s">
        <v>544</v>
      </c>
      <c r="D39" s="106" t="n">
        <v>9.8</v>
      </c>
      <c r="E39" s="106" t="n">
        <v>70</v>
      </c>
      <c r="F39" s="106" t="n">
        <v>51</v>
      </c>
      <c r="G39" s="106" t="n">
        <v>130</v>
      </c>
      <c r="H39" s="106" t="n">
        <v>12.2</v>
      </c>
      <c r="I39" s="106" t="n">
        <v>172</v>
      </c>
      <c r="J39" s="106"/>
      <c r="K39" s="106" t="n">
        <v>90</v>
      </c>
      <c r="L39" s="106" t="n">
        <v>699</v>
      </c>
      <c r="M39" s="106" t="n">
        <v>76</v>
      </c>
      <c r="N39" s="106" t="n">
        <v>69</v>
      </c>
      <c r="O39" s="106" t="n">
        <v>46</v>
      </c>
      <c r="P39" s="106" t="n">
        <v>80</v>
      </c>
      <c r="Q39" s="106" t="n">
        <v>82</v>
      </c>
      <c r="R39" s="106" t="n">
        <v>65</v>
      </c>
      <c r="S39" s="106"/>
      <c r="T39" s="106" t="n">
        <v>25</v>
      </c>
      <c r="U39" s="106" t="n">
        <v>460</v>
      </c>
      <c r="V39" s="106" t="n">
        <v>80</v>
      </c>
      <c r="W39" s="106" t="n">
        <v>15</v>
      </c>
      <c r="X39" s="106" t="n">
        <v>3</v>
      </c>
      <c r="Y39" s="106" t="n">
        <v>2.8</v>
      </c>
      <c r="Z39" s="106" t="n">
        <v>25</v>
      </c>
      <c r="AA39" s="106" t="n">
        <v>0.4</v>
      </c>
      <c r="AB39" s="106"/>
      <c r="AD39" s="1" t="n">
        <f aca="false">SUM(I39,K39:L39)</f>
        <v>961</v>
      </c>
      <c r="AE39" s="1" t="n">
        <f aca="false">1000-AD39</f>
        <v>39</v>
      </c>
    </row>
    <row r="40" customFormat="false" ht="15" hidden="false" customHeight="false" outlineLevel="0" collapsed="false">
      <c r="B40" s="107" t="n">
        <v>38</v>
      </c>
      <c r="C40" s="111" t="s">
        <v>545</v>
      </c>
      <c r="D40" s="109" t="n">
        <v>9.8</v>
      </c>
      <c r="E40" s="109" t="n">
        <v>70</v>
      </c>
      <c r="F40" s="109" t="n">
        <v>31</v>
      </c>
      <c r="G40" s="109" t="n">
        <v>110</v>
      </c>
      <c r="H40" s="109" t="n">
        <v>12.1</v>
      </c>
      <c r="I40" s="109" t="n">
        <v>151</v>
      </c>
      <c r="J40" s="109"/>
      <c r="K40" s="109" t="n">
        <v>90</v>
      </c>
      <c r="L40" s="109" t="n">
        <v>730</v>
      </c>
      <c r="M40" s="109" t="n">
        <v>73</v>
      </c>
      <c r="N40" s="109" t="n">
        <v>69</v>
      </c>
      <c r="O40" s="109" t="n">
        <v>46</v>
      </c>
      <c r="P40" s="109" t="n">
        <v>80</v>
      </c>
      <c r="Q40" s="109" t="n">
        <v>82</v>
      </c>
      <c r="R40" s="109" t="n">
        <v>65</v>
      </c>
      <c r="S40" s="109"/>
      <c r="T40" s="109" t="n">
        <v>25</v>
      </c>
      <c r="U40" s="109" t="n">
        <v>460</v>
      </c>
      <c r="V40" s="109" t="n">
        <v>80</v>
      </c>
      <c r="W40" s="109" t="n">
        <v>15</v>
      </c>
      <c r="X40" s="109" t="n">
        <v>3</v>
      </c>
      <c r="Y40" s="109" t="n">
        <v>2.8</v>
      </c>
      <c r="Z40" s="109" t="n">
        <v>25</v>
      </c>
      <c r="AA40" s="109" t="n">
        <v>0.4</v>
      </c>
      <c r="AB40" s="109"/>
      <c r="AD40" s="1" t="n">
        <f aca="false">SUM(I40,K40:L40)</f>
        <v>971</v>
      </c>
      <c r="AE40" s="1" t="n">
        <f aca="false">1000-AD40</f>
        <v>29</v>
      </c>
    </row>
    <row r="41" customFormat="false" ht="15" hidden="false" customHeight="false" outlineLevel="0" collapsed="false">
      <c r="B41" s="104" t="n">
        <v>39</v>
      </c>
      <c r="C41" s="110" t="s">
        <v>546</v>
      </c>
      <c r="D41" s="106" t="n">
        <v>10.7</v>
      </c>
      <c r="E41" s="106" t="n">
        <v>74</v>
      </c>
      <c r="F41" s="106" t="n">
        <v>96</v>
      </c>
      <c r="G41" s="106" t="n">
        <v>180</v>
      </c>
      <c r="H41" s="106" t="n">
        <v>13.1</v>
      </c>
      <c r="I41" s="106" t="n">
        <v>225</v>
      </c>
      <c r="J41" s="106"/>
      <c r="K41" s="106" t="n">
        <v>90</v>
      </c>
      <c r="L41" s="106" t="n">
        <v>622</v>
      </c>
      <c r="M41" s="106" t="n">
        <v>80</v>
      </c>
      <c r="N41" s="106" t="n">
        <v>75</v>
      </c>
      <c r="O41" s="106" t="n">
        <v>52</v>
      </c>
      <c r="P41" s="106" t="n">
        <v>80</v>
      </c>
      <c r="Q41" s="106" t="n">
        <v>82</v>
      </c>
      <c r="R41" s="106" t="n">
        <v>65</v>
      </c>
      <c r="S41" s="106"/>
      <c r="T41" s="106" t="n">
        <v>25</v>
      </c>
      <c r="U41" s="106" t="n">
        <v>400</v>
      </c>
      <c r="V41" s="106" t="n">
        <v>40</v>
      </c>
      <c r="W41" s="106" t="n">
        <v>15</v>
      </c>
      <c r="X41" s="106" t="n">
        <v>3</v>
      </c>
      <c r="Y41" s="106" t="n">
        <v>2.8</v>
      </c>
      <c r="Z41" s="106" t="n">
        <v>25</v>
      </c>
      <c r="AA41" s="106" t="n">
        <v>0.4</v>
      </c>
      <c r="AB41" s="106"/>
      <c r="AD41" s="1" t="n">
        <f aca="false">SUM(I41,K41:L41)</f>
        <v>937</v>
      </c>
      <c r="AE41" s="1" t="n">
        <f aca="false">1000-AD41</f>
        <v>63</v>
      </c>
    </row>
    <row r="42" customFormat="false" ht="15" hidden="false" customHeight="false" outlineLevel="0" collapsed="false">
      <c r="B42" s="107" t="n">
        <v>40</v>
      </c>
      <c r="C42" s="111" t="s">
        <v>547</v>
      </c>
      <c r="D42" s="109" t="n">
        <v>10.7</v>
      </c>
      <c r="E42" s="109" t="n">
        <v>73</v>
      </c>
      <c r="F42" s="109" t="n">
        <v>128</v>
      </c>
      <c r="G42" s="109" t="n">
        <v>210</v>
      </c>
      <c r="H42" s="109" t="n">
        <v>13.2</v>
      </c>
      <c r="I42" s="109" t="n">
        <v>257</v>
      </c>
      <c r="J42" s="109"/>
      <c r="K42" s="109" t="n">
        <v>90</v>
      </c>
      <c r="L42" s="109" t="n">
        <v>575</v>
      </c>
      <c r="M42" s="109" t="n">
        <v>82</v>
      </c>
      <c r="N42" s="109" t="n">
        <v>75</v>
      </c>
      <c r="O42" s="109" t="n">
        <v>52</v>
      </c>
      <c r="P42" s="109" t="n">
        <v>80</v>
      </c>
      <c r="Q42" s="109" t="n">
        <v>82</v>
      </c>
      <c r="R42" s="109" t="n">
        <v>65</v>
      </c>
      <c r="S42" s="109"/>
      <c r="T42" s="109" t="n">
        <v>25</v>
      </c>
      <c r="U42" s="109" t="n">
        <v>400</v>
      </c>
      <c r="V42" s="109" t="n">
        <v>40</v>
      </c>
      <c r="W42" s="109" t="n">
        <v>15</v>
      </c>
      <c r="X42" s="109" t="n">
        <v>3</v>
      </c>
      <c r="Y42" s="109" t="n">
        <v>2.8</v>
      </c>
      <c r="Z42" s="109" t="n">
        <v>25</v>
      </c>
      <c r="AA42" s="109" t="n">
        <v>0.4</v>
      </c>
      <c r="AB42" s="109"/>
      <c r="AD42" s="1" t="n">
        <f aca="false">SUM(I42,K42:L42)</f>
        <v>922</v>
      </c>
      <c r="AE42" s="1" t="n">
        <f aca="false">1000-AD42</f>
        <v>78</v>
      </c>
    </row>
    <row r="43" customFormat="false" ht="15" hidden="false" customHeight="false" outlineLevel="0" collapsed="false">
      <c r="B43" s="104" t="n">
        <v>41</v>
      </c>
      <c r="C43" s="110" t="s">
        <v>548</v>
      </c>
      <c r="D43" s="106" t="n">
        <v>9.9</v>
      </c>
      <c r="E43" s="106" t="n">
        <v>70</v>
      </c>
      <c r="F43" s="106" t="n">
        <v>92</v>
      </c>
      <c r="G43" s="106" t="n">
        <v>170</v>
      </c>
      <c r="H43" s="106" t="n">
        <v>12.5</v>
      </c>
      <c r="I43" s="106" t="n">
        <v>214</v>
      </c>
      <c r="J43" s="106"/>
      <c r="K43" s="106" t="n">
        <v>90</v>
      </c>
      <c r="L43" s="106" t="n">
        <v>638</v>
      </c>
      <c r="M43" s="106" t="n">
        <v>79</v>
      </c>
      <c r="N43" s="106" t="n">
        <v>70</v>
      </c>
      <c r="O43" s="106" t="n">
        <v>47</v>
      </c>
      <c r="P43" s="106" t="n">
        <v>80</v>
      </c>
      <c r="Q43" s="106" t="n">
        <v>82</v>
      </c>
      <c r="R43" s="106" t="n">
        <v>65</v>
      </c>
      <c r="S43" s="106"/>
      <c r="T43" s="106" t="n">
        <v>25</v>
      </c>
      <c r="U43" s="106" t="n">
        <v>430</v>
      </c>
      <c r="V43" s="106" t="n">
        <v>70</v>
      </c>
      <c r="W43" s="106" t="n">
        <v>15</v>
      </c>
      <c r="X43" s="106" t="n">
        <v>3</v>
      </c>
      <c r="Y43" s="106" t="n">
        <v>2.8</v>
      </c>
      <c r="Z43" s="106" t="n">
        <v>25</v>
      </c>
      <c r="AA43" s="106" t="n">
        <v>0.4</v>
      </c>
      <c r="AB43" s="106"/>
      <c r="AD43" s="1" t="n">
        <f aca="false">SUM(I43,K43:L43)</f>
        <v>942</v>
      </c>
      <c r="AE43" s="1" t="n">
        <f aca="false">1000-AD43</f>
        <v>58</v>
      </c>
    </row>
    <row r="44" customFormat="false" ht="15" hidden="false" customHeight="false" outlineLevel="0" collapsed="false">
      <c r="B44" s="107" t="n">
        <v>42</v>
      </c>
      <c r="C44" s="111" t="s">
        <v>549</v>
      </c>
      <c r="D44" s="109" t="n">
        <v>9.9</v>
      </c>
      <c r="E44" s="109" t="n">
        <v>70</v>
      </c>
      <c r="F44" s="109" t="n">
        <v>71</v>
      </c>
      <c r="G44" s="109" t="n">
        <v>150</v>
      </c>
      <c r="H44" s="109" t="n">
        <v>12.4</v>
      </c>
      <c r="I44" s="109" t="n">
        <v>193</v>
      </c>
      <c r="J44" s="109"/>
      <c r="K44" s="109" t="n">
        <v>90</v>
      </c>
      <c r="L44" s="109" t="n">
        <v>668</v>
      </c>
      <c r="M44" s="109" t="n">
        <v>78</v>
      </c>
      <c r="N44" s="109" t="n">
        <v>70</v>
      </c>
      <c r="O44" s="109" t="n">
        <v>47</v>
      </c>
      <c r="P44" s="109" t="n">
        <v>80</v>
      </c>
      <c r="Q44" s="109" t="n">
        <v>82</v>
      </c>
      <c r="R44" s="109" t="n">
        <v>65</v>
      </c>
      <c r="S44" s="109"/>
      <c r="T44" s="109" t="n">
        <v>25</v>
      </c>
      <c r="U44" s="109" t="n">
        <v>430</v>
      </c>
      <c r="V44" s="109" t="n">
        <v>70</v>
      </c>
      <c r="W44" s="109" t="n">
        <v>15</v>
      </c>
      <c r="X44" s="109" t="n">
        <v>3</v>
      </c>
      <c r="Y44" s="109" t="n">
        <v>2.8</v>
      </c>
      <c r="Z44" s="109" t="n">
        <v>25</v>
      </c>
      <c r="AA44" s="109" t="n">
        <v>0.4</v>
      </c>
      <c r="AB44" s="109"/>
      <c r="AD44" s="1" t="n">
        <f aca="false">SUM(I44,K44:L44)</f>
        <v>951</v>
      </c>
      <c r="AE44" s="1" t="n">
        <f aca="false">1000-AD44</f>
        <v>49</v>
      </c>
    </row>
    <row r="45" customFormat="false" ht="15" hidden="false" customHeight="false" outlineLevel="0" collapsed="false">
      <c r="B45" s="104" t="n">
        <v>43</v>
      </c>
      <c r="C45" s="110" t="s">
        <v>550</v>
      </c>
      <c r="D45" s="106" t="n">
        <v>9.5</v>
      </c>
      <c r="E45" s="106" t="n">
        <v>68</v>
      </c>
      <c r="F45" s="106" t="n">
        <v>64</v>
      </c>
      <c r="G45" s="106" t="n">
        <v>140</v>
      </c>
      <c r="H45" s="106" t="n">
        <v>12</v>
      </c>
      <c r="I45" s="106" t="n">
        <v>182</v>
      </c>
      <c r="J45" s="106"/>
      <c r="K45" s="106" t="n">
        <v>90</v>
      </c>
      <c r="L45" s="106" t="n">
        <v>684</v>
      </c>
      <c r="M45" s="106" t="n">
        <v>77</v>
      </c>
      <c r="N45" s="106" t="n">
        <v>67</v>
      </c>
      <c r="O45" s="106" t="n">
        <v>44</v>
      </c>
      <c r="P45" s="106" t="n">
        <v>80</v>
      </c>
      <c r="Q45" s="106" t="n">
        <v>82</v>
      </c>
      <c r="R45" s="106" t="n">
        <v>65</v>
      </c>
      <c r="S45" s="106"/>
      <c r="T45" s="106" t="n">
        <v>25</v>
      </c>
      <c r="U45" s="106" t="n">
        <v>460</v>
      </c>
      <c r="V45" s="106" t="n">
        <v>80</v>
      </c>
      <c r="W45" s="106" t="n">
        <v>15</v>
      </c>
      <c r="X45" s="106" t="n">
        <v>3</v>
      </c>
      <c r="Y45" s="106" t="n">
        <v>2.8</v>
      </c>
      <c r="Z45" s="106" t="n">
        <v>25</v>
      </c>
      <c r="AA45" s="106" t="n">
        <v>0.4</v>
      </c>
      <c r="AB45" s="106"/>
      <c r="AD45" s="1" t="n">
        <f aca="false">SUM(I45,K45:L45)</f>
        <v>956</v>
      </c>
      <c r="AE45" s="1" t="n">
        <f aca="false">1000-AD45</f>
        <v>44</v>
      </c>
    </row>
    <row r="46" customFormat="false" ht="15" hidden="false" customHeight="false" outlineLevel="0" collapsed="false">
      <c r="B46" s="107" t="n">
        <v>44</v>
      </c>
      <c r="C46" s="111" t="s">
        <v>551</v>
      </c>
      <c r="D46" s="109" t="n">
        <v>9.3</v>
      </c>
      <c r="E46" s="109" t="n">
        <v>67</v>
      </c>
      <c r="F46" s="109" t="n">
        <v>45</v>
      </c>
      <c r="G46" s="109" t="n">
        <v>120</v>
      </c>
      <c r="H46" s="109" t="n">
        <v>11.7</v>
      </c>
      <c r="I46" s="109" t="n">
        <v>161</v>
      </c>
      <c r="J46" s="109"/>
      <c r="K46" s="109" t="n">
        <v>90</v>
      </c>
      <c r="L46" s="109" t="n">
        <v>715</v>
      </c>
      <c r="M46" s="109" t="n">
        <v>74</v>
      </c>
      <c r="N46" s="109" t="n">
        <v>66</v>
      </c>
      <c r="O46" s="109" t="n">
        <v>43</v>
      </c>
      <c r="P46" s="109" t="n">
        <v>80</v>
      </c>
      <c r="Q46" s="109" t="n">
        <v>82</v>
      </c>
      <c r="R46" s="109" t="n">
        <v>65</v>
      </c>
      <c r="S46" s="109"/>
      <c r="T46" s="109" t="n">
        <v>25</v>
      </c>
      <c r="U46" s="109" t="n">
        <v>460</v>
      </c>
      <c r="V46" s="109" t="n">
        <v>80</v>
      </c>
      <c r="W46" s="109" t="n">
        <v>15</v>
      </c>
      <c r="X46" s="109" t="n">
        <v>3</v>
      </c>
      <c r="Y46" s="109" t="n">
        <v>2.8</v>
      </c>
      <c r="Z46" s="109" t="n">
        <v>25</v>
      </c>
      <c r="AA46" s="109" t="n">
        <v>0.4</v>
      </c>
      <c r="AB46" s="109"/>
      <c r="AD46" s="1" t="n">
        <f aca="false">SUM(I46,K46:L46)</f>
        <v>966</v>
      </c>
      <c r="AE46" s="1" t="n">
        <f aca="false">1000-AD46</f>
        <v>34</v>
      </c>
    </row>
    <row r="47" customFormat="false" ht="15" hidden="false" customHeight="false" outlineLevel="0" collapsed="false">
      <c r="B47" s="104" t="n">
        <v>45</v>
      </c>
      <c r="C47" s="110" t="s">
        <v>552</v>
      </c>
      <c r="D47" s="106" t="n">
        <v>10.4</v>
      </c>
      <c r="E47" s="106" t="n">
        <v>72</v>
      </c>
      <c r="F47" s="106" t="n">
        <v>130</v>
      </c>
      <c r="G47" s="106" t="n">
        <v>210</v>
      </c>
      <c r="H47" s="106" t="n">
        <v>13</v>
      </c>
      <c r="I47" s="106" t="n">
        <v>257</v>
      </c>
      <c r="J47" s="106"/>
      <c r="K47" s="106" t="n">
        <v>90</v>
      </c>
      <c r="L47" s="106" t="n">
        <v>575</v>
      </c>
      <c r="M47" s="106" t="n">
        <v>82</v>
      </c>
      <c r="N47" s="106" t="n">
        <v>73</v>
      </c>
      <c r="O47" s="106" t="n">
        <v>50</v>
      </c>
      <c r="P47" s="106" t="n">
        <v>80</v>
      </c>
      <c r="Q47" s="106" t="n">
        <v>82</v>
      </c>
      <c r="R47" s="106" t="n">
        <v>65</v>
      </c>
      <c r="S47" s="106"/>
      <c r="T47" s="106" t="n">
        <v>25</v>
      </c>
      <c r="U47" s="106" t="n">
        <v>400</v>
      </c>
      <c r="V47" s="106" t="n">
        <v>40</v>
      </c>
      <c r="W47" s="106" t="n">
        <v>15</v>
      </c>
      <c r="X47" s="106" t="n">
        <v>3</v>
      </c>
      <c r="Y47" s="106" t="n">
        <v>2.8</v>
      </c>
      <c r="Z47" s="106" t="n">
        <v>25</v>
      </c>
      <c r="AA47" s="106" t="n">
        <v>0.4</v>
      </c>
      <c r="AB47" s="106"/>
      <c r="AD47" s="1" t="n">
        <f aca="false">SUM(I47,K47:L47)</f>
        <v>922</v>
      </c>
      <c r="AE47" s="1" t="n">
        <f aca="false">1000-AD47</f>
        <v>78</v>
      </c>
    </row>
    <row r="48" customFormat="false" ht="15" hidden="false" customHeight="false" outlineLevel="0" collapsed="false">
      <c r="B48" s="107" t="n">
        <v>46</v>
      </c>
      <c r="C48" s="111" t="s">
        <v>553</v>
      </c>
      <c r="D48" s="109" t="n">
        <v>10.4</v>
      </c>
      <c r="E48" s="109" t="n">
        <v>72</v>
      </c>
      <c r="F48" s="109" t="n">
        <v>99</v>
      </c>
      <c r="G48" s="109" t="n">
        <v>180</v>
      </c>
      <c r="H48" s="109" t="n">
        <v>12.9</v>
      </c>
      <c r="I48" s="109" t="n">
        <v>225</v>
      </c>
      <c r="J48" s="109"/>
      <c r="K48" s="109" t="n">
        <v>90</v>
      </c>
      <c r="L48" s="109" t="n">
        <v>622</v>
      </c>
      <c r="M48" s="109" t="n">
        <v>80</v>
      </c>
      <c r="N48" s="109" t="n">
        <v>73</v>
      </c>
      <c r="O48" s="109" t="n">
        <v>50</v>
      </c>
      <c r="P48" s="109" t="n">
        <v>80</v>
      </c>
      <c r="Q48" s="109" t="n">
        <v>82</v>
      </c>
      <c r="R48" s="109" t="n">
        <v>65</v>
      </c>
      <c r="S48" s="109"/>
      <c r="T48" s="109" t="n">
        <v>25</v>
      </c>
      <c r="U48" s="109" t="n">
        <v>400</v>
      </c>
      <c r="V48" s="109" t="n">
        <v>40</v>
      </c>
      <c r="W48" s="109" t="n">
        <v>15</v>
      </c>
      <c r="X48" s="109" t="n">
        <v>3</v>
      </c>
      <c r="Y48" s="109" t="n">
        <v>2.8</v>
      </c>
      <c r="Z48" s="109" t="n">
        <v>25</v>
      </c>
      <c r="AA48" s="109" t="n">
        <v>0.4</v>
      </c>
      <c r="AB48" s="109"/>
      <c r="AD48" s="1" t="n">
        <f aca="false">SUM(I48,K48:L48)</f>
        <v>937</v>
      </c>
      <c r="AE48" s="1" t="n">
        <f aca="false">1000-AD48</f>
        <v>63</v>
      </c>
    </row>
    <row r="49" customFormat="false" ht="15" hidden="false" customHeight="false" outlineLevel="0" collapsed="false">
      <c r="B49" s="104" t="n">
        <v>47</v>
      </c>
      <c r="C49" s="110" t="s">
        <v>554</v>
      </c>
      <c r="D49" s="106" t="n">
        <v>10.2</v>
      </c>
      <c r="E49" s="106" t="n">
        <v>72</v>
      </c>
      <c r="F49" s="106" t="n">
        <v>26</v>
      </c>
      <c r="G49" s="106" t="n">
        <v>110</v>
      </c>
      <c r="H49" s="106" t="n">
        <v>12.4</v>
      </c>
      <c r="I49" s="106" t="n">
        <v>150</v>
      </c>
      <c r="J49" s="106"/>
      <c r="K49" s="106" t="n">
        <v>80</v>
      </c>
      <c r="L49" s="106" t="n">
        <v>731</v>
      </c>
      <c r="M49" s="106" t="n">
        <v>73</v>
      </c>
      <c r="N49" s="106" t="n">
        <v>72</v>
      </c>
      <c r="O49" s="106" t="n">
        <v>49</v>
      </c>
      <c r="P49" s="106" t="n">
        <v>80</v>
      </c>
      <c r="Q49" s="106" t="n">
        <v>82</v>
      </c>
      <c r="R49" s="106" t="n">
        <v>110</v>
      </c>
      <c r="S49" s="106" t="n">
        <v>32</v>
      </c>
      <c r="T49" s="106" t="n">
        <v>0</v>
      </c>
      <c r="U49" s="106" t="n">
        <v>610</v>
      </c>
      <c r="V49" s="106" t="n">
        <v>40</v>
      </c>
      <c r="W49" s="106" t="n">
        <v>6</v>
      </c>
      <c r="X49" s="106" t="n">
        <v>3.5</v>
      </c>
      <c r="Y49" s="106" t="n">
        <v>1.4</v>
      </c>
      <c r="Z49" s="106" t="n">
        <v>27</v>
      </c>
      <c r="AA49" s="106" t="n">
        <v>1.5</v>
      </c>
      <c r="AB49" s="106"/>
      <c r="AD49" s="1" t="n">
        <f aca="false">SUM(I49,K49:L49)</f>
        <v>961</v>
      </c>
      <c r="AE49" s="1" t="n">
        <f aca="false">1000-AD49</f>
        <v>39</v>
      </c>
    </row>
    <row r="50" customFormat="false" ht="15" hidden="false" customHeight="false" outlineLevel="0" collapsed="false">
      <c r="B50" s="107" t="n">
        <v>48</v>
      </c>
      <c r="C50" s="111" t="s">
        <v>555</v>
      </c>
      <c r="D50" s="109" t="n">
        <v>10.2</v>
      </c>
      <c r="E50" s="109" t="n">
        <v>72</v>
      </c>
      <c r="F50" s="109" t="n">
        <v>-15</v>
      </c>
      <c r="G50" s="109" t="n">
        <v>70</v>
      </c>
      <c r="H50" s="109" t="n">
        <v>12.2</v>
      </c>
      <c r="I50" s="109" t="n">
        <v>108</v>
      </c>
      <c r="J50" s="109"/>
      <c r="K50" s="109" t="n">
        <v>80</v>
      </c>
      <c r="L50" s="109" t="n">
        <v>792</v>
      </c>
      <c r="M50" s="109" t="n">
        <v>65</v>
      </c>
      <c r="N50" s="109" t="n">
        <v>72</v>
      </c>
      <c r="O50" s="109" t="n">
        <v>49</v>
      </c>
      <c r="P50" s="109" t="n">
        <v>80</v>
      </c>
      <c r="Q50" s="109" t="n">
        <v>82</v>
      </c>
      <c r="R50" s="109" t="n">
        <v>110</v>
      </c>
      <c r="S50" s="109" t="n">
        <v>32</v>
      </c>
      <c r="T50" s="109" t="n">
        <v>0</v>
      </c>
      <c r="U50" s="109" t="n">
        <v>610</v>
      </c>
      <c r="V50" s="109" t="n">
        <v>40</v>
      </c>
      <c r="W50" s="109" t="n">
        <v>6</v>
      </c>
      <c r="X50" s="109" t="n">
        <v>3.5</v>
      </c>
      <c r="Y50" s="109" t="n">
        <v>1.4</v>
      </c>
      <c r="Z50" s="109" t="n">
        <v>27</v>
      </c>
      <c r="AA50" s="109" t="n">
        <v>1.5</v>
      </c>
      <c r="AB50" s="109"/>
      <c r="AD50" s="1" t="n">
        <f aca="false">SUM(I50,K50:L50)</f>
        <v>980</v>
      </c>
      <c r="AE50" s="1" t="n">
        <f aca="false">1000-AD50</f>
        <v>20</v>
      </c>
    </row>
    <row r="51" customFormat="false" ht="15" hidden="false" customHeight="false" outlineLevel="0" collapsed="false">
      <c r="B51" s="104" t="n">
        <v>49</v>
      </c>
      <c r="C51" s="110" t="s">
        <v>556</v>
      </c>
      <c r="D51" s="106" t="n">
        <v>9.5</v>
      </c>
      <c r="E51" s="106" t="n">
        <v>68</v>
      </c>
      <c r="F51" s="106" t="n">
        <v>-9</v>
      </c>
      <c r="G51" s="106" t="n">
        <v>70</v>
      </c>
      <c r="H51" s="106" t="n">
        <v>11.6</v>
      </c>
      <c r="I51" s="106" t="n">
        <v>108</v>
      </c>
      <c r="J51" s="106"/>
      <c r="K51" s="106" t="n">
        <v>80</v>
      </c>
      <c r="L51" s="106" t="n">
        <v>792</v>
      </c>
      <c r="M51" s="106" t="n">
        <v>65</v>
      </c>
      <c r="N51" s="106" t="n">
        <v>67</v>
      </c>
      <c r="O51" s="106" t="n">
        <v>44</v>
      </c>
      <c r="P51" s="106" t="n">
        <v>80</v>
      </c>
      <c r="Q51" s="106" t="n">
        <v>82</v>
      </c>
      <c r="R51" s="106" t="n">
        <v>110</v>
      </c>
      <c r="S51" s="106"/>
      <c r="T51" s="106" t="n">
        <v>0</v>
      </c>
      <c r="U51" s="106" t="n">
        <v>670</v>
      </c>
      <c r="V51" s="106" t="n">
        <v>50</v>
      </c>
      <c r="W51" s="106" t="n">
        <v>6</v>
      </c>
      <c r="X51" s="106" t="n">
        <v>3.5</v>
      </c>
      <c r="Y51" s="106" t="n">
        <v>1.4</v>
      </c>
      <c r="Z51" s="106" t="n">
        <v>27</v>
      </c>
      <c r="AA51" s="106" t="n">
        <v>1.5</v>
      </c>
      <c r="AB51" s="106"/>
      <c r="AD51" s="1" t="n">
        <f aca="false">SUM(I51,K51:L51)</f>
        <v>980</v>
      </c>
      <c r="AE51" s="1" t="n">
        <f aca="false">1000-AD51</f>
        <v>20</v>
      </c>
    </row>
    <row r="52" customFormat="false" ht="15" hidden="false" customHeight="false" outlineLevel="0" collapsed="false">
      <c r="B52" s="107" t="n">
        <v>50</v>
      </c>
      <c r="C52" s="111" t="s">
        <v>557</v>
      </c>
      <c r="D52" s="109" t="n">
        <v>9.5</v>
      </c>
      <c r="E52" s="109" t="n">
        <v>68</v>
      </c>
      <c r="F52" s="109" t="n">
        <v>-40</v>
      </c>
      <c r="G52" s="109" t="n">
        <v>40</v>
      </c>
      <c r="H52" s="109" t="n">
        <v>11.4</v>
      </c>
      <c r="I52" s="109" t="n">
        <v>76</v>
      </c>
      <c r="J52" s="109"/>
      <c r="K52" s="109" t="n">
        <v>80</v>
      </c>
      <c r="L52" s="109" t="n">
        <v>839</v>
      </c>
      <c r="M52" s="109" t="n">
        <v>53</v>
      </c>
      <c r="N52" s="109" t="n">
        <v>67</v>
      </c>
      <c r="O52" s="109" t="n">
        <v>44</v>
      </c>
      <c r="P52" s="109" t="n">
        <v>80</v>
      </c>
      <c r="Q52" s="109" t="n">
        <v>82</v>
      </c>
      <c r="R52" s="109" t="n">
        <v>110</v>
      </c>
      <c r="S52" s="109"/>
      <c r="T52" s="109" t="n">
        <v>0</v>
      </c>
      <c r="U52" s="109" t="n">
        <v>670</v>
      </c>
      <c r="V52" s="109" t="n">
        <v>50</v>
      </c>
      <c r="W52" s="109" t="n">
        <v>6</v>
      </c>
      <c r="X52" s="109" t="n">
        <v>3.5</v>
      </c>
      <c r="Y52" s="109" t="n">
        <v>1.4</v>
      </c>
      <c r="Z52" s="109" t="n">
        <v>27</v>
      </c>
      <c r="AA52" s="109" t="n">
        <v>1.5</v>
      </c>
      <c r="AB52" s="109"/>
      <c r="AD52" s="1" t="n">
        <f aca="false">SUM(I52,K52:L52)</f>
        <v>995</v>
      </c>
      <c r="AE52" s="1" t="n">
        <f aca="false">1000-AD52</f>
        <v>5</v>
      </c>
    </row>
    <row r="53" customFormat="false" ht="15" hidden="false" customHeight="false" outlineLevel="0" collapsed="false">
      <c r="B53" s="104" t="n">
        <v>51</v>
      </c>
      <c r="C53" s="110" t="s">
        <v>558</v>
      </c>
      <c r="D53" s="106" t="n">
        <v>11</v>
      </c>
      <c r="E53" s="106" t="n">
        <v>76</v>
      </c>
      <c r="F53" s="106" t="n">
        <v>19</v>
      </c>
      <c r="G53" s="106" t="n">
        <v>110</v>
      </c>
      <c r="H53" s="106" t="n">
        <v>13.1</v>
      </c>
      <c r="I53" s="106" t="n">
        <v>150</v>
      </c>
      <c r="J53" s="106"/>
      <c r="K53" s="106" t="n">
        <v>80</v>
      </c>
      <c r="L53" s="106" t="n">
        <v>731</v>
      </c>
      <c r="M53" s="106" t="n">
        <v>73</v>
      </c>
      <c r="N53" s="106" t="n">
        <v>77</v>
      </c>
      <c r="O53" s="106" t="n">
        <v>54</v>
      </c>
      <c r="P53" s="106" t="n">
        <v>80</v>
      </c>
      <c r="Q53" s="106" t="n">
        <v>82</v>
      </c>
      <c r="R53" s="106" t="n">
        <v>110</v>
      </c>
      <c r="S53" s="106"/>
      <c r="T53" s="106" t="n">
        <v>0</v>
      </c>
      <c r="U53" s="106" t="n">
        <v>550</v>
      </c>
      <c r="V53" s="106" t="n">
        <v>30</v>
      </c>
      <c r="W53" s="106" t="n">
        <v>6</v>
      </c>
      <c r="X53" s="106" t="n">
        <v>3.5</v>
      </c>
      <c r="Y53" s="106" t="n">
        <v>1.4</v>
      </c>
      <c r="Z53" s="106" t="n">
        <v>27</v>
      </c>
      <c r="AA53" s="106" t="n">
        <v>1.5</v>
      </c>
      <c r="AB53" s="106"/>
      <c r="AD53" s="1" t="n">
        <f aca="false">SUM(I53,K53:L53)</f>
        <v>961</v>
      </c>
      <c r="AE53" s="1" t="n">
        <f aca="false">1000-AD53</f>
        <v>39</v>
      </c>
    </row>
    <row r="54" customFormat="false" ht="15" hidden="false" customHeight="false" outlineLevel="0" collapsed="false">
      <c r="B54" s="107" t="n">
        <v>52</v>
      </c>
      <c r="C54" s="111" t="s">
        <v>559</v>
      </c>
      <c r="D54" s="109" t="n">
        <v>11</v>
      </c>
      <c r="E54" s="109" t="n">
        <v>76</v>
      </c>
      <c r="F54" s="109" t="n">
        <v>62</v>
      </c>
      <c r="G54" s="109" t="n">
        <v>150</v>
      </c>
      <c r="H54" s="109" t="n">
        <v>13.2</v>
      </c>
      <c r="I54" s="109" t="n">
        <v>193</v>
      </c>
      <c r="J54" s="109"/>
      <c r="K54" s="109" t="n">
        <v>80</v>
      </c>
      <c r="L54" s="109" t="n">
        <v>668</v>
      </c>
      <c r="M54" s="109" t="n">
        <v>78</v>
      </c>
      <c r="N54" s="109" t="n">
        <v>77</v>
      </c>
      <c r="O54" s="109" t="n">
        <v>54</v>
      </c>
      <c r="P54" s="109" t="n">
        <v>80</v>
      </c>
      <c r="Q54" s="109" t="n">
        <v>82</v>
      </c>
      <c r="R54" s="109" t="n">
        <v>110</v>
      </c>
      <c r="S54" s="109"/>
      <c r="T54" s="109" t="n">
        <v>0</v>
      </c>
      <c r="U54" s="109" t="n">
        <v>550</v>
      </c>
      <c r="V54" s="109" t="n">
        <v>30</v>
      </c>
      <c r="W54" s="109" t="n">
        <v>6</v>
      </c>
      <c r="X54" s="109" t="n">
        <v>3.5</v>
      </c>
      <c r="Y54" s="109" t="n">
        <v>1.4</v>
      </c>
      <c r="Z54" s="109" t="n">
        <v>27</v>
      </c>
      <c r="AA54" s="109" t="n">
        <v>1.5</v>
      </c>
      <c r="AB54" s="109"/>
      <c r="AD54" s="1" t="n">
        <f aca="false">SUM(I54,K54:L54)</f>
        <v>941</v>
      </c>
      <c r="AE54" s="1" t="n">
        <f aca="false">1000-AD54</f>
        <v>59</v>
      </c>
    </row>
    <row r="55" customFormat="false" ht="15" hidden="false" customHeight="false" outlineLevel="0" collapsed="false">
      <c r="B55" s="104" t="n">
        <v>53</v>
      </c>
      <c r="C55" s="110" t="s">
        <v>560</v>
      </c>
      <c r="D55" s="106" t="n">
        <v>10.6</v>
      </c>
      <c r="E55" s="106" t="n">
        <v>74</v>
      </c>
      <c r="F55" s="106" t="n">
        <v>23</v>
      </c>
      <c r="G55" s="106" t="n">
        <v>110</v>
      </c>
      <c r="H55" s="106" t="n">
        <v>12.8</v>
      </c>
      <c r="I55" s="106" t="n">
        <v>150</v>
      </c>
      <c r="J55" s="106"/>
      <c r="K55" s="106" t="n">
        <v>80</v>
      </c>
      <c r="L55" s="106" t="n">
        <v>731</v>
      </c>
      <c r="M55" s="106" t="n">
        <v>73</v>
      </c>
      <c r="N55" s="106" t="n">
        <v>74</v>
      </c>
      <c r="O55" s="106" t="n">
        <v>52</v>
      </c>
      <c r="P55" s="106" t="n">
        <v>80</v>
      </c>
      <c r="Q55" s="106" t="n">
        <v>82</v>
      </c>
      <c r="R55" s="106" t="n">
        <v>110</v>
      </c>
      <c r="S55" s="106"/>
      <c r="T55" s="106" t="n">
        <v>0</v>
      </c>
      <c r="U55" s="106" t="n">
        <v>610</v>
      </c>
      <c r="V55" s="106" t="n">
        <v>40</v>
      </c>
      <c r="W55" s="106" t="n">
        <v>6</v>
      </c>
      <c r="X55" s="106" t="n">
        <v>3.5</v>
      </c>
      <c r="Y55" s="106" t="n">
        <v>1.4</v>
      </c>
      <c r="Z55" s="106" t="n">
        <v>27</v>
      </c>
      <c r="AA55" s="106" t="n">
        <v>1.5</v>
      </c>
      <c r="AB55" s="106"/>
      <c r="AD55" s="1" t="n">
        <f aca="false">SUM(I55,K55:L55)</f>
        <v>961</v>
      </c>
      <c r="AE55" s="1" t="n">
        <f aca="false">1000-AD55</f>
        <v>39</v>
      </c>
    </row>
    <row r="56" customFormat="false" ht="15" hidden="false" customHeight="false" outlineLevel="0" collapsed="false">
      <c r="B56" s="107" t="n">
        <v>54</v>
      </c>
      <c r="C56" s="111" t="s">
        <v>561</v>
      </c>
      <c r="D56" s="109" t="n">
        <v>10.6</v>
      </c>
      <c r="E56" s="109" t="n">
        <v>74</v>
      </c>
      <c r="F56" s="109" t="n">
        <v>-19</v>
      </c>
      <c r="G56" s="109" t="n">
        <v>70</v>
      </c>
      <c r="H56" s="109" t="n">
        <v>12.6</v>
      </c>
      <c r="I56" s="109" t="n">
        <v>108</v>
      </c>
      <c r="J56" s="109"/>
      <c r="K56" s="109" t="n">
        <v>80</v>
      </c>
      <c r="L56" s="109" t="n">
        <v>792</v>
      </c>
      <c r="M56" s="109" t="n">
        <v>65</v>
      </c>
      <c r="N56" s="109" t="n">
        <v>74</v>
      </c>
      <c r="O56" s="109" t="n">
        <v>52</v>
      </c>
      <c r="P56" s="109" t="n">
        <v>80</v>
      </c>
      <c r="Q56" s="109" t="n">
        <v>82</v>
      </c>
      <c r="R56" s="109" t="n">
        <v>110</v>
      </c>
      <c r="S56" s="109"/>
      <c r="T56" s="109" t="n">
        <v>0</v>
      </c>
      <c r="U56" s="109" t="n">
        <v>610</v>
      </c>
      <c r="V56" s="109" t="n">
        <v>40</v>
      </c>
      <c r="W56" s="109" t="n">
        <v>6</v>
      </c>
      <c r="X56" s="109" t="n">
        <v>3.5</v>
      </c>
      <c r="Y56" s="109" t="n">
        <v>1.4</v>
      </c>
      <c r="Z56" s="109" t="n">
        <v>27</v>
      </c>
      <c r="AA56" s="109" t="n">
        <v>1.5</v>
      </c>
      <c r="AB56" s="109"/>
      <c r="AD56" s="1" t="n">
        <f aca="false">SUM(I56,K56:L56)</f>
        <v>980</v>
      </c>
      <c r="AE56" s="1" t="n">
        <f aca="false">1000-AD56</f>
        <v>20</v>
      </c>
    </row>
    <row r="57" customFormat="false" ht="15" hidden="false" customHeight="false" outlineLevel="0" collapsed="false">
      <c r="B57" s="104" t="n">
        <v>55</v>
      </c>
      <c r="C57" s="110" t="s">
        <v>562</v>
      </c>
      <c r="D57" s="106" t="n">
        <v>10.2</v>
      </c>
      <c r="E57" s="106" t="n">
        <v>72</v>
      </c>
      <c r="F57" s="106" t="n">
        <v>-15</v>
      </c>
      <c r="G57" s="106" t="n">
        <v>70</v>
      </c>
      <c r="H57" s="106" t="n">
        <v>12.2</v>
      </c>
      <c r="I57" s="106" t="n">
        <v>108</v>
      </c>
      <c r="J57" s="106"/>
      <c r="K57" s="106" t="n">
        <v>80</v>
      </c>
      <c r="L57" s="106" t="n">
        <v>792</v>
      </c>
      <c r="M57" s="106" t="n">
        <v>65</v>
      </c>
      <c r="N57" s="106" t="n">
        <v>72</v>
      </c>
      <c r="O57" s="106" t="n">
        <v>49</v>
      </c>
      <c r="P57" s="106" t="n">
        <v>80</v>
      </c>
      <c r="Q57" s="106" t="n">
        <v>82</v>
      </c>
      <c r="R57" s="106" t="n">
        <v>110</v>
      </c>
      <c r="S57" s="106"/>
      <c r="T57" s="106" t="n">
        <v>0</v>
      </c>
      <c r="U57" s="106" t="n">
        <v>670</v>
      </c>
      <c r="V57" s="106" t="n">
        <v>50</v>
      </c>
      <c r="W57" s="106" t="n">
        <v>6</v>
      </c>
      <c r="X57" s="106" t="n">
        <v>3.5</v>
      </c>
      <c r="Y57" s="106" t="n">
        <v>1.4</v>
      </c>
      <c r="Z57" s="106" t="n">
        <v>27</v>
      </c>
      <c r="AA57" s="106" t="n">
        <v>1.5</v>
      </c>
      <c r="AB57" s="106"/>
      <c r="AD57" s="1" t="n">
        <f aca="false">SUM(I57,K57:L57)</f>
        <v>980</v>
      </c>
      <c r="AE57" s="1" t="n">
        <f aca="false">1000-AD57</f>
        <v>20</v>
      </c>
    </row>
    <row r="58" customFormat="false" ht="15" hidden="false" customHeight="false" outlineLevel="0" collapsed="false">
      <c r="B58" s="107" t="n">
        <v>56</v>
      </c>
      <c r="C58" s="111" t="s">
        <v>563</v>
      </c>
      <c r="D58" s="109" t="n">
        <v>10.2</v>
      </c>
      <c r="E58" s="109" t="n">
        <v>72</v>
      </c>
      <c r="F58" s="109" t="n">
        <v>-47</v>
      </c>
      <c r="G58" s="109" t="n">
        <v>40</v>
      </c>
      <c r="H58" s="109" t="n">
        <v>12.1</v>
      </c>
      <c r="I58" s="109" t="n">
        <v>76</v>
      </c>
      <c r="J58" s="109"/>
      <c r="K58" s="109" t="n">
        <v>80</v>
      </c>
      <c r="L58" s="109" t="n">
        <v>839</v>
      </c>
      <c r="M58" s="109" t="n">
        <v>53</v>
      </c>
      <c r="N58" s="109" t="n">
        <v>72</v>
      </c>
      <c r="O58" s="109" t="n">
        <v>49</v>
      </c>
      <c r="P58" s="109" t="n">
        <v>80</v>
      </c>
      <c r="Q58" s="109" t="n">
        <v>82</v>
      </c>
      <c r="R58" s="109" t="n">
        <v>110</v>
      </c>
      <c r="S58" s="109"/>
      <c r="T58" s="109" t="n">
        <v>0</v>
      </c>
      <c r="U58" s="109" t="n">
        <v>670</v>
      </c>
      <c r="V58" s="109" t="n">
        <v>50</v>
      </c>
      <c r="W58" s="109" t="n">
        <v>6</v>
      </c>
      <c r="X58" s="109" t="n">
        <v>3.5</v>
      </c>
      <c r="Y58" s="109" t="n">
        <v>1.4</v>
      </c>
      <c r="Z58" s="109" t="n">
        <v>27</v>
      </c>
      <c r="AA58" s="109" t="n">
        <v>1.5</v>
      </c>
      <c r="AB58" s="109"/>
      <c r="AD58" s="1" t="n">
        <f aca="false">SUM(I58,K58:L58)</f>
        <v>995</v>
      </c>
      <c r="AE58" s="1" t="n">
        <f aca="false">1000-AD58</f>
        <v>5</v>
      </c>
    </row>
    <row r="59" customFormat="false" ht="15" hidden="false" customHeight="false" outlineLevel="0" collapsed="false">
      <c r="B59" s="104" t="n">
        <v>57</v>
      </c>
      <c r="C59" s="110" t="s">
        <v>564</v>
      </c>
      <c r="D59" s="106" t="n">
        <v>11</v>
      </c>
      <c r="E59" s="106" t="n">
        <v>76</v>
      </c>
      <c r="F59" s="106" t="n">
        <v>62</v>
      </c>
      <c r="G59" s="106" t="n">
        <v>150</v>
      </c>
      <c r="H59" s="106" t="n">
        <v>13.2</v>
      </c>
      <c r="I59" s="106" t="n">
        <v>193</v>
      </c>
      <c r="J59" s="106"/>
      <c r="K59" s="106" t="n">
        <v>80</v>
      </c>
      <c r="L59" s="106" t="n">
        <v>668</v>
      </c>
      <c r="M59" s="106" t="n">
        <v>78</v>
      </c>
      <c r="N59" s="106" t="n">
        <v>77</v>
      </c>
      <c r="O59" s="106" t="n">
        <v>54</v>
      </c>
      <c r="P59" s="106" t="n">
        <v>80</v>
      </c>
      <c r="Q59" s="106" t="n">
        <v>82</v>
      </c>
      <c r="R59" s="106" t="n">
        <v>110</v>
      </c>
      <c r="S59" s="106"/>
      <c r="T59" s="106" t="n">
        <v>0</v>
      </c>
      <c r="U59" s="106" t="n">
        <v>550</v>
      </c>
      <c r="V59" s="106" t="n">
        <v>30</v>
      </c>
      <c r="W59" s="106" t="n">
        <v>6</v>
      </c>
      <c r="X59" s="106" t="n">
        <v>3.5</v>
      </c>
      <c r="Y59" s="106" t="n">
        <v>1.4</v>
      </c>
      <c r="Z59" s="106" t="n">
        <v>27</v>
      </c>
      <c r="AA59" s="106" t="n">
        <v>1.5</v>
      </c>
      <c r="AB59" s="106"/>
      <c r="AD59" s="1" t="n">
        <f aca="false">SUM(I59,K59:L59)</f>
        <v>941</v>
      </c>
      <c r="AE59" s="1" t="n">
        <f aca="false">1000-AD59</f>
        <v>59</v>
      </c>
    </row>
    <row r="60" customFormat="false" ht="15" hidden="false" customHeight="false" outlineLevel="0" collapsed="false">
      <c r="B60" s="107" t="n">
        <v>58</v>
      </c>
      <c r="C60" s="111" t="s">
        <v>565</v>
      </c>
      <c r="D60" s="109" t="n">
        <v>11</v>
      </c>
      <c r="E60" s="109" t="n">
        <v>76</v>
      </c>
      <c r="F60" s="109" t="n">
        <v>19</v>
      </c>
      <c r="G60" s="109" t="n">
        <v>110</v>
      </c>
      <c r="H60" s="109" t="n">
        <v>13.1</v>
      </c>
      <c r="I60" s="109" t="n">
        <v>150</v>
      </c>
      <c r="J60" s="109"/>
      <c r="K60" s="109" t="n">
        <v>80</v>
      </c>
      <c r="L60" s="109" t="n">
        <v>731</v>
      </c>
      <c r="M60" s="109" t="n">
        <v>73</v>
      </c>
      <c r="N60" s="109" t="n">
        <v>77</v>
      </c>
      <c r="O60" s="109" t="n">
        <v>54</v>
      </c>
      <c r="P60" s="109" t="n">
        <v>80</v>
      </c>
      <c r="Q60" s="109" t="n">
        <v>82</v>
      </c>
      <c r="R60" s="109" t="n">
        <v>110</v>
      </c>
      <c r="S60" s="109"/>
      <c r="T60" s="109" t="n">
        <v>0</v>
      </c>
      <c r="U60" s="109" t="n">
        <v>550</v>
      </c>
      <c r="V60" s="109" t="n">
        <v>30</v>
      </c>
      <c r="W60" s="109" t="n">
        <v>6</v>
      </c>
      <c r="X60" s="109" t="n">
        <v>3.5</v>
      </c>
      <c r="Y60" s="109" t="n">
        <v>1.4</v>
      </c>
      <c r="Z60" s="109" t="n">
        <v>27</v>
      </c>
      <c r="AA60" s="109" t="n">
        <v>1.5</v>
      </c>
      <c r="AB60" s="109"/>
      <c r="AD60" s="1" t="n">
        <f aca="false">SUM(I60,K60:L60)</f>
        <v>961</v>
      </c>
      <c r="AE60" s="1" t="n">
        <f aca="false">1000-AD60</f>
        <v>39</v>
      </c>
    </row>
    <row r="61" customFormat="false" ht="15" hidden="false" customHeight="false" outlineLevel="0" collapsed="false">
      <c r="B61" s="104" t="n">
        <v>59</v>
      </c>
      <c r="C61" s="110" t="s">
        <v>566</v>
      </c>
      <c r="D61" s="106" t="n">
        <v>10.5</v>
      </c>
      <c r="E61" s="106" t="n">
        <v>69</v>
      </c>
      <c r="F61" s="106" t="n">
        <v>137</v>
      </c>
      <c r="G61" s="106" t="n">
        <v>212</v>
      </c>
      <c r="H61" s="106" t="n">
        <v>13.1</v>
      </c>
      <c r="I61" s="106" t="n">
        <v>259</v>
      </c>
      <c r="J61" s="106"/>
      <c r="K61" s="106" t="n">
        <v>113</v>
      </c>
      <c r="L61" s="106" t="n">
        <v>544</v>
      </c>
      <c r="M61" s="106" t="n">
        <v>82</v>
      </c>
      <c r="N61" s="106" t="n">
        <v>72</v>
      </c>
      <c r="O61" s="106" t="n">
        <v>51</v>
      </c>
      <c r="P61" s="106" t="n">
        <v>80</v>
      </c>
      <c r="Q61" s="106" t="n">
        <v>82</v>
      </c>
      <c r="R61" s="106"/>
      <c r="S61" s="106" t="n">
        <v>114</v>
      </c>
      <c r="T61" s="106"/>
      <c r="U61" s="106" t="n">
        <v>276</v>
      </c>
      <c r="V61" s="106" t="n">
        <v>72</v>
      </c>
      <c r="W61" s="106" t="n">
        <v>18</v>
      </c>
      <c r="X61" s="106" t="n">
        <v>4.1</v>
      </c>
      <c r="Y61" s="106" t="n">
        <v>2.2</v>
      </c>
      <c r="Z61" s="106" t="n">
        <v>29</v>
      </c>
      <c r="AA61" s="106" t="n">
        <v>1.4</v>
      </c>
      <c r="AB61" s="106"/>
      <c r="AD61" s="1" t="n">
        <f aca="false">SUM(I61,K61:L61)</f>
        <v>916</v>
      </c>
      <c r="AE61" s="1" t="n">
        <f aca="false">1000-AD61</f>
        <v>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59765625" defaultRowHeight="15" zeroHeight="false" outlineLevelRow="0" outlineLevelCol="0"/>
  <cols>
    <col collapsed="false" customWidth="true" hidden="false" outlineLevel="0" max="3" min="3" style="1" width="39.72"/>
  </cols>
  <sheetData>
    <row r="2" customFormat="false" ht="25.35" hidden="false" customHeight="false" outlineLevel="0" collapsed="false">
      <c r="A2" s="2" t="s">
        <v>178</v>
      </c>
      <c r="B2" s="103" t="s">
        <v>264</v>
      </c>
      <c r="C2" s="103" t="s">
        <v>567</v>
      </c>
      <c r="D2" s="103" t="s">
        <v>568</v>
      </c>
      <c r="E2" s="103" t="s">
        <v>569</v>
      </c>
      <c r="F2" s="103" t="s">
        <v>570</v>
      </c>
      <c r="G2" s="103" t="s">
        <v>571</v>
      </c>
      <c r="H2" s="103" t="s">
        <v>572</v>
      </c>
      <c r="I2" s="103" t="s">
        <v>573</v>
      </c>
      <c r="J2" s="103" t="s">
        <v>574</v>
      </c>
      <c r="K2" s="103" t="s">
        <v>575</v>
      </c>
      <c r="L2" s="103" t="s">
        <v>576</v>
      </c>
      <c r="M2" s="103" t="s">
        <v>577</v>
      </c>
      <c r="N2" s="103" t="s">
        <v>578</v>
      </c>
    </row>
    <row r="3" customFormat="false" ht="15" hidden="false" customHeight="false" outlineLevel="0" collapsed="false">
      <c r="B3" s="104" t="n">
        <v>1</v>
      </c>
      <c r="C3" s="106" t="s">
        <v>579</v>
      </c>
      <c r="D3" s="106" t="n">
        <v>50</v>
      </c>
      <c r="E3" s="106" t="n">
        <v>3</v>
      </c>
      <c r="F3" s="106" t="n">
        <v>13</v>
      </c>
      <c r="G3" s="106" t="n">
        <v>6</v>
      </c>
      <c r="H3" s="106" t="n">
        <v>0.3</v>
      </c>
      <c r="I3" s="106"/>
      <c r="J3" s="106" t="n">
        <v>6</v>
      </c>
      <c r="K3" s="106" t="n">
        <v>26</v>
      </c>
      <c r="L3" s="106" t="n">
        <v>12</v>
      </c>
      <c r="M3" s="106" t="n">
        <v>0.6</v>
      </c>
      <c r="N3" s="106" t="n">
        <v>0</v>
      </c>
    </row>
    <row r="4" customFormat="false" ht="15" hidden="false" customHeight="false" outlineLevel="0" collapsed="false">
      <c r="B4" s="107" t="n">
        <v>2</v>
      </c>
      <c r="C4" s="109" t="s">
        <v>580</v>
      </c>
      <c r="D4" s="109" t="n">
        <v>85</v>
      </c>
      <c r="E4" s="109" t="n">
        <v>6</v>
      </c>
      <c r="F4" s="109" t="n">
        <v>94</v>
      </c>
      <c r="G4" s="109" t="n">
        <v>12</v>
      </c>
      <c r="H4" s="109" t="n">
        <v>1</v>
      </c>
      <c r="I4" s="109"/>
      <c r="J4" s="109" t="n">
        <v>7.1</v>
      </c>
      <c r="K4" s="109" t="n">
        <v>111</v>
      </c>
      <c r="L4" s="109" t="n">
        <v>14.1</v>
      </c>
      <c r="M4" s="109" t="n">
        <v>1.2</v>
      </c>
      <c r="N4" s="109" t="n">
        <v>0</v>
      </c>
    </row>
    <row r="5" customFormat="false" ht="15" hidden="false" customHeight="false" outlineLevel="0" collapsed="false">
      <c r="B5" s="104" t="n">
        <v>3</v>
      </c>
      <c r="C5" s="106" t="s">
        <v>581</v>
      </c>
      <c r="D5" s="106" t="n">
        <v>90</v>
      </c>
      <c r="E5" s="106" t="n">
        <v>7.1</v>
      </c>
      <c r="F5" s="106" t="n">
        <v>47</v>
      </c>
      <c r="G5" s="106" t="n">
        <v>13</v>
      </c>
      <c r="H5" s="106" t="n">
        <v>2.4</v>
      </c>
      <c r="I5" s="106" t="n">
        <v>3.9</v>
      </c>
      <c r="J5" s="106" t="n">
        <v>7.1</v>
      </c>
      <c r="K5" s="106" t="n">
        <v>47</v>
      </c>
      <c r="L5" s="106" t="n">
        <v>13</v>
      </c>
      <c r="M5" s="106" t="n">
        <v>2.4</v>
      </c>
      <c r="N5" s="106" t="n">
        <v>3.9</v>
      </c>
    </row>
    <row r="6" customFormat="false" ht="15" hidden="false" customHeight="false" outlineLevel="0" collapsed="false">
      <c r="B6" s="107" t="n">
        <v>4</v>
      </c>
      <c r="C6" s="109" t="s">
        <v>582</v>
      </c>
      <c r="D6" s="109" t="n">
        <v>90</v>
      </c>
      <c r="E6" s="109" t="n">
        <v>12.2</v>
      </c>
      <c r="F6" s="109" t="n">
        <v>394</v>
      </c>
      <c r="G6" s="109" t="n">
        <v>2</v>
      </c>
      <c r="H6" s="109" t="n">
        <v>14</v>
      </c>
      <c r="I6" s="109" t="n">
        <v>2.3</v>
      </c>
      <c r="J6" s="109" t="n">
        <v>13.6</v>
      </c>
      <c r="K6" s="109" t="n">
        <v>438</v>
      </c>
      <c r="L6" s="109" t="n">
        <v>2.2</v>
      </c>
      <c r="M6" s="109" t="n">
        <v>15.6</v>
      </c>
      <c r="N6" s="109" t="n">
        <v>2.6</v>
      </c>
    </row>
    <row r="7" customFormat="false" ht="15" hidden="false" customHeight="false" outlineLevel="0" collapsed="false">
      <c r="B7" s="104" t="n">
        <v>5</v>
      </c>
      <c r="C7" s="106" t="s">
        <v>387</v>
      </c>
      <c r="D7" s="106" t="n">
        <v>90</v>
      </c>
      <c r="E7" s="106" t="n">
        <v>10.9</v>
      </c>
      <c r="F7" s="106" t="n">
        <v>31</v>
      </c>
      <c r="G7" s="106" t="n">
        <v>14</v>
      </c>
      <c r="H7" s="106" t="n">
        <v>1.2</v>
      </c>
      <c r="I7" s="106" t="n">
        <v>1.6</v>
      </c>
      <c r="J7" s="106" t="n">
        <v>12.1</v>
      </c>
      <c r="K7" s="106" t="n">
        <v>34</v>
      </c>
      <c r="L7" s="106" t="n">
        <v>15.6</v>
      </c>
      <c r="M7" s="106" t="n">
        <v>1.3</v>
      </c>
      <c r="N7" s="106" t="n">
        <v>1.8</v>
      </c>
    </row>
    <row r="8" customFormat="false" ht="15" hidden="false" customHeight="false" outlineLevel="0" collapsed="false">
      <c r="B8" s="107" t="n">
        <v>6</v>
      </c>
      <c r="C8" s="109" t="s">
        <v>583</v>
      </c>
      <c r="D8" s="109" t="n">
        <v>90</v>
      </c>
      <c r="E8" s="109" t="n">
        <v>9.6</v>
      </c>
      <c r="F8" s="109" t="n">
        <v>202</v>
      </c>
      <c r="G8" s="109" t="n">
        <v>0.9</v>
      </c>
      <c r="H8" s="109" t="n">
        <v>6.6</v>
      </c>
      <c r="I8" s="109" t="n">
        <v>2.3</v>
      </c>
      <c r="J8" s="109" t="n">
        <v>10.7</v>
      </c>
      <c r="K8" s="109" t="n">
        <v>224</v>
      </c>
      <c r="L8" s="109" t="n">
        <v>1</v>
      </c>
      <c r="M8" s="109" t="n">
        <v>7.3</v>
      </c>
      <c r="N8" s="109" t="n">
        <v>2.6</v>
      </c>
    </row>
    <row r="9" customFormat="false" ht="15" hidden="false" customHeight="false" outlineLevel="0" collapsed="false">
      <c r="B9" s="104" t="n">
        <v>7</v>
      </c>
      <c r="C9" s="106" t="s">
        <v>584</v>
      </c>
      <c r="D9" s="106" t="n">
        <v>8</v>
      </c>
      <c r="E9" s="106" t="n">
        <v>0.9</v>
      </c>
      <c r="F9" s="106" t="n">
        <v>20</v>
      </c>
      <c r="G9" s="106" t="n">
        <v>0.2</v>
      </c>
      <c r="H9" s="106" t="n">
        <v>0.7</v>
      </c>
      <c r="I9" s="106" t="n">
        <v>0.2</v>
      </c>
      <c r="J9" s="106" t="n">
        <v>11.3</v>
      </c>
      <c r="K9" s="106" t="n">
        <v>250</v>
      </c>
      <c r="L9" s="106" t="n">
        <v>2.5</v>
      </c>
      <c r="M9" s="106" t="n">
        <v>8.8</v>
      </c>
      <c r="N9" s="106" t="n">
        <v>2.5</v>
      </c>
    </row>
    <row r="10" customFormat="false" ht="15" hidden="false" customHeight="false" outlineLevel="0" collapsed="false">
      <c r="B10" s="107" t="n">
        <v>8</v>
      </c>
      <c r="C10" s="109" t="s">
        <v>585</v>
      </c>
      <c r="D10" s="109" t="n">
        <v>91</v>
      </c>
      <c r="E10" s="109" t="n">
        <v>11</v>
      </c>
      <c r="F10" s="109" t="n">
        <v>621</v>
      </c>
      <c r="G10" s="109" t="n">
        <v>54</v>
      </c>
      <c r="H10" s="109" t="n">
        <v>35</v>
      </c>
      <c r="I10" s="109" t="n">
        <v>1.9</v>
      </c>
      <c r="J10" s="109" t="n">
        <v>12.1</v>
      </c>
      <c r="K10" s="109" t="n">
        <v>682</v>
      </c>
      <c r="L10" s="109" t="n">
        <v>59.3</v>
      </c>
      <c r="M10" s="109" t="n">
        <v>38.5</v>
      </c>
      <c r="N10" s="109" t="n">
        <v>2.1</v>
      </c>
    </row>
    <row r="11" customFormat="false" ht="15" hidden="false" customHeight="false" outlineLevel="0" collapsed="false">
      <c r="B11" s="104" t="n">
        <v>9</v>
      </c>
      <c r="C11" s="106" t="s">
        <v>586</v>
      </c>
      <c r="D11" s="106" t="n">
        <v>94</v>
      </c>
      <c r="E11" s="106" t="n">
        <v>12.2</v>
      </c>
      <c r="F11" s="106" t="n">
        <v>712</v>
      </c>
      <c r="G11" s="106" t="n">
        <v>30</v>
      </c>
      <c r="H11" s="106" t="n">
        <v>21</v>
      </c>
      <c r="I11" s="106" t="n">
        <v>1.9</v>
      </c>
      <c r="J11" s="106" t="n">
        <v>13</v>
      </c>
      <c r="K11" s="106" t="n">
        <v>757</v>
      </c>
      <c r="L11" s="106" t="n">
        <v>31.9</v>
      </c>
      <c r="M11" s="106" t="n">
        <v>22.3</v>
      </c>
      <c r="N11" s="106" t="n">
        <v>2</v>
      </c>
    </row>
    <row r="12" customFormat="false" ht="15" hidden="false" customHeight="false" outlineLevel="0" collapsed="false">
      <c r="B12" s="107" t="n">
        <v>10</v>
      </c>
      <c r="C12" s="109" t="s">
        <v>587</v>
      </c>
      <c r="D12" s="109" t="n">
        <v>91</v>
      </c>
      <c r="E12" s="109" t="n">
        <v>12.8</v>
      </c>
      <c r="F12" s="109" t="n">
        <v>612</v>
      </c>
      <c r="G12" s="109" t="n">
        <v>32</v>
      </c>
      <c r="H12" s="109" t="n">
        <v>22</v>
      </c>
      <c r="I12" s="109" t="n">
        <v>2</v>
      </c>
      <c r="J12" s="109" t="n">
        <v>14.1</v>
      </c>
      <c r="K12" s="109" t="n">
        <v>673</v>
      </c>
      <c r="L12" s="109" t="n">
        <v>35.2</v>
      </c>
      <c r="M12" s="109" t="n">
        <v>24.2</v>
      </c>
      <c r="N12" s="109" t="n">
        <v>2.2</v>
      </c>
    </row>
    <row r="13" customFormat="false" ht="15" hidden="false" customHeight="false" outlineLevel="0" collapsed="false">
      <c r="B13" s="104" t="n">
        <v>11</v>
      </c>
      <c r="C13" s="106" t="s">
        <v>588</v>
      </c>
      <c r="D13" s="106" t="n">
        <v>90</v>
      </c>
      <c r="E13" s="106" t="n">
        <v>6.6</v>
      </c>
      <c r="F13" s="106" t="n">
        <v>29</v>
      </c>
      <c r="G13" s="106" t="n">
        <v>3.3</v>
      </c>
      <c r="H13" s="106" t="n">
        <v>1.4</v>
      </c>
      <c r="I13" s="106" t="n">
        <v>1.4</v>
      </c>
      <c r="J13" s="106" t="n">
        <v>6.6</v>
      </c>
      <c r="K13" s="106" t="n">
        <v>29</v>
      </c>
      <c r="L13" s="106" t="n">
        <v>3.3</v>
      </c>
      <c r="M13" s="106" t="n">
        <v>1.4</v>
      </c>
      <c r="N13" s="106" t="n">
        <v>1.4</v>
      </c>
    </row>
    <row r="14" customFormat="false" ht="15" hidden="false" customHeight="false" outlineLevel="0" collapsed="false">
      <c r="B14" s="107" t="n">
        <v>12</v>
      </c>
      <c r="C14" s="109" t="s">
        <v>589</v>
      </c>
      <c r="D14" s="109" t="n">
        <v>87</v>
      </c>
      <c r="E14" s="109" t="n">
        <v>5.1</v>
      </c>
      <c r="F14" s="109" t="n">
        <v>24</v>
      </c>
      <c r="G14" s="109" t="n">
        <v>1.7</v>
      </c>
      <c r="H14" s="109" t="n">
        <v>6.7</v>
      </c>
      <c r="I14" s="109"/>
      <c r="J14" s="109" t="n">
        <v>5.9</v>
      </c>
      <c r="K14" s="109" t="n">
        <v>28</v>
      </c>
      <c r="L14" s="109" t="n">
        <v>2</v>
      </c>
      <c r="M14" s="109" t="n">
        <v>7.7</v>
      </c>
      <c r="N14" s="109" t="n">
        <v>0</v>
      </c>
    </row>
    <row r="15" customFormat="false" ht="15" hidden="false" customHeight="false" outlineLevel="0" collapsed="false">
      <c r="B15" s="104" t="n">
        <v>13</v>
      </c>
      <c r="C15" s="106" t="s">
        <v>590</v>
      </c>
      <c r="D15" s="106" t="n">
        <v>87</v>
      </c>
      <c r="E15" s="106" t="n">
        <v>9.7</v>
      </c>
      <c r="F15" s="106" t="n">
        <v>75</v>
      </c>
      <c r="G15" s="106" t="n">
        <v>0.7</v>
      </c>
      <c r="H15" s="106" t="n">
        <v>3.3</v>
      </c>
      <c r="I15" s="106" t="n">
        <v>1.1</v>
      </c>
      <c r="J15" s="106" t="n">
        <v>11.1</v>
      </c>
      <c r="K15" s="106" t="n">
        <v>86</v>
      </c>
      <c r="L15" s="106" t="n">
        <v>0.8</v>
      </c>
      <c r="M15" s="106" t="n">
        <v>3.8</v>
      </c>
      <c r="N15" s="106" t="n">
        <v>1.3</v>
      </c>
    </row>
    <row r="16" customFormat="false" ht="15" hidden="false" customHeight="false" outlineLevel="0" collapsed="false">
      <c r="B16" s="107" t="n">
        <v>14</v>
      </c>
      <c r="C16" s="109" t="s">
        <v>591</v>
      </c>
      <c r="D16" s="109" t="n">
        <v>87</v>
      </c>
      <c r="E16" s="109" t="n">
        <v>10.4</v>
      </c>
      <c r="F16" s="109" t="n">
        <v>104</v>
      </c>
      <c r="G16" s="109" t="n">
        <v>0.7</v>
      </c>
      <c r="H16" s="109" t="n">
        <v>4</v>
      </c>
      <c r="I16" s="109" t="n">
        <v>1.1</v>
      </c>
      <c r="J16" s="109" t="n">
        <v>12</v>
      </c>
      <c r="K16" s="109" t="n">
        <v>120</v>
      </c>
      <c r="L16" s="109" t="n">
        <v>0.8</v>
      </c>
      <c r="M16" s="109" t="n">
        <v>4.6</v>
      </c>
      <c r="N16" s="109" t="n">
        <v>1.3</v>
      </c>
    </row>
    <row r="17" customFormat="false" ht="15" hidden="false" customHeight="false" outlineLevel="0" collapsed="false">
      <c r="B17" s="104" t="n">
        <v>15</v>
      </c>
      <c r="C17" s="106" t="s">
        <v>405</v>
      </c>
      <c r="D17" s="106" t="n">
        <v>82</v>
      </c>
      <c r="E17" s="106" t="n">
        <v>8.3</v>
      </c>
      <c r="F17" s="106" t="n">
        <v>7</v>
      </c>
      <c r="G17" s="106" t="n">
        <v>3.7</v>
      </c>
      <c r="H17" s="106" t="n">
        <v>0.8</v>
      </c>
      <c r="I17" s="106"/>
      <c r="J17" s="106" t="n">
        <v>10.1</v>
      </c>
      <c r="K17" s="106" t="n">
        <v>9</v>
      </c>
      <c r="L17" s="106" t="n">
        <v>4.5</v>
      </c>
      <c r="M17" s="106" t="n">
        <v>1</v>
      </c>
      <c r="N17" s="106" t="n">
        <v>0</v>
      </c>
    </row>
    <row r="18" customFormat="false" ht="15" hidden="false" customHeight="false" outlineLevel="0" collapsed="false">
      <c r="B18" s="107" t="n">
        <v>16</v>
      </c>
      <c r="C18" s="109" t="s">
        <v>592</v>
      </c>
      <c r="D18" s="109" t="n">
        <v>87</v>
      </c>
      <c r="E18" s="109" t="n">
        <v>7.7</v>
      </c>
      <c r="F18" s="109" t="n">
        <v>87</v>
      </c>
      <c r="G18" s="109"/>
      <c r="H18" s="109"/>
      <c r="I18" s="109"/>
      <c r="J18" s="109" t="n">
        <v>8.9</v>
      </c>
      <c r="K18" s="109" t="n">
        <v>100</v>
      </c>
      <c r="L18" s="109" t="n">
        <v>0</v>
      </c>
      <c r="M18" s="109" t="n">
        <v>0</v>
      </c>
      <c r="N18" s="109" t="n">
        <v>0</v>
      </c>
    </row>
    <row r="19" customFormat="false" ht="15" hidden="false" customHeight="false" outlineLevel="0" collapsed="false">
      <c r="B19" s="104" t="n">
        <v>17</v>
      </c>
      <c r="C19" s="106" t="s">
        <v>593</v>
      </c>
      <c r="D19" s="106" t="n">
        <v>87</v>
      </c>
      <c r="E19" s="106" t="n">
        <v>11</v>
      </c>
      <c r="F19" s="106" t="n">
        <v>73</v>
      </c>
      <c r="G19" s="106" t="n">
        <v>0.4</v>
      </c>
      <c r="H19" s="106" t="n">
        <v>3.5</v>
      </c>
      <c r="I19" s="106" t="n">
        <v>1.1</v>
      </c>
      <c r="J19" s="106" t="n">
        <v>12.6</v>
      </c>
      <c r="K19" s="106" t="n">
        <v>84</v>
      </c>
      <c r="L19" s="106" t="n">
        <v>0.5</v>
      </c>
      <c r="M19" s="106" t="n">
        <v>4</v>
      </c>
      <c r="N19" s="106" t="n">
        <v>1.3</v>
      </c>
    </row>
    <row r="20" customFormat="false" ht="15" hidden="false" customHeight="false" outlineLevel="0" collapsed="false">
      <c r="B20" s="107" t="n">
        <v>18</v>
      </c>
      <c r="C20" s="109" t="s">
        <v>594</v>
      </c>
      <c r="D20" s="109" t="n">
        <v>93</v>
      </c>
      <c r="E20" s="109" t="n">
        <v>15.6</v>
      </c>
      <c r="F20" s="109" t="n">
        <v>180</v>
      </c>
      <c r="G20" s="109" t="n">
        <v>2.6</v>
      </c>
      <c r="H20" s="109" t="n">
        <v>5.3</v>
      </c>
      <c r="I20" s="109" t="n">
        <v>3.6</v>
      </c>
      <c r="J20" s="109" t="n">
        <v>16.8</v>
      </c>
      <c r="K20" s="109" t="n">
        <v>194</v>
      </c>
      <c r="L20" s="109" t="n">
        <v>2.8</v>
      </c>
      <c r="M20" s="109" t="n">
        <v>5.7</v>
      </c>
      <c r="N20" s="109" t="n">
        <v>3.9</v>
      </c>
    </row>
    <row r="21" customFormat="false" ht="15" hidden="false" customHeight="false" outlineLevel="0" collapsed="false">
      <c r="B21" s="104" t="n">
        <v>19</v>
      </c>
      <c r="C21" s="106" t="s">
        <v>595</v>
      </c>
      <c r="D21" s="106" t="n">
        <v>90</v>
      </c>
      <c r="E21" s="106" t="n">
        <v>12.9</v>
      </c>
      <c r="F21" s="106" t="n">
        <v>223</v>
      </c>
      <c r="G21" s="106" t="n">
        <v>3.3</v>
      </c>
      <c r="H21" s="106" t="n">
        <v>7.7</v>
      </c>
      <c r="I21" s="106" t="n">
        <v>4.7</v>
      </c>
      <c r="J21" s="106" t="n">
        <v>14.3</v>
      </c>
      <c r="K21" s="106" t="n">
        <v>248</v>
      </c>
      <c r="L21" s="106" t="n">
        <v>3.7</v>
      </c>
      <c r="M21" s="106" t="n">
        <v>8.6</v>
      </c>
      <c r="N21" s="106" t="n">
        <v>5.2</v>
      </c>
    </row>
    <row r="22" customFormat="false" ht="15" hidden="false" customHeight="false" outlineLevel="0" collapsed="false">
      <c r="B22" s="107" t="n">
        <v>20</v>
      </c>
      <c r="C22" s="109" t="s">
        <v>596</v>
      </c>
      <c r="D22" s="109" t="n">
        <v>87</v>
      </c>
      <c r="E22" s="109" t="n">
        <v>10.8</v>
      </c>
      <c r="F22" s="109" t="n">
        <v>343</v>
      </c>
      <c r="G22" s="109" t="n">
        <v>3.1</v>
      </c>
      <c r="H22" s="109" t="n">
        <v>6.5</v>
      </c>
      <c r="I22" s="109" t="n">
        <v>2.7</v>
      </c>
      <c r="J22" s="109" t="n">
        <v>12.4</v>
      </c>
      <c r="K22" s="109" t="n">
        <v>394</v>
      </c>
      <c r="L22" s="109" t="n">
        <v>3.6</v>
      </c>
      <c r="M22" s="109" t="n">
        <v>7.5</v>
      </c>
      <c r="N22" s="109" t="n">
        <v>3.1</v>
      </c>
    </row>
    <row r="23" customFormat="false" ht="15" hidden="false" customHeight="false" outlineLevel="0" collapsed="false">
      <c r="B23" s="104" t="n">
        <v>21</v>
      </c>
      <c r="C23" s="106" t="s">
        <v>597</v>
      </c>
      <c r="D23" s="106" t="n">
        <v>87</v>
      </c>
      <c r="E23" s="106" t="n">
        <v>12.1</v>
      </c>
      <c r="F23" s="106" t="n">
        <v>55</v>
      </c>
      <c r="G23" s="106" t="n">
        <v>0.3</v>
      </c>
      <c r="H23" s="106" t="n">
        <v>2.7</v>
      </c>
      <c r="I23" s="106" t="n">
        <v>1.1</v>
      </c>
      <c r="J23" s="106" t="n">
        <v>13.9</v>
      </c>
      <c r="K23" s="106" t="n">
        <v>63</v>
      </c>
      <c r="L23" s="106" t="n">
        <v>0.3</v>
      </c>
      <c r="M23" s="106" t="n">
        <v>3.1</v>
      </c>
      <c r="N23" s="106" t="n">
        <v>1.3</v>
      </c>
    </row>
    <row r="24" customFormat="false" ht="15" hidden="false" customHeight="false" outlineLevel="0" collapsed="false">
      <c r="B24" s="107" t="n">
        <v>22</v>
      </c>
      <c r="C24" s="109" t="s">
        <v>598</v>
      </c>
      <c r="D24" s="109" t="n">
        <v>92</v>
      </c>
      <c r="E24" s="109" t="n">
        <v>13</v>
      </c>
      <c r="F24" s="109" t="n">
        <v>552</v>
      </c>
      <c r="G24" s="109" t="n">
        <v>0.4</v>
      </c>
      <c r="H24" s="109" t="n">
        <v>3</v>
      </c>
      <c r="I24" s="109" t="n">
        <v>1.1</v>
      </c>
      <c r="J24" s="109" t="n">
        <v>14.1</v>
      </c>
      <c r="K24" s="109" t="n">
        <v>600</v>
      </c>
      <c r="L24" s="109" t="n">
        <v>0.4</v>
      </c>
      <c r="M24" s="109" t="n">
        <v>3.3</v>
      </c>
      <c r="N24" s="109" t="n">
        <v>1.2</v>
      </c>
    </row>
    <row r="25" customFormat="false" ht="15" hidden="false" customHeight="false" outlineLevel="0" collapsed="false">
      <c r="B25" s="104" t="n">
        <v>23</v>
      </c>
      <c r="C25" s="106" t="s">
        <v>599</v>
      </c>
      <c r="D25" s="106" t="n">
        <v>9</v>
      </c>
      <c r="E25" s="106" t="n">
        <v>1.2</v>
      </c>
      <c r="F25" s="106" t="n">
        <v>28</v>
      </c>
      <c r="G25" s="106" t="n">
        <v>1.3</v>
      </c>
      <c r="H25" s="106" t="n">
        <v>0.9</v>
      </c>
      <c r="I25" s="106" t="n">
        <v>0.1</v>
      </c>
      <c r="J25" s="106" t="n">
        <v>13.3</v>
      </c>
      <c r="K25" s="106" t="n">
        <v>311</v>
      </c>
      <c r="L25" s="106" t="n">
        <v>14.4</v>
      </c>
      <c r="M25" s="106" t="n">
        <v>10</v>
      </c>
      <c r="N25" s="106" t="n">
        <v>1.1</v>
      </c>
    </row>
    <row r="26" customFormat="false" ht="15" hidden="false" customHeight="false" outlineLevel="0" collapsed="false">
      <c r="B26" s="107" t="n">
        <v>24</v>
      </c>
      <c r="C26" s="109" t="s">
        <v>600</v>
      </c>
      <c r="D26" s="109" t="n">
        <v>12</v>
      </c>
      <c r="E26" s="109" t="n">
        <v>1.4</v>
      </c>
      <c r="F26" s="109" t="n">
        <v>8</v>
      </c>
      <c r="G26" s="109" t="n">
        <v>0.4</v>
      </c>
      <c r="H26" s="109" t="n">
        <v>0.3</v>
      </c>
      <c r="I26" s="109" t="n">
        <v>0.2</v>
      </c>
      <c r="J26" s="109" t="n">
        <v>11.7</v>
      </c>
      <c r="K26" s="109" t="n">
        <v>67</v>
      </c>
      <c r="L26" s="109" t="n">
        <v>3.3</v>
      </c>
      <c r="M26" s="109" t="n">
        <v>2.5</v>
      </c>
      <c r="N26" s="109" t="n">
        <v>1.7</v>
      </c>
    </row>
    <row r="27" customFormat="false" ht="15" hidden="false" customHeight="false" outlineLevel="0" collapsed="false">
      <c r="B27" s="104" t="n">
        <v>25</v>
      </c>
      <c r="C27" s="106" t="s">
        <v>601</v>
      </c>
      <c r="D27" s="106" t="n">
        <v>91</v>
      </c>
      <c r="E27" s="106" t="n">
        <v>11.3</v>
      </c>
      <c r="F27" s="106" t="n">
        <v>103</v>
      </c>
      <c r="G27" s="106" t="n">
        <v>1.9</v>
      </c>
      <c r="H27" s="106" t="n">
        <v>5.9</v>
      </c>
      <c r="I27" s="106" t="n">
        <v>2.8</v>
      </c>
      <c r="J27" s="106" t="n">
        <v>12.4</v>
      </c>
      <c r="K27" s="106" t="n">
        <v>113</v>
      </c>
      <c r="L27" s="106" t="n">
        <v>2.1</v>
      </c>
      <c r="M27" s="106" t="n">
        <v>6.5</v>
      </c>
      <c r="N27" s="106" t="n">
        <v>3.1</v>
      </c>
    </row>
    <row r="28" customFormat="false" ht="15" hidden="false" customHeight="false" outlineLevel="0" collapsed="false">
      <c r="B28" s="107" t="n">
        <v>26</v>
      </c>
      <c r="C28" s="109" t="s">
        <v>438</v>
      </c>
      <c r="D28" s="109" t="n">
        <v>90</v>
      </c>
      <c r="E28" s="109" t="n">
        <v>13.1</v>
      </c>
      <c r="F28" s="109" t="n">
        <v>685</v>
      </c>
      <c r="G28" s="109" t="n">
        <v>1</v>
      </c>
      <c r="H28" s="109" t="n">
        <v>4</v>
      </c>
      <c r="I28" s="109" t="n">
        <v>1</v>
      </c>
      <c r="J28" s="109" t="n">
        <v>14.6</v>
      </c>
      <c r="K28" s="109" t="n">
        <v>761</v>
      </c>
      <c r="L28" s="109" t="n">
        <v>1.1</v>
      </c>
      <c r="M28" s="109" t="n">
        <v>4.4</v>
      </c>
      <c r="N28" s="109" t="n">
        <v>1.1</v>
      </c>
    </row>
    <row r="29" customFormat="false" ht="15" hidden="false" customHeight="false" outlineLevel="0" collapsed="false">
      <c r="B29" s="104" t="n">
        <v>27</v>
      </c>
      <c r="C29" s="106" t="s">
        <v>602</v>
      </c>
      <c r="D29" s="106" t="n">
        <v>94</v>
      </c>
      <c r="E29" s="106" t="n">
        <v>12.1</v>
      </c>
      <c r="F29" s="106" t="n">
        <v>248</v>
      </c>
      <c r="G29" s="106" t="n">
        <v>7.5</v>
      </c>
      <c r="H29" s="106" t="n">
        <v>10.3</v>
      </c>
      <c r="I29" s="106" t="n">
        <v>4.7</v>
      </c>
      <c r="J29" s="106" t="n">
        <v>12.9</v>
      </c>
      <c r="K29" s="106" t="n">
        <v>264</v>
      </c>
      <c r="L29" s="106" t="n">
        <v>8</v>
      </c>
      <c r="M29" s="106" t="n">
        <v>11</v>
      </c>
      <c r="N29" s="106" t="n">
        <v>5</v>
      </c>
    </row>
    <row r="30" customFormat="false" ht="15" hidden="false" customHeight="false" outlineLevel="0" collapsed="false">
      <c r="B30" s="107" t="n">
        <v>28</v>
      </c>
      <c r="C30" s="109" t="s">
        <v>603</v>
      </c>
      <c r="D30" s="109" t="n">
        <v>94</v>
      </c>
      <c r="E30" s="109" t="n">
        <v>12.1</v>
      </c>
      <c r="F30" s="109" t="n">
        <v>268</v>
      </c>
      <c r="G30" s="109" t="n">
        <v>7.1</v>
      </c>
      <c r="H30" s="109" t="n">
        <v>11.7</v>
      </c>
      <c r="I30" s="109" t="n">
        <v>3.9</v>
      </c>
      <c r="J30" s="109" t="n">
        <v>12.9</v>
      </c>
      <c r="K30" s="109" t="n">
        <v>285</v>
      </c>
      <c r="L30" s="109" t="n">
        <v>7.6</v>
      </c>
      <c r="M30" s="109" t="n">
        <v>12.4</v>
      </c>
      <c r="N30" s="109" t="n">
        <v>4.1</v>
      </c>
    </row>
    <row r="31" customFormat="false" ht="15" hidden="false" customHeight="false" outlineLevel="0" collapsed="false">
      <c r="B31" s="104" t="n">
        <v>29</v>
      </c>
      <c r="C31" s="106" t="s">
        <v>604</v>
      </c>
      <c r="D31" s="106" t="n">
        <v>93</v>
      </c>
      <c r="E31" s="106" t="n">
        <v>16.5</v>
      </c>
      <c r="F31" s="106" t="n">
        <v>154</v>
      </c>
      <c r="G31" s="106" t="n">
        <v>4</v>
      </c>
      <c r="H31" s="106" t="n">
        <v>8</v>
      </c>
      <c r="I31" s="106" t="n">
        <v>2.2</v>
      </c>
      <c r="J31" s="106" t="n">
        <v>17.7</v>
      </c>
      <c r="K31" s="106" t="n">
        <v>166</v>
      </c>
      <c r="L31" s="106" t="n">
        <v>4.3</v>
      </c>
      <c r="M31" s="106" t="n">
        <v>8.6</v>
      </c>
      <c r="N31" s="106" t="n">
        <v>2.4</v>
      </c>
    </row>
    <row r="32" customFormat="false" ht="15" hidden="false" customHeight="false" outlineLevel="0" collapsed="false">
      <c r="B32" s="107" t="n">
        <v>30</v>
      </c>
      <c r="C32" s="109" t="s">
        <v>605</v>
      </c>
      <c r="D32" s="109" t="n">
        <v>87</v>
      </c>
      <c r="E32" s="109" t="n">
        <v>10.9</v>
      </c>
      <c r="F32" s="109" t="n">
        <v>41</v>
      </c>
      <c r="G32" s="109" t="n">
        <v>0.6</v>
      </c>
      <c r="H32" s="109" t="n">
        <v>2.6</v>
      </c>
      <c r="I32" s="109" t="n">
        <v>1.3</v>
      </c>
      <c r="J32" s="109" t="n">
        <v>12.5</v>
      </c>
      <c r="K32" s="109" t="n">
        <v>47</v>
      </c>
      <c r="L32" s="109" t="n">
        <v>0.7</v>
      </c>
      <c r="M32" s="109" t="n">
        <v>3</v>
      </c>
      <c r="N32" s="109" t="n">
        <v>1.5</v>
      </c>
    </row>
    <row r="33" customFormat="false" ht="15" hidden="false" customHeight="false" outlineLevel="0" collapsed="false">
      <c r="B33" s="104" t="n">
        <v>31</v>
      </c>
      <c r="C33" s="106" t="s">
        <v>606</v>
      </c>
      <c r="D33" s="106" t="n">
        <v>89</v>
      </c>
      <c r="E33" s="106" t="n">
        <v>11.9</v>
      </c>
      <c r="F33" s="106" t="n">
        <v>39</v>
      </c>
      <c r="G33" s="106" t="n">
        <v>0.3</v>
      </c>
      <c r="H33" s="106" t="n">
        <v>1</v>
      </c>
      <c r="I33" s="106" t="n">
        <v>1</v>
      </c>
      <c r="J33" s="106" t="n">
        <v>13.4</v>
      </c>
      <c r="K33" s="106" t="n">
        <v>44</v>
      </c>
      <c r="L33" s="106" t="n">
        <v>0.3</v>
      </c>
      <c r="M33" s="106" t="n">
        <v>1.1</v>
      </c>
      <c r="N33" s="106" t="n">
        <v>1.1</v>
      </c>
    </row>
    <row r="34" customFormat="false" ht="15" hidden="false" customHeight="false" outlineLevel="0" collapsed="false">
      <c r="B34" s="107" t="n">
        <v>32</v>
      </c>
      <c r="C34" s="109" t="s">
        <v>607</v>
      </c>
      <c r="D34" s="109" t="n">
        <v>87</v>
      </c>
      <c r="E34" s="109" t="n">
        <v>9</v>
      </c>
      <c r="F34" s="109" t="n">
        <v>104</v>
      </c>
      <c r="G34" s="109" t="n">
        <v>1</v>
      </c>
      <c r="H34" s="109" t="n">
        <v>9.7</v>
      </c>
      <c r="I34" s="109" t="n">
        <v>3</v>
      </c>
      <c r="J34" s="109" t="n">
        <v>10.3</v>
      </c>
      <c r="K34" s="109" t="n">
        <v>120</v>
      </c>
      <c r="L34" s="109" t="n">
        <v>1.1</v>
      </c>
      <c r="M34" s="109" t="n">
        <v>11.1</v>
      </c>
      <c r="N34" s="109" t="n">
        <v>3.4</v>
      </c>
    </row>
    <row r="35" customFormat="false" ht="15" hidden="false" customHeight="false" outlineLevel="0" collapsed="false">
      <c r="B35" s="104" t="n">
        <v>33</v>
      </c>
      <c r="C35" s="106" t="s">
        <v>608</v>
      </c>
      <c r="D35" s="106" t="n">
        <v>87</v>
      </c>
      <c r="E35" s="106" t="n">
        <v>11.6</v>
      </c>
      <c r="F35" s="106" t="n">
        <v>55</v>
      </c>
      <c r="G35" s="106" t="n">
        <v>0.4</v>
      </c>
      <c r="H35" s="106" t="n">
        <v>3.1</v>
      </c>
      <c r="I35" s="106" t="n">
        <v>1</v>
      </c>
      <c r="J35" s="106" t="n">
        <v>13.3</v>
      </c>
      <c r="K35" s="106" t="n">
        <v>63</v>
      </c>
      <c r="L35" s="106" t="n">
        <v>0.5</v>
      </c>
      <c r="M35" s="106" t="n">
        <v>3.6</v>
      </c>
      <c r="N35" s="106" t="n">
        <v>1.1</v>
      </c>
    </row>
    <row r="36" customFormat="false" ht="15" hidden="false" customHeight="false" outlineLevel="0" collapsed="false">
      <c r="B36" s="107" t="n">
        <v>34</v>
      </c>
      <c r="C36" s="109" t="s">
        <v>609</v>
      </c>
      <c r="D36" s="109" t="n">
        <v>87</v>
      </c>
      <c r="E36" s="109" t="n">
        <v>11.7</v>
      </c>
      <c r="F36" s="109" t="n">
        <v>77</v>
      </c>
      <c r="G36" s="109" t="n">
        <v>0.3</v>
      </c>
      <c r="H36" s="109" t="n">
        <v>3.5</v>
      </c>
      <c r="I36" s="109" t="n">
        <v>1.3</v>
      </c>
      <c r="J36" s="109" t="n">
        <v>13.4</v>
      </c>
      <c r="K36" s="109" t="n">
        <v>89</v>
      </c>
      <c r="L36" s="109" t="n">
        <v>0.3</v>
      </c>
      <c r="M36" s="109" t="n">
        <v>4</v>
      </c>
      <c r="N36" s="109" t="n">
        <v>1.5</v>
      </c>
    </row>
    <row r="37" customFormat="false" ht="15" hidden="false" customHeight="false" outlineLevel="0" collapsed="false">
      <c r="B37" s="104" t="n">
        <v>35</v>
      </c>
      <c r="C37" s="106" t="s">
        <v>610</v>
      </c>
      <c r="D37" s="106" t="n">
        <v>78</v>
      </c>
      <c r="E37" s="106" t="n">
        <v>8.7</v>
      </c>
      <c r="F37" s="106" t="n">
        <v>0</v>
      </c>
      <c r="G37" s="106" t="n">
        <v>6.2</v>
      </c>
      <c r="H37" s="106" t="n">
        <v>0.6</v>
      </c>
      <c r="I37" s="106" t="n">
        <v>3.4</v>
      </c>
      <c r="J37" s="106" t="n">
        <v>11.2</v>
      </c>
      <c r="K37" s="106" t="n">
        <v>0</v>
      </c>
      <c r="L37" s="106" t="n">
        <v>7.9</v>
      </c>
      <c r="M37" s="106" t="n">
        <v>0.8</v>
      </c>
      <c r="N37" s="106" t="n">
        <v>4.4</v>
      </c>
    </row>
    <row r="38" customFormat="false" ht="15" hidden="false" customHeight="false" outlineLevel="0" collapsed="false">
      <c r="B38" s="107" t="n">
        <v>36</v>
      </c>
      <c r="C38" s="109" t="s">
        <v>611</v>
      </c>
      <c r="D38" s="109" t="n">
        <v>75</v>
      </c>
      <c r="E38" s="109" t="n">
        <v>8.9</v>
      </c>
      <c r="F38" s="109" t="n">
        <v>69</v>
      </c>
      <c r="G38" s="109" t="n">
        <v>1.5</v>
      </c>
      <c r="H38" s="109" t="n">
        <v>0.1</v>
      </c>
      <c r="I38" s="109" t="n">
        <v>0.1</v>
      </c>
      <c r="J38" s="109" t="n">
        <v>11.9</v>
      </c>
      <c r="K38" s="109" t="n">
        <v>92</v>
      </c>
      <c r="L38" s="109" t="n">
        <v>2</v>
      </c>
      <c r="M38" s="109" t="n">
        <v>0.1</v>
      </c>
      <c r="N38" s="109" t="n">
        <v>0.1</v>
      </c>
    </row>
    <row r="39" customFormat="false" ht="15" hidden="false" customHeight="false" outlineLevel="0" collapsed="false">
      <c r="B39" s="104" t="n">
        <v>37</v>
      </c>
      <c r="C39" s="106" t="s">
        <v>612</v>
      </c>
      <c r="D39" s="106" t="n">
        <v>91</v>
      </c>
      <c r="E39" s="106" t="n">
        <v>11.3</v>
      </c>
      <c r="F39" s="106" t="n">
        <v>66</v>
      </c>
      <c r="G39" s="106" t="n">
        <v>7</v>
      </c>
      <c r="H39" s="106" t="n">
        <v>1.1</v>
      </c>
      <c r="I39" s="106" t="n">
        <v>1.1</v>
      </c>
      <c r="J39" s="106" t="n">
        <v>12.4</v>
      </c>
      <c r="K39" s="106" t="n">
        <v>73</v>
      </c>
      <c r="L39" s="106" t="n">
        <v>7.7</v>
      </c>
      <c r="M39" s="106" t="n">
        <v>1.2</v>
      </c>
      <c r="N39" s="106" t="n">
        <v>1.2</v>
      </c>
    </row>
    <row r="40" customFormat="false" ht="15" hidden="false" customHeight="false" outlineLevel="0" collapsed="false">
      <c r="B40" s="107" t="n">
        <v>38</v>
      </c>
      <c r="C40" s="109" t="s">
        <v>613</v>
      </c>
      <c r="D40" s="109" t="n">
        <v>90</v>
      </c>
      <c r="E40" s="109" t="n">
        <v>11.5</v>
      </c>
      <c r="F40" s="109" t="n">
        <v>49</v>
      </c>
      <c r="G40" s="109" t="n">
        <v>6.3</v>
      </c>
      <c r="H40" s="109" t="n">
        <v>0.9</v>
      </c>
      <c r="I40" s="109" t="n">
        <v>1.3</v>
      </c>
      <c r="J40" s="109" t="n">
        <v>12.8</v>
      </c>
      <c r="K40" s="109" t="n">
        <v>54</v>
      </c>
      <c r="L40" s="109" t="n">
        <v>7</v>
      </c>
      <c r="M40" s="109" t="n">
        <v>1</v>
      </c>
      <c r="N40" s="109" t="n">
        <v>1.4</v>
      </c>
    </row>
    <row r="41" customFormat="false" ht="15" hidden="false" customHeight="false" outlineLevel="0" collapsed="false">
      <c r="B41" s="104" t="n">
        <v>39</v>
      </c>
      <c r="C41" s="106" t="s">
        <v>614</v>
      </c>
      <c r="D41" s="106" t="n">
        <v>87</v>
      </c>
      <c r="E41" s="106" t="n">
        <v>12.1</v>
      </c>
      <c r="F41" s="106" t="n">
        <v>299</v>
      </c>
      <c r="G41" s="106" t="n">
        <v>2.3</v>
      </c>
      <c r="H41" s="106" t="n">
        <v>5.5</v>
      </c>
      <c r="I41" s="106" t="n">
        <v>2.5</v>
      </c>
      <c r="J41" s="106" t="n">
        <v>13.9</v>
      </c>
      <c r="K41" s="106" t="n">
        <v>344</v>
      </c>
      <c r="L41" s="106" t="n">
        <v>2.6</v>
      </c>
      <c r="M41" s="106" t="n">
        <v>6.3</v>
      </c>
      <c r="N41" s="106" t="n">
        <v>2.9</v>
      </c>
    </row>
    <row r="42" customFormat="false" ht="15" hidden="false" customHeight="false" outlineLevel="0" collapsed="false">
      <c r="B42" s="107" t="n">
        <v>40</v>
      </c>
      <c r="C42" s="109" t="s">
        <v>615</v>
      </c>
      <c r="D42" s="109" t="n">
        <v>87</v>
      </c>
      <c r="E42" s="109" t="n">
        <v>11.7</v>
      </c>
      <c r="F42" s="109" t="n">
        <v>390</v>
      </c>
      <c r="G42" s="109" t="n">
        <v>2.8</v>
      </c>
      <c r="H42" s="109" t="n">
        <v>6.3</v>
      </c>
      <c r="I42" s="109" t="n">
        <v>2.3</v>
      </c>
      <c r="J42" s="109" t="n">
        <v>13.4</v>
      </c>
      <c r="K42" s="109" t="n">
        <v>448</v>
      </c>
      <c r="L42" s="109" t="n">
        <v>3.2</v>
      </c>
      <c r="M42" s="109" t="n">
        <v>7.2</v>
      </c>
      <c r="N42" s="109" t="n">
        <v>2.6</v>
      </c>
    </row>
    <row r="43" customFormat="false" ht="15" hidden="false" customHeight="false" outlineLevel="0" collapsed="false">
      <c r="B43" s="104" t="n">
        <v>41</v>
      </c>
      <c r="C43" s="106" t="s">
        <v>616</v>
      </c>
      <c r="D43" s="106" t="n">
        <v>92</v>
      </c>
      <c r="E43" s="106" t="n">
        <v>8.6</v>
      </c>
      <c r="F43" s="106" t="n">
        <v>247</v>
      </c>
      <c r="G43" s="106" t="n">
        <v>3.2</v>
      </c>
      <c r="H43" s="106" t="n">
        <v>9.8</v>
      </c>
      <c r="I43" s="106" t="n">
        <v>5.2</v>
      </c>
      <c r="J43" s="106" t="n">
        <v>9.3</v>
      </c>
      <c r="K43" s="106" t="n">
        <v>268</v>
      </c>
      <c r="L43" s="106" t="n">
        <v>3.5</v>
      </c>
      <c r="M43" s="106" t="n">
        <v>10.7</v>
      </c>
      <c r="N43" s="106" t="n">
        <v>5.7</v>
      </c>
    </row>
    <row r="44" customFormat="false" ht="15" hidden="false" customHeight="false" outlineLevel="0" collapsed="false">
      <c r="B44" s="107" t="n">
        <v>42</v>
      </c>
      <c r="C44" s="109" t="s">
        <v>617</v>
      </c>
      <c r="D44" s="109" t="n">
        <v>92</v>
      </c>
      <c r="E44" s="109" t="n">
        <v>9.8</v>
      </c>
      <c r="F44" s="109" t="n">
        <v>326</v>
      </c>
      <c r="G44" s="109" t="n">
        <v>2.9</v>
      </c>
      <c r="H44" s="109" t="n">
        <v>9.8</v>
      </c>
      <c r="I44" s="109" t="n">
        <v>5.2</v>
      </c>
      <c r="J44" s="109" t="n">
        <v>10.7</v>
      </c>
      <c r="K44" s="109" t="n">
        <v>354</v>
      </c>
      <c r="L44" s="109" t="n">
        <v>3.2</v>
      </c>
      <c r="M44" s="109" t="n">
        <v>10.7</v>
      </c>
      <c r="N44" s="109" t="n">
        <v>5.7</v>
      </c>
    </row>
    <row r="45" customFormat="false" ht="15" hidden="false" customHeight="false" outlineLevel="0" collapsed="false">
      <c r="B45" s="104" t="n">
        <v>43</v>
      </c>
      <c r="C45" s="106" t="s">
        <v>618</v>
      </c>
      <c r="D45" s="106" t="n">
        <v>87</v>
      </c>
      <c r="E45" s="106" t="n">
        <v>11.7</v>
      </c>
      <c r="F45" s="106" t="n">
        <v>71</v>
      </c>
      <c r="G45" s="106" t="n">
        <v>0.4</v>
      </c>
      <c r="H45" s="106" t="n">
        <v>2.7</v>
      </c>
      <c r="I45" s="106" t="n">
        <v>1.2</v>
      </c>
      <c r="J45" s="106" t="n">
        <v>13.4</v>
      </c>
      <c r="K45" s="106" t="n">
        <v>82</v>
      </c>
      <c r="L45" s="106" t="n">
        <v>0.5</v>
      </c>
      <c r="M45" s="106" t="n">
        <v>3.1</v>
      </c>
      <c r="N45" s="106" t="n">
        <v>1.4</v>
      </c>
    </row>
    <row r="46" customFormat="false" ht="15" hidden="false" customHeight="false" outlineLevel="0" collapsed="false">
      <c r="B46" s="107" t="n">
        <v>44</v>
      </c>
      <c r="C46" s="109" t="s">
        <v>619</v>
      </c>
      <c r="D46" s="109" t="n">
        <v>90</v>
      </c>
      <c r="E46" s="109" t="n">
        <v>6.3</v>
      </c>
      <c r="F46" s="109" t="n">
        <v>0</v>
      </c>
      <c r="G46" s="109" t="n">
        <v>3.3</v>
      </c>
      <c r="H46" s="109" t="n">
        <v>1.1</v>
      </c>
      <c r="I46" s="109" t="n">
        <v>1.3</v>
      </c>
      <c r="J46" s="109" t="n">
        <v>6.3</v>
      </c>
      <c r="K46" s="109" t="n">
        <v>0</v>
      </c>
      <c r="L46" s="109" t="n">
        <v>3.3</v>
      </c>
      <c r="M46" s="109" t="n">
        <v>1.1</v>
      </c>
      <c r="N46" s="109" t="n">
        <v>1.3</v>
      </c>
    </row>
    <row r="47" customFormat="false" ht="15" hidden="false" customHeight="false" outlineLevel="0" collapsed="false">
      <c r="B47" s="104" t="n">
        <v>45</v>
      </c>
      <c r="C47" s="106" t="s">
        <v>620</v>
      </c>
      <c r="D47" s="106" t="n">
        <v>90</v>
      </c>
      <c r="E47" s="106" t="n">
        <v>8.2</v>
      </c>
      <c r="F47" s="106" t="n">
        <v>50</v>
      </c>
      <c r="G47" s="106" t="n">
        <v>3.3</v>
      </c>
      <c r="H47" s="106" t="n">
        <v>1.1</v>
      </c>
      <c r="I47" s="106" t="n">
        <v>1.3</v>
      </c>
      <c r="J47" s="106" t="n">
        <v>8.2</v>
      </c>
      <c r="K47" s="106" t="n">
        <v>50</v>
      </c>
      <c r="L47" s="106" t="n">
        <v>3.3</v>
      </c>
      <c r="M47" s="106" t="n">
        <v>1.1</v>
      </c>
      <c r="N47" s="106" t="n">
        <v>1.3</v>
      </c>
    </row>
    <row r="48" customFormat="false" ht="15" hidden="false" customHeight="false" outlineLevel="0" collapsed="false">
      <c r="B48" s="107" t="n">
        <v>46</v>
      </c>
      <c r="C48" s="109" t="s">
        <v>621</v>
      </c>
      <c r="D48" s="109" t="n">
        <v>88</v>
      </c>
      <c r="E48" s="109" t="n">
        <v>10.6</v>
      </c>
      <c r="F48" s="109" t="n">
        <v>0</v>
      </c>
      <c r="G48" s="109" t="n">
        <v>2.1</v>
      </c>
      <c r="H48" s="109" t="n">
        <v>1</v>
      </c>
      <c r="I48" s="109" t="n">
        <v>1.1</v>
      </c>
      <c r="J48" s="109" t="n">
        <v>12</v>
      </c>
      <c r="K48" s="109" t="n">
        <v>0</v>
      </c>
      <c r="L48" s="109" t="n">
        <v>2.4</v>
      </c>
      <c r="M48" s="109" t="n">
        <v>1.1</v>
      </c>
      <c r="N48" s="109" t="n">
        <v>1.3</v>
      </c>
    </row>
    <row r="49" customFormat="false" ht="15" hidden="false" customHeight="false" outlineLevel="0" collapsed="false">
      <c r="B49" s="104" t="n">
        <v>47</v>
      </c>
      <c r="C49" s="106" t="s">
        <v>622</v>
      </c>
      <c r="D49" s="106" t="n">
        <v>89</v>
      </c>
      <c r="E49" s="106" t="n">
        <v>4.3</v>
      </c>
      <c r="F49" s="106" t="n">
        <v>22</v>
      </c>
      <c r="G49" s="106" t="n">
        <v>8.5</v>
      </c>
      <c r="H49" s="106" t="n">
        <v>1.4</v>
      </c>
      <c r="I49" s="106"/>
      <c r="J49" s="106" t="n">
        <v>4.8</v>
      </c>
      <c r="K49" s="106" t="n">
        <v>25</v>
      </c>
      <c r="L49" s="106" t="n">
        <v>9.6</v>
      </c>
      <c r="M49" s="106" t="n">
        <v>1.6</v>
      </c>
      <c r="N49" s="106" t="n">
        <v>0</v>
      </c>
    </row>
    <row r="50" customFormat="false" ht="15" hidden="false" customHeight="false" outlineLevel="0" collapsed="false">
      <c r="B50" s="107" t="n">
        <v>48</v>
      </c>
      <c r="C50" s="109" t="s">
        <v>623</v>
      </c>
      <c r="D50" s="109" t="n">
        <v>100</v>
      </c>
      <c r="E50" s="109" t="n">
        <v>31.3</v>
      </c>
      <c r="F50" s="109" t="n">
        <v>0</v>
      </c>
      <c r="G50" s="109" t="n">
        <v>0</v>
      </c>
      <c r="H50" s="109" t="n">
        <v>0</v>
      </c>
      <c r="I50" s="109" t="n">
        <v>0</v>
      </c>
      <c r="J50" s="109" t="n">
        <v>31.3</v>
      </c>
      <c r="K50" s="109" t="n">
        <v>0</v>
      </c>
      <c r="L50" s="109" t="n">
        <v>0</v>
      </c>
      <c r="M50" s="109" t="n">
        <v>0</v>
      </c>
      <c r="N50" s="109" t="n">
        <v>0</v>
      </c>
    </row>
    <row r="51" customFormat="false" ht="15" hidden="false" customHeight="false" outlineLevel="0" collapsed="false">
      <c r="B51" s="104" t="n">
        <v>49</v>
      </c>
      <c r="C51" s="106" t="s">
        <v>624</v>
      </c>
      <c r="D51" s="106" t="n">
        <v>87</v>
      </c>
      <c r="E51" s="106" t="n">
        <v>12.7</v>
      </c>
      <c r="F51" s="106" t="n">
        <v>218</v>
      </c>
      <c r="G51" s="106" t="n">
        <v>1.1</v>
      </c>
      <c r="H51" s="106" t="n">
        <v>9.7</v>
      </c>
      <c r="I51" s="106" t="n">
        <v>2.7</v>
      </c>
      <c r="J51" s="106" t="n">
        <v>14.6</v>
      </c>
      <c r="K51" s="106" t="n">
        <v>251</v>
      </c>
      <c r="L51" s="106" t="n">
        <v>1.3</v>
      </c>
      <c r="M51" s="106" t="n">
        <v>11.1</v>
      </c>
      <c r="N51" s="106" t="n">
        <v>3.1</v>
      </c>
    </row>
    <row r="52" customFormat="false" ht="15" hidden="false" customHeight="false" outlineLevel="0" collapsed="false">
      <c r="B52" s="107" t="n">
        <v>50</v>
      </c>
      <c r="C52" s="109" t="s">
        <v>625</v>
      </c>
      <c r="D52" s="109" t="n">
        <v>87</v>
      </c>
      <c r="E52" s="109" t="n">
        <v>8.5</v>
      </c>
      <c r="F52" s="109" t="n">
        <v>104</v>
      </c>
      <c r="G52" s="109" t="n">
        <v>1.5</v>
      </c>
      <c r="H52" s="109" t="n">
        <v>10.4</v>
      </c>
      <c r="I52" s="109" t="n">
        <v>4.6</v>
      </c>
      <c r="J52" s="109" t="n">
        <v>9.8</v>
      </c>
      <c r="K52" s="109" t="n">
        <v>120</v>
      </c>
      <c r="L52" s="109" t="n">
        <v>1.7</v>
      </c>
      <c r="M52" s="109" t="n">
        <v>12</v>
      </c>
      <c r="N52" s="109" t="n">
        <v>5.3</v>
      </c>
    </row>
    <row r="53" customFormat="false" ht="15" hidden="false" customHeight="false" outlineLevel="0" collapsed="false">
      <c r="B53" s="104" t="n">
        <v>51</v>
      </c>
      <c r="C53" s="106" t="s">
        <v>626</v>
      </c>
      <c r="D53" s="106" t="n">
        <v>87</v>
      </c>
      <c r="E53" s="106" t="n">
        <v>11.4</v>
      </c>
      <c r="F53" s="106" t="n">
        <v>88</v>
      </c>
      <c r="G53" s="106" t="n">
        <v>0.3</v>
      </c>
      <c r="H53" s="106" t="n">
        <v>3.2</v>
      </c>
      <c r="I53" s="106" t="n">
        <v>1.3</v>
      </c>
      <c r="J53" s="106" t="n">
        <v>13.1</v>
      </c>
      <c r="K53" s="106" t="n">
        <v>101</v>
      </c>
      <c r="L53" s="106" t="n">
        <v>0.3</v>
      </c>
      <c r="M53" s="106" t="n">
        <v>3.7</v>
      </c>
      <c r="N53" s="106" t="n">
        <v>1.5</v>
      </c>
    </row>
    <row r="54" customFormat="false" ht="15" hidden="false" customHeight="false" outlineLevel="0" collapsed="false">
      <c r="B54" s="107" t="n">
        <v>52</v>
      </c>
      <c r="C54" s="109" t="s">
        <v>627</v>
      </c>
      <c r="D54" s="109" t="n">
        <v>87</v>
      </c>
      <c r="E54" s="109" t="n">
        <v>11.4</v>
      </c>
      <c r="F54" s="109" t="n">
        <v>218</v>
      </c>
      <c r="G54" s="109" t="n">
        <v>1.3</v>
      </c>
      <c r="H54" s="109" t="n">
        <v>4.5</v>
      </c>
      <c r="I54" s="109"/>
      <c r="J54" s="109" t="n">
        <v>13.1</v>
      </c>
      <c r="K54" s="109" t="n">
        <v>251</v>
      </c>
      <c r="L54" s="109" t="n">
        <v>1.5</v>
      </c>
      <c r="M54" s="109" t="n">
        <v>5.2</v>
      </c>
      <c r="N54" s="109" t="n">
        <v>0</v>
      </c>
    </row>
    <row r="55" customFormat="false" ht="15" hidden="false" customHeight="false" outlineLevel="0" collapsed="false">
      <c r="B55" s="104" t="n">
        <v>53</v>
      </c>
      <c r="C55" s="106" t="s">
        <v>628</v>
      </c>
      <c r="D55" s="106" t="n">
        <v>87</v>
      </c>
      <c r="E55" s="106" t="n">
        <v>11.1</v>
      </c>
      <c r="F55" s="106" t="n">
        <v>218</v>
      </c>
      <c r="G55" s="106" t="n">
        <v>3</v>
      </c>
      <c r="H55" s="106" t="n">
        <v>3.6</v>
      </c>
      <c r="I55" s="106" t="n">
        <v>1.1</v>
      </c>
      <c r="J55" s="106" t="n">
        <v>12.8</v>
      </c>
      <c r="K55" s="106" t="n">
        <v>251</v>
      </c>
      <c r="L55" s="106" t="n">
        <v>3.4</v>
      </c>
      <c r="M55" s="106" t="n">
        <v>4.1</v>
      </c>
      <c r="N55" s="106" t="n">
        <v>1.3</v>
      </c>
    </row>
    <row r="56" customFormat="false" ht="15" hidden="false" customHeight="false" outlineLevel="0" collapsed="false">
      <c r="B56" s="107" t="n">
        <v>54</v>
      </c>
      <c r="C56" s="109" t="s">
        <v>629</v>
      </c>
      <c r="D56" s="109" t="n">
        <v>87</v>
      </c>
      <c r="E56" s="109" t="n">
        <v>11.1</v>
      </c>
      <c r="F56" s="109" t="n">
        <v>176</v>
      </c>
      <c r="G56" s="109" t="n">
        <v>0.8</v>
      </c>
      <c r="H56" s="109" t="n">
        <v>3.7</v>
      </c>
      <c r="I56" s="109" t="n">
        <v>1.1</v>
      </c>
      <c r="J56" s="109" t="n">
        <v>12.8</v>
      </c>
      <c r="K56" s="109" t="n">
        <v>202</v>
      </c>
      <c r="L56" s="109" t="n">
        <v>0.9</v>
      </c>
      <c r="M56" s="109" t="n">
        <v>4.3</v>
      </c>
      <c r="N56" s="109" t="n">
        <v>1.3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9" activeCellId="0" sqref="E2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6.86"/>
    <col collapsed="false" customWidth="true" hidden="false" outlineLevel="0" max="3" min="3" style="1" width="33"/>
  </cols>
  <sheetData>
    <row r="1" customFormat="false" ht="15" hidden="false" customHeight="false" outlineLevel="0" collapsed="false">
      <c r="D1" s="1" t="n">
        <v>1</v>
      </c>
      <c r="E1" s="1" t="n">
        <v>2</v>
      </c>
      <c r="F1" s="1" t="n">
        <v>3</v>
      </c>
      <c r="G1" s="1" t="n">
        <v>4</v>
      </c>
      <c r="H1" s="1" t="n">
        <v>5</v>
      </c>
      <c r="I1" s="1" t="n">
        <v>6</v>
      </c>
      <c r="J1" s="1" t="n">
        <v>7</v>
      </c>
      <c r="K1" s="1" t="n">
        <v>8</v>
      </c>
      <c r="L1" s="1" t="n">
        <v>9</v>
      </c>
      <c r="M1" s="1" t="n">
        <v>10</v>
      </c>
      <c r="N1" s="1" t="n">
        <v>11</v>
      </c>
      <c r="O1" s="1" t="n">
        <v>12</v>
      </c>
      <c r="P1" s="1" t="n">
        <v>13</v>
      </c>
      <c r="Q1" s="1" t="n">
        <v>14</v>
      </c>
      <c r="R1" s="1" t="n">
        <v>15</v>
      </c>
      <c r="S1" s="1" t="n">
        <v>16</v>
      </c>
      <c r="T1" s="1" t="n">
        <v>17</v>
      </c>
      <c r="U1" s="1" t="n">
        <v>18</v>
      </c>
    </row>
    <row r="2" customFormat="false" ht="25.35" hidden="false" customHeight="false" outlineLevel="0" collapsed="false">
      <c r="A2" s="2" t="s">
        <v>178</v>
      </c>
      <c r="B2" s="103" t="s">
        <v>264</v>
      </c>
      <c r="C2" s="103" t="s">
        <v>265</v>
      </c>
      <c r="D2" s="103" t="s">
        <v>568</v>
      </c>
      <c r="E2" s="103" t="s">
        <v>492</v>
      </c>
      <c r="F2" s="103" t="s">
        <v>630</v>
      </c>
      <c r="G2" s="103" t="s">
        <v>631</v>
      </c>
      <c r="H2" s="103" t="s">
        <v>632</v>
      </c>
      <c r="I2" s="103" t="s">
        <v>633</v>
      </c>
      <c r="J2" s="103" t="s">
        <v>634</v>
      </c>
      <c r="K2" s="103" t="s">
        <v>635</v>
      </c>
      <c r="L2" s="103" t="s">
        <v>273</v>
      </c>
      <c r="M2" s="103" t="s">
        <v>274</v>
      </c>
      <c r="N2" s="103" t="s">
        <v>270</v>
      </c>
      <c r="O2" s="103" t="s">
        <v>291</v>
      </c>
      <c r="P2" s="103" t="s">
        <v>636</v>
      </c>
      <c r="Q2" s="103" t="s">
        <v>637</v>
      </c>
      <c r="R2" s="103" t="s">
        <v>294</v>
      </c>
      <c r="S2" s="103" t="s">
        <v>295</v>
      </c>
      <c r="T2" s="103" t="s">
        <v>638</v>
      </c>
      <c r="U2" s="103" t="s">
        <v>639</v>
      </c>
    </row>
    <row r="3" customFormat="false" ht="15" hidden="false" customHeight="false" outlineLevel="0" collapsed="false">
      <c r="A3" s="1" t="s">
        <v>45</v>
      </c>
      <c r="B3" s="104" t="n">
        <v>1</v>
      </c>
      <c r="C3" s="106" t="s">
        <v>640</v>
      </c>
      <c r="D3" s="106" t="n">
        <v>99</v>
      </c>
      <c r="E3" s="106" t="n">
        <v>37.7</v>
      </c>
      <c r="F3" s="106" t="n">
        <v>0</v>
      </c>
      <c r="G3" s="106" t="n">
        <v>0</v>
      </c>
      <c r="H3" s="106" t="n">
        <v>0</v>
      </c>
      <c r="I3" s="106" t="n">
        <v>0</v>
      </c>
      <c r="J3" s="106" t="n">
        <v>965</v>
      </c>
      <c r="K3" s="106" t="n">
        <v>170</v>
      </c>
      <c r="L3" s="106" t="n">
        <v>0</v>
      </c>
      <c r="M3" s="106" t="n">
        <v>0</v>
      </c>
      <c r="N3" s="106" t="n">
        <v>0</v>
      </c>
      <c r="O3" s="106" t="n">
        <v>0</v>
      </c>
      <c r="P3" s="106" t="n">
        <v>0</v>
      </c>
      <c r="Q3" s="106" t="n">
        <v>0</v>
      </c>
      <c r="R3" s="106" t="n">
        <v>0</v>
      </c>
      <c r="S3" s="106" t="n">
        <v>0</v>
      </c>
      <c r="T3" s="106" t="n">
        <v>0</v>
      </c>
      <c r="U3" s="106" t="n">
        <v>0</v>
      </c>
    </row>
    <row r="4" customFormat="false" ht="15" hidden="false" customHeight="false" outlineLevel="0" collapsed="false">
      <c r="B4" s="107" t="n">
        <v>2</v>
      </c>
      <c r="C4" s="109" t="s">
        <v>641</v>
      </c>
      <c r="D4" s="109" t="n">
        <v>99</v>
      </c>
      <c r="E4" s="109" t="n">
        <v>37.7</v>
      </c>
      <c r="F4" s="109" t="n">
        <v>0</v>
      </c>
      <c r="G4" s="109" t="n">
        <v>0</v>
      </c>
      <c r="H4" s="109" t="n">
        <v>0</v>
      </c>
      <c r="I4" s="109" t="n">
        <v>0</v>
      </c>
      <c r="J4" s="109" t="n">
        <v>975</v>
      </c>
      <c r="K4" s="109" t="n">
        <v>300</v>
      </c>
      <c r="L4" s="109" t="n">
        <v>0</v>
      </c>
      <c r="M4" s="109" t="n">
        <v>0</v>
      </c>
      <c r="N4" s="109" t="n">
        <v>0</v>
      </c>
      <c r="O4" s="109" t="n">
        <v>0</v>
      </c>
      <c r="P4" s="109" t="n">
        <v>0</v>
      </c>
      <c r="Q4" s="109" t="n">
        <v>0</v>
      </c>
      <c r="R4" s="109" t="n">
        <v>0</v>
      </c>
      <c r="S4" s="109" t="n">
        <v>0</v>
      </c>
      <c r="T4" s="109" t="n">
        <v>0</v>
      </c>
      <c r="U4" s="109" t="n">
        <v>0</v>
      </c>
    </row>
    <row r="5" customFormat="false" ht="15" hidden="false" customHeight="false" outlineLevel="0" collapsed="false">
      <c r="B5" s="104" t="n">
        <v>3</v>
      </c>
      <c r="C5" s="106" t="s">
        <v>642</v>
      </c>
      <c r="D5" s="106" t="n">
        <v>100</v>
      </c>
      <c r="E5" s="106" t="n">
        <v>0</v>
      </c>
      <c r="F5" s="106" t="n">
        <v>0</v>
      </c>
      <c r="G5" s="106" t="n">
        <v>0</v>
      </c>
      <c r="H5" s="106" t="n">
        <v>0</v>
      </c>
      <c r="I5" s="106" t="n">
        <v>0</v>
      </c>
      <c r="J5" s="106" t="n">
        <v>0</v>
      </c>
      <c r="K5" s="106" t="n">
        <v>0</v>
      </c>
      <c r="L5" s="106" t="n">
        <v>0</v>
      </c>
      <c r="M5" s="106" t="n">
        <v>0</v>
      </c>
      <c r="N5" s="106" t="n">
        <v>0</v>
      </c>
      <c r="O5" s="106" t="n">
        <v>213</v>
      </c>
      <c r="P5" s="106" t="n">
        <v>187</v>
      </c>
      <c r="Q5" s="106" t="n">
        <v>165</v>
      </c>
      <c r="R5" s="106" t="n">
        <v>1</v>
      </c>
      <c r="S5" s="106" t="n">
        <v>0.6</v>
      </c>
      <c r="T5" s="106" t="n">
        <v>0.13</v>
      </c>
      <c r="U5" s="106" t="n">
        <v>0</v>
      </c>
    </row>
    <row r="6" customFormat="false" ht="15" hidden="false" customHeight="false" outlineLevel="0" collapsed="false">
      <c r="B6" s="107" t="n">
        <v>4</v>
      </c>
      <c r="C6" s="109" t="s">
        <v>643</v>
      </c>
      <c r="D6" s="109" t="n">
        <v>100</v>
      </c>
      <c r="E6" s="109" t="n">
        <v>0</v>
      </c>
      <c r="F6" s="109" t="n">
        <v>0</v>
      </c>
      <c r="G6" s="109" t="n">
        <v>0</v>
      </c>
      <c r="H6" s="109" t="n">
        <v>0</v>
      </c>
      <c r="I6" s="109" t="n">
        <v>0</v>
      </c>
      <c r="J6" s="109" t="n">
        <v>0</v>
      </c>
      <c r="K6" s="109" t="n">
        <v>0</v>
      </c>
      <c r="L6" s="109" t="n">
        <v>0</v>
      </c>
      <c r="M6" s="109" t="n">
        <v>0</v>
      </c>
      <c r="N6" s="109" t="n">
        <v>0</v>
      </c>
      <c r="O6" s="109" t="n">
        <v>0</v>
      </c>
      <c r="P6" s="109" t="n">
        <v>208</v>
      </c>
      <c r="Q6" s="109" t="n">
        <v>208</v>
      </c>
      <c r="R6" s="109" t="n">
        <v>0</v>
      </c>
      <c r="S6" s="109" t="n">
        <v>310</v>
      </c>
      <c r="T6" s="109" t="n">
        <v>0</v>
      </c>
      <c r="U6" s="109" t="n">
        <v>0</v>
      </c>
    </row>
    <row r="7" customFormat="false" ht="15" hidden="false" customHeight="false" outlineLevel="0" collapsed="false">
      <c r="B7" s="104" t="n">
        <v>5</v>
      </c>
      <c r="C7" s="106" t="s">
        <v>644</v>
      </c>
      <c r="D7" s="106" t="n">
        <v>100</v>
      </c>
      <c r="E7" s="106" t="n">
        <v>15.4</v>
      </c>
      <c r="F7" s="106" t="n">
        <v>587</v>
      </c>
      <c r="G7" s="106" t="n">
        <v>0</v>
      </c>
      <c r="H7" s="106" t="n">
        <v>980</v>
      </c>
      <c r="I7" s="106" t="n">
        <v>980</v>
      </c>
      <c r="J7" s="106" t="n">
        <v>0</v>
      </c>
      <c r="K7" s="106" t="n">
        <v>0</v>
      </c>
      <c r="L7" s="106" t="n">
        <v>0</v>
      </c>
      <c r="M7" s="106" t="n">
        <v>0</v>
      </c>
      <c r="N7" s="106" t="n">
        <v>0</v>
      </c>
      <c r="O7" s="106" t="n">
        <v>0</v>
      </c>
      <c r="P7" s="106" t="n">
        <v>0</v>
      </c>
      <c r="Q7" s="106" t="n">
        <v>0</v>
      </c>
      <c r="R7" s="106" t="n">
        <v>0</v>
      </c>
      <c r="S7" s="106" t="n">
        <v>0</v>
      </c>
      <c r="T7" s="106" t="n">
        <v>0</v>
      </c>
      <c r="U7" s="106" t="n">
        <v>0</v>
      </c>
    </row>
    <row r="8" customFormat="false" ht="15" hidden="false" customHeight="false" outlineLevel="0" collapsed="false">
      <c r="A8" s="1" t="s">
        <v>76</v>
      </c>
      <c r="B8" s="107" t="n">
        <v>6</v>
      </c>
      <c r="C8" s="109" t="s">
        <v>645</v>
      </c>
      <c r="D8" s="109" t="n">
        <v>92</v>
      </c>
      <c r="E8" s="109" t="n">
        <v>12.6</v>
      </c>
      <c r="F8" s="109" t="n">
        <v>621</v>
      </c>
      <c r="G8" s="109" t="n">
        <v>48.1</v>
      </c>
      <c r="H8" s="109" t="n">
        <v>17.7</v>
      </c>
      <c r="I8" s="109" t="n">
        <v>23.4</v>
      </c>
      <c r="J8" s="109" t="n">
        <v>50</v>
      </c>
      <c r="K8" s="109" t="n">
        <v>0.8</v>
      </c>
      <c r="L8" s="109" t="n">
        <v>0</v>
      </c>
      <c r="M8" s="109" t="n">
        <v>0</v>
      </c>
      <c r="N8" s="109" t="n">
        <v>0</v>
      </c>
      <c r="O8" s="109" t="n">
        <v>41</v>
      </c>
      <c r="P8" s="109" t="n">
        <v>26</v>
      </c>
      <c r="Q8" s="109" t="n">
        <v>21</v>
      </c>
      <c r="R8" s="109" t="n">
        <v>9</v>
      </c>
      <c r="S8" s="109" t="n">
        <v>6</v>
      </c>
      <c r="T8" s="109" t="n">
        <v>9</v>
      </c>
      <c r="U8" s="109" t="n">
        <v>0</v>
      </c>
    </row>
    <row r="9" customFormat="false" ht="15" hidden="false" customHeight="false" outlineLevel="0" collapsed="false">
      <c r="B9" s="104" t="n">
        <v>7</v>
      </c>
      <c r="C9" s="106" t="s">
        <v>646</v>
      </c>
      <c r="D9" s="106" t="n">
        <v>92</v>
      </c>
      <c r="E9" s="106" t="n">
        <v>10.8</v>
      </c>
      <c r="F9" s="106" t="n">
        <v>653</v>
      </c>
      <c r="G9" s="106" t="n">
        <v>50.1</v>
      </c>
      <c r="H9" s="106" t="n">
        <v>18.4</v>
      </c>
      <c r="I9" s="106" t="n">
        <v>24.2</v>
      </c>
      <c r="J9" s="106" t="n">
        <v>18</v>
      </c>
      <c r="K9" s="106" t="n">
        <v>0.3</v>
      </c>
      <c r="L9" s="106" t="n">
        <v>0</v>
      </c>
      <c r="M9" s="106" t="n">
        <v>0</v>
      </c>
      <c r="N9" s="106" t="n">
        <v>0</v>
      </c>
      <c r="O9" s="106" t="n">
        <v>41</v>
      </c>
      <c r="P9" s="106" t="n">
        <v>26</v>
      </c>
      <c r="Q9" s="106" t="n">
        <v>21</v>
      </c>
      <c r="R9" s="106" t="n">
        <v>9</v>
      </c>
      <c r="S9" s="106" t="n">
        <v>6</v>
      </c>
      <c r="T9" s="106" t="n">
        <v>9</v>
      </c>
      <c r="U9" s="106" t="n">
        <v>0</v>
      </c>
    </row>
    <row r="10" customFormat="false" ht="15" hidden="false" customHeight="false" outlineLevel="0" collapsed="false">
      <c r="B10" s="107" t="n">
        <v>8</v>
      </c>
      <c r="C10" s="109" t="s">
        <v>647</v>
      </c>
      <c r="D10" s="109" t="n">
        <v>92</v>
      </c>
      <c r="E10" s="109" t="n">
        <v>13.6</v>
      </c>
      <c r="F10" s="109" t="n">
        <v>661</v>
      </c>
      <c r="G10" s="109" t="n">
        <v>51.5</v>
      </c>
      <c r="H10" s="109" t="n">
        <v>18.9</v>
      </c>
      <c r="I10" s="109" t="n">
        <v>24.9</v>
      </c>
      <c r="J10" s="109" t="n">
        <v>100</v>
      </c>
      <c r="K10" s="109" t="n">
        <v>1.2</v>
      </c>
      <c r="L10" s="109" t="n">
        <v>0</v>
      </c>
      <c r="M10" s="109" t="n">
        <v>0</v>
      </c>
      <c r="N10" s="109" t="n">
        <v>0</v>
      </c>
      <c r="O10" s="109" t="n">
        <v>41</v>
      </c>
      <c r="P10" s="109" t="n">
        <v>26</v>
      </c>
      <c r="Q10" s="109" t="n">
        <v>21</v>
      </c>
      <c r="R10" s="109" t="n">
        <v>9</v>
      </c>
      <c r="S10" s="109" t="n">
        <v>6</v>
      </c>
      <c r="T10" s="109" t="n">
        <v>9</v>
      </c>
      <c r="U10" s="109" t="n">
        <v>0</v>
      </c>
    </row>
    <row r="11" customFormat="false" ht="15" hidden="false" customHeight="false" outlineLevel="0" collapsed="false">
      <c r="B11" s="104" t="n">
        <v>9</v>
      </c>
      <c r="C11" s="106" t="s">
        <v>648</v>
      </c>
      <c r="D11" s="106" t="n">
        <v>100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 t="n">
        <v>0</v>
      </c>
      <c r="J11" s="106" t="n">
        <v>0</v>
      </c>
      <c r="K11" s="106" t="n">
        <v>0</v>
      </c>
      <c r="L11" s="106" t="n">
        <v>0</v>
      </c>
      <c r="M11" s="106" t="n">
        <v>0</v>
      </c>
      <c r="N11" s="106" t="n">
        <v>0</v>
      </c>
      <c r="O11" s="106" t="n">
        <v>375</v>
      </c>
      <c r="P11" s="106" t="n">
        <v>0</v>
      </c>
      <c r="Q11" s="106" t="n">
        <v>0</v>
      </c>
      <c r="R11" s="106" t="n">
        <v>0.6</v>
      </c>
      <c r="S11" s="106" t="n">
        <v>0.2</v>
      </c>
      <c r="T11" s="106" t="n">
        <v>0</v>
      </c>
      <c r="U11" s="106" t="n">
        <v>0</v>
      </c>
    </row>
    <row r="12" customFormat="false" ht="15" hidden="false" customHeight="false" outlineLevel="0" collapsed="false">
      <c r="A12" s="1" t="s">
        <v>37</v>
      </c>
      <c r="B12" s="107" t="n">
        <v>10</v>
      </c>
      <c r="C12" s="109" t="s">
        <v>649</v>
      </c>
      <c r="D12" s="109" t="n">
        <v>87</v>
      </c>
      <c r="E12" s="109" t="n">
        <v>10.7</v>
      </c>
      <c r="F12" s="109" t="n">
        <v>104</v>
      </c>
      <c r="G12" s="109" t="n">
        <v>4.5</v>
      </c>
      <c r="H12" s="109" t="n">
        <v>1.8</v>
      </c>
      <c r="I12" s="109" t="n">
        <v>4.8</v>
      </c>
      <c r="J12" s="109" t="n">
        <v>52</v>
      </c>
      <c r="K12" s="109" t="n">
        <v>21</v>
      </c>
      <c r="L12" s="109" t="n">
        <v>400</v>
      </c>
      <c r="M12" s="109" t="n">
        <v>10</v>
      </c>
      <c r="N12" s="109" t="n">
        <v>87</v>
      </c>
      <c r="O12" s="109" t="n">
        <v>0.8</v>
      </c>
      <c r="P12" s="109" t="n">
        <v>3.4</v>
      </c>
      <c r="Q12" s="109" t="n">
        <v>0.8</v>
      </c>
      <c r="R12" s="109" t="n">
        <v>4.5</v>
      </c>
      <c r="S12" s="109" t="n">
        <v>0.8</v>
      </c>
      <c r="T12" s="109" t="n">
        <v>1.1</v>
      </c>
      <c r="U12" s="109" t="n">
        <v>0</v>
      </c>
    </row>
    <row r="13" customFormat="false" ht="15" hidden="false" customHeight="false" outlineLevel="0" collapsed="false">
      <c r="B13" s="104" t="n">
        <v>11</v>
      </c>
      <c r="C13" s="106" t="s">
        <v>650</v>
      </c>
      <c r="D13" s="106" t="n">
        <v>87</v>
      </c>
      <c r="E13" s="106" t="n">
        <v>13.8</v>
      </c>
      <c r="F13" s="106" t="n">
        <v>132</v>
      </c>
      <c r="G13" s="106" t="n">
        <v>5.5</v>
      </c>
      <c r="H13" s="106" t="n">
        <v>2.3</v>
      </c>
      <c r="I13" s="106" t="n">
        <v>6</v>
      </c>
      <c r="J13" s="106" t="n">
        <v>65</v>
      </c>
      <c r="K13" s="106" t="n">
        <v>25</v>
      </c>
      <c r="L13" s="106" t="n">
        <v>400</v>
      </c>
      <c r="M13" s="106" t="n">
        <v>10</v>
      </c>
      <c r="N13" s="106" t="n">
        <v>25</v>
      </c>
      <c r="O13" s="106" t="n">
        <v>0.7</v>
      </c>
      <c r="P13" s="106" t="n">
        <v>3.6</v>
      </c>
      <c r="Q13" s="106" t="n">
        <v>0.9</v>
      </c>
      <c r="R13" s="106" t="n">
        <v>4.5</v>
      </c>
      <c r="S13" s="106" t="n">
        <v>0.8</v>
      </c>
      <c r="T13" s="106" t="n">
        <v>1.1</v>
      </c>
      <c r="U13" s="106" t="n">
        <v>0</v>
      </c>
    </row>
    <row r="14" customFormat="false" ht="15" hidden="false" customHeight="false" outlineLevel="0" collapsed="false">
      <c r="B14" s="107" t="n">
        <v>12</v>
      </c>
      <c r="C14" s="109" t="s">
        <v>651</v>
      </c>
      <c r="D14" s="109" t="n">
        <v>87</v>
      </c>
      <c r="E14" s="109" t="n">
        <v>10</v>
      </c>
      <c r="F14" s="109" t="n">
        <v>100</v>
      </c>
      <c r="G14" s="109" t="n">
        <v>3.7</v>
      </c>
      <c r="H14" s="109" t="n">
        <v>1.8</v>
      </c>
      <c r="I14" s="109" t="n">
        <v>4.3</v>
      </c>
      <c r="J14" s="109" t="n">
        <v>52</v>
      </c>
      <c r="K14" s="109" t="n">
        <v>21</v>
      </c>
      <c r="L14" s="109" t="n">
        <v>380</v>
      </c>
      <c r="M14" s="109" t="n">
        <v>8</v>
      </c>
      <c r="N14" s="109" t="n">
        <v>104</v>
      </c>
      <c r="O14" s="109" t="n">
        <v>0.8</v>
      </c>
      <c r="P14" s="109" t="n">
        <v>3.4</v>
      </c>
      <c r="Q14" s="109" t="n">
        <v>0.8</v>
      </c>
      <c r="R14" s="109" t="n">
        <v>4.5</v>
      </c>
      <c r="S14" s="109" t="n">
        <v>0.8</v>
      </c>
      <c r="T14" s="109" t="n">
        <v>1.1</v>
      </c>
      <c r="U14" s="109" t="n">
        <v>0</v>
      </c>
    </row>
    <row r="15" customFormat="false" ht="15" hidden="false" customHeight="false" outlineLevel="0" collapsed="false">
      <c r="B15" s="104" t="n">
        <v>13</v>
      </c>
      <c r="C15" s="106" t="s">
        <v>652</v>
      </c>
      <c r="D15" s="106" t="n">
        <v>87</v>
      </c>
      <c r="E15" s="106" t="n">
        <v>11.1</v>
      </c>
      <c r="F15" s="106" t="n">
        <v>109</v>
      </c>
      <c r="G15" s="106" t="n">
        <v>4.7</v>
      </c>
      <c r="H15" s="106" t="n">
        <v>1.8</v>
      </c>
      <c r="I15" s="106" t="n">
        <v>5</v>
      </c>
      <c r="J15" s="106" t="n">
        <v>52</v>
      </c>
      <c r="K15" s="106" t="n">
        <v>21</v>
      </c>
      <c r="L15" s="106" t="n">
        <v>420</v>
      </c>
      <c r="M15" s="106" t="n">
        <v>12</v>
      </c>
      <c r="N15" s="106" t="n">
        <v>78</v>
      </c>
      <c r="O15" s="106" t="n">
        <v>0.8</v>
      </c>
      <c r="P15" s="106" t="n">
        <v>3.4</v>
      </c>
      <c r="Q15" s="106" t="n">
        <v>0.8</v>
      </c>
      <c r="R15" s="106" t="n">
        <v>4.5</v>
      </c>
      <c r="S15" s="106" t="n">
        <v>0.8</v>
      </c>
      <c r="T15" s="106" t="n">
        <v>1.1</v>
      </c>
      <c r="U15" s="106" t="n">
        <v>0</v>
      </c>
    </row>
    <row r="16" customFormat="false" ht="15" hidden="false" customHeight="false" outlineLevel="0" collapsed="false">
      <c r="B16" s="107" t="n">
        <v>14</v>
      </c>
      <c r="C16" s="109" t="s">
        <v>653</v>
      </c>
      <c r="D16" s="109" t="n">
        <v>87</v>
      </c>
      <c r="E16" s="109" t="n">
        <v>1.7</v>
      </c>
      <c r="F16" s="109" t="n">
        <v>46</v>
      </c>
      <c r="G16" s="109" t="n">
        <v>1.4</v>
      </c>
      <c r="H16" s="109" t="n">
        <v>0.7</v>
      </c>
      <c r="I16" s="109" t="n">
        <v>1.3</v>
      </c>
      <c r="J16" s="109" t="n">
        <v>14</v>
      </c>
      <c r="K16" s="109" t="n">
        <v>0</v>
      </c>
      <c r="L16" s="109" t="n">
        <v>0</v>
      </c>
      <c r="M16" s="109" t="n">
        <v>0</v>
      </c>
      <c r="N16" s="109" t="n">
        <v>287</v>
      </c>
      <c r="O16" s="109" t="n">
        <v>1.3</v>
      </c>
      <c r="P16" s="109" t="n">
        <v>1</v>
      </c>
      <c r="Q16" s="109" t="n">
        <v>0</v>
      </c>
      <c r="R16" s="109" t="n">
        <v>5.3</v>
      </c>
      <c r="S16" s="109" t="n">
        <v>0.4</v>
      </c>
      <c r="T16" s="109" t="n">
        <v>1</v>
      </c>
      <c r="U16" s="109" t="n">
        <v>0</v>
      </c>
    </row>
    <row r="17" customFormat="false" ht="15" hidden="false" customHeight="false" outlineLevel="0" collapsed="false">
      <c r="B17" s="104" t="n">
        <v>15</v>
      </c>
      <c r="C17" s="106" t="s">
        <v>654</v>
      </c>
      <c r="D17" s="106" t="n">
        <v>100</v>
      </c>
      <c r="E17" s="106" t="n">
        <v>0</v>
      </c>
      <c r="F17" s="106" t="n">
        <v>0</v>
      </c>
      <c r="G17" s="106" t="n">
        <v>0</v>
      </c>
      <c r="H17" s="106" t="n">
        <v>0</v>
      </c>
      <c r="I17" s="106" t="n">
        <v>0</v>
      </c>
      <c r="J17" s="106" t="n">
        <v>0</v>
      </c>
      <c r="K17" s="106" t="n">
        <v>0</v>
      </c>
      <c r="L17" s="106" t="n">
        <v>0</v>
      </c>
      <c r="M17" s="106" t="n">
        <v>0</v>
      </c>
      <c r="N17" s="106" t="n">
        <v>0</v>
      </c>
      <c r="O17" s="106" t="n">
        <v>3</v>
      </c>
      <c r="P17" s="106" t="n">
        <v>0</v>
      </c>
      <c r="Q17" s="106" t="n">
        <v>0</v>
      </c>
      <c r="R17" s="106" t="n">
        <v>0</v>
      </c>
      <c r="S17" s="106" t="n">
        <v>390</v>
      </c>
      <c r="T17" s="106" t="n">
        <v>600</v>
      </c>
      <c r="U17" s="106" t="n">
        <v>0</v>
      </c>
    </row>
    <row r="18" customFormat="false" ht="15" hidden="false" customHeight="false" outlineLevel="0" collapsed="false">
      <c r="A18" s="1" t="s">
        <v>36</v>
      </c>
      <c r="B18" s="107" t="n">
        <v>16</v>
      </c>
      <c r="C18" s="109" t="s">
        <v>655</v>
      </c>
      <c r="D18" s="109" t="n">
        <v>87</v>
      </c>
      <c r="E18" s="109" t="n">
        <v>11.8</v>
      </c>
      <c r="F18" s="109" t="n">
        <v>104</v>
      </c>
      <c r="G18" s="109" t="n">
        <v>3.8</v>
      </c>
      <c r="H18" s="109" t="n">
        <v>1.8</v>
      </c>
      <c r="I18" s="109" t="n">
        <v>4.1</v>
      </c>
      <c r="J18" s="109" t="n">
        <v>25</v>
      </c>
      <c r="K18" s="109" t="n">
        <v>10</v>
      </c>
      <c r="L18" s="109" t="n">
        <v>490</v>
      </c>
      <c r="M18" s="109" t="n">
        <v>26</v>
      </c>
      <c r="N18" s="109" t="n">
        <v>41</v>
      </c>
      <c r="O18" s="109" t="n">
        <v>0.5</v>
      </c>
      <c r="P18" s="109" t="n">
        <v>3.5</v>
      </c>
      <c r="Q18" s="109" t="n">
        <v>1.7</v>
      </c>
      <c r="R18" s="109" t="n">
        <v>4.8</v>
      </c>
      <c r="S18" s="109" t="n">
        <v>0.4</v>
      </c>
      <c r="T18" s="109" t="n">
        <v>1.5</v>
      </c>
      <c r="U18" s="109" t="n">
        <v>0</v>
      </c>
    </row>
    <row r="19" customFormat="false" ht="15" hidden="false" customHeight="false" outlineLevel="0" collapsed="false">
      <c r="B19" s="104" t="n">
        <v>17</v>
      </c>
      <c r="C19" s="106" t="s">
        <v>656</v>
      </c>
      <c r="D19" s="106" t="n">
        <v>87</v>
      </c>
      <c r="E19" s="106" t="n">
        <v>11.1</v>
      </c>
      <c r="F19" s="106" t="n">
        <v>100</v>
      </c>
      <c r="G19" s="106" t="n">
        <v>3.7</v>
      </c>
      <c r="H19" s="106" t="n">
        <v>1.7</v>
      </c>
      <c r="I19" s="106" t="n">
        <v>4</v>
      </c>
      <c r="J19" s="106" t="n">
        <v>25</v>
      </c>
      <c r="K19" s="106" t="n">
        <v>10</v>
      </c>
      <c r="L19" s="106" t="n">
        <v>450</v>
      </c>
      <c r="M19" s="106" t="n">
        <v>22</v>
      </c>
      <c r="N19" s="106" t="n">
        <v>71</v>
      </c>
      <c r="O19" s="106" t="n">
        <v>0.5</v>
      </c>
      <c r="P19" s="106" t="n">
        <v>3.5</v>
      </c>
      <c r="Q19" s="106" t="n">
        <v>1.7</v>
      </c>
      <c r="R19" s="106" t="n">
        <v>4.8</v>
      </c>
      <c r="S19" s="106" t="n">
        <v>0.4</v>
      </c>
      <c r="T19" s="106" t="n">
        <v>1.5</v>
      </c>
      <c r="U19" s="106" t="n">
        <v>0</v>
      </c>
    </row>
    <row r="20" customFormat="false" ht="15" hidden="false" customHeight="false" outlineLevel="0" collapsed="false">
      <c r="B20" s="107" t="n">
        <v>18</v>
      </c>
      <c r="C20" s="109" t="s">
        <v>657</v>
      </c>
      <c r="D20" s="109" t="n">
        <v>87</v>
      </c>
      <c r="E20" s="109" t="n">
        <v>12.2</v>
      </c>
      <c r="F20" s="109" t="n">
        <v>117</v>
      </c>
      <c r="G20" s="109" t="n">
        <v>4.1</v>
      </c>
      <c r="H20" s="109" t="n">
        <v>2</v>
      </c>
      <c r="I20" s="109" t="n">
        <v>4.5</v>
      </c>
      <c r="J20" s="109" t="n">
        <v>25</v>
      </c>
      <c r="K20" s="109" t="n">
        <v>10</v>
      </c>
      <c r="L20" s="109" t="n">
        <v>517</v>
      </c>
      <c r="M20" s="109" t="n">
        <v>28</v>
      </c>
      <c r="N20" s="109" t="n">
        <v>37</v>
      </c>
      <c r="O20" s="109" t="n">
        <v>0.5</v>
      </c>
      <c r="P20" s="109" t="n">
        <v>3.5</v>
      </c>
      <c r="Q20" s="109" t="n">
        <v>1.7</v>
      </c>
      <c r="R20" s="109" t="n">
        <v>4.8</v>
      </c>
      <c r="S20" s="109" t="n">
        <v>0.4</v>
      </c>
      <c r="T20" s="109" t="n">
        <v>1.5</v>
      </c>
      <c r="U20" s="109" t="n">
        <v>0</v>
      </c>
    </row>
    <row r="21" customFormat="false" ht="15" hidden="false" customHeight="false" outlineLevel="0" collapsed="false">
      <c r="B21" s="104" t="n">
        <v>19</v>
      </c>
      <c r="C21" s="106" t="s">
        <v>658</v>
      </c>
      <c r="D21" s="106" t="n">
        <v>95</v>
      </c>
      <c r="E21" s="106" t="n">
        <v>9.8</v>
      </c>
      <c r="F21" s="106" t="n">
        <v>530</v>
      </c>
      <c r="G21" s="106" t="n">
        <v>29</v>
      </c>
      <c r="H21" s="106" t="n">
        <v>8.1</v>
      </c>
      <c r="I21" s="106" t="n">
        <v>13.9</v>
      </c>
      <c r="J21" s="106" t="n">
        <v>104</v>
      </c>
      <c r="K21" s="106" t="n">
        <v>15</v>
      </c>
      <c r="L21" s="106" t="n">
        <v>0</v>
      </c>
      <c r="M21" s="106" t="n">
        <v>0</v>
      </c>
      <c r="N21" s="106" t="n">
        <v>0</v>
      </c>
      <c r="O21" s="106" t="n">
        <v>100</v>
      </c>
      <c r="P21" s="106" t="n">
        <v>45</v>
      </c>
      <c r="Q21" s="106" t="n">
        <v>36</v>
      </c>
      <c r="R21" s="106" t="n">
        <v>6</v>
      </c>
      <c r="S21" s="106" t="n">
        <v>7</v>
      </c>
      <c r="T21" s="106" t="n">
        <v>7.5</v>
      </c>
      <c r="U21" s="106" t="n">
        <v>0</v>
      </c>
    </row>
    <row r="22" customFormat="false" ht="15" hidden="false" customHeight="false" outlineLevel="0" collapsed="false">
      <c r="B22" s="107" t="n">
        <v>20</v>
      </c>
      <c r="C22" s="109" t="s">
        <v>659</v>
      </c>
      <c r="D22" s="109" t="n">
        <v>93</v>
      </c>
      <c r="E22" s="109" t="n">
        <v>11</v>
      </c>
      <c r="F22" s="109" t="n">
        <v>590</v>
      </c>
      <c r="G22" s="109" t="n">
        <v>30</v>
      </c>
      <c r="H22" s="109" t="n">
        <v>8.4</v>
      </c>
      <c r="I22" s="109" t="n">
        <v>16.4</v>
      </c>
      <c r="J22" s="109" t="n">
        <v>79</v>
      </c>
      <c r="K22" s="109" t="n">
        <v>12</v>
      </c>
      <c r="L22" s="109" t="n">
        <v>0</v>
      </c>
      <c r="M22" s="109" t="n">
        <v>0</v>
      </c>
      <c r="N22" s="109" t="n">
        <v>0</v>
      </c>
      <c r="O22" s="109" t="n">
        <v>80</v>
      </c>
      <c r="P22" s="109" t="n">
        <v>37</v>
      </c>
      <c r="Q22" s="109" t="n">
        <v>30</v>
      </c>
      <c r="R22" s="109" t="n">
        <v>5</v>
      </c>
      <c r="S22" s="109" t="n">
        <v>6</v>
      </c>
      <c r="T22" s="109" t="n">
        <v>7</v>
      </c>
      <c r="U22" s="109" t="n">
        <v>0</v>
      </c>
    </row>
    <row r="23" customFormat="false" ht="15" hidden="false" customHeight="false" outlineLevel="0" collapsed="false">
      <c r="B23" s="104" t="n">
        <v>21</v>
      </c>
      <c r="C23" s="106" t="s">
        <v>660</v>
      </c>
      <c r="D23" s="106" t="n">
        <v>93</v>
      </c>
      <c r="E23" s="106" t="n">
        <v>11.4</v>
      </c>
      <c r="F23" s="106" t="n">
        <v>648</v>
      </c>
      <c r="G23" s="106" t="n">
        <v>37</v>
      </c>
      <c r="H23" s="106" t="n">
        <v>10.4</v>
      </c>
      <c r="I23" s="106" t="n">
        <v>17.8</v>
      </c>
      <c r="J23" s="106" t="n">
        <v>100</v>
      </c>
      <c r="K23" s="106" t="n">
        <v>15</v>
      </c>
      <c r="L23" s="106" t="n">
        <v>0</v>
      </c>
      <c r="M23" s="106" t="n">
        <v>0</v>
      </c>
      <c r="N23" s="106" t="n">
        <v>0</v>
      </c>
      <c r="O23" s="106" t="n">
        <v>76</v>
      </c>
      <c r="P23" s="106" t="n">
        <v>40</v>
      </c>
      <c r="Q23" s="106" t="n">
        <v>30</v>
      </c>
      <c r="R23" s="106" t="n">
        <v>10</v>
      </c>
      <c r="S23" s="106" t="n">
        <v>7.2</v>
      </c>
      <c r="T23" s="106" t="n">
        <v>7.4</v>
      </c>
      <c r="U23" s="106" t="n">
        <v>0</v>
      </c>
    </row>
    <row r="24" customFormat="false" ht="15" hidden="false" customHeight="false" outlineLevel="0" collapsed="false">
      <c r="B24" s="107" t="n">
        <v>22</v>
      </c>
      <c r="C24" s="109" t="s">
        <v>661</v>
      </c>
      <c r="D24" s="109" t="n">
        <v>90</v>
      </c>
      <c r="E24" s="109" t="n">
        <v>6.67</v>
      </c>
      <c r="F24" s="109" t="n">
        <v>193</v>
      </c>
      <c r="G24" s="109" t="n">
        <v>8.7</v>
      </c>
      <c r="H24" s="109" t="n">
        <v>2.9</v>
      </c>
      <c r="I24" s="109" t="n">
        <v>5.4</v>
      </c>
      <c r="J24" s="109" t="n">
        <v>36</v>
      </c>
      <c r="K24" s="109" t="n">
        <v>5</v>
      </c>
      <c r="L24" s="109" t="n">
        <v>45</v>
      </c>
      <c r="M24" s="109" t="n">
        <v>51</v>
      </c>
      <c r="N24" s="109" t="n">
        <v>193</v>
      </c>
      <c r="O24" s="109" t="n">
        <v>14</v>
      </c>
      <c r="P24" s="109" t="n">
        <v>2.5</v>
      </c>
      <c r="Q24" s="109" t="n">
        <v>2.2</v>
      </c>
      <c r="R24" s="109" t="n">
        <v>22</v>
      </c>
      <c r="S24" s="109" t="n">
        <v>1.3</v>
      </c>
      <c r="T24" s="109" t="n">
        <v>4.7</v>
      </c>
      <c r="U24" s="109" t="n">
        <v>280</v>
      </c>
    </row>
    <row r="25" customFormat="false" ht="15" hidden="false" customHeight="false" outlineLevel="0" collapsed="false">
      <c r="B25" s="104" t="n">
        <v>23</v>
      </c>
      <c r="C25" s="106" t="s">
        <v>662</v>
      </c>
      <c r="D25" s="106" t="n">
        <v>100</v>
      </c>
      <c r="E25" s="106" t="n">
        <v>16.7</v>
      </c>
      <c r="F25" s="106" t="n">
        <v>934</v>
      </c>
      <c r="G25" s="106" t="n">
        <v>780</v>
      </c>
      <c r="H25" s="106" t="n">
        <v>0</v>
      </c>
      <c r="I25" s="106" t="n">
        <v>0</v>
      </c>
      <c r="J25" s="106" t="n">
        <v>0</v>
      </c>
      <c r="K25" s="106" t="n">
        <v>0</v>
      </c>
      <c r="L25" s="106" t="n">
        <v>0</v>
      </c>
      <c r="M25" s="106" t="n">
        <v>0</v>
      </c>
      <c r="N25" s="106" t="n">
        <v>0</v>
      </c>
      <c r="O25" s="106" t="n">
        <v>0</v>
      </c>
      <c r="P25" s="106" t="n">
        <v>0</v>
      </c>
      <c r="Q25" s="106" t="n">
        <v>0</v>
      </c>
      <c r="R25" s="106" t="n">
        <v>0</v>
      </c>
      <c r="S25" s="106" t="n">
        <v>0</v>
      </c>
      <c r="T25" s="106" t="n">
        <v>0</v>
      </c>
      <c r="U25" s="106" t="n">
        <v>0</v>
      </c>
    </row>
    <row r="26" customFormat="false" ht="15" hidden="false" customHeight="false" outlineLevel="0" collapsed="false">
      <c r="A26" s="1" t="s">
        <v>40</v>
      </c>
      <c r="B26" s="107" t="n">
        <v>24</v>
      </c>
      <c r="C26" s="109" t="s">
        <v>663</v>
      </c>
      <c r="D26" s="109" t="n">
        <v>87</v>
      </c>
      <c r="E26" s="109" t="n">
        <v>13.8</v>
      </c>
      <c r="F26" s="109" t="n">
        <v>87</v>
      </c>
      <c r="G26" s="109" t="n">
        <v>2.4</v>
      </c>
      <c r="H26" s="109" t="n">
        <v>1.8</v>
      </c>
      <c r="I26" s="109" t="n">
        <v>3.8</v>
      </c>
      <c r="J26" s="109" t="n">
        <v>40</v>
      </c>
      <c r="K26" s="109" t="n">
        <v>32</v>
      </c>
      <c r="L26" s="109" t="n">
        <v>650</v>
      </c>
      <c r="M26" s="109" t="n">
        <v>16.3</v>
      </c>
      <c r="N26" s="109" t="n">
        <v>0.1</v>
      </c>
      <c r="O26" s="109" t="n">
        <v>2.5</v>
      </c>
      <c r="P26" s="109" t="n">
        <v>0.5</v>
      </c>
      <c r="Q26" s="109" t="n">
        <v>3.3</v>
      </c>
      <c r="R26" s="109" t="n">
        <v>0.3</v>
      </c>
      <c r="S26" s="109" t="n">
        <v>0.4</v>
      </c>
      <c r="T26" s="109" t="n">
        <v>50</v>
      </c>
      <c r="U26" s="109" t="n">
        <v>0</v>
      </c>
    </row>
    <row r="27" customFormat="false" ht="15" hidden="false" customHeight="false" outlineLevel="0" collapsed="false">
      <c r="A27" s="1" t="s">
        <v>228</v>
      </c>
      <c r="B27" s="104" t="n">
        <v>25</v>
      </c>
      <c r="C27" s="106" t="s">
        <v>664</v>
      </c>
      <c r="D27" s="106" t="n">
        <v>87</v>
      </c>
      <c r="E27" s="106" t="n">
        <v>14.2</v>
      </c>
      <c r="F27" s="106" t="n">
        <v>644</v>
      </c>
      <c r="G27" s="106" t="n">
        <v>10.8</v>
      </c>
      <c r="H27" s="106" t="n">
        <v>15.2</v>
      </c>
      <c r="I27" s="106" t="n">
        <v>26.8</v>
      </c>
      <c r="J27" s="106" t="n">
        <v>39</v>
      </c>
      <c r="K27" s="106" t="n">
        <v>20</v>
      </c>
      <c r="L27" s="106" t="n">
        <v>123</v>
      </c>
      <c r="M27" s="106" t="n">
        <v>6</v>
      </c>
      <c r="N27" s="106" t="n">
        <v>8.7</v>
      </c>
      <c r="O27" s="106" t="n">
        <v>1.6</v>
      </c>
      <c r="P27" s="106" t="n">
        <v>4</v>
      </c>
      <c r="Q27" s="106" t="n">
        <v>1.9</v>
      </c>
      <c r="R27" s="106" t="n">
        <v>3.5</v>
      </c>
      <c r="S27" s="106" t="n">
        <v>2</v>
      </c>
      <c r="T27" s="106" t="n">
        <v>5</v>
      </c>
      <c r="U27" s="106" t="n">
        <v>290</v>
      </c>
    </row>
    <row r="28" customFormat="false" ht="15" hidden="false" customHeight="false" outlineLevel="0" collapsed="false">
      <c r="B28" s="107" t="n">
        <v>26</v>
      </c>
      <c r="C28" s="109" t="s">
        <v>665</v>
      </c>
      <c r="D28" s="109" t="n">
        <v>100</v>
      </c>
      <c r="E28" s="109" t="n">
        <v>0</v>
      </c>
      <c r="F28" s="109" t="n">
        <v>0</v>
      </c>
      <c r="G28" s="109" t="n">
        <v>0</v>
      </c>
      <c r="H28" s="109" t="n">
        <v>0</v>
      </c>
      <c r="I28" s="109" t="n">
        <v>0</v>
      </c>
      <c r="J28" s="109" t="n">
        <v>0</v>
      </c>
      <c r="K28" s="109" t="n">
        <v>0</v>
      </c>
      <c r="L28" s="109" t="n">
        <v>0</v>
      </c>
      <c r="M28" s="109" t="n">
        <v>0</v>
      </c>
      <c r="N28" s="109" t="n">
        <v>0</v>
      </c>
      <c r="O28" s="109" t="n">
        <v>160</v>
      </c>
      <c r="P28" s="109" t="n">
        <v>210</v>
      </c>
      <c r="Q28" s="109" t="n">
        <v>190</v>
      </c>
      <c r="R28" s="109" t="n">
        <v>0.7</v>
      </c>
      <c r="S28" s="109" t="n">
        <v>0.6</v>
      </c>
      <c r="T28" s="109" t="n">
        <v>0</v>
      </c>
      <c r="U28" s="109" t="n">
        <v>0</v>
      </c>
    </row>
    <row r="29" customFormat="false" ht="15" hidden="false" customHeight="false" outlineLevel="0" collapsed="false">
      <c r="B29" s="104" t="n">
        <v>27</v>
      </c>
      <c r="C29" s="106" t="s">
        <v>666</v>
      </c>
      <c r="D29" s="106" t="n">
        <v>100</v>
      </c>
      <c r="E29" s="106" t="n">
        <v>0</v>
      </c>
      <c r="F29" s="106" t="n">
        <v>0</v>
      </c>
      <c r="G29" s="106" t="n">
        <v>0</v>
      </c>
      <c r="H29" s="106" t="n">
        <v>0</v>
      </c>
      <c r="I29" s="106" t="n">
        <v>0</v>
      </c>
      <c r="J29" s="106" t="n">
        <v>0</v>
      </c>
      <c r="K29" s="106" t="n">
        <v>0</v>
      </c>
      <c r="L29" s="106" t="n">
        <v>0</v>
      </c>
      <c r="M29" s="106" t="n">
        <v>0</v>
      </c>
      <c r="N29" s="106" t="n">
        <v>0</v>
      </c>
      <c r="O29" s="106" t="n">
        <v>0</v>
      </c>
      <c r="P29" s="106" t="n">
        <v>0</v>
      </c>
      <c r="Q29" s="106" t="n">
        <v>0</v>
      </c>
      <c r="R29" s="106" t="n">
        <v>0</v>
      </c>
      <c r="S29" s="106" t="n">
        <v>270</v>
      </c>
      <c r="T29" s="106" t="n">
        <v>0</v>
      </c>
      <c r="U29" s="106" t="n">
        <v>0</v>
      </c>
    </row>
    <row r="30" customFormat="false" ht="15" hidden="false" customHeight="false" outlineLevel="0" collapsed="false">
      <c r="A30" s="1" t="s">
        <v>74</v>
      </c>
      <c r="B30" s="107" t="n">
        <v>28</v>
      </c>
      <c r="C30" s="109" t="s">
        <v>667</v>
      </c>
      <c r="D30" s="109" t="n">
        <v>90</v>
      </c>
      <c r="E30" s="109" t="n">
        <v>14.4</v>
      </c>
      <c r="F30" s="109" t="n">
        <v>790</v>
      </c>
      <c r="G30" s="109" t="n">
        <v>64</v>
      </c>
      <c r="H30" s="109" t="n">
        <v>18</v>
      </c>
      <c r="I30" s="109" t="n">
        <v>31</v>
      </c>
      <c r="J30" s="109" t="n">
        <v>40</v>
      </c>
      <c r="K30" s="109" t="n">
        <v>0.4</v>
      </c>
      <c r="L30" s="109" t="n">
        <v>0</v>
      </c>
      <c r="M30" s="109" t="n">
        <v>0</v>
      </c>
      <c r="N30" s="109" t="n">
        <v>0</v>
      </c>
      <c r="O30" s="109" t="n">
        <v>0.3</v>
      </c>
      <c r="P30" s="109" t="n">
        <v>4</v>
      </c>
      <c r="Q30" s="109" t="n">
        <v>2</v>
      </c>
      <c r="R30" s="109" t="n">
        <v>1</v>
      </c>
      <c r="S30" s="109" t="n">
        <v>0.1</v>
      </c>
      <c r="T30" s="109" t="n">
        <v>2.1</v>
      </c>
      <c r="U30" s="109" t="n">
        <v>0</v>
      </c>
    </row>
    <row r="31" customFormat="false" ht="15" hidden="false" customHeight="false" outlineLevel="0" collapsed="false">
      <c r="A31" s="1" t="s">
        <v>46</v>
      </c>
      <c r="B31" s="104" t="n">
        <v>29</v>
      </c>
      <c r="C31" s="106" t="s">
        <v>668</v>
      </c>
      <c r="D31" s="106" t="n">
        <v>90</v>
      </c>
      <c r="E31" s="106" t="n">
        <v>7.6</v>
      </c>
      <c r="F31" s="106" t="n">
        <v>348</v>
      </c>
      <c r="G31" s="106" t="n">
        <v>19.5</v>
      </c>
      <c r="H31" s="106" t="n">
        <v>7.1</v>
      </c>
      <c r="I31" s="106" t="n">
        <v>15.9</v>
      </c>
      <c r="J31" s="106" t="n">
        <v>23</v>
      </c>
      <c r="K31" s="106" t="n">
        <v>7</v>
      </c>
      <c r="L31" s="106" t="n">
        <v>40</v>
      </c>
      <c r="M31" s="106" t="n">
        <v>78</v>
      </c>
      <c r="N31" s="106" t="n">
        <v>120</v>
      </c>
      <c r="O31" s="106" t="n">
        <v>5</v>
      </c>
      <c r="P31" s="106" t="n">
        <v>10</v>
      </c>
      <c r="Q31" s="106" t="n">
        <v>2.8</v>
      </c>
      <c r="R31" s="106" t="n">
        <v>14</v>
      </c>
      <c r="S31" s="106" t="n">
        <v>0.8</v>
      </c>
      <c r="T31" s="106" t="n">
        <v>0.13</v>
      </c>
      <c r="U31" s="106" t="n">
        <v>0</v>
      </c>
    </row>
    <row r="32" customFormat="false" ht="15" hidden="false" customHeight="false" outlineLevel="0" collapsed="false">
      <c r="A32" s="1" t="s">
        <v>39</v>
      </c>
      <c r="B32" s="107" t="n">
        <v>30</v>
      </c>
      <c r="C32" s="109" t="s">
        <v>669</v>
      </c>
      <c r="D32" s="109" t="n">
        <v>87</v>
      </c>
      <c r="E32" s="109" t="n">
        <v>11.2</v>
      </c>
      <c r="F32" s="109" t="n">
        <v>96</v>
      </c>
      <c r="G32" s="109" t="n">
        <v>3.9</v>
      </c>
      <c r="H32" s="109" t="n">
        <v>1.7</v>
      </c>
      <c r="I32" s="109" t="n">
        <v>4.2</v>
      </c>
      <c r="J32" s="109" t="n">
        <v>16</v>
      </c>
      <c r="K32" s="109" t="n">
        <v>7</v>
      </c>
      <c r="L32" s="109" t="n">
        <v>568</v>
      </c>
      <c r="M32" s="109" t="n">
        <v>55</v>
      </c>
      <c r="N32" s="109" t="n">
        <v>26</v>
      </c>
      <c r="O32" s="109" t="n">
        <v>0.6</v>
      </c>
      <c r="P32" s="109" t="n">
        <v>3.3</v>
      </c>
      <c r="Q32" s="109" t="n">
        <v>1.7</v>
      </c>
      <c r="R32" s="109" t="n">
        <v>4.6</v>
      </c>
      <c r="S32" s="109" t="n">
        <v>0.2</v>
      </c>
      <c r="T32" s="109" t="n">
        <v>0.3</v>
      </c>
      <c r="U32" s="109" t="n">
        <v>0</v>
      </c>
    </row>
    <row r="33" customFormat="false" ht="15" hidden="false" customHeight="false" outlineLevel="0" collapsed="false">
      <c r="A33" s="1" t="s">
        <v>38</v>
      </c>
      <c r="B33" s="104" t="n">
        <v>31</v>
      </c>
      <c r="C33" s="106" t="s">
        <v>670</v>
      </c>
      <c r="D33" s="106" t="n">
        <v>89</v>
      </c>
      <c r="E33" s="106" t="n">
        <v>13</v>
      </c>
      <c r="F33" s="106" t="n">
        <v>115</v>
      </c>
      <c r="G33" s="106" t="n">
        <v>4.2</v>
      </c>
      <c r="H33" s="106" t="n">
        <v>2.8</v>
      </c>
      <c r="I33" s="106" t="n">
        <v>2.1</v>
      </c>
      <c r="J33" s="106" t="n">
        <v>4.9</v>
      </c>
      <c r="K33" s="106" t="n">
        <v>8</v>
      </c>
      <c r="L33" s="106" t="n">
        <v>550</v>
      </c>
      <c r="M33" s="106" t="n">
        <v>60</v>
      </c>
      <c r="N33" s="106" t="n">
        <v>21</v>
      </c>
      <c r="O33" s="106" t="n">
        <v>0.6</v>
      </c>
      <c r="P33" s="106" t="n">
        <v>3.3</v>
      </c>
      <c r="Q33" s="106" t="n">
        <v>0</v>
      </c>
      <c r="R33" s="106" t="n">
        <v>1.7</v>
      </c>
      <c r="S33" s="106" t="n">
        <v>4.6</v>
      </c>
      <c r="T33" s="106" t="n">
        <v>0.2</v>
      </c>
      <c r="U33" s="106" t="n">
        <v>0.5</v>
      </c>
    </row>
    <row r="34" customFormat="false" ht="15" hidden="false" customHeight="false" outlineLevel="0" collapsed="false">
      <c r="B34" s="107" t="n">
        <v>32</v>
      </c>
      <c r="C34" s="109" t="s">
        <v>671</v>
      </c>
      <c r="D34" s="109" t="n">
        <v>99</v>
      </c>
      <c r="E34" s="109" t="n">
        <v>34</v>
      </c>
      <c r="F34" s="109" t="n">
        <v>0</v>
      </c>
      <c r="G34" s="109" t="n">
        <v>0</v>
      </c>
      <c r="H34" s="109" t="n">
        <v>0</v>
      </c>
      <c r="I34" s="109" t="n">
        <v>0</v>
      </c>
      <c r="J34" s="109" t="n">
        <v>990</v>
      </c>
      <c r="K34" s="109" t="n">
        <v>40</v>
      </c>
      <c r="L34" s="109" t="n">
        <v>0</v>
      </c>
      <c r="M34" s="109" t="n">
        <v>0</v>
      </c>
      <c r="N34" s="109" t="n">
        <v>0</v>
      </c>
      <c r="O34" s="109" t="n">
        <v>0</v>
      </c>
      <c r="P34" s="109" t="n">
        <v>0</v>
      </c>
      <c r="Q34" s="109" t="n">
        <v>0</v>
      </c>
      <c r="R34" s="109" t="n">
        <v>0</v>
      </c>
      <c r="S34" s="109" t="n">
        <v>0</v>
      </c>
      <c r="T34" s="109" t="n">
        <v>0</v>
      </c>
      <c r="U34" s="109" t="n">
        <v>0</v>
      </c>
    </row>
    <row r="35" customFormat="false" ht="15" hidden="false" customHeight="false" outlineLevel="0" collapsed="false">
      <c r="A35" s="1" t="s">
        <v>51</v>
      </c>
      <c r="B35" s="104" t="n">
        <v>33</v>
      </c>
      <c r="C35" s="106" t="s">
        <v>672</v>
      </c>
      <c r="D35" s="106" t="n">
        <v>87</v>
      </c>
      <c r="E35" s="106" t="n">
        <v>9.1</v>
      </c>
      <c r="F35" s="106" t="n">
        <v>440</v>
      </c>
      <c r="G35" s="106" t="n">
        <v>27.5</v>
      </c>
      <c r="H35" s="106" t="n">
        <v>6.4</v>
      </c>
      <c r="I35" s="106" t="n">
        <v>13.1</v>
      </c>
      <c r="J35" s="106" t="n">
        <v>13</v>
      </c>
      <c r="K35" s="106" t="n">
        <v>6</v>
      </c>
      <c r="L35" s="106" t="n">
        <v>64</v>
      </c>
      <c r="M35" s="106" t="n">
        <v>93</v>
      </c>
      <c r="N35" s="106" t="n">
        <v>60</v>
      </c>
      <c r="O35" s="106" t="n">
        <v>2</v>
      </c>
      <c r="P35" s="106" t="n">
        <v>6</v>
      </c>
      <c r="Q35" s="106" t="n">
        <v>1.8</v>
      </c>
      <c r="R35" s="106" t="n">
        <v>20</v>
      </c>
      <c r="S35" s="106" t="n">
        <v>0.02</v>
      </c>
      <c r="T35" s="106" t="n">
        <v>0.1</v>
      </c>
      <c r="U35" s="106" t="n">
        <v>0</v>
      </c>
    </row>
    <row r="36" customFormat="false" ht="15" hidden="false" customHeight="false" outlineLevel="0" collapsed="false">
      <c r="B36" s="107" t="n">
        <v>34</v>
      </c>
      <c r="C36" s="109" t="s">
        <v>673</v>
      </c>
      <c r="D36" s="109" t="n">
        <v>99</v>
      </c>
      <c r="E36" s="109" t="n">
        <v>36</v>
      </c>
      <c r="F36" s="109" t="n">
        <v>0</v>
      </c>
      <c r="G36" s="109" t="n">
        <v>0</v>
      </c>
      <c r="H36" s="109" t="n">
        <v>0</v>
      </c>
      <c r="I36" s="109" t="n">
        <v>0</v>
      </c>
      <c r="J36" s="109" t="n">
        <v>990</v>
      </c>
      <c r="K36" s="109" t="n">
        <v>524</v>
      </c>
      <c r="L36" s="109" t="n">
        <v>0</v>
      </c>
      <c r="M36" s="109" t="n">
        <v>0</v>
      </c>
      <c r="N36" s="109" t="n">
        <v>0</v>
      </c>
      <c r="O36" s="109" t="n">
        <v>0</v>
      </c>
      <c r="P36" s="109" t="n">
        <v>0</v>
      </c>
      <c r="Q36" s="109" t="n">
        <v>0</v>
      </c>
      <c r="R36" s="109" t="n">
        <v>0</v>
      </c>
      <c r="S36" s="109" t="n">
        <v>0</v>
      </c>
      <c r="T36" s="109" t="n">
        <v>0</v>
      </c>
      <c r="U36" s="109" t="n">
        <v>0</v>
      </c>
    </row>
    <row r="37" customFormat="false" ht="15" hidden="false" customHeight="false" outlineLevel="0" collapsed="false">
      <c r="A37" s="1" t="s">
        <v>35</v>
      </c>
      <c r="B37" s="104" t="n">
        <v>35</v>
      </c>
      <c r="C37" s="106" t="s">
        <v>674</v>
      </c>
      <c r="D37" s="106" t="n">
        <v>87</v>
      </c>
      <c r="E37" s="106" t="n">
        <v>12.8</v>
      </c>
      <c r="F37" s="106" t="n">
        <v>113</v>
      </c>
      <c r="G37" s="106" t="n">
        <v>3.1</v>
      </c>
      <c r="H37" s="106" t="n">
        <v>1.8</v>
      </c>
      <c r="I37" s="106" t="n">
        <v>4.2</v>
      </c>
      <c r="J37" s="106" t="n">
        <v>19</v>
      </c>
      <c r="K37" s="106" t="n">
        <v>8</v>
      </c>
      <c r="L37" s="106" t="n">
        <v>580</v>
      </c>
      <c r="M37" s="106" t="n">
        <v>78</v>
      </c>
      <c r="N37" s="106" t="n">
        <v>21</v>
      </c>
      <c r="O37" s="106" t="n">
        <v>0.6</v>
      </c>
      <c r="P37" s="106" t="n">
        <v>3.3</v>
      </c>
      <c r="Q37" s="106" t="n">
        <v>1.8</v>
      </c>
      <c r="R37" s="106" t="n">
        <v>4</v>
      </c>
      <c r="S37" s="106" t="n">
        <v>0.4</v>
      </c>
      <c r="T37" s="106" t="n">
        <v>0.8</v>
      </c>
      <c r="U37" s="106" t="n">
        <v>0</v>
      </c>
    </row>
    <row r="38" customFormat="false" ht="15" hidden="false" customHeight="false" outlineLevel="0" collapsed="false">
      <c r="A38" s="1" t="s">
        <v>61</v>
      </c>
      <c r="B38" s="107" t="n">
        <v>36</v>
      </c>
      <c r="C38" s="109" t="s">
        <v>675</v>
      </c>
      <c r="D38" s="109" t="n">
        <v>87</v>
      </c>
      <c r="E38" s="109" t="n">
        <v>12.2</v>
      </c>
      <c r="F38" s="109" t="n">
        <v>169</v>
      </c>
      <c r="G38" s="109" t="n">
        <v>5.9</v>
      </c>
      <c r="H38" s="109" t="n">
        <v>2.8</v>
      </c>
      <c r="I38" s="109" t="n">
        <v>6.3</v>
      </c>
      <c r="J38" s="109" t="n">
        <v>44</v>
      </c>
      <c r="K38" s="109" t="n">
        <v>15</v>
      </c>
      <c r="L38" s="109" t="n">
        <v>419</v>
      </c>
      <c r="M38" s="109" t="n">
        <v>60</v>
      </c>
      <c r="N38" s="109" t="n">
        <v>26</v>
      </c>
      <c r="O38" s="109" t="n">
        <v>0.8</v>
      </c>
      <c r="P38" s="109" t="n">
        <v>4</v>
      </c>
      <c r="Q38" s="109" t="n">
        <v>1.5</v>
      </c>
      <c r="R38" s="109" t="n">
        <v>5.1</v>
      </c>
      <c r="S38" s="109" t="n">
        <v>0.5</v>
      </c>
      <c r="T38" s="109" t="n">
        <v>1.4</v>
      </c>
      <c r="U38" s="109" t="n">
        <v>0</v>
      </c>
    </row>
    <row r="39" customFormat="false" ht="15" hidden="false" customHeight="false" outlineLevel="0" collapsed="false">
      <c r="B39" s="104" t="n">
        <v>37</v>
      </c>
      <c r="C39" s="106" t="s">
        <v>676</v>
      </c>
      <c r="D39" s="106" t="n">
        <v>87</v>
      </c>
      <c r="E39" s="106" t="n">
        <v>9.4</v>
      </c>
      <c r="F39" s="106" t="n">
        <v>157</v>
      </c>
      <c r="G39" s="106" t="n">
        <v>5.7</v>
      </c>
      <c r="H39" s="106" t="n">
        <v>2.6</v>
      </c>
      <c r="I39" s="106" t="n">
        <v>5.8</v>
      </c>
      <c r="J39" s="106" t="n">
        <v>39</v>
      </c>
      <c r="K39" s="106" t="n">
        <v>12</v>
      </c>
      <c r="L39" s="106" t="n">
        <v>270</v>
      </c>
      <c r="M39" s="106" t="n">
        <v>66</v>
      </c>
      <c r="N39" s="106" t="n">
        <v>65</v>
      </c>
      <c r="O39" s="106" t="n">
        <v>0.8</v>
      </c>
      <c r="P39" s="106" t="n">
        <v>4</v>
      </c>
      <c r="Q39" s="106" t="n">
        <v>1.5</v>
      </c>
      <c r="R39" s="106" t="n">
        <v>5.1</v>
      </c>
      <c r="S39" s="106" t="n">
        <v>0.5</v>
      </c>
      <c r="T39" s="106" t="n">
        <v>1.4</v>
      </c>
      <c r="U39" s="106" t="n">
        <v>0</v>
      </c>
    </row>
    <row r="40" customFormat="false" ht="15" hidden="false" customHeight="false" outlineLevel="0" collapsed="false">
      <c r="A40" s="1" t="s">
        <v>59</v>
      </c>
      <c r="B40" s="107" t="n">
        <v>38</v>
      </c>
      <c r="C40" s="109" t="s">
        <v>677</v>
      </c>
      <c r="D40" s="109" t="n">
        <v>87</v>
      </c>
      <c r="E40" s="109" t="n">
        <v>6.8</v>
      </c>
      <c r="F40" s="109" t="n">
        <v>157</v>
      </c>
      <c r="G40" s="109" t="n">
        <v>6.4</v>
      </c>
      <c r="H40" s="109" t="n">
        <v>2.5</v>
      </c>
      <c r="I40" s="109" t="n">
        <v>5.8</v>
      </c>
      <c r="J40" s="109" t="n">
        <v>45</v>
      </c>
      <c r="K40" s="109" t="n">
        <v>12</v>
      </c>
      <c r="L40" s="109" t="n">
        <v>135</v>
      </c>
      <c r="M40" s="109" t="n">
        <v>55</v>
      </c>
      <c r="N40" s="109" t="n">
        <v>100</v>
      </c>
      <c r="O40" s="109" t="n">
        <v>1.5</v>
      </c>
      <c r="P40" s="109" t="n">
        <v>11.5</v>
      </c>
      <c r="Q40" s="109" t="n">
        <v>6</v>
      </c>
      <c r="R40" s="109" t="n">
        <v>9.9</v>
      </c>
      <c r="S40" s="109" t="n">
        <v>0.8</v>
      </c>
      <c r="T40" s="109" t="n">
        <v>0.3</v>
      </c>
      <c r="U40" s="109" t="n">
        <v>0</v>
      </c>
    </row>
    <row r="41" customFormat="false" ht="15" hidden="false" customHeight="false" outlineLevel="0" collapsed="false">
      <c r="A41" s="1" t="s">
        <v>41</v>
      </c>
      <c r="B41" s="104" t="n">
        <v>39</v>
      </c>
      <c r="C41" s="106" t="s">
        <v>678</v>
      </c>
      <c r="D41" s="106" t="n">
        <v>87</v>
      </c>
      <c r="E41" s="106" t="n">
        <v>11</v>
      </c>
      <c r="F41" s="106" t="n">
        <v>226</v>
      </c>
      <c r="G41" s="106" t="n">
        <v>15.8</v>
      </c>
      <c r="H41" s="106" t="n">
        <v>2.3</v>
      </c>
      <c r="I41" s="106" t="n">
        <v>5.6</v>
      </c>
      <c r="J41" s="106" t="n">
        <v>13</v>
      </c>
      <c r="K41" s="106" t="n">
        <v>2.7</v>
      </c>
      <c r="L41" s="106" t="n">
        <v>416</v>
      </c>
      <c r="M41" s="106" t="n">
        <v>56</v>
      </c>
      <c r="N41" s="106" t="n">
        <v>61</v>
      </c>
      <c r="O41" s="106" t="n">
        <v>1.2</v>
      </c>
      <c r="P41" s="106" t="n">
        <v>3.5</v>
      </c>
      <c r="Q41" s="106" t="n">
        <v>1.2</v>
      </c>
      <c r="R41" s="106" t="n">
        <v>10.2</v>
      </c>
      <c r="S41" s="106" t="n">
        <v>0.4</v>
      </c>
      <c r="T41" s="106" t="n">
        <v>0.6</v>
      </c>
      <c r="U41" s="106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LibreOffice/24.8.3.2$Linux_X86_64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en-GB</dc:language>
  <cp:lastModifiedBy>WW</cp:lastModifiedBy>
  <dcterms:modified xsi:type="dcterms:W3CDTF">2024-12-10T10:15:07Z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