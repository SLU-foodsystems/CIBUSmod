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9870"/>
  </bookViews>
  <sheets>
    <sheet name="default" sheetId="1" r:id="rId1"/>
    <sheet name="Sheet1" sheetId="2" r:id="rId2"/>
    <sheet name="Trad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7" i="1" l="1"/>
  <c r="K225" i="1"/>
  <c r="K223" i="1"/>
  <c r="K221" i="1"/>
  <c r="K219" i="1"/>
  <c r="K145" i="1" l="1"/>
  <c r="K19" i="1"/>
  <c r="K18" i="1"/>
  <c r="K17" i="1"/>
  <c r="K16" i="1"/>
  <c r="K15" i="1"/>
  <c r="K14" i="1"/>
  <c r="K12" i="1"/>
  <c r="K11" i="1"/>
  <c r="K8" i="1"/>
  <c r="K7" i="1"/>
  <c r="K9" i="1"/>
  <c r="K10" i="1"/>
  <c r="T17" i="4" l="1"/>
  <c r="P17" i="4"/>
  <c r="Q17" i="4"/>
  <c r="R17" i="4"/>
  <c r="S17" i="4"/>
  <c r="O17" i="4"/>
  <c r="N17" i="4"/>
  <c r="H17" i="4"/>
  <c r="O8" i="4"/>
  <c r="P8" i="4"/>
  <c r="O9" i="4"/>
  <c r="P9" i="4"/>
  <c r="O10" i="4"/>
  <c r="P10" i="4"/>
  <c r="O11" i="4"/>
  <c r="P11" i="4"/>
  <c r="T11" i="4" s="1"/>
  <c r="O12" i="4"/>
  <c r="P12" i="4"/>
  <c r="R11" i="4"/>
  <c r="Q9" i="4"/>
  <c r="R9" i="4"/>
  <c r="S9" i="4"/>
  <c r="Q10" i="4"/>
  <c r="R10" i="4"/>
  <c r="S10" i="4"/>
  <c r="Q11" i="4"/>
  <c r="S11" i="4"/>
  <c r="T12" i="4"/>
  <c r="Q12" i="4"/>
  <c r="R12" i="4"/>
  <c r="S12" i="4"/>
  <c r="Q8" i="4"/>
  <c r="R8" i="4"/>
  <c r="T8" i="4" s="1"/>
  <c r="S8" i="4"/>
  <c r="T10" i="4"/>
  <c r="N12" i="4"/>
  <c r="N11" i="4"/>
  <c r="N10" i="4"/>
  <c r="N9" i="4"/>
  <c r="N8" i="4"/>
  <c r="H9" i="4"/>
  <c r="H10" i="4"/>
  <c r="H11" i="4"/>
  <c r="H12" i="4"/>
  <c r="H8" i="4"/>
  <c r="T9" i="4" l="1"/>
  <c r="K325" i="1"/>
  <c r="K323" i="1"/>
  <c r="K42" i="1" l="1"/>
  <c r="K45" i="1"/>
  <c r="K239" i="1"/>
  <c r="K35" i="1"/>
  <c r="K206" i="1" l="1"/>
  <c r="K150" i="1"/>
  <c r="K71" i="1" l="1"/>
  <c r="K295" i="1" l="1"/>
  <c r="K154" i="1" l="1"/>
  <c r="K152" i="1"/>
  <c r="K147" i="1"/>
  <c r="K143" i="1"/>
  <c r="K73" i="1" l="1"/>
  <c r="K72" i="1"/>
  <c r="K369" i="1" l="1"/>
  <c r="K370" i="1" s="1"/>
  <c r="K342" i="1" l="1"/>
  <c r="K341" i="1"/>
  <c r="K340" i="1"/>
  <c r="K183" i="1"/>
  <c r="K182" i="1"/>
  <c r="K184" i="1" l="1"/>
  <c r="K189" i="1"/>
  <c r="K118" i="1"/>
  <c r="K48" i="1"/>
  <c r="K49" i="1"/>
  <c r="K332" i="1" l="1"/>
  <c r="K331" i="1"/>
  <c r="K319" i="1"/>
  <c r="K181" i="1"/>
  <c r="K47" i="1"/>
  <c r="K330" i="1" l="1"/>
  <c r="K329" i="1"/>
  <c r="K328" i="1"/>
  <c r="K327" i="1"/>
  <c r="K326" i="1" l="1"/>
  <c r="K322" i="1"/>
  <c r="K321" i="1"/>
  <c r="K320" i="1" s="1"/>
  <c r="K318" i="1"/>
  <c r="K324" i="1" l="1"/>
  <c r="K337" i="1"/>
  <c r="K336" i="1"/>
  <c r="K335" i="1"/>
  <c r="K3" i="1" l="1"/>
</calcChain>
</file>

<file path=xl/sharedStrings.xml><?xml version="1.0" encoding="utf-8"?>
<sst xmlns="http://schemas.openxmlformats.org/spreadsheetml/2006/main" count="1596" uniqueCount="338">
  <si>
    <t>parameter</t>
  </si>
  <si>
    <t>value</t>
  </si>
  <si>
    <t>description</t>
  </si>
  <si>
    <t>source</t>
  </si>
  <si>
    <t>unit</t>
  </si>
  <si>
    <t>population</t>
  </si>
  <si>
    <t>millions</t>
  </si>
  <si>
    <t>SCB</t>
  </si>
  <si>
    <t>Swedish pop. in 2020</t>
  </si>
  <si>
    <t>DIET</t>
  </si>
  <si>
    <t>Cereals (excl. beer)</t>
  </si>
  <si>
    <t>Tubers or starchy vegetables</t>
  </si>
  <si>
    <t>Vegetables</t>
  </si>
  <si>
    <t>Fruits (excl. wine)</t>
  </si>
  <si>
    <t>Dairy foods</t>
  </si>
  <si>
    <t>Eggs</t>
  </si>
  <si>
    <t>Fish</t>
  </si>
  <si>
    <t>POPULATION</t>
  </si>
  <si>
    <t>consumption</t>
  </si>
  <si>
    <t>g/day</t>
  </si>
  <si>
    <t>Pulses and oil seeds</t>
  </si>
  <si>
    <t>Treenuts</t>
  </si>
  <si>
    <t>Vegetable oils</t>
  </si>
  <si>
    <t>Meat, offals and animal fats</t>
  </si>
  <si>
    <t>Sweeteners</t>
  </si>
  <si>
    <t>f_food_group</t>
  </si>
  <si>
    <t>cereals</t>
  </si>
  <si>
    <t>f_crop_prod</t>
  </si>
  <si>
    <t>f_by_prod</t>
  </si>
  <si>
    <t>Alcoholic beverages</t>
  </si>
  <si>
    <t>Stimulants</t>
  </si>
  <si>
    <t>Spices</t>
  </si>
  <si>
    <t>Wild food</t>
  </si>
  <si>
    <t>Novel foods</t>
  </si>
  <si>
    <t>WASTE</t>
  </si>
  <si>
    <t>f_animal_prod</t>
  </si>
  <si>
    <t>f_food</t>
  </si>
  <si>
    <t>wheat</t>
  </si>
  <si>
    <t>%</t>
  </si>
  <si>
    <t>IMPORT SHARES</t>
  </si>
  <si>
    <t>share_imported</t>
  </si>
  <si>
    <t>share_in_prod_system</t>
  </si>
  <si>
    <t>f_prod_system</t>
  </si>
  <si>
    <t>organic</t>
  </si>
  <si>
    <t>Fallback</t>
  </si>
  <si>
    <t>conventional</t>
  </si>
  <si>
    <t>-</t>
  </si>
  <si>
    <t>f_origin</t>
  </si>
  <si>
    <t>barley</t>
  </si>
  <si>
    <t>f_waste_level</t>
  </si>
  <si>
    <t>household</t>
  </si>
  <si>
    <t>retail</t>
  </si>
  <si>
    <t>processing</t>
  </si>
  <si>
    <t>waste_share</t>
  </si>
  <si>
    <t>Pig meat and products</t>
  </si>
  <si>
    <t>meat</t>
  </si>
  <si>
    <t>f_species</t>
  </si>
  <si>
    <t>pigs</t>
  </si>
  <si>
    <r>
      <t>CONVERSION FACTORS</t>
    </r>
    <r>
      <rPr>
        <sz val="11"/>
        <color theme="1"/>
        <rFont val="Calibri"/>
        <family val="2"/>
        <scheme val="minor"/>
      </rPr>
      <t xml:space="preserve"> (share of crop/animal product ending up as corresponding food or by-product)</t>
    </r>
  </si>
  <si>
    <t>milk</t>
  </si>
  <si>
    <t>cream</t>
  </si>
  <si>
    <t>Milk and products 1-2% fat</t>
  </si>
  <si>
    <t>Milk and products less than 1% fat</t>
  </si>
  <si>
    <t>Milk and products more than 2% fat</t>
  </si>
  <si>
    <t>Cheese</t>
  </si>
  <si>
    <t>Butter</t>
  </si>
  <si>
    <t>Cream low fat</t>
  </si>
  <si>
    <t>Cream high fat</t>
  </si>
  <si>
    <t>Icecream</t>
  </si>
  <si>
    <t>Sourcream</t>
  </si>
  <si>
    <t>whey</t>
  </si>
  <si>
    <t>0.5% fat (4.2% fat in raw milk and 40% in cream)</t>
  </si>
  <si>
    <t>1.5% fat</t>
  </si>
  <si>
    <t>3% fat</t>
  </si>
  <si>
    <t>12% fat</t>
  </si>
  <si>
    <t>13% fat</t>
  </si>
  <si>
    <t>40% fat</t>
  </si>
  <si>
    <t>80% fat</t>
  </si>
  <si>
    <t>10% fat</t>
  </si>
  <si>
    <t>cattle</t>
  </si>
  <si>
    <t>produced from milk w. 3% fat</t>
  </si>
  <si>
    <t>dairy</t>
  </si>
  <si>
    <t>buttermilk</t>
  </si>
  <si>
    <t>1% fat in buttermilk</t>
  </si>
  <si>
    <t>disagg?</t>
  </si>
  <si>
    <t>conv_factor_main</t>
  </si>
  <si>
    <t>conv_factor_by</t>
  </si>
  <si>
    <t>domestic</t>
  </si>
  <si>
    <t>Maize and products</t>
  </si>
  <si>
    <t>need to check overlap with conversion factors</t>
  </si>
  <si>
    <t>rye</t>
  </si>
  <si>
    <t>oats</t>
  </si>
  <si>
    <t>FAO 1992</t>
  </si>
  <si>
    <t>calc from fat content</t>
  </si>
  <si>
    <t>SJV stat</t>
  </si>
  <si>
    <t>Bovine meat and products</t>
  </si>
  <si>
    <t>(1/0.76)=carcass weight--&gt;live weight</t>
  </si>
  <si>
    <t>(1/0.52)=carcass weight--&gt;live weight</t>
  </si>
  <si>
    <t>SJV stat (2016-2020)</t>
  </si>
  <si>
    <t>Potatoes, fresh</t>
  </si>
  <si>
    <t>Potatoes, frozen</t>
  </si>
  <si>
    <t>Starch of potatoes</t>
  </si>
  <si>
    <t>Potato flour, meal, powder, granulates and pellets of potatoes</t>
  </si>
  <si>
    <t>tubers</t>
  </si>
  <si>
    <t>where do we handle discarded potatoes?</t>
  </si>
  <si>
    <t>potatoes table</t>
  </si>
  <si>
    <t>potatoes starch</t>
  </si>
  <si>
    <t>Tomatoes and products</t>
  </si>
  <si>
    <t>vegetables</t>
  </si>
  <si>
    <t>tomatoes</t>
  </si>
  <si>
    <t>Cucumbers and gherkins</t>
  </si>
  <si>
    <t>cucumbers</t>
  </si>
  <si>
    <t>alcoholic beverages</t>
  </si>
  <si>
    <t>Assumed same as 'Barley and products'</t>
  </si>
  <si>
    <t>Chapter 16.2 in Pandey. 2009. Biotechnology for Agro-Industrial Residues Utilisation</t>
  </si>
  <si>
    <t>~75% water content. 20% of produced beer</t>
  </si>
  <si>
    <t>wheat bran</t>
  </si>
  <si>
    <t>wheat germ</t>
  </si>
  <si>
    <t>barley bran</t>
  </si>
  <si>
    <t>barley hulls</t>
  </si>
  <si>
    <t>rye bran</t>
  </si>
  <si>
    <t>oat offals</t>
  </si>
  <si>
    <t>potatoe offals</t>
  </si>
  <si>
    <t>pig offals</t>
  </si>
  <si>
    <t>pig slaughterhouse fat</t>
  </si>
  <si>
    <t>pig skins</t>
  </si>
  <si>
    <t>pig butcher fat</t>
  </si>
  <si>
    <t>cattle offals</t>
  </si>
  <si>
    <t>cattle slaughterhouse fat</t>
  </si>
  <si>
    <t>cattle skins</t>
  </si>
  <si>
    <t>cattle butcher fat</t>
  </si>
  <si>
    <t>barley brewers grain</t>
  </si>
  <si>
    <t>Rape and mustard oil and products</t>
  </si>
  <si>
    <t>vegetable oils</t>
  </si>
  <si>
    <t>rapeseed</t>
  </si>
  <si>
    <t>rapeseed meal</t>
  </si>
  <si>
    <t>rapeseed cake</t>
  </si>
  <si>
    <t>calc. based on 45.5% fat in seed and 20% fat in cold pressed cake</t>
  </si>
  <si>
    <t>1/3 of oil other added here</t>
  </si>
  <si>
    <t>Sunflowerseed oil and products</t>
  </si>
  <si>
    <t>Olive oil and products</t>
  </si>
  <si>
    <t>Carrots and turnips</t>
  </si>
  <si>
    <t>carrots</t>
  </si>
  <si>
    <t>Cabbages (and cauliflower &amp; broccoli)</t>
  </si>
  <si>
    <t>Lettuce and spinach</t>
  </si>
  <si>
    <t>Pumpkins, squash and gourds</t>
  </si>
  <si>
    <t>Peas, green</t>
  </si>
  <si>
    <t>Onions, dry</t>
  </si>
  <si>
    <t>peas green</t>
  </si>
  <si>
    <t>cabbages etc</t>
  </si>
  <si>
    <t>lettuce and spinach</t>
  </si>
  <si>
    <t>pumpkins and squash</t>
  </si>
  <si>
    <t>other vegetables</t>
  </si>
  <si>
    <t>onions</t>
  </si>
  <si>
    <t>Other vegetables</t>
  </si>
  <si>
    <t>assumed same as wheat</t>
  </si>
  <si>
    <t>100% in Hanna's sheet</t>
  </si>
  <si>
    <r>
      <t>PRODUCTION SYSTEM SHARES</t>
    </r>
    <r>
      <rPr>
        <sz val="11"/>
        <color theme="1"/>
        <rFont val="Calibri"/>
        <family val="2"/>
        <scheme val="minor"/>
      </rPr>
      <t xml:space="preserve"> (shares can be different for 'domestic' and 'imported' by specifying 'f_origin')</t>
    </r>
  </si>
  <si>
    <t>Raps</t>
  </si>
  <si>
    <t>Kanske används lite I FAME. Troligen ej I HVO</t>
  </si>
  <si>
    <t>Kan vara annat, såpa</t>
  </si>
  <si>
    <t>Margarin, Hanna kollar</t>
  </si>
  <si>
    <t>Hönsen?</t>
  </si>
  <si>
    <t>Fiskfoder? Export till Norge?</t>
  </si>
  <si>
    <t>Potatis stärkelse</t>
  </si>
  <si>
    <t>Konsumption kan vara underskattad</t>
  </si>
  <si>
    <t>Finns det export</t>
  </si>
  <si>
    <t>Vete</t>
  </si>
  <si>
    <t>200 000 ton foder</t>
  </si>
  <si>
    <t>600 000 ton spannmål (absolut majoritet vete) per år till Agroetanol. Även lite rågvete</t>
  </si>
  <si>
    <t>Morötter</t>
  </si>
  <si>
    <t>Morötter till foder</t>
  </si>
  <si>
    <t>Avg. of "Klass 1&amp;2" and "Klass 3"</t>
  </si>
  <si>
    <t>Ekologiska årsrapporten 2021</t>
  </si>
  <si>
    <t>From share organic raw milk to dairies. Using product level shares difficult</t>
  </si>
  <si>
    <t>From prod. stat</t>
  </si>
  <si>
    <t>"Havregryn"</t>
  </si>
  <si>
    <t>"Sallat"</t>
  </si>
  <si>
    <t>"Morötter"</t>
  </si>
  <si>
    <t>"Lök"</t>
  </si>
  <si>
    <t>"Gurka"</t>
  </si>
  <si>
    <t>"Tomater"</t>
  </si>
  <si>
    <t>barley malt culms</t>
  </si>
  <si>
    <t>maltgroddar</t>
  </si>
  <si>
    <t>Share conventional is calculated as what remains (value should be -100). Do not specify per food</t>
  </si>
  <si>
    <t>oat hulls</t>
  </si>
  <si>
    <t>Wheat and products, refined</t>
  </si>
  <si>
    <t>Barley and products, refined</t>
  </si>
  <si>
    <t>Rye and products, refined</t>
  </si>
  <si>
    <t>Oats and products, refined</t>
  </si>
  <si>
    <t>Other cereals and products, refined</t>
  </si>
  <si>
    <t>Wheat and products, whole grain</t>
  </si>
  <si>
    <t>Barley and products, whole grain</t>
  </si>
  <si>
    <t>Rye and products, whole grain</t>
  </si>
  <si>
    <t>Oats and products, whole grain</t>
  </si>
  <si>
    <t>Other cereals and products, whole grain</t>
  </si>
  <si>
    <t>EXPORTS</t>
  </si>
  <si>
    <t>tonnes</t>
  </si>
  <si>
    <t>potatoe protein</t>
  </si>
  <si>
    <t>2% prot. in potatoes, 50% recovery, 84.4% prot. in potatoe protein DM, 90% DM</t>
  </si>
  <si>
    <t>Pers. Com. Kalle Johansson, Lyckeby, 2023-05</t>
  </si>
  <si>
    <t>Biofuel, ethanol</t>
  </si>
  <si>
    <t>Biofuel, RME</t>
  </si>
  <si>
    <t>Produced from domestic rapseed</t>
  </si>
  <si>
    <t>non_food_demand</t>
  </si>
  <si>
    <t>BIOENERGY AND OTHER NON-FOOD DEMAND</t>
  </si>
  <si>
    <t>Bioenergy</t>
  </si>
  <si>
    <t>non-food</t>
  </si>
  <si>
    <t>Assuming Oil:RME = 1:1</t>
  </si>
  <si>
    <t>Peas, dry</t>
  </si>
  <si>
    <t>Broad beans and horse beans, dry</t>
  </si>
  <si>
    <t>Beans, dry</t>
  </si>
  <si>
    <t>Chick peas, dry</t>
  </si>
  <si>
    <t>Lentils, dry</t>
  </si>
  <si>
    <t>pulses</t>
  </si>
  <si>
    <t>1/3 of oil other added here + margarine*0.6</t>
  </si>
  <si>
    <t>Potato flour</t>
  </si>
  <si>
    <t>made from starch potatoes??</t>
  </si>
  <si>
    <t>peas</t>
  </si>
  <si>
    <t>broad beans</t>
  </si>
  <si>
    <t>beans</t>
  </si>
  <si>
    <t>"Ärtor/bönor/linser torkade"</t>
  </si>
  <si>
    <t>Ekologiska årsrapporten 2022</t>
  </si>
  <si>
    <t>same as refined</t>
  </si>
  <si>
    <t>Sugar and products</t>
  </si>
  <si>
    <t>Honey</t>
  </si>
  <si>
    <t>Other sweeteners</t>
  </si>
  <si>
    <t>sweeteners</t>
  </si>
  <si>
    <t>same as sugar</t>
  </si>
  <si>
    <t>may be higher?</t>
  </si>
  <si>
    <t>sirup and maple syrup</t>
  </si>
  <si>
    <t>sugar beet</t>
  </si>
  <si>
    <r>
      <rPr>
        <sz val="11"/>
        <color rgb="FFFF0000"/>
        <rFont val="Calibri"/>
        <family val="2"/>
        <scheme val="minor"/>
      </rPr>
      <t>Higher factor for syrup than sugar?</t>
    </r>
    <r>
      <rPr>
        <sz val="11"/>
        <color theme="1"/>
        <rFont val="Calibri"/>
        <family val="2"/>
        <scheme val="minor"/>
      </rPr>
      <t xml:space="preserve"> Assumed from sugar beet for domestic prod</t>
    </r>
  </si>
  <si>
    <t>sugar beet pulp</t>
  </si>
  <si>
    <t>sugar beet molasses</t>
  </si>
  <si>
    <t>Wine and products</t>
  </si>
  <si>
    <t>Beverages, fermented and products</t>
  </si>
  <si>
    <t>fermented beverages other than barley beer</t>
  </si>
  <si>
    <t>Barley beer</t>
  </si>
  <si>
    <t>Beverages, alcoholic</t>
  </si>
  <si>
    <t>spirits</t>
  </si>
  <si>
    <t>Assuming same as 'Apples'</t>
  </si>
  <si>
    <t>Assuming same as 'Wheat and products'</t>
  </si>
  <si>
    <t>"Vin"</t>
  </si>
  <si>
    <t>"Starksprit"</t>
  </si>
  <si>
    <t>grapes</t>
  </si>
  <si>
    <t>apples</t>
  </si>
  <si>
    <t>apple pulp</t>
  </si>
  <si>
    <t>wheat gluten?</t>
  </si>
  <si>
    <t>Apples</t>
  </si>
  <si>
    <t>Apple juice</t>
  </si>
  <si>
    <t>Apple juice concentrate</t>
  </si>
  <si>
    <t>fruits</t>
  </si>
  <si>
    <t>Pears</t>
  </si>
  <si>
    <t>"Äpplen"</t>
  </si>
  <si>
    <t>pears</t>
  </si>
  <si>
    <t>Assuming same as "Äpplen"</t>
  </si>
  <si>
    <t>Mushrooms and truffles</t>
  </si>
  <si>
    <t>Other beans, green + String beans + Artichokes + Asparagus + Chillies and peppers, green (capsicum spp. and pimenta spp.) + Sweet corn frozen + Sweet corn prepared or preserved</t>
  </si>
  <si>
    <t>Vegetables DONE!</t>
  </si>
  <si>
    <t>Adjusted to match prod. 100% in Hanna's sheet</t>
  </si>
  <si>
    <t>Fruits and berries (excl. wine)</t>
  </si>
  <si>
    <t>Other fruit</t>
  </si>
  <si>
    <t>Strawberries</t>
  </si>
  <si>
    <t>Other berries</t>
  </si>
  <si>
    <t>Raspberries</t>
  </si>
  <si>
    <t>Plums and sloes + Plums dried (CF=35%) + Cherries</t>
  </si>
  <si>
    <t>other fruit</t>
  </si>
  <si>
    <t>strawberries</t>
  </si>
  <si>
    <t>Currants</t>
  </si>
  <si>
    <t>currants</t>
  </si>
  <si>
    <t>other berries</t>
  </si>
  <si>
    <t>no cons. data?</t>
  </si>
  <si>
    <t>guess</t>
  </si>
  <si>
    <t>adjusted to match prod.</t>
  </si>
  <si>
    <t>Poultry meat and products</t>
  </si>
  <si>
    <t>poultry</t>
  </si>
  <si>
    <t>By-products??</t>
  </si>
  <si>
    <t>horses</t>
  </si>
  <si>
    <t>heads</t>
  </si>
  <si>
    <t>Recreational horses</t>
  </si>
  <si>
    <t>1000 heads</t>
  </si>
  <si>
    <t>Current number of horses</t>
  </si>
  <si>
    <t>Imports</t>
  </si>
  <si>
    <t>Sources:</t>
  </si>
  <si>
    <t>https://www2.jordbruksverket.se/download/18.bd0539d17ee49dae393071f/1644574503673/ra21_9.pdf</t>
  </si>
  <si>
    <t>SJV (2021) Sveriges utrikeshandel med jordbruksvaror och livsmedel 2018–2020. Rapport 2021:9</t>
  </si>
  <si>
    <t>Exports</t>
  </si>
  <si>
    <t>Wheat</t>
  </si>
  <si>
    <t>Rye</t>
  </si>
  <si>
    <t>AVG</t>
  </si>
  <si>
    <t>Barley</t>
  </si>
  <si>
    <t>Oats</t>
  </si>
  <si>
    <t>Maize</t>
  </si>
  <si>
    <t>https://jordbruksverket.se/download/18.28f4d91b172cdd65219e9d30/1592810968452/Sveriges_utrikeshandel_med%20jordbruksvaror_och_livsmedel_2016-2018_webb%20(003).pdf</t>
  </si>
  <si>
    <t>SJV (2019) Sveriges utrikeshandel med jordbruksvaror och livsmedel 2016–2018. Rapport 2019:18</t>
  </si>
  <si>
    <t>Net Exports</t>
  </si>
  <si>
    <t>Wheat grains</t>
  </si>
  <si>
    <t>Barley grains</t>
  </si>
  <si>
    <t>Rye grains</t>
  </si>
  <si>
    <t>Oat grains</t>
  </si>
  <si>
    <t>export</t>
  </si>
  <si>
    <t>export_demand</t>
  </si>
  <si>
    <t>SJV (2019 &amp; 2021) Sveriges utrikeshandel med jordbruksvaror och livsmedel 2016-2018 &amp; 2018-2020</t>
  </si>
  <si>
    <t xml:space="preserve">Pers. com. Kalle Johansson, Lyckeby (2023-05-30) | SJV 2015. Marknadsöversikt potatis till mat och stärkelseproduktion </t>
  </si>
  <si>
    <t>Use net exports as no feed imports assumed. OK?</t>
  </si>
  <si>
    <t xml:space="preserve">Pers. com. Kalle Johansson, Lyckeby (2023-05-30) </t>
  </si>
  <si>
    <t>"Majority for food exported". Adjusted to match demand and production</t>
  </si>
  <si>
    <t>Other</t>
  </si>
  <si>
    <t>Raw commodity</t>
  </si>
  <si>
    <t>Adjusted to ~1/2 of prod. used in paper industry</t>
  </si>
  <si>
    <t>Cereals [tonnes]</t>
  </si>
  <si>
    <t>Other [tonnes]</t>
  </si>
  <si>
    <t>Torkade ärter, bönor m.m.</t>
  </si>
  <si>
    <t>Råg</t>
  </si>
  <si>
    <t>Korn</t>
  </si>
  <si>
    <t>Havre</t>
  </si>
  <si>
    <t>Majs</t>
  </si>
  <si>
    <t>Use total exports as import accounted for in food demand. OK?</t>
  </si>
  <si>
    <t>carbon dioxide</t>
  </si>
  <si>
    <t>wheat distillers grain</t>
  </si>
  <si>
    <t>ska vi ha med denna?</t>
  </si>
  <si>
    <t/>
  </si>
  <si>
    <t>Börjesson, P., Tufvesson, L., &amp; Lantz, M. (2010). Livscykelanalys av svenska biodrivmedel. (Environmental and Energy System Studies report no. 70; Vol. 70). Environmental and Energy Systems Studies, Lund university.</t>
  </si>
  <si>
    <t>2.1 kg DM wheat --&gt; 1 L bioethanol + 0.8 kg DM distillers grain. Wheat 86% DM, distillers grain 11% DM. Bioethanol 21.3 MJ/L and 27.8 MJ/kg --&gt; 0.8 kg/L</t>
  </si>
  <si>
    <t>PROCESSING ENERGY USE</t>
  </si>
  <si>
    <t>Add processing energy use factors per food item</t>
  </si>
  <si>
    <t>Baseds on assuming 600 000 tonnes cereals used</t>
  </si>
  <si>
    <t>Rice and products, refined</t>
  </si>
  <si>
    <t>Rice and products, whole grain</t>
  </si>
  <si>
    <t>10% whole grain</t>
  </si>
  <si>
    <t>Riksmaten 2011. Tabell 153</t>
  </si>
  <si>
    <t>Riksmaten 2011. Tabell 7 and page 87</t>
  </si>
  <si>
    <t>Assume 28% whole grain to reach 25% total whole grain share (42g/165g=0.25). Whole grain intake=42 g/d. Recommendation=70 g/d (F) &amp; 90 g/d (M)</t>
  </si>
  <si>
    <t>Assume 28% whole grain to reach 25% total whole grain share</t>
  </si>
  <si>
    <t>flour of mixed grain, Assume 28% whole grain to reach 25% total whole grain share</t>
  </si>
  <si>
    <t>eggs</t>
  </si>
  <si>
    <t>"Ägg"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</si>
</sst>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0"/>
    <numFmt numFmtId="166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 applyBorder="1"/>
    <xf numFmtId="0" fontId="3" fillId="0" borderId="0" xfId="0" applyFont="1" applyFill="1" applyBorder="1"/>
    <xf numFmtId="1" fontId="3" fillId="0" borderId="0" xfId="0" applyNumberFormat="1" applyFont="1" applyBorder="1"/>
    <xf numFmtId="164" fontId="3" fillId="0" borderId="0" xfId="0" applyNumberFormat="1" applyFont="1"/>
    <xf numFmtId="1" fontId="3" fillId="0" borderId="0" xfId="0" applyNumberFormat="1" applyFont="1" applyFill="1" applyBorder="1"/>
    <xf numFmtId="1" fontId="5" fillId="0" borderId="0" xfId="0" applyNumberFormat="1" applyFont="1"/>
    <xf numFmtId="1" fontId="0" fillId="0" borderId="0" xfId="0" applyNumberFormat="1" applyFill="1" applyBorder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1" fontId="5" fillId="0" borderId="0" xfId="0" applyNumberFormat="1" applyFont="1" applyBorder="1"/>
    <xf numFmtId="1" fontId="0" fillId="0" borderId="0" xfId="0" applyNumberFormat="1"/>
    <xf numFmtId="164" fontId="0" fillId="0" borderId="0" xfId="0" applyNumberFormat="1"/>
    <xf numFmtId="1" fontId="3" fillId="0" borderId="0" xfId="0" applyNumberFormat="1" applyFont="1"/>
    <xf numFmtId="9" fontId="0" fillId="0" borderId="0" xfId="0" applyNumberFormat="1"/>
    <xf numFmtId="0" fontId="2" fillId="0" borderId="0" xfId="0" applyFont="1"/>
    <xf numFmtId="0" fontId="6" fillId="0" borderId="0" xfId="0" applyFont="1"/>
    <xf numFmtId="0" fontId="7" fillId="0" borderId="0" xfId="0" applyFont="1"/>
    <xf numFmtId="2" fontId="5" fillId="0" borderId="0" xfId="0" applyNumberFormat="1" applyFont="1" applyFill="1" applyBorder="1"/>
    <xf numFmtId="164" fontId="5" fillId="0" borderId="0" xfId="0" applyNumberFormat="1" applyFont="1"/>
    <xf numFmtId="165" fontId="0" fillId="0" borderId="0" xfId="0" applyNumberFormat="1"/>
    <xf numFmtId="0" fontId="8" fillId="0" borderId="0" xfId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Font="1"/>
    <xf numFmtId="3" fontId="1" fillId="0" borderId="0" xfId="0" applyNumberFormat="1" applyFont="1"/>
    <xf numFmtId="3" fontId="0" fillId="2" borderId="0" xfId="0" applyNumberFormat="1" applyFill="1"/>
    <xf numFmtId="166" fontId="0" fillId="0" borderId="0" xfId="0" applyNumberFormat="1"/>
    <xf numFmtId="0" fontId="0" fillId="3" borderId="0" xfId="0" quotePrefix="1" applyFill="1"/>
    <xf numFmtId="2" fontId="0" fillId="2" borderId="0" xfId="0" applyNumberFormat="1" applyFill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jordbruksverket.se/download/18.28f4d91b172cdd65219e9d30/1592810968452/Sveriges_utrikeshandel_med%20jordbruksvaror_och_livsmedel_2016-2018_webb%20(003).pdf" TargetMode="External"/><Relationship Id="rId1" Type="http://schemas.openxmlformats.org/officeDocument/2006/relationships/hyperlink" Target="https://www2.jordbruksverket.se/download/18.bd0539d17ee49dae393071f/1644574503673/ra21_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6"/>
  <sheetViews>
    <sheetView tabSelected="1" zoomScale="80" zoomScaleNormal="80" zoomScaleSheetLayoutView="80" workbookViewId="0">
      <pane ySplit="1" topLeftCell="A222" activePane="bottomLeft" state="frozen"/>
      <selection pane="bottomLeft" activeCell="H231" sqref="H231"/>
    </sheetView>
  </sheetViews>
  <sheetFormatPr defaultRowHeight="15" x14ac:dyDescent="0.25"/>
  <cols>
    <col min="1" max="1" width="41.42578125" customWidth="1"/>
    <col min="2" max="2" width="19" customWidth="1"/>
    <col min="3" max="5" width="15.42578125" customWidth="1"/>
    <col min="6" max="6" width="19.42578125" customWidth="1"/>
    <col min="7" max="9" width="14.28515625" customWidth="1"/>
    <col min="10" max="10" width="21.42578125" bestFit="1" customWidth="1"/>
    <col min="12" max="12" width="12.140625" bestFit="1" customWidth="1"/>
    <col min="13" max="13" width="50" customWidth="1"/>
    <col min="14" max="14" width="71.28515625" customWidth="1"/>
  </cols>
  <sheetData>
    <row r="1" spans="1:14" x14ac:dyDescent="0.25">
      <c r="A1" s="1" t="s">
        <v>36</v>
      </c>
      <c r="B1" s="1" t="s">
        <v>25</v>
      </c>
      <c r="C1" s="1" t="s">
        <v>27</v>
      </c>
      <c r="D1" s="1" t="s">
        <v>56</v>
      </c>
      <c r="E1" s="1" t="s">
        <v>35</v>
      </c>
      <c r="F1" s="1" t="s">
        <v>28</v>
      </c>
      <c r="G1" s="1" t="s">
        <v>47</v>
      </c>
      <c r="H1" s="1" t="s">
        <v>42</v>
      </c>
      <c r="I1" s="1" t="s">
        <v>49</v>
      </c>
      <c r="J1" s="1" t="s">
        <v>0</v>
      </c>
      <c r="K1" s="1" t="s">
        <v>1</v>
      </c>
      <c r="L1" s="1" t="s">
        <v>4</v>
      </c>
      <c r="M1" s="1" t="s">
        <v>2</v>
      </c>
      <c r="N1" s="1" t="s">
        <v>3</v>
      </c>
    </row>
    <row r="2" spans="1:14" x14ac:dyDescent="0.25">
      <c r="A2" s="2" t="s">
        <v>17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</row>
    <row r="3" spans="1:14" x14ac:dyDescent="0.25">
      <c r="J3" t="s">
        <v>5</v>
      </c>
      <c r="K3" s="30">
        <f>(5222847+5156448)/1000000</f>
        <v>10.379295000000001</v>
      </c>
      <c r="L3" t="s">
        <v>6</v>
      </c>
      <c r="M3" t="s">
        <v>8</v>
      </c>
      <c r="N3" t="s">
        <v>7</v>
      </c>
    </row>
    <row r="5" spans="1:14" x14ac:dyDescent="0.25">
      <c r="A5" s="2" t="s">
        <v>9</v>
      </c>
      <c r="B5" s="2"/>
      <c r="C5" s="2"/>
      <c r="D5" s="2"/>
      <c r="E5" s="2"/>
      <c r="F5" s="2"/>
      <c r="G5" s="2"/>
      <c r="H5" s="2"/>
      <c r="I5" s="2"/>
      <c r="J5" s="3"/>
      <c r="K5" s="39"/>
      <c r="L5" s="3"/>
      <c r="M5" s="3"/>
      <c r="N5" s="3"/>
    </row>
    <row r="6" spans="1:14" x14ac:dyDescent="0.25">
      <c r="A6" s="4" t="s">
        <v>10</v>
      </c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</row>
    <row r="7" spans="1:14" x14ac:dyDescent="0.25">
      <c r="A7" t="s">
        <v>186</v>
      </c>
      <c r="B7" t="s">
        <v>26</v>
      </c>
      <c r="J7" t="s">
        <v>18</v>
      </c>
      <c r="K7" s="22">
        <f>93.1*0.72</f>
        <v>67.031999999999996</v>
      </c>
      <c r="L7" t="s">
        <v>19</v>
      </c>
      <c r="M7" s="17" t="s">
        <v>333</v>
      </c>
      <c r="N7" t="s">
        <v>332</v>
      </c>
    </row>
    <row r="8" spans="1:14" x14ac:dyDescent="0.25">
      <c r="A8" t="s">
        <v>191</v>
      </c>
      <c r="B8" t="s">
        <v>26</v>
      </c>
      <c r="J8" t="s">
        <v>18</v>
      </c>
      <c r="K8" s="29">
        <f>93.1*0.28</f>
        <v>26.068000000000001</v>
      </c>
      <c r="L8" t="s">
        <v>19</v>
      </c>
    </row>
    <row r="9" spans="1:14" x14ac:dyDescent="0.25">
      <c r="A9" t="s">
        <v>328</v>
      </c>
      <c r="B9" t="s">
        <v>26</v>
      </c>
      <c r="J9" t="s">
        <v>18</v>
      </c>
      <c r="K9" s="22">
        <f>14.1*0.9</f>
        <v>12.69</v>
      </c>
      <c r="L9" t="s">
        <v>19</v>
      </c>
      <c r="M9" s="17" t="s">
        <v>330</v>
      </c>
      <c r="N9" t="s">
        <v>331</v>
      </c>
    </row>
    <row r="10" spans="1:14" x14ac:dyDescent="0.25">
      <c r="A10" t="s">
        <v>329</v>
      </c>
      <c r="B10" t="s">
        <v>26</v>
      </c>
      <c r="J10" t="s">
        <v>18</v>
      </c>
      <c r="K10" s="22">
        <f>14.1*0.1</f>
        <v>1.4100000000000001</v>
      </c>
      <c r="L10" t="s">
        <v>19</v>
      </c>
      <c r="M10" s="6"/>
    </row>
    <row r="11" spans="1:14" x14ac:dyDescent="0.25">
      <c r="A11" t="s">
        <v>187</v>
      </c>
      <c r="B11" t="s">
        <v>26</v>
      </c>
      <c r="J11" t="s">
        <v>18</v>
      </c>
      <c r="K11" s="22">
        <f>3.5*0.72</f>
        <v>2.52</v>
      </c>
      <c r="L11" t="s">
        <v>19</v>
      </c>
      <c r="M11" s="6" t="s">
        <v>334</v>
      </c>
    </row>
    <row r="12" spans="1:14" x14ac:dyDescent="0.25">
      <c r="A12" t="s">
        <v>192</v>
      </c>
      <c r="B12" t="s">
        <v>26</v>
      </c>
      <c r="J12" t="s">
        <v>18</v>
      </c>
      <c r="K12" s="22">
        <f>3.5*0.28</f>
        <v>0.98000000000000009</v>
      </c>
      <c r="L12" t="s">
        <v>19</v>
      </c>
      <c r="M12" s="6"/>
    </row>
    <row r="13" spans="1:14" x14ac:dyDescent="0.25">
      <c r="A13" t="s">
        <v>88</v>
      </c>
      <c r="B13" t="s">
        <v>26</v>
      </c>
      <c r="J13" t="s">
        <v>18</v>
      </c>
      <c r="K13">
        <v>3.8</v>
      </c>
      <c r="L13" t="s">
        <v>19</v>
      </c>
    </row>
    <row r="14" spans="1:14" x14ac:dyDescent="0.25">
      <c r="A14" t="s">
        <v>188</v>
      </c>
      <c r="B14" t="s">
        <v>26</v>
      </c>
      <c r="J14" t="s">
        <v>18</v>
      </c>
      <c r="K14" s="22">
        <f>12.8*0.72</f>
        <v>9.2159999999999993</v>
      </c>
      <c r="L14" t="s">
        <v>19</v>
      </c>
      <c r="M14" s="6" t="s">
        <v>334</v>
      </c>
    </row>
    <row r="15" spans="1:14" x14ac:dyDescent="0.25">
      <c r="A15" t="s">
        <v>193</v>
      </c>
      <c r="B15" t="s">
        <v>26</v>
      </c>
      <c r="J15" t="s">
        <v>18</v>
      </c>
      <c r="K15" s="22">
        <f>12.8*0.28</f>
        <v>3.5840000000000005</v>
      </c>
      <c r="L15" t="s">
        <v>19</v>
      </c>
      <c r="M15" s="6"/>
    </row>
    <row r="16" spans="1:14" x14ac:dyDescent="0.25">
      <c r="A16" t="s">
        <v>189</v>
      </c>
      <c r="B16" t="s">
        <v>26</v>
      </c>
      <c r="J16" t="s">
        <v>18</v>
      </c>
      <c r="K16" s="22">
        <f>5.2*0.72</f>
        <v>3.7439999999999998</v>
      </c>
      <c r="L16" t="s">
        <v>19</v>
      </c>
      <c r="M16" s="6" t="s">
        <v>334</v>
      </c>
    </row>
    <row r="17" spans="1:14" x14ac:dyDescent="0.25">
      <c r="A17" t="s">
        <v>194</v>
      </c>
      <c r="B17" t="s">
        <v>26</v>
      </c>
      <c r="J17" t="s">
        <v>18</v>
      </c>
      <c r="K17" s="22">
        <f>5.2*0.28</f>
        <v>1.4560000000000002</v>
      </c>
      <c r="L17" t="s">
        <v>19</v>
      </c>
      <c r="M17" s="6"/>
    </row>
    <row r="18" spans="1:14" x14ac:dyDescent="0.25">
      <c r="A18" s="6" t="s">
        <v>190</v>
      </c>
      <c r="B18" t="s">
        <v>26</v>
      </c>
      <c r="J18" t="s">
        <v>18</v>
      </c>
      <c r="K18" s="13">
        <f>0.5*0.72</f>
        <v>0.36</v>
      </c>
      <c r="L18" t="s">
        <v>19</v>
      </c>
      <c r="M18" s="6" t="s">
        <v>335</v>
      </c>
    </row>
    <row r="19" spans="1:14" x14ac:dyDescent="0.25">
      <c r="A19" s="6" t="s">
        <v>195</v>
      </c>
      <c r="B19" t="s">
        <v>26</v>
      </c>
      <c r="J19" t="s">
        <v>18</v>
      </c>
      <c r="K19" s="13">
        <f>0.5*0.28</f>
        <v>0.14000000000000001</v>
      </c>
      <c r="L19" t="s">
        <v>19</v>
      </c>
      <c r="M19" s="6"/>
    </row>
    <row r="20" spans="1:14" x14ac:dyDescent="0.25">
      <c r="A20" s="4" t="s">
        <v>11</v>
      </c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</row>
    <row r="21" spans="1:14" x14ac:dyDescent="0.25">
      <c r="A21" s="17" t="s">
        <v>99</v>
      </c>
      <c r="B21" t="s">
        <v>103</v>
      </c>
      <c r="J21" t="s">
        <v>18</v>
      </c>
      <c r="K21">
        <v>108.1</v>
      </c>
      <c r="L21" t="s">
        <v>19</v>
      </c>
    </row>
    <row r="22" spans="1:14" x14ac:dyDescent="0.25">
      <c r="A22" s="17" t="s">
        <v>100</v>
      </c>
      <c r="B22" t="s">
        <v>103</v>
      </c>
      <c r="J22" t="s">
        <v>18</v>
      </c>
      <c r="K22">
        <v>24.1</v>
      </c>
      <c r="L22" t="s">
        <v>19</v>
      </c>
    </row>
    <row r="23" spans="1:14" x14ac:dyDescent="0.25">
      <c r="A23" s="17" t="s">
        <v>216</v>
      </c>
      <c r="B23" t="s">
        <v>103</v>
      </c>
      <c r="J23" t="s">
        <v>18</v>
      </c>
      <c r="K23">
        <v>0.9</v>
      </c>
      <c r="L23" t="s">
        <v>19</v>
      </c>
      <c r="M23" t="s">
        <v>102</v>
      </c>
    </row>
    <row r="24" spans="1:14" x14ac:dyDescent="0.25">
      <c r="A24" s="17" t="s">
        <v>101</v>
      </c>
      <c r="B24" t="s">
        <v>103</v>
      </c>
      <c r="J24" t="s">
        <v>18</v>
      </c>
      <c r="K24">
        <v>0.3</v>
      </c>
      <c r="L24" t="s">
        <v>19</v>
      </c>
    </row>
    <row r="25" spans="1:14" x14ac:dyDescent="0.25">
      <c r="A25" s="4" t="s">
        <v>259</v>
      </c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</row>
    <row r="26" spans="1:14" x14ac:dyDescent="0.25">
      <c r="A26" s="17" t="s">
        <v>141</v>
      </c>
      <c r="B26" t="s">
        <v>108</v>
      </c>
      <c r="J26" t="s">
        <v>18</v>
      </c>
      <c r="K26">
        <v>25</v>
      </c>
      <c r="L26" t="s">
        <v>19</v>
      </c>
    </row>
    <row r="27" spans="1:14" x14ac:dyDescent="0.25">
      <c r="A27" s="17" t="s">
        <v>147</v>
      </c>
      <c r="B27" t="s">
        <v>108</v>
      </c>
      <c r="J27" t="s">
        <v>18</v>
      </c>
      <c r="K27">
        <v>19.3</v>
      </c>
      <c r="L27" t="s">
        <v>19</v>
      </c>
    </row>
    <row r="28" spans="1:14" x14ac:dyDescent="0.25">
      <c r="A28" s="17" t="s">
        <v>143</v>
      </c>
      <c r="B28" t="s">
        <v>108</v>
      </c>
      <c r="J28" t="s">
        <v>18</v>
      </c>
      <c r="K28">
        <v>14.6</v>
      </c>
      <c r="L28" t="s">
        <v>19</v>
      </c>
    </row>
    <row r="29" spans="1:14" x14ac:dyDescent="0.25">
      <c r="A29" s="17" t="s">
        <v>144</v>
      </c>
      <c r="B29" t="s">
        <v>108</v>
      </c>
      <c r="J29" t="s">
        <v>18</v>
      </c>
      <c r="K29">
        <v>11.3</v>
      </c>
      <c r="L29" t="s">
        <v>19</v>
      </c>
    </row>
    <row r="30" spans="1:14" x14ac:dyDescent="0.25">
      <c r="A30" s="17" t="s">
        <v>145</v>
      </c>
      <c r="B30" t="s">
        <v>108</v>
      </c>
      <c r="J30" t="s">
        <v>18</v>
      </c>
      <c r="K30">
        <v>3.8</v>
      </c>
      <c r="L30" t="s">
        <v>19</v>
      </c>
    </row>
    <row r="31" spans="1:14" x14ac:dyDescent="0.25">
      <c r="A31" s="17" t="s">
        <v>146</v>
      </c>
      <c r="B31" t="s">
        <v>108</v>
      </c>
      <c r="J31" t="s">
        <v>18</v>
      </c>
      <c r="K31">
        <v>3.5</v>
      </c>
      <c r="L31" t="s">
        <v>19</v>
      </c>
    </row>
    <row r="32" spans="1:14" x14ac:dyDescent="0.25">
      <c r="A32" s="17" t="s">
        <v>107</v>
      </c>
      <c r="B32" t="s">
        <v>108</v>
      </c>
      <c r="J32" t="s">
        <v>18</v>
      </c>
      <c r="K32">
        <v>37</v>
      </c>
      <c r="L32" t="s">
        <v>19</v>
      </c>
    </row>
    <row r="33" spans="1:14" x14ac:dyDescent="0.25">
      <c r="A33" s="17" t="s">
        <v>110</v>
      </c>
      <c r="B33" t="s">
        <v>108</v>
      </c>
      <c r="J33" t="s">
        <v>18</v>
      </c>
      <c r="K33">
        <v>14.3</v>
      </c>
      <c r="L33" t="s">
        <v>19</v>
      </c>
    </row>
    <row r="34" spans="1:14" x14ac:dyDescent="0.25">
      <c r="A34" s="17" t="s">
        <v>257</v>
      </c>
      <c r="B34" t="s">
        <v>108</v>
      </c>
      <c r="J34" t="s">
        <v>18</v>
      </c>
      <c r="K34">
        <v>2.8</v>
      </c>
      <c r="L34" t="s">
        <v>19</v>
      </c>
    </row>
    <row r="35" spans="1:14" x14ac:dyDescent="0.25">
      <c r="A35" s="17" t="s">
        <v>154</v>
      </c>
      <c r="B35" t="s">
        <v>108</v>
      </c>
      <c r="J35" t="s">
        <v>18</v>
      </c>
      <c r="K35" s="17">
        <f>0.3+0+0.1+0.6+6.6+0.4+3.4</f>
        <v>11.4</v>
      </c>
      <c r="L35" t="s">
        <v>19</v>
      </c>
      <c r="M35" t="s">
        <v>258</v>
      </c>
    </row>
    <row r="36" spans="1:14" x14ac:dyDescent="0.25">
      <c r="A36" s="17"/>
      <c r="K36" s="6"/>
    </row>
    <row r="37" spans="1:14" x14ac:dyDescent="0.25">
      <c r="A37" s="4" t="s">
        <v>261</v>
      </c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5"/>
    </row>
    <row r="38" spans="1:14" x14ac:dyDescent="0.25">
      <c r="A38" s="17" t="s">
        <v>249</v>
      </c>
      <c r="B38" t="s">
        <v>252</v>
      </c>
      <c r="J38" t="s">
        <v>18</v>
      </c>
      <c r="K38" s="17">
        <v>12.9</v>
      </c>
      <c r="L38" t="s">
        <v>19</v>
      </c>
    </row>
    <row r="39" spans="1:14" x14ac:dyDescent="0.25">
      <c r="A39" s="17" t="s">
        <v>250</v>
      </c>
      <c r="B39" t="s">
        <v>252</v>
      </c>
      <c r="J39" t="s">
        <v>18</v>
      </c>
      <c r="K39" s="17">
        <v>2.1</v>
      </c>
      <c r="L39" t="s">
        <v>19</v>
      </c>
    </row>
    <row r="40" spans="1:14" x14ac:dyDescent="0.25">
      <c r="A40" s="17" t="s">
        <v>251</v>
      </c>
      <c r="B40" t="s">
        <v>252</v>
      </c>
      <c r="J40" t="s">
        <v>18</v>
      </c>
      <c r="K40" s="17">
        <v>1.8</v>
      </c>
      <c r="L40" t="s">
        <v>19</v>
      </c>
    </row>
    <row r="41" spans="1:14" x14ac:dyDescent="0.25">
      <c r="A41" s="17" t="s">
        <v>253</v>
      </c>
      <c r="B41" t="s">
        <v>252</v>
      </c>
      <c r="J41" t="s">
        <v>18</v>
      </c>
      <c r="K41" s="17">
        <v>5</v>
      </c>
      <c r="L41" t="s">
        <v>19</v>
      </c>
    </row>
    <row r="42" spans="1:14" x14ac:dyDescent="0.25">
      <c r="A42" s="17" t="s">
        <v>262</v>
      </c>
      <c r="B42" t="s">
        <v>252</v>
      </c>
      <c r="J42" t="s">
        <v>18</v>
      </c>
      <c r="K42" s="29">
        <f>0.8+0.3/0.35+0.3</f>
        <v>1.9571428571428573</v>
      </c>
      <c r="L42" t="s">
        <v>19</v>
      </c>
      <c r="M42" t="s">
        <v>266</v>
      </c>
    </row>
    <row r="43" spans="1:14" x14ac:dyDescent="0.25">
      <c r="A43" s="17" t="s">
        <v>263</v>
      </c>
      <c r="B43" t="s">
        <v>252</v>
      </c>
      <c r="J43" t="s">
        <v>18</v>
      </c>
      <c r="K43" s="17">
        <v>4.9000000000000004</v>
      </c>
      <c r="L43" t="s">
        <v>19</v>
      </c>
    </row>
    <row r="44" spans="1:14" x14ac:dyDescent="0.25">
      <c r="A44" s="17" t="s">
        <v>269</v>
      </c>
      <c r="B44" t="s">
        <v>252</v>
      </c>
      <c r="C44" s="9"/>
      <c r="J44" t="s">
        <v>18</v>
      </c>
      <c r="K44" s="6">
        <v>0.2</v>
      </c>
      <c r="L44" t="s">
        <v>19</v>
      </c>
      <c r="M44" s="6" t="s">
        <v>272</v>
      </c>
    </row>
    <row r="45" spans="1:14" x14ac:dyDescent="0.25">
      <c r="A45" s="17" t="s">
        <v>264</v>
      </c>
      <c r="B45" t="s">
        <v>252</v>
      </c>
      <c r="J45" t="s">
        <v>18</v>
      </c>
      <c r="K45" s="29">
        <f>0.5</f>
        <v>0.5</v>
      </c>
      <c r="L45" t="s">
        <v>19</v>
      </c>
      <c r="M45" t="s">
        <v>265</v>
      </c>
    </row>
    <row r="46" spans="1:14" x14ac:dyDescent="0.25">
      <c r="A46" s="4" t="s">
        <v>14</v>
      </c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</row>
    <row r="47" spans="1:14" x14ac:dyDescent="0.25">
      <c r="A47" s="6" t="s">
        <v>62</v>
      </c>
      <c r="B47" t="s">
        <v>81</v>
      </c>
      <c r="J47" t="s">
        <v>18</v>
      </c>
      <c r="K47" s="6">
        <f>29.5+8.5</f>
        <v>38</v>
      </c>
      <c r="L47" t="s">
        <v>19</v>
      </c>
      <c r="M47" s="6" t="s">
        <v>84</v>
      </c>
    </row>
    <row r="48" spans="1:14" x14ac:dyDescent="0.25">
      <c r="A48" s="6" t="s">
        <v>61</v>
      </c>
      <c r="B48" t="s">
        <v>81</v>
      </c>
      <c r="J48" t="s">
        <v>18</v>
      </c>
      <c r="K48" s="6">
        <f>80.7+14.4+0.3*5</f>
        <v>96.600000000000009</v>
      </c>
      <c r="L48" t="s">
        <v>19</v>
      </c>
      <c r="M48" s="6" t="s">
        <v>84</v>
      </c>
    </row>
    <row r="49" spans="1:14" x14ac:dyDescent="0.25">
      <c r="A49" s="6" t="s">
        <v>63</v>
      </c>
      <c r="B49" t="s">
        <v>81</v>
      </c>
      <c r="J49" t="s">
        <v>18</v>
      </c>
      <c r="K49" s="6">
        <f>45.6+44.1+1.3*5+1.8*10</f>
        <v>114.2</v>
      </c>
      <c r="L49" t="s">
        <v>19</v>
      </c>
      <c r="M49" s="6" t="s">
        <v>84</v>
      </c>
    </row>
    <row r="50" spans="1:14" x14ac:dyDescent="0.25">
      <c r="A50" s="6" t="s">
        <v>64</v>
      </c>
      <c r="B50" t="s">
        <v>81</v>
      </c>
      <c r="J50" t="s">
        <v>18</v>
      </c>
      <c r="K50">
        <v>46.8</v>
      </c>
      <c r="L50" t="s">
        <v>19</v>
      </c>
    </row>
    <row r="51" spans="1:14" x14ac:dyDescent="0.25">
      <c r="A51" s="6" t="s">
        <v>68</v>
      </c>
      <c r="B51" t="s">
        <v>81</v>
      </c>
      <c r="J51" t="s">
        <v>18</v>
      </c>
      <c r="K51">
        <v>8.1</v>
      </c>
      <c r="L51" t="s">
        <v>19</v>
      </c>
    </row>
    <row r="52" spans="1:14" x14ac:dyDescent="0.25">
      <c r="A52" s="6" t="s">
        <v>69</v>
      </c>
      <c r="B52" t="s">
        <v>81</v>
      </c>
      <c r="J52" t="s">
        <v>18</v>
      </c>
      <c r="K52">
        <v>1</v>
      </c>
      <c r="L52" t="s">
        <v>19</v>
      </c>
    </row>
    <row r="53" spans="1:14" x14ac:dyDescent="0.25">
      <c r="A53" s="6" t="s">
        <v>66</v>
      </c>
      <c r="B53" t="s">
        <v>81</v>
      </c>
      <c r="J53" t="s">
        <v>18</v>
      </c>
      <c r="K53">
        <v>6.6</v>
      </c>
      <c r="L53" t="s">
        <v>19</v>
      </c>
    </row>
    <row r="54" spans="1:14" x14ac:dyDescent="0.25">
      <c r="A54" s="6" t="s">
        <v>67</v>
      </c>
      <c r="B54" t="s">
        <v>81</v>
      </c>
      <c r="J54" t="s">
        <v>18</v>
      </c>
      <c r="K54">
        <v>8.3000000000000007</v>
      </c>
      <c r="L54" t="s">
        <v>19</v>
      </c>
    </row>
    <row r="55" spans="1:14" x14ac:dyDescent="0.25">
      <c r="A55" s="6" t="s">
        <v>65</v>
      </c>
      <c r="B55" t="s">
        <v>81</v>
      </c>
      <c r="J55" t="s">
        <v>18</v>
      </c>
      <c r="K55">
        <v>15.3</v>
      </c>
      <c r="L55" t="s">
        <v>19</v>
      </c>
    </row>
    <row r="56" spans="1:14" x14ac:dyDescent="0.25">
      <c r="A56" s="4" t="s">
        <v>23</v>
      </c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</row>
    <row r="57" spans="1:14" x14ac:dyDescent="0.25">
      <c r="A57" t="s">
        <v>54</v>
      </c>
      <c r="B57" t="s">
        <v>55</v>
      </c>
      <c r="J57" t="s">
        <v>18</v>
      </c>
      <c r="K57">
        <v>60.6</v>
      </c>
      <c r="L57" t="s">
        <v>19</v>
      </c>
    </row>
    <row r="58" spans="1:14" x14ac:dyDescent="0.25">
      <c r="A58" t="s">
        <v>95</v>
      </c>
      <c r="B58" t="s">
        <v>55</v>
      </c>
      <c r="J58" t="s">
        <v>18</v>
      </c>
      <c r="K58">
        <v>39.9</v>
      </c>
      <c r="L58" t="s">
        <v>19</v>
      </c>
    </row>
    <row r="59" spans="1:14" x14ac:dyDescent="0.25">
      <c r="A59" t="s">
        <v>275</v>
      </c>
      <c r="B59" t="s">
        <v>55</v>
      </c>
      <c r="J59" t="s">
        <v>18</v>
      </c>
      <c r="K59">
        <v>49.5</v>
      </c>
      <c r="L59" t="s">
        <v>19</v>
      </c>
    </row>
    <row r="60" spans="1:14" x14ac:dyDescent="0.25">
      <c r="A60" s="4" t="s">
        <v>15</v>
      </c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</row>
    <row r="61" spans="1:14" x14ac:dyDescent="0.25">
      <c r="A61" t="s">
        <v>15</v>
      </c>
      <c r="B61" t="s">
        <v>336</v>
      </c>
      <c r="J61" t="s">
        <v>18</v>
      </c>
      <c r="K61">
        <v>29.3</v>
      </c>
      <c r="L61" t="s">
        <v>19</v>
      </c>
    </row>
    <row r="62" spans="1:14" x14ac:dyDescent="0.25">
      <c r="A62" s="4" t="s">
        <v>16</v>
      </c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</row>
    <row r="63" spans="1:14" x14ac:dyDescent="0.25">
      <c r="A63" s="4" t="s">
        <v>20</v>
      </c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</row>
    <row r="64" spans="1:14" x14ac:dyDescent="0.25">
      <c r="A64" t="s">
        <v>209</v>
      </c>
      <c r="B64" t="s">
        <v>214</v>
      </c>
      <c r="J64" t="s">
        <v>18</v>
      </c>
      <c r="K64">
        <v>4.5</v>
      </c>
      <c r="L64" t="s">
        <v>19</v>
      </c>
    </row>
    <row r="65" spans="1:14" x14ac:dyDescent="0.25">
      <c r="A65" s="26" t="s">
        <v>210</v>
      </c>
      <c r="B65" t="s">
        <v>214</v>
      </c>
      <c r="J65" t="s">
        <v>18</v>
      </c>
      <c r="K65" s="6">
        <v>0</v>
      </c>
      <c r="L65" t="s">
        <v>19</v>
      </c>
    </row>
    <row r="66" spans="1:14" x14ac:dyDescent="0.25">
      <c r="A66" s="26" t="s">
        <v>211</v>
      </c>
      <c r="B66" t="s">
        <v>214</v>
      </c>
      <c r="J66" t="s">
        <v>18</v>
      </c>
      <c r="K66">
        <v>0.7</v>
      </c>
      <c r="L66" t="s">
        <v>19</v>
      </c>
    </row>
    <row r="67" spans="1:14" x14ac:dyDescent="0.25">
      <c r="A67" s="26" t="s">
        <v>212</v>
      </c>
      <c r="B67" t="s">
        <v>214</v>
      </c>
      <c r="J67" t="s">
        <v>18</v>
      </c>
      <c r="K67">
        <v>0.3</v>
      </c>
      <c r="L67" t="s">
        <v>19</v>
      </c>
    </row>
    <row r="68" spans="1:14" x14ac:dyDescent="0.25">
      <c r="A68" s="26" t="s">
        <v>213</v>
      </c>
      <c r="B68" t="s">
        <v>214</v>
      </c>
      <c r="J68" t="s">
        <v>18</v>
      </c>
      <c r="K68">
        <v>0.6</v>
      </c>
      <c r="L68" t="s">
        <v>19</v>
      </c>
    </row>
    <row r="69" spans="1:14" x14ac:dyDescent="0.25">
      <c r="A69" s="4" t="s">
        <v>21</v>
      </c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</row>
    <row r="70" spans="1:14" x14ac:dyDescent="0.25">
      <c r="A70" s="4" t="s">
        <v>22</v>
      </c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</row>
    <row r="71" spans="1:14" x14ac:dyDescent="0.25">
      <c r="A71" t="s">
        <v>132</v>
      </c>
      <c r="B71" t="s">
        <v>133</v>
      </c>
      <c r="J71" t="s">
        <v>18</v>
      </c>
      <c r="K71" s="13">
        <f>6+4.4/3+13*0.6</f>
        <v>15.266666666666666</v>
      </c>
      <c r="L71" t="s">
        <v>19</v>
      </c>
      <c r="M71" s="6" t="s">
        <v>215</v>
      </c>
    </row>
    <row r="72" spans="1:14" x14ac:dyDescent="0.25">
      <c r="A72" t="s">
        <v>139</v>
      </c>
      <c r="B72" t="s">
        <v>133</v>
      </c>
      <c r="J72" t="s">
        <v>18</v>
      </c>
      <c r="K72" s="22">
        <f>8.2+4.4/3</f>
        <v>9.6666666666666661</v>
      </c>
      <c r="L72" t="s">
        <v>19</v>
      </c>
      <c r="M72" t="s">
        <v>138</v>
      </c>
    </row>
    <row r="73" spans="1:14" x14ac:dyDescent="0.25">
      <c r="A73" t="s">
        <v>140</v>
      </c>
      <c r="B73" t="s">
        <v>133</v>
      </c>
      <c r="J73" t="s">
        <v>18</v>
      </c>
      <c r="K73" s="22">
        <f>2.8+4.4/3</f>
        <v>4.2666666666666666</v>
      </c>
      <c r="L73" t="s">
        <v>19</v>
      </c>
      <c r="M73" t="s">
        <v>138</v>
      </c>
    </row>
    <row r="74" spans="1:14" x14ac:dyDescent="0.25">
      <c r="A74" s="4" t="s">
        <v>24</v>
      </c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</row>
    <row r="75" spans="1:14" x14ac:dyDescent="0.25">
      <c r="A75" t="s">
        <v>224</v>
      </c>
      <c r="B75" t="s">
        <v>227</v>
      </c>
      <c r="J75" t="s">
        <v>18</v>
      </c>
      <c r="K75">
        <v>79.3</v>
      </c>
      <c r="L75" t="s">
        <v>19</v>
      </c>
    </row>
    <row r="76" spans="1:14" x14ac:dyDescent="0.25">
      <c r="A76" t="s">
        <v>226</v>
      </c>
      <c r="B76" t="s">
        <v>227</v>
      </c>
      <c r="J76" t="s">
        <v>18</v>
      </c>
      <c r="K76">
        <v>10</v>
      </c>
      <c r="L76" t="s">
        <v>19</v>
      </c>
      <c r="M76" t="s">
        <v>230</v>
      </c>
    </row>
    <row r="77" spans="1:14" x14ac:dyDescent="0.25">
      <c r="A77" t="s">
        <v>225</v>
      </c>
      <c r="B77" t="s">
        <v>227</v>
      </c>
      <c r="J77" t="s">
        <v>18</v>
      </c>
      <c r="K77">
        <v>1</v>
      </c>
      <c r="L77" t="s">
        <v>19</v>
      </c>
    </row>
    <row r="78" spans="1:14" x14ac:dyDescent="0.25">
      <c r="A78" s="4" t="s">
        <v>29</v>
      </c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</row>
    <row r="79" spans="1:14" x14ac:dyDescent="0.25">
      <c r="A79" t="s">
        <v>235</v>
      </c>
      <c r="B79" t="s">
        <v>112</v>
      </c>
      <c r="J79" t="s">
        <v>18</v>
      </c>
      <c r="K79">
        <v>67.400000000000006</v>
      </c>
      <c r="L79" t="s">
        <v>19</v>
      </c>
    </row>
    <row r="80" spans="1:14" x14ac:dyDescent="0.25">
      <c r="A80" t="s">
        <v>238</v>
      </c>
      <c r="B80" t="s">
        <v>112</v>
      </c>
      <c r="J80" t="s">
        <v>18</v>
      </c>
      <c r="K80">
        <v>125.5</v>
      </c>
      <c r="L80" t="s">
        <v>19</v>
      </c>
    </row>
    <row r="81" spans="1:14" x14ac:dyDescent="0.25">
      <c r="A81" t="s">
        <v>236</v>
      </c>
      <c r="B81" t="s">
        <v>112</v>
      </c>
      <c r="J81" t="s">
        <v>18</v>
      </c>
      <c r="K81">
        <v>6.9</v>
      </c>
      <c r="L81" t="s">
        <v>19</v>
      </c>
      <c r="M81" t="s">
        <v>237</v>
      </c>
    </row>
    <row r="82" spans="1:14" x14ac:dyDescent="0.25">
      <c r="A82" t="s">
        <v>239</v>
      </c>
      <c r="B82" t="s">
        <v>112</v>
      </c>
      <c r="J82" t="s">
        <v>18</v>
      </c>
      <c r="K82">
        <v>7.9</v>
      </c>
      <c r="L82" t="s">
        <v>19</v>
      </c>
      <c r="M82" t="s">
        <v>240</v>
      </c>
    </row>
    <row r="83" spans="1:14" x14ac:dyDescent="0.25">
      <c r="A83" s="4" t="s">
        <v>30</v>
      </c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</row>
    <row r="84" spans="1:14" x14ac:dyDescent="0.25">
      <c r="A84" s="4" t="s">
        <v>31</v>
      </c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</row>
    <row r="85" spans="1:14" x14ac:dyDescent="0.25">
      <c r="A85" s="4" t="s">
        <v>32</v>
      </c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</row>
    <row r="86" spans="1:14" x14ac:dyDescent="0.25">
      <c r="A86" s="4" t="s">
        <v>33</v>
      </c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</row>
    <row r="88" spans="1:14" x14ac:dyDescent="0.25">
      <c r="A88" s="2" t="s">
        <v>205</v>
      </c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</row>
    <row r="89" spans="1:14" x14ac:dyDescent="0.25">
      <c r="A89" t="s">
        <v>201</v>
      </c>
      <c r="B89" t="s">
        <v>207</v>
      </c>
      <c r="H89" t="s">
        <v>45</v>
      </c>
      <c r="J89" t="s">
        <v>204</v>
      </c>
      <c r="K89" s="33">
        <v>197000</v>
      </c>
      <c r="L89" t="s">
        <v>197</v>
      </c>
      <c r="M89" s="17" t="s">
        <v>327</v>
      </c>
    </row>
    <row r="90" spans="1:14" x14ac:dyDescent="0.25">
      <c r="A90" t="s">
        <v>202</v>
      </c>
      <c r="B90" t="s">
        <v>207</v>
      </c>
      <c r="H90" t="s">
        <v>45</v>
      </c>
      <c r="J90" t="s">
        <v>204</v>
      </c>
      <c r="K90" s="33">
        <v>10000</v>
      </c>
      <c r="L90" t="s">
        <v>197</v>
      </c>
      <c r="M90" t="s">
        <v>203</v>
      </c>
    </row>
    <row r="91" spans="1:14" x14ac:dyDescent="0.25">
      <c r="K91" s="33"/>
    </row>
    <row r="92" spans="1:14" x14ac:dyDescent="0.25">
      <c r="A92" t="s">
        <v>101</v>
      </c>
      <c r="B92" t="s">
        <v>207</v>
      </c>
      <c r="H92" t="s">
        <v>45</v>
      </c>
      <c r="J92" t="s">
        <v>204</v>
      </c>
      <c r="K92" s="33">
        <v>34000</v>
      </c>
      <c r="L92" t="s">
        <v>197</v>
      </c>
      <c r="M92" t="s">
        <v>310</v>
      </c>
      <c r="N92" t="s">
        <v>304</v>
      </c>
    </row>
    <row r="93" spans="1:14" x14ac:dyDescent="0.25">
      <c r="K93" s="33"/>
    </row>
    <row r="94" spans="1:14" x14ac:dyDescent="0.25">
      <c r="A94" t="s">
        <v>280</v>
      </c>
      <c r="B94" t="s">
        <v>207</v>
      </c>
      <c r="H94" t="s">
        <v>45</v>
      </c>
      <c r="J94" t="s">
        <v>204</v>
      </c>
      <c r="K94" s="37">
        <v>355.5</v>
      </c>
      <c r="L94" t="s">
        <v>281</v>
      </c>
      <c r="M94" t="s">
        <v>282</v>
      </c>
    </row>
    <row r="95" spans="1:14" x14ac:dyDescent="0.25">
      <c r="K95" s="33"/>
    </row>
    <row r="96" spans="1:14" x14ac:dyDescent="0.25">
      <c r="A96" s="2" t="s">
        <v>196</v>
      </c>
      <c r="B96" s="2"/>
      <c r="C96" s="2"/>
      <c r="D96" s="2"/>
      <c r="E96" s="2"/>
      <c r="F96" s="2"/>
      <c r="G96" s="2"/>
      <c r="H96" s="2"/>
      <c r="I96" s="2"/>
      <c r="J96" s="3"/>
      <c r="K96" s="36"/>
      <c r="L96" s="3"/>
      <c r="M96" s="3"/>
      <c r="N96" s="3"/>
    </row>
    <row r="97" spans="1:14" x14ac:dyDescent="0.25">
      <c r="A97" t="s">
        <v>297</v>
      </c>
      <c r="B97" t="s">
        <v>301</v>
      </c>
      <c r="H97" t="s">
        <v>45</v>
      </c>
      <c r="J97" t="s">
        <v>302</v>
      </c>
      <c r="K97" s="33">
        <v>558249.80000000005</v>
      </c>
      <c r="L97" t="s">
        <v>197</v>
      </c>
      <c r="M97" t="s">
        <v>305</v>
      </c>
      <c r="N97" t="s">
        <v>303</v>
      </c>
    </row>
    <row r="98" spans="1:14" x14ac:dyDescent="0.25">
      <c r="A98" t="s">
        <v>298</v>
      </c>
      <c r="B98" t="s">
        <v>301</v>
      </c>
      <c r="H98" t="s">
        <v>45</v>
      </c>
      <c r="J98" t="s">
        <v>302</v>
      </c>
      <c r="K98" s="33">
        <v>304650.40000000002</v>
      </c>
      <c r="L98" t="s">
        <v>197</v>
      </c>
      <c r="M98" t="s">
        <v>305</v>
      </c>
      <c r="N98" t="s">
        <v>303</v>
      </c>
    </row>
    <row r="99" spans="1:14" x14ac:dyDescent="0.25">
      <c r="A99" t="s">
        <v>299</v>
      </c>
      <c r="B99" t="s">
        <v>301</v>
      </c>
      <c r="H99" t="s">
        <v>45</v>
      </c>
      <c r="J99" t="s">
        <v>302</v>
      </c>
      <c r="K99" s="33">
        <v>32965.800000000003</v>
      </c>
      <c r="L99" t="s">
        <v>197</v>
      </c>
      <c r="M99" t="s">
        <v>318</v>
      </c>
      <c r="N99" t="s">
        <v>303</v>
      </c>
    </row>
    <row r="100" spans="1:14" x14ac:dyDescent="0.25">
      <c r="A100" t="s">
        <v>300</v>
      </c>
      <c r="B100" t="s">
        <v>301</v>
      </c>
      <c r="H100" t="s">
        <v>45</v>
      </c>
      <c r="J100" t="s">
        <v>302</v>
      </c>
      <c r="K100" s="33">
        <v>177249.6</v>
      </c>
      <c r="L100" t="s">
        <v>197</v>
      </c>
      <c r="M100" t="s">
        <v>305</v>
      </c>
      <c r="N100" t="s">
        <v>303</v>
      </c>
    </row>
    <row r="101" spans="1:14" x14ac:dyDescent="0.25">
      <c r="A101" t="s">
        <v>209</v>
      </c>
      <c r="B101" t="s">
        <v>301</v>
      </c>
      <c r="H101" t="s">
        <v>45</v>
      </c>
      <c r="J101" t="s">
        <v>302</v>
      </c>
      <c r="K101" s="33">
        <v>22062.799999999999</v>
      </c>
      <c r="L101" t="s">
        <v>197</v>
      </c>
      <c r="M101" t="s">
        <v>305</v>
      </c>
      <c r="N101" t="s">
        <v>303</v>
      </c>
    </row>
    <row r="102" spans="1:14" x14ac:dyDescent="0.25">
      <c r="A102" t="s">
        <v>101</v>
      </c>
      <c r="B102" t="s">
        <v>301</v>
      </c>
      <c r="H102" t="s">
        <v>45</v>
      </c>
      <c r="J102" t="s">
        <v>302</v>
      </c>
      <c r="K102" s="33">
        <v>25000</v>
      </c>
      <c r="L102" t="s">
        <v>197</v>
      </c>
      <c r="M102" t="s">
        <v>307</v>
      </c>
      <c r="N102" t="s">
        <v>306</v>
      </c>
    </row>
    <row r="104" spans="1:14" x14ac:dyDescent="0.25">
      <c r="A104" s="2" t="s">
        <v>34</v>
      </c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</row>
    <row r="105" spans="1:14" x14ac:dyDescent="0.25">
      <c r="B105" t="s">
        <v>26</v>
      </c>
      <c r="I105" t="s">
        <v>50</v>
      </c>
      <c r="J105" t="s">
        <v>53</v>
      </c>
      <c r="K105">
        <v>25</v>
      </c>
      <c r="L105" t="s">
        <v>38</v>
      </c>
    </row>
    <row r="106" spans="1:14" x14ac:dyDescent="0.25">
      <c r="B106" t="s">
        <v>26</v>
      </c>
      <c r="I106" t="s">
        <v>51</v>
      </c>
      <c r="J106" t="s">
        <v>53</v>
      </c>
      <c r="K106">
        <v>2</v>
      </c>
      <c r="L106" t="s">
        <v>38</v>
      </c>
    </row>
    <row r="107" spans="1:14" x14ac:dyDescent="0.25">
      <c r="B107" t="s">
        <v>26</v>
      </c>
      <c r="I107" t="s">
        <v>52</v>
      </c>
      <c r="J107" t="s">
        <v>53</v>
      </c>
      <c r="K107" s="6">
        <v>10.5</v>
      </c>
      <c r="L107" t="s">
        <v>38</v>
      </c>
      <c r="M107" s="6" t="s">
        <v>89</v>
      </c>
    </row>
    <row r="108" spans="1:14" x14ac:dyDescent="0.25">
      <c r="B108" t="s">
        <v>103</v>
      </c>
      <c r="I108" t="s">
        <v>50</v>
      </c>
      <c r="J108" t="s">
        <v>53</v>
      </c>
      <c r="K108">
        <v>17</v>
      </c>
      <c r="L108" t="s">
        <v>38</v>
      </c>
    </row>
    <row r="109" spans="1:14" x14ac:dyDescent="0.25">
      <c r="B109" t="s">
        <v>103</v>
      </c>
      <c r="I109" t="s">
        <v>51</v>
      </c>
      <c r="J109" t="s">
        <v>53</v>
      </c>
      <c r="K109">
        <v>7</v>
      </c>
      <c r="L109" t="s">
        <v>38</v>
      </c>
    </row>
    <row r="110" spans="1:14" x14ac:dyDescent="0.25">
      <c r="B110" t="s">
        <v>103</v>
      </c>
      <c r="I110" t="s">
        <v>52</v>
      </c>
      <c r="J110" t="s">
        <v>53</v>
      </c>
      <c r="K110" s="6">
        <v>15</v>
      </c>
      <c r="L110" t="s">
        <v>38</v>
      </c>
      <c r="M110" s="6" t="s">
        <v>89</v>
      </c>
    </row>
    <row r="111" spans="1:14" x14ac:dyDescent="0.25">
      <c r="B111" t="s">
        <v>108</v>
      </c>
      <c r="I111" t="s">
        <v>50</v>
      </c>
      <c r="J111" t="s">
        <v>53</v>
      </c>
      <c r="K111">
        <v>19</v>
      </c>
      <c r="L111" t="s">
        <v>38</v>
      </c>
    </row>
    <row r="112" spans="1:14" x14ac:dyDescent="0.25">
      <c r="B112" t="s">
        <v>108</v>
      </c>
      <c r="I112" t="s">
        <v>51</v>
      </c>
      <c r="J112" t="s">
        <v>53</v>
      </c>
      <c r="K112">
        <v>10</v>
      </c>
      <c r="L112" t="s">
        <v>38</v>
      </c>
    </row>
    <row r="113" spans="2:13" x14ac:dyDescent="0.25">
      <c r="B113" t="s">
        <v>108</v>
      </c>
      <c r="I113" t="s">
        <v>52</v>
      </c>
      <c r="J113" t="s">
        <v>53</v>
      </c>
      <c r="K113" s="6">
        <v>2</v>
      </c>
      <c r="L113" t="s">
        <v>38</v>
      </c>
      <c r="M113" s="6" t="s">
        <v>89</v>
      </c>
    </row>
    <row r="114" spans="2:13" x14ac:dyDescent="0.25">
      <c r="B114" t="s">
        <v>252</v>
      </c>
      <c r="I114" t="s">
        <v>50</v>
      </c>
      <c r="J114" t="s">
        <v>53</v>
      </c>
      <c r="K114">
        <v>19</v>
      </c>
      <c r="L114" t="s">
        <v>38</v>
      </c>
    </row>
    <row r="115" spans="2:13" x14ac:dyDescent="0.25">
      <c r="B115" t="s">
        <v>252</v>
      </c>
      <c r="I115" t="s">
        <v>51</v>
      </c>
      <c r="J115" t="s">
        <v>53</v>
      </c>
      <c r="K115">
        <v>10</v>
      </c>
      <c r="L115" t="s">
        <v>38</v>
      </c>
    </row>
    <row r="116" spans="2:13" x14ac:dyDescent="0.25">
      <c r="B116" t="s">
        <v>252</v>
      </c>
      <c r="I116" t="s">
        <v>52</v>
      </c>
      <c r="J116" t="s">
        <v>53</v>
      </c>
      <c r="K116" s="6">
        <v>2</v>
      </c>
      <c r="L116" t="s">
        <v>38</v>
      </c>
      <c r="M116" s="6" t="s">
        <v>89</v>
      </c>
    </row>
    <row r="117" spans="2:13" x14ac:dyDescent="0.25">
      <c r="B117" t="s">
        <v>81</v>
      </c>
      <c r="I117" t="s">
        <v>50</v>
      </c>
      <c r="J117" t="s">
        <v>53</v>
      </c>
      <c r="K117">
        <v>11</v>
      </c>
      <c r="L117" t="s">
        <v>38</v>
      </c>
    </row>
    <row r="118" spans="2:13" x14ac:dyDescent="0.25">
      <c r="B118" t="s">
        <v>81</v>
      </c>
      <c r="I118" t="s">
        <v>51</v>
      </c>
      <c r="J118" t="s">
        <v>53</v>
      </c>
      <c r="K118">
        <f>0.5</f>
        <v>0.5</v>
      </c>
      <c r="L118" t="s">
        <v>38</v>
      </c>
    </row>
    <row r="119" spans="2:13" x14ac:dyDescent="0.25">
      <c r="B119" t="s">
        <v>81</v>
      </c>
      <c r="I119" t="s">
        <v>52</v>
      </c>
      <c r="J119" t="s">
        <v>53</v>
      </c>
      <c r="K119" s="6">
        <v>1</v>
      </c>
      <c r="L119" t="s">
        <v>38</v>
      </c>
      <c r="M119" s="6" t="s">
        <v>89</v>
      </c>
    </row>
    <row r="120" spans="2:13" x14ac:dyDescent="0.25">
      <c r="B120" t="s">
        <v>55</v>
      </c>
      <c r="I120" t="s">
        <v>50</v>
      </c>
      <c r="J120" t="s">
        <v>53</v>
      </c>
      <c r="K120">
        <v>11</v>
      </c>
      <c r="L120" t="s">
        <v>38</v>
      </c>
    </row>
    <row r="121" spans="2:13" x14ac:dyDescent="0.25">
      <c r="B121" t="s">
        <v>55</v>
      </c>
      <c r="I121" t="s">
        <v>51</v>
      </c>
      <c r="J121" t="s">
        <v>53</v>
      </c>
      <c r="K121">
        <v>4</v>
      </c>
      <c r="L121" t="s">
        <v>38</v>
      </c>
    </row>
    <row r="122" spans="2:13" x14ac:dyDescent="0.25">
      <c r="B122" t="s">
        <v>55</v>
      </c>
      <c r="I122" t="s">
        <v>52</v>
      </c>
      <c r="J122" t="s">
        <v>53</v>
      </c>
      <c r="K122" s="6">
        <v>5</v>
      </c>
      <c r="L122" t="s">
        <v>38</v>
      </c>
      <c r="M122" s="6" t="s">
        <v>89</v>
      </c>
    </row>
    <row r="123" spans="2:13" x14ac:dyDescent="0.25">
      <c r="B123" t="s">
        <v>336</v>
      </c>
      <c r="I123" t="s">
        <v>50</v>
      </c>
      <c r="J123" t="s">
        <v>53</v>
      </c>
      <c r="K123">
        <v>11</v>
      </c>
      <c r="L123" t="s">
        <v>38</v>
      </c>
    </row>
    <row r="124" spans="2:13" x14ac:dyDescent="0.25">
      <c r="B124" t="s">
        <v>336</v>
      </c>
      <c r="I124" t="s">
        <v>51</v>
      </c>
      <c r="J124" t="s">
        <v>53</v>
      </c>
      <c r="K124">
        <v>4</v>
      </c>
      <c r="L124" t="s">
        <v>38</v>
      </c>
    </row>
    <row r="125" spans="2:13" x14ac:dyDescent="0.25">
      <c r="B125" t="s">
        <v>336</v>
      </c>
      <c r="I125" t="s">
        <v>52</v>
      </c>
      <c r="J125" t="s">
        <v>53</v>
      </c>
      <c r="K125" s="6">
        <v>5</v>
      </c>
      <c r="L125" t="s">
        <v>38</v>
      </c>
      <c r="M125" s="6" t="s">
        <v>89</v>
      </c>
    </row>
    <row r="126" spans="2:13" x14ac:dyDescent="0.25">
      <c r="B126" t="s">
        <v>214</v>
      </c>
      <c r="I126" t="s">
        <v>50</v>
      </c>
      <c r="J126" t="s">
        <v>53</v>
      </c>
      <c r="K126">
        <v>4</v>
      </c>
      <c r="L126" t="s">
        <v>38</v>
      </c>
    </row>
    <row r="127" spans="2:13" x14ac:dyDescent="0.25">
      <c r="B127" t="s">
        <v>214</v>
      </c>
      <c r="I127" t="s">
        <v>51</v>
      </c>
      <c r="J127" t="s">
        <v>53</v>
      </c>
      <c r="K127">
        <v>1</v>
      </c>
      <c r="L127" t="s">
        <v>38</v>
      </c>
    </row>
    <row r="128" spans="2:13" x14ac:dyDescent="0.25">
      <c r="B128" t="s">
        <v>214</v>
      </c>
      <c r="I128" t="s">
        <v>52</v>
      </c>
      <c r="J128" t="s">
        <v>53</v>
      </c>
      <c r="K128" s="6">
        <v>5</v>
      </c>
      <c r="L128" t="s">
        <v>38</v>
      </c>
      <c r="M128" s="6" t="s">
        <v>89</v>
      </c>
    </row>
    <row r="129" spans="1:14" x14ac:dyDescent="0.25">
      <c r="B129" t="s">
        <v>133</v>
      </c>
      <c r="I129" t="s">
        <v>50</v>
      </c>
      <c r="J129" t="s">
        <v>53</v>
      </c>
      <c r="K129">
        <v>4</v>
      </c>
      <c r="L129" t="s">
        <v>38</v>
      </c>
    </row>
    <row r="130" spans="1:14" x14ac:dyDescent="0.25">
      <c r="B130" t="s">
        <v>133</v>
      </c>
      <c r="I130" t="s">
        <v>51</v>
      </c>
      <c r="J130" t="s">
        <v>53</v>
      </c>
      <c r="K130">
        <v>1</v>
      </c>
      <c r="L130" t="s">
        <v>38</v>
      </c>
    </row>
    <row r="131" spans="1:14" x14ac:dyDescent="0.25">
      <c r="B131" t="s">
        <v>133</v>
      </c>
      <c r="I131" t="s">
        <v>52</v>
      </c>
      <c r="J131" t="s">
        <v>53</v>
      </c>
      <c r="K131" s="6">
        <v>5</v>
      </c>
      <c r="L131" t="s">
        <v>38</v>
      </c>
      <c r="M131" s="6" t="s">
        <v>89</v>
      </c>
    </row>
    <row r="132" spans="1:14" x14ac:dyDescent="0.25">
      <c r="B132" t="s">
        <v>227</v>
      </c>
      <c r="I132" t="s">
        <v>50</v>
      </c>
      <c r="J132" t="s">
        <v>53</v>
      </c>
      <c r="K132">
        <v>13</v>
      </c>
      <c r="L132" t="s">
        <v>38</v>
      </c>
    </row>
    <row r="133" spans="1:14" x14ac:dyDescent="0.25">
      <c r="B133" t="s">
        <v>227</v>
      </c>
      <c r="I133" t="s">
        <v>51</v>
      </c>
      <c r="J133" t="s">
        <v>53</v>
      </c>
      <c r="K133">
        <v>5</v>
      </c>
      <c r="L133" t="s">
        <v>38</v>
      </c>
    </row>
    <row r="134" spans="1:14" x14ac:dyDescent="0.25">
      <c r="B134" t="s">
        <v>227</v>
      </c>
      <c r="I134" t="s">
        <v>52</v>
      </c>
      <c r="J134" t="s">
        <v>53</v>
      </c>
      <c r="K134" s="6">
        <v>5</v>
      </c>
      <c r="L134" t="s">
        <v>38</v>
      </c>
      <c r="M134" s="6" t="s">
        <v>89</v>
      </c>
    </row>
    <row r="135" spans="1:14" x14ac:dyDescent="0.25">
      <c r="B135" t="s">
        <v>112</v>
      </c>
      <c r="I135" t="s">
        <v>50</v>
      </c>
      <c r="J135" t="s">
        <v>53</v>
      </c>
      <c r="K135">
        <v>0</v>
      </c>
      <c r="L135" t="s">
        <v>38</v>
      </c>
    </row>
    <row r="136" spans="1:14" x14ac:dyDescent="0.25">
      <c r="B136" t="s">
        <v>112</v>
      </c>
      <c r="I136" t="s">
        <v>51</v>
      </c>
      <c r="J136" t="s">
        <v>53</v>
      </c>
      <c r="K136">
        <v>5</v>
      </c>
      <c r="L136" t="s">
        <v>38</v>
      </c>
    </row>
    <row r="137" spans="1:14" x14ac:dyDescent="0.25">
      <c r="B137" t="s">
        <v>112</v>
      </c>
      <c r="I137" t="s">
        <v>52</v>
      </c>
      <c r="J137" t="s">
        <v>53</v>
      </c>
      <c r="K137" s="6">
        <v>5</v>
      </c>
      <c r="L137" t="s">
        <v>38</v>
      </c>
      <c r="M137" s="6" t="s">
        <v>89</v>
      </c>
    </row>
    <row r="138" spans="1:14" x14ac:dyDescent="0.25">
      <c r="K138" s="6"/>
      <c r="M138" s="6"/>
    </row>
    <row r="139" spans="1:14" x14ac:dyDescent="0.25">
      <c r="A139" s="2" t="s">
        <v>39</v>
      </c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</row>
    <row r="140" spans="1:14" x14ac:dyDescent="0.25">
      <c r="J140" s="7" t="s">
        <v>40</v>
      </c>
      <c r="K140" s="7">
        <v>100</v>
      </c>
      <c r="L140" s="7" t="s">
        <v>38</v>
      </c>
      <c r="M140" s="7" t="s">
        <v>44</v>
      </c>
    </row>
    <row r="141" spans="1:14" x14ac:dyDescent="0.25">
      <c r="A141" s="4" t="s">
        <v>10</v>
      </c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</row>
    <row r="142" spans="1:14" x14ac:dyDescent="0.25">
      <c r="A142" t="s">
        <v>186</v>
      </c>
      <c r="J142" t="s">
        <v>40</v>
      </c>
      <c r="K142">
        <v>22</v>
      </c>
      <c r="L142" t="s">
        <v>38</v>
      </c>
    </row>
    <row r="143" spans="1:14" x14ac:dyDescent="0.25">
      <c r="A143" t="s">
        <v>191</v>
      </c>
      <c r="J143" t="s">
        <v>40</v>
      </c>
      <c r="K143" s="27">
        <f>K142</f>
        <v>22</v>
      </c>
      <c r="L143" s="27" t="s">
        <v>38</v>
      </c>
      <c r="M143" s="27" t="s">
        <v>223</v>
      </c>
    </row>
    <row r="144" spans="1:14" x14ac:dyDescent="0.25">
      <c r="A144" t="s">
        <v>328</v>
      </c>
      <c r="J144" t="s">
        <v>40</v>
      </c>
      <c r="K144">
        <v>100</v>
      </c>
      <c r="L144" t="s">
        <v>38</v>
      </c>
    </row>
    <row r="145" spans="1:14" x14ac:dyDescent="0.25">
      <c r="A145" t="s">
        <v>329</v>
      </c>
      <c r="J145" t="s">
        <v>40</v>
      </c>
      <c r="K145" s="27">
        <f>K144</f>
        <v>100</v>
      </c>
      <c r="L145" s="27" t="s">
        <v>38</v>
      </c>
      <c r="M145" s="27" t="s">
        <v>223</v>
      </c>
    </row>
    <row r="146" spans="1:14" x14ac:dyDescent="0.25">
      <c r="A146" t="s">
        <v>187</v>
      </c>
      <c r="J146" t="s">
        <v>40</v>
      </c>
      <c r="K146">
        <v>4</v>
      </c>
      <c r="L146" t="s">
        <v>38</v>
      </c>
    </row>
    <row r="147" spans="1:14" x14ac:dyDescent="0.25">
      <c r="A147" t="s">
        <v>192</v>
      </c>
      <c r="J147" t="s">
        <v>40</v>
      </c>
      <c r="K147" s="27">
        <f>K146</f>
        <v>4</v>
      </c>
      <c r="L147" s="27" t="s">
        <v>38</v>
      </c>
      <c r="M147" s="27" t="s">
        <v>223</v>
      </c>
    </row>
    <row r="148" spans="1:14" x14ac:dyDescent="0.25">
      <c r="A148" t="s">
        <v>88</v>
      </c>
      <c r="J148" t="s">
        <v>40</v>
      </c>
      <c r="K148">
        <v>100</v>
      </c>
      <c r="L148" t="s">
        <v>38</v>
      </c>
    </row>
    <row r="149" spans="1:14" x14ac:dyDescent="0.25">
      <c r="A149" t="s">
        <v>188</v>
      </c>
      <c r="J149" t="s">
        <v>40</v>
      </c>
      <c r="K149">
        <v>8</v>
      </c>
      <c r="L149" t="s">
        <v>38</v>
      </c>
    </row>
    <row r="150" spans="1:14" x14ac:dyDescent="0.25">
      <c r="A150" t="s">
        <v>193</v>
      </c>
      <c r="J150" t="s">
        <v>40</v>
      </c>
      <c r="K150" s="27">
        <f>K149</f>
        <v>8</v>
      </c>
      <c r="L150" s="27" t="s">
        <v>38</v>
      </c>
      <c r="M150" s="27" t="s">
        <v>223</v>
      </c>
    </row>
    <row r="151" spans="1:14" x14ac:dyDescent="0.25">
      <c r="A151" t="s">
        <v>189</v>
      </c>
      <c r="J151" t="s">
        <v>40</v>
      </c>
      <c r="K151">
        <v>1</v>
      </c>
      <c r="L151" t="s">
        <v>38</v>
      </c>
    </row>
    <row r="152" spans="1:14" x14ac:dyDescent="0.25">
      <c r="A152" t="s">
        <v>194</v>
      </c>
      <c r="J152" t="s">
        <v>40</v>
      </c>
      <c r="K152" s="27">
        <f>K151</f>
        <v>1</v>
      </c>
      <c r="L152" s="27" t="s">
        <v>38</v>
      </c>
      <c r="M152" s="27" t="s">
        <v>223</v>
      </c>
    </row>
    <row r="153" spans="1:14" x14ac:dyDescent="0.25">
      <c r="A153" t="s">
        <v>190</v>
      </c>
      <c r="J153" t="s">
        <v>40</v>
      </c>
      <c r="K153" s="6">
        <v>22</v>
      </c>
      <c r="L153" s="17" t="s">
        <v>38</v>
      </c>
      <c r="M153" t="s">
        <v>155</v>
      </c>
    </row>
    <row r="154" spans="1:14" x14ac:dyDescent="0.25">
      <c r="A154" t="s">
        <v>195</v>
      </c>
      <c r="J154" t="s">
        <v>40</v>
      </c>
      <c r="K154" s="27">
        <f>K153</f>
        <v>22</v>
      </c>
      <c r="L154" s="27" t="s">
        <v>38</v>
      </c>
      <c r="M154" s="27" t="s">
        <v>223</v>
      </c>
    </row>
    <row r="155" spans="1:14" x14ac:dyDescent="0.25">
      <c r="A155" s="4" t="s">
        <v>11</v>
      </c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</row>
    <row r="156" spans="1:14" x14ac:dyDescent="0.25">
      <c r="A156" s="17" t="s">
        <v>99</v>
      </c>
      <c r="J156" t="s">
        <v>40</v>
      </c>
      <c r="K156" s="17">
        <v>16</v>
      </c>
      <c r="L156" s="17" t="s">
        <v>38</v>
      </c>
    </row>
    <row r="157" spans="1:14" x14ac:dyDescent="0.25">
      <c r="A157" s="17" t="s">
        <v>100</v>
      </c>
      <c r="J157" t="s">
        <v>40</v>
      </c>
      <c r="K157" s="17">
        <v>16</v>
      </c>
      <c r="L157" s="17" t="s">
        <v>38</v>
      </c>
    </row>
    <row r="158" spans="1:14" x14ac:dyDescent="0.25">
      <c r="A158" s="17" t="s">
        <v>216</v>
      </c>
      <c r="J158" t="s">
        <v>40</v>
      </c>
      <c r="K158" s="17">
        <v>16</v>
      </c>
      <c r="L158" s="17" t="s">
        <v>38</v>
      </c>
    </row>
    <row r="159" spans="1:14" x14ac:dyDescent="0.25">
      <c r="A159" s="17" t="s">
        <v>101</v>
      </c>
      <c r="J159" t="s">
        <v>40</v>
      </c>
      <c r="K159" s="17">
        <v>16</v>
      </c>
      <c r="L159" s="17" t="s">
        <v>38</v>
      </c>
    </row>
    <row r="160" spans="1:14" x14ac:dyDescent="0.25">
      <c r="A160" s="4" t="s">
        <v>13</v>
      </c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</row>
    <row r="161" spans="1:14" x14ac:dyDescent="0.25">
      <c r="A161" s="17" t="s">
        <v>249</v>
      </c>
      <c r="J161" t="s">
        <v>40</v>
      </c>
      <c r="K161" s="17">
        <v>85</v>
      </c>
      <c r="L161" s="17" t="s">
        <v>38</v>
      </c>
    </row>
    <row r="162" spans="1:14" x14ac:dyDescent="0.25">
      <c r="A162" s="17" t="s">
        <v>250</v>
      </c>
      <c r="J162" t="s">
        <v>40</v>
      </c>
      <c r="K162" s="17">
        <v>85</v>
      </c>
      <c r="L162" s="17" t="s">
        <v>38</v>
      </c>
    </row>
    <row r="163" spans="1:14" x14ac:dyDescent="0.25">
      <c r="A163" s="17" t="s">
        <v>251</v>
      </c>
      <c r="J163" t="s">
        <v>40</v>
      </c>
      <c r="K163" s="17">
        <v>85</v>
      </c>
      <c r="L163" s="17" t="s">
        <v>38</v>
      </c>
    </row>
    <row r="164" spans="1:14" x14ac:dyDescent="0.25">
      <c r="A164" s="17" t="s">
        <v>253</v>
      </c>
      <c r="J164" t="s">
        <v>40</v>
      </c>
      <c r="K164" s="17">
        <v>95</v>
      </c>
      <c r="L164" s="17" t="s">
        <v>38</v>
      </c>
    </row>
    <row r="165" spans="1:14" x14ac:dyDescent="0.25">
      <c r="A165" s="17" t="s">
        <v>262</v>
      </c>
      <c r="J165" t="s">
        <v>40</v>
      </c>
      <c r="K165" s="6">
        <v>97</v>
      </c>
      <c r="L165" s="17" t="s">
        <v>38</v>
      </c>
      <c r="M165" s="6" t="s">
        <v>274</v>
      </c>
    </row>
    <row r="166" spans="1:14" x14ac:dyDescent="0.25">
      <c r="A166" s="17" t="s">
        <v>263</v>
      </c>
      <c r="J166" t="s">
        <v>40</v>
      </c>
      <c r="K166" s="17">
        <v>29</v>
      </c>
      <c r="L166" s="17" t="s">
        <v>38</v>
      </c>
    </row>
    <row r="167" spans="1:14" x14ac:dyDescent="0.25">
      <c r="A167" s="17" t="s">
        <v>269</v>
      </c>
      <c r="C167" s="9"/>
      <c r="J167" t="s">
        <v>40</v>
      </c>
      <c r="K167" s="6">
        <v>50</v>
      </c>
      <c r="L167" s="17" t="s">
        <v>38</v>
      </c>
      <c r="M167" s="6" t="s">
        <v>273</v>
      </c>
    </row>
    <row r="168" spans="1:14" x14ac:dyDescent="0.25">
      <c r="A168" s="17" t="s">
        <v>264</v>
      </c>
      <c r="J168" t="s">
        <v>40</v>
      </c>
      <c r="K168" s="6">
        <v>90</v>
      </c>
      <c r="L168" s="17" t="s">
        <v>38</v>
      </c>
      <c r="M168" s="6" t="s">
        <v>273</v>
      </c>
    </row>
    <row r="169" spans="1:14" x14ac:dyDescent="0.25">
      <c r="A169" s="4" t="s">
        <v>12</v>
      </c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</row>
    <row r="170" spans="1:14" x14ac:dyDescent="0.25">
      <c r="A170" s="17" t="s">
        <v>141</v>
      </c>
      <c r="J170" t="s">
        <v>40</v>
      </c>
      <c r="K170">
        <v>7</v>
      </c>
      <c r="L170" s="17" t="s">
        <v>38</v>
      </c>
    </row>
    <row r="171" spans="1:14" x14ac:dyDescent="0.25">
      <c r="A171" s="17" t="s">
        <v>147</v>
      </c>
      <c r="J171" t="s">
        <v>40</v>
      </c>
      <c r="K171" s="17">
        <v>35</v>
      </c>
      <c r="L171" s="17" t="s">
        <v>38</v>
      </c>
    </row>
    <row r="172" spans="1:14" x14ac:dyDescent="0.25">
      <c r="A172" s="17" t="s">
        <v>143</v>
      </c>
      <c r="J172" t="s">
        <v>40</v>
      </c>
      <c r="K172" s="17">
        <v>63</v>
      </c>
      <c r="L172" s="17" t="s">
        <v>38</v>
      </c>
    </row>
    <row r="173" spans="1:14" x14ac:dyDescent="0.25">
      <c r="A173" s="17" t="s">
        <v>144</v>
      </c>
      <c r="J173" t="s">
        <v>40</v>
      </c>
      <c r="K173" s="17">
        <v>54</v>
      </c>
      <c r="L173" s="17" t="s">
        <v>38</v>
      </c>
      <c r="M173" s="6"/>
    </row>
    <row r="174" spans="1:14" x14ac:dyDescent="0.25">
      <c r="A174" s="17" t="s">
        <v>145</v>
      </c>
      <c r="J174" t="s">
        <v>40</v>
      </c>
      <c r="K174" s="6">
        <v>75</v>
      </c>
      <c r="L174" s="17" t="s">
        <v>38</v>
      </c>
      <c r="M174" s="6" t="s">
        <v>260</v>
      </c>
    </row>
    <row r="175" spans="1:14" x14ac:dyDescent="0.25">
      <c r="A175" s="17" t="s">
        <v>146</v>
      </c>
      <c r="J175" t="s">
        <v>40</v>
      </c>
      <c r="K175" s="17">
        <v>10</v>
      </c>
      <c r="L175" s="17" t="s">
        <v>38</v>
      </c>
    </row>
    <row r="176" spans="1:14" x14ac:dyDescent="0.25">
      <c r="A176" s="17" t="s">
        <v>107</v>
      </c>
      <c r="J176" t="s">
        <v>40</v>
      </c>
      <c r="K176" s="17">
        <v>90</v>
      </c>
      <c r="L176" s="17" t="s">
        <v>38</v>
      </c>
    </row>
    <row r="177" spans="1:14" x14ac:dyDescent="0.25">
      <c r="A177" s="17" t="s">
        <v>110</v>
      </c>
      <c r="J177" t="s">
        <v>40</v>
      </c>
      <c r="K177" s="17">
        <v>46</v>
      </c>
      <c r="L177" s="17" t="s">
        <v>38</v>
      </c>
    </row>
    <row r="178" spans="1:14" x14ac:dyDescent="0.25">
      <c r="A178" s="17" t="s">
        <v>257</v>
      </c>
      <c r="J178" t="s">
        <v>40</v>
      </c>
      <c r="K178" s="17">
        <v>100</v>
      </c>
      <c r="L178" s="17" t="s">
        <v>38</v>
      </c>
    </row>
    <row r="179" spans="1:14" x14ac:dyDescent="0.25">
      <c r="A179" s="17" t="s">
        <v>154</v>
      </c>
      <c r="J179" t="s">
        <v>40</v>
      </c>
      <c r="K179" s="6">
        <v>90</v>
      </c>
      <c r="L179" s="17" t="s">
        <v>38</v>
      </c>
      <c r="M179" s="6" t="s">
        <v>273</v>
      </c>
    </row>
    <row r="180" spans="1:14" x14ac:dyDescent="0.25">
      <c r="A180" s="4" t="s">
        <v>14</v>
      </c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</row>
    <row r="181" spans="1:14" x14ac:dyDescent="0.25">
      <c r="A181" s="6" t="s">
        <v>62</v>
      </c>
      <c r="J181" t="s">
        <v>40</v>
      </c>
      <c r="K181" s="13">
        <f>8.5*20/(29.5+8.5)</f>
        <v>4.4736842105263159</v>
      </c>
      <c r="L181" t="s">
        <v>38</v>
      </c>
    </row>
    <row r="182" spans="1:14" x14ac:dyDescent="0.25">
      <c r="A182" s="6" t="s">
        <v>61</v>
      </c>
      <c r="J182" t="s">
        <v>40</v>
      </c>
      <c r="K182" s="13">
        <f>(80.7*0+14.4*20+0.3*5*0)/(80.7+14.4+0.3*5)</f>
        <v>2.981366459627329</v>
      </c>
      <c r="L182" t="s">
        <v>38</v>
      </c>
    </row>
    <row r="183" spans="1:14" x14ac:dyDescent="0.25">
      <c r="A183" s="6" t="s">
        <v>63</v>
      </c>
      <c r="J183" t="s">
        <v>40</v>
      </c>
      <c r="K183" s="13">
        <f>(45.6*0+44.1*20+1.3*5*0+1.8*10*0)/(45.6+44.1+1.3*5+1.8*10)</f>
        <v>7.723292469352014</v>
      </c>
      <c r="L183" t="s">
        <v>38</v>
      </c>
    </row>
    <row r="184" spans="1:14" x14ac:dyDescent="0.25">
      <c r="A184" s="6" t="s">
        <v>64</v>
      </c>
      <c r="J184" t="s">
        <v>40</v>
      </c>
      <c r="K184">
        <f>60</f>
        <v>60</v>
      </c>
      <c r="L184" t="s">
        <v>38</v>
      </c>
    </row>
    <row r="185" spans="1:14" x14ac:dyDescent="0.25">
      <c r="A185" s="6" t="s">
        <v>68</v>
      </c>
      <c r="J185" t="s">
        <v>40</v>
      </c>
      <c r="K185">
        <v>0</v>
      </c>
      <c r="L185" t="s">
        <v>38</v>
      </c>
    </row>
    <row r="186" spans="1:14" x14ac:dyDescent="0.25">
      <c r="A186" s="6" t="s">
        <v>69</v>
      </c>
      <c r="J186" t="s">
        <v>40</v>
      </c>
      <c r="K186">
        <v>20</v>
      </c>
      <c r="L186" t="s">
        <v>38</v>
      </c>
    </row>
    <row r="187" spans="1:14" x14ac:dyDescent="0.25">
      <c r="A187" s="6" t="s">
        <v>66</v>
      </c>
      <c r="J187" t="s">
        <v>40</v>
      </c>
      <c r="K187">
        <v>20</v>
      </c>
      <c r="L187" t="s">
        <v>38</v>
      </c>
    </row>
    <row r="188" spans="1:14" x14ac:dyDescent="0.25">
      <c r="A188" s="6" t="s">
        <v>67</v>
      </c>
      <c r="J188" t="s">
        <v>40</v>
      </c>
      <c r="K188">
        <v>20</v>
      </c>
      <c r="L188" t="s">
        <v>38</v>
      </c>
    </row>
    <row r="189" spans="1:14" x14ac:dyDescent="0.25">
      <c r="A189" s="6" t="s">
        <v>65</v>
      </c>
      <c r="J189" t="s">
        <v>40</v>
      </c>
      <c r="K189">
        <f>43</f>
        <v>43</v>
      </c>
      <c r="L189" t="s">
        <v>38</v>
      </c>
    </row>
    <row r="190" spans="1:14" x14ac:dyDescent="0.25">
      <c r="A190" s="4" t="s">
        <v>23</v>
      </c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</row>
    <row r="191" spans="1:14" x14ac:dyDescent="0.25">
      <c r="A191" t="s">
        <v>54</v>
      </c>
      <c r="J191" t="s">
        <v>40</v>
      </c>
      <c r="K191">
        <v>37</v>
      </c>
      <c r="L191" t="s">
        <v>38</v>
      </c>
    </row>
    <row r="192" spans="1:14" x14ac:dyDescent="0.25">
      <c r="A192" t="s">
        <v>95</v>
      </c>
      <c r="J192" t="s">
        <v>40</v>
      </c>
      <c r="K192" s="17">
        <v>43</v>
      </c>
      <c r="L192" t="s">
        <v>38</v>
      </c>
    </row>
    <row r="193" spans="1:14" x14ac:dyDescent="0.25">
      <c r="A193" t="s">
        <v>275</v>
      </c>
      <c r="J193" t="s">
        <v>40</v>
      </c>
      <c r="K193" s="17">
        <v>36</v>
      </c>
      <c r="L193" t="s">
        <v>38</v>
      </c>
    </row>
    <row r="194" spans="1:14" x14ac:dyDescent="0.25">
      <c r="A194" s="4" t="s">
        <v>15</v>
      </c>
      <c r="B194" s="4"/>
      <c r="C194" s="4"/>
      <c r="D194" s="4"/>
      <c r="E194" s="4"/>
      <c r="F194" s="4"/>
      <c r="G194" s="4"/>
      <c r="H194" s="4"/>
      <c r="I194" s="4"/>
      <c r="J194" s="5"/>
      <c r="K194" s="5"/>
      <c r="L194" s="5"/>
      <c r="M194" s="5"/>
      <c r="N194" s="5"/>
    </row>
    <row r="195" spans="1:14" x14ac:dyDescent="0.25">
      <c r="A195" t="s">
        <v>15</v>
      </c>
      <c r="J195" t="s">
        <v>40</v>
      </c>
      <c r="K195" s="17">
        <v>12</v>
      </c>
      <c r="L195" t="s">
        <v>38</v>
      </c>
    </row>
    <row r="196" spans="1:14" x14ac:dyDescent="0.25">
      <c r="A196" s="4" t="s">
        <v>20</v>
      </c>
      <c r="B196" s="4"/>
      <c r="C196" s="4"/>
      <c r="D196" s="4"/>
      <c r="E196" s="4"/>
      <c r="F196" s="4"/>
      <c r="G196" s="4"/>
      <c r="H196" s="4"/>
      <c r="I196" s="4"/>
      <c r="J196" s="5"/>
      <c r="K196" s="5"/>
      <c r="L196" s="5"/>
      <c r="M196" s="5"/>
      <c r="N196" s="5"/>
    </row>
    <row r="197" spans="1:14" x14ac:dyDescent="0.25">
      <c r="A197" t="s">
        <v>209</v>
      </c>
      <c r="J197" t="s">
        <v>40</v>
      </c>
      <c r="K197">
        <v>5</v>
      </c>
      <c r="L197" t="s">
        <v>38</v>
      </c>
    </row>
    <row r="198" spans="1:14" x14ac:dyDescent="0.25">
      <c r="A198" s="26" t="s">
        <v>210</v>
      </c>
      <c r="J198" t="s">
        <v>40</v>
      </c>
      <c r="K198">
        <v>0.4</v>
      </c>
      <c r="L198" t="s">
        <v>38</v>
      </c>
    </row>
    <row r="199" spans="1:14" x14ac:dyDescent="0.25">
      <c r="A199" s="26" t="s">
        <v>211</v>
      </c>
      <c r="J199" t="s">
        <v>40</v>
      </c>
      <c r="K199" s="6">
        <v>95</v>
      </c>
      <c r="L199" t="s">
        <v>38</v>
      </c>
      <c r="M199" s="6" t="s">
        <v>156</v>
      </c>
    </row>
    <row r="200" spans="1:14" x14ac:dyDescent="0.25">
      <c r="A200" s="26" t="s">
        <v>212</v>
      </c>
      <c r="J200" t="s">
        <v>40</v>
      </c>
      <c r="K200">
        <v>100</v>
      </c>
      <c r="L200" t="s">
        <v>38</v>
      </c>
    </row>
    <row r="201" spans="1:14" x14ac:dyDescent="0.25">
      <c r="A201" s="26" t="s">
        <v>213</v>
      </c>
      <c r="B201" s="8"/>
      <c r="C201" s="8"/>
      <c r="D201" s="9"/>
      <c r="E201" s="9"/>
      <c r="F201" s="8"/>
      <c r="G201" s="8"/>
      <c r="H201" s="8"/>
      <c r="I201" s="8"/>
      <c r="J201" t="s">
        <v>40</v>
      </c>
      <c r="K201">
        <v>100</v>
      </c>
      <c r="L201" t="s">
        <v>38</v>
      </c>
      <c r="M201" s="8"/>
      <c r="N201" s="8"/>
    </row>
    <row r="202" spans="1:14" x14ac:dyDescent="0.25">
      <c r="A202" s="4" t="s">
        <v>22</v>
      </c>
      <c r="B202" s="4"/>
      <c r="C202" s="4"/>
      <c r="D202" s="4"/>
      <c r="E202" s="4"/>
      <c r="F202" s="4"/>
      <c r="G202" s="4"/>
      <c r="H202" s="4"/>
      <c r="I202" s="4"/>
      <c r="J202" s="5"/>
      <c r="K202" s="5"/>
      <c r="L202" s="5"/>
      <c r="M202" s="5"/>
      <c r="N202" s="5"/>
    </row>
    <row r="203" spans="1:14" x14ac:dyDescent="0.25">
      <c r="A203" t="s">
        <v>132</v>
      </c>
      <c r="J203" t="s">
        <v>40</v>
      </c>
      <c r="K203" s="15">
        <v>52</v>
      </c>
      <c r="L203" t="s">
        <v>38</v>
      </c>
      <c r="M203" s="24"/>
    </row>
    <row r="204" spans="1:14" x14ac:dyDescent="0.25">
      <c r="A204" s="4" t="s">
        <v>24</v>
      </c>
      <c r="B204" s="4"/>
      <c r="C204" s="4"/>
      <c r="D204" s="4"/>
      <c r="E204" s="4"/>
      <c r="F204" s="4"/>
      <c r="G204" s="4"/>
      <c r="H204" s="4"/>
      <c r="I204" s="4"/>
      <c r="J204" s="5"/>
      <c r="K204" s="5"/>
      <c r="L204" s="5"/>
      <c r="M204" s="5"/>
      <c r="N204" s="5"/>
    </row>
    <row r="205" spans="1:14" x14ac:dyDescent="0.25">
      <c r="A205" t="s">
        <v>224</v>
      </c>
      <c r="J205" t="s">
        <v>40</v>
      </c>
      <c r="K205" s="6">
        <v>24</v>
      </c>
      <c r="L205" t="s">
        <v>38</v>
      </c>
      <c r="M205" s="6" t="s">
        <v>229</v>
      </c>
    </row>
    <row r="206" spans="1:14" x14ac:dyDescent="0.25">
      <c r="A206" t="s">
        <v>226</v>
      </c>
      <c r="J206" t="s">
        <v>40</v>
      </c>
      <c r="K206" s="27">
        <f>K205</f>
        <v>24</v>
      </c>
      <c r="L206" s="27" t="s">
        <v>38</v>
      </c>
      <c r="M206" s="27" t="s">
        <v>228</v>
      </c>
    </row>
    <row r="207" spans="1:14" x14ac:dyDescent="0.25">
      <c r="A207" t="s">
        <v>225</v>
      </c>
      <c r="J207" t="s">
        <v>40</v>
      </c>
      <c r="K207">
        <v>61</v>
      </c>
      <c r="L207" t="s">
        <v>38</v>
      </c>
    </row>
    <row r="208" spans="1:14" x14ac:dyDescent="0.25">
      <c r="A208" s="4" t="s">
        <v>29</v>
      </c>
      <c r="B208" s="4"/>
      <c r="C208" s="4"/>
      <c r="D208" s="4"/>
      <c r="E208" s="4"/>
      <c r="F208" s="4"/>
      <c r="G208" s="4"/>
      <c r="H208" s="4"/>
      <c r="I208" s="4"/>
      <c r="J208" s="5"/>
      <c r="K208" s="5"/>
      <c r="L208" s="5"/>
      <c r="M208" s="5"/>
      <c r="N208" s="5"/>
    </row>
    <row r="209" spans="1:14" x14ac:dyDescent="0.25">
      <c r="A209" t="s">
        <v>235</v>
      </c>
      <c r="J209" t="s">
        <v>40</v>
      </c>
      <c r="K209">
        <v>100</v>
      </c>
      <c r="L209" t="s">
        <v>38</v>
      </c>
    </row>
    <row r="210" spans="1:14" x14ac:dyDescent="0.25">
      <c r="A210" t="s">
        <v>238</v>
      </c>
      <c r="J210" t="s">
        <v>40</v>
      </c>
      <c r="K210">
        <v>4</v>
      </c>
      <c r="L210" t="s">
        <v>38</v>
      </c>
      <c r="M210" t="s">
        <v>113</v>
      </c>
    </row>
    <row r="211" spans="1:14" x14ac:dyDescent="0.25">
      <c r="A211" t="s">
        <v>236</v>
      </c>
      <c r="J211" t="s">
        <v>40</v>
      </c>
      <c r="K211">
        <v>85</v>
      </c>
      <c r="L211" t="s">
        <v>38</v>
      </c>
      <c r="M211" t="s">
        <v>241</v>
      </c>
    </row>
    <row r="212" spans="1:14" x14ac:dyDescent="0.25">
      <c r="A212" t="s">
        <v>239</v>
      </c>
      <c r="J212" t="s">
        <v>40</v>
      </c>
      <c r="K212">
        <v>22</v>
      </c>
      <c r="L212" t="s">
        <v>38</v>
      </c>
      <c r="M212" t="s">
        <v>242</v>
      </c>
    </row>
    <row r="214" spans="1:14" x14ac:dyDescent="0.25">
      <c r="A214" s="2" t="s">
        <v>157</v>
      </c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</row>
    <row r="215" spans="1:14" x14ac:dyDescent="0.25">
      <c r="G215" s="7"/>
      <c r="H215" s="7" t="s">
        <v>45</v>
      </c>
      <c r="I215" s="7"/>
      <c r="J215" s="7" t="s">
        <v>41</v>
      </c>
      <c r="K215" s="7">
        <v>-100</v>
      </c>
      <c r="L215" s="7" t="s">
        <v>46</v>
      </c>
      <c r="M215" s="7" t="s">
        <v>184</v>
      </c>
    </row>
    <row r="216" spans="1:14" x14ac:dyDescent="0.25">
      <c r="G216" s="7"/>
      <c r="H216" s="7" t="s">
        <v>43</v>
      </c>
      <c r="I216" s="7"/>
      <c r="J216" s="7" t="s">
        <v>41</v>
      </c>
      <c r="K216" s="7">
        <v>0</v>
      </c>
      <c r="L216" s="7" t="s">
        <v>38</v>
      </c>
      <c r="M216" s="7" t="s">
        <v>44</v>
      </c>
    </row>
    <row r="217" spans="1:14" x14ac:dyDescent="0.25">
      <c r="A217" s="4" t="s">
        <v>10</v>
      </c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</row>
    <row r="218" spans="1:14" x14ac:dyDescent="0.25">
      <c r="A218" t="s">
        <v>186</v>
      </c>
      <c r="G218" t="s">
        <v>87</v>
      </c>
      <c r="H218" t="s">
        <v>43</v>
      </c>
      <c r="J218" t="s">
        <v>41</v>
      </c>
      <c r="K218" s="17">
        <v>5.3</v>
      </c>
      <c r="L218" t="s">
        <v>38</v>
      </c>
      <c r="M218" t="s">
        <v>175</v>
      </c>
      <c r="N218" t="s">
        <v>98</v>
      </c>
    </row>
    <row r="219" spans="1:14" x14ac:dyDescent="0.25">
      <c r="A219" t="s">
        <v>191</v>
      </c>
      <c r="G219" t="s">
        <v>87</v>
      </c>
      <c r="H219" t="s">
        <v>43</v>
      </c>
      <c r="J219" t="s">
        <v>41</v>
      </c>
      <c r="K219" s="40">
        <f>K218</f>
        <v>5.3</v>
      </c>
      <c r="L219" t="s">
        <v>38</v>
      </c>
    </row>
    <row r="220" spans="1:14" x14ac:dyDescent="0.25">
      <c r="A220" t="s">
        <v>187</v>
      </c>
      <c r="G220" t="s">
        <v>87</v>
      </c>
      <c r="H220" t="s">
        <v>43</v>
      </c>
      <c r="J220" t="s">
        <v>41</v>
      </c>
      <c r="K220" s="17">
        <v>4.9000000000000004</v>
      </c>
      <c r="L220" t="s">
        <v>38</v>
      </c>
      <c r="M220" t="s">
        <v>175</v>
      </c>
      <c r="N220" t="s">
        <v>98</v>
      </c>
    </row>
    <row r="221" spans="1:14" x14ac:dyDescent="0.25">
      <c r="A221" t="s">
        <v>192</v>
      </c>
      <c r="G221" t="s">
        <v>87</v>
      </c>
      <c r="H221" t="s">
        <v>43</v>
      </c>
      <c r="J221" t="s">
        <v>41</v>
      </c>
      <c r="K221" s="40">
        <f>K220</f>
        <v>4.9000000000000004</v>
      </c>
      <c r="L221" t="s">
        <v>38</v>
      </c>
    </row>
    <row r="222" spans="1:14" x14ac:dyDescent="0.25">
      <c r="A222" t="s">
        <v>188</v>
      </c>
      <c r="G222" t="s">
        <v>87</v>
      </c>
      <c r="H222" t="s">
        <v>43</v>
      </c>
      <c r="J222" t="s">
        <v>41</v>
      </c>
      <c r="K222" s="17">
        <v>12.7</v>
      </c>
      <c r="L222" t="s">
        <v>38</v>
      </c>
      <c r="M222" t="s">
        <v>175</v>
      </c>
      <c r="N222" t="s">
        <v>98</v>
      </c>
    </row>
    <row r="223" spans="1:14" x14ac:dyDescent="0.25">
      <c r="A223" t="s">
        <v>193</v>
      </c>
      <c r="G223" t="s">
        <v>87</v>
      </c>
      <c r="H223" t="s">
        <v>43</v>
      </c>
      <c r="J223" t="s">
        <v>41</v>
      </c>
      <c r="K223" s="40">
        <f>K222</f>
        <v>12.7</v>
      </c>
      <c r="L223" t="s">
        <v>38</v>
      </c>
    </row>
    <row r="224" spans="1:14" x14ac:dyDescent="0.25">
      <c r="A224" t="s">
        <v>189</v>
      </c>
      <c r="G224" t="s">
        <v>87</v>
      </c>
      <c r="H224" t="s">
        <v>43</v>
      </c>
      <c r="J224" t="s">
        <v>41</v>
      </c>
      <c r="K224" s="17">
        <v>24</v>
      </c>
      <c r="L224" t="s">
        <v>38</v>
      </c>
      <c r="M224" t="s">
        <v>176</v>
      </c>
      <c r="N224" s="26" t="s">
        <v>173</v>
      </c>
    </row>
    <row r="225" spans="1:14" x14ac:dyDescent="0.25">
      <c r="A225" t="s">
        <v>194</v>
      </c>
      <c r="G225" t="s">
        <v>87</v>
      </c>
      <c r="H225" t="s">
        <v>43</v>
      </c>
      <c r="J225" t="s">
        <v>41</v>
      </c>
      <c r="K225" s="40">
        <f>K224</f>
        <v>24</v>
      </c>
      <c r="L225" t="s">
        <v>38</v>
      </c>
      <c r="N225" s="26"/>
    </row>
    <row r="226" spans="1:14" x14ac:dyDescent="0.25">
      <c r="A226" t="s">
        <v>190</v>
      </c>
      <c r="G226" t="s">
        <v>87</v>
      </c>
      <c r="H226" t="s">
        <v>43</v>
      </c>
      <c r="J226" t="s">
        <v>41</v>
      </c>
      <c r="K226" s="6">
        <v>10</v>
      </c>
      <c r="L226" t="s">
        <v>38</v>
      </c>
    </row>
    <row r="227" spans="1:14" x14ac:dyDescent="0.25">
      <c r="A227" t="s">
        <v>195</v>
      </c>
      <c r="G227" t="s">
        <v>87</v>
      </c>
      <c r="H227" t="s">
        <v>43</v>
      </c>
      <c r="J227" t="s">
        <v>41</v>
      </c>
      <c r="K227" s="40">
        <f>K226</f>
        <v>10</v>
      </c>
      <c r="L227" t="s">
        <v>38</v>
      </c>
    </row>
    <row r="228" spans="1:14" x14ac:dyDescent="0.25">
      <c r="A228" s="4" t="s">
        <v>11</v>
      </c>
      <c r="B228" s="4"/>
      <c r="C228" s="4"/>
      <c r="D228" s="4"/>
      <c r="E228" s="4"/>
      <c r="F228" s="4"/>
      <c r="G228" s="4"/>
      <c r="H228" s="4"/>
      <c r="I228" s="4"/>
      <c r="J228" s="5"/>
      <c r="K228" s="5"/>
      <c r="L228" s="5"/>
      <c r="M228" s="5"/>
      <c r="N228" s="5"/>
    </row>
    <row r="229" spans="1:14" x14ac:dyDescent="0.25">
      <c r="A229" s="17" t="s">
        <v>99</v>
      </c>
      <c r="G229" t="s">
        <v>87</v>
      </c>
      <c r="H229" t="s">
        <v>43</v>
      </c>
      <c r="J229" t="s">
        <v>41</v>
      </c>
      <c r="K229" s="17">
        <v>12</v>
      </c>
      <c r="L229" t="s">
        <v>38</v>
      </c>
      <c r="N229" s="26" t="s">
        <v>173</v>
      </c>
    </row>
    <row r="230" spans="1:14" x14ac:dyDescent="0.25">
      <c r="A230" s="17" t="s">
        <v>100</v>
      </c>
      <c r="G230" t="s">
        <v>87</v>
      </c>
      <c r="H230" t="s">
        <v>43</v>
      </c>
      <c r="J230" t="s">
        <v>41</v>
      </c>
      <c r="K230" s="17">
        <v>12</v>
      </c>
      <c r="L230" t="s">
        <v>38</v>
      </c>
      <c r="N230" s="26" t="s">
        <v>173</v>
      </c>
    </row>
    <row r="231" spans="1:14" x14ac:dyDescent="0.25">
      <c r="A231" s="17" t="s">
        <v>216</v>
      </c>
      <c r="G231" t="s">
        <v>87</v>
      </c>
      <c r="H231" t="s">
        <v>43</v>
      </c>
      <c r="J231" t="s">
        <v>41</v>
      </c>
      <c r="K231" s="17">
        <v>0</v>
      </c>
      <c r="L231" t="s">
        <v>38</v>
      </c>
    </row>
    <row r="232" spans="1:14" x14ac:dyDescent="0.25">
      <c r="A232" s="17" t="s">
        <v>101</v>
      </c>
      <c r="G232" t="s">
        <v>87</v>
      </c>
      <c r="H232" t="s">
        <v>43</v>
      </c>
      <c r="J232" t="s">
        <v>41</v>
      </c>
      <c r="K232" s="17">
        <v>0</v>
      </c>
      <c r="L232" t="s">
        <v>38</v>
      </c>
    </row>
    <row r="233" spans="1:14" x14ac:dyDescent="0.25">
      <c r="A233" s="4" t="s">
        <v>12</v>
      </c>
      <c r="B233" s="4"/>
      <c r="C233" s="4"/>
      <c r="D233" s="4"/>
      <c r="E233" s="4"/>
      <c r="F233" s="4"/>
      <c r="G233" s="4"/>
      <c r="H233" s="4"/>
      <c r="I233" s="4"/>
      <c r="J233" s="5"/>
      <c r="K233" s="5"/>
      <c r="L233" s="5"/>
      <c r="M233" s="5"/>
      <c r="N233" s="5"/>
    </row>
    <row r="234" spans="1:14" x14ac:dyDescent="0.25">
      <c r="A234" s="17" t="s">
        <v>141</v>
      </c>
      <c r="G234" t="s">
        <v>87</v>
      </c>
      <c r="H234" t="s">
        <v>43</v>
      </c>
      <c r="J234" t="s">
        <v>41</v>
      </c>
      <c r="K234" s="17">
        <v>25</v>
      </c>
      <c r="L234" t="s">
        <v>38</v>
      </c>
      <c r="M234" t="s">
        <v>178</v>
      </c>
      <c r="N234" s="26" t="s">
        <v>173</v>
      </c>
    </row>
    <row r="235" spans="1:14" x14ac:dyDescent="0.25">
      <c r="A235" s="17" t="s">
        <v>147</v>
      </c>
      <c r="G235" t="s">
        <v>87</v>
      </c>
      <c r="H235" t="s">
        <v>43</v>
      </c>
      <c r="J235" t="s">
        <v>41</v>
      </c>
      <c r="K235" s="17">
        <v>13</v>
      </c>
      <c r="L235" t="s">
        <v>38</v>
      </c>
      <c r="M235" t="s">
        <v>179</v>
      </c>
      <c r="N235" s="26" t="s">
        <v>173</v>
      </c>
    </row>
    <row r="236" spans="1:14" x14ac:dyDescent="0.25">
      <c r="A236" s="17" t="s">
        <v>144</v>
      </c>
      <c r="G236" t="s">
        <v>87</v>
      </c>
      <c r="H236" t="s">
        <v>43</v>
      </c>
      <c r="J236" t="s">
        <v>41</v>
      </c>
      <c r="K236" s="17">
        <v>19</v>
      </c>
      <c r="L236" t="s">
        <v>38</v>
      </c>
      <c r="M236" t="s">
        <v>177</v>
      </c>
      <c r="N236" s="26" t="s">
        <v>173</v>
      </c>
    </row>
    <row r="237" spans="1:14" x14ac:dyDescent="0.25">
      <c r="A237" s="17" t="s">
        <v>107</v>
      </c>
      <c r="G237" t="s">
        <v>87</v>
      </c>
      <c r="H237" t="s">
        <v>43</v>
      </c>
      <c r="J237" t="s">
        <v>41</v>
      </c>
      <c r="K237" s="17">
        <v>9</v>
      </c>
      <c r="L237" t="s">
        <v>38</v>
      </c>
      <c r="M237" t="s">
        <v>181</v>
      </c>
      <c r="N237" s="26" t="s">
        <v>173</v>
      </c>
    </row>
    <row r="238" spans="1:14" x14ac:dyDescent="0.25">
      <c r="A238" s="17" t="s">
        <v>110</v>
      </c>
      <c r="G238" t="s">
        <v>87</v>
      </c>
      <c r="H238" t="s">
        <v>43</v>
      </c>
      <c r="J238" t="s">
        <v>41</v>
      </c>
      <c r="K238" s="17">
        <v>11</v>
      </c>
      <c r="L238" t="s">
        <v>38</v>
      </c>
      <c r="M238" s="26" t="s">
        <v>180</v>
      </c>
      <c r="N238" s="26" t="s">
        <v>173</v>
      </c>
    </row>
    <row r="239" spans="1:14" x14ac:dyDescent="0.25">
      <c r="A239" s="17" t="s">
        <v>154</v>
      </c>
      <c r="G239" t="s">
        <v>87</v>
      </c>
      <c r="H239" t="s">
        <v>43</v>
      </c>
      <c r="J239" t="s">
        <v>41</v>
      </c>
      <c r="K239" s="6">
        <f>AVERAGE(K235:K238)</f>
        <v>13</v>
      </c>
      <c r="L239" t="s">
        <v>38</v>
      </c>
      <c r="M239" s="26"/>
      <c r="N239" s="26"/>
    </row>
    <row r="240" spans="1:14" x14ac:dyDescent="0.25">
      <c r="A240" s="4" t="s">
        <v>13</v>
      </c>
      <c r="B240" s="4"/>
      <c r="C240" s="4"/>
      <c r="D240" s="4"/>
      <c r="E240" s="4"/>
      <c r="F240" s="4"/>
      <c r="G240" s="4"/>
      <c r="H240" s="4"/>
      <c r="I240" s="4"/>
      <c r="J240" s="5"/>
      <c r="K240" s="5"/>
      <c r="L240" s="5"/>
      <c r="M240" s="5"/>
      <c r="N240" s="5"/>
    </row>
    <row r="241" spans="1:14" x14ac:dyDescent="0.25">
      <c r="A241" s="17" t="s">
        <v>249</v>
      </c>
      <c r="H241" t="s">
        <v>43</v>
      </c>
      <c r="J241" t="s">
        <v>41</v>
      </c>
      <c r="K241" s="17">
        <v>7.9</v>
      </c>
      <c r="L241" s="17" t="s">
        <v>38</v>
      </c>
      <c r="M241" t="s">
        <v>254</v>
      </c>
      <c r="N241" t="s">
        <v>173</v>
      </c>
    </row>
    <row r="242" spans="1:14" x14ac:dyDescent="0.25">
      <c r="A242" s="17" t="s">
        <v>250</v>
      </c>
      <c r="H242" t="s">
        <v>43</v>
      </c>
      <c r="J242" t="s">
        <v>41</v>
      </c>
      <c r="K242" s="17">
        <v>7.9</v>
      </c>
      <c r="L242" s="17" t="s">
        <v>38</v>
      </c>
      <c r="M242" t="s">
        <v>254</v>
      </c>
      <c r="N242" t="s">
        <v>173</v>
      </c>
    </row>
    <row r="243" spans="1:14" x14ac:dyDescent="0.25">
      <c r="A243" s="17" t="s">
        <v>251</v>
      </c>
      <c r="H243" t="s">
        <v>43</v>
      </c>
      <c r="J243" t="s">
        <v>41</v>
      </c>
      <c r="K243" s="17">
        <v>7.9</v>
      </c>
      <c r="L243" s="17" t="s">
        <v>38</v>
      </c>
      <c r="M243" t="s">
        <v>254</v>
      </c>
      <c r="N243" t="s">
        <v>173</v>
      </c>
    </row>
    <row r="244" spans="1:14" x14ac:dyDescent="0.25">
      <c r="A244" s="17" t="s">
        <v>253</v>
      </c>
      <c r="H244" t="s">
        <v>43</v>
      </c>
      <c r="J244" t="s">
        <v>41</v>
      </c>
      <c r="K244" s="17">
        <v>7.9</v>
      </c>
      <c r="L244" s="17" t="s">
        <v>38</v>
      </c>
      <c r="M244" t="s">
        <v>254</v>
      </c>
      <c r="N244" t="s">
        <v>173</v>
      </c>
    </row>
    <row r="245" spans="1:14" x14ac:dyDescent="0.25">
      <c r="A245" s="4" t="s">
        <v>14</v>
      </c>
      <c r="B245" s="4"/>
      <c r="C245" s="4"/>
      <c r="D245" s="4"/>
      <c r="E245" s="4"/>
      <c r="F245" s="4"/>
      <c r="G245" s="4"/>
      <c r="H245" s="4"/>
      <c r="I245" s="4"/>
      <c r="J245" s="5"/>
      <c r="K245" s="5"/>
      <c r="L245" s="5"/>
      <c r="M245" s="5"/>
      <c r="N245" s="5"/>
    </row>
    <row r="246" spans="1:14" x14ac:dyDescent="0.25">
      <c r="A246" s="6"/>
      <c r="B246" t="s">
        <v>81</v>
      </c>
      <c r="G246" t="s">
        <v>87</v>
      </c>
      <c r="H246" t="s">
        <v>43</v>
      </c>
      <c r="J246" t="s">
        <v>41</v>
      </c>
      <c r="K246" s="15">
        <v>17</v>
      </c>
      <c r="L246" t="s">
        <v>38</v>
      </c>
      <c r="M246" t="s">
        <v>174</v>
      </c>
      <c r="N246" t="s">
        <v>94</v>
      </c>
    </row>
    <row r="247" spans="1:14" x14ac:dyDescent="0.25">
      <c r="A247" s="4" t="s">
        <v>23</v>
      </c>
      <c r="B247" s="4"/>
      <c r="C247" s="4"/>
      <c r="D247" s="4"/>
      <c r="E247" s="4"/>
      <c r="F247" s="4"/>
      <c r="G247" s="4"/>
      <c r="H247" s="4"/>
      <c r="I247" s="4"/>
      <c r="J247" s="5"/>
      <c r="K247" s="5"/>
      <c r="L247" s="5"/>
      <c r="M247" s="5"/>
      <c r="N247" s="5"/>
    </row>
    <row r="248" spans="1:14" x14ac:dyDescent="0.25">
      <c r="A248" t="s">
        <v>54</v>
      </c>
      <c r="G248" t="s">
        <v>87</v>
      </c>
      <c r="H248" t="s">
        <v>43</v>
      </c>
      <c r="J248" t="s">
        <v>41</v>
      </c>
      <c r="K248" s="6">
        <v>2.4</v>
      </c>
      <c r="L248" t="s">
        <v>38</v>
      </c>
    </row>
    <row r="249" spans="1:14" x14ac:dyDescent="0.25">
      <c r="A249" t="s">
        <v>95</v>
      </c>
      <c r="G249" t="s">
        <v>87</v>
      </c>
      <c r="H249" t="s">
        <v>43</v>
      </c>
      <c r="J249" t="s">
        <v>41</v>
      </c>
      <c r="K249" s="6">
        <v>15.4</v>
      </c>
      <c r="L249" t="s">
        <v>38</v>
      </c>
    </row>
    <row r="250" spans="1:14" x14ac:dyDescent="0.25">
      <c r="A250" t="s">
        <v>275</v>
      </c>
      <c r="G250" t="s">
        <v>87</v>
      </c>
      <c r="H250" t="s">
        <v>43</v>
      </c>
      <c r="J250" t="s">
        <v>41</v>
      </c>
      <c r="K250" s="6">
        <v>0</v>
      </c>
      <c r="L250" t="s">
        <v>38</v>
      </c>
    </row>
    <row r="251" spans="1:14" x14ac:dyDescent="0.25">
      <c r="A251" s="4" t="s">
        <v>15</v>
      </c>
      <c r="B251" s="4"/>
      <c r="C251" s="4"/>
      <c r="D251" s="4"/>
      <c r="E251" s="4"/>
      <c r="F251" s="4"/>
      <c r="G251" s="4"/>
      <c r="H251" s="4"/>
      <c r="I251" s="4"/>
      <c r="J251" s="5"/>
      <c r="K251" s="5"/>
      <c r="L251" s="5"/>
      <c r="M251" s="5"/>
      <c r="N251" s="5"/>
    </row>
    <row r="252" spans="1:14" x14ac:dyDescent="0.25">
      <c r="A252" t="s">
        <v>15</v>
      </c>
      <c r="G252" t="s">
        <v>87</v>
      </c>
      <c r="H252" t="s">
        <v>43</v>
      </c>
      <c r="J252" t="s">
        <v>41</v>
      </c>
      <c r="K252" s="17">
        <v>19.399999999999999</v>
      </c>
      <c r="L252" t="s">
        <v>38</v>
      </c>
      <c r="M252" t="s">
        <v>337</v>
      </c>
      <c r="N252" s="26" t="s">
        <v>222</v>
      </c>
    </row>
    <row r="253" spans="1:14" x14ac:dyDescent="0.25">
      <c r="A253" s="4" t="s">
        <v>20</v>
      </c>
      <c r="B253" s="4"/>
      <c r="C253" s="4"/>
      <c r="D253" s="4"/>
      <c r="E253" s="4"/>
      <c r="F253" s="4"/>
      <c r="G253" s="4"/>
      <c r="H253" s="4"/>
      <c r="I253" s="4"/>
      <c r="J253" s="5"/>
      <c r="K253" s="5"/>
      <c r="L253" s="5"/>
      <c r="M253" s="5"/>
      <c r="N253" s="5"/>
    </row>
    <row r="254" spans="1:14" x14ac:dyDescent="0.25">
      <c r="B254" t="s">
        <v>214</v>
      </c>
      <c r="H254" t="s">
        <v>43</v>
      </c>
      <c r="J254" t="s">
        <v>41</v>
      </c>
      <c r="K254">
        <v>34.200000000000003</v>
      </c>
      <c r="L254" t="s">
        <v>38</v>
      </c>
      <c r="M254" t="s">
        <v>221</v>
      </c>
      <c r="N254" s="26" t="s">
        <v>222</v>
      </c>
    </row>
    <row r="255" spans="1:14" x14ac:dyDescent="0.25">
      <c r="A255" s="4" t="s">
        <v>22</v>
      </c>
      <c r="B255" s="4"/>
      <c r="C255" s="4"/>
      <c r="D255" s="4"/>
      <c r="E255" s="4"/>
      <c r="F255" s="4"/>
      <c r="G255" s="4"/>
      <c r="H255" s="4"/>
      <c r="I255" s="4"/>
      <c r="J255" s="5"/>
      <c r="K255" s="5"/>
      <c r="L255" s="5"/>
      <c r="M255" s="5"/>
      <c r="N255" s="5"/>
    </row>
    <row r="256" spans="1:14" x14ac:dyDescent="0.25">
      <c r="A256" t="s">
        <v>132</v>
      </c>
      <c r="G256" t="s">
        <v>87</v>
      </c>
      <c r="H256" t="s">
        <v>43</v>
      </c>
      <c r="J256" t="s">
        <v>41</v>
      </c>
      <c r="K256" s="23">
        <v>1</v>
      </c>
      <c r="L256" t="s">
        <v>38</v>
      </c>
    </row>
    <row r="257" spans="1:14" x14ac:dyDescent="0.25">
      <c r="A257" s="4" t="s">
        <v>29</v>
      </c>
      <c r="B257" s="4"/>
      <c r="C257" s="4"/>
      <c r="D257" s="4"/>
      <c r="E257" s="4"/>
      <c r="F257" s="4"/>
      <c r="G257" s="4"/>
      <c r="H257" s="4"/>
      <c r="I257" s="4"/>
      <c r="J257" s="5"/>
      <c r="K257" s="5"/>
      <c r="L257" s="5"/>
      <c r="M257" s="5"/>
      <c r="N257" s="5"/>
    </row>
    <row r="258" spans="1:14" x14ac:dyDescent="0.25">
      <c r="A258" t="s">
        <v>235</v>
      </c>
      <c r="H258" t="s">
        <v>43</v>
      </c>
      <c r="J258" t="s">
        <v>41</v>
      </c>
      <c r="K258" s="17">
        <v>24.7</v>
      </c>
      <c r="L258" t="s">
        <v>38</v>
      </c>
      <c r="M258" t="s">
        <v>243</v>
      </c>
      <c r="N258" s="26" t="s">
        <v>173</v>
      </c>
    </row>
    <row r="259" spans="1:14" x14ac:dyDescent="0.25">
      <c r="A259" t="s">
        <v>238</v>
      </c>
      <c r="H259" t="s">
        <v>43</v>
      </c>
      <c r="J259" t="s">
        <v>41</v>
      </c>
      <c r="K259" s="17">
        <v>8</v>
      </c>
      <c r="L259" t="s">
        <v>38</v>
      </c>
      <c r="M259" t="s">
        <v>172</v>
      </c>
      <c r="N259" s="26" t="s">
        <v>173</v>
      </c>
    </row>
    <row r="260" spans="1:14" x14ac:dyDescent="0.25">
      <c r="A260" t="s">
        <v>236</v>
      </c>
      <c r="H260" t="s">
        <v>43</v>
      </c>
      <c r="J260" t="s">
        <v>41</v>
      </c>
      <c r="K260">
        <v>7.9</v>
      </c>
      <c r="L260" t="s">
        <v>38</v>
      </c>
      <c r="M260" t="s">
        <v>256</v>
      </c>
      <c r="N260" s="26" t="s">
        <v>173</v>
      </c>
    </row>
    <row r="261" spans="1:14" x14ac:dyDescent="0.25">
      <c r="A261" t="s">
        <v>239</v>
      </c>
      <c r="H261" t="s">
        <v>43</v>
      </c>
      <c r="J261" t="s">
        <v>41</v>
      </c>
      <c r="K261">
        <v>4.7</v>
      </c>
      <c r="L261" t="s">
        <v>38</v>
      </c>
      <c r="M261" t="s">
        <v>244</v>
      </c>
      <c r="N261" s="26" t="s">
        <v>173</v>
      </c>
    </row>
    <row r="264" spans="1:14" x14ac:dyDescent="0.25">
      <c r="A264" s="2" t="s">
        <v>58</v>
      </c>
      <c r="B264" s="2"/>
      <c r="C264" s="2"/>
      <c r="D264" s="2"/>
      <c r="E264" s="2"/>
      <c r="F264" s="2"/>
      <c r="G264" s="2"/>
      <c r="H264" s="2"/>
      <c r="I264" s="2"/>
      <c r="J264" s="3"/>
      <c r="K264" s="3"/>
      <c r="L264" s="3"/>
      <c r="M264" s="3"/>
      <c r="N264" s="3"/>
    </row>
    <row r="265" spans="1:14" x14ac:dyDescent="0.25">
      <c r="J265" s="7" t="s">
        <v>85</v>
      </c>
      <c r="K265" s="7">
        <v>0</v>
      </c>
      <c r="L265" s="7" t="s">
        <v>38</v>
      </c>
      <c r="M265" s="7" t="s">
        <v>44</v>
      </c>
    </row>
    <row r="266" spans="1:14" x14ac:dyDescent="0.25">
      <c r="J266" s="7" t="s">
        <v>86</v>
      </c>
      <c r="K266" s="7">
        <v>0</v>
      </c>
      <c r="L266" s="7" t="s">
        <v>38</v>
      </c>
      <c r="M266" s="7" t="s">
        <v>44</v>
      </c>
    </row>
    <row r="267" spans="1:14" x14ac:dyDescent="0.25">
      <c r="A267" s="4" t="s">
        <v>10</v>
      </c>
      <c r="B267" s="4"/>
      <c r="C267" s="4"/>
      <c r="D267" s="4"/>
      <c r="E267" s="4"/>
      <c r="F267" s="4"/>
      <c r="G267" s="4"/>
      <c r="H267" s="4"/>
      <c r="I267" s="4"/>
      <c r="J267" s="5"/>
      <c r="K267" s="5"/>
      <c r="L267" s="5"/>
      <c r="M267" s="5"/>
      <c r="N267" s="5"/>
    </row>
    <row r="268" spans="1:14" x14ac:dyDescent="0.25">
      <c r="A268" t="s">
        <v>186</v>
      </c>
      <c r="C268" t="s">
        <v>37</v>
      </c>
      <c r="J268" t="s">
        <v>85</v>
      </c>
      <c r="K268">
        <v>79</v>
      </c>
      <c r="L268" t="s">
        <v>38</v>
      </c>
      <c r="N268" t="s">
        <v>92</v>
      </c>
    </row>
    <row r="269" spans="1:14" x14ac:dyDescent="0.25">
      <c r="A269" t="s">
        <v>186</v>
      </c>
      <c r="C269" t="s">
        <v>37</v>
      </c>
      <c r="F269" t="s">
        <v>116</v>
      </c>
      <c r="J269" t="s">
        <v>86</v>
      </c>
      <c r="K269">
        <v>19</v>
      </c>
      <c r="L269" t="s">
        <v>38</v>
      </c>
      <c r="N269" t="s">
        <v>92</v>
      </c>
    </row>
    <row r="270" spans="1:14" x14ac:dyDescent="0.25">
      <c r="A270" t="s">
        <v>186</v>
      </c>
      <c r="C270" t="s">
        <v>37</v>
      </c>
      <c r="F270" t="s">
        <v>117</v>
      </c>
      <c r="J270" t="s">
        <v>86</v>
      </c>
      <c r="K270">
        <v>2</v>
      </c>
      <c r="L270" t="s">
        <v>38</v>
      </c>
      <c r="N270" t="s">
        <v>92</v>
      </c>
    </row>
    <row r="271" spans="1:14" x14ac:dyDescent="0.25">
      <c r="A271" t="s">
        <v>191</v>
      </c>
      <c r="C271" t="s">
        <v>37</v>
      </c>
      <c r="J271" t="s">
        <v>85</v>
      </c>
      <c r="K271">
        <v>100</v>
      </c>
      <c r="L271" t="s">
        <v>38</v>
      </c>
      <c r="N271" t="s">
        <v>92</v>
      </c>
    </row>
    <row r="272" spans="1:14" x14ac:dyDescent="0.25">
      <c r="A272" s="8" t="s">
        <v>187</v>
      </c>
      <c r="B272" s="8"/>
      <c r="C272" s="8" t="s">
        <v>48</v>
      </c>
      <c r="D272" s="8"/>
      <c r="E272" s="8"/>
      <c r="F272" s="8"/>
      <c r="G272" s="8"/>
      <c r="H272" s="8"/>
      <c r="I272" s="8"/>
      <c r="J272" t="s">
        <v>85</v>
      </c>
      <c r="K272" s="8">
        <v>72</v>
      </c>
      <c r="L272" s="8" t="s">
        <v>38</v>
      </c>
      <c r="M272" s="8"/>
      <c r="N272" t="s">
        <v>92</v>
      </c>
    </row>
    <row r="273" spans="1:14" x14ac:dyDescent="0.25">
      <c r="A273" s="8" t="s">
        <v>187</v>
      </c>
      <c r="B273" s="8"/>
      <c r="C273" s="8" t="s">
        <v>48</v>
      </c>
      <c r="D273" s="8"/>
      <c r="E273" s="8"/>
      <c r="F273" s="8" t="s">
        <v>118</v>
      </c>
      <c r="G273" s="8"/>
      <c r="H273" s="8"/>
      <c r="I273" s="8"/>
      <c r="J273" t="s">
        <v>86</v>
      </c>
      <c r="K273" s="8">
        <v>19</v>
      </c>
      <c r="L273" s="8" t="s">
        <v>38</v>
      </c>
      <c r="M273" s="8"/>
      <c r="N273" t="s">
        <v>92</v>
      </c>
    </row>
    <row r="274" spans="1:14" x14ac:dyDescent="0.25">
      <c r="A274" s="8" t="s">
        <v>187</v>
      </c>
      <c r="B274" s="8"/>
      <c r="C274" s="8" t="s">
        <v>48</v>
      </c>
      <c r="D274" s="8"/>
      <c r="E274" s="8"/>
      <c r="F274" s="8" t="s">
        <v>119</v>
      </c>
      <c r="G274" s="8"/>
      <c r="H274" s="8"/>
      <c r="I274" s="8"/>
      <c r="J274" t="s">
        <v>86</v>
      </c>
      <c r="K274" s="8">
        <v>9</v>
      </c>
      <c r="L274" s="8" t="s">
        <v>38</v>
      </c>
      <c r="M274" s="8"/>
      <c r="N274" t="s">
        <v>92</v>
      </c>
    </row>
    <row r="275" spans="1:14" x14ac:dyDescent="0.25">
      <c r="A275" s="8" t="s">
        <v>192</v>
      </c>
      <c r="B275" s="8"/>
      <c r="C275" s="8" t="s">
        <v>48</v>
      </c>
      <c r="D275" s="8"/>
      <c r="E275" s="8"/>
      <c r="F275" s="8"/>
      <c r="G275" s="8"/>
      <c r="H275" s="8"/>
      <c r="I275" s="8"/>
      <c r="J275" t="s">
        <v>85</v>
      </c>
      <c r="K275" s="9">
        <v>91</v>
      </c>
      <c r="L275" s="8" t="s">
        <v>38</v>
      </c>
      <c r="M275" s="8"/>
      <c r="N275" t="s">
        <v>92</v>
      </c>
    </row>
    <row r="276" spans="1:14" x14ac:dyDescent="0.25">
      <c r="A276" s="8" t="s">
        <v>192</v>
      </c>
      <c r="B276" s="8"/>
      <c r="C276" s="8" t="s">
        <v>48</v>
      </c>
      <c r="D276" s="8"/>
      <c r="E276" s="8"/>
      <c r="F276" s="8" t="s">
        <v>119</v>
      </c>
      <c r="G276" s="8"/>
      <c r="H276" s="8"/>
      <c r="I276" s="8"/>
      <c r="J276" t="s">
        <v>86</v>
      </c>
      <c r="K276" s="9">
        <v>9</v>
      </c>
      <c r="L276" s="9" t="s">
        <v>38</v>
      </c>
      <c r="M276" s="8"/>
      <c r="N276" t="s">
        <v>92</v>
      </c>
    </row>
    <row r="277" spans="1:14" x14ac:dyDescent="0.25">
      <c r="A277" t="s">
        <v>188</v>
      </c>
      <c r="B277" s="8"/>
      <c r="C277" s="9" t="s">
        <v>90</v>
      </c>
      <c r="D277" s="8"/>
      <c r="E277" s="8"/>
      <c r="F277" s="8"/>
      <c r="G277" s="8"/>
      <c r="H277" s="8"/>
      <c r="I277" s="8"/>
      <c r="J277" t="s">
        <v>85</v>
      </c>
      <c r="K277" s="9">
        <v>80</v>
      </c>
      <c r="L277" s="9" t="s">
        <v>38</v>
      </c>
      <c r="M277" s="8"/>
      <c r="N277" t="s">
        <v>92</v>
      </c>
    </row>
    <row r="278" spans="1:14" x14ac:dyDescent="0.25">
      <c r="A278" t="s">
        <v>188</v>
      </c>
      <c r="B278" s="8"/>
      <c r="C278" s="9" t="s">
        <v>90</v>
      </c>
      <c r="D278" s="8"/>
      <c r="E278" s="8"/>
      <c r="F278" s="9" t="s">
        <v>120</v>
      </c>
      <c r="G278" s="8"/>
      <c r="H278" s="8"/>
      <c r="I278" s="8"/>
      <c r="J278" t="s">
        <v>86</v>
      </c>
      <c r="K278" s="9">
        <v>20</v>
      </c>
      <c r="L278" s="9" t="s">
        <v>38</v>
      </c>
      <c r="M278" s="8"/>
      <c r="N278" t="s">
        <v>92</v>
      </c>
    </row>
    <row r="279" spans="1:14" x14ac:dyDescent="0.25">
      <c r="A279" t="s">
        <v>193</v>
      </c>
      <c r="B279" s="8"/>
      <c r="C279" s="9" t="s">
        <v>90</v>
      </c>
      <c r="D279" s="8"/>
      <c r="E279" s="8"/>
      <c r="F279" s="9"/>
      <c r="G279" s="8"/>
      <c r="H279" s="8"/>
      <c r="I279" s="8"/>
      <c r="J279" t="s">
        <v>85</v>
      </c>
      <c r="K279" s="9">
        <v>100</v>
      </c>
      <c r="L279" s="9" t="s">
        <v>38</v>
      </c>
      <c r="M279" s="8"/>
      <c r="N279" t="s">
        <v>92</v>
      </c>
    </row>
    <row r="280" spans="1:14" x14ac:dyDescent="0.25">
      <c r="A280" t="s">
        <v>189</v>
      </c>
      <c r="B280" s="8"/>
      <c r="C280" s="9" t="s">
        <v>91</v>
      </c>
      <c r="D280" s="8"/>
      <c r="E280" s="8"/>
      <c r="F280" s="8"/>
      <c r="G280" s="8"/>
      <c r="H280" s="8"/>
      <c r="I280" s="8"/>
      <c r="J280" t="s">
        <v>85</v>
      </c>
      <c r="K280" s="9">
        <v>53</v>
      </c>
      <c r="L280" s="9" t="s">
        <v>38</v>
      </c>
      <c r="M280" s="8"/>
      <c r="N280" t="s">
        <v>92</v>
      </c>
    </row>
    <row r="281" spans="1:14" x14ac:dyDescent="0.25">
      <c r="A281" t="s">
        <v>189</v>
      </c>
      <c r="B281" s="8"/>
      <c r="C281" s="9" t="s">
        <v>91</v>
      </c>
      <c r="D281" s="8"/>
      <c r="E281" s="8"/>
      <c r="F281" s="9" t="s">
        <v>121</v>
      </c>
      <c r="G281" s="8"/>
      <c r="H281" s="8"/>
      <c r="I281" s="8"/>
      <c r="J281" t="s">
        <v>86</v>
      </c>
      <c r="K281" s="9">
        <v>20</v>
      </c>
      <c r="L281" s="9" t="s">
        <v>38</v>
      </c>
      <c r="M281" s="8"/>
      <c r="N281" t="s">
        <v>92</v>
      </c>
    </row>
    <row r="282" spans="1:14" x14ac:dyDescent="0.25">
      <c r="A282" t="s">
        <v>189</v>
      </c>
      <c r="B282" s="8"/>
      <c r="C282" s="9" t="s">
        <v>91</v>
      </c>
      <c r="D282" s="8"/>
      <c r="E282" s="8"/>
      <c r="F282" s="9" t="s">
        <v>185</v>
      </c>
      <c r="G282" s="8"/>
      <c r="H282" s="8"/>
      <c r="I282" s="8"/>
      <c r="J282" t="s">
        <v>86</v>
      </c>
      <c r="K282" s="9">
        <v>27</v>
      </c>
      <c r="L282" s="9" t="s">
        <v>38</v>
      </c>
      <c r="M282" s="8"/>
      <c r="N282" t="s">
        <v>92</v>
      </c>
    </row>
    <row r="283" spans="1:14" x14ac:dyDescent="0.25">
      <c r="A283" t="s">
        <v>194</v>
      </c>
      <c r="B283" s="8"/>
      <c r="C283" s="9" t="s">
        <v>91</v>
      </c>
      <c r="D283" s="8"/>
      <c r="E283" s="8"/>
      <c r="F283" s="9"/>
      <c r="G283" s="8"/>
      <c r="H283" s="8"/>
      <c r="I283" s="8"/>
      <c r="J283" t="s">
        <v>85</v>
      </c>
      <c r="K283" s="9">
        <v>73</v>
      </c>
      <c r="L283" s="9" t="s">
        <v>38</v>
      </c>
      <c r="M283" s="8"/>
      <c r="N283" t="s">
        <v>92</v>
      </c>
    </row>
    <row r="284" spans="1:14" x14ac:dyDescent="0.25">
      <c r="A284" t="s">
        <v>194</v>
      </c>
      <c r="B284" s="8"/>
      <c r="C284" s="9" t="s">
        <v>91</v>
      </c>
      <c r="D284" s="8"/>
      <c r="E284" s="8"/>
      <c r="F284" s="9" t="s">
        <v>185</v>
      </c>
      <c r="G284" s="8"/>
      <c r="H284" s="8"/>
      <c r="I284" s="8"/>
      <c r="J284" t="s">
        <v>86</v>
      </c>
      <c r="K284" s="9">
        <v>27</v>
      </c>
      <c r="L284" s="9" t="s">
        <v>38</v>
      </c>
      <c r="M284" s="8"/>
      <c r="N284" t="s">
        <v>92</v>
      </c>
    </row>
    <row r="285" spans="1:14" x14ac:dyDescent="0.25">
      <c r="A285" t="s">
        <v>297</v>
      </c>
      <c r="B285" s="10"/>
      <c r="C285" s="9" t="s">
        <v>37</v>
      </c>
      <c r="D285" s="10"/>
      <c r="E285" s="10"/>
      <c r="F285" s="10"/>
      <c r="G285" s="10"/>
      <c r="H285" s="10"/>
      <c r="I285" s="10"/>
      <c r="J285" t="s">
        <v>85</v>
      </c>
      <c r="K285" s="20">
        <v>100</v>
      </c>
      <c r="L285" s="9" t="s">
        <v>38</v>
      </c>
      <c r="M285" s="8" t="s">
        <v>309</v>
      </c>
      <c r="N285" s="8"/>
    </row>
    <row r="286" spans="1:14" x14ac:dyDescent="0.25">
      <c r="A286" t="s">
        <v>298</v>
      </c>
      <c r="B286" s="10"/>
      <c r="C286" s="8" t="s">
        <v>48</v>
      </c>
      <c r="D286" s="10"/>
      <c r="E286" s="10"/>
      <c r="F286" s="10"/>
      <c r="G286" s="10"/>
      <c r="H286" s="10"/>
      <c r="I286" s="10"/>
      <c r="J286" t="s">
        <v>85</v>
      </c>
      <c r="K286" s="20">
        <v>100</v>
      </c>
      <c r="L286" s="9" t="s">
        <v>38</v>
      </c>
      <c r="M286" s="8" t="s">
        <v>309</v>
      </c>
      <c r="N286" s="8"/>
    </row>
    <row r="287" spans="1:14" x14ac:dyDescent="0.25">
      <c r="A287" t="s">
        <v>299</v>
      </c>
      <c r="B287" s="10"/>
      <c r="C287" s="9" t="s">
        <v>90</v>
      </c>
      <c r="D287" s="10"/>
      <c r="E287" s="10"/>
      <c r="F287" s="10"/>
      <c r="G287" s="10"/>
      <c r="H287" s="10"/>
      <c r="I287" s="10"/>
      <c r="J287" t="s">
        <v>85</v>
      </c>
      <c r="K287" s="20">
        <v>100</v>
      </c>
      <c r="L287" s="9" t="s">
        <v>38</v>
      </c>
      <c r="M287" s="8" t="s">
        <v>309</v>
      </c>
      <c r="N287" s="8"/>
    </row>
    <row r="288" spans="1:14" x14ac:dyDescent="0.25">
      <c r="A288" t="s">
        <v>300</v>
      </c>
      <c r="B288" s="10"/>
      <c r="C288" s="9" t="s">
        <v>91</v>
      </c>
      <c r="D288" s="10"/>
      <c r="E288" s="10"/>
      <c r="F288" s="10"/>
      <c r="G288" s="10"/>
      <c r="H288" s="10"/>
      <c r="I288" s="10"/>
      <c r="J288" t="s">
        <v>85</v>
      </c>
      <c r="K288" s="20">
        <v>100</v>
      </c>
      <c r="L288" s="9" t="s">
        <v>38</v>
      </c>
      <c r="M288" s="8" t="s">
        <v>309</v>
      </c>
      <c r="N288" s="8"/>
    </row>
    <row r="289" spans="1:14" x14ac:dyDescent="0.25">
      <c r="A289" s="4" t="s">
        <v>11</v>
      </c>
      <c r="B289" s="4"/>
      <c r="C289" s="4"/>
      <c r="D289" s="4"/>
      <c r="E289" s="4"/>
      <c r="F289" s="4"/>
      <c r="G289" s="4"/>
      <c r="H289" s="4"/>
      <c r="I289" s="4"/>
      <c r="J289" s="5"/>
      <c r="K289" s="5"/>
      <c r="L289" s="5"/>
      <c r="M289" s="5"/>
      <c r="N289" s="5"/>
    </row>
    <row r="290" spans="1:14" x14ac:dyDescent="0.25">
      <c r="A290" s="17" t="s">
        <v>99</v>
      </c>
      <c r="B290" s="8"/>
      <c r="C290" s="9" t="s">
        <v>105</v>
      </c>
      <c r="D290" s="8"/>
      <c r="E290" s="8"/>
      <c r="F290" s="9"/>
      <c r="G290" s="8"/>
      <c r="H290" s="8"/>
      <c r="I290" s="8"/>
      <c r="J290" t="s">
        <v>85</v>
      </c>
      <c r="K290" s="11">
        <v>100</v>
      </c>
      <c r="L290" s="9" t="s">
        <v>38</v>
      </c>
      <c r="M290" s="10" t="s">
        <v>104</v>
      </c>
    </row>
    <row r="291" spans="1:14" x14ac:dyDescent="0.25">
      <c r="A291" s="17" t="s">
        <v>100</v>
      </c>
      <c r="B291" s="8"/>
      <c r="C291" s="9" t="s">
        <v>105</v>
      </c>
      <c r="D291" s="8"/>
      <c r="E291" s="8"/>
      <c r="F291" s="9"/>
      <c r="G291" s="8"/>
      <c r="H291" s="8"/>
      <c r="I291" s="8"/>
      <c r="J291" t="s">
        <v>85</v>
      </c>
      <c r="K291" s="9">
        <v>50</v>
      </c>
      <c r="L291" s="9" t="s">
        <v>38</v>
      </c>
      <c r="M291" s="8"/>
    </row>
    <row r="292" spans="1:14" x14ac:dyDescent="0.25">
      <c r="A292" s="17" t="s">
        <v>100</v>
      </c>
      <c r="B292" s="8"/>
      <c r="C292" s="9" t="s">
        <v>105</v>
      </c>
      <c r="D292" s="8"/>
      <c r="E292" s="8"/>
      <c r="F292" s="9" t="s">
        <v>122</v>
      </c>
      <c r="G292" s="8"/>
      <c r="H292" s="8"/>
      <c r="I292" s="8"/>
      <c r="J292" t="s">
        <v>86</v>
      </c>
      <c r="K292" s="9">
        <v>50</v>
      </c>
      <c r="L292" s="9" t="s">
        <v>38</v>
      </c>
      <c r="M292" s="8"/>
    </row>
    <row r="293" spans="1:14" x14ac:dyDescent="0.25">
      <c r="A293" s="17" t="s">
        <v>216</v>
      </c>
      <c r="B293" s="8"/>
      <c r="C293" s="11" t="s">
        <v>106</v>
      </c>
      <c r="D293" s="8"/>
      <c r="E293" s="8"/>
      <c r="F293" s="9"/>
      <c r="G293" s="8"/>
      <c r="H293" s="8"/>
      <c r="I293" s="8"/>
      <c r="J293" t="s">
        <v>85</v>
      </c>
      <c r="K293" s="18">
        <v>20</v>
      </c>
      <c r="L293" s="9" t="s">
        <v>38</v>
      </c>
      <c r="M293" s="10" t="s">
        <v>217</v>
      </c>
    </row>
    <row r="294" spans="1:14" x14ac:dyDescent="0.25">
      <c r="A294" s="17" t="s">
        <v>101</v>
      </c>
      <c r="B294" s="8"/>
      <c r="C294" s="9" t="s">
        <v>106</v>
      </c>
      <c r="D294" s="8"/>
      <c r="E294" s="8"/>
      <c r="F294" s="9"/>
      <c r="G294" s="8"/>
      <c r="H294" s="8"/>
      <c r="I294" s="8"/>
      <c r="J294" t="s">
        <v>85</v>
      </c>
      <c r="K294" s="18">
        <v>19</v>
      </c>
      <c r="L294" s="9" t="s">
        <v>38</v>
      </c>
      <c r="M294" s="19"/>
    </row>
    <row r="295" spans="1:14" x14ac:dyDescent="0.25">
      <c r="A295" s="17" t="s">
        <v>101</v>
      </c>
      <c r="B295" s="8"/>
      <c r="C295" s="9" t="s">
        <v>106</v>
      </c>
      <c r="D295" s="8"/>
      <c r="E295" s="8"/>
      <c r="F295" t="s">
        <v>198</v>
      </c>
      <c r="G295" s="8"/>
      <c r="H295" s="8"/>
      <c r="I295" s="8"/>
      <c r="J295" t="s">
        <v>86</v>
      </c>
      <c r="K295" s="28">
        <f>0.02*0.5*100/(844/1000)/0.9</f>
        <v>1.3164823591363877</v>
      </c>
      <c r="L295" s="9" t="s">
        <v>38</v>
      </c>
      <c r="M295" s="19" t="s">
        <v>199</v>
      </c>
      <c r="N295" s="9" t="s">
        <v>200</v>
      </c>
    </row>
    <row r="296" spans="1:14" x14ac:dyDescent="0.25">
      <c r="A296" s="4" t="s">
        <v>12</v>
      </c>
      <c r="B296" s="4"/>
      <c r="C296" s="4"/>
      <c r="D296" s="4"/>
      <c r="E296" s="4"/>
      <c r="F296" s="4"/>
      <c r="G296" s="4"/>
      <c r="H296" s="4"/>
      <c r="I296" s="4"/>
      <c r="J296" s="5"/>
      <c r="K296" s="5"/>
      <c r="L296" s="5"/>
      <c r="M296" s="5"/>
      <c r="N296" s="5"/>
    </row>
    <row r="297" spans="1:14" x14ac:dyDescent="0.25">
      <c r="A297" s="17" t="s">
        <v>141</v>
      </c>
      <c r="C297" s="9" t="s">
        <v>142</v>
      </c>
      <c r="J297" t="s">
        <v>85</v>
      </c>
      <c r="K297" s="18">
        <v>100</v>
      </c>
      <c r="L297" s="17" t="s">
        <v>38</v>
      </c>
    </row>
    <row r="298" spans="1:14" x14ac:dyDescent="0.25">
      <c r="A298" s="17" t="s">
        <v>147</v>
      </c>
      <c r="C298" s="9" t="s">
        <v>153</v>
      </c>
      <c r="J298" t="s">
        <v>85</v>
      </c>
      <c r="K298" s="18">
        <v>100</v>
      </c>
      <c r="L298" s="17" t="s">
        <v>38</v>
      </c>
    </row>
    <row r="299" spans="1:14" x14ac:dyDescent="0.25">
      <c r="A299" s="17" t="s">
        <v>143</v>
      </c>
      <c r="C299" s="9" t="s">
        <v>149</v>
      </c>
      <c r="J299" t="s">
        <v>85</v>
      </c>
      <c r="K299" s="18">
        <v>100</v>
      </c>
      <c r="L299" s="17" t="s">
        <v>38</v>
      </c>
    </row>
    <row r="300" spans="1:14" x14ac:dyDescent="0.25">
      <c r="A300" s="17" t="s">
        <v>144</v>
      </c>
      <c r="C300" s="9" t="s">
        <v>150</v>
      </c>
      <c r="J300" t="s">
        <v>85</v>
      </c>
      <c r="K300" s="18">
        <v>100</v>
      </c>
      <c r="L300" s="17" t="s">
        <v>38</v>
      </c>
    </row>
    <row r="301" spans="1:14" x14ac:dyDescent="0.25">
      <c r="A301" s="17" t="s">
        <v>145</v>
      </c>
      <c r="C301" s="9" t="s">
        <v>151</v>
      </c>
      <c r="J301" t="s">
        <v>85</v>
      </c>
      <c r="K301" s="18">
        <v>100</v>
      </c>
      <c r="L301" s="17" t="s">
        <v>38</v>
      </c>
    </row>
    <row r="302" spans="1:14" x14ac:dyDescent="0.25">
      <c r="A302" s="17" t="s">
        <v>146</v>
      </c>
      <c r="C302" s="9" t="s">
        <v>148</v>
      </c>
      <c r="J302" t="s">
        <v>85</v>
      </c>
      <c r="K302" s="18">
        <v>100</v>
      </c>
      <c r="L302" s="17" t="s">
        <v>38</v>
      </c>
    </row>
    <row r="303" spans="1:14" x14ac:dyDescent="0.25">
      <c r="A303" s="17" t="s">
        <v>107</v>
      </c>
      <c r="B303" s="8"/>
      <c r="C303" s="9" t="s">
        <v>109</v>
      </c>
      <c r="D303" s="8"/>
      <c r="E303" s="8"/>
      <c r="F303" s="9"/>
      <c r="G303" s="8"/>
      <c r="H303" s="8"/>
      <c r="I303" s="8"/>
      <c r="J303" t="s">
        <v>85</v>
      </c>
      <c r="K303" s="18">
        <v>100</v>
      </c>
      <c r="L303" s="17" t="s">
        <v>38</v>
      </c>
      <c r="M303" s="10"/>
    </row>
    <row r="304" spans="1:14" x14ac:dyDescent="0.25">
      <c r="A304" s="17" t="s">
        <v>110</v>
      </c>
      <c r="B304" s="8"/>
      <c r="C304" s="9" t="s">
        <v>111</v>
      </c>
      <c r="D304" s="8"/>
      <c r="E304" s="8"/>
      <c r="F304" s="9"/>
      <c r="G304" s="8"/>
      <c r="H304" s="8"/>
      <c r="I304" s="8"/>
      <c r="J304" t="s">
        <v>85</v>
      </c>
      <c r="K304" s="18">
        <v>100</v>
      </c>
      <c r="L304" s="17" t="s">
        <v>38</v>
      </c>
      <c r="M304" s="10"/>
    </row>
    <row r="305" spans="1:14" x14ac:dyDescent="0.25">
      <c r="A305" s="17" t="s">
        <v>154</v>
      </c>
      <c r="B305" s="8"/>
      <c r="C305" s="9" t="s">
        <v>152</v>
      </c>
      <c r="D305" s="8"/>
      <c r="E305" s="8"/>
      <c r="F305" s="9"/>
      <c r="G305" s="8"/>
      <c r="H305" s="8"/>
      <c r="I305" s="8"/>
      <c r="J305" t="s">
        <v>85</v>
      </c>
      <c r="K305" s="18">
        <v>100</v>
      </c>
      <c r="L305" s="17" t="s">
        <v>38</v>
      </c>
      <c r="M305" s="10"/>
    </row>
    <row r="306" spans="1:14" x14ac:dyDescent="0.25">
      <c r="A306" s="4" t="s">
        <v>13</v>
      </c>
      <c r="B306" s="4"/>
      <c r="C306" s="4"/>
      <c r="D306" s="4"/>
      <c r="E306" s="4"/>
      <c r="F306" s="4"/>
      <c r="G306" s="4"/>
      <c r="H306" s="4"/>
      <c r="I306" s="4"/>
      <c r="J306" s="5"/>
      <c r="K306" s="5"/>
      <c r="L306" s="5"/>
      <c r="M306" s="5"/>
      <c r="N306" s="5"/>
    </row>
    <row r="307" spans="1:14" x14ac:dyDescent="0.25">
      <c r="A307" s="17" t="s">
        <v>249</v>
      </c>
      <c r="C307" s="9" t="s">
        <v>246</v>
      </c>
      <c r="J307" t="s">
        <v>85</v>
      </c>
      <c r="K307" s="17">
        <v>100</v>
      </c>
      <c r="L307" s="17" t="s">
        <v>38</v>
      </c>
    </row>
    <row r="308" spans="1:14" x14ac:dyDescent="0.25">
      <c r="A308" s="17" t="s">
        <v>250</v>
      </c>
      <c r="C308" s="9" t="s">
        <v>246</v>
      </c>
      <c r="J308" t="s">
        <v>85</v>
      </c>
      <c r="K308" s="17">
        <v>65</v>
      </c>
      <c r="L308" s="17" t="s">
        <v>38</v>
      </c>
      <c r="N308" t="s">
        <v>92</v>
      </c>
    </row>
    <row r="309" spans="1:14" x14ac:dyDescent="0.25">
      <c r="A309" s="17" t="s">
        <v>250</v>
      </c>
      <c r="C309" s="9" t="s">
        <v>246</v>
      </c>
      <c r="F309" s="19" t="s">
        <v>247</v>
      </c>
      <c r="J309" t="s">
        <v>86</v>
      </c>
      <c r="K309" s="17">
        <v>35</v>
      </c>
      <c r="L309" s="17" t="s">
        <v>38</v>
      </c>
      <c r="N309" t="s">
        <v>92</v>
      </c>
    </row>
    <row r="310" spans="1:14" x14ac:dyDescent="0.25">
      <c r="A310" s="17" t="s">
        <v>251</v>
      </c>
      <c r="C310" s="9" t="s">
        <v>246</v>
      </c>
      <c r="J310" t="s">
        <v>85</v>
      </c>
      <c r="K310" s="17">
        <v>22</v>
      </c>
      <c r="L310" s="17" t="s">
        <v>38</v>
      </c>
      <c r="N310" t="s">
        <v>92</v>
      </c>
    </row>
    <row r="311" spans="1:14" x14ac:dyDescent="0.25">
      <c r="A311" s="17" t="s">
        <v>251</v>
      </c>
      <c r="C311" s="9" t="s">
        <v>246</v>
      </c>
      <c r="F311" s="19" t="s">
        <v>247</v>
      </c>
      <c r="J311" t="s">
        <v>86</v>
      </c>
      <c r="K311" s="17">
        <v>35</v>
      </c>
      <c r="L311" s="17" t="s">
        <v>38</v>
      </c>
      <c r="N311" t="s">
        <v>92</v>
      </c>
    </row>
    <row r="312" spans="1:14" x14ac:dyDescent="0.25">
      <c r="A312" s="17" t="s">
        <v>253</v>
      </c>
      <c r="C312" s="9" t="s">
        <v>255</v>
      </c>
      <c r="J312" t="s">
        <v>85</v>
      </c>
      <c r="K312" s="17">
        <v>100</v>
      </c>
      <c r="L312" s="17" t="s">
        <v>38</v>
      </c>
    </row>
    <row r="313" spans="1:14" x14ac:dyDescent="0.25">
      <c r="A313" s="17" t="s">
        <v>262</v>
      </c>
      <c r="C313" s="9" t="s">
        <v>267</v>
      </c>
      <c r="J313" t="s">
        <v>85</v>
      </c>
      <c r="K313" s="17">
        <v>100</v>
      </c>
      <c r="L313" s="17" t="s">
        <v>38</v>
      </c>
    </row>
    <row r="314" spans="1:14" x14ac:dyDescent="0.25">
      <c r="A314" s="17" t="s">
        <v>263</v>
      </c>
      <c r="C314" s="9" t="s">
        <v>268</v>
      </c>
      <c r="J314" t="s">
        <v>85</v>
      </c>
      <c r="K314" s="17">
        <v>100</v>
      </c>
      <c r="L314" s="17" t="s">
        <v>38</v>
      </c>
    </row>
    <row r="315" spans="1:14" x14ac:dyDescent="0.25">
      <c r="A315" s="17" t="s">
        <v>269</v>
      </c>
      <c r="C315" s="9" t="s">
        <v>270</v>
      </c>
      <c r="J315" t="s">
        <v>85</v>
      </c>
      <c r="K315" s="17">
        <v>100</v>
      </c>
      <c r="L315" s="17" t="s">
        <v>38</v>
      </c>
    </row>
    <row r="316" spans="1:14" x14ac:dyDescent="0.25">
      <c r="A316" s="17" t="s">
        <v>264</v>
      </c>
      <c r="C316" s="9" t="s">
        <v>271</v>
      </c>
      <c r="J316" t="s">
        <v>85</v>
      </c>
      <c r="K316" s="17">
        <v>100</v>
      </c>
      <c r="L316" s="17" t="s">
        <v>38</v>
      </c>
    </row>
    <row r="317" spans="1:14" x14ac:dyDescent="0.25">
      <c r="A317" s="4" t="s">
        <v>14</v>
      </c>
      <c r="B317" s="4"/>
      <c r="C317" s="4"/>
      <c r="D317" s="4"/>
      <c r="E317" s="4"/>
      <c r="F317" s="4"/>
      <c r="G317" s="4"/>
      <c r="H317" s="4"/>
      <c r="I317" s="4"/>
      <c r="J317" s="5"/>
      <c r="K317" s="5"/>
      <c r="L317" s="5"/>
      <c r="M317" s="5"/>
      <c r="N317" s="5"/>
    </row>
    <row r="318" spans="1:14" x14ac:dyDescent="0.25">
      <c r="A318" s="10" t="s">
        <v>62</v>
      </c>
      <c r="B318" s="10"/>
      <c r="C318" s="10"/>
      <c r="D318" s="10" t="s">
        <v>79</v>
      </c>
      <c r="E318" s="10" t="s">
        <v>59</v>
      </c>
      <c r="F318" s="10"/>
      <c r="G318" s="10"/>
      <c r="H318" s="10"/>
      <c r="I318" s="10"/>
      <c r="J318" t="s">
        <v>85</v>
      </c>
      <c r="K318" s="12">
        <f>100-K319</f>
        <v>90.75</v>
      </c>
      <c r="L318" s="10" t="s">
        <v>38</v>
      </c>
      <c r="M318" t="s">
        <v>71</v>
      </c>
      <c r="N318" s="8" t="s">
        <v>93</v>
      </c>
    </row>
    <row r="319" spans="1:14" x14ac:dyDescent="0.25">
      <c r="A319" s="10" t="s">
        <v>62</v>
      </c>
      <c r="B319" s="10"/>
      <c r="C319" s="10"/>
      <c r="D319" s="10" t="s">
        <v>79</v>
      </c>
      <c r="E319" s="10" t="s">
        <v>59</v>
      </c>
      <c r="F319" s="10" t="s">
        <v>60</v>
      </c>
      <c r="G319" s="10"/>
      <c r="H319" s="10"/>
      <c r="I319" s="10"/>
      <c r="J319" t="s">
        <v>86</v>
      </c>
      <c r="K319" s="12">
        <f>(0.042-0.005)/0.4*100</f>
        <v>9.2500000000000018</v>
      </c>
      <c r="L319" s="10" t="s">
        <v>38</v>
      </c>
      <c r="N319" s="8" t="s">
        <v>93</v>
      </c>
    </row>
    <row r="320" spans="1:14" x14ac:dyDescent="0.25">
      <c r="A320" s="10" t="s">
        <v>61</v>
      </c>
      <c r="B320" s="10"/>
      <c r="C320" s="10"/>
      <c r="D320" s="10" t="s">
        <v>79</v>
      </c>
      <c r="E320" s="10" t="s">
        <v>59</v>
      </c>
      <c r="F320" s="10"/>
      <c r="G320" s="10"/>
      <c r="H320" s="10"/>
      <c r="I320" s="10"/>
      <c r="J320" t="s">
        <v>85</v>
      </c>
      <c r="K320" s="12">
        <f>100-K321</f>
        <v>93.25</v>
      </c>
      <c r="L320" s="10" t="s">
        <v>38</v>
      </c>
      <c r="M320" t="s">
        <v>72</v>
      </c>
      <c r="N320" s="8" t="s">
        <v>93</v>
      </c>
    </row>
    <row r="321" spans="1:14" x14ac:dyDescent="0.25">
      <c r="A321" s="10" t="s">
        <v>61</v>
      </c>
      <c r="B321" s="10"/>
      <c r="C321" s="10"/>
      <c r="D321" s="10" t="s">
        <v>79</v>
      </c>
      <c r="E321" s="10" t="s">
        <v>59</v>
      </c>
      <c r="F321" s="10" t="s">
        <v>60</v>
      </c>
      <c r="G321" s="10"/>
      <c r="H321" s="10"/>
      <c r="I321" s="10"/>
      <c r="J321" t="s">
        <v>86</v>
      </c>
      <c r="K321" s="12">
        <f>(0.042-0.015)/0.4*100</f>
        <v>6.75</v>
      </c>
      <c r="L321" s="10" t="s">
        <v>38</v>
      </c>
      <c r="N321" s="8" t="s">
        <v>93</v>
      </c>
    </row>
    <row r="322" spans="1:14" x14ac:dyDescent="0.25">
      <c r="A322" s="10" t="s">
        <v>63</v>
      </c>
      <c r="B322" s="10"/>
      <c r="C322" s="10"/>
      <c r="D322" s="10" t="s">
        <v>79</v>
      </c>
      <c r="E322" s="10" t="s">
        <v>59</v>
      </c>
      <c r="F322" s="10"/>
      <c r="G322" s="10"/>
      <c r="H322" s="10"/>
      <c r="I322" s="10"/>
      <c r="J322" t="s">
        <v>85</v>
      </c>
      <c r="K322" s="12">
        <f>100-K323</f>
        <v>97</v>
      </c>
      <c r="L322" s="10" t="s">
        <v>38</v>
      </c>
      <c r="M322" t="s">
        <v>73</v>
      </c>
      <c r="N322" s="8" t="s">
        <v>93</v>
      </c>
    </row>
    <row r="323" spans="1:14" x14ac:dyDescent="0.25">
      <c r="A323" s="10" t="s">
        <v>63</v>
      </c>
      <c r="B323" s="10"/>
      <c r="C323" s="10"/>
      <c r="D323" s="10" t="s">
        <v>79</v>
      </c>
      <c r="E323" s="10" t="s">
        <v>59</v>
      </c>
      <c r="F323" s="10" t="s">
        <v>60</v>
      </c>
      <c r="G323" s="10"/>
      <c r="H323" s="10"/>
      <c r="I323" s="10"/>
      <c r="J323" t="s">
        <v>86</v>
      </c>
      <c r="K323" s="12">
        <f>(0.042-0.03)/0.4*100</f>
        <v>3.0000000000000009</v>
      </c>
      <c r="L323" s="10" t="s">
        <v>38</v>
      </c>
      <c r="N323" s="8" t="s">
        <v>93</v>
      </c>
    </row>
    <row r="324" spans="1:14" x14ac:dyDescent="0.25">
      <c r="A324" s="10" t="s">
        <v>64</v>
      </c>
      <c r="B324" s="10"/>
      <c r="C324" s="10"/>
      <c r="D324" s="10" t="s">
        <v>79</v>
      </c>
      <c r="E324" s="10" t="s">
        <v>59</v>
      </c>
      <c r="F324" s="10"/>
      <c r="G324" s="10"/>
      <c r="H324" s="10"/>
      <c r="I324" s="10"/>
      <c r="J324" t="s">
        <v>85</v>
      </c>
      <c r="K324" s="12">
        <f>(100-K325)*0.1</f>
        <v>9.7000000000000011</v>
      </c>
      <c r="L324" s="10" t="s">
        <v>38</v>
      </c>
      <c r="M324" t="s">
        <v>80</v>
      </c>
      <c r="N324" s="8" t="s">
        <v>93</v>
      </c>
    </row>
    <row r="325" spans="1:14" x14ac:dyDescent="0.25">
      <c r="A325" s="10" t="s">
        <v>64</v>
      </c>
      <c r="B325" s="10"/>
      <c r="C325" s="10"/>
      <c r="D325" s="10" t="s">
        <v>79</v>
      </c>
      <c r="E325" s="10" t="s">
        <v>59</v>
      </c>
      <c r="F325" s="10" t="s">
        <v>60</v>
      </c>
      <c r="G325" s="10"/>
      <c r="H325" s="10"/>
      <c r="I325" s="10"/>
      <c r="J325" t="s">
        <v>86</v>
      </c>
      <c r="K325" s="12">
        <f>(0.042-0.03)/0.4*100</f>
        <v>3.0000000000000009</v>
      </c>
      <c r="L325" s="10" t="s">
        <v>38</v>
      </c>
      <c r="N325" s="8" t="s">
        <v>93</v>
      </c>
    </row>
    <row r="326" spans="1:14" x14ac:dyDescent="0.25">
      <c r="A326" s="10" t="s">
        <v>64</v>
      </c>
      <c r="B326" s="10"/>
      <c r="C326" s="10"/>
      <c r="D326" s="10" t="s">
        <v>79</v>
      </c>
      <c r="E326" s="10" t="s">
        <v>59</v>
      </c>
      <c r="F326" s="10" t="s">
        <v>70</v>
      </c>
      <c r="G326" s="10"/>
      <c r="H326" s="10"/>
      <c r="I326" s="10"/>
      <c r="J326" t="s">
        <v>86</v>
      </c>
      <c r="K326" s="12">
        <f>(100-K325)*0.9</f>
        <v>87.3</v>
      </c>
      <c r="L326" s="10" t="s">
        <v>38</v>
      </c>
      <c r="N326" s="8" t="s">
        <v>93</v>
      </c>
    </row>
    <row r="327" spans="1:14" x14ac:dyDescent="0.25">
      <c r="A327" s="10" t="s">
        <v>68</v>
      </c>
      <c r="B327" s="10"/>
      <c r="C327" s="10"/>
      <c r="D327" s="10" t="s">
        <v>79</v>
      </c>
      <c r="E327" s="10" t="s">
        <v>60</v>
      </c>
      <c r="F327" s="10"/>
      <c r="G327" s="10"/>
      <c r="H327" s="10"/>
      <c r="I327" s="10"/>
      <c r="J327" t="s">
        <v>85</v>
      </c>
      <c r="K327" s="10">
        <f>1/(0.1/0.4)*100</f>
        <v>400</v>
      </c>
      <c r="L327" s="10" t="s">
        <v>38</v>
      </c>
      <c r="M327" t="s">
        <v>78</v>
      </c>
      <c r="N327" s="8" t="s">
        <v>93</v>
      </c>
    </row>
    <row r="328" spans="1:14" x14ac:dyDescent="0.25">
      <c r="A328" s="11" t="s">
        <v>69</v>
      </c>
      <c r="B328" s="10"/>
      <c r="C328" s="10"/>
      <c r="D328" s="10" t="s">
        <v>79</v>
      </c>
      <c r="E328" s="10" t="s">
        <v>60</v>
      </c>
      <c r="F328" s="10"/>
      <c r="G328" s="10"/>
      <c r="H328" s="10"/>
      <c r="I328" s="10"/>
      <c r="J328" t="s">
        <v>85</v>
      </c>
      <c r="K328" s="12">
        <f>1/(0.12/0.4)*100</f>
        <v>333.33333333333337</v>
      </c>
      <c r="L328" s="10" t="s">
        <v>38</v>
      </c>
      <c r="M328" t="s">
        <v>74</v>
      </c>
      <c r="N328" s="8" t="s">
        <v>93</v>
      </c>
    </row>
    <row r="329" spans="1:14" x14ac:dyDescent="0.25">
      <c r="A329" s="10" t="s">
        <v>66</v>
      </c>
      <c r="B329" s="10"/>
      <c r="C329" s="10"/>
      <c r="D329" s="10" t="s">
        <v>79</v>
      </c>
      <c r="E329" s="10" t="s">
        <v>60</v>
      </c>
      <c r="F329" s="10"/>
      <c r="G329" s="10"/>
      <c r="H329" s="10"/>
      <c r="I329" s="10"/>
      <c r="J329" t="s">
        <v>85</v>
      </c>
      <c r="K329" s="12">
        <f>1/(0.13/0.4)*100</f>
        <v>307.69230769230768</v>
      </c>
      <c r="L329" s="10" t="s">
        <v>38</v>
      </c>
      <c r="M329" t="s">
        <v>75</v>
      </c>
      <c r="N329" s="8" t="s">
        <v>93</v>
      </c>
    </row>
    <row r="330" spans="1:14" x14ac:dyDescent="0.25">
      <c r="A330" s="10" t="s">
        <v>67</v>
      </c>
      <c r="B330" s="10"/>
      <c r="C330" s="10"/>
      <c r="D330" s="10" t="s">
        <v>79</v>
      </c>
      <c r="E330" s="10" t="s">
        <v>60</v>
      </c>
      <c r="F330" s="10"/>
      <c r="G330" s="10"/>
      <c r="H330" s="10"/>
      <c r="I330" s="10"/>
      <c r="J330" t="s">
        <v>85</v>
      </c>
      <c r="K330" s="10">
        <f>1/(0.4/0.4)*100</f>
        <v>100</v>
      </c>
      <c r="L330" s="10" t="s">
        <v>38</v>
      </c>
      <c r="M330" t="s">
        <v>76</v>
      </c>
      <c r="N330" s="8" t="s">
        <v>93</v>
      </c>
    </row>
    <row r="331" spans="1:14" x14ac:dyDescent="0.25">
      <c r="A331" s="10" t="s">
        <v>65</v>
      </c>
      <c r="B331" s="10"/>
      <c r="C331" s="10"/>
      <c r="D331" s="10" t="s">
        <v>79</v>
      </c>
      <c r="E331" s="10" t="s">
        <v>60</v>
      </c>
      <c r="F331" s="10"/>
      <c r="G331" s="10"/>
      <c r="H331" s="10"/>
      <c r="I331" s="10"/>
      <c r="J331" t="s">
        <v>85</v>
      </c>
      <c r="K331" s="12">
        <f>1/((0.4-0.8)/(0.01-0.4)+1)*100</f>
        <v>49.367088607594937</v>
      </c>
      <c r="L331" s="10" t="s">
        <v>38</v>
      </c>
      <c r="M331" t="s">
        <v>77</v>
      </c>
      <c r="N331" s="8" t="s">
        <v>93</v>
      </c>
    </row>
    <row r="332" spans="1:14" x14ac:dyDescent="0.25">
      <c r="A332" s="10" t="s">
        <v>65</v>
      </c>
      <c r="B332" s="8"/>
      <c r="C332" s="8"/>
      <c r="D332" s="10" t="s">
        <v>79</v>
      </c>
      <c r="E332" s="10" t="s">
        <v>60</v>
      </c>
      <c r="F332" s="10" t="s">
        <v>82</v>
      </c>
      <c r="G332" s="8"/>
      <c r="H332" s="8"/>
      <c r="I332" s="8"/>
      <c r="J332" t="s">
        <v>86</v>
      </c>
      <c r="K332" s="14">
        <f>1/((0.01-0.4)/(0.4-0.8)+1)*100</f>
        <v>50.632911392405056</v>
      </c>
      <c r="L332" s="10" t="s">
        <v>38</v>
      </c>
      <c r="M332" s="8" t="s">
        <v>83</v>
      </c>
      <c r="N332" s="8" t="s">
        <v>93</v>
      </c>
    </row>
    <row r="333" spans="1:14" x14ac:dyDescent="0.25">
      <c r="A333" s="4" t="s">
        <v>23</v>
      </c>
      <c r="B333" s="4"/>
      <c r="C333" s="4"/>
      <c r="D333" s="4"/>
      <c r="E333" s="4"/>
      <c r="F333" s="4"/>
      <c r="G333" s="4"/>
      <c r="H333" s="4"/>
      <c r="I333" s="4"/>
      <c r="J333" s="5"/>
      <c r="K333" s="5"/>
      <c r="L333" s="5"/>
      <c r="M333" s="5"/>
      <c r="N333" s="5"/>
    </row>
    <row r="334" spans="1:14" x14ac:dyDescent="0.25">
      <c r="A334" s="8" t="s">
        <v>54</v>
      </c>
      <c r="B334" s="8"/>
      <c r="C334" s="8"/>
      <c r="D334" s="8" t="s">
        <v>57</v>
      </c>
      <c r="E334" s="8" t="s">
        <v>55</v>
      </c>
      <c r="F334" s="8"/>
      <c r="G334" s="8"/>
      <c r="H334" s="8"/>
      <c r="I334" s="8"/>
      <c r="J334" t="s">
        <v>85</v>
      </c>
      <c r="K334" s="9">
        <v>73</v>
      </c>
      <c r="L334" s="8" t="s">
        <v>38</v>
      </c>
      <c r="M334" s="8"/>
      <c r="N334" s="8" t="s">
        <v>92</v>
      </c>
    </row>
    <row r="335" spans="1:14" x14ac:dyDescent="0.25">
      <c r="A335" s="8" t="s">
        <v>54</v>
      </c>
      <c r="B335" s="8"/>
      <c r="C335" s="8"/>
      <c r="D335" s="8" t="s">
        <v>57</v>
      </c>
      <c r="E335" s="8" t="s">
        <v>55</v>
      </c>
      <c r="F335" s="8" t="s">
        <v>123</v>
      </c>
      <c r="G335" s="8"/>
      <c r="H335" s="8"/>
      <c r="I335" s="8"/>
      <c r="J335" t="s">
        <v>86</v>
      </c>
      <c r="K335" s="16">
        <f>(1/0.76)*4</f>
        <v>5.2631578947368425</v>
      </c>
      <c r="L335" s="8" t="s">
        <v>38</v>
      </c>
      <c r="M335" s="9" t="s">
        <v>96</v>
      </c>
      <c r="N335" s="8" t="s">
        <v>92</v>
      </c>
    </row>
    <row r="336" spans="1:14" x14ac:dyDescent="0.25">
      <c r="A336" s="8" t="s">
        <v>54</v>
      </c>
      <c r="B336" s="8"/>
      <c r="C336" s="8"/>
      <c r="D336" s="8" t="s">
        <v>57</v>
      </c>
      <c r="E336" s="8" t="s">
        <v>55</v>
      </c>
      <c r="F336" s="8" t="s">
        <v>124</v>
      </c>
      <c r="G336" s="8"/>
      <c r="H336" s="8"/>
      <c r="I336" s="8"/>
      <c r="J336" t="s">
        <v>86</v>
      </c>
      <c r="K336" s="16">
        <f>(1/0.76)*6</f>
        <v>7.8947368421052637</v>
      </c>
      <c r="L336" s="8" t="s">
        <v>38</v>
      </c>
      <c r="M336" s="9" t="s">
        <v>96</v>
      </c>
      <c r="N336" s="8" t="s">
        <v>92</v>
      </c>
    </row>
    <row r="337" spans="1:14" x14ac:dyDescent="0.25">
      <c r="A337" s="8" t="s">
        <v>54</v>
      </c>
      <c r="B337" s="8"/>
      <c r="C337" s="8"/>
      <c r="D337" s="8" t="s">
        <v>57</v>
      </c>
      <c r="E337" s="8" t="s">
        <v>55</v>
      </c>
      <c r="F337" s="8" t="s">
        <v>125</v>
      </c>
      <c r="G337" s="8"/>
      <c r="H337" s="8"/>
      <c r="I337" s="8"/>
      <c r="J337" t="s">
        <v>86</v>
      </c>
      <c r="K337" s="16">
        <f>(1/0.76)*5</f>
        <v>6.5789473684210531</v>
      </c>
      <c r="L337" s="8" t="s">
        <v>38</v>
      </c>
      <c r="M337" s="9" t="s">
        <v>96</v>
      </c>
      <c r="N337" s="8" t="s">
        <v>92</v>
      </c>
    </row>
    <row r="338" spans="1:14" x14ac:dyDescent="0.25">
      <c r="A338" s="8" t="s">
        <v>54</v>
      </c>
      <c r="B338" s="8"/>
      <c r="C338" s="8"/>
      <c r="D338" s="8" t="s">
        <v>57</v>
      </c>
      <c r="E338" s="8" t="s">
        <v>55</v>
      </c>
      <c r="F338" s="8" t="s">
        <v>126</v>
      </c>
      <c r="G338" s="8"/>
      <c r="H338" s="8"/>
      <c r="I338" s="8"/>
      <c r="J338" t="s">
        <v>86</v>
      </c>
      <c r="K338" s="9">
        <v>18</v>
      </c>
      <c r="L338" s="8" t="s">
        <v>38</v>
      </c>
      <c r="M338" s="8"/>
      <c r="N338" s="8" t="s">
        <v>92</v>
      </c>
    </row>
    <row r="339" spans="1:14" x14ac:dyDescent="0.25">
      <c r="A339" t="s">
        <v>95</v>
      </c>
      <c r="B339" s="8"/>
      <c r="C339" s="8"/>
      <c r="D339" s="9" t="s">
        <v>79</v>
      </c>
      <c r="E339" s="9" t="s">
        <v>55</v>
      </c>
      <c r="F339" s="8"/>
      <c r="G339" s="8"/>
      <c r="H339" s="8"/>
      <c r="I339" s="8"/>
      <c r="J339" t="s">
        <v>85</v>
      </c>
      <c r="K339" s="9">
        <v>71</v>
      </c>
      <c r="L339" s="9" t="s">
        <v>38</v>
      </c>
      <c r="M339" s="8"/>
      <c r="N339" s="8" t="s">
        <v>92</v>
      </c>
    </row>
    <row r="340" spans="1:14" x14ac:dyDescent="0.25">
      <c r="A340" t="s">
        <v>95</v>
      </c>
      <c r="B340" s="8"/>
      <c r="C340" s="8"/>
      <c r="D340" s="9" t="s">
        <v>79</v>
      </c>
      <c r="E340" s="9" t="s">
        <v>55</v>
      </c>
      <c r="F340" s="9" t="s">
        <v>127</v>
      </c>
      <c r="G340" s="8"/>
      <c r="H340" s="8"/>
      <c r="I340" s="8"/>
      <c r="J340" t="s">
        <v>86</v>
      </c>
      <c r="K340" s="16">
        <f>(1/0.52)*7</f>
        <v>13.46153846153846</v>
      </c>
      <c r="L340" s="9" t="s">
        <v>38</v>
      </c>
      <c r="M340" s="9" t="s">
        <v>97</v>
      </c>
      <c r="N340" s="8" t="s">
        <v>92</v>
      </c>
    </row>
    <row r="341" spans="1:14" x14ac:dyDescent="0.25">
      <c r="A341" t="s">
        <v>95</v>
      </c>
      <c r="B341" s="8"/>
      <c r="C341" s="8"/>
      <c r="D341" s="9" t="s">
        <v>79</v>
      </c>
      <c r="E341" s="9" t="s">
        <v>55</v>
      </c>
      <c r="F341" s="8" t="s">
        <v>128</v>
      </c>
      <c r="G341" s="8"/>
      <c r="H341" s="8"/>
      <c r="I341" s="8"/>
      <c r="J341" t="s">
        <v>86</v>
      </c>
      <c r="K341" s="16">
        <f>(1/0.52)*3</f>
        <v>5.7692307692307683</v>
      </c>
      <c r="L341" s="9" t="s">
        <v>38</v>
      </c>
      <c r="M341" s="9" t="s">
        <v>97</v>
      </c>
      <c r="N341" s="8" t="s">
        <v>92</v>
      </c>
    </row>
    <row r="342" spans="1:14" x14ac:dyDescent="0.25">
      <c r="A342" t="s">
        <v>95</v>
      </c>
      <c r="B342" s="8"/>
      <c r="C342" s="8"/>
      <c r="D342" s="9" t="s">
        <v>79</v>
      </c>
      <c r="E342" s="9" t="s">
        <v>55</v>
      </c>
      <c r="F342" s="9" t="s">
        <v>129</v>
      </c>
      <c r="G342" s="8"/>
      <c r="H342" s="8"/>
      <c r="I342" s="8"/>
      <c r="J342" t="s">
        <v>86</v>
      </c>
      <c r="K342" s="16">
        <f>(1/0.52)*6</f>
        <v>11.538461538461537</v>
      </c>
      <c r="L342" s="9" t="s">
        <v>38</v>
      </c>
      <c r="M342" s="9" t="s">
        <v>97</v>
      </c>
      <c r="N342" s="8" t="s">
        <v>92</v>
      </c>
    </row>
    <row r="343" spans="1:14" x14ac:dyDescent="0.25">
      <c r="A343" t="s">
        <v>95</v>
      </c>
      <c r="B343" s="8"/>
      <c r="C343" s="8"/>
      <c r="D343" s="9" t="s">
        <v>79</v>
      </c>
      <c r="E343" s="9" t="s">
        <v>55</v>
      </c>
      <c r="F343" s="8" t="s">
        <v>130</v>
      </c>
      <c r="G343" s="8"/>
      <c r="H343" s="8"/>
      <c r="I343" s="8"/>
      <c r="J343" t="s">
        <v>86</v>
      </c>
      <c r="K343" s="9">
        <v>12</v>
      </c>
      <c r="L343" s="9" t="s">
        <v>38</v>
      </c>
      <c r="M343" s="8"/>
      <c r="N343" s="8" t="s">
        <v>92</v>
      </c>
    </row>
    <row r="344" spans="1:14" x14ac:dyDescent="0.25">
      <c r="A344" t="s">
        <v>275</v>
      </c>
      <c r="B344" s="8"/>
      <c r="C344" s="8"/>
      <c r="D344" s="9" t="s">
        <v>276</v>
      </c>
      <c r="E344" s="9" t="s">
        <v>55</v>
      </c>
      <c r="F344" s="8"/>
      <c r="G344" s="8"/>
      <c r="H344" s="8"/>
      <c r="I344" s="8"/>
      <c r="J344" t="s">
        <v>85</v>
      </c>
      <c r="K344" s="9">
        <v>77</v>
      </c>
      <c r="L344" s="9" t="s">
        <v>38</v>
      </c>
      <c r="M344" s="8"/>
      <c r="N344" s="8"/>
    </row>
    <row r="345" spans="1:14" x14ac:dyDescent="0.25">
      <c r="A345" s="6" t="s">
        <v>275</v>
      </c>
      <c r="B345" s="10"/>
      <c r="C345" s="10"/>
      <c r="D345" s="11" t="s">
        <v>276</v>
      </c>
      <c r="E345" s="11" t="s">
        <v>55</v>
      </c>
      <c r="F345" s="11" t="s">
        <v>277</v>
      </c>
      <c r="G345" s="8"/>
      <c r="H345" s="8"/>
      <c r="I345" s="8"/>
      <c r="K345" s="9"/>
      <c r="L345" s="9"/>
      <c r="M345" s="8"/>
      <c r="N345" s="8"/>
    </row>
    <row r="346" spans="1:14" x14ac:dyDescent="0.25">
      <c r="A346" s="4" t="s">
        <v>15</v>
      </c>
      <c r="B346" s="4"/>
      <c r="C346" s="4"/>
      <c r="D346" s="4"/>
      <c r="E346" s="4"/>
      <c r="F346" s="4"/>
      <c r="G346" s="4"/>
      <c r="H346" s="4"/>
      <c r="I346" s="4"/>
      <c r="J346" s="5"/>
      <c r="K346" s="5"/>
      <c r="L346" s="5"/>
      <c r="M346" s="5"/>
      <c r="N346" s="5"/>
    </row>
    <row r="347" spans="1:14" x14ac:dyDescent="0.25">
      <c r="A347" t="s">
        <v>15</v>
      </c>
      <c r="B347" s="8"/>
      <c r="C347" s="8"/>
      <c r="D347" s="9" t="s">
        <v>276</v>
      </c>
      <c r="E347" s="9" t="s">
        <v>336</v>
      </c>
      <c r="F347" s="8"/>
      <c r="G347" s="8"/>
      <c r="H347" s="8"/>
      <c r="I347" s="8"/>
      <c r="J347" t="s">
        <v>85</v>
      </c>
      <c r="K347" s="9">
        <v>100</v>
      </c>
      <c r="L347" s="9" t="s">
        <v>38</v>
      </c>
      <c r="M347" s="8"/>
      <c r="N347" s="8"/>
    </row>
    <row r="348" spans="1:14" x14ac:dyDescent="0.25">
      <c r="A348" s="4" t="s">
        <v>20</v>
      </c>
      <c r="B348" s="4"/>
      <c r="C348" s="4"/>
      <c r="D348" s="4"/>
      <c r="E348" s="4"/>
      <c r="F348" s="4"/>
      <c r="G348" s="4"/>
      <c r="H348" s="4"/>
      <c r="I348" s="4"/>
      <c r="J348" s="5"/>
      <c r="K348" s="5"/>
      <c r="L348" s="5"/>
      <c r="M348" s="5"/>
      <c r="N348" s="5"/>
    </row>
    <row r="349" spans="1:14" x14ac:dyDescent="0.25">
      <c r="A349" t="s">
        <v>209</v>
      </c>
      <c r="C349" t="s">
        <v>218</v>
      </c>
      <c r="J349" t="s">
        <v>85</v>
      </c>
      <c r="K349">
        <v>100</v>
      </c>
      <c r="L349" t="s">
        <v>38</v>
      </c>
    </row>
    <row r="350" spans="1:14" x14ac:dyDescent="0.25">
      <c r="A350" s="26" t="s">
        <v>210</v>
      </c>
      <c r="C350" t="s">
        <v>219</v>
      </c>
      <c r="J350" t="s">
        <v>85</v>
      </c>
      <c r="K350">
        <v>100</v>
      </c>
      <c r="L350" t="s">
        <v>38</v>
      </c>
    </row>
    <row r="351" spans="1:14" x14ac:dyDescent="0.25">
      <c r="A351" s="26" t="s">
        <v>211</v>
      </c>
      <c r="C351" t="s">
        <v>220</v>
      </c>
      <c r="J351" t="s">
        <v>85</v>
      </c>
      <c r="K351">
        <v>100</v>
      </c>
      <c r="L351" t="s">
        <v>38</v>
      </c>
    </row>
    <row r="352" spans="1:14" x14ac:dyDescent="0.25">
      <c r="A352" s="6" t="s">
        <v>212</v>
      </c>
    </row>
    <row r="353" spans="1:14" x14ac:dyDescent="0.25">
      <c r="A353" s="6" t="s">
        <v>213</v>
      </c>
      <c r="B353" s="8"/>
      <c r="C353" s="8"/>
      <c r="D353" s="9"/>
      <c r="E353" s="9"/>
      <c r="F353" s="8"/>
      <c r="G353" s="8"/>
      <c r="H353" s="8"/>
      <c r="I353" s="8"/>
      <c r="M353" s="8"/>
      <c r="N353" s="8"/>
    </row>
    <row r="354" spans="1:14" x14ac:dyDescent="0.25">
      <c r="A354" s="4" t="s">
        <v>22</v>
      </c>
      <c r="B354" s="4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5"/>
      <c r="N354" s="5"/>
    </row>
    <row r="355" spans="1:14" x14ac:dyDescent="0.25">
      <c r="A355" t="s">
        <v>132</v>
      </c>
      <c r="C355" t="s">
        <v>134</v>
      </c>
      <c r="H355" t="s">
        <v>45</v>
      </c>
      <c r="J355" t="s">
        <v>85</v>
      </c>
      <c r="K355" s="21">
        <v>38</v>
      </c>
      <c r="L355" t="s">
        <v>38</v>
      </c>
      <c r="M355" s="11"/>
      <c r="N355" s="8" t="s">
        <v>92</v>
      </c>
    </row>
    <row r="356" spans="1:14" x14ac:dyDescent="0.25">
      <c r="A356" t="s">
        <v>132</v>
      </c>
      <c r="C356" t="s">
        <v>134</v>
      </c>
      <c r="F356" t="s">
        <v>135</v>
      </c>
      <c r="H356" t="s">
        <v>45</v>
      </c>
      <c r="J356" t="s">
        <v>86</v>
      </c>
      <c r="K356" s="21">
        <v>60</v>
      </c>
      <c r="L356" t="s">
        <v>38</v>
      </c>
      <c r="N356" s="8" t="s">
        <v>92</v>
      </c>
    </row>
    <row r="357" spans="1:14" x14ac:dyDescent="0.25">
      <c r="A357" t="s">
        <v>132</v>
      </c>
      <c r="C357" t="s">
        <v>134</v>
      </c>
      <c r="H357" t="s">
        <v>43</v>
      </c>
      <c r="J357" t="s">
        <v>85</v>
      </c>
      <c r="K357" s="21">
        <v>32</v>
      </c>
      <c r="L357" t="s">
        <v>38</v>
      </c>
      <c r="M357" t="s">
        <v>137</v>
      </c>
      <c r="N357" s="8"/>
    </row>
    <row r="358" spans="1:14" x14ac:dyDescent="0.25">
      <c r="A358" t="s">
        <v>132</v>
      </c>
      <c r="C358" t="s">
        <v>134</v>
      </c>
      <c r="F358" t="s">
        <v>136</v>
      </c>
      <c r="H358" t="s">
        <v>43</v>
      </c>
      <c r="J358" t="s">
        <v>86</v>
      </c>
      <c r="K358" s="21">
        <v>68</v>
      </c>
      <c r="L358" t="s">
        <v>38</v>
      </c>
      <c r="N358" s="8"/>
    </row>
    <row r="359" spans="1:14" x14ac:dyDescent="0.25">
      <c r="A359" s="4" t="s">
        <v>24</v>
      </c>
      <c r="B359" s="4"/>
      <c r="C359" s="4"/>
      <c r="D359" s="4"/>
      <c r="E359" s="4"/>
      <c r="F359" s="4"/>
      <c r="G359" s="4"/>
      <c r="H359" s="4"/>
      <c r="I359" s="4"/>
      <c r="J359" s="5"/>
      <c r="K359" s="5"/>
      <c r="L359" s="5"/>
      <c r="M359" s="5"/>
      <c r="N359" s="5"/>
    </row>
    <row r="360" spans="1:14" x14ac:dyDescent="0.25">
      <c r="A360" t="s">
        <v>224</v>
      </c>
      <c r="C360" t="s">
        <v>231</v>
      </c>
      <c r="J360" t="s">
        <v>85</v>
      </c>
      <c r="K360" s="21">
        <v>13</v>
      </c>
      <c r="L360" t="s">
        <v>38</v>
      </c>
    </row>
    <row r="361" spans="1:14" x14ac:dyDescent="0.25">
      <c r="A361" t="s">
        <v>224</v>
      </c>
      <c r="C361" t="s">
        <v>231</v>
      </c>
      <c r="F361" t="s">
        <v>233</v>
      </c>
      <c r="J361" t="s">
        <v>86</v>
      </c>
      <c r="K361" s="21">
        <v>7</v>
      </c>
      <c r="L361" t="s">
        <v>38</v>
      </c>
    </row>
    <row r="362" spans="1:14" x14ac:dyDescent="0.25">
      <c r="A362" t="s">
        <v>224</v>
      </c>
      <c r="C362" t="s">
        <v>231</v>
      </c>
      <c r="F362" t="s">
        <v>234</v>
      </c>
      <c r="J362" t="s">
        <v>86</v>
      </c>
      <c r="K362" s="21">
        <v>4</v>
      </c>
      <c r="L362" t="s">
        <v>38</v>
      </c>
    </row>
    <row r="363" spans="1:14" x14ac:dyDescent="0.25">
      <c r="A363" t="s">
        <v>226</v>
      </c>
      <c r="C363" t="s">
        <v>231</v>
      </c>
      <c r="J363" t="s">
        <v>85</v>
      </c>
      <c r="K363" s="23">
        <v>13</v>
      </c>
      <c r="L363" t="s">
        <v>38</v>
      </c>
      <c r="M363" t="s">
        <v>232</v>
      </c>
    </row>
    <row r="364" spans="1:14" x14ac:dyDescent="0.25">
      <c r="A364" t="s">
        <v>226</v>
      </c>
      <c r="C364" t="s">
        <v>231</v>
      </c>
      <c r="F364" t="s">
        <v>233</v>
      </c>
      <c r="J364" t="s">
        <v>86</v>
      </c>
      <c r="K364" s="21">
        <v>7</v>
      </c>
      <c r="L364" t="s">
        <v>38</v>
      </c>
    </row>
    <row r="365" spans="1:14" x14ac:dyDescent="0.25">
      <c r="A365" t="s">
        <v>226</v>
      </c>
      <c r="C365" t="s">
        <v>231</v>
      </c>
      <c r="F365" t="s">
        <v>234</v>
      </c>
      <c r="J365" t="s">
        <v>86</v>
      </c>
      <c r="K365" s="21">
        <v>4</v>
      </c>
      <c r="L365" t="s">
        <v>38</v>
      </c>
    </row>
    <row r="366" spans="1:14" x14ac:dyDescent="0.25">
      <c r="A366" s="6" t="s">
        <v>225</v>
      </c>
    </row>
    <row r="367" spans="1:14" x14ac:dyDescent="0.25">
      <c r="A367" s="4" t="s">
        <v>29</v>
      </c>
      <c r="B367" s="4"/>
      <c r="C367" s="4"/>
      <c r="D367" s="4"/>
      <c r="E367" s="4"/>
      <c r="F367" s="4"/>
      <c r="G367" s="4"/>
      <c r="H367" s="4"/>
      <c r="I367" s="4"/>
      <c r="J367" s="5"/>
      <c r="K367" s="5"/>
      <c r="L367" s="5"/>
      <c r="M367" s="5"/>
      <c r="N367" s="5"/>
    </row>
    <row r="368" spans="1:14" x14ac:dyDescent="0.25">
      <c r="A368" t="s">
        <v>235</v>
      </c>
      <c r="B368" s="10"/>
      <c r="C368" s="8" t="s">
        <v>245</v>
      </c>
      <c r="D368" s="10"/>
      <c r="E368" s="10"/>
      <c r="F368" s="10"/>
      <c r="G368" s="10"/>
      <c r="H368" s="10"/>
      <c r="I368" s="10"/>
      <c r="J368" t="s">
        <v>85</v>
      </c>
      <c r="K368" s="20">
        <v>70</v>
      </c>
      <c r="L368" s="9" t="s">
        <v>38</v>
      </c>
      <c r="M368" s="8"/>
      <c r="N368" s="8" t="s">
        <v>92</v>
      </c>
    </row>
    <row r="369" spans="1:14" x14ac:dyDescent="0.25">
      <c r="A369" t="s">
        <v>238</v>
      </c>
      <c r="B369" s="10"/>
      <c r="C369" s="8" t="s">
        <v>48</v>
      </c>
      <c r="D369" s="10"/>
      <c r="E369" s="10"/>
      <c r="F369" s="10"/>
      <c r="G369" s="10"/>
      <c r="H369" s="10"/>
      <c r="I369" s="10"/>
      <c r="J369" t="s">
        <v>85</v>
      </c>
      <c r="K369" s="20">
        <f>655*0.7</f>
        <v>458.49999999999994</v>
      </c>
      <c r="L369" s="9" t="s">
        <v>38</v>
      </c>
      <c r="M369" s="8"/>
      <c r="N369" s="8" t="s">
        <v>92</v>
      </c>
    </row>
    <row r="370" spans="1:14" x14ac:dyDescent="0.25">
      <c r="A370" t="s">
        <v>238</v>
      </c>
      <c r="B370" s="10"/>
      <c r="C370" s="8" t="s">
        <v>48</v>
      </c>
      <c r="D370" s="10"/>
      <c r="E370" s="10"/>
      <c r="F370" s="19" t="s">
        <v>131</v>
      </c>
      <c r="G370" s="10"/>
      <c r="H370" s="10"/>
      <c r="I370" s="10"/>
      <c r="J370" t="s">
        <v>86</v>
      </c>
      <c r="K370" s="20">
        <f>1*(K369/100)*0.2*100</f>
        <v>91.699999999999989</v>
      </c>
      <c r="L370" s="9" t="s">
        <v>38</v>
      </c>
      <c r="M370" s="8" t="s">
        <v>115</v>
      </c>
      <c r="N370" s="8" t="s">
        <v>114</v>
      </c>
    </row>
    <row r="371" spans="1:14" x14ac:dyDescent="0.25">
      <c r="B371" s="10"/>
      <c r="C371" s="8"/>
      <c r="D371" s="10"/>
      <c r="E371" s="10"/>
      <c r="F371" s="10" t="s">
        <v>182</v>
      </c>
      <c r="G371" s="10"/>
      <c r="H371" s="10"/>
      <c r="I371" s="10"/>
      <c r="K371" s="20"/>
      <c r="L371" s="9"/>
      <c r="M371" s="10" t="s">
        <v>183</v>
      </c>
      <c r="N371" s="8"/>
    </row>
    <row r="372" spans="1:14" x14ac:dyDescent="0.25">
      <c r="A372" t="s">
        <v>236</v>
      </c>
      <c r="B372" s="10"/>
      <c r="C372" s="9" t="s">
        <v>246</v>
      </c>
      <c r="D372" s="10"/>
      <c r="E372" s="10"/>
      <c r="F372" s="19"/>
      <c r="G372" s="10"/>
      <c r="H372" s="10"/>
      <c r="I372" s="10"/>
      <c r="J372" t="s">
        <v>85</v>
      </c>
      <c r="K372" s="20">
        <v>65</v>
      </c>
      <c r="L372" s="9" t="s">
        <v>38</v>
      </c>
      <c r="M372" s="8"/>
      <c r="N372" s="8" t="s">
        <v>92</v>
      </c>
    </row>
    <row r="373" spans="1:14" x14ac:dyDescent="0.25">
      <c r="A373" t="s">
        <v>236</v>
      </c>
      <c r="B373" s="10"/>
      <c r="C373" s="9" t="s">
        <v>246</v>
      </c>
      <c r="D373" s="10"/>
      <c r="E373" s="10"/>
      <c r="F373" s="19" t="s">
        <v>247</v>
      </c>
      <c r="G373" s="10"/>
      <c r="H373" s="10"/>
      <c r="I373" s="10"/>
      <c r="J373" t="s">
        <v>86</v>
      </c>
      <c r="K373" s="20">
        <v>35</v>
      </c>
      <c r="L373" s="9" t="s">
        <v>38</v>
      </c>
      <c r="M373" s="8"/>
      <c r="N373" s="8" t="s">
        <v>92</v>
      </c>
    </row>
    <row r="374" spans="1:14" x14ac:dyDescent="0.25">
      <c r="A374" t="s">
        <v>239</v>
      </c>
      <c r="B374" s="10"/>
      <c r="C374" s="9" t="s">
        <v>37</v>
      </c>
      <c r="D374" s="10"/>
      <c r="E374" s="10"/>
      <c r="F374" s="19"/>
      <c r="G374" s="10"/>
      <c r="H374" s="10"/>
      <c r="I374" s="10"/>
      <c r="J374" t="s">
        <v>85</v>
      </c>
      <c r="K374" s="20">
        <v>30</v>
      </c>
      <c r="L374" s="9" t="s">
        <v>38</v>
      </c>
      <c r="M374" s="8"/>
      <c r="N374" s="8" t="s">
        <v>92</v>
      </c>
    </row>
    <row r="375" spans="1:14" x14ac:dyDescent="0.25">
      <c r="A375" t="s">
        <v>239</v>
      </c>
      <c r="B375" s="10"/>
      <c r="C375" s="9" t="s">
        <v>37</v>
      </c>
      <c r="D375" s="10"/>
      <c r="E375" s="10"/>
      <c r="F375" s="10" t="s">
        <v>248</v>
      </c>
      <c r="G375" s="10"/>
      <c r="H375" s="10"/>
      <c r="I375" s="10"/>
      <c r="J375" t="s">
        <v>86</v>
      </c>
      <c r="K375" s="20">
        <v>11</v>
      </c>
      <c r="L375" s="9" t="s">
        <v>38</v>
      </c>
      <c r="M375" s="8"/>
      <c r="N375" s="8" t="s">
        <v>92</v>
      </c>
    </row>
    <row r="376" spans="1:14" x14ac:dyDescent="0.25">
      <c r="A376" s="4" t="s">
        <v>206</v>
      </c>
      <c r="B376" s="4"/>
      <c r="C376" s="4"/>
      <c r="D376" s="4"/>
      <c r="E376" s="4"/>
      <c r="F376" s="4"/>
      <c r="G376" s="4"/>
      <c r="H376" s="4"/>
      <c r="I376" s="4"/>
      <c r="J376" s="5"/>
      <c r="K376" s="5"/>
      <c r="L376" s="5"/>
      <c r="M376" s="5"/>
      <c r="N376" s="5"/>
    </row>
    <row r="377" spans="1:14" x14ac:dyDescent="0.25">
      <c r="A377" t="s">
        <v>202</v>
      </c>
      <c r="B377" s="10"/>
      <c r="C377" t="s">
        <v>134</v>
      </c>
      <c r="J377" t="s">
        <v>85</v>
      </c>
      <c r="K377" s="21">
        <v>38</v>
      </c>
      <c r="L377" t="s">
        <v>38</v>
      </c>
      <c r="M377" s="11" t="s">
        <v>208</v>
      </c>
      <c r="N377" s="8" t="s">
        <v>92</v>
      </c>
    </row>
    <row r="378" spans="1:14" x14ac:dyDescent="0.25">
      <c r="A378" t="s">
        <v>202</v>
      </c>
      <c r="B378" s="10"/>
      <c r="C378" t="s">
        <v>134</v>
      </c>
      <c r="F378" t="s">
        <v>135</v>
      </c>
      <c r="J378" t="s">
        <v>86</v>
      </c>
      <c r="K378" s="21">
        <v>60</v>
      </c>
      <c r="L378" t="s">
        <v>38</v>
      </c>
      <c r="N378" s="8" t="s">
        <v>92</v>
      </c>
    </row>
    <row r="379" spans="1:14" x14ac:dyDescent="0.25">
      <c r="A379" s="17" t="s">
        <v>201</v>
      </c>
      <c r="B379" s="10"/>
      <c r="C379" t="s">
        <v>37</v>
      </c>
      <c r="J379" t="s">
        <v>85</v>
      </c>
      <c r="K379" s="15">
        <v>33</v>
      </c>
      <c r="L379" s="17" t="s">
        <v>38</v>
      </c>
      <c r="M379" s="17" t="s">
        <v>324</v>
      </c>
      <c r="N379" s="9" t="s">
        <v>323</v>
      </c>
    </row>
    <row r="380" spans="1:14" x14ac:dyDescent="0.25">
      <c r="A380" s="17" t="s">
        <v>201</v>
      </c>
      <c r="B380" s="10"/>
      <c r="C380" t="s">
        <v>37</v>
      </c>
      <c r="F380" t="s">
        <v>320</v>
      </c>
      <c r="J380" t="s">
        <v>86</v>
      </c>
      <c r="K380" s="15">
        <v>298</v>
      </c>
      <c r="L380" s="17" t="s">
        <v>38</v>
      </c>
      <c r="M380" s="17"/>
      <c r="N380" s="9" t="s">
        <v>323</v>
      </c>
    </row>
    <row r="381" spans="1:14" x14ac:dyDescent="0.25">
      <c r="A381" s="6"/>
      <c r="B381" s="10"/>
      <c r="F381" s="6" t="s">
        <v>319</v>
      </c>
      <c r="K381" s="23"/>
      <c r="L381" s="6"/>
      <c r="M381" s="6" t="s">
        <v>321</v>
      </c>
      <c r="N381" s="9"/>
    </row>
    <row r="382" spans="1:14" x14ac:dyDescent="0.25">
      <c r="A382" s="4" t="s">
        <v>308</v>
      </c>
      <c r="B382" s="4"/>
      <c r="C382" s="4"/>
      <c r="D382" s="4"/>
      <c r="E382" s="4"/>
      <c r="F382" s="4"/>
      <c r="G382" s="4"/>
      <c r="H382" s="4"/>
      <c r="I382" s="4"/>
      <c r="J382" s="5"/>
      <c r="K382" s="38" t="s">
        <v>322</v>
      </c>
      <c r="L382" s="5"/>
      <c r="M382" s="5"/>
      <c r="N382" s="5"/>
    </row>
    <row r="383" spans="1:14" x14ac:dyDescent="0.25">
      <c r="A383" t="s">
        <v>280</v>
      </c>
      <c r="B383" s="10"/>
      <c r="C383" s="10"/>
      <c r="D383" s="19" t="s">
        <v>278</v>
      </c>
      <c r="E383" s="19" t="s">
        <v>279</v>
      </c>
      <c r="F383" s="10"/>
      <c r="G383" s="10"/>
      <c r="H383" s="10"/>
      <c r="I383" s="10"/>
      <c r="J383" t="s">
        <v>85</v>
      </c>
      <c r="K383" s="19">
        <v>100</v>
      </c>
      <c r="L383" s="8" t="s">
        <v>38</v>
      </c>
      <c r="M383" s="8"/>
      <c r="N383" s="8"/>
    </row>
    <row r="384" spans="1:14" x14ac:dyDescent="0.25">
      <c r="B384" s="10"/>
      <c r="C384" s="10"/>
      <c r="D384" s="19"/>
      <c r="E384" s="19"/>
      <c r="F384" s="10"/>
      <c r="G384" s="10"/>
      <c r="H384" s="10"/>
      <c r="I384" s="10"/>
      <c r="K384" s="19"/>
      <c r="L384" s="8"/>
      <c r="M384" s="8"/>
      <c r="N384" s="8"/>
    </row>
    <row r="385" spans="1:14" x14ac:dyDescent="0.25">
      <c r="A385" s="2" t="s">
        <v>325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25">
      <c r="A386" s="6" t="s">
        <v>326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E24"/>
  <sheetViews>
    <sheetView workbookViewId="0">
      <selection activeCell="H27" sqref="H27"/>
    </sheetView>
  </sheetViews>
  <sheetFormatPr defaultRowHeight="15" x14ac:dyDescent="0.25"/>
  <sheetData>
    <row r="8" spans="5:5" x14ac:dyDescent="0.25">
      <c r="E8" s="25" t="s">
        <v>158</v>
      </c>
    </row>
    <row r="9" spans="5:5" x14ac:dyDescent="0.25">
      <c r="E9" t="s">
        <v>161</v>
      </c>
    </row>
    <row r="10" spans="5:5" x14ac:dyDescent="0.25">
      <c r="E10" t="s">
        <v>159</v>
      </c>
    </row>
    <row r="11" spans="5:5" x14ac:dyDescent="0.25">
      <c r="E11" t="s">
        <v>160</v>
      </c>
    </row>
    <row r="12" spans="5:5" x14ac:dyDescent="0.25">
      <c r="E12" t="s">
        <v>163</v>
      </c>
    </row>
    <row r="13" spans="5:5" x14ac:dyDescent="0.25">
      <c r="E13" t="s">
        <v>162</v>
      </c>
    </row>
    <row r="15" spans="5:5" x14ac:dyDescent="0.25">
      <c r="E15" s="25" t="s">
        <v>164</v>
      </c>
    </row>
    <row r="16" spans="5:5" x14ac:dyDescent="0.25">
      <c r="E16" t="s">
        <v>165</v>
      </c>
    </row>
    <row r="17" spans="5:5" x14ac:dyDescent="0.25">
      <c r="E17" t="s">
        <v>166</v>
      </c>
    </row>
    <row r="19" spans="5:5" x14ac:dyDescent="0.25">
      <c r="E19" s="25" t="s">
        <v>167</v>
      </c>
    </row>
    <row r="20" spans="5:5" x14ac:dyDescent="0.25">
      <c r="E20" t="s">
        <v>169</v>
      </c>
    </row>
    <row r="21" spans="5:5" x14ac:dyDescent="0.25">
      <c r="E21" t="s">
        <v>168</v>
      </c>
    </row>
    <row r="23" spans="5:5" x14ac:dyDescent="0.25">
      <c r="E23" s="25" t="s">
        <v>170</v>
      </c>
    </row>
    <row r="24" spans="5:5" x14ac:dyDescent="0.25">
      <c r="E24" t="s">
        <v>171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activeCell="N9" sqref="N9"/>
    </sheetView>
  </sheetViews>
  <sheetFormatPr defaultRowHeight="15" x14ac:dyDescent="0.25"/>
  <cols>
    <col min="3" max="20" width="8.7109375" customWidth="1"/>
  </cols>
  <sheetData>
    <row r="1" spans="1:20" x14ac:dyDescent="0.25">
      <c r="A1" t="s">
        <v>284</v>
      </c>
    </row>
    <row r="2" spans="1:20" x14ac:dyDescent="0.25">
      <c r="A2" t="s">
        <v>286</v>
      </c>
      <c r="F2" s="31" t="s">
        <v>285</v>
      </c>
    </row>
    <row r="3" spans="1:20" x14ac:dyDescent="0.25">
      <c r="A3" t="s">
        <v>295</v>
      </c>
      <c r="F3" s="31" t="s">
        <v>294</v>
      </c>
    </row>
    <row r="4" spans="1:20" x14ac:dyDescent="0.25">
      <c r="F4" s="31"/>
    </row>
    <row r="5" spans="1:20" x14ac:dyDescent="0.25">
      <c r="C5" s="25" t="s">
        <v>311</v>
      </c>
    </row>
    <row r="6" spans="1:20" x14ac:dyDescent="0.25">
      <c r="C6" s="1" t="s">
        <v>283</v>
      </c>
      <c r="I6" s="1" t="s">
        <v>287</v>
      </c>
      <c r="O6" s="1" t="s">
        <v>296</v>
      </c>
    </row>
    <row r="7" spans="1:20" x14ac:dyDescent="0.25">
      <c r="C7">
        <v>2016</v>
      </c>
      <c r="D7">
        <v>2017</v>
      </c>
      <c r="E7">
        <v>2018</v>
      </c>
      <c r="F7">
        <v>2019</v>
      </c>
      <c r="G7">
        <v>2020</v>
      </c>
      <c r="H7" s="32" t="s">
        <v>290</v>
      </c>
      <c r="I7">
        <v>2016</v>
      </c>
      <c r="J7">
        <v>2017</v>
      </c>
      <c r="K7">
        <v>2018</v>
      </c>
      <c r="L7">
        <v>2019</v>
      </c>
      <c r="M7">
        <v>2020</v>
      </c>
      <c r="N7" s="32" t="s">
        <v>290</v>
      </c>
      <c r="O7">
        <v>2016</v>
      </c>
      <c r="P7">
        <v>2017</v>
      </c>
      <c r="Q7">
        <v>2018</v>
      </c>
      <c r="R7">
        <v>2019</v>
      </c>
      <c r="S7">
        <v>2020</v>
      </c>
      <c r="T7" s="32" t="s">
        <v>290</v>
      </c>
    </row>
    <row r="8" spans="1:20" x14ac:dyDescent="0.25">
      <c r="A8" t="s">
        <v>167</v>
      </c>
      <c r="B8" t="s">
        <v>288</v>
      </c>
      <c r="C8" s="34">
        <v>142352</v>
      </c>
      <c r="D8" s="33">
        <v>244799</v>
      </c>
      <c r="E8" s="34">
        <v>272946</v>
      </c>
      <c r="F8" s="34">
        <v>283717</v>
      </c>
      <c r="G8" s="34">
        <v>40867</v>
      </c>
      <c r="H8" s="34">
        <f>AVERAGE(C8:G8)</f>
        <v>196936.2</v>
      </c>
      <c r="I8" s="33">
        <v>967062</v>
      </c>
      <c r="J8" s="33">
        <v>705522</v>
      </c>
      <c r="K8" s="34">
        <v>418327</v>
      </c>
      <c r="L8" s="34">
        <v>627125</v>
      </c>
      <c r="M8" s="34">
        <v>1057894</v>
      </c>
      <c r="N8" s="34">
        <f>AVERAGE(I8:M8)</f>
        <v>755186</v>
      </c>
      <c r="O8" s="34">
        <f t="shared" ref="O8:O12" si="0">I8-C8</f>
        <v>824710</v>
      </c>
      <c r="P8" s="34">
        <f t="shared" ref="P8:P12" si="1">J8-D8</f>
        <v>460723</v>
      </c>
      <c r="Q8" s="34">
        <f t="shared" ref="Q8:S8" si="2">K8-E8</f>
        <v>145381</v>
      </c>
      <c r="R8" s="34">
        <f t="shared" si="2"/>
        <v>343408</v>
      </c>
      <c r="S8" s="34">
        <f t="shared" si="2"/>
        <v>1017027</v>
      </c>
      <c r="T8" s="35">
        <f>AVERAGE(O8:S8)</f>
        <v>558249.80000000005</v>
      </c>
    </row>
    <row r="9" spans="1:20" x14ac:dyDescent="0.25">
      <c r="A9" t="s">
        <v>314</v>
      </c>
      <c r="B9" t="s">
        <v>289</v>
      </c>
      <c r="C9" s="33">
        <v>11521</v>
      </c>
      <c r="D9" s="33">
        <v>6953</v>
      </c>
      <c r="E9" s="34">
        <v>11274</v>
      </c>
      <c r="F9" s="34">
        <v>13965</v>
      </c>
      <c r="G9" s="34">
        <v>9115</v>
      </c>
      <c r="H9" s="34">
        <f t="shared" ref="H9:H12" si="3">AVERAGE(C9:G9)</f>
        <v>10565.6</v>
      </c>
      <c r="I9" s="33">
        <v>34581</v>
      </c>
      <c r="J9" s="33">
        <v>6354</v>
      </c>
      <c r="K9" s="33">
        <v>6898</v>
      </c>
      <c r="L9" s="33">
        <v>59879</v>
      </c>
      <c r="M9" s="33">
        <v>57117</v>
      </c>
      <c r="N9" s="34">
        <f t="shared" ref="N9:N12" si="4">AVERAGE(I9:M9)</f>
        <v>32965.800000000003</v>
      </c>
      <c r="O9" s="34">
        <f t="shared" si="0"/>
        <v>23060</v>
      </c>
      <c r="P9" s="34">
        <f t="shared" si="1"/>
        <v>-599</v>
      </c>
      <c r="Q9" s="34">
        <f t="shared" ref="Q9:Q12" si="5">K9-E9</f>
        <v>-4376</v>
      </c>
      <c r="R9" s="34">
        <f t="shared" ref="R9:R12" si="6">L9-F9</f>
        <v>45914</v>
      </c>
      <c r="S9" s="34">
        <f t="shared" ref="S9:S12" si="7">M9-G9</f>
        <v>48002</v>
      </c>
      <c r="T9" s="35">
        <f t="shared" ref="T9:T12" si="8">AVERAGE(O9:S9)</f>
        <v>22400.2</v>
      </c>
    </row>
    <row r="10" spans="1:20" x14ac:dyDescent="0.25">
      <c r="A10" t="s">
        <v>315</v>
      </c>
      <c r="B10" t="s">
        <v>291</v>
      </c>
      <c r="C10" s="33">
        <v>77862</v>
      </c>
      <c r="D10" s="33">
        <v>32519</v>
      </c>
      <c r="E10" s="34">
        <v>87405</v>
      </c>
      <c r="F10" s="34">
        <v>110802</v>
      </c>
      <c r="G10" s="34">
        <v>50039</v>
      </c>
      <c r="H10" s="34">
        <f t="shared" si="3"/>
        <v>71725.399999999994</v>
      </c>
      <c r="I10" s="33">
        <v>479848</v>
      </c>
      <c r="J10" s="33">
        <v>430370</v>
      </c>
      <c r="K10" s="33">
        <v>330483</v>
      </c>
      <c r="L10" s="33">
        <v>219501</v>
      </c>
      <c r="M10" s="33">
        <v>421677</v>
      </c>
      <c r="N10" s="34">
        <f t="shared" si="4"/>
        <v>376375.8</v>
      </c>
      <c r="O10" s="34">
        <f t="shared" si="0"/>
        <v>401986</v>
      </c>
      <c r="P10" s="34">
        <f t="shared" si="1"/>
        <v>397851</v>
      </c>
      <c r="Q10" s="34">
        <f t="shared" si="5"/>
        <v>243078</v>
      </c>
      <c r="R10" s="34">
        <f t="shared" si="6"/>
        <v>108699</v>
      </c>
      <c r="S10" s="34">
        <f t="shared" si="7"/>
        <v>371638</v>
      </c>
      <c r="T10" s="35">
        <f t="shared" si="8"/>
        <v>304650.40000000002</v>
      </c>
    </row>
    <row r="11" spans="1:20" x14ac:dyDescent="0.25">
      <c r="A11" t="s">
        <v>316</v>
      </c>
      <c r="B11" t="s">
        <v>292</v>
      </c>
      <c r="C11" s="33">
        <v>2564</v>
      </c>
      <c r="D11" s="33">
        <v>3548</v>
      </c>
      <c r="E11" s="34">
        <v>49759</v>
      </c>
      <c r="F11" s="33">
        <v>36264</v>
      </c>
      <c r="G11" s="34">
        <v>4522</v>
      </c>
      <c r="H11" s="34">
        <f t="shared" si="3"/>
        <v>19331.400000000001</v>
      </c>
      <c r="I11" s="33">
        <v>226191</v>
      </c>
      <c r="J11" s="33">
        <v>269865</v>
      </c>
      <c r="K11" s="33">
        <v>164780</v>
      </c>
      <c r="L11" s="33">
        <v>135097</v>
      </c>
      <c r="M11" s="33">
        <v>186972</v>
      </c>
      <c r="N11" s="34">
        <f t="shared" si="4"/>
        <v>196581</v>
      </c>
      <c r="O11" s="34">
        <f t="shared" si="0"/>
        <v>223627</v>
      </c>
      <c r="P11" s="34">
        <f t="shared" si="1"/>
        <v>266317</v>
      </c>
      <c r="Q11" s="34">
        <f t="shared" si="5"/>
        <v>115021</v>
      </c>
      <c r="R11" s="34">
        <f>L11-F11</f>
        <v>98833</v>
      </c>
      <c r="S11" s="34">
        <f t="shared" si="7"/>
        <v>182450</v>
      </c>
      <c r="T11" s="35">
        <f t="shared" si="8"/>
        <v>177249.6</v>
      </c>
    </row>
    <row r="12" spans="1:20" x14ac:dyDescent="0.25">
      <c r="A12" t="s">
        <v>317</v>
      </c>
      <c r="B12" t="s">
        <v>293</v>
      </c>
      <c r="C12" s="33">
        <v>32168</v>
      </c>
      <c r="D12" s="33">
        <v>36677</v>
      </c>
      <c r="E12" s="34">
        <v>77572</v>
      </c>
      <c r="F12" s="34">
        <v>126538</v>
      </c>
      <c r="G12" s="34">
        <v>53450</v>
      </c>
      <c r="H12" s="34">
        <f t="shared" si="3"/>
        <v>65281</v>
      </c>
      <c r="I12">
        <v>412</v>
      </c>
      <c r="J12">
        <v>595</v>
      </c>
      <c r="K12">
        <v>601</v>
      </c>
      <c r="L12">
        <v>607</v>
      </c>
      <c r="M12">
        <v>221</v>
      </c>
      <c r="N12" s="34">
        <f t="shared" si="4"/>
        <v>487.2</v>
      </c>
      <c r="O12" s="34">
        <f t="shared" si="0"/>
        <v>-31756</v>
      </c>
      <c r="P12" s="34">
        <f t="shared" si="1"/>
        <v>-36082</v>
      </c>
      <c r="Q12" s="34">
        <f t="shared" si="5"/>
        <v>-76971</v>
      </c>
      <c r="R12" s="34">
        <f t="shared" si="6"/>
        <v>-125931</v>
      </c>
      <c r="S12" s="34">
        <f t="shared" si="7"/>
        <v>-53229</v>
      </c>
      <c r="T12" s="35">
        <f t="shared" si="8"/>
        <v>-64793.8</v>
      </c>
    </row>
    <row r="14" spans="1:20" x14ac:dyDescent="0.25">
      <c r="C14" s="25" t="s">
        <v>312</v>
      </c>
    </row>
    <row r="15" spans="1:20" x14ac:dyDescent="0.25">
      <c r="C15" s="1" t="s">
        <v>283</v>
      </c>
      <c r="I15" s="1" t="s">
        <v>287</v>
      </c>
      <c r="O15" s="1" t="s">
        <v>296</v>
      </c>
    </row>
    <row r="16" spans="1:20" x14ac:dyDescent="0.25">
      <c r="C16">
        <v>2016</v>
      </c>
      <c r="D16">
        <v>2017</v>
      </c>
      <c r="E16">
        <v>2018</v>
      </c>
      <c r="F16">
        <v>2019</v>
      </c>
      <c r="G16">
        <v>2020</v>
      </c>
      <c r="H16" s="32" t="s">
        <v>290</v>
      </c>
      <c r="I16">
        <v>2016</v>
      </c>
      <c r="J16">
        <v>2017</v>
      </c>
      <c r="K16">
        <v>2018</v>
      </c>
      <c r="L16">
        <v>2019</v>
      </c>
      <c r="M16">
        <v>2020</v>
      </c>
      <c r="N16" s="32" t="s">
        <v>290</v>
      </c>
      <c r="O16">
        <v>2016</v>
      </c>
      <c r="P16">
        <v>2017</v>
      </c>
      <c r="Q16">
        <v>2018</v>
      </c>
      <c r="R16">
        <v>2019</v>
      </c>
      <c r="S16">
        <v>2020</v>
      </c>
      <c r="T16" s="32" t="s">
        <v>290</v>
      </c>
    </row>
    <row r="17" spans="1:20" x14ac:dyDescent="0.25">
      <c r="A17" t="s">
        <v>313</v>
      </c>
      <c r="B17" t="s">
        <v>209</v>
      </c>
      <c r="C17" s="33">
        <v>9962</v>
      </c>
      <c r="D17" s="33">
        <v>9725</v>
      </c>
      <c r="E17" s="33">
        <v>33834</v>
      </c>
      <c r="F17" s="33">
        <v>15706</v>
      </c>
      <c r="G17" s="33">
        <v>20607</v>
      </c>
      <c r="H17" s="34">
        <f>AVERAGE(C17:G17)</f>
        <v>17966.8</v>
      </c>
      <c r="I17" s="33">
        <v>57573</v>
      </c>
      <c r="J17" s="33">
        <v>60238</v>
      </c>
      <c r="K17" s="33">
        <v>34935</v>
      </c>
      <c r="L17" s="33">
        <v>20423</v>
      </c>
      <c r="M17" s="33">
        <v>26979</v>
      </c>
      <c r="N17" s="34">
        <f>AVERAGE(I17:M17)</f>
        <v>40029.599999999999</v>
      </c>
      <c r="O17" s="34">
        <f t="shared" ref="O17" si="9">I17-C17</f>
        <v>47611</v>
      </c>
      <c r="P17" s="34">
        <f t="shared" ref="P17" si="10">J17-D17</f>
        <v>50513</v>
      </c>
      <c r="Q17" s="34">
        <f t="shared" ref="Q17" si="11">K17-E17</f>
        <v>1101</v>
      </c>
      <c r="R17" s="34">
        <f t="shared" ref="R17" si="12">L17-F17</f>
        <v>4717</v>
      </c>
      <c r="S17" s="34">
        <f t="shared" ref="S17" si="13">M17-G17</f>
        <v>6372</v>
      </c>
      <c r="T17" s="34">
        <f>AVERAGE(O17:S17)</f>
        <v>22062.799999999999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2023-09-20T13:36:00Z</dcterms:modified>
</cp:coreProperties>
</file>