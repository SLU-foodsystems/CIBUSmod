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1"/>
  </bookViews>
  <sheets>
    <sheet name="default" sheetId="1" r:id="rId1"/>
    <sheet name="scn_baseline" sheetId="3" r:id="rId2"/>
    <sheet name="Sheet1" sheetId="2" r:id="rId3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3" l="1"/>
  <c r="I4" i="3" s="1"/>
  <c r="J4" i="3" s="1"/>
  <c r="G4" i="3"/>
  <c r="H2" i="3"/>
  <c r="I2" i="3" s="1"/>
  <c r="J2" i="3" s="1"/>
  <c r="K2" i="3" s="1"/>
  <c r="L2" i="3" s="1"/>
  <c r="G2" i="3"/>
  <c r="K282" i="1" l="1"/>
  <c r="K234" i="1"/>
  <c r="K62" i="1" l="1"/>
  <c r="K147" i="1" l="1"/>
  <c r="K238" i="1" l="1"/>
  <c r="K236" i="1"/>
  <c r="K231" i="1"/>
  <c r="K228" i="1"/>
  <c r="K64" i="1" l="1"/>
  <c r="K63" i="1"/>
  <c r="K213" i="1" l="1"/>
  <c r="K214" i="1" s="1"/>
  <c r="K190" i="1" l="1"/>
  <c r="K189" i="1"/>
  <c r="K188" i="1"/>
  <c r="K262" i="1"/>
  <c r="K261" i="1"/>
  <c r="K263" i="1" l="1"/>
  <c r="K268" i="1"/>
  <c r="K102" i="1"/>
  <c r="K41" i="1"/>
  <c r="K42" i="1"/>
  <c r="K180" i="1" l="1"/>
  <c r="K179" i="1"/>
  <c r="K167" i="1"/>
  <c r="K260" i="1"/>
  <c r="K40" i="1"/>
  <c r="K178" i="1" l="1"/>
  <c r="K177" i="1"/>
  <c r="K176" i="1"/>
  <c r="K175" i="1"/>
  <c r="K173" i="1" l="1"/>
  <c r="K174" i="1" s="1"/>
  <c r="K171" i="1"/>
  <c r="K170" i="1" s="1"/>
  <c r="K169" i="1"/>
  <c r="K168" i="1" s="1"/>
  <c r="K166" i="1"/>
  <c r="K172" i="1" l="1"/>
  <c r="K185" i="1"/>
  <c r="K184" i="1"/>
  <c r="K183" i="1"/>
  <c r="K3" i="1" l="1"/>
</calcChain>
</file>

<file path=xl/sharedStrings.xml><?xml version="1.0" encoding="utf-8"?>
<sst xmlns="http://schemas.openxmlformats.org/spreadsheetml/2006/main" count="1331" uniqueCount="276">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</sst>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9"/>
  <sheetViews>
    <sheetView zoomScale="80" zoomScaleNormal="80" zoomScaleSheetLayoutView="80" workbookViewId="0">
      <pane ySplit="1" topLeftCell="A2" activePane="bottomLeft" state="frozen"/>
      <selection pane="bottomLeft" activeCell="J3" sqref="J3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226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12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160</v>
      </c>
      <c r="B33" t="s">
        <v>114</v>
      </c>
      <c r="J33" t="s">
        <v>18</v>
      </c>
      <c r="K33" s="7">
        <v>0</v>
      </c>
      <c r="L33" t="s">
        <v>19</v>
      </c>
    </row>
    <row r="34" spans="1:14" x14ac:dyDescent="0.25">
      <c r="A34" s="5" t="s">
        <v>13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18" t="s">
        <v>259</v>
      </c>
      <c r="B35" t="s">
        <v>262</v>
      </c>
      <c r="J35" t="s">
        <v>18</v>
      </c>
      <c r="K35" s="18">
        <v>12.9</v>
      </c>
      <c r="L35" t="s">
        <v>19</v>
      </c>
    </row>
    <row r="36" spans="1:14" x14ac:dyDescent="0.25">
      <c r="A36" s="18" t="s">
        <v>260</v>
      </c>
      <c r="B36" t="s">
        <v>262</v>
      </c>
      <c r="J36" t="s">
        <v>18</v>
      </c>
      <c r="K36" s="18">
        <v>2.1</v>
      </c>
      <c r="L36" t="s">
        <v>19</v>
      </c>
    </row>
    <row r="37" spans="1:14" x14ac:dyDescent="0.25">
      <c r="A37" s="18" t="s">
        <v>261</v>
      </c>
      <c r="B37" t="s">
        <v>262</v>
      </c>
      <c r="J37" t="s">
        <v>18</v>
      </c>
      <c r="K37" s="18">
        <v>1.8</v>
      </c>
      <c r="L37" t="s">
        <v>19</v>
      </c>
    </row>
    <row r="38" spans="1:14" x14ac:dyDescent="0.25">
      <c r="A38" s="18" t="s">
        <v>263</v>
      </c>
      <c r="B38" t="s">
        <v>262</v>
      </c>
      <c r="J38" t="s">
        <v>18</v>
      </c>
      <c r="K38" s="18">
        <v>5</v>
      </c>
      <c r="L38" t="s">
        <v>19</v>
      </c>
    </row>
    <row r="39" spans="1:14" x14ac:dyDescent="0.25">
      <c r="A39" s="5" t="s">
        <v>14</v>
      </c>
      <c r="B39" s="5"/>
      <c r="C39" s="5"/>
      <c r="D39" s="5"/>
      <c r="E39" s="5"/>
      <c r="F39" s="5"/>
      <c r="G39" s="5"/>
      <c r="H39" s="5"/>
      <c r="I39" s="5"/>
      <c r="J39" s="6"/>
      <c r="K39" s="6"/>
      <c r="L39" s="6"/>
      <c r="M39" s="6"/>
      <c r="N39" s="6"/>
    </row>
    <row r="40" spans="1:14" x14ac:dyDescent="0.25">
      <c r="A40" s="7" t="s">
        <v>65</v>
      </c>
      <c r="B40" t="s">
        <v>84</v>
      </c>
      <c r="J40" t="s">
        <v>18</v>
      </c>
      <c r="K40" s="7">
        <f>29.5+8.5</f>
        <v>38</v>
      </c>
      <c r="L40" t="s">
        <v>19</v>
      </c>
      <c r="M40" s="7" t="s">
        <v>87</v>
      </c>
    </row>
    <row r="41" spans="1:14" x14ac:dyDescent="0.25">
      <c r="A41" s="7" t="s">
        <v>64</v>
      </c>
      <c r="B41" t="s">
        <v>84</v>
      </c>
      <c r="J41" t="s">
        <v>18</v>
      </c>
      <c r="K41" s="7">
        <f>80.7+14.4+0.3*5</f>
        <v>96.600000000000009</v>
      </c>
      <c r="L41" t="s">
        <v>19</v>
      </c>
      <c r="M41" s="7" t="s">
        <v>87</v>
      </c>
    </row>
    <row r="42" spans="1:14" x14ac:dyDescent="0.25">
      <c r="A42" s="7" t="s">
        <v>66</v>
      </c>
      <c r="B42" t="s">
        <v>84</v>
      </c>
      <c r="J42" t="s">
        <v>18</v>
      </c>
      <c r="K42" s="7">
        <f>45.6+44.1+1.3*5+1.8*10</f>
        <v>114.2</v>
      </c>
      <c r="L42" t="s">
        <v>19</v>
      </c>
      <c r="M42" s="7" t="s">
        <v>87</v>
      </c>
    </row>
    <row r="43" spans="1:14" x14ac:dyDescent="0.25">
      <c r="A43" s="7" t="s">
        <v>67</v>
      </c>
      <c r="B43" t="s">
        <v>84</v>
      </c>
      <c r="J43" t="s">
        <v>18</v>
      </c>
      <c r="K43">
        <v>46.8</v>
      </c>
      <c r="L43" t="s">
        <v>19</v>
      </c>
    </row>
    <row r="44" spans="1:14" x14ac:dyDescent="0.25">
      <c r="A44" s="7" t="s">
        <v>71</v>
      </c>
      <c r="B44" t="s">
        <v>84</v>
      </c>
      <c r="J44" t="s">
        <v>18</v>
      </c>
      <c r="K44">
        <v>8.1</v>
      </c>
      <c r="L44" t="s">
        <v>19</v>
      </c>
    </row>
    <row r="45" spans="1:14" x14ac:dyDescent="0.25">
      <c r="A45" s="7" t="s">
        <v>72</v>
      </c>
      <c r="B45" t="s">
        <v>84</v>
      </c>
      <c r="J45" t="s">
        <v>18</v>
      </c>
      <c r="K45">
        <v>1</v>
      </c>
      <c r="L45" t="s">
        <v>19</v>
      </c>
    </row>
    <row r="46" spans="1:14" x14ac:dyDescent="0.25">
      <c r="A46" s="7" t="s">
        <v>69</v>
      </c>
      <c r="B46" t="s">
        <v>84</v>
      </c>
      <c r="J46" t="s">
        <v>18</v>
      </c>
      <c r="K46">
        <v>6.6</v>
      </c>
      <c r="L46" t="s">
        <v>19</v>
      </c>
    </row>
    <row r="47" spans="1:14" x14ac:dyDescent="0.25">
      <c r="A47" s="7" t="s">
        <v>70</v>
      </c>
      <c r="B47" t="s">
        <v>84</v>
      </c>
      <c r="J47" t="s">
        <v>18</v>
      </c>
      <c r="K47">
        <v>8.3000000000000007</v>
      </c>
      <c r="L47" t="s">
        <v>19</v>
      </c>
    </row>
    <row r="48" spans="1:14" x14ac:dyDescent="0.25">
      <c r="A48" s="7" t="s">
        <v>68</v>
      </c>
      <c r="B48" t="s">
        <v>84</v>
      </c>
      <c r="J48" t="s">
        <v>18</v>
      </c>
      <c r="K48">
        <v>15.3</v>
      </c>
      <c r="L48" t="s">
        <v>19</v>
      </c>
    </row>
    <row r="49" spans="1:14" x14ac:dyDescent="0.25">
      <c r="A49" s="5" t="s">
        <v>23</v>
      </c>
      <c r="B49" s="5"/>
      <c r="C49" s="5"/>
      <c r="D49" s="5"/>
      <c r="E49" s="5"/>
      <c r="F49" s="5"/>
      <c r="G49" s="5"/>
      <c r="H49" s="5"/>
      <c r="I49" s="5"/>
      <c r="J49" s="6"/>
      <c r="K49" s="6"/>
      <c r="L49" s="6"/>
      <c r="M49" s="6"/>
      <c r="N49" s="6"/>
    </row>
    <row r="50" spans="1:14" x14ac:dyDescent="0.25">
      <c r="A50" t="s">
        <v>57</v>
      </c>
      <c r="B50" t="s">
        <v>58</v>
      </c>
      <c r="J50" t="s">
        <v>18</v>
      </c>
      <c r="K50">
        <v>60.6</v>
      </c>
      <c r="L50" t="s">
        <v>19</v>
      </c>
    </row>
    <row r="51" spans="1:14" x14ac:dyDescent="0.25">
      <c r="A51" t="s">
        <v>101</v>
      </c>
      <c r="B51" t="s">
        <v>58</v>
      </c>
      <c r="J51" t="s">
        <v>18</v>
      </c>
      <c r="K51">
        <v>39.9</v>
      </c>
      <c r="L51" t="s">
        <v>19</v>
      </c>
    </row>
    <row r="52" spans="1:14" x14ac:dyDescent="0.25">
      <c r="A52" s="5" t="s">
        <v>15</v>
      </c>
      <c r="B52" s="5"/>
      <c r="C52" s="5"/>
      <c r="D52" s="5"/>
      <c r="E52" s="5"/>
      <c r="F52" s="5"/>
      <c r="G52" s="5"/>
      <c r="H52" s="5"/>
      <c r="I52" s="5"/>
      <c r="J52" s="6"/>
      <c r="K52" s="6"/>
      <c r="L52" s="6"/>
      <c r="M52" s="6"/>
      <c r="N52" s="6"/>
    </row>
    <row r="53" spans="1:14" x14ac:dyDescent="0.25">
      <c r="A53" s="5" t="s">
        <v>16</v>
      </c>
      <c r="B53" s="5"/>
      <c r="C53" s="5"/>
      <c r="D53" s="5"/>
      <c r="E53" s="5"/>
      <c r="F53" s="5"/>
      <c r="G53" s="5"/>
      <c r="H53" s="5"/>
      <c r="I53" s="5"/>
      <c r="J53" s="6"/>
      <c r="K53" s="6"/>
      <c r="L53" s="6"/>
      <c r="M53" s="6"/>
      <c r="N53" s="6"/>
    </row>
    <row r="54" spans="1:14" x14ac:dyDescent="0.25">
      <c r="A54" s="5" t="s">
        <v>20</v>
      </c>
      <c r="B54" s="5"/>
      <c r="C54" s="5"/>
      <c r="D54" s="5"/>
      <c r="E54" s="5"/>
      <c r="F54" s="5"/>
      <c r="G54" s="5"/>
      <c r="H54" s="5"/>
      <c r="I54" s="5"/>
      <c r="J54" s="6"/>
      <c r="K54" s="6"/>
      <c r="L54" s="6"/>
      <c r="M54" s="6"/>
      <c r="N54" s="6"/>
    </row>
    <row r="55" spans="1:14" x14ac:dyDescent="0.25">
      <c r="A55" t="s">
        <v>219</v>
      </c>
      <c r="B55" t="s">
        <v>224</v>
      </c>
      <c r="J55" t="s">
        <v>18</v>
      </c>
      <c r="K55">
        <v>4.5</v>
      </c>
      <c r="L55" t="s">
        <v>19</v>
      </c>
    </row>
    <row r="56" spans="1:14" x14ac:dyDescent="0.25">
      <c r="A56" s="27" t="s">
        <v>220</v>
      </c>
      <c r="B56" t="s">
        <v>224</v>
      </c>
      <c r="J56" t="s">
        <v>18</v>
      </c>
      <c r="K56" s="7">
        <v>0</v>
      </c>
      <c r="L56" t="s">
        <v>19</v>
      </c>
    </row>
    <row r="57" spans="1:14" x14ac:dyDescent="0.25">
      <c r="A57" s="27" t="s">
        <v>221</v>
      </c>
      <c r="B57" t="s">
        <v>224</v>
      </c>
      <c r="J57" t="s">
        <v>18</v>
      </c>
      <c r="K57">
        <v>0.7</v>
      </c>
      <c r="L57" t="s">
        <v>19</v>
      </c>
    </row>
    <row r="58" spans="1:14" x14ac:dyDescent="0.25">
      <c r="A58" s="27" t="s">
        <v>222</v>
      </c>
      <c r="B58" t="s">
        <v>224</v>
      </c>
      <c r="J58" t="s">
        <v>18</v>
      </c>
      <c r="K58">
        <v>0.3</v>
      </c>
      <c r="L58" t="s">
        <v>19</v>
      </c>
    </row>
    <row r="59" spans="1:14" x14ac:dyDescent="0.25">
      <c r="A59" s="27" t="s">
        <v>223</v>
      </c>
      <c r="B59" t="s">
        <v>224</v>
      </c>
      <c r="J59" t="s">
        <v>18</v>
      </c>
      <c r="K59">
        <v>0.6</v>
      </c>
      <c r="L59" t="s">
        <v>19</v>
      </c>
    </row>
    <row r="60" spans="1:14" x14ac:dyDescent="0.25">
      <c r="A60" s="5" t="s">
        <v>21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22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138</v>
      </c>
      <c r="B62" t="s">
        <v>139</v>
      </c>
      <c r="J62" t="s">
        <v>18</v>
      </c>
      <c r="K62" s="14">
        <f>6+4.4/3+13*0.6</f>
        <v>15.266666666666666</v>
      </c>
      <c r="L62" t="s">
        <v>19</v>
      </c>
      <c r="M62" s="7" t="s">
        <v>225</v>
      </c>
    </row>
    <row r="63" spans="1:14" x14ac:dyDescent="0.25">
      <c r="A63" t="s">
        <v>145</v>
      </c>
      <c r="B63" t="s">
        <v>139</v>
      </c>
      <c r="J63" t="s">
        <v>18</v>
      </c>
      <c r="K63" s="23">
        <f>8.2+4.4/3</f>
        <v>9.6666666666666661</v>
      </c>
      <c r="L63" t="s">
        <v>19</v>
      </c>
      <c r="M63" t="s">
        <v>144</v>
      </c>
    </row>
    <row r="64" spans="1:14" x14ac:dyDescent="0.25">
      <c r="A64" t="s">
        <v>146</v>
      </c>
      <c r="B64" t="s">
        <v>139</v>
      </c>
      <c r="J64" t="s">
        <v>18</v>
      </c>
      <c r="K64" s="23">
        <f>2.8+4.4/3</f>
        <v>4.2666666666666666</v>
      </c>
      <c r="L64" t="s">
        <v>19</v>
      </c>
      <c r="M64" t="s">
        <v>144</v>
      </c>
    </row>
    <row r="65" spans="1:14" x14ac:dyDescent="0.25">
      <c r="A65" s="5" t="s">
        <v>24</v>
      </c>
      <c r="B65" s="5"/>
      <c r="C65" s="5"/>
      <c r="D65" s="5"/>
      <c r="E65" s="5"/>
      <c r="F65" s="5"/>
      <c r="G65" s="5"/>
      <c r="H65" s="5"/>
      <c r="I65" s="5"/>
      <c r="J65" s="6"/>
      <c r="K65" s="6"/>
      <c r="L65" s="6"/>
      <c r="M65" s="6"/>
      <c r="N65" s="6"/>
    </row>
    <row r="66" spans="1:14" x14ac:dyDescent="0.25">
      <c r="A66" t="s">
        <v>234</v>
      </c>
      <c r="B66" t="s">
        <v>237</v>
      </c>
      <c r="J66" t="s">
        <v>18</v>
      </c>
      <c r="K66">
        <v>79.3</v>
      </c>
      <c r="L66" t="s">
        <v>19</v>
      </c>
    </row>
    <row r="67" spans="1:14" x14ac:dyDescent="0.25">
      <c r="A67" t="s">
        <v>236</v>
      </c>
      <c r="B67" t="s">
        <v>237</v>
      </c>
      <c r="J67" t="s">
        <v>18</v>
      </c>
      <c r="K67">
        <v>10</v>
      </c>
      <c r="L67" t="s">
        <v>19</v>
      </c>
      <c r="M67" t="s">
        <v>240</v>
      </c>
    </row>
    <row r="68" spans="1:14" x14ac:dyDescent="0.25">
      <c r="A68" t="s">
        <v>235</v>
      </c>
      <c r="B68" t="s">
        <v>237</v>
      </c>
      <c r="J68" t="s">
        <v>18</v>
      </c>
      <c r="K68">
        <v>1</v>
      </c>
      <c r="L68" t="s">
        <v>19</v>
      </c>
    </row>
    <row r="69" spans="1:14" x14ac:dyDescent="0.25">
      <c r="A69" s="5" t="s">
        <v>29</v>
      </c>
      <c r="B69" s="5"/>
      <c r="C69" s="5"/>
      <c r="D69" s="5"/>
      <c r="E69" s="5"/>
      <c r="F69" s="5"/>
      <c r="G69" s="5"/>
      <c r="H69" s="5"/>
      <c r="I69" s="5"/>
      <c r="J69" s="6"/>
      <c r="K69" s="6"/>
      <c r="L69" s="6"/>
      <c r="M69" s="6"/>
      <c r="N69" s="6"/>
    </row>
    <row r="70" spans="1:14" x14ac:dyDescent="0.25">
      <c r="A70" t="s">
        <v>245</v>
      </c>
      <c r="B70" t="s">
        <v>118</v>
      </c>
      <c r="J70" t="s">
        <v>18</v>
      </c>
      <c r="K70">
        <v>67.400000000000006</v>
      </c>
      <c r="L70" t="s">
        <v>19</v>
      </c>
    </row>
    <row r="71" spans="1:14" x14ac:dyDescent="0.25">
      <c r="A71" t="s">
        <v>248</v>
      </c>
      <c r="B71" t="s">
        <v>118</v>
      </c>
      <c r="J71" t="s">
        <v>18</v>
      </c>
      <c r="K71">
        <v>125.5</v>
      </c>
      <c r="L71" t="s">
        <v>19</v>
      </c>
    </row>
    <row r="72" spans="1:14" x14ac:dyDescent="0.25">
      <c r="A72" t="s">
        <v>246</v>
      </c>
      <c r="B72" t="s">
        <v>118</v>
      </c>
      <c r="J72" t="s">
        <v>18</v>
      </c>
      <c r="K72">
        <v>6.9</v>
      </c>
      <c r="L72" t="s">
        <v>19</v>
      </c>
      <c r="M72" t="s">
        <v>247</v>
      </c>
    </row>
    <row r="73" spans="1:14" x14ac:dyDescent="0.25">
      <c r="A73" t="s">
        <v>249</v>
      </c>
      <c r="B73" t="s">
        <v>118</v>
      </c>
      <c r="J73" t="s">
        <v>18</v>
      </c>
      <c r="K73">
        <v>7.9</v>
      </c>
      <c r="L73" t="s">
        <v>19</v>
      </c>
      <c r="M73" t="s">
        <v>250</v>
      </c>
    </row>
    <row r="74" spans="1:14" x14ac:dyDescent="0.25">
      <c r="A74" s="5" t="s">
        <v>30</v>
      </c>
      <c r="B74" s="5"/>
      <c r="C74" s="5"/>
      <c r="D74" s="5"/>
      <c r="E74" s="5"/>
      <c r="F74" s="5"/>
      <c r="G74" s="5"/>
      <c r="H74" s="5"/>
      <c r="I74" s="5"/>
      <c r="J74" s="6"/>
      <c r="K74" s="6"/>
      <c r="L74" s="6"/>
      <c r="M74" s="6"/>
      <c r="N74" s="6"/>
    </row>
    <row r="75" spans="1:14" x14ac:dyDescent="0.25">
      <c r="A75" s="5" t="s">
        <v>31</v>
      </c>
      <c r="B75" s="5"/>
      <c r="C75" s="5"/>
      <c r="D75" s="5"/>
      <c r="E75" s="5"/>
      <c r="F75" s="5"/>
      <c r="G75" s="5"/>
      <c r="H75" s="5"/>
      <c r="I75" s="5"/>
      <c r="J75" s="6"/>
      <c r="K75" s="6"/>
      <c r="L75" s="6"/>
      <c r="M75" s="6"/>
      <c r="N75" s="6"/>
    </row>
    <row r="76" spans="1:14" x14ac:dyDescent="0.25">
      <c r="A76" s="5" t="s">
        <v>32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s="5" t="s">
        <v>33</v>
      </c>
      <c r="B77" s="5"/>
      <c r="C77" s="5"/>
      <c r="D77" s="5"/>
      <c r="E77" s="5"/>
      <c r="F77" s="5"/>
      <c r="G77" s="5"/>
      <c r="H77" s="5"/>
      <c r="I77" s="5"/>
      <c r="J77" s="6"/>
      <c r="K77" s="6"/>
      <c r="L77" s="6"/>
      <c r="M77" s="6"/>
      <c r="N77" s="6"/>
    </row>
    <row r="79" spans="1:14" x14ac:dyDescent="0.25">
      <c r="A79" s="3" t="s">
        <v>215</v>
      </c>
      <c r="B79" s="3"/>
      <c r="C79" s="3"/>
      <c r="D79" s="3"/>
      <c r="E79" s="3"/>
      <c r="F79" s="3"/>
      <c r="G79" s="3"/>
      <c r="H79" s="3"/>
      <c r="I79" s="3"/>
      <c r="J79" s="4"/>
      <c r="K79" s="4"/>
      <c r="L79" s="4"/>
      <c r="M79" s="4"/>
      <c r="N79" s="4"/>
    </row>
    <row r="80" spans="1:14" x14ac:dyDescent="0.25">
      <c r="A80" t="s">
        <v>208</v>
      </c>
      <c r="B80" t="s">
        <v>217</v>
      </c>
      <c r="J80" t="s">
        <v>213</v>
      </c>
      <c r="K80" s="7">
        <v>0</v>
      </c>
      <c r="L80" t="s">
        <v>204</v>
      </c>
    </row>
    <row r="81" spans="1:14" x14ac:dyDescent="0.25">
      <c r="A81" t="s">
        <v>209</v>
      </c>
      <c r="B81" t="s">
        <v>217</v>
      </c>
      <c r="J81" t="s">
        <v>213</v>
      </c>
      <c r="K81">
        <v>10000</v>
      </c>
      <c r="L81" t="s">
        <v>204</v>
      </c>
      <c r="M81" t="s">
        <v>212</v>
      </c>
    </row>
    <row r="83" spans="1:14" x14ac:dyDescent="0.25">
      <c r="A83" t="s">
        <v>107</v>
      </c>
      <c r="B83" t="s">
        <v>217</v>
      </c>
      <c r="J83" t="s">
        <v>213</v>
      </c>
      <c r="K83">
        <v>30000</v>
      </c>
      <c r="L83" t="s">
        <v>204</v>
      </c>
      <c r="M83" t="s">
        <v>211</v>
      </c>
      <c r="N83" t="s">
        <v>210</v>
      </c>
    </row>
    <row r="85" spans="1:14" x14ac:dyDescent="0.25">
      <c r="A85" s="3" t="s">
        <v>203</v>
      </c>
      <c r="B85" s="3"/>
      <c r="C85" s="3"/>
      <c r="D85" s="3"/>
      <c r="E85" s="3"/>
      <c r="F85" s="3"/>
      <c r="G85" s="3"/>
      <c r="H85" s="3"/>
      <c r="I85" s="3"/>
      <c r="J85" s="4"/>
      <c r="K85" s="4"/>
      <c r="L85" s="4"/>
      <c r="M85" s="4"/>
      <c r="N85" s="4"/>
    </row>
    <row r="86" spans="1:14" x14ac:dyDescent="0.25">
      <c r="J86" t="s">
        <v>214</v>
      </c>
      <c r="L86" t="s">
        <v>204</v>
      </c>
    </row>
    <row r="88" spans="1:14" x14ac:dyDescent="0.25">
      <c r="A88" s="3" t="s">
        <v>34</v>
      </c>
      <c r="B88" s="3"/>
      <c r="C88" s="3"/>
      <c r="D88" s="3"/>
      <c r="E88" s="3"/>
      <c r="F88" s="3"/>
      <c r="G88" s="3"/>
      <c r="H88" s="3"/>
      <c r="I88" s="3"/>
      <c r="J88" s="4"/>
      <c r="K88" s="4"/>
      <c r="L88" s="4"/>
      <c r="M88" s="4"/>
      <c r="N88" s="4"/>
    </row>
    <row r="89" spans="1:14" x14ac:dyDescent="0.25">
      <c r="B89" t="s">
        <v>26</v>
      </c>
      <c r="I89" t="s">
        <v>53</v>
      </c>
      <c r="J89" t="s">
        <v>56</v>
      </c>
      <c r="K89">
        <v>25</v>
      </c>
      <c r="L89" t="s">
        <v>39</v>
      </c>
    </row>
    <row r="90" spans="1:14" x14ac:dyDescent="0.25">
      <c r="B90" t="s">
        <v>26</v>
      </c>
      <c r="I90" t="s">
        <v>54</v>
      </c>
      <c r="J90" t="s">
        <v>56</v>
      </c>
      <c r="K90">
        <v>2</v>
      </c>
      <c r="L90" t="s">
        <v>39</v>
      </c>
    </row>
    <row r="91" spans="1:14" x14ac:dyDescent="0.25">
      <c r="B91" t="s">
        <v>26</v>
      </c>
      <c r="I91" t="s">
        <v>55</v>
      </c>
      <c r="J91" t="s">
        <v>56</v>
      </c>
      <c r="K91" s="7">
        <v>10.5</v>
      </c>
      <c r="L91" t="s">
        <v>39</v>
      </c>
      <c r="M91" s="7" t="s">
        <v>95</v>
      </c>
    </row>
    <row r="92" spans="1:14" x14ac:dyDescent="0.25">
      <c r="B92" t="s">
        <v>109</v>
      </c>
      <c r="I92" t="s">
        <v>53</v>
      </c>
      <c r="J92" t="s">
        <v>56</v>
      </c>
      <c r="K92">
        <v>17</v>
      </c>
      <c r="L92" t="s">
        <v>39</v>
      </c>
    </row>
    <row r="93" spans="1:14" x14ac:dyDescent="0.25">
      <c r="B93" t="s">
        <v>109</v>
      </c>
      <c r="I93" t="s">
        <v>54</v>
      </c>
      <c r="J93" t="s">
        <v>56</v>
      </c>
      <c r="K93">
        <v>7</v>
      </c>
      <c r="L93" t="s">
        <v>39</v>
      </c>
    </row>
    <row r="94" spans="1:14" x14ac:dyDescent="0.25">
      <c r="B94" t="s">
        <v>109</v>
      </c>
      <c r="I94" t="s">
        <v>55</v>
      </c>
      <c r="J94" t="s">
        <v>56</v>
      </c>
      <c r="K94" s="7">
        <v>15</v>
      </c>
      <c r="L94" t="s">
        <v>39</v>
      </c>
      <c r="M94" s="7" t="s">
        <v>95</v>
      </c>
    </row>
    <row r="95" spans="1:14" x14ac:dyDescent="0.25">
      <c r="B95" t="s">
        <v>114</v>
      </c>
      <c r="I95" t="s">
        <v>53</v>
      </c>
      <c r="J95" t="s">
        <v>56</v>
      </c>
      <c r="K95">
        <v>19</v>
      </c>
      <c r="L95" t="s">
        <v>39</v>
      </c>
    </row>
    <row r="96" spans="1:14" x14ac:dyDescent="0.25">
      <c r="B96" t="s">
        <v>114</v>
      </c>
      <c r="I96" t="s">
        <v>54</v>
      </c>
      <c r="J96" t="s">
        <v>56</v>
      </c>
      <c r="K96">
        <v>10</v>
      </c>
      <c r="L96" t="s">
        <v>39</v>
      </c>
    </row>
    <row r="97" spans="2:13" x14ac:dyDescent="0.25">
      <c r="B97" t="s">
        <v>114</v>
      </c>
      <c r="I97" t="s">
        <v>55</v>
      </c>
      <c r="J97" t="s">
        <v>56</v>
      </c>
      <c r="K97" s="7">
        <v>2</v>
      </c>
      <c r="L97" t="s">
        <v>39</v>
      </c>
      <c r="M97" s="7" t="s">
        <v>95</v>
      </c>
    </row>
    <row r="98" spans="2:13" x14ac:dyDescent="0.25">
      <c r="B98" t="s">
        <v>262</v>
      </c>
      <c r="I98" t="s">
        <v>53</v>
      </c>
      <c r="J98" t="s">
        <v>56</v>
      </c>
      <c r="K98">
        <v>19</v>
      </c>
      <c r="L98" t="s">
        <v>39</v>
      </c>
    </row>
    <row r="99" spans="2:13" x14ac:dyDescent="0.25">
      <c r="B99" t="s">
        <v>262</v>
      </c>
      <c r="I99" t="s">
        <v>54</v>
      </c>
      <c r="J99" t="s">
        <v>56</v>
      </c>
      <c r="K99">
        <v>10</v>
      </c>
      <c r="L99" t="s">
        <v>39</v>
      </c>
    </row>
    <row r="100" spans="2:13" x14ac:dyDescent="0.25">
      <c r="B100" t="s">
        <v>262</v>
      </c>
      <c r="I100" t="s">
        <v>55</v>
      </c>
      <c r="J100" t="s">
        <v>56</v>
      </c>
      <c r="K100" s="7">
        <v>2</v>
      </c>
      <c r="L100" t="s">
        <v>39</v>
      </c>
      <c r="M100" s="7" t="s">
        <v>95</v>
      </c>
    </row>
    <row r="101" spans="2:13" x14ac:dyDescent="0.25">
      <c r="B101" t="s">
        <v>84</v>
      </c>
      <c r="I101" t="s">
        <v>53</v>
      </c>
      <c r="J101" t="s">
        <v>56</v>
      </c>
      <c r="K101">
        <v>11</v>
      </c>
      <c r="L101" t="s">
        <v>39</v>
      </c>
    </row>
    <row r="102" spans="2:13" x14ac:dyDescent="0.25">
      <c r="B102" t="s">
        <v>84</v>
      </c>
      <c r="I102" t="s">
        <v>54</v>
      </c>
      <c r="J102" t="s">
        <v>56</v>
      </c>
      <c r="K102">
        <f>0.5</f>
        <v>0.5</v>
      </c>
      <c r="L102" t="s">
        <v>39</v>
      </c>
    </row>
    <row r="103" spans="2:13" x14ac:dyDescent="0.25">
      <c r="B103" t="s">
        <v>84</v>
      </c>
      <c r="I103" t="s">
        <v>55</v>
      </c>
      <c r="J103" t="s">
        <v>56</v>
      </c>
      <c r="K103" s="7">
        <v>1</v>
      </c>
      <c r="L103" t="s">
        <v>39</v>
      </c>
      <c r="M103" s="7" t="s">
        <v>95</v>
      </c>
    </row>
    <row r="104" spans="2:13" x14ac:dyDescent="0.25">
      <c r="B104" t="s">
        <v>58</v>
      </c>
      <c r="I104" t="s">
        <v>53</v>
      </c>
      <c r="J104" t="s">
        <v>56</v>
      </c>
      <c r="K104">
        <v>11</v>
      </c>
      <c r="L104" t="s">
        <v>39</v>
      </c>
    </row>
    <row r="105" spans="2:13" x14ac:dyDescent="0.25">
      <c r="B105" t="s">
        <v>58</v>
      </c>
      <c r="I105" t="s">
        <v>54</v>
      </c>
      <c r="J105" t="s">
        <v>56</v>
      </c>
      <c r="K105">
        <v>4</v>
      </c>
      <c r="L105" t="s">
        <v>39</v>
      </c>
    </row>
    <row r="106" spans="2:13" x14ac:dyDescent="0.25">
      <c r="B106" t="s">
        <v>58</v>
      </c>
      <c r="I106" t="s">
        <v>55</v>
      </c>
      <c r="J106" t="s">
        <v>56</v>
      </c>
      <c r="K106" s="7">
        <v>5</v>
      </c>
      <c r="L106" t="s">
        <v>39</v>
      </c>
      <c r="M106" s="7" t="s">
        <v>95</v>
      </c>
    </row>
    <row r="107" spans="2:13" x14ac:dyDescent="0.25">
      <c r="B107" t="s">
        <v>224</v>
      </c>
      <c r="I107" t="s">
        <v>53</v>
      </c>
      <c r="J107" t="s">
        <v>56</v>
      </c>
      <c r="K107">
        <v>4</v>
      </c>
      <c r="L107" t="s">
        <v>39</v>
      </c>
    </row>
    <row r="108" spans="2:13" x14ac:dyDescent="0.25">
      <c r="B108" t="s">
        <v>224</v>
      </c>
      <c r="I108" t="s">
        <v>54</v>
      </c>
      <c r="J108" t="s">
        <v>56</v>
      </c>
      <c r="K108">
        <v>1</v>
      </c>
      <c r="L108" t="s">
        <v>39</v>
      </c>
    </row>
    <row r="109" spans="2:13" x14ac:dyDescent="0.25">
      <c r="B109" t="s">
        <v>224</v>
      </c>
      <c r="I109" t="s">
        <v>55</v>
      </c>
      <c r="J109" t="s">
        <v>56</v>
      </c>
      <c r="K109" s="7">
        <v>5</v>
      </c>
      <c r="L109" t="s">
        <v>39</v>
      </c>
      <c r="M109" s="7" t="s">
        <v>95</v>
      </c>
    </row>
    <row r="110" spans="2:13" x14ac:dyDescent="0.25">
      <c r="B110" t="s">
        <v>139</v>
      </c>
      <c r="I110" t="s">
        <v>53</v>
      </c>
      <c r="J110" t="s">
        <v>56</v>
      </c>
      <c r="K110">
        <v>4</v>
      </c>
      <c r="L110" t="s">
        <v>39</v>
      </c>
    </row>
    <row r="111" spans="2:13" x14ac:dyDescent="0.25">
      <c r="B111" t="s">
        <v>139</v>
      </c>
      <c r="I111" t="s">
        <v>54</v>
      </c>
      <c r="J111" t="s">
        <v>56</v>
      </c>
      <c r="K111">
        <v>1</v>
      </c>
      <c r="L111" t="s">
        <v>39</v>
      </c>
    </row>
    <row r="112" spans="2:13" x14ac:dyDescent="0.25">
      <c r="B112" t="s">
        <v>139</v>
      </c>
      <c r="I112" t="s">
        <v>55</v>
      </c>
      <c r="J112" t="s">
        <v>56</v>
      </c>
      <c r="K112" s="7">
        <v>5</v>
      </c>
      <c r="L112" t="s">
        <v>39</v>
      </c>
      <c r="M112" s="7" t="s">
        <v>95</v>
      </c>
    </row>
    <row r="113" spans="1:14" x14ac:dyDescent="0.25">
      <c r="B113" t="s">
        <v>237</v>
      </c>
      <c r="I113" t="s">
        <v>53</v>
      </c>
      <c r="J113" t="s">
        <v>56</v>
      </c>
      <c r="K113">
        <v>13</v>
      </c>
      <c r="L113" t="s">
        <v>39</v>
      </c>
    </row>
    <row r="114" spans="1:14" x14ac:dyDescent="0.25">
      <c r="B114" t="s">
        <v>237</v>
      </c>
      <c r="I114" t="s">
        <v>54</v>
      </c>
      <c r="J114" t="s">
        <v>56</v>
      </c>
      <c r="K114">
        <v>5</v>
      </c>
      <c r="L114" t="s">
        <v>39</v>
      </c>
    </row>
    <row r="115" spans="1:14" x14ac:dyDescent="0.25">
      <c r="B115" t="s">
        <v>237</v>
      </c>
      <c r="I115" t="s">
        <v>55</v>
      </c>
      <c r="J115" t="s">
        <v>56</v>
      </c>
      <c r="K115" s="7">
        <v>5</v>
      </c>
      <c r="L115" t="s">
        <v>39</v>
      </c>
      <c r="M115" s="7" t="s">
        <v>95</v>
      </c>
    </row>
    <row r="116" spans="1:14" x14ac:dyDescent="0.25">
      <c r="B116" t="s">
        <v>118</v>
      </c>
      <c r="I116" t="s">
        <v>53</v>
      </c>
      <c r="J116" t="s">
        <v>56</v>
      </c>
      <c r="K116">
        <v>0</v>
      </c>
      <c r="L116" t="s">
        <v>39</v>
      </c>
    </row>
    <row r="117" spans="1:14" x14ac:dyDescent="0.25">
      <c r="B117" t="s">
        <v>118</v>
      </c>
      <c r="I117" t="s">
        <v>54</v>
      </c>
      <c r="J117" t="s">
        <v>56</v>
      </c>
      <c r="K117">
        <v>5</v>
      </c>
      <c r="L117" t="s">
        <v>39</v>
      </c>
    </row>
    <row r="118" spans="1:14" x14ac:dyDescent="0.25">
      <c r="B118" t="s">
        <v>118</v>
      </c>
      <c r="I118" t="s">
        <v>55</v>
      </c>
      <c r="J118" t="s">
        <v>56</v>
      </c>
      <c r="K118" s="7">
        <v>5</v>
      </c>
      <c r="L118" t="s">
        <v>39</v>
      </c>
      <c r="M118" s="7" t="s">
        <v>95</v>
      </c>
    </row>
    <row r="120" spans="1:14" x14ac:dyDescent="0.25">
      <c r="A120" s="3" t="s">
        <v>61</v>
      </c>
      <c r="B120" s="3"/>
      <c r="C120" s="3"/>
      <c r="D120" s="3"/>
      <c r="E120" s="3"/>
      <c r="F120" s="3"/>
      <c r="G120" s="3"/>
      <c r="H120" s="3"/>
      <c r="I120" s="3"/>
      <c r="J120" s="4"/>
      <c r="K120" s="4"/>
      <c r="L120" s="4"/>
      <c r="M120" s="4"/>
      <c r="N120" s="4"/>
    </row>
    <row r="121" spans="1:14" x14ac:dyDescent="0.25">
      <c r="J121" s="8" t="s">
        <v>88</v>
      </c>
      <c r="K121" s="8">
        <v>0</v>
      </c>
      <c r="L121" s="8" t="s">
        <v>39</v>
      </c>
      <c r="M121" s="8" t="s">
        <v>46</v>
      </c>
    </row>
    <row r="122" spans="1:14" x14ac:dyDescent="0.25">
      <c r="J122" s="8" t="s">
        <v>89</v>
      </c>
      <c r="K122" s="8">
        <v>0</v>
      </c>
      <c r="L122" s="8" t="s">
        <v>39</v>
      </c>
      <c r="M122" s="8" t="s">
        <v>46</v>
      </c>
    </row>
    <row r="123" spans="1:14" x14ac:dyDescent="0.25">
      <c r="A123" s="5" t="s">
        <v>10</v>
      </c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6"/>
      <c r="M123" s="6"/>
      <c r="N123" s="6"/>
    </row>
    <row r="124" spans="1:14" x14ac:dyDescent="0.25">
      <c r="A124" t="s">
        <v>192</v>
      </c>
      <c r="C124" t="s">
        <v>38</v>
      </c>
      <c r="J124" t="s">
        <v>88</v>
      </c>
      <c r="K124">
        <v>79</v>
      </c>
      <c r="L124" t="s">
        <v>39</v>
      </c>
      <c r="N124" t="s">
        <v>98</v>
      </c>
    </row>
    <row r="125" spans="1:14" x14ac:dyDescent="0.25">
      <c r="A125" t="s">
        <v>192</v>
      </c>
      <c r="C125" t="s">
        <v>38</v>
      </c>
      <c r="F125" t="s">
        <v>122</v>
      </c>
      <c r="J125" t="s">
        <v>89</v>
      </c>
      <c r="K125">
        <v>19</v>
      </c>
      <c r="L125" t="s">
        <v>39</v>
      </c>
      <c r="N125" t="s">
        <v>98</v>
      </c>
    </row>
    <row r="126" spans="1:14" x14ac:dyDescent="0.25">
      <c r="A126" t="s">
        <v>192</v>
      </c>
      <c r="C126" t="s">
        <v>38</v>
      </c>
      <c r="F126" t="s">
        <v>123</v>
      </c>
      <c r="J126" t="s">
        <v>89</v>
      </c>
      <c r="K126">
        <v>2</v>
      </c>
      <c r="L126" t="s">
        <v>39</v>
      </c>
      <c r="N126" t="s">
        <v>98</v>
      </c>
    </row>
    <row r="127" spans="1:14" x14ac:dyDescent="0.25">
      <c r="A127" t="s">
        <v>197</v>
      </c>
      <c r="C127" t="s">
        <v>38</v>
      </c>
      <c r="J127" t="s">
        <v>88</v>
      </c>
      <c r="K127">
        <v>100</v>
      </c>
      <c r="L127" t="s">
        <v>39</v>
      </c>
      <c r="N127" t="s">
        <v>98</v>
      </c>
    </row>
    <row r="128" spans="1:14" x14ac:dyDescent="0.25">
      <c r="A128" s="9" t="s">
        <v>193</v>
      </c>
      <c r="B128" s="9"/>
      <c r="C128" s="9" t="s">
        <v>51</v>
      </c>
      <c r="D128" s="9"/>
      <c r="E128" s="9"/>
      <c r="F128" s="9"/>
      <c r="G128" s="9"/>
      <c r="H128" s="9"/>
      <c r="I128" s="9"/>
      <c r="J128" t="s">
        <v>88</v>
      </c>
      <c r="K128" s="9">
        <v>72</v>
      </c>
      <c r="L128" s="9" t="s">
        <v>39</v>
      </c>
      <c r="M128" s="9"/>
      <c r="N128" t="s">
        <v>98</v>
      </c>
    </row>
    <row r="129" spans="1:14" x14ac:dyDescent="0.25">
      <c r="A129" s="9" t="s">
        <v>193</v>
      </c>
      <c r="B129" s="9"/>
      <c r="C129" s="9" t="s">
        <v>51</v>
      </c>
      <c r="D129" s="9"/>
      <c r="E129" s="9"/>
      <c r="F129" s="9" t="s">
        <v>124</v>
      </c>
      <c r="G129" s="9"/>
      <c r="H129" s="9"/>
      <c r="I129" s="9"/>
      <c r="J129" t="s">
        <v>89</v>
      </c>
      <c r="K129" s="9">
        <v>19</v>
      </c>
      <c r="L129" s="9" t="s">
        <v>39</v>
      </c>
      <c r="M129" s="9"/>
      <c r="N129" t="s">
        <v>98</v>
      </c>
    </row>
    <row r="130" spans="1:14" x14ac:dyDescent="0.25">
      <c r="A130" s="9" t="s">
        <v>193</v>
      </c>
      <c r="B130" s="9"/>
      <c r="C130" s="9" t="s">
        <v>51</v>
      </c>
      <c r="D130" s="9"/>
      <c r="E130" s="9"/>
      <c r="F130" s="9" t="s">
        <v>125</v>
      </c>
      <c r="G130" s="9"/>
      <c r="H130" s="9"/>
      <c r="I130" s="9"/>
      <c r="J130" t="s">
        <v>89</v>
      </c>
      <c r="K130" s="9">
        <v>9</v>
      </c>
      <c r="L130" s="9" t="s">
        <v>39</v>
      </c>
      <c r="M130" s="9"/>
      <c r="N130" t="s">
        <v>98</v>
      </c>
    </row>
    <row r="131" spans="1:14" x14ac:dyDescent="0.25">
      <c r="A131" s="9" t="s">
        <v>198</v>
      </c>
      <c r="B131" s="9"/>
      <c r="C131" s="9" t="s">
        <v>51</v>
      </c>
      <c r="D131" s="9"/>
      <c r="E131" s="9"/>
      <c r="F131" s="9"/>
      <c r="G131" s="9"/>
      <c r="H131" s="9"/>
      <c r="I131" s="9"/>
      <c r="J131" t="s">
        <v>88</v>
      </c>
      <c r="K131" s="10">
        <v>91</v>
      </c>
      <c r="L131" s="9" t="s">
        <v>39</v>
      </c>
      <c r="M131" s="9"/>
      <c r="N131" t="s">
        <v>98</v>
      </c>
    </row>
    <row r="132" spans="1:14" x14ac:dyDescent="0.25">
      <c r="A132" s="9" t="s">
        <v>198</v>
      </c>
      <c r="B132" s="9"/>
      <c r="C132" s="9" t="s">
        <v>51</v>
      </c>
      <c r="D132" s="9"/>
      <c r="E132" s="9"/>
      <c r="F132" s="9" t="s">
        <v>125</v>
      </c>
      <c r="G132" s="9"/>
      <c r="H132" s="9"/>
      <c r="I132" s="9"/>
      <c r="J132" t="s">
        <v>89</v>
      </c>
      <c r="K132" s="10">
        <v>9</v>
      </c>
      <c r="L132" s="10" t="s">
        <v>39</v>
      </c>
      <c r="M132" s="9"/>
      <c r="N132" t="s">
        <v>98</v>
      </c>
    </row>
    <row r="133" spans="1:14" x14ac:dyDescent="0.25">
      <c r="A133" t="s">
        <v>194</v>
      </c>
      <c r="B133" s="9"/>
      <c r="C133" s="10" t="s">
        <v>96</v>
      </c>
      <c r="D133" s="9"/>
      <c r="E133" s="9"/>
      <c r="F133" s="9"/>
      <c r="G133" s="9"/>
      <c r="H133" s="9"/>
      <c r="I133" s="9"/>
      <c r="J133" t="s">
        <v>88</v>
      </c>
      <c r="K133" s="10">
        <v>80</v>
      </c>
      <c r="L133" s="10" t="s">
        <v>39</v>
      </c>
      <c r="M133" s="9"/>
      <c r="N133" t="s">
        <v>98</v>
      </c>
    </row>
    <row r="134" spans="1:14" x14ac:dyDescent="0.25">
      <c r="A134" t="s">
        <v>194</v>
      </c>
      <c r="B134" s="9"/>
      <c r="C134" s="10" t="s">
        <v>96</v>
      </c>
      <c r="D134" s="9"/>
      <c r="E134" s="9"/>
      <c r="F134" s="10" t="s">
        <v>126</v>
      </c>
      <c r="G134" s="9"/>
      <c r="H134" s="9"/>
      <c r="I134" s="9"/>
      <c r="J134" t="s">
        <v>89</v>
      </c>
      <c r="K134" s="10">
        <v>20</v>
      </c>
      <c r="L134" s="10" t="s">
        <v>39</v>
      </c>
      <c r="M134" s="9"/>
      <c r="N134" t="s">
        <v>98</v>
      </c>
    </row>
    <row r="135" spans="1:14" x14ac:dyDescent="0.25">
      <c r="A135" t="s">
        <v>199</v>
      </c>
      <c r="B135" s="9"/>
      <c r="C135" s="10" t="s">
        <v>96</v>
      </c>
      <c r="D135" s="9"/>
      <c r="E135" s="9"/>
      <c r="F135" s="10"/>
      <c r="G135" s="9"/>
      <c r="H135" s="9"/>
      <c r="I135" s="9"/>
      <c r="J135" t="s">
        <v>88</v>
      </c>
      <c r="K135" s="10">
        <v>100</v>
      </c>
      <c r="L135" s="10" t="s">
        <v>39</v>
      </c>
      <c r="M135" s="9"/>
      <c r="N135" t="s">
        <v>98</v>
      </c>
    </row>
    <row r="136" spans="1:14" x14ac:dyDescent="0.25">
      <c r="A136" t="s">
        <v>195</v>
      </c>
      <c r="B136" s="9"/>
      <c r="C136" s="10" t="s">
        <v>97</v>
      </c>
      <c r="D136" s="9"/>
      <c r="E136" s="9"/>
      <c r="F136" s="9"/>
      <c r="G136" s="9"/>
      <c r="H136" s="9"/>
      <c r="I136" s="9"/>
      <c r="J136" t="s">
        <v>88</v>
      </c>
      <c r="K136" s="10">
        <v>53</v>
      </c>
      <c r="L136" s="10" t="s">
        <v>39</v>
      </c>
      <c r="M136" s="9"/>
      <c r="N136" t="s">
        <v>98</v>
      </c>
    </row>
    <row r="137" spans="1:14" x14ac:dyDescent="0.25">
      <c r="A137" t="s">
        <v>195</v>
      </c>
      <c r="B137" s="9"/>
      <c r="C137" s="10" t="s">
        <v>97</v>
      </c>
      <c r="D137" s="9"/>
      <c r="E137" s="9"/>
      <c r="F137" s="10" t="s">
        <v>127</v>
      </c>
      <c r="G137" s="9"/>
      <c r="H137" s="9"/>
      <c r="I137" s="9"/>
      <c r="J137" t="s">
        <v>89</v>
      </c>
      <c r="K137" s="10">
        <v>20</v>
      </c>
      <c r="L137" s="10" t="s">
        <v>39</v>
      </c>
      <c r="M137" s="9"/>
      <c r="N137" t="s">
        <v>98</v>
      </c>
    </row>
    <row r="138" spans="1:14" x14ac:dyDescent="0.25">
      <c r="A138" t="s">
        <v>195</v>
      </c>
      <c r="B138" s="9"/>
      <c r="C138" s="10" t="s">
        <v>97</v>
      </c>
      <c r="D138" s="9"/>
      <c r="E138" s="9"/>
      <c r="F138" s="10" t="s">
        <v>191</v>
      </c>
      <c r="G138" s="9"/>
      <c r="H138" s="9"/>
      <c r="I138" s="9"/>
      <c r="J138" t="s">
        <v>89</v>
      </c>
      <c r="K138" s="10">
        <v>27</v>
      </c>
      <c r="L138" s="10" t="s">
        <v>39</v>
      </c>
      <c r="M138" s="9"/>
      <c r="N138" t="s">
        <v>98</v>
      </c>
    </row>
    <row r="139" spans="1:14" x14ac:dyDescent="0.25">
      <c r="A139" t="s">
        <v>200</v>
      </c>
      <c r="B139" s="9"/>
      <c r="C139" s="10" t="s">
        <v>97</v>
      </c>
      <c r="D139" s="9"/>
      <c r="E139" s="9"/>
      <c r="F139" s="10"/>
      <c r="G139" s="9"/>
      <c r="H139" s="9"/>
      <c r="I139" s="9"/>
      <c r="J139" t="s">
        <v>88</v>
      </c>
      <c r="K139" s="10">
        <v>73</v>
      </c>
      <c r="L139" s="10" t="s">
        <v>39</v>
      </c>
      <c r="M139" s="9"/>
      <c r="N139" t="s">
        <v>98</v>
      </c>
    </row>
    <row r="140" spans="1:14" x14ac:dyDescent="0.25">
      <c r="A140" t="s">
        <v>200</v>
      </c>
      <c r="B140" s="9"/>
      <c r="C140" s="10" t="s">
        <v>97</v>
      </c>
      <c r="D140" s="9"/>
      <c r="E140" s="9"/>
      <c r="F140" s="10" t="s">
        <v>191</v>
      </c>
      <c r="G140" s="9"/>
      <c r="H140" s="9"/>
      <c r="I140" s="9"/>
      <c r="J140" t="s">
        <v>89</v>
      </c>
      <c r="K140" s="10">
        <v>27</v>
      </c>
      <c r="L140" s="10" t="s">
        <v>39</v>
      </c>
      <c r="M140" s="9"/>
      <c r="N140" t="s">
        <v>98</v>
      </c>
    </row>
    <row r="141" spans="1:14" x14ac:dyDescent="0.25">
      <c r="A141" s="5" t="s">
        <v>11</v>
      </c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6"/>
      <c r="M141" s="6"/>
      <c r="N141" s="6"/>
    </row>
    <row r="142" spans="1:14" x14ac:dyDescent="0.25">
      <c r="A142" s="18" t="s">
        <v>105</v>
      </c>
      <c r="B142" s="9"/>
      <c r="C142" s="10" t="s">
        <v>111</v>
      </c>
      <c r="D142" s="9"/>
      <c r="E142" s="9"/>
      <c r="F142" s="10"/>
      <c r="G142" s="9"/>
      <c r="H142" s="9"/>
      <c r="I142" s="9"/>
      <c r="J142" t="s">
        <v>88</v>
      </c>
      <c r="K142" s="12">
        <v>100</v>
      </c>
      <c r="L142" s="10" t="s">
        <v>39</v>
      </c>
      <c r="M142" s="11" t="s">
        <v>110</v>
      </c>
    </row>
    <row r="143" spans="1:14" x14ac:dyDescent="0.25">
      <c r="A143" s="18" t="s">
        <v>106</v>
      </c>
      <c r="B143" s="9"/>
      <c r="C143" s="10" t="s">
        <v>111</v>
      </c>
      <c r="D143" s="9"/>
      <c r="E143" s="9"/>
      <c r="F143" s="10"/>
      <c r="G143" s="9"/>
      <c r="H143" s="9"/>
      <c r="I143" s="9"/>
      <c r="J143" t="s">
        <v>88</v>
      </c>
      <c r="K143" s="10">
        <v>50</v>
      </c>
      <c r="L143" s="10" t="s">
        <v>39</v>
      </c>
      <c r="M143" s="9"/>
    </row>
    <row r="144" spans="1:14" x14ac:dyDescent="0.25">
      <c r="A144" s="18" t="s">
        <v>106</v>
      </c>
      <c r="B144" s="9"/>
      <c r="C144" s="10" t="s">
        <v>111</v>
      </c>
      <c r="D144" s="9"/>
      <c r="E144" s="9"/>
      <c r="F144" s="10" t="s">
        <v>128</v>
      </c>
      <c r="G144" s="9"/>
      <c r="H144" s="9"/>
      <c r="I144" s="9"/>
      <c r="J144" t="s">
        <v>89</v>
      </c>
      <c r="K144" s="10">
        <v>50</v>
      </c>
      <c r="L144" s="10" t="s">
        <v>39</v>
      </c>
      <c r="M144" s="9"/>
    </row>
    <row r="145" spans="1:14" x14ac:dyDescent="0.25">
      <c r="A145" s="18" t="s">
        <v>226</v>
      </c>
      <c r="B145" s="9"/>
      <c r="C145" s="12" t="s">
        <v>112</v>
      </c>
      <c r="D145" s="9"/>
      <c r="E145" s="9"/>
      <c r="F145" s="10"/>
      <c r="G145" s="9"/>
      <c r="H145" s="9"/>
      <c r="I145" s="9"/>
      <c r="J145" t="s">
        <v>88</v>
      </c>
      <c r="K145" s="19">
        <v>20</v>
      </c>
      <c r="L145" s="10" t="s">
        <v>39</v>
      </c>
      <c r="M145" s="11" t="s">
        <v>227</v>
      </c>
    </row>
    <row r="146" spans="1:14" x14ac:dyDescent="0.25">
      <c r="A146" s="18" t="s">
        <v>107</v>
      </c>
      <c r="B146" s="9"/>
      <c r="C146" s="10" t="s">
        <v>112</v>
      </c>
      <c r="D146" s="9"/>
      <c r="E146" s="9"/>
      <c r="F146" s="10"/>
      <c r="G146" s="9"/>
      <c r="H146" s="9"/>
      <c r="I146" s="9"/>
      <c r="J146" t="s">
        <v>88</v>
      </c>
      <c r="K146" s="19">
        <v>19</v>
      </c>
      <c r="L146" s="10" t="s">
        <v>39</v>
      </c>
      <c r="M146" s="20"/>
    </row>
    <row r="147" spans="1:14" x14ac:dyDescent="0.25">
      <c r="A147" s="18" t="s">
        <v>107</v>
      </c>
      <c r="B147" s="9"/>
      <c r="C147" s="10" t="s">
        <v>112</v>
      </c>
      <c r="D147" s="9"/>
      <c r="E147" s="9"/>
      <c r="F147" t="s">
        <v>205</v>
      </c>
      <c r="G147" s="9"/>
      <c r="H147" s="9"/>
      <c r="I147" s="9"/>
      <c r="J147" t="s">
        <v>89</v>
      </c>
      <c r="K147" s="29">
        <f>0.02*0.5*100/(844/1000)/0.9</f>
        <v>1.3164823591363877</v>
      </c>
      <c r="L147" s="10" t="s">
        <v>39</v>
      </c>
      <c r="M147" s="20" t="s">
        <v>206</v>
      </c>
      <c r="N147" s="10" t="s">
        <v>207</v>
      </c>
    </row>
    <row r="148" spans="1:14" x14ac:dyDescent="0.25">
      <c r="A148" s="5" t="s">
        <v>12</v>
      </c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6"/>
      <c r="M148" s="6"/>
      <c r="N148" s="6"/>
    </row>
    <row r="149" spans="1:14" x14ac:dyDescent="0.25">
      <c r="A149" s="18" t="s">
        <v>147</v>
      </c>
      <c r="C149" s="10" t="s">
        <v>148</v>
      </c>
      <c r="J149" t="s">
        <v>88</v>
      </c>
      <c r="K149" s="19">
        <v>100</v>
      </c>
      <c r="L149" s="18" t="s">
        <v>39</v>
      </c>
    </row>
    <row r="150" spans="1:14" x14ac:dyDescent="0.25">
      <c r="A150" s="18" t="s">
        <v>153</v>
      </c>
      <c r="C150" s="10" t="s">
        <v>159</v>
      </c>
      <c r="J150" t="s">
        <v>88</v>
      </c>
      <c r="K150" s="19">
        <v>100</v>
      </c>
      <c r="L150" s="18" t="s">
        <v>39</v>
      </c>
    </row>
    <row r="151" spans="1:14" x14ac:dyDescent="0.25">
      <c r="A151" s="18" t="s">
        <v>149</v>
      </c>
      <c r="C151" s="10" t="s">
        <v>155</v>
      </c>
      <c r="J151" t="s">
        <v>88</v>
      </c>
      <c r="K151" s="19">
        <v>100</v>
      </c>
      <c r="L151" s="18" t="s">
        <v>39</v>
      </c>
    </row>
    <row r="152" spans="1:14" x14ac:dyDescent="0.25">
      <c r="A152" s="18" t="s">
        <v>150</v>
      </c>
      <c r="C152" s="10" t="s">
        <v>156</v>
      </c>
      <c r="J152" t="s">
        <v>88</v>
      </c>
      <c r="K152" s="19">
        <v>100</v>
      </c>
      <c r="L152" s="18" t="s">
        <v>39</v>
      </c>
    </row>
    <row r="153" spans="1:14" x14ac:dyDescent="0.25">
      <c r="A153" s="18" t="s">
        <v>151</v>
      </c>
      <c r="C153" s="10" t="s">
        <v>157</v>
      </c>
      <c r="J153" t="s">
        <v>88</v>
      </c>
      <c r="K153" s="19">
        <v>100</v>
      </c>
      <c r="L153" s="18" t="s">
        <v>39</v>
      </c>
    </row>
    <row r="154" spans="1:14" x14ac:dyDescent="0.25">
      <c r="A154" s="18" t="s">
        <v>152</v>
      </c>
      <c r="C154" s="10" t="s">
        <v>154</v>
      </c>
      <c r="J154" t="s">
        <v>88</v>
      </c>
      <c r="K154" s="19">
        <v>100</v>
      </c>
      <c r="L154" s="18" t="s">
        <v>39</v>
      </c>
    </row>
    <row r="155" spans="1:14" x14ac:dyDescent="0.25">
      <c r="A155" s="18" t="s">
        <v>113</v>
      </c>
      <c r="B155" s="9"/>
      <c r="C155" s="10" t="s">
        <v>115</v>
      </c>
      <c r="D155" s="9"/>
      <c r="E155" s="9"/>
      <c r="F155" s="10"/>
      <c r="G155" s="9"/>
      <c r="H155" s="9"/>
      <c r="I155" s="9"/>
      <c r="J155" t="s">
        <v>88</v>
      </c>
      <c r="K155" s="19">
        <v>100</v>
      </c>
      <c r="L155" s="18" t="s">
        <v>39</v>
      </c>
      <c r="M155" s="11"/>
    </row>
    <row r="156" spans="1:14" x14ac:dyDescent="0.25">
      <c r="A156" s="18" t="s">
        <v>116</v>
      </c>
      <c r="B156" s="9"/>
      <c r="C156" s="10" t="s">
        <v>117</v>
      </c>
      <c r="D156" s="9"/>
      <c r="E156" s="9"/>
      <c r="F156" s="10"/>
      <c r="G156" s="9"/>
      <c r="H156" s="9"/>
      <c r="I156" s="9"/>
      <c r="J156" t="s">
        <v>88</v>
      </c>
      <c r="K156" s="19">
        <v>100</v>
      </c>
      <c r="L156" s="18" t="s">
        <v>39</v>
      </c>
      <c r="M156" s="11"/>
    </row>
    <row r="157" spans="1:14" x14ac:dyDescent="0.25">
      <c r="A157" s="18" t="s">
        <v>160</v>
      </c>
      <c r="B157" s="9"/>
      <c r="C157" s="10" t="s">
        <v>158</v>
      </c>
      <c r="D157" s="9"/>
      <c r="E157" s="9"/>
      <c r="F157" s="10"/>
      <c r="G157" s="9"/>
      <c r="H157" s="9"/>
      <c r="I157" s="9"/>
      <c r="J157" t="s">
        <v>88</v>
      </c>
      <c r="K157" s="19">
        <v>100</v>
      </c>
      <c r="L157" s="18" t="s">
        <v>39</v>
      </c>
      <c r="M157" s="11"/>
    </row>
    <row r="158" spans="1:14" x14ac:dyDescent="0.25">
      <c r="A158" s="5" t="s">
        <v>13</v>
      </c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6"/>
      <c r="M158" s="6"/>
      <c r="N158" s="6"/>
    </row>
    <row r="159" spans="1:14" x14ac:dyDescent="0.25">
      <c r="A159" s="18" t="s">
        <v>259</v>
      </c>
      <c r="C159" s="10" t="s">
        <v>256</v>
      </c>
      <c r="J159" t="s">
        <v>88</v>
      </c>
      <c r="K159" s="18">
        <v>100</v>
      </c>
      <c r="L159" s="18" t="s">
        <v>39</v>
      </c>
    </row>
    <row r="160" spans="1:14" x14ac:dyDescent="0.25">
      <c r="A160" s="18" t="s">
        <v>260</v>
      </c>
      <c r="C160" s="10" t="s">
        <v>256</v>
      </c>
      <c r="J160" t="s">
        <v>88</v>
      </c>
      <c r="K160" s="18">
        <v>65</v>
      </c>
      <c r="L160" s="18" t="s">
        <v>39</v>
      </c>
      <c r="N160" t="s">
        <v>98</v>
      </c>
    </row>
    <row r="161" spans="1:14" x14ac:dyDescent="0.25">
      <c r="A161" s="18" t="s">
        <v>260</v>
      </c>
      <c r="C161" s="10" t="s">
        <v>256</v>
      </c>
      <c r="F161" s="20" t="s">
        <v>257</v>
      </c>
      <c r="J161" t="s">
        <v>89</v>
      </c>
      <c r="K161" s="18">
        <v>35</v>
      </c>
      <c r="L161" s="18" t="s">
        <v>39</v>
      </c>
      <c r="N161" t="s">
        <v>98</v>
      </c>
    </row>
    <row r="162" spans="1:14" x14ac:dyDescent="0.25">
      <c r="A162" s="18" t="s">
        <v>261</v>
      </c>
      <c r="C162" s="10" t="s">
        <v>256</v>
      </c>
      <c r="J162" t="s">
        <v>88</v>
      </c>
      <c r="K162" s="18">
        <v>22</v>
      </c>
      <c r="L162" s="18" t="s">
        <v>39</v>
      </c>
      <c r="N162" t="s">
        <v>98</v>
      </c>
    </row>
    <row r="163" spans="1:14" x14ac:dyDescent="0.25">
      <c r="A163" s="18" t="s">
        <v>261</v>
      </c>
      <c r="C163" s="10" t="s">
        <v>256</v>
      </c>
      <c r="F163" s="20" t="s">
        <v>257</v>
      </c>
      <c r="J163" t="s">
        <v>89</v>
      </c>
      <c r="K163" s="18">
        <v>35</v>
      </c>
      <c r="L163" s="18" t="s">
        <v>39</v>
      </c>
      <c r="N163" t="s">
        <v>98</v>
      </c>
    </row>
    <row r="164" spans="1:14" x14ac:dyDescent="0.25">
      <c r="A164" s="18" t="s">
        <v>263</v>
      </c>
      <c r="C164" s="10" t="s">
        <v>265</v>
      </c>
      <c r="J164" t="s">
        <v>88</v>
      </c>
      <c r="K164" s="18">
        <v>100</v>
      </c>
      <c r="L164" s="18" t="s">
        <v>39</v>
      </c>
    </row>
    <row r="165" spans="1:14" x14ac:dyDescent="0.25">
      <c r="A165" s="5" t="s">
        <v>14</v>
      </c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6"/>
      <c r="M165" s="6"/>
      <c r="N165" s="6"/>
    </row>
    <row r="166" spans="1:14" x14ac:dyDescent="0.25">
      <c r="A166" s="11" t="s">
        <v>65</v>
      </c>
      <c r="B166" s="11"/>
      <c r="C166" s="11"/>
      <c r="D166" s="11" t="s">
        <v>82</v>
      </c>
      <c r="E166" s="11" t="s">
        <v>62</v>
      </c>
      <c r="F166" s="11"/>
      <c r="G166" s="11"/>
      <c r="H166" s="11"/>
      <c r="I166" s="11"/>
      <c r="J166" t="s">
        <v>88</v>
      </c>
      <c r="K166" s="13">
        <f>100-K167</f>
        <v>90.75</v>
      </c>
      <c r="L166" s="11" t="s">
        <v>39</v>
      </c>
      <c r="M166" t="s">
        <v>74</v>
      </c>
      <c r="N166" s="9" t="s">
        <v>99</v>
      </c>
    </row>
    <row r="167" spans="1:14" x14ac:dyDescent="0.25">
      <c r="A167" s="11" t="s">
        <v>65</v>
      </c>
      <c r="B167" s="11"/>
      <c r="C167" s="11"/>
      <c r="D167" s="11" t="s">
        <v>82</v>
      </c>
      <c r="E167" s="11" t="s">
        <v>62</v>
      </c>
      <c r="F167" s="11" t="s">
        <v>63</v>
      </c>
      <c r="G167" s="11"/>
      <c r="H167" s="11"/>
      <c r="I167" s="11"/>
      <c r="J167" t="s">
        <v>89</v>
      </c>
      <c r="K167" s="13">
        <f>(0.042-0.005)/0.4*100</f>
        <v>9.2500000000000018</v>
      </c>
      <c r="L167" s="11" t="s">
        <v>39</v>
      </c>
      <c r="N167" s="9" t="s">
        <v>99</v>
      </c>
    </row>
    <row r="168" spans="1:14" x14ac:dyDescent="0.25">
      <c r="A168" s="11" t="s">
        <v>64</v>
      </c>
      <c r="B168" s="11"/>
      <c r="C168" s="11"/>
      <c r="D168" s="11" t="s">
        <v>82</v>
      </c>
      <c r="E168" s="11" t="s">
        <v>62</v>
      </c>
      <c r="F168" s="11"/>
      <c r="G168" s="11"/>
      <c r="H168" s="11"/>
      <c r="I168" s="11"/>
      <c r="J168" t="s">
        <v>88</v>
      </c>
      <c r="K168" s="13">
        <f>100-K169</f>
        <v>93.25</v>
      </c>
      <c r="L168" s="11" t="s">
        <v>39</v>
      </c>
      <c r="M168" t="s">
        <v>75</v>
      </c>
      <c r="N168" s="9" t="s">
        <v>99</v>
      </c>
    </row>
    <row r="169" spans="1:14" x14ac:dyDescent="0.25">
      <c r="A169" s="11" t="s">
        <v>64</v>
      </c>
      <c r="B169" s="11"/>
      <c r="C169" s="11"/>
      <c r="D169" s="11" t="s">
        <v>82</v>
      </c>
      <c r="E169" s="11" t="s">
        <v>62</v>
      </c>
      <c r="F169" s="11" t="s">
        <v>63</v>
      </c>
      <c r="G169" s="11"/>
      <c r="H169" s="11"/>
      <c r="I169" s="11"/>
      <c r="J169" t="s">
        <v>89</v>
      </c>
      <c r="K169" s="13">
        <f>(0.042-0.015)/0.4*100</f>
        <v>6.75</v>
      </c>
      <c r="L169" s="11" t="s">
        <v>39</v>
      </c>
      <c r="N169" s="9" t="s">
        <v>99</v>
      </c>
    </row>
    <row r="170" spans="1:14" x14ac:dyDescent="0.25">
      <c r="A170" s="11" t="s">
        <v>66</v>
      </c>
      <c r="B170" s="11"/>
      <c r="C170" s="11"/>
      <c r="D170" s="11" t="s">
        <v>82</v>
      </c>
      <c r="E170" s="11" t="s">
        <v>62</v>
      </c>
      <c r="F170" s="11"/>
      <c r="G170" s="11"/>
      <c r="H170" s="11"/>
      <c r="I170" s="11"/>
      <c r="J170" t="s">
        <v>88</v>
      </c>
      <c r="K170" s="13">
        <f>100-K171</f>
        <v>93.25</v>
      </c>
      <c r="L170" s="11" t="s">
        <v>39</v>
      </c>
      <c r="M170" t="s">
        <v>76</v>
      </c>
      <c r="N170" s="9" t="s">
        <v>99</v>
      </c>
    </row>
    <row r="171" spans="1:14" x14ac:dyDescent="0.25">
      <c r="A171" s="11" t="s">
        <v>66</v>
      </c>
      <c r="B171" s="11"/>
      <c r="C171" s="11"/>
      <c r="D171" s="11" t="s">
        <v>82</v>
      </c>
      <c r="E171" s="11" t="s">
        <v>62</v>
      </c>
      <c r="F171" s="11" t="s">
        <v>63</v>
      </c>
      <c r="G171" s="11"/>
      <c r="H171" s="11"/>
      <c r="I171" s="11"/>
      <c r="J171" t="s">
        <v>89</v>
      </c>
      <c r="K171" s="13">
        <f>(0.042-0.015)/0.4*100</f>
        <v>6.75</v>
      </c>
      <c r="L171" s="11" t="s">
        <v>39</v>
      </c>
      <c r="N171" s="9" t="s">
        <v>99</v>
      </c>
    </row>
    <row r="172" spans="1:14" x14ac:dyDescent="0.25">
      <c r="A172" s="11" t="s">
        <v>67</v>
      </c>
      <c r="B172" s="11"/>
      <c r="C172" s="11"/>
      <c r="D172" s="11" t="s">
        <v>82</v>
      </c>
      <c r="E172" s="11" t="s">
        <v>62</v>
      </c>
      <c r="F172" s="11"/>
      <c r="G172" s="11"/>
      <c r="H172" s="11"/>
      <c r="I172" s="11"/>
      <c r="J172" t="s">
        <v>88</v>
      </c>
      <c r="K172" s="13">
        <f>(100-K173)*0.1</f>
        <v>9.3250000000000011</v>
      </c>
      <c r="L172" s="11" t="s">
        <v>39</v>
      </c>
      <c r="M172" t="s">
        <v>83</v>
      </c>
      <c r="N172" s="9" t="s">
        <v>99</v>
      </c>
    </row>
    <row r="173" spans="1:14" x14ac:dyDescent="0.25">
      <c r="A173" s="11" t="s">
        <v>67</v>
      </c>
      <c r="B173" s="11"/>
      <c r="C173" s="11"/>
      <c r="D173" s="11" t="s">
        <v>82</v>
      </c>
      <c r="E173" s="11" t="s">
        <v>62</v>
      </c>
      <c r="F173" s="11" t="s">
        <v>63</v>
      </c>
      <c r="G173" s="11"/>
      <c r="H173" s="11"/>
      <c r="I173" s="11"/>
      <c r="J173" t="s">
        <v>89</v>
      </c>
      <c r="K173" s="13">
        <f>(0.042-0.015)/0.4*100</f>
        <v>6.75</v>
      </c>
      <c r="L173" s="11" t="s">
        <v>39</v>
      </c>
      <c r="N173" s="9" t="s">
        <v>99</v>
      </c>
    </row>
    <row r="174" spans="1:14" x14ac:dyDescent="0.25">
      <c r="A174" s="11" t="s">
        <v>67</v>
      </c>
      <c r="B174" s="11"/>
      <c r="C174" s="11"/>
      <c r="D174" s="11" t="s">
        <v>82</v>
      </c>
      <c r="E174" s="11" t="s">
        <v>62</v>
      </c>
      <c r="F174" s="11" t="s">
        <v>73</v>
      </c>
      <c r="G174" s="11"/>
      <c r="H174" s="11"/>
      <c r="I174" s="11"/>
      <c r="J174" t="s">
        <v>89</v>
      </c>
      <c r="K174" s="13">
        <f>(100-K173)*0.9</f>
        <v>83.924999999999997</v>
      </c>
      <c r="L174" s="11" t="s">
        <v>39</v>
      </c>
      <c r="N174" s="9" t="s">
        <v>99</v>
      </c>
    </row>
    <row r="175" spans="1:14" x14ac:dyDescent="0.25">
      <c r="A175" s="11" t="s">
        <v>71</v>
      </c>
      <c r="B175" s="11"/>
      <c r="C175" s="11"/>
      <c r="D175" s="11" t="s">
        <v>82</v>
      </c>
      <c r="E175" s="11" t="s">
        <v>63</v>
      </c>
      <c r="F175" s="11"/>
      <c r="G175" s="11"/>
      <c r="H175" s="11"/>
      <c r="I175" s="11"/>
      <c r="J175" t="s">
        <v>88</v>
      </c>
      <c r="K175" s="11">
        <f>1/(0.1/0.4)*100</f>
        <v>400</v>
      </c>
      <c r="L175" s="11" t="s">
        <v>39</v>
      </c>
      <c r="M175" t="s">
        <v>81</v>
      </c>
      <c r="N175" s="9" t="s">
        <v>99</v>
      </c>
    </row>
    <row r="176" spans="1:14" x14ac:dyDescent="0.25">
      <c r="A176" s="12" t="s">
        <v>72</v>
      </c>
      <c r="B176" s="11"/>
      <c r="C176" s="11"/>
      <c r="D176" s="11" t="s">
        <v>82</v>
      </c>
      <c r="E176" s="11" t="s">
        <v>63</v>
      </c>
      <c r="F176" s="11"/>
      <c r="G176" s="11"/>
      <c r="H176" s="11"/>
      <c r="I176" s="11"/>
      <c r="J176" t="s">
        <v>88</v>
      </c>
      <c r="K176" s="13">
        <f>1/(0.12/0.4)*100</f>
        <v>333.33333333333337</v>
      </c>
      <c r="L176" s="11" t="s">
        <v>39</v>
      </c>
      <c r="M176" t="s">
        <v>77</v>
      </c>
      <c r="N176" s="9" t="s">
        <v>99</v>
      </c>
    </row>
    <row r="177" spans="1:14" x14ac:dyDescent="0.25">
      <c r="A177" s="11" t="s">
        <v>69</v>
      </c>
      <c r="B177" s="11"/>
      <c r="C177" s="11"/>
      <c r="D177" s="11" t="s">
        <v>82</v>
      </c>
      <c r="E177" s="11" t="s">
        <v>63</v>
      </c>
      <c r="F177" s="11"/>
      <c r="G177" s="11"/>
      <c r="H177" s="11"/>
      <c r="I177" s="11"/>
      <c r="J177" t="s">
        <v>88</v>
      </c>
      <c r="K177" s="13">
        <f>1/(0.13/0.4)*100</f>
        <v>307.69230769230768</v>
      </c>
      <c r="L177" s="11" t="s">
        <v>39</v>
      </c>
      <c r="M177" t="s">
        <v>78</v>
      </c>
      <c r="N177" s="9" t="s">
        <v>99</v>
      </c>
    </row>
    <row r="178" spans="1:14" x14ac:dyDescent="0.25">
      <c r="A178" s="11" t="s">
        <v>70</v>
      </c>
      <c r="B178" s="11"/>
      <c r="C178" s="11"/>
      <c r="D178" s="11" t="s">
        <v>82</v>
      </c>
      <c r="E178" s="11" t="s">
        <v>63</v>
      </c>
      <c r="F178" s="11"/>
      <c r="G178" s="11"/>
      <c r="H178" s="11"/>
      <c r="I178" s="11"/>
      <c r="J178" t="s">
        <v>88</v>
      </c>
      <c r="K178" s="11">
        <f>1/(0.4/0.4)*100</f>
        <v>100</v>
      </c>
      <c r="L178" s="11" t="s">
        <v>39</v>
      </c>
      <c r="M178" t="s">
        <v>79</v>
      </c>
      <c r="N178" s="9" t="s">
        <v>99</v>
      </c>
    </row>
    <row r="179" spans="1:14" x14ac:dyDescent="0.25">
      <c r="A179" s="11" t="s">
        <v>68</v>
      </c>
      <c r="B179" s="11"/>
      <c r="C179" s="11"/>
      <c r="D179" s="11" t="s">
        <v>82</v>
      </c>
      <c r="E179" s="11" t="s">
        <v>63</v>
      </c>
      <c r="F179" s="11"/>
      <c r="G179" s="11"/>
      <c r="H179" s="11"/>
      <c r="I179" s="11"/>
      <c r="J179" t="s">
        <v>88</v>
      </c>
      <c r="K179" s="13">
        <f>1/((0.4-0.8)/(0.01-0.4)+1)*100</f>
        <v>49.367088607594937</v>
      </c>
      <c r="L179" s="11" t="s">
        <v>39</v>
      </c>
      <c r="M179" t="s">
        <v>80</v>
      </c>
      <c r="N179" s="9" t="s">
        <v>99</v>
      </c>
    </row>
    <row r="180" spans="1:14" x14ac:dyDescent="0.25">
      <c r="A180" s="11" t="s">
        <v>68</v>
      </c>
      <c r="B180" s="9"/>
      <c r="C180" s="9"/>
      <c r="D180" s="11" t="s">
        <v>82</v>
      </c>
      <c r="E180" s="11" t="s">
        <v>63</v>
      </c>
      <c r="F180" s="11" t="s">
        <v>85</v>
      </c>
      <c r="G180" s="9"/>
      <c r="H180" s="9"/>
      <c r="I180" s="9"/>
      <c r="J180" t="s">
        <v>89</v>
      </c>
      <c r="K180" s="15">
        <f>1/((0.01-0.4)/(0.4-0.8)+1)*100</f>
        <v>50.632911392405056</v>
      </c>
      <c r="L180" s="11" t="s">
        <v>39</v>
      </c>
      <c r="M180" s="9" t="s">
        <v>86</v>
      </c>
      <c r="N180" s="9" t="s">
        <v>99</v>
      </c>
    </row>
    <row r="181" spans="1:14" x14ac:dyDescent="0.25">
      <c r="A181" s="5" t="s">
        <v>23</v>
      </c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6"/>
      <c r="M181" s="6"/>
      <c r="N181" s="6"/>
    </row>
    <row r="182" spans="1:14" x14ac:dyDescent="0.25">
      <c r="A182" s="9" t="s">
        <v>57</v>
      </c>
      <c r="B182" s="9"/>
      <c r="C182" s="9"/>
      <c r="D182" s="9" t="s">
        <v>60</v>
      </c>
      <c r="E182" s="9" t="s">
        <v>58</v>
      </c>
      <c r="F182" s="9"/>
      <c r="G182" s="9"/>
      <c r="H182" s="9"/>
      <c r="I182" s="9"/>
      <c r="J182" t="s">
        <v>88</v>
      </c>
      <c r="K182" s="10">
        <v>73</v>
      </c>
      <c r="L182" s="9" t="s">
        <v>39</v>
      </c>
      <c r="M182" s="9"/>
      <c r="N182" s="9" t="s">
        <v>98</v>
      </c>
    </row>
    <row r="183" spans="1:14" x14ac:dyDescent="0.25">
      <c r="A183" s="9" t="s">
        <v>57</v>
      </c>
      <c r="B183" s="9"/>
      <c r="C183" s="9"/>
      <c r="D183" s="9" t="s">
        <v>60</v>
      </c>
      <c r="E183" s="9" t="s">
        <v>58</v>
      </c>
      <c r="F183" s="9" t="s">
        <v>129</v>
      </c>
      <c r="G183" s="9"/>
      <c r="H183" s="9"/>
      <c r="I183" s="9"/>
      <c r="J183" t="s">
        <v>89</v>
      </c>
      <c r="K183" s="17">
        <f>(1/0.76)*4</f>
        <v>5.2631578947368425</v>
      </c>
      <c r="L183" s="9" t="s">
        <v>39</v>
      </c>
      <c r="M183" s="10" t="s">
        <v>102</v>
      </c>
      <c r="N183" s="9" t="s">
        <v>98</v>
      </c>
    </row>
    <row r="184" spans="1:14" x14ac:dyDescent="0.25">
      <c r="A184" s="9" t="s">
        <v>57</v>
      </c>
      <c r="B184" s="9"/>
      <c r="C184" s="9"/>
      <c r="D184" s="9" t="s">
        <v>60</v>
      </c>
      <c r="E184" s="9" t="s">
        <v>58</v>
      </c>
      <c r="F184" s="9" t="s">
        <v>130</v>
      </c>
      <c r="G184" s="9"/>
      <c r="H184" s="9"/>
      <c r="I184" s="9"/>
      <c r="J184" t="s">
        <v>89</v>
      </c>
      <c r="K184" s="17">
        <f>(1/0.76)*6</f>
        <v>7.8947368421052637</v>
      </c>
      <c r="L184" s="9" t="s">
        <v>39</v>
      </c>
      <c r="M184" s="10" t="s">
        <v>102</v>
      </c>
      <c r="N184" s="9" t="s">
        <v>98</v>
      </c>
    </row>
    <row r="185" spans="1:14" x14ac:dyDescent="0.25">
      <c r="A185" s="9" t="s">
        <v>57</v>
      </c>
      <c r="B185" s="9"/>
      <c r="C185" s="9"/>
      <c r="D185" s="9" t="s">
        <v>60</v>
      </c>
      <c r="E185" s="9" t="s">
        <v>58</v>
      </c>
      <c r="F185" s="9" t="s">
        <v>131</v>
      </c>
      <c r="G185" s="9"/>
      <c r="H185" s="9"/>
      <c r="I185" s="9"/>
      <c r="J185" t="s">
        <v>89</v>
      </c>
      <c r="K185" s="17">
        <f>(1/0.76)*5</f>
        <v>6.5789473684210531</v>
      </c>
      <c r="L185" s="9" t="s">
        <v>39</v>
      </c>
      <c r="M185" s="10" t="s">
        <v>102</v>
      </c>
      <c r="N185" s="9" t="s">
        <v>98</v>
      </c>
    </row>
    <row r="186" spans="1:14" x14ac:dyDescent="0.25">
      <c r="A186" s="9" t="s">
        <v>57</v>
      </c>
      <c r="B186" s="9"/>
      <c r="C186" s="9"/>
      <c r="D186" s="9" t="s">
        <v>60</v>
      </c>
      <c r="E186" s="9" t="s">
        <v>58</v>
      </c>
      <c r="F186" s="9" t="s">
        <v>132</v>
      </c>
      <c r="G186" s="9"/>
      <c r="H186" s="9"/>
      <c r="I186" s="9"/>
      <c r="J186" t="s">
        <v>89</v>
      </c>
      <c r="K186" s="10">
        <v>18</v>
      </c>
      <c r="L186" s="9" t="s">
        <v>39</v>
      </c>
      <c r="M186" s="9"/>
      <c r="N186" s="9" t="s">
        <v>98</v>
      </c>
    </row>
    <row r="187" spans="1:14" x14ac:dyDescent="0.25">
      <c r="A187" t="s">
        <v>101</v>
      </c>
      <c r="B187" s="9"/>
      <c r="C187" s="9"/>
      <c r="D187" s="10" t="s">
        <v>82</v>
      </c>
      <c r="E187" s="10" t="s">
        <v>58</v>
      </c>
      <c r="F187" s="9"/>
      <c r="G187" s="9"/>
      <c r="H187" s="9"/>
      <c r="I187" s="9"/>
      <c r="J187" t="s">
        <v>88</v>
      </c>
      <c r="K187" s="10">
        <v>71</v>
      </c>
      <c r="L187" s="10" t="s">
        <v>39</v>
      </c>
      <c r="M187" s="9"/>
      <c r="N187" s="9" t="s">
        <v>98</v>
      </c>
    </row>
    <row r="188" spans="1:14" x14ac:dyDescent="0.25">
      <c r="A188" t="s">
        <v>101</v>
      </c>
      <c r="B188" s="9"/>
      <c r="C188" s="9"/>
      <c r="D188" s="10" t="s">
        <v>82</v>
      </c>
      <c r="E188" s="10" t="s">
        <v>58</v>
      </c>
      <c r="F188" s="10" t="s">
        <v>133</v>
      </c>
      <c r="G188" s="9"/>
      <c r="H188" s="9"/>
      <c r="I188" s="9"/>
      <c r="J188" t="s">
        <v>89</v>
      </c>
      <c r="K188" s="17">
        <f>(1/0.52)*7</f>
        <v>13.46153846153846</v>
      </c>
      <c r="L188" s="10" t="s">
        <v>39</v>
      </c>
      <c r="M188" s="10" t="s">
        <v>103</v>
      </c>
      <c r="N188" s="9" t="s">
        <v>98</v>
      </c>
    </row>
    <row r="189" spans="1:14" x14ac:dyDescent="0.25">
      <c r="A189" t="s">
        <v>101</v>
      </c>
      <c r="B189" s="9"/>
      <c r="C189" s="9"/>
      <c r="D189" s="10" t="s">
        <v>82</v>
      </c>
      <c r="E189" s="10" t="s">
        <v>58</v>
      </c>
      <c r="F189" s="9" t="s">
        <v>134</v>
      </c>
      <c r="G189" s="9"/>
      <c r="H189" s="9"/>
      <c r="I189" s="9"/>
      <c r="J189" t="s">
        <v>89</v>
      </c>
      <c r="K189" s="17">
        <f>(1/0.52)*3</f>
        <v>5.7692307692307683</v>
      </c>
      <c r="L189" s="10" t="s">
        <v>39</v>
      </c>
      <c r="M189" s="10" t="s">
        <v>103</v>
      </c>
      <c r="N189" s="9" t="s">
        <v>98</v>
      </c>
    </row>
    <row r="190" spans="1:14" x14ac:dyDescent="0.25">
      <c r="A190" t="s">
        <v>101</v>
      </c>
      <c r="B190" s="9"/>
      <c r="C190" s="9"/>
      <c r="D190" s="10" t="s">
        <v>82</v>
      </c>
      <c r="E190" s="10" t="s">
        <v>58</v>
      </c>
      <c r="F190" s="10" t="s">
        <v>135</v>
      </c>
      <c r="G190" s="9"/>
      <c r="H190" s="9"/>
      <c r="I190" s="9"/>
      <c r="J190" t="s">
        <v>89</v>
      </c>
      <c r="K190" s="17">
        <f>(1/0.52)*6</f>
        <v>11.538461538461537</v>
      </c>
      <c r="L190" s="10" t="s">
        <v>39</v>
      </c>
      <c r="M190" s="10" t="s">
        <v>103</v>
      </c>
      <c r="N190" s="9" t="s">
        <v>98</v>
      </c>
    </row>
    <row r="191" spans="1:14" x14ac:dyDescent="0.25">
      <c r="A191" t="s">
        <v>101</v>
      </c>
      <c r="B191" s="9"/>
      <c r="C191" s="9"/>
      <c r="D191" s="10" t="s">
        <v>82</v>
      </c>
      <c r="E191" s="10" t="s">
        <v>58</v>
      </c>
      <c r="F191" s="9" t="s">
        <v>136</v>
      </c>
      <c r="G191" s="9"/>
      <c r="H191" s="9"/>
      <c r="I191" s="9"/>
      <c r="J191" t="s">
        <v>89</v>
      </c>
      <c r="K191" s="10">
        <v>12</v>
      </c>
      <c r="L191" s="10" t="s">
        <v>39</v>
      </c>
      <c r="M191" s="9"/>
      <c r="N191" s="9" t="s">
        <v>98</v>
      </c>
    </row>
    <row r="192" spans="1:14" x14ac:dyDescent="0.25">
      <c r="A192" s="5" t="s">
        <v>20</v>
      </c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6"/>
      <c r="M192" s="6"/>
      <c r="N192" s="6"/>
    </row>
    <row r="193" spans="1:14" x14ac:dyDescent="0.25">
      <c r="A193" t="s">
        <v>219</v>
      </c>
      <c r="C193" t="s">
        <v>228</v>
      </c>
      <c r="J193" t="s">
        <v>88</v>
      </c>
      <c r="K193">
        <v>100</v>
      </c>
      <c r="L193" t="s">
        <v>39</v>
      </c>
    </row>
    <row r="194" spans="1:14" x14ac:dyDescent="0.25">
      <c r="A194" s="27" t="s">
        <v>220</v>
      </c>
      <c r="C194" t="s">
        <v>229</v>
      </c>
      <c r="J194" t="s">
        <v>88</v>
      </c>
      <c r="K194">
        <v>100</v>
      </c>
      <c r="L194" t="s">
        <v>39</v>
      </c>
    </row>
    <row r="195" spans="1:14" x14ac:dyDescent="0.25">
      <c r="A195" s="27" t="s">
        <v>221</v>
      </c>
      <c r="C195" t="s">
        <v>230</v>
      </c>
      <c r="J195" t="s">
        <v>88</v>
      </c>
      <c r="K195">
        <v>100</v>
      </c>
      <c r="L195" t="s">
        <v>39</v>
      </c>
    </row>
    <row r="196" spans="1:14" x14ac:dyDescent="0.25">
      <c r="A196" s="7" t="s">
        <v>222</v>
      </c>
    </row>
    <row r="197" spans="1:14" x14ac:dyDescent="0.25">
      <c r="A197" s="7" t="s">
        <v>223</v>
      </c>
      <c r="B197" s="9"/>
      <c r="C197" s="9"/>
      <c r="D197" s="10"/>
      <c r="E197" s="10"/>
      <c r="F197" s="9"/>
      <c r="G197" s="9"/>
      <c r="H197" s="9"/>
      <c r="I197" s="9"/>
      <c r="M197" s="9"/>
      <c r="N197" s="9"/>
    </row>
    <row r="198" spans="1:14" x14ac:dyDescent="0.25">
      <c r="A198" s="5" t="s">
        <v>22</v>
      </c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6"/>
      <c r="M198" s="6"/>
      <c r="N198" s="6"/>
    </row>
    <row r="199" spans="1:14" x14ac:dyDescent="0.25">
      <c r="A199" t="s">
        <v>138</v>
      </c>
      <c r="C199" t="s">
        <v>140</v>
      </c>
      <c r="H199" t="s">
        <v>47</v>
      </c>
      <c r="J199" t="s">
        <v>88</v>
      </c>
      <c r="K199" s="22">
        <v>38</v>
      </c>
      <c r="L199" t="s">
        <v>39</v>
      </c>
      <c r="M199" s="12"/>
      <c r="N199" s="9" t="s">
        <v>98</v>
      </c>
    </row>
    <row r="200" spans="1:14" x14ac:dyDescent="0.25">
      <c r="A200" t="s">
        <v>138</v>
      </c>
      <c r="C200" t="s">
        <v>140</v>
      </c>
      <c r="F200" t="s">
        <v>141</v>
      </c>
      <c r="H200" t="s">
        <v>47</v>
      </c>
      <c r="J200" t="s">
        <v>89</v>
      </c>
      <c r="K200" s="22">
        <v>60</v>
      </c>
      <c r="L200" t="s">
        <v>39</v>
      </c>
      <c r="N200" s="9" t="s">
        <v>98</v>
      </c>
    </row>
    <row r="201" spans="1:14" x14ac:dyDescent="0.25">
      <c r="A201" t="s">
        <v>138</v>
      </c>
      <c r="C201" t="s">
        <v>140</v>
      </c>
      <c r="H201" t="s">
        <v>45</v>
      </c>
      <c r="J201" t="s">
        <v>88</v>
      </c>
      <c r="K201" s="22">
        <v>32</v>
      </c>
      <c r="L201" t="s">
        <v>39</v>
      </c>
      <c r="M201" t="s">
        <v>143</v>
      </c>
      <c r="N201" s="9"/>
    </row>
    <row r="202" spans="1:14" x14ac:dyDescent="0.25">
      <c r="A202" t="s">
        <v>138</v>
      </c>
      <c r="C202" t="s">
        <v>140</v>
      </c>
      <c r="F202" t="s">
        <v>142</v>
      </c>
      <c r="H202" t="s">
        <v>45</v>
      </c>
      <c r="J202" t="s">
        <v>89</v>
      </c>
      <c r="K202" s="22">
        <v>68</v>
      </c>
      <c r="L202" t="s">
        <v>39</v>
      </c>
      <c r="N202" s="9"/>
    </row>
    <row r="203" spans="1:14" x14ac:dyDescent="0.25">
      <c r="A203" s="5" t="s">
        <v>24</v>
      </c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6"/>
      <c r="M203" s="6"/>
      <c r="N203" s="6"/>
    </row>
    <row r="204" spans="1:14" x14ac:dyDescent="0.25">
      <c r="A204" t="s">
        <v>234</v>
      </c>
      <c r="C204" t="s">
        <v>241</v>
      </c>
      <c r="J204" t="s">
        <v>88</v>
      </c>
      <c r="K204" s="22">
        <v>13</v>
      </c>
      <c r="L204" t="s">
        <v>39</v>
      </c>
    </row>
    <row r="205" spans="1:14" x14ac:dyDescent="0.25">
      <c r="A205" t="s">
        <v>234</v>
      </c>
      <c r="C205" t="s">
        <v>241</v>
      </c>
      <c r="F205" t="s">
        <v>243</v>
      </c>
      <c r="J205" t="s">
        <v>89</v>
      </c>
      <c r="K205" s="22">
        <v>7</v>
      </c>
      <c r="L205" t="s">
        <v>39</v>
      </c>
    </row>
    <row r="206" spans="1:14" x14ac:dyDescent="0.25">
      <c r="A206" t="s">
        <v>234</v>
      </c>
      <c r="C206" t="s">
        <v>241</v>
      </c>
      <c r="F206" t="s">
        <v>244</v>
      </c>
      <c r="J206" t="s">
        <v>89</v>
      </c>
      <c r="K206" s="22">
        <v>4</v>
      </c>
      <c r="L206" t="s">
        <v>39</v>
      </c>
    </row>
    <row r="207" spans="1:14" x14ac:dyDescent="0.25">
      <c r="A207" t="s">
        <v>236</v>
      </c>
      <c r="C207" t="s">
        <v>241</v>
      </c>
      <c r="J207" t="s">
        <v>88</v>
      </c>
      <c r="K207" s="24">
        <v>13</v>
      </c>
      <c r="L207" t="s">
        <v>39</v>
      </c>
      <c r="M207" t="s">
        <v>242</v>
      </c>
    </row>
    <row r="208" spans="1:14" x14ac:dyDescent="0.25">
      <c r="A208" t="s">
        <v>236</v>
      </c>
      <c r="C208" t="s">
        <v>241</v>
      </c>
      <c r="F208" t="s">
        <v>243</v>
      </c>
      <c r="J208" t="s">
        <v>89</v>
      </c>
      <c r="K208" s="22">
        <v>7</v>
      </c>
      <c r="L208" t="s">
        <v>39</v>
      </c>
    </row>
    <row r="209" spans="1:14" x14ac:dyDescent="0.25">
      <c r="A209" t="s">
        <v>236</v>
      </c>
      <c r="C209" t="s">
        <v>241</v>
      </c>
      <c r="F209" t="s">
        <v>244</v>
      </c>
      <c r="J209" t="s">
        <v>89</v>
      </c>
      <c r="K209" s="22">
        <v>4</v>
      </c>
      <c r="L209" t="s">
        <v>39</v>
      </c>
    </row>
    <row r="210" spans="1:14" x14ac:dyDescent="0.25">
      <c r="A210" s="7" t="s">
        <v>235</v>
      </c>
    </row>
    <row r="211" spans="1:14" x14ac:dyDescent="0.25">
      <c r="A211" s="5" t="s">
        <v>29</v>
      </c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6"/>
      <c r="M211" s="6"/>
      <c r="N211" s="6"/>
    </row>
    <row r="212" spans="1:14" x14ac:dyDescent="0.25">
      <c r="A212" t="s">
        <v>245</v>
      </c>
      <c r="B212" s="11"/>
      <c r="C212" s="9" t="s">
        <v>255</v>
      </c>
      <c r="D212" s="11"/>
      <c r="E212" s="11"/>
      <c r="F212" s="11"/>
      <c r="G212" s="11"/>
      <c r="H212" s="11"/>
      <c r="I212" s="11"/>
      <c r="J212" t="s">
        <v>88</v>
      </c>
      <c r="K212" s="21">
        <v>70</v>
      </c>
      <c r="L212" s="10" t="s">
        <v>39</v>
      </c>
      <c r="M212" s="9"/>
      <c r="N212" s="9" t="s">
        <v>98</v>
      </c>
    </row>
    <row r="213" spans="1:14" x14ac:dyDescent="0.25">
      <c r="A213" t="s">
        <v>248</v>
      </c>
      <c r="B213" s="11"/>
      <c r="C213" s="9" t="s">
        <v>51</v>
      </c>
      <c r="D213" s="11"/>
      <c r="E213" s="11"/>
      <c r="F213" s="11"/>
      <c r="G213" s="11"/>
      <c r="H213" s="11"/>
      <c r="I213" s="11"/>
      <c r="J213" t="s">
        <v>88</v>
      </c>
      <c r="K213" s="21">
        <f>655*0.7</f>
        <v>458.49999999999994</v>
      </c>
      <c r="L213" s="10" t="s">
        <v>39</v>
      </c>
      <c r="M213" s="9"/>
      <c r="N213" s="9" t="s">
        <v>98</v>
      </c>
    </row>
    <row r="214" spans="1:14" x14ac:dyDescent="0.25">
      <c r="A214" t="s">
        <v>248</v>
      </c>
      <c r="B214" s="11"/>
      <c r="C214" s="9" t="s">
        <v>51</v>
      </c>
      <c r="D214" s="11"/>
      <c r="E214" s="11"/>
      <c r="F214" s="20" t="s">
        <v>137</v>
      </c>
      <c r="G214" s="11"/>
      <c r="H214" s="11"/>
      <c r="I214" s="11"/>
      <c r="J214" t="s">
        <v>89</v>
      </c>
      <c r="K214" s="21">
        <f>1*(K213/100)*0.2*100</f>
        <v>91.699999999999989</v>
      </c>
      <c r="L214" s="10" t="s">
        <v>39</v>
      </c>
      <c r="M214" s="9" t="s">
        <v>121</v>
      </c>
      <c r="N214" s="9" t="s">
        <v>120</v>
      </c>
    </row>
    <row r="215" spans="1:14" x14ac:dyDescent="0.25">
      <c r="B215" s="11"/>
      <c r="C215" s="9"/>
      <c r="D215" s="11"/>
      <c r="E215" s="11"/>
      <c r="F215" s="11" t="s">
        <v>188</v>
      </c>
      <c r="G215" s="11"/>
      <c r="H215" s="11"/>
      <c r="I215" s="11"/>
      <c r="K215" s="21"/>
      <c r="L215" s="10"/>
      <c r="M215" s="11" t="s">
        <v>189</v>
      </c>
      <c r="N215" s="9"/>
    </row>
    <row r="216" spans="1:14" x14ac:dyDescent="0.25">
      <c r="A216" t="s">
        <v>246</v>
      </c>
      <c r="B216" s="11"/>
      <c r="C216" s="10" t="s">
        <v>256</v>
      </c>
      <c r="D216" s="11"/>
      <c r="E216" s="11"/>
      <c r="F216" s="20"/>
      <c r="G216" s="11"/>
      <c r="H216" s="11"/>
      <c r="I216" s="11"/>
      <c r="J216" t="s">
        <v>88</v>
      </c>
      <c r="K216" s="21">
        <v>65</v>
      </c>
      <c r="L216" s="10" t="s">
        <v>39</v>
      </c>
      <c r="M216" s="9"/>
      <c r="N216" s="9" t="s">
        <v>98</v>
      </c>
    </row>
    <row r="217" spans="1:14" x14ac:dyDescent="0.25">
      <c r="A217" t="s">
        <v>246</v>
      </c>
      <c r="B217" s="11"/>
      <c r="C217" s="10" t="s">
        <v>256</v>
      </c>
      <c r="D217" s="11"/>
      <c r="E217" s="11"/>
      <c r="F217" s="20" t="s">
        <v>257</v>
      </c>
      <c r="G217" s="11"/>
      <c r="H217" s="11"/>
      <c r="I217" s="11"/>
      <c r="J217" t="s">
        <v>89</v>
      </c>
      <c r="K217" s="21">
        <v>35</v>
      </c>
      <c r="L217" s="10" t="s">
        <v>39</v>
      </c>
      <c r="M217" s="9"/>
      <c r="N217" s="9" t="s">
        <v>98</v>
      </c>
    </row>
    <row r="218" spans="1:14" x14ac:dyDescent="0.25">
      <c r="A218" t="s">
        <v>249</v>
      </c>
      <c r="B218" s="11"/>
      <c r="C218" s="10" t="s">
        <v>38</v>
      </c>
      <c r="D218" s="11"/>
      <c r="E218" s="11"/>
      <c r="F218" s="20"/>
      <c r="G218" s="11"/>
      <c r="H218" s="11"/>
      <c r="I218" s="11"/>
      <c r="J218" t="s">
        <v>88</v>
      </c>
      <c r="K218" s="21">
        <v>30</v>
      </c>
      <c r="L218" s="10" t="s">
        <v>39</v>
      </c>
      <c r="M218" s="9"/>
      <c r="N218" s="9" t="s">
        <v>98</v>
      </c>
    </row>
    <row r="219" spans="1:14" x14ac:dyDescent="0.25">
      <c r="A219" t="s">
        <v>249</v>
      </c>
      <c r="B219" s="11"/>
      <c r="C219" s="10" t="s">
        <v>38</v>
      </c>
      <c r="D219" s="11"/>
      <c r="E219" s="11"/>
      <c r="F219" s="11" t="s">
        <v>258</v>
      </c>
      <c r="G219" s="11"/>
      <c r="H219" s="11"/>
      <c r="I219" s="11"/>
      <c r="J219" t="s">
        <v>89</v>
      </c>
      <c r="K219" s="21">
        <v>11</v>
      </c>
      <c r="L219" s="10" t="s">
        <v>39</v>
      </c>
      <c r="M219" s="9"/>
      <c r="N219" s="9" t="s">
        <v>98</v>
      </c>
    </row>
    <row r="220" spans="1:14" x14ac:dyDescent="0.25">
      <c r="A220" s="5" t="s">
        <v>216</v>
      </c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6"/>
      <c r="M220" s="6"/>
      <c r="N220" s="6"/>
    </row>
    <row r="221" spans="1:14" x14ac:dyDescent="0.25">
      <c r="A221" t="s">
        <v>209</v>
      </c>
      <c r="B221" s="11"/>
      <c r="C221" t="s">
        <v>140</v>
      </c>
      <c r="J221" t="s">
        <v>88</v>
      </c>
      <c r="K221" s="22">
        <v>38</v>
      </c>
      <c r="L221" t="s">
        <v>39</v>
      </c>
      <c r="M221" s="12" t="s">
        <v>218</v>
      </c>
      <c r="N221" s="9" t="s">
        <v>98</v>
      </c>
    </row>
    <row r="222" spans="1:14" x14ac:dyDescent="0.25">
      <c r="A222" t="s">
        <v>209</v>
      </c>
      <c r="B222" s="11"/>
      <c r="C222" t="s">
        <v>140</v>
      </c>
      <c r="F222" t="s">
        <v>141</v>
      </c>
      <c r="J222" t="s">
        <v>89</v>
      </c>
      <c r="K222" s="22">
        <v>60</v>
      </c>
      <c r="L222" t="s">
        <v>39</v>
      </c>
      <c r="N222" s="9" t="s">
        <v>98</v>
      </c>
    </row>
    <row r="223" spans="1:14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9"/>
      <c r="M223" s="9"/>
      <c r="N223" s="9"/>
    </row>
    <row r="224" spans="1:14" x14ac:dyDescent="0.25">
      <c r="A224" s="3" t="s">
        <v>40</v>
      </c>
      <c r="B224" s="3"/>
      <c r="C224" s="3"/>
      <c r="D224" s="3"/>
      <c r="E224" s="3"/>
      <c r="F224" s="3"/>
      <c r="G224" s="3"/>
      <c r="H224" s="3"/>
      <c r="I224" s="3"/>
      <c r="J224" s="4"/>
      <c r="K224" s="4"/>
      <c r="L224" s="4"/>
      <c r="M224" s="4"/>
      <c r="N224" s="4"/>
    </row>
    <row r="225" spans="1:14" x14ac:dyDescent="0.25">
      <c r="J225" s="8" t="s">
        <v>41</v>
      </c>
      <c r="K225" s="8">
        <v>100</v>
      </c>
      <c r="L225" s="8" t="s">
        <v>39</v>
      </c>
      <c r="M225" s="8" t="s">
        <v>46</v>
      </c>
    </row>
    <row r="226" spans="1:14" x14ac:dyDescent="0.25">
      <c r="A226" s="5" t="s">
        <v>10</v>
      </c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6"/>
      <c r="M226" s="6"/>
      <c r="N226" s="6"/>
    </row>
    <row r="227" spans="1:14" x14ac:dyDescent="0.25">
      <c r="A227" t="s">
        <v>192</v>
      </c>
      <c r="J227" t="s">
        <v>41</v>
      </c>
      <c r="K227">
        <v>22</v>
      </c>
      <c r="L227" t="s">
        <v>39</v>
      </c>
    </row>
    <row r="228" spans="1:14" x14ac:dyDescent="0.25">
      <c r="A228" t="s">
        <v>197</v>
      </c>
      <c r="J228" t="s">
        <v>41</v>
      </c>
      <c r="K228" s="28">
        <f>K227</f>
        <v>22</v>
      </c>
      <c r="L228" s="28" t="s">
        <v>39</v>
      </c>
      <c r="M228" s="28" t="s">
        <v>233</v>
      </c>
    </row>
    <row r="229" spans="1:14" x14ac:dyDescent="0.25">
      <c r="A229" t="s">
        <v>44</v>
      </c>
      <c r="J229" t="s">
        <v>41</v>
      </c>
      <c r="K229">
        <v>100</v>
      </c>
      <c r="L229" t="s">
        <v>39</v>
      </c>
    </row>
    <row r="230" spans="1:14" x14ac:dyDescent="0.25">
      <c r="A230" t="s">
        <v>193</v>
      </c>
      <c r="J230" t="s">
        <v>41</v>
      </c>
      <c r="K230">
        <v>4</v>
      </c>
      <c r="L230" t="s">
        <v>39</v>
      </c>
    </row>
    <row r="231" spans="1:14" x14ac:dyDescent="0.25">
      <c r="A231" t="s">
        <v>198</v>
      </c>
      <c r="J231" t="s">
        <v>41</v>
      </c>
      <c r="K231" s="28">
        <f>K230</f>
        <v>4</v>
      </c>
      <c r="L231" s="28" t="s">
        <v>39</v>
      </c>
      <c r="M231" s="28" t="s">
        <v>233</v>
      </c>
    </row>
    <row r="232" spans="1:14" x14ac:dyDescent="0.25">
      <c r="A232" t="s">
        <v>94</v>
      </c>
      <c r="J232" t="s">
        <v>41</v>
      </c>
      <c r="K232">
        <v>100</v>
      </c>
      <c r="L232" t="s">
        <v>39</v>
      </c>
    </row>
    <row r="233" spans="1:14" x14ac:dyDescent="0.25">
      <c r="A233" t="s">
        <v>194</v>
      </c>
      <c r="J233" t="s">
        <v>41</v>
      </c>
      <c r="K233">
        <v>8</v>
      </c>
      <c r="L233" t="s">
        <v>39</v>
      </c>
    </row>
    <row r="234" spans="1:14" x14ac:dyDescent="0.25">
      <c r="A234" t="s">
        <v>199</v>
      </c>
      <c r="J234" t="s">
        <v>41</v>
      </c>
      <c r="K234" s="28">
        <f>K233</f>
        <v>8</v>
      </c>
      <c r="L234" s="28" t="s">
        <v>39</v>
      </c>
      <c r="M234" s="28" t="s">
        <v>233</v>
      </c>
    </row>
    <row r="235" spans="1:14" x14ac:dyDescent="0.25">
      <c r="A235" t="s">
        <v>195</v>
      </c>
      <c r="J235" t="s">
        <v>41</v>
      </c>
      <c r="K235">
        <v>1</v>
      </c>
      <c r="L235" t="s">
        <v>39</v>
      </c>
    </row>
    <row r="236" spans="1:14" x14ac:dyDescent="0.25">
      <c r="A236" t="s">
        <v>200</v>
      </c>
      <c r="J236" t="s">
        <v>41</v>
      </c>
      <c r="K236" s="28">
        <f>K235</f>
        <v>1</v>
      </c>
      <c r="L236" s="28" t="s">
        <v>39</v>
      </c>
      <c r="M236" s="28" t="s">
        <v>233</v>
      </c>
    </row>
    <row r="237" spans="1:14" x14ac:dyDescent="0.25">
      <c r="A237" t="s">
        <v>196</v>
      </c>
      <c r="J237" t="s">
        <v>41</v>
      </c>
      <c r="K237" s="7">
        <v>22</v>
      </c>
      <c r="L237" s="18" t="s">
        <v>39</v>
      </c>
      <c r="M237" t="s">
        <v>161</v>
      </c>
    </row>
    <row r="238" spans="1:14" x14ac:dyDescent="0.25">
      <c r="A238" t="s">
        <v>202</v>
      </c>
      <c r="J238" t="s">
        <v>41</v>
      </c>
      <c r="K238" s="28">
        <f>K237</f>
        <v>22</v>
      </c>
      <c r="L238" s="28" t="s">
        <v>39</v>
      </c>
      <c r="M238" s="28" t="s">
        <v>233</v>
      </c>
    </row>
    <row r="239" spans="1:14" x14ac:dyDescent="0.25">
      <c r="A239" s="5" t="s">
        <v>11</v>
      </c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6"/>
      <c r="M239" s="6"/>
      <c r="N239" s="6"/>
    </row>
    <row r="240" spans="1:14" x14ac:dyDescent="0.25">
      <c r="A240" s="18" t="s">
        <v>105</v>
      </c>
      <c r="J240" t="s">
        <v>41</v>
      </c>
      <c r="K240" s="18">
        <v>16</v>
      </c>
      <c r="L240" s="18" t="s">
        <v>39</v>
      </c>
    </row>
    <row r="241" spans="1:14" x14ac:dyDescent="0.25">
      <c r="A241" s="18" t="s">
        <v>106</v>
      </c>
      <c r="J241" t="s">
        <v>41</v>
      </c>
      <c r="K241" s="18">
        <v>16</v>
      </c>
      <c r="L241" s="18" t="s">
        <v>39</v>
      </c>
    </row>
    <row r="242" spans="1:14" x14ac:dyDescent="0.25">
      <c r="A242" s="18" t="s">
        <v>226</v>
      </c>
      <c r="J242" t="s">
        <v>41</v>
      </c>
      <c r="K242" s="18">
        <v>16</v>
      </c>
      <c r="L242" s="18" t="s">
        <v>39</v>
      </c>
    </row>
    <row r="243" spans="1:14" x14ac:dyDescent="0.25">
      <c r="A243" s="18" t="s">
        <v>107</v>
      </c>
      <c r="J243" t="s">
        <v>41</v>
      </c>
      <c r="K243" s="18">
        <v>16</v>
      </c>
      <c r="L243" s="18" t="s">
        <v>39</v>
      </c>
    </row>
    <row r="244" spans="1:14" x14ac:dyDescent="0.25">
      <c r="A244" s="5" t="s">
        <v>13</v>
      </c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6"/>
      <c r="M244" s="6"/>
      <c r="N244" s="6"/>
    </row>
    <row r="245" spans="1:14" x14ac:dyDescent="0.25">
      <c r="A245" s="18" t="s">
        <v>259</v>
      </c>
      <c r="J245" t="s">
        <v>41</v>
      </c>
      <c r="K245" s="18">
        <v>85</v>
      </c>
      <c r="L245" s="18" t="s">
        <v>39</v>
      </c>
    </row>
    <row r="246" spans="1:14" x14ac:dyDescent="0.25">
      <c r="A246" s="18" t="s">
        <v>260</v>
      </c>
      <c r="J246" t="s">
        <v>41</v>
      </c>
      <c r="K246" s="18">
        <v>85</v>
      </c>
      <c r="L246" s="18" t="s">
        <v>39</v>
      </c>
    </row>
    <row r="247" spans="1:14" x14ac:dyDescent="0.25">
      <c r="A247" s="18" t="s">
        <v>261</v>
      </c>
      <c r="J247" t="s">
        <v>41</v>
      </c>
      <c r="K247" s="18">
        <v>85</v>
      </c>
      <c r="L247" s="18" t="s">
        <v>39</v>
      </c>
    </row>
    <row r="248" spans="1:14" x14ac:dyDescent="0.25">
      <c r="A248" s="18" t="s">
        <v>263</v>
      </c>
      <c r="J248" t="s">
        <v>41</v>
      </c>
      <c r="K248" s="18">
        <v>95</v>
      </c>
      <c r="L248" s="18" t="s">
        <v>39</v>
      </c>
    </row>
    <row r="249" spans="1:14" x14ac:dyDescent="0.25">
      <c r="A249" s="5" t="s">
        <v>12</v>
      </c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6"/>
      <c r="M249" s="6"/>
      <c r="N249" s="6"/>
    </row>
    <row r="250" spans="1:14" x14ac:dyDescent="0.25">
      <c r="A250" s="18" t="s">
        <v>147</v>
      </c>
      <c r="J250" t="s">
        <v>41</v>
      </c>
      <c r="K250">
        <v>7</v>
      </c>
      <c r="L250" s="18" t="s">
        <v>39</v>
      </c>
    </row>
    <row r="251" spans="1:14" x14ac:dyDescent="0.25">
      <c r="A251" s="18" t="s">
        <v>153</v>
      </c>
      <c r="J251" t="s">
        <v>41</v>
      </c>
      <c r="K251" s="18">
        <v>35</v>
      </c>
      <c r="L251" s="18" t="s">
        <v>39</v>
      </c>
    </row>
    <row r="252" spans="1:14" x14ac:dyDescent="0.25">
      <c r="A252" s="18" t="s">
        <v>149</v>
      </c>
      <c r="J252" t="s">
        <v>41</v>
      </c>
      <c r="K252" s="18">
        <v>63</v>
      </c>
      <c r="L252" s="18" t="s">
        <v>39</v>
      </c>
    </row>
    <row r="253" spans="1:14" x14ac:dyDescent="0.25">
      <c r="A253" s="18" t="s">
        <v>150</v>
      </c>
      <c r="J253" t="s">
        <v>41</v>
      </c>
      <c r="K253" s="18">
        <v>54</v>
      </c>
      <c r="L253" s="18" t="s">
        <v>39</v>
      </c>
      <c r="M253" s="7"/>
    </row>
    <row r="254" spans="1:14" x14ac:dyDescent="0.25">
      <c r="A254" s="18" t="s">
        <v>151</v>
      </c>
      <c r="J254" t="s">
        <v>41</v>
      </c>
      <c r="K254" s="7">
        <v>70</v>
      </c>
      <c r="L254" s="18" t="s">
        <v>39</v>
      </c>
      <c r="M254" s="7" t="s">
        <v>162</v>
      </c>
    </row>
    <row r="255" spans="1:14" x14ac:dyDescent="0.25">
      <c r="A255" s="18" t="s">
        <v>152</v>
      </c>
      <c r="J255" t="s">
        <v>41</v>
      </c>
      <c r="K255" s="18">
        <v>10</v>
      </c>
      <c r="L255" s="18" t="s">
        <v>39</v>
      </c>
    </row>
    <row r="256" spans="1:14" x14ac:dyDescent="0.25">
      <c r="A256" s="18" t="s">
        <v>113</v>
      </c>
      <c r="J256" t="s">
        <v>41</v>
      </c>
      <c r="K256" s="18">
        <v>90</v>
      </c>
      <c r="L256" s="18" t="s">
        <v>39</v>
      </c>
    </row>
    <row r="257" spans="1:14" x14ac:dyDescent="0.25">
      <c r="A257" s="18" t="s">
        <v>116</v>
      </c>
      <c r="J257" t="s">
        <v>41</v>
      </c>
      <c r="K257" s="18">
        <v>46</v>
      </c>
      <c r="L257" s="18" t="s">
        <v>39</v>
      </c>
    </row>
    <row r="258" spans="1:14" x14ac:dyDescent="0.25">
      <c r="A258" s="18" t="s">
        <v>160</v>
      </c>
      <c r="J258" t="s">
        <v>41</v>
      </c>
      <c r="K258" s="7">
        <v>0</v>
      </c>
      <c r="L258" s="18" t="s">
        <v>39</v>
      </c>
    </row>
    <row r="259" spans="1:14" x14ac:dyDescent="0.25">
      <c r="A259" s="5" t="s">
        <v>14</v>
      </c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6"/>
      <c r="M259" s="6"/>
      <c r="N259" s="6"/>
    </row>
    <row r="260" spans="1:14" x14ac:dyDescent="0.25">
      <c r="A260" s="7" t="s">
        <v>65</v>
      </c>
      <c r="J260" t="s">
        <v>41</v>
      </c>
      <c r="K260" s="14">
        <f>8.5*20/(29.5+8.5)</f>
        <v>4.4736842105263159</v>
      </c>
      <c r="L260" t="s">
        <v>39</v>
      </c>
    </row>
    <row r="261" spans="1:14" x14ac:dyDescent="0.25">
      <c r="A261" s="7" t="s">
        <v>64</v>
      </c>
      <c r="J261" t="s">
        <v>41</v>
      </c>
      <c r="K261" s="14">
        <f>(80.7*0+14.4*20+0.3*5*0)/(80.7+14.4+0.3*5)</f>
        <v>2.981366459627329</v>
      </c>
      <c r="L261" t="s">
        <v>39</v>
      </c>
    </row>
    <row r="262" spans="1:14" x14ac:dyDescent="0.25">
      <c r="A262" s="7" t="s">
        <v>66</v>
      </c>
      <c r="J262" t="s">
        <v>41</v>
      </c>
      <c r="K262" s="14">
        <f>(45.6*0+44.1*20+1.3*5*0+1.8*10*0)/(45.6+44.1+1.3*5+1.8*10)</f>
        <v>7.723292469352014</v>
      </c>
      <c r="L262" t="s">
        <v>39</v>
      </c>
    </row>
    <row r="263" spans="1:14" x14ac:dyDescent="0.25">
      <c r="A263" s="7" t="s">
        <v>67</v>
      </c>
      <c r="J263" t="s">
        <v>41</v>
      </c>
      <c r="K263">
        <f>60</f>
        <v>60</v>
      </c>
      <c r="L263" t="s">
        <v>39</v>
      </c>
    </row>
    <row r="264" spans="1:14" x14ac:dyDescent="0.25">
      <c r="A264" s="7" t="s">
        <v>71</v>
      </c>
      <c r="J264" t="s">
        <v>41</v>
      </c>
      <c r="K264">
        <v>0</v>
      </c>
      <c r="L264" t="s">
        <v>39</v>
      </c>
    </row>
    <row r="265" spans="1:14" x14ac:dyDescent="0.25">
      <c r="A265" s="7" t="s">
        <v>72</v>
      </c>
      <c r="J265" t="s">
        <v>41</v>
      </c>
      <c r="K265">
        <v>20</v>
      </c>
      <c r="L265" t="s">
        <v>39</v>
      </c>
    </row>
    <row r="266" spans="1:14" x14ac:dyDescent="0.25">
      <c r="A266" s="7" t="s">
        <v>69</v>
      </c>
      <c r="J266" t="s">
        <v>41</v>
      </c>
      <c r="K266">
        <v>20</v>
      </c>
      <c r="L266" t="s">
        <v>39</v>
      </c>
    </row>
    <row r="267" spans="1:14" x14ac:dyDescent="0.25">
      <c r="A267" s="7" t="s">
        <v>70</v>
      </c>
      <c r="J267" t="s">
        <v>41</v>
      </c>
      <c r="K267">
        <v>20</v>
      </c>
      <c r="L267" t="s">
        <v>39</v>
      </c>
    </row>
    <row r="268" spans="1:14" x14ac:dyDescent="0.25">
      <c r="A268" s="7" t="s">
        <v>68</v>
      </c>
      <c r="J268" t="s">
        <v>41</v>
      </c>
      <c r="K268">
        <f>43</f>
        <v>43</v>
      </c>
      <c r="L268" t="s">
        <v>39</v>
      </c>
    </row>
    <row r="269" spans="1:14" x14ac:dyDescent="0.25">
      <c r="A269" s="5" t="s">
        <v>23</v>
      </c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6"/>
      <c r="M269" s="6"/>
      <c r="N269" s="6"/>
    </row>
    <row r="270" spans="1:14" x14ac:dyDescent="0.25">
      <c r="A270" t="s">
        <v>57</v>
      </c>
      <c r="J270" t="s">
        <v>41</v>
      </c>
      <c r="K270">
        <v>36</v>
      </c>
      <c r="L270" t="s">
        <v>39</v>
      </c>
    </row>
    <row r="271" spans="1:14" x14ac:dyDescent="0.25">
      <c r="A271" t="s">
        <v>101</v>
      </c>
      <c r="J271" t="s">
        <v>41</v>
      </c>
      <c r="K271" s="18">
        <v>43</v>
      </c>
      <c r="L271" t="s">
        <v>39</v>
      </c>
    </row>
    <row r="272" spans="1:14" x14ac:dyDescent="0.25">
      <c r="A272" s="5" t="s">
        <v>20</v>
      </c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6"/>
      <c r="M272" s="6"/>
      <c r="N272" s="6"/>
    </row>
    <row r="273" spans="1:14" x14ac:dyDescent="0.25">
      <c r="A273" t="s">
        <v>219</v>
      </c>
      <c r="J273" t="s">
        <v>41</v>
      </c>
      <c r="K273">
        <v>5</v>
      </c>
      <c r="L273" t="s">
        <v>39</v>
      </c>
    </row>
    <row r="274" spans="1:14" x14ac:dyDescent="0.25">
      <c r="A274" s="27" t="s">
        <v>220</v>
      </c>
      <c r="J274" t="s">
        <v>41</v>
      </c>
      <c r="K274">
        <v>0.4</v>
      </c>
      <c r="L274" t="s">
        <v>39</v>
      </c>
    </row>
    <row r="275" spans="1:14" x14ac:dyDescent="0.25">
      <c r="A275" s="27" t="s">
        <v>221</v>
      </c>
      <c r="J275" t="s">
        <v>41</v>
      </c>
      <c r="K275" s="7">
        <v>95</v>
      </c>
      <c r="L275" t="s">
        <v>39</v>
      </c>
    </row>
    <row r="276" spans="1:14" x14ac:dyDescent="0.25">
      <c r="A276" s="27" t="s">
        <v>222</v>
      </c>
      <c r="J276" t="s">
        <v>41</v>
      </c>
      <c r="K276">
        <v>100</v>
      </c>
      <c r="L276" t="s">
        <v>39</v>
      </c>
    </row>
    <row r="277" spans="1:14" x14ac:dyDescent="0.25">
      <c r="A277" s="27" t="s">
        <v>223</v>
      </c>
      <c r="B277" s="9"/>
      <c r="C277" s="9"/>
      <c r="D277" s="10"/>
      <c r="E277" s="10"/>
      <c r="F277" s="9"/>
      <c r="G277" s="9"/>
      <c r="H277" s="9"/>
      <c r="I277" s="9"/>
      <c r="J277" t="s">
        <v>41</v>
      </c>
      <c r="K277">
        <v>100</v>
      </c>
      <c r="L277" t="s">
        <v>39</v>
      </c>
      <c r="M277" s="9"/>
      <c r="N277" s="9"/>
    </row>
    <row r="278" spans="1:14" x14ac:dyDescent="0.25">
      <c r="A278" s="5" t="s">
        <v>22</v>
      </c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6"/>
      <c r="M278" s="6"/>
      <c r="N278" s="6"/>
    </row>
    <row r="279" spans="1:14" x14ac:dyDescent="0.25">
      <c r="A279" t="s">
        <v>138</v>
      </c>
      <c r="J279" t="s">
        <v>41</v>
      </c>
      <c r="K279" s="16">
        <v>52</v>
      </c>
      <c r="L279" t="s">
        <v>39</v>
      </c>
      <c r="M279" s="25"/>
    </row>
    <row r="280" spans="1:14" x14ac:dyDescent="0.25">
      <c r="A280" s="5" t="s">
        <v>24</v>
      </c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6"/>
      <c r="M280" s="6"/>
      <c r="N280" s="6"/>
    </row>
    <row r="281" spans="1:14" x14ac:dyDescent="0.25">
      <c r="A281" t="s">
        <v>234</v>
      </c>
      <c r="J281" t="s">
        <v>41</v>
      </c>
      <c r="K281" s="7">
        <v>24</v>
      </c>
      <c r="L281" t="s">
        <v>39</v>
      </c>
      <c r="M281" s="7" t="s">
        <v>239</v>
      </c>
    </row>
    <row r="282" spans="1:14" x14ac:dyDescent="0.25">
      <c r="A282" t="s">
        <v>236</v>
      </c>
      <c r="J282" t="s">
        <v>41</v>
      </c>
      <c r="K282" s="28">
        <f>K281</f>
        <v>24</v>
      </c>
      <c r="L282" s="28" t="s">
        <v>39</v>
      </c>
      <c r="M282" s="28" t="s">
        <v>238</v>
      </c>
    </row>
    <row r="283" spans="1:14" x14ac:dyDescent="0.25">
      <c r="A283" t="s">
        <v>235</v>
      </c>
      <c r="J283" t="s">
        <v>41</v>
      </c>
      <c r="K283">
        <v>61</v>
      </c>
      <c r="L283" t="s">
        <v>39</v>
      </c>
    </row>
    <row r="284" spans="1:14" x14ac:dyDescent="0.25">
      <c r="A284" s="5" t="s">
        <v>29</v>
      </c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6"/>
      <c r="M284" s="6"/>
      <c r="N284" s="6"/>
    </row>
    <row r="285" spans="1:14" x14ac:dyDescent="0.25">
      <c r="A285" t="s">
        <v>245</v>
      </c>
      <c r="J285" t="s">
        <v>41</v>
      </c>
      <c r="K285">
        <v>100</v>
      </c>
      <c r="L285" t="s">
        <v>39</v>
      </c>
    </row>
    <row r="286" spans="1:14" x14ac:dyDescent="0.25">
      <c r="A286" t="s">
        <v>248</v>
      </c>
      <c r="J286" t="s">
        <v>41</v>
      </c>
      <c r="K286">
        <v>4</v>
      </c>
      <c r="L286" t="s">
        <v>39</v>
      </c>
      <c r="M286" t="s">
        <v>119</v>
      </c>
    </row>
    <row r="287" spans="1:14" x14ac:dyDescent="0.25">
      <c r="A287" t="s">
        <v>246</v>
      </c>
      <c r="J287" t="s">
        <v>41</v>
      </c>
      <c r="K287">
        <v>85</v>
      </c>
      <c r="L287" t="s">
        <v>39</v>
      </c>
      <c r="M287" t="s">
        <v>251</v>
      </c>
    </row>
    <row r="288" spans="1:14" x14ac:dyDescent="0.25">
      <c r="A288" t="s">
        <v>249</v>
      </c>
      <c r="J288" t="s">
        <v>41</v>
      </c>
      <c r="K288">
        <v>22</v>
      </c>
      <c r="L288" t="s">
        <v>39</v>
      </c>
      <c r="M288" t="s">
        <v>252</v>
      </c>
    </row>
    <row r="290" spans="1:14" x14ac:dyDescent="0.25">
      <c r="A290" s="3" t="s">
        <v>163</v>
      </c>
      <c r="B290" s="3"/>
      <c r="C290" s="3"/>
      <c r="D290" s="3"/>
      <c r="E290" s="3"/>
      <c r="F290" s="3"/>
      <c r="G290" s="3"/>
      <c r="H290" s="3"/>
      <c r="I290" s="3"/>
      <c r="J290" s="4"/>
      <c r="K290" s="4"/>
      <c r="L290" s="4"/>
      <c r="M290" s="4"/>
      <c r="N290" s="4"/>
    </row>
    <row r="291" spans="1:14" x14ac:dyDescent="0.25">
      <c r="G291" s="8"/>
      <c r="H291" s="8" t="s">
        <v>47</v>
      </c>
      <c r="I291" s="8"/>
      <c r="J291" s="8" t="s">
        <v>42</v>
      </c>
      <c r="K291" s="8">
        <v>-100</v>
      </c>
      <c r="L291" s="8" t="s">
        <v>48</v>
      </c>
      <c r="M291" s="8" t="s">
        <v>190</v>
      </c>
    </row>
    <row r="292" spans="1:14" x14ac:dyDescent="0.25">
      <c r="G292" s="8"/>
      <c r="H292" s="8" t="s">
        <v>45</v>
      </c>
      <c r="I292" s="8"/>
      <c r="J292" s="8" t="s">
        <v>42</v>
      </c>
      <c r="K292" s="8">
        <v>0</v>
      </c>
      <c r="L292" s="8" t="s">
        <v>39</v>
      </c>
      <c r="M292" s="8" t="s">
        <v>46</v>
      </c>
    </row>
    <row r="293" spans="1:14" x14ac:dyDescent="0.25">
      <c r="A293" s="5" t="s">
        <v>10</v>
      </c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6"/>
      <c r="M293" s="6"/>
      <c r="N293" s="6"/>
    </row>
    <row r="294" spans="1:14" x14ac:dyDescent="0.25">
      <c r="A294" t="s">
        <v>35</v>
      </c>
      <c r="G294" t="s">
        <v>90</v>
      </c>
      <c r="H294" t="s">
        <v>45</v>
      </c>
      <c r="J294" t="s">
        <v>42</v>
      </c>
      <c r="K294" s="18">
        <v>5.3</v>
      </c>
      <c r="L294" t="s">
        <v>39</v>
      </c>
      <c r="M294" t="s">
        <v>181</v>
      </c>
      <c r="N294" t="s">
        <v>104</v>
      </c>
    </row>
    <row r="295" spans="1:14" x14ac:dyDescent="0.25">
      <c r="A295" t="s">
        <v>50</v>
      </c>
      <c r="G295" t="s">
        <v>90</v>
      </c>
      <c r="H295" t="s">
        <v>45</v>
      </c>
      <c r="J295" t="s">
        <v>42</v>
      </c>
      <c r="K295" s="18">
        <v>4.9000000000000004</v>
      </c>
      <c r="L295" t="s">
        <v>39</v>
      </c>
      <c r="M295" t="s">
        <v>181</v>
      </c>
      <c r="N295" t="s">
        <v>104</v>
      </c>
    </row>
    <row r="296" spans="1:14" x14ac:dyDescent="0.25">
      <c r="A296" t="s">
        <v>93</v>
      </c>
      <c r="G296" t="s">
        <v>90</v>
      </c>
      <c r="H296" t="s">
        <v>45</v>
      </c>
      <c r="J296" t="s">
        <v>42</v>
      </c>
      <c r="K296" s="18">
        <v>12.7</v>
      </c>
      <c r="L296" t="s">
        <v>39</v>
      </c>
      <c r="M296" t="s">
        <v>181</v>
      </c>
      <c r="N296" t="s">
        <v>104</v>
      </c>
    </row>
    <row r="297" spans="1:14" x14ac:dyDescent="0.25">
      <c r="A297" t="s">
        <v>92</v>
      </c>
      <c r="G297" t="s">
        <v>90</v>
      </c>
      <c r="H297" t="s">
        <v>45</v>
      </c>
      <c r="J297" t="s">
        <v>42</v>
      </c>
      <c r="K297" s="18">
        <v>24</v>
      </c>
      <c r="L297" t="s">
        <v>39</v>
      </c>
      <c r="M297" t="s">
        <v>182</v>
      </c>
      <c r="N297" s="27" t="s">
        <v>179</v>
      </c>
    </row>
    <row r="298" spans="1:14" x14ac:dyDescent="0.25">
      <c r="A298" t="s">
        <v>91</v>
      </c>
      <c r="G298" t="s">
        <v>90</v>
      </c>
      <c r="H298" t="s">
        <v>45</v>
      </c>
      <c r="J298" t="s">
        <v>42</v>
      </c>
      <c r="K298" s="7">
        <v>10</v>
      </c>
      <c r="L298" t="s">
        <v>39</v>
      </c>
    </row>
    <row r="299" spans="1:14" x14ac:dyDescent="0.25">
      <c r="A299" s="5" t="s">
        <v>11</v>
      </c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6"/>
      <c r="M299" s="6"/>
      <c r="N299" s="6"/>
    </row>
    <row r="300" spans="1:14" x14ac:dyDescent="0.25">
      <c r="A300" s="18" t="s">
        <v>105</v>
      </c>
      <c r="G300" t="s">
        <v>90</v>
      </c>
      <c r="H300" t="s">
        <v>45</v>
      </c>
      <c r="J300" t="s">
        <v>42</v>
      </c>
      <c r="K300" s="18">
        <v>12</v>
      </c>
      <c r="L300" t="s">
        <v>39</v>
      </c>
      <c r="N300" s="27" t="s">
        <v>179</v>
      </c>
    </row>
    <row r="301" spans="1:14" x14ac:dyDescent="0.25">
      <c r="A301" s="18" t="s">
        <v>106</v>
      </c>
      <c r="G301" t="s">
        <v>90</v>
      </c>
      <c r="H301" t="s">
        <v>45</v>
      </c>
      <c r="J301" t="s">
        <v>42</v>
      </c>
      <c r="K301" s="18">
        <v>12</v>
      </c>
      <c r="L301" t="s">
        <v>39</v>
      </c>
      <c r="N301" s="27" t="s">
        <v>179</v>
      </c>
    </row>
    <row r="302" spans="1:14" x14ac:dyDescent="0.25">
      <c r="A302" s="18" t="s">
        <v>226</v>
      </c>
      <c r="G302" t="s">
        <v>90</v>
      </c>
      <c r="H302" t="s">
        <v>45</v>
      </c>
      <c r="J302" t="s">
        <v>42</v>
      </c>
      <c r="K302" s="18">
        <v>0</v>
      </c>
      <c r="L302" t="s">
        <v>39</v>
      </c>
    </row>
    <row r="303" spans="1:14" x14ac:dyDescent="0.25">
      <c r="A303" s="18" t="s">
        <v>107</v>
      </c>
      <c r="G303" t="s">
        <v>90</v>
      </c>
      <c r="H303" t="s">
        <v>45</v>
      </c>
      <c r="J303" t="s">
        <v>42</v>
      </c>
      <c r="K303" s="18">
        <v>0</v>
      </c>
      <c r="L303" t="s">
        <v>39</v>
      </c>
    </row>
    <row r="304" spans="1:14" x14ac:dyDescent="0.25">
      <c r="A304" s="5" t="s">
        <v>12</v>
      </c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6"/>
      <c r="M304" s="6"/>
      <c r="N304" s="6"/>
    </row>
    <row r="305" spans="1:14" x14ac:dyDescent="0.25">
      <c r="A305" s="18" t="s">
        <v>147</v>
      </c>
      <c r="G305" t="s">
        <v>90</v>
      </c>
      <c r="H305" t="s">
        <v>45</v>
      </c>
      <c r="J305" t="s">
        <v>42</v>
      </c>
      <c r="K305" s="18">
        <v>25</v>
      </c>
      <c r="L305" t="s">
        <v>39</v>
      </c>
      <c r="M305" t="s">
        <v>184</v>
      </c>
      <c r="N305" s="27" t="s">
        <v>179</v>
      </c>
    </row>
    <row r="306" spans="1:14" x14ac:dyDescent="0.25">
      <c r="A306" s="18" t="s">
        <v>153</v>
      </c>
      <c r="G306" t="s">
        <v>90</v>
      </c>
      <c r="H306" t="s">
        <v>45</v>
      </c>
      <c r="J306" t="s">
        <v>42</v>
      </c>
      <c r="K306" s="18">
        <v>13</v>
      </c>
      <c r="L306" t="s">
        <v>39</v>
      </c>
      <c r="M306" t="s">
        <v>185</v>
      </c>
      <c r="N306" s="27" t="s">
        <v>179</v>
      </c>
    </row>
    <row r="307" spans="1:14" x14ac:dyDescent="0.25">
      <c r="A307" s="18"/>
      <c r="K307" s="18"/>
      <c r="N307" s="27"/>
    </row>
    <row r="308" spans="1:14" x14ac:dyDescent="0.25">
      <c r="A308" s="18" t="s">
        <v>150</v>
      </c>
      <c r="G308" t="s">
        <v>90</v>
      </c>
      <c r="H308" t="s">
        <v>45</v>
      </c>
      <c r="J308" t="s">
        <v>42</v>
      </c>
      <c r="K308" s="18">
        <v>19</v>
      </c>
      <c r="L308" t="s">
        <v>39</v>
      </c>
      <c r="M308" t="s">
        <v>183</v>
      </c>
      <c r="N308" s="27" t="s">
        <v>179</v>
      </c>
    </row>
    <row r="309" spans="1:14" x14ac:dyDescent="0.25">
      <c r="A309" s="18" t="s">
        <v>113</v>
      </c>
      <c r="G309" t="s">
        <v>90</v>
      </c>
      <c r="H309" t="s">
        <v>45</v>
      </c>
      <c r="J309" t="s">
        <v>42</v>
      </c>
      <c r="K309" s="18">
        <v>9</v>
      </c>
      <c r="L309" t="s">
        <v>39</v>
      </c>
      <c r="M309" t="s">
        <v>187</v>
      </c>
      <c r="N309" s="27" t="s">
        <v>179</v>
      </c>
    </row>
    <row r="310" spans="1:14" x14ac:dyDescent="0.25">
      <c r="A310" s="18" t="s">
        <v>116</v>
      </c>
      <c r="G310" t="s">
        <v>90</v>
      </c>
      <c r="H310" t="s">
        <v>45</v>
      </c>
      <c r="J310" t="s">
        <v>42</v>
      </c>
      <c r="K310" s="18">
        <v>11</v>
      </c>
      <c r="L310" t="s">
        <v>39</v>
      </c>
      <c r="M310" s="27" t="s">
        <v>186</v>
      </c>
      <c r="N310" s="27" t="s">
        <v>179</v>
      </c>
    </row>
    <row r="311" spans="1:14" x14ac:dyDescent="0.25">
      <c r="A311" s="5" t="s">
        <v>13</v>
      </c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6"/>
      <c r="M311" s="6"/>
      <c r="N311" s="6"/>
    </row>
    <row r="312" spans="1:14" x14ac:dyDescent="0.25">
      <c r="A312" s="18" t="s">
        <v>259</v>
      </c>
      <c r="H312" t="s">
        <v>45</v>
      </c>
      <c r="J312" t="s">
        <v>42</v>
      </c>
      <c r="K312" s="18">
        <v>7.9</v>
      </c>
      <c r="L312" s="18" t="s">
        <v>39</v>
      </c>
      <c r="M312" t="s">
        <v>264</v>
      </c>
      <c r="N312" t="s">
        <v>179</v>
      </c>
    </row>
    <row r="313" spans="1:14" x14ac:dyDescent="0.25">
      <c r="A313" s="18" t="s">
        <v>260</v>
      </c>
      <c r="H313" t="s">
        <v>45</v>
      </c>
      <c r="J313" t="s">
        <v>42</v>
      </c>
      <c r="K313" s="18">
        <v>7.9</v>
      </c>
      <c r="L313" s="18" t="s">
        <v>39</v>
      </c>
      <c r="M313" t="s">
        <v>264</v>
      </c>
      <c r="N313" t="s">
        <v>179</v>
      </c>
    </row>
    <row r="314" spans="1:14" x14ac:dyDescent="0.25">
      <c r="A314" s="18" t="s">
        <v>261</v>
      </c>
      <c r="H314" t="s">
        <v>45</v>
      </c>
      <c r="J314" t="s">
        <v>42</v>
      </c>
      <c r="K314" s="18">
        <v>7.9</v>
      </c>
      <c r="L314" s="18" t="s">
        <v>39</v>
      </c>
      <c r="M314" t="s">
        <v>264</v>
      </c>
      <c r="N314" t="s">
        <v>179</v>
      </c>
    </row>
    <row r="315" spans="1:14" x14ac:dyDescent="0.25">
      <c r="A315" s="18" t="s">
        <v>263</v>
      </c>
      <c r="H315" t="s">
        <v>45</v>
      </c>
      <c r="J315" t="s">
        <v>42</v>
      </c>
      <c r="K315" s="18">
        <v>7.9</v>
      </c>
      <c r="L315" s="18" t="s">
        <v>39</v>
      </c>
      <c r="M315" t="s">
        <v>264</v>
      </c>
      <c r="N315" t="s">
        <v>179</v>
      </c>
    </row>
    <row r="316" spans="1:14" x14ac:dyDescent="0.25">
      <c r="A316" s="5" t="s">
        <v>14</v>
      </c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6"/>
      <c r="M316" s="6"/>
      <c r="N316" s="6"/>
    </row>
    <row r="317" spans="1:14" x14ac:dyDescent="0.25">
      <c r="A317" s="7"/>
      <c r="B317" t="s">
        <v>84</v>
      </c>
      <c r="G317" t="s">
        <v>90</v>
      </c>
      <c r="H317" t="s">
        <v>45</v>
      </c>
      <c r="J317" t="s">
        <v>42</v>
      </c>
      <c r="K317" s="16">
        <v>17</v>
      </c>
      <c r="L317" t="s">
        <v>39</v>
      </c>
      <c r="M317" t="s">
        <v>180</v>
      </c>
      <c r="N317" t="s">
        <v>100</v>
      </c>
    </row>
    <row r="318" spans="1:14" x14ac:dyDescent="0.25">
      <c r="A318" s="5" t="s">
        <v>23</v>
      </c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6"/>
      <c r="M318" s="6"/>
      <c r="N318" s="6"/>
    </row>
    <row r="319" spans="1:14" x14ac:dyDescent="0.25">
      <c r="A319" t="s">
        <v>57</v>
      </c>
      <c r="G319" t="s">
        <v>90</v>
      </c>
      <c r="H319" t="s">
        <v>45</v>
      </c>
      <c r="J319" t="s">
        <v>42</v>
      </c>
      <c r="K319" s="7">
        <v>2.4</v>
      </c>
      <c r="L319" t="s">
        <v>39</v>
      </c>
    </row>
    <row r="320" spans="1:14" x14ac:dyDescent="0.25">
      <c r="A320" t="s">
        <v>101</v>
      </c>
      <c r="G320" t="s">
        <v>90</v>
      </c>
      <c r="H320" t="s">
        <v>45</v>
      </c>
      <c r="J320" t="s">
        <v>42</v>
      </c>
      <c r="K320" s="7">
        <v>15.4</v>
      </c>
      <c r="L320" t="s">
        <v>39</v>
      </c>
    </row>
    <row r="321" spans="1:14" x14ac:dyDescent="0.25">
      <c r="A321" s="5" t="s">
        <v>20</v>
      </c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6"/>
      <c r="M321" s="6"/>
      <c r="N321" s="6"/>
    </row>
    <row r="322" spans="1:14" x14ac:dyDescent="0.25">
      <c r="B322" t="s">
        <v>224</v>
      </c>
      <c r="H322" t="s">
        <v>45</v>
      </c>
      <c r="J322" t="s">
        <v>42</v>
      </c>
      <c r="K322">
        <v>34.200000000000003</v>
      </c>
      <c r="L322" t="s">
        <v>39</v>
      </c>
      <c r="M322" t="s">
        <v>231</v>
      </c>
      <c r="N322" s="27" t="s">
        <v>232</v>
      </c>
    </row>
    <row r="323" spans="1:14" x14ac:dyDescent="0.25">
      <c r="A323" s="5" t="s">
        <v>22</v>
      </c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6"/>
      <c r="M323" s="6"/>
      <c r="N323" s="6"/>
    </row>
    <row r="324" spans="1:14" x14ac:dyDescent="0.25">
      <c r="A324" t="s">
        <v>138</v>
      </c>
      <c r="G324" t="s">
        <v>90</v>
      </c>
      <c r="H324" t="s">
        <v>45</v>
      </c>
      <c r="J324" t="s">
        <v>42</v>
      </c>
      <c r="K324" s="24">
        <v>1</v>
      </c>
      <c r="L324" t="s">
        <v>39</v>
      </c>
    </row>
    <row r="325" spans="1:14" x14ac:dyDescent="0.25">
      <c r="A325" s="5" t="s">
        <v>29</v>
      </c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6"/>
      <c r="M325" s="6"/>
      <c r="N325" s="6"/>
    </row>
    <row r="326" spans="1:14" x14ac:dyDescent="0.25">
      <c r="A326" t="s">
        <v>245</v>
      </c>
      <c r="H326" t="s">
        <v>45</v>
      </c>
      <c r="J326" t="s">
        <v>42</v>
      </c>
      <c r="K326" s="18">
        <v>24.7</v>
      </c>
      <c r="L326" t="s">
        <v>39</v>
      </c>
      <c r="M326" t="s">
        <v>253</v>
      </c>
      <c r="N326" s="27" t="s">
        <v>179</v>
      </c>
    </row>
    <row r="327" spans="1:14" x14ac:dyDescent="0.25">
      <c r="A327" t="s">
        <v>248</v>
      </c>
      <c r="H327" t="s">
        <v>45</v>
      </c>
      <c r="J327" t="s">
        <v>42</v>
      </c>
      <c r="K327" s="18">
        <v>8</v>
      </c>
      <c r="L327" t="s">
        <v>39</v>
      </c>
      <c r="M327" t="s">
        <v>178</v>
      </c>
      <c r="N327" s="27" t="s">
        <v>179</v>
      </c>
    </row>
    <row r="328" spans="1:14" x14ac:dyDescent="0.25">
      <c r="A328" t="s">
        <v>246</v>
      </c>
      <c r="H328" t="s">
        <v>45</v>
      </c>
      <c r="J328" t="s">
        <v>42</v>
      </c>
      <c r="K328">
        <v>7.9</v>
      </c>
      <c r="L328" t="s">
        <v>39</v>
      </c>
      <c r="M328" t="s">
        <v>266</v>
      </c>
      <c r="N328" s="27" t="s">
        <v>179</v>
      </c>
    </row>
    <row r="329" spans="1:14" x14ac:dyDescent="0.25">
      <c r="A329" t="s">
        <v>249</v>
      </c>
      <c r="H329" t="s">
        <v>45</v>
      </c>
      <c r="J329" t="s">
        <v>42</v>
      </c>
      <c r="K329">
        <v>4.7</v>
      </c>
      <c r="L329" t="s">
        <v>39</v>
      </c>
      <c r="M329" t="s">
        <v>254</v>
      </c>
      <c r="N329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tabSelected="1" workbookViewId="0">
      <selection activeCell="D18" sqref="D18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267</v>
      </c>
      <c r="F1" s="2" t="s">
        <v>268</v>
      </c>
      <c r="G1" s="2" t="s">
        <v>269</v>
      </c>
      <c r="H1" s="2" t="s">
        <v>270</v>
      </c>
      <c r="I1" s="2" t="s">
        <v>271</v>
      </c>
      <c r="J1" s="2" t="s">
        <v>272</v>
      </c>
      <c r="K1" s="2" t="s">
        <v>273</v>
      </c>
      <c r="L1" s="2" t="s">
        <v>274</v>
      </c>
    </row>
    <row r="2" spans="1:12" x14ac:dyDescent="0.25">
      <c r="A2" s="2"/>
      <c r="B2" s="2"/>
      <c r="C2" s="2"/>
      <c r="D2" t="s">
        <v>5</v>
      </c>
      <c r="E2" s="30" t="s">
        <v>275</v>
      </c>
      <c r="F2" s="30">
        <v>1</v>
      </c>
      <c r="G2" s="31">
        <f>F2*(1.006^5)</f>
        <v>1.030362166487776</v>
      </c>
      <c r="H2" s="31">
        <f t="shared" ref="H2:L2" si="0">G2*(1.006^5)</f>
        <v>1.0616461941293835</v>
      </c>
      <c r="I2" s="31">
        <f t="shared" si="0"/>
        <v>1.0938800726266538</v>
      </c>
      <c r="J2" s="31">
        <f t="shared" si="0"/>
        <v>1.1270926415094047</v>
      </c>
      <c r="K2" s="31">
        <f t="shared" si="0"/>
        <v>1.1613136159380604</v>
      </c>
      <c r="L2" s="31">
        <f t="shared" si="0"/>
        <v>1.1965736132896929</v>
      </c>
    </row>
    <row r="3" spans="1:12" x14ac:dyDescent="0.25">
      <c r="A3" s="2"/>
      <c r="B3" s="2"/>
      <c r="C3" s="2"/>
      <c r="D3" s="7" t="s">
        <v>18</v>
      </c>
      <c r="E3" s="7" t="s">
        <v>275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275</v>
      </c>
      <c r="F4">
        <v>1</v>
      </c>
      <c r="G4" s="1">
        <f>F4*(0.99^5)</f>
        <v>0.95099004989999991</v>
      </c>
      <c r="H4" s="1">
        <f t="shared" ref="H4:J4" si="1">G4*(0.99^5)</f>
        <v>0.9043820750088043</v>
      </c>
      <c r="I4" s="1">
        <f t="shared" si="1"/>
        <v>0.86005835464128821</v>
      </c>
      <c r="J4" s="1">
        <f t="shared" si="1"/>
        <v>0.81790693759723054</v>
      </c>
      <c r="K4" s="1"/>
      <c r="L4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scn_baseline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2023-05-17T09:06:38Z</dcterms:modified>
</cp:coreProperties>
</file>