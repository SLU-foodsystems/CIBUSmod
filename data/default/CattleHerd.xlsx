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22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K39" i="1" l="1"/>
  <c r="K196" i="1" l="1"/>
  <c r="K195" i="1"/>
  <c r="K194" i="1"/>
  <c r="K193" i="1"/>
  <c r="K192" i="1"/>
  <c r="K191" i="1"/>
  <c r="K190" i="1"/>
  <c r="K189" i="1"/>
  <c r="K188" i="1"/>
  <c r="K187" i="1"/>
  <c r="K186" i="1"/>
  <c r="K185" i="1"/>
  <c r="K7" i="12" l="1"/>
  <c r="K6" i="12"/>
  <c r="K5" i="12"/>
  <c r="K4" i="12"/>
  <c r="K3" i="12"/>
  <c r="J7" i="12"/>
  <c r="J6" i="12"/>
  <c r="J5" i="12"/>
  <c r="J4" i="12"/>
  <c r="J3" i="12"/>
  <c r="D4" i="12"/>
  <c r="D5" i="12"/>
  <c r="D6" i="12"/>
  <c r="D7" i="12"/>
  <c r="D3" i="12"/>
  <c r="G4" i="12"/>
  <c r="G5" i="12"/>
  <c r="G6" i="12"/>
  <c r="G7" i="12"/>
  <c r="G3" i="12"/>
  <c r="K128" i="1" l="1"/>
  <c r="K127" i="1"/>
  <c r="K126" i="1"/>
  <c r="K125" i="1"/>
  <c r="K124" i="1"/>
  <c r="K123" i="1"/>
  <c r="K122" i="1"/>
  <c r="K121" i="1"/>
  <c r="K120" i="1"/>
  <c r="K119" i="1"/>
  <c r="K118" i="1"/>
  <c r="K49" i="1" s="1"/>
  <c r="K117" i="1"/>
  <c r="K45" i="1"/>
  <c r="K44" i="1"/>
  <c r="O39" i="1" s="1"/>
  <c r="K67" i="1"/>
  <c r="K43" i="1"/>
  <c r="K40" i="1"/>
  <c r="K41" i="1" l="1"/>
  <c r="F1038" i="1"/>
  <c r="K1038" i="1" s="1"/>
  <c r="F1037" i="1"/>
  <c r="K1037" i="1" s="1"/>
  <c r="F1036" i="1"/>
  <c r="K1036" i="1" s="1"/>
  <c r="F1035" i="1"/>
  <c r="K1035" i="1" s="1"/>
  <c r="F1034" i="1"/>
  <c r="K1034" i="1" s="1"/>
  <c r="F1033" i="1"/>
  <c r="K1033" i="1" s="1"/>
  <c r="F1032" i="1"/>
  <c r="K1032" i="1" s="1"/>
  <c r="F1031" i="1"/>
  <c r="K1031" i="1" s="1"/>
  <c r="F1030" i="1"/>
  <c r="K1030" i="1" s="1"/>
  <c r="F1029" i="1"/>
  <c r="K1029" i="1" s="1"/>
  <c r="F1028" i="1"/>
  <c r="K1028" i="1" s="1"/>
  <c r="F1027" i="1"/>
  <c r="K1027" i="1" s="1"/>
  <c r="F1026" i="1"/>
  <c r="K1026" i="1" s="1"/>
  <c r="F1025" i="1"/>
  <c r="K1025" i="1" s="1"/>
  <c r="F1024" i="1"/>
  <c r="K1024" i="1" s="1"/>
  <c r="F1023" i="1"/>
  <c r="K1023" i="1" s="1"/>
  <c r="F1022" i="1"/>
  <c r="K1022" i="1" s="1"/>
  <c r="F1021" i="1"/>
  <c r="A1021" i="1"/>
  <c r="F1020" i="1"/>
  <c r="K1020" i="1" s="1"/>
  <c r="F1019" i="1"/>
  <c r="K1019" i="1" s="1"/>
  <c r="F1018" i="1"/>
  <c r="K1018" i="1" s="1"/>
  <c r="F1017" i="1"/>
  <c r="K1017" i="1" s="1"/>
  <c r="F1016" i="1"/>
  <c r="K1016" i="1" s="1"/>
  <c r="F1015" i="1"/>
  <c r="K1015" i="1" s="1"/>
  <c r="F1014" i="1"/>
  <c r="K1014" i="1" s="1"/>
  <c r="F1013" i="1"/>
  <c r="K1013" i="1" s="1"/>
  <c r="F1012" i="1"/>
  <c r="K1012" i="1" s="1"/>
  <c r="F1011" i="1"/>
  <c r="K1011" i="1" s="1"/>
  <c r="F1010" i="1"/>
  <c r="K1010" i="1" s="1"/>
  <c r="F1009" i="1"/>
  <c r="K1009" i="1" s="1"/>
  <c r="F1008" i="1"/>
  <c r="K1008" i="1" s="1"/>
  <c r="F1007" i="1"/>
  <c r="K1007" i="1" s="1"/>
  <c r="F1006" i="1"/>
  <c r="K1006" i="1" s="1"/>
  <c r="F1005" i="1"/>
  <c r="K1005" i="1" s="1"/>
  <c r="F1004" i="1"/>
  <c r="K1004" i="1" s="1"/>
  <c r="F1003" i="1"/>
  <c r="K1003" i="1" s="1"/>
  <c r="F1002" i="1"/>
  <c r="K1002" i="1" s="1"/>
  <c r="F1001" i="1"/>
  <c r="K1001" i="1" s="1"/>
  <c r="F1000" i="1"/>
  <c r="K1000" i="1" s="1"/>
  <c r="F980" i="1"/>
  <c r="K980" i="1" s="1"/>
  <c r="F979" i="1"/>
  <c r="K979" i="1" s="1"/>
  <c r="F939" i="1"/>
  <c r="F703" i="1"/>
  <c r="K703" i="1" s="1"/>
  <c r="F702" i="1"/>
  <c r="K702" i="1" s="1"/>
  <c r="F701" i="1"/>
  <c r="K701" i="1" s="1"/>
  <c r="F700" i="1"/>
  <c r="K700" i="1" s="1"/>
  <c r="F699" i="1"/>
  <c r="K699" i="1" s="1"/>
  <c r="F698" i="1"/>
  <c r="K698" i="1" s="1"/>
  <c r="F697" i="1"/>
  <c r="K697" i="1" s="1"/>
  <c r="F696" i="1"/>
  <c r="K696" i="1" s="1"/>
  <c r="F695" i="1"/>
  <c r="K695" i="1" s="1"/>
  <c r="F694" i="1"/>
  <c r="K694" i="1" s="1"/>
  <c r="F693" i="1"/>
  <c r="K693" i="1" s="1"/>
  <c r="F692" i="1"/>
  <c r="K692" i="1" s="1"/>
  <c r="F691" i="1"/>
  <c r="K691" i="1" s="1"/>
  <c r="F690" i="1"/>
  <c r="K690" i="1" s="1"/>
  <c r="F689" i="1"/>
  <c r="K689" i="1" s="1"/>
  <c r="F688" i="1"/>
  <c r="K688" i="1" s="1"/>
  <c r="F687" i="1"/>
  <c r="K687" i="1" s="1"/>
  <c r="F686" i="1"/>
  <c r="A686" i="1"/>
  <c r="F685" i="1"/>
  <c r="K685" i="1" s="1"/>
  <c r="F684" i="1"/>
  <c r="K684" i="1" s="1"/>
  <c r="F683" i="1"/>
  <c r="K683" i="1" s="1"/>
  <c r="F682" i="1"/>
  <c r="K682" i="1" s="1"/>
  <c r="F681" i="1"/>
  <c r="K681" i="1" s="1"/>
  <c r="F680" i="1"/>
  <c r="K680" i="1" s="1"/>
  <c r="F679" i="1"/>
  <c r="K679" i="1" s="1"/>
  <c r="F678" i="1"/>
  <c r="K678" i="1" s="1"/>
  <c r="F677" i="1"/>
  <c r="K677" i="1" s="1"/>
  <c r="F676" i="1"/>
  <c r="K676" i="1" s="1"/>
  <c r="F675" i="1"/>
  <c r="K675" i="1" s="1"/>
  <c r="F674" i="1"/>
  <c r="K674" i="1" s="1"/>
  <c r="F673" i="1"/>
  <c r="K673" i="1" s="1"/>
  <c r="F672" i="1"/>
  <c r="K672" i="1" s="1"/>
  <c r="F671" i="1"/>
  <c r="K671" i="1" s="1"/>
  <c r="F670" i="1"/>
  <c r="K670" i="1" s="1"/>
  <c r="F669" i="1"/>
  <c r="K669" i="1" s="1"/>
  <c r="F668" i="1"/>
  <c r="K668" i="1" s="1"/>
  <c r="F667" i="1"/>
  <c r="K667" i="1" s="1"/>
  <c r="F666" i="1"/>
  <c r="K666" i="1" s="1"/>
  <c r="F665" i="1"/>
  <c r="K665" i="1" s="1"/>
  <c r="F604" i="1"/>
  <c r="AO67" i="21"/>
  <c r="AO68" i="21"/>
  <c r="AO69" i="21"/>
  <c r="AO70" i="21"/>
  <c r="AO71" i="21"/>
  <c r="F537" i="1"/>
  <c r="K537" i="1" s="1"/>
  <c r="F536" i="1"/>
  <c r="K536" i="1" s="1"/>
  <c r="F535" i="1"/>
  <c r="K535" i="1" s="1"/>
  <c r="F534" i="1"/>
  <c r="K534" i="1" s="1"/>
  <c r="F533" i="1"/>
  <c r="K533" i="1" s="1"/>
  <c r="F532" i="1"/>
  <c r="K532" i="1" s="1"/>
  <c r="F531" i="1"/>
  <c r="K531" i="1" s="1"/>
  <c r="F530" i="1"/>
  <c r="K530" i="1" s="1"/>
  <c r="F529" i="1"/>
  <c r="K529" i="1" s="1"/>
  <c r="F528" i="1"/>
  <c r="K528" i="1" s="1"/>
  <c r="F527" i="1"/>
  <c r="K527" i="1" s="1"/>
  <c r="F526" i="1"/>
  <c r="K526" i="1" s="1"/>
  <c r="F525" i="1"/>
  <c r="K525" i="1" s="1"/>
  <c r="F524" i="1"/>
  <c r="K524" i="1" s="1"/>
  <c r="F523" i="1"/>
  <c r="K523" i="1" s="1"/>
  <c r="F522" i="1"/>
  <c r="K522" i="1" s="1"/>
  <c r="F521" i="1"/>
  <c r="K521" i="1" s="1"/>
  <c r="F520" i="1"/>
  <c r="K520" i="1" s="1"/>
  <c r="F519" i="1"/>
  <c r="K519" i="1" s="1"/>
  <c r="F518" i="1"/>
  <c r="K518" i="1" s="1"/>
  <c r="F517" i="1"/>
  <c r="K517" i="1" s="1"/>
  <c r="F516" i="1"/>
  <c r="K516" i="1" s="1"/>
  <c r="F515" i="1"/>
  <c r="K515" i="1" s="1"/>
  <c r="F514" i="1"/>
  <c r="K514" i="1" s="1"/>
  <c r="F513" i="1"/>
  <c r="K513" i="1" s="1"/>
  <c r="F512" i="1"/>
  <c r="K512" i="1" s="1"/>
  <c r="F511" i="1"/>
  <c r="K511" i="1" s="1"/>
  <c r="F510" i="1"/>
  <c r="F509" i="1"/>
  <c r="F508" i="1"/>
  <c r="K508" i="1" s="1"/>
  <c r="F507" i="1"/>
  <c r="K507" i="1" s="1"/>
  <c r="F506" i="1"/>
  <c r="K506" i="1" s="1"/>
  <c r="F505" i="1"/>
  <c r="K505" i="1" s="1"/>
  <c r="F504" i="1"/>
  <c r="K504" i="1" s="1"/>
  <c r="F503" i="1"/>
  <c r="F502" i="1"/>
  <c r="K502" i="1" s="1"/>
  <c r="F501" i="1"/>
  <c r="K501" i="1" s="1"/>
  <c r="F500" i="1"/>
  <c r="K500" i="1" s="1"/>
  <c r="F499" i="1"/>
  <c r="K499" i="1" s="1"/>
  <c r="T120" i="21"/>
  <c r="T82" i="21"/>
  <c r="T81" i="21"/>
  <c r="T80" i="21"/>
  <c r="T79" i="21"/>
  <c r="T78" i="21"/>
  <c r="T73" i="21"/>
  <c r="Q120" i="21"/>
  <c r="Q103" i="21"/>
  <c r="Q86" i="21"/>
  <c r="M86" i="21"/>
  <c r="Y54" i="21"/>
  <c r="Y53" i="21"/>
  <c r="Y52" i="21"/>
  <c r="Y51" i="21"/>
  <c r="Y50" i="21"/>
  <c r="Y49" i="21"/>
  <c r="Y48" i="21"/>
  <c r="Y47" i="21"/>
  <c r="Y31" i="21"/>
  <c r="Y30" i="21"/>
  <c r="Y29" i="21"/>
  <c r="Y28" i="21"/>
  <c r="Y27" i="21"/>
  <c r="Y26" i="21"/>
  <c r="Q78" i="21"/>
  <c r="Q77" i="21"/>
  <c r="Q73" i="21"/>
  <c r="K120" i="21"/>
  <c r="K78" i="21"/>
  <c r="K72" i="21"/>
  <c r="K1021" i="1" l="1"/>
  <c r="K686" i="1"/>
  <c r="K503" i="1"/>
  <c r="K509" i="1"/>
  <c r="K510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645" i="1"/>
  <c r="F621" i="1"/>
  <c r="F620" i="1"/>
  <c r="F619" i="1"/>
  <c r="F618" i="1"/>
  <c r="F617" i="1"/>
  <c r="F616" i="1"/>
  <c r="F615" i="1"/>
  <c r="F614" i="1"/>
  <c r="F613" i="1"/>
  <c r="F612" i="1"/>
  <c r="F611" i="1"/>
  <c r="K611" i="1" s="1"/>
  <c r="F610" i="1"/>
  <c r="K610" i="1" s="1"/>
  <c r="F609" i="1"/>
  <c r="K609" i="1" s="1"/>
  <c r="F608" i="1"/>
  <c r="K608" i="1" s="1"/>
  <c r="F607" i="1"/>
  <c r="K607" i="1" s="1"/>
  <c r="F606" i="1"/>
  <c r="K606" i="1" s="1"/>
  <c r="F605" i="1"/>
  <c r="K605" i="1" s="1"/>
  <c r="F603" i="1"/>
  <c r="K603" i="1" s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J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479" i="1"/>
  <c r="F395" i="1"/>
  <c r="F353" i="1"/>
  <c r="F312" i="1"/>
  <c r="F2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AP71" i="21"/>
  <c r="AY33" i="21"/>
  <c r="AX33" i="21"/>
  <c r="AW33" i="21"/>
  <c r="AV33" i="21"/>
  <c r="AU33" i="21"/>
  <c r="AY30" i="21"/>
  <c r="AX30" i="21"/>
  <c r="AW30" i="21"/>
  <c r="AV30" i="21"/>
  <c r="AU30" i="21"/>
  <c r="AT33" i="21"/>
  <c r="AT30" i="21"/>
  <c r="M72" i="21" s="1"/>
  <c r="Y23" i="21"/>
  <c r="AL72" i="21"/>
  <c r="AL73" i="21"/>
  <c r="AL74" i="21"/>
  <c r="AL75" i="21"/>
  <c r="AL76" i="21"/>
  <c r="AL77" i="21"/>
  <c r="AL78" i="21"/>
  <c r="AL79" i="21"/>
  <c r="AL80" i="21"/>
  <c r="AL81" i="21"/>
  <c r="AL82" i="21"/>
  <c r="AL83" i="21"/>
  <c r="AL84" i="21"/>
  <c r="AL85" i="21"/>
  <c r="AL86" i="21"/>
  <c r="AL87" i="21"/>
  <c r="AL88" i="21"/>
  <c r="AL89" i="21"/>
  <c r="AL90" i="21"/>
  <c r="AL91" i="21"/>
  <c r="AL92" i="21"/>
  <c r="AL93" i="21"/>
  <c r="AL94" i="21"/>
  <c r="AL95" i="21"/>
  <c r="AL96" i="21"/>
  <c r="AL97" i="21"/>
  <c r="AL98" i="21"/>
  <c r="AL99" i="21"/>
  <c r="AL100" i="21"/>
  <c r="AL101" i="21"/>
  <c r="AL102" i="21"/>
  <c r="AL103" i="21"/>
  <c r="AL104" i="21"/>
  <c r="AL105" i="21"/>
  <c r="AL106" i="21"/>
  <c r="AL107" i="21"/>
  <c r="AL108" i="21"/>
  <c r="AL109" i="21"/>
  <c r="AL110" i="21"/>
  <c r="AB93" i="21"/>
  <c r="AC93" i="21"/>
  <c r="AD93" i="21"/>
  <c r="AE93" i="21"/>
  <c r="AF93" i="21"/>
  <c r="AB92" i="21"/>
  <c r="T123" i="21"/>
  <c r="AR80" i="21" s="1"/>
  <c r="M103" i="21"/>
  <c r="M78" i="21"/>
  <c r="M77" i="21"/>
  <c r="M74" i="21"/>
  <c r="M120" i="21"/>
  <c r="AR79" i="21" l="1"/>
  <c r="AR77" i="21"/>
  <c r="AR87" i="21"/>
  <c r="AR110" i="21"/>
  <c r="AR108" i="21"/>
  <c r="AR100" i="21"/>
  <c r="AR92" i="21"/>
  <c r="AR84" i="21"/>
  <c r="AR76" i="21"/>
  <c r="AR103" i="21"/>
  <c r="AR109" i="21"/>
  <c r="AR95" i="21"/>
  <c r="AR102" i="21"/>
  <c r="AR101" i="21"/>
  <c r="AR107" i="21"/>
  <c r="AR99" i="21"/>
  <c r="AR91" i="21"/>
  <c r="AR83" i="21"/>
  <c r="AR75" i="21"/>
  <c r="AR86" i="21"/>
  <c r="AR85" i="21"/>
  <c r="AR94" i="21"/>
  <c r="AR93" i="21"/>
  <c r="AR106" i="21"/>
  <c r="AR98" i="21"/>
  <c r="AR90" i="21"/>
  <c r="AR82" i="21"/>
  <c r="AR74" i="21"/>
  <c r="AR97" i="21"/>
  <c r="AR89" i="21"/>
  <c r="AR78" i="21"/>
  <c r="AR105" i="21"/>
  <c r="AR81" i="21"/>
  <c r="AR104" i="21"/>
  <c r="AR96" i="21"/>
  <c r="AR88" i="21"/>
  <c r="BE29" i="21"/>
  <c r="BD29" i="21"/>
  <c r="BC29" i="21"/>
  <c r="BB29" i="21"/>
  <c r="BA29" i="21"/>
  <c r="AZ29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R71" i="21"/>
  <c r="AM71" i="21"/>
  <c r="AL71" i="21"/>
  <c r="AK71" i="21"/>
  <c r="AI71" i="21"/>
  <c r="AF71" i="21"/>
  <c r="AE71" i="21"/>
  <c r="AD71" i="21"/>
  <c r="AC71" i="21"/>
  <c r="AB71" i="21"/>
  <c r="AR69" i="21"/>
  <c r="AR70" i="21"/>
  <c r="AR67" i="21"/>
  <c r="AR68" i="21"/>
  <c r="AR66" i="21"/>
  <c r="AK67" i="21"/>
  <c r="AK68" i="21"/>
  <c r="AK69" i="21"/>
  <c r="AK70" i="21"/>
  <c r="AK66" i="21"/>
  <c r="AI66" i="21"/>
  <c r="AT70" i="21"/>
  <c r="AS70" i="21"/>
  <c r="AQ70" i="21"/>
  <c r="AP70" i="21"/>
  <c r="AN70" i="21"/>
  <c r="AM70" i="21"/>
  <c r="AL70" i="21"/>
  <c r="AJ70" i="21"/>
  <c r="AI70" i="21"/>
  <c r="AH70" i="21"/>
  <c r="AG70" i="21"/>
  <c r="AF70" i="21"/>
  <c r="AE70" i="21"/>
  <c r="AD70" i="21"/>
  <c r="AC70" i="21"/>
  <c r="AT69" i="21"/>
  <c r="AS69" i="21"/>
  <c r="AQ69" i="21"/>
  <c r="AP69" i="21"/>
  <c r="AN69" i="21"/>
  <c r="AM69" i="21"/>
  <c r="AL69" i="21"/>
  <c r="AJ69" i="21"/>
  <c r="AI69" i="21"/>
  <c r="AH69" i="21"/>
  <c r="AG69" i="21"/>
  <c r="AF69" i="21"/>
  <c r="AE69" i="21"/>
  <c r="AD69" i="21"/>
  <c r="AC69" i="21"/>
  <c r="AT68" i="21"/>
  <c r="AT71" i="21" s="1"/>
  <c r="AS68" i="21"/>
  <c r="AS71" i="21" s="1"/>
  <c r="AQ68" i="21"/>
  <c r="AQ71" i="21" s="1"/>
  <c r="AP68" i="21"/>
  <c r="AN68" i="21"/>
  <c r="AN71" i="21" s="1"/>
  <c r="AM68" i="21"/>
  <c r="AL68" i="21"/>
  <c r="AJ68" i="21"/>
  <c r="AJ71" i="21" s="1"/>
  <c r="AI68" i="21"/>
  <c r="AH68" i="21"/>
  <c r="AH71" i="21" s="1"/>
  <c r="AG68" i="21"/>
  <c r="AG71" i="21" s="1"/>
  <c r="AF68" i="21"/>
  <c r="AE68" i="21"/>
  <c r="AD68" i="21"/>
  <c r="AC68" i="21"/>
  <c r="AT67" i="21"/>
  <c r="AS67" i="21"/>
  <c r="AQ67" i="21"/>
  <c r="AP67" i="21"/>
  <c r="AN67" i="21"/>
  <c r="AM67" i="21"/>
  <c r="AL67" i="21"/>
  <c r="AJ67" i="21"/>
  <c r="AI67" i="21"/>
  <c r="AH67" i="21"/>
  <c r="AG67" i="21"/>
  <c r="AF67" i="21"/>
  <c r="AE67" i="21"/>
  <c r="AD67" i="21"/>
  <c r="AC67" i="21"/>
  <c r="AB70" i="21"/>
  <c r="AB69" i="21"/>
  <c r="AB68" i="21"/>
  <c r="AB67" i="21"/>
  <c r="BE35" i="21"/>
  <c r="BD35" i="21"/>
  <c r="BC35" i="21"/>
  <c r="BB35" i="21"/>
  <c r="BE30" i="21"/>
  <c r="BD30" i="21"/>
  <c r="BC30" i="21"/>
  <c r="BB30" i="21"/>
  <c r="BE42" i="21"/>
  <c r="BD42" i="21"/>
  <c r="AR72" i="21" l="1"/>
  <c r="AR73" i="21"/>
  <c r="K395" i="1"/>
  <c r="K591" i="1"/>
  <c r="K583" i="1"/>
  <c r="K599" i="1"/>
  <c r="K588" i="1"/>
  <c r="K586" i="1"/>
  <c r="K592" i="1"/>
  <c r="K615" i="1"/>
  <c r="K620" i="1"/>
  <c r="K601" i="1"/>
  <c r="K584" i="1"/>
  <c r="K589" i="1"/>
  <c r="K590" i="1"/>
  <c r="K593" i="1"/>
  <c r="K600" i="1"/>
  <c r="K614" i="1"/>
  <c r="K616" i="1"/>
  <c r="K621" i="1"/>
  <c r="K618" i="1"/>
  <c r="K594" i="1"/>
  <c r="K585" i="1"/>
  <c r="K587" i="1"/>
  <c r="K595" i="1"/>
  <c r="K617" i="1"/>
  <c r="K602" i="1"/>
  <c r="K619" i="1"/>
  <c r="K596" i="1"/>
  <c r="K613" i="1"/>
  <c r="K612" i="1"/>
  <c r="K597" i="1"/>
  <c r="K598" i="1"/>
  <c r="K479" i="1"/>
  <c r="K32" i="1"/>
  <c r="K56" i="1" s="1"/>
  <c r="K55" i="1"/>
  <c r="K69" i="1"/>
  <c r="K68" i="1"/>
  <c r="K33" i="1"/>
  <c r="K58" i="1" s="1"/>
  <c r="AL21" i="21"/>
  <c r="AL22" i="21" s="1"/>
  <c r="AK21" i="21"/>
  <c r="AK22" i="21" s="1"/>
  <c r="AJ21" i="21"/>
  <c r="AJ22" i="21" s="1"/>
  <c r="AI21" i="21"/>
  <c r="AI22" i="21" s="1"/>
  <c r="AH21" i="21"/>
  <c r="AH22" i="21" s="1"/>
  <c r="AG21" i="21"/>
  <c r="AG22" i="21" s="1"/>
  <c r="AF21" i="21"/>
  <c r="AF22" i="21" s="1"/>
  <c r="AE21" i="21"/>
  <c r="AE22" i="21" s="1"/>
  <c r="AD21" i="21"/>
  <c r="AD22" i="21" s="1"/>
  <c r="AR114" i="21" l="1"/>
  <c r="AR115" i="21" s="1"/>
  <c r="AR112" i="21"/>
  <c r="K57" i="1"/>
  <c r="K66" i="1"/>
  <c r="K35" i="1" l="1"/>
  <c r="K34" i="1"/>
  <c r="K48" i="1"/>
  <c r="K47" i="1"/>
  <c r="J771" i="1" l="1"/>
  <c r="P120" i="21"/>
  <c r="P87" i="21"/>
  <c r="P78" i="21"/>
  <c r="P77" i="21"/>
  <c r="P73" i="21"/>
  <c r="AC21" i="21"/>
  <c r="AC22" i="21" s="1"/>
  <c r="AB21" i="21"/>
  <c r="AB22" i="21" s="1"/>
  <c r="AA21" i="21"/>
  <c r="AA22" i="21" s="1"/>
  <c r="J72" i="21"/>
  <c r="E120" i="21"/>
  <c r="N120" i="21" s="1"/>
  <c r="D120" i="21"/>
  <c r="E77" i="21"/>
  <c r="N77" i="21" s="1"/>
  <c r="D77" i="21"/>
  <c r="E76" i="21"/>
  <c r="N76" i="21" s="1"/>
  <c r="D76" i="21"/>
  <c r="E73" i="21"/>
  <c r="N73" i="21" s="1"/>
  <c r="D73" i="21"/>
  <c r="E74" i="21"/>
  <c r="N74" i="21" s="1"/>
  <c r="D74" i="21"/>
  <c r="I72" i="21"/>
  <c r="N123" i="21" l="1"/>
  <c r="AC66" i="21"/>
  <c r="AL66" i="21"/>
  <c r="E123" i="21"/>
  <c r="AC74" i="21" s="1"/>
  <c r="J897" i="1"/>
  <c r="A897" i="1"/>
  <c r="A562" i="1"/>
  <c r="R120" i="21"/>
  <c r="R87" i="21"/>
  <c r="R84" i="21"/>
  <c r="R78" i="21"/>
  <c r="R77" i="21"/>
  <c r="AO66" i="21" s="1"/>
  <c r="R73" i="21"/>
  <c r="O72" i="1"/>
  <c r="K72" i="1" s="1"/>
  <c r="K70" i="1" s="1"/>
  <c r="O73" i="1"/>
  <c r="K73" i="1" s="1"/>
  <c r="O74" i="1"/>
  <c r="O61" i="1"/>
  <c r="O62" i="1"/>
  <c r="O63" i="1"/>
  <c r="O64" i="1" s="1"/>
  <c r="J18" i="10"/>
  <c r="I18" i="10"/>
  <c r="K18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O13" i="10"/>
  <c r="P13" i="10"/>
  <c r="B13" i="10"/>
  <c r="N13" i="10"/>
  <c r="C13" i="10"/>
  <c r="H11" i="10"/>
  <c r="D13" i="10"/>
  <c r="H10" i="10"/>
  <c r="I13" i="10"/>
  <c r="H13" i="10"/>
  <c r="J13" i="10"/>
  <c r="K71" i="1" l="1"/>
  <c r="O75" i="1"/>
  <c r="K75" i="1" s="1"/>
  <c r="K101" i="1"/>
  <c r="K36" i="1" s="1"/>
  <c r="K105" i="1"/>
  <c r="K107" i="1"/>
  <c r="L13" i="10"/>
  <c r="K13" i="10"/>
  <c r="R13" i="10"/>
  <c r="F13" i="10"/>
  <c r="Q13" i="10"/>
  <c r="AC107" i="21"/>
  <c r="AC90" i="21"/>
  <c r="AC88" i="21"/>
  <c r="AC110" i="21"/>
  <c r="AC75" i="21"/>
  <c r="AC106" i="21"/>
  <c r="AC89" i="21"/>
  <c r="AC103" i="21"/>
  <c r="AC78" i="21"/>
  <c r="AC109" i="21"/>
  <c r="AC105" i="21"/>
  <c r="AC104" i="21"/>
  <c r="AC87" i="21"/>
  <c r="AC86" i="21"/>
  <c r="AC102" i="21"/>
  <c r="AC85" i="21"/>
  <c r="AC92" i="21"/>
  <c r="AC101" i="21"/>
  <c r="AC84" i="21"/>
  <c r="AC98" i="21"/>
  <c r="AC97" i="21"/>
  <c r="AC80" i="21"/>
  <c r="AC96" i="21"/>
  <c r="AC79" i="21"/>
  <c r="AC95" i="21"/>
  <c r="AC94" i="21"/>
  <c r="AC77" i="21"/>
  <c r="AC76" i="21"/>
  <c r="AC108" i="21"/>
  <c r="AC100" i="21"/>
  <c r="AC83" i="21"/>
  <c r="AC81" i="21"/>
  <c r="AC99" i="21"/>
  <c r="AC82" i="21"/>
  <c r="AC91" i="21"/>
  <c r="AC73" i="21"/>
  <c r="AC72" i="21"/>
  <c r="K74" i="1"/>
  <c r="AN66" i="21"/>
  <c r="E13" i="10"/>
  <c r="K64" i="1" l="1"/>
  <c r="AC112" i="21"/>
  <c r="AC114" i="21"/>
  <c r="AC115" i="21" s="1"/>
  <c r="AL114" i="21"/>
  <c r="AL115" i="21" s="1"/>
  <c r="AL112" i="21"/>
  <c r="S19" i="14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K86" i="1" l="1"/>
  <c r="K84" i="1"/>
  <c r="P2" i="8"/>
  <c r="P11" i="8"/>
  <c r="K29" i="1" l="1"/>
  <c r="P9" i="8"/>
  <c r="AM5" i="8"/>
  <c r="K46" i="1"/>
  <c r="O22" i="1" l="1"/>
  <c r="O21" i="1"/>
  <c r="A939" i="1"/>
  <c r="K939" i="1" s="1"/>
  <c r="J855" i="1"/>
  <c r="A855" i="1"/>
  <c r="J813" i="1"/>
  <c r="A813" i="1"/>
  <c r="J729" i="1"/>
  <c r="E729" i="1"/>
  <c r="A729" i="1"/>
  <c r="A604" i="1"/>
  <c r="K604" i="1" s="1"/>
  <c r="J437" i="1"/>
  <c r="A437" i="1"/>
  <c r="K215" i="1" l="1"/>
  <c r="AM12" i="8" l="1"/>
  <c r="D21" i="21"/>
  <c r="D22" i="21" s="1"/>
  <c r="F21" i="21"/>
  <c r="F22" i="21" s="1"/>
  <c r="V120" i="21" l="1"/>
  <c r="S120" i="21"/>
  <c r="J120" i="21"/>
  <c r="I120" i="21"/>
  <c r="H120" i="21"/>
  <c r="G120" i="21"/>
  <c r="V72" i="21"/>
  <c r="AT66" i="21" s="1"/>
  <c r="U72" i="21"/>
  <c r="S72" i="21"/>
  <c r="AQ66" i="21" s="1"/>
  <c r="AH66" i="21"/>
  <c r="AG66" i="21"/>
  <c r="H77" i="21"/>
  <c r="G77" i="21"/>
  <c r="AB66" i="21"/>
  <c r="B119" i="21"/>
  <c r="Y109" i="21" s="1"/>
  <c r="B120" i="21"/>
  <c r="Y110" i="21" s="1"/>
  <c r="B117" i="21"/>
  <c r="Y107" i="21" s="1"/>
  <c r="B118" i="21"/>
  <c r="Y108" i="21" s="1"/>
  <c r="B110" i="21"/>
  <c r="Y100" i="21" s="1"/>
  <c r="B111" i="21"/>
  <c r="Y101" i="21" s="1"/>
  <c r="B112" i="21"/>
  <c r="Y102" i="21" s="1"/>
  <c r="B113" i="21"/>
  <c r="Y103" i="21" s="1"/>
  <c r="B114" i="21"/>
  <c r="Y104" i="21" s="1"/>
  <c r="B115" i="21"/>
  <c r="Y105" i="21" s="1"/>
  <c r="B116" i="21"/>
  <c r="Y106" i="21" s="1"/>
  <c r="B89" i="21"/>
  <c r="Y79" i="21" s="1"/>
  <c r="B90" i="21"/>
  <c r="Y80" i="21" s="1"/>
  <c r="B91" i="21"/>
  <c r="Y81" i="21" s="1"/>
  <c r="B92" i="21"/>
  <c r="Y82" i="21" s="1"/>
  <c r="B93" i="21"/>
  <c r="Y83" i="21" s="1"/>
  <c r="B94" i="21"/>
  <c r="Y84" i="21" s="1"/>
  <c r="B95" i="21"/>
  <c r="Y85" i="21" s="1"/>
  <c r="B96" i="21"/>
  <c r="Y86" i="21" s="1"/>
  <c r="B97" i="21"/>
  <c r="Y87" i="21" s="1"/>
  <c r="B98" i="21"/>
  <c r="Y88" i="21" s="1"/>
  <c r="B99" i="21"/>
  <c r="Y89" i="21" s="1"/>
  <c r="B100" i="21"/>
  <c r="Y90" i="21" s="1"/>
  <c r="B101" i="21"/>
  <c r="Y91" i="21" s="1"/>
  <c r="B102" i="21"/>
  <c r="Y92" i="21" s="1"/>
  <c r="B104" i="21"/>
  <c r="Y94" i="21" s="1"/>
  <c r="B105" i="21"/>
  <c r="Y95" i="21" s="1"/>
  <c r="B106" i="21"/>
  <c r="Y96" i="21" s="1"/>
  <c r="B107" i="21"/>
  <c r="Y97" i="21" s="1"/>
  <c r="B108" i="21"/>
  <c r="Y98" i="21" s="1"/>
  <c r="B109" i="21"/>
  <c r="Y99" i="21" s="1"/>
  <c r="B88" i="21"/>
  <c r="Y78" i="21" s="1"/>
  <c r="Y73" i="21"/>
  <c r="Y74" i="21"/>
  <c r="F460" i="1" s="1"/>
  <c r="K460" i="1" s="1"/>
  <c r="Y75" i="21"/>
  <c r="Y76" i="21"/>
  <c r="Y77" i="21"/>
  <c r="Y72" i="21"/>
  <c r="X34" i="21"/>
  <c r="X35" i="21"/>
  <c r="X36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58" i="21"/>
  <c r="X59" i="21"/>
  <c r="X60" i="21"/>
  <c r="X31" i="21"/>
  <c r="X27" i="21"/>
  <c r="X28" i="21"/>
  <c r="X29" i="21"/>
  <c r="X30" i="21"/>
  <c r="X26" i="21"/>
  <c r="F918" i="1" l="1"/>
  <c r="K918" i="1" s="1"/>
  <c r="F374" i="1"/>
  <c r="K374" i="1" s="1"/>
  <c r="F750" i="1"/>
  <c r="K750" i="1" s="1"/>
  <c r="F876" i="1"/>
  <c r="K876" i="1" s="1"/>
  <c r="F379" i="1"/>
  <c r="K379" i="1" s="1"/>
  <c r="F755" i="1"/>
  <c r="K755" i="1" s="1"/>
  <c r="F881" i="1"/>
  <c r="K881" i="1" s="1"/>
  <c r="F380" i="1"/>
  <c r="K380" i="1" s="1"/>
  <c r="F756" i="1"/>
  <c r="K756" i="1" s="1"/>
  <c r="F882" i="1"/>
  <c r="K882" i="1" s="1"/>
  <c r="F711" i="1"/>
  <c r="K711" i="1" s="1"/>
  <c r="F377" i="1"/>
  <c r="K377" i="1" s="1"/>
  <c r="F753" i="1"/>
  <c r="K753" i="1" s="1"/>
  <c r="F879" i="1"/>
  <c r="K879" i="1" s="1"/>
  <c r="F250" i="1"/>
  <c r="F378" i="1"/>
  <c r="K378" i="1" s="1"/>
  <c r="F754" i="1"/>
  <c r="K754" i="1" s="1"/>
  <c r="F880" i="1"/>
  <c r="K880" i="1" s="1"/>
  <c r="F710" i="1"/>
  <c r="K710" i="1" s="1"/>
  <c r="F376" i="1"/>
  <c r="K376" i="1" s="1"/>
  <c r="F752" i="1"/>
  <c r="K752" i="1" s="1"/>
  <c r="F878" i="1"/>
  <c r="K878" i="1" s="1"/>
  <c r="F712" i="1"/>
  <c r="K712" i="1" s="1"/>
  <c r="F919" i="1"/>
  <c r="K919" i="1" s="1"/>
  <c r="F375" i="1"/>
  <c r="K375" i="1" s="1"/>
  <c r="F751" i="1"/>
  <c r="K751" i="1" s="1"/>
  <c r="F877" i="1"/>
  <c r="K877" i="1" s="1"/>
  <c r="F920" i="1"/>
  <c r="K920" i="1" s="1"/>
  <c r="F394" i="1"/>
  <c r="K394" i="1" s="1"/>
  <c r="F770" i="1"/>
  <c r="K770" i="1" s="1"/>
  <c r="K771" i="1" s="1"/>
  <c r="F896" i="1"/>
  <c r="K896" i="1" s="1"/>
  <c r="K897" i="1" s="1"/>
  <c r="F728" i="1"/>
  <c r="K728" i="1" s="1"/>
  <c r="K729" i="1" s="1"/>
  <c r="F821" i="1"/>
  <c r="K821" i="1" s="1"/>
  <c r="F403" i="1"/>
  <c r="K403" i="1" s="1"/>
  <c r="F779" i="1"/>
  <c r="K779" i="1" s="1"/>
  <c r="F905" i="1"/>
  <c r="K905" i="1" s="1"/>
  <c r="F445" i="1"/>
  <c r="F953" i="1"/>
  <c r="K953" i="1" s="1"/>
  <c r="F409" i="1"/>
  <c r="K409" i="1" s="1"/>
  <c r="F785" i="1"/>
  <c r="K785" i="1" s="1"/>
  <c r="F911" i="1"/>
  <c r="K911" i="1" s="1"/>
  <c r="F410" i="1"/>
  <c r="K410" i="1" s="1"/>
  <c r="F786" i="1"/>
  <c r="K786" i="1" s="1"/>
  <c r="F912" i="1"/>
  <c r="K912" i="1" s="1"/>
  <c r="F390" i="1"/>
  <c r="K390" i="1" s="1"/>
  <c r="F766" i="1"/>
  <c r="K766" i="1" s="1"/>
  <c r="F892" i="1"/>
  <c r="K892" i="1" s="1"/>
  <c r="F386" i="1"/>
  <c r="K386" i="1" s="1"/>
  <c r="F762" i="1"/>
  <c r="K762" i="1" s="1"/>
  <c r="F888" i="1"/>
  <c r="K888" i="1" s="1"/>
  <c r="F857" i="1"/>
  <c r="K857" i="1" s="1"/>
  <c r="F397" i="1"/>
  <c r="K397" i="1" s="1"/>
  <c r="F773" i="1"/>
  <c r="K773" i="1" s="1"/>
  <c r="F899" i="1"/>
  <c r="K899" i="1" s="1"/>
  <c r="F383" i="1"/>
  <c r="K383" i="1" s="1"/>
  <c r="F759" i="1"/>
  <c r="K759" i="1" s="1"/>
  <c r="F885" i="1"/>
  <c r="K885" i="1" s="1"/>
  <c r="F399" i="1"/>
  <c r="K399" i="1" s="1"/>
  <c r="F775" i="1"/>
  <c r="K775" i="1" s="1"/>
  <c r="F901" i="1"/>
  <c r="K901" i="1" s="1"/>
  <c r="F727" i="1"/>
  <c r="K727" i="1" s="1"/>
  <c r="F393" i="1"/>
  <c r="K393" i="1" s="1"/>
  <c r="F769" i="1"/>
  <c r="K769" i="1" s="1"/>
  <c r="F895" i="1"/>
  <c r="K895" i="1" s="1"/>
  <c r="F388" i="1"/>
  <c r="K388" i="1" s="1"/>
  <c r="F764" i="1"/>
  <c r="K764" i="1" s="1"/>
  <c r="F890" i="1"/>
  <c r="K890" i="1" s="1"/>
  <c r="F411" i="1"/>
  <c r="K411" i="1" s="1"/>
  <c r="F787" i="1"/>
  <c r="K787" i="1" s="1"/>
  <c r="F913" i="1"/>
  <c r="K913" i="1" s="1"/>
  <c r="F382" i="1"/>
  <c r="K382" i="1" s="1"/>
  <c r="F758" i="1"/>
  <c r="K758" i="1" s="1"/>
  <c r="F884" i="1"/>
  <c r="K884" i="1" s="1"/>
  <c r="F398" i="1"/>
  <c r="K398" i="1" s="1"/>
  <c r="F774" i="1"/>
  <c r="K774" i="1" s="1"/>
  <c r="F900" i="1"/>
  <c r="K900" i="1" s="1"/>
  <c r="F381" i="1"/>
  <c r="K381" i="1" s="1"/>
  <c r="F757" i="1"/>
  <c r="K757" i="1" s="1"/>
  <c r="F883" i="1"/>
  <c r="K883" i="1" s="1"/>
  <c r="F402" i="1"/>
  <c r="K402" i="1" s="1"/>
  <c r="F778" i="1"/>
  <c r="K778" i="1" s="1"/>
  <c r="F904" i="1"/>
  <c r="K904" i="1" s="1"/>
  <c r="F400" i="1"/>
  <c r="K400" i="1" s="1"/>
  <c r="F776" i="1"/>
  <c r="K776" i="1" s="1"/>
  <c r="F902" i="1"/>
  <c r="K902" i="1" s="1"/>
  <c r="F408" i="1"/>
  <c r="K408" i="1" s="1"/>
  <c r="F784" i="1"/>
  <c r="K784" i="1" s="1"/>
  <c r="F910" i="1"/>
  <c r="K910" i="1" s="1"/>
  <c r="F401" i="1"/>
  <c r="K401" i="1" s="1"/>
  <c r="F777" i="1"/>
  <c r="K777" i="1" s="1"/>
  <c r="F903" i="1"/>
  <c r="K903" i="1" s="1"/>
  <c r="F396" i="1"/>
  <c r="K396" i="1" s="1"/>
  <c r="F772" i="1"/>
  <c r="K772" i="1" s="1"/>
  <c r="F898" i="1"/>
  <c r="K898" i="1" s="1"/>
  <c r="F407" i="1"/>
  <c r="K407" i="1" s="1"/>
  <c r="F783" i="1"/>
  <c r="K783" i="1" s="1"/>
  <c r="F909" i="1"/>
  <c r="K909" i="1" s="1"/>
  <c r="F406" i="1"/>
  <c r="K406" i="1" s="1"/>
  <c r="F782" i="1"/>
  <c r="K782" i="1" s="1"/>
  <c r="F908" i="1"/>
  <c r="K908" i="1" s="1"/>
  <c r="F391" i="1"/>
  <c r="K391" i="1" s="1"/>
  <c r="F767" i="1"/>
  <c r="K767" i="1" s="1"/>
  <c r="F893" i="1"/>
  <c r="K893" i="1" s="1"/>
  <c r="F387" i="1"/>
  <c r="K387" i="1" s="1"/>
  <c r="F763" i="1"/>
  <c r="K763" i="1" s="1"/>
  <c r="F889" i="1"/>
  <c r="K889" i="1" s="1"/>
  <c r="F384" i="1"/>
  <c r="K384" i="1" s="1"/>
  <c r="F760" i="1"/>
  <c r="K760" i="1" s="1"/>
  <c r="F886" i="1"/>
  <c r="K886" i="1" s="1"/>
  <c r="F405" i="1"/>
  <c r="K405" i="1" s="1"/>
  <c r="F781" i="1"/>
  <c r="K781" i="1" s="1"/>
  <c r="F907" i="1"/>
  <c r="K907" i="1" s="1"/>
  <c r="F389" i="1"/>
  <c r="K389" i="1" s="1"/>
  <c r="F765" i="1"/>
  <c r="K765" i="1" s="1"/>
  <c r="F891" i="1"/>
  <c r="K891" i="1" s="1"/>
  <c r="F412" i="1"/>
  <c r="K412" i="1" s="1"/>
  <c r="F788" i="1"/>
  <c r="K788" i="1" s="1"/>
  <c r="F914" i="1"/>
  <c r="K914" i="1" s="1"/>
  <c r="F385" i="1"/>
  <c r="K385" i="1" s="1"/>
  <c r="F761" i="1"/>
  <c r="K761" i="1" s="1"/>
  <c r="F887" i="1"/>
  <c r="K887" i="1" s="1"/>
  <c r="F392" i="1"/>
  <c r="K392" i="1" s="1"/>
  <c r="F768" i="1"/>
  <c r="K768" i="1" s="1"/>
  <c r="F894" i="1"/>
  <c r="K894" i="1" s="1"/>
  <c r="F404" i="1"/>
  <c r="K404" i="1" s="1"/>
  <c r="F780" i="1"/>
  <c r="K780" i="1" s="1"/>
  <c r="F906" i="1"/>
  <c r="K906" i="1" s="1"/>
  <c r="F804" i="1"/>
  <c r="K804" i="1" s="1"/>
  <c r="F262" i="1"/>
  <c r="F930" i="1"/>
  <c r="K930" i="1" s="1"/>
  <c r="F470" i="1"/>
  <c r="K470" i="1" s="1"/>
  <c r="F428" i="1"/>
  <c r="F720" i="1"/>
  <c r="K720" i="1" s="1"/>
  <c r="F303" i="1"/>
  <c r="F846" i="1"/>
  <c r="K846" i="1" s="1"/>
  <c r="F636" i="1"/>
  <c r="F840" i="1"/>
  <c r="K840" i="1" s="1"/>
  <c r="F630" i="1"/>
  <c r="F422" i="1"/>
  <c r="F798" i="1"/>
  <c r="K798" i="1" s="1"/>
  <c r="F256" i="1"/>
  <c r="F924" i="1"/>
  <c r="K924" i="1" s="1"/>
  <c r="F464" i="1"/>
  <c r="K464" i="1" s="1"/>
  <c r="F297" i="1"/>
  <c r="F714" i="1"/>
  <c r="K714" i="1" s="1"/>
  <c r="F633" i="1"/>
  <c r="F425" i="1"/>
  <c r="F801" i="1"/>
  <c r="K801" i="1" s="1"/>
  <c r="F259" i="1"/>
  <c r="F927" i="1"/>
  <c r="K927" i="1" s="1"/>
  <c r="F467" i="1"/>
  <c r="K467" i="1" s="1"/>
  <c r="F717" i="1"/>
  <c r="K717" i="1" s="1"/>
  <c r="F300" i="1"/>
  <c r="F843" i="1"/>
  <c r="K843" i="1" s="1"/>
  <c r="F283" i="1"/>
  <c r="F951" i="1"/>
  <c r="K951" i="1" s="1"/>
  <c r="F491" i="1"/>
  <c r="K491" i="1" s="1"/>
  <c r="F741" i="1"/>
  <c r="K741" i="1" s="1"/>
  <c r="F324" i="1"/>
  <c r="F867" i="1"/>
  <c r="K867" i="1" s="1"/>
  <c r="F657" i="1"/>
  <c r="F449" i="1"/>
  <c r="F825" i="1"/>
  <c r="K825" i="1" s="1"/>
  <c r="F726" i="1"/>
  <c r="K726" i="1" s="1"/>
  <c r="F309" i="1"/>
  <c r="F852" i="1"/>
  <c r="K852" i="1" s="1"/>
  <c r="F936" i="1"/>
  <c r="K936" i="1" s="1"/>
  <c r="F476" i="1"/>
  <c r="K476" i="1" s="1"/>
  <c r="F642" i="1"/>
  <c r="F434" i="1"/>
  <c r="F810" i="1"/>
  <c r="K810" i="1" s="1"/>
  <c r="F268" i="1"/>
  <c r="F427" i="1"/>
  <c r="F803" i="1"/>
  <c r="K803" i="1" s="1"/>
  <c r="F261" i="1"/>
  <c r="F929" i="1"/>
  <c r="K929" i="1" s="1"/>
  <c r="F469" i="1"/>
  <c r="K469" i="1" s="1"/>
  <c r="F719" i="1"/>
  <c r="K719" i="1" s="1"/>
  <c r="F302" i="1"/>
  <c r="F845" i="1"/>
  <c r="K845" i="1" s="1"/>
  <c r="F635" i="1"/>
  <c r="F282" i="1"/>
  <c r="F950" i="1"/>
  <c r="K950" i="1" s="1"/>
  <c r="F490" i="1"/>
  <c r="K490" i="1" s="1"/>
  <c r="F740" i="1"/>
  <c r="K740" i="1" s="1"/>
  <c r="F323" i="1"/>
  <c r="F866" i="1"/>
  <c r="K866" i="1" s="1"/>
  <c r="F656" i="1"/>
  <c r="F448" i="1"/>
  <c r="F824" i="1"/>
  <c r="K824" i="1" s="1"/>
  <c r="F934" i="1"/>
  <c r="K934" i="1" s="1"/>
  <c r="F474" i="1"/>
  <c r="K474" i="1" s="1"/>
  <c r="F724" i="1"/>
  <c r="K724" i="1" s="1"/>
  <c r="F307" i="1"/>
  <c r="F266" i="1"/>
  <c r="F850" i="1"/>
  <c r="K850" i="1" s="1"/>
  <c r="F640" i="1"/>
  <c r="F432" i="1"/>
  <c r="F808" i="1"/>
  <c r="K808" i="1" s="1"/>
  <c r="F328" i="1"/>
  <c r="F871" i="1"/>
  <c r="K871" i="1" s="1"/>
  <c r="F745" i="1"/>
  <c r="K745" i="1" s="1"/>
  <c r="F661" i="1"/>
  <c r="F453" i="1"/>
  <c r="F829" i="1"/>
  <c r="K829" i="1" s="1"/>
  <c r="F287" i="1"/>
  <c r="F955" i="1"/>
  <c r="K955" i="1" s="1"/>
  <c r="F495" i="1"/>
  <c r="K495" i="1" s="1"/>
  <c r="F858" i="1"/>
  <c r="K858" i="1" s="1"/>
  <c r="F648" i="1"/>
  <c r="F440" i="1"/>
  <c r="F816" i="1"/>
  <c r="K816" i="1" s="1"/>
  <c r="F274" i="1"/>
  <c r="F942" i="1"/>
  <c r="K942" i="1" s="1"/>
  <c r="F482" i="1"/>
  <c r="K482" i="1" s="1"/>
  <c r="F732" i="1"/>
  <c r="K732" i="1" s="1"/>
  <c r="F315" i="1"/>
  <c r="F313" i="1"/>
  <c r="F856" i="1"/>
  <c r="K856" i="1" s="1"/>
  <c r="F646" i="1"/>
  <c r="F438" i="1"/>
  <c r="F814" i="1"/>
  <c r="K814" i="1" s="1"/>
  <c r="F272" i="1"/>
  <c r="F940" i="1"/>
  <c r="K940" i="1" s="1"/>
  <c r="F480" i="1"/>
  <c r="K480" i="1" s="1"/>
  <c r="F730" i="1"/>
  <c r="K730" i="1" s="1"/>
  <c r="F265" i="1"/>
  <c r="F933" i="1"/>
  <c r="K933" i="1" s="1"/>
  <c r="F473" i="1"/>
  <c r="K473" i="1" s="1"/>
  <c r="F723" i="1"/>
  <c r="K723" i="1" s="1"/>
  <c r="F306" i="1"/>
  <c r="F849" i="1"/>
  <c r="K849" i="1" s="1"/>
  <c r="F639" i="1"/>
  <c r="F431" i="1"/>
  <c r="F807" i="1"/>
  <c r="K807" i="1" s="1"/>
  <c r="F426" i="1"/>
  <c r="F802" i="1"/>
  <c r="K802" i="1" s="1"/>
  <c r="F260" i="1"/>
  <c r="F928" i="1"/>
  <c r="K928" i="1" s="1"/>
  <c r="F468" i="1"/>
  <c r="K468" i="1" s="1"/>
  <c r="F718" i="1"/>
  <c r="K718" i="1" s="1"/>
  <c r="F301" i="1"/>
  <c r="F634" i="1"/>
  <c r="F844" i="1"/>
  <c r="K844" i="1" s="1"/>
  <c r="F841" i="1"/>
  <c r="K841" i="1" s="1"/>
  <c r="F631" i="1"/>
  <c r="F423" i="1"/>
  <c r="F799" i="1"/>
  <c r="K799" i="1" s="1"/>
  <c r="F257" i="1"/>
  <c r="F925" i="1"/>
  <c r="K925" i="1" s="1"/>
  <c r="F465" i="1"/>
  <c r="K465" i="1" s="1"/>
  <c r="F715" i="1"/>
  <c r="K715" i="1" s="1"/>
  <c r="F298" i="1"/>
  <c r="F822" i="1"/>
  <c r="K822" i="1" s="1"/>
  <c r="F280" i="1"/>
  <c r="F948" i="1"/>
  <c r="K948" i="1" s="1"/>
  <c r="F488" i="1"/>
  <c r="K488" i="1" s="1"/>
  <c r="F738" i="1"/>
  <c r="K738" i="1" s="1"/>
  <c r="F321" i="1"/>
  <c r="F864" i="1"/>
  <c r="K864" i="1" s="1"/>
  <c r="F654" i="1"/>
  <c r="F446" i="1"/>
  <c r="F444" i="1"/>
  <c r="F820" i="1"/>
  <c r="K820" i="1" s="1"/>
  <c r="F278" i="1"/>
  <c r="F946" i="1"/>
  <c r="K946" i="1" s="1"/>
  <c r="F486" i="1"/>
  <c r="K486" i="1" s="1"/>
  <c r="F736" i="1"/>
  <c r="K736" i="1" s="1"/>
  <c r="F319" i="1"/>
  <c r="F862" i="1"/>
  <c r="K862" i="1" s="1"/>
  <c r="F652" i="1"/>
  <c r="F264" i="1"/>
  <c r="F806" i="1"/>
  <c r="K806" i="1" s="1"/>
  <c r="F932" i="1"/>
  <c r="K932" i="1" s="1"/>
  <c r="F472" i="1"/>
  <c r="K472" i="1" s="1"/>
  <c r="F722" i="1"/>
  <c r="K722" i="1" s="1"/>
  <c r="F305" i="1"/>
  <c r="F848" i="1"/>
  <c r="K848" i="1" s="1"/>
  <c r="F638" i="1"/>
  <c r="F430" i="1"/>
  <c r="F443" i="1"/>
  <c r="F819" i="1"/>
  <c r="K819" i="1" s="1"/>
  <c r="F277" i="1"/>
  <c r="F945" i="1"/>
  <c r="K945" i="1" s="1"/>
  <c r="F485" i="1"/>
  <c r="K485" i="1" s="1"/>
  <c r="F735" i="1"/>
  <c r="K735" i="1" s="1"/>
  <c r="F318" i="1"/>
  <c r="F861" i="1"/>
  <c r="K861" i="1" s="1"/>
  <c r="F651" i="1"/>
  <c r="F650" i="1"/>
  <c r="F442" i="1"/>
  <c r="F818" i="1"/>
  <c r="K818" i="1" s="1"/>
  <c r="F276" i="1"/>
  <c r="F944" i="1"/>
  <c r="K944" i="1" s="1"/>
  <c r="F484" i="1"/>
  <c r="K484" i="1" s="1"/>
  <c r="F734" i="1"/>
  <c r="K734" i="1" s="1"/>
  <c r="F317" i="1"/>
  <c r="F860" i="1"/>
  <c r="K860" i="1" s="1"/>
  <c r="F649" i="1"/>
  <c r="F859" i="1"/>
  <c r="K859" i="1" s="1"/>
  <c r="F441" i="1"/>
  <c r="F817" i="1"/>
  <c r="K817" i="1" s="1"/>
  <c r="F275" i="1"/>
  <c r="F943" i="1"/>
  <c r="K943" i="1" s="1"/>
  <c r="F483" i="1"/>
  <c r="K483" i="1" s="1"/>
  <c r="F733" i="1"/>
  <c r="K733" i="1" s="1"/>
  <c r="F316" i="1"/>
  <c r="F632" i="1"/>
  <c r="F424" i="1"/>
  <c r="F800" i="1"/>
  <c r="K800" i="1" s="1"/>
  <c r="F842" i="1"/>
  <c r="K842" i="1" s="1"/>
  <c r="F258" i="1"/>
  <c r="F926" i="1"/>
  <c r="K926" i="1" s="1"/>
  <c r="F466" i="1"/>
  <c r="K466" i="1" s="1"/>
  <c r="F716" i="1"/>
  <c r="K716" i="1" s="1"/>
  <c r="F299" i="1"/>
  <c r="F952" i="1"/>
  <c r="K952" i="1" s="1"/>
  <c r="F492" i="1"/>
  <c r="K492" i="1" s="1"/>
  <c r="F742" i="1"/>
  <c r="K742" i="1" s="1"/>
  <c r="F325" i="1"/>
  <c r="F868" i="1"/>
  <c r="K868" i="1" s="1"/>
  <c r="F658" i="1"/>
  <c r="F450" i="1"/>
  <c r="F826" i="1"/>
  <c r="K826" i="1" s="1"/>
  <c r="F284" i="1"/>
  <c r="F281" i="1"/>
  <c r="F949" i="1"/>
  <c r="K949" i="1" s="1"/>
  <c r="F489" i="1"/>
  <c r="K489" i="1" s="1"/>
  <c r="F739" i="1"/>
  <c r="K739" i="1" s="1"/>
  <c r="F322" i="1"/>
  <c r="F823" i="1"/>
  <c r="K823" i="1" s="1"/>
  <c r="F865" i="1"/>
  <c r="K865" i="1" s="1"/>
  <c r="F655" i="1"/>
  <c r="F447" i="1"/>
  <c r="F935" i="1"/>
  <c r="K935" i="1" s="1"/>
  <c r="F475" i="1"/>
  <c r="K475" i="1" s="1"/>
  <c r="F725" i="1"/>
  <c r="K725" i="1" s="1"/>
  <c r="F308" i="1"/>
  <c r="F851" i="1"/>
  <c r="K851" i="1" s="1"/>
  <c r="F641" i="1"/>
  <c r="F433" i="1"/>
  <c r="F809" i="1"/>
  <c r="K809" i="1" s="1"/>
  <c r="F267" i="1"/>
  <c r="F744" i="1"/>
  <c r="K744" i="1" s="1"/>
  <c r="F327" i="1"/>
  <c r="F870" i="1"/>
  <c r="K870" i="1" s="1"/>
  <c r="F660" i="1"/>
  <c r="F452" i="1"/>
  <c r="F828" i="1"/>
  <c r="K828" i="1" s="1"/>
  <c r="F286" i="1"/>
  <c r="F954" i="1"/>
  <c r="K954" i="1" s="1"/>
  <c r="F494" i="1"/>
  <c r="K494" i="1" s="1"/>
  <c r="F805" i="1"/>
  <c r="K805" i="1" s="1"/>
  <c r="F263" i="1"/>
  <c r="F931" i="1"/>
  <c r="K931" i="1" s="1"/>
  <c r="F471" i="1"/>
  <c r="K471" i="1" s="1"/>
  <c r="F721" i="1"/>
  <c r="K721" i="1" s="1"/>
  <c r="F304" i="1"/>
  <c r="F847" i="1"/>
  <c r="K847" i="1" s="1"/>
  <c r="F637" i="1"/>
  <c r="F429" i="1"/>
  <c r="F329" i="1"/>
  <c r="F872" i="1"/>
  <c r="K872" i="1" s="1"/>
  <c r="F662" i="1"/>
  <c r="F454" i="1"/>
  <c r="F830" i="1"/>
  <c r="K830" i="1" s="1"/>
  <c r="F288" i="1"/>
  <c r="F956" i="1"/>
  <c r="K956" i="1" s="1"/>
  <c r="F496" i="1"/>
  <c r="K496" i="1" s="1"/>
  <c r="F746" i="1"/>
  <c r="K746" i="1" s="1"/>
  <c r="F461" i="1"/>
  <c r="K461" i="1" s="1"/>
  <c r="F477" i="1"/>
  <c r="K477" i="1" s="1"/>
  <c r="F251" i="1"/>
  <c r="F713" i="1"/>
  <c r="K713" i="1" s="1"/>
  <c r="F921" i="1"/>
  <c r="K921" i="1" s="1"/>
  <c r="F937" i="1"/>
  <c r="K937" i="1" s="1"/>
  <c r="F462" i="1"/>
  <c r="K462" i="1" s="1"/>
  <c r="F478" i="1"/>
  <c r="K478" i="1" s="1"/>
  <c r="F252" i="1"/>
  <c r="F285" i="1"/>
  <c r="F653" i="1"/>
  <c r="F731" i="1"/>
  <c r="K731" i="1" s="1"/>
  <c r="F792" i="1"/>
  <c r="K792" i="1" s="1"/>
  <c r="F922" i="1"/>
  <c r="K922" i="1" s="1"/>
  <c r="F938" i="1"/>
  <c r="K938" i="1" s="1"/>
  <c r="F463" i="1"/>
  <c r="K463" i="1" s="1"/>
  <c r="F253" i="1"/>
  <c r="F269" i="1"/>
  <c r="F793" i="1"/>
  <c r="K793" i="1" s="1"/>
  <c r="F923" i="1"/>
  <c r="K923" i="1" s="1"/>
  <c r="F481" i="1"/>
  <c r="K481" i="1" s="1"/>
  <c r="F416" i="1"/>
  <c r="F254" i="1"/>
  <c r="F270" i="1"/>
  <c r="F794" i="1"/>
  <c r="K794" i="1" s="1"/>
  <c r="F827" i="1"/>
  <c r="K827" i="1" s="1"/>
  <c r="F863" i="1"/>
  <c r="K863" i="1" s="1"/>
  <c r="F941" i="1"/>
  <c r="K941" i="1" s="1"/>
  <c r="F417" i="1"/>
  <c r="F255" i="1"/>
  <c r="F795" i="1"/>
  <c r="K795" i="1" s="1"/>
  <c r="F811" i="1"/>
  <c r="K811" i="1" s="1"/>
  <c r="F418" i="1"/>
  <c r="F451" i="1"/>
  <c r="F320" i="1"/>
  <c r="F273" i="1"/>
  <c r="F624" i="1"/>
  <c r="F796" i="1"/>
  <c r="K796" i="1" s="1"/>
  <c r="F812" i="1"/>
  <c r="K812" i="1" s="1"/>
  <c r="K813" i="1" s="1"/>
  <c r="F419" i="1"/>
  <c r="F435" i="1"/>
  <c r="F625" i="1"/>
  <c r="F797" i="1"/>
  <c r="K797" i="1" s="1"/>
  <c r="F420" i="1"/>
  <c r="F436" i="1"/>
  <c r="F626" i="1"/>
  <c r="F659" i="1"/>
  <c r="F737" i="1"/>
  <c r="K737" i="1" s="1"/>
  <c r="F815" i="1"/>
  <c r="K815" i="1" s="1"/>
  <c r="F834" i="1"/>
  <c r="K834" i="1" s="1"/>
  <c r="F314" i="1"/>
  <c r="F421" i="1"/>
  <c r="F627" i="1"/>
  <c r="F643" i="1"/>
  <c r="F835" i="1"/>
  <c r="K835" i="1" s="1"/>
  <c r="F493" i="1"/>
  <c r="K493" i="1" s="1"/>
  <c r="F487" i="1"/>
  <c r="K487" i="1" s="1"/>
  <c r="F439" i="1"/>
  <c r="F291" i="1"/>
  <c r="F628" i="1"/>
  <c r="F644" i="1"/>
  <c r="F836" i="1"/>
  <c r="K836" i="1" s="1"/>
  <c r="F869" i="1"/>
  <c r="K869" i="1" s="1"/>
  <c r="F947" i="1"/>
  <c r="K947" i="1" s="1"/>
  <c r="F292" i="1"/>
  <c r="F629" i="1"/>
  <c r="F837" i="1"/>
  <c r="K837" i="1" s="1"/>
  <c r="F853" i="1"/>
  <c r="K853" i="1" s="1"/>
  <c r="F293" i="1"/>
  <c r="F326" i="1"/>
  <c r="F279" i="1"/>
  <c r="F647" i="1"/>
  <c r="F708" i="1"/>
  <c r="K708" i="1" s="1"/>
  <c r="F838" i="1"/>
  <c r="K838" i="1" s="1"/>
  <c r="F854" i="1"/>
  <c r="K854" i="1" s="1"/>
  <c r="K855" i="1" s="1"/>
  <c r="F294" i="1"/>
  <c r="F310" i="1"/>
  <c r="F709" i="1"/>
  <c r="K709" i="1" s="1"/>
  <c r="F839" i="1"/>
  <c r="K839" i="1" s="1"/>
  <c r="F458" i="1"/>
  <c r="K458" i="1" s="1"/>
  <c r="F295" i="1"/>
  <c r="F311" i="1"/>
  <c r="F743" i="1"/>
  <c r="K743" i="1" s="1"/>
  <c r="F459" i="1"/>
  <c r="K459" i="1" s="1"/>
  <c r="F296" i="1"/>
  <c r="S27" i="21" l="1"/>
  <c r="S28" i="21"/>
  <c r="S29" i="21"/>
  <c r="S30" i="21"/>
  <c r="S31" i="21"/>
  <c r="S34" i="21"/>
  <c r="S35" i="21"/>
  <c r="S36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T51" i="21" s="1"/>
  <c r="S52" i="21"/>
  <c r="S53" i="21"/>
  <c r="S54" i="21"/>
  <c r="S55" i="21"/>
  <c r="S56" i="21"/>
  <c r="S57" i="21"/>
  <c r="S58" i="21"/>
  <c r="S59" i="21"/>
  <c r="S60" i="21"/>
  <c r="S26" i="21"/>
  <c r="AI26" i="21"/>
  <c r="AI34" i="21"/>
  <c r="BG21" i="21"/>
  <c r="BG15" i="21"/>
  <c r="BG16" i="21"/>
  <c r="BG17" i="21"/>
  <c r="BG11" i="21"/>
  <c r="BG19" i="21" s="1"/>
  <c r="BF11" i="21"/>
  <c r="BF15" i="21"/>
  <c r="BF16" i="21"/>
  <c r="BF17" i="21"/>
  <c r="BF18" i="21"/>
  <c r="BF22" i="21" s="1"/>
  <c r="BF20" i="21"/>
  <c r="AT22" i="21"/>
  <c r="AU22" i="21"/>
  <c r="AV22" i="21"/>
  <c r="AW22" i="21"/>
  <c r="AX22" i="21"/>
  <c r="AY22" i="21"/>
  <c r="AZ22" i="21"/>
  <c r="BA22" i="21"/>
  <c r="BB22" i="21"/>
  <c r="BC22" i="21"/>
  <c r="BD22" i="21"/>
  <c r="BE22" i="21"/>
  <c r="AS22" i="21"/>
  <c r="D29" i="21"/>
  <c r="BF19" i="21" l="1"/>
  <c r="T57" i="21"/>
  <c r="V57" i="21"/>
  <c r="V49" i="21"/>
  <c r="T49" i="21"/>
  <c r="T30" i="21"/>
  <c r="V30" i="21"/>
  <c r="V60" i="21"/>
  <c r="T60" i="21"/>
  <c r="V56" i="21"/>
  <c r="T56" i="21"/>
  <c r="V52" i="21"/>
  <c r="T52" i="21"/>
  <c r="T48" i="21"/>
  <c r="V48" i="21"/>
  <c r="T44" i="21"/>
  <c r="V44" i="21"/>
  <c r="T40" i="21"/>
  <c r="V40" i="21"/>
  <c r="T35" i="21"/>
  <c r="V35" i="21"/>
  <c r="T29" i="21"/>
  <c r="V29" i="21"/>
  <c r="V26" i="21"/>
  <c r="T26" i="21"/>
  <c r="T53" i="21"/>
  <c r="V53" i="21"/>
  <c r="T45" i="21"/>
  <c r="V45" i="21"/>
  <c r="V36" i="21"/>
  <c r="T36" i="21"/>
  <c r="V59" i="21"/>
  <c r="T59" i="21"/>
  <c r="V55" i="21"/>
  <c r="T55" i="21"/>
  <c r="V51" i="21"/>
  <c r="V47" i="21"/>
  <c r="T47" i="21"/>
  <c r="V43" i="21"/>
  <c r="T43" i="21"/>
  <c r="V39" i="21"/>
  <c r="T39" i="21"/>
  <c r="V34" i="21"/>
  <c r="T34" i="21"/>
  <c r="V28" i="21"/>
  <c r="T28" i="21"/>
  <c r="T41" i="21"/>
  <c r="V41" i="21"/>
  <c r="T58" i="21"/>
  <c r="V58" i="21"/>
  <c r="T54" i="21"/>
  <c r="V54" i="21"/>
  <c r="T50" i="21"/>
  <c r="V50" i="21"/>
  <c r="T46" i="21"/>
  <c r="V46" i="21"/>
  <c r="T42" i="21"/>
  <c r="V42" i="21"/>
  <c r="T38" i="21"/>
  <c r="V38" i="21"/>
  <c r="T31" i="21"/>
  <c r="V31" i="21"/>
  <c r="T27" i="21"/>
  <c r="V27" i="21"/>
  <c r="BG22" i="21"/>
  <c r="AM6" i="8"/>
  <c r="D5" i="8"/>
  <c r="U35" i="21" l="1"/>
  <c r="U55" i="21"/>
  <c r="U57" i="21"/>
  <c r="U54" i="21"/>
  <c r="U41" i="21"/>
  <c r="U59" i="21"/>
  <c r="U36" i="21"/>
  <c r="U56" i="21"/>
  <c r="U44" i="21"/>
  <c r="U45" i="21"/>
  <c r="U38" i="21"/>
  <c r="U39" i="21"/>
  <c r="T62" i="21"/>
  <c r="U26" i="21"/>
  <c r="U40" i="21"/>
  <c r="U27" i="21"/>
  <c r="U31" i="21"/>
  <c r="U43" i="21"/>
  <c r="U58" i="21"/>
  <c r="U28" i="21"/>
  <c r="U48" i="21"/>
  <c r="U52" i="21"/>
  <c r="U34" i="21"/>
  <c r="T63" i="21"/>
  <c r="U53" i="21"/>
  <c r="U51" i="21"/>
  <c r="U42" i="21"/>
  <c r="V62" i="21"/>
  <c r="U46" i="21"/>
  <c r="U47" i="21"/>
  <c r="U29" i="21"/>
  <c r="U30" i="21"/>
  <c r="U50" i="21"/>
  <c r="U49" i="21"/>
  <c r="W27" i="21"/>
  <c r="P89" i="21" s="1"/>
  <c r="W31" i="21"/>
  <c r="P93" i="21" s="1"/>
  <c r="W38" i="21"/>
  <c r="P97" i="21" s="1"/>
  <c r="W42" i="21"/>
  <c r="P101" i="21" s="1"/>
  <c r="W46" i="21"/>
  <c r="P106" i="21" s="1"/>
  <c r="W50" i="21"/>
  <c r="P110" i="21" s="1"/>
  <c r="W54" i="21"/>
  <c r="P114" i="21" s="1"/>
  <c r="W58" i="21"/>
  <c r="P118" i="21" s="1"/>
  <c r="W26" i="21"/>
  <c r="P88" i="21" s="1"/>
  <c r="W39" i="21"/>
  <c r="P98" i="21" s="1"/>
  <c r="W51" i="21"/>
  <c r="P111" i="21" s="1"/>
  <c r="W59" i="21"/>
  <c r="P119" i="21" s="1"/>
  <c r="W28" i="21"/>
  <c r="P90" i="21" s="1"/>
  <c r="W47" i="21"/>
  <c r="P107" i="21" s="1"/>
  <c r="W29" i="21"/>
  <c r="P91" i="21" s="1"/>
  <c r="W35" i="21"/>
  <c r="P95" i="21" s="1"/>
  <c r="W40" i="21"/>
  <c r="P99" i="21" s="1"/>
  <c r="W44" i="21"/>
  <c r="P104" i="21" s="1"/>
  <c r="W48" i="21"/>
  <c r="P108" i="21" s="1"/>
  <c r="W52" i="21"/>
  <c r="P112" i="21" s="1"/>
  <c r="W56" i="21"/>
  <c r="P116" i="21" s="1"/>
  <c r="W30" i="21"/>
  <c r="P92" i="21" s="1"/>
  <c r="W36" i="21"/>
  <c r="P96" i="21" s="1"/>
  <c r="W41" i="21"/>
  <c r="P100" i="21" s="1"/>
  <c r="W45" i="21"/>
  <c r="P105" i="21" s="1"/>
  <c r="W49" i="21"/>
  <c r="P109" i="21" s="1"/>
  <c r="W53" i="21"/>
  <c r="P113" i="21" s="1"/>
  <c r="W57" i="21"/>
  <c r="P117" i="21" s="1"/>
  <c r="V63" i="21"/>
  <c r="W34" i="21"/>
  <c r="P94" i="21" s="1"/>
  <c r="W43" i="21"/>
  <c r="P102" i="21" s="1"/>
  <c r="W55" i="21"/>
  <c r="P115" i="21" s="1"/>
  <c r="U62" i="21" l="1"/>
  <c r="U63" i="21"/>
  <c r="W63" i="21"/>
  <c r="W62" i="21"/>
  <c r="R93" i="21"/>
  <c r="O93" i="21"/>
  <c r="O115" i="21"/>
  <c r="R115" i="21"/>
  <c r="O101" i="21"/>
  <c r="R101" i="21"/>
  <c r="O104" i="21"/>
  <c r="R104" i="21"/>
  <c r="O97" i="21"/>
  <c r="R97" i="21"/>
  <c r="O111" i="21"/>
  <c r="R111" i="21"/>
  <c r="O91" i="21"/>
  <c r="R91" i="21"/>
  <c r="O107" i="21"/>
  <c r="R107" i="21"/>
  <c r="R105" i="21"/>
  <c r="O105" i="21"/>
  <c r="R96" i="21"/>
  <c r="O96" i="21"/>
  <c r="R117" i="21"/>
  <c r="O117" i="21"/>
  <c r="O95" i="21"/>
  <c r="R95" i="21"/>
  <c r="O118" i="21"/>
  <c r="R118" i="21"/>
  <c r="R89" i="21"/>
  <c r="O89" i="21"/>
  <c r="O90" i="21"/>
  <c r="R90" i="21"/>
  <c r="O112" i="21"/>
  <c r="R112" i="21"/>
  <c r="O98" i="21"/>
  <c r="R98" i="21"/>
  <c r="R100" i="21"/>
  <c r="O100" i="21"/>
  <c r="O88" i="21"/>
  <c r="R88" i="21"/>
  <c r="R109" i="21"/>
  <c r="O109" i="21"/>
  <c r="O116" i="21"/>
  <c r="R116" i="21"/>
  <c r="O102" i="21"/>
  <c r="R102" i="21"/>
  <c r="O108" i="21"/>
  <c r="R108" i="21"/>
  <c r="R94" i="21"/>
  <c r="O94" i="21"/>
  <c r="O99" i="21"/>
  <c r="R99" i="21"/>
  <c r="O114" i="21"/>
  <c r="R114" i="21"/>
  <c r="O92" i="21"/>
  <c r="R92" i="21"/>
  <c r="R113" i="21"/>
  <c r="O113" i="21"/>
  <c r="O110" i="21"/>
  <c r="R110" i="21"/>
  <c r="O106" i="21"/>
  <c r="R106" i="21"/>
  <c r="O119" i="21"/>
  <c r="R119" i="21"/>
  <c r="Y18" i="21" l="1"/>
  <c r="Z18" i="21"/>
  <c r="U87" i="21" s="1"/>
  <c r="U94" i="21" l="1"/>
  <c r="U102" i="21"/>
  <c r="U111" i="21"/>
  <c r="U99" i="21"/>
  <c r="U92" i="21"/>
  <c r="U116" i="21"/>
  <c r="U110" i="21"/>
  <c r="U109" i="21"/>
  <c r="U114" i="21"/>
  <c r="U117" i="21"/>
  <c r="U89" i="21"/>
  <c r="U90" i="21"/>
  <c r="U101" i="21"/>
  <c r="U115" i="21"/>
  <c r="U106" i="21"/>
  <c r="U93" i="21"/>
  <c r="U108" i="21"/>
  <c r="U97" i="21"/>
  <c r="U96" i="21"/>
  <c r="U118" i="21"/>
  <c r="U88" i="21"/>
  <c r="U104" i="21"/>
  <c r="U113" i="21"/>
  <c r="U112" i="21"/>
  <c r="U119" i="21"/>
  <c r="U105" i="21"/>
  <c r="U98" i="21"/>
  <c r="U91" i="21"/>
  <c r="U107" i="21"/>
  <c r="U100" i="21"/>
  <c r="U95" i="21"/>
  <c r="L87" i="21"/>
  <c r="Y16" i="21"/>
  <c r="Z16" i="21"/>
  <c r="L77" i="21"/>
  <c r="U77" i="21"/>
  <c r="U75" i="21"/>
  <c r="U76" i="21"/>
  <c r="U73" i="21"/>
  <c r="L76" i="21"/>
  <c r="L73" i="21"/>
  <c r="L72" i="21"/>
  <c r="W21" i="21"/>
  <c r="W22" i="21" s="1"/>
  <c r="V21" i="21"/>
  <c r="V22" i="21" s="1"/>
  <c r="U21" i="21"/>
  <c r="U22" i="21" s="1"/>
  <c r="T21" i="21"/>
  <c r="T22" i="21" s="1"/>
  <c r="S21" i="21"/>
  <c r="S22" i="21" s="1"/>
  <c r="R21" i="21"/>
  <c r="R22" i="21" s="1"/>
  <c r="Q21" i="21"/>
  <c r="Q22" i="21" s="1"/>
  <c r="P21" i="21"/>
  <c r="P22" i="21" s="1"/>
  <c r="O21" i="21"/>
  <c r="O22" i="21" s="1"/>
  <c r="N21" i="21"/>
  <c r="N22" i="21" s="1"/>
  <c r="M21" i="21"/>
  <c r="M22" i="21" s="1"/>
  <c r="L21" i="21"/>
  <c r="L22" i="21" s="1"/>
  <c r="K21" i="21"/>
  <c r="K22" i="21" s="1"/>
  <c r="J21" i="21"/>
  <c r="J22" i="21" s="1"/>
  <c r="I21" i="21"/>
  <c r="I22" i="21" s="1"/>
  <c r="H21" i="21"/>
  <c r="H22" i="21" s="1"/>
  <c r="G21" i="21"/>
  <c r="G22" i="21" s="1"/>
  <c r="E21" i="21"/>
  <c r="E22" i="21" s="1"/>
  <c r="X21" i="21"/>
  <c r="X22" i="21" s="1"/>
  <c r="L88" i="21" l="1"/>
  <c r="L102" i="21"/>
  <c r="L94" i="21"/>
  <c r="L109" i="21"/>
  <c r="L118" i="21"/>
  <c r="L99" i="21"/>
  <c r="L105" i="21"/>
  <c r="L107" i="21"/>
  <c r="L117" i="21"/>
  <c r="L89" i="21"/>
  <c r="L92" i="21"/>
  <c r="L113" i="21"/>
  <c r="L110" i="21"/>
  <c r="L115" i="21"/>
  <c r="L106" i="21"/>
  <c r="L91" i="21"/>
  <c r="L93" i="21"/>
  <c r="L114" i="21"/>
  <c r="L108" i="21"/>
  <c r="L97" i="21"/>
  <c r="L96" i="21"/>
  <c r="L112" i="21"/>
  <c r="L119" i="21"/>
  <c r="L116" i="21"/>
  <c r="L98" i="21"/>
  <c r="L111" i="21"/>
  <c r="L90" i="21"/>
  <c r="L101" i="21"/>
  <c r="L100" i="21"/>
  <c r="L104" i="21"/>
  <c r="L95" i="21"/>
  <c r="AS66" i="21"/>
  <c r="AJ66" i="21"/>
  <c r="U78" i="21"/>
  <c r="Z19" i="21"/>
  <c r="U120" i="21" s="1"/>
  <c r="Z21" i="21"/>
  <c r="Z22" i="21" s="1"/>
  <c r="L78" i="21"/>
  <c r="Y19" i="21"/>
  <c r="AE36" i="21"/>
  <c r="AG36" i="21" s="1"/>
  <c r="AE35" i="21"/>
  <c r="AE28" i="21"/>
  <c r="AG28" i="21" s="1"/>
  <c r="AE29" i="21"/>
  <c r="AG29" i="21" s="1"/>
  <c r="AE30" i="21"/>
  <c r="AG30" i="21" s="1"/>
  <c r="AE27" i="21"/>
  <c r="D38" i="21"/>
  <c r="F38" i="21" s="1"/>
  <c r="D36" i="21"/>
  <c r="F36" i="21" s="1"/>
  <c r="D35" i="21"/>
  <c r="F35" i="21" s="1"/>
  <c r="D34" i="21"/>
  <c r="F34" i="21" s="1"/>
  <c r="D31" i="21"/>
  <c r="F31" i="21" s="1"/>
  <c r="D30" i="21"/>
  <c r="D50" i="21"/>
  <c r="F50" i="21" s="1"/>
  <c r="D49" i="21"/>
  <c r="F49" i="21" s="1"/>
  <c r="D46" i="21"/>
  <c r="F46" i="21" s="1"/>
  <c r="D45" i="21"/>
  <c r="F45" i="21" s="1"/>
  <c r="D44" i="21"/>
  <c r="F44" i="21" s="1"/>
  <c r="D43" i="21"/>
  <c r="F43" i="21" s="1"/>
  <c r="D42" i="21"/>
  <c r="F42" i="21" s="1"/>
  <c r="D41" i="21"/>
  <c r="F41" i="21" s="1"/>
  <c r="D40" i="21"/>
  <c r="F40" i="21" s="1"/>
  <c r="D39" i="21"/>
  <c r="F39" i="21" s="1"/>
  <c r="H52" i="21"/>
  <c r="H51" i="21"/>
  <c r="H48" i="21"/>
  <c r="H47" i="21"/>
  <c r="F29" i="21"/>
  <c r="L120" i="21" l="1"/>
  <c r="Y21" i="21"/>
  <c r="Y22" i="21" s="1"/>
  <c r="AE26" i="21"/>
  <c r="AG35" i="21"/>
  <c r="AG34" i="21" s="1"/>
  <c r="AE34" i="21"/>
  <c r="AG27" i="21"/>
  <c r="AF27" i="21"/>
  <c r="M79" i="21" s="1"/>
  <c r="AF28" i="21"/>
  <c r="M80" i="21" s="1"/>
  <c r="D51" i="21"/>
  <c r="F51" i="21" s="1"/>
  <c r="D47" i="21"/>
  <c r="F47" i="21" s="1"/>
  <c r="AF35" i="21"/>
  <c r="D48" i="21"/>
  <c r="F48" i="21" s="1"/>
  <c r="D52" i="21"/>
  <c r="F52" i="21" s="1"/>
  <c r="AF36" i="21"/>
  <c r="F30" i="21"/>
  <c r="AF29" i="21"/>
  <c r="M81" i="21" s="1"/>
  <c r="AF30" i="21"/>
  <c r="M82" i="21" s="1"/>
  <c r="AH35" i="21" l="1"/>
  <c r="AH36" i="21"/>
  <c r="AH27" i="21"/>
  <c r="AG26" i="21"/>
  <c r="AH26" i="21" s="1"/>
  <c r="AH28" i="21"/>
  <c r="AH29" i="21"/>
  <c r="AF26" i="21"/>
  <c r="AF34" i="21"/>
  <c r="AH34" i="21"/>
  <c r="AH30" i="21"/>
  <c r="U81" i="21"/>
  <c r="L81" i="21"/>
  <c r="U79" i="21"/>
  <c r="L79" i="21"/>
  <c r="U82" i="21"/>
  <c r="L82" i="21"/>
  <c r="L80" i="21"/>
  <c r="U80" i="21"/>
  <c r="E38" i="21"/>
  <c r="E31" i="21"/>
  <c r="E30" i="21"/>
  <c r="E36" i="21"/>
  <c r="E34" i="21"/>
  <c r="E35" i="21"/>
  <c r="G38" i="21"/>
  <c r="G31" i="21"/>
  <c r="G34" i="21"/>
  <c r="G36" i="21"/>
  <c r="G30" i="21"/>
  <c r="G35" i="21"/>
  <c r="P82" i="21" l="1"/>
  <c r="Q82" i="21"/>
  <c r="K82" i="21"/>
  <c r="P81" i="21"/>
  <c r="K81" i="21"/>
  <c r="Q81" i="21"/>
  <c r="P79" i="21"/>
  <c r="K79" i="21"/>
  <c r="Q79" i="21"/>
  <c r="M123" i="21"/>
  <c r="AK84" i="21" s="1"/>
  <c r="K344" i="1" s="1"/>
  <c r="P80" i="21"/>
  <c r="P123" i="21" s="1"/>
  <c r="K80" i="21"/>
  <c r="Q80" i="21"/>
  <c r="AS81" i="21"/>
  <c r="K300" i="1" s="1"/>
  <c r="U123" i="21"/>
  <c r="AS78" i="21" s="1"/>
  <c r="K297" i="1" s="1"/>
  <c r="L123" i="21"/>
  <c r="V87" i="21"/>
  <c r="S87" i="21"/>
  <c r="I87" i="21"/>
  <c r="V84" i="21"/>
  <c r="S84" i="21"/>
  <c r="J84" i="21"/>
  <c r="J85" i="21" s="1"/>
  <c r="I84" i="21"/>
  <c r="S78" i="21"/>
  <c r="J78" i="21"/>
  <c r="I78" i="21"/>
  <c r="V78" i="21"/>
  <c r="V75" i="21"/>
  <c r="J75" i="21"/>
  <c r="AP66" i="21"/>
  <c r="H73" i="21"/>
  <c r="G73" i="21"/>
  <c r="AN72" i="21" l="1"/>
  <c r="AN74" i="21"/>
  <c r="AN76" i="21"/>
  <c r="AN110" i="21"/>
  <c r="AN73" i="21"/>
  <c r="AN75" i="21"/>
  <c r="AN77" i="21"/>
  <c r="AN93" i="21"/>
  <c r="AN109" i="21"/>
  <c r="AN103" i="21"/>
  <c r="AN95" i="21"/>
  <c r="AN105" i="21"/>
  <c r="AN84" i="21"/>
  <c r="AN107" i="21"/>
  <c r="AN97" i="21"/>
  <c r="AN83" i="21"/>
  <c r="AN92" i="21"/>
  <c r="AN100" i="21"/>
  <c r="AN90" i="21"/>
  <c r="AN88" i="21"/>
  <c r="AN86" i="21"/>
  <c r="AN85" i="21"/>
  <c r="AN106" i="21"/>
  <c r="AN82" i="21"/>
  <c r="AN99" i="21"/>
  <c r="AN108" i="21"/>
  <c r="AN104" i="21"/>
  <c r="AN94" i="21"/>
  <c r="AN102" i="21"/>
  <c r="AN101" i="21"/>
  <c r="AN91" i="21"/>
  <c r="AN87" i="21"/>
  <c r="AN98" i="21"/>
  <c r="AN96" i="21"/>
  <c r="AN89" i="21"/>
  <c r="AJ76" i="21"/>
  <c r="K254" i="1" s="1"/>
  <c r="AJ73" i="21"/>
  <c r="K251" i="1" s="1"/>
  <c r="AJ75" i="21"/>
  <c r="K253" i="1" s="1"/>
  <c r="AJ77" i="21"/>
  <c r="K255" i="1" s="1"/>
  <c r="AJ93" i="21"/>
  <c r="K271" i="1" s="1"/>
  <c r="AJ72" i="21"/>
  <c r="K250" i="1" s="1"/>
  <c r="AJ74" i="21"/>
  <c r="K252" i="1" s="1"/>
  <c r="AJ108" i="21"/>
  <c r="K286" i="1" s="1"/>
  <c r="AJ107" i="21"/>
  <c r="K285" i="1" s="1"/>
  <c r="AJ84" i="21"/>
  <c r="K262" i="1" s="1"/>
  <c r="AJ109" i="21"/>
  <c r="K287" i="1" s="1"/>
  <c r="AJ85" i="21"/>
  <c r="K263" i="1" s="1"/>
  <c r="AJ86" i="21"/>
  <c r="K264" i="1" s="1"/>
  <c r="AJ98" i="21"/>
  <c r="K276" i="1" s="1"/>
  <c r="AJ99" i="21"/>
  <c r="K277" i="1" s="1"/>
  <c r="AJ92" i="21"/>
  <c r="K270" i="1" s="1"/>
  <c r="AJ94" i="21"/>
  <c r="K272" i="1" s="1"/>
  <c r="AJ97" i="21"/>
  <c r="K275" i="1" s="1"/>
  <c r="AJ103" i="21"/>
  <c r="K281" i="1" s="1"/>
  <c r="AJ102" i="21"/>
  <c r="K280" i="1" s="1"/>
  <c r="AJ105" i="21"/>
  <c r="K283" i="1" s="1"/>
  <c r="AJ89" i="21"/>
  <c r="K267" i="1" s="1"/>
  <c r="AJ88" i="21"/>
  <c r="K266" i="1" s="1"/>
  <c r="AJ87" i="21"/>
  <c r="K265" i="1" s="1"/>
  <c r="AJ106" i="21"/>
  <c r="K284" i="1" s="1"/>
  <c r="AJ83" i="21"/>
  <c r="K261" i="1" s="1"/>
  <c r="AJ95" i="21"/>
  <c r="K273" i="1" s="1"/>
  <c r="AJ104" i="21"/>
  <c r="K282" i="1" s="1"/>
  <c r="AJ91" i="21"/>
  <c r="K269" i="1" s="1"/>
  <c r="AJ90" i="21"/>
  <c r="K268" i="1" s="1"/>
  <c r="AJ96" i="21"/>
  <c r="K274" i="1" s="1"/>
  <c r="AJ101" i="21"/>
  <c r="K279" i="1" s="1"/>
  <c r="AJ100" i="21"/>
  <c r="K278" i="1" s="1"/>
  <c r="AJ82" i="21"/>
  <c r="K260" i="1" s="1"/>
  <c r="AJ110" i="21"/>
  <c r="K288" i="1" s="1"/>
  <c r="AS79" i="21"/>
  <c r="K298" i="1" s="1"/>
  <c r="AJ79" i="21"/>
  <c r="K257" i="1" s="1"/>
  <c r="AS80" i="21"/>
  <c r="K299" i="1" s="1"/>
  <c r="AK76" i="21"/>
  <c r="K336" i="1" s="1"/>
  <c r="AK94" i="21"/>
  <c r="K354" i="1" s="1"/>
  <c r="AK100" i="21"/>
  <c r="K360" i="1" s="1"/>
  <c r="AK89" i="21"/>
  <c r="K349" i="1" s="1"/>
  <c r="AK91" i="21"/>
  <c r="K351" i="1" s="1"/>
  <c r="AK83" i="21"/>
  <c r="K343" i="1" s="1"/>
  <c r="AK87" i="21"/>
  <c r="K347" i="1" s="1"/>
  <c r="AK74" i="21"/>
  <c r="K334" i="1" s="1"/>
  <c r="AK106" i="21"/>
  <c r="K366" i="1" s="1"/>
  <c r="AK103" i="21"/>
  <c r="K363" i="1" s="1"/>
  <c r="AK96" i="21"/>
  <c r="K356" i="1" s="1"/>
  <c r="AK82" i="21"/>
  <c r="K342" i="1" s="1"/>
  <c r="AK98" i="21"/>
  <c r="K358" i="1" s="1"/>
  <c r="AK97" i="21"/>
  <c r="K357" i="1" s="1"/>
  <c r="AK108" i="21"/>
  <c r="K368" i="1" s="1"/>
  <c r="AK110" i="21"/>
  <c r="K370" i="1" s="1"/>
  <c r="AK75" i="21"/>
  <c r="K335" i="1" s="1"/>
  <c r="AK77" i="21"/>
  <c r="K337" i="1" s="1"/>
  <c r="AK101" i="21"/>
  <c r="K361" i="1" s="1"/>
  <c r="AK90" i="21"/>
  <c r="K350" i="1" s="1"/>
  <c r="AK102" i="21"/>
  <c r="K362" i="1" s="1"/>
  <c r="AK95" i="21"/>
  <c r="K355" i="1" s="1"/>
  <c r="AK99" i="21"/>
  <c r="K359" i="1" s="1"/>
  <c r="AK88" i="21"/>
  <c r="K348" i="1" s="1"/>
  <c r="AK107" i="21"/>
  <c r="K367" i="1" s="1"/>
  <c r="AK92" i="21"/>
  <c r="K352" i="1" s="1"/>
  <c r="AK109" i="21"/>
  <c r="K369" i="1" s="1"/>
  <c r="AK93" i="21"/>
  <c r="K353" i="1" s="1"/>
  <c r="AK104" i="21"/>
  <c r="K364" i="1" s="1"/>
  <c r="AK105" i="21"/>
  <c r="K365" i="1" s="1"/>
  <c r="AK86" i="21"/>
  <c r="K346" i="1" s="1"/>
  <c r="AK72" i="21"/>
  <c r="AK73" i="21"/>
  <c r="K333" i="1" s="1"/>
  <c r="AK79" i="21"/>
  <c r="K339" i="1" s="1"/>
  <c r="AK81" i="21"/>
  <c r="K341" i="1" s="1"/>
  <c r="AK80" i="21"/>
  <c r="K340" i="1" s="1"/>
  <c r="AK78" i="21"/>
  <c r="K338" i="1" s="1"/>
  <c r="Q123" i="21"/>
  <c r="K123" i="21"/>
  <c r="AI78" i="21"/>
  <c r="AI80" i="21"/>
  <c r="AJ80" i="21"/>
  <c r="K258" i="1" s="1"/>
  <c r="AN81" i="21"/>
  <c r="AS75" i="21"/>
  <c r="K294" i="1" s="1"/>
  <c r="AS77" i="21"/>
  <c r="K296" i="1" s="1"/>
  <c r="AS93" i="21"/>
  <c r="K312" i="1" s="1"/>
  <c r="AS72" i="21"/>
  <c r="K291" i="1" s="1"/>
  <c r="AS74" i="21"/>
  <c r="K293" i="1" s="1"/>
  <c r="AS76" i="21"/>
  <c r="K295" i="1" s="1"/>
  <c r="AS73" i="21"/>
  <c r="K292" i="1" s="1"/>
  <c r="AS96" i="21"/>
  <c r="K315" i="1" s="1"/>
  <c r="AS105" i="21"/>
  <c r="K324" i="1" s="1"/>
  <c r="AS84" i="21"/>
  <c r="K303" i="1" s="1"/>
  <c r="AS97" i="21"/>
  <c r="K316" i="1" s="1"/>
  <c r="AS107" i="21"/>
  <c r="K326" i="1" s="1"/>
  <c r="AS91" i="21"/>
  <c r="K310" i="1" s="1"/>
  <c r="AS82" i="21"/>
  <c r="K301" i="1" s="1"/>
  <c r="AS106" i="21"/>
  <c r="K325" i="1" s="1"/>
  <c r="AS89" i="21"/>
  <c r="K308" i="1" s="1"/>
  <c r="AS87" i="21"/>
  <c r="K306" i="1" s="1"/>
  <c r="AS95" i="21"/>
  <c r="K314" i="1" s="1"/>
  <c r="AS102" i="21"/>
  <c r="K321" i="1" s="1"/>
  <c r="AS104" i="21"/>
  <c r="K323" i="1" s="1"/>
  <c r="AS108" i="21"/>
  <c r="K327" i="1" s="1"/>
  <c r="AS90" i="21"/>
  <c r="K309" i="1" s="1"/>
  <c r="AS88" i="21"/>
  <c r="K307" i="1" s="1"/>
  <c r="AS98" i="21"/>
  <c r="K317" i="1" s="1"/>
  <c r="AS99" i="21"/>
  <c r="K318" i="1" s="1"/>
  <c r="AS103" i="21"/>
  <c r="K322" i="1" s="1"/>
  <c r="AS100" i="21"/>
  <c r="K319" i="1" s="1"/>
  <c r="AS85" i="21"/>
  <c r="K304" i="1" s="1"/>
  <c r="AS86" i="21"/>
  <c r="K305" i="1" s="1"/>
  <c r="AS101" i="21"/>
  <c r="K320" i="1" s="1"/>
  <c r="AS109" i="21"/>
  <c r="K328" i="1" s="1"/>
  <c r="AS94" i="21"/>
  <c r="K313" i="1" s="1"/>
  <c r="AS92" i="21"/>
  <c r="K311" i="1" s="1"/>
  <c r="AS83" i="21"/>
  <c r="K302" i="1" s="1"/>
  <c r="AS110" i="21"/>
  <c r="K329" i="1" s="1"/>
  <c r="AN78" i="21"/>
  <c r="AK85" i="21"/>
  <c r="K345" i="1" s="1"/>
  <c r="AI79" i="21"/>
  <c r="AJ78" i="21"/>
  <c r="K256" i="1" s="1"/>
  <c r="AN79" i="21"/>
  <c r="AJ81" i="21"/>
  <c r="K259" i="1" s="1"/>
  <c r="AN80" i="21"/>
  <c r="F123" i="21"/>
  <c r="AD79" i="21" s="1"/>
  <c r="G123" i="21"/>
  <c r="AE66" i="21"/>
  <c r="I107" i="21"/>
  <c r="I94" i="21"/>
  <c r="I92" i="21"/>
  <c r="I110" i="21"/>
  <c r="I102" i="21"/>
  <c r="I99" i="21"/>
  <c r="I95" i="21"/>
  <c r="I115" i="21"/>
  <c r="I88" i="21"/>
  <c r="I98" i="21"/>
  <c r="I109" i="21"/>
  <c r="I104" i="21"/>
  <c r="I93" i="21"/>
  <c r="I90" i="21"/>
  <c r="I108" i="21"/>
  <c r="I113" i="21"/>
  <c r="I97" i="21"/>
  <c r="I111" i="21"/>
  <c r="I105" i="21"/>
  <c r="I112" i="21"/>
  <c r="I118" i="21"/>
  <c r="I91" i="21"/>
  <c r="I114" i="21"/>
  <c r="I100" i="21"/>
  <c r="I117" i="21"/>
  <c r="I89" i="21"/>
  <c r="I96" i="21"/>
  <c r="I106" i="21"/>
  <c r="I119" i="21"/>
  <c r="I101" i="21"/>
  <c r="I116" i="21"/>
  <c r="S98" i="21"/>
  <c r="S88" i="21"/>
  <c r="S119" i="21"/>
  <c r="S92" i="21"/>
  <c r="S108" i="21"/>
  <c r="S118" i="21"/>
  <c r="S116" i="21"/>
  <c r="S107" i="21"/>
  <c r="S94" i="21"/>
  <c r="S110" i="21"/>
  <c r="S113" i="21"/>
  <c r="S100" i="21"/>
  <c r="S91" i="21"/>
  <c r="S93" i="21"/>
  <c r="S90" i="21"/>
  <c r="S96" i="21"/>
  <c r="S99" i="21"/>
  <c r="S89" i="21"/>
  <c r="S111" i="21"/>
  <c r="S97" i="21"/>
  <c r="S115" i="21"/>
  <c r="S105" i="21"/>
  <c r="S112" i="21"/>
  <c r="S102" i="21"/>
  <c r="S109" i="21"/>
  <c r="S117" i="21"/>
  <c r="S106" i="21"/>
  <c r="S101" i="21"/>
  <c r="S104" i="21"/>
  <c r="S95" i="21"/>
  <c r="S114" i="21"/>
  <c r="V94" i="21"/>
  <c r="V102" i="21"/>
  <c r="V110" i="21"/>
  <c r="V95" i="21"/>
  <c r="V106" i="21"/>
  <c r="V99" i="21"/>
  <c r="V116" i="21"/>
  <c r="V107" i="21"/>
  <c r="V98" i="21"/>
  <c r="V118" i="21"/>
  <c r="V112" i="21"/>
  <c r="V100" i="21"/>
  <c r="V113" i="21"/>
  <c r="V109" i="21"/>
  <c r="V114" i="21"/>
  <c r="V105" i="21"/>
  <c r="V97" i="21"/>
  <c r="V96" i="21"/>
  <c r="V117" i="21"/>
  <c r="V89" i="21"/>
  <c r="V104" i="21"/>
  <c r="V91" i="21"/>
  <c r="V115" i="21"/>
  <c r="V92" i="21"/>
  <c r="V93" i="21"/>
  <c r="V88" i="21"/>
  <c r="V119" i="21"/>
  <c r="V111" i="21"/>
  <c r="V108" i="21"/>
  <c r="V90" i="21"/>
  <c r="V101" i="21"/>
  <c r="H123" i="21"/>
  <c r="AF66" i="21"/>
  <c r="J86" i="21"/>
  <c r="O123" i="21"/>
  <c r="D123" i="21"/>
  <c r="AB72" i="21" s="1"/>
  <c r="I85" i="21"/>
  <c r="I86" i="21"/>
  <c r="V79" i="21"/>
  <c r="V81" i="21"/>
  <c r="V82" i="21"/>
  <c r="V80" i="21"/>
  <c r="S80" i="21"/>
  <c r="S81" i="21"/>
  <c r="S82" i="21"/>
  <c r="S79" i="21"/>
  <c r="S86" i="21"/>
  <c r="S85" i="21"/>
  <c r="R82" i="21"/>
  <c r="R79" i="21"/>
  <c r="R80" i="21"/>
  <c r="R81" i="21"/>
  <c r="I81" i="21"/>
  <c r="I80" i="21"/>
  <c r="I82" i="21"/>
  <c r="V85" i="21"/>
  <c r="V86" i="21"/>
  <c r="R85" i="21"/>
  <c r="R86" i="21"/>
  <c r="J80" i="21"/>
  <c r="J82" i="21"/>
  <c r="J81" i="21"/>
  <c r="J79" i="21"/>
  <c r="I79" i="21"/>
  <c r="E50" i="21"/>
  <c r="G51" i="21"/>
  <c r="E41" i="21"/>
  <c r="G41" i="21"/>
  <c r="G52" i="21"/>
  <c r="G48" i="21"/>
  <c r="E40" i="21"/>
  <c r="E49" i="21"/>
  <c r="E43" i="21"/>
  <c r="E29" i="21"/>
  <c r="G50" i="21"/>
  <c r="G46" i="21"/>
  <c r="G44" i="21"/>
  <c r="G40" i="21"/>
  <c r="E52" i="21"/>
  <c r="E48" i="21"/>
  <c r="E45" i="21"/>
  <c r="E42" i="21"/>
  <c r="G29" i="21"/>
  <c r="G49" i="21"/>
  <c r="G43" i="21"/>
  <c r="E51" i="21"/>
  <c r="E47" i="21"/>
  <c r="E39" i="21"/>
  <c r="G45" i="21"/>
  <c r="G42" i="21"/>
  <c r="E46" i="21"/>
  <c r="E44" i="21"/>
  <c r="G47" i="21"/>
  <c r="G39" i="21"/>
  <c r="AK112" i="21" l="1"/>
  <c r="AK114" i="21"/>
  <c r="AK115" i="21" s="1"/>
  <c r="K332" i="1"/>
  <c r="AO80" i="21"/>
  <c r="AO75" i="21"/>
  <c r="AO91" i="21"/>
  <c r="AO76" i="21"/>
  <c r="AO101" i="21"/>
  <c r="AO87" i="21"/>
  <c r="AO85" i="21"/>
  <c r="AO106" i="21"/>
  <c r="AO98" i="21"/>
  <c r="AO102" i="21"/>
  <c r="AO105" i="21"/>
  <c r="AO94" i="21"/>
  <c r="AO84" i="21"/>
  <c r="AO103" i="21"/>
  <c r="AO93" i="21"/>
  <c r="AO99" i="21"/>
  <c r="AO104" i="21"/>
  <c r="AO107" i="21"/>
  <c r="AO96" i="21"/>
  <c r="AO90" i="21"/>
  <c r="AO88" i="21"/>
  <c r="AO82" i="21"/>
  <c r="AO74" i="21"/>
  <c r="AO110" i="21"/>
  <c r="AO97" i="21"/>
  <c r="AO89" i="21"/>
  <c r="AO83" i="21"/>
  <c r="AO108" i="21"/>
  <c r="AO86" i="21"/>
  <c r="AO95" i="21"/>
  <c r="AO92" i="21"/>
  <c r="AO77" i="21"/>
  <c r="AO109" i="21"/>
  <c r="AO73" i="21"/>
  <c r="AO100" i="21"/>
  <c r="AO72" i="21"/>
  <c r="AQ91" i="21"/>
  <c r="AQ80" i="21"/>
  <c r="AT96" i="21"/>
  <c r="K648" i="1" s="1"/>
  <c r="AO79" i="21"/>
  <c r="AO81" i="21"/>
  <c r="AQ106" i="21"/>
  <c r="AM74" i="21"/>
  <c r="K418" i="1" s="1"/>
  <c r="AM76" i="21"/>
  <c r="K420" i="1" s="1"/>
  <c r="AM110" i="21"/>
  <c r="K454" i="1" s="1"/>
  <c r="AM73" i="21"/>
  <c r="K417" i="1" s="1"/>
  <c r="AM75" i="21"/>
  <c r="K419" i="1" s="1"/>
  <c r="AM77" i="21"/>
  <c r="K421" i="1" s="1"/>
  <c r="AM93" i="21"/>
  <c r="AM72" i="21"/>
  <c r="K416" i="1" s="1"/>
  <c r="AM90" i="21"/>
  <c r="K434" i="1" s="1"/>
  <c r="AM100" i="21"/>
  <c r="K444" i="1" s="1"/>
  <c r="AM105" i="21"/>
  <c r="K449" i="1" s="1"/>
  <c r="AM104" i="21"/>
  <c r="K448" i="1" s="1"/>
  <c r="AM88" i="21"/>
  <c r="K432" i="1" s="1"/>
  <c r="AM89" i="21"/>
  <c r="K433" i="1" s="1"/>
  <c r="AM86" i="21"/>
  <c r="K430" i="1" s="1"/>
  <c r="AM80" i="21"/>
  <c r="K424" i="1" s="1"/>
  <c r="AM102" i="21"/>
  <c r="K446" i="1" s="1"/>
  <c r="AM79" i="21"/>
  <c r="K423" i="1" s="1"/>
  <c r="AM101" i="21"/>
  <c r="K445" i="1" s="1"/>
  <c r="AM98" i="21"/>
  <c r="K442" i="1" s="1"/>
  <c r="AM96" i="21"/>
  <c r="K440" i="1" s="1"/>
  <c r="AM108" i="21"/>
  <c r="K452" i="1" s="1"/>
  <c r="AM87" i="21"/>
  <c r="K431" i="1" s="1"/>
  <c r="AM99" i="21"/>
  <c r="K443" i="1" s="1"/>
  <c r="AM106" i="21"/>
  <c r="K450" i="1" s="1"/>
  <c r="AM85" i="21"/>
  <c r="K429" i="1" s="1"/>
  <c r="AM94" i="21"/>
  <c r="K438" i="1" s="1"/>
  <c r="AM97" i="21"/>
  <c r="K441" i="1" s="1"/>
  <c r="AM82" i="21"/>
  <c r="K426" i="1" s="1"/>
  <c r="AM92" i="21"/>
  <c r="K436" i="1" s="1"/>
  <c r="K437" i="1" s="1"/>
  <c r="AM91" i="21"/>
  <c r="K435" i="1" s="1"/>
  <c r="AM109" i="21"/>
  <c r="K453" i="1" s="1"/>
  <c r="AM84" i="21"/>
  <c r="K428" i="1" s="1"/>
  <c r="AM81" i="21"/>
  <c r="K425" i="1" s="1"/>
  <c r="AM95" i="21"/>
  <c r="K439" i="1" s="1"/>
  <c r="AM83" i="21"/>
  <c r="K427" i="1" s="1"/>
  <c r="AM103" i="21"/>
  <c r="K447" i="1" s="1"/>
  <c r="AM107" i="21"/>
  <c r="K451" i="1" s="1"/>
  <c r="AM78" i="21"/>
  <c r="K422" i="1" s="1"/>
  <c r="AI81" i="21"/>
  <c r="AI85" i="21"/>
  <c r="AI93" i="21"/>
  <c r="AI77" i="21"/>
  <c r="AI92" i="21"/>
  <c r="AI74" i="21"/>
  <c r="AI89" i="21"/>
  <c r="AI102" i="21"/>
  <c r="AI84" i="21"/>
  <c r="AI91" i="21"/>
  <c r="AI97" i="21"/>
  <c r="AI94" i="21"/>
  <c r="AI104" i="21"/>
  <c r="AI82" i="21"/>
  <c r="AI90" i="21"/>
  <c r="AI76" i="21"/>
  <c r="AI103" i="21"/>
  <c r="AI87" i="21"/>
  <c r="AI86" i="21"/>
  <c r="AI100" i="21"/>
  <c r="AI105" i="21"/>
  <c r="AI108" i="21"/>
  <c r="AI106" i="21"/>
  <c r="AI83" i="21"/>
  <c r="AI107" i="21"/>
  <c r="AI110" i="21"/>
  <c r="AI75" i="21"/>
  <c r="AI96" i="21"/>
  <c r="AI98" i="21"/>
  <c r="AI99" i="21"/>
  <c r="AI95" i="21"/>
  <c r="AI88" i="21"/>
  <c r="AI101" i="21"/>
  <c r="AI109" i="21"/>
  <c r="AI73" i="21"/>
  <c r="AI72" i="21"/>
  <c r="AT88" i="21"/>
  <c r="K640" i="1" s="1"/>
  <c r="AO78" i="21"/>
  <c r="AD106" i="21"/>
  <c r="AD98" i="21"/>
  <c r="AD83" i="21"/>
  <c r="AD94" i="21"/>
  <c r="AD99" i="21"/>
  <c r="AD105" i="21"/>
  <c r="AD95" i="21"/>
  <c r="AD96" i="21"/>
  <c r="AD102" i="21"/>
  <c r="AD89" i="21"/>
  <c r="AD110" i="21"/>
  <c r="AD104" i="21"/>
  <c r="AD97" i="21"/>
  <c r="AD100" i="21"/>
  <c r="AD86" i="21"/>
  <c r="AD103" i="21"/>
  <c r="AD90" i="21"/>
  <c r="AD92" i="21"/>
  <c r="AD108" i="21"/>
  <c r="AD109" i="21"/>
  <c r="AD88" i="21"/>
  <c r="AD107" i="21"/>
  <c r="J123" i="21"/>
  <c r="AH85" i="21" s="1"/>
  <c r="K972" i="1" s="1"/>
  <c r="AD91" i="21"/>
  <c r="AN114" i="21"/>
  <c r="AN115" i="21" s="1"/>
  <c r="AN112" i="21"/>
  <c r="AD87" i="21"/>
  <c r="AD101" i="21"/>
  <c r="I123" i="21"/>
  <c r="AB74" i="21"/>
  <c r="AB77" i="21"/>
  <c r="AB73" i="21"/>
  <c r="AE73" i="21"/>
  <c r="AE72" i="21"/>
  <c r="AE78" i="21"/>
  <c r="AE84" i="21"/>
  <c r="AE79" i="21"/>
  <c r="AE85" i="21"/>
  <c r="AE80" i="21"/>
  <c r="AE74" i="21"/>
  <c r="AE81" i="21"/>
  <c r="AE108" i="21"/>
  <c r="AE75" i="21"/>
  <c r="AE82" i="21"/>
  <c r="AE76" i="21"/>
  <c r="AE98" i="21"/>
  <c r="AE92" i="21"/>
  <c r="AE99" i="21"/>
  <c r="AE105" i="21"/>
  <c r="AE89" i="21"/>
  <c r="AE88" i="21"/>
  <c r="AE106" i="21"/>
  <c r="AE90" i="21"/>
  <c r="AE103" i="21"/>
  <c r="AE95" i="21"/>
  <c r="AE83" i="21"/>
  <c r="AE102" i="21"/>
  <c r="AE86" i="21"/>
  <c r="AE100" i="21"/>
  <c r="AE96" i="21"/>
  <c r="AE87" i="21"/>
  <c r="AE104" i="21"/>
  <c r="AE110" i="21"/>
  <c r="AE91" i="21"/>
  <c r="AE77" i="21"/>
  <c r="AE97" i="21"/>
  <c r="AE107" i="21"/>
  <c r="AE94" i="21"/>
  <c r="AE101" i="21"/>
  <c r="AE109" i="21"/>
  <c r="AD81" i="21"/>
  <c r="AD77" i="21"/>
  <c r="AD72" i="21"/>
  <c r="AD73" i="21"/>
  <c r="AD82" i="21"/>
  <c r="AD74" i="21"/>
  <c r="AD76" i="21"/>
  <c r="AD75" i="21"/>
  <c r="AD78" i="21"/>
  <c r="AD80" i="21"/>
  <c r="AD85" i="21"/>
  <c r="AF73" i="21"/>
  <c r="AF72" i="21"/>
  <c r="AD84" i="21"/>
  <c r="AG75" i="21"/>
  <c r="AF85" i="21"/>
  <c r="AF84" i="21"/>
  <c r="AF80" i="21"/>
  <c r="AF103" i="21"/>
  <c r="AF74" i="21"/>
  <c r="AF81" i="21"/>
  <c r="AF105" i="21"/>
  <c r="AF82" i="21"/>
  <c r="AF100" i="21"/>
  <c r="AF108" i="21"/>
  <c r="AF102" i="21"/>
  <c r="AF98" i="21"/>
  <c r="AF78" i="21"/>
  <c r="AF96" i="21"/>
  <c r="AF94" i="21"/>
  <c r="AF77" i="21"/>
  <c r="AF95" i="21"/>
  <c r="AF91" i="21"/>
  <c r="AF86" i="21"/>
  <c r="AF89" i="21"/>
  <c r="AF107" i="21"/>
  <c r="AF87" i="21"/>
  <c r="AF88" i="21"/>
  <c r="AF106" i="21"/>
  <c r="AF99" i="21"/>
  <c r="AF90" i="21"/>
  <c r="AF110" i="21"/>
  <c r="AF79" i="21"/>
  <c r="AF75" i="21"/>
  <c r="AF97" i="21"/>
  <c r="AF83" i="21"/>
  <c r="AF92" i="21"/>
  <c r="AF104" i="21"/>
  <c r="AF109" i="21"/>
  <c r="AF76" i="21"/>
  <c r="AF101" i="21"/>
  <c r="V123" i="21"/>
  <c r="AT100" i="21" s="1"/>
  <c r="K652" i="1" s="1"/>
  <c r="R123" i="21"/>
  <c r="AP84" i="21" s="1"/>
  <c r="K553" i="1" s="1"/>
  <c r="S123" i="21"/>
  <c r="AQ92" i="21" s="1"/>
  <c r="AB85" i="21"/>
  <c r="AB79" i="21"/>
  <c r="AB81" i="21"/>
  <c r="AB110" i="21"/>
  <c r="AB82" i="21"/>
  <c r="AB84" i="21"/>
  <c r="AB78" i="21"/>
  <c r="AB76" i="21"/>
  <c r="AB80" i="21"/>
  <c r="AB75" i="21"/>
  <c r="AB108" i="21"/>
  <c r="AB103" i="21"/>
  <c r="AB99" i="21"/>
  <c r="AB95" i="21"/>
  <c r="AB90" i="21"/>
  <c r="AB86" i="21"/>
  <c r="AB105" i="21"/>
  <c r="AB100" i="21"/>
  <c r="AB96" i="21"/>
  <c r="AB91" i="21"/>
  <c r="AB87" i="21"/>
  <c r="AB106" i="21"/>
  <c r="AB102" i="21"/>
  <c r="AB98" i="21"/>
  <c r="AB94" i="21"/>
  <c r="AB89" i="21"/>
  <c r="AB83" i="21"/>
  <c r="AB104" i="21"/>
  <c r="AB101" i="21"/>
  <c r="AB97" i="21"/>
  <c r="AB88" i="21"/>
  <c r="AB107" i="21"/>
  <c r="AB109" i="21"/>
  <c r="AS112" i="21"/>
  <c r="AJ112" i="21"/>
  <c r="AP81" i="21" l="1"/>
  <c r="K550" i="1" s="1"/>
  <c r="AQ81" i="21"/>
  <c r="AT99" i="21"/>
  <c r="K651" i="1" s="1"/>
  <c r="AT106" i="21"/>
  <c r="K658" i="1" s="1"/>
  <c r="AP79" i="21"/>
  <c r="K548" i="1" s="1"/>
  <c r="AT90" i="21"/>
  <c r="K642" i="1" s="1"/>
  <c r="AT101" i="21"/>
  <c r="K653" i="1" s="1"/>
  <c r="AQ101" i="21"/>
  <c r="AQ108" i="21"/>
  <c r="AQ109" i="21"/>
  <c r="AQ79" i="21"/>
  <c r="AT94" i="21"/>
  <c r="K646" i="1" s="1"/>
  <c r="AT97" i="21"/>
  <c r="K649" i="1" s="1"/>
  <c r="AT82" i="21"/>
  <c r="K634" i="1" s="1"/>
  <c r="AT103" i="21"/>
  <c r="K655" i="1" s="1"/>
  <c r="AT89" i="21"/>
  <c r="K641" i="1" s="1"/>
  <c r="AT80" i="21"/>
  <c r="K632" i="1" s="1"/>
  <c r="AT85" i="21"/>
  <c r="K637" i="1" s="1"/>
  <c r="AO114" i="21"/>
  <c r="AO115" i="21" s="1"/>
  <c r="AO112" i="21"/>
  <c r="AI112" i="21"/>
  <c r="AI114" i="21"/>
  <c r="AI115" i="21" s="1"/>
  <c r="AQ86" i="21"/>
  <c r="AT81" i="21"/>
  <c r="K633" i="1" s="1"/>
  <c r="AQ99" i="21"/>
  <c r="AQ96" i="21"/>
  <c r="AH78" i="21"/>
  <c r="K965" i="1" s="1"/>
  <c r="AT87" i="21"/>
  <c r="K639" i="1" s="1"/>
  <c r="AT102" i="21"/>
  <c r="K654" i="1" s="1"/>
  <c r="AQ100" i="21"/>
  <c r="AT98" i="21"/>
  <c r="K650" i="1" s="1"/>
  <c r="AQ83" i="21"/>
  <c r="AP85" i="21"/>
  <c r="K554" i="1" s="1"/>
  <c r="AQ87" i="21"/>
  <c r="AT104" i="21"/>
  <c r="K656" i="1" s="1"/>
  <c r="AQ90" i="21"/>
  <c r="AQ105" i="21"/>
  <c r="AQ88" i="21"/>
  <c r="AQ82" i="21"/>
  <c r="AQ95" i="21"/>
  <c r="AT75" i="21"/>
  <c r="K627" i="1" s="1"/>
  <c r="AT77" i="21"/>
  <c r="K629" i="1" s="1"/>
  <c r="AT93" i="21"/>
  <c r="K645" i="1" s="1"/>
  <c r="AT72" i="21"/>
  <c r="K624" i="1" s="1"/>
  <c r="AT76" i="21"/>
  <c r="K628" i="1" s="1"/>
  <c r="AT110" i="21"/>
  <c r="K662" i="1" s="1"/>
  <c r="AT73" i="21"/>
  <c r="K625" i="1" s="1"/>
  <c r="AT74" i="21"/>
  <c r="K626" i="1" s="1"/>
  <c r="AQ89" i="21"/>
  <c r="AQ98" i="21"/>
  <c r="AT84" i="21"/>
  <c r="K636" i="1" s="1"/>
  <c r="AH82" i="21"/>
  <c r="K969" i="1" s="1"/>
  <c r="AH93" i="21"/>
  <c r="AQ104" i="21"/>
  <c r="AT92" i="21"/>
  <c r="K644" i="1" s="1"/>
  <c r="AT105" i="21"/>
  <c r="K657" i="1" s="1"/>
  <c r="AT108" i="21"/>
  <c r="K660" i="1" s="1"/>
  <c r="AQ97" i="21"/>
  <c r="AP80" i="21"/>
  <c r="K549" i="1" s="1"/>
  <c r="AG78" i="21"/>
  <c r="AG93" i="21"/>
  <c r="AT91" i="21"/>
  <c r="K643" i="1" s="1"/>
  <c r="AH79" i="21"/>
  <c r="K966" i="1" s="1"/>
  <c r="AQ85" i="21"/>
  <c r="AT95" i="21"/>
  <c r="K647" i="1" s="1"/>
  <c r="AT86" i="21"/>
  <c r="K638" i="1" s="1"/>
  <c r="AQ102" i="21"/>
  <c r="AT109" i="21"/>
  <c r="K661" i="1" s="1"/>
  <c r="AQ77" i="21"/>
  <c r="AQ93" i="21"/>
  <c r="AQ76" i="21"/>
  <c r="AQ72" i="21"/>
  <c r="AQ74" i="21"/>
  <c r="AQ110" i="21"/>
  <c r="AQ73" i="21"/>
  <c r="AQ75" i="21"/>
  <c r="AP78" i="21"/>
  <c r="K547" i="1" s="1"/>
  <c r="AT83" i="21"/>
  <c r="K635" i="1" s="1"/>
  <c r="AQ103" i="21"/>
  <c r="AQ84" i="21"/>
  <c r="AP93" i="21"/>
  <c r="AP72" i="21"/>
  <c r="K541" i="1" s="1"/>
  <c r="AP74" i="21"/>
  <c r="K543" i="1" s="1"/>
  <c r="AP76" i="21"/>
  <c r="K545" i="1" s="1"/>
  <c r="AP110" i="21"/>
  <c r="K579" i="1" s="1"/>
  <c r="AP73" i="21"/>
  <c r="K542" i="1" s="1"/>
  <c r="AP75" i="21"/>
  <c r="K544" i="1" s="1"/>
  <c r="AP77" i="21"/>
  <c r="K546" i="1" s="1"/>
  <c r="AP95" i="21"/>
  <c r="K564" i="1" s="1"/>
  <c r="AP106" i="21"/>
  <c r="K575" i="1" s="1"/>
  <c r="AP104" i="21"/>
  <c r="K573" i="1" s="1"/>
  <c r="AP105" i="21"/>
  <c r="K574" i="1" s="1"/>
  <c r="AP96" i="21"/>
  <c r="K565" i="1" s="1"/>
  <c r="AP94" i="21"/>
  <c r="K563" i="1" s="1"/>
  <c r="AP99" i="21"/>
  <c r="K568" i="1" s="1"/>
  <c r="AP90" i="21"/>
  <c r="K559" i="1" s="1"/>
  <c r="AP98" i="21"/>
  <c r="K567" i="1" s="1"/>
  <c r="AP102" i="21"/>
  <c r="K571" i="1" s="1"/>
  <c r="AP89" i="21"/>
  <c r="K558" i="1" s="1"/>
  <c r="AP109" i="21"/>
  <c r="K578" i="1" s="1"/>
  <c r="AP100" i="21"/>
  <c r="K569" i="1" s="1"/>
  <c r="AP87" i="21"/>
  <c r="K556" i="1" s="1"/>
  <c r="AP97" i="21"/>
  <c r="K566" i="1" s="1"/>
  <c r="AP91" i="21"/>
  <c r="K560" i="1" s="1"/>
  <c r="AP86" i="21"/>
  <c r="K555" i="1" s="1"/>
  <c r="AP88" i="21"/>
  <c r="K557" i="1" s="1"/>
  <c r="AP92" i="21"/>
  <c r="K561" i="1" s="1"/>
  <c r="K562" i="1" s="1"/>
  <c r="AP108" i="21"/>
  <c r="K577" i="1" s="1"/>
  <c r="AP83" i="21"/>
  <c r="K552" i="1" s="1"/>
  <c r="AP103" i="21"/>
  <c r="K572" i="1" s="1"/>
  <c r="AP82" i="21"/>
  <c r="K551" i="1" s="1"/>
  <c r="AP101" i="21"/>
  <c r="K570" i="1" s="1"/>
  <c r="AP107" i="21"/>
  <c r="K576" i="1" s="1"/>
  <c r="AH80" i="21"/>
  <c r="K967" i="1" s="1"/>
  <c r="AT78" i="21"/>
  <c r="K630" i="1" s="1"/>
  <c r="AT79" i="21"/>
  <c r="K631" i="1" s="1"/>
  <c r="AT107" i="21"/>
  <c r="K659" i="1" s="1"/>
  <c r="AQ107" i="21"/>
  <c r="AQ94" i="21"/>
  <c r="AQ78" i="21"/>
  <c r="AG73" i="21"/>
  <c r="AG76" i="21"/>
  <c r="AG74" i="21"/>
  <c r="AG81" i="21"/>
  <c r="AG80" i="21"/>
  <c r="AG84" i="21"/>
  <c r="AG79" i="21"/>
  <c r="AG82" i="21"/>
  <c r="AG85" i="21"/>
  <c r="AH84" i="21"/>
  <c r="K971" i="1" s="1"/>
  <c r="AH75" i="21"/>
  <c r="K962" i="1" s="1"/>
  <c r="AH77" i="21"/>
  <c r="K964" i="1" s="1"/>
  <c r="AH81" i="21"/>
  <c r="K968" i="1" s="1"/>
  <c r="AH72" i="21"/>
  <c r="K959" i="1" s="1"/>
  <c r="AD112" i="21"/>
  <c r="AH74" i="21"/>
  <c r="K961" i="1" s="1"/>
  <c r="AG72" i="21"/>
  <c r="AG77" i="21"/>
  <c r="AH73" i="21"/>
  <c r="K960" i="1" s="1"/>
  <c r="AH76" i="21"/>
  <c r="K963" i="1" s="1"/>
  <c r="AB114" i="21"/>
  <c r="AB115" i="21" s="1"/>
  <c r="AF112" i="21"/>
  <c r="AE112" i="21"/>
  <c r="AB112" i="21"/>
  <c r="AM112" i="21"/>
  <c r="AG95" i="21"/>
  <c r="AG94" i="21"/>
  <c r="AG105" i="21"/>
  <c r="AG108" i="21"/>
  <c r="AG106" i="21"/>
  <c r="AG96" i="21"/>
  <c r="AG103" i="21"/>
  <c r="AG83" i="21"/>
  <c r="AG102" i="21"/>
  <c r="AG100" i="21"/>
  <c r="AG86" i="21"/>
  <c r="AG87" i="21"/>
  <c r="AG99" i="21"/>
  <c r="AG88" i="21"/>
  <c r="AG97" i="21"/>
  <c r="AG98" i="21"/>
  <c r="AG104" i="21"/>
  <c r="AG90" i="21"/>
  <c r="AG89" i="21"/>
  <c r="AG92" i="21"/>
  <c r="AG107" i="21"/>
  <c r="AG110" i="21"/>
  <c r="AG109" i="21"/>
  <c r="AG101" i="21"/>
  <c r="AG91" i="21"/>
  <c r="AH110" i="21"/>
  <c r="K997" i="1" s="1"/>
  <c r="AH109" i="21"/>
  <c r="K996" i="1" s="1"/>
  <c r="AH107" i="21"/>
  <c r="K994" i="1" s="1"/>
  <c r="AH86" i="21"/>
  <c r="K973" i="1" s="1"/>
  <c r="AH90" i="21"/>
  <c r="K977" i="1" s="1"/>
  <c r="AH95" i="21"/>
  <c r="K982" i="1" s="1"/>
  <c r="AH99" i="21"/>
  <c r="K986" i="1" s="1"/>
  <c r="AH103" i="21"/>
  <c r="K990" i="1" s="1"/>
  <c r="AH104" i="21"/>
  <c r="K991" i="1" s="1"/>
  <c r="AH83" i="21"/>
  <c r="K970" i="1" s="1"/>
  <c r="AH87" i="21"/>
  <c r="K974" i="1" s="1"/>
  <c r="AH91" i="21"/>
  <c r="K978" i="1" s="1"/>
  <c r="AH96" i="21"/>
  <c r="K983" i="1" s="1"/>
  <c r="AH100" i="21"/>
  <c r="K987" i="1" s="1"/>
  <c r="AH105" i="21"/>
  <c r="K992" i="1" s="1"/>
  <c r="AH88" i="21"/>
  <c r="K975" i="1" s="1"/>
  <c r="AH92" i="21"/>
  <c r="AH97" i="21"/>
  <c r="K984" i="1" s="1"/>
  <c r="AH101" i="21"/>
  <c r="K988" i="1" s="1"/>
  <c r="AH98" i="21"/>
  <c r="K985" i="1" s="1"/>
  <c r="AH106" i="21"/>
  <c r="K993" i="1" s="1"/>
  <c r="AH94" i="21"/>
  <c r="K981" i="1" s="1"/>
  <c r="AH102" i="21"/>
  <c r="K989" i="1" s="1"/>
  <c r="AH108" i="21"/>
  <c r="K995" i="1" s="1"/>
  <c r="AH89" i="21"/>
  <c r="K976" i="1" s="1"/>
  <c r="AF114" i="21"/>
  <c r="AF115" i="21" s="1"/>
  <c r="AE114" i="21"/>
  <c r="AE115" i="21" s="1"/>
  <c r="AH112" i="21" l="1"/>
  <c r="AG112" i="21"/>
  <c r="AP112" i="21"/>
  <c r="AT112" i="21"/>
  <c r="AQ112" i="21"/>
  <c r="AH114" i="21"/>
  <c r="AH115" i="21" s="1"/>
  <c r="K203" i="1"/>
  <c r="K202" i="1"/>
  <c r="AM114" i="21" l="1"/>
  <c r="AD114" i="21"/>
  <c r="AD115" i="21" s="1"/>
  <c r="AS114" i="21"/>
  <c r="AS115" i="21" s="1"/>
  <c r="AJ114" i="21"/>
  <c r="AJ115" i="21" s="1"/>
  <c r="AT114" i="21"/>
  <c r="AT115" i="21" s="1"/>
  <c r="AP114" i="21"/>
  <c r="AP115" i="21" s="1"/>
  <c r="AG114" i="21"/>
  <c r="AG115" i="21" s="1"/>
  <c r="AQ114" i="21"/>
  <c r="AQ11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S7" i="12"/>
  <c r="R7" i="12"/>
  <c r="Q7" i="12"/>
  <c r="I7" i="12"/>
  <c r="S6" i="12"/>
  <c r="R6" i="12"/>
  <c r="Q6" i="12"/>
  <c r="I6" i="12"/>
  <c r="S5" i="12"/>
  <c r="R5" i="12"/>
  <c r="Q5" i="12"/>
  <c r="I5" i="12"/>
  <c r="S4" i="12"/>
  <c r="R4" i="12"/>
  <c r="Q4" i="12"/>
  <c r="I4" i="12"/>
  <c r="S3" i="12"/>
  <c r="R3" i="12"/>
  <c r="Q3" i="12"/>
  <c r="I3" i="12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O9" i="10"/>
  <c r="B11" i="10"/>
  <c r="P11" i="10"/>
  <c r="J12" i="10"/>
  <c r="D9" i="10"/>
  <c r="P5" i="10"/>
  <c r="P8" i="10"/>
  <c r="O5" i="10"/>
  <c r="I10" i="10"/>
  <c r="P7" i="10"/>
  <c r="O11" i="10"/>
  <c r="I6" i="10"/>
  <c r="J9" i="10"/>
  <c r="N8" i="10"/>
  <c r="D5" i="10"/>
  <c r="P10" i="10"/>
  <c r="J11" i="10"/>
  <c r="J7" i="10"/>
  <c r="D10" i="10"/>
  <c r="N6" i="10"/>
  <c r="B14" i="10"/>
  <c r="P14" i="10"/>
  <c r="C5" i="10"/>
  <c r="H6" i="10"/>
  <c r="H8" i="10"/>
  <c r="H14" i="10"/>
  <c r="O10" i="10"/>
  <c r="C14" i="10"/>
  <c r="P6" i="10"/>
  <c r="O8" i="10"/>
  <c r="B10" i="10"/>
  <c r="B5" i="10"/>
  <c r="C6" i="10"/>
  <c r="D14" i="10"/>
  <c r="B12" i="10"/>
  <c r="O6" i="10"/>
  <c r="J8" i="10"/>
  <c r="N5" i="10"/>
  <c r="N7" i="10"/>
  <c r="N9" i="10"/>
  <c r="N12" i="10"/>
  <c r="I12" i="10"/>
  <c r="B9" i="10"/>
  <c r="H12" i="10"/>
  <c r="I5" i="10"/>
  <c r="C9" i="10"/>
  <c r="D6" i="10"/>
  <c r="N14" i="10"/>
  <c r="P9" i="10"/>
  <c r="D8" i="10"/>
  <c r="D12" i="10"/>
  <c r="H7" i="10"/>
  <c r="J5" i="10"/>
  <c r="I14" i="10"/>
  <c r="C11" i="10"/>
  <c r="I8" i="10"/>
  <c r="B6" i="10"/>
  <c r="I9" i="10"/>
  <c r="B8" i="10"/>
  <c r="C12" i="10"/>
  <c r="O14" i="10"/>
  <c r="O7" i="10"/>
  <c r="B7" i="10"/>
  <c r="J10" i="10"/>
  <c r="C10" i="10"/>
  <c r="J6" i="10"/>
  <c r="H5" i="10"/>
  <c r="I11" i="10"/>
  <c r="I7" i="10"/>
  <c r="J14" i="10"/>
  <c r="O12" i="10"/>
  <c r="N10" i="10"/>
  <c r="D11" i="10"/>
  <c r="C8" i="10"/>
  <c r="N11" i="10"/>
  <c r="D7" i="10"/>
  <c r="C7" i="10"/>
  <c r="P12" i="10"/>
  <c r="H9" i="10"/>
  <c r="U6" i="12" l="1"/>
  <c r="W6" i="12"/>
  <c r="U4" i="12"/>
  <c r="W4" i="12"/>
  <c r="U5" i="12"/>
  <c r="W5" i="12"/>
  <c r="U3" i="12"/>
  <c r="W3" i="12"/>
  <c r="U7" i="12"/>
  <c r="W7" i="12"/>
  <c r="U9" i="12"/>
  <c r="K104" i="1"/>
  <c r="K100" i="1"/>
  <c r="K109" i="1"/>
  <c r="K61" i="1" s="1"/>
  <c r="K59" i="1" s="1"/>
  <c r="K110" i="1"/>
  <c r="K62" i="1" s="1"/>
  <c r="K106" i="1"/>
  <c r="K53" i="1" s="1"/>
  <c r="K111" i="1"/>
  <c r="K63" i="1" s="1"/>
  <c r="K102" i="1"/>
  <c r="K103" i="1"/>
  <c r="K108" i="1"/>
  <c r="K60" i="1" s="1"/>
  <c r="H20" i="10"/>
  <c r="J20" i="10"/>
  <c r="I20" i="10"/>
  <c r="P32" i="8"/>
  <c r="Q32" i="8" s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K5" i="10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9" i="1"/>
  <c r="K8" i="1"/>
  <c r="K6" i="1"/>
  <c r="K5" i="1"/>
  <c r="X7" i="12" l="1"/>
  <c r="Y7" i="12"/>
  <c r="X5" i="12"/>
  <c r="Y5" i="12"/>
  <c r="Y3" i="12"/>
  <c r="W9" i="12"/>
  <c r="X3" i="12"/>
  <c r="X9" i="12" s="1"/>
  <c r="X6" i="12"/>
  <c r="Y6" i="12"/>
  <c r="X4" i="12"/>
  <c r="Y4" i="12"/>
  <c r="AM24" i="8"/>
  <c r="K20" i="10"/>
  <c r="X11" i="10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Y9" i="12" l="1"/>
  <c r="AN37" i="8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AE5" i="8"/>
  <c r="E48" i="8" l="1"/>
  <c r="H48" i="8" s="1"/>
  <c r="D28" i="8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<sst xmlns="http://schemas.openxmlformats.org/spreadsheetml/2006/main" count="5618" uniqueCount="735">
  <si>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</si>
  <si>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</si>
  <si>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</si>
  <si>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</si>
  <si>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</si>
  <si>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</si>
  <si>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</si>
  <si>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</si>
  <si>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</si>
  <si>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</si>
  <si>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</si>
  <si>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</si>
  <si>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</si>
  <si>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</si>
  <si>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</si>
  <si>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</si>
  <si>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</si>
  <si>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</si>
  <si>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</si>
  <si>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</si>
  <si>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</si>
  <si>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</si>
  <si>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</si>
  <si>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</si>
  <si>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</si>
  <si>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</si>
  <si>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</si>
  <si>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</si>
  <si>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</si>
  <si>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</si>
  <si>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</si>
  <si>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</si>
  <si>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</si>
  <si>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</si>
  <si>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</si>
  <si>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</si>
  <si>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</si>
  <si>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</si>
  <si>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</si>
  <si>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</si>
  <si>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</si>
  <si>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</si>
  <si>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</si>
  <si>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</si>
  <si>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</si>
  <si>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</si>
  <si>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</si>
  <si>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</si>
  <si>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</si>
  <si>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</si>
  <si>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</si>
  <si>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</si>
  <si>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</si>
  <si>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</si>
  <si>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</si>
  <si>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</si>
  <si>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</si>
  <si>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</si>
  <si>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</si>
  <si>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</si>
  <si>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</si>
  <si>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</si>
  <si>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</si>
  <si>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</si>
  <si>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</si>
  <si>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</si>
  <si>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</si>
  <si>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</si>
  <si>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</si>
  <si>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</si>
  <si>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</si>
  <si>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</si>
  <si>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</si>
  <si>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</si>
  <si>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</si>
  <si>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</si>
  <si>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</si>
  <si>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</si>
  <si>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</si>
  <si>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</si>
  <si>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</si>
  <si>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</si>
  <si>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</si>
  <si>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</si>
  <si>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</si>
  <si>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</si>
  <si>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</si>
  <si>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</si>
  <si>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</si>
  <si>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</si>
  <si>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</si>
  <si>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</si>
  <si>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</si>
  <si>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</si>
  <si>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</si>
  <si>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</si>
  <si>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</si>
  <si>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</si>
  <si>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</si>
  <si>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</si>
  <si>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</si>
  <si>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</si>
  <si>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</si>
  <si>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</si>
  <si>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</si>
  <si>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</si>
  <si>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</si>
  <si>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</si>
  <si>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</si>
  <si>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</si>
  <si>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</si>
  <si>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</si>
  <si>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</si>
  <si>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</si>
  <si>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</si>
  <si>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</si>
  <si>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</si>
  <si>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</si>
  <si>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</si>
  <si>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</si>
  <si>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</si>
  <si>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</si>
  <si>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</si>
  <si>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</si>
  <si>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</si>
  <si>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</si>
  <si>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</si>
  <si>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</si>
  <si>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</si>
  <si>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</si>
  <si>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</si>
  <si>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</si>
  <si>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</si>
  <si>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</si>
  <si>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</si>
  <si>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</si>
  <si>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</si>
  <si>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</si>
  <si>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</si>
  <si>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</si>
  <si>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</si>
  <si>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</si>
  <si>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</si>
  <si>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</si>
  <si>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</si>
  <si>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</si>
  <si>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</si>
  <si>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</si>
  <si>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</si>
  <si>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</si>
  <si>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</si>
  <si>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</si>
  <si>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</si>
  <si>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</si>
  <si>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</si>
  <si>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</si>
  <si>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</si>
  <si>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</si>
  <si>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</si>
  <si>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</si>
  <si>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</si>
  <si>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</si>
  <si>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</si>
  <si>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</si>
  <si>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</si>
  <si>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</si>
  <si>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</si>
  <si>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</si>
  <si>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</si>
  <si>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</si>
  <si>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</si>
  <si>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</si>
  <si>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</si>
  <si>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</si>
  <si>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</si>
  <si>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</si>
  <si>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</si>
  <si>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</si>
  <si>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</si>
  <si>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</si>
  <si>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</si>
  <si>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</si>
  <si>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</si>
  <si>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</si>
  <si>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</si>
  <si>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</si>
  <si>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</si>
  <si>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</si>
  <si>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</si>
  <si>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</si>
  <si>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</si>
  <si>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</si>
  <si>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</si>
  <si>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</si>
  <si>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</si>
  <si>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</si>
  <si>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</si>
  <si>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</si>
  <si>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</si>
  <si>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</si>
  <si>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</si>
  <si>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</si>
  <si>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</si>
  <si>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</si>
  <si>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</si>
  <si>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</si>
  <si>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</si>
  <si>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</si>
  <si>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</si>
  <si>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</si>
  <si>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</si>
  <si>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</si>
  <si>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</si>
  <si>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</si>
  <si>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</si>
  <si>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</si>
  <si>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</si>
  <si>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</si>
  <si>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</si>
  <si>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</si>
  <si>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</si>
  <si>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</si>
  <si>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</si>
  <si>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</si>
  <si>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</si>
  <si>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</si>
  <si>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</si>
  <si>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</si>
  <si>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</si>
  <si>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</si>
  <si>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</si>
  <si>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</si>
  <si>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</si>
  <si>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</si>
  <si>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</si>
  <si>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</si>
  <si>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</si>
  <si>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</si>
  <si>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</si>
  <si>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</si>
  <si>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</si>
  <si>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</si>
  <si>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</si>
  <si>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</si>
  <si>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</si>
  <si>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</si>
  <si>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</si>
  <si>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</si>
  <si>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</si>
  <si>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</si>
  <si>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</si>
  <si>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</si>
  <si>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</si>
  <si>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</si>
  <si>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</si>
  <si>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</si>
  <si>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</si>
  <si>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</si>
  <si>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</si>
  <si>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</si>
  <si>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</si>
  <si>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</si>
  <si>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</si>
  <si>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</si>
  <si>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</si>
  <si>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</si>
  <si>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</si>
  <si>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</si>
  <si>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</si>
  <si>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</si>
  <si>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</si>
  <si>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</si>
  <si>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</si>
  <si>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</si>
  <si>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</si>
  <si>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</si>
  <si>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</si>
  <si>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milk_to_dairy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</si>
  <si>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</si>
  <si>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</si>
  <si>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</si>
  <si>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</si>
  <si>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</si>
  <si>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</si>
  <si>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</si>
  <si>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</si>
  <si>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</si>
  <si>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</si>
  <si>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</si>
  <si>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</si>
  <si>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</si>
  <si>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</si>
  <si>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</si>
  <si>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</si>
  <si>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</si>
  <si>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</si>
  <si>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</si>
  <si>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</si>
  <si>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</si>
  <si>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</si>
  <si>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</si>
  <si>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</si>
  <si>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</si>
  <si>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</si>
  <si>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</si>
  <si>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</si>
  <si>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</si>
  <si>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</si>
  <si>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</si>
  <si>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</si>
  <si>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</si>
  <si>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</si>
  <si>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</si>
  <si>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</si>
  <si>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</si>
  <si>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</si>
  <si>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</si>
  <si>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</si>
  <si>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</si>
  <si>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</si>
  <si>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</si>
  <si>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</si>
  <si>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</si>
  <si>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</si>
  <si>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</si>
  <si>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</si>
  <si>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</si>
  <si>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</si>
  <si>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</si>
  <si>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</si>
  <si>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</si>
  <si>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</si>
  <si>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</si>
  <si>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</si>
  <si>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</si>
  <si>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</si>
  <si>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</si>
  <si>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</si>
  <si>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</si>
  <si>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</si>
  <si>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</si>
  <si>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</si>
  <si>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</si>
  <si>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</si>
  <si>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</si>
  <si>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</si>
  <si>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</si>
  <si>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</si>
  <si>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</si>
  <si>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</si>
  <si>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</si>
  <si>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</si>
  <si>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</si>
  <si>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</si>
  <si>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</si>
  <si>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</si>
  <si>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</si>
  <si>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</si>
  <si>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</si>
  <si>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</si>
  <si>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</si>
  <si>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</si>
  <si>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</si>
  <si>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</si>
  <si>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</si>
  <si>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</si>
  <si>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</si>
  <si>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</si>
  <si>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</si>
  <si>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</si>
  <si>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</si>
  <si>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</si>
  <si>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</si>
  <si>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</si>
  <si>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</si>
  <si>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</si>
  <si>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</si>
  <si>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</si>
  <si>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</si>
  <si>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</si>
  <si>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</si>
  <si>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</si>
  <si>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</si>
  <si>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</si>
  <si>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</si>
  <si>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</si>
  <si>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</si>
  <si>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</si>
  <si>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</si>
  <si>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</si>
  <si>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</si>
  <si>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</si>
  <si>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</si>
  <si>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</si>
  <si>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</si>
  <si>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</si>
  <si>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</si>
  <si>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</si>
  <si>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</si>
  <si>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</si>
  <si>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</si>
  <si>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</si>
  <si>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</si>
  <si>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</si>
  <si>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</si>
  <si>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</si>
  <si>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</si>
  <si>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</si>
  <si>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</si>
  <si>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</si>
  <si>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</si>
  <si>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</si>
  <si>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</si>
  <si>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</si>
  <si>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</si>
  <si>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</si>
  <si>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</si>
  <si>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</si>
  <si>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</si>
  <si>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</si>
  <si>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</si>
  <si>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</si>
  <si>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</si>
  <si>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</si>
  <si>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</si>
  <si>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</si>
  <si>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</si>
  <si>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</si>
  <si>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</si>
  <si>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</si>
  <si>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</si>
  <si>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</si>
  <si>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</si>
  <si>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</si>
  <si>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</si>
  <si>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</si>
  <si>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</si>
  <si>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</si>
  <si>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</si>
  <si>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</si>
  <si>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</si>
  <si>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</si>
  <si>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</si>
  <si>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</si>
  <si>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</si>
  <si>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</si>
  <si>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</si>
  <si>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</si>
  <si>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</si>
  <si>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</si>
  <si>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</si>
  <si>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</si>
  <si>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</si>
  <si>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</si>
  <si>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</si>
  <si>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</si>
  <si>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</si>
  <si>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</si>
  <si>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</si>
  <si>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</si>
  <si>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</si>
  <si>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</si>
  <si>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</si>
  <si>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</si>
  <si>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</si>
  <si>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</si>
  <si>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</si>
  <si>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</si>
  <si>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</si>
  <si>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</si>
  <si>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</si>
  <si>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</si>
  <si>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</si>
  <si>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</si>
  <si>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</si>
  <si>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</si>
  <si>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</si>
  <si>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</si>
  <si>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</si>
  <si>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</si>
  <si>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</si>
  <si>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</si>
  <si>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</si>
  <si>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</si>
  <si>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</si>
  <si>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</si>
  <si>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</si>
  <si>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</si>
  <si>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</si>
  <si>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</si>
  <si>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</si>
  <si>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</si>
  <si>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</si>
  <si>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</si>
  <si>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</si>
  <si>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</si>
  <si>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</si>
  <si>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</si>
  <si>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</si>
  <si>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</si>
  <si>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</si>
  <si>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</si>
  <si>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</si>
  <si>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</si>
  <si>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</si>
  <si>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</si>
  <si>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</si>
  <si>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</si>
  <si>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</si>
  <si>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</si>
  <si>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</si>
  <si>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</si>
  <si>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</si>
  <si>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</si>
  <si>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</si>
  <si>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</si>
  <si>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</si>
  <si>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</si>
  <si>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</si>
  <si>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</si>
  <si>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</si>
  <si>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</si>
  <si>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</si>
  <si>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</si>
  <si>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</si>
  <si>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</si>
  <si>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</si>
  <si>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</si>
  <si>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</si>
  <si>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</si>
  <si>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</si>
  <si>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</si>
  <si>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</si>
  <si>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</si>
  <si>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</si>
  <si>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</si>
  <si>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</si>
  <si>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</si>
  <si>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</si>
  <si>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</si>
  <si>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</si>
  <si>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</si>
  <si>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</si>
  <si>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</si>
  <si>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</si>
  <si>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</si>
  <si>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</si>
  <si>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</si>
  <si>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</si>
  <si>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</si>
  <si>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</si>
  <si>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</si>
  <si>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</si>
  <si>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</si>
  <si>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</si>
  <si>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</si>
  <si>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</si>
  <si>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</si>
  <si>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</si>
  <si>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</si>
  <si>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</si>
  <si>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</si>
  <si>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</si>
  <si>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</si>
  <si>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</si>
  <si>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</si>
  <si>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</si>
  <si>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</si>
  <si>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</si>
  <si>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</si>
  <si>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</si>
  <si>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</si>
  <si>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</si>
  <si>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</si>
  <si>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</si>
  <si>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</si>
  <si>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</si>
  <si>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</si>
  <si>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</si>
  <si>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</si>
  <si>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</si>
  <si>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</si>
  <si>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</si>
  <si>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</si>
  <si>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</si>
  <si>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</si>
  <si>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</si>
  <si>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</si>
  <si>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</si>
  <si>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</si>
  <si>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</si>
  <si>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</si>
  <si>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</si>
  <si>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</si>
  <si>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</si>
  <si>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</si>
  <si>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</si>
  <si>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</si>
  <si>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</si>
  <si>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</si>
  <si>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</si>
  <si>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</si>
  <si>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</si>
  <si>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</si>
  <si>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</si>
  <si>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</si>
  <si>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</si>
  <si>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</si>
  <si>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</si>
  <si>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</si>
  <si>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</si>
  <si>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</si>
  <si>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</si>
  <si>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</si>
  <si>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</si>
  <si>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tjur</t>
  </si>
  <si>
    <t>Slaughter weight * slaughter yield (from source)</t>
  </si>
  <si>
    <t>time_lag</t>
  </si>
  <si>
    <t>rec. rate</t>
  </si>
  <si>
    <t>not used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</si>
  <si>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</si>
  <si>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</si>
  <si>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</si>
  <si>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</si>
  <si>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</si>
  <si>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</si>
  <si>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Dairy heifer</t>
  </si>
  <si>
    <t>ALP</t>
  </si>
  <si>
    <t>BOR</t>
  </si>
  <si>
    <t>CON</t>
  </si>
  <si>
    <t>Hessle &amp; Danielsson (2024)</t>
  </si>
  <si>
    <t>SM - Table S8</t>
  </si>
  <si>
    <t>1.5 breeding bulls ber farm / 17 cows per farm</t>
  </si>
  <si>
    <t>1.5 breeding bulls ber farm / 32 cows per farm</t>
  </si>
  <si>
    <t>Many farms have light and heavy bull (Anna Hessle, SLU)</t>
  </si>
  <si>
    <t>0.5 breeding bulls ber farm / 90 cows per farm</t>
  </si>
  <si>
    <t>0.5 breeding bulls ber farm / 99 cows per farm</t>
  </si>
  <si>
    <t>Artificial insemination, but often a bull for cases where it does not work (Anna Hessle, SLU)</t>
  </si>
  <si>
    <t>cows per farm from Swedish Board of Agriculture statistics database (avg. 2016-2020)</t>
  </si>
  <si>
    <t>live_weight_first_calving</t>
  </si>
  <si>
    <t>assume same as LW @ slaughter for heifers</t>
  </si>
  <si>
    <t>Ahlgren et al. (2022) Tabell 10</t>
  </si>
  <si>
    <t>Time from slaughter of cow to first calving of replacement heifer</t>
  </si>
  <si>
    <t>Pers. com. Anna Hessle, SLU</t>
  </si>
  <si>
    <t>Gård &amp; Djurhälsan (2016) Slaktutbyte något att räkna med?</t>
  </si>
  <si>
    <t>Växa Slakt</t>
  </si>
  <si>
    <t>Dairy steer</t>
  </si>
  <si>
    <t>Beef heifer</t>
  </si>
  <si>
    <t>Beef steer</t>
  </si>
  <si>
    <t>Share grazing:</t>
  </si>
  <si>
    <t>SM - Table S7</t>
  </si>
  <si>
    <t>https://www.kalvportalen.se/mjoelk/mjoelkraskalvar/utfodringsperiod/</t>
  </si>
  <si>
    <t>Skottheim (2014) Hur stor betydelse har utfodrings- och avvänjningsstrategin för kalvens tillväxt och hälsa?. SLU, Uppsala</t>
  </si>
  <si>
    <t>Adjusted to give more reasonable growth rate after weaning</t>
  </si>
  <si>
    <t>Metabolizable Energy</t>
  </si>
  <si>
    <t>Dry matter intake</t>
  </si>
  <si>
    <t>max_DMI</t>
  </si>
  <si>
    <t>kg DM/head/day</t>
  </si>
  <si>
    <t>https://pir.sa.gov.au/__data/assets/pdf_file/0007/272869/Calculating_dry_matter_intakes.pdf</t>
  </si>
  <si>
    <t>3.5% of LW</t>
  </si>
  <si>
    <t>3.0% of LW</t>
  </si>
  <si>
    <t>Protein (AAT)</t>
  </si>
  <si>
    <t>AAT_factor</t>
  </si>
  <si>
    <t>g AAT/MJ ME</t>
  </si>
  <si>
    <t>Rough for now… 7.5 @ 40-75 kg LW … 6.5 @ &gt;275 kg LW</t>
  </si>
  <si>
    <t>Spörndly (2003). Tabell 5</t>
  </si>
  <si>
    <t>Protein (PBV)</t>
  </si>
  <si>
    <t>max_PBV</t>
  </si>
  <si>
    <t>g PBV/head/day</t>
  </si>
  <si>
    <t>min_PBV</t>
  </si>
  <si>
    <t>max_PBV_per_ME</t>
  </si>
  <si>
    <t>g PBV/MJ ME</t>
  </si>
  <si>
    <t>min_PBV_per_ME</t>
  </si>
  <si>
    <t>Same as growing animals?</t>
  </si>
  <si>
    <t>max_fat</t>
  </si>
  <si>
    <t>Spörndly (2003)</t>
  </si>
  <si>
    <t>g/kg DM</t>
  </si>
  <si>
    <t>% of cows per year, calculated from slaughter age accounting for time lag from slaughter to replacement and AFC</t>
  </si>
  <si>
    <t>Slaughter age from Gård &amp; Djurhälsan (avg. 2019-2021)</t>
  </si>
  <si>
    <t>Växa Husdjursstatistik 2020, tab 31</t>
  </si>
  <si>
    <t>Jordbruksverket. 2022. Förluster av griskött, nöt kött och mjölk på gården. Rapport 2022:19. https://www2.jordbruksverket.se/download/18.44383e8d183df1393e37250a/1666008670832/ra22_19.pdf</t>
  </si>
  <si>
    <t>replacement_rate</t>
  </si>
  <si>
    <t>time_lag_replacement</t>
  </si>
  <si>
    <t>These parameters are only used to calculate the share of manure deposited on pastures. Intake during grazing is defined via the feed rations</t>
  </si>
  <si>
    <t>Niels Andresen, Ingela Löfquist &amp; Stefan Lundmark (2024) Ekologiska foderstater med lokala eller globala proteinråvaror – konsekvenser för odling, foderstat, ekonomi och marknaden. HIR Skåne</t>
  </si>
  <si>
    <t>https://www.slu.se/ew-nyheter/2024/10/mojligt-med-svensk-proteinforsorjning-till-ekologisk-djurproduktion/</t>
  </si>
  <si>
    <t>8 500 kg</t>
  </si>
  <si>
    <t>10 000 kg</t>
  </si>
  <si>
    <t>11 500 kg</t>
  </si>
  <si>
    <t>Vallfoder inklusive bete (kg ts)</t>
  </si>
  <si>
    <t>Helsädesensilage (kg ts)</t>
  </si>
  <si>
    <t>Spannmål (kg)</t>
  </si>
  <si>
    <t>Åkerböna (kg)</t>
  </si>
  <si>
    <t>Rapskaka (kg)</t>
  </si>
  <si>
    <t>Mineralfoder (kg)</t>
  </si>
  <si>
    <t>Summa foderbehov (kg ts)</t>
  </si>
  <si>
    <t>Lokala råvaror</t>
  </si>
  <si>
    <t>Globala råvaror</t>
  </si>
  <si>
    <t>Spannmålsprodukter i ekokoncentrat</t>
  </si>
  <si>
    <t>Rekryteringskvigor</t>
  </si>
  <si>
    <t>Mjölk (liter)</t>
  </si>
  <si>
    <t>Soja-mjöl/expeller i koncentrat (kg)</t>
  </si>
  <si>
    <t>1400 g tillväxt per dag</t>
  </si>
  <si>
    <t>1620 g tillväxt per dag</t>
  </si>
  <si>
    <t>Ungtjur av tung köttras</t>
  </si>
  <si>
    <t xml:space="preserve">   Vallensilage (kg ts)</t>
  </si>
  <si>
    <t xml:space="preserve">   Bete (kg ts)</t>
  </si>
  <si>
    <t xml:space="preserve">      Ensilage 11 MJ/kg ts (kg ts)</t>
  </si>
  <si>
    <t xml:space="preserve">      Ensilage 10 MJ/kg ts (kg ts)</t>
  </si>
  <si>
    <t xml:space="preserve">   Korn (kg)</t>
  </si>
  <si>
    <t>prod_system</t>
  </si>
  <si>
    <t>Summa ber. (kg ts)</t>
  </si>
  <si>
    <t>(based on feed rations from Mikaela above)</t>
  </si>
  <si>
    <t>dairy cow share grazing of ley:</t>
  </si>
  <si>
    <t>% of cereal</t>
  </si>
  <si>
    <t>products DM</t>
  </si>
  <si>
    <t>SJV + Växa</t>
  </si>
  <si>
    <t>live born calves per cow and year</t>
  </si>
  <si>
    <t>age at first calving, avg. for Angus, Charolais, Hereford, Limousin, Simmental</t>
  </si>
  <si>
    <t>Växa Husdjursstatistik 2020 (KAP), tab 31</t>
  </si>
  <si>
    <t>avg. for Angus, Charolais, Hereford, Limousin, Simmental</t>
  </si>
  <si>
    <t>% of calves, avg. for Angus, Charolais, Hereford, Limousin, Simmental</t>
  </si>
  <si>
    <t>Växa Husdjursstatistik 2020 (KAP), tab 34a</t>
  </si>
  <si>
    <t>% of calvings, avg. for Angus, Charolais, Hereford, Limousin, Simmental</t>
  </si>
  <si>
    <t>(Multiple Items)</t>
  </si>
  <si>
    <t>only used to calculate replacement rate above</t>
  </si>
  <si>
    <t>Gård &amp; Djurhälsan (avg. 2020-2021)</t>
  </si>
  <si>
    <t>Stat. for 'Kvigor' used for beef cows, beef calves, heifers, steers and breeding bulls</t>
  </si>
  <si>
    <t xml:space="preserve">SCB Gödselmedel i jordbruket 2018/19. https://www.scb.se/publikation/40085 </t>
  </si>
  <si>
    <t>No grazing assumed</t>
  </si>
  <si>
    <t>replacement_rate_bulls</t>
  </si>
  <si>
    <t>% of breeding bulls per year, calculated from slaughter age</t>
  </si>
  <si>
    <t>Live weights</t>
  </si>
  <si>
    <t>% of LW</t>
  </si>
  <si>
    <t>not applicable to dairy cows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</si>
</sst>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5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323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  <xf numFmtId="166" fontId="0" fillId="0" borderId="0" xfId="0" applyNumberFormat="1"/>
    <xf numFmtId="3" fontId="49" fillId="0" borderId="0" xfId="0" applyNumberFormat="1" applyFont="1"/>
    <xf numFmtId="1" fontId="50" fillId="0" borderId="0" xfId="0" applyNumberFormat="1" applyFont="1"/>
    <xf numFmtId="0" fontId="49" fillId="0" borderId="0" xfId="0" applyFont="1"/>
    <xf numFmtId="14" fontId="51" fillId="37" borderId="13" xfId="0" quotePrefix="1" applyNumberFormat="1" applyFont="1" applyFill="1" applyBorder="1" applyAlignment="1">
      <alignment vertical="top"/>
    </xf>
    <xf numFmtId="0" fontId="0" fillId="40" borderId="13" xfId="0" applyFill="1" applyBorder="1" applyAlignment="1">
      <alignment horizontal="center"/>
    </xf>
    <xf numFmtId="1" fontId="20" fillId="33" borderId="13" xfId="0" applyNumberFormat="1" applyFont="1" applyFill="1" applyBorder="1"/>
    <xf numFmtId="0" fontId="40" fillId="40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41" borderId="14" xfId="0" applyFont="1" applyFill="1" applyBorder="1" applyAlignment="1">
      <alignment horizontal="center" vertical="center" wrapText="1"/>
    </xf>
    <xf numFmtId="2" fontId="20" fillId="0" borderId="0" xfId="0" applyNumberFormat="1" applyFont="1" applyAlignment="1"/>
    <xf numFmtId="0" fontId="0" fillId="38" borderId="0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31" fillId="0" borderId="0" xfId="0" applyFont="1" applyAlignment="1">
      <alignment horizontal="right"/>
    </xf>
    <xf numFmtId="9" fontId="31" fillId="0" borderId="0" xfId="42" applyNumberFormat="1" applyFont="1"/>
    <xf numFmtId="14" fontId="51" fillId="37" borderId="0" xfId="0" quotePrefix="1" applyNumberFormat="1" applyFont="1" applyFill="1" applyBorder="1" applyAlignment="1">
      <alignment vertical="top"/>
    </xf>
    <xf numFmtId="1" fontId="33" fillId="0" borderId="0" xfId="0" applyNumberFormat="1" applyFont="1"/>
    <xf numFmtId="0" fontId="0" fillId="38" borderId="0" xfId="0" applyFill="1" applyAlignment="1">
      <alignment horizontal="center"/>
    </xf>
    <xf numFmtId="0" fontId="25" fillId="0" borderId="0" xfId="0" applyFont="1" applyFill="1"/>
    <xf numFmtId="0" fontId="52" fillId="0" borderId="0" xfId="0" applyFont="1" applyFill="1"/>
    <xf numFmtId="1" fontId="14" fillId="40" borderId="0" xfId="0" applyNumberFormat="1" applyFont="1" applyFill="1"/>
    <xf numFmtId="0" fontId="16" fillId="40" borderId="0" xfId="0" applyFont="1" applyFill="1"/>
    <xf numFmtId="0" fontId="16" fillId="37" borderId="0" xfId="0" applyFont="1" applyFill="1" applyAlignment="1">
      <alignment horizontal="center"/>
    </xf>
    <xf numFmtId="0" fontId="20" fillId="0" borderId="0" xfId="0" applyFont="1" applyAlignment="1"/>
    <xf numFmtId="1" fontId="16" fillId="40" borderId="0" xfId="0" applyNumberFormat="1" applyFont="1" applyFill="1"/>
    <xf numFmtId="1" fontId="16" fillId="33" borderId="0" xfId="0" applyNumberFormat="1" applyFont="1" applyFill="1"/>
    <xf numFmtId="9" fontId="35" fillId="0" borderId="0" xfId="42" applyFont="1"/>
    <xf numFmtId="9" fontId="0" fillId="0" borderId="0" xfId="0" applyNumberFormat="1"/>
    <xf numFmtId="167" fontId="0" fillId="0" borderId="0" xfId="0" applyNumberFormat="1"/>
    <xf numFmtId="2" fontId="14" fillId="0" borderId="0" xfId="0" applyNumberFormat="1" applyFont="1" applyAlignment="1"/>
    <xf numFmtId="168" fontId="0" fillId="0" borderId="0" xfId="0" applyNumberForma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9</xdr:col>
      <xdr:colOff>447675</xdr:colOff>
      <xdr:row>52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180975</xdr:rowOff>
    </xdr:from>
    <xdr:to>
      <xdr:col>9</xdr:col>
      <xdr:colOff>457200</xdr:colOff>
      <xdr:row>52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h="1"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ir.sa.gov.au/__data/assets/pdf_file/0007/272869/Calculating_dry_matter_intakes.pdf" TargetMode="External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309</v>
      </c>
    </row>
    <row r="2" spans="1:1" x14ac:dyDescent="0.25">
      <c r="A2" t="s">
        <v>582</v>
      </c>
    </row>
    <row r="3" spans="1:1" x14ac:dyDescent="0.25">
      <c r="A3" t="s">
        <v>593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1039"/>
  <sheetViews>
    <sheetView tabSelected="1" zoomScale="80" zoomScaleNormal="80" workbookViewId="0">
      <pane ySplit="1" topLeftCell="A17" activePane="bottomLeft" state="frozen"/>
      <selection pane="bottomLeft" activeCell="M41" sqref="M41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46</v>
      </c>
      <c r="B1" s="6" t="s">
        <v>280</v>
      </c>
      <c r="C1" s="6" t="s">
        <v>366</v>
      </c>
      <c r="D1" s="6" t="s">
        <v>47</v>
      </c>
      <c r="E1" s="6" t="s">
        <v>611</v>
      </c>
      <c r="F1" s="6" t="s">
        <v>306</v>
      </c>
      <c r="G1" s="6" t="s">
        <v>570</v>
      </c>
      <c r="H1" s="6" t="s">
        <v>310</v>
      </c>
      <c r="I1" s="6" t="s">
        <v>311</v>
      </c>
      <c r="J1" s="6" t="s">
        <v>42</v>
      </c>
      <c r="K1" s="6" t="s">
        <v>0</v>
      </c>
      <c r="L1" s="6" t="s">
        <v>43</v>
      </c>
      <c r="M1" s="6" t="s">
        <v>44</v>
      </c>
      <c r="N1" s="6" t="s">
        <v>45</v>
      </c>
    </row>
    <row r="2" spans="1:17" x14ac:dyDescent="0.25">
      <c r="A2" s="94" t="s">
        <v>282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287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38</v>
      </c>
      <c r="K4" s="2">
        <v>9637.582317684326</v>
      </c>
      <c r="L4" t="s">
        <v>39</v>
      </c>
      <c r="M4" t="s">
        <v>365</v>
      </c>
      <c r="N4" t="s">
        <v>48</v>
      </c>
    </row>
    <row r="5" spans="1:17" x14ac:dyDescent="0.25">
      <c r="A5" t="s">
        <v>2</v>
      </c>
      <c r="B5" t="s">
        <v>1</v>
      </c>
      <c r="J5" t="s">
        <v>40</v>
      </c>
      <c r="K5" s="1">
        <f>AVERAGE(4.3,4.2,4.2,4.3,4.3)</f>
        <v>4.26</v>
      </c>
      <c r="L5" t="s">
        <v>8</v>
      </c>
      <c r="N5" t="s">
        <v>48</v>
      </c>
    </row>
    <row r="6" spans="1:17" x14ac:dyDescent="0.25">
      <c r="A6" t="s">
        <v>2</v>
      </c>
      <c r="B6" t="s">
        <v>1</v>
      </c>
      <c r="J6" t="s">
        <v>41</v>
      </c>
      <c r="K6" s="1">
        <f>AVERAGE(3.5,3.6,3.5,3.6,3.6)</f>
        <v>3.56</v>
      </c>
      <c r="L6" t="s">
        <v>8</v>
      </c>
      <c r="N6" t="s">
        <v>48</v>
      </c>
    </row>
    <row r="7" spans="1:17" x14ac:dyDescent="0.25">
      <c r="A7" t="s">
        <v>2</v>
      </c>
      <c r="B7" t="s">
        <v>5</v>
      </c>
      <c r="J7" t="s">
        <v>38</v>
      </c>
      <c r="K7" s="2">
        <v>9004.9671312820083</v>
      </c>
      <c r="L7" t="s">
        <v>39</v>
      </c>
      <c r="N7" t="s">
        <v>48</v>
      </c>
    </row>
    <row r="8" spans="1:17" x14ac:dyDescent="0.25">
      <c r="A8" t="s">
        <v>2</v>
      </c>
      <c r="B8" t="s">
        <v>5</v>
      </c>
      <c r="J8" t="s">
        <v>40</v>
      </c>
      <c r="K8" s="1">
        <f>AVERAGE(4.2,4.1,4.1,4.1,4.2)</f>
        <v>4.1399999999999997</v>
      </c>
      <c r="L8" t="s">
        <v>8</v>
      </c>
      <c r="N8" t="s">
        <v>48</v>
      </c>
    </row>
    <row r="9" spans="1:17" x14ac:dyDescent="0.25">
      <c r="A9" t="s">
        <v>2</v>
      </c>
      <c r="B9" t="s">
        <v>5</v>
      </c>
      <c r="J9" t="s">
        <v>41</v>
      </c>
      <c r="K9" s="1">
        <f>AVERAGE(3.4,3.4,3.4,3.5,3.5)</f>
        <v>3.44</v>
      </c>
      <c r="L9" t="s">
        <v>8</v>
      </c>
      <c r="N9" t="s">
        <v>48</v>
      </c>
    </row>
    <row r="10" spans="1:17" x14ac:dyDescent="0.25">
      <c r="K10" s="1"/>
    </row>
    <row r="11" spans="1:17" x14ac:dyDescent="0.25">
      <c r="A11" t="s">
        <v>2</v>
      </c>
      <c r="J11" t="s">
        <v>585</v>
      </c>
      <c r="K11" s="268">
        <v>0.4</v>
      </c>
      <c r="L11" s="110" t="s">
        <v>8</v>
      </c>
      <c r="M11" s="93"/>
      <c r="N11" t="s">
        <v>680</v>
      </c>
    </row>
    <row r="12" spans="1:17" x14ac:dyDescent="0.25">
      <c r="A12" s="100" t="s">
        <v>288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36</v>
      </c>
      <c r="J13" s="32" t="s">
        <v>38</v>
      </c>
      <c r="K13" s="256">
        <v>0</v>
      </c>
      <c r="L13" s="32" t="s">
        <v>39</v>
      </c>
      <c r="M13" s="257" t="s">
        <v>590</v>
      </c>
    </row>
    <row r="14" spans="1:17" s="32" customFormat="1" x14ac:dyDescent="0.25">
      <c r="A14" s="32" t="s">
        <v>36</v>
      </c>
      <c r="J14" s="32" t="s">
        <v>585</v>
      </c>
      <c r="K14" s="256">
        <v>0</v>
      </c>
      <c r="L14" s="32" t="s">
        <v>8</v>
      </c>
      <c r="M14" s="257"/>
    </row>
    <row r="15" spans="1:17" x14ac:dyDescent="0.25">
      <c r="A15" t="s">
        <v>36</v>
      </c>
      <c r="J15" t="s">
        <v>40</v>
      </c>
      <c r="K15" s="181">
        <v>4.1399999999999997</v>
      </c>
      <c r="L15" t="s">
        <v>8</v>
      </c>
      <c r="M15" t="s">
        <v>500</v>
      </c>
    </row>
    <row r="16" spans="1:17" x14ac:dyDescent="0.25">
      <c r="A16" t="s">
        <v>36</v>
      </c>
      <c r="J16" t="s">
        <v>41</v>
      </c>
      <c r="K16" s="181">
        <v>3.44</v>
      </c>
      <c r="L16" t="s">
        <v>8</v>
      </c>
      <c r="M16" t="s">
        <v>500</v>
      </c>
      <c r="Q16" s="180" t="s">
        <v>498</v>
      </c>
    </row>
    <row r="17" spans="1:15" x14ac:dyDescent="0.25">
      <c r="A17" t="s">
        <v>36</v>
      </c>
      <c r="J17" t="s">
        <v>277</v>
      </c>
      <c r="K17" s="2">
        <v>0</v>
      </c>
      <c r="L17" t="s">
        <v>8</v>
      </c>
    </row>
    <row r="18" spans="1:15" x14ac:dyDescent="0.25">
      <c r="K18" s="2"/>
    </row>
    <row r="19" spans="1:15" x14ac:dyDescent="0.25">
      <c r="A19" s="94" t="s">
        <v>283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5" x14ac:dyDescent="0.25">
      <c r="A20" s="97" t="s">
        <v>287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  <c r="O20" s="281" t="s">
        <v>717</v>
      </c>
    </row>
    <row r="21" spans="1:15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605</v>
      </c>
      <c r="O21" s="318">
        <f>(12/K21)*(1-K30/100)*(1*(1-K29/100)+2*K29/100)</f>
        <v>0.89165813711776054</v>
      </c>
    </row>
    <row r="22" spans="1:15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605</v>
      </c>
      <c r="O22" s="318">
        <f>(12/K22)*(1-K31/100)*(1*(1-K29/100)+2*K29/100)</f>
        <v>0.9162360333820101</v>
      </c>
    </row>
    <row r="23" spans="1:15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605</v>
      </c>
    </row>
    <row r="24" spans="1:15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605</v>
      </c>
    </row>
    <row r="25" spans="1:15" x14ac:dyDescent="0.25">
      <c r="A25" t="s">
        <v>2</v>
      </c>
      <c r="B25" t="s">
        <v>1</v>
      </c>
      <c r="J25" t="s">
        <v>681</v>
      </c>
      <c r="K25">
        <v>37.1</v>
      </c>
      <c r="L25" t="s">
        <v>8</v>
      </c>
      <c r="M25" t="s">
        <v>9</v>
      </c>
      <c r="N25" t="s">
        <v>606</v>
      </c>
    </row>
    <row r="26" spans="1:15" x14ac:dyDescent="0.25">
      <c r="A26" t="s">
        <v>2</v>
      </c>
      <c r="B26" t="s">
        <v>5</v>
      </c>
      <c r="J26" t="s">
        <v>681</v>
      </c>
      <c r="K26">
        <v>36.1</v>
      </c>
      <c r="L26" t="s">
        <v>8</v>
      </c>
      <c r="M26" t="s">
        <v>9</v>
      </c>
      <c r="N26" t="s">
        <v>606</v>
      </c>
    </row>
    <row r="27" spans="1:15" x14ac:dyDescent="0.25">
      <c r="A27" t="s">
        <v>2</v>
      </c>
      <c r="J27" t="s">
        <v>682</v>
      </c>
      <c r="K27">
        <v>0</v>
      </c>
      <c r="L27" t="s">
        <v>4</v>
      </c>
      <c r="M27" t="s">
        <v>734</v>
      </c>
    </row>
    <row r="28" spans="1:15" x14ac:dyDescent="0.25">
      <c r="A28" t="s">
        <v>2</v>
      </c>
      <c r="J28" t="s">
        <v>10</v>
      </c>
      <c r="K28" s="13">
        <v>50.655978419999997</v>
      </c>
      <c r="L28" t="s">
        <v>8</v>
      </c>
      <c r="M28" t="s">
        <v>11</v>
      </c>
      <c r="N28" t="s">
        <v>607</v>
      </c>
    </row>
    <row r="29" spans="1:15" x14ac:dyDescent="0.25">
      <c r="A29" t="s">
        <v>2</v>
      </c>
      <c r="J29" t="s">
        <v>12</v>
      </c>
      <c r="K29" s="13">
        <f>(79242*1.07+141785*4.46)/(79242+141785)</f>
        <v>3.2446264031091228</v>
      </c>
      <c r="L29" t="s">
        <v>8</v>
      </c>
      <c r="M29" t="s">
        <v>13</v>
      </c>
    </row>
    <row r="30" spans="1:15" x14ac:dyDescent="0.25">
      <c r="A30" t="s">
        <v>2</v>
      </c>
      <c r="B30" t="s">
        <v>1</v>
      </c>
      <c r="J30" t="s">
        <v>14</v>
      </c>
      <c r="K30">
        <v>5</v>
      </c>
      <c r="L30" t="s">
        <v>8</v>
      </c>
      <c r="M30" t="s">
        <v>13</v>
      </c>
      <c r="N30" t="s">
        <v>606</v>
      </c>
    </row>
    <row r="31" spans="1:15" x14ac:dyDescent="0.25">
      <c r="A31" t="s">
        <v>2</v>
      </c>
      <c r="B31" t="s">
        <v>5</v>
      </c>
      <c r="J31" t="s">
        <v>14</v>
      </c>
      <c r="K31">
        <v>4.5999999999999996</v>
      </c>
      <c r="L31" t="s">
        <v>8</v>
      </c>
      <c r="M31" t="s">
        <v>13</v>
      </c>
      <c r="N31" t="s">
        <v>606</v>
      </c>
    </row>
    <row r="32" spans="1:15" x14ac:dyDescent="0.25">
      <c r="A32" t="s">
        <v>2</v>
      </c>
      <c r="B32" t="s">
        <v>1</v>
      </c>
      <c r="J32" t="s">
        <v>15</v>
      </c>
      <c r="K32">
        <f>9*7</f>
        <v>63</v>
      </c>
      <c r="L32" t="s">
        <v>16</v>
      </c>
      <c r="N32" t="s">
        <v>652</v>
      </c>
    </row>
    <row r="33" spans="1:15" x14ac:dyDescent="0.25">
      <c r="A33" t="s">
        <v>2</v>
      </c>
      <c r="B33" t="s">
        <v>5</v>
      </c>
      <c r="J33" t="s">
        <v>15</v>
      </c>
      <c r="K33">
        <f>12*7</f>
        <v>84</v>
      </c>
      <c r="L33" t="s">
        <v>16</v>
      </c>
      <c r="N33" t="s">
        <v>651</v>
      </c>
    </row>
    <row r="34" spans="1:15" x14ac:dyDescent="0.25">
      <c r="A34" t="s">
        <v>2</v>
      </c>
      <c r="B34" t="s">
        <v>1</v>
      </c>
      <c r="J34" t="s">
        <v>375</v>
      </c>
      <c r="K34" s="269">
        <f>1/90*0.5</f>
        <v>5.5555555555555558E-3</v>
      </c>
      <c r="L34" t="s">
        <v>376</v>
      </c>
      <c r="M34" t="s">
        <v>635</v>
      </c>
      <c r="N34" t="s">
        <v>637</v>
      </c>
    </row>
    <row r="35" spans="1:15" x14ac:dyDescent="0.25">
      <c r="A35" t="s">
        <v>2</v>
      </c>
      <c r="B35" t="s">
        <v>5</v>
      </c>
      <c r="J35" t="s">
        <v>375</v>
      </c>
      <c r="K35" s="269">
        <f>1/99*0.5</f>
        <v>5.0505050505050509E-3</v>
      </c>
      <c r="L35" t="s">
        <v>376</v>
      </c>
      <c r="M35" t="s">
        <v>636</v>
      </c>
      <c r="N35" t="s">
        <v>638</v>
      </c>
    </row>
    <row r="36" spans="1:15" x14ac:dyDescent="0.25">
      <c r="A36" t="s">
        <v>2</v>
      </c>
      <c r="J36" t="s">
        <v>730</v>
      </c>
      <c r="K36" s="268">
        <f>1/((K101-12)/12)*100</f>
        <v>40.8823382296547</v>
      </c>
      <c r="L36" t="s">
        <v>8</v>
      </c>
      <c r="M36" t="s">
        <v>731</v>
      </c>
    </row>
    <row r="38" spans="1:15" x14ac:dyDescent="0.25">
      <c r="A38" s="100" t="s">
        <v>288</v>
      </c>
      <c r="B38" s="100"/>
      <c r="C38" s="100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281" t="s">
        <v>717</v>
      </c>
    </row>
    <row r="39" spans="1:15" x14ac:dyDescent="0.25">
      <c r="A39" t="s">
        <v>36</v>
      </c>
      <c r="J39" t="s">
        <v>3</v>
      </c>
      <c r="K39" s="13">
        <f>(1291*12.4 + 3095*12.5 + 2319*12.5 + 1051*12.7 + 1624*12.6) / (1291 + 3095 + 2319 + 1051 + 1624)</f>
        <v>12.525959488272919</v>
      </c>
      <c r="L39" t="s">
        <v>4</v>
      </c>
      <c r="M39" t="s">
        <v>720</v>
      </c>
      <c r="N39" t="s">
        <v>719</v>
      </c>
      <c r="O39" s="318">
        <f>(12/K39)*(1*(1-K44/100)+2*K44/100)*(1-K45/100)</f>
        <v>0.97574532069156117</v>
      </c>
    </row>
    <row r="40" spans="1:15" x14ac:dyDescent="0.25">
      <c r="A40" t="s">
        <v>36</v>
      </c>
      <c r="J40" t="s">
        <v>6</v>
      </c>
      <c r="K40" s="13">
        <f>(415*26.3+891*26.5+793*27.9+282*27.9+528*27.4) / (415+891+793+282+528)</f>
        <v>27.152182880715021</v>
      </c>
      <c r="L40" t="s">
        <v>4</v>
      </c>
      <c r="M40" t="s">
        <v>718</v>
      </c>
      <c r="N40" t="s">
        <v>719</v>
      </c>
    </row>
    <row r="41" spans="1:15" x14ac:dyDescent="0.25">
      <c r="A41" t="s">
        <v>36</v>
      </c>
      <c r="J41" t="s">
        <v>681</v>
      </c>
      <c r="K41" s="2">
        <f>1/((K117+K42-K40)/12) * 100</f>
        <v>22.912033050519362</v>
      </c>
      <c r="L41" t="s">
        <v>8</v>
      </c>
      <c r="M41" t="s">
        <v>677</v>
      </c>
      <c r="N41" t="s">
        <v>678</v>
      </c>
    </row>
    <row r="42" spans="1:15" x14ac:dyDescent="0.25">
      <c r="A42" t="s">
        <v>36</v>
      </c>
      <c r="J42" t="s">
        <v>682</v>
      </c>
      <c r="K42">
        <v>5</v>
      </c>
      <c r="L42" t="s">
        <v>4</v>
      </c>
      <c r="M42" t="s">
        <v>642</v>
      </c>
      <c r="N42" t="s">
        <v>643</v>
      </c>
    </row>
    <row r="43" spans="1:15" x14ac:dyDescent="0.25">
      <c r="A43" t="s">
        <v>36</v>
      </c>
      <c r="J43" t="s">
        <v>10</v>
      </c>
      <c r="K43" s="13">
        <f>(710+1585+1348+573+973) / (710+1585+1348+573+973 + 658+1597+1327+495+833) * 100</f>
        <v>51.38132488365185</v>
      </c>
      <c r="L43" t="s">
        <v>8</v>
      </c>
      <c r="M43" t="s">
        <v>721</v>
      </c>
      <c r="N43" t="s">
        <v>608</v>
      </c>
    </row>
    <row r="44" spans="1:15" x14ac:dyDescent="0.25">
      <c r="A44" t="s">
        <v>36</v>
      </c>
      <c r="J44" t="s">
        <v>12</v>
      </c>
      <c r="K44" s="13">
        <f>(76+297+100+13+136) / (1658+3780+3078+1328+2068) * 100</f>
        <v>5.2216252518468771</v>
      </c>
      <c r="L44" t="s">
        <v>8</v>
      </c>
      <c r="M44" t="s">
        <v>723</v>
      </c>
      <c r="N44" s="15" t="s">
        <v>722</v>
      </c>
    </row>
    <row r="45" spans="1:15" x14ac:dyDescent="0.25">
      <c r="A45" t="s">
        <v>36</v>
      </c>
      <c r="J45" t="s">
        <v>14</v>
      </c>
      <c r="K45" s="13">
        <f>(2.3*1706+3.9*3986+3.3*3112+2.7*1333+2.8*2152) / (1706+3986+3112+1333+2152)</f>
        <v>3.2031491577833835</v>
      </c>
      <c r="L45" t="s">
        <v>8</v>
      </c>
      <c r="M45" t="s">
        <v>721</v>
      </c>
      <c r="N45" s="24" t="s">
        <v>679</v>
      </c>
    </row>
    <row r="46" spans="1:15" x14ac:dyDescent="0.25">
      <c r="A46" t="s">
        <v>36</v>
      </c>
      <c r="J46" t="s">
        <v>15</v>
      </c>
      <c r="K46" s="2">
        <f>7*30.4</f>
        <v>212.79999999999998</v>
      </c>
      <c r="L46" t="s">
        <v>16</v>
      </c>
      <c r="N46" t="s">
        <v>604</v>
      </c>
    </row>
    <row r="47" spans="1:15" x14ac:dyDescent="0.25">
      <c r="A47" t="s">
        <v>36</v>
      </c>
      <c r="B47" t="s">
        <v>1</v>
      </c>
      <c r="J47" t="s">
        <v>375</v>
      </c>
      <c r="K47" s="181">
        <f>1/17*1.5</f>
        <v>8.8235294117647051E-2</v>
      </c>
      <c r="L47" t="s">
        <v>376</v>
      </c>
      <c r="M47" t="s">
        <v>632</v>
      </c>
      <c r="N47" t="s">
        <v>634</v>
      </c>
    </row>
    <row r="48" spans="1:15" x14ac:dyDescent="0.25">
      <c r="A48" t="s">
        <v>36</v>
      </c>
      <c r="B48" t="s">
        <v>5</v>
      </c>
      <c r="J48" t="s">
        <v>375</v>
      </c>
      <c r="K48" s="181">
        <f>1/32*1.5</f>
        <v>4.6875E-2</v>
      </c>
      <c r="L48" t="s">
        <v>376</v>
      </c>
      <c r="M48" t="s">
        <v>633</v>
      </c>
      <c r="N48" t="s">
        <v>638</v>
      </c>
    </row>
    <row r="49" spans="1:16" x14ac:dyDescent="0.25">
      <c r="A49" t="s">
        <v>36</v>
      </c>
      <c r="J49" t="s">
        <v>730</v>
      </c>
      <c r="K49" s="268">
        <f>1/((K118-12)/12)*100</f>
        <v>27.217794903231457</v>
      </c>
      <c r="L49" t="s">
        <v>8</v>
      </c>
      <c r="M49" t="s">
        <v>731</v>
      </c>
    </row>
    <row r="51" spans="1:16" x14ac:dyDescent="0.25">
      <c r="A51" s="94" t="s">
        <v>732</v>
      </c>
      <c r="B51" s="94"/>
      <c r="C51" s="94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</row>
    <row r="52" spans="1:16" x14ac:dyDescent="0.25">
      <c r="A52" s="97" t="s">
        <v>287</v>
      </c>
      <c r="B52" s="97"/>
      <c r="C52" s="97"/>
      <c r="D52" s="98"/>
      <c r="E52" s="98"/>
      <c r="F52" s="98"/>
      <c r="G52" s="98"/>
      <c r="H52" s="98"/>
      <c r="I52" s="98"/>
      <c r="J52" s="98"/>
      <c r="K52" s="99"/>
      <c r="L52" s="98"/>
      <c r="M52" s="98"/>
      <c r="N52" s="98"/>
      <c r="O52" s="281" t="s">
        <v>612</v>
      </c>
    </row>
    <row r="53" spans="1:16" x14ac:dyDescent="0.25">
      <c r="A53" t="s">
        <v>2</v>
      </c>
      <c r="B53" s="4"/>
      <c r="C53" s="4"/>
      <c r="D53" s="110" t="s">
        <v>17</v>
      </c>
      <c r="E53" s="110"/>
      <c r="F53" s="110"/>
      <c r="G53" s="110"/>
      <c r="H53" s="110"/>
      <c r="I53" s="110"/>
      <c r="J53" s="110" t="s">
        <v>284</v>
      </c>
      <c r="K53" s="2">
        <f>K106/O53</f>
        <v>625.07304400350336</v>
      </c>
      <c r="L53" t="s">
        <v>121</v>
      </c>
      <c r="M53" s="109" t="s">
        <v>616</v>
      </c>
      <c r="N53" t="s">
        <v>630</v>
      </c>
      <c r="O53" s="1">
        <v>0.5</v>
      </c>
    </row>
    <row r="54" spans="1:16" x14ac:dyDescent="0.25">
      <c r="A54" t="s">
        <v>2</v>
      </c>
      <c r="D54" s="110"/>
      <c r="E54" s="110"/>
      <c r="F54" s="110"/>
      <c r="G54" s="110"/>
      <c r="H54" s="110"/>
      <c r="I54" s="110"/>
      <c r="J54" s="110" t="s">
        <v>318</v>
      </c>
      <c r="K54" s="110">
        <v>40</v>
      </c>
      <c r="L54" t="s">
        <v>121</v>
      </c>
      <c r="M54" s="93"/>
      <c r="N54" t="s">
        <v>645</v>
      </c>
    </row>
    <row r="55" spans="1:16" x14ac:dyDescent="0.25">
      <c r="A55" t="s">
        <v>2</v>
      </c>
      <c r="B55" t="s">
        <v>1</v>
      </c>
      <c r="D55" s="110"/>
      <c r="E55" s="110"/>
      <c r="F55" s="110"/>
      <c r="G55" s="110"/>
      <c r="H55" s="110"/>
      <c r="I55" s="110"/>
      <c r="J55" s="110" t="s">
        <v>609</v>
      </c>
      <c r="K55" s="272">
        <f>K54+0.55*K32</f>
        <v>74.650000000000006</v>
      </c>
      <c r="L55" t="s">
        <v>121</v>
      </c>
      <c r="M55" s="93"/>
    </row>
    <row r="56" spans="1:16" x14ac:dyDescent="0.25">
      <c r="A56" t="s">
        <v>2</v>
      </c>
      <c r="B56" t="s">
        <v>1</v>
      </c>
      <c r="D56" s="110"/>
      <c r="E56" s="110"/>
      <c r="F56" s="110"/>
      <c r="G56" s="110"/>
      <c r="H56" s="110"/>
      <c r="I56" s="110"/>
      <c r="J56" s="110" t="s">
        <v>610</v>
      </c>
      <c r="K56" s="272">
        <f>K54+0.55*K32</f>
        <v>74.650000000000006</v>
      </c>
      <c r="L56" t="s">
        <v>121</v>
      </c>
      <c r="M56" s="110"/>
      <c r="O56" s="281"/>
    </row>
    <row r="57" spans="1:16" x14ac:dyDescent="0.25">
      <c r="A57" t="s">
        <v>2</v>
      </c>
      <c r="B57" t="s">
        <v>5</v>
      </c>
      <c r="D57" s="110"/>
      <c r="E57" s="110"/>
      <c r="F57" s="110"/>
      <c r="G57" s="110"/>
      <c r="H57" s="110"/>
      <c r="I57" s="110"/>
      <c r="J57" s="110" t="s">
        <v>609</v>
      </c>
      <c r="K57" s="272">
        <f>K54+0.55*K33</f>
        <v>86.2</v>
      </c>
      <c r="L57" t="s">
        <v>121</v>
      </c>
      <c r="M57" s="110"/>
      <c r="O57" s="281"/>
    </row>
    <row r="58" spans="1:16" x14ac:dyDescent="0.25">
      <c r="A58" t="s">
        <v>2</v>
      </c>
      <c r="B58" t="s">
        <v>5</v>
      </c>
      <c r="D58" s="110"/>
      <c r="E58" s="110"/>
      <c r="F58" s="110"/>
      <c r="G58" s="110"/>
      <c r="H58" s="110"/>
      <c r="I58" s="110"/>
      <c r="J58" s="110" t="s">
        <v>610</v>
      </c>
      <c r="K58" s="272">
        <f>K54+0.55*K33</f>
        <v>86.2</v>
      </c>
      <c r="L58" t="s">
        <v>121</v>
      </c>
      <c r="M58" s="110"/>
      <c r="O58" s="281"/>
    </row>
    <row r="59" spans="1:16" x14ac:dyDescent="0.25">
      <c r="A59" t="s">
        <v>2</v>
      </c>
      <c r="D59" s="110"/>
      <c r="E59" s="110"/>
      <c r="F59" s="110"/>
      <c r="G59" s="110"/>
      <c r="H59" s="110"/>
      <c r="I59" s="110"/>
      <c r="J59" s="110" t="s">
        <v>639</v>
      </c>
      <c r="K59" s="272">
        <f>K61</f>
        <v>587.28341399893714</v>
      </c>
      <c r="L59" t="s">
        <v>121</v>
      </c>
      <c r="M59" s="110" t="s">
        <v>640</v>
      </c>
      <c r="O59" s="281" t="s">
        <v>612</v>
      </c>
    </row>
    <row r="60" spans="1:16" x14ac:dyDescent="0.25">
      <c r="A60" t="s">
        <v>2</v>
      </c>
      <c r="D60" t="s">
        <v>603</v>
      </c>
      <c r="F60" s="110"/>
      <c r="G60" s="110"/>
      <c r="H60" s="110"/>
      <c r="I60" s="110"/>
      <c r="J60" s="110" t="s">
        <v>281</v>
      </c>
      <c r="K60" s="272">
        <f>K108/O60</f>
        <v>338.43119224187109</v>
      </c>
      <c r="L60" t="s">
        <v>121</v>
      </c>
      <c r="M60" s="109" t="s">
        <v>616</v>
      </c>
      <c r="N60" t="s">
        <v>644</v>
      </c>
      <c r="O60" s="300">
        <v>0.5</v>
      </c>
    </row>
    <row r="61" spans="1:16" x14ac:dyDescent="0.25">
      <c r="A61" t="s">
        <v>2</v>
      </c>
      <c r="D61" s="110" t="s">
        <v>31</v>
      </c>
      <c r="E61" s="110"/>
      <c r="F61" s="110"/>
      <c r="G61" s="110"/>
      <c r="H61" s="110"/>
      <c r="I61" s="110"/>
      <c r="J61" s="110" t="s">
        <v>281</v>
      </c>
      <c r="K61" s="272">
        <f>K109/O61</f>
        <v>587.28341399893714</v>
      </c>
      <c r="L61" t="s">
        <v>121</v>
      </c>
      <c r="M61" s="109" t="s">
        <v>616</v>
      </c>
      <c r="N61" t="s">
        <v>614</v>
      </c>
      <c r="O61" s="282">
        <f>320/625</f>
        <v>0.51200000000000001</v>
      </c>
      <c r="P61" t="s">
        <v>620</v>
      </c>
    </row>
    <row r="62" spans="1:16" x14ac:dyDescent="0.25">
      <c r="A62" t="s">
        <v>2</v>
      </c>
      <c r="D62" s="110" t="s">
        <v>32</v>
      </c>
      <c r="E62" s="110"/>
      <c r="F62" s="110"/>
      <c r="G62" s="110"/>
      <c r="H62" s="110"/>
      <c r="I62" s="110"/>
      <c r="J62" s="110" t="s">
        <v>281</v>
      </c>
      <c r="K62" s="272">
        <f>K110/O62</f>
        <v>644.73198259519199</v>
      </c>
      <c r="L62" t="s">
        <v>121</v>
      </c>
      <c r="M62" s="109" t="s">
        <v>616</v>
      </c>
      <c r="N62" t="s">
        <v>614</v>
      </c>
      <c r="O62" s="282">
        <f>320/625</f>
        <v>0.51200000000000001</v>
      </c>
    </row>
    <row r="63" spans="1:16" x14ac:dyDescent="0.25">
      <c r="A63" t="s">
        <v>2</v>
      </c>
      <c r="D63" s="110" t="s">
        <v>33</v>
      </c>
      <c r="E63" s="110"/>
      <c r="F63" s="110"/>
      <c r="G63" s="110"/>
      <c r="H63" s="110"/>
      <c r="I63" s="110"/>
      <c r="J63" s="110" t="s">
        <v>281</v>
      </c>
      <c r="K63" s="272">
        <f>K111/O63</f>
        <v>637.26707470676922</v>
      </c>
      <c r="L63" t="s">
        <v>121</v>
      </c>
      <c r="M63" s="109" t="s">
        <v>616</v>
      </c>
      <c r="N63" t="s">
        <v>614</v>
      </c>
      <c r="O63" s="282">
        <f>330/640</f>
        <v>0.515625</v>
      </c>
    </row>
    <row r="64" spans="1:16" x14ac:dyDescent="0.25">
      <c r="A64" t="s">
        <v>2</v>
      </c>
      <c r="D64" s="110" t="s">
        <v>399</v>
      </c>
      <c r="E64" s="110"/>
      <c r="F64" s="110"/>
      <c r="G64" s="110"/>
      <c r="H64" s="110"/>
      <c r="I64" s="110"/>
      <c r="J64" s="110" t="s">
        <v>281</v>
      </c>
      <c r="K64" s="272">
        <f>K107/O64</f>
        <v>836.71370804290871</v>
      </c>
      <c r="L64" t="s">
        <v>121</v>
      </c>
      <c r="M64" s="109" t="s">
        <v>616</v>
      </c>
      <c r="O64" s="319">
        <f>O63</f>
        <v>0.515625</v>
      </c>
    </row>
    <row r="65" spans="1:15" x14ac:dyDescent="0.25">
      <c r="A65" s="100" t="s">
        <v>288</v>
      </c>
      <c r="B65" s="100"/>
      <c r="C65" s="100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  <c r="O65" s="281" t="s">
        <v>612</v>
      </c>
    </row>
    <row r="66" spans="1:15" x14ac:dyDescent="0.25">
      <c r="A66" t="s">
        <v>36</v>
      </c>
      <c r="B66" s="4"/>
      <c r="C66" s="4"/>
      <c r="D66" s="110" t="s">
        <v>17</v>
      </c>
      <c r="E66" s="110"/>
      <c r="F66" s="110"/>
      <c r="G66" s="110"/>
      <c r="H66" s="110"/>
      <c r="I66" s="110"/>
      <c r="J66" s="110" t="s">
        <v>284</v>
      </c>
      <c r="K66" s="272">
        <f>K123/O66</f>
        <v>647.19677209580777</v>
      </c>
      <c r="L66" t="s">
        <v>121</v>
      </c>
      <c r="M66" s="109" t="s">
        <v>616</v>
      </c>
      <c r="N66" t="s">
        <v>641</v>
      </c>
      <c r="O66">
        <v>0.53</v>
      </c>
    </row>
    <row r="67" spans="1:15" x14ac:dyDescent="0.25">
      <c r="A67" t="s">
        <v>36</v>
      </c>
      <c r="D67" s="110"/>
      <c r="E67" s="110"/>
      <c r="F67" s="110"/>
      <c r="G67" s="110"/>
      <c r="H67" s="110"/>
      <c r="I67" s="110"/>
      <c r="J67" s="110" t="s">
        <v>318</v>
      </c>
      <c r="K67" s="268">
        <f>(710*39+1585*48+1348*43+573*43+973*48 + 658*37+1597*46+1327*41+49541+833*45) / (710+1585+1348+573+973 + 658+1597+1327+495+833)</f>
        <v>46.768788989008812</v>
      </c>
      <c r="L67" t="s">
        <v>121</v>
      </c>
      <c r="M67" s="110" t="s">
        <v>720</v>
      </c>
      <c r="N67" t="s">
        <v>608</v>
      </c>
    </row>
    <row r="68" spans="1:15" x14ac:dyDescent="0.25">
      <c r="A68" t="s">
        <v>36</v>
      </c>
      <c r="D68" s="110"/>
      <c r="E68" s="110"/>
      <c r="F68" s="110"/>
      <c r="G68" s="110"/>
      <c r="H68" s="110"/>
      <c r="I68" s="110"/>
      <c r="J68" s="110" t="s">
        <v>609</v>
      </c>
      <c r="K68" s="272">
        <f>300*0.95</f>
        <v>285</v>
      </c>
      <c r="L68" t="s">
        <v>121</v>
      </c>
      <c r="M68" s="164" t="s">
        <v>653</v>
      </c>
      <c r="N68" t="s">
        <v>604</v>
      </c>
    </row>
    <row r="69" spans="1:15" x14ac:dyDescent="0.25">
      <c r="A69" t="s">
        <v>36</v>
      </c>
      <c r="D69" s="110"/>
      <c r="E69" s="110"/>
      <c r="F69" s="110"/>
      <c r="G69" s="110"/>
      <c r="H69" s="110"/>
      <c r="I69" s="110"/>
      <c r="J69" s="110" t="s">
        <v>610</v>
      </c>
      <c r="K69" s="272">
        <f>275*0.95</f>
        <v>261.25</v>
      </c>
      <c r="L69" t="s">
        <v>121</v>
      </c>
      <c r="M69" s="164" t="s">
        <v>653</v>
      </c>
      <c r="N69" t="s">
        <v>604</v>
      </c>
      <c r="O69" s="281"/>
    </row>
    <row r="70" spans="1:15" x14ac:dyDescent="0.25">
      <c r="A70" t="s">
        <v>36</v>
      </c>
      <c r="D70" s="110"/>
      <c r="E70" s="110"/>
      <c r="F70" s="110"/>
      <c r="G70" s="110"/>
      <c r="H70" s="110"/>
      <c r="I70" s="110"/>
      <c r="J70" s="110" t="s">
        <v>639</v>
      </c>
      <c r="K70" s="272">
        <f>K72</f>
        <v>594.22376300153076</v>
      </c>
      <c r="L70" t="s">
        <v>121</v>
      </c>
      <c r="M70" s="110" t="s">
        <v>640</v>
      </c>
      <c r="O70" s="281" t="s">
        <v>612</v>
      </c>
    </row>
    <row r="71" spans="1:15" x14ac:dyDescent="0.25">
      <c r="A71" t="s">
        <v>36</v>
      </c>
      <c r="D71" t="s">
        <v>603</v>
      </c>
      <c r="F71" s="110"/>
      <c r="G71" s="110"/>
      <c r="H71" s="110"/>
      <c r="I71" s="110"/>
      <c r="J71" s="110" t="s">
        <v>281</v>
      </c>
      <c r="K71" s="272">
        <f>K125/O71</f>
        <v>318.70494186046506</v>
      </c>
      <c r="L71" t="s">
        <v>121</v>
      </c>
      <c r="M71" s="109" t="s">
        <v>616</v>
      </c>
      <c r="N71" t="s">
        <v>644</v>
      </c>
      <c r="O71" s="300">
        <v>0.5</v>
      </c>
    </row>
    <row r="72" spans="1:15" x14ac:dyDescent="0.25">
      <c r="A72" t="s">
        <v>36</v>
      </c>
      <c r="D72" s="110" t="s">
        <v>31</v>
      </c>
      <c r="E72" s="110"/>
      <c r="F72" s="110"/>
      <c r="G72" s="110"/>
      <c r="H72" s="110"/>
      <c r="I72" s="110"/>
      <c r="J72" s="110" t="s">
        <v>281</v>
      </c>
      <c r="K72" s="272">
        <f>K126/O72</f>
        <v>594.22376300153076</v>
      </c>
      <c r="L72" t="s">
        <v>121</v>
      </c>
      <c r="M72" s="109" t="s">
        <v>616</v>
      </c>
      <c r="N72" t="s">
        <v>613</v>
      </c>
      <c r="O72" s="282">
        <f>315/600</f>
        <v>0.52500000000000002</v>
      </c>
    </row>
    <row r="73" spans="1:15" x14ac:dyDescent="0.25">
      <c r="A73" t="s">
        <v>36</v>
      </c>
      <c r="D73" s="110" t="s">
        <v>32</v>
      </c>
      <c r="E73" s="110"/>
      <c r="F73" s="110"/>
      <c r="G73" s="110"/>
      <c r="H73" s="110"/>
      <c r="I73" s="110"/>
      <c r="J73" s="110" t="s">
        <v>281</v>
      </c>
      <c r="K73" s="272">
        <f>K127/O73</f>
        <v>633.87811660292255</v>
      </c>
      <c r="L73" t="s">
        <v>121</v>
      </c>
      <c r="M73" s="109" t="s">
        <v>616</v>
      </c>
      <c r="N73" t="s">
        <v>613</v>
      </c>
      <c r="O73" s="282">
        <f>330/620</f>
        <v>0.532258064516129</v>
      </c>
    </row>
    <row r="74" spans="1:15" x14ac:dyDescent="0.25">
      <c r="A74" t="s">
        <v>36</v>
      </c>
      <c r="D74" s="110" t="s">
        <v>33</v>
      </c>
      <c r="E74" s="110"/>
      <c r="F74" s="110"/>
      <c r="G74" s="110"/>
      <c r="H74" s="110"/>
      <c r="I74" s="110"/>
      <c r="J74" s="110" t="s">
        <v>281</v>
      </c>
      <c r="K74" s="272">
        <f>K128/O74</f>
        <v>641.20108020172438</v>
      </c>
      <c r="L74" t="s">
        <v>121</v>
      </c>
      <c r="M74" s="109" t="s">
        <v>616</v>
      </c>
      <c r="N74" t="s">
        <v>613</v>
      </c>
      <c r="O74" s="282">
        <f>360/640</f>
        <v>0.5625</v>
      </c>
    </row>
    <row r="75" spans="1:15" x14ac:dyDescent="0.25">
      <c r="A75" t="s">
        <v>36</v>
      </c>
      <c r="D75" s="110" t="s">
        <v>399</v>
      </c>
      <c r="E75" s="110"/>
      <c r="F75" s="110"/>
      <c r="G75" s="110"/>
      <c r="H75" s="110"/>
      <c r="I75" s="110"/>
      <c r="J75" s="110" t="s">
        <v>281</v>
      </c>
      <c r="K75" s="272">
        <f>K124/O75</f>
        <v>929.76621192621189</v>
      </c>
      <c r="L75" t="s">
        <v>121</v>
      </c>
      <c r="M75" s="109" t="s">
        <v>616</v>
      </c>
      <c r="O75" s="319">
        <f>O74</f>
        <v>0.5625</v>
      </c>
    </row>
    <row r="76" spans="1:15" x14ac:dyDescent="0.25">
      <c r="A76" s="94" t="s">
        <v>285</v>
      </c>
      <c r="B76" s="94"/>
      <c r="C76" s="94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</row>
    <row r="77" spans="1:15" x14ac:dyDescent="0.25">
      <c r="A77" s="97" t="s">
        <v>287</v>
      </c>
      <c r="B77" s="97"/>
      <c r="C77" s="97"/>
      <c r="D77" s="98"/>
      <c r="E77" s="98"/>
      <c r="F77" s="98"/>
      <c r="G77" s="98"/>
      <c r="H77" s="98"/>
      <c r="I77" s="98"/>
      <c r="J77" s="98"/>
      <c r="K77" s="99"/>
      <c r="L77" s="98"/>
      <c r="M77" s="98"/>
      <c r="N77" s="98"/>
    </row>
    <row r="78" spans="1:15" x14ac:dyDescent="0.25">
      <c r="A78" t="s">
        <v>2</v>
      </c>
      <c r="D78" t="s">
        <v>17</v>
      </c>
      <c r="J78" t="s">
        <v>18</v>
      </c>
      <c r="K78">
        <v>6.6</v>
      </c>
      <c r="L78" t="s">
        <v>8</v>
      </c>
      <c r="M78" t="s">
        <v>9</v>
      </c>
      <c r="N78" t="s">
        <v>604</v>
      </c>
    </row>
    <row r="79" spans="1:15" x14ac:dyDescent="0.25">
      <c r="A79" t="s">
        <v>2</v>
      </c>
      <c r="J79" t="s">
        <v>19</v>
      </c>
      <c r="K79">
        <v>4.2</v>
      </c>
      <c r="L79" t="s">
        <v>8</v>
      </c>
      <c r="M79" t="s">
        <v>20</v>
      </c>
      <c r="N79" t="s">
        <v>604</v>
      </c>
    </row>
    <row r="80" spans="1:15" x14ac:dyDescent="0.25">
      <c r="A80" t="s">
        <v>2</v>
      </c>
      <c r="J80" t="s">
        <v>21</v>
      </c>
      <c r="K80">
        <v>10</v>
      </c>
      <c r="L80" t="s">
        <v>16</v>
      </c>
      <c r="M80" t="s">
        <v>22</v>
      </c>
      <c r="N80" t="s">
        <v>604</v>
      </c>
    </row>
    <row r="81" spans="1:14" x14ac:dyDescent="0.25">
      <c r="A81" t="s">
        <v>2</v>
      </c>
      <c r="J81" t="s">
        <v>23</v>
      </c>
      <c r="K81">
        <v>3.4</v>
      </c>
      <c r="L81" t="s">
        <v>8</v>
      </c>
      <c r="M81" t="s">
        <v>20</v>
      </c>
      <c r="N81" t="s">
        <v>604</v>
      </c>
    </row>
    <row r="82" spans="1:14" x14ac:dyDescent="0.25">
      <c r="A82" t="s">
        <v>2</v>
      </c>
      <c r="J82" t="s">
        <v>24</v>
      </c>
      <c r="K82">
        <v>10</v>
      </c>
      <c r="L82" t="s">
        <v>16</v>
      </c>
      <c r="M82" t="s">
        <v>22</v>
      </c>
      <c r="N82" t="s">
        <v>604</v>
      </c>
    </row>
    <row r="83" spans="1:14" x14ac:dyDescent="0.25">
      <c r="A83" t="s">
        <v>2</v>
      </c>
      <c r="J83" t="s">
        <v>25</v>
      </c>
      <c r="K83">
        <v>6.8</v>
      </c>
      <c r="L83" t="s">
        <v>8</v>
      </c>
      <c r="M83" t="s">
        <v>26</v>
      </c>
      <c r="N83" t="s">
        <v>604</v>
      </c>
    </row>
    <row r="84" spans="1:14" x14ac:dyDescent="0.25">
      <c r="A84" t="s">
        <v>2</v>
      </c>
      <c r="J84" t="s">
        <v>27</v>
      </c>
      <c r="K84" s="93">
        <f>100+10</f>
        <v>110</v>
      </c>
      <c r="L84" t="s">
        <v>16</v>
      </c>
      <c r="M84" t="s">
        <v>22</v>
      </c>
      <c r="N84" s="93" t="s">
        <v>604</v>
      </c>
    </row>
    <row r="85" spans="1:14" x14ac:dyDescent="0.25">
      <c r="A85" t="s">
        <v>2</v>
      </c>
      <c r="J85" t="s">
        <v>28</v>
      </c>
      <c r="K85">
        <v>4</v>
      </c>
      <c r="L85" t="s">
        <v>8</v>
      </c>
      <c r="M85" t="s">
        <v>26</v>
      </c>
      <c r="N85" t="s">
        <v>604</v>
      </c>
    </row>
    <row r="86" spans="1:14" x14ac:dyDescent="0.25">
      <c r="A86" t="s">
        <v>2</v>
      </c>
      <c r="J86" t="s">
        <v>29</v>
      </c>
      <c r="K86" s="93">
        <f>100+10</f>
        <v>110</v>
      </c>
      <c r="L86" t="s">
        <v>16</v>
      </c>
      <c r="M86" t="s">
        <v>22</v>
      </c>
      <c r="N86" s="93" t="s">
        <v>604</v>
      </c>
    </row>
    <row r="87" spans="1:14" x14ac:dyDescent="0.25">
      <c r="A87" s="100" t="s">
        <v>288</v>
      </c>
      <c r="B87" s="100"/>
      <c r="C87" s="100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 spans="1:14" x14ac:dyDescent="0.25">
      <c r="A88" t="s">
        <v>36</v>
      </c>
      <c r="D88" t="s">
        <v>17</v>
      </c>
      <c r="J88" t="s">
        <v>18</v>
      </c>
      <c r="K88">
        <v>2</v>
      </c>
      <c r="L88" t="s">
        <v>8</v>
      </c>
      <c r="M88" t="s">
        <v>9</v>
      </c>
      <c r="N88" t="s">
        <v>604</v>
      </c>
    </row>
    <row r="89" spans="1:14" x14ac:dyDescent="0.25">
      <c r="A89" t="s">
        <v>36</v>
      </c>
      <c r="J89" t="s">
        <v>19</v>
      </c>
      <c r="K89">
        <v>4</v>
      </c>
      <c r="L89" t="s">
        <v>8</v>
      </c>
      <c r="M89" t="s">
        <v>20</v>
      </c>
      <c r="N89" t="s">
        <v>604</v>
      </c>
    </row>
    <row r="90" spans="1:14" x14ac:dyDescent="0.25">
      <c r="A90" t="s">
        <v>36</v>
      </c>
      <c r="J90" t="s">
        <v>21</v>
      </c>
      <c r="K90">
        <v>3</v>
      </c>
      <c r="L90" t="s">
        <v>16</v>
      </c>
      <c r="M90" t="s">
        <v>37</v>
      </c>
      <c r="N90" t="s">
        <v>604</v>
      </c>
    </row>
    <row r="91" spans="1:14" x14ac:dyDescent="0.25">
      <c r="A91" t="s">
        <v>36</v>
      </c>
      <c r="J91" t="s">
        <v>23</v>
      </c>
      <c r="K91">
        <v>3.2</v>
      </c>
      <c r="L91" t="s">
        <v>8</v>
      </c>
      <c r="M91" t="s">
        <v>20</v>
      </c>
      <c r="N91" t="s">
        <v>604</v>
      </c>
    </row>
    <row r="92" spans="1:14" x14ac:dyDescent="0.25">
      <c r="A92" t="s">
        <v>36</v>
      </c>
      <c r="J92" t="s">
        <v>24</v>
      </c>
      <c r="K92">
        <v>10</v>
      </c>
      <c r="L92" t="s">
        <v>16</v>
      </c>
      <c r="M92" t="s">
        <v>37</v>
      </c>
      <c r="N92" t="s">
        <v>604</v>
      </c>
    </row>
    <row r="93" spans="1:14" x14ac:dyDescent="0.25">
      <c r="A93" t="s">
        <v>36</v>
      </c>
      <c r="J93" t="s">
        <v>25</v>
      </c>
      <c r="K93">
        <v>2.2000000000000002</v>
      </c>
      <c r="L93" t="s">
        <v>8</v>
      </c>
      <c r="M93" t="s">
        <v>26</v>
      </c>
      <c r="N93" t="s">
        <v>604</v>
      </c>
    </row>
    <row r="94" spans="1:14" x14ac:dyDescent="0.25">
      <c r="A94" t="s">
        <v>36</v>
      </c>
      <c r="J94" t="s">
        <v>27</v>
      </c>
      <c r="K94">
        <v>234</v>
      </c>
      <c r="L94" t="s">
        <v>16</v>
      </c>
      <c r="M94" t="s">
        <v>37</v>
      </c>
      <c r="N94" t="s">
        <v>604</v>
      </c>
    </row>
    <row r="95" spans="1:14" x14ac:dyDescent="0.25">
      <c r="A95" t="s">
        <v>36</v>
      </c>
      <c r="J95" t="s">
        <v>28</v>
      </c>
      <c r="K95">
        <v>1.6</v>
      </c>
      <c r="L95" t="s">
        <v>8</v>
      </c>
      <c r="M95" t="s">
        <v>26</v>
      </c>
      <c r="N95" t="s">
        <v>604</v>
      </c>
    </row>
    <row r="96" spans="1:14" x14ac:dyDescent="0.25">
      <c r="A96" t="s">
        <v>36</v>
      </c>
      <c r="J96" t="s">
        <v>29</v>
      </c>
      <c r="K96">
        <v>241</v>
      </c>
      <c r="L96" t="s">
        <v>16</v>
      </c>
      <c r="M96" t="s">
        <v>37</v>
      </c>
      <c r="N96" t="s">
        <v>604</v>
      </c>
    </row>
    <row r="98" spans="1:14" x14ac:dyDescent="0.25">
      <c r="A98" s="94" t="s">
        <v>286</v>
      </c>
      <c r="B98" s="94"/>
      <c r="C98" s="94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</row>
    <row r="99" spans="1:14" x14ac:dyDescent="0.25">
      <c r="A99" s="97" t="s">
        <v>287</v>
      </c>
      <c r="B99" s="97"/>
      <c r="C99" s="97"/>
      <c r="D99" s="98"/>
      <c r="E99" s="98"/>
      <c r="F99" s="98"/>
      <c r="G99" s="98"/>
      <c r="H99" s="98"/>
      <c r="I99" s="98"/>
      <c r="J99" s="98"/>
      <c r="K99" s="99"/>
      <c r="L99" s="98"/>
      <c r="M99" s="98"/>
      <c r="N99" s="98"/>
    </row>
    <row r="100" spans="1:14" x14ac:dyDescent="0.25">
      <c r="A100" t="s">
        <v>2</v>
      </c>
      <c r="D100" t="s">
        <v>17</v>
      </c>
      <c r="J100" t="s">
        <v>30</v>
      </c>
      <c r="K100" s="268">
        <f>'G&amp;D sammanställning'!H5</f>
        <v>61.420068255262606</v>
      </c>
      <c r="L100" t="s">
        <v>4</v>
      </c>
      <c r="M100" t="s">
        <v>619</v>
      </c>
      <c r="N100" t="s">
        <v>726</v>
      </c>
    </row>
    <row r="101" spans="1:14" x14ac:dyDescent="0.25">
      <c r="A101" t="s">
        <v>2</v>
      </c>
      <c r="D101" t="s">
        <v>399</v>
      </c>
      <c r="J101" t="s">
        <v>30</v>
      </c>
      <c r="K101" s="268">
        <f>'G&amp;D sammanställning'!H13</f>
        <v>41.352528548123978</v>
      </c>
      <c r="L101" t="s">
        <v>4</v>
      </c>
      <c r="N101" t="s">
        <v>726</v>
      </c>
    </row>
    <row r="102" spans="1:14" x14ac:dyDescent="0.25">
      <c r="A102" t="s">
        <v>2</v>
      </c>
      <c r="D102" t="s">
        <v>603</v>
      </c>
      <c r="J102" t="s">
        <v>30</v>
      </c>
      <c r="K102" s="268">
        <f>'G&amp;D sammanställning'!H14</f>
        <v>9.2950484883057616</v>
      </c>
      <c r="L102" t="s">
        <v>4</v>
      </c>
      <c r="N102" t="s">
        <v>726</v>
      </c>
    </row>
    <row r="103" spans="1:14" x14ac:dyDescent="0.25">
      <c r="A103" t="s">
        <v>2</v>
      </c>
      <c r="D103" t="s">
        <v>31</v>
      </c>
      <c r="J103" t="s">
        <v>30</v>
      </c>
      <c r="K103" s="268">
        <f>'G&amp;D sammanställning'!H8</f>
        <v>28.193025727479295</v>
      </c>
      <c r="L103" t="s">
        <v>4</v>
      </c>
      <c r="N103" t="s">
        <v>726</v>
      </c>
    </row>
    <row r="104" spans="1:14" x14ac:dyDescent="0.25">
      <c r="A104" t="s">
        <v>2</v>
      </c>
      <c r="D104" t="s">
        <v>32</v>
      </c>
      <c r="J104" t="s">
        <v>30</v>
      </c>
      <c r="K104" s="13">
        <f>'G&amp;D sammanställning'!H9</f>
        <v>27.869191674733784</v>
      </c>
      <c r="L104" t="s">
        <v>4</v>
      </c>
      <c r="N104" t="s">
        <v>726</v>
      </c>
    </row>
    <row r="105" spans="1:14" x14ac:dyDescent="0.25">
      <c r="A105" t="s">
        <v>2</v>
      </c>
      <c r="D105" t="s">
        <v>33</v>
      </c>
      <c r="J105" t="s">
        <v>30</v>
      </c>
      <c r="K105" s="13">
        <f>'G&amp;D sammanställning'!H10</f>
        <v>19.735886093627194</v>
      </c>
      <c r="L105" t="s">
        <v>4</v>
      </c>
      <c r="N105" t="s">
        <v>726</v>
      </c>
    </row>
    <row r="106" spans="1:14" x14ac:dyDescent="0.25">
      <c r="A106" t="s">
        <v>2</v>
      </c>
      <c r="D106" t="s">
        <v>17</v>
      </c>
      <c r="J106" t="s">
        <v>34</v>
      </c>
      <c r="K106" s="13">
        <f>'G&amp;D sammanställning'!B5</f>
        <v>312.53652200175168</v>
      </c>
      <c r="L106" t="s">
        <v>35</v>
      </c>
      <c r="N106" t="s">
        <v>726</v>
      </c>
    </row>
    <row r="107" spans="1:14" x14ac:dyDescent="0.25">
      <c r="A107" t="s">
        <v>2</v>
      </c>
      <c r="D107" t="s">
        <v>399</v>
      </c>
      <c r="J107" t="s">
        <v>34</v>
      </c>
      <c r="K107" s="268">
        <f>'G&amp;D sammanställning'!B13</f>
        <v>431.43050570962481</v>
      </c>
      <c r="L107" s="110" t="s">
        <v>35</v>
      </c>
      <c r="N107" t="s">
        <v>726</v>
      </c>
    </row>
    <row r="108" spans="1:14" x14ac:dyDescent="0.25">
      <c r="A108" t="s">
        <v>2</v>
      </c>
      <c r="D108" t="s">
        <v>603</v>
      </c>
      <c r="J108" t="s">
        <v>34</v>
      </c>
      <c r="K108" s="268">
        <f>'G&amp;D sammanställning'!B14</f>
        <v>169.21559612093554</v>
      </c>
      <c r="L108" t="s">
        <v>35</v>
      </c>
      <c r="N108" t="s">
        <v>726</v>
      </c>
    </row>
    <row r="109" spans="1:14" x14ac:dyDescent="0.25">
      <c r="A109" t="s">
        <v>2</v>
      </c>
      <c r="D109" t="s">
        <v>31</v>
      </c>
      <c r="J109" t="s">
        <v>34</v>
      </c>
      <c r="K109" s="268">
        <f>'G&amp;D sammanställning'!B8</f>
        <v>300.68910796745581</v>
      </c>
      <c r="L109" t="s">
        <v>35</v>
      </c>
      <c r="N109" t="s">
        <v>726</v>
      </c>
    </row>
    <row r="110" spans="1:14" x14ac:dyDescent="0.25">
      <c r="A110" t="s">
        <v>2</v>
      </c>
      <c r="D110" t="s">
        <v>32</v>
      </c>
      <c r="J110" t="s">
        <v>34</v>
      </c>
      <c r="K110" s="13">
        <f>'G&amp;D sammanställning'!B9</f>
        <v>330.10277508873833</v>
      </c>
      <c r="L110" t="s">
        <v>35</v>
      </c>
      <c r="N110" t="s">
        <v>726</v>
      </c>
    </row>
    <row r="111" spans="1:14" x14ac:dyDescent="0.25">
      <c r="A111" t="s">
        <v>2</v>
      </c>
      <c r="D111" t="s">
        <v>33</v>
      </c>
      <c r="J111" t="s">
        <v>34</v>
      </c>
      <c r="K111" s="13">
        <f>'G&amp;D sammanställning'!B10</f>
        <v>328.59083539567786</v>
      </c>
      <c r="L111" t="s">
        <v>35</v>
      </c>
      <c r="N111" t="s">
        <v>726</v>
      </c>
    </row>
    <row r="112" spans="1:14" x14ac:dyDescent="0.25">
      <c r="A112" t="s">
        <v>2</v>
      </c>
      <c r="B112" t="s">
        <v>1</v>
      </c>
      <c r="J112" t="s">
        <v>492</v>
      </c>
      <c r="K112" s="13">
        <v>7.708382338966838</v>
      </c>
      <c r="L112" t="s">
        <v>8</v>
      </c>
      <c r="M112" t="s">
        <v>496</v>
      </c>
      <c r="N112" t="s">
        <v>377</v>
      </c>
    </row>
    <row r="113" spans="1:14" x14ac:dyDescent="0.25">
      <c r="A113" t="s">
        <v>2</v>
      </c>
      <c r="B113" t="s">
        <v>1</v>
      </c>
      <c r="J113" t="s">
        <v>495</v>
      </c>
      <c r="K113" s="13">
        <v>14.798145933014354</v>
      </c>
      <c r="L113" t="s">
        <v>8</v>
      </c>
      <c r="M113" t="s">
        <v>497</v>
      </c>
      <c r="N113" t="s">
        <v>377</v>
      </c>
    </row>
    <row r="114" spans="1:14" x14ac:dyDescent="0.25">
      <c r="A114" t="s">
        <v>2</v>
      </c>
      <c r="B114" t="s">
        <v>5</v>
      </c>
      <c r="J114" t="s">
        <v>492</v>
      </c>
      <c r="K114" s="13">
        <v>7.708382338966838</v>
      </c>
      <c r="L114" t="s">
        <v>8</v>
      </c>
      <c r="M114" t="s">
        <v>496</v>
      </c>
      <c r="N114" t="s">
        <v>377</v>
      </c>
    </row>
    <row r="115" spans="1:14" x14ac:dyDescent="0.25">
      <c r="A115" t="s">
        <v>2</v>
      </c>
      <c r="B115" t="s">
        <v>5</v>
      </c>
      <c r="J115" t="s">
        <v>495</v>
      </c>
      <c r="K115" s="13">
        <v>65.534646274777856</v>
      </c>
      <c r="L115" t="s">
        <v>8</v>
      </c>
      <c r="M115" t="s">
        <v>497</v>
      </c>
      <c r="N115" t="s">
        <v>377</v>
      </c>
    </row>
    <row r="116" spans="1:14" x14ac:dyDescent="0.25">
      <c r="A116" s="100" t="s">
        <v>288</v>
      </c>
      <c r="B116" s="100"/>
      <c r="C116" s="100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 spans="1:14" x14ac:dyDescent="0.25">
      <c r="A117" t="s">
        <v>36</v>
      </c>
      <c r="D117" t="s">
        <v>17</v>
      </c>
      <c r="J117" t="s">
        <v>30</v>
      </c>
      <c r="K117" s="268">
        <f>'G&amp;D sammanställning'!K5</f>
        <v>74.526409006964371</v>
      </c>
      <c r="L117" t="s">
        <v>4</v>
      </c>
      <c r="M117" t="s">
        <v>725</v>
      </c>
      <c r="N117" t="s">
        <v>726</v>
      </c>
    </row>
    <row r="118" spans="1:14" x14ac:dyDescent="0.25">
      <c r="A118" t="s">
        <v>36</v>
      </c>
      <c r="D118" t="s">
        <v>399</v>
      </c>
      <c r="J118" t="s">
        <v>30</v>
      </c>
      <c r="K118" s="268">
        <f>'G&amp;D sammanställning'!K13</f>
        <v>56.088803088803083</v>
      </c>
      <c r="L118" t="s">
        <v>4</v>
      </c>
      <c r="N118" t="s">
        <v>726</v>
      </c>
    </row>
    <row r="119" spans="1:14" x14ac:dyDescent="0.25">
      <c r="A119" t="s">
        <v>36</v>
      </c>
      <c r="D119" t="s">
        <v>603</v>
      </c>
      <c r="J119" t="s">
        <v>30</v>
      </c>
      <c r="K119" s="268">
        <f>'G&amp;D sammanställning'!K14</f>
        <v>9.3744186046511633</v>
      </c>
      <c r="L119" t="s">
        <v>4</v>
      </c>
      <c r="N119" t="s">
        <v>726</v>
      </c>
    </row>
    <row r="120" spans="1:14" x14ac:dyDescent="0.25">
      <c r="A120" t="s">
        <v>36</v>
      </c>
      <c r="D120" t="s">
        <v>31</v>
      </c>
      <c r="J120" t="s">
        <v>30</v>
      </c>
      <c r="K120" s="13">
        <f>'G&amp;D sammanställning'!K8</f>
        <v>25.495239686155401</v>
      </c>
      <c r="L120" t="s">
        <v>4</v>
      </c>
      <c r="N120" t="s">
        <v>726</v>
      </c>
    </row>
    <row r="121" spans="1:14" x14ac:dyDescent="0.25">
      <c r="A121" t="s">
        <v>36</v>
      </c>
      <c r="D121" t="s">
        <v>32</v>
      </c>
      <c r="J121" t="s">
        <v>30</v>
      </c>
      <c r="K121" s="13">
        <f>'G&amp;D sammanställning'!K9</f>
        <v>26.857645631067964</v>
      </c>
      <c r="L121" t="s">
        <v>4</v>
      </c>
      <c r="N121" t="s">
        <v>726</v>
      </c>
    </row>
    <row r="122" spans="1:14" x14ac:dyDescent="0.25">
      <c r="A122" t="s">
        <v>36</v>
      </c>
      <c r="D122" t="s">
        <v>33</v>
      </c>
      <c r="J122" t="s">
        <v>30</v>
      </c>
      <c r="K122" s="13">
        <f>'G&amp;D sammanställning'!K10</f>
        <v>18.625311196441888</v>
      </c>
      <c r="L122" t="s">
        <v>4</v>
      </c>
      <c r="N122" t="s">
        <v>726</v>
      </c>
    </row>
    <row r="123" spans="1:14" x14ac:dyDescent="0.25">
      <c r="A123" t="s">
        <v>36</v>
      </c>
      <c r="D123" t="s">
        <v>17</v>
      </c>
      <c r="J123" t="s">
        <v>34</v>
      </c>
      <c r="K123" s="268">
        <f>'G&amp;D sammanställning'!E5</f>
        <v>343.01428921077814</v>
      </c>
      <c r="L123" t="s">
        <v>35</v>
      </c>
      <c r="N123" t="s">
        <v>726</v>
      </c>
    </row>
    <row r="124" spans="1:14" x14ac:dyDescent="0.25">
      <c r="A124" t="s">
        <v>36</v>
      </c>
      <c r="D124" t="s">
        <v>399</v>
      </c>
      <c r="J124" t="s">
        <v>34</v>
      </c>
      <c r="K124" s="268">
        <f>'G&amp;D sammanställning'!E13</f>
        <v>522.99349420849421</v>
      </c>
      <c r="L124" s="110" t="s">
        <v>35</v>
      </c>
      <c r="N124" t="s">
        <v>726</v>
      </c>
    </row>
    <row r="125" spans="1:14" x14ac:dyDescent="0.25">
      <c r="A125" t="s">
        <v>36</v>
      </c>
      <c r="D125" t="s">
        <v>603</v>
      </c>
      <c r="J125" t="s">
        <v>34</v>
      </c>
      <c r="K125" s="268">
        <f>'G&amp;D sammanställning'!E14</f>
        <v>159.35247093023253</v>
      </c>
      <c r="L125" t="s">
        <v>35</v>
      </c>
      <c r="N125" t="s">
        <v>726</v>
      </c>
    </row>
    <row r="126" spans="1:14" x14ac:dyDescent="0.25">
      <c r="A126" t="s">
        <v>36</v>
      </c>
      <c r="D126" t="s">
        <v>31</v>
      </c>
      <c r="J126" t="s">
        <v>34</v>
      </c>
      <c r="K126" s="13">
        <f>'G&amp;D sammanställning'!E8</f>
        <v>311.96747557580363</v>
      </c>
      <c r="L126" t="s">
        <v>35</v>
      </c>
      <c r="N126" t="s">
        <v>726</v>
      </c>
    </row>
    <row r="127" spans="1:14" x14ac:dyDescent="0.25">
      <c r="A127" t="s">
        <v>36</v>
      </c>
      <c r="D127" t="s">
        <v>32</v>
      </c>
      <c r="J127" t="s">
        <v>34</v>
      </c>
      <c r="K127" s="13">
        <f>'G&amp;D sammanställning'!E9</f>
        <v>337.38673948220071</v>
      </c>
      <c r="L127" t="s">
        <v>35</v>
      </c>
      <c r="N127" t="s">
        <v>726</v>
      </c>
    </row>
    <row r="128" spans="1:14" x14ac:dyDescent="0.25">
      <c r="A128" t="s">
        <v>36</v>
      </c>
      <c r="D128" t="s">
        <v>33</v>
      </c>
      <c r="J128" t="s">
        <v>34</v>
      </c>
      <c r="K128" s="13">
        <f>'G&amp;D sammanställning'!E10</f>
        <v>360.67560761346999</v>
      </c>
      <c r="L128" t="s">
        <v>35</v>
      </c>
      <c r="N128" t="s">
        <v>726</v>
      </c>
    </row>
    <row r="129" spans="1:14" x14ac:dyDescent="0.25">
      <c r="A129" t="s">
        <v>36</v>
      </c>
      <c r="B129" t="s">
        <v>1</v>
      </c>
      <c r="J129" t="s">
        <v>492</v>
      </c>
      <c r="K129" s="13">
        <v>2.4579700542883822</v>
      </c>
      <c r="L129" t="s">
        <v>8</v>
      </c>
      <c r="M129" t="s">
        <v>496</v>
      </c>
      <c r="N129" t="s">
        <v>377</v>
      </c>
    </row>
    <row r="130" spans="1:14" x14ac:dyDescent="0.25">
      <c r="A130" t="s">
        <v>36</v>
      </c>
      <c r="B130" t="s">
        <v>1</v>
      </c>
      <c r="J130" t="s">
        <v>495</v>
      </c>
      <c r="K130" s="13">
        <v>9.2748685002842954</v>
      </c>
      <c r="L130" t="s">
        <v>8</v>
      </c>
      <c r="M130" t="s">
        <v>497</v>
      </c>
      <c r="N130" t="s">
        <v>377</v>
      </c>
    </row>
    <row r="131" spans="1:14" x14ac:dyDescent="0.25">
      <c r="A131" t="s">
        <v>36</v>
      </c>
      <c r="B131" t="s">
        <v>5</v>
      </c>
      <c r="J131" t="s">
        <v>492</v>
      </c>
      <c r="K131" s="13">
        <v>2.4579700542883822</v>
      </c>
      <c r="L131" t="s">
        <v>8</v>
      </c>
      <c r="M131" t="s">
        <v>496</v>
      </c>
      <c r="N131" t="s">
        <v>377</v>
      </c>
    </row>
    <row r="132" spans="1:14" x14ac:dyDescent="0.25">
      <c r="A132" t="s">
        <v>36</v>
      </c>
      <c r="B132" t="s">
        <v>5</v>
      </c>
      <c r="J132" t="s">
        <v>495</v>
      </c>
      <c r="K132" s="13">
        <v>35.940115438601644</v>
      </c>
      <c r="L132" t="s">
        <v>8</v>
      </c>
      <c r="M132" t="s">
        <v>497</v>
      </c>
      <c r="N132" t="s">
        <v>377</v>
      </c>
    </row>
    <row r="133" spans="1:14" x14ac:dyDescent="0.25">
      <c r="K133" s="13"/>
    </row>
    <row r="134" spans="1:14" x14ac:dyDescent="0.25">
      <c r="A134" s="254" t="s">
        <v>569</v>
      </c>
      <c r="B134" s="156"/>
      <c r="C134" s="156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</row>
    <row r="135" spans="1:14" x14ac:dyDescent="0.25">
      <c r="A135" s="309" t="s">
        <v>683</v>
      </c>
      <c r="B135" s="308"/>
      <c r="C135" s="308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</row>
    <row r="136" spans="1:14" x14ac:dyDescent="0.25">
      <c r="A136" s="110" t="s">
        <v>2</v>
      </c>
      <c r="B136" s="110"/>
      <c r="C136" s="110"/>
      <c r="D136" s="110"/>
      <c r="E136" s="110" t="s">
        <v>17</v>
      </c>
      <c r="F136" s="110"/>
      <c r="G136" t="s">
        <v>574</v>
      </c>
      <c r="H136" s="110"/>
      <c r="I136" s="110"/>
      <c r="J136" s="110" t="s">
        <v>568</v>
      </c>
      <c r="K136" s="268">
        <v>5</v>
      </c>
      <c r="L136" s="110" t="s">
        <v>4</v>
      </c>
      <c r="M136" s="110"/>
      <c r="N136" s="110" t="s">
        <v>728</v>
      </c>
    </row>
    <row r="137" spans="1:14" x14ac:dyDescent="0.25">
      <c r="A137" s="110" t="s">
        <v>2</v>
      </c>
      <c r="B137" s="110"/>
      <c r="C137" s="110"/>
      <c r="D137" s="110"/>
      <c r="E137" s="110" t="s">
        <v>17</v>
      </c>
      <c r="F137" s="110"/>
      <c r="G137" t="s">
        <v>575</v>
      </c>
      <c r="H137" s="110"/>
      <c r="I137" s="110"/>
      <c r="J137" s="110" t="s">
        <v>568</v>
      </c>
      <c r="K137" s="110">
        <v>5.4</v>
      </c>
      <c r="L137" s="110" t="s">
        <v>4</v>
      </c>
      <c r="M137" s="110"/>
      <c r="N137" s="110" t="s">
        <v>728</v>
      </c>
    </row>
    <row r="138" spans="1:14" x14ac:dyDescent="0.25">
      <c r="A138" s="110" t="s">
        <v>2</v>
      </c>
      <c r="B138" s="110"/>
      <c r="C138" s="110"/>
      <c r="D138" s="110"/>
      <c r="E138" s="110" t="s">
        <v>17</v>
      </c>
      <c r="F138" s="110"/>
      <c r="G138" t="s">
        <v>576</v>
      </c>
      <c r="H138" s="110"/>
      <c r="I138" s="110"/>
      <c r="J138" s="110" t="s">
        <v>568</v>
      </c>
      <c r="K138" s="110">
        <v>4.9000000000000004</v>
      </c>
      <c r="L138" s="110" t="s">
        <v>4</v>
      </c>
      <c r="M138" s="110"/>
      <c r="N138" s="110" t="s">
        <v>728</v>
      </c>
    </row>
    <row r="139" spans="1:14" x14ac:dyDescent="0.25">
      <c r="A139" s="110" t="s">
        <v>2</v>
      </c>
      <c r="B139" s="110"/>
      <c r="C139" s="110"/>
      <c r="D139" s="110"/>
      <c r="E139" s="110" t="s">
        <v>17</v>
      </c>
      <c r="F139" s="110"/>
      <c r="G139" t="s">
        <v>577</v>
      </c>
      <c r="H139" s="110"/>
      <c r="I139" s="110"/>
      <c r="J139" s="110" t="s">
        <v>568</v>
      </c>
      <c r="K139" s="110">
        <v>5.0999999999999996</v>
      </c>
      <c r="L139" s="110" t="s">
        <v>4</v>
      </c>
      <c r="M139" s="110"/>
      <c r="N139" s="110" t="s">
        <v>728</v>
      </c>
    </row>
    <row r="140" spans="1:14" x14ac:dyDescent="0.25">
      <c r="A140" s="110" t="s">
        <v>2</v>
      </c>
      <c r="B140" s="110"/>
      <c r="C140" s="110"/>
      <c r="D140" s="110"/>
      <c r="E140" s="110" t="s">
        <v>17</v>
      </c>
      <c r="F140" s="110"/>
      <c r="G140" t="s">
        <v>578</v>
      </c>
      <c r="H140" s="110"/>
      <c r="I140" s="110"/>
      <c r="J140" s="110" t="s">
        <v>568</v>
      </c>
      <c r="K140" s="110">
        <v>4.9000000000000004</v>
      </c>
      <c r="L140" s="110" t="s">
        <v>4</v>
      </c>
      <c r="M140" s="110"/>
      <c r="N140" s="110" t="s">
        <v>728</v>
      </c>
    </row>
    <row r="141" spans="1:14" x14ac:dyDescent="0.25">
      <c r="A141" s="110" t="s">
        <v>2</v>
      </c>
      <c r="B141" s="110"/>
      <c r="C141" s="110"/>
      <c r="D141" s="110"/>
      <c r="E141" s="110" t="s">
        <v>17</v>
      </c>
      <c r="F141" s="110"/>
      <c r="G141" t="s">
        <v>579</v>
      </c>
      <c r="H141" s="110"/>
      <c r="I141" s="110"/>
      <c r="J141" s="110" t="s">
        <v>568</v>
      </c>
      <c r="K141" s="268">
        <v>5</v>
      </c>
      <c r="L141" s="110" t="s">
        <v>4</v>
      </c>
      <c r="M141" s="110"/>
      <c r="N141" s="110" t="s">
        <v>728</v>
      </c>
    </row>
    <row r="142" spans="1:14" x14ac:dyDescent="0.25">
      <c r="A142" s="110" t="s">
        <v>2</v>
      </c>
      <c r="B142" s="110"/>
      <c r="C142" s="110"/>
      <c r="D142" s="110"/>
      <c r="E142" s="110" t="s">
        <v>17</v>
      </c>
      <c r="F142" s="110"/>
      <c r="G142" t="s">
        <v>580</v>
      </c>
      <c r="H142" s="110"/>
      <c r="I142" s="110"/>
      <c r="J142" s="110" t="s">
        <v>568</v>
      </c>
      <c r="K142" s="268">
        <v>5</v>
      </c>
      <c r="L142" s="110" t="s">
        <v>4</v>
      </c>
      <c r="M142" s="110"/>
      <c r="N142" s="110" t="s">
        <v>728</v>
      </c>
    </row>
    <row r="143" spans="1:14" x14ac:dyDescent="0.25">
      <c r="A143" s="110" t="s">
        <v>2</v>
      </c>
      <c r="B143" s="110"/>
      <c r="C143" s="110"/>
      <c r="D143" s="110"/>
      <c r="E143" s="110" t="s">
        <v>17</v>
      </c>
      <c r="F143" s="110"/>
      <c r="G143" t="s">
        <v>581</v>
      </c>
      <c r="H143" s="110"/>
      <c r="I143" s="110"/>
      <c r="J143" s="110" t="s">
        <v>568</v>
      </c>
      <c r="K143" s="110">
        <v>3.1</v>
      </c>
      <c r="L143" s="110" t="s">
        <v>4</v>
      </c>
      <c r="M143" s="110"/>
      <c r="N143" s="110" t="s">
        <v>728</v>
      </c>
    </row>
    <row r="144" spans="1:14" x14ac:dyDescent="0.25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</row>
    <row r="145" spans="1:14" x14ac:dyDescent="0.25">
      <c r="A145" s="110"/>
      <c r="B145" s="110"/>
      <c r="C145" s="110"/>
      <c r="D145" s="110"/>
      <c r="E145" s="110"/>
      <c r="F145" s="110"/>
      <c r="G145" t="s">
        <v>574</v>
      </c>
      <c r="H145" s="110"/>
      <c r="I145" s="110"/>
      <c r="J145" s="110" t="s">
        <v>568</v>
      </c>
      <c r="K145" s="110">
        <v>6.5</v>
      </c>
      <c r="L145" s="110" t="s">
        <v>4</v>
      </c>
      <c r="M145" s="110" t="s">
        <v>727</v>
      </c>
      <c r="N145" s="110" t="s">
        <v>728</v>
      </c>
    </row>
    <row r="146" spans="1:14" x14ac:dyDescent="0.25">
      <c r="A146" s="110"/>
      <c r="B146" s="110"/>
      <c r="C146" s="110"/>
      <c r="D146" s="110"/>
      <c r="E146" s="110"/>
      <c r="F146" s="110"/>
      <c r="G146" t="s">
        <v>575</v>
      </c>
      <c r="H146" s="110"/>
      <c r="I146" s="110"/>
      <c r="J146" s="110" t="s">
        <v>568</v>
      </c>
      <c r="K146" s="110">
        <v>6.8</v>
      </c>
      <c r="L146" s="110" t="s">
        <v>4</v>
      </c>
      <c r="M146" s="110"/>
      <c r="N146" s="110" t="s">
        <v>728</v>
      </c>
    </row>
    <row r="147" spans="1:14" x14ac:dyDescent="0.25">
      <c r="A147" s="110"/>
      <c r="B147" s="110"/>
      <c r="C147" s="110"/>
      <c r="D147" s="110"/>
      <c r="E147" s="110"/>
      <c r="F147" s="110"/>
      <c r="G147" t="s">
        <v>576</v>
      </c>
      <c r="H147" s="110"/>
      <c r="I147" s="110"/>
      <c r="J147" s="110" t="s">
        <v>568</v>
      </c>
      <c r="K147" s="110">
        <v>6.2</v>
      </c>
      <c r="L147" s="110" t="s">
        <v>4</v>
      </c>
      <c r="M147" s="110"/>
      <c r="N147" s="110" t="s">
        <v>728</v>
      </c>
    </row>
    <row r="148" spans="1:14" x14ac:dyDescent="0.25">
      <c r="A148" s="110"/>
      <c r="B148" s="110"/>
      <c r="C148" s="110"/>
      <c r="D148" s="110"/>
      <c r="E148" s="110"/>
      <c r="F148" s="110"/>
      <c r="G148" t="s">
        <v>577</v>
      </c>
      <c r="H148" s="110"/>
      <c r="I148" s="110"/>
      <c r="J148" s="110" t="s">
        <v>568</v>
      </c>
      <c r="K148" s="110">
        <v>6.3</v>
      </c>
      <c r="L148" s="110" t="s">
        <v>4</v>
      </c>
      <c r="M148" s="110"/>
      <c r="N148" s="110" t="s">
        <v>728</v>
      </c>
    </row>
    <row r="149" spans="1:14" x14ac:dyDescent="0.25">
      <c r="A149" s="110"/>
      <c r="B149" s="110"/>
      <c r="C149" s="110"/>
      <c r="D149" s="110"/>
      <c r="E149" s="110"/>
      <c r="F149" s="110"/>
      <c r="G149" t="s">
        <v>578</v>
      </c>
      <c r="H149" s="110"/>
      <c r="I149" s="110"/>
      <c r="J149" s="110" t="s">
        <v>568</v>
      </c>
      <c r="K149" s="110">
        <v>6.5</v>
      </c>
      <c r="L149" s="110" t="s">
        <v>4</v>
      </c>
      <c r="M149" s="110"/>
      <c r="N149" s="110" t="s">
        <v>728</v>
      </c>
    </row>
    <row r="150" spans="1:14" x14ac:dyDescent="0.25">
      <c r="A150" s="110"/>
      <c r="B150" s="110"/>
      <c r="C150" s="110"/>
      <c r="D150" s="110"/>
      <c r="E150" s="110"/>
      <c r="F150" s="110"/>
      <c r="G150" t="s">
        <v>579</v>
      </c>
      <c r="H150" s="110"/>
      <c r="I150" s="110"/>
      <c r="J150" s="110" t="s">
        <v>568</v>
      </c>
      <c r="K150" s="268">
        <v>6</v>
      </c>
      <c r="L150" s="110" t="s">
        <v>4</v>
      </c>
      <c r="M150" s="110"/>
      <c r="N150" s="110" t="s">
        <v>728</v>
      </c>
    </row>
    <row r="151" spans="1:14" x14ac:dyDescent="0.25">
      <c r="A151" s="110"/>
      <c r="B151" s="110"/>
      <c r="C151" s="110"/>
      <c r="D151" s="110"/>
      <c r="E151" s="110"/>
      <c r="F151" s="110"/>
      <c r="G151" t="s">
        <v>580</v>
      </c>
      <c r="H151" s="110"/>
      <c r="I151" s="110"/>
      <c r="J151" s="110" t="s">
        <v>568</v>
      </c>
      <c r="K151" s="110">
        <v>5.4</v>
      </c>
      <c r="L151" s="110" t="s">
        <v>4</v>
      </c>
      <c r="M151" s="110"/>
      <c r="N151" s="110" t="s">
        <v>728</v>
      </c>
    </row>
    <row r="152" spans="1:14" x14ac:dyDescent="0.25">
      <c r="A152" s="110"/>
      <c r="B152" s="110"/>
      <c r="C152" s="110"/>
      <c r="D152" s="110"/>
      <c r="E152" s="110"/>
      <c r="F152" s="110"/>
      <c r="G152" t="s">
        <v>581</v>
      </c>
      <c r="H152" s="110"/>
      <c r="I152" s="110"/>
      <c r="J152" s="110" t="s">
        <v>568</v>
      </c>
      <c r="K152" s="110">
        <v>4.2</v>
      </c>
      <c r="L152" s="110" t="s">
        <v>4</v>
      </c>
      <c r="M152" s="110"/>
      <c r="N152" s="110" t="s">
        <v>728</v>
      </c>
    </row>
    <row r="153" spans="1:14" x14ac:dyDescent="0.25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</row>
    <row r="154" spans="1:14" x14ac:dyDescent="0.25">
      <c r="A154" s="110" t="s">
        <v>2</v>
      </c>
      <c r="B154" s="110"/>
      <c r="C154" s="110"/>
      <c r="D154" s="110"/>
      <c r="E154" s="110" t="s">
        <v>622</v>
      </c>
      <c r="F154" s="110"/>
      <c r="G154" t="s">
        <v>574</v>
      </c>
      <c r="H154" s="110"/>
      <c r="I154" s="110"/>
      <c r="J154" s="110" t="s">
        <v>568</v>
      </c>
      <c r="K154" s="110">
        <v>0</v>
      </c>
      <c r="L154" s="110" t="s">
        <v>4</v>
      </c>
      <c r="M154" s="110" t="s">
        <v>729</v>
      </c>
      <c r="N154" s="110"/>
    </row>
    <row r="155" spans="1:14" x14ac:dyDescent="0.25">
      <c r="A155" s="110" t="s">
        <v>2</v>
      </c>
      <c r="B155" s="110"/>
      <c r="C155" s="110"/>
      <c r="D155" s="110"/>
      <c r="E155" s="110" t="s">
        <v>622</v>
      </c>
      <c r="F155" s="110"/>
      <c r="G155" t="s">
        <v>575</v>
      </c>
      <c r="H155" s="110"/>
      <c r="I155" s="110"/>
      <c r="J155" s="110" t="s">
        <v>568</v>
      </c>
      <c r="K155" s="110">
        <v>0</v>
      </c>
      <c r="L155" s="110" t="s">
        <v>4</v>
      </c>
      <c r="M155" s="110"/>
      <c r="N155" s="110"/>
    </row>
    <row r="156" spans="1:14" x14ac:dyDescent="0.25">
      <c r="A156" s="110" t="s">
        <v>2</v>
      </c>
      <c r="B156" s="110"/>
      <c r="C156" s="110"/>
      <c r="D156" s="110"/>
      <c r="E156" s="110" t="s">
        <v>622</v>
      </c>
      <c r="F156" s="110"/>
      <c r="G156" t="s">
        <v>576</v>
      </c>
      <c r="H156" s="110"/>
      <c r="I156" s="110"/>
      <c r="J156" s="110" t="s">
        <v>568</v>
      </c>
      <c r="K156" s="110">
        <v>0</v>
      </c>
      <c r="L156" s="110" t="s">
        <v>4</v>
      </c>
      <c r="M156" s="110"/>
      <c r="N156" s="110"/>
    </row>
    <row r="157" spans="1:14" x14ac:dyDescent="0.25">
      <c r="A157" s="110" t="s">
        <v>2</v>
      </c>
      <c r="B157" s="110"/>
      <c r="C157" s="110"/>
      <c r="D157" s="110"/>
      <c r="E157" s="110" t="s">
        <v>622</v>
      </c>
      <c r="F157" s="110"/>
      <c r="G157" t="s">
        <v>577</v>
      </c>
      <c r="H157" s="110"/>
      <c r="I157" s="110"/>
      <c r="J157" s="110" t="s">
        <v>568</v>
      </c>
      <c r="K157" s="110">
        <v>0</v>
      </c>
      <c r="L157" s="110" t="s">
        <v>4</v>
      </c>
      <c r="M157" s="110"/>
      <c r="N157" s="110"/>
    </row>
    <row r="158" spans="1:14" x14ac:dyDescent="0.25">
      <c r="A158" s="110" t="s">
        <v>2</v>
      </c>
      <c r="B158" s="110"/>
      <c r="C158" s="110"/>
      <c r="D158" s="110"/>
      <c r="E158" s="110" t="s">
        <v>622</v>
      </c>
      <c r="F158" s="110"/>
      <c r="G158" t="s">
        <v>578</v>
      </c>
      <c r="H158" s="110"/>
      <c r="I158" s="110"/>
      <c r="J158" s="110" t="s">
        <v>568</v>
      </c>
      <c r="K158" s="110">
        <v>0</v>
      </c>
      <c r="L158" s="110" t="s">
        <v>4</v>
      </c>
      <c r="M158" s="110"/>
      <c r="N158" s="110"/>
    </row>
    <row r="159" spans="1:14" x14ac:dyDescent="0.25">
      <c r="A159" s="110" t="s">
        <v>2</v>
      </c>
      <c r="B159" s="110"/>
      <c r="C159" s="110"/>
      <c r="D159" s="110"/>
      <c r="E159" s="110" t="s">
        <v>622</v>
      </c>
      <c r="F159" s="110"/>
      <c r="G159" t="s">
        <v>579</v>
      </c>
      <c r="H159" s="110"/>
      <c r="I159" s="110"/>
      <c r="J159" s="110" t="s">
        <v>568</v>
      </c>
      <c r="K159" s="110">
        <v>0</v>
      </c>
      <c r="L159" s="110" t="s">
        <v>4</v>
      </c>
      <c r="M159" s="110"/>
      <c r="N159" s="110"/>
    </row>
    <row r="160" spans="1:14" x14ac:dyDescent="0.25">
      <c r="A160" s="110" t="s">
        <v>2</v>
      </c>
      <c r="B160" s="110"/>
      <c r="C160" s="110"/>
      <c r="D160" s="110"/>
      <c r="E160" s="110" t="s">
        <v>622</v>
      </c>
      <c r="F160" s="110"/>
      <c r="G160" t="s">
        <v>580</v>
      </c>
      <c r="H160" s="110"/>
      <c r="I160" s="110"/>
      <c r="J160" s="110" t="s">
        <v>568</v>
      </c>
      <c r="K160" s="110">
        <v>0</v>
      </c>
      <c r="L160" s="110" t="s">
        <v>4</v>
      </c>
      <c r="M160" s="110"/>
      <c r="N160" s="110"/>
    </row>
    <row r="161" spans="1:14" x14ac:dyDescent="0.25">
      <c r="A161" s="110" t="s">
        <v>2</v>
      </c>
      <c r="B161" s="110"/>
      <c r="C161" s="110"/>
      <c r="D161" s="110"/>
      <c r="E161" s="110" t="s">
        <v>622</v>
      </c>
      <c r="F161" s="110"/>
      <c r="G161" t="s">
        <v>581</v>
      </c>
      <c r="H161" s="110"/>
      <c r="I161" s="110"/>
      <c r="J161" s="110" t="s">
        <v>568</v>
      </c>
      <c r="K161" s="110">
        <v>0</v>
      </c>
      <c r="L161" s="110" t="s">
        <v>4</v>
      </c>
      <c r="M161" s="110"/>
      <c r="N161" s="110"/>
    </row>
    <row r="162" spans="1:14" x14ac:dyDescent="0.25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</row>
    <row r="163" spans="1:14" x14ac:dyDescent="0.25">
      <c r="A163" s="110"/>
      <c r="B163" s="110"/>
      <c r="C163" s="110"/>
      <c r="D163" s="110"/>
      <c r="E163" s="110" t="s">
        <v>33</v>
      </c>
      <c r="F163" s="110"/>
      <c r="G163" t="s">
        <v>574</v>
      </c>
      <c r="H163" s="110"/>
      <c r="I163" s="110"/>
      <c r="J163" s="110" t="s">
        <v>568</v>
      </c>
      <c r="K163" s="110">
        <v>0</v>
      </c>
      <c r="L163" s="110" t="s">
        <v>4</v>
      </c>
      <c r="M163" s="110" t="s">
        <v>729</v>
      </c>
      <c r="N163" s="110"/>
    </row>
    <row r="164" spans="1:14" x14ac:dyDescent="0.25">
      <c r="A164" s="110"/>
      <c r="B164" s="110"/>
      <c r="C164" s="110"/>
      <c r="D164" s="110"/>
      <c r="E164" s="110" t="s">
        <v>33</v>
      </c>
      <c r="F164" s="110"/>
      <c r="G164" t="s">
        <v>575</v>
      </c>
      <c r="H164" s="110"/>
      <c r="I164" s="110"/>
      <c r="J164" s="110" t="s">
        <v>568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110" t="s">
        <v>33</v>
      </c>
      <c r="F165" s="110"/>
      <c r="G165" t="s">
        <v>576</v>
      </c>
      <c r="H165" s="110"/>
      <c r="I165" s="110"/>
      <c r="J165" s="110" t="s">
        <v>568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110" t="s">
        <v>33</v>
      </c>
      <c r="F166" s="110"/>
      <c r="G166" t="s">
        <v>577</v>
      </c>
      <c r="H166" s="110"/>
      <c r="I166" s="110"/>
      <c r="J166" s="110" t="s">
        <v>568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110" t="s">
        <v>33</v>
      </c>
      <c r="F167" s="110"/>
      <c r="G167" t="s">
        <v>578</v>
      </c>
      <c r="H167" s="110"/>
      <c r="I167" s="110"/>
      <c r="J167" s="110" t="s">
        <v>568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110" t="s">
        <v>33</v>
      </c>
      <c r="F168" s="110"/>
      <c r="G168" t="s">
        <v>579</v>
      </c>
      <c r="H168" s="110"/>
      <c r="I168" s="110"/>
      <c r="J168" s="110" t="s">
        <v>568</v>
      </c>
      <c r="K168" s="110">
        <v>0</v>
      </c>
      <c r="L168" s="110" t="s">
        <v>4</v>
      </c>
      <c r="M168" s="110"/>
      <c r="N168" s="110"/>
    </row>
    <row r="169" spans="1:14" x14ac:dyDescent="0.25">
      <c r="A169" s="110"/>
      <c r="B169" s="110"/>
      <c r="C169" s="110"/>
      <c r="D169" s="110"/>
      <c r="E169" s="110" t="s">
        <v>33</v>
      </c>
      <c r="F169" s="110"/>
      <c r="G169" t="s">
        <v>580</v>
      </c>
      <c r="H169" s="110"/>
      <c r="I169" s="110"/>
      <c r="J169" s="110" t="s">
        <v>568</v>
      </c>
      <c r="K169" s="110">
        <v>0</v>
      </c>
      <c r="L169" s="110" t="s">
        <v>4</v>
      </c>
      <c r="M169" s="110"/>
      <c r="N169" s="110"/>
    </row>
    <row r="170" spans="1:14" x14ac:dyDescent="0.25">
      <c r="A170" s="110"/>
      <c r="B170" s="110"/>
      <c r="C170" s="110"/>
      <c r="D170" s="110"/>
      <c r="E170" s="110" t="s">
        <v>33</v>
      </c>
      <c r="F170" s="110"/>
      <c r="G170" t="s">
        <v>581</v>
      </c>
      <c r="H170" s="110"/>
      <c r="I170" s="110"/>
      <c r="J170" s="110" t="s">
        <v>568</v>
      </c>
      <c r="K170" s="110">
        <v>0</v>
      </c>
      <c r="L170" s="110" t="s">
        <v>4</v>
      </c>
      <c r="M170" s="110"/>
      <c r="N170" s="110"/>
    </row>
    <row r="171" spans="1:14" x14ac:dyDescent="0.25">
      <c r="A171" s="110"/>
      <c r="B171" s="110"/>
      <c r="C171" s="110"/>
      <c r="D171" s="110"/>
      <c r="E171" s="93"/>
      <c r="F171" s="110"/>
      <c r="G171" s="110"/>
      <c r="H171" s="110"/>
      <c r="I171" s="110"/>
      <c r="J171" s="110"/>
      <c r="K171" s="110"/>
      <c r="L171" s="110"/>
      <c r="M171" s="110"/>
      <c r="N171" s="110"/>
    </row>
    <row r="172" spans="1:14" x14ac:dyDescent="0.25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 t="s">
        <v>571</v>
      </c>
      <c r="K172" s="110">
        <v>0</v>
      </c>
      <c r="L172" s="110" t="s">
        <v>8</v>
      </c>
      <c r="M172" s="110" t="s">
        <v>573</v>
      </c>
      <c r="N172" s="110"/>
    </row>
    <row r="173" spans="1:14" x14ac:dyDescent="0.25">
      <c r="A173" s="110" t="s">
        <v>2</v>
      </c>
      <c r="B173" s="110"/>
      <c r="C173" s="110"/>
      <c r="D173" s="110" t="s">
        <v>17</v>
      </c>
      <c r="E173" s="110"/>
      <c r="F173" s="110"/>
      <c r="G173" s="110"/>
      <c r="H173" s="110"/>
      <c r="I173" s="110"/>
      <c r="J173" s="110" t="s">
        <v>571</v>
      </c>
      <c r="K173" s="110">
        <v>38</v>
      </c>
      <c r="L173" s="110" t="s">
        <v>8</v>
      </c>
      <c r="M173" s="110"/>
      <c r="N173" s="110" t="s">
        <v>572</v>
      </c>
    </row>
    <row r="175" spans="1:14" x14ac:dyDescent="0.25">
      <c r="A175" s="94" t="s">
        <v>289</v>
      </c>
      <c r="B175" s="94"/>
      <c r="C175" s="94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</row>
    <row r="176" spans="1:14" x14ac:dyDescent="0.25">
      <c r="A176" s="97" t="s">
        <v>287</v>
      </c>
      <c r="B176" s="97"/>
      <c r="C176" s="97"/>
      <c r="D176" s="98"/>
      <c r="E176" s="98"/>
      <c r="F176" s="98"/>
      <c r="G176" s="98"/>
      <c r="H176" s="98"/>
      <c r="I176" s="98"/>
      <c r="J176" s="98"/>
      <c r="K176" s="99"/>
      <c r="L176" s="98"/>
      <c r="M176" s="98"/>
      <c r="N176" s="98"/>
    </row>
    <row r="177" spans="1:15" x14ac:dyDescent="0.25">
      <c r="A177" t="s">
        <v>2</v>
      </c>
      <c r="H177" t="s">
        <v>5</v>
      </c>
      <c r="I177" t="s">
        <v>1</v>
      </c>
      <c r="J177" t="s">
        <v>312</v>
      </c>
      <c r="K177">
        <v>89</v>
      </c>
      <c r="L177" t="s">
        <v>8</v>
      </c>
      <c r="M177" t="s">
        <v>315</v>
      </c>
    </row>
    <row r="178" spans="1:15" x14ac:dyDescent="0.25">
      <c r="A178" t="s">
        <v>2</v>
      </c>
      <c r="H178" t="s">
        <v>5</v>
      </c>
      <c r="I178" t="s">
        <v>1</v>
      </c>
      <c r="J178" t="s">
        <v>313</v>
      </c>
      <c r="K178">
        <v>8.5</v>
      </c>
      <c r="L178" t="s">
        <v>8</v>
      </c>
      <c r="M178" t="s">
        <v>315</v>
      </c>
    </row>
    <row r="179" spans="1:15" x14ac:dyDescent="0.25">
      <c r="A179" s="100" t="s">
        <v>288</v>
      </c>
      <c r="B179" s="100"/>
      <c r="C179" s="100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 spans="1:15" x14ac:dyDescent="0.25">
      <c r="A180" t="s">
        <v>36</v>
      </c>
      <c r="H180" t="s">
        <v>5</v>
      </c>
      <c r="I180" t="s">
        <v>1</v>
      </c>
      <c r="J180" t="s">
        <v>312</v>
      </c>
      <c r="K180">
        <v>14</v>
      </c>
      <c r="L180" t="s">
        <v>8</v>
      </c>
      <c r="M180" t="s">
        <v>315</v>
      </c>
    </row>
    <row r="181" spans="1:15" x14ac:dyDescent="0.25">
      <c r="A181" t="s">
        <v>36</v>
      </c>
      <c r="H181" t="s">
        <v>5</v>
      </c>
      <c r="I181" t="s">
        <v>1</v>
      </c>
      <c r="J181" t="s">
        <v>313</v>
      </c>
      <c r="K181">
        <v>8.5</v>
      </c>
      <c r="L181" t="s">
        <v>8</v>
      </c>
      <c r="M181" t="s">
        <v>315</v>
      </c>
    </row>
    <row r="183" spans="1:15" x14ac:dyDescent="0.25">
      <c r="A183" s="94" t="s">
        <v>379</v>
      </c>
      <c r="B183" s="94"/>
      <c r="C183" s="94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</row>
    <row r="184" spans="1:15" x14ac:dyDescent="0.25">
      <c r="A184" s="4" t="s">
        <v>655</v>
      </c>
      <c r="O184" t="s">
        <v>733</v>
      </c>
    </row>
    <row r="185" spans="1:15" x14ac:dyDescent="0.25">
      <c r="A185" t="s">
        <v>2</v>
      </c>
      <c r="E185" s="110" t="s">
        <v>17</v>
      </c>
      <c r="J185" t="s">
        <v>656</v>
      </c>
      <c r="K185" s="13">
        <f>K53*O185</f>
        <v>21.877556540122619</v>
      </c>
      <c r="L185" t="s">
        <v>657</v>
      </c>
      <c r="M185" t="s">
        <v>659</v>
      </c>
      <c r="N185" s="255" t="s">
        <v>658</v>
      </c>
      <c r="O185" s="320">
        <v>3.5000000000000003E-2</v>
      </c>
    </row>
    <row r="186" spans="1:15" x14ac:dyDescent="0.25">
      <c r="A186" t="s">
        <v>2</v>
      </c>
      <c r="E186" s="110" t="s">
        <v>399</v>
      </c>
      <c r="J186" t="s">
        <v>656</v>
      </c>
      <c r="K186" s="13">
        <f>AVERAGE(K63,K64)*O186</f>
        <v>22.109711741245167</v>
      </c>
      <c r="L186" t="s">
        <v>657</v>
      </c>
      <c r="M186" t="s">
        <v>660</v>
      </c>
      <c r="N186" s="255"/>
      <c r="O186" s="320">
        <v>0.03</v>
      </c>
    </row>
    <row r="187" spans="1:15" x14ac:dyDescent="0.25">
      <c r="A187" t="s">
        <v>2</v>
      </c>
      <c r="E187" s="110" t="s">
        <v>622</v>
      </c>
      <c r="J187" t="s">
        <v>656</v>
      </c>
      <c r="K187" s="1">
        <f>AVERAGE(K54,AVERAGE(K55:K58))*O187 * (1 - K214/100)</f>
        <v>0.18063749999999995</v>
      </c>
      <c r="L187" t="s">
        <v>657</v>
      </c>
      <c r="M187" t="s">
        <v>660</v>
      </c>
      <c r="O187" s="320">
        <v>0.03</v>
      </c>
    </row>
    <row r="188" spans="1:15" x14ac:dyDescent="0.25">
      <c r="A188" t="s">
        <v>2</v>
      </c>
      <c r="E188" s="110" t="s">
        <v>31</v>
      </c>
      <c r="J188" t="s">
        <v>656</v>
      </c>
      <c r="K188" s="13">
        <f>AVERAGE(AVERAGE(K56,K58),AVERAGE(K59,K61)) * O188</f>
        <v>10.015626209984058</v>
      </c>
      <c r="L188" t="s">
        <v>657</v>
      </c>
      <c r="M188" t="s">
        <v>660</v>
      </c>
      <c r="O188" s="320">
        <v>0.03</v>
      </c>
    </row>
    <row r="189" spans="1:15" x14ac:dyDescent="0.25">
      <c r="A189" t="s">
        <v>2</v>
      </c>
      <c r="E189" s="110" t="s">
        <v>32</v>
      </c>
      <c r="J189" t="s">
        <v>656</v>
      </c>
      <c r="K189" s="13">
        <f>AVERAGE(AVERAGE(K55,K57),K62) * O189</f>
        <v>10.877354738927879</v>
      </c>
      <c r="L189" t="s">
        <v>657</v>
      </c>
      <c r="M189" t="s">
        <v>660</v>
      </c>
      <c r="O189" s="320">
        <v>0.03</v>
      </c>
    </row>
    <row r="190" spans="1:15" x14ac:dyDescent="0.25">
      <c r="A190" t="s">
        <v>2</v>
      </c>
      <c r="E190" s="110" t="s">
        <v>33</v>
      </c>
      <c r="J190" t="s">
        <v>656</v>
      </c>
      <c r="K190" s="13">
        <f>AVERAGE(AVERAGE(K55,K57),K63) * O190</f>
        <v>10.765381120601539</v>
      </c>
      <c r="L190" t="s">
        <v>657</v>
      </c>
      <c r="M190" t="s">
        <v>660</v>
      </c>
      <c r="O190" s="320">
        <v>0.03</v>
      </c>
    </row>
    <row r="191" spans="1:15" x14ac:dyDescent="0.25">
      <c r="A191" t="s">
        <v>36</v>
      </c>
      <c r="E191" s="110" t="s">
        <v>17</v>
      </c>
      <c r="J191" t="s">
        <v>656</v>
      </c>
      <c r="K191" s="13">
        <f>K66*O191</f>
        <v>19.415903162874233</v>
      </c>
      <c r="L191" t="s">
        <v>657</v>
      </c>
      <c r="M191" t="s">
        <v>660</v>
      </c>
      <c r="O191" s="320">
        <v>0.03</v>
      </c>
    </row>
    <row r="192" spans="1:15" x14ac:dyDescent="0.25">
      <c r="A192" t="s">
        <v>36</v>
      </c>
      <c r="E192" s="110" t="s">
        <v>399</v>
      </c>
      <c r="J192" t="s">
        <v>656</v>
      </c>
      <c r="K192" s="13">
        <f>AVERAGE(K74,K75)*O192</f>
        <v>23.564509381919041</v>
      </c>
      <c r="L192" t="s">
        <v>657</v>
      </c>
      <c r="M192" t="s">
        <v>660</v>
      </c>
      <c r="O192" s="320">
        <v>0.03</v>
      </c>
    </row>
    <row r="193" spans="1:15" x14ac:dyDescent="0.25">
      <c r="A193" t="s">
        <v>36</v>
      </c>
      <c r="E193" s="110" t="s">
        <v>622</v>
      </c>
      <c r="J193" t="s">
        <v>656</v>
      </c>
      <c r="K193" s="1">
        <f>AVERAGE(K67,AVERAGE(K68:K71))*O193 * (1 - K213/100)</f>
        <v>2.3459117516656942</v>
      </c>
      <c r="L193" t="s">
        <v>657</v>
      </c>
      <c r="M193" t="s">
        <v>660</v>
      </c>
      <c r="O193" s="320">
        <v>0.03</v>
      </c>
    </row>
    <row r="194" spans="1:15" x14ac:dyDescent="0.25">
      <c r="A194" t="s">
        <v>36</v>
      </c>
      <c r="E194" s="110" t="s">
        <v>31</v>
      </c>
      <c r="J194" t="s">
        <v>656</v>
      </c>
      <c r="K194" s="13">
        <f>AVERAGE(AVERAGE(K68,K69),AVERAGE(K70,K72)) * O194</f>
        <v>13.010231445022962</v>
      </c>
      <c r="L194" t="s">
        <v>657</v>
      </c>
      <c r="M194" t="s">
        <v>660</v>
      </c>
      <c r="O194" s="320">
        <v>0.03</v>
      </c>
    </row>
    <row r="195" spans="1:15" x14ac:dyDescent="0.25">
      <c r="A195" t="s">
        <v>36</v>
      </c>
      <c r="E195" s="110" t="s">
        <v>32</v>
      </c>
      <c r="J195" t="s">
        <v>656</v>
      </c>
      <c r="K195" s="13">
        <f>AVERAGE(AVERAGE(K68,K69),K73) * O195</f>
        <v>13.605046749043838</v>
      </c>
      <c r="L195" t="s">
        <v>657</v>
      </c>
      <c r="M195" t="s">
        <v>660</v>
      </c>
      <c r="O195" s="320">
        <v>0.03</v>
      </c>
    </row>
    <row r="196" spans="1:15" x14ac:dyDescent="0.25">
      <c r="A196" t="s">
        <v>36</v>
      </c>
      <c r="E196" s="110" t="s">
        <v>33</v>
      </c>
      <c r="J196" t="s">
        <v>656</v>
      </c>
      <c r="K196" s="13">
        <f>AVERAGE(AVERAGE(K68,K69),K74) * O196</f>
        <v>13.714891203025866</v>
      </c>
      <c r="L196" t="s">
        <v>657</v>
      </c>
      <c r="M196" t="s">
        <v>660</v>
      </c>
      <c r="O196" s="320">
        <v>0.03</v>
      </c>
    </row>
    <row r="198" spans="1:15" x14ac:dyDescent="0.25">
      <c r="A198" s="4" t="s">
        <v>654</v>
      </c>
    </row>
    <row r="199" spans="1:15" x14ac:dyDescent="0.25">
      <c r="E199" t="s">
        <v>17</v>
      </c>
      <c r="J199" t="s">
        <v>380</v>
      </c>
      <c r="K199">
        <v>0.50700000000000001</v>
      </c>
      <c r="L199" t="s">
        <v>381</v>
      </c>
      <c r="N199" t="s">
        <v>383</v>
      </c>
    </row>
    <row r="200" spans="1:15" x14ac:dyDescent="0.25">
      <c r="J200" t="s">
        <v>380</v>
      </c>
      <c r="K200">
        <v>0.47499999999999998</v>
      </c>
      <c r="L200" t="s">
        <v>381</v>
      </c>
      <c r="N200" t="s">
        <v>384</v>
      </c>
    </row>
    <row r="201" spans="1:15" x14ac:dyDescent="0.25">
      <c r="E201" t="s">
        <v>17</v>
      </c>
      <c r="J201" t="s">
        <v>395</v>
      </c>
      <c r="K201" s="13">
        <v>5</v>
      </c>
      <c r="L201" t="s">
        <v>394</v>
      </c>
      <c r="N201" t="s">
        <v>383</v>
      </c>
    </row>
    <row r="202" spans="1:15" x14ac:dyDescent="0.25">
      <c r="A202" t="s">
        <v>2</v>
      </c>
      <c r="E202" t="s">
        <v>17</v>
      </c>
      <c r="J202" t="s">
        <v>385</v>
      </c>
      <c r="K202" s="13">
        <f>(0.013+0.021+0.038) * 30.4</f>
        <v>2.1888000000000001</v>
      </c>
      <c r="L202" t="s">
        <v>386</v>
      </c>
      <c r="M202" t="s">
        <v>387</v>
      </c>
      <c r="N202" t="s">
        <v>382</v>
      </c>
    </row>
    <row r="203" spans="1:15" x14ac:dyDescent="0.25">
      <c r="A203" t="s">
        <v>36</v>
      </c>
      <c r="E203" t="s">
        <v>17</v>
      </c>
      <c r="J203" t="s">
        <v>385</v>
      </c>
      <c r="K203" s="13">
        <f>(8 * 7 * 3.6)/100</f>
        <v>2.016</v>
      </c>
      <c r="L203" t="s">
        <v>386</v>
      </c>
      <c r="M203" t="s">
        <v>388</v>
      </c>
      <c r="N203" t="s">
        <v>389</v>
      </c>
    </row>
    <row r="204" spans="1:15" x14ac:dyDescent="0.25">
      <c r="K204" s="13"/>
    </row>
    <row r="205" spans="1:15" x14ac:dyDescent="0.25">
      <c r="J205" t="s">
        <v>390</v>
      </c>
      <c r="K205" s="1">
        <v>1</v>
      </c>
      <c r="L205" t="s">
        <v>396</v>
      </c>
    </row>
    <row r="206" spans="1:15" x14ac:dyDescent="0.25">
      <c r="A206" t="s">
        <v>2</v>
      </c>
      <c r="E206" t="s">
        <v>17</v>
      </c>
      <c r="J206" t="s">
        <v>390</v>
      </c>
      <c r="K206" s="1">
        <v>1.1100000000000001</v>
      </c>
      <c r="L206" t="s">
        <v>396</v>
      </c>
      <c r="N206" t="s">
        <v>382</v>
      </c>
    </row>
    <row r="207" spans="1:15" x14ac:dyDescent="0.25">
      <c r="A207" t="s">
        <v>36</v>
      </c>
      <c r="E207" t="s">
        <v>33</v>
      </c>
      <c r="J207" t="s">
        <v>390</v>
      </c>
      <c r="K207" s="1">
        <v>0.9</v>
      </c>
      <c r="L207" t="s">
        <v>396</v>
      </c>
      <c r="M207" t="s">
        <v>392</v>
      </c>
      <c r="N207" t="s">
        <v>391</v>
      </c>
    </row>
    <row r="208" spans="1:15" x14ac:dyDescent="0.25">
      <c r="E208" t="s">
        <v>31</v>
      </c>
      <c r="J208" t="s">
        <v>390</v>
      </c>
      <c r="K208" s="1">
        <v>1.05</v>
      </c>
      <c r="L208" t="s">
        <v>396</v>
      </c>
      <c r="N208" t="s">
        <v>391</v>
      </c>
    </row>
    <row r="209" spans="1:14" x14ac:dyDescent="0.25">
      <c r="A209" t="s">
        <v>2</v>
      </c>
      <c r="E209" t="s">
        <v>32</v>
      </c>
      <c r="J209" t="s">
        <v>390</v>
      </c>
      <c r="K209" s="1">
        <v>1.05</v>
      </c>
      <c r="L209" t="s">
        <v>396</v>
      </c>
      <c r="N209" t="s">
        <v>391</v>
      </c>
    </row>
    <row r="210" spans="1:14" x14ac:dyDescent="0.25">
      <c r="J210" t="s">
        <v>393</v>
      </c>
      <c r="K210" s="13">
        <v>0</v>
      </c>
      <c r="L210" t="s">
        <v>396</v>
      </c>
    </row>
    <row r="211" spans="1:14" x14ac:dyDescent="0.25">
      <c r="A211" t="s">
        <v>2</v>
      </c>
      <c r="E211" t="s">
        <v>17</v>
      </c>
      <c r="J211" t="s">
        <v>393</v>
      </c>
      <c r="K211" s="13">
        <v>-13.6</v>
      </c>
      <c r="L211" t="s">
        <v>396</v>
      </c>
      <c r="N211" t="s">
        <v>382</v>
      </c>
    </row>
    <row r="212" spans="1:14" x14ac:dyDescent="0.25">
      <c r="K212" s="13"/>
    </row>
    <row r="213" spans="1:14" x14ac:dyDescent="0.25">
      <c r="A213" t="s">
        <v>36</v>
      </c>
      <c r="J213" t="s">
        <v>586</v>
      </c>
      <c r="K213" s="2">
        <v>62</v>
      </c>
      <c r="L213" t="s">
        <v>584</v>
      </c>
      <c r="M213" t="s">
        <v>588</v>
      </c>
      <c r="N213" t="s">
        <v>499</v>
      </c>
    </row>
    <row r="214" spans="1:14" x14ac:dyDescent="0.25">
      <c r="A214" t="s">
        <v>2</v>
      </c>
      <c r="J214" t="s">
        <v>586</v>
      </c>
      <c r="K214" s="2">
        <v>90</v>
      </c>
      <c r="L214" t="s">
        <v>584</v>
      </c>
      <c r="M214" t="s">
        <v>592</v>
      </c>
      <c r="N214" s="255" t="s">
        <v>589</v>
      </c>
    </row>
    <row r="215" spans="1:14" x14ac:dyDescent="0.25">
      <c r="J215" t="s">
        <v>587</v>
      </c>
      <c r="K215" s="13">
        <f>18.8*0.13</f>
        <v>2.4440000000000004</v>
      </c>
      <c r="L215" t="s">
        <v>583</v>
      </c>
      <c r="M215" t="s">
        <v>591</v>
      </c>
    </row>
    <row r="216" spans="1:14" x14ac:dyDescent="0.25">
      <c r="K216" s="2"/>
    </row>
    <row r="217" spans="1:14" x14ac:dyDescent="0.25">
      <c r="A217" s="4" t="s">
        <v>661</v>
      </c>
      <c r="H217" s="2"/>
    </row>
    <row r="218" spans="1:14" x14ac:dyDescent="0.25">
      <c r="A218" t="s">
        <v>2</v>
      </c>
      <c r="E218" t="s">
        <v>17</v>
      </c>
      <c r="J218" t="s">
        <v>662</v>
      </c>
      <c r="K218" s="13">
        <v>7.6</v>
      </c>
      <c r="L218" t="s">
        <v>663</v>
      </c>
      <c r="N218" t="s">
        <v>382</v>
      </c>
    </row>
    <row r="219" spans="1:14" x14ac:dyDescent="0.25">
      <c r="A219" s="4"/>
      <c r="E219" s="110" t="s">
        <v>622</v>
      </c>
      <c r="J219" t="s">
        <v>662</v>
      </c>
      <c r="K219" s="13">
        <v>7</v>
      </c>
      <c r="L219" t="s">
        <v>663</v>
      </c>
      <c r="M219" s="93" t="s">
        <v>664</v>
      </c>
      <c r="N219" t="s">
        <v>665</v>
      </c>
    </row>
    <row r="220" spans="1:14" x14ac:dyDescent="0.25">
      <c r="A220" s="4"/>
      <c r="J220" t="s">
        <v>662</v>
      </c>
      <c r="K220" s="13">
        <v>6.5</v>
      </c>
      <c r="L220" t="s">
        <v>663</v>
      </c>
    </row>
    <row r="221" spans="1:14" x14ac:dyDescent="0.25">
      <c r="A221" s="4"/>
      <c r="K221" s="13"/>
    </row>
    <row r="222" spans="1:14" x14ac:dyDescent="0.25">
      <c r="A222" s="4" t="s">
        <v>666</v>
      </c>
    </row>
    <row r="223" spans="1:14" x14ac:dyDescent="0.25">
      <c r="J223" s="157" t="s">
        <v>667</v>
      </c>
      <c r="K223" s="306">
        <v>0</v>
      </c>
      <c r="L223" s="157" t="s">
        <v>668</v>
      </c>
      <c r="M223" s="157" t="s">
        <v>398</v>
      </c>
    </row>
    <row r="224" spans="1:14" x14ac:dyDescent="0.25">
      <c r="J224" s="157" t="s">
        <v>669</v>
      </c>
      <c r="K224" s="306">
        <v>0</v>
      </c>
      <c r="L224" s="157" t="s">
        <v>668</v>
      </c>
      <c r="M224" s="157" t="s">
        <v>398</v>
      </c>
    </row>
    <row r="225" spans="5:14" x14ac:dyDescent="0.25">
      <c r="J225" s="157" t="s">
        <v>670</v>
      </c>
      <c r="K225" s="306">
        <v>0</v>
      </c>
      <c r="L225" s="157" t="s">
        <v>671</v>
      </c>
      <c r="M225" s="157" t="s">
        <v>398</v>
      </c>
    </row>
    <row r="226" spans="5:14" x14ac:dyDescent="0.25">
      <c r="J226" s="157" t="s">
        <v>672</v>
      </c>
      <c r="K226" s="306">
        <v>0</v>
      </c>
      <c r="L226" s="157" t="s">
        <v>671</v>
      </c>
      <c r="M226" s="157" t="s">
        <v>398</v>
      </c>
    </row>
    <row r="227" spans="5:14" x14ac:dyDescent="0.25">
      <c r="K227" s="2"/>
    </row>
    <row r="228" spans="5:14" x14ac:dyDescent="0.25">
      <c r="E228" t="s">
        <v>17</v>
      </c>
      <c r="J228" t="s">
        <v>667</v>
      </c>
      <c r="K228" s="2">
        <v>300</v>
      </c>
      <c r="L228" t="s">
        <v>668</v>
      </c>
      <c r="N228" t="s">
        <v>382</v>
      </c>
    </row>
    <row r="229" spans="5:14" x14ac:dyDescent="0.25">
      <c r="E229" t="s">
        <v>17</v>
      </c>
      <c r="J229" t="s">
        <v>669</v>
      </c>
      <c r="K229" s="2">
        <v>0</v>
      </c>
      <c r="L229" t="s">
        <v>668</v>
      </c>
    </row>
    <row r="231" spans="5:14" x14ac:dyDescent="0.25">
      <c r="E231" s="110" t="s">
        <v>399</v>
      </c>
      <c r="J231" t="s">
        <v>670</v>
      </c>
      <c r="K231" s="2">
        <v>4</v>
      </c>
      <c r="L231" t="s">
        <v>671</v>
      </c>
      <c r="M231" t="s">
        <v>673</v>
      </c>
    </row>
    <row r="232" spans="5:14" x14ac:dyDescent="0.25">
      <c r="E232" s="110" t="s">
        <v>399</v>
      </c>
      <c r="J232" t="s">
        <v>672</v>
      </c>
      <c r="K232" s="2">
        <v>-2</v>
      </c>
      <c r="L232" t="s">
        <v>671</v>
      </c>
    </row>
    <row r="233" spans="5:14" x14ac:dyDescent="0.25">
      <c r="E233" s="110" t="s">
        <v>622</v>
      </c>
      <c r="J233" t="s">
        <v>670</v>
      </c>
      <c r="K233" s="2">
        <v>4</v>
      </c>
      <c r="L233" t="s">
        <v>671</v>
      </c>
      <c r="N233" t="s">
        <v>665</v>
      </c>
    </row>
    <row r="234" spans="5:14" x14ac:dyDescent="0.25">
      <c r="E234" s="110" t="s">
        <v>622</v>
      </c>
      <c r="J234" t="s">
        <v>672</v>
      </c>
      <c r="K234" s="2">
        <v>-2</v>
      </c>
      <c r="L234" t="s">
        <v>671</v>
      </c>
    </row>
    <row r="235" spans="5:14" x14ac:dyDescent="0.25">
      <c r="E235" s="110" t="s">
        <v>31</v>
      </c>
      <c r="J235" t="s">
        <v>670</v>
      </c>
      <c r="K235" s="2">
        <v>4</v>
      </c>
      <c r="L235" t="s">
        <v>671</v>
      </c>
      <c r="N235" t="s">
        <v>665</v>
      </c>
    </row>
    <row r="236" spans="5:14" x14ac:dyDescent="0.25">
      <c r="E236" s="110" t="s">
        <v>31</v>
      </c>
      <c r="J236" t="s">
        <v>672</v>
      </c>
      <c r="K236" s="2">
        <v>-2</v>
      </c>
      <c r="L236" t="s">
        <v>671</v>
      </c>
    </row>
    <row r="237" spans="5:14" x14ac:dyDescent="0.25">
      <c r="E237" s="110" t="s">
        <v>32</v>
      </c>
      <c r="J237" t="s">
        <v>670</v>
      </c>
      <c r="K237" s="2">
        <v>4</v>
      </c>
      <c r="L237" t="s">
        <v>671</v>
      </c>
      <c r="N237" t="s">
        <v>665</v>
      </c>
    </row>
    <row r="238" spans="5:14" x14ac:dyDescent="0.25">
      <c r="E238" s="110" t="s">
        <v>32</v>
      </c>
      <c r="J238" t="s">
        <v>672</v>
      </c>
      <c r="K238" s="2">
        <v>-2</v>
      </c>
      <c r="L238" t="s">
        <v>671</v>
      </c>
    </row>
    <row r="239" spans="5:14" x14ac:dyDescent="0.25">
      <c r="E239" s="110" t="s">
        <v>33</v>
      </c>
      <c r="J239" t="s">
        <v>670</v>
      </c>
      <c r="K239" s="2">
        <v>4</v>
      </c>
      <c r="L239" t="s">
        <v>671</v>
      </c>
      <c r="N239" t="s">
        <v>665</v>
      </c>
    </row>
    <row r="240" spans="5:14" x14ac:dyDescent="0.25">
      <c r="E240" s="110" t="s">
        <v>33</v>
      </c>
      <c r="J240" t="s">
        <v>672</v>
      </c>
      <c r="K240" s="2">
        <v>-2</v>
      </c>
      <c r="L240" t="s">
        <v>671</v>
      </c>
    </row>
    <row r="241" spans="1:14" x14ac:dyDescent="0.25">
      <c r="F241" s="110"/>
      <c r="K241" s="2"/>
    </row>
    <row r="242" spans="1:14" x14ac:dyDescent="0.25">
      <c r="A242" s="4" t="s">
        <v>445</v>
      </c>
      <c r="F242" s="110"/>
      <c r="K242" s="2"/>
    </row>
    <row r="243" spans="1:14" x14ac:dyDescent="0.25">
      <c r="A243" s="4"/>
      <c r="F243" s="110"/>
      <c r="J243" t="s">
        <v>674</v>
      </c>
      <c r="K243" s="2">
        <v>50</v>
      </c>
      <c r="L243" t="s">
        <v>676</v>
      </c>
      <c r="N243" t="s">
        <v>675</v>
      </c>
    </row>
    <row r="244" spans="1:14" x14ac:dyDescent="0.25">
      <c r="K244" s="2"/>
    </row>
    <row r="245" spans="1:14" x14ac:dyDescent="0.25">
      <c r="A245" s="94" t="s">
        <v>378</v>
      </c>
      <c r="B245" s="94"/>
      <c r="C245" s="94"/>
      <c r="D245" s="95"/>
      <c r="E245" s="95"/>
      <c r="F245" s="95"/>
      <c r="G245" s="95"/>
      <c r="H245" s="95"/>
      <c r="I245" s="95"/>
      <c r="J245" s="95"/>
      <c r="K245" s="95"/>
      <c r="L245" s="95" t="s">
        <v>308</v>
      </c>
      <c r="M245" s="95"/>
      <c r="N245" s="95"/>
    </row>
    <row r="246" spans="1:14" x14ac:dyDescent="0.25">
      <c r="J246" s="157" t="s">
        <v>307</v>
      </c>
      <c r="K246" s="157">
        <v>0</v>
      </c>
      <c r="L246" s="157"/>
      <c r="M246" s="157" t="s">
        <v>398</v>
      </c>
    </row>
    <row r="247" spans="1:14" x14ac:dyDescent="0.25">
      <c r="A247" s="97" t="s">
        <v>287</v>
      </c>
      <c r="B247" s="97"/>
      <c r="C247" s="97"/>
      <c r="D247" s="98"/>
      <c r="E247" s="98"/>
      <c r="F247" s="98"/>
      <c r="G247" s="98"/>
      <c r="H247" s="98"/>
      <c r="I247" s="98"/>
      <c r="J247" s="98"/>
      <c r="K247" s="99"/>
      <c r="L247" s="98"/>
      <c r="M247" s="98"/>
      <c r="N247" s="98"/>
    </row>
    <row r="248" spans="1:14" x14ac:dyDescent="0.25">
      <c r="A248" s="81" t="s">
        <v>62</v>
      </c>
      <c r="B248" s="48"/>
      <c r="C248" s="48"/>
      <c r="D248" s="49"/>
      <c r="E248" s="49"/>
      <c r="F248" s="49"/>
      <c r="G248" s="49"/>
      <c r="H248" s="49"/>
      <c r="I248" s="49"/>
      <c r="J248" s="49"/>
      <c r="K248" s="159"/>
      <c r="L248" s="49"/>
      <c r="M248" s="49"/>
      <c r="N248" s="49"/>
    </row>
    <row r="249" spans="1:14" x14ac:dyDescent="0.25">
      <c r="A249" s="157" t="s">
        <v>2</v>
      </c>
      <c r="B249" s="157" t="s">
        <v>1</v>
      </c>
      <c r="C249" s="157"/>
      <c r="D249" s="157"/>
      <c r="E249" s="157" t="s">
        <v>17</v>
      </c>
      <c r="J249" s="157" t="s">
        <v>307</v>
      </c>
      <c r="K249" s="157">
        <v>0</v>
      </c>
      <c r="L249" s="157"/>
      <c r="M249" s="157" t="s">
        <v>398</v>
      </c>
    </row>
    <row r="250" spans="1:14" x14ac:dyDescent="0.25">
      <c r="A250" t="s">
        <v>2</v>
      </c>
      <c r="B250" t="s">
        <v>1</v>
      </c>
      <c r="E250" t="s">
        <v>17</v>
      </c>
      <c r="F250" t="str">
        <f>Foderstater!Y$72</f>
        <v>ley silage, 1st cut</v>
      </c>
      <c r="J250" t="s">
        <v>307</v>
      </c>
      <c r="K250" s="13">
        <f>INDEX(Foderstater!$AB$72:$AT$110,MATCH(F250,Foderstater!$Y$72:$Y$110,0),MATCH(A250&amp;B250&amp;C250&amp;E250,Foderstater!$AB$71:$AT$71,0))</f>
        <v>41.480852339300604</v>
      </c>
      <c r="L250" s="157"/>
      <c r="M250" s="157"/>
    </row>
    <row r="251" spans="1:14" x14ac:dyDescent="0.25">
      <c r="A251" t="s">
        <v>2</v>
      </c>
      <c r="B251" t="s">
        <v>1</v>
      </c>
      <c r="E251" t="s">
        <v>17</v>
      </c>
      <c r="F251" t="str">
        <f>Foderstater!Y$73</f>
        <v>ley silage, regrowth</v>
      </c>
      <c r="J251" t="s">
        <v>307</v>
      </c>
      <c r="K251" s="13">
        <f>INDEX(Foderstater!$AB$72:$AT$110,MATCH(F251,Foderstater!$Y$72:$Y$110,0),MATCH(A251&amp;B251&amp;C251&amp;E251,Foderstater!$AB$71:$AT$71,0))</f>
        <v>9.9247167513786927</v>
      </c>
      <c r="L251" s="157"/>
      <c r="M251" s="157"/>
    </row>
    <row r="252" spans="1:14" x14ac:dyDescent="0.25">
      <c r="A252" t="s">
        <v>2</v>
      </c>
      <c r="B252" t="s">
        <v>1</v>
      </c>
      <c r="E252" t="s">
        <v>17</v>
      </c>
      <c r="F252" t="str">
        <f>Foderstater!Y$74</f>
        <v>other silage</v>
      </c>
      <c r="J252" t="s">
        <v>307</v>
      </c>
      <c r="K252" s="13">
        <f>INDEX(Foderstater!$AB$72:$AT$110,MATCH(F252,Foderstater!$Y$72:$Y$110,0),MATCH(A252&amp;B252&amp;C252&amp;E252,Foderstater!$AB$71:$AT$71,0))</f>
        <v>0</v>
      </c>
      <c r="L252" s="157"/>
      <c r="M252" s="157"/>
    </row>
    <row r="253" spans="1:14" x14ac:dyDescent="0.25">
      <c r="A253" t="s">
        <v>2</v>
      </c>
      <c r="B253" t="s">
        <v>1</v>
      </c>
      <c r="E253" t="s">
        <v>17</v>
      </c>
      <c r="F253" t="str">
        <f>Foderstater!Y$75</f>
        <v>maize silage</v>
      </c>
      <c r="J253" t="s">
        <v>307</v>
      </c>
      <c r="K253" s="13">
        <f>INDEX(Foderstater!$AB$72:$AT$110,MATCH(F253,Foderstater!$Y$72:$Y$110,0),MATCH(A253&amp;B253&amp;C253&amp;E253,Foderstater!$AB$71:$AT$71,0))</f>
        <v>0</v>
      </c>
      <c r="L253" s="157"/>
      <c r="M253" s="157"/>
    </row>
    <row r="254" spans="1:14" x14ac:dyDescent="0.25">
      <c r="A254" t="s">
        <v>2</v>
      </c>
      <c r="B254" t="s">
        <v>1</v>
      </c>
      <c r="E254" t="s">
        <v>17</v>
      </c>
      <c r="F254" t="str">
        <f>Foderstater!Y$76</f>
        <v>straw</v>
      </c>
      <c r="J254" t="s">
        <v>307</v>
      </c>
      <c r="K254" s="13">
        <f>INDEX(Foderstater!$AB$72:$AT$110,MATCH(F254,Foderstater!$Y$72:$Y$110,0),MATCH(A254&amp;B254&amp;C254&amp;E254,Foderstater!$AB$71:$AT$71,0))</f>
        <v>3.1679738484393072</v>
      </c>
      <c r="L254" s="157"/>
      <c r="M254" s="157"/>
    </row>
    <row r="255" spans="1:14" x14ac:dyDescent="0.25">
      <c r="A255" t="s">
        <v>2</v>
      </c>
      <c r="B255" t="s">
        <v>1</v>
      </c>
      <c r="E255" t="s">
        <v>17</v>
      </c>
      <c r="F255" t="str">
        <f>Foderstater!Y$77</f>
        <v>grazing</v>
      </c>
      <c r="J255" t="s">
        <v>307</v>
      </c>
      <c r="K255" s="13">
        <f>INDEX(Foderstater!$AB$72:$AT$110,MATCH(F255,Foderstater!$Y$72:$Y$110,0),MATCH(A255&amp;B255&amp;C255&amp;E255,Foderstater!$AB$71:$AT$71,0))</f>
        <v>6.6079520088655128</v>
      </c>
      <c r="L255" s="157"/>
      <c r="M255" s="157"/>
    </row>
    <row r="256" spans="1:14" x14ac:dyDescent="0.25">
      <c r="A256" t="s">
        <v>2</v>
      </c>
      <c r="B256" t="s">
        <v>1</v>
      </c>
      <c r="E256" t="s">
        <v>17</v>
      </c>
      <c r="F256" t="str">
        <f>Foderstater!Y$78</f>
        <v>wheat</v>
      </c>
      <c r="J256" t="s">
        <v>307</v>
      </c>
      <c r="K256" s="13">
        <f>INDEX(Foderstater!$AB$72:$AT$110,MATCH(F256,Foderstater!$Y$72:$Y$110,0),MATCH(A256&amp;B256&amp;C256&amp;E256,Foderstater!$AB$71:$AT$71,0))</f>
        <v>6.1497391870569844</v>
      </c>
      <c r="L256" s="157"/>
      <c r="M256" s="157"/>
    </row>
    <row r="257" spans="1:13" x14ac:dyDescent="0.25">
      <c r="A257" t="s">
        <v>2</v>
      </c>
      <c r="B257" t="s">
        <v>1</v>
      </c>
      <c r="E257" t="s">
        <v>17</v>
      </c>
      <c r="F257" t="str">
        <f>Foderstater!Y$79</f>
        <v>barley</v>
      </c>
      <c r="J257" t="s">
        <v>307</v>
      </c>
      <c r="K257" s="13">
        <f>INDEX(Foderstater!$AB$72:$AT$110,MATCH(F257,Foderstater!$Y$72:$Y$110,0),MATCH(A257&amp;B257&amp;C257&amp;E257,Foderstater!$AB$71:$AT$71,0))</f>
        <v>11.290606059990822</v>
      </c>
      <c r="L257" s="157"/>
      <c r="M257" s="157"/>
    </row>
    <row r="258" spans="1:13" x14ac:dyDescent="0.25">
      <c r="A258" t="s">
        <v>2</v>
      </c>
      <c r="B258" t="s">
        <v>1</v>
      </c>
      <c r="E258" t="s">
        <v>17</v>
      </c>
      <c r="F258" t="str">
        <f>Foderstater!Y$80</f>
        <v>oats</v>
      </c>
      <c r="J258" t="s">
        <v>307</v>
      </c>
      <c r="K258" s="13">
        <f>INDEX(Foderstater!$AB$72:$AT$110,MATCH(F258,Foderstater!$Y$72:$Y$110,0),MATCH(A258&amp;B258&amp;C258&amp;E258,Foderstater!$AB$71:$AT$71,0))</f>
        <v>2.5305995086863016</v>
      </c>
      <c r="L258" s="157"/>
      <c r="M258" s="157"/>
    </row>
    <row r="259" spans="1:13" x14ac:dyDescent="0.25">
      <c r="A259" t="s">
        <v>2</v>
      </c>
      <c r="B259" t="s">
        <v>1</v>
      </c>
      <c r="E259" t="s">
        <v>17</v>
      </c>
      <c r="F259" t="str">
        <f>Foderstater!Y$81</f>
        <v>triticale</v>
      </c>
      <c r="J259" t="s">
        <v>307</v>
      </c>
      <c r="K259" s="13">
        <f>INDEX(Foderstater!$AB$72:$AT$110,MATCH(F259,Foderstater!$Y$72:$Y$110,0),MATCH(A259&amp;B259&amp;C259&amp;E259,Foderstater!$AB$71:$AT$71,0))</f>
        <v>3.9696382637077976</v>
      </c>
      <c r="L259" s="157"/>
      <c r="M259" s="157"/>
    </row>
    <row r="260" spans="1:13" x14ac:dyDescent="0.25">
      <c r="A260" t="s">
        <v>2</v>
      </c>
      <c r="B260" t="s">
        <v>1</v>
      </c>
      <c r="E260" t="s">
        <v>17</v>
      </c>
      <c r="F260" t="str">
        <f>Foderstater!Y$82</f>
        <v>rye</v>
      </c>
      <c r="J260" t="s">
        <v>307</v>
      </c>
      <c r="K260" s="13">
        <f>INDEX(Foderstater!$AB$72:$AT$110,MATCH(F260,Foderstater!$Y$72:$Y$110,0),MATCH(A260&amp;B260&amp;C260&amp;E260,Foderstater!$AB$71:$AT$71,0))</f>
        <v>1.1272622080408017E-2</v>
      </c>
      <c r="L260" s="157"/>
      <c r="M260" s="157"/>
    </row>
    <row r="261" spans="1:13" x14ac:dyDescent="0.25">
      <c r="A261" t="s">
        <v>2</v>
      </c>
      <c r="B261" t="s">
        <v>1</v>
      </c>
      <c r="E261" t="s">
        <v>17</v>
      </c>
      <c r="F261" t="str">
        <f>Foderstater!Y$83</f>
        <v>maize</v>
      </c>
      <c r="J261" t="s">
        <v>307</v>
      </c>
      <c r="K261" s="13">
        <f>INDEX(Foderstater!$AB$72:$AT$110,MATCH(F261,Foderstater!$Y$72:$Y$110,0),MATCH(A261&amp;B261&amp;C261&amp;E261,Foderstater!$AB$71:$AT$71,0))</f>
        <v>0.39798335104430993</v>
      </c>
      <c r="L261" s="157"/>
      <c r="M261" s="157"/>
    </row>
    <row r="262" spans="1:13" x14ac:dyDescent="0.25">
      <c r="A262" t="s">
        <v>2</v>
      </c>
      <c r="B262" t="s">
        <v>1</v>
      </c>
      <c r="E262" t="s">
        <v>17</v>
      </c>
      <c r="F262" t="str">
        <f>Foderstater!Y$84</f>
        <v>peas</v>
      </c>
      <c r="J262" t="s">
        <v>307</v>
      </c>
      <c r="K262" s="13">
        <f>INDEX(Foderstater!$AB$72:$AT$110,MATCH(F262,Foderstater!$Y$72:$Y$110,0),MATCH(A262&amp;B262&amp;C262&amp;E262,Foderstater!$AB$71:$AT$71,0))</f>
        <v>6.2198540886316538E-2</v>
      </c>
      <c r="L262" s="157"/>
      <c r="M262" s="157"/>
    </row>
    <row r="263" spans="1:13" x14ac:dyDescent="0.25">
      <c r="A263" t="s">
        <v>2</v>
      </c>
      <c r="B263" t="s">
        <v>1</v>
      </c>
      <c r="E263" t="s">
        <v>17</v>
      </c>
      <c r="F263" t="str">
        <f>Foderstater!Y$85</f>
        <v>broad beans</v>
      </c>
      <c r="J263" t="s">
        <v>307</v>
      </c>
      <c r="K263" s="13">
        <f>INDEX(Foderstater!$AB$72:$AT$110,MATCH(F263,Foderstater!$Y$72:$Y$110,0),MATCH(A263&amp;B263&amp;C263&amp;E263,Foderstater!$AB$71:$AT$71,0))</f>
        <v>0.21373263842786655</v>
      </c>
      <c r="L263" s="157"/>
      <c r="M263" s="157"/>
    </row>
    <row r="264" spans="1:13" x14ac:dyDescent="0.25">
      <c r="A264" t="s">
        <v>2</v>
      </c>
      <c r="B264" t="s">
        <v>1</v>
      </c>
      <c r="E264" t="s">
        <v>17</v>
      </c>
      <c r="F264" t="str">
        <f>Foderstater!Y$86</f>
        <v>rapeseed</v>
      </c>
      <c r="J264" t="s">
        <v>307</v>
      </c>
      <c r="K264" s="13">
        <f>INDEX(Foderstater!$AB$72:$AT$110,MATCH(F264,Foderstater!$Y$72:$Y$110,0),MATCH(A264&amp;B264&amp;C264&amp;E264,Foderstater!$AB$71:$AT$71,0))</f>
        <v>3.3834826631664936</v>
      </c>
      <c r="L264" s="157"/>
      <c r="M264" s="157"/>
    </row>
    <row r="265" spans="1:13" x14ac:dyDescent="0.25">
      <c r="A265" t="s">
        <v>2</v>
      </c>
      <c r="B265" t="s">
        <v>1</v>
      </c>
      <c r="E265" t="s">
        <v>17</v>
      </c>
      <c r="F265" t="str">
        <f>Foderstater!Y$87</f>
        <v>linseed</v>
      </c>
      <c r="J265" t="s">
        <v>307</v>
      </c>
      <c r="K265" s="13">
        <f>INDEX(Foderstater!$AB$72:$AT$110,MATCH(F265,Foderstater!$Y$72:$Y$110,0),MATCH(A265&amp;B265&amp;C265&amp;E265,Foderstater!$AB$71:$AT$71,0))</f>
        <v>2.4958557242137649E-3</v>
      </c>
      <c r="L265" s="157"/>
      <c r="M265" s="157"/>
    </row>
    <row r="266" spans="1:13" x14ac:dyDescent="0.25">
      <c r="A266" t="s">
        <v>2</v>
      </c>
      <c r="B266" t="s">
        <v>1</v>
      </c>
      <c r="E266" t="s">
        <v>17</v>
      </c>
      <c r="F266" t="str">
        <f>Foderstater!Y$88</f>
        <v>vegetable oils</v>
      </c>
      <c r="J266" t="s">
        <v>307</v>
      </c>
      <c r="K266" s="13">
        <f>INDEX(Foderstater!$AB$72:$AT$110,MATCH(F266,Foderstater!$Y$72:$Y$110,0),MATCH(A266&amp;B266&amp;C266&amp;E266,Foderstater!$AB$71:$AT$71,0))</f>
        <v>6.4435354702415792E-2</v>
      </c>
      <c r="L266" s="157"/>
      <c r="M266" s="157"/>
    </row>
    <row r="267" spans="1:13" x14ac:dyDescent="0.25">
      <c r="A267" t="s">
        <v>2</v>
      </c>
      <c r="B267" t="s">
        <v>1</v>
      </c>
      <c r="E267" t="s">
        <v>17</v>
      </c>
      <c r="F267" t="str">
        <f>Foderstater!Y$89</f>
        <v>soybeans</v>
      </c>
      <c r="J267" t="s">
        <v>307</v>
      </c>
      <c r="K267" s="13">
        <f>INDEX(Foderstater!$AB$72:$AT$110,MATCH(F267,Foderstater!$Y$72:$Y$110,0),MATCH(A267&amp;B267&amp;C267&amp;E267,Foderstater!$AB$71:$AT$71,0))</f>
        <v>6.2968191575980506E-2</v>
      </c>
      <c r="L267" s="157"/>
      <c r="M267" s="157"/>
    </row>
    <row r="268" spans="1:13" x14ac:dyDescent="0.25">
      <c r="A268" t="s">
        <v>2</v>
      </c>
      <c r="B268" t="s">
        <v>1</v>
      </c>
      <c r="E268" t="s">
        <v>17</v>
      </c>
      <c r="F268" t="str">
        <f>Foderstater!Y$90</f>
        <v>soybean meal</v>
      </c>
      <c r="J268" t="s">
        <v>307</v>
      </c>
      <c r="K268" s="13">
        <f>INDEX(Foderstater!$AB$72:$AT$110,MATCH(F268,Foderstater!$Y$72:$Y$110,0),MATCH(A268&amp;B268&amp;C268&amp;E268,Foderstater!$AB$71:$AT$71,0))</f>
        <v>0.57519106653391427</v>
      </c>
      <c r="L268" s="157"/>
      <c r="M268" s="157"/>
    </row>
    <row r="269" spans="1:13" x14ac:dyDescent="0.25">
      <c r="A269" t="s">
        <v>2</v>
      </c>
      <c r="B269" t="s">
        <v>1</v>
      </c>
      <c r="E269" t="s">
        <v>17</v>
      </c>
      <c r="F269" t="str">
        <f>Foderstater!Y$91</f>
        <v>soybean protein concentrate</v>
      </c>
      <c r="J269" t="s">
        <v>307</v>
      </c>
      <c r="K269" s="13">
        <f>INDEX(Foderstater!$AB$72:$AT$110,MATCH(F269,Foderstater!$Y$72:$Y$110,0),MATCH(A269&amp;B269&amp;C269&amp;E269,Foderstater!$AB$71:$AT$71,0))</f>
        <v>0</v>
      </c>
      <c r="L269" s="157"/>
      <c r="M269" s="157"/>
    </row>
    <row r="270" spans="1:13" x14ac:dyDescent="0.25">
      <c r="A270" t="s">
        <v>2</v>
      </c>
      <c r="B270" t="s">
        <v>1</v>
      </c>
      <c r="E270" t="s">
        <v>17</v>
      </c>
      <c r="F270" t="str">
        <f>Foderstater!Y$92</f>
        <v>rapeseed meal</v>
      </c>
      <c r="J270" t="s">
        <v>307</v>
      </c>
      <c r="K270" s="13">
        <f>INDEX(Foderstater!$AB$72:$AT$110,MATCH(F270,Foderstater!$Y$72:$Y$110,0),MATCH(A270&amp;B270&amp;C270&amp;E270,Foderstater!$AB$71:$AT$71,0))</f>
        <v>4.4425645420347344</v>
      </c>
      <c r="L270" s="157"/>
      <c r="M270" s="157"/>
    </row>
    <row r="271" spans="1:13" x14ac:dyDescent="0.25">
      <c r="A271" t="s">
        <v>2</v>
      </c>
      <c r="B271" t="s">
        <v>1</v>
      </c>
      <c r="E271" t="s">
        <v>17</v>
      </c>
      <c r="F271" t="str">
        <f>Foderstater!Y$93</f>
        <v>rapeseed cake</v>
      </c>
      <c r="J271" t="s">
        <v>307</v>
      </c>
      <c r="K271" s="13">
        <f>INDEX(Foderstater!$AB$72:$AT$110,MATCH(F271,Foderstater!$Y$72:$Y$110,0),MATCH(A271&amp;B271&amp;C271&amp;E271,Foderstater!$AB$71:$AT$71,0))</f>
        <v>0</v>
      </c>
      <c r="L271" s="157"/>
      <c r="M271" s="157"/>
    </row>
    <row r="272" spans="1:13" x14ac:dyDescent="0.25">
      <c r="A272" t="s">
        <v>2</v>
      </c>
      <c r="B272" t="s">
        <v>1</v>
      </c>
      <c r="E272" t="s">
        <v>17</v>
      </c>
      <c r="F272" t="str">
        <f>Foderstater!Y$94</f>
        <v>sunflower seed meal</v>
      </c>
      <c r="J272" t="s">
        <v>307</v>
      </c>
      <c r="K272" s="13">
        <f>INDEX(Foderstater!$AB$72:$AT$110,MATCH(F272,Foderstater!$Y$72:$Y$110,0),MATCH(A272&amp;B272&amp;C272&amp;E272,Foderstater!$AB$71:$AT$71,0))</f>
        <v>6.136972904857535E-2</v>
      </c>
    </row>
    <row r="273" spans="1:11" x14ac:dyDescent="0.25">
      <c r="A273" t="s">
        <v>2</v>
      </c>
      <c r="B273" t="s">
        <v>1</v>
      </c>
      <c r="E273" t="s">
        <v>17</v>
      </c>
      <c r="F273" t="str">
        <f>Foderstater!Y$95</f>
        <v>palm kernel expeller</v>
      </c>
      <c r="J273" t="s">
        <v>307</v>
      </c>
      <c r="K273" s="13">
        <f>INDEX(Foderstater!$AB$72:$AT$110,MATCH(F273,Foderstater!$Y$72:$Y$110,0),MATCH(A273&amp;B273&amp;C273&amp;E273,Foderstater!$AB$71:$AT$71,0))</f>
        <v>0.39877553799094467</v>
      </c>
    </row>
    <row r="274" spans="1:11" x14ac:dyDescent="0.25">
      <c r="A274" t="s">
        <v>2</v>
      </c>
      <c r="B274" t="s">
        <v>1</v>
      </c>
      <c r="E274" t="s">
        <v>17</v>
      </c>
      <c r="F274" t="str">
        <f>Foderstater!Y$96</f>
        <v>luzern meal</v>
      </c>
      <c r="J274" t="s">
        <v>307</v>
      </c>
      <c r="K274" s="13">
        <f>INDEX(Foderstater!$AB$72:$AT$110,MATCH(F274,Foderstater!$Y$72:$Y$110,0),MATCH(A274&amp;B274&amp;C274&amp;E274,Foderstater!$AB$71:$AT$71,0))</f>
        <v>0.12130313990935594</v>
      </c>
    </row>
    <row r="275" spans="1:11" x14ac:dyDescent="0.25">
      <c r="A275" t="s">
        <v>2</v>
      </c>
      <c r="B275" t="s">
        <v>1</v>
      </c>
      <c r="E275" t="s">
        <v>17</v>
      </c>
      <c r="F275" t="str">
        <f>Foderstater!Y$97</f>
        <v>wheat bran</v>
      </c>
      <c r="J275" t="s">
        <v>307</v>
      </c>
      <c r="K275" s="13">
        <f>INDEX(Foderstater!$AB$72:$AT$110,MATCH(F275,Foderstater!$Y$72:$Y$110,0),MATCH(A275&amp;B275&amp;C275&amp;E275,Foderstater!$AB$71:$AT$71,0))</f>
        <v>1.321614002942858</v>
      </c>
    </row>
    <row r="276" spans="1:11" x14ac:dyDescent="0.25">
      <c r="A276" t="s">
        <v>2</v>
      </c>
      <c r="B276" t="s">
        <v>1</v>
      </c>
      <c r="E276" t="s">
        <v>17</v>
      </c>
      <c r="F276" t="str">
        <f>Foderstater!Y$98</f>
        <v>wheat bran, fine</v>
      </c>
      <c r="J276" t="s">
        <v>307</v>
      </c>
      <c r="K276" s="13">
        <f>INDEX(Foderstater!$AB$72:$AT$110,MATCH(F276,Foderstater!$Y$72:$Y$110,0),MATCH(A276&amp;B276&amp;C276&amp;E276,Foderstater!$AB$71:$AT$71,0))</f>
        <v>3.4645257386917328E-3</v>
      </c>
    </row>
    <row r="277" spans="1:11" x14ac:dyDescent="0.25">
      <c r="A277" t="s">
        <v>2</v>
      </c>
      <c r="B277" t="s">
        <v>1</v>
      </c>
      <c r="E277" t="s">
        <v>17</v>
      </c>
      <c r="F277" t="str">
        <f>Foderstater!Y$99</f>
        <v>oat hulls</v>
      </c>
      <c r="J277" t="s">
        <v>307</v>
      </c>
      <c r="K277" s="13">
        <f>INDEX(Foderstater!$AB$72:$AT$110,MATCH(F277,Foderstater!$Y$72:$Y$110,0),MATCH(A277&amp;B277&amp;C277&amp;E277,Foderstater!$AB$71:$AT$71,0))</f>
        <v>0.15917555594859789</v>
      </c>
    </row>
    <row r="278" spans="1:11" x14ac:dyDescent="0.25">
      <c r="A278" t="s">
        <v>2</v>
      </c>
      <c r="B278" t="s">
        <v>1</v>
      </c>
      <c r="E278" t="s">
        <v>17</v>
      </c>
      <c r="F278" t="str">
        <f>Foderstater!Y$100</f>
        <v>oat bran</v>
      </c>
      <c r="J278" t="s">
        <v>307</v>
      </c>
      <c r="K278" s="13">
        <f>INDEX(Foderstater!$AB$72:$AT$110,MATCH(F278,Foderstater!$Y$72:$Y$110,0),MATCH(A278&amp;B278&amp;C278&amp;E278,Foderstater!$AB$71:$AT$71,0))</f>
        <v>1.7964759181842063E-2</v>
      </c>
    </row>
    <row r="279" spans="1:11" x14ac:dyDescent="0.25">
      <c r="A279" t="s">
        <v>2</v>
      </c>
      <c r="B279" t="s">
        <v>1</v>
      </c>
      <c r="E279" t="s">
        <v>17</v>
      </c>
      <c r="F279" t="str">
        <f>Foderstater!Y$101</f>
        <v>rye bran</v>
      </c>
      <c r="J279" t="s">
        <v>307</v>
      </c>
      <c r="K279" s="13">
        <f>INDEX(Foderstater!$AB$72:$AT$110,MATCH(F279,Foderstater!$Y$72:$Y$110,0),MATCH(A279&amp;B279&amp;C279&amp;E279,Foderstater!$AB$71:$AT$71,0))</f>
        <v>5.5403512056737859E-2</v>
      </c>
    </row>
    <row r="280" spans="1:11" x14ac:dyDescent="0.25">
      <c r="A280" t="s">
        <v>2</v>
      </c>
      <c r="B280" t="s">
        <v>1</v>
      </c>
      <c r="E280" t="s">
        <v>17</v>
      </c>
      <c r="F280" t="str">
        <f>Foderstater!Y$102</f>
        <v>wheat distillers grain, dry</v>
      </c>
      <c r="J280" t="s">
        <v>307</v>
      </c>
      <c r="K280" s="13">
        <f>INDEX(Foderstater!$AB$72:$AT$110,MATCH(F280,Foderstater!$Y$72:$Y$110,0),MATCH(A280&amp;B280&amp;C280&amp;E280,Foderstater!$AB$71:$AT$71,0))</f>
        <v>1.4206094996744831</v>
      </c>
    </row>
    <row r="281" spans="1:11" x14ac:dyDescent="0.25">
      <c r="A281" t="s">
        <v>2</v>
      </c>
      <c r="B281" t="s">
        <v>1</v>
      </c>
      <c r="E281" t="s">
        <v>17</v>
      </c>
      <c r="F281" t="str">
        <f>Foderstater!Y$103</f>
        <v>barley brewers grain</v>
      </c>
      <c r="J281" t="s">
        <v>307</v>
      </c>
      <c r="K281" s="13">
        <f>INDEX(Foderstater!$AB$72:$AT$110,MATCH(F281,Foderstater!$Y$72:$Y$110,0),MATCH(A281&amp;B281&amp;C281&amp;E281,Foderstater!$AB$71:$AT$71,0))</f>
        <v>0</v>
      </c>
    </row>
    <row r="282" spans="1:11" x14ac:dyDescent="0.25">
      <c r="A282" t="s">
        <v>2</v>
      </c>
      <c r="B282" t="s">
        <v>1</v>
      </c>
      <c r="E282" t="s">
        <v>17</v>
      </c>
      <c r="F282" t="str">
        <f>Foderstater!Y$104</f>
        <v>maize gluten meal</v>
      </c>
      <c r="J282" t="s">
        <v>307</v>
      </c>
      <c r="K282" s="13">
        <f>INDEX(Foderstater!$AB$72:$AT$110,MATCH(F282,Foderstater!$Y$72:$Y$110,0),MATCH(A282&amp;B282&amp;C282&amp;E282,Foderstater!$AB$71:$AT$71,0))</f>
        <v>4.2926359235494246E-2</v>
      </c>
    </row>
    <row r="283" spans="1:11" x14ac:dyDescent="0.25">
      <c r="A283" t="s">
        <v>2</v>
      </c>
      <c r="B283" t="s">
        <v>1</v>
      </c>
      <c r="E283" t="s">
        <v>17</v>
      </c>
      <c r="F283" t="str">
        <f>Foderstater!Y$105</f>
        <v>sugar beet molasses</v>
      </c>
      <c r="J283" t="s">
        <v>307</v>
      </c>
      <c r="K283" s="13">
        <f>INDEX(Foderstater!$AB$72:$AT$110,MATCH(F283,Foderstater!$Y$72:$Y$110,0),MATCH(A283&amp;B283&amp;C283&amp;E283,Foderstater!$AB$71:$AT$71,0))</f>
        <v>0.47602729121024218</v>
      </c>
    </row>
    <row r="284" spans="1:11" x14ac:dyDescent="0.25">
      <c r="A284" t="s">
        <v>2</v>
      </c>
      <c r="B284" t="s">
        <v>1</v>
      </c>
      <c r="E284" t="s">
        <v>17</v>
      </c>
      <c r="F284" t="str">
        <f>Foderstater!Y$106</f>
        <v>sugar beet pulp</v>
      </c>
      <c r="J284" t="s">
        <v>307</v>
      </c>
      <c r="K284" s="13">
        <f>INDEX(Foderstater!$AB$72:$AT$110,MATCH(F284,Foderstater!$Y$72:$Y$110,0),MATCH(A284&amp;B284&amp;C284&amp;E284,Foderstater!$AB$71:$AT$71,0))</f>
        <v>0.91853231005300495</v>
      </c>
    </row>
    <row r="285" spans="1:11" x14ac:dyDescent="0.25">
      <c r="A285" t="s">
        <v>2</v>
      </c>
      <c r="B285" t="s">
        <v>1</v>
      </c>
      <c r="E285" t="s">
        <v>17</v>
      </c>
      <c r="F285" t="str">
        <f>Foderstater!Y$107</f>
        <v>whey powder</v>
      </c>
      <c r="J285" t="s">
        <v>307</v>
      </c>
      <c r="K285" s="13">
        <f>INDEX(Foderstater!$AB$72:$AT$110,MATCH(F285,Foderstater!$Y$72:$Y$110,0),MATCH(A285&amp;B285&amp;C285&amp;E285,Foderstater!$AB$71:$AT$71,0))</f>
        <v>0</v>
      </c>
    </row>
    <row r="286" spans="1:11" x14ac:dyDescent="0.25">
      <c r="A286" t="s">
        <v>2</v>
      </c>
      <c r="B286" t="s">
        <v>1</v>
      </c>
      <c r="E286" t="s">
        <v>17</v>
      </c>
      <c r="F286" t="str">
        <f>Foderstater!Y$108</f>
        <v>potatoe protein</v>
      </c>
      <c r="J286" t="s">
        <v>307</v>
      </c>
      <c r="K286" s="13">
        <f>INDEX(Foderstater!$AB$72:$AT$110,MATCH(F286,Foderstater!$Y$72:$Y$110,0),MATCH(A286&amp;B286&amp;C286&amp;E286,Foderstater!$AB$71:$AT$71,0))</f>
        <v>4.2052766660258274E-3</v>
      </c>
    </row>
    <row r="287" spans="1:11" x14ac:dyDescent="0.25">
      <c r="A287" t="s">
        <v>2</v>
      </c>
      <c r="B287" t="s">
        <v>1</v>
      </c>
      <c r="E287" t="s">
        <v>17</v>
      </c>
      <c r="F287" t="str">
        <f>Foderstater!Y$109</f>
        <v>fish meal</v>
      </c>
      <c r="J287" t="s">
        <v>307</v>
      </c>
      <c r="K287" s="13">
        <f>INDEX(Foderstater!$AB$72:$AT$110,MATCH(F287,Foderstater!$Y$72:$Y$110,0),MATCH(A287&amp;B287&amp;C287&amp;E287,Foderstater!$AB$71:$AT$71,0))</f>
        <v>0</v>
      </c>
    </row>
    <row r="288" spans="1:11" x14ac:dyDescent="0.25">
      <c r="A288" t="s">
        <v>2</v>
      </c>
      <c r="B288" t="s">
        <v>1</v>
      </c>
      <c r="E288" t="s">
        <v>17</v>
      </c>
      <c r="F288" t="str">
        <f>Foderstater!Y$110</f>
        <v>minerals</v>
      </c>
      <c r="J288" t="s">
        <v>307</v>
      </c>
      <c r="K288" s="13">
        <f>INDEX(Foderstater!$AB$72:$AT$110,MATCH(F288,Foderstater!$Y$72:$Y$110,0),MATCH(A288&amp;B288&amp;C288&amp;E288,Foderstater!$AB$71:$AT$71,0))</f>
        <v>0.66022570674046432</v>
      </c>
    </row>
    <row r="290" spans="1:13" x14ac:dyDescent="0.25">
      <c r="A290" s="157" t="s">
        <v>2</v>
      </c>
      <c r="B290" s="157" t="s">
        <v>1</v>
      </c>
      <c r="C290" s="157" t="s">
        <v>404</v>
      </c>
      <c r="D290" s="157"/>
      <c r="E290" s="157" t="s">
        <v>17</v>
      </c>
      <c r="J290" s="157" t="s">
        <v>307</v>
      </c>
      <c r="K290" s="157">
        <v>0</v>
      </c>
      <c r="L290" s="157"/>
      <c r="M290" s="157" t="s">
        <v>398</v>
      </c>
    </row>
    <row r="291" spans="1:13" x14ac:dyDescent="0.25">
      <c r="A291" t="s">
        <v>2</v>
      </c>
      <c r="B291" t="s">
        <v>1</v>
      </c>
      <c r="C291" t="s">
        <v>404</v>
      </c>
      <c r="E291" t="s">
        <v>17</v>
      </c>
      <c r="F291" t="str">
        <f>Foderstater!Y$72</f>
        <v>ley silage, 1st cut</v>
      </c>
      <c r="J291" t="s">
        <v>307</v>
      </c>
      <c r="K291" s="13">
        <f>INDEX(Foderstater!$AB$72:$AT$110,MATCH(F291,Foderstater!$Y$72:$Y$110,0),MATCH(A291&amp;B291&amp;C291&amp;E291,Foderstater!$AB$71:$AT$71,0))</f>
        <v>22.93829412577864</v>
      </c>
      <c r="L291" s="157"/>
      <c r="M291" s="157"/>
    </row>
    <row r="292" spans="1:13" x14ac:dyDescent="0.25">
      <c r="A292" t="s">
        <v>2</v>
      </c>
      <c r="B292" t="s">
        <v>1</v>
      </c>
      <c r="C292" t="s">
        <v>404</v>
      </c>
      <c r="E292" t="s">
        <v>17</v>
      </c>
      <c r="F292" t="str">
        <f>Foderstater!Y$73</f>
        <v>ley silage, regrowth</v>
      </c>
      <c r="J292" t="s">
        <v>307</v>
      </c>
      <c r="K292" s="13">
        <f>INDEX(Foderstater!$AB$72:$AT$110,MATCH(F292,Foderstater!$Y$72:$Y$110,0),MATCH(A292&amp;B292&amp;C292&amp;E292,Foderstater!$AB$71:$AT$71,0))</f>
        <v>10.638819198282629</v>
      </c>
      <c r="L292" s="157"/>
      <c r="M292" s="157"/>
    </row>
    <row r="293" spans="1:13" x14ac:dyDescent="0.25">
      <c r="A293" t="s">
        <v>2</v>
      </c>
      <c r="B293" t="s">
        <v>1</v>
      </c>
      <c r="C293" t="s">
        <v>404</v>
      </c>
      <c r="E293" t="s">
        <v>17</v>
      </c>
      <c r="F293" t="str">
        <f>Foderstater!Y$74</f>
        <v>other silage</v>
      </c>
      <c r="J293" t="s">
        <v>307</v>
      </c>
      <c r="K293" s="13">
        <f>INDEX(Foderstater!$AB$72:$AT$110,MATCH(F293,Foderstater!$Y$72:$Y$110,0),MATCH(A293&amp;B293&amp;C293&amp;E293,Foderstater!$AB$71:$AT$71,0))</f>
        <v>0</v>
      </c>
      <c r="L293" s="157"/>
      <c r="M293" s="157"/>
    </row>
    <row r="294" spans="1:13" x14ac:dyDescent="0.25">
      <c r="A294" t="s">
        <v>2</v>
      </c>
      <c r="B294" t="s">
        <v>1</v>
      </c>
      <c r="C294" t="s">
        <v>404</v>
      </c>
      <c r="E294" t="s">
        <v>17</v>
      </c>
      <c r="F294" t="str">
        <f>Foderstater!Y$75</f>
        <v>maize silage</v>
      </c>
      <c r="J294" t="s">
        <v>307</v>
      </c>
      <c r="K294" s="13">
        <f>INDEX(Foderstater!$AB$72:$AT$110,MATCH(F294,Foderstater!$Y$72:$Y$110,0),MATCH(A294&amp;B294&amp;C294&amp;E294,Foderstater!$AB$71:$AT$71,0))</f>
        <v>15.876048855936714</v>
      </c>
      <c r="L294" s="157"/>
      <c r="M294" s="157"/>
    </row>
    <row r="295" spans="1:13" x14ac:dyDescent="0.25">
      <c r="A295" t="s">
        <v>2</v>
      </c>
      <c r="B295" t="s">
        <v>1</v>
      </c>
      <c r="C295" t="s">
        <v>404</v>
      </c>
      <c r="E295" t="s">
        <v>17</v>
      </c>
      <c r="F295" t="str">
        <f>Foderstater!Y$76</f>
        <v>straw</v>
      </c>
      <c r="J295" t="s">
        <v>307</v>
      </c>
      <c r="K295" s="13">
        <f>INDEX(Foderstater!$AB$72:$AT$110,MATCH(F295,Foderstater!$Y$72:$Y$110,0),MATCH(A295&amp;B295&amp;C295&amp;E295,Foderstater!$AB$71:$AT$71,0))</f>
        <v>3.0977656304266756</v>
      </c>
      <c r="L295" s="157"/>
      <c r="M295" s="157"/>
    </row>
    <row r="296" spans="1:13" x14ac:dyDescent="0.25">
      <c r="A296" t="s">
        <v>2</v>
      </c>
      <c r="B296" t="s">
        <v>1</v>
      </c>
      <c r="C296" t="s">
        <v>404</v>
      </c>
      <c r="E296" t="s">
        <v>17</v>
      </c>
      <c r="F296" t="str">
        <f>Foderstater!Y$77</f>
        <v>grazing</v>
      </c>
      <c r="J296" t="s">
        <v>307</v>
      </c>
      <c r="K296" s="13">
        <f>INDEX(Foderstater!$AB$72:$AT$110,MATCH(F296,Foderstater!$Y$72:$Y$110,0),MATCH(A296&amp;B296&amp;C296&amp;E296,Foderstater!$AB$71:$AT$71,0))</f>
        <v>6.4615074492035101</v>
      </c>
      <c r="L296" s="157"/>
      <c r="M296" s="157"/>
    </row>
    <row r="297" spans="1:13" x14ac:dyDescent="0.25">
      <c r="A297" t="s">
        <v>2</v>
      </c>
      <c r="B297" t="s">
        <v>1</v>
      </c>
      <c r="C297" t="s">
        <v>404</v>
      </c>
      <c r="E297" t="s">
        <v>17</v>
      </c>
      <c r="F297" t="str">
        <f>Foderstater!Y$78</f>
        <v>wheat</v>
      </c>
      <c r="J297" t="s">
        <v>307</v>
      </c>
      <c r="K297" s="13">
        <f>INDEX(Foderstater!$AB$72:$AT$110,MATCH(F297,Foderstater!$Y$72:$Y$110,0),MATCH(A297&amp;B297&amp;C297&amp;E297,Foderstater!$AB$71:$AT$71,0))</f>
        <v>5.0974881237730667</v>
      </c>
      <c r="L297" s="157"/>
      <c r="M297" s="157"/>
    </row>
    <row r="298" spans="1:13" x14ac:dyDescent="0.25">
      <c r="A298" t="s">
        <v>2</v>
      </c>
      <c r="B298" t="s">
        <v>1</v>
      </c>
      <c r="C298" t="s">
        <v>404</v>
      </c>
      <c r="E298" t="s">
        <v>17</v>
      </c>
      <c r="F298" t="str">
        <f>Foderstater!Y$79</f>
        <v>barley</v>
      </c>
      <c r="J298" t="s">
        <v>307</v>
      </c>
      <c r="K298" s="13">
        <f>INDEX(Foderstater!$AB$72:$AT$110,MATCH(F298,Foderstater!$Y$72:$Y$110,0),MATCH(A298&amp;B298&amp;C298&amp;E298,Foderstater!$AB$71:$AT$71,0))</f>
        <v>8.404170018075888</v>
      </c>
      <c r="L298" s="157"/>
      <c r="M298" s="157"/>
    </row>
    <row r="299" spans="1:13" x14ac:dyDescent="0.25">
      <c r="A299" t="s">
        <v>2</v>
      </c>
      <c r="B299" t="s">
        <v>1</v>
      </c>
      <c r="C299" t="s">
        <v>404</v>
      </c>
      <c r="E299" t="s">
        <v>17</v>
      </c>
      <c r="F299" t="str">
        <f>Foderstater!Y$80</f>
        <v>oats</v>
      </c>
      <c r="J299" t="s">
        <v>307</v>
      </c>
      <c r="K299" s="13">
        <f>INDEX(Foderstater!$AB$72:$AT$110,MATCH(F299,Foderstater!$Y$72:$Y$110,0),MATCH(A299&amp;B299&amp;C299&amp;E299,Foderstater!$AB$71:$AT$71,0))</f>
        <v>2.0416884227683041</v>
      </c>
      <c r="L299" s="157"/>
      <c r="M299" s="157"/>
    </row>
    <row r="300" spans="1:13" x14ac:dyDescent="0.25">
      <c r="A300" t="s">
        <v>2</v>
      </c>
      <c r="B300" t="s">
        <v>1</v>
      </c>
      <c r="C300" t="s">
        <v>404</v>
      </c>
      <c r="E300" t="s">
        <v>17</v>
      </c>
      <c r="F300" t="str">
        <f>Foderstater!Y$81</f>
        <v>triticale</v>
      </c>
      <c r="J300" t="s">
        <v>307</v>
      </c>
      <c r="K300" s="13">
        <f>INDEX(Foderstater!$AB$72:$AT$110,MATCH(F300,Foderstater!$Y$72:$Y$110,0),MATCH(A300&amp;B300&amp;C300&amp;E300,Foderstater!$AB$71:$AT$71,0))</f>
        <v>2.6355687688154275</v>
      </c>
      <c r="L300" s="157"/>
      <c r="M300" s="157"/>
    </row>
    <row r="301" spans="1:13" x14ac:dyDescent="0.25">
      <c r="A301" t="s">
        <v>2</v>
      </c>
      <c r="B301" t="s">
        <v>1</v>
      </c>
      <c r="C301" t="s">
        <v>404</v>
      </c>
      <c r="E301" t="s">
        <v>17</v>
      </c>
      <c r="F301" t="str">
        <f>Foderstater!Y$82</f>
        <v>rye</v>
      </c>
      <c r="J301" t="s">
        <v>307</v>
      </c>
      <c r="K301" s="13">
        <f>INDEX(Foderstater!$AB$72:$AT$110,MATCH(F301,Foderstater!$Y$72:$Y$110,0),MATCH(A301&amp;B301&amp;C301&amp;E301,Foderstater!$AB$71:$AT$71,0))</f>
        <v>1.7420276725880934E-2</v>
      </c>
      <c r="L301" s="157"/>
      <c r="M301" s="157"/>
    </row>
    <row r="302" spans="1:13" x14ac:dyDescent="0.25">
      <c r="A302" t="s">
        <v>2</v>
      </c>
      <c r="B302" t="s">
        <v>1</v>
      </c>
      <c r="C302" t="s">
        <v>404</v>
      </c>
      <c r="E302" t="s">
        <v>17</v>
      </c>
      <c r="F302" t="str">
        <f>Foderstater!Y$83</f>
        <v>maize</v>
      </c>
      <c r="J302" t="s">
        <v>307</v>
      </c>
      <c r="K302" s="13">
        <f>INDEX(Foderstater!$AB$72:$AT$110,MATCH(F302,Foderstater!$Y$72:$Y$110,0),MATCH(A302&amp;B302&amp;C302&amp;E302,Foderstater!$AB$71:$AT$71,0))</f>
        <v>0.6150281680723525</v>
      </c>
      <c r="L302" s="157"/>
      <c r="M302" s="157"/>
    </row>
    <row r="303" spans="1:13" x14ac:dyDescent="0.25">
      <c r="A303" t="s">
        <v>2</v>
      </c>
      <c r="B303" t="s">
        <v>1</v>
      </c>
      <c r="C303" t="s">
        <v>404</v>
      </c>
      <c r="E303" t="s">
        <v>17</v>
      </c>
      <c r="F303" t="str">
        <f>Foderstater!Y$84</f>
        <v>peas</v>
      </c>
      <c r="J303" t="s">
        <v>307</v>
      </c>
      <c r="K303" s="13">
        <f>INDEX(Foderstater!$AB$72:$AT$110,MATCH(F303,Foderstater!$Y$72:$Y$110,0),MATCH(A303&amp;B303&amp;C303&amp;E303,Foderstater!$AB$71:$AT$71,0))</f>
        <v>9.6119233524986178E-2</v>
      </c>
      <c r="L303" s="157"/>
      <c r="M303" s="157"/>
    </row>
    <row r="304" spans="1:13" x14ac:dyDescent="0.25">
      <c r="A304" t="s">
        <v>2</v>
      </c>
      <c r="B304" t="s">
        <v>1</v>
      </c>
      <c r="C304" t="s">
        <v>404</v>
      </c>
      <c r="E304" t="s">
        <v>17</v>
      </c>
      <c r="F304" t="str">
        <f>Foderstater!Y$85</f>
        <v>broad beans</v>
      </c>
      <c r="J304" t="s">
        <v>307</v>
      </c>
      <c r="K304" s="13">
        <f>INDEX(Foderstater!$AB$72:$AT$110,MATCH(F304,Foderstater!$Y$72:$Y$110,0),MATCH(A304&amp;B304&amp;C304&amp;E304,Foderstater!$AB$71:$AT$71,0))</f>
        <v>0.33029420131428044</v>
      </c>
      <c r="L304" s="157"/>
      <c r="M304" s="157"/>
    </row>
    <row r="305" spans="1:13" x14ac:dyDescent="0.25">
      <c r="A305" t="s">
        <v>2</v>
      </c>
      <c r="B305" t="s">
        <v>1</v>
      </c>
      <c r="C305" t="s">
        <v>404</v>
      </c>
      <c r="E305" t="s">
        <v>17</v>
      </c>
      <c r="F305" t="str">
        <f>Foderstater!Y$86</f>
        <v>rapeseed</v>
      </c>
      <c r="J305" t="s">
        <v>307</v>
      </c>
      <c r="K305" s="13">
        <f>INDEX(Foderstater!$AB$72:$AT$110,MATCH(F305,Foderstater!$Y$72:$Y$110,0),MATCH(A305&amp;B305&amp;C305&amp;E305,Foderstater!$AB$71:$AT$71,0))</f>
        <v>5.2287040112895822</v>
      </c>
      <c r="L305" s="157"/>
      <c r="M305" s="157"/>
    </row>
    <row r="306" spans="1:13" x14ac:dyDescent="0.25">
      <c r="A306" t="s">
        <v>2</v>
      </c>
      <c r="B306" t="s">
        <v>1</v>
      </c>
      <c r="C306" t="s">
        <v>404</v>
      </c>
      <c r="E306" t="s">
        <v>17</v>
      </c>
      <c r="F306" t="str">
        <f>Foderstater!Y$87</f>
        <v>linseed</v>
      </c>
      <c r="J306" t="s">
        <v>307</v>
      </c>
      <c r="K306" s="13">
        <f>INDEX(Foderstater!$AB$72:$AT$110,MATCH(F306,Foderstater!$Y$72:$Y$110,0),MATCH(A306&amp;B306&amp;C306&amp;E306,Foderstater!$AB$71:$AT$71,0))</f>
        <v>3.8569994694707295E-3</v>
      </c>
      <c r="L306" s="157"/>
      <c r="M306" s="157"/>
    </row>
    <row r="307" spans="1:13" x14ac:dyDescent="0.25">
      <c r="A307" t="s">
        <v>2</v>
      </c>
      <c r="B307" t="s">
        <v>1</v>
      </c>
      <c r="C307" t="s">
        <v>404</v>
      </c>
      <c r="E307" t="s">
        <v>17</v>
      </c>
      <c r="F307" t="str">
        <f>Foderstater!Y$88</f>
        <v>vegetable oils</v>
      </c>
      <c r="J307" t="s">
        <v>307</v>
      </c>
      <c r="K307" s="13">
        <f>INDEX(Foderstater!$AB$72:$AT$110,MATCH(F307,Foderstater!$Y$72:$Y$110,0),MATCH(A307&amp;B307&amp;C307&amp;E307,Foderstater!$AB$71:$AT$71,0))</f>
        <v>9.957591958992984E-2</v>
      </c>
      <c r="L307" s="157"/>
      <c r="M307" s="157"/>
    </row>
    <row r="308" spans="1:13" x14ac:dyDescent="0.25">
      <c r="A308" t="s">
        <v>2</v>
      </c>
      <c r="B308" t="s">
        <v>1</v>
      </c>
      <c r="C308" t="s">
        <v>404</v>
      </c>
      <c r="E308" t="s">
        <v>17</v>
      </c>
      <c r="F308" t="str">
        <f>Foderstater!Y$89</f>
        <v>soybeans</v>
      </c>
      <c r="J308" t="s">
        <v>307</v>
      </c>
      <c r="K308" s="13">
        <f>INDEX(Foderstater!$AB$72:$AT$110,MATCH(F308,Foderstater!$Y$72:$Y$110,0),MATCH(A308&amp;B308&amp;C308&amp;E308,Foderstater!$AB$71:$AT$71,0))</f>
        <v>9.7308622107391843E-2</v>
      </c>
      <c r="L308" s="157"/>
      <c r="M308" s="157"/>
    </row>
    <row r="309" spans="1:13" x14ac:dyDescent="0.25">
      <c r="A309" t="s">
        <v>2</v>
      </c>
      <c r="B309" t="s">
        <v>1</v>
      </c>
      <c r="C309" t="s">
        <v>404</v>
      </c>
      <c r="E309" t="s">
        <v>17</v>
      </c>
      <c r="F309" t="str">
        <f>Foderstater!Y$90</f>
        <v>soybean meal</v>
      </c>
      <c r="J309" t="s">
        <v>307</v>
      </c>
      <c r="K309" s="13">
        <f>INDEX(Foderstater!$AB$72:$AT$110,MATCH(F309,Foderstater!$Y$72:$Y$110,0),MATCH(A309&amp;B309&amp;C309&amp;E309,Foderstater!$AB$71:$AT$71,0))</f>
        <v>0.88887815787688529</v>
      </c>
      <c r="L309" s="157"/>
      <c r="M309" s="157"/>
    </row>
    <row r="310" spans="1:13" x14ac:dyDescent="0.25">
      <c r="A310" t="s">
        <v>2</v>
      </c>
      <c r="B310" t="s">
        <v>1</v>
      </c>
      <c r="C310" t="s">
        <v>404</v>
      </c>
      <c r="E310" t="s">
        <v>17</v>
      </c>
      <c r="F310" t="str">
        <f>Foderstater!Y$91</f>
        <v>soybean protein concentrate</v>
      </c>
      <c r="J310" t="s">
        <v>307</v>
      </c>
      <c r="K310" s="13">
        <f>INDEX(Foderstater!$AB$72:$AT$110,MATCH(F310,Foderstater!$Y$72:$Y$110,0),MATCH(A310&amp;B310&amp;C310&amp;E310,Foderstater!$AB$71:$AT$71,0))</f>
        <v>0</v>
      </c>
      <c r="L310" s="157"/>
      <c r="M310" s="157"/>
    </row>
    <row r="311" spans="1:13" x14ac:dyDescent="0.25">
      <c r="A311" t="s">
        <v>2</v>
      </c>
      <c r="B311" t="s">
        <v>1</v>
      </c>
      <c r="C311" t="s">
        <v>404</v>
      </c>
      <c r="E311" t="s">
        <v>17</v>
      </c>
      <c r="F311" t="str">
        <f>Foderstater!Y$92</f>
        <v>rapeseed meal</v>
      </c>
      <c r="J311" t="s">
        <v>307</v>
      </c>
      <c r="K311" s="13">
        <f>INDEX(Foderstater!$AB$72:$AT$110,MATCH(F311,Foderstater!$Y$72:$Y$110,0),MATCH(A311&amp;B311&amp;C311&amp;E311,Foderstater!$AB$71:$AT$71,0))</f>
        <v>6.8653684247374684</v>
      </c>
      <c r="L311" s="157"/>
      <c r="M311" s="157"/>
    </row>
    <row r="312" spans="1:13" x14ac:dyDescent="0.25">
      <c r="A312" t="s">
        <v>2</v>
      </c>
      <c r="B312" t="s">
        <v>1</v>
      </c>
      <c r="C312" t="s">
        <v>404</v>
      </c>
      <c r="E312" t="s">
        <v>17</v>
      </c>
      <c r="F312" t="str">
        <f>Foderstater!Y$93</f>
        <v>rapeseed cake</v>
      </c>
      <c r="J312" t="s">
        <v>307</v>
      </c>
      <c r="K312" s="13">
        <f>INDEX(Foderstater!$AB$72:$AT$110,MATCH(F312,Foderstater!$Y$72:$Y$110,0),MATCH(A312&amp;B312&amp;C312&amp;E312,Foderstater!$AB$71:$AT$71,0))</f>
        <v>0</v>
      </c>
      <c r="L312" s="157"/>
      <c r="M312" s="157"/>
    </row>
    <row r="313" spans="1:13" x14ac:dyDescent="0.25">
      <c r="A313" t="s">
        <v>2</v>
      </c>
      <c r="B313" t="s">
        <v>1</v>
      </c>
      <c r="C313" t="s">
        <v>404</v>
      </c>
      <c r="E313" t="s">
        <v>17</v>
      </c>
      <c r="F313" t="str">
        <f>Foderstater!Y$94</f>
        <v>sunflower seed meal</v>
      </c>
      <c r="J313" t="s">
        <v>307</v>
      </c>
      <c r="K313" s="13">
        <f>INDEX(Foderstater!$AB$72:$AT$110,MATCH(F313,Foderstater!$Y$72:$Y$110,0),MATCH(A313&amp;B313&amp;C313&amp;E313,Foderstater!$AB$71:$AT$71,0))</f>
        <v>9.4838419579113625E-2</v>
      </c>
    </row>
    <row r="314" spans="1:13" x14ac:dyDescent="0.25">
      <c r="A314" t="s">
        <v>2</v>
      </c>
      <c r="B314" t="s">
        <v>1</v>
      </c>
      <c r="C314" t="s">
        <v>404</v>
      </c>
      <c r="E314" t="s">
        <v>17</v>
      </c>
      <c r="F314" t="str">
        <f>Foderstater!Y$95</f>
        <v>palm kernel expeller</v>
      </c>
      <c r="J314" t="s">
        <v>307</v>
      </c>
      <c r="K314" s="13">
        <f>INDEX(Foderstater!$AB$72:$AT$110,MATCH(F314,Foderstater!$Y$72:$Y$110,0),MATCH(A314&amp;B314&amp;C314&amp;E314,Foderstater!$AB$71:$AT$71,0))</f>
        <v>0.61625238331975196</v>
      </c>
    </row>
    <row r="315" spans="1:13" x14ac:dyDescent="0.25">
      <c r="A315" t="s">
        <v>2</v>
      </c>
      <c r="B315" t="s">
        <v>1</v>
      </c>
      <c r="C315" t="s">
        <v>404</v>
      </c>
      <c r="E315" t="s">
        <v>17</v>
      </c>
      <c r="F315" t="str">
        <f>Foderstater!Y$96</f>
        <v>luzern meal</v>
      </c>
      <c r="J315" t="s">
        <v>307</v>
      </c>
      <c r="K315" s="13">
        <f>INDEX(Foderstater!$AB$72:$AT$110,MATCH(F315,Foderstater!$Y$72:$Y$110,0),MATCH(A315&amp;B315&amp;C315&amp;E315,Foderstater!$AB$71:$AT$71,0))</f>
        <v>0.18745720825786316</v>
      </c>
    </row>
    <row r="316" spans="1:13" x14ac:dyDescent="0.25">
      <c r="A316" t="s">
        <v>2</v>
      </c>
      <c r="B316" t="s">
        <v>1</v>
      </c>
      <c r="C316" t="s">
        <v>404</v>
      </c>
      <c r="E316" t="s">
        <v>17</v>
      </c>
      <c r="F316" t="str">
        <f>Foderstater!Y$97</f>
        <v>wheat bran</v>
      </c>
      <c r="J316" t="s">
        <v>307</v>
      </c>
      <c r="K316" s="13">
        <f>INDEX(Foderstater!$AB$72:$AT$110,MATCH(F316,Foderstater!$Y$72:$Y$110,0),MATCH(A316&amp;B316&amp;C316&amp;E316,Foderstater!$AB$71:$AT$71,0))</f>
        <v>2.0423714635193808</v>
      </c>
    </row>
    <row r="317" spans="1:13" x14ac:dyDescent="0.25">
      <c r="A317" t="s">
        <v>2</v>
      </c>
      <c r="B317" t="s">
        <v>1</v>
      </c>
      <c r="C317" t="s">
        <v>404</v>
      </c>
      <c r="E317" t="s">
        <v>17</v>
      </c>
      <c r="F317" t="str">
        <f>Foderstater!Y$98</f>
        <v>wheat bran, fine</v>
      </c>
      <c r="J317" t="s">
        <v>307</v>
      </c>
      <c r="K317" s="13">
        <f>INDEX(Foderstater!$AB$72:$AT$110,MATCH(F317,Foderstater!$Y$72:$Y$110,0),MATCH(A317&amp;B317&amp;C317&amp;E317,Foderstater!$AB$71:$AT$71,0))</f>
        <v>5.3539448640650723E-3</v>
      </c>
    </row>
    <row r="318" spans="1:13" x14ac:dyDescent="0.25">
      <c r="A318" t="s">
        <v>2</v>
      </c>
      <c r="B318" t="s">
        <v>1</v>
      </c>
      <c r="C318" t="s">
        <v>404</v>
      </c>
      <c r="E318" t="s">
        <v>17</v>
      </c>
      <c r="F318" t="str">
        <f>Foderstater!Y$99</f>
        <v>oat hulls</v>
      </c>
      <c r="J318" t="s">
        <v>307</v>
      </c>
      <c r="K318" s="13">
        <f>INDEX(Foderstater!$AB$72:$AT$110,MATCH(F318,Foderstater!$Y$72:$Y$110,0),MATCH(A318&amp;B318&amp;C318&amp;E318,Foderstater!$AB$71:$AT$71,0))</f>
        <v>0.24598378379417407</v>
      </c>
    </row>
    <row r="319" spans="1:13" x14ac:dyDescent="0.25">
      <c r="A319" t="s">
        <v>2</v>
      </c>
      <c r="B319" t="s">
        <v>1</v>
      </c>
      <c r="C319" t="s">
        <v>404</v>
      </c>
      <c r="E319" t="s">
        <v>17</v>
      </c>
      <c r="F319" t="str">
        <f>Foderstater!Y$100</f>
        <v>oat bran</v>
      </c>
      <c r="J319" t="s">
        <v>307</v>
      </c>
      <c r="K319" s="13">
        <f>INDEX(Foderstater!$AB$72:$AT$110,MATCH(F319,Foderstater!$Y$72:$Y$110,0),MATCH(A319&amp;B319&amp;C319&amp;E319,Foderstater!$AB$71:$AT$71,0))</f>
        <v>2.77620480868788E-2</v>
      </c>
    </row>
    <row r="320" spans="1:13" x14ac:dyDescent="0.25">
      <c r="A320" t="s">
        <v>2</v>
      </c>
      <c r="B320" t="s">
        <v>1</v>
      </c>
      <c r="C320" t="s">
        <v>404</v>
      </c>
      <c r="E320" t="s">
        <v>17</v>
      </c>
      <c r="F320" t="str">
        <f>Foderstater!Y$101</f>
        <v>rye bran</v>
      </c>
      <c r="J320" t="s">
        <v>307</v>
      </c>
      <c r="K320" s="13">
        <f>INDEX(Foderstater!$AB$72:$AT$110,MATCH(F320,Foderstater!$Y$72:$Y$110,0),MATCH(A320&amp;B320&amp;C320&amp;E320,Foderstater!$AB$71:$AT$71,0))</f>
        <v>8.5618457243544915E-2</v>
      </c>
    </row>
    <row r="321" spans="1:13" x14ac:dyDescent="0.25">
      <c r="A321" t="s">
        <v>2</v>
      </c>
      <c r="B321" t="s">
        <v>1</v>
      </c>
      <c r="C321" t="s">
        <v>404</v>
      </c>
      <c r="E321" t="s">
        <v>17</v>
      </c>
      <c r="F321" t="str">
        <f>Foderstater!Y$102</f>
        <v>wheat distillers grain, dry</v>
      </c>
      <c r="J321" t="s">
        <v>307</v>
      </c>
      <c r="K321" s="13">
        <f>INDEX(Foderstater!$AB$72:$AT$110,MATCH(F321,Foderstater!$Y$72:$Y$110,0),MATCH(A321&amp;B321&amp;C321&amp;E321,Foderstater!$AB$71:$AT$71,0))</f>
        <v>2.1953552977488813</v>
      </c>
    </row>
    <row r="322" spans="1:13" x14ac:dyDescent="0.25">
      <c r="A322" t="s">
        <v>2</v>
      </c>
      <c r="B322" t="s">
        <v>1</v>
      </c>
      <c r="C322" t="s">
        <v>404</v>
      </c>
      <c r="E322" t="s">
        <v>17</v>
      </c>
      <c r="F322" t="str">
        <f>Foderstater!Y$103</f>
        <v>barley brewers grain</v>
      </c>
      <c r="J322" t="s">
        <v>307</v>
      </c>
      <c r="K322" s="13">
        <f>INDEX(Foderstater!$AB$72:$AT$110,MATCH(F322,Foderstater!$Y$72:$Y$110,0),MATCH(A322&amp;B322&amp;C322&amp;E322,Foderstater!$AB$71:$AT$71,0))</f>
        <v>0</v>
      </c>
    </row>
    <row r="323" spans="1:13" x14ac:dyDescent="0.25">
      <c r="A323" t="s">
        <v>2</v>
      </c>
      <c r="B323" t="s">
        <v>1</v>
      </c>
      <c r="C323" t="s">
        <v>404</v>
      </c>
      <c r="E323" t="s">
        <v>17</v>
      </c>
      <c r="F323" t="str">
        <f>Foderstater!Y$104</f>
        <v>maize gluten meal</v>
      </c>
      <c r="J323" t="s">
        <v>307</v>
      </c>
      <c r="K323" s="13">
        <f>INDEX(Foderstater!$AB$72:$AT$110,MATCH(F323,Foderstater!$Y$72:$Y$110,0),MATCH(A323&amp;B323&amp;C323&amp;E323,Foderstater!$AB$71:$AT$71,0))</f>
        <v>6.6336745025503241E-2</v>
      </c>
    </row>
    <row r="324" spans="1:13" x14ac:dyDescent="0.25">
      <c r="A324" t="s">
        <v>2</v>
      </c>
      <c r="B324" t="s">
        <v>1</v>
      </c>
      <c r="C324" t="s">
        <v>404</v>
      </c>
      <c r="E324" t="s">
        <v>17</v>
      </c>
      <c r="F324" t="str">
        <f>Foderstater!Y$105</f>
        <v>sugar beet molasses</v>
      </c>
      <c r="J324" t="s">
        <v>307</v>
      </c>
      <c r="K324" s="13">
        <f>INDEX(Foderstater!$AB$72:$AT$110,MATCH(F324,Foderstater!$Y$72:$Y$110,0),MATCH(A324&amp;B324&amp;C324&amp;E324,Foderstater!$AB$71:$AT$71,0))</f>
        <v>0.73563427238161927</v>
      </c>
    </row>
    <row r="325" spans="1:13" x14ac:dyDescent="0.25">
      <c r="A325" t="s">
        <v>2</v>
      </c>
      <c r="B325" t="s">
        <v>1</v>
      </c>
      <c r="C325" t="s">
        <v>404</v>
      </c>
      <c r="E325" t="s">
        <v>17</v>
      </c>
      <c r="F325" t="str">
        <f>Foderstater!Y$106</f>
        <v>sugar beet pulp</v>
      </c>
      <c r="J325" t="s">
        <v>307</v>
      </c>
      <c r="K325" s="13">
        <f>INDEX(Foderstater!$AB$72:$AT$110,MATCH(F325,Foderstater!$Y$72:$Y$110,0),MATCH(A325&amp;B325&amp;C325&amp;E325,Foderstater!$AB$71:$AT$71,0))</f>
        <v>1.4194645139923689</v>
      </c>
    </row>
    <row r="326" spans="1:13" x14ac:dyDescent="0.25">
      <c r="A326" t="s">
        <v>2</v>
      </c>
      <c r="B326" t="s">
        <v>1</v>
      </c>
      <c r="C326" t="s">
        <v>404</v>
      </c>
      <c r="E326" t="s">
        <v>17</v>
      </c>
      <c r="F326" t="str">
        <f>Foderstater!Y$107</f>
        <v>whey powder</v>
      </c>
      <c r="J326" t="s">
        <v>307</v>
      </c>
      <c r="K326" s="13">
        <f>INDEX(Foderstater!$AB$72:$AT$110,MATCH(F326,Foderstater!$Y$72:$Y$110,0),MATCH(A326&amp;B326&amp;C326&amp;E326,Foderstater!$AB$71:$AT$71,0))</f>
        <v>0</v>
      </c>
    </row>
    <row r="327" spans="1:13" x14ac:dyDescent="0.25">
      <c r="A327" t="s">
        <v>2</v>
      </c>
      <c r="B327" t="s">
        <v>1</v>
      </c>
      <c r="C327" t="s">
        <v>404</v>
      </c>
      <c r="E327" t="s">
        <v>17</v>
      </c>
      <c r="F327" t="str">
        <f>Foderstater!Y$108</f>
        <v>potatoe protein</v>
      </c>
      <c r="J327" t="s">
        <v>307</v>
      </c>
      <c r="K327" s="13">
        <f>INDEX(Foderstater!$AB$72:$AT$110,MATCH(F327,Foderstater!$Y$72:$Y$110,0),MATCH(A327&amp;B327&amp;C327&amp;E327,Foderstater!$AB$71:$AT$71,0))</f>
        <v>6.4986728649744927E-3</v>
      </c>
    </row>
    <row r="328" spans="1:13" x14ac:dyDescent="0.25">
      <c r="A328" t="s">
        <v>2</v>
      </c>
      <c r="B328" t="s">
        <v>1</v>
      </c>
      <c r="C328" t="s">
        <v>404</v>
      </c>
      <c r="E328" t="s">
        <v>17</v>
      </c>
      <c r="F328" t="str">
        <f>Foderstater!Y$109</f>
        <v>fish meal</v>
      </c>
      <c r="J328" t="s">
        <v>307</v>
      </c>
      <c r="K328" s="13">
        <f>INDEX(Foderstater!$AB$72:$AT$110,MATCH(F328,Foderstater!$Y$72:$Y$110,0),MATCH(A328&amp;B328&amp;C328&amp;E328,Foderstater!$AB$71:$AT$71,0))</f>
        <v>0</v>
      </c>
    </row>
    <row r="329" spans="1:13" x14ac:dyDescent="0.25">
      <c r="A329" t="s">
        <v>2</v>
      </c>
      <c r="B329" t="s">
        <v>1</v>
      </c>
      <c r="C329" t="s">
        <v>404</v>
      </c>
      <c r="E329" t="s">
        <v>17</v>
      </c>
      <c r="F329" t="str">
        <f>Foderstater!Y$110</f>
        <v>minerals</v>
      </c>
      <c r="J329" t="s">
        <v>307</v>
      </c>
      <c r="K329" s="13">
        <f>INDEX(Foderstater!$AB$72:$AT$110,MATCH(F329,Foderstater!$Y$72:$Y$110,0),MATCH(A329&amp;B329&amp;C329&amp;E329,Foderstater!$AB$71:$AT$71,0))</f>
        <v>0.83716818155279793</v>
      </c>
    </row>
    <row r="330" spans="1:13" x14ac:dyDescent="0.25">
      <c r="K330" s="13"/>
    </row>
    <row r="331" spans="1:13" x14ac:dyDescent="0.25">
      <c r="A331" s="157" t="s">
        <v>2</v>
      </c>
      <c r="B331" s="157" t="s">
        <v>5</v>
      </c>
      <c r="C331" s="157"/>
      <c r="D331" s="157"/>
      <c r="E331" s="157" t="s">
        <v>17</v>
      </c>
      <c r="J331" s="157" t="s">
        <v>307</v>
      </c>
      <c r="K331" s="157">
        <v>0</v>
      </c>
      <c r="L331" s="157"/>
      <c r="M331" s="157" t="s">
        <v>398</v>
      </c>
    </row>
    <row r="332" spans="1:13" x14ac:dyDescent="0.25">
      <c r="A332" t="s">
        <v>2</v>
      </c>
      <c r="B332" t="s">
        <v>5</v>
      </c>
      <c r="E332" t="s">
        <v>17</v>
      </c>
      <c r="F332" t="str">
        <f>Foderstater!Y$72</f>
        <v>ley silage, 1st cut</v>
      </c>
      <c r="J332" t="s">
        <v>307</v>
      </c>
      <c r="K332" s="13">
        <f>INDEX(Foderstater!$AB$72:$AT$110,MATCH(F332,Foderstater!$Y$72:$Y$110,0),MATCH(A332&amp;B332&amp;C332&amp;E332,Foderstater!$AB$71:$AT$71,0))</f>
        <v>49.528526368214258</v>
      </c>
      <c r="L332" s="157"/>
      <c r="M332" s="157"/>
    </row>
    <row r="333" spans="1:13" x14ac:dyDescent="0.25">
      <c r="A333" t="s">
        <v>2</v>
      </c>
      <c r="B333" t="s">
        <v>5</v>
      </c>
      <c r="E333" t="s">
        <v>17</v>
      </c>
      <c r="F333" t="str">
        <f>Foderstater!Y$73</f>
        <v>ley silage, regrowth</v>
      </c>
      <c r="J333" t="s">
        <v>307</v>
      </c>
      <c r="K333" s="13">
        <f>INDEX(Foderstater!$AB$72:$AT$110,MATCH(F333,Foderstater!$Y$72:$Y$110,0),MATCH(A333&amp;B333&amp;C333&amp;E333,Foderstater!$AB$71:$AT$71,0))</f>
        <v>0</v>
      </c>
      <c r="L333" s="157"/>
      <c r="M333" s="157"/>
    </row>
    <row r="334" spans="1:13" x14ac:dyDescent="0.25">
      <c r="A334" t="s">
        <v>2</v>
      </c>
      <c r="B334" t="s">
        <v>5</v>
      </c>
      <c r="E334" t="s">
        <v>17</v>
      </c>
      <c r="F334" t="str">
        <f>Foderstater!Y$74</f>
        <v>other silage</v>
      </c>
      <c r="J334" t="s">
        <v>307</v>
      </c>
      <c r="K334" s="13">
        <f>INDEX(Foderstater!$AB$72:$AT$110,MATCH(F334,Foderstater!$Y$72:$Y$110,0),MATCH(A334&amp;B334&amp;C334&amp;E334,Foderstater!$AB$71:$AT$71,0))</f>
        <v>6.9586630512976573</v>
      </c>
      <c r="L334" s="157"/>
      <c r="M334" s="157"/>
    </row>
    <row r="335" spans="1:13" x14ac:dyDescent="0.25">
      <c r="A335" t="s">
        <v>2</v>
      </c>
      <c r="B335" t="s">
        <v>5</v>
      </c>
      <c r="E335" t="s">
        <v>17</v>
      </c>
      <c r="F335" t="str">
        <f>Foderstater!Y$75</f>
        <v>maize silage</v>
      </c>
      <c r="J335" t="s">
        <v>307</v>
      </c>
      <c r="K335" s="13">
        <f>INDEX(Foderstater!$AB$72:$AT$110,MATCH(F335,Foderstater!$Y$72:$Y$110,0),MATCH(A335&amp;B335&amp;C335&amp;E335,Foderstater!$AB$71:$AT$71,0))</f>
        <v>0</v>
      </c>
      <c r="L335" s="157"/>
      <c r="M335" s="157"/>
    </row>
    <row r="336" spans="1:13" x14ac:dyDescent="0.25">
      <c r="A336" t="s">
        <v>2</v>
      </c>
      <c r="B336" t="s">
        <v>5</v>
      </c>
      <c r="E336" t="s">
        <v>17</v>
      </c>
      <c r="F336" t="str">
        <f>Foderstater!Y$76</f>
        <v>straw</v>
      </c>
      <c r="J336" t="s">
        <v>307</v>
      </c>
      <c r="K336" s="13">
        <f>INDEX(Foderstater!$AB$72:$AT$110,MATCH(F336,Foderstater!$Y$72:$Y$110,0),MATCH(A336&amp;B336&amp;C336&amp;E336,Foderstater!$AB$71:$AT$71,0))</f>
        <v>0</v>
      </c>
      <c r="L336" s="157"/>
      <c r="M336" s="157"/>
    </row>
    <row r="337" spans="1:13" x14ac:dyDescent="0.25">
      <c r="A337" t="s">
        <v>2</v>
      </c>
      <c r="B337" t="s">
        <v>5</v>
      </c>
      <c r="E337" t="s">
        <v>17</v>
      </c>
      <c r="F337" t="str">
        <f>Foderstater!Y$77</f>
        <v>grazing</v>
      </c>
      <c r="J337" t="s">
        <v>307</v>
      </c>
      <c r="K337" s="13">
        <f>INDEX(Foderstater!$AB$72:$AT$110,MATCH(F337,Foderstater!$Y$72:$Y$110,0),MATCH(A337&amp;B337&amp;C337&amp;E337,Foderstater!$AB$71:$AT$71,0))</f>
        <v>10.797410215262019</v>
      </c>
      <c r="L337" s="157"/>
      <c r="M337" s="157"/>
    </row>
    <row r="338" spans="1:13" x14ac:dyDescent="0.25">
      <c r="A338" t="s">
        <v>2</v>
      </c>
      <c r="B338" t="s">
        <v>5</v>
      </c>
      <c r="E338" t="s">
        <v>17</v>
      </c>
      <c r="F338" t="str">
        <f>Foderstater!Y$78</f>
        <v>wheat</v>
      </c>
      <c r="J338" t="s">
        <v>307</v>
      </c>
      <c r="K338" s="13">
        <f>INDEX(Foderstater!$AB$72:$AT$110,MATCH(F338,Foderstater!$Y$72:$Y$110,0),MATCH(A338&amp;B338&amp;C338&amp;E338,Foderstater!$AB$71:$AT$71,0))</f>
        <v>5.1396453111321856</v>
      </c>
      <c r="L338" s="157"/>
      <c r="M338" s="157"/>
    </row>
    <row r="339" spans="1:13" x14ac:dyDescent="0.25">
      <c r="A339" t="s">
        <v>2</v>
      </c>
      <c r="B339" t="s">
        <v>5</v>
      </c>
      <c r="E339" t="s">
        <v>17</v>
      </c>
      <c r="F339" t="str">
        <f>Foderstater!Y$79</f>
        <v>barley</v>
      </c>
      <c r="J339" t="s">
        <v>307</v>
      </c>
      <c r="K339" s="13">
        <f>INDEX(Foderstater!$AB$72:$AT$110,MATCH(F339,Foderstater!$Y$72:$Y$110,0),MATCH(A339&amp;B339&amp;C339&amp;E339,Foderstater!$AB$71:$AT$71,0))</f>
        <v>10.549605420990108</v>
      </c>
      <c r="L339" s="157"/>
      <c r="M339" s="157"/>
    </row>
    <row r="340" spans="1:13" x14ac:dyDescent="0.25">
      <c r="A340" t="s">
        <v>2</v>
      </c>
      <c r="B340" t="s">
        <v>5</v>
      </c>
      <c r="E340" t="s">
        <v>17</v>
      </c>
      <c r="F340" t="str">
        <f>Foderstater!Y$80</f>
        <v>oats</v>
      </c>
      <c r="J340" t="s">
        <v>307</v>
      </c>
      <c r="K340" s="13">
        <f>INDEX(Foderstater!$AB$72:$AT$110,MATCH(F340,Foderstater!$Y$72:$Y$110,0),MATCH(A340&amp;B340&amp;C340&amp;E340,Foderstater!$AB$71:$AT$71,0))</f>
        <v>2.1801706078495133</v>
      </c>
      <c r="L340" s="157"/>
      <c r="M340" s="157"/>
    </row>
    <row r="341" spans="1:13" x14ac:dyDescent="0.25">
      <c r="A341" t="s">
        <v>2</v>
      </c>
      <c r="B341" t="s">
        <v>5</v>
      </c>
      <c r="E341" t="s">
        <v>17</v>
      </c>
      <c r="F341" t="str">
        <f>Foderstater!Y$81</f>
        <v>triticale</v>
      </c>
      <c r="J341" t="s">
        <v>307</v>
      </c>
      <c r="K341" s="13">
        <f>INDEX(Foderstater!$AB$72:$AT$110,MATCH(F341,Foderstater!$Y$72:$Y$110,0),MATCH(A341&amp;B341&amp;C341&amp;E341,Foderstater!$AB$71:$AT$71,0))</f>
        <v>4.0814944920242038</v>
      </c>
      <c r="L341" s="157"/>
      <c r="M341" s="157"/>
    </row>
    <row r="342" spans="1:13" x14ac:dyDescent="0.25">
      <c r="A342" t="s">
        <v>2</v>
      </c>
      <c r="B342" t="s">
        <v>5</v>
      </c>
      <c r="E342" t="s">
        <v>17</v>
      </c>
      <c r="F342" t="str">
        <f>Foderstater!Y$82</f>
        <v>rye</v>
      </c>
      <c r="J342" t="s">
        <v>307</v>
      </c>
      <c r="K342" s="13">
        <f>INDEX(Foderstater!$AB$72:$AT$110,MATCH(F342,Foderstater!$Y$72:$Y$110,0),MATCH(A342&amp;B342&amp;C342&amp;E342,Foderstater!$AB$71:$AT$71,0))</f>
        <v>0</v>
      </c>
      <c r="L342" s="157"/>
      <c r="M342" s="157"/>
    </row>
    <row r="343" spans="1:13" x14ac:dyDescent="0.25">
      <c r="A343" t="s">
        <v>2</v>
      </c>
      <c r="B343" t="s">
        <v>5</v>
      </c>
      <c r="E343" t="s">
        <v>17</v>
      </c>
      <c r="F343" t="str">
        <f>Foderstater!Y$83</f>
        <v>maize</v>
      </c>
      <c r="J343" t="s">
        <v>307</v>
      </c>
      <c r="K343" s="13">
        <f>INDEX(Foderstater!$AB$72:$AT$110,MATCH(F343,Foderstater!$Y$72:$Y$110,0),MATCH(A343&amp;B343&amp;C343&amp;E343,Foderstater!$AB$71:$AT$71,0))</f>
        <v>0</v>
      </c>
      <c r="L343" s="157"/>
      <c r="M343" s="157"/>
    </row>
    <row r="344" spans="1:13" x14ac:dyDescent="0.25">
      <c r="A344" t="s">
        <v>2</v>
      </c>
      <c r="B344" t="s">
        <v>5</v>
      </c>
      <c r="E344" t="s">
        <v>17</v>
      </c>
      <c r="F344" t="str">
        <f>Foderstater!Y$84</f>
        <v>peas</v>
      </c>
      <c r="J344" t="s">
        <v>307</v>
      </c>
      <c r="K344" s="13">
        <f>INDEX(Foderstater!$AB$72:$AT$110,MATCH(F344,Foderstater!$Y$72:$Y$110,0),MATCH(A344&amp;B344&amp;C344&amp;E344,Foderstater!$AB$71:$AT$71,0))</f>
        <v>0</v>
      </c>
      <c r="L344" s="157"/>
      <c r="M344" s="157"/>
    </row>
    <row r="345" spans="1:13" x14ac:dyDescent="0.25">
      <c r="A345" t="s">
        <v>2</v>
      </c>
      <c r="B345" t="s">
        <v>5</v>
      </c>
      <c r="E345" t="s">
        <v>17</v>
      </c>
      <c r="F345" t="str">
        <f>Foderstater!Y$85</f>
        <v>broad beans</v>
      </c>
      <c r="J345" t="s">
        <v>307</v>
      </c>
      <c r="K345" s="13">
        <f>INDEX(Foderstater!$AB$72:$AT$110,MATCH(F345,Foderstater!$Y$72:$Y$110,0),MATCH(A345&amp;B345&amp;C345&amp;E345,Foderstater!$AB$71:$AT$71,0))</f>
        <v>7.1730950141110057</v>
      </c>
      <c r="L345" s="157"/>
      <c r="M345" s="157"/>
    </row>
    <row r="346" spans="1:13" x14ac:dyDescent="0.25">
      <c r="A346" t="s">
        <v>2</v>
      </c>
      <c r="B346" t="s">
        <v>5</v>
      </c>
      <c r="E346" t="s">
        <v>17</v>
      </c>
      <c r="F346" t="str">
        <f>Foderstater!Y$86</f>
        <v>rapeseed</v>
      </c>
      <c r="J346" t="s">
        <v>307</v>
      </c>
      <c r="K346" s="13">
        <f>INDEX(Foderstater!$AB$72:$AT$110,MATCH(F346,Foderstater!$Y$72:$Y$110,0),MATCH(A346&amp;B346&amp;C346&amp;E346,Foderstater!$AB$71:$AT$71,0))</f>
        <v>0</v>
      </c>
      <c r="L346" s="157"/>
      <c r="M346" s="157"/>
    </row>
    <row r="347" spans="1:13" x14ac:dyDescent="0.25">
      <c r="A347" t="s">
        <v>2</v>
      </c>
      <c r="B347" t="s">
        <v>5</v>
      </c>
      <c r="E347" t="s">
        <v>17</v>
      </c>
      <c r="F347" t="str">
        <f>Foderstater!Y$87</f>
        <v>linseed</v>
      </c>
      <c r="J347" t="s">
        <v>307</v>
      </c>
      <c r="K347" s="13">
        <f>INDEX(Foderstater!$AB$72:$AT$110,MATCH(F347,Foderstater!$Y$72:$Y$110,0),MATCH(A347&amp;B347&amp;C347&amp;E347,Foderstater!$AB$71:$AT$71,0))</f>
        <v>0</v>
      </c>
      <c r="L347" s="157"/>
      <c r="M347" s="157"/>
    </row>
    <row r="348" spans="1:13" x14ac:dyDescent="0.25">
      <c r="A348" t="s">
        <v>2</v>
      </c>
      <c r="B348" t="s">
        <v>5</v>
      </c>
      <c r="E348" t="s">
        <v>17</v>
      </c>
      <c r="F348" t="str">
        <f>Foderstater!Y$88</f>
        <v>vegetable oils</v>
      </c>
      <c r="J348" t="s">
        <v>307</v>
      </c>
      <c r="K348" s="13">
        <f>INDEX(Foderstater!$AB$72:$AT$110,MATCH(F348,Foderstater!$Y$72:$Y$110,0),MATCH(A348&amp;B348&amp;C348&amp;E348,Foderstater!$AB$71:$AT$71,0))</f>
        <v>0</v>
      </c>
      <c r="L348" s="157"/>
      <c r="M348" s="157"/>
    </row>
    <row r="349" spans="1:13" x14ac:dyDescent="0.25">
      <c r="A349" t="s">
        <v>2</v>
      </c>
      <c r="B349" t="s">
        <v>5</v>
      </c>
      <c r="E349" t="s">
        <v>17</v>
      </c>
      <c r="F349" t="str">
        <f>Foderstater!Y$89</f>
        <v>soybeans</v>
      </c>
      <c r="J349" t="s">
        <v>307</v>
      </c>
      <c r="K349" s="13">
        <f>INDEX(Foderstater!$AB$72:$AT$110,MATCH(F349,Foderstater!$Y$72:$Y$110,0),MATCH(A349&amp;B349&amp;C349&amp;E349,Foderstater!$AB$71:$AT$71,0))</f>
        <v>0</v>
      </c>
      <c r="L349" s="157"/>
      <c r="M349" s="157"/>
    </row>
    <row r="350" spans="1:13" x14ac:dyDescent="0.25">
      <c r="A350" t="s">
        <v>2</v>
      </c>
      <c r="B350" t="s">
        <v>5</v>
      </c>
      <c r="E350" t="s">
        <v>17</v>
      </c>
      <c r="F350" t="str">
        <f>Foderstater!Y$90</f>
        <v>soybean meal</v>
      </c>
      <c r="J350" t="s">
        <v>307</v>
      </c>
      <c r="K350" s="13">
        <f>INDEX(Foderstater!$AB$72:$AT$110,MATCH(F350,Foderstater!$Y$72:$Y$110,0),MATCH(A350&amp;B350&amp;C350&amp;E350,Foderstater!$AB$71:$AT$71,0))</f>
        <v>0</v>
      </c>
      <c r="L350" s="157"/>
      <c r="M350" s="157"/>
    </row>
    <row r="351" spans="1:13" x14ac:dyDescent="0.25">
      <c r="A351" t="s">
        <v>2</v>
      </c>
      <c r="B351" t="s">
        <v>5</v>
      </c>
      <c r="E351" t="s">
        <v>17</v>
      </c>
      <c r="F351" t="str">
        <f>Foderstater!Y$91</f>
        <v>soybean protein concentrate</v>
      </c>
      <c r="J351" t="s">
        <v>307</v>
      </c>
      <c r="K351" s="13">
        <f>INDEX(Foderstater!$AB$72:$AT$110,MATCH(F351,Foderstater!$Y$72:$Y$110,0),MATCH(A351&amp;B351&amp;C351&amp;E351,Foderstater!$AB$71:$AT$71,0))</f>
        <v>0</v>
      </c>
      <c r="L351" s="157"/>
      <c r="M351" s="157"/>
    </row>
    <row r="352" spans="1:13" x14ac:dyDescent="0.25">
      <c r="A352" t="s">
        <v>2</v>
      </c>
      <c r="B352" t="s">
        <v>5</v>
      </c>
      <c r="E352" t="s">
        <v>17</v>
      </c>
      <c r="F352" t="str">
        <f>Foderstater!Y$92</f>
        <v>rapeseed meal</v>
      </c>
      <c r="J352" t="s">
        <v>307</v>
      </c>
      <c r="K352" s="13">
        <f>INDEX(Foderstater!$AB$72:$AT$110,MATCH(F352,Foderstater!$Y$72:$Y$110,0),MATCH(A352&amp;B352&amp;C352&amp;E352,Foderstater!$AB$71:$AT$71,0))</f>
        <v>0</v>
      </c>
      <c r="L352" s="157"/>
      <c r="M352" s="157"/>
    </row>
    <row r="353" spans="1:13" x14ac:dyDescent="0.25">
      <c r="A353" t="s">
        <v>2</v>
      </c>
      <c r="B353" t="s">
        <v>5</v>
      </c>
      <c r="E353" t="s">
        <v>17</v>
      </c>
      <c r="F353" t="str">
        <f>Foderstater!Y$93</f>
        <v>rapeseed cake</v>
      </c>
      <c r="J353" t="s">
        <v>307</v>
      </c>
      <c r="K353" s="13">
        <f>INDEX(Foderstater!$AB$72:$AT$110,MATCH(F353,Foderstater!$Y$72:$Y$110,0),MATCH(A353&amp;B353&amp;C353&amp;E353,Foderstater!$AB$71:$AT$71,0))</f>
        <v>3.0380167118587784</v>
      </c>
      <c r="L353" s="157"/>
      <c r="M353" s="157"/>
    </row>
    <row r="354" spans="1:13" x14ac:dyDescent="0.25">
      <c r="A354" t="s">
        <v>2</v>
      </c>
      <c r="B354" t="s">
        <v>5</v>
      </c>
      <c r="E354" t="s">
        <v>17</v>
      </c>
      <c r="F354" t="str">
        <f>Foderstater!Y$94</f>
        <v>sunflower seed meal</v>
      </c>
      <c r="J354" t="s">
        <v>307</v>
      </c>
      <c r="K354" s="13">
        <f>INDEX(Foderstater!$AB$72:$AT$110,MATCH(F354,Foderstater!$Y$72:$Y$110,0),MATCH(A354&amp;B354&amp;C354&amp;E354,Foderstater!$AB$71:$AT$71,0))</f>
        <v>0</v>
      </c>
    </row>
    <row r="355" spans="1:13" x14ac:dyDescent="0.25">
      <c r="A355" t="s">
        <v>2</v>
      </c>
      <c r="B355" t="s">
        <v>5</v>
      </c>
      <c r="E355" t="s">
        <v>17</v>
      </c>
      <c r="F355" t="str">
        <f>Foderstater!Y$95</f>
        <v>palm kernel expeller</v>
      </c>
      <c r="J355" t="s">
        <v>307</v>
      </c>
      <c r="K355" s="13">
        <f>INDEX(Foderstater!$AB$72:$AT$110,MATCH(F355,Foderstater!$Y$72:$Y$110,0),MATCH(A355&amp;B355&amp;C355&amp;E355,Foderstater!$AB$71:$AT$71,0))</f>
        <v>0</v>
      </c>
    </row>
    <row r="356" spans="1:13" x14ac:dyDescent="0.25">
      <c r="A356" t="s">
        <v>2</v>
      </c>
      <c r="B356" t="s">
        <v>5</v>
      </c>
      <c r="E356" t="s">
        <v>17</v>
      </c>
      <c r="F356" t="str">
        <f>Foderstater!Y$96</f>
        <v>luzern meal</v>
      </c>
      <c r="J356" t="s">
        <v>307</v>
      </c>
      <c r="K356" s="13">
        <f>INDEX(Foderstater!$AB$72:$AT$110,MATCH(F356,Foderstater!$Y$72:$Y$110,0),MATCH(A356&amp;B356&amp;C356&amp;E356,Foderstater!$AB$71:$AT$71,0))</f>
        <v>0</v>
      </c>
    </row>
    <row r="357" spans="1:13" x14ac:dyDescent="0.25">
      <c r="A357" t="s">
        <v>2</v>
      </c>
      <c r="B357" t="s">
        <v>5</v>
      </c>
      <c r="E357" t="s">
        <v>17</v>
      </c>
      <c r="F357" t="str">
        <f>Foderstater!Y$97</f>
        <v>wheat bran</v>
      </c>
      <c r="J357" t="s">
        <v>307</v>
      </c>
      <c r="K357" s="13">
        <f>INDEX(Foderstater!$AB$72:$AT$110,MATCH(F357,Foderstater!$Y$72:$Y$110,0),MATCH(A357&amp;B357&amp;C357&amp;E357,Foderstater!$AB$71:$AT$71,0))</f>
        <v>0</v>
      </c>
    </row>
    <row r="358" spans="1:13" x14ac:dyDescent="0.25">
      <c r="A358" t="s">
        <v>2</v>
      </c>
      <c r="B358" t="s">
        <v>5</v>
      </c>
      <c r="E358" t="s">
        <v>17</v>
      </c>
      <c r="F358" t="str">
        <f>Foderstater!Y$98</f>
        <v>wheat bran, fine</v>
      </c>
      <c r="J358" t="s">
        <v>307</v>
      </c>
      <c r="K358" s="13">
        <f>INDEX(Foderstater!$AB$72:$AT$110,MATCH(F358,Foderstater!$Y$72:$Y$110,0),MATCH(A358&amp;B358&amp;C358&amp;E358,Foderstater!$AB$71:$AT$71,0))</f>
        <v>0</v>
      </c>
    </row>
    <row r="359" spans="1:13" x14ac:dyDescent="0.25">
      <c r="A359" t="s">
        <v>2</v>
      </c>
      <c r="B359" t="s">
        <v>5</v>
      </c>
      <c r="E359" t="s">
        <v>17</v>
      </c>
      <c r="F359" t="str">
        <f>Foderstater!Y$99</f>
        <v>oat hulls</v>
      </c>
      <c r="J359" t="s">
        <v>307</v>
      </c>
      <c r="K359" s="13">
        <f>INDEX(Foderstater!$AB$72:$AT$110,MATCH(F359,Foderstater!$Y$72:$Y$110,0),MATCH(A359&amp;B359&amp;C359&amp;E359,Foderstater!$AB$71:$AT$71,0))</f>
        <v>0</v>
      </c>
    </row>
    <row r="360" spans="1:13" x14ac:dyDescent="0.25">
      <c r="A360" t="s">
        <v>2</v>
      </c>
      <c r="B360" t="s">
        <v>5</v>
      </c>
      <c r="E360" t="s">
        <v>17</v>
      </c>
      <c r="F360" t="str">
        <f>Foderstater!Y$100</f>
        <v>oat bran</v>
      </c>
      <c r="J360" t="s">
        <v>307</v>
      </c>
      <c r="K360" s="13">
        <f>INDEX(Foderstater!$AB$72:$AT$110,MATCH(F360,Foderstater!$Y$72:$Y$110,0),MATCH(A360&amp;B360&amp;C360&amp;E360,Foderstater!$AB$71:$AT$71,0))</f>
        <v>0</v>
      </c>
    </row>
    <row r="361" spans="1:13" x14ac:dyDescent="0.25">
      <c r="A361" t="s">
        <v>2</v>
      </c>
      <c r="B361" t="s">
        <v>5</v>
      </c>
      <c r="E361" t="s">
        <v>17</v>
      </c>
      <c r="F361" t="str">
        <f>Foderstater!Y$101</f>
        <v>rye bran</v>
      </c>
      <c r="J361" t="s">
        <v>307</v>
      </c>
      <c r="K361" s="13">
        <f>INDEX(Foderstater!$AB$72:$AT$110,MATCH(F361,Foderstater!$Y$72:$Y$110,0),MATCH(A361&amp;B361&amp;C361&amp;E361,Foderstater!$AB$71:$AT$71,0))</f>
        <v>0</v>
      </c>
    </row>
    <row r="362" spans="1:13" x14ac:dyDescent="0.25">
      <c r="A362" t="s">
        <v>2</v>
      </c>
      <c r="B362" t="s">
        <v>5</v>
      </c>
      <c r="E362" t="s">
        <v>17</v>
      </c>
      <c r="F362" t="str">
        <f>Foderstater!Y$102</f>
        <v>wheat distillers grain, dry</v>
      </c>
      <c r="J362" t="s">
        <v>307</v>
      </c>
      <c r="K362" s="13">
        <f>INDEX(Foderstater!$AB$72:$AT$110,MATCH(F362,Foderstater!$Y$72:$Y$110,0),MATCH(A362&amp;B362&amp;C362&amp;E362,Foderstater!$AB$71:$AT$71,0))</f>
        <v>0</v>
      </c>
    </row>
    <row r="363" spans="1:13" x14ac:dyDescent="0.25">
      <c r="A363" t="s">
        <v>2</v>
      </c>
      <c r="B363" t="s">
        <v>5</v>
      </c>
      <c r="E363" t="s">
        <v>17</v>
      </c>
      <c r="F363" t="str">
        <f>Foderstater!Y$103</f>
        <v>barley brewers grain</v>
      </c>
      <c r="J363" t="s">
        <v>307</v>
      </c>
      <c r="K363" s="13">
        <f>INDEX(Foderstater!$AB$72:$AT$110,MATCH(F363,Foderstater!$Y$72:$Y$110,0),MATCH(A363&amp;B363&amp;C363&amp;E363,Foderstater!$AB$71:$AT$71,0))</f>
        <v>0</v>
      </c>
    </row>
    <row r="364" spans="1:13" x14ac:dyDescent="0.25">
      <c r="A364" t="s">
        <v>2</v>
      </c>
      <c r="B364" t="s">
        <v>5</v>
      </c>
      <c r="E364" t="s">
        <v>17</v>
      </c>
      <c r="F364" t="str">
        <f>Foderstater!Y$104</f>
        <v>maize gluten meal</v>
      </c>
      <c r="J364" t="s">
        <v>307</v>
      </c>
      <c r="K364" s="13">
        <f>INDEX(Foderstater!$AB$72:$AT$110,MATCH(F364,Foderstater!$Y$72:$Y$110,0),MATCH(A364&amp;B364&amp;C364&amp;E364,Foderstater!$AB$71:$AT$71,0))</f>
        <v>0</v>
      </c>
    </row>
    <row r="365" spans="1:13" x14ac:dyDescent="0.25">
      <c r="A365" t="s">
        <v>2</v>
      </c>
      <c r="B365" t="s">
        <v>5</v>
      </c>
      <c r="E365" t="s">
        <v>17</v>
      </c>
      <c r="F365" t="str">
        <f>Foderstater!Y$105</f>
        <v>sugar beet molasses</v>
      </c>
      <c r="J365" t="s">
        <v>307</v>
      </c>
      <c r="K365" s="13">
        <f>INDEX(Foderstater!$AB$72:$AT$110,MATCH(F365,Foderstater!$Y$72:$Y$110,0),MATCH(A365&amp;B365&amp;C365&amp;E365,Foderstater!$AB$71:$AT$71,0))</f>
        <v>0</v>
      </c>
    </row>
    <row r="366" spans="1:13" x14ac:dyDescent="0.25">
      <c r="A366" t="s">
        <v>2</v>
      </c>
      <c r="B366" t="s">
        <v>5</v>
      </c>
      <c r="E366" t="s">
        <v>17</v>
      </c>
      <c r="F366" t="str">
        <f>Foderstater!Y$106</f>
        <v>sugar beet pulp</v>
      </c>
      <c r="J366" t="s">
        <v>307</v>
      </c>
      <c r="K366" s="13">
        <f>INDEX(Foderstater!$AB$72:$AT$110,MATCH(F366,Foderstater!$Y$72:$Y$110,0),MATCH(A366&amp;B366&amp;C366&amp;E366,Foderstater!$AB$71:$AT$71,0))</f>
        <v>0</v>
      </c>
    </row>
    <row r="367" spans="1:13" x14ac:dyDescent="0.25">
      <c r="A367" t="s">
        <v>2</v>
      </c>
      <c r="B367" t="s">
        <v>5</v>
      </c>
      <c r="E367" t="s">
        <v>17</v>
      </c>
      <c r="F367" t="str">
        <f>Foderstater!Y$107</f>
        <v>whey powder</v>
      </c>
      <c r="J367" t="s">
        <v>307</v>
      </c>
      <c r="K367" s="13">
        <f>INDEX(Foderstater!$AB$72:$AT$110,MATCH(F367,Foderstater!$Y$72:$Y$110,0),MATCH(A367&amp;B367&amp;C367&amp;E367,Foderstater!$AB$71:$AT$71,0))</f>
        <v>0</v>
      </c>
    </row>
    <row r="368" spans="1:13" x14ac:dyDescent="0.25">
      <c r="A368" t="s">
        <v>2</v>
      </c>
      <c r="B368" t="s">
        <v>5</v>
      </c>
      <c r="E368" t="s">
        <v>17</v>
      </c>
      <c r="F368" t="str">
        <f>Foderstater!Y$108</f>
        <v>potatoe protein</v>
      </c>
      <c r="J368" t="s">
        <v>307</v>
      </c>
      <c r="K368" s="13">
        <f>INDEX(Foderstater!$AB$72:$AT$110,MATCH(F368,Foderstater!$Y$72:$Y$110,0),MATCH(A368&amp;B368&amp;C368&amp;E368,Foderstater!$AB$71:$AT$71,0))</f>
        <v>0</v>
      </c>
    </row>
    <row r="369" spans="1:14" x14ac:dyDescent="0.25">
      <c r="A369" t="s">
        <v>2</v>
      </c>
      <c r="B369" t="s">
        <v>5</v>
      </c>
      <c r="E369" t="s">
        <v>17</v>
      </c>
      <c r="F369" t="str">
        <f>Foderstater!Y$109</f>
        <v>fish meal</v>
      </c>
      <c r="J369" t="s">
        <v>307</v>
      </c>
      <c r="K369" s="13">
        <f>INDEX(Foderstater!$AB$72:$AT$110,MATCH(F369,Foderstater!$Y$72:$Y$110,0),MATCH(A369&amp;B369&amp;C369&amp;E369,Foderstater!$AB$71:$AT$71,0))</f>
        <v>0</v>
      </c>
    </row>
    <row r="370" spans="1:14" x14ac:dyDescent="0.25">
      <c r="A370" t="s">
        <v>2</v>
      </c>
      <c r="B370" t="s">
        <v>5</v>
      </c>
      <c r="E370" t="s">
        <v>17</v>
      </c>
      <c r="F370" t="str">
        <f>Foderstater!Y$110</f>
        <v>minerals</v>
      </c>
      <c r="J370" t="s">
        <v>307</v>
      </c>
      <c r="K370" s="13">
        <f>INDEX(Foderstater!$AB$72:$AT$110,MATCH(F370,Foderstater!$Y$72:$Y$110,0),MATCH(A370&amp;B370&amp;C370&amp;E370,Foderstater!$AB$71:$AT$71,0))</f>
        <v>0.55337280726025118</v>
      </c>
    </row>
    <row r="371" spans="1:14" x14ac:dyDescent="0.25">
      <c r="K371" s="13"/>
    </row>
    <row r="372" spans="1:14" x14ac:dyDescent="0.25">
      <c r="A372" s="81" t="s">
        <v>625</v>
      </c>
      <c r="B372" s="48"/>
      <c r="C372" s="48"/>
      <c r="D372" s="49"/>
      <c r="E372" s="49"/>
      <c r="F372" s="49"/>
      <c r="G372" s="49"/>
      <c r="H372" s="49"/>
      <c r="I372" s="49"/>
      <c r="J372" s="49"/>
      <c r="K372" s="159"/>
      <c r="L372" s="49"/>
      <c r="M372" s="49"/>
      <c r="N372" s="49"/>
    </row>
    <row r="373" spans="1:14" x14ac:dyDescent="0.25">
      <c r="A373" s="157" t="s">
        <v>2</v>
      </c>
      <c r="B373" s="157"/>
      <c r="C373" s="157"/>
      <c r="D373" s="157"/>
      <c r="E373" s="157" t="s">
        <v>399</v>
      </c>
      <c r="F373" s="157"/>
      <c r="G373" s="157"/>
      <c r="H373" s="157"/>
      <c r="I373" s="157"/>
      <c r="J373" s="157" t="s">
        <v>307</v>
      </c>
      <c r="K373" s="157">
        <v>0</v>
      </c>
      <c r="L373" s="157"/>
      <c r="M373" s="157" t="s">
        <v>398</v>
      </c>
    </row>
    <row r="374" spans="1:14" x14ac:dyDescent="0.25">
      <c r="A374" s="110" t="s">
        <v>2</v>
      </c>
      <c r="B374" s="110"/>
      <c r="C374" s="110"/>
      <c r="D374" s="110"/>
      <c r="E374" s="110" t="s">
        <v>399</v>
      </c>
      <c r="F374" t="str">
        <f>Foderstater!Y$72</f>
        <v>ley silage, 1st cut</v>
      </c>
      <c r="G374" s="93"/>
      <c r="H374" s="93"/>
      <c r="I374" s="93"/>
      <c r="J374" s="110" t="s">
        <v>307</v>
      </c>
      <c r="K374" s="13">
        <f>INDEX(Foderstater!$AB$72:$AT$110,MATCH(F374,Foderstater!$Y$72:$Y$110,0),MATCH(A374&amp;B374&amp;C374&amp;E374,Foderstater!$AB$71:$AT$71,0))</f>
        <v>0</v>
      </c>
      <c r="L374" s="157"/>
      <c r="M374" s="93"/>
    </row>
    <row r="375" spans="1:14" x14ac:dyDescent="0.25">
      <c r="A375" s="110" t="s">
        <v>2</v>
      </c>
      <c r="E375" s="110" t="s">
        <v>399</v>
      </c>
      <c r="F375" t="str">
        <f>Foderstater!Y$73</f>
        <v>ley silage, regrowth</v>
      </c>
      <c r="J375" s="110" t="s">
        <v>307</v>
      </c>
      <c r="K375" s="13">
        <f>INDEX(Foderstater!$AB$72:$AT$110,MATCH(F375,Foderstater!$Y$72:$Y$110,0),MATCH(A375&amp;B375&amp;C375&amp;E375,Foderstater!$AB$71:$AT$71,0))</f>
        <v>7.0178130628008537</v>
      </c>
    </row>
    <row r="376" spans="1:14" x14ac:dyDescent="0.25">
      <c r="A376" s="110" t="s">
        <v>2</v>
      </c>
      <c r="E376" s="110" t="s">
        <v>399</v>
      </c>
      <c r="F376" t="str">
        <f>Foderstater!Y$74</f>
        <v>other silage</v>
      </c>
      <c r="J376" s="110" t="s">
        <v>307</v>
      </c>
      <c r="K376" s="13">
        <f>INDEX(Foderstater!$AB$72:$AT$110,MATCH(F376,Foderstater!$Y$72:$Y$110,0),MATCH(A376&amp;B376&amp;C376&amp;E376,Foderstater!$AB$71:$AT$71,0))</f>
        <v>41.192418289263692</v>
      </c>
    </row>
    <row r="377" spans="1:14" x14ac:dyDescent="0.25">
      <c r="A377" s="110" t="s">
        <v>2</v>
      </c>
      <c r="E377" s="110" t="s">
        <v>399</v>
      </c>
      <c r="F377" t="str">
        <f>Foderstater!Y$75</f>
        <v>maize silage</v>
      </c>
      <c r="J377" s="110" t="s">
        <v>307</v>
      </c>
      <c r="K377" s="13">
        <f>INDEX(Foderstater!$AB$72:$AT$110,MATCH(F377,Foderstater!$Y$72:$Y$110,0),MATCH(A377&amp;B377&amp;C377&amp;E377,Foderstater!$AB$71:$AT$71,0))</f>
        <v>0</v>
      </c>
    </row>
    <row r="378" spans="1:14" x14ac:dyDescent="0.25">
      <c r="A378" s="110" t="s">
        <v>2</v>
      </c>
      <c r="E378" s="110" t="s">
        <v>399</v>
      </c>
      <c r="F378" t="str">
        <f>Foderstater!Y$76</f>
        <v>straw</v>
      </c>
      <c r="J378" s="110" t="s">
        <v>307</v>
      </c>
      <c r="K378" s="13">
        <f>INDEX(Foderstater!$AB$72:$AT$110,MATCH(F378,Foderstater!$Y$72:$Y$110,0),MATCH(A378&amp;B378&amp;C378&amp;E378,Foderstater!$AB$71:$AT$71,0))</f>
        <v>0.67138025374082655</v>
      </c>
    </row>
    <row r="379" spans="1:14" x14ac:dyDescent="0.25">
      <c r="A379" s="110" t="s">
        <v>2</v>
      </c>
      <c r="E379" s="110" t="s">
        <v>399</v>
      </c>
      <c r="F379" t="str">
        <f>Foderstater!Y$77</f>
        <v>grazing</v>
      </c>
      <c r="J379" s="110" t="s">
        <v>307</v>
      </c>
      <c r="K379" s="13">
        <f>INDEX(Foderstater!$AB$72:$AT$110,MATCH(F379,Foderstater!$Y$72:$Y$110,0),MATCH(A379&amp;B379&amp;C379&amp;E379,Foderstater!$AB$71:$AT$71,0))</f>
        <v>50.052481882315824</v>
      </c>
    </row>
    <row r="380" spans="1:14" x14ac:dyDescent="0.25">
      <c r="A380" s="110" t="s">
        <v>2</v>
      </c>
      <c r="E380" s="110" t="s">
        <v>399</v>
      </c>
      <c r="F380" t="str">
        <f>Foderstater!Y$78</f>
        <v>wheat</v>
      </c>
      <c r="J380" s="110" t="s">
        <v>307</v>
      </c>
      <c r="K380" s="13">
        <f>INDEX(Foderstater!$AB$72:$AT$110,MATCH(F380,Foderstater!$Y$72:$Y$110,0),MATCH(A380&amp;B380&amp;C380&amp;E380,Foderstater!$AB$71:$AT$71,0))</f>
        <v>0</v>
      </c>
    </row>
    <row r="381" spans="1:14" x14ac:dyDescent="0.25">
      <c r="A381" s="110" t="s">
        <v>2</v>
      </c>
      <c r="E381" s="110" t="s">
        <v>399</v>
      </c>
      <c r="F381" t="str">
        <f>Foderstater!Y$79</f>
        <v>barley</v>
      </c>
      <c r="J381" s="110" t="s">
        <v>307</v>
      </c>
      <c r="K381" s="13">
        <f>INDEX(Foderstater!$AB$72:$AT$110,MATCH(F381,Foderstater!$Y$72:$Y$110,0),MATCH(A381&amp;B381&amp;C381&amp;E381,Foderstater!$AB$71:$AT$71,0))</f>
        <v>0</v>
      </c>
    </row>
    <row r="382" spans="1:14" x14ac:dyDescent="0.25">
      <c r="A382" s="110" t="s">
        <v>2</v>
      </c>
      <c r="E382" s="110" t="s">
        <v>399</v>
      </c>
      <c r="F382" t="str">
        <f>Foderstater!Y$80</f>
        <v>oats</v>
      </c>
      <c r="J382" s="110" t="s">
        <v>307</v>
      </c>
      <c r="K382" s="13">
        <f>INDEX(Foderstater!$AB$72:$AT$110,MATCH(F382,Foderstater!$Y$72:$Y$110,0),MATCH(A382&amp;B382&amp;C382&amp;E382,Foderstater!$AB$71:$AT$71,0))</f>
        <v>0</v>
      </c>
    </row>
    <row r="383" spans="1:14" x14ac:dyDescent="0.25">
      <c r="A383" s="110" t="s">
        <v>2</v>
      </c>
      <c r="E383" s="110" t="s">
        <v>399</v>
      </c>
      <c r="F383" t="str">
        <f>Foderstater!Y$81</f>
        <v>triticale</v>
      </c>
      <c r="J383" s="110" t="s">
        <v>307</v>
      </c>
      <c r="K383" s="13">
        <f>INDEX(Foderstater!$AB$72:$AT$110,MATCH(F383,Foderstater!$Y$72:$Y$110,0),MATCH(A383&amp;B383&amp;C383&amp;E383,Foderstater!$AB$71:$AT$71,0))</f>
        <v>0</v>
      </c>
    </row>
    <row r="384" spans="1:14" x14ac:dyDescent="0.25">
      <c r="A384" s="110" t="s">
        <v>2</v>
      </c>
      <c r="E384" s="110" t="s">
        <v>399</v>
      </c>
      <c r="F384" t="str">
        <f>Foderstater!Y$82</f>
        <v>rye</v>
      </c>
      <c r="J384" s="110" t="s">
        <v>307</v>
      </c>
      <c r="K384" s="13">
        <f>INDEX(Foderstater!$AB$72:$AT$110,MATCH(F384,Foderstater!$Y$72:$Y$110,0),MATCH(A384&amp;B384&amp;C384&amp;E384,Foderstater!$AB$71:$AT$71,0))</f>
        <v>0</v>
      </c>
    </row>
    <row r="385" spans="1:11" x14ac:dyDescent="0.25">
      <c r="A385" s="110" t="s">
        <v>2</v>
      </c>
      <c r="E385" s="110" t="s">
        <v>399</v>
      </c>
      <c r="F385" t="str">
        <f>Foderstater!Y$83</f>
        <v>maize</v>
      </c>
      <c r="J385" s="110" t="s">
        <v>307</v>
      </c>
      <c r="K385" s="13">
        <f>INDEX(Foderstater!$AB$72:$AT$110,MATCH(F385,Foderstater!$Y$72:$Y$110,0),MATCH(A385&amp;B385&amp;C385&amp;E385,Foderstater!$AB$71:$AT$71,0))</f>
        <v>0</v>
      </c>
    </row>
    <row r="386" spans="1:11" x14ac:dyDescent="0.25">
      <c r="A386" s="110" t="s">
        <v>2</v>
      </c>
      <c r="E386" s="110" t="s">
        <v>399</v>
      </c>
      <c r="F386" t="str">
        <f>Foderstater!Y$84</f>
        <v>peas</v>
      </c>
      <c r="J386" s="110" t="s">
        <v>307</v>
      </c>
      <c r="K386" s="13">
        <f>INDEX(Foderstater!$AB$72:$AT$110,MATCH(F386,Foderstater!$Y$72:$Y$110,0),MATCH(A386&amp;B386&amp;C386&amp;E386,Foderstater!$AB$71:$AT$71,0))</f>
        <v>0</v>
      </c>
    </row>
    <row r="387" spans="1:11" x14ac:dyDescent="0.25">
      <c r="A387" s="110" t="s">
        <v>2</v>
      </c>
      <c r="E387" s="110" t="s">
        <v>399</v>
      </c>
      <c r="F387" t="str">
        <f>Foderstater!Y$85</f>
        <v>broad beans</v>
      </c>
      <c r="J387" s="110" t="s">
        <v>307</v>
      </c>
      <c r="K387" s="13">
        <f>INDEX(Foderstater!$AB$72:$AT$110,MATCH(F387,Foderstater!$Y$72:$Y$110,0),MATCH(A387&amp;B387&amp;C387&amp;E387,Foderstater!$AB$71:$AT$71,0))</f>
        <v>0</v>
      </c>
    </row>
    <row r="388" spans="1:11" x14ac:dyDescent="0.25">
      <c r="A388" s="110" t="s">
        <v>2</v>
      </c>
      <c r="E388" s="110" t="s">
        <v>399</v>
      </c>
      <c r="F388" t="str">
        <f>Foderstater!Y$86</f>
        <v>rapeseed</v>
      </c>
      <c r="J388" s="110" t="s">
        <v>307</v>
      </c>
      <c r="K388" s="13">
        <f>INDEX(Foderstater!$AB$72:$AT$110,MATCH(F388,Foderstater!$Y$72:$Y$110,0),MATCH(A388&amp;B388&amp;C388&amp;E388,Foderstater!$AB$71:$AT$71,0))</f>
        <v>0</v>
      </c>
    </row>
    <row r="389" spans="1:11" x14ac:dyDescent="0.25">
      <c r="A389" s="110" t="s">
        <v>2</v>
      </c>
      <c r="E389" s="110" t="s">
        <v>399</v>
      </c>
      <c r="F389" t="str">
        <f>Foderstater!Y$87</f>
        <v>linseed</v>
      </c>
      <c r="J389" s="110" t="s">
        <v>307</v>
      </c>
      <c r="K389" s="13">
        <f>INDEX(Foderstater!$AB$72:$AT$110,MATCH(F389,Foderstater!$Y$72:$Y$110,0),MATCH(A389&amp;B389&amp;C389&amp;E389,Foderstater!$AB$71:$AT$71,0))</f>
        <v>0</v>
      </c>
    </row>
    <row r="390" spans="1:11" x14ac:dyDescent="0.25">
      <c r="A390" s="110" t="s">
        <v>2</v>
      </c>
      <c r="E390" s="110" t="s">
        <v>399</v>
      </c>
      <c r="F390" t="str">
        <f>Foderstater!Y$88</f>
        <v>vegetable oils</v>
      </c>
      <c r="J390" s="110" t="s">
        <v>307</v>
      </c>
      <c r="K390" s="13">
        <f>INDEX(Foderstater!$AB$72:$AT$110,MATCH(F390,Foderstater!$Y$72:$Y$110,0),MATCH(A390&amp;B390&amp;C390&amp;E390,Foderstater!$AB$71:$AT$71,0))</f>
        <v>0</v>
      </c>
    </row>
    <row r="391" spans="1:11" x14ac:dyDescent="0.25">
      <c r="A391" s="110" t="s">
        <v>2</v>
      </c>
      <c r="E391" s="110" t="s">
        <v>399</v>
      </c>
      <c r="F391" t="str">
        <f>Foderstater!Y$89</f>
        <v>soybeans</v>
      </c>
      <c r="J391" s="110" t="s">
        <v>307</v>
      </c>
      <c r="K391" s="13">
        <f>INDEX(Foderstater!$AB$72:$AT$110,MATCH(F391,Foderstater!$Y$72:$Y$110,0),MATCH(A391&amp;B391&amp;C391&amp;E391,Foderstater!$AB$71:$AT$71,0))</f>
        <v>0</v>
      </c>
    </row>
    <row r="392" spans="1:11" x14ac:dyDescent="0.25">
      <c r="A392" s="110" t="s">
        <v>2</v>
      </c>
      <c r="E392" s="110" t="s">
        <v>399</v>
      </c>
      <c r="F392" t="str">
        <f>Foderstater!Y$90</f>
        <v>soybean meal</v>
      </c>
      <c r="J392" s="110" t="s">
        <v>307</v>
      </c>
      <c r="K392" s="13">
        <f>INDEX(Foderstater!$AB$72:$AT$110,MATCH(F392,Foderstater!$Y$72:$Y$110,0),MATCH(A392&amp;B392&amp;C392&amp;E392,Foderstater!$AB$71:$AT$71,0))</f>
        <v>0</v>
      </c>
    </row>
    <row r="393" spans="1:11" x14ac:dyDescent="0.25">
      <c r="A393" s="110" t="s">
        <v>2</v>
      </c>
      <c r="E393" s="110" t="s">
        <v>399</v>
      </c>
      <c r="F393" t="str">
        <f>Foderstater!Y$91</f>
        <v>soybean protein concentrate</v>
      </c>
      <c r="J393" s="110" t="s">
        <v>307</v>
      </c>
      <c r="K393" s="13">
        <f>INDEX(Foderstater!$AB$72:$AT$110,MATCH(F393,Foderstater!$Y$72:$Y$110,0),MATCH(A393&amp;B393&amp;C393&amp;E393,Foderstater!$AB$71:$AT$71,0))</f>
        <v>0</v>
      </c>
    </row>
    <row r="394" spans="1:11" x14ac:dyDescent="0.25">
      <c r="A394" s="110" t="s">
        <v>2</v>
      </c>
      <c r="E394" s="110" t="s">
        <v>399</v>
      </c>
      <c r="F394" t="str">
        <f>Foderstater!Y$92</f>
        <v>rapeseed meal</v>
      </c>
      <c r="J394" s="110" t="s">
        <v>307</v>
      </c>
      <c r="K394" s="13">
        <f>INDEX(Foderstater!$AB$72:$AT$110,MATCH(F394,Foderstater!$Y$72:$Y$110,0),MATCH(A394&amp;B394&amp;C394&amp;E394,Foderstater!$AB$71:$AT$71,0))</f>
        <v>0</v>
      </c>
    </row>
    <row r="395" spans="1:11" x14ac:dyDescent="0.25">
      <c r="A395" s="110" t="s">
        <v>2</v>
      </c>
      <c r="E395" s="110" t="s">
        <v>399</v>
      </c>
      <c r="F395" t="str">
        <f>Foderstater!Y$93</f>
        <v>rapeseed cake</v>
      </c>
      <c r="J395" s="110" t="s">
        <v>307</v>
      </c>
      <c r="K395" s="13">
        <f>INDEX(Foderstater!$AB$72:$AT$110,MATCH(F395,Foderstater!$Y$72:$Y$110,0),MATCH(A395&amp;B395&amp;C395&amp;E395,Foderstater!$AB$71:$AT$71,0))</f>
        <v>0</v>
      </c>
    </row>
    <row r="396" spans="1:11" x14ac:dyDescent="0.25">
      <c r="A396" s="110" t="s">
        <v>2</v>
      </c>
      <c r="E396" s="110" t="s">
        <v>399</v>
      </c>
      <c r="F396" t="str">
        <f>Foderstater!Y$94</f>
        <v>sunflower seed meal</v>
      </c>
      <c r="J396" s="110" t="s">
        <v>307</v>
      </c>
      <c r="K396" s="13">
        <f>INDEX(Foderstater!$AB$72:$AT$110,MATCH(F396,Foderstater!$Y$72:$Y$110,0),MATCH(A396&amp;B396&amp;C396&amp;E396,Foderstater!$AB$71:$AT$71,0))</f>
        <v>0</v>
      </c>
    </row>
    <row r="397" spans="1:11" x14ac:dyDescent="0.25">
      <c r="A397" s="110" t="s">
        <v>2</v>
      </c>
      <c r="E397" s="110" t="s">
        <v>399</v>
      </c>
      <c r="F397" t="str">
        <f>Foderstater!Y$95</f>
        <v>palm kernel expeller</v>
      </c>
      <c r="J397" s="110" t="s">
        <v>307</v>
      </c>
      <c r="K397" s="13">
        <f>INDEX(Foderstater!$AB$72:$AT$110,MATCH(F397,Foderstater!$Y$72:$Y$110,0),MATCH(A397&amp;B397&amp;C397&amp;E397,Foderstater!$AB$71:$AT$71,0))</f>
        <v>0</v>
      </c>
    </row>
    <row r="398" spans="1:11" x14ac:dyDescent="0.25">
      <c r="A398" s="110" t="s">
        <v>2</v>
      </c>
      <c r="E398" s="110" t="s">
        <v>399</v>
      </c>
      <c r="F398" t="str">
        <f>Foderstater!Y$96</f>
        <v>luzern meal</v>
      </c>
      <c r="J398" s="110" t="s">
        <v>307</v>
      </c>
      <c r="K398" s="13">
        <f>INDEX(Foderstater!$AB$72:$AT$110,MATCH(F398,Foderstater!$Y$72:$Y$110,0),MATCH(A398&amp;B398&amp;C398&amp;E398,Foderstater!$AB$71:$AT$71,0))</f>
        <v>0</v>
      </c>
    </row>
    <row r="399" spans="1:11" x14ac:dyDescent="0.25">
      <c r="A399" s="110" t="s">
        <v>2</v>
      </c>
      <c r="E399" s="110" t="s">
        <v>399</v>
      </c>
      <c r="F399" t="str">
        <f>Foderstater!Y$97</f>
        <v>wheat bran</v>
      </c>
      <c r="J399" s="110" t="s">
        <v>307</v>
      </c>
      <c r="K399" s="13">
        <f>INDEX(Foderstater!$AB$72:$AT$110,MATCH(F399,Foderstater!$Y$72:$Y$110,0),MATCH(A399&amp;B399&amp;C399&amp;E399,Foderstater!$AB$71:$AT$71,0))</f>
        <v>0</v>
      </c>
    </row>
    <row r="400" spans="1:11" x14ac:dyDescent="0.25">
      <c r="A400" s="110" t="s">
        <v>2</v>
      </c>
      <c r="E400" s="110" t="s">
        <v>399</v>
      </c>
      <c r="F400" t="str">
        <f>Foderstater!Y$98</f>
        <v>wheat bran, fine</v>
      </c>
      <c r="J400" s="110" t="s">
        <v>307</v>
      </c>
      <c r="K400" s="13">
        <f>INDEX(Foderstater!$AB$72:$AT$110,MATCH(F400,Foderstater!$Y$72:$Y$110,0),MATCH(A400&amp;B400&amp;C400&amp;E400,Foderstater!$AB$71:$AT$71,0))</f>
        <v>0</v>
      </c>
    </row>
    <row r="401" spans="1:14" x14ac:dyDescent="0.25">
      <c r="A401" s="110" t="s">
        <v>2</v>
      </c>
      <c r="E401" s="110" t="s">
        <v>399</v>
      </c>
      <c r="F401" t="str">
        <f>Foderstater!Y$99</f>
        <v>oat hulls</v>
      </c>
      <c r="J401" s="110" t="s">
        <v>307</v>
      </c>
      <c r="K401" s="13">
        <f>INDEX(Foderstater!$AB$72:$AT$110,MATCH(F401,Foderstater!$Y$72:$Y$110,0),MATCH(A401&amp;B401&amp;C401&amp;E401,Foderstater!$AB$71:$AT$71,0))</f>
        <v>0</v>
      </c>
    </row>
    <row r="402" spans="1:14" x14ac:dyDescent="0.25">
      <c r="A402" s="110" t="s">
        <v>2</v>
      </c>
      <c r="E402" s="110" t="s">
        <v>399</v>
      </c>
      <c r="F402" t="str">
        <f>Foderstater!Y$100</f>
        <v>oat bran</v>
      </c>
      <c r="J402" s="110" t="s">
        <v>307</v>
      </c>
      <c r="K402" s="13">
        <f>INDEX(Foderstater!$AB$72:$AT$110,MATCH(F402,Foderstater!$Y$72:$Y$110,0),MATCH(A402&amp;B402&amp;C402&amp;E402,Foderstater!$AB$71:$AT$71,0))</f>
        <v>0</v>
      </c>
    </row>
    <row r="403" spans="1:14" x14ac:dyDescent="0.25">
      <c r="A403" s="110" t="s">
        <v>2</v>
      </c>
      <c r="E403" s="110" t="s">
        <v>399</v>
      </c>
      <c r="F403" t="str">
        <f>Foderstater!Y$101</f>
        <v>rye bran</v>
      </c>
      <c r="J403" s="110" t="s">
        <v>307</v>
      </c>
      <c r="K403" s="13">
        <f>INDEX(Foderstater!$AB$72:$AT$110,MATCH(F403,Foderstater!$Y$72:$Y$110,0),MATCH(A403&amp;B403&amp;C403&amp;E403,Foderstater!$AB$71:$AT$71,0))</f>
        <v>0</v>
      </c>
    </row>
    <row r="404" spans="1:14" x14ac:dyDescent="0.25">
      <c r="A404" s="110" t="s">
        <v>2</v>
      </c>
      <c r="E404" s="110" t="s">
        <v>399</v>
      </c>
      <c r="F404" t="str">
        <f>Foderstater!Y$102</f>
        <v>wheat distillers grain, dry</v>
      </c>
      <c r="J404" s="110" t="s">
        <v>307</v>
      </c>
      <c r="K404" s="13">
        <f>INDEX(Foderstater!$AB$72:$AT$110,MATCH(F404,Foderstater!$Y$72:$Y$110,0),MATCH(A404&amp;B404&amp;C404&amp;E404,Foderstater!$AB$71:$AT$71,0))</f>
        <v>0</v>
      </c>
    </row>
    <row r="405" spans="1:14" x14ac:dyDescent="0.25">
      <c r="A405" s="110" t="s">
        <v>2</v>
      </c>
      <c r="E405" s="110" t="s">
        <v>399</v>
      </c>
      <c r="F405" t="str">
        <f>Foderstater!Y$103</f>
        <v>barley brewers grain</v>
      </c>
      <c r="J405" s="110" t="s">
        <v>307</v>
      </c>
      <c r="K405" s="13">
        <f>INDEX(Foderstater!$AB$72:$AT$110,MATCH(F405,Foderstater!$Y$72:$Y$110,0),MATCH(A405&amp;B405&amp;C405&amp;E405,Foderstater!$AB$71:$AT$71,0))</f>
        <v>0</v>
      </c>
    </row>
    <row r="406" spans="1:14" x14ac:dyDescent="0.25">
      <c r="A406" s="110" t="s">
        <v>2</v>
      </c>
      <c r="E406" s="110" t="s">
        <v>399</v>
      </c>
      <c r="F406" t="str">
        <f>Foderstater!Y$104</f>
        <v>maize gluten meal</v>
      </c>
      <c r="J406" s="110" t="s">
        <v>307</v>
      </c>
      <c r="K406" s="13">
        <f>INDEX(Foderstater!$AB$72:$AT$110,MATCH(F406,Foderstater!$Y$72:$Y$110,0),MATCH(A406&amp;B406&amp;C406&amp;E406,Foderstater!$AB$71:$AT$71,0))</f>
        <v>0</v>
      </c>
    </row>
    <row r="407" spans="1:14" x14ac:dyDescent="0.25">
      <c r="A407" s="110" t="s">
        <v>2</v>
      </c>
      <c r="E407" s="110" t="s">
        <v>399</v>
      </c>
      <c r="F407" t="str">
        <f>Foderstater!Y$105</f>
        <v>sugar beet molasses</v>
      </c>
      <c r="J407" s="110" t="s">
        <v>307</v>
      </c>
      <c r="K407" s="13">
        <f>INDEX(Foderstater!$AB$72:$AT$110,MATCH(F407,Foderstater!$Y$72:$Y$110,0),MATCH(A407&amp;B407&amp;C407&amp;E407,Foderstater!$AB$71:$AT$71,0))</f>
        <v>0</v>
      </c>
    </row>
    <row r="408" spans="1:14" x14ac:dyDescent="0.25">
      <c r="A408" s="110" t="s">
        <v>2</v>
      </c>
      <c r="E408" s="110" t="s">
        <v>399</v>
      </c>
      <c r="F408" t="str">
        <f>Foderstater!Y$106</f>
        <v>sugar beet pulp</v>
      </c>
      <c r="J408" s="110" t="s">
        <v>307</v>
      </c>
      <c r="K408" s="13">
        <f>INDEX(Foderstater!$AB$72:$AT$110,MATCH(F408,Foderstater!$Y$72:$Y$110,0),MATCH(A408&amp;B408&amp;C408&amp;E408,Foderstater!$AB$71:$AT$71,0))</f>
        <v>0</v>
      </c>
    </row>
    <row r="409" spans="1:14" x14ac:dyDescent="0.25">
      <c r="A409" s="110" t="s">
        <v>2</v>
      </c>
      <c r="E409" s="110" t="s">
        <v>399</v>
      </c>
      <c r="F409" t="str">
        <f>Foderstater!Y$107</f>
        <v>whey powder</v>
      </c>
      <c r="J409" s="110" t="s">
        <v>307</v>
      </c>
      <c r="K409" s="13">
        <f>INDEX(Foderstater!$AB$72:$AT$110,MATCH(F409,Foderstater!$Y$72:$Y$110,0),MATCH(A409&amp;B409&amp;C409&amp;E409,Foderstater!$AB$71:$AT$71,0))</f>
        <v>0</v>
      </c>
    </row>
    <row r="410" spans="1:14" x14ac:dyDescent="0.25">
      <c r="A410" s="110" t="s">
        <v>2</v>
      </c>
      <c r="E410" s="110" t="s">
        <v>399</v>
      </c>
      <c r="F410" t="str">
        <f>Foderstater!Y$108</f>
        <v>potatoe protein</v>
      </c>
      <c r="J410" s="110" t="s">
        <v>307</v>
      </c>
      <c r="K410" s="13">
        <f>INDEX(Foderstater!$AB$72:$AT$110,MATCH(F410,Foderstater!$Y$72:$Y$110,0),MATCH(A410&amp;B410&amp;C410&amp;E410,Foderstater!$AB$71:$AT$71,0))</f>
        <v>0</v>
      </c>
    </row>
    <row r="411" spans="1:14" x14ac:dyDescent="0.25">
      <c r="A411" s="110" t="s">
        <v>2</v>
      </c>
      <c r="E411" s="110" t="s">
        <v>399</v>
      </c>
      <c r="F411" t="str">
        <f>Foderstater!Y$109</f>
        <v>fish meal</v>
      </c>
      <c r="J411" s="110" t="s">
        <v>307</v>
      </c>
      <c r="K411" s="13">
        <f>INDEX(Foderstater!$AB$72:$AT$110,MATCH(F411,Foderstater!$Y$72:$Y$110,0),MATCH(A411&amp;B411&amp;C411&amp;E411,Foderstater!$AB$71:$AT$71,0))</f>
        <v>0</v>
      </c>
    </row>
    <row r="412" spans="1:14" x14ac:dyDescent="0.25">
      <c r="A412" s="110" t="s">
        <v>2</v>
      </c>
      <c r="E412" s="110" t="s">
        <v>399</v>
      </c>
      <c r="F412" t="str">
        <f>Foderstater!Y$110</f>
        <v>minerals</v>
      </c>
      <c r="J412" s="110" t="s">
        <v>307</v>
      </c>
      <c r="K412" s="13">
        <f>INDEX(Foderstater!$AB$72:$AT$110,MATCH(F412,Foderstater!$Y$72:$Y$110,0),MATCH(A412&amp;B412&amp;C412&amp;E412,Foderstater!$AB$71:$AT$71,0))</f>
        <v>1.0659065118787974</v>
      </c>
    </row>
    <row r="414" spans="1:14" x14ac:dyDescent="0.25">
      <c r="A414" s="81" t="s">
        <v>78</v>
      </c>
      <c r="B414" s="48"/>
      <c r="C414" s="48"/>
      <c r="D414" s="49"/>
      <c r="E414" s="49"/>
      <c r="F414" s="49"/>
      <c r="G414" s="49"/>
      <c r="H414" s="49"/>
      <c r="I414" s="49"/>
      <c r="J414" s="49"/>
      <c r="K414" s="159"/>
      <c r="L414" s="49"/>
      <c r="M414" s="49"/>
      <c r="N414" s="49"/>
    </row>
    <row r="415" spans="1:14" x14ac:dyDescent="0.25">
      <c r="A415" s="157" t="s">
        <v>2</v>
      </c>
      <c r="B415" s="157"/>
      <c r="C415" s="157"/>
      <c r="D415" s="157"/>
      <c r="E415" s="157" t="s">
        <v>622</v>
      </c>
      <c r="J415" s="157" t="s">
        <v>307</v>
      </c>
      <c r="K415" s="157">
        <v>0</v>
      </c>
      <c r="L415" s="157"/>
      <c r="M415" s="157" t="s">
        <v>398</v>
      </c>
    </row>
    <row r="416" spans="1:14" x14ac:dyDescent="0.25">
      <c r="A416" t="s">
        <v>2</v>
      </c>
      <c r="E416" t="s">
        <v>622</v>
      </c>
      <c r="F416" t="str">
        <f>Foderstater!Y$72</f>
        <v>ley silage, 1st cut</v>
      </c>
      <c r="J416" t="s">
        <v>307</v>
      </c>
      <c r="K416" s="13">
        <f>INDEX(Foderstater!$AB$72:$AT$110,MATCH(F416,Foderstater!$Y$72:$Y$110,0),MATCH(A416&amp;B416&amp;C416&amp;E416,Foderstater!$AB$71:$AT$71,0))</f>
        <v>0</v>
      </c>
      <c r="L416" s="157"/>
      <c r="M416" s="157"/>
    </row>
    <row r="417" spans="1:13" x14ac:dyDescent="0.25">
      <c r="A417" t="s">
        <v>2</v>
      </c>
      <c r="E417" t="s">
        <v>622</v>
      </c>
      <c r="F417" t="str">
        <f>Foderstater!Y$73</f>
        <v>ley silage, regrowth</v>
      </c>
      <c r="J417" t="s">
        <v>307</v>
      </c>
      <c r="K417" s="13">
        <f>INDEX(Foderstater!$AB$72:$AT$110,MATCH(F417,Foderstater!$Y$72:$Y$110,0),MATCH(A417&amp;B417&amp;C417&amp;E417,Foderstater!$AB$71:$AT$71,0))</f>
        <v>0</v>
      </c>
      <c r="L417" s="157"/>
      <c r="M417" s="157"/>
    </row>
    <row r="418" spans="1:13" x14ac:dyDescent="0.25">
      <c r="A418" t="s">
        <v>2</v>
      </c>
      <c r="E418" t="s">
        <v>622</v>
      </c>
      <c r="F418" t="str">
        <f>Foderstater!Y$74</f>
        <v>other silage</v>
      </c>
      <c r="J418" t="s">
        <v>307</v>
      </c>
      <c r="K418" s="13">
        <f>INDEX(Foderstater!$AB$72:$AT$110,MATCH(F418,Foderstater!$Y$72:$Y$110,0),MATCH(A418&amp;B418&amp;C418&amp;E418,Foderstater!$AB$71:$AT$71,0))</f>
        <v>0</v>
      </c>
      <c r="L418" s="157"/>
      <c r="M418" s="157"/>
    </row>
    <row r="419" spans="1:13" x14ac:dyDescent="0.25">
      <c r="A419" t="s">
        <v>2</v>
      </c>
      <c r="E419" t="s">
        <v>622</v>
      </c>
      <c r="F419" t="str">
        <f>Foderstater!Y$75</f>
        <v>maize silage</v>
      </c>
      <c r="J419" t="s">
        <v>307</v>
      </c>
      <c r="K419" s="13">
        <f>INDEX(Foderstater!$AB$72:$AT$110,MATCH(F419,Foderstater!$Y$72:$Y$110,0),MATCH(A419&amp;B419&amp;C419&amp;E419,Foderstater!$AB$71:$AT$71,0))</f>
        <v>0</v>
      </c>
      <c r="L419" s="157"/>
      <c r="M419" s="157"/>
    </row>
    <row r="420" spans="1:13" x14ac:dyDescent="0.25">
      <c r="A420" t="s">
        <v>2</v>
      </c>
      <c r="E420" t="s">
        <v>622</v>
      </c>
      <c r="F420" t="str">
        <f>Foderstater!Y$76</f>
        <v>straw</v>
      </c>
      <c r="J420" t="s">
        <v>307</v>
      </c>
      <c r="K420" s="13">
        <f>INDEX(Foderstater!$AB$72:$AT$110,MATCH(F420,Foderstater!$Y$72:$Y$110,0),MATCH(A420&amp;B420&amp;C420&amp;E420,Foderstater!$AB$71:$AT$71,0))</f>
        <v>0</v>
      </c>
      <c r="L420" s="157"/>
      <c r="M420" s="157"/>
    </row>
    <row r="421" spans="1:13" x14ac:dyDescent="0.25">
      <c r="A421" t="s">
        <v>2</v>
      </c>
      <c r="E421" t="s">
        <v>622</v>
      </c>
      <c r="F421" t="str">
        <f>Foderstater!Y$77</f>
        <v>grazing</v>
      </c>
      <c r="J421" t="s">
        <v>307</v>
      </c>
      <c r="K421" s="13">
        <f>INDEX(Foderstater!$AB$72:$AT$110,MATCH(F421,Foderstater!$Y$72:$Y$110,0),MATCH(A421&amp;B421&amp;C421&amp;E421,Foderstater!$AB$71:$AT$71,0))</f>
        <v>0</v>
      </c>
      <c r="L421" s="157"/>
      <c r="M421" s="157"/>
    </row>
    <row r="422" spans="1:13" x14ac:dyDescent="0.25">
      <c r="A422" t="s">
        <v>2</v>
      </c>
      <c r="E422" t="s">
        <v>622</v>
      </c>
      <c r="F422" t="str">
        <f>Foderstater!Y$78</f>
        <v>wheat</v>
      </c>
      <c r="J422" t="s">
        <v>307</v>
      </c>
      <c r="K422" s="13">
        <f>INDEX(Foderstater!$AB$72:$AT$110,MATCH(F422,Foderstater!$Y$72:$Y$110,0),MATCH(A422&amp;B422&amp;C422&amp;E422,Foderstater!$AB$71:$AT$71,0))</f>
        <v>25.895167825161479</v>
      </c>
      <c r="L422" s="157"/>
      <c r="M422" s="157"/>
    </row>
    <row r="423" spans="1:13" x14ac:dyDescent="0.25">
      <c r="A423" t="s">
        <v>2</v>
      </c>
      <c r="E423" t="s">
        <v>622</v>
      </c>
      <c r="F423" t="str">
        <f>Foderstater!Y$79</f>
        <v>barley</v>
      </c>
      <c r="J423" t="s">
        <v>307</v>
      </c>
      <c r="K423" s="13">
        <f>INDEX(Foderstater!$AB$72:$AT$110,MATCH(F423,Foderstater!$Y$72:$Y$110,0),MATCH(A423&amp;B423&amp;C423&amp;E423,Foderstater!$AB$71:$AT$71,0))</f>
        <v>28.160177745950715</v>
      </c>
      <c r="L423" s="157"/>
      <c r="M423" s="157"/>
    </row>
    <row r="424" spans="1:13" x14ac:dyDescent="0.25">
      <c r="A424" t="s">
        <v>2</v>
      </c>
      <c r="E424" t="s">
        <v>622</v>
      </c>
      <c r="F424" t="str">
        <f>Foderstater!Y$80</f>
        <v>oats</v>
      </c>
      <c r="J424" t="s">
        <v>307</v>
      </c>
      <c r="K424" s="13">
        <f>INDEX(Foderstater!$AB$72:$AT$110,MATCH(F424,Foderstater!$Y$72:$Y$110,0),MATCH(A424&amp;B424&amp;C424&amp;E424,Foderstater!$AB$71:$AT$71,0))</f>
        <v>9.5204890127561814</v>
      </c>
      <c r="L424" s="157"/>
      <c r="M424" s="157"/>
    </row>
    <row r="425" spans="1:13" x14ac:dyDescent="0.25">
      <c r="A425" t="s">
        <v>2</v>
      </c>
      <c r="E425" t="s">
        <v>622</v>
      </c>
      <c r="F425" t="str">
        <f>Foderstater!Y$81</f>
        <v>triticale</v>
      </c>
      <c r="J425" t="s">
        <v>307</v>
      </c>
      <c r="K425" s="13">
        <f>INDEX(Foderstater!$AB$72:$AT$110,MATCH(F425,Foderstater!$Y$72:$Y$110,0),MATCH(A425&amp;B425&amp;C425&amp;E425,Foderstater!$AB$71:$AT$71,0))</f>
        <v>3.4188101018837349</v>
      </c>
      <c r="L425" s="157"/>
      <c r="M425" s="157"/>
    </row>
    <row r="426" spans="1:13" x14ac:dyDescent="0.25">
      <c r="A426" t="s">
        <v>2</v>
      </c>
      <c r="E426" t="s">
        <v>622</v>
      </c>
      <c r="F426" t="str">
        <f>Foderstater!Y$82</f>
        <v>rye</v>
      </c>
      <c r="J426" t="s">
        <v>307</v>
      </c>
      <c r="K426" s="13">
        <f>INDEX(Foderstater!$AB$72:$AT$110,MATCH(F426,Foderstater!$Y$72:$Y$110,0),MATCH(A426&amp;B426&amp;C426&amp;E426,Foderstater!$AB$71:$AT$71,0))</f>
        <v>0.21145675610695761</v>
      </c>
      <c r="L426" s="157"/>
      <c r="M426" s="157"/>
    </row>
    <row r="427" spans="1:13" x14ac:dyDescent="0.25">
      <c r="A427" t="s">
        <v>2</v>
      </c>
      <c r="E427" t="s">
        <v>622</v>
      </c>
      <c r="F427" t="str">
        <f>Foderstater!Y$83</f>
        <v>maize</v>
      </c>
      <c r="J427" t="s">
        <v>307</v>
      </c>
      <c r="K427" s="13">
        <f>INDEX(Foderstater!$AB$72:$AT$110,MATCH(F427,Foderstater!$Y$72:$Y$110,0),MATCH(A427&amp;B427&amp;C427&amp;E427,Foderstater!$AB$71:$AT$71,0))</f>
        <v>0.91869888679500122</v>
      </c>
      <c r="L427" s="157"/>
      <c r="M427" s="157"/>
    </row>
    <row r="428" spans="1:13" x14ac:dyDescent="0.25">
      <c r="A428" t="s">
        <v>2</v>
      </c>
      <c r="E428" t="s">
        <v>622</v>
      </c>
      <c r="F428" t="str">
        <f>Foderstater!Y$84</f>
        <v>peas</v>
      </c>
      <c r="J428" t="s">
        <v>307</v>
      </c>
      <c r="K428" s="13">
        <f>INDEX(Foderstater!$AB$72:$AT$110,MATCH(F428,Foderstater!$Y$72:$Y$110,0),MATCH(A428&amp;B428&amp;C428&amp;E428,Foderstater!$AB$71:$AT$71,0))</f>
        <v>0.14357819271231378</v>
      </c>
      <c r="L428" s="157"/>
      <c r="M428" s="157"/>
    </row>
    <row r="429" spans="1:13" x14ac:dyDescent="0.25">
      <c r="A429" t="s">
        <v>2</v>
      </c>
      <c r="E429" t="s">
        <v>622</v>
      </c>
      <c r="F429" t="str">
        <f>Foderstater!Y$85</f>
        <v>broad beans</v>
      </c>
      <c r="J429" t="s">
        <v>307</v>
      </c>
      <c r="K429" s="13">
        <f>INDEX(Foderstater!$AB$72:$AT$110,MATCH(F429,Foderstater!$Y$72:$Y$110,0),MATCH(A429&amp;B429&amp;C429&amp;E429,Foderstater!$AB$71:$AT$71,0))</f>
        <v>0.49337726435088475</v>
      </c>
      <c r="L429" s="157"/>
      <c r="M429" s="157"/>
    </row>
    <row r="430" spans="1:13" x14ac:dyDescent="0.25">
      <c r="A430" t="s">
        <v>2</v>
      </c>
      <c r="E430" t="s">
        <v>622</v>
      </c>
      <c r="F430" t="str">
        <f>Foderstater!Y$86</f>
        <v>rapeseed</v>
      </c>
      <c r="J430" t="s">
        <v>307</v>
      </c>
      <c r="K430" s="13">
        <f>INDEX(Foderstater!$AB$72:$AT$110,MATCH(F430,Foderstater!$Y$72:$Y$110,0),MATCH(A430&amp;B430&amp;C430&amp;E430,Foderstater!$AB$71:$AT$71,0))</f>
        <v>7.8103813840071092</v>
      </c>
      <c r="L430" s="157"/>
      <c r="M430" s="157"/>
    </row>
    <row r="431" spans="1:13" x14ac:dyDescent="0.25">
      <c r="A431" t="s">
        <v>2</v>
      </c>
      <c r="E431" t="s">
        <v>622</v>
      </c>
      <c r="F431" t="str">
        <f>Foderstater!Y$87</f>
        <v>linseed</v>
      </c>
      <c r="J431" t="s">
        <v>307</v>
      </c>
      <c r="K431" s="13">
        <f>INDEX(Foderstater!$AB$72:$AT$110,MATCH(F431,Foderstater!$Y$72:$Y$110,0),MATCH(A431&amp;B431&amp;C431&amp;E431,Foderstater!$AB$71:$AT$71,0))</f>
        <v>5.7613964740470527E-3</v>
      </c>
      <c r="L431" s="157"/>
      <c r="M431" s="157"/>
    </row>
    <row r="432" spans="1:13" x14ac:dyDescent="0.25">
      <c r="A432" t="s">
        <v>2</v>
      </c>
      <c r="E432" t="s">
        <v>622</v>
      </c>
      <c r="F432" t="str">
        <f>Foderstater!Y$88</f>
        <v>vegetable oils</v>
      </c>
      <c r="J432" t="s">
        <v>307</v>
      </c>
      <c r="K432" s="13">
        <f>INDEX(Foderstater!$AB$72:$AT$110,MATCH(F432,Foderstater!$Y$72:$Y$110,0),MATCH(A432&amp;B432&amp;C432&amp;E432,Foderstater!$AB$71:$AT$71,0))</f>
        <v>0.14874162067337257</v>
      </c>
      <c r="L432" s="157"/>
      <c r="M432" s="157"/>
    </row>
    <row r="433" spans="1:13" x14ac:dyDescent="0.25">
      <c r="A433" t="s">
        <v>2</v>
      </c>
      <c r="E433" t="s">
        <v>622</v>
      </c>
      <c r="F433" t="str">
        <f>Foderstater!Y$89</f>
        <v>soybeans</v>
      </c>
      <c r="J433" t="s">
        <v>307</v>
      </c>
      <c r="K433" s="13">
        <f>INDEX(Foderstater!$AB$72:$AT$110,MATCH(F433,Foderstater!$Y$72:$Y$110,0),MATCH(A433&amp;B433&amp;C433&amp;E433,Foderstater!$AB$71:$AT$71,0))</f>
        <v>0.14535484299167828</v>
      </c>
      <c r="L433" s="157"/>
      <c r="M433" s="157"/>
    </row>
    <row r="434" spans="1:13" x14ac:dyDescent="0.25">
      <c r="A434" t="s">
        <v>2</v>
      </c>
      <c r="E434" t="s">
        <v>622</v>
      </c>
      <c r="F434" t="str">
        <f>Foderstater!Y$90</f>
        <v>soybean meal</v>
      </c>
      <c r="J434" t="s">
        <v>307</v>
      </c>
      <c r="K434" s="13">
        <f>INDEX(Foderstater!$AB$72:$AT$110,MATCH(F434,Foderstater!$Y$72:$Y$110,0),MATCH(A434&amp;B434&amp;C434&amp;E434,Foderstater!$AB$71:$AT$71,0))</f>
        <v>1.3277625587415678</v>
      </c>
      <c r="L434" s="157"/>
      <c r="M434" s="157"/>
    </row>
    <row r="435" spans="1:13" x14ac:dyDescent="0.25">
      <c r="A435" t="s">
        <v>2</v>
      </c>
      <c r="E435" t="s">
        <v>622</v>
      </c>
      <c r="F435" t="str">
        <f>Foderstater!Y$91</f>
        <v>soybean protein concentrate</v>
      </c>
      <c r="J435" t="s">
        <v>307</v>
      </c>
      <c r="K435" s="13">
        <f>INDEX(Foderstater!$AB$72:$AT$110,MATCH(F435,Foderstater!$Y$72:$Y$110,0),MATCH(A435&amp;B435&amp;C435&amp;E435,Foderstater!$AB$71:$AT$71,0))</f>
        <v>0</v>
      </c>
      <c r="L435" s="157"/>
      <c r="M435" s="157"/>
    </row>
    <row r="436" spans="1:13" x14ac:dyDescent="0.25">
      <c r="A436" t="s">
        <v>2</v>
      </c>
      <c r="B436" t="s">
        <v>1</v>
      </c>
      <c r="E436" t="s">
        <v>622</v>
      </c>
      <c r="F436" t="str">
        <f>Foderstater!Y$92</f>
        <v>rapeseed meal</v>
      </c>
      <c r="J436" t="s">
        <v>307</v>
      </c>
      <c r="K436" s="13">
        <f>INDEX(Foderstater!$AB$72:$AT$110,MATCH(F436,Foderstater!$Y$72:$Y$110,0),MATCH(A436&amp;C436&amp;E436,Foderstater!$AB$71:$AT$71,0))</f>
        <v>10.255150343783729</v>
      </c>
      <c r="L436" s="157"/>
      <c r="M436" s="157"/>
    </row>
    <row r="437" spans="1:13" x14ac:dyDescent="0.25">
      <c r="A437" s="266" t="str">
        <f>A436</f>
        <v>dairy</v>
      </c>
      <c r="B437" s="266" t="s">
        <v>5</v>
      </c>
      <c r="D437" s="266"/>
      <c r="E437" s="266" t="s">
        <v>622</v>
      </c>
      <c r="F437" s="266" t="s">
        <v>601</v>
      </c>
      <c r="J437" s="266" t="str">
        <f>J436</f>
        <v>share_in_ration</v>
      </c>
      <c r="K437" s="267">
        <f>K436</f>
        <v>10.255150343783729</v>
      </c>
      <c r="L437" s="157"/>
      <c r="M437" s="266" t="s">
        <v>602</v>
      </c>
    </row>
    <row r="438" spans="1:13" x14ac:dyDescent="0.25">
      <c r="A438" t="s">
        <v>2</v>
      </c>
      <c r="E438" t="s">
        <v>622</v>
      </c>
      <c r="F438" t="str">
        <f>Foderstater!Y$94</f>
        <v>sunflower seed meal</v>
      </c>
      <c r="J438" t="s">
        <v>307</v>
      </c>
      <c r="K438" s="13">
        <f>INDEX(Foderstater!$AB$72:$AT$110,MATCH(F438,Foderstater!$Y$72:$Y$110,0),MATCH(A438&amp;B438&amp;C438&amp;E438,Foderstater!$AB$71:$AT$71,0))</f>
        <v>0.14166497571291584</v>
      </c>
    </row>
    <row r="439" spans="1:13" x14ac:dyDescent="0.25">
      <c r="A439" t="s">
        <v>2</v>
      </c>
      <c r="E439" t="s">
        <v>622</v>
      </c>
      <c r="F439" t="str">
        <f>Foderstater!Y$95</f>
        <v>palm kernel expeller</v>
      </c>
      <c r="J439" t="s">
        <v>307</v>
      </c>
      <c r="K439" s="13">
        <f>INDEX(Foderstater!$AB$72:$AT$110,MATCH(F439,Foderstater!$Y$72:$Y$110,0),MATCH(A439&amp;B439&amp;C439&amp;E439,Foderstater!$AB$71:$AT$71,0))</f>
        <v>0.92052755943695241</v>
      </c>
    </row>
    <row r="440" spans="1:13" x14ac:dyDescent="0.25">
      <c r="A440" t="s">
        <v>2</v>
      </c>
      <c r="E440" t="s">
        <v>622</v>
      </c>
      <c r="F440" t="str">
        <f>Foderstater!Y$96</f>
        <v>luzern meal</v>
      </c>
      <c r="J440" t="s">
        <v>307</v>
      </c>
      <c r="K440" s="13">
        <f>INDEX(Foderstater!$AB$72:$AT$110,MATCH(F440,Foderstater!$Y$72:$Y$110,0),MATCH(A440&amp;B440&amp;C440&amp;E440,Foderstater!$AB$71:$AT$71,0))</f>
        <v>0.28001437574471844</v>
      </c>
    </row>
    <row r="441" spans="1:13" x14ac:dyDescent="0.25">
      <c r="A441" t="s">
        <v>2</v>
      </c>
      <c r="E441" t="s">
        <v>622</v>
      </c>
      <c r="F441" t="str">
        <f>Foderstater!Y$97</f>
        <v>wheat bran</v>
      </c>
      <c r="J441" t="s">
        <v>307</v>
      </c>
      <c r="K441" s="13">
        <f>INDEX(Foderstater!$AB$72:$AT$110,MATCH(F441,Foderstater!$Y$72:$Y$110,0),MATCH(A441&amp;B441&amp;C441&amp;E441,Foderstater!$AB$71:$AT$71,0))</f>
        <v>3.0507942357144198</v>
      </c>
    </row>
    <row r="442" spans="1:13" x14ac:dyDescent="0.25">
      <c r="A442" t="s">
        <v>2</v>
      </c>
      <c r="E442" t="s">
        <v>622</v>
      </c>
      <c r="F442" t="str">
        <f>Foderstater!Y$98</f>
        <v>wheat bran, fine</v>
      </c>
      <c r="J442" t="s">
        <v>307</v>
      </c>
      <c r="K442" s="13">
        <f>INDEX(Foderstater!$AB$72:$AT$110,MATCH(F442,Foderstater!$Y$72:$Y$110,0),MATCH(A442&amp;B442&amp;C442&amp;E442,Foderstater!$AB$71:$AT$71,0))</f>
        <v>7.9974600220257888E-3</v>
      </c>
    </row>
    <row r="443" spans="1:13" x14ac:dyDescent="0.25">
      <c r="A443" t="s">
        <v>2</v>
      </c>
      <c r="E443" t="s">
        <v>622</v>
      </c>
      <c r="F443" t="str">
        <f>Foderstater!Y$99</f>
        <v>oat hulls</v>
      </c>
      <c r="J443" t="s">
        <v>307</v>
      </c>
      <c r="K443" s="13">
        <f>INDEX(Foderstater!$AB$72:$AT$110,MATCH(F443,Foderstater!$Y$72:$Y$110,0),MATCH(A443&amp;B443&amp;C443&amp;E443,Foderstater!$AB$71:$AT$71,0))</f>
        <v>0.36743850131225997</v>
      </c>
    </row>
    <row r="444" spans="1:13" x14ac:dyDescent="0.25">
      <c r="A444" t="s">
        <v>2</v>
      </c>
      <c r="E444" t="s">
        <v>622</v>
      </c>
      <c r="F444" t="str">
        <f>Foderstater!Y$100</f>
        <v>oat bran</v>
      </c>
      <c r="J444" t="s">
        <v>307</v>
      </c>
      <c r="K444" s="13">
        <f>INDEX(Foderstater!$AB$72:$AT$110,MATCH(F444,Foderstater!$Y$72:$Y$110,0),MATCH(A444&amp;B444&amp;C444&amp;E444,Foderstater!$AB$71:$AT$71,0))</f>
        <v>4.1469584641145113E-2</v>
      </c>
    </row>
    <row r="445" spans="1:13" x14ac:dyDescent="0.25">
      <c r="A445" t="s">
        <v>2</v>
      </c>
      <c r="E445" t="s">
        <v>622</v>
      </c>
      <c r="F445" t="str">
        <f>Foderstater!Y$101</f>
        <v>rye bran</v>
      </c>
      <c r="J445" t="s">
        <v>307</v>
      </c>
      <c r="K445" s="13">
        <f>INDEX(Foderstater!$AB$72:$AT$110,MATCH(F445,Foderstater!$Y$72:$Y$110,0),MATCH(A445&amp;B445&amp;C445&amp;E445,Foderstater!$AB$71:$AT$71,0))</f>
        <v>0.12789264856808435</v>
      </c>
    </row>
    <row r="446" spans="1:13" x14ac:dyDescent="0.25">
      <c r="A446" t="s">
        <v>2</v>
      </c>
      <c r="E446" t="s">
        <v>622</v>
      </c>
      <c r="F446" t="str">
        <f>Foderstater!Y$102</f>
        <v>wheat distillers grain, dry</v>
      </c>
      <c r="J446" t="s">
        <v>307</v>
      </c>
      <c r="K446" s="13">
        <f>INDEX(Foderstater!$AB$72:$AT$110,MATCH(F446,Foderstater!$Y$72:$Y$110,0),MATCH(A446&amp;B446&amp;C446&amp;E446,Foderstater!$AB$71:$AT$71,0))</f>
        <v>3.2793139775740143</v>
      </c>
    </row>
    <row r="447" spans="1:13" x14ac:dyDescent="0.25">
      <c r="A447" t="s">
        <v>2</v>
      </c>
      <c r="E447" t="s">
        <v>622</v>
      </c>
      <c r="F447" t="str">
        <f>Foderstater!Y$103</f>
        <v>barley brewers grain</v>
      </c>
      <c r="J447" t="s">
        <v>307</v>
      </c>
      <c r="K447" s="13">
        <f>INDEX(Foderstater!$AB$72:$AT$110,MATCH(F447,Foderstater!$Y$72:$Y$110,0),MATCH(A447&amp;B447&amp;C447&amp;E447,Foderstater!$AB$71:$AT$71,0))</f>
        <v>0</v>
      </c>
    </row>
    <row r="448" spans="1:13" x14ac:dyDescent="0.25">
      <c r="A448" t="s">
        <v>2</v>
      </c>
      <c r="E448" t="s">
        <v>622</v>
      </c>
      <c r="F448" t="str">
        <f>Foderstater!Y$104</f>
        <v>maize gluten meal</v>
      </c>
      <c r="J448" t="s">
        <v>307</v>
      </c>
      <c r="K448" s="13">
        <f>INDEX(Foderstater!$AB$72:$AT$110,MATCH(F448,Foderstater!$Y$72:$Y$110,0),MATCH(A448&amp;B448&amp;C448&amp;E448,Foderstater!$AB$71:$AT$71,0))</f>
        <v>9.909057336275405E-2</v>
      </c>
    </row>
    <row r="449" spans="1:14" x14ac:dyDescent="0.25">
      <c r="A449" t="s">
        <v>2</v>
      </c>
      <c r="E449" t="s">
        <v>622</v>
      </c>
      <c r="F449" t="str">
        <f>Foderstater!Y$105</f>
        <v>sugar beet molasses</v>
      </c>
      <c r="J449" t="s">
        <v>307</v>
      </c>
      <c r="K449" s="13">
        <f>INDEX(Foderstater!$AB$72:$AT$110,MATCH(F449,Foderstater!$Y$72:$Y$110,0),MATCH(A449&amp;B449&amp;C449&amp;E449,Foderstater!$AB$71:$AT$71,0))</f>
        <v>1.0988543650666409</v>
      </c>
    </row>
    <row r="450" spans="1:14" x14ac:dyDescent="0.25">
      <c r="A450" t="s">
        <v>2</v>
      </c>
      <c r="E450" t="s">
        <v>622</v>
      </c>
      <c r="F450" t="str">
        <f>Foderstater!Y$106</f>
        <v>sugar beet pulp</v>
      </c>
      <c r="J450" t="s">
        <v>307</v>
      </c>
      <c r="K450" s="13">
        <f>INDEX(Foderstater!$AB$72:$AT$110,MATCH(F450,Foderstater!$Y$72:$Y$110,0),MATCH(A450&amp;B450&amp;C450&amp;E450,Foderstater!$AB$71:$AT$71,0))</f>
        <v>2.1203264119382346</v>
      </c>
    </row>
    <row r="451" spans="1:14" x14ac:dyDescent="0.25">
      <c r="A451" t="s">
        <v>2</v>
      </c>
      <c r="E451" t="s">
        <v>622</v>
      </c>
      <c r="F451" t="str">
        <f>Foderstater!Y$107</f>
        <v>whey powder</v>
      </c>
      <c r="J451" t="s">
        <v>307</v>
      </c>
      <c r="K451" s="13">
        <f>INDEX(Foderstater!$AB$72:$AT$110,MATCH(F451,Foderstater!$Y$72:$Y$110,0),MATCH(A451&amp;B451&amp;C451&amp;E451,Foderstater!$AB$71:$AT$71,0))</f>
        <v>0</v>
      </c>
    </row>
    <row r="452" spans="1:14" x14ac:dyDescent="0.25">
      <c r="A452" t="s">
        <v>2</v>
      </c>
      <c r="E452" t="s">
        <v>622</v>
      </c>
      <c r="F452" t="str">
        <f>Foderstater!Y$108</f>
        <v>potatoe protein</v>
      </c>
      <c r="J452" t="s">
        <v>307</v>
      </c>
      <c r="K452" s="13">
        <f>INDEX(Foderstater!$AB$72:$AT$110,MATCH(F452,Foderstater!$Y$72:$Y$110,0),MATCH(A452&amp;B452&amp;C452&amp;E452,Foderstater!$AB$71:$AT$71,0))</f>
        <v>9.7073985170620554E-3</v>
      </c>
    </row>
    <row r="453" spans="1:14" x14ac:dyDescent="0.25">
      <c r="A453" t="s">
        <v>2</v>
      </c>
      <c r="E453" t="s">
        <v>622</v>
      </c>
      <c r="F453" t="str">
        <f>Foderstater!Y$109</f>
        <v>fish meal</v>
      </c>
      <c r="J453" t="s">
        <v>307</v>
      </c>
      <c r="K453" s="13">
        <f>INDEX(Foderstater!$AB$72:$AT$110,MATCH(F453,Foderstater!$Y$72:$Y$110,0),MATCH(A453&amp;B453&amp;C453&amp;E453,Foderstater!$AB$71:$AT$71,0))</f>
        <v>0</v>
      </c>
    </row>
    <row r="454" spans="1:14" x14ac:dyDescent="0.25">
      <c r="A454" t="s">
        <v>2</v>
      </c>
      <c r="E454" t="s">
        <v>622</v>
      </c>
      <c r="F454" t="str">
        <f>Foderstater!Y$110</f>
        <v>minerals</v>
      </c>
      <c r="J454" t="s">
        <v>307</v>
      </c>
      <c r="K454" s="13">
        <f>INDEX(Foderstater!$AB$72:$AT$110,MATCH(F454,Foderstater!$Y$72:$Y$110,0),MATCH(A454&amp;B454&amp;C454&amp;E454,Foderstater!$AB$71:$AT$71,0))</f>
        <v>0</v>
      </c>
    </row>
    <row r="456" spans="1:14" ht="17.25" customHeight="1" x14ac:dyDescent="0.25">
      <c r="A456" s="81" t="s">
        <v>67</v>
      </c>
      <c r="B456" s="48"/>
      <c r="C456" s="48"/>
      <c r="D456" s="49"/>
      <c r="E456" s="49"/>
      <c r="F456" s="49"/>
      <c r="G456" s="49"/>
      <c r="H456" s="49"/>
      <c r="I456" s="49"/>
      <c r="J456" s="49"/>
      <c r="K456" s="159"/>
      <c r="L456" s="49"/>
      <c r="M456" s="49"/>
      <c r="N456" s="49"/>
    </row>
    <row r="457" spans="1:14" x14ac:dyDescent="0.25">
      <c r="A457" s="157" t="s">
        <v>2</v>
      </c>
      <c r="B457" s="157" t="s">
        <v>1</v>
      </c>
      <c r="C457" s="157"/>
      <c r="D457" s="157"/>
      <c r="E457" s="157" t="s">
        <v>31</v>
      </c>
      <c r="J457" s="157" t="s">
        <v>307</v>
      </c>
      <c r="K457" s="253">
        <v>0</v>
      </c>
      <c r="L457" s="157"/>
      <c r="M457" s="157" t="s">
        <v>398</v>
      </c>
    </row>
    <row r="458" spans="1:14" x14ac:dyDescent="0.25">
      <c r="A458" t="s">
        <v>2</v>
      </c>
      <c r="B458" t="s">
        <v>1</v>
      </c>
      <c r="E458" t="s">
        <v>31</v>
      </c>
      <c r="F458" t="str">
        <f>Foderstater!Y$72</f>
        <v>ley silage, 1st cut</v>
      </c>
      <c r="J458" t="s">
        <v>307</v>
      </c>
      <c r="K458" s="13">
        <f>INDEX(Foderstater!$AB$72:$AT$110,MATCH(F458,Foderstater!$Y$72:$Y$110,0),MATCH(A458&amp;B458&amp;C458&amp;E458,Foderstater!$AB$71:$AT$71,0))</f>
        <v>0</v>
      </c>
      <c r="L458" s="157"/>
      <c r="M458" s="157"/>
    </row>
    <row r="459" spans="1:14" x14ac:dyDescent="0.25">
      <c r="A459" t="s">
        <v>2</v>
      </c>
      <c r="B459" t="s">
        <v>1</v>
      </c>
      <c r="E459" t="s">
        <v>31</v>
      </c>
      <c r="F459" t="str">
        <f>Foderstater!Y$73</f>
        <v>ley silage, regrowth</v>
      </c>
      <c r="J459" t="s">
        <v>307</v>
      </c>
      <c r="K459" s="13">
        <f>INDEX(Foderstater!$AB$72:$AT$110,MATCH(F459,Foderstater!$Y$72:$Y$110,0),MATCH(A459&amp;B459&amp;C459&amp;E459,Foderstater!$AB$71:$AT$71,0))</f>
        <v>55.625459984330824</v>
      </c>
      <c r="L459" s="157"/>
      <c r="M459" s="157"/>
    </row>
    <row r="460" spans="1:14" x14ac:dyDescent="0.25">
      <c r="A460" t="s">
        <v>2</v>
      </c>
      <c r="B460" t="s">
        <v>1</v>
      </c>
      <c r="E460" t="s">
        <v>31</v>
      </c>
      <c r="F460" t="str">
        <f>Foderstater!Y$74</f>
        <v>other silage</v>
      </c>
      <c r="J460" t="s">
        <v>307</v>
      </c>
      <c r="K460" s="13">
        <f>INDEX(Foderstater!$AB$72:$AT$110,MATCH(F460,Foderstater!$Y$72:$Y$110,0),MATCH(A460&amp;B460&amp;C460&amp;E460,Foderstater!$AB$71:$AT$71,0))</f>
        <v>0</v>
      </c>
      <c r="L460" s="157"/>
      <c r="M460" s="157"/>
    </row>
    <row r="461" spans="1:14" x14ac:dyDescent="0.25">
      <c r="A461" t="s">
        <v>2</v>
      </c>
      <c r="B461" t="s">
        <v>1</v>
      </c>
      <c r="E461" t="s">
        <v>31</v>
      </c>
      <c r="F461" t="str">
        <f>Foderstater!Y$75</f>
        <v>maize silage</v>
      </c>
      <c r="J461" t="s">
        <v>307</v>
      </c>
      <c r="K461" s="13">
        <f>INDEX(Foderstater!$AB$72:$AT$110,MATCH(F461,Foderstater!$Y$72:$Y$110,0),MATCH(A461&amp;B461&amp;C461&amp;E461,Foderstater!$AB$71:$AT$71,0))</f>
        <v>0</v>
      </c>
      <c r="L461" s="157"/>
      <c r="M461" s="157"/>
    </row>
    <row r="462" spans="1:14" x14ac:dyDescent="0.25">
      <c r="A462" t="s">
        <v>2</v>
      </c>
      <c r="B462" t="s">
        <v>1</v>
      </c>
      <c r="E462" t="s">
        <v>31</v>
      </c>
      <c r="F462" t="str">
        <f>Foderstater!Y$76</f>
        <v>straw</v>
      </c>
      <c r="J462" t="s">
        <v>307</v>
      </c>
      <c r="K462" s="13">
        <f>INDEX(Foderstater!$AB$72:$AT$110,MATCH(F462,Foderstater!$Y$72:$Y$110,0),MATCH(A462&amp;B462&amp;C462&amp;E462,Foderstater!$AB$71:$AT$71,0))</f>
        <v>0</v>
      </c>
      <c r="L462" s="157"/>
      <c r="M462" s="157"/>
    </row>
    <row r="463" spans="1:14" x14ac:dyDescent="0.25">
      <c r="A463" t="s">
        <v>2</v>
      </c>
      <c r="B463" t="s">
        <v>1</v>
      </c>
      <c r="E463" t="s">
        <v>31</v>
      </c>
      <c r="F463" t="str">
        <f>Foderstater!Y$77</f>
        <v>grazing</v>
      </c>
      <c r="J463" t="s">
        <v>307</v>
      </c>
      <c r="K463" s="13">
        <f>INDEX(Foderstater!$AB$72:$AT$110,MATCH(F463,Foderstater!$Y$72:$Y$110,0),MATCH(A463&amp;B463&amp;C463&amp;E463,Foderstater!$AB$71:$AT$71,0))</f>
        <v>37.985802806201164</v>
      </c>
      <c r="L463" s="157"/>
      <c r="M463" s="157"/>
    </row>
    <row r="464" spans="1:14" x14ac:dyDescent="0.25">
      <c r="A464" t="s">
        <v>2</v>
      </c>
      <c r="B464" t="s">
        <v>1</v>
      </c>
      <c r="E464" t="s">
        <v>31</v>
      </c>
      <c r="F464" t="str">
        <f>Foderstater!Y$78</f>
        <v>wheat</v>
      </c>
      <c r="J464" t="s">
        <v>307</v>
      </c>
      <c r="K464" s="13">
        <f>INDEX(Foderstater!$AB$72:$AT$110,MATCH(F464,Foderstater!$Y$72:$Y$110,0),MATCH(A464&amp;B464&amp;C464&amp;E464,Foderstater!$AB$71:$AT$71,0))</f>
        <v>1.3863617500865526</v>
      </c>
      <c r="L464" s="157"/>
      <c r="M464" s="157"/>
    </row>
    <row r="465" spans="1:13" x14ac:dyDescent="0.25">
      <c r="A465" t="s">
        <v>2</v>
      </c>
      <c r="B465" t="s">
        <v>1</v>
      </c>
      <c r="E465" t="s">
        <v>31</v>
      </c>
      <c r="F465" t="str">
        <f>Foderstater!Y$79</f>
        <v>barley</v>
      </c>
      <c r="J465" t="s">
        <v>307</v>
      </c>
      <c r="K465" s="13">
        <f>INDEX(Foderstater!$AB$72:$AT$110,MATCH(F465,Foderstater!$Y$72:$Y$110,0),MATCH(A465&amp;B465&amp;C465&amp;E465,Foderstater!$AB$71:$AT$71,0))</f>
        <v>2.2689110468918563</v>
      </c>
      <c r="L465" s="157"/>
      <c r="M465" s="157"/>
    </row>
    <row r="466" spans="1:13" x14ac:dyDescent="0.25">
      <c r="A466" t="s">
        <v>2</v>
      </c>
      <c r="B466" t="s">
        <v>1</v>
      </c>
      <c r="E466" t="s">
        <v>31</v>
      </c>
      <c r="F466" t="str">
        <f>Foderstater!Y$80</f>
        <v>oats</v>
      </c>
      <c r="J466" t="s">
        <v>307</v>
      </c>
      <c r="K466" s="13">
        <f>INDEX(Foderstater!$AB$72:$AT$110,MATCH(F466,Foderstater!$Y$72:$Y$110,0),MATCH(A466&amp;B466&amp;C466&amp;E466,Foderstater!$AB$71:$AT$71,0))</f>
        <v>0.55429500315000624</v>
      </c>
      <c r="L466" s="157"/>
      <c r="M466" s="157"/>
    </row>
    <row r="467" spans="1:13" x14ac:dyDescent="0.25">
      <c r="A467" t="s">
        <v>2</v>
      </c>
      <c r="B467" t="s">
        <v>1</v>
      </c>
      <c r="E467" t="s">
        <v>31</v>
      </c>
      <c r="F467" t="str">
        <f>Foderstater!Y$81</f>
        <v>triticale</v>
      </c>
      <c r="J467" t="s">
        <v>307</v>
      </c>
      <c r="K467" s="13">
        <f>INDEX(Foderstater!$AB$72:$AT$110,MATCH(F467,Foderstater!$Y$72:$Y$110,0),MATCH(A467&amp;B467&amp;C467&amp;E467,Foderstater!$AB$71:$AT$71,0))</f>
        <v>0.70529164372503017</v>
      </c>
      <c r="L467" s="157"/>
      <c r="M467" s="157"/>
    </row>
    <row r="468" spans="1:13" x14ac:dyDescent="0.25">
      <c r="A468" t="s">
        <v>2</v>
      </c>
      <c r="B468" t="s">
        <v>1</v>
      </c>
      <c r="E468" t="s">
        <v>31</v>
      </c>
      <c r="F468" t="str">
        <f>Foderstater!Y$82</f>
        <v>rye</v>
      </c>
      <c r="J468" t="s">
        <v>307</v>
      </c>
      <c r="K468" s="13">
        <f>INDEX(Foderstater!$AB$72:$AT$110,MATCH(F468,Foderstater!$Y$72:$Y$110,0),MATCH(A468&amp;B468&amp;C468&amp;E468,Foderstater!$AB$71:$AT$71,0))</f>
        <v>4.8796554435071035E-3</v>
      </c>
      <c r="L468" s="157"/>
      <c r="M468" s="157"/>
    </row>
    <row r="469" spans="1:13" x14ac:dyDescent="0.25">
      <c r="A469" t="s">
        <v>2</v>
      </c>
      <c r="B469" t="s">
        <v>1</v>
      </c>
      <c r="E469" t="s">
        <v>31</v>
      </c>
      <c r="F469" t="str">
        <f>Foderstater!Y$83</f>
        <v>maize</v>
      </c>
      <c r="J469" t="s">
        <v>307</v>
      </c>
      <c r="K469" s="13">
        <f>INDEX(Foderstater!$AB$72:$AT$110,MATCH(F469,Foderstater!$Y$72:$Y$110,0),MATCH(A469&amp;B469&amp;C469&amp;E469,Foderstater!$AB$71:$AT$71,0))</f>
        <v>2.1200240211883402E-2</v>
      </c>
      <c r="L469" s="157"/>
      <c r="M469" s="157"/>
    </row>
    <row r="470" spans="1:13" x14ac:dyDescent="0.25">
      <c r="A470" t="s">
        <v>2</v>
      </c>
      <c r="B470" t="s">
        <v>1</v>
      </c>
      <c r="E470" t="s">
        <v>31</v>
      </c>
      <c r="F470" t="str">
        <f>Foderstater!Y$84</f>
        <v>peas</v>
      </c>
      <c r="J470" t="s">
        <v>307</v>
      </c>
      <c r="K470" s="13">
        <f>INDEX(Foderstater!$AB$72:$AT$110,MATCH(F470,Foderstater!$Y$72:$Y$110,0),MATCH(A470&amp;B470&amp;C470&amp;E470,Foderstater!$AB$71:$AT$71,0))</f>
        <v>3.3132642462517254E-3</v>
      </c>
      <c r="L470" s="157"/>
      <c r="M470" s="157"/>
    </row>
    <row r="471" spans="1:13" x14ac:dyDescent="0.25">
      <c r="A471" t="s">
        <v>2</v>
      </c>
      <c r="B471" t="s">
        <v>1</v>
      </c>
      <c r="E471" t="s">
        <v>31</v>
      </c>
      <c r="F471" t="str">
        <f>Foderstater!Y$85</f>
        <v>broad beans</v>
      </c>
      <c r="J471" t="s">
        <v>307</v>
      </c>
      <c r="K471" s="13">
        <f>INDEX(Foderstater!$AB$72:$AT$110,MATCH(F471,Foderstater!$Y$72:$Y$110,0),MATCH(A471&amp;B471&amp;C471&amp;E471,Foderstater!$AB$71:$AT$71,0))</f>
        <v>1.1385358869662632E-2</v>
      </c>
      <c r="L471" s="157"/>
      <c r="M471" s="157"/>
    </row>
    <row r="472" spans="1:13" x14ac:dyDescent="0.25">
      <c r="A472" t="s">
        <v>2</v>
      </c>
      <c r="B472" t="s">
        <v>1</v>
      </c>
      <c r="E472" t="s">
        <v>31</v>
      </c>
      <c r="F472" t="str">
        <f>Foderstater!Y$86</f>
        <v>rapeseed</v>
      </c>
      <c r="J472" t="s">
        <v>307</v>
      </c>
      <c r="K472" s="13">
        <f>INDEX(Foderstater!$AB$72:$AT$110,MATCH(F472,Foderstater!$Y$72:$Y$110,0),MATCH(A472&amp;B472&amp;C472&amp;E472,Foderstater!$AB$71:$AT$71,0))</f>
        <v>0.18023529130967705</v>
      </c>
      <c r="L472" s="157"/>
      <c r="M472" s="157"/>
    </row>
    <row r="473" spans="1:13" x14ac:dyDescent="0.25">
      <c r="A473" t="s">
        <v>2</v>
      </c>
      <c r="B473" t="s">
        <v>1</v>
      </c>
      <c r="E473" t="s">
        <v>31</v>
      </c>
      <c r="F473" t="str">
        <f>Foderstater!Y$87</f>
        <v>linseed</v>
      </c>
      <c r="J473" t="s">
        <v>307</v>
      </c>
      <c r="K473" s="13">
        <f>INDEX(Foderstater!$AB$72:$AT$110,MATCH(F473,Foderstater!$Y$72:$Y$110,0),MATCH(A473&amp;B473&amp;C473&amp;E473,Foderstater!$AB$71:$AT$71,0))</f>
        <v>1.3295214673853263E-4</v>
      </c>
      <c r="L473" s="157"/>
      <c r="M473" s="157"/>
    </row>
    <row r="474" spans="1:13" x14ac:dyDescent="0.25">
      <c r="A474" t="s">
        <v>2</v>
      </c>
      <c r="B474" t="s">
        <v>1</v>
      </c>
      <c r="E474" t="s">
        <v>31</v>
      </c>
      <c r="F474" t="str">
        <f>Foderstater!Y$88</f>
        <v>vegetable oils</v>
      </c>
      <c r="J474" t="s">
        <v>307</v>
      </c>
      <c r="K474" s="13">
        <f>INDEX(Foderstater!$AB$72:$AT$110,MATCH(F474,Foderstater!$Y$72:$Y$110,0),MATCH(A474&amp;B474&amp;C474&amp;E474,Foderstater!$AB$71:$AT$71,0))</f>
        <v>3.4324174472239043E-3</v>
      </c>
      <c r="L474" s="157"/>
      <c r="M474" s="157"/>
    </row>
    <row r="475" spans="1:13" x14ac:dyDescent="0.25">
      <c r="A475" t="s">
        <v>2</v>
      </c>
      <c r="B475" t="s">
        <v>1</v>
      </c>
      <c r="E475" t="s">
        <v>31</v>
      </c>
      <c r="F475" t="str">
        <f>Foderstater!Y$89</f>
        <v>soybeans</v>
      </c>
      <c r="J475" t="s">
        <v>307</v>
      </c>
      <c r="K475" s="13">
        <f>INDEX(Foderstater!$AB$72:$AT$110,MATCH(F475,Foderstater!$Y$72:$Y$110,0),MATCH(A475&amp;B475&amp;C475&amp;E475,Foderstater!$AB$71:$AT$71,0))</f>
        <v>3.3542628947059953E-3</v>
      </c>
      <c r="L475" s="157"/>
      <c r="M475" s="157"/>
    </row>
    <row r="476" spans="1:13" x14ac:dyDescent="0.25">
      <c r="A476" t="s">
        <v>2</v>
      </c>
      <c r="B476" t="s">
        <v>1</v>
      </c>
      <c r="E476" t="s">
        <v>31</v>
      </c>
      <c r="F476" t="str">
        <f>Foderstater!Y$90</f>
        <v>soybean meal</v>
      </c>
      <c r="J476" t="s">
        <v>307</v>
      </c>
      <c r="K476" s="13">
        <f>INDEX(Foderstater!$AB$72:$AT$110,MATCH(F476,Foderstater!$Y$72:$Y$110,0),MATCH(A476&amp;B476&amp;C476&amp;E476,Foderstater!$AB$71:$AT$71,0))</f>
        <v>3.0639946988362182E-2</v>
      </c>
      <c r="L476" s="157"/>
      <c r="M476" s="157"/>
    </row>
    <row r="477" spans="1:13" x14ac:dyDescent="0.25">
      <c r="A477" t="s">
        <v>2</v>
      </c>
      <c r="B477" t="s">
        <v>1</v>
      </c>
      <c r="E477" t="s">
        <v>31</v>
      </c>
      <c r="F477" t="str">
        <f>Foderstater!Y$91</f>
        <v>soybean protein concentrate</v>
      </c>
      <c r="J477" t="s">
        <v>307</v>
      </c>
      <c r="K477" s="13">
        <f>INDEX(Foderstater!$AB$72:$AT$110,MATCH(F477,Foderstater!$Y$72:$Y$110,0),MATCH(A477&amp;B477&amp;C477&amp;E477,Foderstater!$AB$71:$AT$71,0))</f>
        <v>0</v>
      </c>
      <c r="L477" s="157"/>
      <c r="M477" s="157"/>
    </row>
    <row r="478" spans="1:13" x14ac:dyDescent="0.25">
      <c r="A478" t="s">
        <v>2</v>
      </c>
      <c r="B478" t="s">
        <v>1</v>
      </c>
      <c r="E478" t="s">
        <v>31</v>
      </c>
      <c r="F478" t="str">
        <f>Foderstater!Y$92</f>
        <v>rapeseed meal</v>
      </c>
      <c r="J478" t="s">
        <v>307</v>
      </c>
      <c r="K478" s="13">
        <f>INDEX(Foderstater!$AB$72:$AT$110,MATCH(F478,Foderstater!$Y$72:$Y$110,0),MATCH(A478&amp;B478&amp;C478&amp;E478,Foderstater!$AB$71:$AT$71,0))</f>
        <v>0.23665169711445078</v>
      </c>
      <c r="L478" s="157"/>
      <c r="M478" s="157"/>
    </row>
    <row r="479" spans="1:13" x14ac:dyDescent="0.25">
      <c r="A479" t="s">
        <v>2</v>
      </c>
      <c r="B479" t="s">
        <v>1</v>
      </c>
      <c r="E479" t="s">
        <v>31</v>
      </c>
      <c r="F479" t="str">
        <f>Foderstater!Y$93</f>
        <v>rapeseed cake</v>
      </c>
      <c r="J479" t="s">
        <v>307</v>
      </c>
      <c r="K479" s="13">
        <f>INDEX(Foderstater!$AB$72:$AT$110,MATCH(F479,Foderstater!$Y$72:$Y$110,0),MATCH(A479&amp;B479&amp;C479&amp;E479,Foderstater!$AB$71:$AT$71,0))</f>
        <v>0</v>
      </c>
      <c r="L479" s="157"/>
      <c r="M479" s="157"/>
    </row>
    <row r="480" spans="1:13" x14ac:dyDescent="0.25">
      <c r="A480" t="s">
        <v>2</v>
      </c>
      <c r="B480" t="s">
        <v>1</v>
      </c>
      <c r="E480" t="s">
        <v>31</v>
      </c>
      <c r="F480" t="str">
        <f>Foderstater!Y$94</f>
        <v>sunflower seed meal</v>
      </c>
      <c r="J480" t="s">
        <v>307</v>
      </c>
      <c r="K480" s="13">
        <f>INDEX(Foderstater!$AB$72:$AT$110,MATCH(F480,Foderstater!$Y$72:$Y$110,0),MATCH(A480&amp;B480&amp;C480&amp;E480,Foderstater!$AB$71:$AT$71,0))</f>
        <v>3.2691141329254793E-3</v>
      </c>
    </row>
    <row r="481" spans="1:11" x14ac:dyDescent="0.25">
      <c r="A481" t="s">
        <v>2</v>
      </c>
      <c r="B481" t="s">
        <v>1</v>
      </c>
      <c r="E481" t="s">
        <v>31</v>
      </c>
      <c r="F481" t="str">
        <f>Foderstater!Y$95</f>
        <v>palm kernel expeller</v>
      </c>
      <c r="J481" t="s">
        <v>307</v>
      </c>
      <c r="K481" s="13">
        <f>INDEX(Foderstater!$AB$72:$AT$110,MATCH(F481,Foderstater!$Y$72:$Y$110,0),MATCH(A481&amp;B481&amp;C481&amp;E481,Foderstater!$AB$71:$AT$71,0))</f>
        <v>2.1242439347895763E-2</v>
      </c>
    </row>
    <row r="482" spans="1:11" x14ac:dyDescent="0.25">
      <c r="A482" t="s">
        <v>2</v>
      </c>
      <c r="B482" t="s">
        <v>1</v>
      </c>
      <c r="E482" t="s">
        <v>31</v>
      </c>
      <c r="F482" t="str">
        <f>Foderstater!Y$96</f>
        <v>luzern meal</v>
      </c>
      <c r="J482" t="s">
        <v>307</v>
      </c>
      <c r="K482" s="13">
        <f>INDEX(Foderstater!$AB$72:$AT$110,MATCH(F482,Foderstater!$Y$72:$Y$110,0),MATCH(A482&amp;B482&amp;C482&amp;E482,Foderstater!$AB$71:$AT$71,0))</f>
        <v>6.4617167974137888E-3</v>
      </c>
    </row>
    <row r="483" spans="1:11" x14ac:dyDescent="0.25">
      <c r="A483" t="s">
        <v>2</v>
      </c>
      <c r="B483" t="s">
        <v>1</v>
      </c>
      <c r="E483" t="s">
        <v>31</v>
      </c>
      <c r="F483" t="str">
        <f>Foderstater!Y$97</f>
        <v>wheat bran</v>
      </c>
      <c r="J483" t="s">
        <v>307</v>
      </c>
      <c r="K483" s="13">
        <f>INDEX(Foderstater!$AB$72:$AT$110,MATCH(F483,Foderstater!$Y$72:$Y$110,0),MATCH(A483&amp;B483&amp;C483&amp;E483,Foderstater!$AB$71:$AT$71,0))</f>
        <v>7.0401272455886954E-2</v>
      </c>
    </row>
    <row r="484" spans="1:11" x14ac:dyDescent="0.25">
      <c r="A484" t="s">
        <v>2</v>
      </c>
      <c r="B484" t="s">
        <v>1</v>
      </c>
      <c r="E484" t="s">
        <v>31</v>
      </c>
      <c r="F484" t="str">
        <f>Foderstater!Y$98</f>
        <v>wheat bran, fine</v>
      </c>
      <c r="J484" t="s">
        <v>307</v>
      </c>
      <c r="K484" s="13">
        <f>INDEX(Foderstater!$AB$72:$AT$110,MATCH(F484,Foderstater!$Y$72:$Y$110,0),MATCH(A484&amp;B484&amp;C484&amp;E484,Foderstater!$AB$71:$AT$71,0))</f>
        <v>1.8455238815339291E-4</v>
      </c>
    </row>
    <row r="485" spans="1:11" x14ac:dyDescent="0.25">
      <c r="A485" t="s">
        <v>2</v>
      </c>
      <c r="B485" t="s">
        <v>1</v>
      </c>
      <c r="E485" t="s">
        <v>31</v>
      </c>
      <c r="F485" t="str">
        <f>Foderstater!Y$99</f>
        <v>oat hulls</v>
      </c>
      <c r="J485" t="s">
        <v>307</v>
      </c>
      <c r="K485" s="13">
        <f>INDEX(Foderstater!$AB$72:$AT$110,MATCH(F485,Foderstater!$Y$72:$Y$110,0),MATCH(A485&amp;B485&amp;C485&amp;E485,Foderstater!$AB$71:$AT$71,0))</f>
        <v>8.4791487209590587E-3</v>
      </c>
    </row>
    <row r="486" spans="1:11" x14ac:dyDescent="0.25">
      <c r="A486" t="s">
        <v>2</v>
      </c>
      <c r="B486" t="s">
        <v>1</v>
      </c>
      <c r="E486" t="s">
        <v>31</v>
      </c>
      <c r="F486" t="str">
        <f>Foderstater!Y$100</f>
        <v>oat bran</v>
      </c>
      <c r="J486" t="s">
        <v>307</v>
      </c>
      <c r="K486" s="13">
        <f>INDEX(Foderstater!$AB$72:$AT$110,MATCH(F486,Foderstater!$Y$72:$Y$110,0),MATCH(A486&amp;B486&amp;C486&amp;E486,Foderstater!$AB$71:$AT$71,0))</f>
        <v>9.5696769476491604E-4</v>
      </c>
    </row>
    <row r="487" spans="1:11" x14ac:dyDescent="0.25">
      <c r="A487" t="s">
        <v>2</v>
      </c>
      <c r="B487" t="s">
        <v>1</v>
      </c>
      <c r="E487" t="s">
        <v>31</v>
      </c>
      <c r="F487" t="str">
        <f>Foderstater!Y$101</f>
        <v>rye bran</v>
      </c>
      <c r="J487" t="s">
        <v>307</v>
      </c>
      <c r="K487" s="13">
        <f>INDEX(Foderstater!$AB$72:$AT$110,MATCH(F487,Foderstater!$Y$72:$Y$110,0),MATCH(A487&amp;B487&amp;C487&amp;E487,Foderstater!$AB$71:$AT$71,0))</f>
        <v>2.9512987442885481E-3</v>
      </c>
    </row>
    <row r="488" spans="1:11" x14ac:dyDescent="0.25">
      <c r="A488" t="s">
        <v>2</v>
      </c>
      <c r="B488" t="s">
        <v>1</v>
      </c>
      <c r="E488" t="s">
        <v>31</v>
      </c>
      <c r="F488" t="str">
        <f>Foderstater!Y$102</f>
        <v>wheat distillers grain, dry</v>
      </c>
      <c r="J488" t="s">
        <v>307</v>
      </c>
      <c r="K488" s="13">
        <f>INDEX(Foderstater!$AB$72:$AT$110,MATCH(F488,Foderstater!$Y$72:$Y$110,0),MATCH(A488&amp;B488&amp;C488&amp;E488,Foderstater!$AB$71:$AT$71,0))</f>
        <v>7.5674679760735511E-2</v>
      </c>
    </row>
    <row r="489" spans="1:11" x14ac:dyDescent="0.25">
      <c r="A489" t="s">
        <v>2</v>
      </c>
      <c r="B489" t="s">
        <v>1</v>
      </c>
      <c r="E489" t="s">
        <v>31</v>
      </c>
      <c r="F489" t="str">
        <f>Foderstater!Y$103</f>
        <v>barley brewers grain</v>
      </c>
      <c r="J489" t="s">
        <v>307</v>
      </c>
      <c r="K489" s="13">
        <f>INDEX(Foderstater!$AB$72:$AT$110,MATCH(F489,Foderstater!$Y$72:$Y$110,0),MATCH(A489&amp;B489&amp;C489&amp;E489,Foderstater!$AB$71:$AT$71,0))</f>
        <v>0</v>
      </c>
    </row>
    <row r="490" spans="1:11" x14ac:dyDescent="0.25">
      <c r="A490" t="s">
        <v>2</v>
      </c>
      <c r="B490" t="s">
        <v>1</v>
      </c>
      <c r="E490" t="s">
        <v>31</v>
      </c>
      <c r="F490" t="str">
        <f>Foderstater!Y$104</f>
        <v>maize gluten meal</v>
      </c>
      <c r="J490" t="s">
        <v>307</v>
      </c>
      <c r="K490" s="13">
        <f>INDEX(Foderstater!$AB$72:$AT$110,MATCH(F490,Foderstater!$Y$72:$Y$110,0),MATCH(A490&amp;B490&amp;C490&amp;E490,Foderstater!$AB$71:$AT$71,0))</f>
        <v>2.2866512501744235E-3</v>
      </c>
    </row>
    <row r="491" spans="1:11" x14ac:dyDescent="0.25">
      <c r="A491" t="s">
        <v>2</v>
      </c>
      <c r="B491" t="s">
        <v>1</v>
      </c>
      <c r="E491" t="s">
        <v>31</v>
      </c>
      <c r="F491" t="str">
        <f>Foderstater!Y$105</f>
        <v>sugar beet molasses</v>
      </c>
      <c r="J491" t="s">
        <v>307</v>
      </c>
      <c r="K491" s="13">
        <f>INDEX(Foderstater!$AB$72:$AT$110,MATCH(F491,Foderstater!$Y$72:$Y$110,0),MATCH(A491&amp;B491&amp;C491&amp;E491,Foderstater!$AB$71:$AT$71,0))</f>
        <v>2.535757562367404E-2</v>
      </c>
    </row>
    <row r="492" spans="1:11" x14ac:dyDescent="0.25">
      <c r="A492" t="s">
        <v>2</v>
      </c>
      <c r="B492" t="s">
        <v>1</v>
      </c>
      <c r="E492" t="s">
        <v>31</v>
      </c>
      <c r="F492" t="str">
        <f>Foderstater!Y$106</f>
        <v>sugar beet pulp</v>
      </c>
      <c r="J492" t="s">
        <v>307</v>
      </c>
      <c r="K492" s="13">
        <f>INDEX(Foderstater!$AB$72:$AT$110,MATCH(F492,Foderstater!$Y$72:$Y$110,0),MATCH(A492&amp;B492&amp;C492&amp;E492,Foderstater!$AB$71:$AT$71,0))</f>
        <v>4.8929447838464507E-2</v>
      </c>
    </row>
    <row r="493" spans="1:11" x14ac:dyDescent="0.25">
      <c r="A493" t="s">
        <v>2</v>
      </c>
      <c r="B493" t="s">
        <v>1</v>
      </c>
      <c r="E493" t="s">
        <v>31</v>
      </c>
      <c r="F493" t="str">
        <f>Foderstater!Y$107</f>
        <v>whey powder</v>
      </c>
      <c r="J493" t="s">
        <v>307</v>
      </c>
      <c r="K493" s="13">
        <f>INDEX(Foderstater!$AB$72:$AT$110,MATCH(F493,Foderstater!$Y$72:$Y$110,0),MATCH(A493&amp;B493&amp;C493&amp;E493,Foderstater!$AB$71:$AT$71,0))</f>
        <v>0</v>
      </c>
    </row>
    <row r="494" spans="1:11" x14ac:dyDescent="0.25">
      <c r="A494" t="s">
        <v>2</v>
      </c>
      <c r="B494" t="s">
        <v>1</v>
      </c>
      <c r="E494" t="s">
        <v>31</v>
      </c>
      <c r="F494" t="str">
        <f>Foderstater!Y$108</f>
        <v>potatoe protein</v>
      </c>
      <c r="J494" t="s">
        <v>307</v>
      </c>
      <c r="K494" s="13">
        <f>INDEX(Foderstater!$AB$72:$AT$110,MATCH(F494,Foderstater!$Y$72:$Y$110,0),MATCH(A494&amp;B494&amp;C494&amp;E494,Foderstater!$AB$71:$AT$71,0))</f>
        <v>2.240115704419248E-4</v>
      </c>
    </row>
    <row r="495" spans="1:11" x14ac:dyDescent="0.25">
      <c r="A495" t="s">
        <v>2</v>
      </c>
      <c r="B495" t="s">
        <v>1</v>
      </c>
      <c r="E495" t="s">
        <v>31</v>
      </c>
      <c r="F495" t="str">
        <f>Foderstater!Y$109</f>
        <v>fish meal</v>
      </c>
      <c r="J495" t="s">
        <v>307</v>
      </c>
      <c r="K495" s="13">
        <f>INDEX(Foderstater!$AB$72:$AT$110,MATCH(F495,Foderstater!$Y$72:$Y$110,0),MATCH(A495&amp;B495&amp;C495&amp;E495,Foderstater!$AB$71:$AT$71,0))</f>
        <v>0</v>
      </c>
    </row>
    <row r="496" spans="1:11" x14ac:dyDescent="0.25">
      <c r="A496" t="s">
        <v>2</v>
      </c>
      <c r="B496" t="s">
        <v>1</v>
      </c>
      <c r="E496" t="s">
        <v>31</v>
      </c>
      <c r="F496" t="str">
        <f>Foderstater!Y$110</f>
        <v>minerals</v>
      </c>
      <c r="J496" t="s">
        <v>307</v>
      </c>
      <c r="K496" s="13">
        <f>INDEX(Foderstater!$AB$72:$AT$110,MATCH(F496,Foderstater!$Y$72:$Y$110,0),MATCH(A496&amp;B496&amp;C496&amp;E496,Foderstater!$AB$71:$AT$71,0))</f>
        <v>0.71223380261627178</v>
      </c>
    </row>
    <row r="497" spans="1:13" x14ac:dyDescent="0.25">
      <c r="K497" s="13"/>
    </row>
    <row r="498" spans="1:13" x14ac:dyDescent="0.25">
      <c r="A498" s="157" t="s">
        <v>2</v>
      </c>
      <c r="B498" s="157" t="s">
        <v>5</v>
      </c>
      <c r="C498" s="157"/>
      <c r="D498" s="157"/>
      <c r="E498" s="157" t="s">
        <v>31</v>
      </c>
      <c r="J498" s="157" t="s">
        <v>307</v>
      </c>
      <c r="K498" s="253">
        <v>0</v>
      </c>
      <c r="L498" s="157"/>
      <c r="M498" s="157" t="s">
        <v>398</v>
      </c>
    </row>
    <row r="499" spans="1:13" x14ac:dyDescent="0.25">
      <c r="A499" t="s">
        <v>2</v>
      </c>
      <c r="B499" t="s">
        <v>5</v>
      </c>
      <c r="E499" t="s">
        <v>31</v>
      </c>
      <c r="F499" t="str">
        <f>Foderstater!Y$72</f>
        <v>ley silage, 1st cut</v>
      </c>
      <c r="J499" t="s">
        <v>307</v>
      </c>
      <c r="K499" s="13">
        <f>INDEX(Foderstater!$AB$72:$AT$110,MATCH(F499,Foderstater!$Y$72:$Y$110,0),MATCH(A499&amp;B499&amp;C499&amp;E499,Foderstater!$AB$71:$AT$71,0))</f>
        <v>0</v>
      </c>
      <c r="L499" s="157"/>
      <c r="M499" s="157"/>
    </row>
    <row r="500" spans="1:13" x14ac:dyDescent="0.25">
      <c r="A500" t="s">
        <v>2</v>
      </c>
      <c r="B500" t="s">
        <v>5</v>
      </c>
      <c r="E500" t="s">
        <v>31</v>
      </c>
      <c r="F500" t="str">
        <f>Foderstater!Y$73</f>
        <v>ley silage, regrowth</v>
      </c>
      <c r="J500" t="s">
        <v>307</v>
      </c>
      <c r="K500" s="13">
        <f>INDEX(Foderstater!$AB$72:$AT$110,MATCH(F500,Foderstater!$Y$72:$Y$110,0),MATCH(A500&amp;B500&amp;C500&amp;E500,Foderstater!$AB$71:$AT$71,0))</f>
        <v>55.45332225256243</v>
      </c>
      <c r="L500" s="157"/>
      <c r="M500" s="157"/>
    </row>
    <row r="501" spans="1:13" x14ac:dyDescent="0.25">
      <c r="A501" t="s">
        <v>2</v>
      </c>
      <c r="B501" t="s">
        <v>5</v>
      </c>
      <c r="E501" t="s">
        <v>31</v>
      </c>
      <c r="F501" t="str">
        <f>Foderstater!Y$74</f>
        <v>other silage</v>
      </c>
      <c r="J501" t="s">
        <v>307</v>
      </c>
      <c r="K501" s="13">
        <f>INDEX(Foderstater!$AB$72:$AT$110,MATCH(F501,Foderstater!$Y$72:$Y$110,0),MATCH(A501&amp;B501&amp;C501&amp;E501,Foderstater!$AB$71:$AT$71,0))</f>
        <v>0</v>
      </c>
      <c r="L501" s="157"/>
      <c r="M501" s="157"/>
    </row>
    <row r="502" spans="1:13" x14ac:dyDescent="0.25">
      <c r="A502" t="s">
        <v>2</v>
      </c>
      <c r="B502" t="s">
        <v>5</v>
      </c>
      <c r="E502" t="s">
        <v>31</v>
      </c>
      <c r="F502" t="str">
        <f>Foderstater!Y$75</f>
        <v>maize silage</v>
      </c>
      <c r="J502" t="s">
        <v>307</v>
      </c>
      <c r="K502" s="13">
        <f>INDEX(Foderstater!$AB$72:$AT$110,MATCH(F502,Foderstater!$Y$72:$Y$110,0),MATCH(A502&amp;B502&amp;C502&amp;E502,Foderstater!$AB$71:$AT$71,0))</f>
        <v>0</v>
      </c>
      <c r="L502" s="157"/>
      <c r="M502" s="157"/>
    </row>
    <row r="503" spans="1:13" x14ac:dyDescent="0.25">
      <c r="A503" t="s">
        <v>2</v>
      </c>
      <c r="B503" t="s">
        <v>5</v>
      </c>
      <c r="E503" t="s">
        <v>31</v>
      </c>
      <c r="F503" t="str">
        <f>Foderstater!Y$76</f>
        <v>straw</v>
      </c>
      <c r="J503" t="s">
        <v>307</v>
      </c>
      <c r="K503" s="13">
        <f>INDEX(Foderstater!$AB$72:$AT$110,MATCH(F503,Foderstater!$Y$72:$Y$110,0),MATCH(A503&amp;B503&amp;C503&amp;E503,Foderstater!$AB$71:$AT$71,0))</f>
        <v>0</v>
      </c>
      <c r="L503" s="157"/>
      <c r="M503" s="157"/>
    </row>
    <row r="504" spans="1:13" x14ac:dyDescent="0.25">
      <c r="A504" t="s">
        <v>2</v>
      </c>
      <c r="B504" t="s">
        <v>5</v>
      </c>
      <c r="E504" t="s">
        <v>31</v>
      </c>
      <c r="F504" t="str">
        <f>Foderstater!Y$77</f>
        <v>grazing</v>
      </c>
      <c r="J504" t="s">
        <v>307</v>
      </c>
      <c r="K504" s="13">
        <f>INDEX(Foderstater!$AB$72:$AT$110,MATCH(F504,Foderstater!$Y$72:$Y$110,0),MATCH(A504&amp;B504&amp;C504&amp;E504,Foderstater!$AB$71:$AT$71,0))</f>
        <v>36.952392259290043</v>
      </c>
      <c r="L504" s="157"/>
      <c r="M504" s="157"/>
    </row>
    <row r="505" spans="1:13" x14ac:dyDescent="0.25">
      <c r="A505" t="s">
        <v>2</v>
      </c>
      <c r="B505" t="s">
        <v>5</v>
      </c>
      <c r="E505" t="s">
        <v>31</v>
      </c>
      <c r="F505" t="str">
        <f>Foderstater!Y$78</f>
        <v>wheat</v>
      </c>
      <c r="J505" t="s">
        <v>307</v>
      </c>
      <c r="K505" s="13">
        <f>INDEX(Foderstater!$AB$72:$AT$110,MATCH(F505,Foderstater!$Y$72:$Y$110,0),MATCH(A505&amp;B505&amp;C505&amp;E505,Foderstater!$AB$71:$AT$71,0))</f>
        <v>1.0658220265036826</v>
      </c>
      <c r="L505" s="157"/>
      <c r="M505" s="157"/>
    </row>
    <row r="506" spans="1:13" x14ac:dyDescent="0.25">
      <c r="A506" t="s">
        <v>2</v>
      </c>
      <c r="B506" t="s">
        <v>5</v>
      </c>
      <c r="E506" t="s">
        <v>31</v>
      </c>
      <c r="F506" t="str">
        <f>Foderstater!Y$79</f>
        <v>barley</v>
      </c>
      <c r="J506" t="s">
        <v>307</v>
      </c>
      <c r="K506" s="13">
        <f>INDEX(Foderstater!$AB$72:$AT$110,MATCH(F506,Foderstater!$Y$72:$Y$110,0),MATCH(A506&amp;B506&amp;C506&amp;E506,Foderstater!$AB$71:$AT$71,0))</f>
        <v>2.1876999574776184</v>
      </c>
      <c r="L506" s="157"/>
      <c r="M506" s="157"/>
    </row>
    <row r="507" spans="1:13" x14ac:dyDescent="0.25">
      <c r="A507" t="s">
        <v>2</v>
      </c>
      <c r="B507" t="s">
        <v>5</v>
      </c>
      <c r="E507" t="s">
        <v>31</v>
      </c>
      <c r="F507" t="str">
        <f>Foderstater!Y$80</f>
        <v>oats</v>
      </c>
      <c r="J507" t="s">
        <v>307</v>
      </c>
      <c r="K507" s="13">
        <f>INDEX(Foderstater!$AB$72:$AT$110,MATCH(F507,Foderstater!$Y$72:$Y$110,0),MATCH(A507&amp;B507&amp;C507&amp;E507,Foderstater!$AB$71:$AT$71,0))</f>
        <v>0.4521078235396882</v>
      </c>
      <c r="L507" s="157"/>
      <c r="M507" s="157"/>
    </row>
    <row r="508" spans="1:13" x14ac:dyDescent="0.25">
      <c r="A508" t="s">
        <v>2</v>
      </c>
      <c r="B508" t="s">
        <v>5</v>
      </c>
      <c r="E508" t="s">
        <v>31</v>
      </c>
      <c r="F508" t="str">
        <f>Foderstater!Y$81</f>
        <v>triticale</v>
      </c>
      <c r="J508" t="s">
        <v>307</v>
      </c>
      <c r="K508" s="13">
        <f>INDEX(Foderstater!$AB$72:$AT$110,MATCH(F508,Foderstater!$Y$72:$Y$110,0),MATCH(A508&amp;B508&amp;C508&amp;E508,Foderstater!$AB$71:$AT$71,0))</f>
        <v>0.84639045446009398</v>
      </c>
      <c r="L508" s="157"/>
      <c r="M508" s="157"/>
    </row>
    <row r="509" spans="1:13" x14ac:dyDescent="0.25">
      <c r="A509" t="s">
        <v>2</v>
      </c>
      <c r="B509" t="s">
        <v>5</v>
      </c>
      <c r="E509" t="s">
        <v>31</v>
      </c>
      <c r="F509" t="str">
        <f>Foderstater!Y$82</f>
        <v>rye</v>
      </c>
      <c r="J509" t="s">
        <v>307</v>
      </c>
      <c r="K509" s="13">
        <f>INDEX(Foderstater!$AB$72:$AT$110,MATCH(F509,Foderstater!$Y$72:$Y$110,0),MATCH(A509&amp;B509&amp;C509&amp;E509,Foderstater!$AB$71:$AT$71,0))</f>
        <v>0</v>
      </c>
      <c r="L509" s="157"/>
      <c r="M509" s="157"/>
    </row>
    <row r="510" spans="1:13" x14ac:dyDescent="0.25">
      <c r="A510" t="s">
        <v>2</v>
      </c>
      <c r="B510" t="s">
        <v>5</v>
      </c>
      <c r="E510" t="s">
        <v>31</v>
      </c>
      <c r="F510" t="str">
        <f>Foderstater!Y$83</f>
        <v>maize</v>
      </c>
      <c r="J510" t="s">
        <v>307</v>
      </c>
      <c r="K510" s="13">
        <f>INDEX(Foderstater!$AB$72:$AT$110,MATCH(F510,Foderstater!$Y$72:$Y$110,0),MATCH(A510&amp;B510&amp;C510&amp;E510,Foderstater!$AB$71:$AT$71,0))</f>
        <v>0</v>
      </c>
      <c r="L510" s="157"/>
      <c r="M510" s="157"/>
    </row>
    <row r="511" spans="1:13" x14ac:dyDescent="0.25">
      <c r="A511" t="s">
        <v>2</v>
      </c>
      <c r="B511" t="s">
        <v>5</v>
      </c>
      <c r="E511" t="s">
        <v>31</v>
      </c>
      <c r="F511" t="str">
        <f>Foderstater!Y$84</f>
        <v>peas</v>
      </c>
      <c r="J511" t="s">
        <v>307</v>
      </c>
      <c r="K511" s="13">
        <f>INDEX(Foderstater!$AB$72:$AT$110,MATCH(F511,Foderstater!$Y$72:$Y$110,0),MATCH(A511&amp;B511&amp;C511&amp;E511,Foderstater!$AB$71:$AT$71,0))</f>
        <v>0</v>
      </c>
      <c r="L511" s="157"/>
      <c r="M511" s="157"/>
    </row>
    <row r="512" spans="1:13" x14ac:dyDescent="0.25">
      <c r="A512" t="s">
        <v>2</v>
      </c>
      <c r="B512" t="s">
        <v>5</v>
      </c>
      <c r="E512" t="s">
        <v>31</v>
      </c>
      <c r="F512" t="str">
        <f>Foderstater!Y$85</f>
        <v>broad beans</v>
      </c>
      <c r="J512" t="s">
        <v>307</v>
      </c>
      <c r="K512" s="13">
        <f>INDEX(Foderstater!$AB$72:$AT$110,MATCH(F512,Foderstater!$Y$72:$Y$110,0),MATCH(A512&amp;B512&amp;C512&amp;E512,Foderstater!$AB$71:$AT$71,0))</f>
        <v>1.3455221813289011</v>
      </c>
      <c r="L512" s="157"/>
      <c r="M512" s="157"/>
    </row>
    <row r="513" spans="1:13" x14ac:dyDescent="0.25">
      <c r="A513" t="s">
        <v>2</v>
      </c>
      <c r="B513" t="s">
        <v>5</v>
      </c>
      <c r="E513" t="s">
        <v>31</v>
      </c>
      <c r="F513" t="str">
        <f>Foderstater!Y$86</f>
        <v>rapeseed</v>
      </c>
      <c r="J513" t="s">
        <v>307</v>
      </c>
      <c r="K513" s="13">
        <f>INDEX(Foderstater!$AB$72:$AT$110,MATCH(F513,Foderstater!$Y$72:$Y$110,0),MATCH(A513&amp;B513&amp;C513&amp;E513,Foderstater!$AB$71:$AT$71,0))</f>
        <v>0</v>
      </c>
      <c r="L513" s="157"/>
      <c r="M513" s="157"/>
    </row>
    <row r="514" spans="1:13" x14ac:dyDescent="0.25">
      <c r="A514" t="s">
        <v>2</v>
      </c>
      <c r="B514" t="s">
        <v>5</v>
      </c>
      <c r="E514" t="s">
        <v>31</v>
      </c>
      <c r="F514" t="str">
        <f>Foderstater!Y$87</f>
        <v>linseed</v>
      </c>
      <c r="J514" t="s">
        <v>307</v>
      </c>
      <c r="K514" s="13">
        <f>INDEX(Foderstater!$AB$72:$AT$110,MATCH(F514,Foderstater!$Y$72:$Y$110,0),MATCH(A514&amp;B514&amp;C514&amp;E514,Foderstater!$AB$71:$AT$71,0))</f>
        <v>0</v>
      </c>
      <c r="L514" s="157"/>
      <c r="M514" s="157"/>
    </row>
    <row r="515" spans="1:13" x14ac:dyDescent="0.25">
      <c r="A515" t="s">
        <v>2</v>
      </c>
      <c r="B515" t="s">
        <v>5</v>
      </c>
      <c r="E515" t="s">
        <v>31</v>
      </c>
      <c r="F515" t="str">
        <f>Foderstater!Y$88</f>
        <v>vegetable oils</v>
      </c>
      <c r="J515" t="s">
        <v>307</v>
      </c>
      <c r="K515" s="13">
        <f>INDEX(Foderstater!$AB$72:$AT$110,MATCH(F515,Foderstater!$Y$72:$Y$110,0),MATCH(A515&amp;B515&amp;C515&amp;E515,Foderstater!$AB$71:$AT$71,0))</f>
        <v>0</v>
      </c>
      <c r="L515" s="157"/>
      <c r="M515" s="157"/>
    </row>
    <row r="516" spans="1:13" x14ac:dyDescent="0.25">
      <c r="A516" t="s">
        <v>2</v>
      </c>
      <c r="B516" t="s">
        <v>5</v>
      </c>
      <c r="E516" t="s">
        <v>31</v>
      </c>
      <c r="F516" t="str">
        <f>Foderstater!Y$89</f>
        <v>soybeans</v>
      </c>
      <c r="J516" t="s">
        <v>307</v>
      </c>
      <c r="K516" s="13">
        <f>INDEX(Foderstater!$AB$72:$AT$110,MATCH(F516,Foderstater!$Y$72:$Y$110,0),MATCH(A516&amp;B516&amp;C516&amp;E516,Foderstater!$AB$71:$AT$71,0))</f>
        <v>0</v>
      </c>
      <c r="L516" s="157"/>
      <c r="M516" s="157"/>
    </row>
    <row r="517" spans="1:13" x14ac:dyDescent="0.25">
      <c r="A517" t="s">
        <v>2</v>
      </c>
      <c r="B517" t="s">
        <v>5</v>
      </c>
      <c r="E517" t="s">
        <v>31</v>
      </c>
      <c r="F517" t="str">
        <f>Foderstater!Y$90</f>
        <v>soybean meal</v>
      </c>
      <c r="J517" t="s">
        <v>307</v>
      </c>
      <c r="K517" s="13">
        <f>INDEX(Foderstater!$AB$72:$AT$110,MATCH(F517,Foderstater!$Y$72:$Y$110,0),MATCH(A517&amp;B517&amp;C517&amp;E517,Foderstater!$AB$71:$AT$71,0))</f>
        <v>0</v>
      </c>
      <c r="L517" s="157"/>
      <c r="M517" s="157"/>
    </row>
    <row r="518" spans="1:13" x14ac:dyDescent="0.25">
      <c r="A518" t="s">
        <v>2</v>
      </c>
      <c r="B518" t="s">
        <v>5</v>
      </c>
      <c r="E518" t="s">
        <v>31</v>
      </c>
      <c r="F518" t="str">
        <f>Foderstater!Y$91</f>
        <v>soybean protein concentrate</v>
      </c>
      <c r="J518" t="s">
        <v>307</v>
      </c>
      <c r="K518" s="13">
        <f>INDEX(Foderstater!$AB$72:$AT$110,MATCH(F518,Foderstater!$Y$72:$Y$110,0),MATCH(A518&amp;B518&amp;C518&amp;E518,Foderstater!$AB$71:$AT$71,0))</f>
        <v>0</v>
      </c>
      <c r="L518" s="157"/>
      <c r="M518" s="157"/>
    </row>
    <row r="519" spans="1:13" x14ac:dyDescent="0.25">
      <c r="A519" t="s">
        <v>2</v>
      </c>
      <c r="B519" t="s">
        <v>5</v>
      </c>
      <c r="E519" t="s">
        <v>31</v>
      </c>
      <c r="F519" t="str">
        <f>Foderstater!Y$92</f>
        <v>rapeseed meal</v>
      </c>
      <c r="J519" t="s">
        <v>307</v>
      </c>
      <c r="K519" s="13">
        <f>INDEX(Foderstater!$AB$72:$AT$110,MATCH(F519,Foderstater!$Y$72:$Y$110,0),MATCH(A519&amp;B519&amp;C519&amp;E519,Foderstater!$AB$71:$AT$71,0))</f>
        <v>0</v>
      </c>
      <c r="L519" s="157"/>
      <c r="M519" s="157"/>
    </row>
    <row r="520" spans="1:13" x14ac:dyDescent="0.25">
      <c r="A520" t="s">
        <v>2</v>
      </c>
      <c r="B520" t="s">
        <v>5</v>
      </c>
      <c r="E520" t="s">
        <v>31</v>
      </c>
      <c r="F520" t="str">
        <f>Foderstater!Y$93</f>
        <v>rapeseed cake</v>
      </c>
      <c r="J520" t="s">
        <v>307</v>
      </c>
      <c r="K520" s="13">
        <f>INDEX(Foderstater!$AB$72:$AT$110,MATCH(F520,Foderstater!$Y$72:$Y$110,0),MATCH(A520&amp;B520&amp;C520&amp;E520,Foderstater!$AB$71:$AT$71,0))</f>
        <v>1.202065772290158</v>
      </c>
      <c r="L520" s="157"/>
      <c r="M520" s="157"/>
    </row>
    <row r="521" spans="1:13" x14ac:dyDescent="0.25">
      <c r="A521" t="s">
        <v>2</v>
      </c>
      <c r="B521" t="s">
        <v>5</v>
      </c>
      <c r="E521" t="s">
        <v>31</v>
      </c>
      <c r="F521" t="str">
        <f>Foderstater!Y$94</f>
        <v>sunflower seed meal</v>
      </c>
      <c r="J521" t="s">
        <v>307</v>
      </c>
      <c r="K521" s="13">
        <f>INDEX(Foderstater!$AB$72:$AT$110,MATCH(F521,Foderstater!$Y$72:$Y$110,0),MATCH(A521&amp;B521&amp;C521&amp;E521,Foderstater!$AB$71:$AT$71,0))</f>
        <v>0</v>
      </c>
    </row>
    <row r="522" spans="1:13" x14ac:dyDescent="0.25">
      <c r="A522" t="s">
        <v>2</v>
      </c>
      <c r="B522" t="s">
        <v>5</v>
      </c>
      <c r="E522" t="s">
        <v>31</v>
      </c>
      <c r="F522" t="str">
        <f>Foderstater!Y$95</f>
        <v>palm kernel expeller</v>
      </c>
      <c r="J522" t="s">
        <v>307</v>
      </c>
      <c r="K522" s="13">
        <f>INDEX(Foderstater!$AB$72:$AT$110,MATCH(F522,Foderstater!$Y$72:$Y$110,0),MATCH(A522&amp;B522&amp;C522&amp;E522,Foderstater!$AB$71:$AT$71,0))</f>
        <v>0</v>
      </c>
    </row>
    <row r="523" spans="1:13" x14ac:dyDescent="0.25">
      <c r="A523" t="s">
        <v>2</v>
      </c>
      <c r="B523" t="s">
        <v>5</v>
      </c>
      <c r="E523" t="s">
        <v>31</v>
      </c>
      <c r="F523" t="str">
        <f>Foderstater!Y$96</f>
        <v>luzern meal</v>
      </c>
      <c r="J523" t="s">
        <v>307</v>
      </c>
      <c r="K523" s="13">
        <f>INDEX(Foderstater!$AB$72:$AT$110,MATCH(F523,Foderstater!$Y$72:$Y$110,0),MATCH(A523&amp;B523&amp;C523&amp;E523,Foderstater!$AB$71:$AT$71,0))</f>
        <v>0</v>
      </c>
    </row>
    <row r="524" spans="1:13" x14ac:dyDescent="0.25">
      <c r="A524" t="s">
        <v>2</v>
      </c>
      <c r="B524" t="s">
        <v>5</v>
      </c>
      <c r="E524" t="s">
        <v>31</v>
      </c>
      <c r="F524" t="str">
        <f>Foderstater!Y$97</f>
        <v>wheat bran</v>
      </c>
      <c r="J524" t="s">
        <v>307</v>
      </c>
      <c r="K524" s="13">
        <f>INDEX(Foderstater!$AB$72:$AT$110,MATCH(F524,Foderstater!$Y$72:$Y$110,0),MATCH(A524&amp;B524&amp;C524&amp;E524,Foderstater!$AB$71:$AT$71,0))</f>
        <v>0</v>
      </c>
    </row>
    <row r="525" spans="1:13" x14ac:dyDescent="0.25">
      <c r="A525" t="s">
        <v>2</v>
      </c>
      <c r="B525" t="s">
        <v>5</v>
      </c>
      <c r="E525" t="s">
        <v>31</v>
      </c>
      <c r="F525" t="str">
        <f>Foderstater!Y$98</f>
        <v>wheat bran, fine</v>
      </c>
      <c r="J525" t="s">
        <v>307</v>
      </c>
      <c r="K525" s="13">
        <f>INDEX(Foderstater!$AB$72:$AT$110,MATCH(F525,Foderstater!$Y$72:$Y$110,0),MATCH(A525&amp;B525&amp;C525&amp;E525,Foderstater!$AB$71:$AT$71,0))</f>
        <v>0</v>
      </c>
    </row>
    <row r="526" spans="1:13" x14ac:dyDescent="0.25">
      <c r="A526" t="s">
        <v>2</v>
      </c>
      <c r="B526" t="s">
        <v>5</v>
      </c>
      <c r="E526" t="s">
        <v>31</v>
      </c>
      <c r="F526" t="str">
        <f>Foderstater!Y$99</f>
        <v>oat hulls</v>
      </c>
      <c r="J526" t="s">
        <v>307</v>
      </c>
      <c r="K526" s="13">
        <f>INDEX(Foderstater!$AB$72:$AT$110,MATCH(F526,Foderstater!$Y$72:$Y$110,0),MATCH(A526&amp;B526&amp;C526&amp;E526,Foderstater!$AB$71:$AT$71,0))</f>
        <v>0</v>
      </c>
    </row>
    <row r="527" spans="1:13" x14ac:dyDescent="0.25">
      <c r="A527" t="s">
        <v>2</v>
      </c>
      <c r="B527" t="s">
        <v>5</v>
      </c>
      <c r="E527" t="s">
        <v>31</v>
      </c>
      <c r="F527" t="str">
        <f>Foderstater!Y$100</f>
        <v>oat bran</v>
      </c>
      <c r="J527" t="s">
        <v>307</v>
      </c>
      <c r="K527" s="13">
        <f>INDEX(Foderstater!$AB$72:$AT$110,MATCH(F527,Foderstater!$Y$72:$Y$110,0),MATCH(A527&amp;B527&amp;C527&amp;E527,Foderstater!$AB$71:$AT$71,0))</f>
        <v>0</v>
      </c>
    </row>
    <row r="528" spans="1:13" x14ac:dyDescent="0.25">
      <c r="A528" t="s">
        <v>2</v>
      </c>
      <c r="B528" t="s">
        <v>5</v>
      </c>
      <c r="E528" t="s">
        <v>31</v>
      </c>
      <c r="F528" t="str">
        <f>Foderstater!Y$101</f>
        <v>rye bran</v>
      </c>
      <c r="J528" t="s">
        <v>307</v>
      </c>
      <c r="K528" s="13">
        <f>INDEX(Foderstater!$AB$72:$AT$110,MATCH(F528,Foderstater!$Y$72:$Y$110,0),MATCH(A528&amp;B528&amp;C528&amp;E528,Foderstater!$AB$71:$AT$71,0))</f>
        <v>0</v>
      </c>
    </row>
    <row r="529" spans="1:14" x14ac:dyDescent="0.25">
      <c r="A529" t="s">
        <v>2</v>
      </c>
      <c r="B529" t="s">
        <v>5</v>
      </c>
      <c r="E529" t="s">
        <v>31</v>
      </c>
      <c r="F529" t="str">
        <f>Foderstater!Y$102</f>
        <v>wheat distillers grain, dry</v>
      </c>
      <c r="J529" t="s">
        <v>307</v>
      </c>
      <c r="K529" s="13">
        <f>INDEX(Foderstater!$AB$72:$AT$110,MATCH(F529,Foderstater!$Y$72:$Y$110,0),MATCH(A529&amp;B529&amp;C529&amp;E529,Foderstater!$AB$71:$AT$71,0))</f>
        <v>0</v>
      </c>
    </row>
    <row r="530" spans="1:14" x14ac:dyDescent="0.25">
      <c r="A530" t="s">
        <v>2</v>
      </c>
      <c r="B530" t="s">
        <v>5</v>
      </c>
      <c r="E530" t="s">
        <v>31</v>
      </c>
      <c r="F530" t="str">
        <f>Foderstater!Y$103</f>
        <v>barley brewers grain</v>
      </c>
      <c r="J530" t="s">
        <v>307</v>
      </c>
      <c r="K530" s="13">
        <f>INDEX(Foderstater!$AB$72:$AT$110,MATCH(F530,Foderstater!$Y$72:$Y$110,0),MATCH(A530&amp;B530&amp;C530&amp;E530,Foderstater!$AB$71:$AT$71,0))</f>
        <v>0</v>
      </c>
    </row>
    <row r="531" spans="1:14" x14ac:dyDescent="0.25">
      <c r="A531" t="s">
        <v>2</v>
      </c>
      <c r="B531" t="s">
        <v>5</v>
      </c>
      <c r="E531" t="s">
        <v>31</v>
      </c>
      <c r="F531" t="str">
        <f>Foderstater!Y$104</f>
        <v>maize gluten meal</v>
      </c>
      <c r="J531" t="s">
        <v>307</v>
      </c>
      <c r="K531" s="13">
        <f>INDEX(Foderstater!$AB$72:$AT$110,MATCH(F531,Foderstater!$Y$72:$Y$110,0),MATCH(A531&amp;B531&amp;C531&amp;E531,Foderstater!$AB$71:$AT$71,0))</f>
        <v>0</v>
      </c>
    </row>
    <row r="532" spans="1:14" x14ac:dyDescent="0.25">
      <c r="A532" t="s">
        <v>2</v>
      </c>
      <c r="B532" t="s">
        <v>5</v>
      </c>
      <c r="E532" t="s">
        <v>31</v>
      </c>
      <c r="F532" t="str">
        <f>Foderstater!Y$105</f>
        <v>sugar beet molasses</v>
      </c>
      <c r="J532" t="s">
        <v>307</v>
      </c>
      <c r="K532" s="13">
        <f>INDEX(Foderstater!$AB$72:$AT$110,MATCH(F532,Foderstater!$Y$72:$Y$110,0),MATCH(A532&amp;B532&amp;C532&amp;E532,Foderstater!$AB$71:$AT$71,0))</f>
        <v>0</v>
      </c>
    </row>
    <row r="533" spans="1:14" x14ac:dyDescent="0.25">
      <c r="A533" t="s">
        <v>2</v>
      </c>
      <c r="B533" t="s">
        <v>5</v>
      </c>
      <c r="E533" t="s">
        <v>31</v>
      </c>
      <c r="F533" t="str">
        <f>Foderstater!Y$106</f>
        <v>sugar beet pulp</v>
      </c>
      <c r="J533" t="s">
        <v>307</v>
      </c>
      <c r="K533" s="13">
        <f>INDEX(Foderstater!$AB$72:$AT$110,MATCH(F533,Foderstater!$Y$72:$Y$110,0),MATCH(A533&amp;B533&amp;C533&amp;E533,Foderstater!$AB$71:$AT$71,0))</f>
        <v>0</v>
      </c>
    </row>
    <row r="534" spans="1:14" x14ac:dyDescent="0.25">
      <c r="A534" t="s">
        <v>2</v>
      </c>
      <c r="B534" t="s">
        <v>5</v>
      </c>
      <c r="E534" t="s">
        <v>31</v>
      </c>
      <c r="F534" t="str">
        <f>Foderstater!Y$107</f>
        <v>whey powder</v>
      </c>
      <c r="J534" t="s">
        <v>307</v>
      </c>
      <c r="K534" s="13">
        <f>INDEX(Foderstater!$AB$72:$AT$110,MATCH(F534,Foderstater!$Y$72:$Y$110,0),MATCH(A534&amp;B534&amp;C534&amp;E534,Foderstater!$AB$71:$AT$71,0))</f>
        <v>0</v>
      </c>
    </row>
    <row r="535" spans="1:14" x14ac:dyDescent="0.25">
      <c r="A535" t="s">
        <v>2</v>
      </c>
      <c r="B535" t="s">
        <v>5</v>
      </c>
      <c r="E535" t="s">
        <v>31</v>
      </c>
      <c r="F535" t="str">
        <f>Foderstater!Y$108</f>
        <v>potatoe protein</v>
      </c>
      <c r="J535" t="s">
        <v>307</v>
      </c>
      <c r="K535" s="13">
        <f>INDEX(Foderstater!$AB$72:$AT$110,MATCH(F535,Foderstater!$Y$72:$Y$110,0),MATCH(A535&amp;B535&amp;C535&amp;E535,Foderstater!$AB$71:$AT$71,0))</f>
        <v>0</v>
      </c>
    </row>
    <row r="536" spans="1:14" x14ac:dyDescent="0.25">
      <c r="A536" t="s">
        <v>2</v>
      </c>
      <c r="B536" t="s">
        <v>5</v>
      </c>
      <c r="E536" t="s">
        <v>31</v>
      </c>
      <c r="F536" t="str">
        <f>Foderstater!Y$109</f>
        <v>fish meal</v>
      </c>
      <c r="J536" t="s">
        <v>307</v>
      </c>
      <c r="K536" s="13">
        <f>INDEX(Foderstater!$AB$72:$AT$110,MATCH(F536,Foderstater!$Y$72:$Y$110,0),MATCH(A536&amp;B536&amp;C536&amp;E536,Foderstater!$AB$71:$AT$71,0))</f>
        <v>0</v>
      </c>
    </row>
    <row r="537" spans="1:14" x14ac:dyDescent="0.25">
      <c r="A537" t="s">
        <v>2</v>
      </c>
      <c r="B537" t="s">
        <v>5</v>
      </c>
      <c r="E537" t="s">
        <v>31</v>
      </c>
      <c r="F537" t="str">
        <f>Foderstater!Y$110</f>
        <v>minerals</v>
      </c>
      <c r="J537" t="s">
        <v>307</v>
      </c>
      <c r="K537" s="13">
        <f>INDEX(Foderstater!$AB$72:$AT$110,MATCH(F537,Foderstater!$Y$72:$Y$110,0),MATCH(A537&amp;B537&amp;C537&amp;E537,Foderstater!$AB$71:$AT$71,0))</f>
        <v>0.49467727254739008</v>
      </c>
    </row>
    <row r="538" spans="1:14" x14ac:dyDescent="0.25">
      <c r="K538" s="13"/>
    </row>
    <row r="539" spans="1:14" x14ac:dyDescent="0.25">
      <c r="A539" s="81" t="s">
        <v>70</v>
      </c>
      <c r="B539" s="48"/>
      <c r="C539" s="48"/>
      <c r="D539" s="49"/>
      <c r="E539" s="49"/>
      <c r="F539" s="49"/>
      <c r="G539" s="49"/>
      <c r="H539" s="49"/>
      <c r="I539" s="49"/>
      <c r="J539" s="49"/>
      <c r="K539" s="159"/>
      <c r="L539" s="49"/>
      <c r="M539" s="49"/>
      <c r="N539" s="49"/>
    </row>
    <row r="540" spans="1:14" x14ac:dyDescent="0.25">
      <c r="A540" s="157" t="s">
        <v>2</v>
      </c>
      <c r="B540" s="157"/>
      <c r="C540" s="157"/>
      <c r="D540" s="157"/>
      <c r="E540" s="157" t="s">
        <v>32</v>
      </c>
      <c r="J540" s="157" t="s">
        <v>307</v>
      </c>
      <c r="K540" s="253">
        <v>0</v>
      </c>
      <c r="L540" s="157"/>
      <c r="M540" s="157" t="s">
        <v>398</v>
      </c>
    </row>
    <row r="541" spans="1:14" x14ac:dyDescent="0.25">
      <c r="A541" t="s">
        <v>2</v>
      </c>
      <c r="E541" t="s">
        <v>32</v>
      </c>
      <c r="F541" t="str">
        <f>Foderstater!Y$72</f>
        <v>ley silage, 1st cut</v>
      </c>
      <c r="J541" t="s">
        <v>307</v>
      </c>
      <c r="K541" s="13">
        <f>INDEX(Foderstater!$AB$72:$AT$110,MATCH(F541,Foderstater!$Y$72:$Y$110,0),MATCH(A541&amp;B541&amp;C541&amp;E541,Foderstater!$AB$71:$AT$71,0))</f>
        <v>0</v>
      </c>
      <c r="L541" s="157"/>
      <c r="M541" s="157"/>
    </row>
    <row r="542" spans="1:14" x14ac:dyDescent="0.25">
      <c r="A542" t="s">
        <v>2</v>
      </c>
      <c r="E542" t="s">
        <v>32</v>
      </c>
      <c r="F542" t="str">
        <f>Foderstater!Y$73</f>
        <v>ley silage, regrowth</v>
      </c>
      <c r="J542" t="s">
        <v>307</v>
      </c>
      <c r="K542" s="13">
        <f>INDEX(Foderstater!$AB$72:$AT$110,MATCH(F542,Foderstater!$Y$72:$Y$110,0),MATCH(A542&amp;B542&amp;C542&amp;E542,Foderstater!$AB$71:$AT$71,0))</f>
        <v>55.029062371648976</v>
      </c>
      <c r="L542" s="157"/>
      <c r="M542" s="157"/>
    </row>
    <row r="543" spans="1:14" x14ac:dyDescent="0.25">
      <c r="A543" t="s">
        <v>2</v>
      </c>
      <c r="E543" t="s">
        <v>32</v>
      </c>
      <c r="F543" t="str">
        <f>Foderstater!Y$74</f>
        <v>other silage</v>
      </c>
      <c r="J543" t="s">
        <v>307</v>
      </c>
      <c r="K543" s="13">
        <f>INDEX(Foderstater!$AB$72:$AT$110,MATCH(F543,Foderstater!$Y$72:$Y$110,0),MATCH(A543&amp;B543&amp;C543&amp;E543,Foderstater!$AB$71:$AT$71,0))</f>
        <v>0</v>
      </c>
      <c r="L543" s="157"/>
      <c r="M543" s="157"/>
    </row>
    <row r="544" spans="1:14" x14ac:dyDescent="0.25">
      <c r="A544" t="s">
        <v>2</v>
      </c>
      <c r="E544" t="s">
        <v>32</v>
      </c>
      <c r="F544" t="str">
        <f>Foderstater!Y$75</f>
        <v>maize silage</v>
      </c>
      <c r="J544" t="s">
        <v>307</v>
      </c>
      <c r="K544" s="13">
        <f>INDEX(Foderstater!$AB$72:$AT$110,MATCH(F544,Foderstater!$Y$72:$Y$110,0),MATCH(A544&amp;B544&amp;C544&amp;E544,Foderstater!$AB$71:$AT$71,0))</f>
        <v>0</v>
      </c>
      <c r="L544" s="157"/>
      <c r="M544" s="157"/>
    </row>
    <row r="545" spans="1:13" x14ac:dyDescent="0.25">
      <c r="A545" t="s">
        <v>2</v>
      </c>
      <c r="E545" t="s">
        <v>32</v>
      </c>
      <c r="F545" t="str">
        <f>Foderstater!Y$76</f>
        <v>straw</v>
      </c>
      <c r="J545" t="s">
        <v>307</v>
      </c>
      <c r="K545" s="13">
        <f>INDEX(Foderstater!$AB$72:$AT$110,MATCH(F545,Foderstater!$Y$72:$Y$110,0),MATCH(A545&amp;B545&amp;C545&amp;E545,Foderstater!$AB$71:$AT$71,0))</f>
        <v>0</v>
      </c>
      <c r="L545" s="157"/>
      <c r="M545" s="157"/>
    </row>
    <row r="546" spans="1:13" x14ac:dyDescent="0.25">
      <c r="A546" t="s">
        <v>2</v>
      </c>
      <c r="E546" t="s">
        <v>32</v>
      </c>
      <c r="F546" t="str">
        <f>Foderstater!Y$77</f>
        <v>grazing</v>
      </c>
      <c r="J546" t="s">
        <v>307</v>
      </c>
      <c r="K546" s="13">
        <f>INDEX(Foderstater!$AB$72:$AT$110,MATCH(F546,Foderstater!$Y$72:$Y$110,0),MATCH(A546&amp;B546&amp;C546&amp;E546,Foderstater!$AB$71:$AT$71,0))</f>
        <v>38.614788214420173</v>
      </c>
      <c r="L546" s="157"/>
      <c r="M546" s="157"/>
    </row>
    <row r="547" spans="1:13" x14ac:dyDescent="0.25">
      <c r="A547" t="s">
        <v>2</v>
      </c>
      <c r="E547" t="s">
        <v>32</v>
      </c>
      <c r="F547" t="str">
        <f>Foderstater!Y$78</f>
        <v>wheat</v>
      </c>
      <c r="J547" t="s">
        <v>307</v>
      </c>
      <c r="K547" s="13">
        <f>INDEX(Foderstater!$AB$72:$AT$110,MATCH(F547,Foderstater!$Y$72:$Y$110,0),MATCH(A547&amp;B547&amp;C547&amp;E547,Foderstater!$AB$71:$AT$71,0))</f>
        <v>1.3702995315856561</v>
      </c>
      <c r="L547" s="157"/>
      <c r="M547" s="157"/>
    </row>
    <row r="548" spans="1:13" x14ac:dyDescent="0.25">
      <c r="A548" t="s">
        <v>2</v>
      </c>
      <c r="E548" t="s">
        <v>32</v>
      </c>
      <c r="F548" t="str">
        <f>Foderstater!Y$79</f>
        <v>barley</v>
      </c>
      <c r="J548" t="s">
        <v>307</v>
      </c>
      <c r="K548" s="13">
        <f>INDEX(Foderstater!$AB$72:$AT$110,MATCH(F548,Foderstater!$Y$72:$Y$110,0),MATCH(A548&amp;B548&amp;C548&amp;E548,Foderstater!$AB$71:$AT$71,0))</f>
        <v>2.1464108702309166</v>
      </c>
      <c r="L548" s="157"/>
      <c r="M548" s="157"/>
    </row>
    <row r="549" spans="1:13" x14ac:dyDescent="0.25">
      <c r="A549" t="s">
        <v>2</v>
      </c>
      <c r="E549" t="s">
        <v>32</v>
      </c>
      <c r="F549" t="str">
        <f>Foderstater!Y$80</f>
        <v>oats</v>
      </c>
      <c r="J549" t="s">
        <v>307</v>
      </c>
      <c r="K549" s="13">
        <f>INDEX(Foderstater!$AB$72:$AT$110,MATCH(F549,Foderstater!$Y$72:$Y$110,0),MATCH(A549&amp;B549&amp;C549&amp;E549,Foderstater!$AB$71:$AT$71,0))</f>
        <v>0.54223737074929057</v>
      </c>
      <c r="L549" s="157"/>
      <c r="M549" s="157"/>
    </row>
    <row r="550" spans="1:13" x14ac:dyDescent="0.25">
      <c r="A550" t="s">
        <v>2</v>
      </c>
      <c r="E550" t="s">
        <v>32</v>
      </c>
      <c r="F550" t="str">
        <f>Foderstater!Y$81</f>
        <v>triticale</v>
      </c>
      <c r="J550" t="s">
        <v>307</v>
      </c>
      <c r="K550" s="13">
        <f>INDEX(Foderstater!$AB$72:$AT$110,MATCH(F550,Foderstater!$Y$72:$Y$110,0),MATCH(A550&amp;B550&amp;C550&amp;E550,Foderstater!$AB$71:$AT$71,0))</f>
        <v>0.63111634374194048</v>
      </c>
      <c r="L550" s="157"/>
      <c r="M550" s="157"/>
    </row>
    <row r="551" spans="1:13" x14ac:dyDescent="0.25">
      <c r="A551" t="s">
        <v>2</v>
      </c>
      <c r="E551" t="s">
        <v>32</v>
      </c>
      <c r="F551" t="str">
        <f>Foderstater!Y$82</f>
        <v>rye</v>
      </c>
      <c r="J551" t="s">
        <v>307</v>
      </c>
      <c r="K551" s="13">
        <f>INDEX(Foderstater!$AB$72:$AT$110,MATCH(F551,Foderstater!$Y$72:$Y$110,0),MATCH(A551&amp;B551&amp;C551&amp;E551,Foderstater!$AB$71:$AT$71,0))</f>
        <v>5.6371722021104978E-3</v>
      </c>
      <c r="L551" s="157"/>
      <c r="M551" s="157"/>
    </row>
    <row r="552" spans="1:13" x14ac:dyDescent="0.25">
      <c r="A552" t="s">
        <v>2</v>
      </c>
      <c r="E552" t="s">
        <v>32</v>
      </c>
      <c r="F552" t="str">
        <f>Foderstater!Y$83</f>
        <v>maize</v>
      </c>
      <c r="J552" t="s">
        <v>307</v>
      </c>
      <c r="K552" s="13">
        <f>INDEX(Foderstater!$AB$72:$AT$110,MATCH(F552,Foderstater!$Y$72:$Y$110,0),MATCH(A552&amp;B552&amp;C552&amp;E552,Foderstater!$AB$71:$AT$71,0))</f>
        <v>2.4491361364359067E-2</v>
      </c>
      <c r="L552" s="157"/>
      <c r="M552" s="157"/>
    </row>
    <row r="553" spans="1:13" x14ac:dyDescent="0.25">
      <c r="A553" t="s">
        <v>2</v>
      </c>
      <c r="E553" t="s">
        <v>32</v>
      </c>
      <c r="F553" t="str">
        <f>Foderstater!Y$84</f>
        <v>peas</v>
      </c>
      <c r="J553" t="s">
        <v>307</v>
      </c>
      <c r="K553" s="13">
        <f>INDEX(Foderstater!$AB$72:$AT$110,MATCH(F553,Foderstater!$Y$72:$Y$110,0),MATCH(A553&amp;B553&amp;C553&amp;E553,Foderstater!$AB$71:$AT$71,0))</f>
        <v>3.3129545230803178E-2</v>
      </c>
      <c r="L553" s="157"/>
      <c r="M553" s="157"/>
    </row>
    <row r="554" spans="1:13" x14ac:dyDescent="0.25">
      <c r="A554" t="s">
        <v>2</v>
      </c>
      <c r="E554" t="s">
        <v>32</v>
      </c>
      <c r="F554" t="str">
        <f>Foderstater!Y$85</f>
        <v>broad beans</v>
      </c>
      <c r="J554" t="s">
        <v>307</v>
      </c>
      <c r="K554" s="13">
        <f>INDEX(Foderstater!$AB$72:$AT$110,MATCH(F554,Foderstater!$Y$72:$Y$110,0),MATCH(A554&amp;B554&amp;C554&amp;E554,Foderstater!$AB$71:$AT$71,0))</f>
        <v>4.0966798466627027E-2</v>
      </c>
      <c r="L554" s="157"/>
      <c r="M554" s="157"/>
    </row>
    <row r="555" spans="1:13" x14ac:dyDescent="0.25">
      <c r="A555" t="s">
        <v>2</v>
      </c>
      <c r="E555" t="s">
        <v>32</v>
      </c>
      <c r="F555" t="str">
        <f>Foderstater!Y$86</f>
        <v>rapeseed</v>
      </c>
      <c r="J555" t="s">
        <v>307</v>
      </c>
      <c r="K555" s="13">
        <f>INDEX(Foderstater!$AB$72:$AT$110,MATCH(F555,Foderstater!$Y$72:$Y$110,0),MATCH(A555&amp;B555&amp;C555&amp;E555,Foderstater!$AB$71:$AT$71,0))</f>
        <v>0.20821498275295594</v>
      </c>
      <c r="L555" s="157"/>
      <c r="M555" s="157"/>
    </row>
    <row r="556" spans="1:13" x14ac:dyDescent="0.25">
      <c r="A556" t="s">
        <v>2</v>
      </c>
      <c r="E556" t="s">
        <v>32</v>
      </c>
      <c r="F556" t="str">
        <f>Foderstater!Y$87</f>
        <v>linseed</v>
      </c>
      <c r="J556" t="s">
        <v>307</v>
      </c>
      <c r="K556" s="13">
        <f>INDEX(Foderstater!$AB$72:$AT$110,MATCH(F556,Foderstater!$Y$72:$Y$110,0),MATCH(A556&amp;B556&amp;C556&amp;E556,Foderstater!$AB$71:$AT$71,0))</f>
        <v>1.5359161204765519E-4</v>
      </c>
      <c r="L556" s="157"/>
      <c r="M556" s="157"/>
    </row>
    <row r="557" spans="1:13" x14ac:dyDescent="0.25">
      <c r="A557" t="s">
        <v>2</v>
      </c>
      <c r="E557" t="s">
        <v>32</v>
      </c>
      <c r="F557" t="str">
        <f>Foderstater!Y$88</f>
        <v>vegetable oils</v>
      </c>
      <c r="J557" t="s">
        <v>307</v>
      </c>
      <c r="K557" s="13">
        <f>INDEX(Foderstater!$AB$72:$AT$110,MATCH(F557,Foderstater!$Y$72:$Y$110,0),MATCH(A557&amp;B557&amp;C557&amp;E557,Foderstater!$AB$71:$AT$71,0))</f>
        <v>3.9652652617667341E-3</v>
      </c>
      <c r="L557" s="157"/>
      <c r="M557" s="157"/>
    </row>
    <row r="558" spans="1:13" x14ac:dyDescent="0.25">
      <c r="A558" t="s">
        <v>2</v>
      </c>
      <c r="E558" t="s">
        <v>32</v>
      </c>
      <c r="F558" t="str">
        <f>Foderstater!Y$89</f>
        <v>soybeans</v>
      </c>
      <c r="J558" t="s">
        <v>307</v>
      </c>
      <c r="K558" s="13">
        <f>INDEX(Foderstater!$AB$72:$AT$110,MATCH(F558,Foderstater!$Y$72:$Y$110,0),MATCH(A558&amp;B558&amp;C558&amp;E558,Foderstater!$AB$71:$AT$71,0))</f>
        <v>3.8749780117707201E-3</v>
      </c>
      <c r="L558" s="157"/>
      <c r="M558" s="157"/>
    </row>
    <row r="559" spans="1:13" x14ac:dyDescent="0.25">
      <c r="A559" t="s">
        <v>2</v>
      </c>
      <c r="E559" t="s">
        <v>32</v>
      </c>
      <c r="F559" t="str">
        <f>Foderstater!Y$90</f>
        <v>soybean meal</v>
      </c>
      <c r="J559" t="s">
        <v>307</v>
      </c>
      <c r="K559" s="13">
        <f>INDEX(Foderstater!$AB$72:$AT$110,MATCH(F559,Foderstater!$Y$72:$Y$110,0),MATCH(A559&amp;B559&amp;C559&amp;E559,Foderstater!$AB$71:$AT$71,0))</f>
        <v>3.5396486378307765E-2</v>
      </c>
      <c r="L559" s="157"/>
      <c r="M559" s="157"/>
    </row>
    <row r="560" spans="1:13" x14ac:dyDescent="0.25">
      <c r="A560" t="s">
        <v>2</v>
      </c>
      <c r="E560" t="s">
        <v>32</v>
      </c>
      <c r="F560" t="str">
        <f>Foderstater!Y$91</f>
        <v>soybean protein concentrate</v>
      </c>
      <c r="J560" t="s">
        <v>307</v>
      </c>
      <c r="K560" s="13">
        <f>INDEX(Foderstater!$AB$72:$AT$110,MATCH(F560,Foderstater!$Y$72:$Y$110,0),MATCH(A560&amp;B560&amp;C560&amp;E560,Foderstater!$AB$71:$AT$71,0))</f>
        <v>0</v>
      </c>
      <c r="L560" s="157"/>
      <c r="M560" s="157"/>
    </row>
    <row r="561" spans="1:13" x14ac:dyDescent="0.25">
      <c r="A561" t="s">
        <v>2</v>
      </c>
      <c r="B561" t="s">
        <v>1</v>
      </c>
      <c r="E561" t="s">
        <v>32</v>
      </c>
      <c r="F561" t="str">
        <f>Foderstater!Y$92</f>
        <v>rapeseed meal</v>
      </c>
      <c r="J561" t="s">
        <v>307</v>
      </c>
      <c r="K561" s="13">
        <f>INDEX(Foderstater!$AB$72:$AT$110,MATCH(F561,Foderstater!$Y$72:$Y$110,0),MATCH(A561&amp;C561&amp;E561,Foderstater!$AB$71:$AT$71,0))</f>
        <v>0.27338946038309825</v>
      </c>
      <c r="L561" s="157"/>
      <c r="M561" s="157"/>
    </row>
    <row r="562" spans="1:13" x14ac:dyDescent="0.25">
      <c r="A562" s="266" t="str">
        <f>A561</f>
        <v>dairy</v>
      </c>
      <c r="B562" s="266" t="s">
        <v>5</v>
      </c>
      <c r="C562" s="266"/>
      <c r="D562" s="266"/>
      <c r="E562" s="266" t="s">
        <v>32</v>
      </c>
      <c r="F562" s="266" t="s">
        <v>601</v>
      </c>
      <c r="J562" s="266" t="str">
        <f>J561</f>
        <v>share_in_ration</v>
      </c>
      <c r="K562" s="267">
        <f>K561</f>
        <v>0.27338946038309825</v>
      </c>
      <c r="L562" s="266"/>
      <c r="M562" s="266" t="s">
        <v>602</v>
      </c>
    </row>
    <row r="563" spans="1:13" x14ac:dyDescent="0.25">
      <c r="A563" t="s">
        <v>2</v>
      </c>
      <c r="E563" t="s">
        <v>32</v>
      </c>
      <c r="F563" t="str">
        <f>Foderstater!Y$94</f>
        <v>sunflower seed meal</v>
      </c>
      <c r="J563" t="s">
        <v>307</v>
      </c>
      <c r="K563" s="13">
        <f>INDEX(Foderstater!$AB$72:$AT$110,MATCH(F563,Foderstater!$Y$72:$Y$110,0),MATCH(A563&amp;B563&amp;C563&amp;E563,Foderstater!$AB$71:$AT$71,0))</f>
        <v>3.7766107728313516E-3</v>
      </c>
    </row>
    <row r="564" spans="1:13" x14ac:dyDescent="0.25">
      <c r="A564" t="s">
        <v>2</v>
      </c>
      <c r="E564" t="s">
        <v>32</v>
      </c>
      <c r="F564" t="str">
        <f>Foderstater!Y$95</f>
        <v>palm kernel expeller</v>
      </c>
      <c r="J564" t="s">
        <v>307</v>
      </c>
      <c r="K564" s="13">
        <f>INDEX(Foderstater!$AB$72:$AT$110,MATCH(F564,Foderstater!$Y$72:$Y$110,0),MATCH(A564&amp;B564&amp;C564&amp;E564,Foderstater!$AB$71:$AT$71,0))</f>
        <v>2.454011148600925E-2</v>
      </c>
    </row>
    <row r="565" spans="1:13" x14ac:dyDescent="0.25">
      <c r="A565" t="s">
        <v>2</v>
      </c>
      <c r="E565" t="s">
        <v>32</v>
      </c>
      <c r="F565" t="str">
        <f>Foderstater!Y$96</f>
        <v>luzern meal</v>
      </c>
      <c r="J565" t="s">
        <v>307</v>
      </c>
      <c r="K565" s="13">
        <f>INDEX(Foderstater!$AB$72:$AT$110,MATCH(F565,Foderstater!$Y$72:$Y$110,0),MATCH(A565&amp;B565&amp;C565&amp;E565,Foderstater!$AB$71:$AT$71,0))</f>
        <v>7.4648324517994124E-3</v>
      </c>
    </row>
    <row r="566" spans="1:13" x14ac:dyDescent="0.25">
      <c r="A566" t="s">
        <v>2</v>
      </c>
      <c r="E566" t="s">
        <v>32</v>
      </c>
      <c r="F566" t="str">
        <f>Foderstater!Y$97</f>
        <v>wheat bran</v>
      </c>
      <c r="J566" t="s">
        <v>307</v>
      </c>
      <c r="K566" s="13">
        <f>INDEX(Foderstater!$AB$72:$AT$110,MATCH(F566,Foderstater!$Y$72:$Y$110,0),MATCH(A566&amp;B566&amp;C566&amp;E566,Foderstater!$AB$71:$AT$71,0))</f>
        <v>8.1330352250506319E-2</v>
      </c>
    </row>
    <row r="567" spans="1:13" x14ac:dyDescent="0.25">
      <c r="A567" t="s">
        <v>2</v>
      </c>
      <c r="E567" t="s">
        <v>32</v>
      </c>
      <c r="F567" t="str">
        <f>Foderstater!Y$98</f>
        <v>wheat bran, fine</v>
      </c>
      <c r="J567" t="s">
        <v>307</v>
      </c>
      <c r="K567" s="13">
        <f>INDEX(Foderstater!$AB$72:$AT$110,MATCH(F567,Foderstater!$Y$72:$Y$110,0),MATCH(A567&amp;B567&amp;C567&amp;E567,Foderstater!$AB$71:$AT$71,0))</f>
        <v>2.1320226486804789E-4</v>
      </c>
    </row>
    <row r="568" spans="1:13" x14ac:dyDescent="0.25">
      <c r="A568" t="s">
        <v>2</v>
      </c>
      <c r="E568" t="s">
        <v>32</v>
      </c>
      <c r="F568" t="str">
        <f>Foderstater!Y$99</f>
        <v>oat hulls</v>
      </c>
      <c r="J568" t="s">
        <v>307</v>
      </c>
      <c r="K568" s="13">
        <f>INDEX(Foderstater!$AB$72:$AT$110,MATCH(F568,Foderstater!$Y$72:$Y$110,0),MATCH(A568&amp;B568&amp;C568&amp;E568,Foderstater!$AB$71:$AT$71,0))</f>
        <v>9.7954501133788105E-3</v>
      </c>
    </row>
    <row r="569" spans="1:13" x14ac:dyDescent="0.25">
      <c r="A569" t="s">
        <v>2</v>
      </c>
      <c r="E569" t="s">
        <v>32</v>
      </c>
      <c r="F569" t="str">
        <f>Foderstater!Y$100</f>
        <v>oat bran</v>
      </c>
      <c r="J569" t="s">
        <v>307</v>
      </c>
      <c r="K569" s="13">
        <f>INDEX(Foderstater!$AB$72:$AT$110,MATCH(F569,Foderstater!$Y$72:$Y$110,0),MATCH(A569&amp;B569&amp;C569&amp;E569,Foderstater!$AB$71:$AT$71,0))</f>
        <v>1.1055271729123049E-3</v>
      </c>
    </row>
    <row r="570" spans="1:13" x14ac:dyDescent="0.25">
      <c r="A570" t="s">
        <v>2</v>
      </c>
      <c r="E570" t="s">
        <v>32</v>
      </c>
      <c r="F570" t="str">
        <f>Foderstater!Y$101</f>
        <v>rye bran</v>
      </c>
      <c r="J570" t="s">
        <v>307</v>
      </c>
      <c r="K570" s="13">
        <f>INDEX(Foderstater!$AB$72:$AT$110,MATCH(F570,Foderstater!$Y$72:$Y$110,0),MATCH(A570&amp;B570&amp;C570&amp;E570,Foderstater!$AB$71:$AT$71,0))</f>
        <v>3.4094577852959427E-3</v>
      </c>
    </row>
    <row r="571" spans="1:13" x14ac:dyDescent="0.25">
      <c r="A571" t="s">
        <v>2</v>
      </c>
      <c r="E571" t="s">
        <v>32</v>
      </c>
      <c r="F571" t="str">
        <f>Foderstater!Y$102</f>
        <v>wheat distillers grain, dry</v>
      </c>
      <c r="J571" t="s">
        <v>307</v>
      </c>
      <c r="K571" s="13">
        <f>INDEX(Foderstater!$AB$72:$AT$110,MATCH(F571,Foderstater!$Y$72:$Y$110,0),MATCH(A571&amp;B571&amp;C571&amp;E571,Foderstater!$AB$71:$AT$71,0))</f>
        <v>8.7422402276057576E-2</v>
      </c>
    </row>
    <row r="572" spans="1:13" x14ac:dyDescent="0.25">
      <c r="A572" t="s">
        <v>2</v>
      </c>
      <c r="E572" t="s">
        <v>32</v>
      </c>
      <c r="F572" t="str">
        <f>Foderstater!Y$103</f>
        <v>barley brewers grain</v>
      </c>
      <c r="J572" t="s">
        <v>307</v>
      </c>
      <c r="K572" s="13">
        <f>INDEX(Foderstater!$AB$72:$AT$110,MATCH(F572,Foderstater!$Y$72:$Y$110,0),MATCH(A572&amp;B572&amp;C572&amp;E572,Foderstater!$AB$71:$AT$71,0))</f>
        <v>0</v>
      </c>
    </row>
    <row r="573" spans="1:13" x14ac:dyDescent="0.25">
      <c r="A573" t="s">
        <v>2</v>
      </c>
      <c r="E573" t="s">
        <v>32</v>
      </c>
      <c r="F573" t="str">
        <f>Foderstater!Y$104</f>
        <v>maize gluten meal</v>
      </c>
      <c r="J573" t="s">
        <v>307</v>
      </c>
      <c r="K573" s="13">
        <f>INDEX(Foderstater!$AB$72:$AT$110,MATCH(F573,Foderstater!$Y$72:$Y$110,0),MATCH(A573&amp;B573&amp;C573&amp;E573,Foderstater!$AB$71:$AT$71,0))</f>
        <v>2.6416305439262745E-3</v>
      </c>
    </row>
    <row r="574" spans="1:13" x14ac:dyDescent="0.25">
      <c r="A574" t="s">
        <v>2</v>
      </c>
      <c r="E574" t="s">
        <v>32</v>
      </c>
      <c r="F574" t="str">
        <f>Foderstater!Y$105</f>
        <v>sugar beet molasses</v>
      </c>
      <c r="J574" t="s">
        <v>307</v>
      </c>
      <c r="K574" s="13">
        <f>INDEX(Foderstater!$AB$72:$AT$110,MATCH(F574,Foderstater!$Y$72:$Y$110,0),MATCH(A574&amp;B574&amp;C574&amp;E574,Foderstater!$AB$71:$AT$71,0))</f>
        <v>2.929408071401712E-2</v>
      </c>
    </row>
    <row r="575" spans="1:13" x14ac:dyDescent="0.25">
      <c r="A575" t="s">
        <v>2</v>
      </c>
      <c r="E575" t="s">
        <v>32</v>
      </c>
      <c r="F575" t="str">
        <f>Foderstater!Y$106</f>
        <v>sugar beet pulp</v>
      </c>
      <c r="J575" t="s">
        <v>307</v>
      </c>
      <c r="K575" s="13">
        <f>INDEX(Foderstater!$AB$72:$AT$110,MATCH(F575,Foderstater!$Y$72:$Y$110,0),MATCH(A575&amp;B575&amp;C575&amp;E575,Foderstater!$AB$71:$AT$71,0))</f>
        <v>5.6525245770502136E-2</v>
      </c>
    </row>
    <row r="576" spans="1:13" x14ac:dyDescent="0.25">
      <c r="A576" t="s">
        <v>2</v>
      </c>
      <c r="E576" t="s">
        <v>32</v>
      </c>
      <c r="F576" t="str">
        <f>Foderstater!Y$107</f>
        <v>whey powder</v>
      </c>
      <c r="J576" t="s">
        <v>307</v>
      </c>
      <c r="K576" s="13">
        <f>INDEX(Foderstater!$AB$72:$AT$110,MATCH(F576,Foderstater!$Y$72:$Y$110,0),MATCH(A576&amp;B576&amp;C576&amp;E576,Foderstater!$AB$71:$AT$71,0))</f>
        <v>0</v>
      </c>
    </row>
    <row r="577" spans="1:14" x14ac:dyDescent="0.25">
      <c r="A577" t="s">
        <v>2</v>
      </c>
      <c r="E577" t="s">
        <v>32</v>
      </c>
      <c r="F577" t="str">
        <f>Foderstater!Y$108</f>
        <v>potatoe protein</v>
      </c>
      <c r="J577" t="s">
        <v>307</v>
      </c>
      <c r="K577" s="13">
        <f>INDEX(Foderstater!$AB$72:$AT$110,MATCH(F577,Foderstater!$Y$72:$Y$110,0),MATCH(A577&amp;B577&amp;C577&amp;E577,Foderstater!$AB$71:$AT$71,0))</f>
        <v>2.5878708291312121E-4</v>
      </c>
    </row>
    <row r="578" spans="1:14" x14ac:dyDescent="0.25">
      <c r="A578" t="s">
        <v>2</v>
      </c>
      <c r="E578" t="s">
        <v>32</v>
      </c>
      <c r="F578" t="str">
        <f>Foderstater!Y$109</f>
        <v>fish meal</v>
      </c>
      <c r="J578" t="s">
        <v>307</v>
      </c>
      <c r="K578" s="13">
        <f>INDEX(Foderstater!$AB$72:$AT$110,MATCH(F578,Foderstater!$Y$72:$Y$110,0),MATCH(A578&amp;B578&amp;C578&amp;E578,Foderstater!$AB$71:$AT$71,0))</f>
        <v>0</v>
      </c>
    </row>
    <row r="579" spans="1:14" x14ac:dyDescent="0.25">
      <c r="A579" t="s">
        <v>2</v>
      </c>
      <c r="E579" t="s">
        <v>32</v>
      </c>
      <c r="F579" t="str">
        <f>Foderstater!Y$110</f>
        <v>minerals</v>
      </c>
      <c r="J579" t="s">
        <v>307</v>
      </c>
      <c r="K579" s="13">
        <f>INDEX(Foderstater!$AB$72:$AT$110,MATCH(F579,Foderstater!$Y$72:$Y$110,0),MATCH(A579&amp;B579&amp;C579&amp;E579,Foderstater!$AB$71:$AT$71,0))</f>
        <v>0.72908796527420217</v>
      </c>
    </row>
    <row r="581" spans="1:14" x14ac:dyDescent="0.25">
      <c r="A581" s="81" t="s">
        <v>74</v>
      </c>
      <c r="B581" s="48"/>
      <c r="C581" s="48"/>
      <c r="D581" s="49"/>
      <c r="E581" s="49"/>
      <c r="F581" s="49"/>
      <c r="G581" s="49"/>
      <c r="H581" s="49"/>
      <c r="I581" s="49"/>
      <c r="J581" s="49"/>
      <c r="K581" s="159"/>
      <c r="L581" s="49"/>
      <c r="M581" s="49"/>
      <c r="N581" s="49"/>
    </row>
    <row r="582" spans="1:14" x14ac:dyDescent="0.25">
      <c r="A582" s="157" t="s">
        <v>2</v>
      </c>
      <c r="B582" s="157" t="s">
        <v>1</v>
      </c>
      <c r="C582" s="157"/>
      <c r="D582" s="157"/>
      <c r="E582" s="157" t="s">
        <v>33</v>
      </c>
      <c r="J582" s="157" t="s">
        <v>307</v>
      </c>
      <c r="K582" s="157">
        <v>0</v>
      </c>
      <c r="L582" s="157"/>
      <c r="M582" s="157" t="s">
        <v>398</v>
      </c>
    </row>
    <row r="583" spans="1:14" x14ac:dyDescent="0.25">
      <c r="A583" t="s">
        <v>2</v>
      </c>
      <c r="B583" t="s">
        <v>1</v>
      </c>
      <c r="D583" s="110"/>
      <c r="E583" s="110" t="s">
        <v>33</v>
      </c>
      <c r="F583" t="str">
        <f>Foderstater!Y$72</f>
        <v>ley silage, 1st cut</v>
      </c>
      <c r="J583" t="s">
        <v>307</v>
      </c>
      <c r="K583" s="13">
        <f>INDEX(Foderstater!$AB$72:$AT$110,MATCH(F583,Foderstater!$Y$72:$Y$110,0),MATCH(A583&amp;B583&amp;C583&amp;E583,Foderstater!$AB$71:$AT$71,0))</f>
        <v>65.065884609325579</v>
      </c>
      <c r="L583" s="157"/>
      <c r="M583" s="157"/>
    </row>
    <row r="584" spans="1:14" x14ac:dyDescent="0.25">
      <c r="A584" t="s">
        <v>2</v>
      </c>
      <c r="B584" t="s">
        <v>1</v>
      </c>
      <c r="D584" s="110"/>
      <c r="E584" s="110" t="s">
        <v>33</v>
      </c>
      <c r="F584" t="str">
        <f>Foderstater!Y$73</f>
        <v>ley silage, regrowth</v>
      </c>
      <c r="J584" t="s">
        <v>307</v>
      </c>
      <c r="K584" s="13">
        <f>INDEX(Foderstater!$AB$72:$AT$110,MATCH(F584,Foderstater!$Y$72:$Y$110,0),MATCH(A584&amp;B584&amp;C584&amp;E584,Foderstater!$AB$71:$AT$71,0))</f>
        <v>0</v>
      </c>
      <c r="L584" s="157"/>
      <c r="M584" s="157"/>
    </row>
    <row r="585" spans="1:14" x14ac:dyDescent="0.25">
      <c r="A585" t="s">
        <v>2</v>
      </c>
      <c r="B585" t="s">
        <v>1</v>
      </c>
      <c r="D585" s="110"/>
      <c r="E585" s="110" t="s">
        <v>33</v>
      </c>
      <c r="F585" t="str">
        <f>Foderstater!Y$74</f>
        <v>other silage</v>
      </c>
      <c r="J585" t="s">
        <v>307</v>
      </c>
      <c r="K585" s="13">
        <f>INDEX(Foderstater!$AB$72:$AT$110,MATCH(F585,Foderstater!$Y$72:$Y$110,0),MATCH(A585&amp;B585&amp;C585&amp;E585,Foderstater!$AB$71:$AT$71,0))</f>
        <v>0</v>
      </c>
      <c r="L585" s="157"/>
      <c r="M585" s="157"/>
    </row>
    <row r="586" spans="1:14" x14ac:dyDescent="0.25">
      <c r="A586" t="s">
        <v>2</v>
      </c>
      <c r="B586" t="s">
        <v>1</v>
      </c>
      <c r="D586" s="110"/>
      <c r="E586" s="110" t="s">
        <v>33</v>
      </c>
      <c r="F586" t="str">
        <f>Foderstater!Y$75</f>
        <v>maize silage</v>
      </c>
      <c r="J586" t="s">
        <v>307</v>
      </c>
      <c r="K586" s="13">
        <f>INDEX(Foderstater!$AB$72:$AT$110,MATCH(F586,Foderstater!$Y$72:$Y$110,0),MATCH(A586&amp;B586&amp;C586&amp;E586,Foderstater!$AB$71:$AT$71,0))</f>
        <v>0</v>
      </c>
      <c r="L586" s="157"/>
      <c r="M586" s="157"/>
    </row>
    <row r="587" spans="1:14" x14ac:dyDescent="0.25">
      <c r="A587" t="s">
        <v>2</v>
      </c>
      <c r="B587" t="s">
        <v>1</v>
      </c>
      <c r="D587" s="110"/>
      <c r="E587" s="110" t="s">
        <v>33</v>
      </c>
      <c r="F587" t="str">
        <f>Foderstater!Y$76</f>
        <v>straw</v>
      </c>
      <c r="J587" t="s">
        <v>307</v>
      </c>
      <c r="K587" s="13">
        <f>INDEX(Foderstater!$AB$72:$AT$110,MATCH(F587,Foderstater!$Y$72:$Y$110,0),MATCH(A587&amp;B587&amp;C587&amp;E587,Foderstater!$AB$71:$AT$71,0))</f>
        <v>0</v>
      </c>
      <c r="L587" s="157"/>
      <c r="M587" s="157"/>
    </row>
    <row r="588" spans="1:14" x14ac:dyDescent="0.25">
      <c r="A588" t="s">
        <v>2</v>
      </c>
      <c r="B588" t="s">
        <v>1</v>
      </c>
      <c r="D588" s="110"/>
      <c r="E588" s="110" t="s">
        <v>33</v>
      </c>
      <c r="F588" t="str">
        <f>Foderstater!Y$77</f>
        <v>grazing</v>
      </c>
      <c r="J588" t="s">
        <v>307</v>
      </c>
      <c r="K588" s="13">
        <f>INDEX(Foderstater!$AB$72:$AT$110,MATCH(F588,Foderstater!$Y$72:$Y$110,0),MATCH(A588&amp;B588&amp;C588&amp;E588,Foderstater!$AB$71:$AT$71,0))</f>
        <v>0</v>
      </c>
      <c r="L588" s="157"/>
      <c r="M588" s="157"/>
    </row>
    <row r="589" spans="1:14" x14ac:dyDescent="0.25">
      <c r="A589" t="s">
        <v>2</v>
      </c>
      <c r="B589" t="s">
        <v>1</v>
      </c>
      <c r="D589" s="110"/>
      <c r="E589" s="110" t="s">
        <v>33</v>
      </c>
      <c r="F589" t="str">
        <f>Foderstater!Y$78</f>
        <v>wheat</v>
      </c>
      <c r="J589" t="s">
        <v>307</v>
      </c>
      <c r="K589" s="13">
        <f>INDEX(Foderstater!$AB$72:$AT$110,MATCH(F589,Foderstater!$Y$72:$Y$110,0),MATCH(A589&amp;B589&amp;C589&amp;E589,Foderstater!$AB$71:$AT$71,0))</f>
        <v>7.597272449205918</v>
      </c>
      <c r="L589" s="157"/>
      <c r="M589" s="157"/>
    </row>
    <row r="590" spans="1:14" x14ac:dyDescent="0.25">
      <c r="A590" t="s">
        <v>2</v>
      </c>
      <c r="B590" t="s">
        <v>1</v>
      </c>
      <c r="D590" s="110"/>
      <c r="E590" s="110" t="s">
        <v>33</v>
      </c>
      <c r="F590" t="str">
        <f>Foderstater!Y$79</f>
        <v>barley</v>
      </c>
      <c r="J590" t="s">
        <v>307</v>
      </c>
      <c r="K590" s="13">
        <f>INDEX(Foderstater!$AB$72:$AT$110,MATCH(F590,Foderstater!$Y$72:$Y$110,0),MATCH(A590&amp;B590&amp;C590&amp;E590,Foderstater!$AB$71:$AT$71,0))</f>
        <v>13.591338970365666</v>
      </c>
      <c r="L590" s="157"/>
      <c r="M590" s="157"/>
    </row>
    <row r="591" spans="1:14" x14ac:dyDescent="0.25">
      <c r="A591" t="s">
        <v>2</v>
      </c>
      <c r="B591" t="s">
        <v>1</v>
      </c>
      <c r="D591" s="110"/>
      <c r="E591" s="110" t="s">
        <v>33</v>
      </c>
      <c r="F591" t="str">
        <f>Foderstater!Y$80</f>
        <v>oats</v>
      </c>
      <c r="J591" t="s">
        <v>307</v>
      </c>
      <c r="K591" s="13">
        <f>INDEX(Foderstater!$AB$72:$AT$110,MATCH(F591,Foderstater!$Y$72:$Y$110,0),MATCH(A591&amp;B591&amp;C591&amp;E591,Foderstater!$AB$71:$AT$71,0))</f>
        <v>3.1053519716836115</v>
      </c>
      <c r="L591" s="157"/>
      <c r="M591" s="157"/>
    </row>
    <row r="592" spans="1:14" x14ac:dyDescent="0.25">
      <c r="A592" t="s">
        <v>2</v>
      </c>
      <c r="B592" t="s">
        <v>1</v>
      </c>
      <c r="D592" s="110"/>
      <c r="E592" s="110" t="s">
        <v>33</v>
      </c>
      <c r="F592" t="str">
        <f>Foderstater!Y$81</f>
        <v>triticale</v>
      </c>
      <c r="J592" t="s">
        <v>307</v>
      </c>
      <c r="K592" s="13">
        <f>INDEX(Foderstater!$AB$72:$AT$110,MATCH(F592,Foderstater!$Y$72:$Y$110,0),MATCH(A592&amp;B592&amp;C592&amp;E592,Foderstater!$AB$71:$AT$71,0))</f>
        <v>4.6592010515149394</v>
      </c>
      <c r="L592" s="157"/>
      <c r="M592" s="157"/>
    </row>
    <row r="593" spans="1:13" x14ac:dyDescent="0.25">
      <c r="A593" t="s">
        <v>2</v>
      </c>
      <c r="B593" t="s">
        <v>1</v>
      </c>
      <c r="D593" s="110"/>
      <c r="E593" s="110" t="s">
        <v>33</v>
      </c>
      <c r="F593" t="str">
        <f>Foderstater!Y$82</f>
        <v>rye</v>
      </c>
      <c r="J593" t="s">
        <v>307</v>
      </c>
      <c r="K593" s="13">
        <f>INDEX(Foderstater!$AB$72:$AT$110,MATCH(F593,Foderstater!$Y$72:$Y$110,0),MATCH(A593&amp;B593&amp;C593&amp;E593,Foderstater!$AB$71:$AT$71,0))</f>
        <v>1.6945393347994473E-2</v>
      </c>
      <c r="L593" s="157"/>
      <c r="M593" s="157"/>
    </row>
    <row r="594" spans="1:13" x14ac:dyDescent="0.25">
      <c r="A594" t="s">
        <v>2</v>
      </c>
      <c r="B594" t="s">
        <v>1</v>
      </c>
      <c r="D594" s="110"/>
      <c r="E594" s="110" t="s">
        <v>33</v>
      </c>
      <c r="F594" t="str">
        <f>Foderstater!Y$83</f>
        <v>maize</v>
      </c>
      <c r="J594" t="s">
        <v>307</v>
      </c>
      <c r="K594" s="13">
        <f>INDEX(Foderstater!$AB$72:$AT$110,MATCH(F594,Foderstater!$Y$72:$Y$110,0),MATCH(A594&amp;B594&amp;C594&amp;E594,Foderstater!$AB$71:$AT$71,0))</f>
        <v>7.3621265603978081E-2</v>
      </c>
      <c r="L594" s="157"/>
      <c r="M594" s="157"/>
    </row>
    <row r="595" spans="1:13" x14ac:dyDescent="0.25">
      <c r="A595" t="s">
        <v>2</v>
      </c>
      <c r="B595" t="s">
        <v>1</v>
      </c>
      <c r="D595" s="110"/>
      <c r="E595" s="110" t="s">
        <v>33</v>
      </c>
      <c r="F595" t="str">
        <f>Foderstater!Y$84</f>
        <v>peas</v>
      </c>
      <c r="J595" t="s">
        <v>307</v>
      </c>
      <c r="K595" s="13">
        <f>INDEX(Foderstater!$AB$72:$AT$110,MATCH(F595,Foderstater!$Y$72:$Y$110,0),MATCH(A595&amp;B595&amp;C595&amp;E595,Foderstater!$AB$71:$AT$71,0))</f>
        <v>1.3794797059070938</v>
      </c>
      <c r="L595" s="157"/>
      <c r="M595" s="157"/>
    </row>
    <row r="596" spans="1:13" x14ac:dyDescent="0.25">
      <c r="A596" t="s">
        <v>2</v>
      </c>
      <c r="B596" t="s">
        <v>1</v>
      </c>
      <c r="D596" s="110"/>
      <c r="E596" s="110" t="s">
        <v>33</v>
      </c>
      <c r="F596" t="str">
        <f>Foderstater!Y$85</f>
        <v>broad beans</v>
      </c>
      <c r="J596" t="s">
        <v>307</v>
      </c>
      <c r="K596" s="13">
        <f>INDEX(Foderstater!$AB$72:$AT$110,MATCH(F596,Foderstater!$Y$72:$Y$110,0),MATCH(A596&amp;B596&amp;C596&amp;E596,Foderstater!$AB$71:$AT$71,0))</f>
        <v>1.338045660068792</v>
      </c>
      <c r="L596" s="157"/>
      <c r="M596" s="157"/>
    </row>
    <row r="597" spans="1:13" x14ac:dyDescent="0.25">
      <c r="A597" t="s">
        <v>2</v>
      </c>
      <c r="B597" t="s">
        <v>1</v>
      </c>
      <c r="D597" s="110"/>
      <c r="E597" s="110" t="s">
        <v>33</v>
      </c>
      <c r="F597" t="str">
        <f>Foderstater!Y$86</f>
        <v>rapeseed</v>
      </c>
      <c r="J597" t="s">
        <v>307</v>
      </c>
      <c r="K597" s="13">
        <f>INDEX(Foderstater!$AB$72:$AT$110,MATCH(F597,Foderstater!$Y$72:$Y$110,0),MATCH(A597&amp;B597&amp;C597&amp;E597,Foderstater!$AB$71:$AT$71,0))</f>
        <v>0.62589622193442496</v>
      </c>
      <c r="L597" s="157"/>
      <c r="M597" s="157"/>
    </row>
    <row r="598" spans="1:13" x14ac:dyDescent="0.25">
      <c r="A598" t="s">
        <v>2</v>
      </c>
      <c r="B598" t="s">
        <v>1</v>
      </c>
      <c r="D598" s="110"/>
      <c r="E598" s="110" t="s">
        <v>33</v>
      </c>
      <c r="F598" t="str">
        <f>Foderstater!Y$87</f>
        <v>linseed</v>
      </c>
      <c r="J598" t="s">
        <v>307</v>
      </c>
      <c r="K598" s="13">
        <f>INDEX(Foderstater!$AB$72:$AT$110,MATCH(F598,Foderstater!$Y$72:$Y$110,0),MATCH(A598&amp;B598&amp;C598&amp;E598,Foderstater!$AB$71:$AT$71,0))</f>
        <v>4.6169784916729557E-4</v>
      </c>
      <c r="L598" s="157"/>
      <c r="M598" s="157"/>
    </row>
    <row r="599" spans="1:13" x14ac:dyDescent="0.25">
      <c r="A599" t="s">
        <v>2</v>
      </c>
      <c r="B599" t="s">
        <v>1</v>
      </c>
      <c r="D599" s="110"/>
      <c r="E599" s="110" t="s">
        <v>33</v>
      </c>
      <c r="F599" t="str">
        <f>Foderstater!Y$88</f>
        <v>vegetable oils</v>
      </c>
      <c r="J599" t="s">
        <v>307</v>
      </c>
      <c r="K599" s="13">
        <f>INDEX(Foderstater!$AB$72:$AT$110,MATCH(F599,Foderstater!$Y$72:$Y$110,0),MATCH(A599&amp;B599&amp;C599&amp;E599,Foderstater!$AB$71:$AT$71,0))</f>
        <v>1.1919625156141098E-2</v>
      </c>
      <c r="L599" s="157"/>
      <c r="M599" s="157"/>
    </row>
    <row r="600" spans="1:13" x14ac:dyDescent="0.25">
      <c r="A600" t="s">
        <v>2</v>
      </c>
      <c r="B600" t="s">
        <v>1</v>
      </c>
      <c r="D600" s="110"/>
      <c r="E600" s="110" t="s">
        <v>33</v>
      </c>
      <c r="F600" t="str">
        <f>Foderstater!Y$89</f>
        <v>soybeans</v>
      </c>
      <c r="J600" t="s">
        <v>307</v>
      </c>
      <c r="K600" s="13">
        <f>INDEX(Foderstater!$AB$72:$AT$110,MATCH(F600,Foderstater!$Y$72:$Y$110,0),MATCH(A600&amp;B600&amp;C600&amp;E600,Foderstater!$AB$71:$AT$71,0))</f>
        <v>1.1648220822436621E-2</v>
      </c>
      <c r="L600" s="157"/>
      <c r="M600" s="157"/>
    </row>
    <row r="601" spans="1:13" x14ac:dyDescent="0.25">
      <c r="A601" t="s">
        <v>2</v>
      </c>
      <c r="B601" t="s">
        <v>1</v>
      </c>
      <c r="D601" s="110"/>
      <c r="E601" s="110" t="s">
        <v>33</v>
      </c>
      <c r="F601" t="str">
        <f>Foderstater!Y$90</f>
        <v>soybean meal</v>
      </c>
      <c r="J601" t="s">
        <v>307</v>
      </c>
      <c r="K601" s="13">
        <f>INDEX(Foderstater!$AB$72:$AT$110,MATCH(F601,Foderstater!$Y$72:$Y$110,0),MATCH(A601&amp;B601&amp;C601&amp;E601,Foderstater!$AB$71:$AT$71,0))</f>
        <v>0.10640217529505162</v>
      </c>
      <c r="L601" s="157"/>
      <c r="M601" s="157"/>
    </row>
    <row r="602" spans="1:13" x14ac:dyDescent="0.25">
      <c r="A602" t="s">
        <v>2</v>
      </c>
      <c r="B602" t="s">
        <v>1</v>
      </c>
      <c r="D602" s="110"/>
      <c r="E602" s="110" t="s">
        <v>33</v>
      </c>
      <c r="F602" t="str">
        <f>Foderstater!Y$91</f>
        <v>soybean protein concentrate</v>
      </c>
      <c r="J602" t="s">
        <v>307</v>
      </c>
      <c r="K602" s="13">
        <f>INDEX(Foderstater!$AB$72:$AT$110,MATCH(F602,Foderstater!$Y$72:$Y$110,0),MATCH(A602&amp;B602&amp;C602&amp;E602,Foderstater!$AB$71:$AT$71,0))</f>
        <v>0</v>
      </c>
      <c r="L602" s="157"/>
      <c r="M602" s="157"/>
    </row>
    <row r="603" spans="1:13" x14ac:dyDescent="0.25">
      <c r="A603" t="s">
        <v>2</v>
      </c>
      <c r="B603" t="s">
        <v>1</v>
      </c>
      <c r="D603" s="110"/>
      <c r="E603" s="110" t="s">
        <v>33</v>
      </c>
      <c r="F603" t="str">
        <f>Foderstater!Y$92</f>
        <v>rapeseed meal</v>
      </c>
      <c r="J603" t="s">
        <v>307</v>
      </c>
      <c r="K603" s="13">
        <f>INDEX(Foderstater!$AB$72:$AT$110,MATCH(F603,Foderstater!$Y$72:$Y$110,0),MATCH(A603&amp;B603&amp;C603&amp;E603,Foderstater!$AB$71:$AT$71,0))</f>
        <v>0.82181132264384626</v>
      </c>
      <c r="L603" s="157"/>
      <c r="M603" s="157"/>
    </row>
    <row r="604" spans="1:13" x14ac:dyDescent="0.25">
      <c r="A604" s="110" t="str">
        <f>A603</f>
        <v>dairy</v>
      </c>
      <c r="B604" t="s">
        <v>1</v>
      </c>
      <c r="D604" s="266"/>
      <c r="E604" s="110" t="s">
        <v>33</v>
      </c>
      <c r="F604" t="str">
        <f>Foderstater!Y$93</f>
        <v>rapeseed cake</v>
      </c>
      <c r="J604" t="s">
        <v>307</v>
      </c>
      <c r="K604" s="13">
        <f>INDEX(Foderstater!$AB$72:$AT$110,MATCH(F604,Foderstater!$Y$72:$Y$110,0),MATCH(A604&amp;B604&amp;C604&amp;E604,Foderstater!$AB$71:$AT$71,0))</f>
        <v>0</v>
      </c>
      <c r="L604" s="157"/>
      <c r="M604" s="266"/>
    </row>
    <row r="605" spans="1:13" x14ac:dyDescent="0.25">
      <c r="A605" t="s">
        <v>2</v>
      </c>
      <c r="B605" t="s">
        <v>1</v>
      </c>
      <c r="D605" s="110"/>
      <c r="E605" s="110" t="s">
        <v>33</v>
      </c>
      <c r="F605" t="str">
        <f>Foderstater!Y$94</f>
        <v>sunflower seed meal</v>
      </c>
      <c r="J605" t="s">
        <v>307</v>
      </c>
      <c r="K605" s="13">
        <f>INDEX(Foderstater!$AB$72:$AT$110,MATCH(F605,Foderstater!$Y$72:$Y$110,0),MATCH(A605&amp;B605&amp;C605&amp;E605,Foderstater!$AB$71:$AT$71,0))</f>
        <v>1.1352527964985915E-2</v>
      </c>
    </row>
    <row r="606" spans="1:13" x14ac:dyDescent="0.25">
      <c r="A606" t="s">
        <v>2</v>
      </c>
      <c r="B606" t="s">
        <v>1</v>
      </c>
      <c r="D606" s="110"/>
      <c r="E606" s="110" t="s">
        <v>33</v>
      </c>
      <c r="F606" t="str">
        <f>Foderstater!Y$95</f>
        <v>palm kernel expeller</v>
      </c>
      <c r="J606" t="s">
        <v>307</v>
      </c>
      <c r="K606" s="13">
        <f>INDEX(Foderstater!$AB$72:$AT$110,MATCH(F606,Foderstater!$Y$72:$Y$110,0),MATCH(A606&amp;B606&amp;C606&amp;E606,Foderstater!$AB$71:$AT$71,0))</f>
        <v>7.3767808934127849E-2</v>
      </c>
    </row>
    <row r="607" spans="1:13" x14ac:dyDescent="0.25">
      <c r="A607" t="s">
        <v>2</v>
      </c>
      <c r="B607" t="s">
        <v>1</v>
      </c>
      <c r="D607" s="110"/>
      <c r="E607" s="110" t="s">
        <v>33</v>
      </c>
      <c r="F607" t="str">
        <f>Foderstater!Y$96</f>
        <v>luzern meal</v>
      </c>
      <c r="J607" t="s">
        <v>307</v>
      </c>
      <c r="K607" s="13">
        <f>INDEX(Foderstater!$AB$72:$AT$110,MATCH(F607,Foderstater!$Y$72:$Y$110,0),MATCH(A607&amp;B607&amp;C607&amp;E607,Foderstater!$AB$71:$AT$71,0))</f>
        <v>2.2439357471687103E-2</v>
      </c>
    </row>
    <row r="608" spans="1:13" x14ac:dyDescent="0.25">
      <c r="A608" t="s">
        <v>2</v>
      </c>
      <c r="B608" t="s">
        <v>1</v>
      </c>
      <c r="D608" s="110"/>
      <c r="E608" s="110" t="s">
        <v>33</v>
      </c>
      <c r="F608" t="str">
        <f>Foderstater!Y$97</f>
        <v>wheat bran</v>
      </c>
      <c r="J608" t="s">
        <v>307</v>
      </c>
      <c r="K608" s="13">
        <f>INDEX(Foderstater!$AB$72:$AT$110,MATCH(F608,Foderstater!$Y$72:$Y$110,0),MATCH(A608&amp;B608&amp;C608&amp;E608,Foderstater!$AB$71:$AT$71,0))</f>
        <v>0.24447981374416825</v>
      </c>
    </row>
    <row r="609" spans="1:13" x14ac:dyDescent="0.25">
      <c r="A609" t="s">
        <v>2</v>
      </c>
      <c r="B609" t="s">
        <v>1</v>
      </c>
      <c r="D609" s="110"/>
      <c r="E609" s="110" t="s">
        <v>33</v>
      </c>
      <c r="F609" t="str">
        <f>Foderstater!Y$98</f>
        <v>wheat bran, fine</v>
      </c>
      <c r="J609" t="s">
        <v>307</v>
      </c>
      <c r="K609" s="13">
        <f>INDEX(Foderstater!$AB$72:$AT$110,MATCH(F609,Foderstater!$Y$72:$Y$110,0),MATCH(A609&amp;B609&amp;C609&amp;E609,Foderstater!$AB$71:$AT$71,0))</f>
        <v>6.4088803948898038E-4</v>
      </c>
    </row>
    <row r="610" spans="1:13" x14ac:dyDescent="0.25">
      <c r="A610" t="s">
        <v>2</v>
      </c>
      <c r="B610" t="s">
        <v>1</v>
      </c>
      <c r="D610" s="110"/>
      <c r="E610" s="110" t="s">
        <v>33</v>
      </c>
      <c r="F610" t="str">
        <f>Foderstater!Y$99</f>
        <v>oat hulls</v>
      </c>
      <c r="J610" t="s">
        <v>307</v>
      </c>
      <c r="K610" s="13">
        <f>INDEX(Foderstater!$AB$72:$AT$110,MATCH(F610,Foderstater!$Y$72:$Y$110,0),MATCH(A610&amp;B610&amp;C610&amp;E610,Foderstater!$AB$71:$AT$71,0))</f>
        <v>2.9445216367475335E-2</v>
      </c>
    </row>
    <row r="611" spans="1:13" x14ac:dyDescent="0.25">
      <c r="A611" t="s">
        <v>2</v>
      </c>
      <c r="B611" t="s">
        <v>1</v>
      </c>
      <c r="D611" s="110"/>
      <c r="E611" s="110" t="s">
        <v>33</v>
      </c>
      <c r="F611" t="str">
        <f>Foderstater!Y$100</f>
        <v>oat bran</v>
      </c>
      <c r="J611" t="s">
        <v>307</v>
      </c>
      <c r="K611" s="13">
        <f>INDEX(Foderstater!$AB$72:$AT$110,MATCH(F611,Foderstater!$Y$72:$Y$110,0),MATCH(A611&amp;B611&amp;C611&amp;E611,Foderstater!$AB$71:$AT$71,0))</f>
        <v>3.3232252147418258E-3</v>
      </c>
    </row>
    <row r="612" spans="1:13" x14ac:dyDescent="0.25">
      <c r="A612" t="s">
        <v>2</v>
      </c>
      <c r="B612" t="s">
        <v>1</v>
      </c>
      <c r="D612" s="110"/>
      <c r="E612" s="110" t="s">
        <v>33</v>
      </c>
      <c r="F612" t="str">
        <f>Foderstater!Y$101</f>
        <v>rye bran</v>
      </c>
      <c r="J612" t="s">
        <v>307</v>
      </c>
      <c r="K612" s="13">
        <f>INDEX(Foderstater!$AB$72:$AT$110,MATCH(F612,Foderstater!$Y$72:$Y$110,0),MATCH(A612&amp;B612&amp;C612&amp;E612,Foderstater!$AB$71:$AT$71,0))</f>
        <v>1.0248862586385358E-2</v>
      </c>
    </row>
    <row r="613" spans="1:13" x14ac:dyDescent="0.25">
      <c r="A613" t="s">
        <v>2</v>
      </c>
      <c r="B613" t="s">
        <v>1</v>
      </c>
      <c r="D613" s="110"/>
      <c r="E613" s="110" t="s">
        <v>33</v>
      </c>
      <c r="F613" t="str">
        <f>Foderstater!Y$102</f>
        <v>wheat distillers grain, dry</v>
      </c>
      <c r="J613" t="s">
        <v>307</v>
      </c>
      <c r="K613" s="13">
        <f>INDEX(Foderstater!$AB$72:$AT$110,MATCH(F613,Foderstater!$Y$72:$Y$110,0),MATCH(A613&amp;B613&amp;C613&amp;E613,Foderstater!$AB$71:$AT$71,0))</f>
        <v>0.2627925741632976</v>
      </c>
    </row>
    <row r="614" spans="1:13" x14ac:dyDescent="0.25">
      <c r="A614" t="s">
        <v>2</v>
      </c>
      <c r="B614" t="s">
        <v>1</v>
      </c>
      <c r="D614" s="110"/>
      <c r="E614" s="110" t="s">
        <v>33</v>
      </c>
      <c r="F614" t="str">
        <f>Foderstater!Y$103</f>
        <v>barley brewers grain</v>
      </c>
      <c r="J614" t="s">
        <v>307</v>
      </c>
      <c r="K614" s="13">
        <f>INDEX(Foderstater!$AB$72:$AT$110,MATCH(F614,Foderstater!$Y$72:$Y$110,0),MATCH(A614&amp;B614&amp;C614&amp;E614,Foderstater!$AB$71:$AT$71,0))</f>
        <v>0</v>
      </c>
    </row>
    <row r="615" spans="1:13" x14ac:dyDescent="0.25">
      <c r="A615" t="s">
        <v>2</v>
      </c>
      <c r="B615" t="s">
        <v>1</v>
      </c>
      <c r="D615" s="110"/>
      <c r="E615" s="110" t="s">
        <v>33</v>
      </c>
      <c r="F615" t="str">
        <f>Foderstater!Y$104</f>
        <v>maize gluten meal</v>
      </c>
      <c r="J615" t="s">
        <v>307</v>
      </c>
      <c r="K615" s="13">
        <f>INDEX(Foderstater!$AB$72:$AT$110,MATCH(F615,Foderstater!$Y$72:$Y$110,0),MATCH(A615&amp;B615&amp;C615&amp;E615,Foderstater!$AB$71:$AT$71,0))</f>
        <v>7.940766583314298E-3</v>
      </c>
    </row>
    <row r="616" spans="1:13" x14ac:dyDescent="0.25">
      <c r="A616" t="s">
        <v>2</v>
      </c>
      <c r="B616" t="s">
        <v>1</v>
      </c>
      <c r="D616" s="110"/>
      <c r="E616" s="110" t="s">
        <v>33</v>
      </c>
      <c r="F616" t="str">
        <f>Foderstater!Y$105</f>
        <v>sugar beet molasses</v>
      </c>
      <c r="J616" t="s">
        <v>307</v>
      </c>
      <c r="K616" s="13">
        <f>INDEX(Foderstater!$AB$72:$AT$110,MATCH(F616,Foderstater!$Y$72:$Y$110,0),MATCH(A616&amp;B616&amp;C616&amp;E616,Foderstater!$AB$71:$AT$71,0))</f>
        <v>8.8058285727207697E-2</v>
      </c>
    </row>
    <row r="617" spans="1:13" x14ac:dyDescent="0.25">
      <c r="A617" t="s">
        <v>2</v>
      </c>
      <c r="B617" t="s">
        <v>1</v>
      </c>
      <c r="D617" s="110"/>
      <c r="E617" s="110" t="s">
        <v>33</v>
      </c>
      <c r="F617" t="str">
        <f>Foderstater!Y$106</f>
        <v>sugar beet pulp</v>
      </c>
      <c r="J617" t="s">
        <v>307</v>
      </c>
      <c r="K617" s="13">
        <f>INDEX(Foderstater!$AB$72:$AT$110,MATCH(F617,Foderstater!$Y$72:$Y$110,0),MATCH(A617&amp;B617&amp;C617&amp;E617,Foderstater!$AB$71:$AT$71,0))</f>
        <v>0.16991542733333806</v>
      </c>
    </row>
    <row r="618" spans="1:13" x14ac:dyDescent="0.25">
      <c r="A618" t="s">
        <v>2</v>
      </c>
      <c r="B618" t="s">
        <v>1</v>
      </c>
      <c r="D618" s="110"/>
      <c r="E618" s="110" t="s">
        <v>33</v>
      </c>
      <c r="F618" t="str">
        <f>Foderstater!Y$107</f>
        <v>whey powder</v>
      </c>
      <c r="J618" t="s">
        <v>307</v>
      </c>
      <c r="K618" s="13">
        <f>INDEX(Foderstater!$AB$72:$AT$110,MATCH(F618,Foderstater!$Y$72:$Y$110,0),MATCH(A618&amp;B618&amp;C618&amp;E618,Foderstater!$AB$71:$AT$71,0))</f>
        <v>0</v>
      </c>
    </row>
    <row r="619" spans="1:13" x14ac:dyDescent="0.25">
      <c r="A619" t="s">
        <v>2</v>
      </c>
      <c r="B619" t="s">
        <v>1</v>
      </c>
      <c r="D619" s="110"/>
      <c r="E619" s="110" t="s">
        <v>33</v>
      </c>
      <c r="F619" t="str">
        <f>Foderstater!Y$108</f>
        <v>potatoe protein</v>
      </c>
      <c r="J619" t="s">
        <v>307</v>
      </c>
      <c r="K619" s="13">
        <f>INDEX(Foderstater!$AB$72:$AT$110,MATCH(F619,Foderstater!$Y$72:$Y$110,0),MATCH(A619&amp;B619&amp;C619&amp;E619,Foderstater!$AB$71:$AT$71,0))</f>
        <v>7.7791643684418715E-4</v>
      </c>
    </row>
    <row r="620" spans="1:13" x14ac:dyDescent="0.25">
      <c r="A620" t="s">
        <v>2</v>
      </c>
      <c r="B620" t="s">
        <v>1</v>
      </c>
      <c r="D620" s="110"/>
      <c r="E620" s="110" t="s">
        <v>33</v>
      </c>
      <c r="F620" t="str">
        <f>Foderstater!Y$109</f>
        <v>fish meal</v>
      </c>
      <c r="J620" t="s">
        <v>307</v>
      </c>
      <c r="K620" s="13">
        <f>INDEX(Foderstater!$AB$72:$AT$110,MATCH(F620,Foderstater!$Y$72:$Y$110,0),MATCH(A620&amp;B620&amp;C620&amp;E620,Foderstater!$AB$71:$AT$71,0))</f>
        <v>0</v>
      </c>
    </row>
    <row r="621" spans="1:13" x14ac:dyDescent="0.25">
      <c r="A621" t="s">
        <v>2</v>
      </c>
      <c r="B621" t="s">
        <v>1</v>
      </c>
      <c r="D621" s="110"/>
      <c r="E621" s="110" t="s">
        <v>33</v>
      </c>
      <c r="F621" t="str">
        <f>Foderstater!Y$110</f>
        <v>minerals</v>
      </c>
      <c r="J621" t="s">
        <v>307</v>
      </c>
      <c r="K621" s="13">
        <f>INDEX(Foderstater!$AB$72:$AT$110,MATCH(F621,Foderstater!$Y$72:$Y$110,0),MATCH(A621&amp;B621&amp;C621&amp;E621,Foderstater!$AB$71:$AT$71,0))</f>
        <v>0.66953698870828937</v>
      </c>
    </row>
    <row r="622" spans="1:13" x14ac:dyDescent="0.25">
      <c r="A622" s="157"/>
      <c r="B622" s="157"/>
      <c r="C622" s="157"/>
      <c r="D622" s="157"/>
      <c r="E622" s="157"/>
      <c r="J622" s="157"/>
      <c r="K622" s="157"/>
      <c r="L622" s="157"/>
      <c r="M622" s="157"/>
    </row>
    <row r="623" spans="1:13" x14ac:dyDescent="0.25">
      <c r="A623" s="157" t="s">
        <v>2</v>
      </c>
      <c r="B623" s="157" t="s">
        <v>1</v>
      </c>
      <c r="C623" s="157" t="s">
        <v>404</v>
      </c>
      <c r="D623" s="157"/>
      <c r="E623" s="157" t="s">
        <v>33</v>
      </c>
      <c r="J623" s="157" t="s">
        <v>307</v>
      </c>
      <c r="K623" s="157">
        <v>0</v>
      </c>
      <c r="L623" s="157"/>
      <c r="M623" s="157" t="s">
        <v>398</v>
      </c>
    </row>
    <row r="624" spans="1:13" x14ac:dyDescent="0.25">
      <c r="A624" t="s">
        <v>2</v>
      </c>
      <c r="B624" t="s">
        <v>1</v>
      </c>
      <c r="C624" t="s">
        <v>404</v>
      </c>
      <c r="D624" s="110"/>
      <c r="E624" s="110" t="s">
        <v>33</v>
      </c>
      <c r="F624" t="str">
        <f>Foderstater!Y$72</f>
        <v>ley silage, 1st cut</v>
      </c>
      <c r="J624" t="s">
        <v>307</v>
      </c>
      <c r="K624" s="13">
        <f>INDEX(Foderstater!$AB$72:$AT$110,MATCH(F624,Foderstater!$Y$72:$Y$110,0),MATCH(A624&amp;B624&amp;C624&amp;E624,Foderstater!$AB$71:$AT$71,0))</f>
        <v>56.668911580722877</v>
      </c>
      <c r="L624" s="157"/>
      <c r="M624" s="157"/>
    </row>
    <row r="625" spans="1:13" x14ac:dyDescent="0.25">
      <c r="A625" t="s">
        <v>2</v>
      </c>
      <c r="B625" t="s">
        <v>1</v>
      </c>
      <c r="C625" t="s">
        <v>404</v>
      </c>
      <c r="D625" s="110"/>
      <c r="E625" s="110" t="s">
        <v>33</v>
      </c>
      <c r="F625" t="str">
        <f>Foderstater!Y$73</f>
        <v>ley silage, regrowth</v>
      </c>
      <c r="J625" t="s">
        <v>307</v>
      </c>
      <c r="K625" s="13">
        <f>INDEX(Foderstater!$AB$72:$AT$110,MATCH(F625,Foderstater!$Y$72:$Y$110,0),MATCH(A625&amp;B625&amp;C625&amp;E625,Foderstater!$AB$71:$AT$71,0))</f>
        <v>0</v>
      </c>
      <c r="L625" s="157"/>
      <c r="M625" s="157"/>
    </row>
    <row r="626" spans="1:13" x14ac:dyDescent="0.25">
      <c r="A626" t="s">
        <v>2</v>
      </c>
      <c r="B626" t="s">
        <v>1</v>
      </c>
      <c r="C626" t="s">
        <v>404</v>
      </c>
      <c r="D626" s="110"/>
      <c r="E626" s="110" t="s">
        <v>33</v>
      </c>
      <c r="F626" t="str">
        <f>Foderstater!Y$74</f>
        <v>other silage</v>
      </c>
      <c r="J626" t="s">
        <v>307</v>
      </c>
      <c r="K626" s="13">
        <f>INDEX(Foderstater!$AB$72:$AT$110,MATCH(F626,Foderstater!$Y$72:$Y$110,0),MATCH(A626&amp;B626&amp;C626&amp;E626,Foderstater!$AB$71:$AT$71,0))</f>
        <v>0</v>
      </c>
      <c r="L626" s="157"/>
      <c r="M626" s="157"/>
    </row>
    <row r="627" spans="1:13" x14ac:dyDescent="0.25">
      <c r="A627" t="s">
        <v>2</v>
      </c>
      <c r="B627" t="s">
        <v>1</v>
      </c>
      <c r="C627" t="s">
        <v>404</v>
      </c>
      <c r="D627" s="110"/>
      <c r="E627" s="110" t="s">
        <v>33</v>
      </c>
      <c r="F627" t="str">
        <f>Foderstater!Y$75</f>
        <v>maize silage</v>
      </c>
      <c r="J627" t="s">
        <v>307</v>
      </c>
      <c r="K627" s="13">
        <f>INDEX(Foderstater!$AB$72:$AT$110,MATCH(F627,Foderstater!$Y$72:$Y$110,0),MATCH(A627&amp;B627&amp;C627&amp;E627,Foderstater!$AB$71:$AT$71,0))</f>
        <v>13.226790925693349</v>
      </c>
      <c r="L627" s="157"/>
      <c r="M627" s="157"/>
    </row>
    <row r="628" spans="1:13" x14ac:dyDescent="0.25">
      <c r="A628" t="s">
        <v>2</v>
      </c>
      <c r="B628" t="s">
        <v>1</v>
      </c>
      <c r="C628" t="s">
        <v>404</v>
      </c>
      <c r="D628" s="110"/>
      <c r="E628" s="110" t="s">
        <v>33</v>
      </c>
      <c r="F628" t="str">
        <f>Foderstater!Y$76</f>
        <v>straw</v>
      </c>
      <c r="J628" t="s">
        <v>307</v>
      </c>
      <c r="K628" s="13">
        <f>INDEX(Foderstater!$AB$72:$AT$110,MATCH(F628,Foderstater!$Y$72:$Y$110,0),MATCH(A628&amp;B628&amp;C628&amp;E628,Foderstater!$AB$71:$AT$71,0))</f>
        <v>0</v>
      </c>
      <c r="L628" s="157"/>
      <c r="M628" s="157"/>
    </row>
    <row r="629" spans="1:13" x14ac:dyDescent="0.25">
      <c r="A629" t="s">
        <v>2</v>
      </c>
      <c r="B629" t="s">
        <v>1</v>
      </c>
      <c r="C629" t="s">
        <v>404</v>
      </c>
      <c r="D629" s="110"/>
      <c r="E629" s="110" t="s">
        <v>33</v>
      </c>
      <c r="F629" t="str">
        <f>Foderstater!Y$77</f>
        <v>grazing</v>
      </c>
      <c r="J629" t="s">
        <v>307</v>
      </c>
      <c r="K629" s="13">
        <f>INDEX(Foderstater!$AB$72:$AT$110,MATCH(F629,Foderstater!$Y$72:$Y$110,0),MATCH(A629&amp;B629&amp;C629&amp;E629,Foderstater!$AB$71:$AT$71,0))</f>
        <v>0</v>
      </c>
      <c r="L629" s="157"/>
      <c r="M629" s="157"/>
    </row>
    <row r="630" spans="1:13" x14ac:dyDescent="0.25">
      <c r="A630" t="s">
        <v>2</v>
      </c>
      <c r="B630" t="s">
        <v>1</v>
      </c>
      <c r="C630" t="s">
        <v>404</v>
      </c>
      <c r="D630" s="110"/>
      <c r="E630" s="110" t="s">
        <v>33</v>
      </c>
      <c r="F630" t="str">
        <f>Foderstater!Y$78</f>
        <v>wheat</v>
      </c>
      <c r="J630" t="s">
        <v>307</v>
      </c>
      <c r="K630" s="13">
        <f>INDEX(Foderstater!$AB$72:$AT$110,MATCH(F630,Foderstater!$Y$72:$Y$110,0),MATCH(A630&amp;B630&amp;C630&amp;E630,Foderstater!$AB$71:$AT$71,0))</f>
        <v>6.3615760162052783</v>
      </c>
      <c r="L630" s="157"/>
      <c r="M630" s="157"/>
    </row>
    <row r="631" spans="1:13" x14ac:dyDescent="0.25">
      <c r="A631" t="s">
        <v>2</v>
      </c>
      <c r="B631" t="s">
        <v>1</v>
      </c>
      <c r="C631" t="s">
        <v>404</v>
      </c>
      <c r="D631" s="110"/>
      <c r="E631" s="110" t="s">
        <v>33</v>
      </c>
      <c r="F631" t="str">
        <f>Foderstater!Y$79</f>
        <v>barley</v>
      </c>
      <c r="J631" t="s">
        <v>307</v>
      </c>
      <c r="K631" s="13">
        <f>INDEX(Foderstater!$AB$72:$AT$110,MATCH(F631,Foderstater!$Y$72:$Y$110,0),MATCH(A631&amp;B631&amp;C631&amp;E631,Foderstater!$AB$71:$AT$71,0))</f>
        <v>12.896189928777954</v>
      </c>
      <c r="L631" s="157"/>
      <c r="M631" s="157"/>
    </row>
    <row r="632" spans="1:13" x14ac:dyDescent="0.25">
      <c r="A632" t="s">
        <v>2</v>
      </c>
      <c r="B632" t="s">
        <v>1</v>
      </c>
      <c r="C632" t="s">
        <v>404</v>
      </c>
      <c r="D632" s="110"/>
      <c r="E632" s="110" t="s">
        <v>33</v>
      </c>
      <c r="F632" t="str">
        <f>Foderstater!Y$80</f>
        <v>oats</v>
      </c>
      <c r="J632" t="s">
        <v>307</v>
      </c>
      <c r="K632" s="13">
        <f>INDEX(Foderstater!$AB$72:$AT$110,MATCH(F632,Foderstater!$Y$72:$Y$110,0),MATCH(A632&amp;B632&amp;C632&amp;E632,Foderstater!$AB$71:$AT$71,0))</f>
        <v>2.68903535703005</v>
      </c>
      <c r="L632" s="157"/>
      <c r="M632" s="157"/>
    </row>
    <row r="633" spans="1:13" x14ac:dyDescent="0.25">
      <c r="A633" t="s">
        <v>2</v>
      </c>
      <c r="B633" t="s">
        <v>1</v>
      </c>
      <c r="C633" t="s">
        <v>404</v>
      </c>
      <c r="D633" s="110"/>
      <c r="E633" s="110" t="s">
        <v>33</v>
      </c>
      <c r="F633" t="str">
        <f>Foderstater!Y$81</f>
        <v>triticale</v>
      </c>
      <c r="J633" t="s">
        <v>307</v>
      </c>
      <c r="K633" s="13">
        <f>INDEX(Foderstater!$AB$72:$AT$110,MATCH(F633,Foderstater!$Y$72:$Y$110,0),MATCH(A633&amp;B633&amp;C633&amp;E633,Foderstater!$AB$71:$AT$71,0))</f>
        <v>4.9410321920692617</v>
      </c>
      <c r="L633" s="157"/>
      <c r="M633" s="157"/>
    </row>
    <row r="634" spans="1:13" x14ac:dyDescent="0.25">
      <c r="A634" t="s">
        <v>2</v>
      </c>
      <c r="B634" t="s">
        <v>1</v>
      </c>
      <c r="C634" t="s">
        <v>404</v>
      </c>
      <c r="D634" s="110"/>
      <c r="E634" s="110" t="s">
        <v>33</v>
      </c>
      <c r="F634" t="str">
        <f>Foderstater!Y$82</f>
        <v>rye</v>
      </c>
      <c r="J634" t="s">
        <v>307</v>
      </c>
      <c r="K634" s="13">
        <f>INDEX(Foderstater!$AB$72:$AT$110,MATCH(F634,Foderstater!$Y$72:$Y$110,0),MATCH(A634&amp;B634&amp;C634&amp;E634,Foderstater!$AB$71:$AT$71,0))</f>
        <v>1.3668084713412143E-3</v>
      </c>
      <c r="L634" s="157"/>
      <c r="M634" s="157"/>
    </row>
    <row r="635" spans="1:13" x14ac:dyDescent="0.25">
      <c r="A635" t="s">
        <v>2</v>
      </c>
      <c r="B635" t="s">
        <v>1</v>
      </c>
      <c r="C635" t="s">
        <v>404</v>
      </c>
      <c r="D635" s="110"/>
      <c r="E635" s="110" t="s">
        <v>33</v>
      </c>
      <c r="F635" t="str">
        <f>Foderstater!Y$83</f>
        <v>maize</v>
      </c>
      <c r="J635" t="s">
        <v>307</v>
      </c>
      <c r="K635" s="13">
        <f>INDEX(Foderstater!$AB$72:$AT$110,MATCH(F635,Foderstater!$Y$72:$Y$110,0),MATCH(A635&amp;B635&amp;C635&amp;E635,Foderstater!$AB$71:$AT$71,0))</f>
        <v>4.8255588786707375E-2</v>
      </c>
      <c r="L635" s="157"/>
      <c r="M635" s="157"/>
    </row>
    <row r="636" spans="1:13" x14ac:dyDescent="0.25">
      <c r="A636" t="s">
        <v>2</v>
      </c>
      <c r="B636" t="s">
        <v>1</v>
      </c>
      <c r="C636" t="s">
        <v>404</v>
      </c>
      <c r="D636" s="110"/>
      <c r="E636" s="110" t="s">
        <v>33</v>
      </c>
      <c r="F636" t="str">
        <f>Foderstater!Y$84</f>
        <v>peas</v>
      </c>
      <c r="J636" t="s">
        <v>307</v>
      </c>
      <c r="K636" s="13">
        <f>INDEX(Foderstater!$AB$72:$AT$110,MATCH(F636,Foderstater!$Y$72:$Y$110,0),MATCH(A636&amp;B636&amp;C636&amp;E636,Foderstater!$AB$71:$AT$71,0))</f>
        <v>0.43086866195785822</v>
      </c>
      <c r="L636" s="157"/>
      <c r="M636" s="157"/>
    </row>
    <row r="637" spans="1:13" x14ac:dyDescent="0.25">
      <c r="A637" t="s">
        <v>2</v>
      </c>
      <c r="B637" t="s">
        <v>1</v>
      </c>
      <c r="C637" t="s">
        <v>404</v>
      </c>
      <c r="D637" s="110"/>
      <c r="E637" s="110" t="s">
        <v>33</v>
      </c>
      <c r="F637" t="str">
        <f>Foderstater!Y$85</f>
        <v>broad beans</v>
      </c>
      <c r="J637" t="s">
        <v>307</v>
      </c>
      <c r="K637" s="13">
        <f>INDEX(Foderstater!$AB$72:$AT$110,MATCH(F637,Foderstater!$Y$72:$Y$110,0),MATCH(A637&amp;B637&amp;C637&amp;E637,Foderstater!$AB$71:$AT$71,0))</f>
        <v>0.42774566708132739</v>
      </c>
      <c r="L637" s="157"/>
      <c r="M637" s="157"/>
    </row>
    <row r="638" spans="1:13" x14ac:dyDescent="0.25">
      <c r="A638" t="s">
        <v>2</v>
      </c>
      <c r="B638" t="s">
        <v>1</v>
      </c>
      <c r="C638" t="s">
        <v>404</v>
      </c>
      <c r="D638" s="110"/>
      <c r="E638" s="110" t="s">
        <v>33</v>
      </c>
      <c r="F638" t="str">
        <f>Foderstater!Y$86</f>
        <v>rapeseed</v>
      </c>
      <c r="J638" t="s">
        <v>307</v>
      </c>
      <c r="K638" s="13">
        <f>INDEX(Foderstater!$AB$72:$AT$110,MATCH(F638,Foderstater!$Y$72:$Y$110,0),MATCH(A638&amp;B638&amp;C638&amp;E638,Foderstater!$AB$71:$AT$71,0))</f>
        <v>0.41024818659446338</v>
      </c>
      <c r="L638" s="157"/>
      <c r="M638" s="157"/>
    </row>
    <row r="639" spans="1:13" x14ac:dyDescent="0.25">
      <c r="A639" t="s">
        <v>2</v>
      </c>
      <c r="B639" t="s">
        <v>1</v>
      </c>
      <c r="C639" t="s">
        <v>404</v>
      </c>
      <c r="D639" s="110"/>
      <c r="E639" s="110" t="s">
        <v>33</v>
      </c>
      <c r="F639" t="str">
        <f>Foderstater!Y$87</f>
        <v>linseed</v>
      </c>
      <c r="J639" t="s">
        <v>307</v>
      </c>
      <c r="K639" s="13">
        <f>INDEX(Foderstater!$AB$72:$AT$110,MATCH(F639,Foderstater!$Y$72:$Y$110,0),MATCH(A639&amp;B639&amp;C639&amp;E639,Foderstater!$AB$71:$AT$71,0))</f>
        <v>3.0262318054907772E-4</v>
      </c>
      <c r="L639" s="157"/>
      <c r="M639" s="157"/>
    </row>
    <row r="640" spans="1:13" x14ac:dyDescent="0.25">
      <c r="A640" t="s">
        <v>2</v>
      </c>
      <c r="B640" t="s">
        <v>1</v>
      </c>
      <c r="C640" t="s">
        <v>404</v>
      </c>
      <c r="D640" s="110"/>
      <c r="E640" s="110" t="s">
        <v>33</v>
      </c>
      <c r="F640" t="str">
        <f>Foderstater!Y$88</f>
        <v>vegetable oils</v>
      </c>
      <c r="J640" t="s">
        <v>307</v>
      </c>
      <c r="K640" s="13">
        <f>INDEX(Foderstater!$AB$72:$AT$110,MATCH(F640,Foderstater!$Y$72:$Y$110,0),MATCH(A640&amp;B640&amp;C640&amp;E640,Foderstater!$AB$71:$AT$71,0))</f>
        <v>7.8128041579790201E-3</v>
      </c>
      <c r="L640" s="157"/>
      <c r="M640" s="157"/>
    </row>
    <row r="641" spans="1:13" x14ac:dyDescent="0.25">
      <c r="A641" t="s">
        <v>2</v>
      </c>
      <c r="B641" t="s">
        <v>1</v>
      </c>
      <c r="C641" t="s">
        <v>404</v>
      </c>
      <c r="D641" s="110"/>
      <c r="E641" s="110" t="s">
        <v>33</v>
      </c>
      <c r="F641" t="str">
        <f>Foderstater!Y$89</f>
        <v>soybeans</v>
      </c>
      <c r="J641" t="s">
        <v>307</v>
      </c>
      <c r="K641" s="13">
        <f>INDEX(Foderstater!$AB$72:$AT$110,MATCH(F641,Foderstater!$Y$72:$Y$110,0),MATCH(A641&amp;B641&amp;C641&amp;E641,Foderstater!$AB$71:$AT$71,0))</f>
        <v>7.6349102327017302E-3</v>
      </c>
      <c r="L641" s="157"/>
      <c r="M641" s="157"/>
    </row>
    <row r="642" spans="1:13" x14ac:dyDescent="0.25">
      <c r="A642" t="s">
        <v>2</v>
      </c>
      <c r="B642" t="s">
        <v>1</v>
      </c>
      <c r="C642" t="s">
        <v>404</v>
      </c>
      <c r="D642" s="110"/>
      <c r="E642" s="110" t="s">
        <v>33</v>
      </c>
      <c r="F642" t="str">
        <f>Foderstater!Y$90</f>
        <v>soybean meal</v>
      </c>
      <c r="J642" t="s">
        <v>307</v>
      </c>
      <c r="K642" s="13">
        <f>INDEX(Foderstater!$AB$72:$AT$110,MATCH(F642,Foderstater!$Y$72:$Y$110,0),MATCH(A642&amp;B642&amp;C642&amp;E642,Foderstater!$AB$71:$AT$71,0))</f>
        <v>6.9742072143510206E-2</v>
      </c>
      <c r="L642" s="157"/>
      <c r="M642" s="157"/>
    </row>
    <row r="643" spans="1:13" x14ac:dyDescent="0.25">
      <c r="A643" t="s">
        <v>2</v>
      </c>
      <c r="B643" t="s">
        <v>1</v>
      </c>
      <c r="C643" t="s">
        <v>404</v>
      </c>
      <c r="D643" s="110"/>
      <c r="E643" s="110" t="s">
        <v>33</v>
      </c>
      <c r="F643" t="str">
        <f>Foderstater!Y$91</f>
        <v>soybean protein concentrate</v>
      </c>
      <c r="J643" t="s">
        <v>307</v>
      </c>
      <c r="K643" s="13">
        <f>INDEX(Foderstater!$AB$72:$AT$110,MATCH(F643,Foderstater!$Y$72:$Y$110,0),MATCH(A643&amp;B643&amp;C643&amp;E643,Foderstater!$AB$71:$AT$71,0))</f>
        <v>0</v>
      </c>
      <c r="L643" s="157"/>
      <c r="M643" s="157"/>
    </row>
    <row r="644" spans="1:13" x14ac:dyDescent="0.25">
      <c r="A644" t="s">
        <v>2</v>
      </c>
      <c r="B644" t="s">
        <v>1</v>
      </c>
      <c r="C644" t="s">
        <v>404</v>
      </c>
      <c r="D644" s="110"/>
      <c r="E644" s="110" t="s">
        <v>33</v>
      </c>
      <c r="F644" t="str">
        <f>Foderstater!Y$92</f>
        <v>rapeseed meal</v>
      </c>
      <c r="J644" t="s">
        <v>307</v>
      </c>
      <c r="K644" s="13">
        <f>INDEX(Foderstater!$AB$72:$AT$110,MATCH(F644,Foderstater!$Y$72:$Y$110,0),MATCH(A644&amp;B644&amp;C644&amp;E644,Foderstater!$AB$71:$AT$71,0))</f>
        <v>0.53866215040479692</v>
      </c>
      <c r="L644" s="157"/>
      <c r="M644" s="157"/>
    </row>
    <row r="645" spans="1:13" x14ac:dyDescent="0.25">
      <c r="A645" t="s">
        <v>2</v>
      </c>
      <c r="B645" t="s">
        <v>1</v>
      </c>
      <c r="C645" t="s">
        <v>404</v>
      </c>
      <c r="D645" s="110"/>
      <c r="E645" s="110" t="s">
        <v>33</v>
      </c>
      <c r="F645" t="str">
        <f>Foderstater!Y$93</f>
        <v>rapeseed cake</v>
      </c>
      <c r="J645" t="s">
        <v>307</v>
      </c>
      <c r="K645" s="13">
        <f>INDEX(Foderstater!$AB$72:$AT$110,MATCH(F645,Foderstater!$Y$72:$Y$110,0),MATCH(A645&amp;B645&amp;C645&amp;E645,Foderstater!$AB$71:$AT$71,0))</f>
        <v>0</v>
      </c>
      <c r="L645" s="157"/>
      <c r="M645" s="157"/>
    </row>
    <row r="646" spans="1:13" x14ac:dyDescent="0.25">
      <c r="A646" t="s">
        <v>2</v>
      </c>
      <c r="B646" t="s">
        <v>1</v>
      </c>
      <c r="C646" t="s">
        <v>404</v>
      </c>
      <c r="D646" s="110"/>
      <c r="E646" s="110" t="s">
        <v>33</v>
      </c>
      <c r="F646" t="str">
        <f>Foderstater!Y$94</f>
        <v>sunflower seed meal</v>
      </c>
      <c r="J646" t="s">
        <v>307</v>
      </c>
      <c r="K646" s="13">
        <f>INDEX(Foderstater!$AB$72:$AT$110,MATCH(F646,Foderstater!$Y$72:$Y$110,0),MATCH(A646&amp;B646&amp;C646&amp;E646,Foderstater!$AB$71:$AT$71,0))</f>
        <v>7.441096219600373E-3</v>
      </c>
    </row>
    <row r="647" spans="1:13" x14ac:dyDescent="0.25">
      <c r="A647" t="s">
        <v>2</v>
      </c>
      <c r="B647" t="s">
        <v>1</v>
      </c>
      <c r="C647" t="s">
        <v>404</v>
      </c>
      <c r="D647" s="110"/>
      <c r="E647" s="110" t="s">
        <v>33</v>
      </c>
      <c r="F647" t="str">
        <f>Foderstater!Y$95</f>
        <v>palm kernel expeller</v>
      </c>
      <c r="J647" t="s">
        <v>307</v>
      </c>
      <c r="K647" s="13">
        <f>INDEX(Foderstater!$AB$72:$AT$110,MATCH(F647,Foderstater!$Y$72:$Y$110,0),MATCH(A647&amp;B647&amp;C647&amp;E647,Foderstater!$AB$71:$AT$71,0))</f>
        <v>4.8351641667911303E-2</v>
      </c>
    </row>
    <row r="648" spans="1:13" x14ac:dyDescent="0.25">
      <c r="A648" t="s">
        <v>2</v>
      </c>
      <c r="B648" t="s">
        <v>1</v>
      </c>
      <c r="C648" t="s">
        <v>404</v>
      </c>
      <c r="D648" s="110"/>
      <c r="E648" s="110" t="s">
        <v>33</v>
      </c>
      <c r="F648" t="str">
        <f>Foderstater!Y$96</f>
        <v>luzern meal</v>
      </c>
      <c r="J648" t="s">
        <v>307</v>
      </c>
      <c r="K648" s="13">
        <f>INDEX(Foderstater!$AB$72:$AT$110,MATCH(F648,Foderstater!$Y$72:$Y$110,0),MATCH(A648&amp;B648&amp;C648&amp;E648,Foderstater!$AB$71:$AT$71,0))</f>
        <v>1.4708038471063079E-2</v>
      </c>
    </row>
    <row r="649" spans="1:13" x14ac:dyDescent="0.25">
      <c r="A649" t="s">
        <v>2</v>
      </c>
      <c r="B649" t="s">
        <v>1</v>
      </c>
      <c r="C649" t="s">
        <v>404</v>
      </c>
      <c r="D649" s="110"/>
      <c r="E649" s="110" t="s">
        <v>33</v>
      </c>
      <c r="F649" t="str">
        <f>Foderstater!Y$97</f>
        <v>wheat bran</v>
      </c>
      <c r="J649" t="s">
        <v>307</v>
      </c>
      <c r="K649" s="13">
        <f>INDEX(Foderstater!$AB$72:$AT$110,MATCH(F649,Foderstater!$Y$72:$Y$110,0),MATCH(A649&amp;B649&amp;C649&amp;E649,Foderstater!$AB$71:$AT$71,0))</f>
        <v>0.16024605474932127</v>
      </c>
    </row>
    <row r="650" spans="1:13" x14ac:dyDescent="0.25">
      <c r="A650" t="s">
        <v>2</v>
      </c>
      <c r="B650" t="s">
        <v>1</v>
      </c>
      <c r="C650" t="s">
        <v>404</v>
      </c>
      <c r="D650" s="110"/>
      <c r="E650" s="110" t="s">
        <v>33</v>
      </c>
      <c r="F650" t="str">
        <f>Foderstater!Y$98</f>
        <v>wheat bran, fine</v>
      </c>
      <c r="J650" t="s">
        <v>307</v>
      </c>
      <c r="K650" s="13">
        <f>INDEX(Foderstater!$AB$72:$AT$110,MATCH(F650,Foderstater!$Y$72:$Y$110,0),MATCH(A650&amp;B650&amp;C650&amp;E650,Foderstater!$AB$71:$AT$71,0))</f>
        <v>4.2007468138700703E-4</v>
      </c>
    </row>
    <row r="651" spans="1:13" x14ac:dyDescent="0.25">
      <c r="A651" t="s">
        <v>2</v>
      </c>
      <c r="B651" t="s">
        <v>1</v>
      </c>
      <c r="C651" t="s">
        <v>404</v>
      </c>
      <c r="D651" s="110"/>
      <c r="E651" s="110" t="s">
        <v>33</v>
      </c>
      <c r="F651" t="str">
        <f>Foderstater!Y$99</f>
        <v>oat hulls</v>
      </c>
      <c r="J651" t="s">
        <v>307</v>
      </c>
      <c r="K651" s="13">
        <f>INDEX(Foderstater!$AB$72:$AT$110,MATCH(F651,Foderstater!$Y$72:$Y$110,0),MATCH(A651&amp;B651&amp;C651&amp;E651,Foderstater!$AB$71:$AT$71,0))</f>
        <v>1.9300079142998843E-2</v>
      </c>
    </row>
    <row r="652" spans="1:13" x14ac:dyDescent="0.25">
      <c r="A652" t="s">
        <v>2</v>
      </c>
      <c r="B652" t="s">
        <v>1</v>
      </c>
      <c r="C652" t="s">
        <v>404</v>
      </c>
      <c r="D652" s="110"/>
      <c r="E652" s="110" t="s">
        <v>33</v>
      </c>
      <c r="F652" t="str">
        <f>Foderstater!Y$100</f>
        <v>oat bran</v>
      </c>
      <c r="J652" t="s">
        <v>307</v>
      </c>
      <c r="K652" s="13">
        <f>INDEX(Foderstater!$AB$72:$AT$110,MATCH(F652,Foderstater!$Y$72:$Y$110,0),MATCH(A652&amp;B652&amp;C652&amp;E652,Foderstater!$AB$71:$AT$71,0))</f>
        <v>2.178231902054312E-3</v>
      </c>
    </row>
    <row r="653" spans="1:13" x14ac:dyDescent="0.25">
      <c r="A653" t="s">
        <v>2</v>
      </c>
      <c r="B653" t="s">
        <v>1</v>
      </c>
      <c r="C653" t="s">
        <v>404</v>
      </c>
      <c r="D653" s="110"/>
      <c r="E653" s="110" t="s">
        <v>33</v>
      </c>
      <c r="F653" t="str">
        <f>Foderstater!Y$101</f>
        <v>rye bran</v>
      </c>
      <c r="J653" t="s">
        <v>307</v>
      </c>
      <c r="K653" s="13">
        <f>INDEX(Foderstater!$AB$72:$AT$110,MATCH(F653,Foderstater!$Y$72:$Y$110,0),MATCH(A653&amp;B653&amp;C653&amp;E653,Foderstater!$AB$71:$AT$71,0))</f>
        <v>6.7176907982054394E-3</v>
      </c>
    </row>
    <row r="654" spans="1:13" x14ac:dyDescent="0.25">
      <c r="A654" t="s">
        <v>2</v>
      </c>
      <c r="B654" t="s">
        <v>1</v>
      </c>
      <c r="C654" t="s">
        <v>404</v>
      </c>
      <c r="D654" s="110"/>
      <c r="E654" s="110" t="s">
        <v>33</v>
      </c>
      <c r="F654" t="str">
        <f>Foderstater!Y$102</f>
        <v>wheat distillers grain, dry</v>
      </c>
      <c r="J654" t="s">
        <v>307</v>
      </c>
      <c r="K654" s="13">
        <f>INDEX(Foderstater!$AB$72:$AT$110,MATCH(F654,Foderstater!$Y$72:$Y$110,0),MATCH(A654&amp;B654&amp;C654&amp;E654,Foderstater!$AB$71:$AT$71,0))</f>
        <v>0.17224928546106344</v>
      </c>
    </row>
    <row r="655" spans="1:13" x14ac:dyDescent="0.25">
      <c r="A655" t="s">
        <v>2</v>
      </c>
      <c r="B655" t="s">
        <v>1</v>
      </c>
      <c r="C655" t="s">
        <v>404</v>
      </c>
      <c r="D655" s="110"/>
      <c r="E655" s="110" t="s">
        <v>33</v>
      </c>
      <c r="F655" t="str">
        <f>Foderstater!Y$103</f>
        <v>barley brewers grain</v>
      </c>
      <c r="J655" t="s">
        <v>307</v>
      </c>
      <c r="K655" s="13">
        <f>INDEX(Foderstater!$AB$72:$AT$110,MATCH(F655,Foderstater!$Y$72:$Y$110,0),MATCH(A655&amp;B655&amp;C655&amp;E655,Foderstater!$AB$71:$AT$71,0))</f>
        <v>0</v>
      </c>
    </row>
    <row r="656" spans="1:13" x14ac:dyDescent="0.25">
      <c r="A656" t="s">
        <v>2</v>
      </c>
      <c r="B656" t="s">
        <v>1</v>
      </c>
      <c r="C656" t="s">
        <v>404</v>
      </c>
      <c r="D656" s="110"/>
      <c r="E656" s="110" t="s">
        <v>33</v>
      </c>
      <c r="F656" t="str">
        <f>Foderstater!Y$104</f>
        <v>maize gluten meal</v>
      </c>
      <c r="J656" t="s">
        <v>307</v>
      </c>
      <c r="K656" s="13">
        <f>INDEX(Foderstater!$AB$72:$AT$110,MATCH(F656,Foderstater!$Y$72:$Y$110,0),MATCH(A656&amp;B656&amp;C656&amp;E656,Foderstater!$AB$71:$AT$71,0))</f>
        <v>5.2048326492629164E-3</v>
      </c>
    </row>
    <row r="657" spans="1:13" x14ac:dyDescent="0.25">
      <c r="A657" t="s">
        <v>2</v>
      </c>
      <c r="B657" t="s">
        <v>1</v>
      </c>
      <c r="C657" t="s">
        <v>404</v>
      </c>
      <c r="D657" s="110"/>
      <c r="E657" s="110" t="s">
        <v>33</v>
      </c>
      <c r="F657" t="str">
        <f>Foderstater!Y$105</f>
        <v>sugar beet molasses</v>
      </c>
      <c r="J657" t="s">
        <v>307</v>
      </c>
      <c r="K657" s="13">
        <f>INDEX(Foderstater!$AB$72:$AT$110,MATCH(F657,Foderstater!$Y$72:$Y$110,0),MATCH(A657&amp;B657&amp;C657&amp;E657,Foderstater!$AB$71:$AT$71,0))</f>
        <v>5.7718437607039867E-2</v>
      </c>
    </row>
    <row r="658" spans="1:13" x14ac:dyDescent="0.25">
      <c r="A658" t="s">
        <v>2</v>
      </c>
      <c r="B658" t="s">
        <v>1</v>
      </c>
      <c r="C658" t="s">
        <v>404</v>
      </c>
      <c r="D658" s="110"/>
      <c r="E658" s="110" t="s">
        <v>33</v>
      </c>
      <c r="F658" t="str">
        <f>Foderstater!Y$106</f>
        <v>sugar beet pulp</v>
      </c>
      <c r="J658" t="s">
        <v>307</v>
      </c>
      <c r="K658" s="13">
        <f>INDEX(Foderstater!$AB$72:$AT$110,MATCH(F658,Foderstater!$Y$72:$Y$110,0),MATCH(A658&amp;B658&amp;C658&amp;E658,Foderstater!$AB$71:$AT$71,0))</f>
        <v>0.11137229063707067</v>
      </c>
    </row>
    <row r="659" spans="1:13" x14ac:dyDescent="0.25">
      <c r="A659" t="s">
        <v>2</v>
      </c>
      <c r="B659" t="s">
        <v>1</v>
      </c>
      <c r="C659" t="s">
        <v>404</v>
      </c>
      <c r="D659" s="110"/>
      <c r="E659" s="110" t="s">
        <v>33</v>
      </c>
      <c r="F659" t="str">
        <f>Foderstater!Y$107</f>
        <v>whey powder</v>
      </c>
      <c r="J659" t="s">
        <v>307</v>
      </c>
      <c r="K659" s="13">
        <f>INDEX(Foderstater!$AB$72:$AT$110,MATCH(F659,Foderstater!$Y$72:$Y$110,0),MATCH(A659&amp;B659&amp;C659&amp;E659,Foderstater!$AB$71:$AT$71,0))</f>
        <v>0</v>
      </c>
    </row>
    <row r="660" spans="1:13" x14ac:dyDescent="0.25">
      <c r="A660" t="s">
        <v>2</v>
      </c>
      <c r="B660" t="s">
        <v>1</v>
      </c>
      <c r="C660" t="s">
        <v>404</v>
      </c>
      <c r="D660" s="110"/>
      <c r="E660" s="110" t="s">
        <v>33</v>
      </c>
      <c r="F660" t="str">
        <f>Foderstater!Y$108</f>
        <v>potatoe protein</v>
      </c>
      <c r="J660" t="s">
        <v>307</v>
      </c>
      <c r="K660" s="13">
        <f>INDEX(Foderstater!$AB$72:$AT$110,MATCH(F660,Foderstater!$Y$72:$Y$110,0),MATCH(A660&amp;B660&amp;C660&amp;E660,Foderstater!$AB$71:$AT$71,0))</f>
        <v>5.0989093136080688E-4</v>
      </c>
    </row>
    <row r="661" spans="1:13" x14ac:dyDescent="0.25">
      <c r="A661" t="s">
        <v>2</v>
      </c>
      <c r="B661" t="s">
        <v>1</v>
      </c>
      <c r="C661" t="s">
        <v>404</v>
      </c>
      <c r="D661" s="110"/>
      <c r="E661" s="110" t="s">
        <v>33</v>
      </c>
      <c r="F661" t="str">
        <f>Foderstater!Y$109</f>
        <v>fish meal</v>
      </c>
      <c r="J661" t="s">
        <v>307</v>
      </c>
      <c r="K661" s="13">
        <f>INDEX(Foderstater!$AB$72:$AT$110,MATCH(F661,Foderstater!$Y$72:$Y$110,0),MATCH(A661&amp;B661&amp;C661&amp;E661,Foderstater!$AB$71:$AT$71,0))</f>
        <v>0</v>
      </c>
    </row>
    <row r="662" spans="1:13" x14ac:dyDescent="0.25">
      <c r="A662" t="s">
        <v>2</v>
      </c>
      <c r="B662" t="s">
        <v>1</v>
      </c>
      <c r="C662" t="s">
        <v>404</v>
      </c>
      <c r="D662" s="110"/>
      <c r="E662" s="110" t="s">
        <v>33</v>
      </c>
      <c r="F662" t="str">
        <f>Foderstater!Y$110</f>
        <v>minerals</v>
      </c>
      <c r="J662" t="s">
        <v>307</v>
      </c>
      <c r="K662" s="13">
        <f>INDEX(Foderstater!$AB$72:$AT$110,MATCH(F662,Foderstater!$Y$72:$Y$110,0),MATCH(A662&amp;B662&amp;C662&amp;E662,Foderstater!$AB$71:$AT$71,0))</f>
        <v>0.66740688157168271</v>
      </c>
    </row>
    <row r="664" spans="1:13" x14ac:dyDescent="0.25">
      <c r="A664" s="157" t="s">
        <v>2</v>
      </c>
      <c r="B664" s="157" t="s">
        <v>5</v>
      </c>
      <c r="C664" s="157"/>
      <c r="D664" s="157"/>
      <c r="E664" s="157" t="s">
        <v>33</v>
      </c>
      <c r="J664" s="157" t="s">
        <v>307</v>
      </c>
      <c r="K664" s="157">
        <v>0</v>
      </c>
      <c r="L664" s="157"/>
      <c r="M664" s="157" t="s">
        <v>398</v>
      </c>
    </row>
    <row r="665" spans="1:13" x14ac:dyDescent="0.25">
      <c r="A665" t="s">
        <v>2</v>
      </c>
      <c r="B665" t="s">
        <v>5</v>
      </c>
      <c r="D665" s="110"/>
      <c r="E665" s="110" t="s">
        <v>33</v>
      </c>
      <c r="F665" t="str">
        <f>Foderstater!Y$72</f>
        <v>ley silage, 1st cut</v>
      </c>
      <c r="J665" t="s">
        <v>307</v>
      </c>
      <c r="K665" s="13">
        <f>INDEX(Foderstater!$AB$72:$AT$110,MATCH(F665,Foderstater!$Y$72:$Y$110,0),MATCH(A665&amp;B665&amp;C665&amp;E665,Foderstater!$AB$71:$AT$71,0))</f>
        <v>0</v>
      </c>
      <c r="L665" s="157"/>
      <c r="M665" s="157"/>
    </row>
    <row r="666" spans="1:13" x14ac:dyDescent="0.25">
      <c r="A666" t="s">
        <v>2</v>
      </c>
      <c r="B666" t="s">
        <v>5</v>
      </c>
      <c r="D666" s="110"/>
      <c r="E666" s="110" t="s">
        <v>33</v>
      </c>
      <c r="F666" t="str">
        <f>Foderstater!Y$73</f>
        <v>ley silage, regrowth</v>
      </c>
      <c r="J666" t="s">
        <v>307</v>
      </c>
      <c r="K666" s="13">
        <f>INDEX(Foderstater!$AB$72:$AT$110,MATCH(F666,Foderstater!$Y$72:$Y$110,0),MATCH(A666&amp;B666&amp;C666&amp;E666,Foderstater!$AB$71:$AT$71,0))</f>
        <v>80.98040465416021</v>
      </c>
      <c r="L666" s="157"/>
      <c r="M666" s="157"/>
    </row>
    <row r="667" spans="1:13" x14ac:dyDescent="0.25">
      <c r="A667" t="s">
        <v>2</v>
      </c>
      <c r="B667" t="s">
        <v>5</v>
      </c>
      <c r="D667" s="110"/>
      <c r="E667" s="110" t="s">
        <v>33</v>
      </c>
      <c r="F667" t="str">
        <f>Foderstater!Y$74</f>
        <v>other silage</v>
      </c>
      <c r="J667" t="s">
        <v>307</v>
      </c>
      <c r="K667" s="13">
        <f>INDEX(Foderstater!$AB$72:$AT$110,MATCH(F667,Foderstater!$Y$72:$Y$110,0),MATCH(A667&amp;B667&amp;C667&amp;E667,Foderstater!$AB$71:$AT$71,0))</f>
        <v>0</v>
      </c>
      <c r="L667" s="157"/>
      <c r="M667" s="157"/>
    </row>
    <row r="668" spans="1:13" x14ac:dyDescent="0.25">
      <c r="A668" t="s">
        <v>2</v>
      </c>
      <c r="B668" t="s">
        <v>5</v>
      </c>
      <c r="D668" s="110"/>
      <c r="E668" s="110" t="s">
        <v>33</v>
      </c>
      <c r="F668" t="str">
        <f>Foderstater!Y$75</f>
        <v>maize silage</v>
      </c>
      <c r="J668" t="s">
        <v>307</v>
      </c>
      <c r="K668" s="13">
        <f>INDEX(Foderstater!$AB$72:$AT$110,MATCH(F668,Foderstater!$Y$72:$Y$110,0),MATCH(A668&amp;B668&amp;C668&amp;E668,Foderstater!$AB$71:$AT$71,0))</f>
        <v>0</v>
      </c>
      <c r="L668" s="157"/>
      <c r="M668" s="157"/>
    </row>
    <row r="669" spans="1:13" x14ac:dyDescent="0.25">
      <c r="A669" t="s">
        <v>2</v>
      </c>
      <c r="B669" t="s">
        <v>5</v>
      </c>
      <c r="D669" s="110"/>
      <c r="E669" s="110" t="s">
        <v>33</v>
      </c>
      <c r="F669" t="str">
        <f>Foderstater!Y$76</f>
        <v>straw</v>
      </c>
      <c r="J669" t="s">
        <v>307</v>
      </c>
      <c r="K669" s="13">
        <f>INDEX(Foderstater!$AB$72:$AT$110,MATCH(F669,Foderstater!$Y$72:$Y$110,0),MATCH(A669&amp;B669&amp;C669&amp;E669,Foderstater!$AB$71:$AT$71,0))</f>
        <v>0</v>
      </c>
      <c r="L669" s="157"/>
      <c r="M669" s="157"/>
    </row>
    <row r="670" spans="1:13" x14ac:dyDescent="0.25">
      <c r="A670" t="s">
        <v>2</v>
      </c>
      <c r="B670" t="s">
        <v>5</v>
      </c>
      <c r="D670" s="110"/>
      <c r="E670" s="110" t="s">
        <v>33</v>
      </c>
      <c r="F670" t="str">
        <f>Foderstater!Y$77</f>
        <v>grazing</v>
      </c>
      <c r="J670" t="s">
        <v>307</v>
      </c>
      <c r="K670" s="13">
        <f>INDEX(Foderstater!$AB$72:$AT$110,MATCH(F670,Foderstater!$Y$72:$Y$110,0),MATCH(A670&amp;B670&amp;C670&amp;E670,Foderstater!$AB$71:$AT$71,0))</f>
        <v>0</v>
      </c>
      <c r="L670" s="157"/>
      <c r="M670" s="157"/>
    </row>
    <row r="671" spans="1:13" x14ac:dyDescent="0.25">
      <c r="A671" t="s">
        <v>2</v>
      </c>
      <c r="B671" t="s">
        <v>5</v>
      </c>
      <c r="D671" s="110"/>
      <c r="E671" s="110" t="s">
        <v>33</v>
      </c>
      <c r="F671" t="str">
        <f>Foderstater!Y$78</f>
        <v>wheat</v>
      </c>
      <c r="J671" t="s">
        <v>307</v>
      </c>
      <c r="K671" s="13">
        <f>INDEX(Foderstater!$AB$72:$AT$110,MATCH(F671,Foderstater!$Y$72:$Y$110,0),MATCH(A671&amp;B671&amp;C671&amp;E671,Foderstater!$AB$71:$AT$71,0))</f>
        <v>4.342202034998115</v>
      </c>
      <c r="L671" s="157"/>
      <c r="M671" s="157"/>
    </row>
    <row r="672" spans="1:13" x14ac:dyDescent="0.25">
      <c r="A672" t="s">
        <v>2</v>
      </c>
      <c r="B672" t="s">
        <v>5</v>
      </c>
      <c r="D672" s="110"/>
      <c r="E672" s="110" t="s">
        <v>33</v>
      </c>
      <c r="F672" t="str">
        <f>Foderstater!Y$79</f>
        <v>barley</v>
      </c>
      <c r="J672" t="s">
        <v>307</v>
      </c>
      <c r="K672" s="13">
        <f>INDEX(Foderstater!$AB$72:$AT$110,MATCH(F672,Foderstater!$Y$72:$Y$110,0),MATCH(A672&amp;B672&amp;C672&amp;E672,Foderstater!$AB$71:$AT$71,0))</f>
        <v>8.9127780915604671</v>
      </c>
      <c r="L672" s="157"/>
      <c r="M672" s="157"/>
    </row>
    <row r="673" spans="1:13" x14ac:dyDescent="0.25">
      <c r="A673" t="s">
        <v>2</v>
      </c>
      <c r="B673" t="s">
        <v>5</v>
      </c>
      <c r="D673" s="110"/>
      <c r="E673" s="110" t="s">
        <v>33</v>
      </c>
      <c r="F673" t="str">
        <f>Foderstater!Y$80</f>
        <v>oats</v>
      </c>
      <c r="J673" t="s">
        <v>307</v>
      </c>
      <c r="K673" s="13">
        <f>INDEX(Foderstater!$AB$72:$AT$110,MATCH(F673,Foderstater!$Y$72:$Y$110,0),MATCH(A673&amp;B673&amp;C673&amp;E673,Foderstater!$AB$71:$AT$71,0))</f>
        <v>1.8419055551445949</v>
      </c>
      <c r="L673" s="157"/>
      <c r="M673" s="157"/>
    </row>
    <row r="674" spans="1:13" x14ac:dyDescent="0.25">
      <c r="A674" t="s">
        <v>2</v>
      </c>
      <c r="B674" t="s">
        <v>5</v>
      </c>
      <c r="D674" s="110"/>
      <c r="E674" s="110" t="s">
        <v>33</v>
      </c>
      <c r="F674" t="str">
        <f>Foderstater!Y$81</f>
        <v>triticale</v>
      </c>
      <c r="J674" t="s">
        <v>307</v>
      </c>
      <c r="K674" s="13">
        <f>INDEX(Foderstater!$AB$72:$AT$110,MATCH(F674,Foderstater!$Y$72:$Y$110,0),MATCH(A674&amp;B674&amp;C674&amp;E674,Foderstater!$AB$71:$AT$71,0))</f>
        <v>3.448228937260474</v>
      </c>
      <c r="L674" s="157"/>
      <c r="M674" s="157"/>
    </row>
    <row r="675" spans="1:13" x14ac:dyDescent="0.25">
      <c r="A675" t="s">
        <v>2</v>
      </c>
      <c r="B675" t="s">
        <v>5</v>
      </c>
      <c r="D675" s="110"/>
      <c r="E675" s="110" t="s">
        <v>33</v>
      </c>
      <c r="F675" t="str">
        <f>Foderstater!Y$82</f>
        <v>rye</v>
      </c>
      <c r="J675" t="s">
        <v>307</v>
      </c>
      <c r="K675" s="13">
        <f>INDEX(Foderstater!$AB$72:$AT$110,MATCH(F675,Foderstater!$Y$72:$Y$110,0),MATCH(A675&amp;B675&amp;C675&amp;E675,Foderstater!$AB$71:$AT$71,0))</f>
        <v>0</v>
      </c>
      <c r="L675" s="157"/>
      <c r="M675" s="157"/>
    </row>
    <row r="676" spans="1:13" x14ac:dyDescent="0.25">
      <c r="A676" t="s">
        <v>2</v>
      </c>
      <c r="B676" t="s">
        <v>5</v>
      </c>
      <c r="D676" s="110"/>
      <c r="E676" s="110" t="s">
        <v>33</v>
      </c>
      <c r="F676" t="str">
        <f>Foderstater!Y$83</f>
        <v>maize</v>
      </c>
      <c r="J676" t="s">
        <v>307</v>
      </c>
      <c r="K676" s="13">
        <f>INDEX(Foderstater!$AB$72:$AT$110,MATCH(F676,Foderstater!$Y$72:$Y$110,0),MATCH(A676&amp;B676&amp;C676&amp;E676,Foderstater!$AB$71:$AT$71,0))</f>
        <v>0</v>
      </c>
      <c r="L676" s="157"/>
      <c r="M676" s="157"/>
    </row>
    <row r="677" spans="1:13" x14ac:dyDescent="0.25">
      <c r="A677" t="s">
        <v>2</v>
      </c>
      <c r="B677" t="s">
        <v>5</v>
      </c>
      <c r="D677" s="110"/>
      <c r="E677" s="110" t="s">
        <v>33</v>
      </c>
      <c r="F677" t="str">
        <f>Foderstater!Y$84</f>
        <v>peas</v>
      </c>
      <c r="J677" t="s">
        <v>307</v>
      </c>
      <c r="K677" s="13">
        <f>INDEX(Foderstater!$AB$72:$AT$110,MATCH(F677,Foderstater!$Y$72:$Y$110,0),MATCH(A677&amp;B677&amp;C677&amp;E677,Foderstater!$AB$71:$AT$71,0))</f>
        <v>0</v>
      </c>
      <c r="L677" s="157"/>
      <c r="M677" s="157"/>
    </row>
    <row r="678" spans="1:13" x14ac:dyDescent="0.25">
      <c r="A678" t="s">
        <v>2</v>
      </c>
      <c r="B678" t="s">
        <v>5</v>
      </c>
      <c r="D678" s="110"/>
      <c r="E678" s="110" t="s">
        <v>33</v>
      </c>
      <c r="F678" t="str">
        <f>Foderstater!Y$85</f>
        <v>broad beans</v>
      </c>
      <c r="J678" t="s">
        <v>307</v>
      </c>
      <c r="K678" s="13">
        <f>INDEX(Foderstater!$AB$72:$AT$110,MATCH(F678,Foderstater!$Y$72:$Y$110,0),MATCH(A678&amp;B678&amp;C678&amp;E678,Foderstater!$AB$71:$AT$71,0))</f>
        <v>0</v>
      </c>
      <c r="L678" s="157"/>
      <c r="M678" s="157"/>
    </row>
    <row r="679" spans="1:13" x14ac:dyDescent="0.25">
      <c r="A679" t="s">
        <v>2</v>
      </c>
      <c r="B679" t="s">
        <v>5</v>
      </c>
      <c r="D679" s="110"/>
      <c r="E679" s="110" t="s">
        <v>33</v>
      </c>
      <c r="F679" t="str">
        <f>Foderstater!Y$86</f>
        <v>rapeseed</v>
      </c>
      <c r="J679" t="s">
        <v>307</v>
      </c>
      <c r="K679" s="13">
        <f>INDEX(Foderstater!$AB$72:$AT$110,MATCH(F679,Foderstater!$Y$72:$Y$110,0),MATCH(A679&amp;B679&amp;C679&amp;E679,Foderstater!$AB$71:$AT$71,0))</f>
        <v>0</v>
      </c>
      <c r="L679" s="157"/>
      <c r="M679" s="157"/>
    </row>
    <row r="680" spans="1:13" x14ac:dyDescent="0.25">
      <c r="A680" t="s">
        <v>2</v>
      </c>
      <c r="B680" t="s">
        <v>5</v>
      </c>
      <c r="D680" s="110"/>
      <c r="E680" s="110" t="s">
        <v>33</v>
      </c>
      <c r="F680" t="str">
        <f>Foderstater!Y$87</f>
        <v>linseed</v>
      </c>
      <c r="J680" t="s">
        <v>307</v>
      </c>
      <c r="K680" s="13">
        <f>INDEX(Foderstater!$AB$72:$AT$110,MATCH(F680,Foderstater!$Y$72:$Y$110,0),MATCH(A680&amp;B680&amp;C680&amp;E680,Foderstater!$AB$71:$AT$71,0))</f>
        <v>0</v>
      </c>
      <c r="L680" s="157"/>
      <c r="M680" s="157"/>
    </row>
    <row r="681" spans="1:13" x14ac:dyDescent="0.25">
      <c r="A681" t="s">
        <v>2</v>
      </c>
      <c r="B681" t="s">
        <v>5</v>
      </c>
      <c r="D681" s="110"/>
      <c r="E681" s="110" t="s">
        <v>33</v>
      </c>
      <c r="F681" t="str">
        <f>Foderstater!Y$88</f>
        <v>vegetable oils</v>
      </c>
      <c r="J681" t="s">
        <v>307</v>
      </c>
      <c r="K681" s="13">
        <f>INDEX(Foderstater!$AB$72:$AT$110,MATCH(F681,Foderstater!$Y$72:$Y$110,0),MATCH(A681&amp;B681&amp;C681&amp;E681,Foderstater!$AB$71:$AT$71,0))</f>
        <v>0</v>
      </c>
      <c r="L681" s="157"/>
      <c r="M681" s="157"/>
    </row>
    <row r="682" spans="1:13" x14ac:dyDescent="0.25">
      <c r="A682" t="s">
        <v>2</v>
      </c>
      <c r="B682" t="s">
        <v>5</v>
      </c>
      <c r="D682" s="110"/>
      <c r="E682" s="110" t="s">
        <v>33</v>
      </c>
      <c r="F682" t="str">
        <f>Foderstater!Y$89</f>
        <v>soybeans</v>
      </c>
      <c r="J682" t="s">
        <v>307</v>
      </c>
      <c r="K682" s="13">
        <f>INDEX(Foderstater!$AB$72:$AT$110,MATCH(F682,Foderstater!$Y$72:$Y$110,0),MATCH(A682&amp;B682&amp;C682&amp;E682,Foderstater!$AB$71:$AT$71,0))</f>
        <v>0</v>
      </c>
      <c r="L682" s="157"/>
      <c r="M682" s="157"/>
    </row>
    <row r="683" spans="1:13" x14ac:dyDescent="0.25">
      <c r="A683" t="s">
        <v>2</v>
      </c>
      <c r="B683" t="s">
        <v>5</v>
      </c>
      <c r="D683" s="110"/>
      <c r="E683" s="110" t="s">
        <v>33</v>
      </c>
      <c r="F683" t="str">
        <f>Foderstater!Y$90</f>
        <v>soybean meal</v>
      </c>
      <c r="J683" t="s">
        <v>307</v>
      </c>
      <c r="K683" s="13">
        <f>INDEX(Foderstater!$AB$72:$AT$110,MATCH(F683,Foderstater!$Y$72:$Y$110,0),MATCH(A683&amp;B683&amp;C683&amp;E683,Foderstater!$AB$71:$AT$71,0))</f>
        <v>0</v>
      </c>
      <c r="L683" s="157"/>
      <c r="M683" s="157"/>
    </row>
    <row r="684" spans="1:13" x14ac:dyDescent="0.25">
      <c r="A684" t="s">
        <v>2</v>
      </c>
      <c r="B684" t="s">
        <v>5</v>
      </c>
      <c r="D684" s="110"/>
      <c r="E684" s="110" t="s">
        <v>33</v>
      </c>
      <c r="F684" t="str">
        <f>Foderstater!Y$91</f>
        <v>soybean protein concentrate</v>
      </c>
      <c r="J684" t="s">
        <v>307</v>
      </c>
      <c r="K684" s="13">
        <f>INDEX(Foderstater!$AB$72:$AT$110,MATCH(F684,Foderstater!$Y$72:$Y$110,0),MATCH(A684&amp;B684&amp;C684&amp;E684,Foderstater!$AB$71:$AT$71,0))</f>
        <v>0</v>
      </c>
      <c r="L684" s="157"/>
      <c r="M684" s="157"/>
    </row>
    <row r="685" spans="1:13" x14ac:dyDescent="0.25">
      <c r="A685" t="s">
        <v>2</v>
      </c>
      <c r="B685" t="s">
        <v>5</v>
      </c>
      <c r="D685" s="110"/>
      <c r="E685" s="110" t="s">
        <v>33</v>
      </c>
      <c r="F685" t="str">
        <f>Foderstater!Y$92</f>
        <v>rapeseed meal</v>
      </c>
      <c r="J685" t="s">
        <v>307</v>
      </c>
      <c r="K685" s="13">
        <f>INDEX(Foderstater!$AB$72:$AT$110,MATCH(F685,Foderstater!$Y$72:$Y$110,0),MATCH(A685&amp;B685&amp;C685&amp;E685,Foderstater!$AB$71:$AT$71,0))</f>
        <v>0</v>
      </c>
      <c r="L685" s="157"/>
      <c r="M685" s="157"/>
    </row>
    <row r="686" spans="1:13" x14ac:dyDescent="0.25">
      <c r="A686" s="110" t="str">
        <f>A685</f>
        <v>dairy</v>
      </c>
      <c r="B686" t="s">
        <v>5</v>
      </c>
      <c r="D686" s="266"/>
      <c r="E686" s="110" t="s">
        <v>33</v>
      </c>
      <c r="F686" t="str">
        <f>Foderstater!Y$93</f>
        <v>rapeseed cake</v>
      </c>
      <c r="J686" t="s">
        <v>307</v>
      </c>
      <c r="K686" s="13">
        <f>INDEX(Foderstater!$AB$72:$AT$110,MATCH(F686,Foderstater!$Y$72:$Y$110,0),MATCH(A686&amp;B686&amp;C686&amp;E686,Foderstater!$AB$71:$AT$71,0))</f>
        <v>0</v>
      </c>
      <c r="L686" s="157"/>
      <c r="M686" s="266"/>
    </row>
    <row r="687" spans="1:13" x14ac:dyDescent="0.25">
      <c r="A687" t="s">
        <v>2</v>
      </c>
      <c r="B687" t="s">
        <v>5</v>
      </c>
      <c r="D687" s="110"/>
      <c r="E687" s="110" t="s">
        <v>33</v>
      </c>
      <c r="F687" t="str">
        <f>Foderstater!Y$94</f>
        <v>sunflower seed meal</v>
      </c>
      <c r="J687" t="s">
        <v>307</v>
      </c>
      <c r="K687" s="13">
        <f>INDEX(Foderstater!$AB$72:$AT$110,MATCH(F687,Foderstater!$Y$72:$Y$110,0),MATCH(A687&amp;B687&amp;C687&amp;E687,Foderstater!$AB$71:$AT$71,0))</f>
        <v>0</v>
      </c>
    </row>
    <row r="688" spans="1:13" x14ac:dyDescent="0.25">
      <c r="A688" t="s">
        <v>2</v>
      </c>
      <c r="B688" t="s">
        <v>5</v>
      </c>
      <c r="D688" s="110"/>
      <c r="E688" s="110" t="s">
        <v>33</v>
      </c>
      <c r="F688" t="str">
        <f>Foderstater!Y$95</f>
        <v>palm kernel expeller</v>
      </c>
      <c r="J688" t="s">
        <v>307</v>
      </c>
      <c r="K688" s="13">
        <f>INDEX(Foderstater!$AB$72:$AT$110,MATCH(F688,Foderstater!$Y$72:$Y$110,0),MATCH(A688&amp;B688&amp;C688&amp;E688,Foderstater!$AB$71:$AT$71,0))</f>
        <v>0</v>
      </c>
    </row>
    <row r="689" spans="1:13" x14ac:dyDescent="0.25">
      <c r="A689" t="s">
        <v>2</v>
      </c>
      <c r="B689" t="s">
        <v>5</v>
      </c>
      <c r="D689" s="110"/>
      <c r="E689" s="110" t="s">
        <v>33</v>
      </c>
      <c r="F689" t="str">
        <f>Foderstater!Y$96</f>
        <v>luzern meal</v>
      </c>
      <c r="J689" t="s">
        <v>307</v>
      </c>
      <c r="K689" s="13">
        <f>INDEX(Foderstater!$AB$72:$AT$110,MATCH(F689,Foderstater!$Y$72:$Y$110,0),MATCH(A689&amp;B689&amp;C689&amp;E689,Foderstater!$AB$71:$AT$71,0))</f>
        <v>0</v>
      </c>
    </row>
    <row r="690" spans="1:13" x14ac:dyDescent="0.25">
      <c r="A690" t="s">
        <v>2</v>
      </c>
      <c r="B690" t="s">
        <v>5</v>
      </c>
      <c r="D690" s="110"/>
      <c r="E690" s="110" t="s">
        <v>33</v>
      </c>
      <c r="F690" t="str">
        <f>Foderstater!Y$97</f>
        <v>wheat bran</v>
      </c>
      <c r="J690" t="s">
        <v>307</v>
      </c>
      <c r="K690" s="13">
        <f>INDEX(Foderstater!$AB$72:$AT$110,MATCH(F690,Foderstater!$Y$72:$Y$110,0),MATCH(A690&amp;B690&amp;C690&amp;E690,Foderstater!$AB$71:$AT$71,0))</f>
        <v>0</v>
      </c>
    </row>
    <row r="691" spans="1:13" x14ac:dyDescent="0.25">
      <c r="A691" t="s">
        <v>2</v>
      </c>
      <c r="B691" t="s">
        <v>5</v>
      </c>
      <c r="D691" s="110"/>
      <c r="E691" s="110" t="s">
        <v>33</v>
      </c>
      <c r="F691" t="str">
        <f>Foderstater!Y$98</f>
        <v>wheat bran, fine</v>
      </c>
      <c r="J691" t="s">
        <v>307</v>
      </c>
      <c r="K691" s="13">
        <f>INDEX(Foderstater!$AB$72:$AT$110,MATCH(F691,Foderstater!$Y$72:$Y$110,0),MATCH(A691&amp;B691&amp;C691&amp;E691,Foderstater!$AB$71:$AT$71,0))</f>
        <v>0</v>
      </c>
    </row>
    <row r="692" spans="1:13" x14ac:dyDescent="0.25">
      <c r="A692" t="s">
        <v>2</v>
      </c>
      <c r="B692" t="s">
        <v>5</v>
      </c>
      <c r="D692" s="110"/>
      <c r="E692" s="110" t="s">
        <v>33</v>
      </c>
      <c r="F692" t="str">
        <f>Foderstater!Y$99</f>
        <v>oat hulls</v>
      </c>
      <c r="J692" t="s">
        <v>307</v>
      </c>
      <c r="K692" s="13">
        <f>INDEX(Foderstater!$AB$72:$AT$110,MATCH(F692,Foderstater!$Y$72:$Y$110,0),MATCH(A692&amp;B692&amp;C692&amp;E692,Foderstater!$AB$71:$AT$71,0))</f>
        <v>0</v>
      </c>
    </row>
    <row r="693" spans="1:13" x14ac:dyDescent="0.25">
      <c r="A693" t="s">
        <v>2</v>
      </c>
      <c r="B693" t="s">
        <v>5</v>
      </c>
      <c r="D693" s="110"/>
      <c r="E693" s="110" t="s">
        <v>33</v>
      </c>
      <c r="F693" t="str">
        <f>Foderstater!Y$100</f>
        <v>oat bran</v>
      </c>
      <c r="J693" t="s">
        <v>307</v>
      </c>
      <c r="K693" s="13">
        <f>INDEX(Foderstater!$AB$72:$AT$110,MATCH(F693,Foderstater!$Y$72:$Y$110,0),MATCH(A693&amp;B693&amp;C693&amp;E693,Foderstater!$AB$71:$AT$71,0))</f>
        <v>0</v>
      </c>
    </row>
    <row r="694" spans="1:13" x14ac:dyDescent="0.25">
      <c r="A694" t="s">
        <v>2</v>
      </c>
      <c r="B694" t="s">
        <v>5</v>
      </c>
      <c r="D694" s="110"/>
      <c r="E694" s="110" t="s">
        <v>33</v>
      </c>
      <c r="F694" t="str">
        <f>Foderstater!Y$101</f>
        <v>rye bran</v>
      </c>
      <c r="J694" t="s">
        <v>307</v>
      </c>
      <c r="K694" s="13">
        <f>INDEX(Foderstater!$AB$72:$AT$110,MATCH(F694,Foderstater!$Y$72:$Y$110,0),MATCH(A694&amp;B694&amp;C694&amp;E694,Foderstater!$AB$71:$AT$71,0))</f>
        <v>0</v>
      </c>
    </row>
    <row r="695" spans="1:13" x14ac:dyDescent="0.25">
      <c r="A695" t="s">
        <v>2</v>
      </c>
      <c r="B695" t="s">
        <v>5</v>
      </c>
      <c r="D695" s="110"/>
      <c r="E695" s="110" t="s">
        <v>33</v>
      </c>
      <c r="F695" t="str">
        <f>Foderstater!Y$102</f>
        <v>wheat distillers grain, dry</v>
      </c>
      <c r="J695" t="s">
        <v>307</v>
      </c>
      <c r="K695" s="13">
        <f>INDEX(Foderstater!$AB$72:$AT$110,MATCH(F695,Foderstater!$Y$72:$Y$110,0),MATCH(A695&amp;B695&amp;C695&amp;E695,Foderstater!$AB$71:$AT$71,0))</f>
        <v>0</v>
      </c>
    </row>
    <row r="696" spans="1:13" x14ac:dyDescent="0.25">
      <c r="A696" t="s">
        <v>2</v>
      </c>
      <c r="B696" t="s">
        <v>5</v>
      </c>
      <c r="D696" s="110"/>
      <c r="E696" s="110" t="s">
        <v>33</v>
      </c>
      <c r="F696" t="str">
        <f>Foderstater!Y$103</f>
        <v>barley brewers grain</v>
      </c>
      <c r="J696" t="s">
        <v>307</v>
      </c>
      <c r="K696" s="13">
        <f>INDEX(Foderstater!$AB$72:$AT$110,MATCH(F696,Foderstater!$Y$72:$Y$110,0),MATCH(A696&amp;B696&amp;C696&amp;E696,Foderstater!$AB$71:$AT$71,0))</f>
        <v>0</v>
      </c>
    </row>
    <row r="697" spans="1:13" x14ac:dyDescent="0.25">
      <c r="A697" t="s">
        <v>2</v>
      </c>
      <c r="B697" t="s">
        <v>5</v>
      </c>
      <c r="D697" s="110"/>
      <c r="E697" s="110" t="s">
        <v>33</v>
      </c>
      <c r="F697" t="str">
        <f>Foderstater!Y$104</f>
        <v>maize gluten meal</v>
      </c>
      <c r="J697" t="s">
        <v>307</v>
      </c>
      <c r="K697" s="13">
        <f>INDEX(Foderstater!$AB$72:$AT$110,MATCH(F697,Foderstater!$Y$72:$Y$110,0),MATCH(A697&amp;B697&amp;C697&amp;E697,Foderstater!$AB$71:$AT$71,0))</f>
        <v>0</v>
      </c>
    </row>
    <row r="698" spans="1:13" x14ac:dyDescent="0.25">
      <c r="A698" t="s">
        <v>2</v>
      </c>
      <c r="B698" t="s">
        <v>5</v>
      </c>
      <c r="D698" s="110"/>
      <c r="E698" s="110" t="s">
        <v>33</v>
      </c>
      <c r="F698" t="str">
        <f>Foderstater!Y$105</f>
        <v>sugar beet molasses</v>
      </c>
      <c r="J698" t="s">
        <v>307</v>
      </c>
      <c r="K698" s="13">
        <f>INDEX(Foderstater!$AB$72:$AT$110,MATCH(F698,Foderstater!$Y$72:$Y$110,0),MATCH(A698&amp;B698&amp;C698&amp;E698,Foderstater!$AB$71:$AT$71,0))</f>
        <v>0</v>
      </c>
    </row>
    <row r="699" spans="1:13" x14ac:dyDescent="0.25">
      <c r="A699" t="s">
        <v>2</v>
      </c>
      <c r="B699" t="s">
        <v>5</v>
      </c>
      <c r="D699" s="110"/>
      <c r="E699" s="110" t="s">
        <v>33</v>
      </c>
      <c r="F699" t="str">
        <f>Foderstater!Y$106</f>
        <v>sugar beet pulp</v>
      </c>
      <c r="J699" t="s">
        <v>307</v>
      </c>
      <c r="K699" s="13">
        <f>INDEX(Foderstater!$AB$72:$AT$110,MATCH(F699,Foderstater!$Y$72:$Y$110,0),MATCH(A699&amp;B699&amp;C699&amp;E699,Foderstater!$AB$71:$AT$71,0))</f>
        <v>0</v>
      </c>
    </row>
    <row r="700" spans="1:13" x14ac:dyDescent="0.25">
      <c r="A700" t="s">
        <v>2</v>
      </c>
      <c r="B700" t="s">
        <v>5</v>
      </c>
      <c r="D700" s="110"/>
      <c r="E700" s="110" t="s">
        <v>33</v>
      </c>
      <c r="F700" t="str">
        <f>Foderstater!Y$107</f>
        <v>whey powder</v>
      </c>
      <c r="J700" t="s">
        <v>307</v>
      </c>
      <c r="K700" s="13">
        <f>INDEX(Foderstater!$AB$72:$AT$110,MATCH(F700,Foderstater!$Y$72:$Y$110,0),MATCH(A700&amp;B700&amp;C700&amp;E700,Foderstater!$AB$71:$AT$71,0))</f>
        <v>0</v>
      </c>
    </row>
    <row r="701" spans="1:13" x14ac:dyDescent="0.25">
      <c r="A701" t="s">
        <v>2</v>
      </c>
      <c r="B701" t="s">
        <v>5</v>
      </c>
      <c r="D701" s="110"/>
      <c r="E701" s="110" t="s">
        <v>33</v>
      </c>
      <c r="F701" t="str">
        <f>Foderstater!Y$108</f>
        <v>potatoe protein</v>
      </c>
      <c r="J701" t="s">
        <v>307</v>
      </c>
      <c r="K701" s="13">
        <f>INDEX(Foderstater!$AB$72:$AT$110,MATCH(F701,Foderstater!$Y$72:$Y$110,0),MATCH(A701&amp;B701&amp;C701&amp;E701,Foderstater!$AB$71:$AT$71,0))</f>
        <v>0</v>
      </c>
    </row>
    <row r="702" spans="1:13" x14ac:dyDescent="0.25">
      <c r="A702" t="s">
        <v>2</v>
      </c>
      <c r="B702" t="s">
        <v>5</v>
      </c>
      <c r="D702" s="110"/>
      <c r="E702" s="110" t="s">
        <v>33</v>
      </c>
      <c r="F702" t="str">
        <f>Foderstater!Y$109</f>
        <v>fish meal</v>
      </c>
      <c r="J702" t="s">
        <v>307</v>
      </c>
      <c r="K702" s="13">
        <f>INDEX(Foderstater!$AB$72:$AT$110,MATCH(F702,Foderstater!$Y$72:$Y$110,0),MATCH(A702&amp;B702&amp;C702&amp;E702,Foderstater!$AB$71:$AT$71,0))</f>
        <v>0</v>
      </c>
    </row>
    <row r="703" spans="1:13" x14ac:dyDescent="0.25">
      <c r="A703" t="s">
        <v>2</v>
      </c>
      <c r="B703" t="s">
        <v>5</v>
      </c>
      <c r="D703" s="110"/>
      <c r="E703" s="110" t="s">
        <v>33</v>
      </c>
      <c r="F703" t="str">
        <f>Foderstater!Y$110</f>
        <v>minerals</v>
      </c>
      <c r="J703" t="s">
        <v>307</v>
      </c>
      <c r="K703" s="13">
        <f>INDEX(Foderstater!$AB$72:$AT$110,MATCH(F703,Foderstater!$Y$72:$Y$110,0),MATCH(A703&amp;B703&amp;C703&amp;E703,Foderstater!$AB$71:$AT$71,0))</f>
        <v>0.4744807268761464</v>
      </c>
    </row>
    <row r="704" spans="1:13" x14ac:dyDescent="0.25">
      <c r="A704" s="157"/>
      <c r="B704" s="157"/>
      <c r="C704" s="157"/>
      <c r="D704" s="157"/>
      <c r="E704" s="157"/>
      <c r="J704" s="157"/>
      <c r="K704" s="157"/>
      <c r="L704" s="157"/>
      <c r="M704" s="157"/>
    </row>
    <row r="705" spans="1:14" x14ac:dyDescent="0.25">
      <c r="A705" s="100" t="s">
        <v>288</v>
      </c>
      <c r="B705" s="100"/>
      <c r="C705" s="100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 spans="1:14" x14ac:dyDescent="0.25">
      <c r="A706" s="91" t="s">
        <v>62</v>
      </c>
      <c r="B706" s="160"/>
      <c r="C706" s="160"/>
      <c r="D706" s="90"/>
      <c r="E706" s="90"/>
      <c r="F706" s="90"/>
      <c r="G706" s="90"/>
      <c r="H706" s="90"/>
      <c r="I706" s="90"/>
      <c r="J706" s="90"/>
      <c r="K706" s="161"/>
      <c r="L706" s="90"/>
      <c r="M706" s="90"/>
      <c r="N706" s="90"/>
    </row>
    <row r="707" spans="1:14" x14ac:dyDescent="0.25">
      <c r="A707" s="157" t="s">
        <v>36</v>
      </c>
      <c r="B707" s="157"/>
      <c r="C707" s="157"/>
      <c r="D707" s="157"/>
      <c r="E707" s="157" t="s">
        <v>17</v>
      </c>
      <c r="J707" s="157" t="s">
        <v>307</v>
      </c>
      <c r="K707" s="157">
        <v>0</v>
      </c>
      <c r="L707" s="157"/>
      <c r="M707" s="157" t="s">
        <v>398</v>
      </c>
    </row>
    <row r="708" spans="1:14" x14ac:dyDescent="0.25">
      <c r="A708" t="s">
        <v>36</v>
      </c>
      <c r="E708" t="s">
        <v>17</v>
      </c>
      <c r="F708" t="str">
        <f>Foderstater!Y$72</f>
        <v>ley silage, 1st cut</v>
      </c>
      <c r="J708" t="s">
        <v>307</v>
      </c>
      <c r="K708" s="13">
        <f>INDEX(Foderstater!$AB$72:$AT$110,MATCH(F708,Foderstater!$Y$72:$Y$110,0),MATCH(A708&amp;B708&amp;C708&amp;E708,Foderstater!$AB$71:$AT$71,0))</f>
        <v>0</v>
      </c>
      <c r="L708" s="157"/>
      <c r="M708" s="157"/>
    </row>
    <row r="709" spans="1:14" x14ac:dyDescent="0.25">
      <c r="A709" t="s">
        <v>36</v>
      </c>
      <c r="E709" t="s">
        <v>17</v>
      </c>
      <c r="F709" t="str">
        <f>Foderstater!Y$73</f>
        <v>ley silage, regrowth</v>
      </c>
      <c r="J709" t="s">
        <v>307</v>
      </c>
      <c r="K709" s="13">
        <f>INDEX(Foderstater!$AB$72:$AT$110,MATCH(F709,Foderstater!$Y$72:$Y$110,0),MATCH(A709&amp;B709&amp;C709&amp;E709,Foderstater!$AB$71:$AT$71,0))</f>
        <v>19.638470390756044</v>
      </c>
      <c r="L709" s="157"/>
      <c r="M709" s="157"/>
    </row>
    <row r="710" spans="1:14" x14ac:dyDescent="0.25">
      <c r="A710" t="s">
        <v>36</v>
      </c>
      <c r="E710" t="s">
        <v>17</v>
      </c>
      <c r="F710" t="str">
        <f>Foderstater!Y$74</f>
        <v>other silage</v>
      </c>
      <c r="J710" t="s">
        <v>307</v>
      </c>
      <c r="K710" s="13">
        <f>INDEX(Foderstater!$AB$72:$AT$110,MATCH(F710,Foderstater!$Y$72:$Y$110,0),MATCH(A710&amp;B710&amp;C710&amp;E710,Foderstater!$AB$71:$AT$71,0))</f>
        <v>20.321711421281208</v>
      </c>
      <c r="L710" s="157"/>
      <c r="M710" s="157"/>
    </row>
    <row r="711" spans="1:14" x14ac:dyDescent="0.25">
      <c r="A711" t="s">
        <v>36</v>
      </c>
      <c r="E711" t="s">
        <v>17</v>
      </c>
      <c r="F711" t="str">
        <f>Foderstater!Y$75</f>
        <v>maize silage</v>
      </c>
      <c r="J711" t="s">
        <v>307</v>
      </c>
      <c r="K711" s="13">
        <f>INDEX(Foderstater!$AB$72:$AT$110,MATCH(F711,Foderstater!$Y$72:$Y$110,0),MATCH(A711&amp;B711&amp;C711&amp;E711,Foderstater!$AB$71:$AT$71,0))</f>
        <v>0</v>
      </c>
      <c r="L711" s="157"/>
      <c r="M711" s="157"/>
    </row>
    <row r="712" spans="1:14" x14ac:dyDescent="0.25">
      <c r="A712" t="s">
        <v>36</v>
      </c>
      <c r="E712" t="s">
        <v>17</v>
      </c>
      <c r="F712" t="str">
        <f>Foderstater!Y$76</f>
        <v>straw</v>
      </c>
      <c r="J712" t="s">
        <v>307</v>
      </c>
      <c r="K712" s="13">
        <f>INDEX(Foderstater!$AB$72:$AT$110,MATCH(F712,Foderstater!$Y$72:$Y$110,0),MATCH(A712&amp;B712&amp;C712&amp;E712,Foderstater!$AB$71:$AT$71,0))</f>
        <v>1.1297448457337229</v>
      </c>
      <c r="L712" s="157"/>
      <c r="M712" s="157"/>
    </row>
    <row r="713" spans="1:14" x14ac:dyDescent="0.25">
      <c r="A713" t="s">
        <v>36</v>
      </c>
      <c r="E713" t="s">
        <v>17</v>
      </c>
      <c r="F713" t="str">
        <f>Foderstater!Y$77</f>
        <v>grazing</v>
      </c>
      <c r="J713" t="s">
        <v>307</v>
      </c>
      <c r="K713" s="13">
        <f>INDEX(Foderstater!$AB$72:$AT$110,MATCH(F713,Foderstater!$Y$72:$Y$110,0),MATCH(A713&amp;B713&amp;C713&amp;E713,Foderstater!$AB$71:$AT$71,0))</f>
        <v>58.050981669759572</v>
      </c>
      <c r="L713" s="157"/>
      <c r="M713" s="157"/>
    </row>
    <row r="714" spans="1:14" x14ac:dyDescent="0.25">
      <c r="A714" t="s">
        <v>36</v>
      </c>
      <c r="E714" t="s">
        <v>17</v>
      </c>
      <c r="F714" t="str">
        <f>Foderstater!Y$78</f>
        <v>wheat</v>
      </c>
      <c r="J714" t="s">
        <v>307</v>
      </c>
      <c r="K714" s="13">
        <f>INDEX(Foderstater!$AB$72:$AT$110,MATCH(F714,Foderstater!$Y$72:$Y$110,0),MATCH(A714&amp;B714&amp;C714&amp;E714,Foderstater!$AB$71:$AT$71,0))</f>
        <v>0</v>
      </c>
      <c r="L714" s="157"/>
      <c r="M714" s="157"/>
    </row>
    <row r="715" spans="1:14" x14ac:dyDescent="0.25">
      <c r="A715" t="s">
        <v>36</v>
      </c>
      <c r="E715" t="s">
        <v>17</v>
      </c>
      <c r="F715" t="str">
        <f>Foderstater!Y$79</f>
        <v>barley</v>
      </c>
      <c r="J715" t="s">
        <v>307</v>
      </c>
      <c r="K715" s="13">
        <f>INDEX(Foderstater!$AB$72:$AT$110,MATCH(F715,Foderstater!$Y$72:$Y$110,0),MATCH(A715&amp;B715&amp;C715&amp;E715,Foderstater!$AB$71:$AT$71,0))</f>
        <v>0</v>
      </c>
      <c r="L715" s="157"/>
      <c r="M715" s="157"/>
    </row>
    <row r="716" spans="1:14" x14ac:dyDescent="0.25">
      <c r="A716" t="s">
        <v>36</v>
      </c>
      <c r="E716" t="s">
        <v>17</v>
      </c>
      <c r="F716" t="str">
        <f>Foderstater!Y$80</f>
        <v>oats</v>
      </c>
      <c r="J716" t="s">
        <v>307</v>
      </c>
      <c r="K716" s="13">
        <f>INDEX(Foderstater!$AB$72:$AT$110,MATCH(F716,Foderstater!$Y$72:$Y$110,0),MATCH(A716&amp;B716&amp;C716&amp;E716,Foderstater!$AB$71:$AT$71,0))</f>
        <v>0</v>
      </c>
      <c r="L716" s="157"/>
      <c r="M716" s="157"/>
    </row>
    <row r="717" spans="1:14" x14ac:dyDescent="0.25">
      <c r="A717" t="s">
        <v>36</v>
      </c>
      <c r="E717" t="s">
        <v>17</v>
      </c>
      <c r="F717" t="str">
        <f>Foderstater!Y$81</f>
        <v>triticale</v>
      </c>
      <c r="J717" t="s">
        <v>307</v>
      </c>
      <c r="K717" s="13">
        <f>INDEX(Foderstater!$AB$72:$AT$110,MATCH(F717,Foderstater!$Y$72:$Y$110,0),MATCH(A717&amp;B717&amp;C717&amp;E717,Foderstater!$AB$71:$AT$71,0))</f>
        <v>0</v>
      </c>
      <c r="L717" s="157"/>
      <c r="M717" s="157"/>
    </row>
    <row r="718" spans="1:14" x14ac:dyDescent="0.25">
      <c r="A718" t="s">
        <v>36</v>
      </c>
      <c r="E718" t="s">
        <v>17</v>
      </c>
      <c r="F718" t="str">
        <f>Foderstater!Y$82</f>
        <v>rye</v>
      </c>
      <c r="J718" t="s">
        <v>307</v>
      </c>
      <c r="K718" s="13">
        <f>INDEX(Foderstater!$AB$72:$AT$110,MATCH(F718,Foderstater!$Y$72:$Y$110,0),MATCH(A718&amp;B718&amp;C718&amp;E718,Foderstater!$AB$71:$AT$71,0))</f>
        <v>0</v>
      </c>
      <c r="L718" s="157"/>
      <c r="M718" s="157"/>
    </row>
    <row r="719" spans="1:14" x14ac:dyDescent="0.25">
      <c r="A719" t="s">
        <v>36</v>
      </c>
      <c r="E719" t="s">
        <v>17</v>
      </c>
      <c r="F719" t="str">
        <f>Foderstater!Y$83</f>
        <v>maize</v>
      </c>
      <c r="J719" t="s">
        <v>307</v>
      </c>
      <c r="K719" s="13">
        <f>INDEX(Foderstater!$AB$72:$AT$110,MATCH(F719,Foderstater!$Y$72:$Y$110,0),MATCH(A719&amp;B719&amp;C719&amp;E719,Foderstater!$AB$71:$AT$71,0))</f>
        <v>0</v>
      </c>
      <c r="L719" s="157"/>
      <c r="M719" s="157"/>
    </row>
    <row r="720" spans="1:14" x14ac:dyDescent="0.25">
      <c r="A720" t="s">
        <v>36</v>
      </c>
      <c r="E720" t="s">
        <v>17</v>
      </c>
      <c r="F720" t="str">
        <f>Foderstater!Y$84</f>
        <v>peas</v>
      </c>
      <c r="J720" t="s">
        <v>307</v>
      </c>
      <c r="K720" s="13">
        <f>INDEX(Foderstater!$AB$72:$AT$110,MATCH(F720,Foderstater!$Y$72:$Y$110,0),MATCH(A720&amp;B720&amp;C720&amp;E720,Foderstater!$AB$71:$AT$71,0))</f>
        <v>0</v>
      </c>
      <c r="L720" s="157"/>
      <c r="M720" s="157"/>
    </row>
    <row r="721" spans="1:13" x14ac:dyDescent="0.25">
      <c r="A721" t="s">
        <v>36</v>
      </c>
      <c r="E721" t="s">
        <v>17</v>
      </c>
      <c r="F721" t="str">
        <f>Foderstater!Y$85</f>
        <v>broad beans</v>
      </c>
      <c r="J721" t="s">
        <v>307</v>
      </c>
      <c r="K721" s="13">
        <f>INDEX(Foderstater!$AB$72:$AT$110,MATCH(F721,Foderstater!$Y$72:$Y$110,0),MATCH(A721&amp;B721&amp;C721&amp;E721,Foderstater!$AB$71:$AT$71,0))</f>
        <v>0</v>
      </c>
      <c r="L721" s="157"/>
      <c r="M721" s="157"/>
    </row>
    <row r="722" spans="1:13" x14ac:dyDescent="0.25">
      <c r="A722" t="s">
        <v>36</v>
      </c>
      <c r="E722" t="s">
        <v>17</v>
      </c>
      <c r="F722" t="str">
        <f>Foderstater!Y$86</f>
        <v>rapeseed</v>
      </c>
      <c r="J722" t="s">
        <v>307</v>
      </c>
      <c r="K722" s="13">
        <f>INDEX(Foderstater!$AB$72:$AT$110,MATCH(F722,Foderstater!$Y$72:$Y$110,0),MATCH(A722&amp;B722&amp;C722&amp;E722,Foderstater!$AB$71:$AT$71,0))</f>
        <v>0</v>
      </c>
      <c r="L722" s="157"/>
      <c r="M722" s="157"/>
    </row>
    <row r="723" spans="1:13" x14ac:dyDescent="0.25">
      <c r="A723" t="s">
        <v>36</v>
      </c>
      <c r="E723" t="s">
        <v>17</v>
      </c>
      <c r="F723" t="str">
        <f>Foderstater!Y$87</f>
        <v>linseed</v>
      </c>
      <c r="J723" t="s">
        <v>307</v>
      </c>
      <c r="K723" s="13">
        <f>INDEX(Foderstater!$AB$72:$AT$110,MATCH(F723,Foderstater!$Y$72:$Y$110,0),MATCH(A723&amp;B723&amp;C723&amp;E723,Foderstater!$AB$71:$AT$71,0))</f>
        <v>0</v>
      </c>
      <c r="L723" s="157"/>
      <c r="M723" s="157"/>
    </row>
    <row r="724" spans="1:13" x14ac:dyDescent="0.25">
      <c r="A724" t="s">
        <v>36</v>
      </c>
      <c r="E724" t="s">
        <v>17</v>
      </c>
      <c r="F724" t="str">
        <f>Foderstater!Y$88</f>
        <v>vegetable oils</v>
      </c>
      <c r="J724" t="s">
        <v>307</v>
      </c>
      <c r="K724" s="13">
        <f>INDEX(Foderstater!$AB$72:$AT$110,MATCH(F724,Foderstater!$Y$72:$Y$110,0),MATCH(A724&amp;B724&amp;C724&amp;E724,Foderstater!$AB$71:$AT$71,0))</f>
        <v>0</v>
      </c>
      <c r="L724" s="157"/>
      <c r="M724" s="157"/>
    </row>
    <row r="725" spans="1:13" x14ac:dyDescent="0.25">
      <c r="A725" t="s">
        <v>36</v>
      </c>
      <c r="E725" t="s">
        <v>17</v>
      </c>
      <c r="F725" t="str">
        <f>Foderstater!Y$89</f>
        <v>soybeans</v>
      </c>
      <c r="J725" t="s">
        <v>307</v>
      </c>
      <c r="K725" s="13">
        <f>INDEX(Foderstater!$AB$72:$AT$110,MATCH(F725,Foderstater!$Y$72:$Y$110,0),MATCH(A725&amp;B725&amp;C725&amp;E725,Foderstater!$AB$71:$AT$71,0))</f>
        <v>0</v>
      </c>
      <c r="L725" s="157"/>
      <c r="M725" s="157"/>
    </row>
    <row r="726" spans="1:13" x14ac:dyDescent="0.25">
      <c r="A726" t="s">
        <v>36</v>
      </c>
      <c r="E726" t="s">
        <v>17</v>
      </c>
      <c r="F726" t="str">
        <f>Foderstater!Y$90</f>
        <v>soybean meal</v>
      </c>
      <c r="J726" t="s">
        <v>307</v>
      </c>
      <c r="K726" s="13">
        <f>INDEX(Foderstater!$AB$72:$AT$110,MATCH(F726,Foderstater!$Y$72:$Y$110,0),MATCH(A726&amp;B726&amp;C726&amp;E726,Foderstater!$AB$71:$AT$71,0))</f>
        <v>0</v>
      </c>
      <c r="L726" s="157"/>
      <c r="M726" s="157"/>
    </row>
    <row r="727" spans="1:13" x14ac:dyDescent="0.25">
      <c r="A727" t="s">
        <v>36</v>
      </c>
      <c r="E727" t="s">
        <v>17</v>
      </c>
      <c r="F727" t="str">
        <f>Foderstater!Y$91</f>
        <v>soybean protein concentrate</v>
      </c>
      <c r="J727" t="s">
        <v>307</v>
      </c>
      <c r="K727" s="13">
        <f>INDEX(Foderstater!$AB$72:$AT$110,MATCH(F727,Foderstater!$Y$72:$Y$110,0),MATCH(A727&amp;B727&amp;C727&amp;E727,Foderstater!$AB$71:$AT$71,0))</f>
        <v>0</v>
      </c>
      <c r="L727" s="157"/>
      <c r="M727" s="157"/>
    </row>
    <row r="728" spans="1:13" x14ac:dyDescent="0.25">
      <c r="A728" t="s">
        <v>36</v>
      </c>
      <c r="B728" t="s">
        <v>1</v>
      </c>
      <c r="E728" t="s">
        <v>17</v>
      </c>
      <c r="F728" t="str">
        <f>Foderstater!Y$92</f>
        <v>rapeseed meal</v>
      </c>
      <c r="J728" t="s">
        <v>307</v>
      </c>
      <c r="K728" s="13">
        <f>INDEX(Foderstater!$AB$72:$AT$110,MATCH(F728,Foderstater!$Y$72:$Y$110,0),MATCH(A728&amp;C728&amp;E728,Foderstater!$AB$71:$AT$71,0))</f>
        <v>0</v>
      </c>
      <c r="L728" s="157"/>
      <c r="M728" s="157"/>
    </row>
    <row r="729" spans="1:13" x14ac:dyDescent="0.25">
      <c r="A729" s="266" t="str">
        <f>A728</f>
        <v>beef</v>
      </c>
      <c r="B729" s="266" t="s">
        <v>5</v>
      </c>
      <c r="D729" s="266"/>
      <c r="E729" s="266" t="str">
        <f>E728</f>
        <v>cows</v>
      </c>
      <c r="F729" s="266" t="s">
        <v>601</v>
      </c>
      <c r="J729" s="266" t="str">
        <f>J728</f>
        <v>share_in_ration</v>
      </c>
      <c r="K729" s="267">
        <f>K728</f>
        <v>0</v>
      </c>
      <c r="L729" s="157"/>
      <c r="M729" s="266" t="s">
        <v>602</v>
      </c>
    </row>
    <row r="730" spans="1:13" x14ac:dyDescent="0.25">
      <c r="A730" t="s">
        <v>36</v>
      </c>
      <c r="E730" t="s">
        <v>17</v>
      </c>
      <c r="F730" t="str">
        <f>Foderstater!Y$94</f>
        <v>sunflower seed meal</v>
      </c>
      <c r="J730" t="s">
        <v>307</v>
      </c>
      <c r="K730" s="13">
        <f>INDEX(Foderstater!$AB$72:$AT$110,MATCH(F730,Foderstater!$Y$72:$Y$110,0),MATCH(A730&amp;B730&amp;C730&amp;E730,Foderstater!$AB$71:$AT$71,0))</f>
        <v>0</v>
      </c>
    </row>
    <row r="731" spans="1:13" x14ac:dyDescent="0.25">
      <c r="A731" t="s">
        <v>36</v>
      </c>
      <c r="E731" t="s">
        <v>17</v>
      </c>
      <c r="F731" t="str">
        <f>Foderstater!Y$95</f>
        <v>palm kernel expeller</v>
      </c>
      <c r="J731" t="s">
        <v>307</v>
      </c>
      <c r="K731" s="13">
        <f>INDEX(Foderstater!$AB$72:$AT$110,MATCH(F731,Foderstater!$Y$72:$Y$110,0),MATCH(A731&amp;B731&amp;C731&amp;E731,Foderstater!$AB$71:$AT$71,0))</f>
        <v>0</v>
      </c>
    </row>
    <row r="732" spans="1:13" x14ac:dyDescent="0.25">
      <c r="A732" t="s">
        <v>36</v>
      </c>
      <c r="E732" t="s">
        <v>17</v>
      </c>
      <c r="F732" t="str">
        <f>Foderstater!Y$96</f>
        <v>luzern meal</v>
      </c>
      <c r="J732" t="s">
        <v>307</v>
      </c>
      <c r="K732" s="13">
        <f>INDEX(Foderstater!$AB$72:$AT$110,MATCH(F732,Foderstater!$Y$72:$Y$110,0),MATCH(A732&amp;B732&amp;C732&amp;E732,Foderstater!$AB$71:$AT$71,0))</f>
        <v>0</v>
      </c>
    </row>
    <row r="733" spans="1:13" x14ac:dyDescent="0.25">
      <c r="A733" t="s">
        <v>36</v>
      </c>
      <c r="E733" t="s">
        <v>17</v>
      </c>
      <c r="F733" t="str">
        <f>Foderstater!Y$97</f>
        <v>wheat bran</v>
      </c>
      <c r="J733" t="s">
        <v>307</v>
      </c>
      <c r="K733" s="13">
        <f>INDEX(Foderstater!$AB$72:$AT$110,MATCH(F733,Foderstater!$Y$72:$Y$110,0),MATCH(A733&amp;B733&amp;C733&amp;E733,Foderstater!$AB$71:$AT$71,0))</f>
        <v>0</v>
      </c>
    </row>
    <row r="734" spans="1:13" x14ac:dyDescent="0.25">
      <c r="A734" t="s">
        <v>36</v>
      </c>
      <c r="E734" t="s">
        <v>17</v>
      </c>
      <c r="F734" t="str">
        <f>Foderstater!Y$98</f>
        <v>wheat bran, fine</v>
      </c>
      <c r="J734" t="s">
        <v>307</v>
      </c>
      <c r="K734" s="13">
        <f>INDEX(Foderstater!$AB$72:$AT$110,MATCH(F734,Foderstater!$Y$72:$Y$110,0),MATCH(A734&amp;B734&amp;C734&amp;E734,Foderstater!$AB$71:$AT$71,0))</f>
        <v>0</v>
      </c>
    </row>
    <row r="735" spans="1:13" x14ac:dyDescent="0.25">
      <c r="A735" t="s">
        <v>36</v>
      </c>
      <c r="E735" t="s">
        <v>17</v>
      </c>
      <c r="F735" t="str">
        <f>Foderstater!Y$99</f>
        <v>oat hulls</v>
      </c>
      <c r="J735" t="s">
        <v>307</v>
      </c>
      <c r="K735" s="13">
        <f>INDEX(Foderstater!$AB$72:$AT$110,MATCH(F735,Foderstater!$Y$72:$Y$110,0),MATCH(A735&amp;B735&amp;C735&amp;E735,Foderstater!$AB$71:$AT$71,0))</f>
        <v>0</v>
      </c>
    </row>
    <row r="736" spans="1:13" x14ac:dyDescent="0.25">
      <c r="A736" t="s">
        <v>36</v>
      </c>
      <c r="E736" t="s">
        <v>17</v>
      </c>
      <c r="F736" t="str">
        <f>Foderstater!Y$100</f>
        <v>oat bran</v>
      </c>
      <c r="J736" t="s">
        <v>307</v>
      </c>
      <c r="K736" s="13">
        <f>INDEX(Foderstater!$AB$72:$AT$110,MATCH(F736,Foderstater!$Y$72:$Y$110,0),MATCH(A736&amp;B736&amp;C736&amp;E736,Foderstater!$AB$71:$AT$71,0))</f>
        <v>0</v>
      </c>
    </row>
    <row r="737" spans="1:14" x14ac:dyDescent="0.25">
      <c r="A737" t="s">
        <v>36</v>
      </c>
      <c r="E737" t="s">
        <v>17</v>
      </c>
      <c r="F737" t="str">
        <f>Foderstater!Y$101</f>
        <v>rye bran</v>
      </c>
      <c r="J737" t="s">
        <v>307</v>
      </c>
      <c r="K737" s="13">
        <f>INDEX(Foderstater!$AB$72:$AT$110,MATCH(F737,Foderstater!$Y$72:$Y$110,0),MATCH(A737&amp;B737&amp;C737&amp;E737,Foderstater!$AB$71:$AT$71,0))</f>
        <v>0</v>
      </c>
    </row>
    <row r="738" spans="1:14" x14ac:dyDescent="0.25">
      <c r="A738" t="s">
        <v>36</v>
      </c>
      <c r="E738" t="s">
        <v>17</v>
      </c>
      <c r="F738" t="str">
        <f>Foderstater!Y$102</f>
        <v>wheat distillers grain, dry</v>
      </c>
      <c r="J738" t="s">
        <v>307</v>
      </c>
      <c r="K738" s="13">
        <f>INDEX(Foderstater!$AB$72:$AT$110,MATCH(F738,Foderstater!$Y$72:$Y$110,0),MATCH(A738&amp;B738&amp;C738&amp;E738,Foderstater!$AB$71:$AT$71,0))</f>
        <v>0</v>
      </c>
    </row>
    <row r="739" spans="1:14" x14ac:dyDescent="0.25">
      <c r="A739" t="s">
        <v>36</v>
      </c>
      <c r="E739" t="s">
        <v>17</v>
      </c>
      <c r="F739" t="str">
        <f>Foderstater!Y$103</f>
        <v>barley brewers grain</v>
      </c>
      <c r="J739" t="s">
        <v>307</v>
      </c>
      <c r="K739" s="13">
        <f>INDEX(Foderstater!$AB$72:$AT$110,MATCH(F739,Foderstater!$Y$72:$Y$110,0),MATCH(A739&amp;B739&amp;C739&amp;E739,Foderstater!$AB$71:$AT$71,0))</f>
        <v>0</v>
      </c>
    </row>
    <row r="740" spans="1:14" x14ac:dyDescent="0.25">
      <c r="A740" t="s">
        <v>36</v>
      </c>
      <c r="E740" t="s">
        <v>17</v>
      </c>
      <c r="F740" t="str">
        <f>Foderstater!Y$104</f>
        <v>maize gluten meal</v>
      </c>
      <c r="J740" t="s">
        <v>307</v>
      </c>
      <c r="K740" s="13">
        <f>INDEX(Foderstater!$AB$72:$AT$110,MATCH(F740,Foderstater!$Y$72:$Y$110,0),MATCH(A740&amp;B740&amp;C740&amp;E740,Foderstater!$AB$71:$AT$71,0))</f>
        <v>0</v>
      </c>
    </row>
    <row r="741" spans="1:14" x14ac:dyDescent="0.25">
      <c r="A741" t="s">
        <v>36</v>
      </c>
      <c r="E741" t="s">
        <v>17</v>
      </c>
      <c r="F741" t="str">
        <f>Foderstater!Y$105</f>
        <v>sugar beet molasses</v>
      </c>
      <c r="J741" t="s">
        <v>307</v>
      </c>
      <c r="K741" s="13">
        <f>INDEX(Foderstater!$AB$72:$AT$110,MATCH(F741,Foderstater!$Y$72:$Y$110,0),MATCH(A741&amp;B741&amp;C741&amp;E741,Foderstater!$AB$71:$AT$71,0))</f>
        <v>0</v>
      </c>
    </row>
    <row r="742" spans="1:14" x14ac:dyDescent="0.25">
      <c r="A742" t="s">
        <v>36</v>
      </c>
      <c r="E742" t="s">
        <v>17</v>
      </c>
      <c r="F742" t="str">
        <f>Foderstater!Y$106</f>
        <v>sugar beet pulp</v>
      </c>
      <c r="J742" t="s">
        <v>307</v>
      </c>
      <c r="K742" s="13">
        <f>INDEX(Foderstater!$AB$72:$AT$110,MATCH(F742,Foderstater!$Y$72:$Y$110,0),MATCH(A742&amp;B742&amp;C742&amp;E742,Foderstater!$AB$71:$AT$71,0))</f>
        <v>0</v>
      </c>
    </row>
    <row r="743" spans="1:14" x14ac:dyDescent="0.25">
      <c r="A743" t="s">
        <v>36</v>
      </c>
      <c r="E743" t="s">
        <v>17</v>
      </c>
      <c r="F743" t="str">
        <f>Foderstater!Y$107</f>
        <v>whey powder</v>
      </c>
      <c r="J743" t="s">
        <v>307</v>
      </c>
      <c r="K743" s="13">
        <f>INDEX(Foderstater!$AB$72:$AT$110,MATCH(F743,Foderstater!$Y$72:$Y$110,0),MATCH(A743&amp;B743&amp;C743&amp;E743,Foderstater!$AB$71:$AT$71,0))</f>
        <v>0</v>
      </c>
    </row>
    <row r="744" spans="1:14" x14ac:dyDescent="0.25">
      <c r="A744" t="s">
        <v>36</v>
      </c>
      <c r="E744" t="s">
        <v>17</v>
      </c>
      <c r="F744" t="str">
        <f>Foderstater!Y$108</f>
        <v>potatoe protein</v>
      </c>
      <c r="J744" t="s">
        <v>307</v>
      </c>
      <c r="K744" s="13">
        <f>INDEX(Foderstater!$AB$72:$AT$110,MATCH(F744,Foderstater!$Y$72:$Y$110,0),MATCH(A744&amp;B744&amp;C744&amp;E744,Foderstater!$AB$71:$AT$71,0))</f>
        <v>0</v>
      </c>
    </row>
    <row r="745" spans="1:14" x14ac:dyDescent="0.25">
      <c r="A745" t="s">
        <v>36</v>
      </c>
      <c r="E745" t="s">
        <v>17</v>
      </c>
      <c r="F745" t="str">
        <f>Foderstater!Y$109</f>
        <v>fish meal</v>
      </c>
      <c r="J745" t="s">
        <v>307</v>
      </c>
      <c r="K745" s="13">
        <f>INDEX(Foderstater!$AB$72:$AT$110,MATCH(F745,Foderstater!$Y$72:$Y$110,0),MATCH(A745&amp;B745&amp;C745&amp;E745,Foderstater!$AB$71:$AT$71,0))</f>
        <v>0</v>
      </c>
    </row>
    <row r="746" spans="1:14" x14ac:dyDescent="0.25">
      <c r="A746" t="s">
        <v>36</v>
      </c>
      <c r="E746" t="s">
        <v>17</v>
      </c>
      <c r="F746" t="str">
        <f>Foderstater!Y$110</f>
        <v>minerals</v>
      </c>
      <c r="J746" t="s">
        <v>307</v>
      </c>
      <c r="K746" s="13">
        <f>INDEX(Foderstater!$AB$72:$AT$110,MATCH(F746,Foderstater!$Y$72:$Y$110,0),MATCH(A746&amp;B746&amp;C746&amp;E746,Foderstater!$AB$71:$AT$71,0))</f>
        <v>0.85909167246946194</v>
      </c>
    </row>
    <row r="747" spans="1:14" x14ac:dyDescent="0.25">
      <c r="K747" s="13"/>
    </row>
    <row r="748" spans="1:14" x14ac:dyDescent="0.25">
      <c r="A748" s="91" t="s">
        <v>625</v>
      </c>
      <c r="B748" s="160"/>
      <c r="C748" s="160"/>
      <c r="D748" s="90"/>
      <c r="E748" s="90"/>
      <c r="F748" s="90"/>
      <c r="G748" s="90"/>
      <c r="H748" s="90"/>
      <c r="I748" s="90"/>
      <c r="J748" s="90"/>
      <c r="K748" s="161"/>
      <c r="L748" s="90"/>
      <c r="M748" s="90"/>
      <c r="N748" s="90"/>
    </row>
    <row r="749" spans="1:14" x14ac:dyDescent="0.25">
      <c r="A749" s="157" t="s">
        <v>36</v>
      </c>
      <c r="B749" s="157"/>
      <c r="C749" s="157"/>
      <c r="D749" s="157"/>
      <c r="E749" s="157" t="s">
        <v>399</v>
      </c>
      <c r="F749" s="157"/>
      <c r="G749" s="157"/>
      <c r="H749" s="157"/>
      <c r="I749" s="157"/>
      <c r="J749" s="157" t="s">
        <v>307</v>
      </c>
      <c r="K749" s="157">
        <v>0</v>
      </c>
      <c r="L749" s="157"/>
      <c r="M749" s="157" t="s">
        <v>398</v>
      </c>
    </row>
    <row r="750" spans="1:14" x14ac:dyDescent="0.25">
      <c r="A750" s="110" t="s">
        <v>36</v>
      </c>
      <c r="B750" s="110"/>
      <c r="C750" s="110"/>
      <c r="D750" s="110"/>
      <c r="E750" s="110" t="s">
        <v>399</v>
      </c>
      <c r="F750" t="str">
        <f>Foderstater!Y$72</f>
        <v>ley silage, 1st cut</v>
      </c>
      <c r="J750" t="s">
        <v>307</v>
      </c>
      <c r="K750" s="13">
        <f>INDEX(Foderstater!$AB$72:$AT$110,MATCH(F750,Foderstater!$Y$72:$Y$110,0),MATCH(A750&amp;B750&amp;C750&amp;E750,Foderstater!$AB$71:$AT$71,0))</f>
        <v>0</v>
      </c>
      <c r="L750" s="157"/>
      <c r="M750" s="110"/>
    </row>
    <row r="751" spans="1:14" x14ac:dyDescent="0.25">
      <c r="A751" s="110" t="s">
        <v>36</v>
      </c>
      <c r="B751" s="110"/>
      <c r="C751" s="110"/>
      <c r="D751" s="110"/>
      <c r="E751" s="110" t="s">
        <v>399</v>
      </c>
      <c r="F751" t="str">
        <f>Foderstater!Y$73</f>
        <v>ley silage, regrowth</v>
      </c>
      <c r="J751" t="s">
        <v>307</v>
      </c>
      <c r="K751" s="13">
        <f>INDEX(Foderstater!$AB$72:$AT$110,MATCH(F751,Foderstater!$Y$72:$Y$110,0),MATCH(A751&amp;B751&amp;C751&amp;E751,Foderstater!$AB$71:$AT$71,0))</f>
        <v>7.0178130628008537</v>
      </c>
    </row>
    <row r="752" spans="1:14" x14ac:dyDescent="0.25">
      <c r="A752" s="110" t="s">
        <v>36</v>
      </c>
      <c r="B752" s="110"/>
      <c r="C752" s="110"/>
      <c r="D752" s="110"/>
      <c r="E752" s="110" t="s">
        <v>399</v>
      </c>
      <c r="F752" t="str">
        <f>Foderstater!Y$74</f>
        <v>other silage</v>
      </c>
      <c r="J752" t="s">
        <v>307</v>
      </c>
      <c r="K752" s="13">
        <f>INDEX(Foderstater!$AB$72:$AT$110,MATCH(F752,Foderstater!$Y$72:$Y$110,0),MATCH(A752&amp;B752&amp;C752&amp;E752,Foderstater!$AB$71:$AT$71,0))</f>
        <v>41.192418289263692</v>
      </c>
    </row>
    <row r="753" spans="1:11" x14ac:dyDescent="0.25">
      <c r="A753" s="110" t="s">
        <v>36</v>
      </c>
      <c r="B753" s="110"/>
      <c r="C753" s="110"/>
      <c r="D753" s="110"/>
      <c r="E753" s="110" t="s">
        <v>399</v>
      </c>
      <c r="F753" t="str">
        <f>Foderstater!Y$75</f>
        <v>maize silage</v>
      </c>
      <c r="J753" t="s">
        <v>307</v>
      </c>
      <c r="K753" s="13">
        <f>INDEX(Foderstater!$AB$72:$AT$110,MATCH(F753,Foderstater!$Y$72:$Y$110,0),MATCH(A753&amp;B753&amp;C753&amp;E753,Foderstater!$AB$71:$AT$71,0))</f>
        <v>0</v>
      </c>
    </row>
    <row r="754" spans="1:11" x14ac:dyDescent="0.25">
      <c r="A754" s="110" t="s">
        <v>36</v>
      </c>
      <c r="B754" s="110"/>
      <c r="C754" s="110"/>
      <c r="D754" s="110"/>
      <c r="E754" s="110" t="s">
        <v>399</v>
      </c>
      <c r="F754" t="str">
        <f>Foderstater!Y$76</f>
        <v>straw</v>
      </c>
      <c r="J754" t="s">
        <v>307</v>
      </c>
      <c r="K754" s="13">
        <f>INDEX(Foderstater!$AB$72:$AT$110,MATCH(F754,Foderstater!$Y$72:$Y$110,0),MATCH(A754&amp;B754&amp;C754&amp;E754,Foderstater!$AB$71:$AT$71,0))</f>
        <v>0.67138025374082655</v>
      </c>
    </row>
    <row r="755" spans="1:11" x14ac:dyDescent="0.25">
      <c r="A755" s="110" t="s">
        <v>36</v>
      </c>
      <c r="B755" s="110"/>
      <c r="C755" s="110"/>
      <c r="D755" s="110"/>
      <c r="E755" s="110" t="s">
        <v>399</v>
      </c>
      <c r="F755" t="str">
        <f>Foderstater!Y$77</f>
        <v>grazing</v>
      </c>
      <c r="J755" t="s">
        <v>307</v>
      </c>
      <c r="K755" s="13">
        <f>INDEX(Foderstater!$AB$72:$AT$110,MATCH(F755,Foderstater!$Y$72:$Y$110,0),MATCH(A755&amp;B755&amp;C755&amp;E755,Foderstater!$AB$71:$AT$71,0))</f>
        <v>50.052481882315824</v>
      </c>
    </row>
    <row r="756" spans="1:11" x14ac:dyDescent="0.25">
      <c r="A756" s="110" t="s">
        <v>36</v>
      </c>
      <c r="B756" s="110"/>
      <c r="C756" s="110"/>
      <c r="D756" s="110"/>
      <c r="E756" s="110" t="s">
        <v>399</v>
      </c>
      <c r="F756" t="str">
        <f>Foderstater!Y$78</f>
        <v>wheat</v>
      </c>
      <c r="J756" t="s">
        <v>307</v>
      </c>
      <c r="K756" s="13">
        <f>INDEX(Foderstater!$AB$72:$AT$110,MATCH(F756,Foderstater!$Y$72:$Y$110,0),MATCH(A756&amp;B756&amp;C756&amp;E756,Foderstater!$AB$71:$AT$71,0))</f>
        <v>0</v>
      </c>
    </row>
    <row r="757" spans="1:11" x14ac:dyDescent="0.25">
      <c r="A757" s="110" t="s">
        <v>36</v>
      </c>
      <c r="B757" s="110"/>
      <c r="C757" s="110"/>
      <c r="D757" s="110"/>
      <c r="E757" s="110" t="s">
        <v>399</v>
      </c>
      <c r="F757" t="str">
        <f>Foderstater!Y$79</f>
        <v>barley</v>
      </c>
      <c r="J757" t="s">
        <v>307</v>
      </c>
      <c r="K757" s="13">
        <f>INDEX(Foderstater!$AB$72:$AT$110,MATCH(F757,Foderstater!$Y$72:$Y$110,0),MATCH(A757&amp;B757&amp;C757&amp;E757,Foderstater!$AB$71:$AT$71,0))</f>
        <v>0</v>
      </c>
    </row>
    <row r="758" spans="1:11" x14ac:dyDescent="0.25">
      <c r="A758" s="110" t="s">
        <v>36</v>
      </c>
      <c r="B758" s="110"/>
      <c r="C758" s="110"/>
      <c r="D758" s="110"/>
      <c r="E758" s="110" t="s">
        <v>399</v>
      </c>
      <c r="F758" t="str">
        <f>Foderstater!Y$80</f>
        <v>oats</v>
      </c>
      <c r="J758" t="s">
        <v>307</v>
      </c>
      <c r="K758" s="13">
        <f>INDEX(Foderstater!$AB$72:$AT$110,MATCH(F758,Foderstater!$Y$72:$Y$110,0),MATCH(A758&amp;B758&amp;C758&amp;E758,Foderstater!$AB$71:$AT$71,0))</f>
        <v>0</v>
      </c>
    </row>
    <row r="759" spans="1:11" x14ac:dyDescent="0.25">
      <c r="A759" s="110" t="s">
        <v>36</v>
      </c>
      <c r="B759" s="110"/>
      <c r="C759" s="110"/>
      <c r="D759" s="110"/>
      <c r="E759" s="110" t="s">
        <v>399</v>
      </c>
      <c r="F759" t="str">
        <f>Foderstater!Y$81</f>
        <v>triticale</v>
      </c>
      <c r="J759" t="s">
        <v>307</v>
      </c>
      <c r="K759" s="13">
        <f>INDEX(Foderstater!$AB$72:$AT$110,MATCH(F759,Foderstater!$Y$72:$Y$110,0),MATCH(A759&amp;B759&amp;C759&amp;E759,Foderstater!$AB$71:$AT$71,0))</f>
        <v>0</v>
      </c>
    </row>
    <row r="760" spans="1:11" x14ac:dyDescent="0.25">
      <c r="A760" s="110" t="s">
        <v>36</v>
      </c>
      <c r="B760" s="110"/>
      <c r="C760" s="110"/>
      <c r="D760" s="110"/>
      <c r="E760" s="110" t="s">
        <v>399</v>
      </c>
      <c r="F760" t="str">
        <f>Foderstater!Y$82</f>
        <v>rye</v>
      </c>
      <c r="J760" t="s">
        <v>307</v>
      </c>
      <c r="K760" s="13">
        <f>INDEX(Foderstater!$AB$72:$AT$110,MATCH(F760,Foderstater!$Y$72:$Y$110,0),MATCH(A760&amp;B760&amp;C760&amp;E760,Foderstater!$AB$71:$AT$71,0))</f>
        <v>0</v>
      </c>
    </row>
    <row r="761" spans="1:11" x14ac:dyDescent="0.25">
      <c r="A761" s="110" t="s">
        <v>36</v>
      </c>
      <c r="B761" s="110"/>
      <c r="C761" s="110"/>
      <c r="D761" s="110"/>
      <c r="E761" s="110" t="s">
        <v>399</v>
      </c>
      <c r="F761" t="str">
        <f>Foderstater!Y$83</f>
        <v>maize</v>
      </c>
      <c r="J761" t="s">
        <v>307</v>
      </c>
      <c r="K761" s="13">
        <f>INDEX(Foderstater!$AB$72:$AT$110,MATCH(F761,Foderstater!$Y$72:$Y$110,0),MATCH(A761&amp;B761&amp;C761&amp;E761,Foderstater!$AB$71:$AT$71,0))</f>
        <v>0</v>
      </c>
    </row>
    <row r="762" spans="1:11" x14ac:dyDescent="0.25">
      <c r="A762" s="110" t="s">
        <v>36</v>
      </c>
      <c r="B762" s="110"/>
      <c r="C762" s="110"/>
      <c r="D762" s="110"/>
      <c r="E762" s="110" t="s">
        <v>399</v>
      </c>
      <c r="F762" t="str">
        <f>Foderstater!Y$84</f>
        <v>peas</v>
      </c>
      <c r="J762" t="s">
        <v>307</v>
      </c>
      <c r="K762" s="13">
        <f>INDEX(Foderstater!$AB$72:$AT$110,MATCH(F762,Foderstater!$Y$72:$Y$110,0),MATCH(A762&amp;B762&amp;C762&amp;E762,Foderstater!$AB$71:$AT$71,0))</f>
        <v>0</v>
      </c>
    </row>
    <row r="763" spans="1:11" x14ac:dyDescent="0.25">
      <c r="A763" s="110" t="s">
        <v>36</v>
      </c>
      <c r="B763" s="110"/>
      <c r="C763" s="110"/>
      <c r="D763" s="110"/>
      <c r="E763" s="110" t="s">
        <v>399</v>
      </c>
      <c r="F763" t="str">
        <f>Foderstater!Y$85</f>
        <v>broad beans</v>
      </c>
      <c r="J763" t="s">
        <v>307</v>
      </c>
      <c r="K763" s="13">
        <f>INDEX(Foderstater!$AB$72:$AT$110,MATCH(F763,Foderstater!$Y$72:$Y$110,0),MATCH(A763&amp;B763&amp;C763&amp;E763,Foderstater!$AB$71:$AT$71,0))</f>
        <v>0</v>
      </c>
    </row>
    <row r="764" spans="1:11" x14ac:dyDescent="0.25">
      <c r="A764" s="110" t="s">
        <v>36</v>
      </c>
      <c r="B764" s="110"/>
      <c r="C764" s="110"/>
      <c r="D764" s="110"/>
      <c r="E764" s="110" t="s">
        <v>399</v>
      </c>
      <c r="F764" t="str">
        <f>Foderstater!Y$86</f>
        <v>rapeseed</v>
      </c>
      <c r="J764" t="s">
        <v>307</v>
      </c>
      <c r="K764" s="13">
        <f>INDEX(Foderstater!$AB$72:$AT$110,MATCH(F764,Foderstater!$Y$72:$Y$110,0),MATCH(A764&amp;B764&amp;C764&amp;E764,Foderstater!$AB$71:$AT$71,0))</f>
        <v>0</v>
      </c>
    </row>
    <row r="765" spans="1:11" x14ac:dyDescent="0.25">
      <c r="A765" s="110" t="s">
        <v>36</v>
      </c>
      <c r="B765" s="110"/>
      <c r="C765" s="110"/>
      <c r="D765" s="110"/>
      <c r="E765" s="110" t="s">
        <v>399</v>
      </c>
      <c r="F765" t="str">
        <f>Foderstater!Y$87</f>
        <v>linseed</v>
      </c>
      <c r="J765" t="s">
        <v>307</v>
      </c>
      <c r="K765" s="13">
        <f>INDEX(Foderstater!$AB$72:$AT$110,MATCH(F765,Foderstater!$Y$72:$Y$110,0),MATCH(A765&amp;B765&amp;C765&amp;E765,Foderstater!$AB$71:$AT$71,0))</f>
        <v>0</v>
      </c>
    </row>
    <row r="766" spans="1:11" x14ac:dyDescent="0.25">
      <c r="A766" s="110" t="s">
        <v>36</v>
      </c>
      <c r="B766" s="110"/>
      <c r="C766" s="110"/>
      <c r="D766" s="110"/>
      <c r="E766" s="110" t="s">
        <v>399</v>
      </c>
      <c r="F766" t="str">
        <f>Foderstater!Y$88</f>
        <v>vegetable oils</v>
      </c>
      <c r="J766" t="s">
        <v>307</v>
      </c>
      <c r="K766" s="13">
        <f>INDEX(Foderstater!$AB$72:$AT$110,MATCH(F766,Foderstater!$Y$72:$Y$110,0),MATCH(A766&amp;B766&amp;C766&amp;E766,Foderstater!$AB$71:$AT$71,0))</f>
        <v>0</v>
      </c>
    </row>
    <row r="767" spans="1:11" x14ac:dyDescent="0.25">
      <c r="A767" s="110" t="s">
        <v>36</v>
      </c>
      <c r="B767" s="110"/>
      <c r="C767" s="110"/>
      <c r="D767" s="110"/>
      <c r="E767" s="110" t="s">
        <v>399</v>
      </c>
      <c r="F767" t="str">
        <f>Foderstater!Y$89</f>
        <v>soybeans</v>
      </c>
      <c r="J767" t="s">
        <v>307</v>
      </c>
      <c r="K767" s="13">
        <f>INDEX(Foderstater!$AB$72:$AT$110,MATCH(F767,Foderstater!$Y$72:$Y$110,0),MATCH(A767&amp;B767&amp;C767&amp;E767,Foderstater!$AB$71:$AT$71,0))</f>
        <v>0</v>
      </c>
    </row>
    <row r="768" spans="1:11" x14ac:dyDescent="0.25">
      <c r="A768" s="110" t="s">
        <v>36</v>
      </c>
      <c r="B768" s="110"/>
      <c r="C768" s="110"/>
      <c r="D768" s="110"/>
      <c r="E768" s="110" t="s">
        <v>399</v>
      </c>
      <c r="F768" t="str">
        <f>Foderstater!Y$90</f>
        <v>soybean meal</v>
      </c>
      <c r="J768" t="s">
        <v>307</v>
      </c>
      <c r="K768" s="13">
        <f>INDEX(Foderstater!$AB$72:$AT$110,MATCH(F768,Foderstater!$Y$72:$Y$110,0),MATCH(A768&amp;B768&amp;C768&amp;E768,Foderstater!$AB$71:$AT$71,0))</f>
        <v>0</v>
      </c>
    </row>
    <row r="769" spans="1:13" x14ac:dyDescent="0.25">
      <c r="A769" s="110" t="s">
        <v>36</v>
      </c>
      <c r="B769" s="110"/>
      <c r="C769" s="110"/>
      <c r="D769" s="110"/>
      <c r="E769" s="110" t="s">
        <v>399</v>
      </c>
      <c r="F769" t="str">
        <f>Foderstater!Y$91</f>
        <v>soybean protein concentrate</v>
      </c>
      <c r="J769" t="s">
        <v>307</v>
      </c>
      <c r="K769" s="13">
        <f>INDEX(Foderstater!$AB$72:$AT$110,MATCH(F769,Foderstater!$Y$72:$Y$110,0),MATCH(A769&amp;B769&amp;C769&amp;E769,Foderstater!$AB$71:$AT$71,0))</f>
        <v>0</v>
      </c>
    </row>
    <row r="770" spans="1:13" x14ac:dyDescent="0.25">
      <c r="A770" s="110" t="s">
        <v>36</v>
      </c>
      <c r="B770" s="110"/>
      <c r="C770" s="110"/>
      <c r="D770" s="110"/>
      <c r="E770" s="110" t="s">
        <v>399</v>
      </c>
      <c r="F770" t="str">
        <f>Foderstater!Y$92</f>
        <v>rapeseed meal</v>
      </c>
      <c r="J770" t="s">
        <v>307</v>
      </c>
      <c r="K770" s="13">
        <f>INDEX(Foderstater!$AB$72:$AT$110,MATCH(F770,Foderstater!$Y$72:$Y$110,0),MATCH(A770&amp;C770&amp;E770,Foderstater!$AB$71:$AT$71,0))</f>
        <v>0</v>
      </c>
    </row>
    <row r="771" spans="1:13" x14ac:dyDescent="0.25">
      <c r="A771" s="266" t="s">
        <v>36</v>
      </c>
      <c r="B771" s="266"/>
      <c r="C771" s="266"/>
      <c r="D771" s="266"/>
      <c r="E771" s="266" t="s">
        <v>399</v>
      </c>
      <c r="F771" s="266" t="s">
        <v>601</v>
      </c>
      <c r="J771" s="266" t="str">
        <f>J770</f>
        <v>share_in_ration</v>
      </c>
      <c r="K771" s="267">
        <f>K770</f>
        <v>0</v>
      </c>
      <c r="M771" s="266" t="s">
        <v>602</v>
      </c>
    </row>
    <row r="772" spans="1:13" x14ac:dyDescent="0.25">
      <c r="A772" s="110" t="s">
        <v>36</v>
      </c>
      <c r="B772" s="110"/>
      <c r="C772" s="110"/>
      <c r="D772" s="110"/>
      <c r="E772" s="110" t="s">
        <v>399</v>
      </c>
      <c r="F772" t="str">
        <f>Foderstater!Y$94</f>
        <v>sunflower seed meal</v>
      </c>
      <c r="J772" t="s">
        <v>307</v>
      </c>
      <c r="K772" s="13">
        <f>INDEX(Foderstater!$AB$72:$AT$110,MATCH(F772,Foderstater!$Y$72:$Y$110,0),MATCH(A772&amp;B772&amp;C772&amp;E772,Foderstater!$AB$71:$AT$71,0))</f>
        <v>0</v>
      </c>
    </row>
    <row r="773" spans="1:13" x14ac:dyDescent="0.25">
      <c r="A773" s="110" t="s">
        <v>36</v>
      </c>
      <c r="B773" s="110"/>
      <c r="C773" s="110"/>
      <c r="D773" s="110"/>
      <c r="E773" s="110" t="s">
        <v>399</v>
      </c>
      <c r="F773" t="str">
        <f>Foderstater!Y$95</f>
        <v>palm kernel expeller</v>
      </c>
      <c r="J773" t="s">
        <v>307</v>
      </c>
      <c r="K773" s="13">
        <f>INDEX(Foderstater!$AB$72:$AT$110,MATCH(F773,Foderstater!$Y$72:$Y$110,0),MATCH(A773&amp;B773&amp;C773&amp;E773,Foderstater!$AB$71:$AT$71,0))</f>
        <v>0</v>
      </c>
    </row>
    <row r="774" spans="1:13" x14ac:dyDescent="0.25">
      <c r="A774" s="110" t="s">
        <v>36</v>
      </c>
      <c r="B774" s="110"/>
      <c r="C774" s="110"/>
      <c r="D774" s="110"/>
      <c r="E774" s="110" t="s">
        <v>399</v>
      </c>
      <c r="F774" t="str">
        <f>Foderstater!Y$96</f>
        <v>luzern meal</v>
      </c>
      <c r="J774" t="s">
        <v>307</v>
      </c>
      <c r="K774" s="13">
        <f>INDEX(Foderstater!$AB$72:$AT$110,MATCH(F774,Foderstater!$Y$72:$Y$110,0),MATCH(A774&amp;B774&amp;C774&amp;E774,Foderstater!$AB$71:$AT$71,0))</f>
        <v>0</v>
      </c>
    </row>
    <row r="775" spans="1:13" x14ac:dyDescent="0.25">
      <c r="A775" s="110" t="s">
        <v>36</v>
      </c>
      <c r="B775" s="110"/>
      <c r="C775" s="110"/>
      <c r="D775" s="110"/>
      <c r="E775" s="110" t="s">
        <v>399</v>
      </c>
      <c r="F775" t="str">
        <f>Foderstater!Y$97</f>
        <v>wheat bran</v>
      </c>
      <c r="J775" t="s">
        <v>307</v>
      </c>
      <c r="K775" s="13">
        <f>INDEX(Foderstater!$AB$72:$AT$110,MATCH(F775,Foderstater!$Y$72:$Y$110,0),MATCH(A775&amp;B775&amp;C775&amp;E775,Foderstater!$AB$71:$AT$71,0))</f>
        <v>0</v>
      </c>
    </row>
    <row r="776" spans="1:13" x14ac:dyDescent="0.25">
      <c r="A776" s="110" t="s">
        <v>36</v>
      </c>
      <c r="B776" s="110"/>
      <c r="C776" s="110"/>
      <c r="D776" s="110"/>
      <c r="E776" s="110" t="s">
        <v>399</v>
      </c>
      <c r="F776" t="str">
        <f>Foderstater!Y$98</f>
        <v>wheat bran, fine</v>
      </c>
      <c r="J776" t="s">
        <v>307</v>
      </c>
      <c r="K776" s="13">
        <f>INDEX(Foderstater!$AB$72:$AT$110,MATCH(F776,Foderstater!$Y$72:$Y$110,0),MATCH(A776&amp;B776&amp;C776&amp;E776,Foderstater!$AB$71:$AT$71,0))</f>
        <v>0</v>
      </c>
    </row>
    <row r="777" spans="1:13" x14ac:dyDescent="0.25">
      <c r="A777" s="110" t="s">
        <v>36</v>
      </c>
      <c r="B777" s="110"/>
      <c r="C777" s="110"/>
      <c r="D777" s="110"/>
      <c r="E777" s="110" t="s">
        <v>399</v>
      </c>
      <c r="F777" t="str">
        <f>Foderstater!Y$99</f>
        <v>oat hulls</v>
      </c>
      <c r="J777" t="s">
        <v>307</v>
      </c>
      <c r="K777" s="13">
        <f>INDEX(Foderstater!$AB$72:$AT$110,MATCH(F777,Foderstater!$Y$72:$Y$110,0),MATCH(A777&amp;B777&amp;C777&amp;E777,Foderstater!$AB$71:$AT$71,0))</f>
        <v>0</v>
      </c>
    </row>
    <row r="778" spans="1:13" x14ac:dyDescent="0.25">
      <c r="A778" s="110" t="s">
        <v>36</v>
      </c>
      <c r="B778" s="110"/>
      <c r="C778" s="110"/>
      <c r="D778" s="110"/>
      <c r="E778" s="110" t="s">
        <v>399</v>
      </c>
      <c r="F778" t="str">
        <f>Foderstater!Y$100</f>
        <v>oat bran</v>
      </c>
      <c r="J778" t="s">
        <v>307</v>
      </c>
      <c r="K778" s="13">
        <f>INDEX(Foderstater!$AB$72:$AT$110,MATCH(F778,Foderstater!$Y$72:$Y$110,0),MATCH(A778&amp;B778&amp;C778&amp;E778,Foderstater!$AB$71:$AT$71,0))</f>
        <v>0</v>
      </c>
    </row>
    <row r="779" spans="1:13" x14ac:dyDescent="0.25">
      <c r="A779" s="110" t="s">
        <v>36</v>
      </c>
      <c r="B779" s="110"/>
      <c r="C779" s="110"/>
      <c r="D779" s="110"/>
      <c r="E779" s="110" t="s">
        <v>399</v>
      </c>
      <c r="F779" t="str">
        <f>Foderstater!Y$101</f>
        <v>rye bran</v>
      </c>
      <c r="J779" t="s">
        <v>307</v>
      </c>
      <c r="K779" s="13">
        <f>INDEX(Foderstater!$AB$72:$AT$110,MATCH(F779,Foderstater!$Y$72:$Y$110,0),MATCH(A779&amp;B779&amp;C779&amp;E779,Foderstater!$AB$71:$AT$71,0))</f>
        <v>0</v>
      </c>
    </row>
    <row r="780" spans="1:13" x14ac:dyDescent="0.25">
      <c r="A780" s="110" t="s">
        <v>36</v>
      </c>
      <c r="B780" s="110"/>
      <c r="C780" s="110"/>
      <c r="D780" s="110"/>
      <c r="E780" s="110" t="s">
        <v>399</v>
      </c>
      <c r="F780" t="str">
        <f>Foderstater!Y$102</f>
        <v>wheat distillers grain, dry</v>
      </c>
      <c r="J780" t="s">
        <v>307</v>
      </c>
      <c r="K780" s="13">
        <f>INDEX(Foderstater!$AB$72:$AT$110,MATCH(F780,Foderstater!$Y$72:$Y$110,0),MATCH(A780&amp;B780&amp;C780&amp;E780,Foderstater!$AB$71:$AT$71,0))</f>
        <v>0</v>
      </c>
    </row>
    <row r="781" spans="1:13" x14ac:dyDescent="0.25">
      <c r="A781" s="110" t="s">
        <v>36</v>
      </c>
      <c r="B781" s="110"/>
      <c r="C781" s="110"/>
      <c r="D781" s="110"/>
      <c r="E781" s="110" t="s">
        <v>399</v>
      </c>
      <c r="F781" t="str">
        <f>Foderstater!Y$103</f>
        <v>barley brewers grain</v>
      </c>
      <c r="J781" t="s">
        <v>307</v>
      </c>
      <c r="K781" s="13">
        <f>INDEX(Foderstater!$AB$72:$AT$110,MATCH(F781,Foderstater!$Y$72:$Y$110,0),MATCH(A781&amp;B781&amp;C781&amp;E781,Foderstater!$AB$71:$AT$71,0))</f>
        <v>0</v>
      </c>
    </row>
    <row r="782" spans="1:13" x14ac:dyDescent="0.25">
      <c r="A782" s="110" t="s">
        <v>36</v>
      </c>
      <c r="B782" s="110"/>
      <c r="C782" s="110"/>
      <c r="D782" s="110"/>
      <c r="E782" s="110" t="s">
        <v>399</v>
      </c>
      <c r="F782" t="str">
        <f>Foderstater!Y$104</f>
        <v>maize gluten meal</v>
      </c>
      <c r="J782" t="s">
        <v>307</v>
      </c>
      <c r="K782" s="13">
        <f>INDEX(Foderstater!$AB$72:$AT$110,MATCH(F782,Foderstater!$Y$72:$Y$110,0),MATCH(A782&amp;B782&amp;C782&amp;E782,Foderstater!$AB$71:$AT$71,0))</f>
        <v>0</v>
      </c>
    </row>
    <row r="783" spans="1:13" x14ac:dyDescent="0.25">
      <c r="A783" s="110" t="s">
        <v>36</v>
      </c>
      <c r="B783" s="110"/>
      <c r="C783" s="110"/>
      <c r="D783" s="110"/>
      <c r="E783" s="110" t="s">
        <v>399</v>
      </c>
      <c r="F783" t="str">
        <f>Foderstater!Y$105</f>
        <v>sugar beet molasses</v>
      </c>
      <c r="J783" t="s">
        <v>307</v>
      </c>
      <c r="K783" s="13">
        <f>INDEX(Foderstater!$AB$72:$AT$110,MATCH(F783,Foderstater!$Y$72:$Y$110,0),MATCH(A783&amp;B783&amp;C783&amp;E783,Foderstater!$AB$71:$AT$71,0))</f>
        <v>0</v>
      </c>
    </row>
    <row r="784" spans="1:13" x14ac:dyDescent="0.25">
      <c r="A784" s="110" t="s">
        <v>36</v>
      </c>
      <c r="B784" s="110"/>
      <c r="C784" s="110"/>
      <c r="D784" s="110"/>
      <c r="E784" s="110" t="s">
        <v>399</v>
      </c>
      <c r="F784" t="str">
        <f>Foderstater!Y$106</f>
        <v>sugar beet pulp</v>
      </c>
      <c r="J784" t="s">
        <v>307</v>
      </c>
      <c r="K784" s="13">
        <f>INDEX(Foderstater!$AB$72:$AT$110,MATCH(F784,Foderstater!$Y$72:$Y$110,0),MATCH(A784&amp;B784&amp;C784&amp;E784,Foderstater!$AB$71:$AT$71,0))</f>
        <v>0</v>
      </c>
    </row>
    <row r="785" spans="1:14" x14ac:dyDescent="0.25">
      <c r="A785" s="110" t="s">
        <v>36</v>
      </c>
      <c r="B785" s="110"/>
      <c r="C785" s="110"/>
      <c r="D785" s="110"/>
      <c r="E785" s="110" t="s">
        <v>399</v>
      </c>
      <c r="F785" t="str">
        <f>Foderstater!Y$107</f>
        <v>whey powder</v>
      </c>
      <c r="J785" t="s">
        <v>307</v>
      </c>
      <c r="K785" s="13">
        <f>INDEX(Foderstater!$AB$72:$AT$110,MATCH(F785,Foderstater!$Y$72:$Y$110,0),MATCH(A785&amp;B785&amp;C785&amp;E785,Foderstater!$AB$71:$AT$71,0))</f>
        <v>0</v>
      </c>
    </row>
    <row r="786" spans="1:14" x14ac:dyDescent="0.25">
      <c r="A786" s="110" t="s">
        <v>36</v>
      </c>
      <c r="B786" s="110"/>
      <c r="C786" s="110"/>
      <c r="D786" s="110"/>
      <c r="E786" s="110" t="s">
        <v>399</v>
      </c>
      <c r="F786" t="str">
        <f>Foderstater!Y$108</f>
        <v>potatoe protein</v>
      </c>
      <c r="J786" t="s">
        <v>307</v>
      </c>
      <c r="K786" s="13">
        <f>INDEX(Foderstater!$AB$72:$AT$110,MATCH(F786,Foderstater!$Y$72:$Y$110,0),MATCH(A786&amp;B786&amp;C786&amp;E786,Foderstater!$AB$71:$AT$71,0))</f>
        <v>0</v>
      </c>
    </row>
    <row r="787" spans="1:14" x14ac:dyDescent="0.25">
      <c r="A787" s="110" t="s">
        <v>36</v>
      </c>
      <c r="B787" s="110"/>
      <c r="C787" s="110"/>
      <c r="D787" s="110"/>
      <c r="E787" s="110" t="s">
        <v>399</v>
      </c>
      <c r="F787" t="str">
        <f>Foderstater!Y$109</f>
        <v>fish meal</v>
      </c>
      <c r="J787" t="s">
        <v>307</v>
      </c>
      <c r="K787" s="13">
        <f>INDEX(Foderstater!$AB$72:$AT$110,MATCH(F787,Foderstater!$Y$72:$Y$110,0),MATCH(A787&amp;B787&amp;C787&amp;E787,Foderstater!$AB$71:$AT$71,0))</f>
        <v>0</v>
      </c>
    </row>
    <row r="788" spans="1:14" x14ac:dyDescent="0.25">
      <c r="A788" s="110" t="s">
        <v>36</v>
      </c>
      <c r="B788" s="110"/>
      <c r="C788" s="110"/>
      <c r="D788" s="110"/>
      <c r="E788" s="110" t="s">
        <v>399</v>
      </c>
      <c r="F788" t="str">
        <f>Foderstater!Y$110</f>
        <v>minerals</v>
      </c>
      <c r="J788" t="s">
        <v>307</v>
      </c>
      <c r="K788" s="13">
        <f>INDEX(Foderstater!$AB$72:$AT$110,MATCH(F788,Foderstater!$Y$72:$Y$110,0),MATCH(A788&amp;B788&amp;C788&amp;E788,Foderstater!$AB$71:$AT$71,0))</f>
        <v>1.0659065118787974</v>
      </c>
    </row>
    <row r="790" spans="1:14" x14ac:dyDescent="0.25">
      <c r="A790" s="91" t="s">
        <v>78</v>
      </c>
      <c r="B790" s="160"/>
      <c r="C790" s="160"/>
      <c r="D790" s="90"/>
      <c r="E790" s="90"/>
      <c r="F790" s="90"/>
      <c r="G790" s="90"/>
      <c r="H790" s="90"/>
      <c r="I790" s="90"/>
      <c r="J790" s="90"/>
      <c r="K790" s="161"/>
      <c r="L790" s="90"/>
      <c r="M790" s="90"/>
      <c r="N790" s="90"/>
    </row>
    <row r="791" spans="1:14" x14ac:dyDescent="0.25">
      <c r="A791" s="157" t="s">
        <v>36</v>
      </c>
      <c r="B791" s="157"/>
      <c r="C791" s="157"/>
      <c r="D791" s="157"/>
      <c r="E791" s="157" t="s">
        <v>622</v>
      </c>
      <c r="J791" s="157" t="s">
        <v>307</v>
      </c>
      <c r="K791" s="157">
        <v>0</v>
      </c>
      <c r="L791" s="157"/>
      <c r="M791" s="157" t="s">
        <v>398</v>
      </c>
    </row>
    <row r="792" spans="1:14" x14ac:dyDescent="0.25">
      <c r="A792" t="s">
        <v>36</v>
      </c>
      <c r="E792" t="s">
        <v>622</v>
      </c>
      <c r="F792" t="str">
        <f>Foderstater!Y$72</f>
        <v>ley silage, 1st cut</v>
      </c>
      <c r="J792" t="s">
        <v>307</v>
      </c>
      <c r="K792" s="13">
        <f>INDEX(Foderstater!$AB$72:$AT$110,MATCH(F792,Foderstater!$Y$72:$Y$110,0),MATCH(A792&amp;B792&amp;C792&amp;E792,Foderstater!$AB$71:$AT$71,0))</f>
        <v>0</v>
      </c>
      <c r="L792" s="157"/>
      <c r="M792" s="157"/>
    </row>
    <row r="793" spans="1:14" x14ac:dyDescent="0.25">
      <c r="A793" t="s">
        <v>36</v>
      </c>
      <c r="E793" t="s">
        <v>622</v>
      </c>
      <c r="F793" t="str">
        <f>Foderstater!Y$73</f>
        <v>ley silage, regrowth</v>
      </c>
      <c r="J793" t="s">
        <v>307</v>
      </c>
      <c r="K793" s="13">
        <f>INDEX(Foderstater!$AB$72:$AT$110,MATCH(F793,Foderstater!$Y$72:$Y$110,0),MATCH(A793&amp;B793&amp;C793&amp;E793,Foderstater!$AB$71:$AT$71,0))</f>
        <v>0</v>
      </c>
      <c r="L793" s="157"/>
      <c r="M793" s="157"/>
    </row>
    <row r="794" spans="1:14" x14ac:dyDescent="0.25">
      <c r="A794" t="s">
        <v>36</v>
      </c>
      <c r="E794" t="s">
        <v>622</v>
      </c>
      <c r="F794" t="str">
        <f>Foderstater!Y$74</f>
        <v>other silage</v>
      </c>
      <c r="J794" t="s">
        <v>307</v>
      </c>
      <c r="K794" s="13">
        <f>INDEX(Foderstater!$AB$72:$AT$110,MATCH(F794,Foderstater!$Y$72:$Y$110,0),MATCH(A794&amp;B794&amp;C794&amp;E794,Foderstater!$AB$71:$AT$71,0))</f>
        <v>0</v>
      </c>
      <c r="L794" s="157"/>
      <c r="M794" s="157"/>
    </row>
    <row r="795" spans="1:14" x14ac:dyDescent="0.25">
      <c r="A795" t="s">
        <v>36</v>
      </c>
      <c r="E795" t="s">
        <v>622</v>
      </c>
      <c r="F795" t="str">
        <f>Foderstater!Y$75</f>
        <v>maize silage</v>
      </c>
      <c r="J795" t="s">
        <v>307</v>
      </c>
      <c r="K795" s="13">
        <f>INDEX(Foderstater!$AB$72:$AT$110,MATCH(F795,Foderstater!$Y$72:$Y$110,0),MATCH(A795&amp;B795&amp;C795&amp;E795,Foderstater!$AB$71:$AT$71,0))</f>
        <v>0</v>
      </c>
      <c r="L795" s="157"/>
      <c r="M795" s="157"/>
    </row>
    <row r="796" spans="1:14" x14ac:dyDescent="0.25">
      <c r="A796" t="s">
        <v>36</v>
      </c>
      <c r="E796" t="s">
        <v>622</v>
      </c>
      <c r="F796" t="str">
        <f>Foderstater!Y$76</f>
        <v>straw</v>
      </c>
      <c r="J796" t="s">
        <v>307</v>
      </c>
      <c r="K796" s="13">
        <f>INDEX(Foderstater!$AB$72:$AT$110,MATCH(F796,Foderstater!$Y$72:$Y$110,0),MATCH(A796&amp;B796&amp;C796&amp;E796,Foderstater!$AB$71:$AT$71,0))</f>
        <v>0</v>
      </c>
      <c r="L796" s="157"/>
      <c r="M796" s="157"/>
    </row>
    <row r="797" spans="1:14" x14ac:dyDescent="0.25">
      <c r="A797" t="s">
        <v>36</v>
      </c>
      <c r="E797" t="s">
        <v>622</v>
      </c>
      <c r="F797" t="str">
        <f>Foderstater!Y$77</f>
        <v>grazing</v>
      </c>
      <c r="J797" t="s">
        <v>307</v>
      </c>
      <c r="K797" s="13">
        <f>INDEX(Foderstater!$AB$72:$AT$110,MATCH(F797,Foderstater!$Y$72:$Y$110,0),MATCH(A797&amp;B797&amp;C797&amp;E797,Foderstater!$AB$71:$AT$71,0))</f>
        <v>100</v>
      </c>
      <c r="L797" s="157"/>
      <c r="M797" s="157"/>
    </row>
    <row r="798" spans="1:14" x14ac:dyDescent="0.25">
      <c r="A798" t="s">
        <v>36</v>
      </c>
      <c r="E798" t="s">
        <v>622</v>
      </c>
      <c r="F798" t="str">
        <f>Foderstater!Y$78</f>
        <v>wheat</v>
      </c>
      <c r="J798" t="s">
        <v>307</v>
      </c>
      <c r="K798" s="13">
        <f>INDEX(Foderstater!$AB$72:$AT$110,MATCH(F798,Foderstater!$Y$72:$Y$110,0),MATCH(A798&amp;B798&amp;C798&amp;E798,Foderstater!$AB$71:$AT$71,0))</f>
        <v>0</v>
      </c>
      <c r="L798" s="157"/>
      <c r="M798" s="157"/>
    </row>
    <row r="799" spans="1:14" x14ac:dyDescent="0.25">
      <c r="A799" t="s">
        <v>36</v>
      </c>
      <c r="E799" t="s">
        <v>622</v>
      </c>
      <c r="F799" t="str">
        <f>Foderstater!Y$79</f>
        <v>barley</v>
      </c>
      <c r="J799" t="s">
        <v>307</v>
      </c>
      <c r="K799" s="13">
        <f>INDEX(Foderstater!$AB$72:$AT$110,MATCH(F799,Foderstater!$Y$72:$Y$110,0),MATCH(A799&amp;B799&amp;C799&amp;E799,Foderstater!$AB$71:$AT$71,0))</f>
        <v>0</v>
      </c>
      <c r="L799" s="157"/>
      <c r="M799" s="157"/>
    </row>
    <row r="800" spans="1:14" x14ac:dyDescent="0.25">
      <c r="A800" t="s">
        <v>36</v>
      </c>
      <c r="E800" t="s">
        <v>622</v>
      </c>
      <c r="F800" t="str">
        <f>Foderstater!Y$80</f>
        <v>oats</v>
      </c>
      <c r="J800" t="s">
        <v>307</v>
      </c>
      <c r="K800" s="13">
        <f>INDEX(Foderstater!$AB$72:$AT$110,MATCH(F800,Foderstater!$Y$72:$Y$110,0),MATCH(A800&amp;B800&amp;C800&amp;E800,Foderstater!$AB$71:$AT$71,0))</f>
        <v>0</v>
      </c>
      <c r="L800" s="157"/>
      <c r="M800" s="157"/>
    </row>
    <row r="801" spans="1:13" x14ac:dyDescent="0.25">
      <c r="A801" t="s">
        <v>36</v>
      </c>
      <c r="E801" t="s">
        <v>622</v>
      </c>
      <c r="F801" t="str">
        <f>Foderstater!Y$81</f>
        <v>triticale</v>
      </c>
      <c r="J801" t="s">
        <v>307</v>
      </c>
      <c r="K801" s="13">
        <f>INDEX(Foderstater!$AB$72:$AT$110,MATCH(F801,Foderstater!$Y$72:$Y$110,0),MATCH(A801&amp;B801&amp;C801&amp;E801,Foderstater!$AB$71:$AT$71,0))</f>
        <v>0</v>
      </c>
      <c r="L801" s="157"/>
      <c r="M801" s="157"/>
    </row>
    <row r="802" spans="1:13" x14ac:dyDescent="0.25">
      <c r="A802" t="s">
        <v>36</v>
      </c>
      <c r="E802" t="s">
        <v>622</v>
      </c>
      <c r="F802" t="str">
        <f>Foderstater!Y$82</f>
        <v>rye</v>
      </c>
      <c r="J802" t="s">
        <v>307</v>
      </c>
      <c r="K802" s="13">
        <f>INDEX(Foderstater!$AB$72:$AT$110,MATCH(F802,Foderstater!$Y$72:$Y$110,0),MATCH(A802&amp;B802&amp;C802&amp;E802,Foderstater!$AB$71:$AT$71,0))</f>
        <v>0</v>
      </c>
      <c r="L802" s="157"/>
      <c r="M802" s="157"/>
    </row>
    <row r="803" spans="1:13" x14ac:dyDescent="0.25">
      <c r="A803" t="s">
        <v>36</v>
      </c>
      <c r="E803" t="s">
        <v>622</v>
      </c>
      <c r="F803" t="str">
        <f>Foderstater!Y$83</f>
        <v>maize</v>
      </c>
      <c r="J803" t="s">
        <v>307</v>
      </c>
      <c r="K803" s="13">
        <f>INDEX(Foderstater!$AB$72:$AT$110,MATCH(F803,Foderstater!$Y$72:$Y$110,0),MATCH(A803&amp;B803&amp;C803&amp;E803,Foderstater!$AB$71:$AT$71,0))</f>
        <v>0</v>
      </c>
      <c r="L803" s="157"/>
      <c r="M803" s="157"/>
    </row>
    <row r="804" spans="1:13" x14ac:dyDescent="0.25">
      <c r="A804" t="s">
        <v>36</v>
      </c>
      <c r="E804" t="s">
        <v>622</v>
      </c>
      <c r="F804" t="str">
        <f>Foderstater!Y$84</f>
        <v>peas</v>
      </c>
      <c r="J804" t="s">
        <v>307</v>
      </c>
      <c r="K804" s="13">
        <f>INDEX(Foderstater!$AB$72:$AT$110,MATCH(F804,Foderstater!$Y$72:$Y$110,0),MATCH(A804&amp;B804&amp;C804&amp;E804,Foderstater!$AB$71:$AT$71,0))</f>
        <v>0</v>
      </c>
      <c r="L804" s="157"/>
      <c r="M804" s="157"/>
    </row>
    <row r="805" spans="1:13" x14ac:dyDescent="0.25">
      <c r="A805" t="s">
        <v>36</v>
      </c>
      <c r="E805" t="s">
        <v>622</v>
      </c>
      <c r="F805" t="str">
        <f>Foderstater!Y$85</f>
        <v>broad beans</v>
      </c>
      <c r="J805" t="s">
        <v>307</v>
      </c>
      <c r="K805" s="13">
        <f>INDEX(Foderstater!$AB$72:$AT$110,MATCH(F805,Foderstater!$Y$72:$Y$110,0),MATCH(A805&amp;B805&amp;C805&amp;E805,Foderstater!$AB$71:$AT$71,0))</f>
        <v>0</v>
      </c>
      <c r="L805" s="157"/>
      <c r="M805" s="157"/>
    </row>
    <row r="806" spans="1:13" x14ac:dyDescent="0.25">
      <c r="A806" t="s">
        <v>36</v>
      </c>
      <c r="E806" t="s">
        <v>622</v>
      </c>
      <c r="F806" t="str">
        <f>Foderstater!Y$86</f>
        <v>rapeseed</v>
      </c>
      <c r="J806" t="s">
        <v>307</v>
      </c>
      <c r="K806" s="13">
        <f>INDEX(Foderstater!$AB$72:$AT$110,MATCH(F806,Foderstater!$Y$72:$Y$110,0),MATCH(A806&amp;B806&amp;C806&amp;E806,Foderstater!$AB$71:$AT$71,0))</f>
        <v>0</v>
      </c>
      <c r="L806" s="157"/>
      <c r="M806" s="157"/>
    </row>
    <row r="807" spans="1:13" x14ac:dyDescent="0.25">
      <c r="A807" t="s">
        <v>36</v>
      </c>
      <c r="E807" t="s">
        <v>622</v>
      </c>
      <c r="F807" t="str">
        <f>Foderstater!Y$87</f>
        <v>linseed</v>
      </c>
      <c r="J807" t="s">
        <v>307</v>
      </c>
      <c r="K807" s="13">
        <f>INDEX(Foderstater!$AB$72:$AT$110,MATCH(F807,Foderstater!$Y$72:$Y$110,0),MATCH(A807&amp;B807&amp;C807&amp;E807,Foderstater!$AB$71:$AT$71,0))</f>
        <v>0</v>
      </c>
      <c r="L807" s="157"/>
      <c r="M807" s="157"/>
    </row>
    <row r="808" spans="1:13" x14ac:dyDescent="0.25">
      <c r="A808" t="s">
        <v>36</v>
      </c>
      <c r="E808" t="s">
        <v>622</v>
      </c>
      <c r="F808" t="str">
        <f>Foderstater!Y$88</f>
        <v>vegetable oils</v>
      </c>
      <c r="J808" t="s">
        <v>307</v>
      </c>
      <c r="K808" s="13">
        <f>INDEX(Foderstater!$AB$72:$AT$110,MATCH(F808,Foderstater!$Y$72:$Y$110,0),MATCH(A808&amp;B808&amp;C808&amp;E808,Foderstater!$AB$71:$AT$71,0))</f>
        <v>0</v>
      </c>
      <c r="L808" s="157"/>
      <c r="M808" s="157"/>
    </row>
    <row r="809" spans="1:13" x14ac:dyDescent="0.25">
      <c r="A809" t="s">
        <v>36</v>
      </c>
      <c r="E809" t="s">
        <v>622</v>
      </c>
      <c r="F809" t="str">
        <f>Foderstater!Y$89</f>
        <v>soybeans</v>
      </c>
      <c r="J809" t="s">
        <v>307</v>
      </c>
      <c r="K809" s="13">
        <f>INDEX(Foderstater!$AB$72:$AT$110,MATCH(F809,Foderstater!$Y$72:$Y$110,0),MATCH(A809&amp;B809&amp;C809&amp;E809,Foderstater!$AB$71:$AT$71,0))</f>
        <v>0</v>
      </c>
      <c r="L809" s="157"/>
      <c r="M809" s="157"/>
    </row>
    <row r="810" spans="1:13" x14ac:dyDescent="0.25">
      <c r="A810" t="s">
        <v>36</v>
      </c>
      <c r="E810" t="s">
        <v>622</v>
      </c>
      <c r="F810" t="str">
        <f>Foderstater!Y$90</f>
        <v>soybean meal</v>
      </c>
      <c r="J810" t="s">
        <v>307</v>
      </c>
      <c r="K810" s="13">
        <f>INDEX(Foderstater!$AB$72:$AT$110,MATCH(F810,Foderstater!$Y$72:$Y$110,0),MATCH(A810&amp;B810&amp;C810&amp;E810,Foderstater!$AB$71:$AT$71,0))</f>
        <v>0</v>
      </c>
      <c r="L810" s="157"/>
      <c r="M810" s="157"/>
    </row>
    <row r="811" spans="1:13" x14ac:dyDescent="0.25">
      <c r="A811" t="s">
        <v>36</v>
      </c>
      <c r="E811" t="s">
        <v>622</v>
      </c>
      <c r="F811" t="str">
        <f>Foderstater!Y$91</f>
        <v>soybean protein concentrate</v>
      </c>
      <c r="J811" t="s">
        <v>307</v>
      </c>
      <c r="K811" s="13">
        <f>INDEX(Foderstater!$AB$72:$AT$110,MATCH(F811,Foderstater!$Y$72:$Y$110,0),MATCH(A811&amp;B811&amp;C811&amp;E811,Foderstater!$AB$71:$AT$71,0))</f>
        <v>0</v>
      </c>
      <c r="L811" s="157"/>
      <c r="M811" s="157"/>
    </row>
    <row r="812" spans="1:13" x14ac:dyDescent="0.25">
      <c r="A812" t="s">
        <v>36</v>
      </c>
      <c r="B812" t="s">
        <v>1</v>
      </c>
      <c r="E812" t="s">
        <v>622</v>
      </c>
      <c r="F812" t="str">
        <f>Foderstater!Y$92</f>
        <v>rapeseed meal</v>
      </c>
      <c r="J812" t="s">
        <v>307</v>
      </c>
      <c r="K812" s="13">
        <f>INDEX(Foderstater!$AB$72:$AT$110,MATCH(F812,Foderstater!$Y$72:$Y$110,0),MATCH(A812&amp;C812&amp;E812,Foderstater!$AB$71:$AT$71,0))</f>
        <v>0</v>
      </c>
      <c r="L812" s="157"/>
      <c r="M812" s="157"/>
    </row>
    <row r="813" spans="1:13" x14ac:dyDescent="0.25">
      <c r="A813" s="266" t="str">
        <f>A812</f>
        <v>beef</v>
      </c>
      <c r="B813" s="266" t="s">
        <v>5</v>
      </c>
      <c r="D813" s="266"/>
      <c r="E813" s="266" t="s">
        <v>622</v>
      </c>
      <c r="F813" s="266" t="s">
        <v>601</v>
      </c>
      <c r="J813" s="266" t="str">
        <f>J812</f>
        <v>share_in_ration</v>
      </c>
      <c r="K813" s="267">
        <f>K812</f>
        <v>0</v>
      </c>
      <c r="L813" s="157"/>
      <c r="M813" s="266" t="s">
        <v>602</v>
      </c>
    </row>
    <row r="814" spans="1:13" x14ac:dyDescent="0.25">
      <c r="A814" t="s">
        <v>36</v>
      </c>
      <c r="E814" t="s">
        <v>622</v>
      </c>
      <c r="F814" t="str">
        <f>Foderstater!Y$94</f>
        <v>sunflower seed meal</v>
      </c>
      <c r="J814" t="s">
        <v>307</v>
      </c>
      <c r="K814" s="13">
        <f>INDEX(Foderstater!$AB$72:$AT$110,MATCH(F814,Foderstater!$Y$72:$Y$110,0),MATCH(A814&amp;B814&amp;C814&amp;E814,Foderstater!$AB$71:$AT$71,0))</f>
        <v>0</v>
      </c>
    </row>
    <row r="815" spans="1:13" x14ac:dyDescent="0.25">
      <c r="A815" t="s">
        <v>36</v>
      </c>
      <c r="E815" t="s">
        <v>622</v>
      </c>
      <c r="F815" t="str">
        <f>Foderstater!Y$95</f>
        <v>palm kernel expeller</v>
      </c>
      <c r="J815" t="s">
        <v>307</v>
      </c>
      <c r="K815" s="13">
        <f>INDEX(Foderstater!$AB$72:$AT$110,MATCH(F815,Foderstater!$Y$72:$Y$110,0),MATCH(A815&amp;B815&amp;C815&amp;E815,Foderstater!$AB$71:$AT$71,0))</f>
        <v>0</v>
      </c>
    </row>
    <row r="816" spans="1:13" x14ac:dyDescent="0.25">
      <c r="A816" t="s">
        <v>36</v>
      </c>
      <c r="E816" t="s">
        <v>622</v>
      </c>
      <c r="F816" t="str">
        <f>Foderstater!Y$96</f>
        <v>luzern meal</v>
      </c>
      <c r="J816" t="s">
        <v>307</v>
      </c>
      <c r="K816" s="13">
        <f>INDEX(Foderstater!$AB$72:$AT$110,MATCH(F816,Foderstater!$Y$72:$Y$110,0),MATCH(A816&amp;B816&amp;C816&amp;E816,Foderstater!$AB$71:$AT$71,0))</f>
        <v>0</v>
      </c>
    </row>
    <row r="817" spans="1:14" x14ac:dyDescent="0.25">
      <c r="A817" t="s">
        <v>36</v>
      </c>
      <c r="E817" t="s">
        <v>622</v>
      </c>
      <c r="F817" t="str">
        <f>Foderstater!Y$97</f>
        <v>wheat bran</v>
      </c>
      <c r="J817" t="s">
        <v>307</v>
      </c>
      <c r="K817" s="13">
        <f>INDEX(Foderstater!$AB$72:$AT$110,MATCH(F817,Foderstater!$Y$72:$Y$110,0),MATCH(A817&amp;B817&amp;C817&amp;E817,Foderstater!$AB$71:$AT$71,0))</f>
        <v>0</v>
      </c>
    </row>
    <row r="818" spans="1:14" x14ac:dyDescent="0.25">
      <c r="A818" t="s">
        <v>36</v>
      </c>
      <c r="E818" t="s">
        <v>622</v>
      </c>
      <c r="F818" t="str">
        <f>Foderstater!Y$98</f>
        <v>wheat bran, fine</v>
      </c>
      <c r="J818" t="s">
        <v>307</v>
      </c>
      <c r="K818" s="13">
        <f>INDEX(Foderstater!$AB$72:$AT$110,MATCH(F818,Foderstater!$Y$72:$Y$110,0),MATCH(A818&amp;B818&amp;C818&amp;E818,Foderstater!$AB$71:$AT$71,0))</f>
        <v>0</v>
      </c>
    </row>
    <row r="819" spans="1:14" x14ac:dyDescent="0.25">
      <c r="A819" t="s">
        <v>36</v>
      </c>
      <c r="E819" t="s">
        <v>622</v>
      </c>
      <c r="F819" t="str">
        <f>Foderstater!Y$99</f>
        <v>oat hulls</v>
      </c>
      <c r="J819" t="s">
        <v>307</v>
      </c>
      <c r="K819" s="13">
        <f>INDEX(Foderstater!$AB$72:$AT$110,MATCH(F819,Foderstater!$Y$72:$Y$110,0),MATCH(A819&amp;B819&amp;C819&amp;E819,Foderstater!$AB$71:$AT$71,0))</f>
        <v>0</v>
      </c>
    </row>
    <row r="820" spans="1:14" x14ac:dyDescent="0.25">
      <c r="A820" t="s">
        <v>36</v>
      </c>
      <c r="E820" t="s">
        <v>622</v>
      </c>
      <c r="F820" t="str">
        <f>Foderstater!Y$100</f>
        <v>oat bran</v>
      </c>
      <c r="J820" t="s">
        <v>307</v>
      </c>
      <c r="K820" s="13">
        <f>INDEX(Foderstater!$AB$72:$AT$110,MATCH(F820,Foderstater!$Y$72:$Y$110,0),MATCH(A820&amp;B820&amp;C820&amp;E820,Foderstater!$AB$71:$AT$71,0))</f>
        <v>0</v>
      </c>
    </row>
    <row r="821" spans="1:14" x14ac:dyDescent="0.25">
      <c r="A821" t="s">
        <v>36</v>
      </c>
      <c r="E821" t="s">
        <v>622</v>
      </c>
      <c r="F821" t="str">
        <f>Foderstater!Y$101</f>
        <v>rye bran</v>
      </c>
      <c r="J821" t="s">
        <v>307</v>
      </c>
      <c r="K821" s="13">
        <f>INDEX(Foderstater!$AB$72:$AT$110,MATCH(F821,Foderstater!$Y$72:$Y$110,0),MATCH(A821&amp;B821&amp;C821&amp;E821,Foderstater!$AB$71:$AT$71,0))</f>
        <v>0</v>
      </c>
    </row>
    <row r="822" spans="1:14" x14ac:dyDescent="0.25">
      <c r="A822" t="s">
        <v>36</v>
      </c>
      <c r="E822" t="s">
        <v>622</v>
      </c>
      <c r="F822" t="str">
        <f>Foderstater!Y$102</f>
        <v>wheat distillers grain, dry</v>
      </c>
      <c r="J822" t="s">
        <v>307</v>
      </c>
      <c r="K822" s="13">
        <f>INDEX(Foderstater!$AB$72:$AT$110,MATCH(F822,Foderstater!$Y$72:$Y$110,0),MATCH(A822&amp;B822&amp;C822&amp;E822,Foderstater!$AB$71:$AT$71,0))</f>
        <v>0</v>
      </c>
    </row>
    <row r="823" spans="1:14" x14ac:dyDescent="0.25">
      <c r="A823" t="s">
        <v>36</v>
      </c>
      <c r="E823" t="s">
        <v>622</v>
      </c>
      <c r="F823" t="str">
        <f>Foderstater!Y$103</f>
        <v>barley brewers grain</v>
      </c>
      <c r="J823" t="s">
        <v>307</v>
      </c>
      <c r="K823" s="13">
        <f>INDEX(Foderstater!$AB$72:$AT$110,MATCH(F823,Foderstater!$Y$72:$Y$110,0),MATCH(A823&amp;B823&amp;C823&amp;E823,Foderstater!$AB$71:$AT$71,0))</f>
        <v>0</v>
      </c>
    </row>
    <row r="824" spans="1:14" x14ac:dyDescent="0.25">
      <c r="A824" t="s">
        <v>36</v>
      </c>
      <c r="E824" t="s">
        <v>622</v>
      </c>
      <c r="F824" t="str">
        <f>Foderstater!Y$104</f>
        <v>maize gluten meal</v>
      </c>
      <c r="J824" t="s">
        <v>307</v>
      </c>
      <c r="K824" s="13">
        <f>INDEX(Foderstater!$AB$72:$AT$110,MATCH(F824,Foderstater!$Y$72:$Y$110,0),MATCH(A824&amp;B824&amp;C824&amp;E824,Foderstater!$AB$71:$AT$71,0))</f>
        <v>0</v>
      </c>
    </row>
    <row r="825" spans="1:14" x14ac:dyDescent="0.25">
      <c r="A825" t="s">
        <v>36</v>
      </c>
      <c r="E825" t="s">
        <v>622</v>
      </c>
      <c r="F825" t="str">
        <f>Foderstater!Y$105</f>
        <v>sugar beet molasses</v>
      </c>
      <c r="J825" t="s">
        <v>307</v>
      </c>
      <c r="K825" s="13">
        <f>INDEX(Foderstater!$AB$72:$AT$110,MATCH(F825,Foderstater!$Y$72:$Y$110,0),MATCH(A825&amp;B825&amp;C825&amp;E825,Foderstater!$AB$71:$AT$71,0))</f>
        <v>0</v>
      </c>
    </row>
    <row r="826" spans="1:14" x14ac:dyDescent="0.25">
      <c r="A826" t="s">
        <v>36</v>
      </c>
      <c r="E826" t="s">
        <v>622</v>
      </c>
      <c r="F826" t="str">
        <f>Foderstater!Y$106</f>
        <v>sugar beet pulp</v>
      </c>
      <c r="J826" t="s">
        <v>307</v>
      </c>
      <c r="K826" s="13">
        <f>INDEX(Foderstater!$AB$72:$AT$110,MATCH(F826,Foderstater!$Y$72:$Y$110,0),MATCH(A826&amp;B826&amp;C826&amp;E826,Foderstater!$AB$71:$AT$71,0))</f>
        <v>0</v>
      </c>
    </row>
    <row r="827" spans="1:14" x14ac:dyDescent="0.25">
      <c r="A827" t="s">
        <v>36</v>
      </c>
      <c r="E827" t="s">
        <v>622</v>
      </c>
      <c r="F827" t="str">
        <f>Foderstater!Y$107</f>
        <v>whey powder</v>
      </c>
      <c r="J827" t="s">
        <v>307</v>
      </c>
      <c r="K827" s="13">
        <f>INDEX(Foderstater!$AB$72:$AT$110,MATCH(F827,Foderstater!$Y$72:$Y$110,0),MATCH(A827&amp;B827&amp;C827&amp;E827,Foderstater!$AB$71:$AT$71,0))</f>
        <v>0</v>
      </c>
    </row>
    <row r="828" spans="1:14" x14ac:dyDescent="0.25">
      <c r="A828" t="s">
        <v>36</v>
      </c>
      <c r="E828" t="s">
        <v>622</v>
      </c>
      <c r="F828" t="str">
        <f>Foderstater!Y$108</f>
        <v>potatoe protein</v>
      </c>
      <c r="J828" t="s">
        <v>307</v>
      </c>
      <c r="K828" s="13">
        <f>INDEX(Foderstater!$AB$72:$AT$110,MATCH(F828,Foderstater!$Y$72:$Y$110,0),MATCH(A828&amp;B828&amp;C828&amp;E828,Foderstater!$AB$71:$AT$71,0))</f>
        <v>0</v>
      </c>
    </row>
    <row r="829" spans="1:14" x14ac:dyDescent="0.25">
      <c r="A829" t="s">
        <v>36</v>
      </c>
      <c r="E829" t="s">
        <v>622</v>
      </c>
      <c r="F829" t="str">
        <f>Foderstater!Y$109</f>
        <v>fish meal</v>
      </c>
      <c r="J829" t="s">
        <v>307</v>
      </c>
      <c r="K829" s="13">
        <f>INDEX(Foderstater!$AB$72:$AT$110,MATCH(F829,Foderstater!$Y$72:$Y$110,0),MATCH(A829&amp;B829&amp;C829&amp;E829,Foderstater!$AB$71:$AT$71,0))</f>
        <v>0</v>
      </c>
    </row>
    <row r="830" spans="1:14" x14ac:dyDescent="0.25">
      <c r="A830" t="s">
        <v>36</v>
      </c>
      <c r="E830" t="s">
        <v>622</v>
      </c>
      <c r="F830" t="str">
        <f>Foderstater!Y$110</f>
        <v>minerals</v>
      </c>
      <c r="J830" t="s">
        <v>307</v>
      </c>
      <c r="K830" s="13">
        <f>INDEX(Foderstater!$AB$72:$AT$110,MATCH(F830,Foderstater!$Y$72:$Y$110,0),MATCH(A830&amp;B830&amp;C830&amp;E830,Foderstater!$AB$71:$AT$71,0))</f>
        <v>0</v>
      </c>
    </row>
    <row r="832" spans="1:14" x14ac:dyDescent="0.25">
      <c r="A832" s="91" t="s">
        <v>67</v>
      </c>
      <c r="B832" s="160"/>
      <c r="C832" s="160"/>
      <c r="D832" s="90"/>
      <c r="E832" s="90"/>
      <c r="F832" s="90"/>
      <c r="G832" s="90"/>
      <c r="H832" s="90"/>
      <c r="I832" s="90"/>
      <c r="J832" s="90"/>
      <c r="K832" s="161"/>
      <c r="L832" s="90"/>
      <c r="M832" s="90"/>
      <c r="N832" s="90"/>
    </row>
    <row r="833" spans="1:13" x14ac:dyDescent="0.25">
      <c r="A833" s="157" t="s">
        <v>36</v>
      </c>
      <c r="B833" s="157"/>
      <c r="C833" s="157"/>
      <c r="D833" s="157"/>
      <c r="E833" s="157" t="s">
        <v>31</v>
      </c>
      <c r="J833" s="157" t="s">
        <v>307</v>
      </c>
      <c r="K833" s="157">
        <v>0</v>
      </c>
      <c r="L833" s="157"/>
      <c r="M833" s="157" t="s">
        <v>398</v>
      </c>
    </row>
    <row r="834" spans="1:13" x14ac:dyDescent="0.25">
      <c r="A834" t="s">
        <v>36</v>
      </c>
      <c r="E834" t="s">
        <v>31</v>
      </c>
      <c r="F834" t="str">
        <f>Foderstater!Y$72</f>
        <v>ley silage, 1st cut</v>
      </c>
      <c r="J834" t="s">
        <v>307</v>
      </c>
      <c r="K834" s="13">
        <f>INDEX(Foderstater!$AB$72:$AT$110,MATCH(F834,Foderstater!$Y$72:$Y$110,0),MATCH(A834&amp;B834&amp;C834&amp;E834,Foderstater!$AB$71:$AT$71,0))</f>
        <v>0</v>
      </c>
      <c r="L834" s="157"/>
      <c r="M834" s="157"/>
    </row>
    <row r="835" spans="1:13" x14ac:dyDescent="0.25">
      <c r="A835" t="s">
        <v>36</v>
      </c>
      <c r="E835" t="s">
        <v>31</v>
      </c>
      <c r="F835" t="str">
        <f>Foderstater!Y$73</f>
        <v>ley silage, regrowth</v>
      </c>
      <c r="J835" t="s">
        <v>307</v>
      </c>
      <c r="K835" s="13">
        <f>INDEX(Foderstater!$AB$72:$AT$110,MATCH(F835,Foderstater!$Y$72:$Y$110,0),MATCH(A835&amp;B835&amp;C835&amp;E835,Foderstater!$AB$71:$AT$71,0))</f>
        <v>68.854768967576106</v>
      </c>
      <c r="L835" s="157"/>
      <c r="M835" s="157"/>
    </row>
    <row r="836" spans="1:13" x14ac:dyDescent="0.25">
      <c r="A836" t="s">
        <v>36</v>
      </c>
      <c r="E836" t="s">
        <v>31</v>
      </c>
      <c r="F836" t="str">
        <f>Foderstater!Y$74</f>
        <v>other silage</v>
      </c>
      <c r="J836" t="s">
        <v>307</v>
      </c>
      <c r="K836" s="13">
        <f>INDEX(Foderstater!$AB$72:$AT$110,MATCH(F836,Foderstater!$Y$72:$Y$110,0),MATCH(A836&amp;B836&amp;C836&amp;E836,Foderstater!$AB$71:$AT$71,0))</f>
        <v>0</v>
      </c>
      <c r="L836" s="157"/>
      <c r="M836" s="157"/>
    </row>
    <row r="837" spans="1:13" x14ac:dyDescent="0.25">
      <c r="A837" t="s">
        <v>36</v>
      </c>
      <c r="E837" t="s">
        <v>31</v>
      </c>
      <c r="F837" t="str">
        <f>Foderstater!Y$75</f>
        <v>maize silage</v>
      </c>
      <c r="J837" t="s">
        <v>307</v>
      </c>
      <c r="K837" s="13">
        <f>INDEX(Foderstater!$AB$72:$AT$110,MATCH(F837,Foderstater!$Y$72:$Y$110,0),MATCH(A837&amp;B837&amp;C837&amp;E837,Foderstater!$AB$71:$AT$71,0))</f>
        <v>0</v>
      </c>
      <c r="L837" s="157"/>
      <c r="M837" s="157"/>
    </row>
    <row r="838" spans="1:13" x14ac:dyDescent="0.25">
      <c r="A838" t="s">
        <v>36</v>
      </c>
      <c r="E838" t="s">
        <v>31</v>
      </c>
      <c r="F838" t="str">
        <f>Foderstater!Y$76</f>
        <v>straw</v>
      </c>
      <c r="J838" t="s">
        <v>307</v>
      </c>
      <c r="K838" s="13">
        <f>INDEX(Foderstater!$AB$72:$AT$110,MATCH(F838,Foderstater!$Y$72:$Y$110,0),MATCH(A838&amp;B838&amp;C838&amp;E838,Foderstater!$AB$71:$AT$71,0))</f>
        <v>0</v>
      </c>
      <c r="L838" s="157"/>
      <c r="M838" s="157"/>
    </row>
    <row r="839" spans="1:13" x14ac:dyDescent="0.25">
      <c r="A839" t="s">
        <v>36</v>
      </c>
      <c r="E839" t="s">
        <v>31</v>
      </c>
      <c r="F839" t="str">
        <f>Foderstater!Y$77</f>
        <v>grazing</v>
      </c>
      <c r="J839" t="s">
        <v>307</v>
      </c>
      <c r="K839" s="13">
        <f>INDEX(Foderstater!$AB$72:$AT$110,MATCH(F839,Foderstater!$Y$72:$Y$110,0),MATCH(A839&amp;B839&amp;C839&amp;E839,Foderstater!$AB$71:$AT$71,0))</f>
        <v>30.425854259446911</v>
      </c>
      <c r="L839" s="157"/>
      <c r="M839" s="157"/>
    </row>
    <row r="840" spans="1:13" x14ac:dyDescent="0.25">
      <c r="A840" t="s">
        <v>36</v>
      </c>
      <c r="E840" t="s">
        <v>31</v>
      </c>
      <c r="F840" t="str">
        <f>Foderstater!Y$78</f>
        <v>wheat</v>
      </c>
      <c r="J840" t="s">
        <v>307</v>
      </c>
      <c r="K840" s="13">
        <f>INDEX(Foderstater!$AB$72:$AT$110,MATCH(F840,Foderstater!$Y$72:$Y$110,0),MATCH(A840&amp;B840&amp;C840&amp;E840,Foderstater!$AB$71:$AT$71,0))</f>
        <v>0</v>
      </c>
      <c r="L840" s="157"/>
      <c r="M840" s="157"/>
    </row>
    <row r="841" spans="1:13" x14ac:dyDescent="0.25">
      <c r="A841" t="s">
        <v>36</v>
      </c>
      <c r="E841" t="s">
        <v>31</v>
      </c>
      <c r="F841" t="str">
        <f>Foderstater!Y$79</f>
        <v>barley</v>
      </c>
      <c r="J841" t="s">
        <v>307</v>
      </c>
      <c r="K841" s="13">
        <f>INDEX(Foderstater!$AB$72:$AT$110,MATCH(F841,Foderstater!$Y$72:$Y$110,0),MATCH(A841&amp;B841&amp;C841&amp;E841,Foderstater!$AB$71:$AT$71,0))</f>
        <v>0</v>
      </c>
      <c r="L841" s="157"/>
      <c r="M841" s="157"/>
    </row>
    <row r="842" spans="1:13" x14ac:dyDescent="0.25">
      <c r="A842" t="s">
        <v>36</v>
      </c>
      <c r="E842" t="s">
        <v>31</v>
      </c>
      <c r="F842" t="str">
        <f>Foderstater!Y$80</f>
        <v>oats</v>
      </c>
      <c r="J842" t="s">
        <v>307</v>
      </c>
      <c r="K842" s="13">
        <f>INDEX(Foderstater!$AB$72:$AT$110,MATCH(F842,Foderstater!$Y$72:$Y$110,0),MATCH(A842&amp;B842&amp;C842&amp;E842,Foderstater!$AB$71:$AT$71,0))</f>
        <v>0</v>
      </c>
      <c r="L842" s="157"/>
      <c r="M842" s="157"/>
    </row>
    <row r="843" spans="1:13" x14ac:dyDescent="0.25">
      <c r="A843" t="s">
        <v>36</v>
      </c>
      <c r="E843" t="s">
        <v>31</v>
      </c>
      <c r="F843" t="str">
        <f>Foderstater!Y$81</f>
        <v>triticale</v>
      </c>
      <c r="J843" t="s">
        <v>307</v>
      </c>
      <c r="K843" s="13">
        <f>INDEX(Foderstater!$AB$72:$AT$110,MATCH(F843,Foderstater!$Y$72:$Y$110,0),MATCH(A843&amp;B843&amp;C843&amp;E843,Foderstater!$AB$71:$AT$71,0))</f>
        <v>0</v>
      </c>
      <c r="L843" s="157"/>
      <c r="M843" s="157"/>
    </row>
    <row r="844" spans="1:13" x14ac:dyDescent="0.25">
      <c r="A844" t="s">
        <v>36</v>
      </c>
      <c r="E844" t="s">
        <v>31</v>
      </c>
      <c r="F844" t="str">
        <f>Foderstater!Y$82</f>
        <v>rye</v>
      </c>
      <c r="J844" t="s">
        <v>307</v>
      </c>
      <c r="K844" s="13">
        <f>INDEX(Foderstater!$AB$72:$AT$110,MATCH(F844,Foderstater!$Y$72:$Y$110,0),MATCH(A844&amp;B844&amp;C844&amp;E844,Foderstater!$AB$71:$AT$71,0))</f>
        <v>0</v>
      </c>
      <c r="L844" s="157"/>
      <c r="M844" s="157"/>
    </row>
    <row r="845" spans="1:13" x14ac:dyDescent="0.25">
      <c r="A845" t="s">
        <v>36</v>
      </c>
      <c r="E845" t="s">
        <v>31</v>
      </c>
      <c r="F845" t="str">
        <f>Foderstater!Y$83</f>
        <v>maize</v>
      </c>
      <c r="J845" t="s">
        <v>307</v>
      </c>
      <c r="K845" s="13">
        <f>INDEX(Foderstater!$AB$72:$AT$110,MATCH(F845,Foderstater!$Y$72:$Y$110,0),MATCH(A845&amp;B845&amp;C845&amp;E845,Foderstater!$AB$71:$AT$71,0))</f>
        <v>0</v>
      </c>
      <c r="L845" s="157"/>
      <c r="M845" s="157"/>
    </row>
    <row r="846" spans="1:13" x14ac:dyDescent="0.25">
      <c r="A846" t="s">
        <v>36</v>
      </c>
      <c r="E846" t="s">
        <v>31</v>
      </c>
      <c r="F846" t="str">
        <f>Foderstater!Y$84</f>
        <v>peas</v>
      </c>
      <c r="J846" t="s">
        <v>307</v>
      </c>
      <c r="K846" s="13">
        <f>INDEX(Foderstater!$AB$72:$AT$110,MATCH(F846,Foderstater!$Y$72:$Y$110,0),MATCH(A846&amp;B846&amp;C846&amp;E846,Foderstater!$AB$71:$AT$71,0))</f>
        <v>0</v>
      </c>
      <c r="L846" s="157"/>
      <c r="M846" s="157"/>
    </row>
    <row r="847" spans="1:13" x14ac:dyDescent="0.25">
      <c r="A847" t="s">
        <v>36</v>
      </c>
      <c r="E847" t="s">
        <v>31</v>
      </c>
      <c r="F847" t="str">
        <f>Foderstater!Y$85</f>
        <v>broad beans</v>
      </c>
      <c r="J847" t="s">
        <v>307</v>
      </c>
      <c r="K847" s="13">
        <f>INDEX(Foderstater!$AB$72:$AT$110,MATCH(F847,Foderstater!$Y$72:$Y$110,0),MATCH(A847&amp;B847&amp;C847&amp;E847,Foderstater!$AB$71:$AT$71,0))</f>
        <v>0</v>
      </c>
      <c r="L847" s="157"/>
      <c r="M847" s="157"/>
    </row>
    <row r="848" spans="1:13" x14ac:dyDescent="0.25">
      <c r="A848" t="s">
        <v>36</v>
      </c>
      <c r="E848" t="s">
        <v>31</v>
      </c>
      <c r="F848" t="str">
        <f>Foderstater!Y$86</f>
        <v>rapeseed</v>
      </c>
      <c r="J848" t="s">
        <v>307</v>
      </c>
      <c r="K848" s="13">
        <f>INDEX(Foderstater!$AB$72:$AT$110,MATCH(F848,Foderstater!$Y$72:$Y$110,0),MATCH(A848&amp;B848&amp;C848&amp;E848,Foderstater!$AB$71:$AT$71,0))</f>
        <v>0</v>
      </c>
      <c r="L848" s="157"/>
      <c r="M848" s="157"/>
    </row>
    <row r="849" spans="1:13" x14ac:dyDescent="0.25">
      <c r="A849" t="s">
        <v>36</v>
      </c>
      <c r="E849" t="s">
        <v>31</v>
      </c>
      <c r="F849" t="str">
        <f>Foderstater!Y$87</f>
        <v>linseed</v>
      </c>
      <c r="J849" t="s">
        <v>307</v>
      </c>
      <c r="K849" s="13">
        <f>INDEX(Foderstater!$AB$72:$AT$110,MATCH(F849,Foderstater!$Y$72:$Y$110,0),MATCH(A849&amp;B849&amp;C849&amp;E849,Foderstater!$AB$71:$AT$71,0))</f>
        <v>0</v>
      </c>
      <c r="L849" s="157"/>
      <c r="M849" s="157"/>
    </row>
    <row r="850" spans="1:13" x14ac:dyDescent="0.25">
      <c r="A850" t="s">
        <v>36</v>
      </c>
      <c r="E850" t="s">
        <v>31</v>
      </c>
      <c r="F850" t="str">
        <f>Foderstater!Y$88</f>
        <v>vegetable oils</v>
      </c>
      <c r="J850" t="s">
        <v>307</v>
      </c>
      <c r="K850" s="13">
        <f>INDEX(Foderstater!$AB$72:$AT$110,MATCH(F850,Foderstater!$Y$72:$Y$110,0),MATCH(A850&amp;B850&amp;C850&amp;E850,Foderstater!$AB$71:$AT$71,0))</f>
        <v>0</v>
      </c>
      <c r="L850" s="157"/>
      <c r="M850" s="157"/>
    </row>
    <row r="851" spans="1:13" x14ac:dyDescent="0.25">
      <c r="A851" t="s">
        <v>36</v>
      </c>
      <c r="E851" t="s">
        <v>31</v>
      </c>
      <c r="F851" t="str">
        <f>Foderstater!Y$89</f>
        <v>soybeans</v>
      </c>
      <c r="J851" t="s">
        <v>307</v>
      </c>
      <c r="K851" s="13">
        <f>INDEX(Foderstater!$AB$72:$AT$110,MATCH(F851,Foderstater!$Y$72:$Y$110,0),MATCH(A851&amp;B851&amp;C851&amp;E851,Foderstater!$AB$71:$AT$71,0))</f>
        <v>0</v>
      </c>
      <c r="L851" s="157"/>
      <c r="M851" s="157"/>
    </row>
    <row r="852" spans="1:13" x14ac:dyDescent="0.25">
      <c r="A852" t="s">
        <v>36</v>
      </c>
      <c r="E852" t="s">
        <v>31</v>
      </c>
      <c r="F852" t="str">
        <f>Foderstater!Y$90</f>
        <v>soybean meal</v>
      </c>
      <c r="J852" t="s">
        <v>307</v>
      </c>
      <c r="K852" s="13">
        <f>INDEX(Foderstater!$AB$72:$AT$110,MATCH(F852,Foderstater!$Y$72:$Y$110,0),MATCH(A852&amp;B852&amp;C852&amp;E852,Foderstater!$AB$71:$AT$71,0))</f>
        <v>0</v>
      </c>
      <c r="L852" s="157"/>
      <c r="M852" s="157"/>
    </row>
    <row r="853" spans="1:13" x14ac:dyDescent="0.25">
      <c r="A853" t="s">
        <v>36</v>
      </c>
      <c r="E853" t="s">
        <v>31</v>
      </c>
      <c r="F853" t="str">
        <f>Foderstater!Y$91</f>
        <v>soybean protein concentrate</v>
      </c>
      <c r="J853" t="s">
        <v>307</v>
      </c>
      <c r="K853" s="13">
        <f>INDEX(Foderstater!$AB$72:$AT$110,MATCH(F853,Foderstater!$Y$72:$Y$110,0),MATCH(A853&amp;B853&amp;C853&amp;E853,Foderstater!$AB$71:$AT$71,0))</f>
        <v>0</v>
      </c>
      <c r="L853" s="157"/>
      <c r="M853" s="157"/>
    </row>
    <row r="854" spans="1:13" x14ac:dyDescent="0.25">
      <c r="A854" t="s">
        <v>36</v>
      </c>
      <c r="B854" t="s">
        <v>1</v>
      </c>
      <c r="E854" t="s">
        <v>31</v>
      </c>
      <c r="F854" t="str">
        <f>Foderstater!Y$92</f>
        <v>rapeseed meal</v>
      </c>
      <c r="J854" t="s">
        <v>307</v>
      </c>
      <c r="K854" s="13">
        <f>INDEX(Foderstater!$AB$72:$AT$110,MATCH(F854,Foderstater!$Y$72:$Y$110,0),MATCH(A854&amp;C854&amp;E854,Foderstater!$AB$71:$AT$71,0))</f>
        <v>0</v>
      </c>
      <c r="L854" s="157"/>
      <c r="M854" s="157"/>
    </row>
    <row r="855" spans="1:13" x14ac:dyDescent="0.25">
      <c r="A855" s="266" t="str">
        <f>A854</f>
        <v>beef</v>
      </c>
      <c r="B855" s="266" t="s">
        <v>5</v>
      </c>
      <c r="D855" s="266"/>
      <c r="E855" s="266" t="s">
        <v>31</v>
      </c>
      <c r="F855" s="266" t="s">
        <v>601</v>
      </c>
      <c r="J855" s="266" t="str">
        <f>J854</f>
        <v>share_in_ration</v>
      </c>
      <c r="K855" s="267">
        <f>K854</f>
        <v>0</v>
      </c>
      <c r="L855" s="157"/>
      <c r="M855" s="266" t="s">
        <v>602</v>
      </c>
    </row>
    <row r="856" spans="1:13" x14ac:dyDescent="0.25">
      <c r="A856" t="s">
        <v>36</v>
      </c>
      <c r="E856" t="s">
        <v>31</v>
      </c>
      <c r="F856" t="str">
        <f>Foderstater!Y$94</f>
        <v>sunflower seed meal</v>
      </c>
      <c r="J856" t="s">
        <v>307</v>
      </c>
      <c r="K856" s="13">
        <f>INDEX(Foderstater!$AB$72:$AT$110,MATCH(F856,Foderstater!$Y$72:$Y$110,0),MATCH(A856&amp;B856&amp;C856&amp;E856,Foderstater!$AB$71:$AT$71,0))</f>
        <v>0</v>
      </c>
    </row>
    <row r="857" spans="1:13" x14ac:dyDescent="0.25">
      <c r="A857" t="s">
        <v>36</v>
      </c>
      <c r="E857" t="s">
        <v>31</v>
      </c>
      <c r="F857" t="str">
        <f>Foderstater!Y$95</f>
        <v>palm kernel expeller</v>
      </c>
      <c r="J857" t="s">
        <v>307</v>
      </c>
      <c r="K857" s="13">
        <f>INDEX(Foderstater!$AB$72:$AT$110,MATCH(F857,Foderstater!$Y$72:$Y$110,0),MATCH(A857&amp;B857&amp;C857&amp;E857,Foderstater!$AB$71:$AT$71,0))</f>
        <v>0</v>
      </c>
    </row>
    <row r="858" spans="1:13" x14ac:dyDescent="0.25">
      <c r="A858" t="s">
        <v>36</v>
      </c>
      <c r="E858" t="s">
        <v>31</v>
      </c>
      <c r="F858" t="str">
        <f>Foderstater!Y$96</f>
        <v>luzern meal</v>
      </c>
      <c r="J858" t="s">
        <v>307</v>
      </c>
      <c r="K858" s="13">
        <f>INDEX(Foderstater!$AB$72:$AT$110,MATCH(F858,Foderstater!$Y$72:$Y$110,0),MATCH(A858&amp;B858&amp;C858&amp;E858,Foderstater!$AB$71:$AT$71,0))</f>
        <v>0</v>
      </c>
    </row>
    <row r="859" spans="1:13" x14ac:dyDescent="0.25">
      <c r="A859" t="s">
        <v>36</v>
      </c>
      <c r="E859" t="s">
        <v>31</v>
      </c>
      <c r="F859" t="str">
        <f>Foderstater!Y$97</f>
        <v>wheat bran</v>
      </c>
      <c r="J859" t="s">
        <v>307</v>
      </c>
      <c r="K859" s="13">
        <f>INDEX(Foderstater!$AB$72:$AT$110,MATCH(F859,Foderstater!$Y$72:$Y$110,0),MATCH(A859&amp;B859&amp;C859&amp;E859,Foderstater!$AB$71:$AT$71,0))</f>
        <v>0</v>
      </c>
    </row>
    <row r="860" spans="1:13" x14ac:dyDescent="0.25">
      <c r="A860" t="s">
        <v>36</v>
      </c>
      <c r="E860" t="s">
        <v>31</v>
      </c>
      <c r="F860" t="str">
        <f>Foderstater!Y$98</f>
        <v>wheat bran, fine</v>
      </c>
      <c r="J860" t="s">
        <v>307</v>
      </c>
      <c r="K860" s="13">
        <f>INDEX(Foderstater!$AB$72:$AT$110,MATCH(F860,Foderstater!$Y$72:$Y$110,0),MATCH(A860&amp;B860&amp;C860&amp;E860,Foderstater!$AB$71:$AT$71,0))</f>
        <v>0</v>
      </c>
    </row>
    <row r="861" spans="1:13" x14ac:dyDescent="0.25">
      <c r="A861" t="s">
        <v>36</v>
      </c>
      <c r="E861" t="s">
        <v>31</v>
      </c>
      <c r="F861" t="str">
        <f>Foderstater!Y$99</f>
        <v>oat hulls</v>
      </c>
      <c r="J861" t="s">
        <v>307</v>
      </c>
      <c r="K861" s="13">
        <f>INDEX(Foderstater!$AB$72:$AT$110,MATCH(F861,Foderstater!$Y$72:$Y$110,0),MATCH(A861&amp;B861&amp;C861&amp;E861,Foderstater!$AB$71:$AT$71,0))</f>
        <v>0</v>
      </c>
    </row>
    <row r="862" spans="1:13" x14ac:dyDescent="0.25">
      <c r="A862" t="s">
        <v>36</v>
      </c>
      <c r="E862" t="s">
        <v>31</v>
      </c>
      <c r="F862" t="str">
        <f>Foderstater!Y$100</f>
        <v>oat bran</v>
      </c>
      <c r="J862" t="s">
        <v>307</v>
      </c>
      <c r="K862" s="13">
        <f>INDEX(Foderstater!$AB$72:$AT$110,MATCH(F862,Foderstater!$Y$72:$Y$110,0),MATCH(A862&amp;B862&amp;C862&amp;E862,Foderstater!$AB$71:$AT$71,0))</f>
        <v>0</v>
      </c>
    </row>
    <row r="863" spans="1:13" x14ac:dyDescent="0.25">
      <c r="A863" t="s">
        <v>36</v>
      </c>
      <c r="E863" t="s">
        <v>31</v>
      </c>
      <c r="F863" t="str">
        <f>Foderstater!Y$101</f>
        <v>rye bran</v>
      </c>
      <c r="J863" t="s">
        <v>307</v>
      </c>
      <c r="K863" s="13">
        <f>INDEX(Foderstater!$AB$72:$AT$110,MATCH(F863,Foderstater!$Y$72:$Y$110,0),MATCH(A863&amp;B863&amp;C863&amp;E863,Foderstater!$AB$71:$AT$71,0))</f>
        <v>0</v>
      </c>
    </row>
    <row r="864" spans="1:13" x14ac:dyDescent="0.25">
      <c r="A864" t="s">
        <v>36</v>
      </c>
      <c r="E864" t="s">
        <v>31</v>
      </c>
      <c r="F864" t="str">
        <f>Foderstater!Y$102</f>
        <v>wheat distillers grain, dry</v>
      </c>
      <c r="J864" t="s">
        <v>307</v>
      </c>
      <c r="K864" s="13">
        <f>INDEX(Foderstater!$AB$72:$AT$110,MATCH(F864,Foderstater!$Y$72:$Y$110,0),MATCH(A864&amp;B864&amp;C864&amp;E864,Foderstater!$AB$71:$AT$71,0))</f>
        <v>0</v>
      </c>
    </row>
    <row r="865" spans="1:14" x14ac:dyDescent="0.25">
      <c r="A865" t="s">
        <v>36</v>
      </c>
      <c r="E865" t="s">
        <v>31</v>
      </c>
      <c r="F865" t="str">
        <f>Foderstater!Y$103</f>
        <v>barley brewers grain</v>
      </c>
      <c r="J865" t="s">
        <v>307</v>
      </c>
      <c r="K865" s="13">
        <f>INDEX(Foderstater!$AB$72:$AT$110,MATCH(F865,Foderstater!$Y$72:$Y$110,0),MATCH(A865&amp;B865&amp;C865&amp;E865,Foderstater!$AB$71:$AT$71,0))</f>
        <v>0</v>
      </c>
    </row>
    <row r="866" spans="1:14" x14ac:dyDescent="0.25">
      <c r="A866" t="s">
        <v>36</v>
      </c>
      <c r="E866" t="s">
        <v>31</v>
      </c>
      <c r="F866" t="str">
        <f>Foderstater!Y$104</f>
        <v>maize gluten meal</v>
      </c>
      <c r="J866" t="s">
        <v>307</v>
      </c>
      <c r="K866" s="13">
        <f>INDEX(Foderstater!$AB$72:$AT$110,MATCH(F866,Foderstater!$Y$72:$Y$110,0),MATCH(A866&amp;B866&amp;C866&amp;E866,Foderstater!$AB$71:$AT$71,0))</f>
        <v>0</v>
      </c>
    </row>
    <row r="867" spans="1:14" x14ac:dyDescent="0.25">
      <c r="A867" t="s">
        <v>36</v>
      </c>
      <c r="E867" t="s">
        <v>31</v>
      </c>
      <c r="F867" t="str">
        <f>Foderstater!Y$105</f>
        <v>sugar beet molasses</v>
      </c>
      <c r="J867" t="s">
        <v>307</v>
      </c>
      <c r="K867" s="13">
        <f>INDEX(Foderstater!$AB$72:$AT$110,MATCH(F867,Foderstater!$Y$72:$Y$110,0),MATCH(A867&amp;B867&amp;C867&amp;E867,Foderstater!$AB$71:$AT$71,0))</f>
        <v>0</v>
      </c>
    </row>
    <row r="868" spans="1:14" x14ac:dyDescent="0.25">
      <c r="A868" t="s">
        <v>36</v>
      </c>
      <c r="E868" t="s">
        <v>31</v>
      </c>
      <c r="F868" t="str">
        <f>Foderstater!Y$106</f>
        <v>sugar beet pulp</v>
      </c>
      <c r="J868" t="s">
        <v>307</v>
      </c>
      <c r="K868" s="13">
        <f>INDEX(Foderstater!$AB$72:$AT$110,MATCH(F868,Foderstater!$Y$72:$Y$110,0),MATCH(A868&amp;B868&amp;C868&amp;E868,Foderstater!$AB$71:$AT$71,0))</f>
        <v>0</v>
      </c>
    </row>
    <row r="869" spans="1:14" x14ac:dyDescent="0.25">
      <c r="A869" t="s">
        <v>36</v>
      </c>
      <c r="E869" t="s">
        <v>31</v>
      </c>
      <c r="F869" t="str">
        <f>Foderstater!Y$107</f>
        <v>whey powder</v>
      </c>
      <c r="J869" t="s">
        <v>307</v>
      </c>
      <c r="K869" s="13">
        <f>INDEX(Foderstater!$AB$72:$AT$110,MATCH(F869,Foderstater!$Y$72:$Y$110,0),MATCH(A869&amp;B869&amp;C869&amp;E869,Foderstater!$AB$71:$AT$71,0))</f>
        <v>0</v>
      </c>
    </row>
    <row r="870" spans="1:14" x14ac:dyDescent="0.25">
      <c r="A870" t="s">
        <v>36</v>
      </c>
      <c r="E870" t="s">
        <v>31</v>
      </c>
      <c r="F870" t="str">
        <f>Foderstater!Y$108</f>
        <v>potatoe protein</v>
      </c>
      <c r="J870" t="s">
        <v>307</v>
      </c>
      <c r="K870" s="13">
        <f>INDEX(Foderstater!$AB$72:$AT$110,MATCH(F870,Foderstater!$Y$72:$Y$110,0),MATCH(A870&amp;B870&amp;C870&amp;E870,Foderstater!$AB$71:$AT$71,0))</f>
        <v>0</v>
      </c>
    </row>
    <row r="871" spans="1:14" x14ac:dyDescent="0.25">
      <c r="A871" t="s">
        <v>36</v>
      </c>
      <c r="E871" t="s">
        <v>31</v>
      </c>
      <c r="F871" t="str">
        <f>Foderstater!Y$109</f>
        <v>fish meal</v>
      </c>
      <c r="J871" t="s">
        <v>307</v>
      </c>
      <c r="K871" s="13">
        <f>INDEX(Foderstater!$AB$72:$AT$110,MATCH(F871,Foderstater!$Y$72:$Y$110,0),MATCH(A871&amp;B871&amp;C871&amp;E871,Foderstater!$AB$71:$AT$71,0))</f>
        <v>0</v>
      </c>
    </row>
    <row r="872" spans="1:14" x14ac:dyDescent="0.25">
      <c r="A872" t="s">
        <v>36</v>
      </c>
      <c r="E872" t="s">
        <v>31</v>
      </c>
      <c r="F872" t="str">
        <f>Foderstater!Y$110</f>
        <v>minerals</v>
      </c>
      <c r="J872" t="s">
        <v>307</v>
      </c>
      <c r="K872" s="13">
        <f>INDEX(Foderstater!$AB$72:$AT$110,MATCH(F872,Foderstater!$Y$72:$Y$110,0),MATCH(A872&amp;B872&amp;C872&amp;E872,Foderstater!$AB$71:$AT$71,0))</f>
        <v>0.71937677297698155</v>
      </c>
    </row>
    <row r="873" spans="1:14" x14ac:dyDescent="0.25">
      <c r="K873" s="13"/>
    </row>
    <row r="874" spans="1:14" x14ac:dyDescent="0.25">
      <c r="A874" s="91" t="s">
        <v>70</v>
      </c>
      <c r="B874" s="160"/>
      <c r="C874" s="160"/>
      <c r="D874" s="90"/>
      <c r="E874" s="90"/>
      <c r="F874" s="90"/>
      <c r="G874" s="90"/>
      <c r="H874" s="90"/>
      <c r="I874" s="90"/>
      <c r="J874" s="90"/>
      <c r="K874" s="161"/>
      <c r="L874" s="90"/>
      <c r="M874" s="90"/>
      <c r="N874" s="90"/>
    </row>
    <row r="875" spans="1:14" x14ac:dyDescent="0.25">
      <c r="A875" s="157" t="s">
        <v>36</v>
      </c>
      <c r="B875" s="157"/>
      <c r="C875" s="157"/>
      <c r="D875" s="157"/>
      <c r="E875" s="157" t="s">
        <v>32</v>
      </c>
      <c r="J875" s="157" t="s">
        <v>307</v>
      </c>
      <c r="K875" s="157">
        <v>0</v>
      </c>
      <c r="L875" s="157"/>
      <c r="M875" s="157" t="s">
        <v>398</v>
      </c>
    </row>
    <row r="876" spans="1:14" x14ac:dyDescent="0.25">
      <c r="A876" t="s">
        <v>36</v>
      </c>
      <c r="E876" t="s">
        <v>32</v>
      </c>
      <c r="F876" t="str">
        <f>Foderstater!Y$72</f>
        <v>ley silage, 1st cut</v>
      </c>
      <c r="J876" t="s">
        <v>307</v>
      </c>
      <c r="K876" s="13">
        <f>INDEX(Foderstater!$AB$72:$AT$110,MATCH(F876,Foderstater!$Y$72:$Y$110,0),MATCH(A876&amp;B876&amp;C876&amp;E876,Foderstater!$AB$71:$AT$71,0))</f>
        <v>0</v>
      </c>
      <c r="L876" s="157"/>
      <c r="M876" s="157"/>
    </row>
    <row r="877" spans="1:14" x14ac:dyDescent="0.25">
      <c r="A877" t="s">
        <v>36</v>
      </c>
      <c r="E877" t="s">
        <v>32</v>
      </c>
      <c r="F877" t="str">
        <f>Foderstater!Y$73</f>
        <v>ley silage, regrowth</v>
      </c>
      <c r="J877" t="s">
        <v>307</v>
      </c>
      <c r="K877" s="13">
        <f>INDEX(Foderstater!$AB$72:$AT$110,MATCH(F877,Foderstater!$Y$72:$Y$110,0),MATCH(A877&amp;B877&amp;C877&amp;E877,Foderstater!$AB$71:$AT$71,0))</f>
        <v>69.016974351370379</v>
      </c>
      <c r="L877" s="157"/>
      <c r="M877" s="157"/>
    </row>
    <row r="878" spans="1:14" x14ac:dyDescent="0.25">
      <c r="A878" t="s">
        <v>36</v>
      </c>
      <c r="E878" t="s">
        <v>32</v>
      </c>
      <c r="F878" t="str">
        <f>Foderstater!Y$74</f>
        <v>other silage</v>
      </c>
      <c r="J878" t="s">
        <v>307</v>
      </c>
      <c r="K878" s="13">
        <f>INDEX(Foderstater!$AB$72:$AT$110,MATCH(F878,Foderstater!$Y$72:$Y$110,0),MATCH(A878&amp;B878&amp;C878&amp;E878,Foderstater!$AB$71:$AT$71,0))</f>
        <v>0</v>
      </c>
      <c r="L878" s="157"/>
      <c r="M878" s="157"/>
    </row>
    <row r="879" spans="1:14" x14ac:dyDescent="0.25">
      <c r="A879" t="s">
        <v>36</v>
      </c>
      <c r="E879" t="s">
        <v>32</v>
      </c>
      <c r="F879" t="str">
        <f>Foderstater!Y$75</f>
        <v>maize silage</v>
      </c>
      <c r="J879" t="s">
        <v>307</v>
      </c>
      <c r="K879" s="13">
        <f>INDEX(Foderstater!$AB$72:$AT$110,MATCH(F879,Foderstater!$Y$72:$Y$110,0),MATCH(A879&amp;B879&amp;C879&amp;E879,Foderstater!$AB$71:$AT$71,0))</f>
        <v>0</v>
      </c>
      <c r="L879" s="157"/>
      <c r="M879" s="157"/>
    </row>
    <row r="880" spans="1:14" x14ac:dyDescent="0.25">
      <c r="A880" t="s">
        <v>36</v>
      </c>
      <c r="E880" t="s">
        <v>32</v>
      </c>
      <c r="F880" t="str">
        <f>Foderstater!Y$76</f>
        <v>straw</v>
      </c>
      <c r="J880" t="s">
        <v>307</v>
      </c>
      <c r="K880" s="13">
        <f>INDEX(Foderstater!$AB$72:$AT$110,MATCH(F880,Foderstater!$Y$72:$Y$110,0),MATCH(A880&amp;B880&amp;C880&amp;E880,Foderstater!$AB$71:$AT$71,0))</f>
        <v>0</v>
      </c>
      <c r="L880" s="157"/>
      <c r="M880" s="157"/>
    </row>
    <row r="881" spans="1:13" x14ac:dyDescent="0.25">
      <c r="A881" t="s">
        <v>36</v>
      </c>
      <c r="E881" t="s">
        <v>32</v>
      </c>
      <c r="F881" t="str">
        <f>Foderstater!Y$77</f>
        <v>grazing</v>
      </c>
      <c r="J881" t="s">
        <v>307</v>
      </c>
      <c r="K881" s="13">
        <f>INDEX(Foderstater!$AB$72:$AT$110,MATCH(F881,Foderstater!$Y$72:$Y$110,0),MATCH(A881&amp;B881&amp;C881&amp;E881,Foderstater!$AB$71:$AT$71,0))</f>
        <v>30.282083494235561</v>
      </c>
      <c r="L881" s="157"/>
      <c r="M881" s="157"/>
    </row>
    <row r="882" spans="1:13" x14ac:dyDescent="0.25">
      <c r="A882" t="s">
        <v>36</v>
      </c>
      <c r="E882" t="s">
        <v>32</v>
      </c>
      <c r="F882" t="str">
        <f>Foderstater!Y$78</f>
        <v>wheat</v>
      </c>
      <c r="J882" t="s">
        <v>307</v>
      </c>
      <c r="K882" s="13">
        <f>INDEX(Foderstater!$AB$72:$AT$110,MATCH(F882,Foderstater!$Y$72:$Y$110,0),MATCH(A882&amp;B882&amp;C882&amp;E882,Foderstater!$AB$71:$AT$71,0))</f>
        <v>0</v>
      </c>
      <c r="L882" s="157"/>
      <c r="M882" s="157"/>
    </row>
    <row r="883" spans="1:13" x14ac:dyDescent="0.25">
      <c r="A883" t="s">
        <v>36</v>
      </c>
      <c r="E883" t="s">
        <v>32</v>
      </c>
      <c r="F883" t="str">
        <f>Foderstater!Y$79</f>
        <v>barley</v>
      </c>
      <c r="J883" t="s">
        <v>307</v>
      </c>
      <c r="K883" s="13">
        <f>INDEX(Foderstater!$AB$72:$AT$110,MATCH(F883,Foderstater!$Y$72:$Y$110,0),MATCH(A883&amp;B883&amp;C883&amp;E883,Foderstater!$AB$71:$AT$71,0))</f>
        <v>0</v>
      </c>
      <c r="L883" s="157"/>
      <c r="M883" s="157"/>
    </row>
    <row r="884" spans="1:13" x14ac:dyDescent="0.25">
      <c r="A884" t="s">
        <v>36</v>
      </c>
      <c r="E884" t="s">
        <v>32</v>
      </c>
      <c r="F884" t="str">
        <f>Foderstater!Y$80</f>
        <v>oats</v>
      </c>
      <c r="J884" t="s">
        <v>307</v>
      </c>
      <c r="K884" s="13">
        <f>INDEX(Foderstater!$AB$72:$AT$110,MATCH(F884,Foderstater!$Y$72:$Y$110,0),MATCH(A884&amp;B884&amp;C884&amp;E884,Foderstater!$AB$71:$AT$71,0))</f>
        <v>0</v>
      </c>
      <c r="L884" s="157"/>
      <c r="M884" s="157"/>
    </row>
    <row r="885" spans="1:13" x14ac:dyDescent="0.25">
      <c r="A885" t="s">
        <v>36</v>
      </c>
      <c r="E885" t="s">
        <v>32</v>
      </c>
      <c r="F885" t="str">
        <f>Foderstater!Y$81</f>
        <v>triticale</v>
      </c>
      <c r="J885" t="s">
        <v>307</v>
      </c>
      <c r="K885" s="13">
        <f>INDEX(Foderstater!$AB$72:$AT$110,MATCH(F885,Foderstater!$Y$72:$Y$110,0),MATCH(A885&amp;B885&amp;C885&amp;E885,Foderstater!$AB$71:$AT$71,0))</f>
        <v>0</v>
      </c>
      <c r="L885" s="157"/>
      <c r="M885" s="157"/>
    </row>
    <row r="886" spans="1:13" x14ac:dyDescent="0.25">
      <c r="A886" t="s">
        <v>36</v>
      </c>
      <c r="E886" t="s">
        <v>32</v>
      </c>
      <c r="F886" t="str">
        <f>Foderstater!Y$82</f>
        <v>rye</v>
      </c>
      <c r="J886" t="s">
        <v>307</v>
      </c>
      <c r="K886" s="13">
        <f>INDEX(Foderstater!$AB$72:$AT$110,MATCH(F886,Foderstater!$Y$72:$Y$110,0),MATCH(A886&amp;B886&amp;C886&amp;E886,Foderstater!$AB$71:$AT$71,0))</f>
        <v>0</v>
      </c>
      <c r="L886" s="157"/>
      <c r="M886" s="157"/>
    </row>
    <row r="887" spans="1:13" x14ac:dyDescent="0.25">
      <c r="A887" t="s">
        <v>36</v>
      </c>
      <c r="E887" t="s">
        <v>32</v>
      </c>
      <c r="F887" t="str">
        <f>Foderstater!Y$83</f>
        <v>maize</v>
      </c>
      <c r="J887" t="s">
        <v>307</v>
      </c>
      <c r="K887" s="13">
        <f>INDEX(Foderstater!$AB$72:$AT$110,MATCH(F887,Foderstater!$Y$72:$Y$110,0),MATCH(A887&amp;B887&amp;C887&amp;E887,Foderstater!$AB$71:$AT$71,0))</f>
        <v>0</v>
      </c>
      <c r="L887" s="157"/>
      <c r="M887" s="157"/>
    </row>
    <row r="888" spans="1:13" x14ac:dyDescent="0.25">
      <c r="A888" t="s">
        <v>36</v>
      </c>
      <c r="E888" t="s">
        <v>32</v>
      </c>
      <c r="F888" t="str">
        <f>Foderstater!Y$84</f>
        <v>peas</v>
      </c>
      <c r="J888" t="s">
        <v>307</v>
      </c>
      <c r="K888" s="13">
        <f>INDEX(Foderstater!$AB$72:$AT$110,MATCH(F888,Foderstater!$Y$72:$Y$110,0),MATCH(A888&amp;B888&amp;C888&amp;E888,Foderstater!$AB$71:$AT$71,0))</f>
        <v>0</v>
      </c>
      <c r="L888" s="157"/>
      <c r="M888" s="157"/>
    </row>
    <row r="889" spans="1:13" x14ac:dyDescent="0.25">
      <c r="A889" t="s">
        <v>36</v>
      </c>
      <c r="E889" t="s">
        <v>32</v>
      </c>
      <c r="F889" t="str">
        <f>Foderstater!Y$85</f>
        <v>broad beans</v>
      </c>
      <c r="J889" t="s">
        <v>307</v>
      </c>
      <c r="K889" s="13">
        <f>INDEX(Foderstater!$AB$72:$AT$110,MATCH(F889,Foderstater!$Y$72:$Y$110,0),MATCH(A889&amp;B889&amp;C889&amp;E889,Foderstater!$AB$71:$AT$71,0))</f>
        <v>0</v>
      </c>
      <c r="L889" s="157"/>
      <c r="M889" s="157"/>
    </row>
    <row r="890" spans="1:13" x14ac:dyDescent="0.25">
      <c r="A890" t="s">
        <v>36</v>
      </c>
      <c r="E890" t="s">
        <v>32</v>
      </c>
      <c r="F890" t="str">
        <f>Foderstater!Y$86</f>
        <v>rapeseed</v>
      </c>
      <c r="J890" t="s">
        <v>307</v>
      </c>
      <c r="K890" s="13">
        <f>INDEX(Foderstater!$AB$72:$AT$110,MATCH(F890,Foderstater!$Y$72:$Y$110,0),MATCH(A890&amp;B890&amp;C890&amp;E890,Foderstater!$AB$71:$AT$71,0))</f>
        <v>0</v>
      </c>
      <c r="L890" s="157"/>
      <c r="M890" s="157"/>
    </row>
    <row r="891" spans="1:13" x14ac:dyDescent="0.25">
      <c r="A891" t="s">
        <v>36</v>
      </c>
      <c r="E891" t="s">
        <v>32</v>
      </c>
      <c r="F891" t="str">
        <f>Foderstater!Y$87</f>
        <v>linseed</v>
      </c>
      <c r="J891" t="s">
        <v>307</v>
      </c>
      <c r="K891" s="13">
        <f>INDEX(Foderstater!$AB$72:$AT$110,MATCH(F891,Foderstater!$Y$72:$Y$110,0),MATCH(A891&amp;B891&amp;C891&amp;E891,Foderstater!$AB$71:$AT$71,0))</f>
        <v>0</v>
      </c>
      <c r="L891" s="157"/>
      <c r="M891" s="157"/>
    </row>
    <row r="892" spans="1:13" x14ac:dyDescent="0.25">
      <c r="A892" t="s">
        <v>36</v>
      </c>
      <c r="E892" t="s">
        <v>32</v>
      </c>
      <c r="F892" t="str">
        <f>Foderstater!Y$88</f>
        <v>vegetable oils</v>
      </c>
      <c r="J892" t="s">
        <v>307</v>
      </c>
      <c r="K892" s="13">
        <f>INDEX(Foderstater!$AB$72:$AT$110,MATCH(F892,Foderstater!$Y$72:$Y$110,0),MATCH(A892&amp;B892&amp;C892&amp;E892,Foderstater!$AB$71:$AT$71,0))</f>
        <v>0</v>
      </c>
      <c r="L892" s="157"/>
      <c r="M892" s="157"/>
    </row>
    <row r="893" spans="1:13" x14ac:dyDescent="0.25">
      <c r="A893" t="s">
        <v>36</v>
      </c>
      <c r="E893" t="s">
        <v>32</v>
      </c>
      <c r="F893" t="str">
        <f>Foderstater!Y$89</f>
        <v>soybeans</v>
      </c>
      <c r="J893" t="s">
        <v>307</v>
      </c>
      <c r="K893" s="13">
        <f>INDEX(Foderstater!$AB$72:$AT$110,MATCH(F893,Foderstater!$Y$72:$Y$110,0),MATCH(A893&amp;B893&amp;C893&amp;E893,Foderstater!$AB$71:$AT$71,0))</f>
        <v>0</v>
      </c>
      <c r="L893" s="157"/>
      <c r="M893" s="157"/>
    </row>
    <row r="894" spans="1:13" x14ac:dyDescent="0.25">
      <c r="A894" t="s">
        <v>36</v>
      </c>
      <c r="E894" t="s">
        <v>32</v>
      </c>
      <c r="F894" t="str">
        <f>Foderstater!Y$90</f>
        <v>soybean meal</v>
      </c>
      <c r="J894" t="s">
        <v>307</v>
      </c>
      <c r="K894" s="13">
        <f>INDEX(Foderstater!$AB$72:$AT$110,MATCH(F894,Foderstater!$Y$72:$Y$110,0),MATCH(A894&amp;B894&amp;C894&amp;E894,Foderstater!$AB$71:$AT$71,0))</f>
        <v>0</v>
      </c>
      <c r="L894" s="157"/>
      <c r="M894" s="157"/>
    </row>
    <row r="895" spans="1:13" x14ac:dyDescent="0.25">
      <c r="A895" t="s">
        <v>36</v>
      </c>
      <c r="E895" t="s">
        <v>32</v>
      </c>
      <c r="F895" t="str">
        <f>Foderstater!Y$91</f>
        <v>soybean protein concentrate</v>
      </c>
      <c r="J895" t="s">
        <v>307</v>
      </c>
      <c r="K895" s="13">
        <f>INDEX(Foderstater!$AB$72:$AT$110,MATCH(F895,Foderstater!$Y$72:$Y$110,0),MATCH(A895&amp;B895&amp;C895&amp;E895,Foderstater!$AB$71:$AT$71,0))</f>
        <v>0</v>
      </c>
      <c r="L895" s="157"/>
      <c r="M895" s="157"/>
    </row>
    <row r="896" spans="1:13" x14ac:dyDescent="0.25">
      <c r="A896" t="s">
        <v>36</v>
      </c>
      <c r="B896" t="s">
        <v>1</v>
      </c>
      <c r="E896" t="s">
        <v>32</v>
      </c>
      <c r="F896" t="str">
        <f>Foderstater!Y$92</f>
        <v>rapeseed meal</v>
      </c>
      <c r="J896" t="s">
        <v>307</v>
      </c>
      <c r="K896" s="13">
        <f>INDEX(Foderstater!$AB$72:$AT$110,MATCH(F896,Foderstater!$Y$72:$Y$110,0),MATCH(A896&amp;C896&amp;E896,Foderstater!$AB$71:$AT$71,0))</f>
        <v>0</v>
      </c>
      <c r="L896" s="157"/>
      <c r="M896" s="157"/>
    </row>
    <row r="897" spans="1:13" x14ac:dyDescent="0.25">
      <c r="A897" s="266" t="str">
        <f>A896</f>
        <v>beef</v>
      </c>
      <c r="B897" s="266" t="s">
        <v>5</v>
      </c>
      <c r="D897" s="266"/>
      <c r="E897" s="266" t="s">
        <v>32</v>
      </c>
      <c r="F897" s="266" t="s">
        <v>601</v>
      </c>
      <c r="J897" s="266" t="str">
        <f>J896</f>
        <v>share_in_ration</v>
      </c>
      <c r="K897" s="267">
        <f>K896</f>
        <v>0</v>
      </c>
      <c r="L897" s="157"/>
      <c r="M897" s="266" t="s">
        <v>602</v>
      </c>
    </row>
    <row r="898" spans="1:13" x14ac:dyDescent="0.25">
      <c r="A898" t="s">
        <v>36</v>
      </c>
      <c r="E898" t="s">
        <v>32</v>
      </c>
      <c r="F898" t="str">
        <f>Foderstater!Y$94</f>
        <v>sunflower seed meal</v>
      </c>
      <c r="J898" t="s">
        <v>307</v>
      </c>
      <c r="K898" s="13">
        <f>INDEX(Foderstater!$AB$72:$AT$110,MATCH(F898,Foderstater!$Y$72:$Y$110,0),MATCH(A898&amp;B898&amp;C898&amp;E898,Foderstater!$AB$71:$AT$71,0))</f>
        <v>0</v>
      </c>
    </row>
    <row r="899" spans="1:13" x14ac:dyDescent="0.25">
      <c r="A899" t="s">
        <v>36</v>
      </c>
      <c r="E899" t="s">
        <v>32</v>
      </c>
      <c r="F899" t="str">
        <f>Foderstater!Y$95</f>
        <v>palm kernel expeller</v>
      </c>
      <c r="J899" t="s">
        <v>307</v>
      </c>
      <c r="K899" s="13">
        <f>INDEX(Foderstater!$AB$72:$AT$110,MATCH(F899,Foderstater!$Y$72:$Y$110,0),MATCH(A899&amp;B899&amp;C899&amp;E899,Foderstater!$AB$71:$AT$71,0))</f>
        <v>0</v>
      </c>
    </row>
    <row r="900" spans="1:13" x14ac:dyDescent="0.25">
      <c r="A900" t="s">
        <v>36</v>
      </c>
      <c r="E900" t="s">
        <v>32</v>
      </c>
      <c r="F900" t="str">
        <f>Foderstater!Y$96</f>
        <v>luzern meal</v>
      </c>
      <c r="J900" t="s">
        <v>307</v>
      </c>
      <c r="K900" s="13">
        <f>INDEX(Foderstater!$AB$72:$AT$110,MATCH(F900,Foderstater!$Y$72:$Y$110,0),MATCH(A900&amp;B900&amp;C900&amp;E900,Foderstater!$AB$71:$AT$71,0))</f>
        <v>0</v>
      </c>
    </row>
    <row r="901" spans="1:13" x14ac:dyDescent="0.25">
      <c r="A901" t="s">
        <v>36</v>
      </c>
      <c r="E901" t="s">
        <v>32</v>
      </c>
      <c r="F901" t="str">
        <f>Foderstater!Y$97</f>
        <v>wheat bran</v>
      </c>
      <c r="J901" t="s">
        <v>307</v>
      </c>
      <c r="K901" s="13">
        <f>INDEX(Foderstater!$AB$72:$AT$110,MATCH(F901,Foderstater!$Y$72:$Y$110,0),MATCH(A901&amp;B901&amp;C901&amp;E901,Foderstater!$AB$71:$AT$71,0))</f>
        <v>0</v>
      </c>
    </row>
    <row r="902" spans="1:13" x14ac:dyDescent="0.25">
      <c r="A902" t="s">
        <v>36</v>
      </c>
      <c r="E902" t="s">
        <v>32</v>
      </c>
      <c r="F902" t="str">
        <f>Foderstater!Y$98</f>
        <v>wheat bran, fine</v>
      </c>
      <c r="J902" t="s">
        <v>307</v>
      </c>
      <c r="K902" s="13">
        <f>INDEX(Foderstater!$AB$72:$AT$110,MATCH(F902,Foderstater!$Y$72:$Y$110,0),MATCH(A902&amp;B902&amp;C902&amp;E902,Foderstater!$AB$71:$AT$71,0))</f>
        <v>0</v>
      </c>
    </row>
    <row r="903" spans="1:13" x14ac:dyDescent="0.25">
      <c r="A903" t="s">
        <v>36</v>
      </c>
      <c r="E903" t="s">
        <v>32</v>
      </c>
      <c r="F903" t="str">
        <f>Foderstater!Y$99</f>
        <v>oat hulls</v>
      </c>
      <c r="J903" t="s">
        <v>307</v>
      </c>
      <c r="K903" s="13">
        <f>INDEX(Foderstater!$AB$72:$AT$110,MATCH(F903,Foderstater!$Y$72:$Y$110,0),MATCH(A903&amp;B903&amp;C903&amp;E903,Foderstater!$AB$71:$AT$71,0))</f>
        <v>0</v>
      </c>
    </row>
    <row r="904" spans="1:13" x14ac:dyDescent="0.25">
      <c r="A904" t="s">
        <v>36</v>
      </c>
      <c r="E904" t="s">
        <v>32</v>
      </c>
      <c r="F904" t="str">
        <f>Foderstater!Y$100</f>
        <v>oat bran</v>
      </c>
      <c r="J904" t="s">
        <v>307</v>
      </c>
      <c r="K904" s="13">
        <f>INDEX(Foderstater!$AB$72:$AT$110,MATCH(F904,Foderstater!$Y$72:$Y$110,0),MATCH(A904&amp;B904&amp;C904&amp;E904,Foderstater!$AB$71:$AT$71,0))</f>
        <v>0</v>
      </c>
    </row>
    <row r="905" spans="1:13" x14ac:dyDescent="0.25">
      <c r="A905" t="s">
        <v>36</v>
      </c>
      <c r="E905" t="s">
        <v>32</v>
      </c>
      <c r="F905" t="str">
        <f>Foderstater!Y$101</f>
        <v>rye bran</v>
      </c>
      <c r="J905" t="s">
        <v>307</v>
      </c>
      <c r="K905" s="13">
        <f>INDEX(Foderstater!$AB$72:$AT$110,MATCH(F905,Foderstater!$Y$72:$Y$110,0),MATCH(A905&amp;B905&amp;C905&amp;E905,Foderstater!$AB$71:$AT$71,0))</f>
        <v>0</v>
      </c>
    </row>
    <row r="906" spans="1:13" x14ac:dyDescent="0.25">
      <c r="A906" t="s">
        <v>36</v>
      </c>
      <c r="E906" t="s">
        <v>32</v>
      </c>
      <c r="F906" t="str">
        <f>Foderstater!Y$102</f>
        <v>wheat distillers grain, dry</v>
      </c>
      <c r="J906" t="s">
        <v>307</v>
      </c>
      <c r="K906" s="13">
        <f>INDEX(Foderstater!$AB$72:$AT$110,MATCH(F906,Foderstater!$Y$72:$Y$110,0),MATCH(A906&amp;B906&amp;C906&amp;E906,Foderstater!$AB$71:$AT$71,0))</f>
        <v>0</v>
      </c>
    </row>
    <row r="907" spans="1:13" x14ac:dyDescent="0.25">
      <c r="A907" t="s">
        <v>36</v>
      </c>
      <c r="E907" t="s">
        <v>32</v>
      </c>
      <c r="F907" t="str">
        <f>Foderstater!Y$103</f>
        <v>barley brewers grain</v>
      </c>
      <c r="J907" t="s">
        <v>307</v>
      </c>
      <c r="K907" s="13">
        <f>INDEX(Foderstater!$AB$72:$AT$110,MATCH(F907,Foderstater!$Y$72:$Y$110,0),MATCH(A907&amp;B907&amp;C907&amp;E907,Foderstater!$AB$71:$AT$71,0))</f>
        <v>0</v>
      </c>
    </row>
    <row r="908" spans="1:13" x14ac:dyDescent="0.25">
      <c r="A908" t="s">
        <v>36</v>
      </c>
      <c r="E908" t="s">
        <v>32</v>
      </c>
      <c r="F908" t="str">
        <f>Foderstater!Y$104</f>
        <v>maize gluten meal</v>
      </c>
      <c r="J908" t="s">
        <v>307</v>
      </c>
      <c r="K908" s="13">
        <f>INDEX(Foderstater!$AB$72:$AT$110,MATCH(F908,Foderstater!$Y$72:$Y$110,0),MATCH(A908&amp;B908&amp;C908&amp;E908,Foderstater!$AB$71:$AT$71,0))</f>
        <v>0</v>
      </c>
    </row>
    <row r="909" spans="1:13" x14ac:dyDescent="0.25">
      <c r="A909" t="s">
        <v>36</v>
      </c>
      <c r="E909" t="s">
        <v>32</v>
      </c>
      <c r="F909" t="str">
        <f>Foderstater!Y$105</f>
        <v>sugar beet molasses</v>
      </c>
      <c r="J909" t="s">
        <v>307</v>
      </c>
      <c r="K909" s="13">
        <f>INDEX(Foderstater!$AB$72:$AT$110,MATCH(F909,Foderstater!$Y$72:$Y$110,0),MATCH(A909&amp;B909&amp;C909&amp;E909,Foderstater!$AB$71:$AT$71,0))</f>
        <v>0</v>
      </c>
    </row>
    <row r="910" spans="1:13" x14ac:dyDescent="0.25">
      <c r="A910" t="s">
        <v>36</v>
      </c>
      <c r="E910" t="s">
        <v>32</v>
      </c>
      <c r="F910" t="str">
        <f>Foderstater!Y$106</f>
        <v>sugar beet pulp</v>
      </c>
      <c r="J910" t="s">
        <v>307</v>
      </c>
      <c r="K910" s="13">
        <f>INDEX(Foderstater!$AB$72:$AT$110,MATCH(F910,Foderstater!$Y$72:$Y$110,0),MATCH(A910&amp;B910&amp;C910&amp;E910,Foderstater!$AB$71:$AT$71,0))</f>
        <v>0</v>
      </c>
    </row>
    <row r="911" spans="1:13" x14ac:dyDescent="0.25">
      <c r="A911" t="s">
        <v>36</v>
      </c>
      <c r="E911" t="s">
        <v>32</v>
      </c>
      <c r="F911" t="str">
        <f>Foderstater!Y$107</f>
        <v>whey powder</v>
      </c>
      <c r="J911" t="s">
        <v>307</v>
      </c>
      <c r="K911" s="13">
        <f>INDEX(Foderstater!$AB$72:$AT$110,MATCH(F911,Foderstater!$Y$72:$Y$110,0),MATCH(A911&amp;B911&amp;C911&amp;E911,Foderstater!$AB$71:$AT$71,0))</f>
        <v>0</v>
      </c>
    </row>
    <row r="912" spans="1:13" x14ac:dyDescent="0.25">
      <c r="A912" t="s">
        <v>36</v>
      </c>
      <c r="E912" t="s">
        <v>32</v>
      </c>
      <c r="F912" t="str">
        <f>Foderstater!Y$108</f>
        <v>potatoe protein</v>
      </c>
      <c r="J912" t="s">
        <v>307</v>
      </c>
      <c r="K912" s="13">
        <f>INDEX(Foderstater!$AB$72:$AT$110,MATCH(F912,Foderstater!$Y$72:$Y$110,0),MATCH(A912&amp;B912&amp;C912&amp;E912,Foderstater!$AB$71:$AT$71,0))</f>
        <v>0</v>
      </c>
    </row>
    <row r="913" spans="1:14" x14ac:dyDescent="0.25">
      <c r="A913" t="s">
        <v>36</v>
      </c>
      <c r="E913" t="s">
        <v>32</v>
      </c>
      <c r="F913" t="str">
        <f>Foderstater!Y$109</f>
        <v>fish meal</v>
      </c>
      <c r="J913" t="s">
        <v>307</v>
      </c>
      <c r="K913" s="13">
        <f>INDEX(Foderstater!$AB$72:$AT$110,MATCH(F913,Foderstater!$Y$72:$Y$110,0),MATCH(A913&amp;B913&amp;C913&amp;E913,Foderstater!$AB$71:$AT$71,0))</f>
        <v>0</v>
      </c>
    </row>
    <row r="914" spans="1:14" x14ac:dyDescent="0.25">
      <c r="A914" t="s">
        <v>36</v>
      </c>
      <c r="E914" t="s">
        <v>32</v>
      </c>
      <c r="F914" t="str">
        <f>Foderstater!Y$110</f>
        <v>minerals</v>
      </c>
      <c r="J914" t="s">
        <v>307</v>
      </c>
      <c r="K914" s="13">
        <f>INDEX(Foderstater!$AB$72:$AT$110,MATCH(F914,Foderstater!$Y$72:$Y$110,0),MATCH(A914&amp;B914&amp;C914&amp;E914,Foderstater!$AB$71:$AT$71,0))</f>
        <v>0.70094215439405494</v>
      </c>
    </row>
    <row r="916" spans="1:14" x14ac:dyDescent="0.25">
      <c r="A916" s="91" t="s">
        <v>74</v>
      </c>
      <c r="B916" s="160"/>
      <c r="C916" s="160"/>
      <c r="D916" s="90"/>
      <c r="E916" s="90"/>
      <c r="F916" s="90"/>
      <c r="G916" s="90"/>
      <c r="H916" s="90"/>
      <c r="I916" s="90"/>
      <c r="J916" s="90"/>
      <c r="K916" s="161"/>
      <c r="L916" s="90"/>
      <c r="M916" s="90"/>
      <c r="N916" s="90"/>
    </row>
    <row r="917" spans="1:14" x14ac:dyDescent="0.25">
      <c r="A917" s="157" t="s">
        <v>36</v>
      </c>
      <c r="B917" s="157" t="s">
        <v>1</v>
      </c>
      <c r="C917" s="157"/>
      <c r="D917" s="157"/>
      <c r="E917" s="157" t="s">
        <v>33</v>
      </c>
      <c r="J917" s="157" t="s">
        <v>307</v>
      </c>
      <c r="K917" s="157">
        <v>0</v>
      </c>
      <c r="L917" s="157"/>
      <c r="M917" s="157" t="s">
        <v>398</v>
      </c>
    </row>
    <row r="918" spans="1:14" x14ac:dyDescent="0.25">
      <c r="A918" t="s">
        <v>36</v>
      </c>
      <c r="B918" t="s">
        <v>1</v>
      </c>
      <c r="E918" t="s">
        <v>33</v>
      </c>
      <c r="F918" t="str">
        <f>Foderstater!Y$72</f>
        <v>ley silage, 1st cut</v>
      </c>
      <c r="J918" t="s">
        <v>307</v>
      </c>
      <c r="K918" s="13">
        <f>INDEX(Foderstater!$AB$72:$AT$110,MATCH(F918,Foderstater!$Y$72:$Y$110,0),MATCH(A918&amp;B918&amp;C918&amp;E918,Foderstater!$AB$71:$AT$71,0))</f>
        <v>60.138713626619086</v>
      </c>
      <c r="L918" s="157"/>
      <c r="M918" s="157"/>
    </row>
    <row r="919" spans="1:14" x14ac:dyDescent="0.25">
      <c r="A919" t="s">
        <v>36</v>
      </c>
      <c r="B919" t="s">
        <v>1</v>
      </c>
      <c r="E919" t="s">
        <v>33</v>
      </c>
      <c r="F919" t="str">
        <f>Foderstater!Y$73</f>
        <v>ley silage, regrowth</v>
      </c>
      <c r="J919" t="s">
        <v>307</v>
      </c>
      <c r="K919" s="13">
        <f>INDEX(Foderstater!$AB$72:$AT$110,MATCH(F919,Foderstater!$Y$72:$Y$110,0),MATCH(A919&amp;B919&amp;C919&amp;E919,Foderstater!$AB$71:$AT$71,0))</f>
        <v>0</v>
      </c>
      <c r="L919" s="157"/>
      <c r="M919" s="157"/>
    </row>
    <row r="920" spans="1:14" x14ac:dyDescent="0.25">
      <c r="A920" t="s">
        <v>36</v>
      </c>
      <c r="B920" t="s">
        <v>1</v>
      </c>
      <c r="E920" t="s">
        <v>33</v>
      </c>
      <c r="F920" t="str">
        <f>Foderstater!Y$74</f>
        <v>other silage</v>
      </c>
      <c r="J920" t="s">
        <v>307</v>
      </c>
      <c r="K920" s="13">
        <f>INDEX(Foderstater!$AB$72:$AT$110,MATCH(F920,Foderstater!$Y$72:$Y$110,0),MATCH(A920&amp;B920&amp;C920&amp;E920,Foderstater!$AB$71:$AT$71,0))</f>
        <v>0</v>
      </c>
      <c r="L920" s="157"/>
      <c r="M920" s="157"/>
    </row>
    <row r="921" spans="1:14" x14ac:dyDescent="0.25">
      <c r="A921" t="s">
        <v>36</v>
      </c>
      <c r="B921" t="s">
        <v>1</v>
      </c>
      <c r="E921" t="s">
        <v>33</v>
      </c>
      <c r="F921" t="str">
        <f>Foderstater!Y$75</f>
        <v>maize silage</v>
      </c>
      <c r="J921" t="s">
        <v>307</v>
      </c>
      <c r="K921" s="13">
        <f>INDEX(Foderstater!$AB$72:$AT$110,MATCH(F921,Foderstater!$Y$72:$Y$110,0),MATCH(A921&amp;B921&amp;C921&amp;E921,Foderstater!$AB$71:$AT$71,0))</f>
        <v>0</v>
      </c>
      <c r="L921" s="157"/>
      <c r="M921" s="157"/>
    </row>
    <row r="922" spans="1:14" x14ac:dyDescent="0.25">
      <c r="A922" t="s">
        <v>36</v>
      </c>
      <c r="B922" t="s">
        <v>1</v>
      </c>
      <c r="E922" t="s">
        <v>33</v>
      </c>
      <c r="F922" t="str">
        <f>Foderstater!Y$76</f>
        <v>straw</v>
      </c>
      <c r="J922" t="s">
        <v>307</v>
      </c>
      <c r="K922" s="13">
        <f>INDEX(Foderstater!$AB$72:$AT$110,MATCH(F922,Foderstater!$Y$72:$Y$110,0),MATCH(A922&amp;B922&amp;C922&amp;E922,Foderstater!$AB$71:$AT$71,0))</f>
        <v>0</v>
      </c>
      <c r="L922" s="157"/>
      <c r="M922" s="157"/>
    </row>
    <row r="923" spans="1:14" x14ac:dyDescent="0.25">
      <c r="A923" t="s">
        <v>36</v>
      </c>
      <c r="B923" t="s">
        <v>1</v>
      </c>
      <c r="E923" t="s">
        <v>33</v>
      </c>
      <c r="F923" t="str">
        <f>Foderstater!Y$77</f>
        <v>grazing</v>
      </c>
      <c r="J923" t="s">
        <v>307</v>
      </c>
      <c r="K923" s="13">
        <f>INDEX(Foderstater!$AB$72:$AT$110,MATCH(F923,Foderstater!$Y$72:$Y$110,0),MATCH(A923&amp;B923&amp;C923&amp;E923,Foderstater!$AB$71:$AT$71,0))</f>
        <v>0</v>
      </c>
      <c r="L923" s="157"/>
      <c r="M923" s="157"/>
    </row>
    <row r="924" spans="1:14" x14ac:dyDescent="0.25">
      <c r="A924" t="s">
        <v>36</v>
      </c>
      <c r="B924" t="s">
        <v>1</v>
      </c>
      <c r="E924" t="s">
        <v>33</v>
      </c>
      <c r="F924" t="str">
        <f>Foderstater!Y$78</f>
        <v>wheat</v>
      </c>
      <c r="J924" t="s">
        <v>307</v>
      </c>
      <c r="K924" s="13">
        <f>INDEX(Foderstater!$AB$72:$AT$110,MATCH(F924,Foderstater!$Y$72:$Y$110,0),MATCH(A924&amp;B924&amp;C924&amp;E924,Foderstater!$AB$71:$AT$71,0))</f>
        <v>8.7950802360888023</v>
      </c>
      <c r="L924" s="157"/>
      <c r="M924" s="157"/>
    </row>
    <row r="925" spans="1:14" x14ac:dyDescent="0.25">
      <c r="A925" t="s">
        <v>36</v>
      </c>
      <c r="B925" t="s">
        <v>1</v>
      </c>
      <c r="E925" t="s">
        <v>33</v>
      </c>
      <c r="F925" t="str">
        <f>Foderstater!Y$79</f>
        <v>barley</v>
      </c>
      <c r="J925" t="s">
        <v>307</v>
      </c>
      <c r="K925" s="13">
        <f>INDEX(Foderstater!$AB$72:$AT$110,MATCH(F925,Foderstater!$Y$72:$Y$110,0),MATCH(A925&amp;B925&amp;C925&amp;E925,Foderstater!$AB$71:$AT$71,0))</f>
        <v>16.456273052444185</v>
      </c>
      <c r="L925" s="157"/>
      <c r="M925" s="157"/>
    </row>
    <row r="926" spans="1:14" x14ac:dyDescent="0.25">
      <c r="A926" t="s">
        <v>36</v>
      </c>
      <c r="B926" t="s">
        <v>1</v>
      </c>
      <c r="E926" t="s">
        <v>33</v>
      </c>
      <c r="F926" t="str">
        <f>Foderstater!Y$80</f>
        <v>oats</v>
      </c>
      <c r="J926" t="s">
        <v>307</v>
      </c>
      <c r="K926" s="13">
        <f>INDEX(Foderstater!$AB$72:$AT$110,MATCH(F926,Foderstater!$Y$72:$Y$110,0),MATCH(A926&amp;B926&amp;C926&amp;E926,Foderstater!$AB$71:$AT$71,0))</f>
        <v>3.6372465594215786</v>
      </c>
      <c r="L926" s="157"/>
      <c r="M926" s="157"/>
    </row>
    <row r="927" spans="1:14" x14ac:dyDescent="0.25">
      <c r="A927" t="s">
        <v>36</v>
      </c>
      <c r="B927" t="s">
        <v>1</v>
      </c>
      <c r="E927" t="s">
        <v>33</v>
      </c>
      <c r="F927" t="str">
        <f>Foderstater!Y$81</f>
        <v>triticale</v>
      </c>
      <c r="J927" t="s">
        <v>307</v>
      </c>
      <c r="K927" s="13">
        <f>INDEX(Foderstater!$AB$72:$AT$110,MATCH(F927,Foderstater!$Y$72:$Y$110,0),MATCH(A927&amp;B927&amp;C927&amp;E927,Foderstater!$AB$71:$AT$71,0))</f>
        <v>5.8891480485237606</v>
      </c>
      <c r="L927" s="157"/>
      <c r="M927" s="157"/>
    </row>
    <row r="928" spans="1:14" x14ac:dyDescent="0.25">
      <c r="A928" t="s">
        <v>36</v>
      </c>
      <c r="B928" t="s">
        <v>1</v>
      </c>
      <c r="E928" t="s">
        <v>33</v>
      </c>
      <c r="F928" t="str">
        <f>Foderstater!Y$82</f>
        <v>rye</v>
      </c>
      <c r="J928" t="s">
        <v>307</v>
      </c>
      <c r="K928" s="13">
        <f>INDEX(Foderstater!$AB$72:$AT$110,MATCH(F928,Foderstater!$Y$72:$Y$110,0),MATCH(A928&amp;B928&amp;C928&amp;E928,Foderstater!$AB$71:$AT$71,0))</f>
        <v>1.3507533293838584E-2</v>
      </c>
      <c r="L928" s="157"/>
      <c r="M928" s="157"/>
    </row>
    <row r="929" spans="1:13" x14ac:dyDescent="0.25">
      <c r="A929" t="s">
        <v>36</v>
      </c>
      <c r="B929" t="s">
        <v>1</v>
      </c>
      <c r="E929" t="s">
        <v>33</v>
      </c>
      <c r="F929" t="str">
        <f>Foderstater!Y$83</f>
        <v>maize</v>
      </c>
      <c r="J929" t="s">
        <v>307</v>
      </c>
      <c r="K929" s="13">
        <f>INDEX(Foderstater!$AB$72:$AT$110,MATCH(F929,Foderstater!$Y$72:$Y$110,0),MATCH(A929&amp;B929&amp;C929&amp;E929,Foderstater!$AB$71:$AT$71,0))</f>
        <v>5.8685075988393134E-2</v>
      </c>
      <c r="L929" s="157"/>
      <c r="M929" s="157"/>
    </row>
    <row r="930" spans="1:13" x14ac:dyDescent="0.25">
      <c r="A930" t="s">
        <v>36</v>
      </c>
      <c r="B930" t="s">
        <v>1</v>
      </c>
      <c r="E930" t="s">
        <v>33</v>
      </c>
      <c r="F930" t="str">
        <f>Foderstater!Y$84</f>
        <v>peas</v>
      </c>
      <c r="J930" t="s">
        <v>307</v>
      </c>
      <c r="K930" s="13">
        <f>INDEX(Foderstater!$AB$72:$AT$110,MATCH(F930,Foderstater!$Y$72:$Y$110,0),MATCH(A930&amp;B930&amp;C930&amp;E930,Foderstater!$AB$71:$AT$71,0))</f>
        <v>1.230521308754674</v>
      </c>
      <c r="L930" s="157"/>
      <c r="M930" s="157"/>
    </row>
    <row r="931" spans="1:13" x14ac:dyDescent="0.25">
      <c r="A931" t="s">
        <v>36</v>
      </c>
      <c r="B931" t="s">
        <v>1</v>
      </c>
      <c r="E931" t="s">
        <v>33</v>
      </c>
      <c r="F931" t="str">
        <f>Foderstater!Y$85</f>
        <v>broad beans</v>
      </c>
      <c r="J931" t="s">
        <v>307</v>
      </c>
      <c r="K931" s="13">
        <f>INDEX(Foderstater!$AB$72:$AT$110,MATCH(F931,Foderstater!$Y$72:$Y$110,0),MATCH(A931&amp;B931&amp;C931&amp;E931,Foderstater!$AB$71:$AT$71,0))</f>
        <v>1.1908458068725807</v>
      </c>
      <c r="L931" s="157"/>
      <c r="M931" s="157"/>
    </row>
    <row r="932" spans="1:13" x14ac:dyDescent="0.25">
      <c r="A932" t="s">
        <v>36</v>
      </c>
      <c r="B932" t="s">
        <v>1</v>
      </c>
      <c r="E932" t="s">
        <v>33</v>
      </c>
      <c r="F932" t="str">
        <f>Foderstater!Y$86</f>
        <v>rapeseed</v>
      </c>
      <c r="J932" t="s">
        <v>307</v>
      </c>
      <c r="K932" s="13">
        <f>INDEX(Foderstater!$AB$72:$AT$110,MATCH(F932,Foderstater!$Y$72:$Y$110,0),MATCH(A932&amp;B932&amp;C932&amp;E932,Foderstater!$AB$71:$AT$71,0))</f>
        <v>0.49891518495011011</v>
      </c>
      <c r="L932" s="157"/>
      <c r="M932" s="157"/>
    </row>
    <row r="933" spans="1:13" x14ac:dyDescent="0.25">
      <c r="A933" t="s">
        <v>36</v>
      </c>
      <c r="B933" t="s">
        <v>1</v>
      </c>
      <c r="E933" t="s">
        <v>33</v>
      </c>
      <c r="F933" t="str">
        <f>Foderstater!Y$87</f>
        <v>linseed</v>
      </c>
      <c r="J933" t="s">
        <v>307</v>
      </c>
      <c r="K933" s="13">
        <f>INDEX(Foderstater!$AB$72:$AT$110,MATCH(F933,Foderstater!$Y$72:$Y$110,0),MATCH(A933&amp;B933&amp;C933&amp;E933,Foderstater!$AB$71:$AT$71,0))</f>
        <v>3.6802917118822752E-4</v>
      </c>
      <c r="L933" s="157"/>
      <c r="M933" s="157"/>
    </row>
    <row r="934" spans="1:13" x14ac:dyDescent="0.25">
      <c r="A934" t="s">
        <v>36</v>
      </c>
      <c r="B934" t="s">
        <v>1</v>
      </c>
      <c r="E934" t="s">
        <v>33</v>
      </c>
      <c r="F934" t="str">
        <f>Foderstater!Y$88</f>
        <v>vegetable oils</v>
      </c>
      <c r="J934" t="s">
        <v>307</v>
      </c>
      <c r="K934" s="13">
        <f>INDEX(Foderstater!$AB$72:$AT$110,MATCH(F934,Foderstater!$Y$72:$Y$110,0),MATCH(A934&amp;B934&amp;C934&amp;E934,Foderstater!$AB$71:$AT$71,0))</f>
        <v>9.5013866211436822E-3</v>
      </c>
      <c r="L934" s="157"/>
      <c r="M934" s="157"/>
    </row>
    <row r="935" spans="1:13" x14ac:dyDescent="0.25">
      <c r="A935" t="s">
        <v>36</v>
      </c>
      <c r="B935" t="s">
        <v>1</v>
      </c>
      <c r="E935" t="s">
        <v>33</v>
      </c>
      <c r="F935" t="str">
        <f>Foderstater!Y$89</f>
        <v>soybeans</v>
      </c>
      <c r="J935" t="s">
        <v>307</v>
      </c>
      <c r="K935" s="13">
        <f>INDEX(Foderstater!$AB$72:$AT$110,MATCH(F935,Foderstater!$Y$72:$Y$110,0),MATCH(A935&amp;B935&amp;C935&amp;E935,Foderstater!$AB$71:$AT$71,0))</f>
        <v>9.2850444567383218E-3</v>
      </c>
      <c r="L935" s="157"/>
      <c r="M935" s="157"/>
    </row>
    <row r="936" spans="1:13" x14ac:dyDescent="0.25">
      <c r="A936" t="s">
        <v>36</v>
      </c>
      <c r="B936" t="s">
        <v>1</v>
      </c>
      <c r="E936" t="s">
        <v>33</v>
      </c>
      <c r="F936" t="str">
        <f>Foderstater!Y$90</f>
        <v>soybean meal</v>
      </c>
      <c r="J936" t="s">
        <v>307</v>
      </c>
      <c r="K936" s="13">
        <f>INDEX(Foderstater!$AB$72:$AT$110,MATCH(F936,Foderstater!$Y$72:$Y$110,0),MATCH(A936&amp;B936&amp;C936&amp;E936,Foderstater!$AB$71:$AT$71,0))</f>
        <v>8.4815436019657742E-2</v>
      </c>
      <c r="L936" s="157"/>
      <c r="M936" s="157"/>
    </row>
    <row r="937" spans="1:13" x14ac:dyDescent="0.25">
      <c r="A937" t="s">
        <v>36</v>
      </c>
      <c r="B937" t="s">
        <v>1</v>
      </c>
      <c r="E937" t="s">
        <v>33</v>
      </c>
      <c r="F937" t="str">
        <f>Foderstater!Y$91</f>
        <v>soybean protein concentrate</v>
      </c>
      <c r="J937" t="s">
        <v>307</v>
      </c>
      <c r="K937" s="13">
        <f>INDEX(Foderstater!$AB$72:$AT$110,MATCH(F937,Foderstater!$Y$72:$Y$110,0),MATCH(A937&amp;B937&amp;C937&amp;E937,Foderstater!$AB$71:$AT$71,0))</f>
        <v>0</v>
      </c>
      <c r="L937" s="157"/>
      <c r="M937" s="157"/>
    </row>
    <row r="938" spans="1:13" x14ac:dyDescent="0.25">
      <c r="A938" t="s">
        <v>36</v>
      </c>
      <c r="B938" t="s">
        <v>1</v>
      </c>
      <c r="E938" t="s">
        <v>33</v>
      </c>
      <c r="F938" t="str">
        <f>Foderstater!Y$92</f>
        <v>rapeseed meal</v>
      </c>
      <c r="J938" t="s">
        <v>307</v>
      </c>
      <c r="K938" s="13">
        <f>INDEX(Foderstater!$AB$72:$AT$110,MATCH(F938,Foderstater!$Y$72:$Y$110,0),MATCH(A938&amp;B938&amp;C938&amp;E938,Foderstater!$AB$71:$AT$71,0))</f>
        <v>0.65508327684698231</v>
      </c>
      <c r="L938" s="157"/>
      <c r="M938" s="157"/>
    </row>
    <row r="939" spans="1:13" x14ac:dyDescent="0.25">
      <c r="A939" t="str">
        <f>A938</f>
        <v>beef</v>
      </c>
      <c r="B939" t="s">
        <v>1</v>
      </c>
      <c r="D939" s="266"/>
      <c r="E939" t="s">
        <v>33</v>
      </c>
      <c r="F939" t="str">
        <f>Foderstater!Y$93</f>
        <v>rapeseed cake</v>
      </c>
      <c r="J939" t="s">
        <v>307</v>
      </c>
      <c r="K939" s="13">
        <f>INDEX(Foderstater!$AB$72:$AT$110,MATCH(F939,Foderstater!$Y$72:$Y$110,0),MATCH(A939&amp;B939&amp;C939&amp;E939,Foderstater!$AB$71:$AT$71,0))</f>
        <v>0</v>
      </c>
      <c r="L939" s="157"/>
      <c r="M939" s="266"/>
    </row>
    <row r="940" spans="1:13" x14ac:dyDescent="0.25">
      <c r="A940" t="s">
        <v>36</v>
      </c>
      <c r="B940" t="s">
        <v>1</v>
      </c>
      <c r="E940" t="s">
        <v>33</v>
      </c>
      <c r="F940" t="str">
        <f>Foderstater!Y$94</f>
        <v>sunflower seed meal</v>
      </c>
      <c r="J940" t="s">
        <v>307</v>
      </c>
      <c r="K940" s="13">
        <f>INDEX(Foderstater!$AB$72:$AT$110,MATCH(F940,Foderstater!$Y$72:$Y$110,0),MATCH(A940&amp;B940&amp;C940&amp;E940,Foderstater!$AB$71:$AT$71,0))</f>
        <v>9.0493413936850002E-3</v>
      </c>
    </row>
    <row r="941" spans="1:13" x14ac:dyDescent="0.25">
      <c r="A941" t="s">
        <v>36</v>
      </c>
      <c r="B941" t="s">
        <v>1</v>
      </c>
      <c r="E941" t="s">
        <v>33</v>
      </c>
      <c r="F941" t="str">
        <f>Foderstater!Y$95</f>
        <v>palm kernel expeller</v>
      </c>
      <c r="J941" t="s">
        <v>307</v>
      </c>
      <c r="K941" s="13">
        <f>INDEX(Foderstater!$AB$72:$AT$110,MATCH(F941,Foderstater!$Y$72:$Y$110,0),MATCH(A941&amp;B941&amp;C941&amp;E941,Foderstater!$AB$71:$AT$71,0))</f>
        <v>5.880188879234155E-2</v>
      </c>
    </row>
    <row r="942" spans="1:13" x14ac:dyDescent="0.25">
      <c r="A942" t="s">
        <v>36</v>
      </c>
      <c r="B942" t="s">
        <v>1</v>
      </c>
      <c r="E942" t="s">
        <v>33</v>
      </c>
      <c r="F942" t="str">
        <f>Foderstater!Y$96</f>
        <v>luzern meal</v>
      </c>
      <c r="J942" t="s">
        <v>307</v>
      </c>
      <c r="K942" s="13">
        <f>INDEX(Foderstater!$AB$72:$AT$110,MATCH(F942,Foderstater!$Y$72:$Y$110,0),MATCH(A942&amp;B942&amp;C942&amp;E942,Foderstater!$AB$71:$AT$71,0))</f>
        <v>1.7886888897567656E-2</v>
      </c>
    </row>
    <row r="943" spans="1:13" x14ac:dyDescent="0.25">
      <c r="A943" t="s">
        <v>36</v>
      </c>
      <c r="B943" t="s">
        <v>1</v>
      </c>
      <c r="E943" t="s">
        <v>33</v>
      </c>
      <c r="F943" t="str">
        <f>Foderstater!Y$97</f>
        <v>wheat bran</v>
      </c>
      <c r="J943" t="s">
        <v>307</v>
      </c>
      <c r="K943" s="13">
        <f>INDEX(Foderstater!$AB$72:$AT$110,MATCH(F943,Foderstater!$Y$72:$Y$110,0),MATCH(A943&amp;B943&amp;C943&amp;E943,Foderstater!$AB$71:$AT$71,0))</f>
        <v>0.19488005713432707</v>
      </c>
    </row>
    <row r="944" spans="1:13" x14ac:dyDescent="0.25">
      <c r="A944" t="s">
        <v>36</v>
      </c>
      <c r="B944" t="s">
        <v>1</v>
      </c>
      <c r="E944" t="s">
        <v>33</v>
      </c>
      <c r="F944" t="str">
        <f>Foderstater!Y$98</f>
        <v>wheat bran, fine</v>
      </c>
      <c r="J944" t="s">
        <v>307</v>
      </c>
      <c r="K944" s="13">
        <f>INDEX(Foderstater!$AB$72:$AT$110,MATCH(F944,Foderstater!$Y$72:$Y$110,0),MATCH(A944&amp;B944&amp;C944&amp;E944,Foderstater!$AB$71:$AT$71,0))</f>
        <v>5.108654814463125E-4</v>
      </c>
    </row>
    <row r="945" spans="1:13" x14ac:dyDescent="0.25">
      <c r="A945" t="s">
        <v>36</v>
      </c>
      <c r="B945" t="s">
        <v>1</v>
      </c>
      <c r="E945" t="s">
        <v>33</v>
      </c>
      <c r="F945" t="str">
        <f>Foderstater!Y$99</f>
        <v>oat hulls</v>
      </c>
      <c r="J945" t="s">
        <v>307</v>
      </c>
      <c r="K945" s="13">
        <f>INDEX(Foderstater!$AB$72:$AT$110,MATCH(F945,Foderstater!$Y$72:$Y$110,0),MATCH(A945&amp;B945&amp;C945&amp;E945,Foderstater!$AB$71:$AT$71,0))</f>
        <v>2.3471407966757316E-2</v>
      </c>
    </row>
    <row r="946" spans="1:13" x14ac:dyDescent="0.25">
      <c r="A946" t="s">
        <v>36</v>
      </c>
      <c r="B946" t="s">
        <v>1</v>
      </c>
      <c r="E946" t="s">
        <v>33</v>
      </c>
      <c r="F946" t="str">
        <f>Foderstater!Y$100</f>
        <v>oat bran</v>
      </c>
      <c r="J946" t="s">
        <v>307</v>
      </c>
      <c r="K946" s="13">
        <f>INDEX(Foderstater!$AB$72:$AT$110,MATCH(F946,Foderstater!$Y$72:$Y$110,0),MATCH(A946&amp;B946&amp;C946&amp;E946,Foderstater!$AB$71:$AT$71,0))</f>
        <v>2.6490134698680073E-3</v>
      </c>
    </row>
    <row r="947" spans="1:13" x14ac:dyDescent="0.25">
      <c r="A947" t="s">
        <v>36</v>
      </c>
      <c r="B947" t="s">
        <v>1</v>
      </c>
      <c r="E947" t="s">
        <v>33</v>
      </c>
      <c r="F947" t="str">
        <f>Foderstater!Y$101</f>
        <v>rye bran</v>
      </c>
      <c r="J947" t="s">
        <v>307</v>
      </c>
      <c r="K947" s="13">
        <f>INDEX(Foderstater!$AB$72:$AT$110,MATCH(F947,Foderstater!$Y$72:$Y$110,0),MATCH(A947&amp;B947&amp;C947&amp;E947,Foderstater!$AB$71:$AT$71,0))</f>
        <v>8.1695862566661028E-3</v>
      </c>
    </row>
    <row r="948" spans="1:13" x14ac:dyDescent="0.25">
      <c r="A948" t="s">
        <v>36</v>
      </c>
      <c r="B948" t="s">
        <v>1</v>
      </c>
      <c r="E948" t="s">
        <v>33</v>
      </c>
      <c r="F948" t="str">
        <f>Foderstater!Y$102</f>
        <v>wheat distillers grain, dry</v>
      </c>
      <c r="J948" t="s">
        <v>307</v>
      </c>
      <c r="K948" s="13">
        <f>INDEX(Foderstater!$AB$72:$AT$110,MATCH(F948,Foderstater!$Y$72:$Y$110,0),MATCH(A948&amp;B948&amp;C948&amp;E948,Foderstater!$AB$71:$AT$71,0))</f>
        <v>0.20947754779055638</v>
      </c>
    </row>
    <row r="949" spans="1:13" x14ac:dyDescent="0.25">
      <c r="A949" t="s">
        <v>36</v>
      </c>
      <c r="B949" t="s">
        <v>1</v>
      </c>
      <c r="E949" t="s">
        <v>33</v>
      </c>
      <c r="F949" t="str">
        <f>Foderstater!Y$103</f>
        <v>barley brewers grain</v>
      </c>
      <c r="J949" t="s">
        <v>307</v>
      </c>
      <c r="K949" s="13">
        <f>INDEX(Foderstater!$AB$72:$AT$110,MATCH(F949,Foderstater!$Y$72:$Y$110,0),MATCH(A949&amp;B949&amp;C949&amp;E949,Foderstater!$AB$71:$AT$71,0))</f>
        <v>0</v>
      </c>
    </row>
    <row r="950" spans="1:13" x14ac:dyDescent="0.25">
      <c r="A950" t="s">
        <v>36</v>
      </c>
      <c r="B950" t="s">
        <v>1</v>
      </c>
      <c r="E950" t="s">
        <v>33</v>
      </c>
      <c r="F950" t="str">
        <f>Foderstater!Y$104</f>
        <v>maize gluten meal</v>
      </c>
      <c r="J950" t="s">
        <v>307</v>
      </c>
      <c r="K950" s="13">
        <f>INDEX(Foderstater!$AB$72:$AT$110,MATCH(F950,Foderstater!$Y$72:$Y$110,0),MATCH(A950&amp;B950&amp;C950&amp;E950,Foderstater!$AB$71:$AT$71,0))</f>
        <v>6.3297538628935548E-3</v>
      </c>
    </row>
    <row r="951" spans="1:13" x14ac:dyDescent="0.25">
      <c r="A951" t="s">
        <v>36</v>
      </c>
      <c r="B951" t="s">
        <v>1</v>
      </c>
      <c r="E951" t="s">
        <v>33</v>
      </c>
      <c r="F951" t="str">
        <f>Foderstater!Y$105</f>
        <v>sugar beet molasses</v>
      </c>
      <c r="J951" t="s">
        <v>307</v>
      </c>
      <c r="K951" s="13">
        <f>INDEX(Foderstater!$AB$72:$AT$110,MATCH(F951,Foderstater!$Y$72:$Y$110,0),MATCH(A951&amp;B951&amp;C951&amp;E951,Foderstater!$AB$71:$AT$71,0))</f>
        <v>7.0193131657187727E-2</v>
      </c>
    </row>
    <row r="952" spans="1:13" x14ac:dyDescent="0.25">
      <c r="A952" t="s">
        <v>36</v>
      </c>
      <c r="B952" t="s">
        <v>1</v>
      </c>
      <c r="E952" t="s">
        <v>33</v>
      </c>
      <c r="F952" t="str">
        <f>Foderstater!Y$106</f>
        <v>sugar beet pulp</v>
      </c>
      <c r="J952" t="s">
        <v>307</v>
      </c>
      <c r="K952" s="13">
        <f>INDEX(Foderstater!$AB$72:$AT$110,MATCH(F952,Foderstater!$Y$72:$Y$110,0),MATCH(A952&amp;B952&amp;C952&amp;E952,Foderstater!$AB$71:$AT$71,0))</f>
        <v>0.13544319950020575</v>
      </c>
    </row>
    <row r="953" spans="1:13" x14ac:dyDescent="0.25">
      <c r="A953" t="s">
        <v>36</v>
      </c>
      <c r="B953" t="s">
        <v>1</v>
      </c>
      <c r="E953" t="s">
        <v>33</v>
      </c>
      <c r="F953" t="str">
        <f>Foderstater!Y$107</f>
        <v>whey powder</v>
      </c>
      <c r="J953" t="s">
        <v>307</v>
      </c>
      <c r="K953" s="13">
        <f>INDEX(Foderstater!$AB$72:$AT$110,MATCH(F953,Foderstater!$Y$72:$Y$110,0),MATCH(A953&amp;B953&amp;C953&amp;E953,Foderstater!$AB$71:$AT$71,0))</f>
        <v>0</v>
      </c>
    </row>
    <row r="954" spans="1:13" x14ac:dyDescent="0.25">
      <c r="A954" t="s">
        <v>36</v>
      </c>
      <c r="B954" t="s">
        <v>1</v>
      </c>
      <c r="E954" t="s">
        <v>33</v>
      </c>
      <c r="F954" t="str">
        <f>Foderstater!Y$108</f>
        <v>potatoe protein</v>
      </c>
      <c r="J954" t="s">
        <v>307</v>
      </c>
      <c r="K954" s="13">
        <f>INDEX(Foderstater!$AB$72:$AT$110,MATCH(F954,Foderstater!$Y$72:$Y$110,0),MATCH(A954&amp;B954&amp;C954&amp;E954,Foderstater!$AB$71:$AT$71,0))</f>
        <v>6.2009373017834091E-4</v>
      </c>
    </row>
    <row r="955" spans="1:13" x14ac:dyDescent="0.25">
      <c r="A955" t="s">
        <v>36</v>
      </c>
      <c r="B955" t="s">
        <v>1</v>
      </c>
      <c r="E955" t="s">
        <v>33</v>
      </c>
      <c r="F955" t="str">
        <f>Foderstater!Y$109</f>
        <v>fish meal</v>
      </c>
      <c r="J955" t="s">
        <v>307</v>
      </c>
      <c r="K955" s="13">
        <f>INDEX(Foderstater!$AB$72:$AT$110,MATCH(F955,Foderstater!$Y$72:$Y$110,0),MATCH(A955&amp;B955&amp;C955&amp;E955,Foderstater!$AB$71:$AT$71,0))</f>
        <v>0</v>
      </c>
    </row>
    <row r="956" spans="1:13" x14ac:dyDescent="0.25">
      <c r="A956" t="s">
        <v>36</v>
      </c>
      <c r="B956" t="s">
        <v>1</v>
      </c>
      <c r="E956" t="s">
        <v>33</v>
      </c>
      <c r="F956" t="str">
        <f>Foderstater!Y$110</f>
        <v>minerals</v>
      </c>
      <c r="J956" t="s">
        <v>307</v>
      </c>
      <c r="K956" s="13">
        <f>INDEX(Foderstater!$AB$72:$AT$110,MATCH(F956,Foderstater!$Y$72:$Y$110,0),MATCH(A956&amp;B956&amp;C956&amp;E956,Foderstater!$AB$71:$AT$71,0))</f>
        <v>0.59452761799360676</v>
      </c>
    </row>
    <row r="957" spans="1:13" x14ac:dyDescent="0.25">
      <c r="L957" s="157"/>
      <c r="M957" s="157"/>
    </row>
    <row r="958" spans="1:13" x14ac:dyDescent="0.25">
      <c r="A958" s="157" t="s">
        <v>36</v>
      </c>
      <c r="B958" s="157" t="s">
        <v>1</v>
      </c>
      <c r="C958" s="157" t="s">
        <v>404</v>
      </c>
      <c r="D958" s="157"/>
      <c r="E958" s="157" t="s">
        <v>33</v>
      </c>
      <c r="J958" s="157" t="s">
        <v>307</v>
      </c>
      <c r="K958" s="157">
        <v>0</v>
      </c>
      <c r="L958" s="157"/>
      <c r="M958" s="157" t="s">
        <v>398</v>
      </c>
    </row>
    <row r="959" spans="1:13" x14ac:dyDescent="0.25">
      <c r="A959" t="s">
        <v>36</v>
      </c>
      <c r="B959" t="s">
        <v>1</v>
      </c>
      <c r="C959" t="s">
        <v>404</v>
      </c>
      <c r="E959" t="s">
        <v>33</v>
      </c>
      <c r="F959" t="str">
        <f>Foderstater!Y$72</f>
        <v>ley silage, 1st cut</v>
      </c>
      <c r="J959" t="s">
        <v>307</v>
      </c>
      <c r="K959" s="13">
        <f>INDEX(Foderstater!$AB$72:$AT$110,MATCH(F959,Foderstater!$Y$72:$Y$110,0),MATCH(A959&amp;B959&amp;C959&amp;E959,Foderstater!$AB$71:$AT$71,0))</f>
        <v>56.070538180908102</v>
      </c>
      <c r="L959" s="157"/>
      <c r="M959" s="157"/>
    </row>
    <row r="960" spans="1:13" x14ac:dyDescent="0.25">
      <c r="A960" t="s">
        <v>36</v>
      </c>
      <c r="B960" t="s">
        <v>1</v>
      </c>
      <c r="C960" t="s">
        <v>404</v>
      </c>
      <c r="E960" t="s">
        <v>33</v>
      </c>
      <c r="F960" t="str">
        <f>Foderstater!Y$73</f>
        <v>ley silage, regrowth</v>
      </c>
      <c r="J960" t="s">
        <v>307</v>
      </c>
      <c r="K960" s="13">
        <f>INDEX(Foderstater!$AB$72:$AT$110,MATCH(F960,Foderstater!$Y$72:$Y$110,0),MATCH(A960&amp;B960&amp;C960&amp;E960,Foderstater!$AB$71:$AT$71,0))</f>
        <v>0</v>
      </c>
      <c r="L960" s="157"/>
      <c r="M960" s="157"/>
    </row>
    <row r="961" spans="1:13" x14ac:dyDescent="0.25">
      <c r="A961" t="s">
        <v>36</v>
      </c>
      <c r="B961" t="s">
        <v>1</v>
      </c>
      <c r="C961" t="s">
        <v>404</v>
      </c>
      <c r="E961" t="s">
        <v>33</v>
      </c>
      <c r="F961" t="str">
        <f>Foderstater!Y$74</f>
        <v>other silage</v>
      </c>
      <c r="J961" t="s">
        <v>307</v>
      </c>
      <c r="K961" s="13">
        <f>INDEX(Foderstater!$AB$72:$AT$110,MATCH(F961,Foderstater!$Y$72:$Y$110,0),MATCH(A961&amp;B961&amp;C961&amp;E961,Foderstater!$AB$71:$AT$71,0))</f>
        <v>0</v>
      </c>
      <c r="L961" s="157"/>
      <c r="M961" s="157"/>
    </row>
    <row r="962" spans="1:13" x14ac:dyDescent="0.25">
      <c r="A962" t="s">
        <v>36</v>
      </c>
      <c r="B962" t="s">
        <v>1</v>
      </c>
      <c r="C962" t="s">
        <v>404</v>
      </c>
      <c r="E962" t="s">
        <v>33</v>
      </c>
      <c r="F962" t="str">
        <f>Foderstater!Y$75</f>
        <v>maize silage</v>
      </c>
      <c r="J962" t="s">
        <v>307</v>
      </c>
      <c r="K962" s="13">
        <f>INDEX(Foderstater!$AB$72:$AT$110,MATCH(F962,Foderstater!$Y$72:$Y$110,0),MATCH(A962&amp;B962&amp;C962&amp;E962,Foderstater!$AB$71:$AT$71,0))</f>
        <v>13.09114711176567</v>
      </c>
      <c r="L962" s="157"/>
      <c r="M962" s="157"/>
    </row>
    <row r="963" spans="1:13" x14ac:dyDescent="0.25">
      <c r="A963" t="s">
        <v>36</v>
      </c>
      <c r="B963" t="s">
        <v>1</v>
      </c>
      <c r="C963" t="s">
        <v>404</v>
      </c>
      <c r="E963" t="s">
        <v>33</v>
      </c>
      <c r="F963" t="str">
        <f>Foderstater!Y$76</f>
        <v>straw</v>
      </c>
      <c r="J963" t="s">
        <v>307</v>
      </c>
      <c r="K963" s="13">
        <f>INDEX(Foderstater!$AB$72:$AT$110,MATCH(F963,Foderstater!$Y$72:$Y$110,0),MATCH(A963&amp;B963&amp;C963&amp;E963,Foderstater!$AB$71:$AT$71,0))</f>
        <v>0</v>
      </c>
      <c r="L963" s="157"/>
      <c r="M963" s="157"/>
    </row>
    <row r="964" spans="1:13" x14ac:dyDescent="0.25">
      <c r="A964" t="s">
        <v>36</v>
      </c>
      <c r="B964" t="s">
        <v>1</v>
      </c>
      <c r="C964" t="s">
        <v>404</v>
      </c>
      <c r="E964" t="s">
        <v>33</v>
      </c>
      <c r="F964" t="str">
        <f>Foderstater!Y$77</f>
        <v>grazing</v>
      </c>
      <c r="J964" t="s">
        <v>307</v>
      </c>
      <c r="K964" s="13">
        <f>INDEX(Foderstater!$AB$72:$AT$110,MATCH(F964,Foderstater!$Y$72:$Y$110,0),MATCH(A964&amp;B964&amp;C964&amp;E964,Foderstater!$AB$71:$AT$71,0))</f>
        <v>0</v>
      </c>
      <c r="L964" s="157"/>
      <c r="M964" s="157"/>
    </row>
    <row r="965" spans="1:13" x14ac:dyDescent="0.25">
      <c r="A965" t="s">
        <v>36</v>
      </c>
      <c r="B965" t="s">
        <v>1</v>
      </c>
      <c r="C965" t="s">
        <v>404</v>
      </c>
      <c r="E965" t="s">
        <v>33</v>
      </c>
      <c r="F965" t="str">
        <f>Foderstater!Y$78</f>
        <v>wheat</v>
      </c>
      <c r="J965" t="s">
        <v>307</v>
      </c>
      <c r="K965" s="13">
        <f>INDEX(Foderstater!$AB$72:$AT$110,MATCH(F965,Foderstater!$Y$72:$Y$110,0),MATCH(A965&amp;B965&amp;C965&amp;E965,Foderstater!$AB$71:$AT$71,0))</f>
        <v>6.338193642704308</v>
      </c>
      <c r="L965" s="157"/>
      <c r="M965" s="157"/>
    </row>
    <row r="966" spans="1:13" x14ac:dyDescent="0.25">
      <c r="A966" t="s">
        <v>36</v>
      </c>
      <c r="B966" t="s">
        <v>1</v>
      </c>
      <c r="C966" t="s">
        <v>404</v>
      </c>
      <c r="E966" t="s">
        <v>33</v>
      </c>
      <c r="F966" t="str">
        <f>Foderstater!Y$79</f>
        <v>barley</v>
      </c>
      <c r="J966" t="s">
        <v>307</v>
      </c>
      <c r="K966" s="13">
        <f>INDEX(Foderstater!$AB$72:$AT$110,MATCH(F966,Foderstater!$Y$72:$Y$110,0),MATCH(A966&amp;B966&amp;C966&amp;E966,Foderstater!$AB$71:$AT$71,0))</f>
        <v>13.009738603465815</v>
      </c>
      <c r="L966" s="157"/>
      <c r="M966" s="157"/>
    </row>
    <row r="967" spans="1:13" x14ac:dyDescent="0.25">
      <c r="A967" t="s">
        <v>36</v>
      </c>
      <c r="B967" t="s">
        <v>1</v>
      </c>
      <c r="C967" t="s">
        <v>404</v>
      </c>
      <c r="E967" t="s">
        <v>33</v>
      </c>
      <c r="F967" t="str">
        <f>Foderstater!Y$80</f>
        <v>oats</v>
      </c>
      <c r="J967" t="s">
        <v>307</v>
      </c>
      <c r="K967" s="13">
        <f>INDEX(Foderstater!$AB$72:$AT$110,MATCH(F967,Foderstater!$Y$72:$Y$110,0),MATCH(A967&amp;B967&amp;C967&amp;E967,Foderstater!$AB$71:$AT$71,0))</f>
        <v>2.6885792015166539</v>
      </c>
      <c r="L967" s="157"/>
      <c r="M967" s="157"/>
    </row>
    <row r="968" spans="1:13" x14ac:dyDescent="0.25">
      <c r="A968" t="s">
        <v>36</v>
      </c>
      <c r="B968" t="s">
        <v>1</v>
      </c>
      <c r="C968" t="s">
        <v>404</v>
      </c>
      <c r="E968" t="s">
        <v>33</v>
      </c>
      <c r="F968" t="str">
        <f>Foderstater!Y$81</f>
        <v>triticale</v>
      </c>
      <c r="J968" t="s">
        <v>307</v>
      </c>
      <c r="K968" s="13">
        <f>INDEX(Foderstater!$AB$72:$AT$110,MATCH(F968,Foderstater!$Y$72:$Y$110,0),MATCH(A968&amp;B968&amp;C968&amp;E968,Foderstater!$AB$71:$AT$71,0))</f>
        <v>5.0332855432745562</v>
      </c>
      <c r="L968" s="157"/>
      <c r="M968" s="157"/>
    </row>
    <row r="969" spans="1:13" x14ac:dyDescent="0.25">
      <c r="A969" t="s">
        <v>36</v>
      </c>
      <c r="B969" t="s">
        <v>1</v>
      </c>
      <c r="C969" t="s">
        <v>404</v>
      </c>
      <c r="E969" t="s">
        <v>33</v>
      </c>
      <c r="F969" t="str">
        <f>Foderstater!Y$82</f>
        <v>rye</v>
      </c>
      <c r="J969" t="s">
        <v>307</v>
      </c>
      <c r="K969" s="13">
        <f>INDEX(Foderstater!$AB$72:$AT$110,MATCH(F969,Foderstater!$Y$72:$Y$110,0),MATCH(A969&amp;B969&amp;C969&amp;E969,Foderstater!$AB$71:$AT$71,0))</f>
        <v>0</v>
      </c>
      <c r="L969" s="157"/>
      <c r="M969" s="157"/>
    </row>
    <row r="970" spans="1:13" x14ac:dyDescent="0.25">
      <c r="A970" t="s">
        <v>36</v>
      </c>
      <c r="B970" t="s">
        <v>1</v>
      </c>
      <c r="C970" t="s">
        <v>404</v>
      </c>
      <c r="E970" t="s">
        <v>33</v>
      </c>
      <c r="F970" t="str">
        <f>Foderstater!Y$83</f>
        <v>maize</v>
      </c>
      <c r="J970" t="s">
        <v>307</v>
      </c>
      <c r="K970" s="13">
        <f>INDEX(Foderstater!$AB$72:$AT$110,MATCH(F970,Foderstater!$Y$72:$Y$110,0),MATCH(A970&amp;B970&amp;C970&amp;E970,Foderstater!$AB$71:$AT$71,0))</f>
        <v>0</v>
      </c>
      <c r="L970" s="157"/>
      <c r="M970" s="157"/>
    </row>
    <row r="971" spans="1:13" x14ac:dyDescent="0.25">
      <c r="A971" t="s">
        <v>36</v>
      </c>
      <c r="B971" t="s">
        <v>1</v>
      </c>
      <c r="C971" t="s">
        <v>404</v>
      </c>
      <c r="E971" t="s">
        <v>33</v>
      </c>
      <c r="F971" t="str">
        <f>Foderstater!Y$84</f>
        <v>peas</v>
      </c>
      <c r="J971" t="s">
        <v>307</v>
      </c>
      <c r="K971" s="13">
        <f>INDEX(Foderstater!$AB$72:$AT$110,MATCH(F971,Foderstater!$Y$72:$Y$110,0),MATCH(A971&amp;B971&amp;C971&amp;E971,Foderstater!$AB$71:$AT$71,0))</f>
        <v>1.6370482011197791</v>
      </c>
      <c r="L971" s="157"/>
      <c r="M971" s="157"/>
    </row>
    <row r="972" spans="1:13" x14ac:dyDescent="0.25">
      <c r="A972" t="s">
        <v>36</v>
      </c>
      <c r="B972" t="s">
        <v>1</v>
      </c>
      <c r="C972" t="s">
        <v>404</v>
      </c>
      <c r="E972" t="s">
        <v>33</v>
      </c>
      <c r="F972" t="str">
        <f>Foderstater!Y$85</f>
        <v>broad beans</v>
      </c>
      <c r="J972" t="s">
        <v>307</v>
      </c>
      <c r="K972" s="13">
        <f>INDEX(Foderstater!$AB$72:$AT$110,MATCH(F972,Foderstater!$Y$72:$Y$110,0),MATCH(A972&amp;B972&amp;C972&amp;E972,Foderstater!$AB$71:$AT$71,0))</f>
        <v>1.5539189073731028</v>
      </c>
      <c r="L972" s="157"/>
      <c r="M972" s="157"/>
    </row>
    <row r="973" spans="1:13" x14ac:dyDescent="0.25">
      <c r="A973" t="s">
        <v>36</v>
      </c>
      <c r="B973" t="s">
        <v>1</v>
      </c>
      <c r="C973" t="s">
        <v>404</v>
      </c>
      <c r="E973" t="s">
        <v>33</v>
      </c>
      <c r="F973" t="str">
        <f>Foderstater!Y$86</f>
        <v>rapeseed</v>
      </c>
      <c r="J973" t="s">
        <v>307</v>
      </c>
      <c r="K973" s="13">
        <f>INDEX(Foderstater!$AB$72:$AT$110,MATCH(F973,Foderstater!$Y$72:$Y$110,0),MATCH(A973&amp;B973&amp;C973&amp;E973,Foderstater!$AB$71:$AT$71,0))</f>
        <v>0</v>
      </c>
      <c r="L973" s="157"/>
      <c r="M973" s="157"/>
    </row>
    <row r="974" spans="1:13" x14ac:dyDescent="0.25">
      <c r="A974" t="s">
        <v>36</v>
      </c>
      <c r="B974" t="s">
        <v>1</v>
      </c>
      <c r="C974" t="s">
        <v>404</v>
      </c>
      <c r="E974" t="s">
        <v>33</v>
      </c>
      <c r="F974" t="str">
        <f>Foderstater!Y$87</f>
        <v>linseed</v>
      </c>
      <c r="J974" t="s">
        <v>307</v>
      </c>
      <c r="K974" s="13">
        <f>INDEX(Foderstater!$AB$72:$AT$110,MATCH(F974,Foderstater!$Y$72:$Y$110,0),MATCH(A974&amp;B974&amp;C974&amp;E974,Foderstater!$AB$71:$AT$71,0))</f>
        <v>0</v>
      </c>
      <c r="L974" s="157"/>
      <c r="M974" s="157"/>
    </row>
    <row r="975" spans="1:13" x14ac:dyDescent="0.25">
      <c r="A975" t="s">
        <v>36</v>
      </c>
      <c r="B975" t="s">
        <v>1</v>
      </c>
      <c r="C975" t="s">
        <v>404</v>
      </c>
      <c r="E975" t="s">
        <v>33</v>
      </c>
      <c r="F975" t="str">
        <f>Foderstater!Y$88</f>
        <v>vegetable oils</v>
      </c>
      <c r="J975" t="s">
        <v>307</v>
      </c>
      <c r="K975" s="13">
        <f>INDEX(Foderstater!$AB$72:$AT$110,MATCH(F975,Foderstater!$Y$72:$Y$110,0),MATCH(A975&amp;B975&amp;C975&amp;E975,Foderstater!$AB$71:$AT$71,0))</f>
        <v>0</v>
      </c>
      <c r="L975" s="157"/>
      <c r="M975" s="157"/>
    </row>
    <row r="976" spans="1:13" x14ac:dyDescent="0.25">
      <c r="A976" t="s">
        <v>36</v>
      </c>
      <c r="B976" t="s">
        <v>1</v>
      </c>
      <c r="C976" t="s">
        <v>404</v>
      </c>
      <c r="E976" t="s">
        <v>33</v>
      </c>
      <c r="F976" t="str">
        <f>Foderstater!Y$89</f>
        <v>soybeans</v>
      </c>
      <c r="J976" t="s">
        <v>307</v>
      </c>
      <c r="K976" s="13">
        <f>INDEX(Foderstater!$AB$72:$AT$110,MATCH(F976,Foderstater!$Y$72:$Y$110,0),MATCH(A976&amp;B976&amp;C976&amp;E976,Foderstater!$AB$71:$AT$71,0))</f>
        <v>0</v>
      </c>
      <c r="L976" s="157"/>
      <c r="M976" s="157"/>
    </row>
    <row r="977" spans="1:13" x14ac:dyDescent="0.25">
      <c r="A977" t="s">
        <v>36</v>
      </c>
      <c r="B977" t="s">
        <v>1</v>
      </c>
      <c r="C977" t="s">
        <v>404</v>
      </c>
      <c r="E977" t="s">
        <v>33</v>
      </c>
      <c r="F977" t="str">
        <f>Foderstater!Y$90</f>
        <v>soybean meal</v>
      </c>
      <c r="J977" t="s">
        <v>307</v>
      </c>
      <c r="K977" s="13">
        <f>INDEX(Foderstater!$AB$72:$AT$110,MATCH(F977,Foderstater!$Y$72:$Y$110,0),MATCH(A977&amp;B977&amp;C977&amp;E977,Foderstater!$AB$71:$AT$71,0))</f>
        <v>0</v>
      </c>
      <c r="L977" s="157"/>
      <c r="M977" s="157"/>
    </row>
    <row r="978" spans="1:13" x14ac:dyDescent="0.25">
      <c r="A978" t="s">
        <v>36</v>
      </c>
      <c r="B978" t="s">
        <v>1</v>
      </c>
      <c r="C978" t="s">
        <v>404</v>
      </c>
      <c r="E978" t="s">
        <v>33</v>
      </c>
      <c r="F978" t="str">
        <f>Foderstater!Y$91</f>
        <v>soybean protein concentrate</v>
      </c>
      <c r="J978" t="s">
        <v>307</v>
      </c>
      <c r="K978" s="13">
        <f>INDEX(Foderstater!$AB$72:$AT$110,MATCH(F978,Foderstater!$Y$72:$Y$110,0),MATCH(A978&amp;B978&amp;C978&amp;E978,Foderstater!$AB$71:$AT$71,0))</f>
        <v>0</v>
      </c>
      <c r="L978" s="157"/>
      <c r="M978" s="157"/>
    </row>
    <row r="979" spans="1:13" x14ac:dyDescent="0.25">
      <c r="A979" t="s">
        <v>36</v>
      </c>
      <c r="B979" t="s">
        <v>1</v>
      </c>
      <c r="C979" t="s">
        <v>404</v>
      </c>
      <c r="E979" t="s">
        <v>33</v>
      </c>
      <c r="F979" t="str">
        <f>Foderstater!Y$92</f>
        <v>rapeseed meal</v>
      </c>
      <c r="J979" t="s">
        <v>307</v>
      </c>
      <c r="K979" s="13">
        <f>INDEX(Foderstater!$AB$72:$AT$110,MATCH(F979,Foderstater!$Y$72:$Y$110,0),MATCH(A979&amp;B979&amp;C979&amp;E979,Foderstater!$AB$71:$AT$71,0))</f>
        <v>0</v>
      </c>
      <c r="L979" s="157"/>
      <c r="M979" s="157"/>
    </row>
    <row r="980" spans="1:13" x14ac:dyDescent="0.25">
      <c r="A980" t="s">
        <v>36</v>
      </c>
      <c r="B980" t="s">
        <v>1</v>
      </c>
      <c r="C980" t="s">
        <v>404</v>
      </c>
      <c r="E980" t="s">
        <v>33</v>
      </c>
      <c r="F980" t="str">
        <f>Foderstater!Y$93</f>
        <v>rapeseed cake</v>
      </c>
      <c r="J980" t="s">
        <v>307</v>
      </c>
      <c r="K980" s="13">
        <f>INDEX(Foderstater!$AB$72:$AT$110,MATCH(F980,Foderstater!$Y$72:$Y$110,0),MATCH(A980&amp;B980&amp;C980&amp;E980,Foderstater!$AB$71:$AT$71,0))</f>
        <v>0</v>
      </c>
    </row>
    <row r="981" spans="1:13" x14ac:dyDescent="0.25">
      <c r="A981" t="s">
        <v>36</v>
      </c>
      <c r="B981" t="s">
        <v>1</v>
      </c>
      <c r="C981" t="s">
        <v>404</v>
      </c>
      <c r="E981" t="s">
        <v>33</v>
      </c>
      <c r="F981" t="str">
        <f>Foderstater!Y$94</f>
        <v>sunflower seed meal</v>
      </c>
      <c r="J981" t="s">
        <v>307</v>
      </c>
      <c r="K981" s="13">
        <f>INDEX(Foderstater!$AB$72:$AT$110,MATCH(F981,Foderstater!$Y$72:$Y$110,0),MATCH(A981&amp;B981&amp;C981&amp;E981,Foderstater!$AB$71:$AT$71,0))</f>
        <v>0</v>
      </c>
    </row>
    <row r="982" spans="1:13" x14ac:dyDescent="0.25">
      <c r="A982" t="s">
        <v>36</v>
      </c>
      <c r="B982" t="s">
        <v>1</v>
      </c>
      <c r="C982" t="s">
        <v>404</v>
      </c>
      <c r="E982" t="s">
        <v>33</v>
      </c>
      <c r="F982" t="str">
        <f>Foderstater!Y$95</f>
        <v>palm kernel expeller</v>
      </c>
      <c r="J982" t="s">
        <v>307</v>
      </c>
      <c r="K982" s="13">
        <f>INDEX(Foderstater!$AB$72:$AT$110,MATCH(F982,Foderstater!$Y$72:$Y$110,0),MATCH(A982&amp;B982&amp;C982&amp;E982,Foderstater!$AB$71:$AT$71,0))</f>
        <v>0</v>
      </c>
    </row>
    <row r="983" spans="1:13" x14ac:dyDescent="0.25">
      <c r="A983" t="s">
        <v>36</v>
      </c>
      <c r="B983" t="s">
        <v>1</v>
      </c>
      <c r="C983" t="s">
        <v>404</v>
      </c>
      <c r="E983" t="s">
        <v>33</v>
      </c>
      <c r="F983" t="str">
        <f>Foderstater!Y$96</f>
        <v>luzern meal</v>
      </c>
      <c r="J983" t="s">
        <v>307</v>
      </c>
      <c r="K983" s="13">
        <f>INDEX(Foderstater!$AB$72:$AT$110,MATCH(F983,Foderstater!$Y$72:$Y$110,0),MATCH(A983&amp;B983&amp;C983&amp;E983,Foderstater!$AB$71:$AT$71,0))</f>
        <v>0</v>
      </c>
    </row>
    <row r="984" spans="1:13" x14ac:dyDescent="0.25">
      <c r="A984" t="s">
        <v>36</v>
      </c>
      <c r="B984" t="s">
        <v>1</v>
      </c>
      <c r="C984" t="s">
        <v>404</v>
      </c>
      <c r="E984" t="s">
        <v>33</v>
      </c>
      <c r="F984" t="str">
        <f>Foderstater!Y$97</f>
        <v>wheat bran</v>
      </c>
      <c r="J984" t="s">
        <v>307</v>
      </c>
      <c r="K984" s="13">
        <f>INDEX(Foderstater!$AB$72:$AT$110,MATCH(F984,Foderstater!$Y$72:$Y$110,0),MATCH(A984&amp;B984&amp;C984&amp;E984,Foderstater!$AB$71:$AT$71,0))</f>
        <v>0</v>
      </c>
    </row>
    <row r="985" spans="1:13" x14ac:dyDescent="0.25">
      <c r="A985" t="s">
        <v>36</v>
      </c>
      <c r="B985" t="s">
        <v>1</v>
      </c>
      <c r="C985" t="s">
        <v>404</v>
      </c>
      <c r="E985" t="s">
        <v>33</v>
      </c>
      <c r="F985" t="str">
        <f>Foderstater!Y$98</f>
        <v>wheat bran, fine</v>
      </c>
      <c r="J985" t="s">
        <v>307</v>
      </c>
      <c r="K985" s="13">
        <f>INDEX(Foderstater!$AB$72:$AT$110,MATCH(F985,Foderstater!$Y$72:$Y$110,0),MATCH(A985&amp;B985&amp;C985&amp;E985,Foderstater!$AB$71:$AT$71,0))</f>
        <v>0</v>
      </c>
    </row>
    <row r="986" spans="1:13" x14ac:dyDescent="0.25">
      <c r="A986" t="s">
        <v>36</v>
      </c>
      <c r="B986" t="s">
        <v>1</v>
      </c>
      <c r="C986" t="s">
        <v>404</v>
      </c>
      <c r="E986" t="s">
        <v>33</v>
      </c>
      <c r="F986" t="str">
        <f>Foderstater!Y$99</f>
        <v>oat hulls</v>
      </c>
      <c r="J986" t="s">
        <v>307</v>
      </c>
      <c r="K986" s="13">
        <f>INDEX(Foderstater!$AB$72:$AT$110,MATCH(F986,Foderstater!$Y$72:$Y$110,0),MATCH(A986&amp;B986&amp;C986&amp;E986,Foderstater!$AB$71:$AT$71,0))</f>
        <v>0</v>
      </c>
    </row>
    <row r="987" spans="1:13" x14ac:dyDescent="0.25">
      <c r="A987" t="s">
        <v>36</v>
      </c>
      <c r="B987" t="s">
        <v>1</v>
      </c>
      <c r="C987" t="s">
        <v>404</v>
      </c>
      <c r="E987" t="s">
        <v>33</v>
      </c>
      <c r="F987" t="str">
        <f>Foderstater!Y$100</f>
        <v>oat bran</v>
      </c>
      <c r="J987" t="s">
        <v>307</v>
      </c>
      <c r="K987" s="13">
        <f>INDEX(Foderstater!$AB$72:$AT$110,MATCH(F987,Foderstater!$Y$72:$Y$110,0),MATCH(A987&amp;B987&amp;C987&amp;E987,Foderstater!$AB$71:$AT$71,0))</f>
        <v>0</v>
      </c>
    </row>
    <row r="988" spans="1:13" x14ac:dyDescent="0.25">
      <c r="A988" t="s">
        <v>36</v>
      </c>
      <c r="B988" t="s">
        <v>1</v>
      </c>
      <c r="C988" t="s">
        <v>404</v>
      </c>
      <c r="E988" t="s">
        <v>33</v>
      </c>
      <c r="F988" t="str">
        <f>Foderstater!Y$101</f>
        <v>rye bran</v>
      </c>
      <c r="J988" t="s">
        <v>307</v>
      </c>
      <c r="K988" s="13">
        <f>INDEX(Foderstater!$AB$72:$AT$110,MATCH(F988,Foderstater!$Y$72:$Y$110,0),MATCH(A988&amp;B988&amp;C988&amp;E988,Foderstater!$AB$71:$AT$71,0))</f>
        <v>0</v>
      </c>
    </row>
    <row r="989" spans="1:13" x14ac:dyDescent="0.25">
      <c r="A989" t="s">
        <v>36</v>
      </c>
      <c r="B989" t="s">
        <v>1</v>
      </c>
      <c r="C989" t="s">
        <v>404</v>
      </c>
      <c r="E989" t="s">
        <v>33</v>
      </c>
      <c r="F989" t="str">
        <f>Foderstater!Y$102</f>
        <v>wheat distillers grain, dry</v>
      </c>
      <c r="J989" t="s">
        <v>307</v>
      </c>
      <c r="K989" s="13">
        <f>INDEX(Foderstater!$AB$72:$AT$110,MATCH(F989,Foderstater!$Y$72:$Y$110,0),MATCH(A989&amp;B989&amp;C989&amp;E989,Foderstater!$AB$71:$AT$71,0))</f>
        <v>0</v>
      </c>
    </row>
    <row r="990" spans="1:13" x14ac:dyDescent="0.25">
      <c r="A990" t="s">
        <v>36</v>
      </c>
      <c r="B990" t="s">
        <v>1</v>
      </c>
      <c r="C990" t="s">
        <v>404</v>
      </c>
      <c r="E990" t="s">
        <v>33</v>
      </c>
      <c r="F990" t="str">
        <f>Foderstater!Y$103</f>
        <v>barley brewers grain</v>
      </c>
      <c r="J990" t="s">
        <v>307</v>
      </c>
      <c r="K990" s="13">
        <f>INDEX(Foderstater!$AB$72:$AT$110,MATCH(F990,Foderstater!$Y$72:$Y$110,0),MATCH(A990&amp;B990&amp;C990&amp;E990,Foderstater!$AB$71:$AT$71,0))</f>
        <v>0</v>
      </c>
    </row>
    <row r="991" spans="1:13" x14ac:dyDescent="0.25">
      <c r="A991" t="s">
        <v>36</v>
      </c>
      <c r="B991" t="s">
        <v>1</v>
      </c>
      <c r="C991" t="s">
        <v>404</v>
      </c>
      <c r="E991" t="s">
        <v>33</v>
      </c>
      <c r="F991" t="str">
        <f>Foderstater!Y$104</f>
        <v>maize gluten meal</v>
      </c>
      <c r="J991" t="s">
        <v>307</v>
      </c>
      <c r="K991" s="13">
        <f>INDEX(Foderstater!$AB$72:$AT$110,MATCH(F991,Foderstater!$Y$72:$Y$110,0),MATCH(A991&amp;B991&amp;C991&amp;E991,Foderstater!$AB$71:$AT$71,0))</f>
        <v>0</v>
      </c>
    </row>
    <row r="992" spans="1:13" x14ac:dyDescent="0.25">
      <c r="A992" t="s">
        <v>36</v>
      </c>
      <c r="B992" t="s">
        <v>1</v>
      </c>
      <c r="C992" t="s">
        <v>404</v>
      </c>
      <c r="E992" t="s">
        <v>33</v>
      </c>
      <c r="F992" t="str">
        <f>Foderstater!Y$105</f>
        <v>sugar beet molasses</v>
      </c>
      <c r="J992" t="s">
        <v>307</v>
      </c>
      <c r="K992" s="13">
        <f>INDEX(Foderstater!$AB$72:$AT$110,MATCH(F992,Foderstater!$Y$72:$Y$110,0),MATCH(A992&amp;B992&amp;C992&amp;E992,Foderstater!$AB$71:$AT$71,0))</f>
        <v>0</v>
      </c>
    </row>
    <row r="993" spans="1:13" x14ac:dyDescent="0.25">
      <c r="A993" t="s">
        <v>36</v>
      </c>
      <c r="B993" t="s">
        <v>1</v>
      </c>
      <c r="C993" t="s">
        <v>404</v>
      </c>
      <c r="E993" t="s">
        <v>33</v>
      </c>
      <c r="F993" t="str">
        <f>Foderstater!Y$106</f>
        <v>sugar beet pulp</v>
      </c>
      <c r="J993" t="s">
        <v>307</v>
      </c>
      <c r="K993" s="13">
        <f>INDEX(Foderstater!$AB$72:$AT$110,MATCH(F993,Foderstater!$Y$72:$Y$110,0),MATCH(A993&amp;B993&amp;C993&amp;E993,Foderstater!$AB$71:$AT$71,0))</f>
        <v>0</v>
      </c>
    </row>
    <row r="994" spans="1:13" x14ac:dyDescent="0.25">
      <c r="A994" t="s">
        <v>36</v>
      </c>
      <c r="B994" t="s">
        <v>1</v>
      </c>
      <c r="C994" t="s">
        <v>404</v>
      </c>
      <c r="E994" t="s">
        <v>33</v>
      </c>
      <c r="F994" t="str">
        <f>Foderstater!Y$107</f>
        <v>whey powder</v>
      </c>
      <c r="J994" t="s">
        <v>307</v>
      </c>
      <c r="K994" s="13">
        <f>INDEX(Foderstater!$AB$72:$AT$110,MATCH(F994,Foderstater!$Y$72:$Y$110,0),MATCH(A994&amp;B994&amp;C994&amp;E994,Foderstater!$AB$71:$AT$71,0))</f>
        <v>0</v>
      </c>
    </row>
    <row r="995" spans="1:13" x14ac:dyDescent="0.25">
      <c r="A995" t="s">
        <v>36</v>
      </c>
      <c r="B995" t="s">
        <v>1</v>
      </c>
      <c r="C995" t="s">
        <v>404</v>
      </c>
      <c r="E995" t="s">
        <v>33</v>
      </c>
      <c r="F995" t="str">
        <f>Foderstater!Y$108</f>
        <v>potatoe protein</v>
      </c>
      <c r="J995" t="s">
        <v>307</v>
      </c>
      <c r="K995" s="13">
        <f>INDEX(Foderstater!$AB$72:$AT$110,MATCH(F995,Foderstater!$Y$72:$Y$110,0),MATCH(A995&amp;B995&amp;C995&amp;E995,Foderstater!$AB$71:$AT$71,0))</f>
        <v>0</v>
      </c>
    </row>
    <row r="996" spans="1:13" x14ac:dyDescent="0.25">
      <c r="A996" t="s">
        <v>36</v>
      </c>
      <c r="B996" t="s">
        <v>1</v>
      </c>
      <c r="C996" t="s">
        <v>404</v>
      </c>
      <c r="E996" t="s">
        <v>33</v>
      </c>
      <c r="F996" t="str">
        <f>Foderstater!Y$109</f>
        <v>fish meal</v>
      </c>
      <c r="J996" t="s">
        <v>307</v>
      </c>
      <c r="K996" s="13">
        <f>INDEX(Foderstater!$AB$72:$AT$110,MATCH(F996,Foderstater!$Y$72:$Y$110,0),MATCH(A996&amp;B996&amp;C996&amp;E996,Foderstater!$AB$71:$AT$71,0))</f>
        <v>0</v>
      </c>
    </row>
    <row r="997" spans="1:13" x14ac:dyDescent="0.25">
      <c r="A997" t="s">
        <v>36</v>
      </c>
      <c r="B997" t="s">
        <v>1</v>
      </c>
      <c r="C997" t="s">
        <v>404</v>
      </c>
      <c r="E997" t="s">
        <v>33</v>
      </c>
      <c r="F997" t="str">
        <f>Foderstater!Y$110</f>
        <v>minerals</v>
      </c>
      <c r="J997" t="s">
        <v>307</v>
      </c>
      <c r="K997" s="13">
        <f>INDEX(Foderstater!$AB$72:$AT$110,MATCH(F997,Foderstater!$Y$72:$Y$110,0),MATCH(A997&amp;B997&amp;C997&amp;E997,Foderstater!$AB$71:$AT$71,0))</f>
        <v>0.57755060787201484</v>
      </c>
    </row>
    <row r="999" spans="1:13" x14ac:dyDescent="0.25">
      <c r="A999" s="157" t="s">
        <v>36</v>
      </c>
      <c r="B999" s="157" t="s">
        <v>5</v>
      </c>
      <c r="C999" s="157"/>
      <c r="D999" s="157"/>
      <c r="E999" s="157" t="s">
        <v>33</v>
      </c>
      <c r="J999" s="157" t="s">
        <v>307</v>
      </c>
      <c r="K999" s="157">
        <v>0</v>
      </c>
      <c r="L999" s="157"/>
      <c r="M999" s="157" t="s">
        <v>398</v>
      </c>
    </row>
    <row r="1000" spans="1:13" x14ac:dyDescent="0.25">
      <c r="A1000" t="s">
        <v>36</v>
      </c>
      <c r="B1000" t="s">
        <v>5</v>
      </c>
      <c r="E1000" t="s">
        <v>33</v>
      </c>
      <c r="F1000" t="str">
        <f>Foderstater!Y$72</f>
        <v>ley silage, 1st cut</v>
      </c>
      <c r="J1000" t="s">
        <v>307</v>
      </c>
      <c r="K1000" s="13">
        <f>INDEX(Foderstater!$AB$72:$AT$110,MATCH(F1000,Foderstater!$Y$72:$Y$110,0),MATCH(A1000&amp;B1000&amp;C1000&amp;E1000,Foderstater!$AB$71:$AT$71,0))</f>
        <v>71.938687939822245</v>
      </c>
      <c r="L1000" s="157"/>
      <c r="M1000" s="157"/>
    </row>
    <row r="1001" spans="1:13" x14ac:dyDescent="0.25">
      <c r="A1001" t="s">
        <v>36</v>
      </c>
      <c r="B1001" t="s">
        <v>5</v>
      </c>
      <c r="E1001" t="s">
        <v>33</v>
      </c>
      <c r="F1001" t="str">
        <f>Foderstater!Y$73</f>
        <v>ley silage, regrowth</v>
      </c>
      <c r="J1001" t="s">
        <v>307</v>
      </c>
      <c r="K1001" s="13">
        <f>INDEX(Foderstater!$AB$72:$AT$110,MATCH(F1001,Foderstater!$Y$72:$Y$110,0),MATCH(A1001&amp;B1001&amp;C1001&amp;E1001,Foderstater!$AB$71:$AT$71,0))</f>
        <v>0</v>
      </c>
      <c r="L1001" s="157"/>
      <c r="M1001" s="157"/>
    </row>
    <row r="1002" spans="1:13" x14ac:dyDescent="0.25">
      <c r="A1002" t="s">
        <v>36</v>
      </c>
      <c r="B1002" t="s">
        <v>5</v>
      </c>
      <c r="E1002" t="s">
        <v>33</v>
      </c>
      <c r="F1002" t="str">
        <f>Foderstater!Y$74</f>
        <v>other silage</v>
      </c>
      <c r="J1002" t="s">
        <v>307</v>
      </c>
      <c r="K1002" s="13">
        <f>INDEX(Foderstater!$AB$72:$AT$110,MATCH(F1002,Foderstater!$Y$72:$Y$110,0),MATCH(A1002&amp;B1002&amp;C1002&amp;E1002,Foderstater!$AB$71:$AT$71,0))</f>
        <v>0</v>
      </c>
      <c r="L1002" s="157"/>
      <c r="M1002" s="157"/>
    </row>
    <row r="1003" spans="1:13" x14ac:dyDescent="0.25">
      <c r="A1003" t="s">
        <v>36</v>
      </c>
      <c r="B1003" t="s">
        <v>5</v>
      </c>
      <c r="E1003" t="s">
        <v>33</v>
      </c>
      <c r="F1003" t="str">
        <f>Foderstater!Y$75</f>
        <v>maize silage</v>
      </c>
      <c r="J1003" t="s">
        <v>307</v>
      </c>
      <c r="K1003" s="13">
        <f>INDEX(Foderstater!$AB$72:$AT$110,MATCH(F1003,Foderstater!$Y$72:$Y$110,0),MATCH(A1003&amp;B1003&amp;C1003&amp;E1003,Foderstater!$AB$71:$AT$71,0))</f>
        <v>0</v>
      </c>
      <c r="L1003" s="157"/>
      <c r="M1003" s="157"/>
    </row>
    <row r="1004" spans="1:13" x14ac:dyDescent="0.25">
      <c r="A1004" t="s">
        <v>36</v>
      </c>
      <c r="B1004" t="s">
        <v>5</v>
      </c>
      <c r="E1004" t="s">
        <v>33</v>
      </c>
      <c r="F1004" t="str">
        <f>Foderstater!Y$76</f>
        <v>straw</v>
      </c>
      <c r="J1004" t="s">
        <v>307</v>
      </c>
      <c r="K1004" s="13">
        <f>INDEX(Foderstater!$AB$72:$AT$110,MATCH(F1004,Foderstater!$Y$72:$Y$110,0),MATCH(A1004&amp;B1004&amp;C1004&amp;E1004,Foderstater!$AB$71:$AT$71,0))</f>
        <v>0</v>
      </c>
      <c r="L1004" s="157"/>
      <c r="M1004" s="157"/>
    </row>
    <row r="1005" spans="1:13" x14ac:dyDescent="0.25">
      <c r="A1005" t="s">
        <v>36</v>
      </c>
      <c r="B1005" t="s">
        <v>5</v>
      </c>
      <c r="E1005" t="s">
        <v>33</v>
      </c>
      <c r="F1005" t="str">
        <f>Foderstater!Y$77</f>
        <v>grazing</v>
      </c>
      <c r="J1005" t="s">
        <v>307</v>
      </c>
      <c r="K1005" s="13">
        <f>INDEX(Foderstater!$AB$72:$AT$110,MATCH(F1005,Foderstater!$Y$72:$Y$110,0),MATCH(A1005&amp;B1005&amp;C1005&amp;E1005,Foderstater!$AB$71:$AT$71,0))</f>
        <v>0</v>
      </c>
      <c r="L1005" s="157"/>
      <c r="M1005" s="157"/>
    </row>
    <row r="1006" spans="1:13" x14ac:dyDescent="0.25">
      <c r="A1006" t="s">
        <v>36</v>
      </c>
      <c r="B1006" t="s">
        <v>5</v>
      </c>
      <c r="E1006" t="s">
        <v>33</v>
      </c>
      <c r="F1006" t="str">
        <f>Foderstater!Y$78</f>
        <v>wheat</v>
      </c>
      <c r="J1006" t="s">
        <v>307</v>
      </c>
      <c r="K1006" s="13">
        <f>INDEX(Foderstater!$AB$72:$AT$110,MATCH(F1006,Foderstater!$Y$72:$Y$110,0),MATCH(A1006&amp;B1006&amp;C1006&amp;E1006,Foderstater!$AB$71:$AT$71,0))</f>
        <v>6.4690065438563593</v>
      </c>
      <c r="L1006" s="157"/>
      <c r="M1006" s="157"/>
    </row>
    <row r="1007" spans="1:13" x14ac:dyDescent="0.25">
      <c r="A1007" t="s">
        <v>36</v>
      </c>
      <c r="B1007" t="s">
        <v>5</v>
      </c>
      <c r="E1007" t="s">
        <v>33</v>
      </c>
      <c r="F1007" t="str">
        <f>Foderstater!Y$79</f>
        <v>barley</v>
      </c>
      <c r="J1007" t="s">
        <v>307</v>
      </c>
      <c r="K1007" s="13">
        <f>INDEX(Foderstater!$AB$72:$AT$110,MATCH(F1007,Foderstater!$Y$72:$Y$110,0),MATCH(A1007&amp;B1007&amp;C1007&amp;E1007,Foderstater!$AB$71:$AT$71,0))</f>
        <v>13.278244386956374</v>
      </c>
      <c r="L1007" s="157"/>
      <c r="M1007" s="157"/>
    </row>
    <row r="1008" spans="1:13" x14ac:dyDescent="0.25">
      <c r="A1008" t="s">
        <v>36</v>
      </c>
      <c r="B1008" t="s">
        <v>5</v>
      </c>
      <c r="E1008" t="s">
        <v>33</v>
      </c>
      <c r="F1008" t="str">
        <f>Foderstater!Y$80</f>
        <v>oats</v>
      </c>
      <c r="J1008" t="s">
        <v>307</v>
      </c>
      <c r="K1008" s="13">
        <f>INDEX(Foderstater!$AB$72:$AT$110,MATCH(F1008,Foderstater!$Y$72:$Y$110,0),MATCH(A1008&amp;B1008&amp;C1008&amp;E1008,Foderstater!$AB$71:$AT$71,0))</f>
        <v>2.7440683306208573</v>
      </c>
      <c r="L1008" s="157"/>
      <c r="M1008" s="157"/>
    </row>
    <row r="1009" spans="1:13" x14ac:dyDescent="0.25">
      <c r="A1009" t="s">
        <v>36</v>
      </c>
      <c r="B1009" t="s">
        <v>5</v>
      </c>
      <c r="E1009" t="s">
        <v>33</v>
      </c>
      <c r="F1009" t="str">
        <f>Foderstater!Y$81</f>
        <v>triticale</v>
      </c>
      <c r="J1009" t="s">
        <v>307</v>
      </c>
      <c r="K1009" s="13">
        <f>INDEX(Foderstater!$AB$72:$AT$110,MATCH(F1009,Foderstater!$Y$72:$Y$110,0),MATCH(A1009&amp;B1009&amp;C1009&amp;E1009,Foderstater!$AB$71:$AT$71,0))</f>
        <v>5.1371666679859018</v>
      </c>
      <c r="L1009" s="157"/>
      <c r="M1009" s="157"/>
    </row>
    <row r="1010" spans="1:13" x14ac:dyDescent="0.25">
      <c r="A1010" t="s">
        <v>36</v>
      </c>
      <c r="B1010" t="s">
        <v>5</v>
      </c>
      <c r="E1010" t="s">
        <v>33</v>
      </c>
      <c r="F1010" t="str">
        <f>Foderstater!Y$82</f>
        <v>rye</v>
      </c>
      <c r="J1010" t="s">
        <v>307</v>
      </c>
      <c r="K1010" s="13">
        <f>INDEX(Foderstater!$AB$72:$AT$110,MATCH(F1010,Foderstater!$Y$72:$Y$110,0),MATCH(A1010&amp;B1010&amp;C1010&amp;E1010,Foderstater!$AB$71:$AT$71,0))</f>
        <v>0</v>
      </c>
      <c r="L1010" s="157"/>
      <c r="M1010" s="157"/>
    </row>
    <row r="1011" spans="1:13" x14ac:dyDescent="0.25">
      <c r="A1011" t="s">
        <v>36</v>
      </c>
      <c r="B1011" t="s">
        <v>5</v>
      </c>
      <c r="E1011" t="s">
        <v>33</v>
      </c>
      <c r="F1011" t="str">
        <f>Foderstater!Y$83</f>
        <v>maize</v>
      </c>
      <c r="J1011" t="s">
        <v>307</v>
      </c>
      <c r="K1011" s="13">
        <f>INDEX(Foderstater!$AB$72:$AT$110,MATCH(F1011,Foderstater!$Y$72:$Y$110,0),MATCH(A1011&amp;B1011&amp;C1011&amp;E1011,Foderstater!$AB$71:$AT$71,0))</f>
        <v>0</v>
      </c>
      <c r="L1011" s="157"/>
      <c r="M1011" s="157"/>
    </row>
    <row r="1012" spans="1:13" x14ac:dyDescent="0.25">
      <c r="A1012" t="s">
        <v>36</v>
      </c>
      <c r="B1012" t="s">
        <v>5</v>
      </c>
      <c r="E1012" t="s">
        <v>33</v>
      </c>
      <c r="F1012" t="str">
        <f>Foderstater!Y$84</f>
        <v>peas</v>
      </c>
      <c r="J1012" t="s">
        <v>307</v>
      </c>
      <c r="K1012" s="13">
        <f>INDEX(Foderstater!$AB$72:$AT$110,MATCH(F1012,Foderstater!$Y$72:$Y$110,0),MATCH(A1012&amp;B1012&amp;C1012&amp;E1012,Foderstater!$AB$71:$AT$71,0))</f>
        <v>0</v>
      </c>
      <c r="L1012" s="157"/>
      <c r="M1012" s="157"/>
    </row>
    <row r="1013" spans="1:13" x14ac:dyDescent="0.25">
      <c r="A1013" t="s">
        <v>36</v>
      </c>
      <c r="B1013" t="s">
        <v>5</v>
      </c>
      <c r="E1013" t="s">
        <v>33</v>
      </c>
      <c r="F1013" t="str">
        <f>Foderstater!Y$85</f>
        <v>broad beans</v>
      </c>
      <c r="J1013" t="s">
        <v>307</v>
      </c>
      <c r="K1013" s="13">
        <f>INDEX(Foderstater!$AB$72:$AT$110,MATCH(F1013,Foderstater!$Y$72:$Y$110,0),MATCH(A1013&amp;B1013&amp;C1013&amp;E1013,Foderstater!$AB$71:$AT$71,0))</f>
        <v>0</v>
      </c>
      <c r="L1013" s="157"/>
      <c r="M1013" s="157"/>
    </row>
    <row r="1014" spans="1:13" x14ac:dyDescent="0.25">
      <c r="A1014" t="s">
        <v>36</v>
      </c>
      <c r="B1014" t="s">
        <v>5</v>
      </c>
      <c r="E1014" t="s">
        <v>33</v>
      </c>
      <c r="F1014" t="str">
        <f>Foderstater!Y$86</f>
        <v>rapeseed</v>
      </c>
      <c r="J1014" t="s">
        <v>307</v>
      </c>
      <c r="K1014" s="13">
        <f>INDEX(Foderstater!$AB$72:$AT$110,MATCH(F1014,Foderstater!$Y$72:$Y$110,0),MATCH(A1014&amp;B1014&amp;C1014&amp;E1014,Foderstater!$AB$71:$AT$71,0))</f>
        <v>0</v>
      </c>
      <c r="L1014" s="157"/>
      <c r="M1014" s="157"/>
    </row>
    <row r="1015" spans="1:13" x14ac:dyDescent="0.25">
      <c r="A1015" t="s">
        <v>36</v>
      </c>
      <c r="B1015" t="s">
        <v>5</v>
      </c>
      <c r="E1015" t="s">
        <v>33</v>
      </c>
      <c r="F1015" t="str">
        <f>Foderstater!Y$87</f>
        <v>linseed</v>
      </c>
      <c r="J1015" t="s">
        <v>307</v>
      </c>
      <c r="K1015" s="13">
        <f>INDEX(Foderstater!$AB$72:$AT$110,MATCH(F1015,Foderstater!$Y$72:$Y$110,0),MATCH(A1015&amp;B1015&amp;C1015&amp;E1015,Foderstater!$AB$71:$AT$71,0))</f>
        <v>0</v>
      </c>
      <c r="L1015" s="157"/>
      <c r="M1015" s="157"/>
    </row>
    <row r="1016" spans="1:13" x14ac:dyDescent="0.25">
      <c r="A1016" t="s">
        <v>36</v>
      </c>
      <c r="B1016" t="s">
        <v>5</v>
      </c>
      <c r="E1016" t="s">
        <v>33</v>
      </c>
      <c r="F1016" t="str">
        <f>Foderstater!Y$88</f>
        <v>vegetable oils</v>
      </c>
      <c r="J1016" t="s">
        <v>307</v>
      </c>
      <c r="K1016" s="13">
        <f>INDEX(Foderstater!$AB$72:$AT$110,MATCH(F1016,Foderstater!$Y$72:$Y$110,0),MATCH(A1016&amp;B1016&amp;C1016&amp;E1016,Foderstater!$AB$71:$AT$71,0))</f>
        <v>0</v>
      </c>
      <c r="L1016" s="157"/>
      <c r="M1016" s="157"/>
    </row>
    <row r="1017" spans="1:13" x14ac:dyDescent="0.25">
      <c r="A1017" t="s">
        <v>36</v>
      </c>
      <c r="B1017" t="s">
        <v>5</v>
      </c>
      <c r="E1017" t="s">
        <v>33</v>
      </c>
      <c r="F1017" t="str">
        <f>Foderstater!Y$89</f>
        <v>soybeans</v>
      </c>
      <c r="J1017" t="s">
        <v>307</v>
      </c>
      <c r="K1017" s="13">
        <f>INDEX(Foderstater!$AB$72:$AT$110,MATCH(F1017,Foderstater!$Y$72:$Y$110,0),MATCH(A1017&amp;B1017&amp;C1017&amp;E1017,Foderstater!$AB$71:$AT$71,0))</f>
        <v>0</v>
      </c>
      <c r="L1017" s="157"/>
      <c r="M1017" s="157"/>
    </row>
    <row r="1018" spans="1:13" x14ac:dyDescent="0.25">
      <c r="A1018" t="s">
        <v>36</v>
      </c>
      <c r="B1018" t="s">
        <v>5</v>
      </c>
      <c r="E1018" t="s">
        <v>33</v>
      </c>
      <c r="F1018" t="str">
        <f>Foderstater!Y$90</f>
        <v>soybean meal</v>
      </c>
      <c r="J1018" t="s">
        <v>307</v>
      </c>
      <c r="K1018" s="13">
        <f>INDEX(Foderstater!$AB$72:$AT$110,MATCH(F1018,Foderstater!$Y$72:$Y$110,0),MATCH(A1018&amp;B1018&amp;C1018&amp;E1018,Foderstater!$AB$71:$AT$71,0))</f>
        <v>0</v>
      </c>
      <c r="L1018" s="157"/>
      <c r="M1018" s="157"/>
    </row>
    <row r="1019" spans="1:13" x14ac:dyDescent="0.25">
      <c r="A1019" t="s">
        <v>36</v>
      </c>
      <c r="B1019" t="s">
        <v>5</v>
      </c>
      <c r="E1019" t="s">
        <v>33</v>
      </c>
      <c r="F1019" t="str">
        <f>Foderstater!Y$91</f>
        <v>soybean protein concentrate</v>
      </c>
      <c r="J1019" t="s">
        <v>307</v>
      </c>
      <c r="K1019" s="13">
        <f>INDEX(Foderstater!$AB$72:$AT$110,MATCH(F1019,Foderstater!$Y$72:$Y$110,0),MATCH(A1019&amp;B1019&amp;C1019&amp;E1019,Foderstater!$AB$71:$AT$71,0))</f>
        <v>0</v>
      </c>
      <c r="L1019" s="157"/>
      <c r="M1019" s="157"/>
    </row>
    <row r="1020" spans="1:13" x14ac:dyDescent="0.25">
      <c r="A1020" t="s">
        <v>36</v>
      </c>
      <c r="B1020" t="s">
        <v>5</v>
      </c>
      <c r="E1020" t="s">
        <v>33</v>
      </c>
      <c r="F1020" t="str">
        <f>Foderstater!Y$92</f>
        <v>rapeseed meal</v>
      </c>
      <c r="J1020" t="s">
        <v>307</v>
      </c>
      <c r="K1020" s="13">
        <f>INDEX(Foderstater!$AB$72:$AT$110,MATCH(F1020,Foderstater!$Y$72:$Y$110,0),MATCH(A1020&amp;B1020&amp;C1020&amp;E1020,Foderstater!$AB$71:$AT$71,0))</f>
        <v>0</v>
      </c>
      <c r="L1020" s="157"/>
      <c r="M1020" s="157"/>
    </row>
    <row r="1021" spans="1:13" x14ac:dyDescent="0.25">
      <c r="A1021" t="str">
        <f>A1020</f>
        <v>beef</v>
      </c>
      <c r="B1021" t="s">
        <v>5</v>
      </c>
      <c r="D1021" s="266"/>
      <c r="E1021" t="s">
        <v>33</v>
      </c>
      <c r="F1021" t="str">
        <f>Foderstater!Y$93</f>
        <v>rapeseed cake</v>
      </c>
      <c r="J1021" t="s">
        <v>307</v>
      </c>
      <c r="K1021" s="13">
        <f>INDEX(Foderstater!$AB$72:$AT$110,MATCH(F1021,Foderstater!$Y$72:$Y$110,0),MATCH(A1021&amp;B1021&amp;C1021&amp;E1021,Foderstater!$AB$71:$AT$71,0))</f>
        <v>0</v>
      </c>
      <c r="L1021" s="157"/>
      <c r="M1021" s="266"/>
    </row>
    <row r="1022" spans="1:13" x14ac:dyDescent="0.25">
      <c r="A1022" t="s">
        <v>36</v>
      </c>
      <c r="B1022" t="s">
        <v>5</v>
      </c>
      <c r="E1022" t="s">
        <v>33</v>
      </c>
      <c r="F1022" t="str">
        <f>Foderstater!Y$94</f>
        <v>sunflower seed meal</v>
      </c>
      <c r="J1022" t="s">
        <v>307</v>
      </c>
      <c r="K1022" s="13">
        <f>INDEX(Foderstater!$AB$72:$AT$110,MATCH(F1022,Foderstater!$Y$72:$Y$110,0),MATCH(A1022&amp;B1022&amp;C1022&amp;E1022,Foderstater!$AB$71:$AT$71,0))</f>
        <v>0</v>
      </c>
    </row>
    <row r="1023" spans="1:13" x14ac:dyDescent="0.25">
      <c r="A1023" t="s">
        <v>36</v>
      </c>
      <c r="B1023" t="s">
        <v>5</v>
      </c>
      <c r="E1023" t="s">
        <v>33</v>
      </c>
      <c r="F1023" t="str">
        <f>Foderstater!Y$95</f>
        <v>palm kernel expeller</v>
      </c>
      <c r="J1023" t="s">
        <v>307</v>
      </c>
      <c r="K1023" s="13">
        <f>INDEX(Foderstater!$AB$72:$AT$110,MATCH(F1023,Foderstater!$Y$72:$Y$110,0),MATCH(A1023&amp;B1023&amp;C1023&amp;E1023,Foderstater!$AB$71:$AT$71,0))</f>
        <v>0</v>
      </c>
    </row>
    <row r="1024" spans="1:13" x14ac:dyDescent="0.25">
      <c r="A1024" t="s">
        <v>36</v>
      </c>
      <c r="B1024" t="s">
        <v>5</v>
      </c>
      <c r="E1024" t="s">
        <v>33</v>
      </c>
      <c r="F1024" t="str">
        <f>Foderstater!Y$96</f>
        <v>luzern meal</v>
      </c>
      <c r="J1024" t="s">
        <v>307</v>
      </c>
      <c r="K1024" s="13">
        <f>INDEX(Foderstater!$AB$72:$AT$110,MATCH(F1024,Foderstater!$Y$72:$Y$110,0),MATCH(A1024&amp;B1024&amp;C1024&amp;E1024,Foderstater!$AB$71:$AT$71,0))</f>
        <v>0</v>
      </c>
    </row>
    <row r="1025" spans="1:13" x14ac:dyDescent="0.25">
      <c r="A1025" t="s">
        <v>36</v>
      </c>
      <c r="B1025" t="s">
        <v>5</v>
      </c>
      <c r="E1025" t="s">
        <v>33</v>
      </c>
      <c r="F1025" t="str">
        <f>Foderstater!Y$97</f>
        <v>wheat bran</v>
      </c>
      <c r="J1025" t="s">
        <v>307</v>
      </c>
      <c r="K1025" s="13">
        <f>INDEX(Foderstater!$AB$72:$AT$110,MATCH(F1025,Foderstater!$Y$72:$Y$110,0),MATCH(A1025&amp;B1025&amp;C1025&amp;E1025,Foderstater!$AB$71:$AT$71,0))</f>
        <v>0</v>
      </c>
    </row>
    <row r="1026" spans="1:13" x14ac:dyDescent="0.25">
      <c r="A1026" t="s">
        <v>36</v>
      </c>
      <c r="B1026" t="s">
        <v>5</v>
      </c>
      <c r="E1026" t="s">
        <v>33</v>
      </c>
      <c r="F1026" t="str">
        <f>Foderstater!Y$98</f>
        <v>wheat bran, fine</v>
      </c>
      <c r="J1026" t="s">
        <v>307</v>
      </c>
      <c r="K1026" s="13">
        <f>INDEX(Foderstater!$AB$72:$AT$110,MATCH(F1026,Foderstater!$Y$72:$Y$110,0),MATCH(A1026&amp;B1026&amp;C1026&amp;E1026,Foderstater!$AB$71:$AT$71,0))</f>
        <v>0</v>
      </c>
    </row>
    <row r="1027" spans="1:13" x14ac:dyDescent="0.25">
      <c r="A1027" t="s">
        <v>36</v>
      </c>
      <c r="B1027" t="s">
        <v>5</v>
      </c>
      <c r="E1027" t="s">
        <v>33</v>
      </c>
      <c r="F1027" t="str">
        <f>Foderstater!Y$99</f>
        <v>oat hulls</v>
      </c>
      <c r="J1027" t="s">
        <v>307</v>
      </c>
      <c r="K1027" s="13">
        <f>INDEX(Foderstater!$AB$72:$AT$110,MATCH(F1027,Foderstater!$Y$72:$Y$110,0),MATCH(A1027&amp;B1027&amp;C1027&amp;E1027,Foderstater!$AB$71:$AT$71,0))</f>
        <v>0</v>
      </c>
    </row>
    <row r="1028" spans="1:13" x14ac:dyDescent="0.25">
      <c r="A1028" t="s">
        <v>36</v>
      </c>
      <c r="B1028" t="s">
        <v>5</v>
      </c>
      <c r="E1028" t="s">
        <v>33</v>
      </c>
      <c r="F1028" t="str">
        <f>Foderstater!Y$100</f>
        <v>oat bran</v>
      </c>
      <c r="J1028" t="s">
        <v>307</v>
      </c>
      <c r="K1028" s="13">
        <f>INDEX(Foderstater!$AB$72:$AT$110,MATCH(F1028,Foderstater!$Y$72:$Y$110,0),MATCH(A1028&amp;B1028&amp;C1028&amp;E1028,Foderstater!$AB$71:$AT$71,0))</f>
        <v>0</v>
      </c>
    </row>
    <row r="1029" spans="1:13" x14ac:dyDescent="0.25">
      <c r="A1029" t="s">
        <v>36</v>
      </c>
      <c r="B1029" t="s">
        <v>5</v>
      </c>
      <c r="E1029" t="s">
        <v>33</v>
      </c>
      <c r="F1029" t="str">
        <f>Foderstater!Y$101</f>
        <v>rye bran</v>
      </c>
      <c r="J1029" t="s">
        <v>307</v>
      </c>
      <c r="K1029" s="13">
        <f>INDEX(Foderstater!$AB$72:$AT$110,MATCH(F1029,Foderstater!$Y$72:$Y$110,0),MATCH(A1029&amp;B1029&amp;C1029&amp;E1029,Foderstater!$AB$71:$AT$71,0))</f>
        <v>0</v>
      </c>
    </row>
    <row r="1030" spans="1:13" x14ac:dyDescent="0.25">
      <c r="A1030" t="s">
        <v>36</v>
      </c>
      <c r="B1030" t="s">
        <v>5</v>
      </c>
      <c r="E1030" t="s">
        <v>33</v>
      </c>
      <c r="F1030" t="str">
        <f>Foderstater!Y$102</f>
        <v>wheat distillers grain, dry</v>
      </c>
      <c r="J1030" t="s">
        <v>307</v>
      </c>
      <c r="K1030" s="13">
        <f>INDEX(Foderstater!$AB$72:$AT$110,MATCH(F1030,Foderstater!$Y$72:$Y$110,0),MATCH(A1030&amp;B1030&amp;C1030&amp;E1030,Foderstater!$AB$71:$AT$71,0))</f>
        <v>0</v>
      </c>
    </row>
    <row r="1031" spans="1:13" x14ac:dyDescent="0.25">
      <c r="A1031" t="s">
        <v>36</v>
      </c>
      <c r="B1031" t="s">
        <v>5</v>
      </c>
      <c r="E1031" t="s">
        <v>33</v>
      </c>
      <c r="F1031" t="str">
        <f>Foderstater!Y$103</f>
        <v>barley brewers grain</v>
      </c>
      <c r="J1031" t="s">
        <v>307</v>
      </c>
      <c r="K1031" s="13">
        <f>INDEX(Foderstater!$AB$72:$AT$110,MATCH(F1031,Foderstater!$Y$72:$Y$110,0),MATCH(A1031&amp;B1031&amp;C1031&amp;E1031,Foderstater!$AB$71:$AT$71,0))</f>
        <v>0</v>
      </c>
    </row>
    <row r="1032" spans="1:13" x14ac:dyDescent="0.25">
      <c r="A1032" t="s">
        <v>36</v>
      </c>
      <c r="B1032" t="s">
        <v>5</v>
      </c>
      <c r="E1032" t="s">
        <v>33</v>
      </c>
      <c r="F1032" t="str">
        <f>Foderstater!Y$104</f>
        <v>maize gluten meal</v>
      </c>
      <c r="J1032" t="s">
        <v>307</v>
      </c>
      <c r="K1032" s="13">
        <f>INDEX(Foderstater!$AB$72:$AT$110,MATCH(F1032,Foderstater!$Y$72:$Y$110,0),MATCH(A1032&amp;B1032&amp;C1032&amp;E1032,Foderstater!$AB$71:$AT$71,0))</f>
        <v>0</v>
      </c>
    </row>
    <row r="1033" spans="1:13" x14ac:dyDescent="0.25">
      <c r="A1033" t="s">
        <v>36</v>
      </c>
      <c r="B1033" t="s">
        <v>5</v>
      </c>
      <c r="E1033" t="s">
        <v>33</v>
      </c>
      <c r="F1033" t="str">
        <f>Foderstater!Y$105</f>
        <v>sugar beet molasses</v>
      </c>
      <c r="J1033" t="s">
        <v>307</v>
      </c>
      <c r="K1033" s="13">
        <f>INDEX(Foderstater!$AB$72:$AT$110,MATCH(F1033,Foderstater!$Y$72:$Y$110,0),MATCH(A1033&amp;B1033&amp;C1033&amp;E1033,Foderstater!$AB$71:$AT$71,0))</f>
        <v>0</v>
      </c>
    </row>
    <row r="1034" spans="1:13" x14ac:dyDescent="0.25">
      <c r="A1034" t="s">
        <v>36</v>
      </c>
      <c r="B1034" t="s">
        <v>5</v>
      </c>
      <c r="E1034" t="s">
        <v>33</v>
      </c>
      <c r="F1034" t="str">
        <f>Foderstater!Y$106</f>
        <v>sugar beet pulp</v>
      </c>
      <c r="J1034" t="s">
        <v>307</v>
      </c>
      <c r="K1034" s="13">
        <f>INDEX(Foderstater!$AB$72:$AT$110,MATCH(F1034,Foderstater!$Y$72:$Y$110,0),MATCH(A1034&amp;B1034&amp;C1034&amp;E1034,Foderstater!$AB$71:$AT$71,0))</f>
        <v>0</v>
      </c>
    </row>
    <row r="1035" spans="1:13" x14ac:dyDescent="0.25">
      <c r="A1035" t="s">
        <v>36</v>
      </c>
      <c r="B1035" t="s">
        <v>5</v>
      </c>
      <c r="E1035" t="s">
        <v>33</v>
      </c>
      <c r="F1035" t="str">
        <f>Foderstater!Y$107</f>
        <v>whey powder</v>
      </c>
      <c r="J1035" t="s">
        <v>307</v>
      </c>
      <c r="K1035" s="13">
        <f>INDEX(Foderstater!$AB$72:$AT$110,MATCH(F1035,Foderstater!$Y$72:$Y$110,0),MATCH(A1035&amp;B1035&amp;C1035&amp;E1035,Foderstater!$AB$71:$AT$71,0))</f>
        <v>0</v>
      </c>
    </row>
    <row r="1036" spans="1:13" x14ac:dyDescent="0.25">
      <c r="A1036" t="s">
        <v>36</v>
      </c>
      <c r="B1036" t="s">
        <v>5</v>
      </c>
      <c r="E1036" t="s">
        <v>33</v>
      </c>
      <c r="F1036" t="str">
        <f>Foderstater!Y$108</f>
        <v>potatoe protein</v>
      </c>
      <c r="J1036" t="s">
        <v>307</v>
      </c>
      <c r="K1036" s="13">
        <f>INDEX(Foderstater!$AB$72:$AT$110,MATCH(F1036,Foderstater!$Y$72:$Y$110,0),MATCH(A1036&amp;B1036&amp;C1036&amp;E1036,Foderstater!$AB$71:$AT$71,0))</f>
        <v>0</v>
      </c>
    </row>
    <row r="1037" spans="1:13" x14ac:dyDescent="0.25">
      <c r="A1037" t="s">
        <v>36</v>
      </c>
      <c r="B1037" t="s">
        <v>5</v>
      </c>
      <c r="E1037" t="s">
        <v>33</v>
      </c>
      <c r="F1037" t="str">
        <f>Foderstater!Y$109</f>
        <v>fish meal</v>
      </c>
      <c r="J1037" t="s">
        <v>307</v>
      </c>
      <c r="K1037" s="13">
        <f>INDEX(Foderstater!$AB$72:$AT$110,MATCH(F1037,Foderstater!$Y$72:$Y$110,0),MATCH(A1037&amp;B1037&amp;C1037&amp;E1037,Foderstater!$AB$71:$AT$71,0))</f>
        <v>0</v>
      </c>
    </row>
    <row r="1038" spans="1:13" x14ac:dyDescent="0.25">
      <c r="A1038" t="s">
        <v>36</v>
      </c>
      <c r="B1038" t="s">
        <v>5</v>
      </c>
      <c r="E1038" t="s">
        <v>33</v>
      </c>
      <c r="F1038" t="str">
        <f>Foderstater!Y$110</f>
        <v>minerals</v>
      </c>
      <c r="J1038" t="s">
        <v>307</v>
      </c>
      <c r="K1038" s="13">
        <f>INDEX(Foderstater!$AB$72:$AT$110,MATCH(F1038,Foderstater!$Y$72:$Y$110,0),MATCH(A1038&amp;B1038&amp;C1038&amp;E1038,Foderstater!$AB$71:$AT$71,0))</f>
        <v>0.43282613075826659</v>
      </c>
    </row>
    <row r="1039" spans="1:13" x14ac:dyDescent="0.25">
      <c r="L1039" s="157"/>
      <c r="M1039" s="157"/>
    </row>
  </sheetData>
  <hyperlinks>
    <hyperlink ref="N214" r:id="rId1"/>
    <hyperlink ref="N185" r:id="rId2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P1" zoomScale="80" zoomScaleNormal="80" workbookViewId="0">
      <selection activeCell="AR10" sqref="AR10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49</v>
      </c>
      <c r="P2" s="5">
        <f>(1-P7/100)+(P7/100)</f>
        <v>1</v>
      </c>
      <c r="Y2" s="4" t="s">
        <v>50</v>
      </c>
    </row>
    <row r="3" spans="2:47" x14ac:dyDescent="0.25">
      <c r="D3" s="6" t="s">
        <v>51</v>
      </c>
      <c r="F3" s="6" t="s">
        <v>52</v>
      </c>
      <c r="H3" s="6" t="s">
        <v>53</v>
      </c>
      <c r="J3" s="6" t="s">
        <v>54</v>
      </c>
      <c r="AA3" s="6" t="s">
        <v>51</v>
      </c>
      <c r="AC3" s="6" t="s">
        <v>52</v>
      </c>
      <c r="AE3" s="6" t="s">
        <v>53</v>
      </c>
      <c r="AG3" s="6" t="s">
        <v>54</v>
      </c>
    </row>
    <row r="4" spans="2:47" x14ac:dyDescent="0.25">
      <c r="B4" s="6"/>
      <c r="D4" t="s">
        <v>55</v>
      </c>
      <c r="E4" t="s">
        <v>56</v>
      </c>
      <c r="F4" t="s">
        <v>55</v>
      </c>
      <c r="G4" t="s">
        <v>56</v>
      </c>
      <c r="H4" t="s">
        <v>55</v>
      </c>
      <c r="I4" t="s">
        <v>56</v>
      </c>
      <c r="J4" t="s">
        <v>55</v>
      </c>
      <c r="K4" t="s">
        <v>56</v>
      </c>
      <c r="M4" s="7" t="s">
        <v>57</v>
      </c>
      <c r="N4" s="8"/>
      <c r="O4" s="8"/>
      <c r="P4" s="9" t="s">
        <v>58</v>
      </c>
      <c r="Q4" s="9" t="s">
        <v>59</v>
      </c>
      <c r="R4" s="9" t="s">
        <v>60</v>
      </c>
      <c r="S4" s="9"/>
      <c r="T4" s="9" t="s">
        <v>61</v>
      </c>
      <c r="U4" s="8"/>
      <c r="V4" s="8"/>
      <c r="W4" s="10"/>
      <c r="Y4" s="6"/>
      <c r="AA4" t="s">
        <v>55</v>
      </c>
      <c r="AB4" t="s">
        <v>56</v>
      </c>
      <c r="AC4" t="s">
        <v>55</v>
      </c>
      <c r="AD4" t="s">
        <v>56</v>
      </c>
      <c r="AE4" t="s">
        <v>55</v>
      </c>
      <c r="AF4" t="s">
        <v>56</v>
      </c>
      <c r="AG4" t="s">
        <v>55</v>
      </c>
      <c r="AH4" t="s">
        <v>56</v>
      </c>
      <c r="AJ4" s="7" t="s">
        <v>57</v>
      </c>
      <c r="AK4" s="8"/>
      <c r="AL4" s="8"/>
      <c r="AM4" s="9" t="s">
        <v>58</v>
      </c>
      <c r="AN4" s="9" t="s">
        <v>59</v>
      </c>
      <c r="AO4" s="9" t="s">
        <v>60</v>
      </c>
      <c r="AP4" s="9"/>
      <c r="AQ4" s="9" t="s">
        <v>61</v>
      </c>
      <c r="AR4" s="8"/>
      <c r="AS4" s="8"/>
      <c r="AT4" s="10"/>
    </row>
    <row r="5" spans="2:47" x14ac:dyDescent="0.25">
      <c r="B5" t="s">
        <v>62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24.899734495761937</v>
      </c>
      <c r="I5" s="13">
        <f>G5*Q30/1000000</f>
        <v>5.0732480120170687</v>
      </c>
      <c r="J5" s="12">
        <f>D5*P14/100</f>
        <v>17240.030808</v>
      </c>
      <c r="K5" s="12">
        <f>E5*Q14/100</f>
        <v>3631.6771919999992</v>
      </c>
      <c r="M5" s="14" t="s">
        <v>63</v>
      </c>
      <c r="N5" s="15"/>
      <c r="O5" s="15"/>
      <c r="P5" s="16">
        <v>13.2</v>
      </c>
      <c r="Q5" s="17">
        <v>12.9</v>
      </c>
      <c r="R5" s="15" t="s">
        <v>64</v>
      </c>
      <c r="S5" s="15"/>
      <c r="T5" s="15" t="s">
        <v>65</v>
      </c>
      <c r="U5" s="15"/>
      <c r="V5" s="15"/>
      <c r="W5" s="18"/>
      <c r="Y5" t="s">
        <v>62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32350.375615273406</v>
      </c>
      <c r="AD5" s="12">
        <f>AB5*AN7/100-AH5</f>
        <v>17573.043544099142</v>
      </c>
      <c r="AE5" s="13">
        <f>AC5*AM30/1000000</f>
        <v>11.096641097374697</v>
      </c>
      <c r="AF5" s="13">
        <f>AD5*AN30/1000000</f>
        <v>6.0278050405492207</v>
      </c>
      <c r="AG5" s="12">
        <f>AA5*AM14/100</f>
        <v>2676.4214399999996</v>
      </c>
      <c r="AH5" s="12">
        <f>AB5*AN14/100</f>
        <v>1453.8585600000004</v>
      </c>
      <c r="AJ5" s="14" t="s">
        <v>63</v>
      </c>
      <c r="AK5" s="15"/>
      <c r="AL5" s="15"/>
      <c r="AM5" s="19">
        <f>(12.7+12.7+12.7+12.7)/4</f>
        <v>12.7</v>
      </c>
      <c r="AN5" s="20">
        <v>12.7</v>
      </c>
      <c r="AO5" s="15" t="s">
        <v>64</v>
      </c>
      <c r="AP5" s="15"/>
      <c r="AQ5" s="15" t="s">
        <v>66</v>
      </c>
      <c r="AR5" s="15"/>
      <c r="AS5" s="15"/>
      <c r="AT5" s="18"/>
    </row>
    <row r="6" spans="2:47" x14ac:dyDescent="0.25">
      <c r="B6" t="s">
        <v>67</v>
      </c>
      <c r="D6" s="12">
        <f>D23*((P6-12)/12)+D27*((P25-12)/12)</f>
        <v>140750.46540778416</v>
      </c>
      <c r="E6" s="12">
        <f>E23*((Q6-12)/12)+E27*((Q25-12)/12)</f>
        <v>27108.68509524472</v>
      </c>
      <c r="F6" s="12">
        <f t="shared" ref="F6:G8" si="0">D27</f>
        <v>14534.500014658275</v>
      </c>
      <c r="G6" s="12">
        <f t="shared" si="0"/>
        <v>1688.4809314258305</v>
      </c>
      <c r="H6" s="13">
        <f>F6*P31/1000000</f>
        <v>4.3703658441605695</v>
      </c>
      <c r="I6" s="13">
        <f>G6*Q31/1000000</f>
        <v>0.50770782509049195</v>
      </c>
      <c r="M6" s="14" t="s">
        <v>68</v>
      </c>
      <c r="N6" s="15"/>
      <c r="O6" s="15"/>
      <c r="P6" s="19">
        <v>27</v>
      </c>
      <c r="Q6" s="17">
        <v>27</v>
      </c>
      <c r="R6" s="15" t="s">
        <v>64</v>
      </c>
      <c r="S6" s="15"/>
      <c r="T6" s="15" t="s">
        <v>65</v>
      </c>
      <c r="U6" s="15"/>
      <c r="V6" s="15"/>
      <c r="W6" s="18"/>
      <c r="Y6" t="s">
        <v>67</v>
      </c>
      <c r="AA6" s="12">
        <f>AA23*((AM6-12)/12)+AA27*((AM25-12)/12)</f>
        <v>79708.92165881276</v>
      </c>
      <c r="AB6" s="12">
        <f>AB23*((AN6-12)/12)+AB27*((AN25-12)/12)</f>
        <v>38553.67740351153</v>
      </c>
      <c r="AC6" s="12">
        <f t="shared" ref="AC6:AD8" si="1">AA27</f>
        <v>27584.547861398107</v>
      </c>
      <c r="AD6" s="12">
        <f t="shared" si="1"/>
        <v>10764.936757277525</v>
      </c>
      <c r="AE6" s="13">
        <f t="shared" ref="AE6:AF6" si="2">AC6*AM31/1000000</f>
        <v>8.6054817612203003</v>
      </c>
      <c r="AF6" s="13">
        <f t="shared" si="2"/>
        <v>3.3583101449010471</v>
      </c>
      <c r="AJ6" s="14" t="s">
        <v>68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64</v>
      </c>
      <c r="AP6" s="15"/>
      <c r="AQ6" s="15" t="s">
        <v>69</v>
      </c>
      <c r="AR6" s="15"/>
      <c r="AS6" s="15"/>
      <c r="AT6" s="18"/>
    </row>
    <row r="7" spans="2:47" x14ac:dyDescent="0.25">
      <c r="B7" t="s">
        <v>70</v>
      </c>
      <c r="D7" s="12">
        <f>D28*((P27-12)/12)</f>
        <v>21776.947738695471</v>
      </c>
      <c r="E7" s="12">
        <f>E28*((Q27-12)/12)</f>
        <v>1909.7601517206008</v>
      </c>
      <c r="F7" s="12">
        <f t="shared" si="0"/>
        <v>16467.339875944217</v>
      </c>
      <c r="G7" s="12">
        <f t="shared" si="0"/>
        <v>1444.1266001679735</v>
      </c>
      <c r="H7" s="13">
        <f>F7*P33/1000000</f>
        <v>5.4359145913786264</v>
      </c>
      <c r="I7" s="13">
        <f>G7*Q33/1000000</f>
        <v>0.47671019829491285</v>
      </c>
      <c r="M7" s="14" t="s">
        <v>71</v>
      </c>
      <c r="N7" s="21"/>
      <c r="O7" s="22"/>
      <c r="P7" s="23">
        <v>37.1</v>
      </c>
      <c r="Q7" s="17">
        <v>36.1</v>
      </c>
      <c r="R7" s="15" t="s">
        <v>8</v>
      </c>
      <c r="S7" s="15"/>
      <c r="T7" s="24" t="s">
        <v>72</v>
      </c>
      <c r="U7" s="15"/>
      <c r="V7" s="15"/>
      <c r="W7" s="18"/>
      <c r="Y7" t="s">
        <v>70</v>
      </c>
      <c r="AA7" s="12">
        <f>AA28*((AM27-12)/12)</f>
        <v>8001.684350289639</v>
      </c>
      <c r="AB7" s="12">
        <f>AB28*((AN27-12)/12)</f>
        <v>13461.300783420947</v>
      </c>
      <c r="AC7" s="12">
        <f t="shared" si="1"/>
        <v>6462.6801976413644</v>
      </c>
      <c r="AD7" s="12">
        <f t="shared" si="1"/>
        <v>10872.221172328515</v>
      </c>
      <c r="AE7" s="13">
        <f>AC7*AM33/1000000</f>
        <v>2.1804226001984044</v>
      </c>
      <c r="AF7" s="13">
        <f>AD7*AN33/1000000</f>
        <v>3.6681432522612676</v>
      </c>
      <c r="AJ7" s="14" t="s">
        <v>71</v>
      </c>
      <c r="AK7" s="21"/>
      <c r="AL7" s="22"/>
      <c r="AM7" s="19">
        <f>1/(AM24/12-AM6/12)*100</f>
        <v>26.174350968637743</v>
      </c>
      <c r="AN7" s="17">
        <f>1/(AN24/12-AN6/12)*100</f>
        <v>26.174350968637743</v>
      </c>
      <c r="AO7" s="24" t="s">
        <v>8</v>
      </c>
      <c r="AP7" s="15"/>
      <c r="AQ7" s="15" t="s">
        <v>73</v>
      </c>
      <c r="AR7" s="15"/>
      <c r="AS7" s="15"/>
      <c r="AT7" s="18"/>
    </row>
    <row r="8" spans="2:47" x14ac:dyDescent="0.25">
      <c r="B8" t="s">
        <v>74</v>
      </c>
      <c r="D8" s="12">
        <f>D29*((P28-12)/12)</f>
        <v>67331.44666348536</v>
      </c>
      <c r="E8" s="12">
        <f>E29*((Q28-12)/12)</f>
        <v>612.57695513405906</v>
      </c>
      <c r="F8" s="12">
        <f t="shared" si="0"/>
        <v>104445.35379436809</v>
      </c>
      <c r="G8" s="12">
        <f t="shared" si="0"/>
        <v>950.23677606426804</v>
      </c>
      <c r="H8" s="13">
        <f>F8*P34/1000000</f>
        <v>34.319786056488546</v>
      </c>
      <c r="I8" s="13">
        <f>G8*Q34/1000000</f>
        <v>0.31223909607065353</v>
      </c>
      <c r="M8" s="14" t="s">
        <v>75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8</v>
      </c>
      <c r="S8" s="15"/>
      <c r="T8" s="15" t="s">
        <v>76</v>
      </c>
      <c r="U8" s="15"/>
      <c r="V8" s="15"/>
      <c r="W8" s="18"/>
      <c r="Y8" t="s">
        <v>74</v>
      </c>
      <c r="AA8" s="12">
        <f>AA29*((AM28-12)/12)</f>
        <v>33548.239855384934</v>
      </c>
      <c r="AB8" s="12">
        <f>AB29*((AN28-12)/12)</f>
        <v>10111.18845151124</v>
      </c>
      <c r="AC8" s="12">
        <f t="shared" si="1"/>
        <v>60763.768874860318</v>
      </c>
      <c r="AD8" s="12">
        <f t="shared" si="1"/>
        <v>18313.745244645601</v>
      </c>
      <c r="AE8" s="13">
        <f>AC8*AM34/1000000</f>
        <v>21.916009259824701</v>
      </c>
      <c r="AF8" s="13">
        <f>AD8*AN34/1000000</f>
        <v>6.6053211937908483</v>
      </c>
      <c r="AJ8" s="14" t="s">
        <v>75</v>
      </c>
      <c r="AK8" s="15"/>
      <c r="AL8" s="15"/>
      <c r="AM8" s="23">
        <v>51.7</v>
      </c>
      <c r="AN8" s="20">
        <f t="shared" si="3"/>
        <v>51.7</v>
      </c>
      <c r="AO8" s="24" t="s">
        <v>8</v>
      </c>
      <c r="AP8" s="15"/>
      <c r="AQ8" s="24" t="s">
        <v>77</v>
      </c>
      <c r="AR8" s="15"/>
      <c r="AS8" s="15"/>
      <c r="AT8" s="18"/>
    </row>
    <row r="9" spans="2:47" x14ac:dyDescent="0.25">
      <c r="B9" t="s">
        <v>78</v>
      </c>
      <c r="D9" s="12">
        <f>((D13-D17)*P16+(D14-D18)*P18+(D17-D19)*P20+(D18-D20)*P22+(D23+D27+D28+D29)*365.25+D24*P26*30.44)/365.25</f>
        <v>242197.56705506411</v>
      </c>
      <c r="E9" s="12">
        <f>((E13-E17)*Q16+(E14-E18)*Q18+(E17-E19)*Q20+(E18-E20)*Q22+(E23+E27+E28+E29)*365.25+E24*Q26*30.44)/365.25</f>
        <v>25087.175237910189</v>
      </c>
      <c r="F9" s="12">
        <f>D24</f>
        <v>10285.701830733753</v>
      </c>
      <c r="G9" s="12">
        <f>E24</f>
        <v>310.04643232072596</v>
      </c>
      <c r="H9" s="13">
        <f>F9*P32/1000000</f>
        <v>1.74050116680981</v>
      </c>
      <c r="I9" s="13">
        <f>G9*Q32/1000000</f>
        <v>5.2464691870320934E-2</v>
      </c>
      <c r="J9" s="12">
        <f>SUM(D21:D22)</f>
        <v>23373.094177723746</v>
      </c>
      <c r="K9" s="12">
        <f>SUM(E21:E22)</f>
        <v>3061.7383299184826</v>
      </c>
      <c r="M9" s="25" t="s">
        <v>79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8</v>
      </c>
      <c r="S9" s="15"/>
      <c r="T9" s="15"/>
      <c r="U9" s="15"/>
      <c r="V9" s="15"/>
      <c r="W9" s="18"/>
      <c r="Y9" t="s">
        <v>78</v>
      </c>
      <c r="AA9" s="12">
        <f>((AA13-AA17)*AM16+(AA14-AA18)*AM18+(AA17-AA19)*AM20+(AA18-AA20)*AM22+(AA23+AA27+AA28+AA29)*365.25+AA24*AM26*30.44)/365.25</f>
        <v>132891.91478052633</v>
      </c>
      <c r="AB9" s="12">
        <f>((AB13-AB17)*AN16+(AB14-AB18)*AN18+(AB17-AB19)*AN20+(AB18-AB20)*AN22+(AB23+AB27+AB28+AB29)*365.25+AB24*AN26*30.44)/365.25</f>
        <v>60491.243782038131</v>
      </c>
      <c r="AC9" s="12">
        <f>AA24</f>
        <v>1829.7799877820446</v>
      </c>
      <c r="AD9" s="12">
        <f>AB24</f>
        <v>771.02198569885877</v>
      </c>
      <c r="AE9" s="13">
        <f>AC9*AM32/1000000</f>
        <v>0.29157996231175948</v>
      </c>
      <c r="AF9" s="13">
        <f>AD9*AN32/1000000</f>
        <v>0.12286425856264754</v>
      </c>
      <c r="AG9" s="12">
        <f>SUM(AA21:AA22)</f>
        <v>7308.9361405044474</v>
      </c>
      <c r="AH9" s="12">
        <f>SUM(AB21:AB22)</f>
        <v>3732.2383822061602</v>
      </c>
      <c r="AJ9" s="25" t="s">
        <v>79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8</v>
      </c>
      <c r="AP9" s="15"/>
      <c r="AQ9" s="15" t="s">
        <v>80</v>
      </c>
      <c r="AR9" s="15"/>
      <c r="AS9" s="15"/>
      <c r="AT9" s="18"/>
    </row>
    <row r="10" spans="2:47" x14ac:dyDescent="0.25">
      <c r="D10" s="26"/>
      <c r="E10" s="26"/>
      <c r="M10" s="14" t="s">
        <v>81</v>
      </c>
      <c r="N10" s="15"/>
      <c r="O10" s="15"/>
      <c r="P10" s="19">
        <v>5</v>
      </c>
      <c r="Q10" s="17">
        <v>4.5999999999999996</v>
      </c>
      <c r="R10" s="15" t="s">
        <v>8</v>
      </c>
      <c r="S10" s="15"/>
      <c r="T10" s="24" t="s">
        <v>72</v>
      </c>
      <c r="U10" s="15"/>
      <c r="V10" s="15"/>
      <c r="W10" s="18"/>
      <c r="AJ10" s="14" t="s">
        <v>81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8</v>
      </c>
      <c r="AP10" s="15"/>
      <c r="AQ10" s="15" t="s">
        <v>66</v>
      </c>
      <c r="AR10" s="15"/>
      <c r="AS10" s="15"/>
      <c r="AT10" s="18"/>
    </row>
    <row r="11" spans="2:47" x14ac:dyDescent="0.25">
      <c r="B11" s="27" t="s">
        <v>82</v>
      </c>
      <c r="D11" t="s">
        <v>55</v>
      </c>
      <c r="E11" t="s">
        <v>56</v>
      </c>
      <c r="G11" t="s">
        <v>83</v>
      </c>
      <c r="H11" s="26">
        <f>SUM(H5:H9)/SUM($H5:$I9,$AE5:$AF9)</f>
        <v>0.50167074146311208</v>
      </c>
      <c r="I11" s="26">
        <f>SUM(I5:I9)/SUM($H5:$I9,$AE5:$AF9)</f>
        <v>4.5528944329862993E-2</v>
      </c>
      <c r="M11" s="14" t="s">
        <v>84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85</v>
      </c>
      <c r="S11" s="15"/>
      <c r="T11" s="15" t="s">
        <v>73</v>
      </c>
      <c r="U11" s="15"/>
      <c r="V11" s="15"/>
      <c r="W11" s="18"/>
      <c r="Y11" s="27" t="s">
        <v>82</v>
      </c>
      <c r="AA11" t="s">
        <v>55</v>
      </c>
      <c r="AB11" t="s">
        <v>56</v>
      </c>
      <c r="AD11" t="s">
        <v>83</v>
      </c>
      <c r="AE11" s="26">
        <f>SUM(AE5:AE9)/SUM($H5:$I9,$AE5:$AF9)</f>
        <v>0.31256021415770618</v>
      </c>
      <c r="AF11" s="26">
        <f>SUM(AF5:AF9)/SUM($H5:$I9,$AE5:$AF9)</f>
        <v>0.1402401000493185</v>
      </c>
      <c r="AJ11" s="14" t="s">
        <v>84</v>
      </c>
      <c r="AK11" s="21"/>
      <c r="AL11" s="28"/>
      <c r="AM11" s="30">
        <f>(12/AM5*(1-AM7/100)+(AM7/100))*(1*(1-AM9/100)+2*(AM9/100))*(1-AM10/100)</f>
        <v>0.98035763078394433</v>
      </c>
      <c r="AN11" s="31">
        <f>(12/AN5*(1-AN7/100)+(AN7/100))*(1*(1-AN9/100)+2*(AN9/100))*(1-AN10/100)</f>
        <v>0.98035763078394433</v>
      </c>
      <c r="AO11" s="15" t="s">
        <v>85</v>
      </c>
      <c r="AP11" s="15"/>
      <c r="AQ11" s="15" t="s">
        <v>73</v>
      </c>
      <c r="AR11" s="15"/>
      <c r="AS11" s="15"/>
      <c r="AT11" s="18"/>
      <c r="AU11" s="32"/>
    </row>
    <row r="12" spans="2:47" x14ac:dyDescent="0.25">
      <c r="B12" t="s">
        <v>86</v>
      </c>
      <c r="D12" s="12">
        <f>D5*P11</f>
        <v>241553.37703623809</v>
      </c>
      <c r="E12" s="12">
        <f>E5*Q11</f>
        <v>51781.285607087273</v>
      </c>
      <c r="H12" s="26">
        <f>H11/SUM(H11:I11)</f>
        <v>0.9167964720888232</v>
      </c>
      <c r="I12" s="26">
        <f>I11/SUM(H11:I11)</f>
        <v>8.3203527911176828E-2</v>
      </c>
      <c r="M12" s="14" t="s">
        <v>87</v>
      </c>
      <c r="N12" s="15"/>
      <c r="O12" s="15"/>
      <c r="P12" s="15">
        <v>100</v>
      </c>
      <c r="Q12" s="33">
        <f>P12</f>
        <v>100</v>
      </c>
      <c r="R12" s="15" t="s">
        <v>88</v>
      </c>
      <c r="S12" s="15"/>
      <c r="T12" s="15" t="s">
        <v>89</v>
      </c>
      <c r="U12" s="15"/>
      <c r="V12" s="15"/>
      <c r="W12" s="18"/>
      <c r="Y12" t="s">
        <v>86</v>
      </c>
      <c r="AA12" s="12">
        <f>AA5*AM11</f>
        <v>131192.50909488762</v>
      </c>
      <c r="AB12" s="12">
        <f>AB5*AN11</f>
        <v>71265.066668827858</v>
      </c>
      <c r="AE12" s="26">
        <f>AE11/SUM(AE11:AF11)</f>
        <v>0.69028267947446831</v>
      </c>
      <c r="AF12" s="26">
        <f>AF11/SUM(AE11:AF11)</f>
        <v>0.30971732052553164</v>
      </c>
      <c r="AJ12" s="14" t="s">
        <v>87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88</v>
      </c>
      <c r="AP12" s="15"/>
      <c r="AQ12" s="15"/>
      <c r="AR12" s="15"/>
      <c r="AS12" s="15"/>
      <c r="AT12" s="18"/>
      <c r="AU12" s="32"/>
    </row>
    <row r="13" spans="2:47" x14ac:dyDescent="0.25">
      <c r="B13" t="s">
        <v>90</v>
      </c>
      <c r="D13" s="12">
        <f>D12*P8/100</f>
        <v>122361.22653271889</v>
      </c>
      <c r="E13" s="12">
        <f>E12*Q8/100</f>
        <v>26230.316860251078</v>
      </c>
      <c r="M13" s="35" t="s">
        <v>91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90</v>
      </c>
      <c r="AA13" s="12">
        <f>AA12*AM8/100</f>
        <v>67826.527202056895</v>
      </c>
      <c r="AB13" s="12">
        <f>AB12*AN8/100</f>
        <v>36844.039467784001</v>
      </c>
      <c r="AJ13" s="35" t="s">
        <v>91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92</v>
      </c>
      <c r="D14" s="12">
        <f>D12-D13</f>
        <v>119192.15050351919</v>
      </c>
      <c r="E14" s="12">
        <f>E12-E13</f>
        <v>25550.968746836195</v>
      </c>
      <c r="M14" s="14" t="s">
        <v>93</v>
      </c>
      <c r="N14" s="15"/>
      <c r="O14" s="15"/>
      <c r="P14" s="15">
        <v>6.6</v>
      </c>
      <c r="Q14" s="37">
        <f t="shared" ref="Q14:Q22" si="4">P14</f>
        <v>6.6</v>
      </c>
      <c r="R14" s="24" t="s">
        <v>94</v>
      </c>
      <c r="S14" s="15"/>
      <c r="T14" s="15" t="s">
        <v>89</v>
      </c>
      <c r="U14" s="15"/>
      <c r="V14" s="15"/>
      <c r="W14" s="18"/>
      <c r="Y14" t="s">
        <v>92</v>
      </c>
      <c r="AA14" s="12">
        <f>AA12-AA13</f>
        <v>63365.981892830721</v>
      </c>
      <c r="AB14" s="12">
        <f>AB12-AB13</f>
        <v>34421.027201043857</v>
      </c>
      <c r="AJ14" s="14" t="s">
        <v>93</v>
      </c>
      <c r="AK14" s="15"/>
      <c r="AL14" s="15"/>
      <c r="AM14" s="19">
        <v>2</v>
      </c>
      <c r="AN14" s="37">
        <f t="shared" si="3"/>
        <v>2</v>
      </c>
      <c r="AO14" s="24" t="s">
        <v>94</v>
      </c>
      <c r="AP14" s="15"/>
      <c r="AQ14" s="15" t="s">
        <v>89</v>
      </c>
      <c r="AR14" s="15"/>
      <c r="AS14" s="15"/>
      <c r="AT14" s="18"/>
      <c r="AU14" s="32"/>
    </row>
    <row r="15" spans="2:47" x14ac:dyDescent="0.25">
      <c r="B15" t="s">
        <v>316</v>
      </c>
      <c r="D15" s="12">
        <f>D13*(1-P15/100)</f>
        <v>117222.05501834469</v>
      </c>
      <c r="E15" s="12">
        <f>E13*(1-Q15/100)</f>
        <v>25128.643552120531</v>
      </c>
      <c r="M15" s="14" t="s">
        <v>96</v>
      </c>
      <c r="N15" s="15"/>
      <c r="O15" s="15"/>
      <c r="P15" s="38">
        <v>4.2</v>
      </c>
      <c r="Q15" s="37">
        <f t="shared" si="4"/>
        <v>4.2</v>
      </c>
      <c r="R15" s="24" t="s">
        <v>97</v>
      </c>
      <c r="S15" s="15"/>
      <c r="T15" s="15" t="s">
        <v>89</v>
      </c>
      <c r="U15" s="15"/>
      <c r="V15" s="15"/>
      <c r="W15" s="18"/>
      <c r="AA15" s="12">
        <f>AA13*(1-AM15/100)</f>
        <v>65113.466113974617</v>
      </c>
      <c r="AB15" s="12">
        <f>AB13*(1-AN15/100)</f>
        <v>35370.27788907264</v>
      </c>
      <c r="AJ15" s="14" t="s">
        <v>96</v>
      </c>
      <c r="AK15" s="15"/>
      <c r="AL15" s="15"/>
      <c r="AM15" s="19">
        <v>4</v>
      </c>
      <c r="AN15" s="37">
        <f t="shared" si="3"/>
        <v>4</v>
      </c>
      <c r="AO15" s="24" t="s">
        <v>97</v>
      </c>
      <c r="AP15" s="15"/>
      <c r="AQ15" s="15" t="s">
        <v>89</v>
      </c>
      <c r="AR15" s="15"/>
      <c r="AS15" s="15"/>
      <c r="AT15" s="18"/>
      <c r="AU15" s="32"/>
    </row>
    <row r="16" spans="2:47" x14ac:dyDescent="0.25">
      <c r="B16" t="s">
        <v>317</v>
      </c>
      <c r="D16" s="12">
        <f>D14*(1-P17/100)</f>
        <v>115139.61738639954</v>
      </c>
      <c r="E16" s="12">
        <f>E14*(1-Q17/100)</f>
        <v>24682.235809443762</v>
      </c>
      <c r="M16" s="25" t="s">
        <v>99</v>
      </c>
      <c r="N16" s="15"/>
      <c r="O16" s="15"/>
      <c r="P16" s="15">
        <v>10</v>
      </c>
      <c r="Q16" s="37">
        <f t="shared" si="4"/>
        <v>10</v>
      </c>
      <c r="R16" s="15" t="s">
        <v>88</v>
      </c>
      <c r="S16" s="15"/>
      <c r="T16" s="15" t="s">
        <v>89</v>
      </c>
      <c r="U16" s="15"/>
      <c r="V16" s="15"/>
      <c r="W16" s="18"/>
      <c r="AA16" s="12">
        <f>AA14*(1-AM17/100)</f>
        <v>61338.270472260134</v>
      </c>
      <c r="AB16" s="12">
        <f>AB14*(1-AN17/100)</f>
        <v>33319.554330610452</v>
      </c>
      <c r="AJ16" s="25" t="s">
        <v>99</v>
      </c>
      <c r="AK16" s="15"/>
      <c r="AL16" s="15"/>
      <c r="AM16" s="15">
        <v>3</v>
      </c>
      <c r="AN16" s="37">
        <f t="shared" si="3"/>
        <v>3</v>
      </c>
      <c r="AO16" s="15" t="s">
        <v>88</v>
      </c>
      <c r="AP16" s="15"/>
      <c r="AQ16" s="15" t="s">
        <v>89</v>
      </c>
      <c r="AR16" s="15"/>
      <c r="AS16" s="15"/>
      <c r="AT16" s="18"/>
      <c r="AU16" s="32"/>
    </row>
    <row r="17" spans="2:47" x14ac:dyDescent="0.25">
      <c r="B17" t="s">
        <v>95</v>
      </c>
      <c r="D17" s="12">
        <f>D15+E15*P39/100</f>
        <v>139586.54777973198</v>
      </c>
      <c r="E17" s="12">
        <f>E15-E15*P39/100</f>
        <v>2764.1507907332598</v>
      </c>
      <c r="M17" s="14" t="s">
        <v>101</v>
      </c>
      <c r="N17" s="15"/>
      <c r="O17" s="15"/>
      <c r="P17" s="15">
        <v>3.4</v>
      </c>
      <c r="Q17" s="37">
        <f t="shared" si="4"/>
        <v>3.4</v>
      </c>
      <c r="R17" s="24" t="s">
        <v>97</v>
      </c>
      <c r="S17" s="15"/>
      <c r="T17" s="15" t="s">
        <v>89</v>
      </c>
      <c r="U17" s="15"/>
      <c r="V17" s="15"/>
      <c r="W17" s="18"/>
      <c r="Y17" t="s">
        <v>95</v>
      </c>
      <c r="AA17" s="12">
        <f>AA15+AB15*AM39/100</f>
        <v>70065.305018444793</v>
      </c>
      <c r="AB17" s="12">
        <f>AB15-AB15*AM39/100</f>
        <v>30418.438984602471</v>
      </c>
      <c r="AJ17" s="14" t="s">
        <v>101</v>
      </c>
      <c r="AK17" s="15"/>
      <c r="AL17" s="15"/>
      <c r="AM17" s="15">
        <v>3.2</v>
      </c>
      <c r="AN17" s="37">
        <f t="shared" si="3"/>
        <v>3.2</v>
      </c>
      <c r="AO17" s="24" t="s">
        <v>97</v>
      </c>
      <c r="AP17" s="15"/>
      <c r="AQ17" s="15" t="s">
        <v>89</v>
      </c>
      <c r="AR17" s="15"/>
      <c r="AS17" s="15"/>
      <c r="AT17" s="18"/>
      <c r="AU17" s="32"/>
    </row>
    <row r="18" spans="2:47" x14ac:dyDescent="0.25">
      <c r="B18" t="s">
        <v>98</v>
      </c>
      <c r="D18" s="12">
        <f>D16+E16*P40/100</f>
        <v>117237.60743020226</v>
      </c>
      <c r="E18" s="12">
        <f>E16-E16*P40/100</f>
        <v>22584.245765641041</v>
      </c>
      <c r="M18" s="25" t="s">
        <v>99</v>
      </c>
      <c r="N18" s="15"/>
      <c r="O18" s="15"/>
      <c r="P18" s="15">
        <v>10</v>
      </c>
      <c r="Q18" s="37">
        <f t="shared" si="4"/>
        <v>10</v>
      </c>
      <c r="R18" s="15" t="s">
        <v>88</v>
      </c>
      <c r="S18" s="15"/>
      <c r="T18" s="15" t="s">
        <v>89</v>
      </c>
      <c r="U18" s="15"/>
      <c r="V18" s="15"/>
      <c r="W18" s="18"/>
      <c r="Y18" t="s">
        <v>98</v>
      </c>
      <c r="AA18" s="12">
        <f>AA16+AB16*AM40/100</f>
        <v>64170.432590362019</v>
      </c>
      <c r="AB18" s="12">
        <f>AB16-AB16*AM40/100</f>
        <v>30487.392212508563</v>
      </c>
      <c r="AJ18" s="25" t="s">
        <v>99</v>
      </c>
      <c r="AK18" s="15"/>
      <c r="AL18" s="15"/>
      <c r="AM18" s="15">
        <v>10</v>
      </c>
      <c r="AN18" s="37">
        <f t="shared" si="3"/>
        <v>10</v>
      </c>
      <c r="AO18" s="15" t="s">
        <v>88</v>
      </c>
      <c r="AP18" s="15"/>
      <c r="AQ18" s="15" t="s">
        <v>89</v>
      </c>
      <c r="AR18" s="15"/>
      <c r="AS18" s="15"/>
      <c r="AT18" s="18"/>
      <c r="AU18" s="32"/>
    </row>
    <row r="19" spans="2:47" x14ac:dyDescent="0.25">
      <c r="B19" t="s">
        <v>100</v>
      </c>
      <c r="D19" s="12">
        <f>D17*(1-P19/100)</f>
        <v>130094.66253071019</v>
      </c>
      <c r="E19" s="12">
        <f>E17*(1-Q19/100)</f>
        <v>2576.1885369633978</v>
      </c>
      <c r="M19" s="14" t="s">
        <v>104</v>
      </c>
      <c r="N19" s="15"/>
      <c r="O19" s="15"/>
      <c r="P19" s="38">
        <v>6.8</v>
      </c>
      <c r="Q19" s="37">
        <f t="shared" si="4"/>
        <v>6.8</v>
      </c>
      <c r="R19" s="15" t="s">
        <v>105</v>
      </c>
      <c r="S19" s="15"/>
      <c r="T19" s="15" t="s">
        <v>89</v>
      </c>
      <c r="U19" s="15"/>
      <c r="V19" s="15"/>
      <c r="W19" s="18"/>
      <c r="Y19" t="s">
        <v>100</v>
      </c>
      <c r="AA19" s="12">
        <f>AA17*(1-AM19/100)</f>
        <v>68523.868308039004</v>
      </c>
      <c r="AB19" s="12">
        <f>AB17*(1-AN19/100)</f>
        <v>29749.233326941216</v>
      </c>
      <c r="AJ19" s="14" t="s">
        <v>104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105</v>
      </c>
      <c r="AP19" s="15"/>
      <c r="AQ19" s="15" t="s">
        <v>89</v>
      </c>
      <c r="AR19" s="15"/>
      <c r="AS19" s="15"/>
      <c r="AT19" s="18"/>
      <c r="AU19" s="32"/>
    </row>
    <row r="20" spans="2:47" x14ac:dyDescent="0.25">
      <c r="B20" t="s">
        <v>102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99</v>
      </c>
      <c r="N20" s="15"/>
      <c r="O20" s="15"/>
      <c r="P20" s="15">
        <v>59</v>
      </c>
      <c r="Q20" s="37">
        <f t="shared" si="4"/>
        <v>59</v>
      </c>
      <c r="R20" s="15" t="s">
        <v>88</v>
      </c>
      <c r="S20" s="15"/>
      <c r="T20" s="15" t="s">
        <v>89</v>
      </c>
      <c r="U20" s="15"/>
      <c r="V20" s="15"/>
      <c r="W20" s="18"/>
      <c r="Y20" t="s">
        <v>102</v>
      </c>
      <c r="AA20" s="12">
        <f>AA18*(1-AM21/100)</f>
        <v>63143.705668916227</v>
      </c>
      <c r="AB20" s="12">
        <f>AB18*(1-AN21/100)</f>
        <v>29999.593937108424</v>
      </c>
      <c r="AJ20" s="25" t="s">
        <v>99</v>
      </c>
      <c r="AK20" s="15"/>
      <c r="AL20" s="15"/>
      <c r="AM20" s="15">
        <v>234</v>
      </c>
      <c r="AN20" s="37">
        <f t="shared" si="3"/>
        <v>234</v>
      </c>
      <c r="AO20" s="15" t="s">
        <v>88</v>
      </c>
      <c r="AP20" s="15"/>
      <c r="AQ20" s="15" t="s">
        <v>89</v>
      </c>
      <c r="AR20" s="15"/>
      <c r="AS20" s="15"/>
      <c r="AT20" s="18"/>
      <c r="AU20" s="32"/>
    </row>
    <row r="21" spans="2:47" x14ac:dyDescent="0.25">
      <c r="B21" t="s">
        <v>103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108</v>
      </c>
      <c r="N21" s="15"/>
      <c r="O21" s="15"/>
      <c r="P21" s="23">
        <v>4</v>
      </c>
      <c r="Q21" s="40">
        <f t="shared" si="4"/>
        <v>4</v>
      </c>
      <c r="R21" s="15" t="s">
        <v>105</v>
      </c>
      <c r="S21" s="15"/>
      <c r="T21" s="15" t="s">
        <v>89</v>
      </c>
      <c r="U21" s="15"/>
      <c r="V21" s="15"/>
      <c r="W21" s="18"/>
      <c r="Y21" t="s">
        <v>103</v>
      </c>
      <c r="AA21" s="12">
        <f>AA13-AA15+AA17-AA19</f>
        <v>4254.4977984880679</v>
      </c>
      <c r="AB21" s="12">
        <f>AB13-AB15+AB17-AB19</f>
        <v>2142.9672363726168</v>
      </c>
      <c r="AJ21" s="14" t="s">
        <v>108</v>
      </c>
      <c r="AK21" s="15"/>
      <c r="AL21" s="15"/>
      <c r="AM21" s="15">
        <v>1.6</v>
      </c>
      <c r="AN21" s="40">
        <f t="shared" si="3"/>
        <v>1.6</v>
      </c>
      <c r="AO21" s="15" t="s">
        <v>105</v>
      </c>
      <c r="AP21" s="15"/>
      <c r="AQ21" s="15" t="s">
        <v>89</v>
      </c>
      <c r="AR21" s="15"/>
      <c r="AS21" s="15"/>
      <c r="AT21" s="18"/>
    </row>
    <row r="22" spans="2:47" x14ac:dyDescent="0.25">
      <c r="B22" t="s">
        <v>106</v>
      </c>
      <c r="D22" s="12">
        <f>D14-D16+D18-D20</f>
        <v>8742.0374143277586</v>
      </c>
      <c r="E22" s="12">
        <f>E14-E16+E18-E20</f>
        <v>1772.1027680180741</v>
      </c>
      <c r="M22" s="25" t="s">
        <v>99</v>
      </c>
      <c r="N22" s="15"/>
      <c r="O22" s="15"/>
      <c r="P22" s="15">
        <v>59</v>
      </c>
      <c r="Q22" s="37">
        <f t="shared" si="4"/>
        <v>59</v>
      </c>
      <c r="R22" s="15" t="s">
        <v>88</v>
      </c>
      <c r="S22" s="15"/>
      <c r="T22" s="15" t="s">
        <v>89</v>
      </c>
      <c r="U22" s="15"/>
      <c r="V22" s="15"/>
      <c r="W22" s="18"/>
      <c r="Y22" t="s">
        <v>106</v>
      </c>
      <c r="AA22" s="12">
        <f>AA14-AA16+AA18-AA20</f>
        <v>3054.4383420163795</v>
      </c>
      <c r="AB22" s="12">
        <f>AB14-AB16+AB18-AB20</f>
        <v>1589.2711458335434</v>
      </c>
      <c r="AJ22" s="25" t="s">
        <v>99</v>
      </c>
      <c r="AK22" s="15"/>
      <c r="AL22" s="15"/>
      <c r="AM22" s="15">
        <v>241</v>
      </c>
      <c r="AN22" s="37">
        <f t="shared" si="3"/>
        <v>241</v>
      </c>
      <c r="AO22" s="15" t="s">
        <v>88</v>
      </c>
      <c r="AP22" s="15"/>
      <c r="AQ22" s="15" t="s">
        <v>89</v>
      </c>
      <c r="AR22" s="15"/>
      <c r="AS22" s="15"/>
      <c r="AT22" s="18"/>
    </row>
    <row r="23" spans="2:47" x14ac:dyDescent="0.25">
      <c r="B23" t="s">
        <v>107</v>
      </c>
      <c r="D23" s="12">
        <f>D5*P7/100</f>
        <v>96909.870148000016</v>
      </c>
      <c r="E23" s="12">
        <f>E5*Q7/100</f>
        <v>19864.173731999999</v>
      </c>
      <c r="M23" s="35" t="s">
        <v>111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107</v>
      </c>
      <c r="AA23" s="12">
        <f>AA5*AM7/100</f>
        <v>35026.797055273404</v>
      </c>
      <c r="AB23" s="12">
        <f>AB5*AN7/100</f>
        <v>19026.902104099143</v>
      </c>
      <c r="AJ23" s="35" t="s">
        <v>111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109</v>
      </c>
      <c r="D24" s="12">
        <f>(SUM(D19:D20)-D23)*P36/100</f>
        <v>10285.701830733753</v>
      </c>
      <c r="E24" s="12">
        <f>(SUM(E19:E20)-E23)*Q36/100</f>
        <v>310.04643232072596</v>
      </c>
      <c r="M24" s="14" t="s">
        <v>93</v>
      </c>
      <c r="N24" s="21"/>
      <c r="O24" s="22"/>
      <c r="P24" s="23">
        <v>60.9</v>
      </c>
      <c r="Q24" s="23">
        <v>61.5</v>
      </c>
      <c r="R24" s="15" t="s">
        <v>64</v>
      </c>
      <c r="S24" s="15"/>
      <c r="T24" s="24" t="s">
        <v>72</v>
      </c>
      <c r="U24" s="15"/>
      <c r="V24" s="15"/>
      <c r="W24" s="18"/>
      <c r="Y24" t="s">
        <v>109</v>
      </c>
      <c r="AA24" s="12">
        <f>(SUM(AA19:AA20)-AA23)*AM36/100</f>
        <v>1829.7799877820446</v>
      </c>
      <c r="AB24" s="12">
        <f>(SUM(AB19:AB20)-AB23)*AN36/100</f>
        <v>771.02198569885877</v>
      </c>
      <c r="AJ24" s="14" t="s">
        <v>93</v>
      </c>
      <c r="AK24" s="21"/>
      <c r="AL24" s="22"/>
      <c r="AM24" s="19">
        <f>'G&amp;D sammanställning'!K5</f>
        <v>74.526409006964371</v>
      </c>
      <c r="AN24" s="40">
        <f t="shared" si="3"/>
        <v>74.526409006964371</v>
      </c>
      <c r="AO24" s="15" t="s">
        <v>64</v>
      </c>
      <c r="AP24" s="15"/>
      <c r="AQ24" s="15"/>
      <c r="AR24" s="15"/>
      <c r="AS24" s="15"/>
      <c r="AT24" s="18"/>
    </row>
    <row r="25" spans="2:47" x14ac:dyDescent="0.25">
      <c r="B25" t="s">
        <v>110</v>
      </c>
      <c r="D25" s="12">
        <f>D24*(D19)/(D19+D20-D23)</f>
        <v>9181.968860397883</v>
      </c>
      <c r="E25" s="12">
        <f>E24*(E19)/(E19+E20-E23)</f>
        <v>181.82516073115613</v>
      </c>
      <c r="M25" s="14" t="s">
        <v>114</v>
      </c>
      <c r="N25" s="21"/>
      <c r="O25" s="22"/>
      <c r="P25" s="19">
        <f>'G&amp;D sammanställning'!H8</f>
        <v>28.193025727479295</v>
      </c>
      <c r="Q25" s="40">
        <f>P25</f>
        <v>28.193025727479295</v>
      </c>
      <c r="R25" s="15" t="s">
        <v>64</v>
      </c>
      <c r="S25" s="15"/>
      <c r="T25" s="15"/>
      <c r="U25" s="15"/>
      <c r="V25" s="15"/>
      <c r="W25" s="18"/>
      <c r="Y25" t="s">
        <v>110</v>
      </c>
      <c r="AA25" s="12">
        <f>AA24*(AA19)/(AA19+AA20-AA23)</f>
        <v>1297.4192355373298</v>
      </c>
      <c r="AB25" s="12">
        <f>AB24*(AB19)/(AB19+AB20-AB23)</f>
        <v>563.26690996710147</v>
      </c>
      <c r="AJ25" s="14" t="s">
        <v>114</v>
      </c>
      <c r="AK25" s="21"/>
      <c r="AL25" s="22"/>
      <c r="AM25" s="19">
        <f>'G&amp;D sammanställning'!K8</f>
        <v>25.495239686155401</v>
      </c>
      <c r="AN25" s="40">
        <f t="shared" si="3"/>
        <v>25.495239686155401</v>
      </c>
      <c r="AO25" s="15" t="s">
        <v>64</v>
      </c>
      <c r="AP25" s="15"/>
      <c r="AQ25" s="15"/>
      <c r="AR25" s="15"/>
      <c r="AS25" s="15"/>
      <c r="AT25" s="18"/>
    </row>
    <row r="26" spans="2:47" x14ac:dyDescent="0.25">
      <c r="B26" t="s">
        <v>112</v>
      </c>
      <c r="D26" s="12">
        <f>D24-D25</f>
        <v>1103.73297033587</v>
      </c>
      <c r="E26" s="12">
        <f>E24-E25</f>
        <v>128.22127158956982</v>
      </c>
      <c r="M26" s="14" t="s">
        <v>116</v>
      </c>
      <c r="N26" s="21"/>
      <c r="O26" s="22"/>
      <c r="P26" s="19">
        <f>'G&amp;D sammanställning'!H14</f>
        <v>9.2950484883057616</v>
      </c>
      <c r="Q26" s="40">
        <f>P26</f>
        <v>9.2950484883057616</v>
      </c>
      <c r="R26" s="15" t="s">
        <v>64</v>
      </c>
      <c r="S26" s="15"/>
      <c r="T26" s="15"/>
      <c r="U26" s="15"/>
      <c r="V26" s="15"/>
      <c r="W26" s="18"/>
      <c r="Y26" t="s">
        <v>112</v>
      </c>
      <c r="AA26" s="12">
        <f>AA24-AA25</f>
        <v>532.36075224471483</v>
      </c>
      <c r="AB26" s="12">
        <f>AB24-AB25</f>
        <v>207.7550757317573</v>
      </c>
      <c r="AJ26" s="14" t="s">
        <v>116</v>
      </c>
      <c r="AK26" s="21"/>
      <c r="AL26" s="22"/>
      <c r="AM26" s="19">
        <f>'G&amp;D sammanställning'!K14</f>
        <v>9.3744186046511633</v>
      </c>
      <c r="AN26" s="40">
        <f t="shared" si="3"/>
        <v>9.3744186046511633</v>
      </c>
      <c r="AO26" s="15" t="s">
        <v>64</v>
      </c>
      <c r="AP26" s="15"/>
      <c r="AQ26" s="15"/>
      <c r="AR26" s="15"/>
      <c r="AS26" s="15"/>
      <c r="AT26" s="18"/>
    </row>
    <row r="27" spans="2:47" x14ac:dyDescent="0.25">
      <c r="B27" t="s">
        <v>113</v>
      </c>
      <c r="D27" s="12">
        <f>D20-D23-D26</f>
        <v>14534.500014658275</v>
      </c>
      <c r="E27" s="12">
        <f>E20-E23-E26</f>
        <v>1688.4809314258305</v>
      </c>
      <c r="M27" s="14" t="s">
        <v>118</v>
      </c>
      <c r="N27" s="21"/>
      <c r="O27" s="22"/>
      <c r="P27" s="19">
        <f>'G&amp;D sammanställning'!H9</f>
        <v>27.869191674733784</v>
      </c>
      <c r="Q27" s="40">
        <f>P27</f>
        <v>27.869191674733784</v>
      </c>
      <c r="R27" s="15" t="s">
        <v>64</v>
      </c>
      <c r="S27" s="15"/>
      <c r="T27" s="15"/>
      <c r="U27" s="15"/>
      <c r="V27" s="15"/>
      <c r="W27" s="18"/>
      <c r="Y27" t="s">
        <v>113</v>
      </c>
      <c r="AA27" s="12">
        <f>AA20-AA23-AA26</f>
        <v>27584.547861398107</v>
      </c>
      <c r="AB27" s="12">
        <f>AB20-AB23-AB26</f>
        <v>10764.936757277525</v>
      </c>
      <c r="AJ27" s="14" t="s">
        <v>118</v>
      </c>
      <c r="AK27" s="21"/>
      <c r="AL27" s="22"/>
      <c r="AM27" s="19">
        <f>'G&amp;D sammanställning'!K9</f>
        <v>26.857645631067964</v>
      </c>
      <c r="AN27" s="40">
        <f t="shared" si="3"/>
        <v>26.857645631067964</v>
      </c>
      <c r="AO27" s="15" t="s">
        <v>64</v>
      </c>
      <c r="AP27" s="15"/>
      <c r="AQ27" s="15"/>
      <c r="AR27" s="15"/>
      <c r="AS27" s="15"/>
      <c r="AT27" s="18"/>
    </row>
    <row r="28" spans="2:47" x14ac:dyDescent="0.25">
      <c r="B28" t="s">
        <v>115</v>
      </c>
      <c r="D28" s="12">
        <f>(D19-D25)*(P37/100)</f>
        <v>16467.339875944217</v>
      </c>
      <c r="E28" s="12">
        <f>(E19-E25)*(Q37/100)</f>
        <v>1444.1266001679735</v>
      </c>
      <c r="M28" s="14" t="s">
        <v>119</v>
      </c>
      <c r="N28" s="21"/>
      <c r="O28" s="22"/>
      <c r="P28" s="19">
        <f>'G&amp;D sammanställning'!H10</f>
        <v>19.735886093627194</v>
      </c>
      <c r="Q28" s="40">
        <f>P28</f>
        <v>19.735886093627194</v>
      </c>
      <c r="R28" s="15" t="s">
        <v>64</v>
      </c>
      <c r="S28" s="15"/>
      <c r="T28" s="15"/>
      <c r="U28" s="15"/>
      <c r="V28" s="15"/>
      <c r="W28" s="18"/>
      <c r="Y28" t="s">
        <v>115</v>
      </c>
      <c r="AA28" s="12">
        <f>(AA19-AA25)*(AM37/100)</f>
        <v>6462.6801976413644</v>
      </c>
      <c r="AB28" s="12">
        <f>(AB19-AB25)*(AN37/100)</f>
        <v>10872.221172328515</v>
      </c>
      <c r="AD28">
        <v>6180.1796543566261</v>
      </c>
      <c r="AE28">
        <v>10387.90219324291</v>
      </c>
      <c r="AJ28" s="14" t="s">
        <v>119</v>
      </c>
      <c r="AK28" s="21"/>
      <c r="AL28" s="22"/>
      <c r="AM28" s="19">
        <f>'G&amp;D sammanställning'!K10</f>
        <v>18.625311196441888</v>
      </c>
      <c r="AN28" s="40">
        <f t="shared" si="3"/>
        <v>18.625311196441888</v>
      </c>
      <c r="AO28" s="15" t="s">
        <v>64</v>
      </c>
      <c r="AP28" s="15"/>
      <c r="AQ28" s="15"/>
      <c r="AR28" s="15"/>
      <c r="AS28" s="15"/>
      <c r="AT28" s="18"/>
    </row>
    <row r="29" spans="2:47" x14ac:dyDescent="0.25">
      <c r="B29" t="s">
        <v>117</v>
      </c>
      <c r="D29" s="12">
        <f>D19-D25-D28</f>
        <v>104445.35379436809</v>
      </c>
      <c r="E29" s="12">
        <f>E19-E25-E28</f>
        <v>950.23677606426804</v>
      </c>
      <c r="M29" s="43" t="s">
        <v>120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117</v>
      </c>
      <c r="AA29" s="12">
        <f>AA19-AA25-AA28</f>
        <v>60763.768874860318</v>
      </c>
      <c r="AB29" s="12">
        <f>AB19-AB25-AB28</f>
        <v>18313.745244645601</v>
      </c>
      <c r="AD29">
        <v>60706.75711053711</v>
      </c>
      <c r="AE29">
        <v>18612.205051647394</v>
      </c>
      <c r="AJ29" s="43" t="s">
        <v>120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93</v>
      </c>
      <c r="N30" s="21"/>
      <c r="O30" s="22"/>
      <c r="P30" s="34">
        <f>'G&amp;D sammanställning'!B5</f>
        <v>312.53652200175168</v>
      </c>
      <c r="Q30" s="44">
        <f>P30</f>
        <v>312.53652200175168</v>
      </c>
      <c r="R30" s="19" t="s">
        <v>121</v>
      </c>
      <c r="S30" s="19"/>
      <c r="T30" s="15"/>
      <c r="U30" s="15"/>
      <c r="V30" s="15"/>
      <c r="W30" s="18"/>
      <c r="AA30" s="12"/>
      <c r="AB30" s="26"/>
      <c r="AJ30" s="14" t="s">
        <v>93</v>
      </c>
      <c r="AK30" s="21"/>
      <c r="AL30" s="22"/>
      <c r="AM30" s="19">
        <f>'G&amp;D sammanställning'!E5</f>
        <v>343.01428921077814</v>
      </c>
      <c r="AN30" s="44">
        <f t="shared" si="3"/>
        <v>343.01428921077814</v>
      </c>
      <c r="AO30" s="19" t="s">
        <v>121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114</v>
      </c>
      <c r="N31" s="21"/>
      <c r="O31" s="22"/>
      <c r="P31" s="34">
        <f>'G&amp;D sammanställning'!B8</f>
        <v>300.68910796745581</v>
      </c>
      <c r="Q31" s="44">
        <f>P31</f>
        <v>300.68910796745581</v>
      </c>
      <c r="R31" s="19" t="s">
        <v>121</v>
      </c>
      <c r="S31" s="19"/>
      <c r="T31" s="15"/>
      <c r="U31" s="15"/>
      <c r="V31" s="15"/>
      <c r="W31" s="18"/>
      <c r="AA31" s="12"/>
      <c r="AB31" s="26"/>
      <c r="AJ31" s="14" t="s">
        <v>114</v>
      </c>
      <c r="AK31" s="21"/>
      <c r="AL31" s="22"/>
      <c r="AM31" s="19">
        <f>'G&amp;D sammanställning'!E8</f>
        <v>311.96747557580363</v>
      </c>
      <c r="AN31" s="44">
        <f t="shared" si="3"/>
        <v>311.96747557580363</v>
      </c>
      <c r="AO31" s="19" t="s">
        <v>121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116</v>
      </c>
      <c r="N32" s="21"/>
      <c r="O32" s="22"/>
      <c r="P32" s="34">
        <f>'G&amp;D sammanställning'!B14</f>
        <v>169.21559612093554</v>
      </c>
      <c r="Q32" s="44">
        <f>P32</f>
        <v>169.21559612093554</v>
      </c>
      <c r="R32" s="19" t="s">
        <v>121</v>
      </c>
      <c r="S32" s="19"/>
      <c r="T32" s="15"/>
      <c r="U32" s="15"/>
      <c r="V32" s="15"/>
      <c r="W32" s="18"/>
      <c r="AA32" s="45"/>
      <c r="AB32" s="26"/>
      <c r="AJ32" s="14" t="s">
        <v>116</v>
      </c>
      <c r="AK32" s="21"/>
      <c r="AL32" s="22"/>
      <c r="AM32" s="19">
        <f>'G&amp;D sammanställning'!E14</f>
        <v>159.35247093023253</v>
      </c>
      <c r="AN32" s="44">
        <f t="shared" si="3"/>
        <v>159.35247093023253</v>
      </c>
      <c r="AO32" s="19" t="s">
        <v>121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118</v>
      </c>
      <c r="N33" s="21"/>
      <c r="O33" s="22"/>
      <c r="P33" s="34">
        <f>'G&amp;D sammanställning'!B9</f>
        <v>330.10277508873833</v>
      </c>
      <c r="Q33" s="44">
        <f>P33</f>
        <v>330.10277508873833</v>
      </c>
      <c r="R33" s="19" t="s">
        <v>121</v>
      </c>
      <c r="S33" s="19"/>
      <c r="T33" s="15"/>
      <c r="U33" s="15"/>
      <c r="V33" s="15"/>
      <c r="W33" s="18"/>
      <c r="AA33" s="12"/>
      <c r="AB33" s="26"/>
      <c r="AJ33" s="14" t="s">
        <v>118</v>
      </c>
      <c r="AK33" s="21"/>
      <c r="AL33" s="22"/>
      <c r="AM33" s="19">
        <f>'G&amp;D sammanställning'!E9</f>
        <v>337.38673948220071</v>
      </c>
      <c r="AN33" s="44">
        <f t="shared" si="3"/>
        <v>337.38673948220071</v>
      </c>
      <c r="AO33" s="19" t="s">
        <v>121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119</v>
      </c>
      <c r="N34" s="21"/>
      <c r="O34" s="22"/>
      <c r="P34" s="34">
        <f>'G&amp;D sammanställning'!B10</f>
        <v>328.59083539567786</v>
      </c>
      <c r="Q34" s="44">
        <f>P34</f>
        <v>328.59083539567786</v>
      </c>
      <c r="R34" s="19" t="s">
        <v>121</v>
      </c>
      <c r="S34" s="19"/>
      <c r="T34" s="15"/>
      <c r="U34" s="15"/>
      <c r="V34" s="15"/>
      <c r="W34" s="18"/>
      <c r="AA34" s="12"/>
      <c r="AB34" s="26"/>
      <c r="AJ34" s="14" t="s">
        <v>119</v>
      </c>
      <c r="AK34" s="21"/>
      <c r="AL34" s="22"/>
      <c r="AM34" s="19">
        <f>'G&amp;D sammanställning'!E10</f>
        <v>360.67560761346999</v>
      </c>
      <c r="AN34" s="44">
        <f t="shared" si="3"/>
        <v>360.67560761346999</v>
      </c>
      <c r="AO34" s="19" t="s">
        <v>121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122</v>
      </c>
      <c r="N35" s="21"/>
      <c r="O35" s="22"/>
      <c r="P35" s="19"/>
      <c r="Q35" s="37"/>
      <c r="R35" s="19"/>
      <c r="S35" s="19" t="s">
        <v>303</v>
      </c>
      <c r="T35" s="15"/>
      <c r="U35" s="15"/>
      <c r="V35" s="15"/>
      <c r="W35" s="18"/>
      <c r="AA35" s="12"/>
      <c r="AB35" s="26"/>
      <c r="AJ35" s="35" t="s">
        <v>122</v>
      </c>
      <c r="AK35" s="21"/>
      <c r="AL35" s="22"/>
      <c r="AM35" s="19"/>
      <c r="AN35" s="37"/>
      <c r="AO35" s="19"/>
      <c r="AP35" s="19" t="s">
        <v>303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493</v>
      </c>
      <c r="N36" s="21"/>
      <c r="O36" s="22"/>
      <c r="P36" s="19">
        <f>'G&amp;D sammanställning'!$T$14*S36</f>
        <v>7.0579135852175208</v>
      </c>
      <c r="Q36" s="19">
        <f>'G&amp;D sammanställning'!$T$14*T36</f>
        <v>7.0579135852175208</v>
      </c>
      <c r="R36" s="19" t="s">
        <v>8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116</v>
      </c>
      <c r="AK36" s="21"/>
      <c r="AL36" s="22"/>
      <c r="AM36" s="19">
        <f>'G&amp;D sammanställning'!$W$14*AP36</f>
        <v>1.8933829446186132</v>
      </c>
      <c r="AN36" s="19">
        <f>'G&amp;D sammanställning'!$W$14*AQ36</f>
        <v>1.8933829446186132</v>
      </c>
      <c r="AO36" s="19" t="s">
        <v>8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494</v>
      </c>
      <c r="N37" s="21"/>
      <c r="O37" s="22"/>
      <c r="P37" s="19">
        <f>'G&amp;D sammanställning'!$T$9/SUM('G&amp;D sammanställning'!T9:T10)*100*S37</f>
        <v>13.619198593693593</v>
      </c>
      <c r="Q37" s="19">
        <f>'G&amp;D sammanställning'!$T$9/SUM('G&amp;D sammanställning'!T9:T10)*100*T37</f>
        <v>60.313593772071634</v>
      </c>
      <c r="R37" s="19" t="s">
        <v>8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118</v>
      </c>
      <c r="AK37" s="21"/>
      <c r="AL37" s="22"/>
      <c r="AM37" s="19">
        <f>'G&amp;D sammanställning'!$W$9/SUM('G&amp;D sammanställning'!W9:W10)*100*AP37</f>
        <v>9.613299953819606</v>
      </c>
      <c r="AN37" s="19">
        <f>'G&amp;D sammanställning'!$W$9/SUM('G&amp;D sammanställning'!W9:W10)*100*AQ37</f>
        <v>37.251537321050968</v>
      </c>
      <c r="AO37" s="19" t="s">
        <v>8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298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298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299</v>
      </c>
      <c r="N39" s="15"/>
      <c r="O39" s="19"/>
      <c r="P39" s="19">
        <v>89</v>
      </c>
      <c r="Q39" s="15"/>
      <c r="R39" s="108" t="s">
        <v>8</v>
      </c>
      <c r="S39" s="15"/>
      <c r="T39" s="15" t="s">
        <v>301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299</v>
      </c>
      <c r="AK39" s="15"/>
      <c r="AL39" s="19"/>
      <c r="AM39" s="19">
        <v>14</v>
      </c>
      <c r="AN39" s="15"/>
      <c r="AO39" s="108" t="s">
        <v>8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300</v>
      </c>
      <c r="N40" s="47"/>
      <c r="O40" s="46"/>
      <c r="P40" s="46">
        <v>8.5</v>
      </c>
      <c r="Q40" s="47"/>
      <c r="R40" s="47" t="s">
        <v>8</v>
      </c>
      <c r="S40" s="47"/>
      <c r="T40" s="47" t="s">
        <v>301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300</v>
      </c>
      <c r="AK40" s="47"/>
      <c r="AL40" s="46"/>
      <c r="AM40" s="46">
        <v>8.5</v>
      </c>
      <c r="AN40" s="47"/>
      <c r="AO40" s="47" t="s">
        <v>8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292</v>
      </c>
      <c r="F42" s="6" t="s">
        <v>293</v>
      </c>
      <c r="AH42" s="24"/>
      <c r="AI42" s="24"/>
    </row>
    <row r="43" spans="2:46" x14ac:dyDescent="0.25">
      <c r="B43" s="48" t="s">
        <v>123</v>
      </c>
      <c r="C43" s="48"/>
      <c r="D43" s="49" t="s">
        <v>264</v>
      </c>
      <c r="E43" s="49" t="s">
        <v>266</v>
      </c>
      <c r="F43" s="49" t="s">
        <v>125</v>
      </c>
      <c r="G43" s="49" t="s">
        <v>126</v>
      </c>
      <c r="H43" s="49" t="s">
        <v>314</v>
      </c>
      <c r="J43" s="48" t="s">
        <v>127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290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291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128</v>
      </c>
      <c r="C46" s="49"/>
      <c r="D46" s="50">
        <f>SUM(D9:E9,AA9:AB9)</f>
        <v>460667.90085553878</v>
      </c>
      <c r="E46" s="102">
        <f>SUM(E9,AB9)</f>
        <v>85578.419019948313</v>
      </c>
      <c r="F46" s="51">
        <f>(D46-D82)/D82</f>
        <v>-1.3842909330722034E-2</v>
      </c>
      <c r="G46" s="49"/>
      <c r="H46" s="51">
        <f>(E46-D82*AD82/100)/(D82*AD82/100)</f>
        <v>-0.11923697585389872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129</v>
      </c>
      <c r="C47" s="49"/>
      <c r="D47" s="50">
        <f>SUM(D6:E8,AA6:AB8)</f>
        <v>442874.89451499545</v>
      </c>
      <c r="E47" s="102">
        <f>SUM(E6:E8,AB6:AB8)</f>
        <v>91757.188840543095</v>
      </c>
      <c r="F47" s="51">
        <f>(D47-D83)/D83</f>
        <v>-0.10256597899006821</v>
      </c>
      <c r="G47" s="49"/>
      <c r="H47" s="51">
        <f>(E47-D83*AD83/100)/(D83*AD83/100)</f>
        <v>-5.1351125805878195E-2</v>
      </c>
      <c r="J47" s="52" t="s">
        <v>130</v>
      </c>
      <c r="K47" s="49"/>
      <c r="L47" s="49" t="s">
        <v>131</v>
      </c>
      <c r="M47" s="49" t="s">
        <v>132</v>
      </c>
      <c r="N47" s="49" t="s">
        <v>133</v>
      </c>
      <c r="O47" s="49" t="s">
        <v>134</v>
      </c>
      <c r="P47" s="49" t="s">
        <v>135</v>
      </c>
      <c r="Q47" s="49" t="s">
        <v>136</v>
      </c>
      <c r="R47" s="49" t="s">
        <v>137</v>
      </c>
      <c r="S47" s="49" t="s">
        <v>138</v>
      </c>
      <c r="T47" s="49" t="s">
        <v>139</v>
      </c>
      <c r="U47" s="49" t="s">
        <v>140</v>
      </c>
      <c r="V47" s="49" t="s">
        <v>141</v>
      </c>
      <c r="W47" s="49" t="s">
        <v>142</v>
      </c>
      <c r="X47" s="49" t="s">
        <v>143</v>
      </c>
      <c r="Y47" s="49" t="s">
        <v>144</v>
      </c>
      <c r="Z47" s="49" t="s">
        <v>145</v>
      </c>
      <c r="AA47" s="49" t="s">
        <v>146</v>
      </c>
      <c r="AB47" s="49" t="s">
        <v>147</v>
      </c>
      <c r="AC47" s="49" t="s">
        <v>148</v>
      </c>
      <c r="AD47" s="49" t="s">
        <v>149</v>
      </c>
      <c r="AE47" s="49" t="s">
        <v>150</v>
      </c>
      <c r="AF47" s="49" t="s">
        <v>151</v>
      </c>
      <c r="AG47" s="49" t="s">
        <v>152</v>
      </c>
      <c r="AH47" s="49"/>
    </row>
    <row r="48" spans="2:46" x14ac:dyDescent="0.25">
      <c r="B48" s="49" t="s">
        <v>153</v>
      </c>
      <c r="C48" s="49"/>
      <c r="D48" s="50">
        <f>SUM(F5:G5,AC5:AD5)</f>
        <v>145825.75503937257</v>
      </c>
      <c r="E48" s="102">
        <f>SUM(G5,AD5)</f>
        <v>33805.540084099142</v>
      </c>
      <c r="F48" s="51">
        <f>(D48/1000-SUM(D65:D66))/SUM(D65:D66)</f>
        <v>4.0770007893889966E-2</v>
      </c>
      <c r="G48" s="51">
        <f>(D48-'G&amp;D sammanställning'!R5)/'G&amp;D sammanställning'!R5</f>
        <v>1.8543921108861259</v>
      </c>
      <c r="H48" s="51">
        <f>(E48/1000-D67*AD67/100)/(D67*AD67/100)</f>
        <v>0.18636554841882016</v>
      </c>
      <c r="J48" s="49" t="s">
        <v>128</v>
      </c>
      <c r="K48" s="49"/>
      <c r="L48" s="53">
        <f t="shared" ref="L48:AG48" si="5">(($D$9/$D$5*D80+$AA$9/$AA$5*D81)-D82)/D82</f>
        <v>6.6711226857153083E-2</v>
      </c>
      <c r="M48" s="51">
        <f t="shared" si="5"/>
        <v>0.16088861193200746</v>
      </c>
      <c r="N48" s="51">
        <f t="shared" si="5"/>
        <v>5.8927873561736621E-2</v>
      </c>
      <c r="O48" s="51">
        <f t="shared" si="5"/>
        <v>2.2957776265060425E-3</v>
      </c>
      <c r="P48" s="51">
        <f t="shared" si="5"/>
        <v>4.6208125421036042E-2</v>
      </c>
      <c r="Q48" s="51">
        <f t="shared" si="5"/>
        <v>8.6018190228130259E-2</v>
      </c>
      <c r="R48" s="51">
        <f t="shared" si="5"/>
        <v>4.4612643948972845E-2</v>
      </c>
      <c r="S48" s="51">
        <f t="shared" si="5"/>
        <v>8.3817975491434021E-2</v>
      </c>
      <c r="T48" s="51">
        <f t="shared" si="5"/>
        <v>-5.5195230242620049E-3</v>
      </c>
      <c r="U48" s="51">
        <f t="shared" si="5"/>
        <v>6.3676928182742967E-2</v>
      </c>
      <c r="V48" s="51">
        <f t="shared" si="5"/>
        <v>4.7960205579504971E-2</v>
      </c>
      <c r="W48" s="51">
        <f t="shared" si="5"/>
        <v>8.608733476893432E-2</v>
      </c>
      <c r="X48" s="51">
        <f t="shared" si="5"/>
        <v>3.8519491483046245E-2</v>
      </c>
      <c r="Y48" s="51">
        <f t="shared" si="5"/>
        <v>9.363545741172101E-2</v>
      </c>
      <c r="Z48" s="51">
        <f t="shared" si="5"/>
        <v>-3.2339970129515276E-2</v>
      </c>
      <c r="AA48" s="51">
        <f t="shared" si="5"/>
        <v>-9.754996833523287E-2</v>
      </c>
      <c r="AB48" s="51">
        <f t="shared" si="5"/>
        <v>9.1283423545987077E-2</v>
      </c>
      <c r="AC48" s="51">
        <f t="shared" si="5"/>
        <v>0.1043100368021522</v>
      </c>
      <c r="AD48" s="54">
        <f t="shared" si="5"/>
        <v>0.33802842426188451</v>
      </c>
      <c r="AE48" s="55">
        <f t="shared" si="5"/>
        <v>0.24582647810926234</v>
      </c>
      <c r="AF48" s="55">
        <f t="shared" si="5"/>
        <v>0.22425876161562966</v>
      </c>
      <c r="AG48" s="56">
        <f t="shared" si="5"/>
        <v>0.18416879703717559</v>
      </c>
      <c r="AH48" s="49"/>
    </row>
    <row r="49" spans="2:34" x14ac:dyDescent="0.25">
      <c r="B49" s="49" t="s">
        <v>154</v>
      </c>
      <c r="C49" s="49"/>
      <c r="D49" s="50">
        <f>SUM(F6:G6,AC6:AD6)</f>
        <v>54572.465564759739</v>
      </c>
      <c r="E49" s="102">
        <f>SUM(G6,AD6)</f>
        <v>12453.417688703355</v>
      </c>
      <c r="F49" s="51">
        <f>(D49/1000-D68)/D68</f>
        <v>-8.6622722689299478E-2</v>
      </c>
      <c r="G49" s="51">
        <f>(D49-'G&amp;D sammanställning'!R8)/'G&amp;D sammanställning'!R8</f>
        <v>1.1645261248427248</v>
      </c>
      <c r="H49" s="51">
        <f>(E49/1000-D68*AD68/100)/(D68*AD68/100)</f>
        <v>8.108079597373935E-2</v>
      </c>
      <c r="J49" s="49" t="s">
        <v>129</v>
      </c>
      <c r="K49" s="49"/>
      <c r="L49" s="57">
        <f t="shared" ref="L49:AG49" si="6">((SUM($D$6:$D$8)/$D$5*D80+SUM($AA$6:$AA$8)/$AA$5*D81)-D83)/D83</f>
        <v>-5.6906621749196404E-2</v>
      </c>
      <c r="M49" s="51">
        <f t="shared" si="6"/>
        <v>-8.4976417959963815E-2</v>
      </c>
      <c r="N49" s="51">
        <f t="shared" si="6"/>
        <v>-2.2258219405867707E-2</v>
      </c>
      <c r="O49" s="51">
        <f t="shared" si="6"/>
        <v>-7.9493602380144954E-2</v>
      </c>
      <c r="P49" s="51">
        <f t="shared" si="6"/>
        <v>-3.4514801738113624E-2</v>
      </c>
      <c r="Q49" s="51">
        <f t="shared" si="6"/>
        <v>-6.1757990282308599E-2</v>
      </c>
      <c r="R49" s="51">
        <f t="shared" si="6"/>
        <v>-8.6919873062572997E-2</v>
      </c>
      <c r="S49" s="51">
        <f t="shared" si="6"/>
        <v>-9.5635085020405353E-2</v>
      </c>
      <c r="T49" s="51">
        <f t="shared" si="6"/>
        <v>-0.17444893084714186</v>
      </c>
      <c r="U49" s="51">
        <f t="shared" si="6"/>
        <v>-0.10195686948617</v>
      </c>
      <c r="V49" s="51">
        <f t="shared" si="6"/>
        <v>-5.265541215593194E-2</v>
      </c>
      <c r="W49" s="51">
        <f t="shared" si="6"/>
        <v>6.2454993777618768E-2</v>
      </c>
      <c r="X49" s="51">
        <f t="shared" si="6"/>
        <v>-9.286205703007254E-2</v>
      </c>
      <c r="Y49" s="51">
        <f t="shared" si="6"/>
        <v>-0.15740864240553407</v>
      </c>
      <c r="Z49" s="51">
        <f t="shared" si="6"/>
        <v>-0.11808480474229016</v>
      </c>
      <c r="AA49" s="51">
        <f t="shared" si="6"/>
        <v>2.7489712392499095E-2</v>
      </c>
      <c r="AB49" s="51">
        <f t="shared" si="6"/>
        <v>5.8913913762008364E-2</v>
      </c>
      <c r="AC49" s="51">
        <f t="shared" si="6"/>
        <v>-2.3744084222234486E-2</v>
      </c>
      <c r="AD49" s="58">
        <f t="shared" si="6"/>
        <v>0.14841483259231433</v>
      </c>
      <c r="AE49" s="59">
        <f t="shared" si="6"/>
        <v>0.1031900455895909</v>
      </c>
      <c r="AF49" s="59">
        <f t="shared" si="6"/>
        <v>5.0964254723767415E-2</v>
      </c>
      <c r="AG49" s="60">
        <f t="shared" si="6"/>
        <v>5.9681799788674855E-2</v>
      </c>
      <c r="AH49" s="49"/>
    </row>
    <row r="50" spans="2:34" x14ac:dyDescent="0.25">
      <c r="B50" s="49" t="s">
        <v>155</v>
      </c>
      <c r="C50" s="49"/>
      <c r="D50" s="50">
        <f>SUM(F7:G7,AC7:AD7)</f>
        <v>35246.367846082067</v>
      </c>
      <c r="E50" s="102">
        <f>SUM(G7,AD7)</f>
        <v>12316.347772496489</v>
      </c>
      <c r="F50" s="51">
        <f>(D50/1000-D70)/D70</f>
        <v>1.1373539342383486E-2</v>
      </c>
      <c r="G50" s="51">
        <f>(D50-'G&amp;D sammanställning'!R9)/'G&amp;D sammanställning'!R9</f>
        <v>1.8466731154359743</v>
      </c>
      <c r="H50" s="51">
        <f>(E50/1000-D70*AD70/100)/(D70*AD70/100)</f>
        <v>0.30217489340002118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156</v>
      </c>
      <c r="C51" s="49"/>
      <c r="D51" s="50">
        <f>SUM(F8:G8,AC8:AD8)</f>
        <v>184473.10468993828</v>
      </c>
      <c r="E51" s="102">
        <f>SUM(G8,AD8)</f>
        <v>19263.982020709867</v>
      </c>
      <c r="F51" s="51">
        <f>(D51/1000-SUM(D71:D73))/SUM(D71:D73)</f>
        <v>3.2672116717013824E-2</v>
      </c>
      <c r="G51" s="51">
        <f>(D51-'G&amp;D sammanställning'!R10)/'G&amp;D sammanställning'!R10</f>
        <v>1.753773812643505</v>
      </c>
      <c r="H51" s="51">
        <f>(E51/1000-D74*AD74/100)/(D74*AD74/100)</f>
        <v>0.249250044229822</v>
      </c>
      <c r="J51" s="52" t="s">
        <v>157</v>
      </c>
      <c r="K51" s="49"/>
      <c r="L51" s="49" t="s">
        <v>158</v>
      </c>
      <c r="M51" s="49" t="s">
        <v>159</v>
      </c>
      <c r="N51" s="49" t="s">
        <v>160</v>
      </c>
      <c r="O51" s="49" t="s">
        <v>161</v>
      </c>
      <c r="P51" s="49" t="s">
        <v>162</v>
      </c>
      <c r="Q51" s="49" t="s">
        <v>163</v>
      </c>
      <c r="R51" s="49" t="s">
        <v>164</v>
      </c>
      <c r="S51" s="49" t="s">
        <v>165</v>
      </c>
      <c r="T51" s="49" t="s">
        <v>166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167</v>
      </c>
      <c r="C52" s="49"/>
      <c r="D52" s="50">
        <f>SUM(F9:G9,AC9:AD9)</f>
        <v>13196.550236535382</v>
      </c>
      <c r="E52" s="50">
        <f>SUM(G9,AD9)</f>
        <v>1081.0684180195847</v>
      </c>
      <c r="F52" s="51">
        <f>(D52/1000-D69)/D69</f>
        <v>-9.1355274050811452E-2</v>
      </c>
      <c r="G52" s="51">
        <f>(D52-'G&amp;D sammanställning'!R14)/'G&amp;D sammanställning'!R14</f>
        <v>1.7815003449404307</v>
      </c>
      <c r="H52" s="51">
        <f>(E52/1000-D69*AD69/100)/(D69*AD69/100)</f>
        <v>-3.5794566168088321E-2</v>
      </c>
      <c r="J52" s="49" t="s">
        <v>128</v>
      </c>
      <c r="K52" s="49"/>
      <c r="L52" s="53">
        <f t="shared" ref="L52:T52" si="7">(($D$9/$D$5*D89+$AA$9/$AA$5*D90)-D87)/D87</f>
        <v>4.3152532779050103E-2</v>
      </c>
      <c r="M52" s="51">
        <f t="shared" si="7"/>
        <v>3.9092472668661893E-2</v>
      </c>
      <c r="N52" s="51">
        <f t="shared" si="7"/>
        <v>-3.3852982546430571E-2</v>
      </c>
      <c r="O52" s="51">
        <f t="shared" si="7"/>
        <v>7.3583845167034201E-2</v>
      </c>
      <c r="P52" s="51">
        <f t="shared" si="7"/>
        <v>-3.5503360381828504E-2</v>
      </c>
      <c r="Q52" s="51">
        <f t="shared" si="7"/>
        <v>-1.8398349039557251E-2</v>
      </c>
      <c r="R52" s="54">
        <f t="shared" si="7"/>
        <v>0.11871817000917977</v>
      </c>
      <c r="S52" s="55">
        <f t="shared" si="7"/>
        <v>0.20528154111411651</v>
      </c>
      <c r="T52" s="56">
        <f t="shared" si="7"/>
        <v>0.223902661976041</v>
      </c>
      <c r="U52" s="49"/>
      <c r="V52" s="49"/>
      <c r="W52" s="49"/>
      <c r="X52" s="49"/>
      <c r="Y52" s="49"/>
      <c r="Z52" s="49"/>
      <c r="AA52" s="63" t="s">
        <v>168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169</v>
      </c>
      <c r="C53" s="49"/>
      <c r="D53" s="50">
        <f>SUM(D49:D52)</f>
        <v>287488.48833731544</v>
      </c>
      <c r="E53" s="50">
        <f>SUM(G6:G9,AD6:AD9)</f>
        <v>45114.815899929294</v>
      </c>
      <c r="F53" s="51">
        <f>(D53/1000-SUM(D68:D73))/SUM(D68:D73)</f>
        <v>-9.3659138124597334E-4</v>
      </c>
      <c r="G53" s="51">
        <f>(D53-SUM('G&amp;D sammanställning'!R8:R10,'G&amp;D sammanställning'!R14))/SUM('G&amp;D sammanställning'!R8:R10,'G&amp;D sammanställning'!R14)</f>
        <v>1.6296105856108849</v>
      </c>
      <c r="H53" s="51">
        <f>(E53/1000-D75*AD75/100)/(D75*AD75/100)</f>
        <v>0.20244151982529429</v>
      </c>
      <c r="J53" s="49" t="s">
        <v>129</v>
      </c>
      <c r="K53" s="49"/>
      <c r="L53" s="57">
        <f t="shared" ref="L53:T53" si="8">((SUM($D$6:$D$8)/$D$5*D89+SUM($AA$6:$AA$8)/$AA$5*D90)-D91)/D91</f>
        <v>1.2034828426430789E-2</v>
      </c>
      <c r="M53" s="51">
        <f t="shared" si="8"/>
        <v>0.15753756657285037</v>
      </c>
      <c r="N53" s="51">
        <f t="shared" si="8"/>
        <v>-4.7394061317714543E-2</v>
      </c>
      <c r="O53" s="51">
        <f t="shared" si="8"/>
        <v>1.3177401534127111E-2</v>
      </c>
      <c r="P53" s="51">
        <f t="shared" si="8"/>
        <v>-2.5897455244641921E-2</v>
      </c>
      <c r="Q53" s="51">
        <f t="shared" si="8"/>
        <v>-3.192304588370256E-2</v>
      </c>
      <c r="R53" s="58">
        <f t="shared" si="8"/>
        <v>4.9112608398183752E-2</v>
      </c>
      <c r="S53" s="59">
        <f t="shared" si="8"/>
        <v>0.10823255929439134</v>
      </c>
      <c r="T53" s="60">
        <f t="shared" si="8"/>
        <v>8.027135737556354E-2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170</v>
      </c>
      <c r="C54" s="49"/>
      <c r="D54" s="50">
        <f>SUM(D48:D52)</f>
        <v>433314.24337668798</v>
      </c>
      <c r="E54" s="50">
        <f>SUM(G5:G9,AD5:AD9)</f>
        <v>78920.355984028429</v>
      </c>
      <c r="F54" s="51">
        <f>(D54/1000-D76)/D76</f>
        <v>1.272090373746616E-2</v>
      </c>
      <c r="G54" s="51">
        <f>(D54-SUM('G&amp;D sammanställning'!R5,'G&amp;D sammanställning'!R8:R10,'G&amp;D sammanställning'!R14))/SUM('G&amp;D sammanställning'!R5,'G&amp;D sammanställning'!R8:R10,'G&amp;D sammanställning'!R14)</f>
        <v>1.7011976601819774</v>
      </c>
      <c r="H54" s="51">
        <f>(E54/1000-D76*AD76/100)/(D76*AD76/100)</f>
        <v>0.19550234269879915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171</v>
      </c>
    </row>
    <row r="57" spans="2:34" x14ac:dyDescent="0.25">
      <c r="D57" s="49" t="s">
        <v>124</v>
      </c>
      <c r="E57" t="s">
        <v>131</v>
      </c>
      <c r="F57" t="s">
        <v>132</v>
      </c>
      <c r="G57" t="s">
        <v>133</v>
      </c>
      <c r="H57" t="s">
        <v>134</v>
      </c>
      <c r="I57" t="s">
        <v>135</v>
      </c>
      <c r="J57" t="s">
        <v>136</v>
      </c>
      <c r="K57" t="s">
        <v>137</v>
      </c>
      <c r="L57" t="s">
        <v>138</v>
      </c>
      <c r="M57" t="s">
        <v>139</v>
      </c>
      <c r="N57" t="s">
        <v>140</v>
      </c>
      <c r="O57" t="s">
        <v>141</v>
      </c>
      <c r="P57" t="s">
        <v>142</v>
      </c>
      <c r="Q57" t="s">
        <v>143</v>
      </c>
      <c r="R57" t="s">
        <v>144</v>
      </c>
      <c r="S57" t="s">
        <v>145</v>
      </c>
      <c r="T57" t="s">
        <v>146</v>
      </c>
      <c r="U57" t="s">
        <v>147</v>
      </c>
      <c r="V57" t="s">
        <v>148</v>
      </c>
      <c r="W57" t="s">
        <v>149</v>
      </c>
      <c r="X57" t="s">
        <v>150</v>
      </c>
      <c r="Y57" t="s">
        <v>151</v>
      </c>
      <c r="Z57" t="s">
        <v>152</v>
      </c>
    </row>
    <row r="58" spans="2:34" x14ac:dyDescent="0.25">
      <c r="B58" t="s">
        <v>172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304</v>
      </c>
    </row>
    <row r="59" spans="2:34" x14ac:dyDescent="0.25">
      <c r="B59" t="s">
        <v>173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305</v>
      </c>
    </row>
    <row r="60" spans="2:34" x14ac:dyDescent="0.25">
      <c r="B60" t="s">
        <v>129</v>
      </c>
      <c r="D60" s="64">
        <f>SUM(E6:E8,AB6:AB8)/SUM(D6:E8,AA6:AB8)*100</f>
        <v>20.718534732258629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128</v>
      </c>
      <c r="D61" s="64">
        <f>SUM(E9,AB9)/SUM(D9:E9,AA9:AB9)*100</f>
        <v>18.577031058820161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174</v>
      </c>
    </row>
    <row r="64" spans="2:34" x14ac:dyDescent="0.25">
      <c r="D64" t="s">
        <v>131</v>
      </c>
      <c r="E64" t="s">
        <v>132</v>
      </c>
      <c r="F64" t="s">
        <v>133</v>
      </c>
      <c r="G64" t="s">
        <v>134</v>
      </c>
      <c r="H64" t="s">
        <v>135</v>
      </c>
      <c r="I64" t="s">
        <v>136</v>
      </c>
      <c r="J64" t="s">
        <v>137</v>
      </c>
      <c r="K64" t="s">
        <v>138</v>
      </c>
      <c r="L64" t="s">
        <v>139</v>
      </c>
      <c r="M64" t="s">
        <v>140</v>
      </c>
      <c r="N64" t="s">
        <v>141</v>
      </c>
      <c r="O64" t="s">
        <v>142</v>
      </c>
      <c r="P64" t="s">
        <v>143</v>
      </c>
      <c r="Q64" t="s">
        <v>144</v>
      </c>
      <c r="R64" t="s">
        <v>145</v>
      </c>
      <c r="S64" t="s">
        <v>146</v>
      </c>
      <c r="T64" t="s">
        <v>147</v>
      </c>
      <c r="U64" t="s">
        <v>148</v>
      </c>
      <c r="V64" t="s">
        <v>149</v>
      </c>
      <c r="W64" t="s">
        <v>150</v>
      </c>
      <c r="X64" t="s">
        <v>151</v>
      </c>
      <c r="Y64" t="s">
        <v>152</v>
      </c>
      <c r="Z64" t="s">
        <v>175</v>
      </c>
      <c r="AC64" s="6" t="s">
        <v>294</v>
      </c>
    </row>
    <row r="65" spans="2:31" x14ac:dyDescent="0.25">
      <c r="B65" t="s">
        <v>176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176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177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177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296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296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178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178</v>
      </c>
      <c r="AD68">
        <v>19.279999999999998</v>
      </c>
      <c r="AE68" s="13">
        <f t="shared" si="9"/>
        <v>11.5194144</v>
      </c>
    </row>
    <row r="69" spans="2:31" x14ac:dyDescent="0.25">
      <c r="B69" t="s">
        <v>179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179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180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180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181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181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182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182</v>
      </c>
      <c r="AD72">
        <v>12.48</v>
      </c>
      <c r="AE72" s="13">
        <f t="shared" si="9"/>
        <v>2.6478400000000004</v>
      </c>
    </row>
    <row r="73" spans="2:31" x14ac:dyDescent="0.25">
      <c r="B73" t="s">
        <v>183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183</v>
      </c>
      <c r="AD73">
        <v>27.5</v>
      </c>
      <c r="AE73" s="13">
        <f t="shared" si="9"/>
        <v>0.86166666666666669</v>
      </c>
    </row>
    <row r="74" spans="2:31" x14ac:dyDescent="0.25">
      <c r="B74" t="s">
        <v>295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295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302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302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297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297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184</v>
      </c>
    </row>
    <row r="79" spans="2:31" x14ac:dyDescent="0.25">
      <c r="D79" t="s">
        <v>131</v>
      </c>
      <c r="E79" t="s">
        <v>132</v>
      </c>
      <c r="F79" t="s">
        <v>133</v>
      </c>
      <c r="G79" t="s">
        <v>134</v>
      </c>
      <c r="H79" t="s">
        <v>135</v>
      </c>
      <c r="I79" t="s">
        <v>136</v>
      </c>
      <c r="J79" t="s">
        <v>137</v>
      </c>
      <c r="K79" t="s">
        <v>138</v>
      </c>
      <c r="L79" t="s">
        <v>139</v>
      </c>
      <c r="M79" t="s">
        <v>140</v>
      </c>
      <c r="N79" t="s">
        <v>141</v>
      </c>
      <c r="O79" t="s">
        <v>142</v>
      </c>
      <c r="P79" t="s">
        <v>143</v>
      </c>
      <c r="Q79" t="s">
        <v>144</v>
      </c>
      <c r="R79" t="s">
        <v>145</v>
      </c>
      <c r="S79" t="s">
        <v>146</v>
      </c>
      <c r="T79" t="s">
        <v>147</v>
      </c>
      <c r="U79" t="s">
        <v>148</v>
      </c>
      <c r="V79" t="s">
        <v>149</v>
      </c>
      <c r="W79" t="s">
        <v>150</v>
      </c>
      <c r="X79" t="s">
        <v>151</v>
      </c>
      <c r="Y79" t="s">
        <v>152</v>
      </c>
      <c r="AC79" s="6" t="s">
        <v>294</v>
      </c>
    </row>
    <row r="80" spans="2:31" x14ac:dyDescent="0.25">
      <c r="B80" t="s">
        <v>172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172</v>
      </c>
      <c r="AD80">
        <v>17.399999999999999</v>
      </c>
    </row>
    <row r="81" spans="2:30" x14ac:dyDescent="0.25">
      <c r="B81" t="s">
        <v>173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173</v>
      </c>
      <c r="AD81">
        <v>35.200000000000003</v>
      </c>
    </row>
    <row r="82" spans="2:30" x14ac:dyDescent="0.25">
      <c r="B82" t="s">
        <v>128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128</v>
      </c>
      <c r="AD82">
        <v>20.8</v>
      </c>
    </row>
    <row r="83" spans="2:30" x14ac:dyDescent="0.25">
      <c r="B83" t="s">
        <v>129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129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187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158</v>
      </c>
      <c r="E86" t="s">
        <v>159</v>
      </c>
      <c r="F86" t="s">
        <v>160</v>
      </c>
      <c r="G86" t="s">
        <v>161</v>
      </c>
      <c r="H86" t="s">
        <v>162</v>
      </c>
      <c r="I86" t="s">
        <v>163</v>
      </c>
      <c r="J86" t="s">
        <v>164</v>
      </c>
      <c r="K86" t="s">
        <v>165</v>
      </c>
      <c r="L86" t="s">
        <v>166</v>
      </c>
    </row>
    <row r="87" spans="2:30" x14ac:dyDescent="0.25">
      <c r="B87" s="66" t="s">
        <v>128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185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172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173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129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186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374</v>
      </c>
    </row>
    <row r="96" spans="2:30" x14ac:dyDescent="0.25">
      <c r="C96" t="s">
        <v>297</v>
      </c>
      <c r="F96" t="s">
        <v>369</v>
      </c>
      <c r="I96" t="s">
        <v>372</v>
      </c>
    </row>
    <row r="97" spans="2:11" x14ac:dyDescent="0.25">
      <c r="C97" t="s">
        <v>17</v>
      </c>
      <c r="D97" t="s">
        <v>370</v>
      </c>
      <c r="E97" t="s">
        <v>371</v>
      </c>
      <c r="F97" t="s">
        <v>17</v>
      </c>
      <c r="G97" t="s">
        <v>370</v>
      </c>
      <c r="H97" t="s">
        <v>371</v>
      </c>
      <c r="I97" t="s">
        <v>17</v>
      </c>
      <c r="J97" t="s">
        <v>370</v>
      </c>
      <c r="K97" t="s">
        <v>371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4" t="s">
        <v>368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4" t="s">
        <v>373</v>
      </c>
      <c r="E104" s="155">
        <f>1/E103</f>
        <v>4.9969493593654671E-2</v>
      </c>
      <c r="H104" s="155">
        <f>1/H103</f>
        <v>3.1568577532293592E-2</v>
      </c>
      <c r="K104" s="155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  <outlinePr summaryRight="0"/>
  </sheetPr>
  <dimension ref="A2:BG126"/>
  <sheetViews>
    <sheetView topLeftCell="A46" zoomScale="85" zoomScaleNormal="85" workbookViewId="0">
      <selection activeCell="AL51" sqref="AL51"/>
    </sheetView>
  </sheetViews>
  <sheetFormatPr defaultRowHeight="15" outlineLevelRow="2" outlineLevelCol="1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 outlineLevel="1"/>
    <col min="7" max="9" width="7.28515625" customWidth="1" outlineLevel="1"/>
    <col min="10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 outlineLevel="1"/>
    <col min="31" max="31" width="9.140625" customWidth="1" outlineLevel="1"/>
    <col min="32" max="34" width="8.5703125" customWidth="1" outlineLevel="1"/>
    <col min="35" max="47" width="8.5703125" customWidth="1"/>
  </cols>
  <sheetData>
    <row r="2" spans="2:59" x14ac:dyDescent="0.25">
      <c r="B2" s="194" t="s">
        <v>482</v>
      </c>
      <c r="C2" s="226"/>
      <c r="D2" s="226" t="s">
        <v>417</v>
      </c>
      <c r="E2" s="226"/>
      <c r="F2" s="226"/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6"/>
      <c r="W2" s="226"/>
      <c r="X2" s="216"/>
      <c r="Y2" s="194" t="s">
        <v>490</v>
      </c>
      <c r="Z2" s="216"/>
      <c r="AA2" s="194" t="s">
        <v>630</v>
      </c>
      <c r="AB2" s="226"/>
      <c r="AC2" s="226"/>
      <c r="AD2" s="226"/>
      <c r="AE2" s="226"/>
      <c r="AF2" s="226"/>
      <c r="AG2" s="226"/>
      <c r="AH2" s="226"/>
      <c r="AI2" s="226"/>
      <c r="AJ2" s="226"/>
      <c r="AK2" s="226"/>
      <c r="AL2" s="216"/>
    </row>
    <row r="3" spans="2:59" ht="15" customHeight="1" x14ac:dyDescent="0.25">
      <c r="B3" s="227" t="s">
        <v>502</v>
      </c>
      <c r="C3" s="228"/>
      <c r="D3" s="229" t="s">
        <v>416</v>
      </c>
      <c r="E3" s="199"/>
      <c r="F3" s="199"/>
      <c r="G3" s="199"/>
      <c r="H3" s="199"/>
      <c r="I3" s="199"/>
      <c r="J3" s="199"/>
      <c r="K3" s="199"/>
      <c r="L3" s="199"/>
      <c r="M3" s="229" t="s">
        <v>433</v>
      </c>
      <c r="N3" s="199"/>
      <c r="O3" s="199"/>
      <c r="P3" s="199"/>
      <c r="Q3" s="199"/>
      <c r="R3" s="199"/>
      <c r="S3" s="229" t="s">
        <v>434</v>
      </c>
      <c r="T3" s="199"/>
      <c r="U3" s="199"/>
      <c r="V3" s="199"/>
      <c r="W3" s="199"/>
      <c r="X3" s="230"/>
      <c r="Y3" s="238" t="s">
        <v>491</v>
      </c>
      <c r="Z3" s="217"/>
      <c r="AA3" s="293" t="s">
        <v>631</v>
      </c>
      <c r="AB3" s="199"/>
      <c r="AC3" s="199"/>
      <c r="AD3" s="199"/>
      <c r="AE3" s="199"/>
      <c r="AF3" s="199"/>
      <c r="AG3" s="305" t="s">
        <v>650</v>
      </c>
      <c r="AH3" s="199"/>
      <c r="AI3" s="199"/>
      <c r="AJ3" s="199"/>
      <c r="AK3" s="199"/>
      <c r="AL3" s="230"/>
      <c r="AP3" s="194" t="s">
        <v>547</v>
      </c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5"/>
      <c r="BB3" s="195"/>
      <c r="BC3" s="195"/>
      <c r="BD3" s="195"/>
      <c r="BE3" s="195"/>
      <c r="BF3" s="196"/>
      <c r="BG3" s="197"/>
    </row>
    <row r="4" spans="2:59" ht="22.5" customHeight="1" x14ac:dyDescent="0.25">
      <c r="B4" s="198"/>
      <c r="C4" s="199"/>
      <c r="D4" s="231" t="s">
        <v>567</v>
      </c>
      <c r="E4" s="231"/>
      <c r="F4" s="231"/>
      <c r="G4" s="232" t="s">
        <v>419</v>
      </c>
      <c r="H4" s="232"/>
      <c r="I4" s="232"/>
      <c r="J4" s="231" t="s">
        <v>414</v>
      </c>
      <c r="K4" s="231"/>
      <c r="L4" s="231"/>
      <c r="M4" s="232" t="s">
        <v>427</v>
      </c>
      <c r="N4" s="232"/>
      <c r="O4" s="232"/>
      <c r="P4" s="231" t="s">
        <v>428</v>
      </c>
      <c r="Q4" s="231"/>
      <c r="R4" s="231"/>
      <c r="S4" s="232" t="s">
        <v>420</v>
      </c>
      <c r="T4" s="232"/>
      <c r="U4" s="232"/>
      <c r="V4" s="231" t="s">
        <v>421</v>
      </c>
      <c r="W4" s="231"/>
      <c r="X4" s="219"/>
      <c r="Y4" s="218" t="s">
        <v>487</v>
      </c>
      <c r="Z4" s="219" t="s">
        <v>487</v>
      </c>
      <c r="AA4" s="218" t="s">
        <v>626</v>
      </c>
      <c r="AB4" s="232"/>
      <c r="AC4" s="232"/>
      <c r="AD4" s="231" t="s">
        <v>646</v>
      </c>
      <c r="AE4" s="231"/>
      <c r="AF4" s="231"/>
      <c r="AG4" s="232" t="s">
        <v>647</v>
      </c>
      <c r="AH4" s="232"/>
      <c r="AI4" s="232"/>
      <c r="AJ4" s="231" t="s">
        <v>648</v>
      </c>
      <c r="AK4" s="231"/>
      <c r="AL4" s="219"/>
      <c r="AP4" s="238" t="s">
        <v>549</v>
      </c>
      <c r="AQ4" s="199"/>
      <c r="AR4" s="199"/>
      <c r="AS4" s="297" t="s">
        <v>509</v>
      </c>
      <c r="AT4" s="296" t="s">
        <v>511</v>
      </c>
      <c r="AU4" s="297" t="s">
        <v>513</v>
      </c>
      <c r="AV4" s="296" t="s">
        <v>515</v>
      </c>
      <c r="AW4" s="297" t="s">
        <v>516</v>
      </c>
      <c r="AX4" s="296" t="s">
        <v>518</v>
      </c>
      <c r="AY4" s="297" t="s">
        <v>519</v>
      </c>
      <c r="AZ4" s="296" t="s">
        <v>520</v>
      </c>
      <c r="BA4" s="297" t="s">
        <v>522</v>
      </c>
      <c r="BB4" s="296" t="s">
        <v>523</v>
      </c>
      <c r="BC4" s="297" t="s">
        <v>542</v>
      </c>
      <c r="BD4" s="296" t="s">
        <v>525</v>
      </c>
      <c r="BE4" s="297" t="s">
        <v>526</v>
      </c>
      <c r="BF4" s="298" t="s">
        <v>546</v>
      </c>
      <c r="BG4" s="299" t="s">
        <v>541</v>
      </c>
    </row>
    <row r="5" spans="2:59" ht="22.5" customHeight="1" x14ac:dyDescent="0.25">
      <c r="B5" s="206"/>
      <c r="C5" s="207"/>
      <c r="D5" s="301" t="s">
        <v>411</v>
      </c>
      <c r="E5" s="301" t="s">
        <v>412</v>
      </c>
      <c r="F5" s="301" t="s">
        <v>413</v>
      </c>
      <c r="G5" s="204" t="s">
        <v>411</v>
      </c>
      <c r="H5" s="204" t="s">
        <v>412</v>
      </c>
      <c r="I5" s="204" t="s">
        <v>413</v>
      </c>
      <c r="J5" s="301" t="s">
        <v>411</v>
      </c>
      <c r="K5" s="301" t="s">
        <v>412</v>
      </c>
      <c r="L5" s="301" t="s">
        <v>413</v>
      </c>
      <c r="M5" s="204" t="s">
        <v>411</v>
      </c>
      <c r="N5" s="204" t="s">
        <v>412</v>
      </c>
      <c r="O5" s="204" t="s">
        <v>413</v>
      </c>
      <c r="P5" s="301" t="s">
        <v>411</v>
      </c>
      <c r="Q5" s="301" t="s">
        <v>412</v>
      </c>
      <c r="R5" s="301" t="s">
        <v>413</v>
      </c>
      <c r="S5" s="204" t="s">
        <v>411</v>
      </c>
      <c r="T5" s="204" t="s">
        <v>412</v>
      </c>
      <c r="U5" s="204" t="s">
        <v>413</v>
      </c>
      <c r="V5" s="301" t="s">
        <v>411</v>
      </c>
      <c r="W5" s="301" t="s">
        <v>412</v>
      </c>
      <c r="X5" s="302" t="s">
        <v>413</v>
      </c>
      <c r="Y5" s="294" t="s">
        <v>488</v>
      </c>
      <c r="Z5" s="302" t="s">
        <v>489</v>
      </c>
      <c r="AA5" s="294" t="s">
        <v>627</v>
      </c>
      <c r="AB5" s="204" t="s">
        <v>628</v>
      </c>
      <c r="AC5" s="204" t="s">
        <v>629</v>
      </c>
      <c r="AD5" s="301" t="s">
        <v>627</v>
      </c>
      <c r="AE5" s="301" t="s">
        <v>628</v>
      </c>
      <c r="AF5" s="301" t="s">
        <v>629</v>
      </c>
      <c r="AG5" s="204" t="s">
        <v>627</v>
      </c>
      <c r="AH5" s="204" t="s">
        <v>628</v>
      </c>
      <c r="AI5" s="204" t="s">
        <v>629</v>
      </c>
      <c r="AJ5" s="301" t="s">
        <v>627</v>
      </c>
      <c r="AK5" s="301" t="s">
        <v>628</v>
      </c>
      <c r="AL5" s="302" t="s">
        <v>629</v>
      </c>
      <c r="AP5" s="198"/>
      <c r="AQ5" s="199"/>
      <c r="AR5" s="199"/>
      <c r="AS5" s="297"/>
      <c r="AT5" s="296"/>
      <c r="AU5" s="297"/>
      <c r="AV5" s="296"/>
      <c r="AW5" s="297"/>
      <c r="AX5" s="296"/>
      <c r="AY5" s="297"/>
      <c r="AZ5" s="296"/>
      <c r="BA5" s="297"/>
      <c r="BB5" s="296"/>
      <c r="BC5" s="297"/>
      <c r="BD5" s="296"/>
      <c r="BE5" s="297"/>
      <c r="BF5" s="298"/>
      <c r="BG5" s="299"/>
    </row>
    <row r="6" spans="2:59" ht="14.25" customHeight="1" x14ac:dyDescent="0.25">
      <c r="B6" s="206" t="s">
        <v>543</v>
      </c>
      <c r="C6" s="207" t="s">
        <v>453</v>
      </c>
      <c r="D6" s="301">
        <v>86</v>
      </c>
      <c r="E6" s="301">
        <v>86</v>
      </c>
      <c r="F6" s="301">
        <v>86</v>
      </c>
      <c r="G6" s="204">
        <v>15</v>
      </c>
      <c r="H6" s="204">
        <v>15</v>
      </c>
      <c r="I6" s="204">
        <v>16</v>
      </c>
      <c r="J6" s="301">
        <v>53</v>
      </c>
      <c r="K6" s="301">
        <v>53</v>
      </c>
      <c r="L6" s="301">
        <v>53</v>
      </c>
      <c r="M6" s="204">
        <v>18</v>
      </c>
      <c r="N6" s="204">
        <v>18</v>
      </c>
      <c r="O6" s="204">
        <v>18</v>
      </c>
      <c r="P6" s="301">
        <v>26</v>
      </c>
      <c r="Q6" s="301">
        <v>26</v>
      </c>
      <c r="R6" s="301">
        <v>26</v>
      </c>
      <c r="S6" s="204">
        <v>24</v>
      </c>
      <c r="T6" s="204">
        <v>24</v>
      </c>
      <c r="U6" s="204">
        <v>24</v>
      </c>
      <c r="V6" s="301">
        <v>24</v>
      </c>
      <c r="W6" s="301">
        <v>24</v>
      </c>
      <c r="X6" s="302">
        <v>24</v>
      </c>
      <c r="Y6" s="294"/>
      <c r="Z6" s="302"/>
      <c r="AA6" s="294">
        <v>27</v>
      </c>
      <c r="AB6" s="204">
        <v>27</v>
      </c>
      <c r="AC6" s="204">
        <v>27</v>
      </c>
      <c r="AD6" s="301">
        <v>26</v>
      </c>
      <c r="AE6" s="301">
        <v>26</v>
      </c>
      <c r="AF6" s="301">
        <v>26</v>
      </c>
      <c r="AG6" s="204">
        <v>24</v>
      </c>
      <c r="AH6" s="204">
        <v>24</v>
      </c>
      <c r="AI6" s="204">
        <v>24</v>
      </c>
      <c r="AJ6" s="301">
        <v>30</v>
      </c>
      <c r="AK6" s="301">
        <v>30</v>
      </c>
      <c r="AL6" s="302">
        <v>30</v>
      </c>
      <c r="AP6" s="198"/>
      <c r="AQ6" s="199"/>
      <c r="AR6" s="199"/>
      <c r="AS6" s="297"/>
      <c r="AT6" s="296"/>
      <c r="AU6" s="297"/>
      <c r="AV6" s="296"/>
      <c r="AW6" s="297"/>
      <c r="AX6" s="296"/>
      <c r="AY6" s="297"/>
      <c r="AZ6" s="296"/>
      <c r="BA6" s="297"/>
      <c r="BB6" s="296"/>
      <c r="BC6" s="297"/>
      <c r="BD6" s="296"/>
      <c r="BE6" s="297"/>
      <c r="BF6" s="298"/>
      <c r="BG6" s="299"/>
    </row>
    <row r="7" spans="2:59" ht="15" customHeight="1" outlineLevel="1" x14ac:dyDescent="0.25">
      <c r="B7" s="198" t="s">
        <v>503</v>
      </c>
      <c r="C7" s="233">
        <v>1</v>
      </c>
      <c r="D7" s="232"/>
      <c r="E7" s="232"/>
      <c r="F7" s="232"/>
      <c r="G7" s="234">
        <v>1229</v>
      </c>
      <c r="H7" s="234"/>
      <c r="I7" s="234">
        <v>1329</v>
      </c>
      <c r="J7" s="232"/>
      <c r="K7" s="232"/>
      <c r="L7" s="232"/>
      <c r="M7" s="234">
        <v>2119</v>
      </c>
      <c r="N7" s="234"/>
      <c r="O7" s="234">
        <v>2130</v>
      </c>
      <c r="P7" s="232"/>
      <c r="Q7" s="232"/>
      <c r="R7" s="232"/>
      <c r="S7" s="234"/>
      <c r="T7" s="234"/>
      <c r="U7" s="234"/>
      <c r="V7" s="232"/>
      <c r="W7" s="232"/>
      <c r="X7" s="223"/>
      <c r="Y7" s="220">
        <v>2973.75</v>
      </c>
      <c r="Z7" s="221">
        <v>1619.5499999999997</v>
      </c>
      <c r="AA7" s="220"/>
      <c r="AB7" s="234"/>
      <c r="AC7" s="234"/>
      <c r="AD7" s="232"/>
      <c r="AE7" s="232"/>
      <c r="AF7" s="232"/>
      <c r="AG7" s="234"/>
      <c r="AH7" s="234"/>
      <c r="AI7" s="234"/>
      <c r="AJ7" s="232"/>
      <c r="AK7" s="232"/>
      <c r="AL7" s="223"/>
      <c r="AM7" t="s">
        <v>503</v>
      </c>
      <c r="AP7" s="198" t="s">
        <v>539</v>
      </c>
      <c r="AQ7" s="199"/>
      <c r="AR7" s="199"/>
      <c r="AS7" s="200">
        <v>330888.66666666669</v>
      </c>
      <c r="AT7" s="201">
        <v>134305.60078577482</v>
      </c>
      <c r="AU7" s="200">
        <v>161884.47694681794</v>
      </c>
      <c r="AV7" s="201">
        <v>195238.33333333334</v>
      </c>
      <c r="AW7" s="200">
        <v>18420.385743830502</v>
      </c>
      <c r="AX7" s="201">
        <v>143245.77727956543</v>
      </c>
      <c r="AY7" s="200">
        <v>175831.90285749588</v>
      </c>
      <c r="AZ7" s="201">
        <v>55410.679511747854</v>
      </c>
      <c r="BA7" s="200">
        <v>93814.3633671766</v>
      </c>
      <c r="BB7" s="201">
        <v>85881.771420969075</v>
      </c>
      <c r="BC7" s="200">
        <v>36635.903910179375</v>
      </c>
      <c r="BD7" s="201">
        <v>22798.725582342147</v>
      </c>
      <c r="BE7" s="200">
        <v>35985.745927433803</v>
      </c>
      <c r="BF7" s="202"/>
      <c r="BG7" s="203"/>
    </row>
    <row r="8" spans="2:59" outlineLevel="2" x14ac:dyDescent="0.25">
      <c r="B8" s="198" t="s">
        <v>422</v>
      </c>
      <c r="C8" s="233">
        <v>1</v>
      </c>
      <c r="D8" s="232"/>
      <c r="E8" s="232"/>
      <c r="F8" s="232"/>
      <c r="G8" s="234"/>
      <c r="H8" s="234"/>
      <c r="I8" s="234"/>
      <c r="J8" s="232"/>
      <c r="K8" s="232"/>
      <c r="L8" s="232"/>
      <c r="M8" s="234"/>
      <c r="N8" s="234"/>
      <c r="O8" s="234"/>
      <c r="P8" s="232">
        <v>2663</v>
      </c>
      <c r="Q8" s="232">
        <v>2561</v>
      </c>
      <c r="R8" s="232">
        <v>2690</v>
      </c>
      <c r="S8" s="234">
        <v>2568</v>
      </c>
      <c r="T8" s="234">
        <v>2502</v>
      </c>
      <c r="U8" s="234">
        <v>2401</v>
      </c>
      <c r="V8" s="232">
        <v>2506</v>
      </c>
      <c r="W8" s="232">
        <v>2459</v>
      </c>
      <c r="X8" s="223">
        <v>2431</v>
      </c>
      <c r="Y8" s="220">
        <v>711.50000000000011</v>
      </c>
      <c r="Z8" s="221">
        <v>751.1500000000002</v>
      </c>
      <c r="AA8" s="220">
        <v>2807</v>
      </c>
      <c r="AB8" s="234">
        <v>2343</v>
      </c>
      <c r="AC8" s="234">
        <v>2144</v>
      </c>
      <c r="AD8" s="232">
        <v>3190</v>
      </c>
      <c r="AE8" s="232">
        <v>2663</v>
      </c>
      <c r="AF8" s="232">
        <v>2436</v>
      </c>
      <c r="AG8" s="234">
        <v>2883</v>
      </c>
      <c r="AH8" s="234">
        <v>2506</v>
      </c>
      <c r="AI8" s="234">
        <v>2339</v>
      </c>
      <c r="AJ8" s="232"/>
      <c r="AK8" s="232"/>
      <c r="AL8" s="223"/>
      <c r="AM8" t="s">
        <v>422</v>
      </c>
      <c r="AP8" s="198" t="s">
        <v>528</v>
      </c>
      <c r="AQ8" s="199"/>
      <c r="AR8" s="199"/>
      <c r="AS8" s="204" t="s">
        <v>510</v>
      </c>
      <c r="AT8" s="205" t="s">
        <v>512</v>
      </c>
      <c r="AU8" s="204" t="s">
        <v>514</v>
      </c>
      <c r="AV8" s="205" t="s">
        <v>510</v>
      </c>
      <c r="AW8" s="204" t="s">
        <v>517</v>
      </c>
      <c r="AX8" s="205" t="s">
        <v>512</v>
      </c>
      <c r="AY8" s="204" t="s">
        <v>512</v>
      </c>
      <c r="AZ8" s="205" t="s">
        <v>521</v>
      </c>
      <c r="BA8" s="204" t="s">
        <v>540</v>
      </c>
      <c r="BB8" s="205" t="s">
        <v>524</v>
      </c>
      <c r="BC8" s="204" t="s">
        <v>521</v>
      </c>
      <c r="BD8" s="205" t="s">
        <v>521</v>
      </c>
      <c r="BE8" s="204" t="s">
        <v>527</v>
      </c>
      <c r="BF8" s="202"/>
      <c r="BG8" s="203"/>
    </row>
    <row r="9" spans="2:59" outlineLevel="2" x14ac:dyDescent="0.25">
      <c r="B9" s="198" t="s">
        <v>504</v>
      </c>
      <c r="C9" s="233">
        <v>1</v>
      </c>
      <c r="D9" s="232">
        <v>659</v>
      </c>
      <c r="E9" s="232">
        <v>1254</v>
      </c>
      <c r="F9" s="232">
        <v>770</v>
      </c>
      <c r="G9" s="234"/>
      <c r="H9" s="234"/>
      <c r="I9" s="234"/>
      <c r="J9" s="232"/>
      <c r="K9" s="232">
        <v>1235</v>
      </c>
      <c r="L9" s="232"/>
      <c r="M9" s="234"/>
      <c r="N9" s="234"/>
      <c r="O9" s="234"/>
      <c r="P9" s="232"/>
      <c r="Q9" s="232"/>
      <c r="R9" s="232"/>
      <c r="S9" s="234"/>
      <c r="T9" s="234"/>
      <c r="U9" s="234"/>
      <c r="V9" s="232"/>
      <c r="W9" s="232"/>
      <c r="X9" s="223"/>
      <c r="Y9" s="222"/>
      <c r="Z9" s="223"/>
      <c r="AA9" s="222"/>
      <c r="AB9" s="234"/>
      <c r="AC9" s="234"/>
      <c r="AD9" s="232"/>
      <c r="AE9" s="232"/>
      <c r="AF9" s="232"/>
      <c r="AG9" s="234"/>
      <c r="AH9" s="234"/>
      <c r="AI9" s="234"/>
      <c r="AJ9" s="232">
        <v>3102</v>
      </c>
      <c r="AK9" s="232">
        <v>2615</v>
      </c>
      <c r="AL9" s="223">
        <v>2416</v>
      </c>
      <c r="AM9" t="s">
        <v>504</v>
      </c>
      <c r="AP9" s="198"/>
      <c r="AQ9" s="199"/>
      <c r="AR9" s="199"/>
      <c r="AS9" s="204"/>
      <c r="AT9" s="205"/>
      <c r="AU9" s="204"/>
      <c r="AV9" s="205"/>
      <c r="AW9" s="204"/>
      <c r="AX9" s="205"/>
      <c r="AY9" s="204"/>
      <c r="AZ9" s="205"/>
      <c r="BA9" s="204"/>
      <c r="BB9" s="205"/>
      <c r="BC9" s="204"/>
      <c r="BD9" s="205"/>
      <c r="BE9" s="204"/>
      <c r="BF9" s="202"/>
      <c r="BG9" s="203"/>
    </row>
    <row r="10" spans="2:59" outlineLevel="2" x14ac:dyDescent="0.25">
      <c r="B10" s="198" t="s">
        <v>423</v>
      </c>
      <c r="C10" s="233">
        <v>1</v>
      </c>
      <c r="D10" s="232"/>
      <c r="E10" s="232"/>
      <c r="F10" s="232"/>
      <c r="G10" s="234"/>
      <c r="H10" s="234">
        <v>1165</v>
      </c>
      <c r="I10" s="234"/>
      <c r="J10" s="232"/>
      <c r="K10" s="232"/>
      <c r="L10" s="232"/>
      <c r="M10" s="234"/>
      <c r="N10" s="234">
        <v>1868</v>
      </c>
      <c r="O10" s="234"/>
      <c r="P10" s="232"/>
      <c r="Q10" s="232"/>
      <c r="R10" s="232"/>
      <c r="S10" s="234"/>
      <c r="T10" s="234"/>
      <c r="U10" s="234"/>
      <c r="V10" s="232"/>
      <c r="W10" s="232"/>
      <c r="X10" s="223"/>
      <c r="Y10" s="222"/>
      <c r="Z10" s="223"/>
      <c r="AA10" s="222"/>
      <c r="AB10" s="234"/>
      <c r="AC10" s="234"/>
      <c r="AD10" s="232"/>
      <c r="AE10" s="232"/>
      <c r="AF10" s="232"/>
      <c r="AG10" s="234"/>
      <c r="AH10" s="234"/>
      <c r="AI10" s="234"/>
      <c r="AJ10" s="232"/>
      <c r="AK10" s="232"/>
      <c r="AL10" s="223"/>
      <c r="AM10" t="s">
        <v>423</v>
      </c>
      <c r="AP10" s="206" t="s">
        <v>543</v>
      </c>
      <c r="AQ10" s="199"/>
      <c r="AR10" s="207" t="s">
        <v>453</v>
      </c>
      <c r="AS10" s="200"/>
      <c r="AT10" s="201"/>
      <c r="AU10" s="200"/>
      <c r="AV10" s="201"/>
      <c r="AW10" s="200"/>
      <c r="AX10" s="201"/>
      <c r="AY10" s="200"/>
      <c r="AZ10" s="201"/>
      <c r="BA10" s="200"/>
      <c r="BB10" s="201"/>
      <c r="BC10" s="200"/>
      <c r="BD10" s="201"/>
      <c r="BE10" s="200"/>
      <c r="BF10" s="202"/>
      <c r="BG10" s="203"/>
    </row>
    <row r="11" spans="2:59" outlineLevel="2" x14ac:dyDescent="0.25">
      <c r="B11" s="198" t="s">
        <v>424</v>
      </c>
      <c r="C11" s="233">
        <v>1</v>
      </c>
      <c r="D11" s="232"/>
      <c r="E11" s="232"/>
      <c r="F11" s="232"/>
      <c r="G11" s="234"/>
      <c r="H11" s="234">
        <v>272</v>
      </c>
      <c r="I11" s="234"/>
      <c r="J11" s="232"/>
      <c r="K11" s="232"/>
      <c r="L11" s="232"/>
      <c r="M11" s="234"/>
      <c r="N11" s="234">
        <v>436</v>
      </c>
      <c r="O11" s="234"/>
      <c r="P11" s="232"/>
      <c r="Q11" s="232"/>
      <c r="R11" s="232"/>
      <c r="S11" s="234"/>
      <c r="T11" s="234"/>
      <c r="U11" s="234"/>
      <c r="V11" s="232"/>
      <c r="W11" s="232"/>
      <c r="X11" s="223"/>
      <c r="Y11" s="222"/>
      <c r="Z11" s="221">
        <v>1250.5</v>
      </c>
      <c r="AA11" s="222"/>
      <c r="AB11" s="234"/>
      <c r="AC11" s="234"/>
      <c r="AD11" s="232"/>
      <c r="AE11" s="232"/>
      <c r="AF11" s="232"/>
      <c r="AG11" s="234"/>
      <c r="AH11" s="234"/>
      <c r="AI11" s="234"/>
      <c r="AJ11" s="232"/>
      <c r="AK11" s="232"/>
      <c r="AL11" s="223"/>
      <c r="AM11" t="s">
        <v>424</v>
      </c>
      <c r="AP11" s="198" t="s">
        <v>529</v>
      </c>
      <c r="AQ11" s="199"/>
      <c r="AR11" s="233">
        <v>1</v>
      </c>
      <c r="AS11" s="200">
        <v>3312</v>
      </c>
      <c r="AT11" s="201">
        <v>1200</v>
      </c>
      <c r="AU11" s="200">
        <v>1574</v>
      </c>
      <c r="AV11" s="201">
        <v>786.48686181535004</v>
      </c>
      <c r="AW11" s="200">
        <v>262.69098440595201</v>
      </c>
      <c r="AX11" s="201">
        <v>806.85837484127944</v>
      </c>
      <c r="AY11" s="200">
        <v>826.64375933225631</v>
      </c>
      <c r="AZ11" s="201">
        <v>613.65524823425994</v>
      </c>
      <c r="BA11" s="200">
        <v>1049.6483068162927</v>
      </c>
      <c r="BB11" s="201">
        <v>579.64056365482281</v>
      </c>
      <c r="BC11" s="200">
        <v>1672.50649055184</v>
      </c>
      <c r="BD11" s="201">
        <v>1390.53746046009</v>
      </c>
      <c r="BE11" s="200">
        <v>1039.6552482342599</v>
      </c>
      <c r="BF11" s="208">
        <f>(AT11*AT$7+AX11*AX$7+AW11*AW$7)/SUM(AT$7,AW$7,AX$7)</f>
        <v>951.39023277684373</v>
      </c>
      <c r="BG11" s="209">
        <f>AY11</f>
        <v>826.64375933225631</v>
      </c>
    </row>
    <row r="12" spans="2:59" outlineLevel="2" x14ac:dyDescent="0.25">
      <c r="B12" s="198" t="s">
        <v>507</v>
      </c>
      <c r="C12" s="233">
        <v>1</v>
      </c>
      <c r="D12" s="232">
        <v>977</v>
      </c>
      <c r="E12" s="232"/>
      <c r="F12" s="232">
        <v>970</v>
      </c>
      <c r="G12" s="234"/>
      <c r="H12" s="234"/>
      <c r="I12" s="234"/>
      <c r="J12" s="232">
        <v>1536</v>
      </c>
      <c r="K12" s="232"/>
      <c r="L12" s="232">
        <v>1614</v>
      </c>
      <c r="M12" s="234"/>
      <c r="N12" s="234"/>
      <c r="O12" s="234"/>
      <c r="P12" s="232"/>
      <c r="Q12" s="232"/>
      <c r="R12" s="232"/>
      <c r="S12" s="234"/>
      <c r="T12" s="234"/>
      <c r="U12" s="234"/>
      <c r="V12" s="232"/>
      <c r="W12" s="232"/>
      <c r="X12" s="223"/>
      <c r="Y12" s="222"/>
      <c r="Z12" s="223"/>
      <c r="AA12" s="222"/>
      <c r="AB12" s="234"/>
      <c r="AC12" s="234"/>
      <c r="AD12" s="232"/>
      <c r="AE12" s="232"/>
      <c r="AF12" s="232"/>
      <c r="AG12" s="234"/>
      <c r="AH12" s="234"/>
      <c r="AI12" s="234"/>
      <c r="AJ12" s="232"/>
      <c r="AK12" s="232"/>
      <c r="AL12" s="223"/>
      <c r="AM12" t="s">
        <v>507</v>
      </c>
      <c r="AP12" s="198" t="s">
        <v>530</v>
      </c>
      <c r="AQ12" s="199"/>
      <c r="AR12" s="233">
        <v>1</v>
      </c>
      <c r="AS12" s="200"/>
      <c r="AT12" s="201"/>
      <c r="AU12" s="200">
        <v>426</v>
      </c>
      <c r="AV12" s="201">
        <v>707</v>
      </c>
      <c r="AW12" s="200"/>
      <c r="AX12" s="201"/>
      <c r="AY12" s="200"/>
      <c r="AZ12" s="201">
        <v>426</v>
      </c>
      <c r="BA12" s="200"/>
      <c r="BB12" s="201"/>
      <c r="BC12" s="200"/>
      <c r="BD12" s="201"/>
      <c r="BE12" s="200"/>
      <c r="BF12" s="208"/>
      <c r="BG12" s="209"/>
    </row>
    <row r="13" spans="2:59" outlineLevel="2" x14ac:dyDescent="0.25">
      <c r="B13" s="198" t="s">
        <v>506</v>
      </c>
      <c r="C13" s="233">
        <v>0.85</v>
      </c>
      <c r="D13" s="232"/>
      <c r="E13" s="232">
        <v>299</v>
      </c>
      <c r="F13" s="232"/>
      <c r="G13" s="234"/>
      <c r="H13" s="234"/>
      <c r="I13" s="234"/>
      <c r="J13" s="232"/>
      <c r="K13" s="232">
        <v>139</v>
      </c>
      <c r="L13" s="232"/>
      <c r="M13" s="234"/>
      <c r="N13" s="234"/>
      <c r="O13" s="234"/>
      <c r="P13" s="232"/>
      <c r="Q13" s="232"/>
      <c r="R13" s="232"/>
      <c r="S13" s="234"/>
      <c r="T13" s="234"/>
      <c r="U13" s="234"/>
      <c r="V13" s="232"/>
      <c r="W13" s="232"/>
      <c r="X13" s="223"/>
      <c r="Y13" s="220">
        <v>244</v>
      </c>
      <c r="Z13" s="221">
        <v>244</v>
      </c>
      <c r="AA13" s="220"/>
      <c r="AB13" s="234"/>
      <c r="AC13" s="234"/>
      <c r="AD13" s="232"/>
      <c r="AE13" s="232"/>
      <c r="AF13" s="232"/>
      <c r="AG13" s="234"/>
      <c r="AH13" s="234"/>
      <c r="AI13" s="234"/>
      <c r="AJ13" s="232"/>
      <c r="AK13" s="232"/>
      <c r="AL13" s="223"/>
      <c r="AM13" t="s">
        <v>506</v>
      </c>
      <c r="AP13" s="198" t="s">
        <v>531</v>
      </c>
      <c r="AQ13" s="199"/>
      <c r="AR13" s="233">
        <v>1</v>
      </c>
      <c r="AS13" s="200">
        <v>543</v>
      </c>
      <c r="AT13" s="201"/>
      <c r="AU13" s="200"/>
      <c r="AV13" s="201"/>
      <c r="AW13" s="200"/>
      <c r="AX13" s="201"/>
      <c r="AY13" s="200"/>
      <c r="AZ13" s="201"/>
      <c r="BA13" s="200"/>
      <c r="BB13" s="201"/>
      <c r="BC13" s="200"/>
      <c r="BD13" s="201"/>
      <c r="BE13" s="200"/>
      <c r="BF13" s="208"/>
      <c r="BG13" s="209"/>
    </row>
    <row r="14" spans="2:59" outlineLevel="2" x14ac:dyDescent="0.25">
      <c r="B14" s="198" t="s">
        <v>505</v>
      </c>
      <c r="C14" s="233">
        <v>1</v>
      </c>
      <c r="D14" s="232">
        <v>1953</v>
      </c>
      <c r="E14" s="232">
        <v>2053</v>
      </c>
      <c r="F14" s="232">
        <v>1806</v>
      </c>
      <c r="G14" s="234"/>
      <c r="H14" s="234"/>
      <c r="I14" s="234"/>
      <c r="J14" s="232">
        <v>1313</v>
      </c>
      <c r="K14" s="232">
        <v>1390</v>
      </c>
      <c r="L14" s="232">
        <v>1235</v>
      </c>
      <c r="M14" s="234"/>
      <c r="N14" s="234"/>
      <c r="O14" s="234"/>
      <c r="P14" s="232">
        <v>1548</v>
      </c>
      <c r="Q14" s="232">
        <v>1662</v>
      </c>
      <c r="R14" s="232">
        <v>1548</v>
      </c>
      <c r="S14" s="234">
        <v>932</v>
      </c>
      <c r="T14" s="234">
        <v>995</v>
      </c>
      <c r="U14" s="234">
        <v>951</v>
      </c>
      <c r="V14" s="232">
        <v>926</v>
      </c>
      <c r="W14" s="232">
        <v>978</v>
      </c>
      <c r="X14" s="223">
        <v>924</v>
      </c>
      <c r="Y14" s="222"/>
      <c r="Z14" s="223"/>
      <c r="AA14" s="222">
        <v>939</v>
      </c>
      <c r="AB14" s="234">
        <v>1280</v>
      </c>
      <c r="AC14" s="234">
        <v>1530</v>
      </c>
      <c r="AD14" s="232">
        <v>1068</v>
      </c>
      <c r="AE14" s="232">
        <v>1457</v>
      </c>
      <c r="AF14" s="232">
        <v>1662</v>
      </c>
      <c r="AG14" s="234">
        <v>638</v>
      </c>
      <c r="AH14" s="234">
        <v>871</v>
      </c>
      <c r="AI14" s="234">
        <v>978</v>
      </c>
      <c r="AJ14" s="232">
        <v>1307</v>
      </c>
      <c r="AK14" s="232">
        <v>1782</v>
      </c>
      <c r="AL14" s="223">
        <v>2020</v>
      </c>
      <c r="AM14" t="s">
        <v>505</v>
      </c>
      <c r="AP14" s="198" t="s">
        <v>535</v>
      </c>
      <c r="AQ14" s="199"/>
      <c r="AR14" s="233">
        <v>0.85</v>
      </c>
      <c r="AS14" s="200"/>
      <c r="AT14" s="201"/>
      <c r="AU14" s="200"/>
      <c r="AV14" s="201">
        <v>236.67855598613721</v>
      </c>
      <c r="AW14" s="200"/>
      <c r="AX14" s="201"/>
      <c r="AY14" s="200"/>
      <c r="AZ14" s="201"/>
      <c r="BA14" s="200"/>
      <c r="BB14" s="201"/>
      <c r="BC14" s="200"/>
      <c r="BD14" s="201"/>
      <c r="BE14" s="200"/>
      <c r="BF14" s="208"/>
      <c r="BG14" s="209"/>
    </row>
    <row r="15" spans="2:59" outlineLevel="2" x14ac:dyDescent="0.25">
      <c r="B15" s="198" t="s">
        <v>563</v>
      </c>
      <c r="C15" s="233">
        <v>1</v>
      </c>
      <c r="D15" s="232">
        <v>345</v>
      </c>
      <c r="E15" s="232">
        <v>362</v>
      </c>
      <c r="F15" s="232">
        <v>319</v>
      </c>
      <c r="G15" s="234"/>
      <c r="H15" s="234"/>
      <c r="I15" s="234"/>
      <c r="J15" s="232">
        <v>232</v>
      </c>
      <c r="K15" s="232">
        <v>245</v>
      </c>
      <c r="L15" s="232">
        <v>218</v>
      </c>
      <c r="M15" s="234"/>
      <c r="N15" s="234"/>
      <c r="O15" s="234"/>
      <c r="P15" s="232">
        <v>273</v>
      </c>
      <c r="Q15" s="232">
        <v>293</v>
      </c>
      <c r="R15" s="232">
        <v>273</v>
      </c>
      <c r="S15" s="234">
        <v>165</v>
      </c>
      <c r="T15" s="234">
        <v>176</v>
      </c>
      <c r="U15" s="234">
        <v>168</v>
      </c>
      <c r="V15" s="232">
        <v>163</v>
      </c>
      <c r="W15" s="232">
        <v>173</v>
      </c>
      <c r="X15" s="223">
        <v>163</v>
      </c>
      <c r="Y15" s="222">
        <v>782.99999999999989</v>
      </c>
      <c r="Z15" s="223">
        <v>782.99999999999989</v>
      </c>
      <c r="AA15" s="222">
        <v>235</v>
      </c>
      <c r="AB15" s="234">
        <v>320</v>
      </c>
      <c r="AC15" s="234">
        <v>283</v>
      </c>
      <c r="AD15" s="232">
        <v>267</v>
      </c>
      <c r="AE15" s="232">
        <v>364</v>
      </c>
      <c r="AF15" s="232">
        <v>415</v>
      </c>
      <c r="AG15" s="234">
        <v>159</v>
      </c>
      <c r="AH15" s="234">
        <v>218</v>
      </c>
      <c r="AI15" s="234">
        <v>245</v>
      </c>
      <c r="AJ15" s="232">
        <v>327</v>
      </c>
      <c r="AK15" s="232">
        <v>446</v>
      </c>
      <c r="AL15" s="223">
        <v>505</v>
      </c>
      <c r="AM15" t="s">
        <v>563</v>
      </c>
      <c r="AP15" s="198" t="s">
        <v>534</v>
      </c>
      <c r="AQ15" s="199"/>
      <c r="AR15" s="233">
        <v>1</v>
      </c>
      <c r="AS15" s="200">
        <v>417.5</v>
      </c>
      <c r="AT15" s="201">
        <v>250</v>
      </c>
      <c r="AU15" s="200">
        <v>700</v>
      </c>
      <c r="AV15" s="201">
        <v>2089.9186867547151</v>
      </c>
      <c r="AW15" s="200"/>
      <c r="AX15" s="201">
        <v>148.25672031204095</v>
      </c>
      <c r="AY15" s="200">
        <v>315.82638263311139</v>
      </c>
      <c r="AZ15" s="201">
        <v>1270.24890336371</v>
      </c>
      <c r="BA15" s="200"/>
      <c r="BB15" s="201">
        <v>0</v>
      </c>
      <c r="BC15" s="200">
        <v>2115.9077118980499</v>
      </c>
      <c r="BD15" s="201">
        <v>1860.8262874502</v>
      </c>
      <c r="BE15" s="200">
        <v>1391.3037356936829</v>
      </c>
      <c r="BF15" s="208">
        <f>(AT15*AT$7+AX15*AX$7+AW15*AW$7)/SUM(AT$7,AW$7,AX$7)</f>
        <v>185.19857647570211</v>
      </c>
      <c r="BG15" s="209">
        <f>AY15</f>
        <v>315.82638263311139</v>
      </c>
    </row>
    <row r="16" spans="2:59" outlineLevel="2" x14ac:dyDescent="0.25">
      <c r="B16" s="198" t="s">
        <v>508</v>
      </c>
      <c r="C16" s="233">
        <v>0.86</v>
      </c>
      <c r="D16" s="232"/>
      <c r="E16" s="232"/>
      <c r="F16" s="232"/>
      <c r="G16" s="234">
        <v>861</v>
      </c>
      <c r="H16" s="234">
        <v>654</v>
      </c>
      <c r="I16" s="234"/>
      <c r="J16" s="232"/>
      <c r="K16" s="232"/>
      <c r="L16" s="232"/>
      <c r="M16" s="234">
        <v>1084</v>
      </c>
      <c r="N16" s="234">
        <v>1014</v>
      </c>
      <c r="O16" s="234"/>
      <c r="P16" s="232">
        <v>188</v>
      </c>
      <c r="Q16" s="232">
        <v>184</v>
      </c>
      <c r="R16" s="232"/>
      <c r="S16" s="234"/>
      <c r="T16" s="234"/>
      <c r="U16" s="234"/>
      <c r="V16" s="232"/>
      <c r="W16" s="232"/>
      <c r="X16" s="223"/>
      <c r="Y16" s="220">
        <f>2180.75-(Y18*U62*C18/C16)</f>
        <v>1824.2423144269196</v>
      </c>
      <c r="Z16" s="221">
        <f>1516-(Y18*U62*C18/C16)</f>
        <v>1159.4923144269196</v>
      </c>
      <c r="AA16" s="220">
        <v>196</v>
      </c>
      <c r="AB16" s="234">
        <v>165</v>
      </c>
      <c r="AC16" s="234">
        <v>154</v>
      </c>
      <c r="AD16" s="232">
        <v>223</v>
      </c>
      <c r="AE16" s="232">
        <v>188</v>
      </c>
      <c r="AF16" s="232">
        <v>175</v>
      </c>
      <c r="AG16" s="234"/>
      <c r="AH16" s="234"/>
      <c r="AI16" s="234"/>
      <c r="AJ16" s="232"/>
      <c r="AK16" s="232"/>
      <c r="AL16" s="223"/>
      <c r="AM16" t="s">
        <v>508</v>
      </c>
      <c r="AP16" s="198" t="s">
        <v>532</v>
      </c>
      <c r="AQ16" s="199"/>
      <c r="AR16" s="233">
        <v>0.86</v>
      </c>
      <c r="AS16" s="200">
        <v>1280.5</v>
      </c>
      <c r="AT16" s="201">
        <v>250</v>
      </c>
      <c r="AU16" s="200">
        <v>50</v>
      </c>
      <c r="AV16" s="201">
        <v>40</v>
      </c>
      <c r="AW16" s="200">
        <v>544.72412968182198</v>
      </c>
      <c r="AX16" s="201">
        <v>470.02657462822322</v>
      </c>
      <c r="AY16" s="200">
        <v>352.21214602608444</v>
      </c>
      <c r="AZ16" s="201"/>
      <c r="BA16" s="200">
        <v>761.89322230651851</v>
      </c>
      <c r="BB16" s="201">
        <v>665.02406890599786</v>
      </c>
      <c r="BC16" s="200">
        <v>54.611532090800402</v>
      </c>
      <c r="BD16" s="201">
        <v>304.94242553949198</v>
      </c>
      <c r="BE16" s="200">
        <v>0</v>
      </c>
      <c r="BF16" s="208">
        <f>(AT16*AT$7+AX16*AX$7+AW16*AW$7)/SUM(AT$7,AW$7,AX$7)</f>
        <v>374.83221164758027</v>
      </c>
      <c r="BG16" s="209">
        <f>AY16</f>
        <v>352.21214602608444</v>
      </c>
    </row>
    <row r="17" spans="2:59" outlineLevel="2" x14ac:dyDescent="0.25">
      <c r="B17" s="198" t="s">
        <v>425</v>
      </c>
      <c r="C17" s="233">
        <v>0.85</v>
      </c>
      <c r="D17" s="232"/>
      <c r="E17" s="232"/>
      <c r="F17" s="232"/>
      <c r="G17" s="234">
        <v>68</v>
      </c>
      <c r="H17" s="234">
        <v>78</v>
      </c>
      <c r="I17" s="234"/>
      <c r="J17" s="232"/>
      <c r="K17" s="232"/>
      <c r="L17" s="232"/>
      <c r="M17" s="234">
        <v>124</v>
      </c>
      <c r="N17" s="234">
        <v>32</v>
      </c>
      <c r="O17" s="234"/>
      <c r="P17" s="232">
        <v>4</v>
      </c>
      <c r="Q17" s="232">
        <v>3</v>
      </c>
      <c r="R17" s="232"/>
      <c r="S17" s="234"/>
      <c r="T17" s="234"/>
      <c r="U17" s="234"/>
      <c r="V17" s="232"/>
      <c r="W17" s="232"/>
      <c r="X17" s="223"/>
      <c r="Y17" s="222"/>
      <c r="Z17" s="223"/>
      <c r="AA17" s="222"/>
      <c r="AB17" s="234"/>
      <c r="AC17" s="234"/>
      <c r="AD17" s="232"/>
      <c r="AE17" s="232"/>
      <c r="AF17" s="232"/>
      <c r="AG17" s="234"/>
      <c r="AH17" s="234"/>
      <c r="AI17" s="234"/>
      <c r="AJ17" s="232"/>
      <c r="AK17" s="232"/>
      <c r="AL17" s="223"/>
      <c r="AM17" t="s">
        <v>425</v>
      </c>
      <c r="AP17" s="198" t="s">
        <v>533</v>
      </c>
      <c r="AQ17" s="199"/>
      <c r="AR17" s="233">
        <v>0.9</v>
      </c>
      <c r="AS17" s="200">
        <v>1350.5</v>
      </c>
      <c r="AT17" s="201"/>
      <c r="AU17" s="200"/>
      <c r="AV17" s="201"/>
      <c r="AW17" s="200">
        <v>151.88273877697699</v>
      </c>
      <c r="AX17" s="201">
        <v>76.165488229258244</v>
      </c>
      <c r="AY17" s="200">
        <v>76.642835336930261</v>
      </c>
      <c r="AZ17" s="201"/>
      <c r="BA17" s="200"/>
      <c r="BB17" s="201">
        <v>70.258860306326625</v>
      </c>
      <c r="BC17" s="200">
        <v>0</v>
      </c>
      <c r="BD17" s="201">
        <v>0</v>
      </c>
      <c r="BE17" s="200">
        <v>0</v>
      </c>
      <c r="BF17" s="208">
        <f>(AT17*AT$7+AX17*AX$7+AW17*AW$7)/SUM(AT$7,AW$7,AX$7)</f>
        <v>46.315645191807654</v>
      </c>
      <c r="BG17" s="209">
        <f>AY17</f>
        <v>76.642835336930261</v>
      </c>
    </row>
    <row r="18" spans="2:59" outlineLevel="2" x14ac:dyDescent="0.25">
      <c r="B18" s="198" t="s">
        <v>426</v>
      </c>
      <c r="C18" s="233">
        <v>0.9</v>
      </c>
      <c r="D18" s="232"/>
      <c r="E18" s="232"/>
      <c r="F18" s="232"/>
      <c r="G18" s="234"/>
      <c r="H18" s="234"/>
      <c r="I18" s="234">
        <v>991</v>
      </c>
      <c r="J18" s="232"/>
      <c r="K18" s="232"/>
      <c r="L18" s="232"/>
      <c r="M18" s="234">
        <v>80</v>
      </c>
      <c r="N18" s="234">
        <v>79</v>
      </c>
      <c r="O18" s="234">
        <v>1279</v>
      </c>
      <c r="P18" s="232">
        <v>119</v>
      </c>
      <c r="Q18" s="232">
        <v>119</v>
      </c>
      <c r="R18" s="232">
        <v>294</v>
      </c>
      <c r="S18" s="234"/>
      <c r="T18" s="234"/>
      <c r="U18" s="234"/>
      <c r="V18" s="232"/>
      <c r="W18" s="232"/>
      <c r="X18" s="223"/>
      <c r="Y18" s="220">
        <f>1244*(1+U62)</f>
        <v>1522.3713939465354</v>
      </c>
      <c r="Z18" s="221">
        <f>1966*(1+U62)</f>
        <v>2405.9342126196852</v>
      </c>
      <c r="AA18" s="220">
        <v>128</v>
      </c>
      <c r="AB18" s="234">
        <v>108</v>
      </c>
      <c r="AC18" s="234">
        <v>102</v>
      </c>
      <c r="AD18" s="232">
        <v>146</v>
      </c>
      <c r="AE18" s="232">
        <v>123</v>
      </c>
      <c r="AF18" s="232">
        <v>116</v>
      </c>
      <c r="AG18" s="234"/>
      <c r="AH18" s="234"/>
      <c r="AI18" s="234"/>
      <c r="AJ18" s="232"/>
      <c r="AK18" s="232"/>
      <c r="AL18" s="223"/>
      <c r="AM18" t="s">
        <v>426</v>
      </c>
      <c r="AP18" s="198" t="s">
        <v>537</v>
      </c>
      <c r="AQ18" s="199"/>
      <c r="AR18" s="233">
        <v>0.9</v>
      </c>
      <c r="AS18" s="200"/>
      <c r="AT18" s="201">
        <v>14</v>
      </c>
      <c r="AU18" s="200"/>
      <c r="AV18" s="201"/>
      <c r="AW18" s="200">
        <v>13.5075892857143</v>
      </c>
      <c r="AX18" s="201">
        <v>13.575224933331304</v>
      </c>
      <c r="AY18" s="200"/>
      <c r="AZ18" s="201"/>
      <c r="BA18" s="200"/>
      <c r="BB18" s="201"/>
      <c r="BC18" s="200"/>
      <c r="BD18" s="201"/>
      <c r="BE18" s="200"/>
      <c r="BF18" s="208">
        <f>(AT18*AT$7+AX18*AX$7+AW18*AW$7)/SUM(AT$7,AW$7,AX$7)</f>
        <v>13.763769256243801</v>
      </c>
      <c r="BG18" s="209"/>
    </row>
    <row r="19" spans="2:59" outlineLevel="1" x14ac:dyDescent="0.25">
      <c r="B19" s="198" t="s">
        <v>415</v>
      </c>
      <c r="C19" s="233">
        <v>1</v>
      </c>
      <c r="D19" s="232">
        <v>34</v>
      </c>
      <c r="E19" s="232">
        <v>34</v>
      </c>
      <c r="F19" s="232">
        <v>34</v>
      </c>
      <c r="G19" s="234">
        <v>12</v>
      </c>
      <c r="H19" s="234">
        <v>12</v>
      </c>
      <c r="I19" s="234">
        <v>14</v>
      </c>
      <c r="J19" s="232">
        <v>33</v>
      </c>
      <c r="K19" s="232">
        <v>33</v>
      </c>
      <c r="L19" s="232">
        <v>33</v>
      </c>
      <c r="M19" s="234">
        <v>22</v>
      </c>
      <c r="N19" s="234">
        <v>22</v>
      </c>
      <c r="O19" s="234">
        <v>21</v>
      </c>
      <c r="P19" s="232">
        <v>35</v>
      </c>
      <c r="Q19" s="232">
        <v>35</v>
      </c>
      <c r="R19" s="232">
        <v>35</v>
      </c>
      <c r="S19" s="234">
        <v>26</v>
      </c>
      <c r="T19" s="234">
        <v>26</v>
      </c>
      <c r="U19" s="234">
        <v>24</v>
      </c>
      <c r="V19" s="232">
        <v>26</v>
      </c>
      <c r="W19" s="232">
        <v>26</v>
      </c>
      <c r="X19" s="223">
        <v>26</v>
      </c>
      <c r="Y19" s="245">
        <f>SUM(Y8:Y18)*0.01</f>
        <v>50.85113708373455</v>
      </c>
      <c r="Z19" s="246">
        <f>SUM(Z8:Z18)*0.01</f>
        <v>65.940765270466045</v>
      </c>
      <c r="AA19" s="295">
        <v>30</v>
      </c>
      <c r="AB19" s="234">
        <v>30</v>
      </c>
      <c r="AC19" s="234">
        <v>30</v>
      </c>
      <c r="AD19" s="232">
        <v>35</v>
      </c>
      <c r="AE19" s="232">
        <v>35</v>
      </c>
      <c r="AF19" s="232">
        <v>35</v>
      </c>
      <c r="AG19" s="234">
        <v>26</v>
      </c>
      <c r="AH19" s="234">
        <v>26</v>
      </c>
      <c r="AI19" s="234">
        <v>26</v>
      </c>
      <c r="AJ19" s="232">
        <v>28</v>
      </c>
      <c r="AK19" s="232">
        <v>28</v>
      </c>
      <c r="AL19" s="223">
        <v>28</v>
      </c>
      <c r="AM19" t="s">
        <v>415</v>
      </c>
      <c r="AP19" s="244" t="s">
        <v>446</v>
      </c>
      <c r="AQ19" s="199"/>
      <c r="AR19" s="233">
        <v>1</v>
      </c>
      <c r="AS19" s="200"/>
      <c r="AT19" s="201"/>
      <c r="AU19" s="200"/>
      <c r="AV19" s="201"/>
      <c r="AW19" s="200"/>
      <c r="AX19" s="201"/>
      <c r="AY19" s="200"/>
      <c r="AZ19" s="201"/>
      <c r="BA19" s="200"/>
      <c r="BB19" s="201"/>
      <c r="BC19" s="200"/>
      <c r="BD19" s="201"/>
      <c r="BE19" s="200"/>
      <c r="BF19" s="242">
        <f>SUM(BF11:BF18)*0.006</f>
        <v>9.4290026120890662</v>
      </c>
      <c r="BG19" s="243">
        <f>SUM(BG11:BG18)*0.006</f>
        <v>9.427950739970294</v>
      </c>
    </row>
    <row r="20" spans="2:59" outlineLevel="1" x14ac:dyDescent="0.25">
      <c r="B20" s="198"/>
      <c r="C20" s="233"/>
      <c r="D20" s="232"/>
      <c r="E20" s="232"/>
      <c r="F20" s="232"/>
      <c r="G20" s="234"/>
      <c r="H20" s="234"/>
      <c r="I20" s="234"/>
      <c r="J20" s="232"/>
      <c r="K20" s="232"/>
      <c r="L20" s="232"/>
      <c r="M20" s="234"/>
      <c r="N20" s="234"/>
      <c r="O20" s="234"/>
      <c r="P20" s="232"/>
      <c r="Q20" s="232"/>
      <c r="R20" s="232"/>
      <c r="S20" s="234"/>
      <c r="T20" s="234"/>
      <c r="U20" s="234"/>
      <c r="V20" s="232"/>
      <c r="W20" s="232"/>
      <c r="X20" s="223"/>
      <c r="Y20" s="222"/>
      <c r="Z20" s="223"/>
      <c r="AA20" s="222"/>
      <c r="AB20" s="234"/>
      <c r="AC20" s="234"/>
      <c r="AD20" s="232"/>
      <c r="AE20" s="232"/>
      <c r="AF20" s="232"/>
      <c r="AG20" s="234"/>
      <c r="AH20" s="234"/>
      <c r="AI20" s="234"/>
      <c r="AJ20" s="232"/>
      <c r="AK20" s="232"/>
      <c r="AL20" s="223"/>
      <c r="AP20" s="198" t="s">
        <v>536</v>
      </c>
      <c r="AQ20" s="199"/>
      <c r="AR20" s="252">
        <v>0.95</v>
      </c>
      <c r="AS20" s="200"/>
      <c r="AT20" s="201">
        <v>40</v>
      </c>
      <c r="AU20" s="200"/>
      <c r="AV20" s="201"/>
      <c r="AW20" s="200">
        <v>39.852222222222203</v>
      </c>
      <c r="AX20" s="201">
        <v>39.87786647807954</v>
      </c>
      <c r="AY20" s="200"/>
      <c r="AZ20" s="201"/>
      <c r="BA20" s="200"/>
      <c r="BB20" s="201"/>
      <c r="BC20" s="200"/>
      <c r="BD20" s="201"/>
      <c r="BE20" s="200"/>
      <c r="BF20" s="208">
        <f>(AT20*AT$7+AX20*AX$7+AW20*AW$7)/SUM(AT$7,AW$7,AX$7)</f>
        <v>39.931692014500904</v>
      </c>
      <c r="BG20" s="209"/>
    </row>
    <row r="21" spans="2:59" x14ac:dyDescent="0.25">
      <c r="B21" s="210" t="s">
        <v>297</v>
      </c>
      <c r="C21" s="235"/>
      <c r="D21" s="236">
        <f>SUM(D7:D19)</f>
        <v>3968</v>
      </c>
      <c r="E21" s="236">
        <f t="shared" ref="E21:AC21" si="0">SUM(E7:E19)</f>
        <v>4002</v>
      </c>
      <c r="F21" s="236">
        <f>SUM(F7:F19)</f>
        <v>3899</v>
      </c>
      <c r="G21" s="237">
        <f t="shared" si="0"/>
        <v>2170</v>
      </c>
      <c r="H21" s="237">
        <f t="shared" si="0"/>
        <v>2181</v>
      </c>
      <c r="I21" s="237">
        <f t="shared" si="0"/>
        <v>2334</v>
      </c>
      <c r="J21" s="236">
        <f t="shared" si="0"/>
        <v>3114</v>
      </c>
      <c r="K21" s="236">
        <f t="shared" si="0"/>
        <v>3042</v>
      </c>
      <c r="L21" s="236">
        <f t="shared" si="0"/>
        <v>3100</v>
      </c>
      <c r="M21" s="237">
        <f t="shared" si="0"/>
        <v>3429</v>
      </c>
      <c r="N21" s="237">
        <f t="shared" si="0"/>
        <v>3451</v>
      </c>
      <c r="O21" s="237">
        <f t="shared" si="0"/>
        <v>3430</v>
      </c>
      <c r="P21" s="236">
        <f t="shared" si="0"/>
        <v>4830</v>
      </c>
      <c r="Q21" s="236">
        <f t="shared" si="0"/>
        <v>4857</v>
      </c>
      <c r="R21" s="236">
        <f t="shared" si="0"/>
        <v>4840</v>
      </c>
      <c r="S21" s="237">
        <f t="shared" si="0"/>
        <v>3691</v>
      </c>
      <c r="T21" s="237">
        <f t="shared" si="0"/>
        <v>3699</v>
      </c>
      <c r="U21" s="237">
        <f t="shared" si="0"/>
        <v>3544</v>
      </c>
      <c r="V21" s="236">
        <f t="shared" si="0"/>
        <v>3621</v>
      </c>
      <c r="W21" s="236">
        <f t="shared" si="0"/>
        <v>3636</v>
      </c>
      <c r="X21" s="225">
        <f t="shared" si="0"/>
        <v>3544</v>
      </c>
      <c r="Y21" s="224">
        <f t="shared" si="0"/>
        <v>8109.7148454571889</v>
      </c>
      <c r="Z21" s="225">
        <f t="shared" si="0"/>
        <v>8279.5672923170714</v>
      </c>
      <c r="AA21" s="224">
        <f t="shared" si="0"/>
        <v>4335</v>
      </c>
      <c r="AB21" s="237">
        <f t="shared" si="0"/>
        <v>4246</v>
      </c>
      <c r="AC21" s="237">
        <f t="shared" si="0"/>
        <v>4243</v>
      </c>
      <c r="AD21" s="236">
        <f>SUM(AD7:AD19)</f>
        <v>4929</v>
      </c>
      <c r="AE21" s="236">
        <f>SUM(AE7:AE19)</f>
        <v>4830</v>
      </c>
      <c r="AF21" s="236">
        <f>SUM(AF7:AF19)</f>
        <v>4839</v>
      </c>
      <c r="AG21" s="237">
        <f t="shared" ref="AG21:AI21" si="1">SUM(AG7:AG19)</f>
        <v>3706</v>
      </c>
      <c r="AH21" s="237">
        <f t="shared" si="1"/>
        <v>3621</v>
      </c>
      <c r="AI21" s="237">
        <f t="shared" si="1"/>
        <v>3588</v>
      </c>
      <c r="AJ21" s="236">
        <f>SUM(AJ7:AJ19)</f>
        <v>4764</v>
      </c>
      <c r="AK21" s="236">
        <f>SUM(AK7:AK19)</f>
        <v>4871</v>
      </c>
      <c r="AL21" s="225">
        <f>SUM(AL7:AL19)</f>
        <v>4969</v>
      </c>
      <c r="AP21" s="198" t="s">
        <v>538</v>
      </c>
      <c r="AQ21" s="199"/>
      <c r="AR21" s="252">
        <v>0.13</v>
      </c>
      <c r="AS21" s="200"/>
      <c r="AT21" s="201"/>
      <c r="AU21" s="200"/>
      <c r="AV21" s="201"/>
      <c r="AW21" s="200"/>
      <c r="AX21" s="201"/>
      <c r="AY21" s="200">
        <v>1874.9851705020715</v>
      </c>
      <c r="AZ21" s="201"/>
      <c r="BA21" s="200"/>
      <c r="BB21" s="201"/>
      <c r="BC21" s="200"/>
      <c r="BD21" s="201"/>
      <c r="BE21" s="200"/>
      <c r="BF21" s="208"/>
      <c r="BG21" s="209">
        <f>AY21</f>
        <v>1874.9851705020715</v>
      </c>
    </row>
    <row r="22" spans="2:59" x14ac:dyDescent="0.25">
      <c r="C22" s="303" t="s">
        <v>649</v>
      </c>
      <c r="D22" s="304">
        <f>SUM(D14:D15)/D21</f>
        <v>0.579133064516129</v>
      </c>
      <c r="E22" s="304">
        <f t="shared" ref="E22:AF22" si="2">SUM(E14:E15)/E21</f>
        <v>0.60344827586206895</v>
      </c>
      <c r="F22" s="304">
        <f t="shared" si="2"/>
        <v>0.54501154142087715</v>
      </c>
      <c r="G22" s="304">
        <f t="shared" si="2"/>
        <v>0</v>
      </c>
      <c r="H22" s="304">
        <f t="shared" si="2"/>
        <v>0</v>
      </c>
      <c r="I22" s="304">
        <f t="shared" si="2"/>
        <v>0</v>
      </c>
      <c r="J22" s="304">
        <f t="shared" si="2"/>
        <v>0.49614643545279385</v>
      </c>
      <c r="K22" s="304">
        <f t="shared" si="2"/>
        <v>0.53747534516765283</v>
      </c>
      <c r="L22" s="304">
        <f t="shared" si="2"/>
        <v>0.46870967741935482</v>
      </c>
      <c r="M22" s="304">
        <f t="shared" si="2"/>
        <v>0</v>
      </c>
      <c r="N22" s="304">
        <f t="shared" si="2"/>
        <v>0</v>
      </c>
      <c r="O22" s="304">
        <f t="shared" si="2"/>
        <v>0</v>
      </c>
      <c r="P22" s="304">
        <f t="shared" si="2"/>
        <v>0.37701863354037268</v>
      </c>
      <c r="Q22" s="304">
        <f t="shared" si="2"/>
        <v>0.40251183858348777</v>
      </c>
      <c r="R22" s="304">
        <f t="shared" si="2"/>
        <v>0.37623966942148762</v>
      </c>
      <c r="S22" s="304">
        <f t="shared" si="2"/>
        <v>0.29720942833920344</v>
      </c>
      <c r="T22" s="304">
        <f t="shared" si="2"/>
        <v>0.31657204649905379</v>
      </c>
      <c r="U22" s="304">
        <f t="shared" si="2"/>
        <v>0.31574492099322798</v>
      </c>
      <c r="V22" s="304">
        <f t="shared" si="2"/>
        <v>0.30074565037282519</v>
      </c>
      <c r="W22" s="304">
        <f t="shared" si="2"/>
        <v>0.31655665566556657</v>
      </c>
      <c r="X22" s="304">
        <f t="shared" si="2"/>
        <v>0.30671557562076751</v>
      </c>
      <c r="Y22" s="304">
        <f t="shared" si="2"/>
        <v>9.6550867067614871E-2</v>
      </c>
      <c r="Z22" s="304">
        <f t="shared" si="2"/>
        <v>9.457015956939871E-2</v>
      </c>
      <c r="AA22" s="304">
        <f t="shared" si="2"/>
        <v>0.27081891580161477</v>
      </c>
      <c r="AB22" s="304">
        <f t="shared" si="2"/>
        <v>0.37682524729156852</v>
      </c>
      <c r="AC22" s="304">
        <f t="shared" si="2"/>
        <v>0.42729201037002124</v>
      </c>
      <c r="AD22" s="304">
        <f t="shared" si="2"/>
        <v>0.27084601339013997</v>
      </c>
      <c r="AE22" s="304">
        <f t="shared" si="2"/>
        <v>0.37701863354037268</v>
      </c>
      <c r="AF22" s="304">
        <f t="shared" si="2"/>
        <v>0.42922091341186197</v>
      </c>
      <c r="AG22" s="304">
        <f t="shared" ref="AG22" si="3">SUM(AG14:AG15)/AG21</f>
        <v>0.21505666486778197</v>
      </c>
      <c r="AH22" s="304">
        <f t="shared" ref="AH22" si="4">SUM(AH14:AH15)/AH21</f>
        <v>0.30074565037282519</v>
      </c>
      <c r="AI22" s="304">
        <f t="shared" ref="AI22" si="5">SUM(AI14:AI15)/AI21</f>
        <v>0.34085841694537344</v>
      </c>
      <c r="AJ22" s="304">
        <f t="shared" ref="AJ22" si="6">SUM(AJ14:AJ15)/AJ21</f>
        <v>0.34298908480268681</v>
      </c>
      <c r="AK22" s="304">
        <f t="shared" ref="AK22" si="7">SUM(AK14:AK15)/AK21</f>
        <v>0.45740094436460688</v>
      </c>
      <c r="AL22" s="304">
        <f t="shared" ref="AL22" si="8">SUM(AL14:AL15)/AL21</f>
        <v>0.50815053330650028</v>
      </c>
      <c r="AP22" s="210" t="s">
        <v>544</v>
      </c>
      <c r="AQ22" s="211"/>
      <c r="AR22" s="211"/>
      <c r="AS22" s="212">
        <f t="shared" ref="AS22:BG22" si="9">SUM(AS11:AS18)</f>
        <v>6903.5</v>
      </c>
      <c r="AT22" s="213">
        <f t="shared" si="9"/>
        <v>1714</v>
      </c>
      <c r="AU22" s="212">
        <f t="shared" si="9"/>
        <v>2750</v>
      </c>
      <c r="AV22" s="213">
        <f t="shared" si="9"/>
        <v>3860.0841045562024</v>
      </c>
      <c r="AW22" s="212">
        <f t="shared" si="9"/>
        <v>972.8054421504653</v>
      </c>
      <c r="AX22" s="213">
        <f t="shared" si="9"/>
        <v>1514.8823829441333</v>
      </c>
      <c r="AY22" s="212">
        <f t="shared" si="9"/>
        <v>1571.3251233283822</v>
      </c>
      <c r="AZ22" s="213">
        <f t="shared" si="9"/>
        <v>2309.9041515979698</v>
      </c>
      <c r="BA22" s="212">
        <f t="shared" si="9"/>
        <v>1811.5415291228112</v>
      </c>
      <c r="BB22" s="213">
        <f t="shared" si="9"/>
        <v>1314.9234928671474</v>
      </c>
      <c r="BC22" s="212">
        <f t="shared" si="9"/>
        <v>3843.0257345406899</v>
      </c>
      <c r="BD22" s="213">
        <f t="shared" si="9"/>
        <v>3556.3061734497819</v>
      </c>
      <c r="BE22" s="212">
        <f t="shared" si="9"/>
        <v>2430.9589839279429</v>
      </c>
      <c r="BF22" s="214">
        <f t="shared" si="9"/>
        <v>1571.5004353481777</v>
      </c>
      <c r="BG22" s="215">
        <f t="shared" si="9"/>
        <v>1571.3251233283822</v>
      </c>
    </row>
    <row r="23" spans="2:59" x14ac:dyDescent="0.25">
      <c r="B23" s="166" t="s">
        <v>430</v>
      </c>
      <c r="C23" s="166"/>
      <c r="D23" s="177">
        <v>103131</v>
      </c>
      <c r="E23" s="177">
        <v>40386</v>
      </c>
      <c r="F23" s="177">
        <v>21929</v>
      </c>
      <c r="G23" s="162"/>
      <c r="H23" s="162"/>
      <c r="I23" s="162"/>
      <c r="J23" s="162"/>
      <c r="K23" s="162"/>
      <c r="L23" s="171" t="s">
        <v>566</v>
      </c>
      <c r="M23" s="239"/>
      <c r="N23" s="239"/>
      <c r="O23" s="239"/>
      <c r="P23" s="239"/>
      <c r="Q23" s="239"/>
      <c r="R23" s="239"/>
      <c r="S23" s="239"/>
      <c r="T23" s="239"/>
      <c r="U23" s="240"/>
      <c r="V23" s="240"/>
      <c r="W23" s="240"/>
      <c r="X23" s="166"/>
      <c r="Y23" s="316">
        <f>Y15/(Y7+Y8+Y15)</f>
        <v>0.17523639008560396</v>
      </c>
    </row>
    <row r="24" spans="2:59" x14ac:dyDescent="0.25">
      <c r="B24" s="166" t="s">
        <v>429</v>
      </c>
      <c r="C24" s="166"/>
      <c r="D24" s="177">
        <v>87632</v>
      </c>
      <c r="E24" s="177">
        <v>21961</v>
      </c>
      <c r="F24" s="177">
        <v>15238</v>
      </c>
      <c r="G24" s="162"/>
      <c r="H24" s="162"/>
      <c r="I24" s="162"/>
      <c r="J24" s="162"/>
      <c r="K24" s="162"/>
      <c r="L24" s="166"/>
      <c r="M24" s="166"/>
      <c r="N24" s="166"/>
      <c r="O24" s="166"/>
      <c r="P24" s="166"/>
      <c r="Q24" s="322" t="s">
        <v>560</v>
      </c>
      <c r="R24" s="322" t="s">
        <v>561</v>
      </c>
      <c r="S24" s="322" t="s">
        <v>548</v>
      </c>
      <c r="T24" s="321" t="s">
        <v>287</v>
      </c>
      <c r="U24" s="321"/>
      <c r="V24" s="321" t="s">
        <v>288</v>
      </c>
      <c r="W24" s="321"/>
      <c r="X24" s="165" t="s">
        <v>452</v>
      </c>
      <c r="Y24" s="307" t="s">
        <v>714</v>
      </c>
      <c r="AB24" s="171" t="s">
        <v>547</v>
      </c>
      <c r="AC24" s="83"/>
      <c r="AD24" s="83"/>
      <c r="AE24" s="83"/>
      <c r="AF24" s="166"/>
      <c r="AG24" s="166"/>
      <c r="AH24" s="166"/>
      <c r="AI24" s="166"/>
      <c r="AJ24" s="166"/>
      <c r="AP24" s="166" t="s">
        <v>684</v>
      </c>
      <c r="AQ24" s="166"/>
      <c r="AR24" s="166"/>
      <c r="AS24" s="166"/>
      <c r="AT24" s="166"/>
      <c r="AU24" s="166"/>
      <c r="AV24" s="166"/>
      <c r="AW24" s="166"/>
      <c r="AX24" s="166"/>
      <c r="AY24" s="166"/>
      <c r="AZ24" s="166"/>
      <c r="BA24" s="166"/>
      <c r="BB24" s="166"/>
      <c r="BC24" s="166"/>
      <c r="BD24" s="166"/>
      <c r="BE24" s="166"/>
    </row>
    <row r="25" spans="2:59" x14ac:dyDescent="0.25">
      <c r="L25" s="166"/>
      <c r="M25" s="166"/>
      <c r="N25" s="166"/>
      <c r="O25" s="166"/>
      <c r="P25" s="167" t="s">
        <v>453</v>
      </c>
      <c r="Q25" s="322"/>
      <c r="R25" s="322"/>
      <c r="S25" s="322"/>
      <c r="T25" s="241" t="s">
        <v>453</v>
      </c>
      <c r="U25" s="241" t="s">
        <v>308</v>
      </c>
      <c r="V25" s="241" t="s">
        <v>453</v>
      </c>
      <c r="W25" s="241" t="s">
        <v>308</v>
      </c>
      <c r="X25" s="165" t="s">
        <v>486</v>
      </c>
      <c r="Y25" s="307" t="s">
        <v>715</v>
      </c>
      <c r="AB25" s="171" t="s">
        <v>562</v>
      </c>
      <c r="AC25" s="166"/>
      <c r="AD25" s="166"/>
      <c r="AE25" s="165" t="s">
        <v>287</v>
      </c>
      <c r="AF25" s="165" t="s">
        <v>452</v>
      </c>
      <c r="AG25" s="101" t="s">
        <v>288</v>
      </c>
      <c r="AH25" s="101" t="s">
        <v>452</v>
      </c>
      <c r="AI25" s="165" t="s">
        <v>297</v>
      </c>
      <c r="AJ25" s="165" t="s">
        <v>486</v>
      </c>
      <c r="AP25" s="166" t="s">
        <v>685</v>
      </c>
      <c r="AQ25" s="166"/>
      <c r="AR25" s="166"/>
      <c r="AS25" s="166"/>
      <c r="AT25" s="166"/>
      <c r="AU25" s="166"/>
      <c r="AV25" s="166"/>
      <c r="AW25" s="166"/>
      <c r="AX25" s="166"/>
      <c r="AY25" s="166"/>
      <c r="AZ25" s="166"/>
      <c r="BA25" s="166"/>
      <c r="BB25" s="166"/>
      <c r="BC25" s="166"/>
      <c r="BD25" s="166"/>
      <c r="BE25" s="166"/>
    </row>
    <row r="26" spans="2:59" outlineLevel="1" x14ac:dyDescent="0.25">
      <c r="B26" s="171" t="s">
        <v>479</v>
      </c>
      <c r="C26" s="171"/>
      <c r="D26" s="83" t="s">
        <v>485</v>
      </c>
      <c r="E26" s="166"/>
      <c r="F26" s="166"/>
      <c r="G26" s="166"/>
      <c r="H26" s="166"/>
      <c r="I26" s="166"/>
      <c r="J26" s="166"/>
      <c r="L26" s="166" t="s">
        <v>367</v>
      </c>
      <c r="M26" s="166"/>
      <c r="N26" s="166"/>
      <c r="O26" s="166"/>
      <c r="P26" s="183">
        <v>0.86</v>
      </c>
      <c r="Q26" s="185">
        <v>84300.800000000003</v>
      </c>
      <c r="R26" s="185">
        <v>2279</v>
      </c>
      <c r="S26" s="185">
        <f>SUM(Q26:R26)</f>
        <v>86579.8</v>
      </c>
      <c r="T26" s="184">
        <f>S26*X26*P26</f>
        <v>46200.229028142108</v>
      </c>
      <c r="U26" s="189">
        <f t="shared" ref="U26:U31" si="10">T26/SUM(T$26:T$59)</f>
        <v>7.7600983612187147E-2</v>
      </c>
      <c r="V26" s="184">
        <f>S26*(1-X26)*P26</f>
        <v>28258.398971857892</v>
      </c>
      <c r="W26" s="189">
        <f t="shared" ref="W26:W31" si="11">V26/SUM(V$26:V$59)</f>
        <v>0.2589516782516148</v>
      </c>
      <c r="X26" s="161">
        <f>$AJ$27</f>
        <v>0.62048187388225995</v>
      </c>
      <c r="Y26" s="26">
        <f>W26/SUM(W$26:W$31,W$47:W$54)</f>
        <v>0.34481468083065403</v>
      </c>
      <c r="AB26" s="83" t="s">
        <v>484</v>
      </c>
      <c r="AC26" s="166"/>
      <c r="AD26" s="166"/>
      <c r="AE26" s="187">
        <f>SUM(AE27:AE30)</f>
        <v>332329.99870767561</v>
      </c>
      <c r="AF26" s="191">
        <f>AE26/(AE$26+AE$34)</f>
        <v>0.86121145432261814</v>
      </c>
      <c r="AG26" s="186">
        <f>SUM(AG27:AG30)</f>
        <v>203269.85149961221</v>
      </c>
      <c r="AH26" s="192">
        <f>AG26/(AG$26+AG$34)</f>
        <v>0.9805541436045544</v>
      </c>
      <c r="AI26" s="187">
        <f>SUM(AI27:AI30)</f>
        <v>535599.85020728782</v>
      </c>
      <c r="AJ26" s="193"/>
      <c r="AP26" s="166"/>
      <c r="AQ26" s="166"/>
      <c r="AR26" s="166"/>
      <c r="AS26" s="166"/>
      <c r="AT26" s="101" t="s">
        <v>262</v>
      </c>
      <c r="AU26" s="101"/>
      <c r="AV26" s="101"/>
      <c r="AW26" s="101"/>
      <c r="AX26" s="101"/>
      <c r="AY26" s="101"/>
      <c r="AZ26" s="165" t="s">
        <v>699</v>
      </c>
      <c r="BA26" s="165"/>
      <c r="BB26" s="101" t="s">
        <v>704</v>
      </c>
      <c r="BC26" s="101"/>
      <c r="BD26" s="101"/>
      <c r="BE26" s="101"/>
    </row>
    <row r="27" spans="2:59" outlineLevel="1" x14ac:dyDescent="0.25">
      <c r="B27" s="171" t="s">
        <v>545</v>
      </c>
      <c r="C27" s="171"/>
      <c r="D27" s="165"/>
      <c r="E27" s="165" t="s">
        <v>453</v>
      </c>
      <c r="F27" s="101"/>
      <c r="G27" s="101" t="s">
        <v>453</v>
      </c>
      <c r="H27" s="165"/>
      <c r="I27" s="165" t="s">
        <v>452</v>
      </c>
      <c r="J27" s="101" t="s">
        <v>450</v>
      </c>
      <c r="L27" s="166" t="s">
        <v>401</v>
      </c>
      <c r="M27" s="166"/>
      <c r="N27" s="166"/>
      <c r="O27" s="166"/>
      <c r="P27" s="183">
        <v>0.86</v>
      </c>
      <c r="Q27" s="185">
        <v>92367.8</v>
      </c>
      <c r="R27" s="185">
        <v>1785</v>
      </c>
      <c r="S27" s="185">
        <f t="shared" ref="S27:S60" si="12">SUM(Q27:R27)</f>
        <v>94152.8</v>
      </c>
      <c r="T27" s="184">
        <f t="shared" ref="T27:T60" si="13">S27*X27*P27</f>
        <v>50241.290966725013</v>
      </c>
      <c r="U27" s="189">
        <f t="shared" si="10"/>
        <v>8.4388620554003743E-2</v>
      </c>
      <c r="V27" s="184">
        <f t="shared" ref="V27:V60" si="14">S27*(1-X27)*P27</f>
        <v>30730.117033274986</v>
      </c>
      <c r="W27" s="189">
        <f t="shared" si="11"/>
        <v>0.28160177745950715</v>
      </c>
      <c r="X27" s="161">
        <f>$AJ$27</f>
        <v>0.62048187388225995</v>
      </c>
      <c r="Y27" s="26">
        <f t="shared" ref="Y27:Y31" si="15">W27/SUM(W$26:W$31,W$47:W$54)</f>
        <v>0.37497508288668258</v>
      </c>
      <c r="AB27" s="166" t="s">
        <v>478</v>
      </c>
      <c r="AC27" s="166"/>
      <c r="AD27" s="166"/>
      <c r="AE27" s="185">
        <f>AI27*AJ27</f>
        <v>77812.622155690507</v>
      </c>
      <c r="AF27" s="188">
        <f>AE27/SUM(AE$27:AE$30)</f>
        <v>0.23414263671133737</v>
      </c>
      <c r="AG27" s="184">
        <f>AI27-AE27</f>
        <v>47594.138994041161</v>
      </c>
      <c r="AH27" s="189">
        <f>AG27/SUM(AG$27:AG$30)</f>
        <v>0.2341426367113372</v>
      </c>
      <c r="AI27" s="185">
        <v>125406.76114973167</v>
      </c>
      <c r="AJ27" s="190">
        <v>0.62048187388225995</v>
      </c>
      <c r="AP27" s="166"/>
      <c r="AQ27" s="166"/>
      <c r="AR27" s="166"/>
      <c r="AS27" s="166"/>
      <c r="AT27" s="101" t="s">
        <v>696</v>
      </c>
      <c r="AU27" s="101"/>
      <c r="AV27" s="101"/>
      <c r="AW27" s="101" t="s">
        <v>697</v>
      </c>
      <c r="AX27" s="101"/>
      <c r="AY27" s="101"/>
      <c r="AZ27" s="165"/>
      <c r="BA27" s="165"/>
      <c r="BB27" s="101" t="s">
        <v>696</v>
      </c>
      <c r="BC27" s="101"/>
      <c r="BD27" s="101" t="s">
        <v>697</v>
      </c>
      <c r="BE27" s="101"/>
    </row>
    <row r="28" spans="2:59" outlineLevel="1" x14ac:dyDescent="0.25">
      <c r="B28" s="83" t="s">
        <v>435</v>
      </c>
      <c r="C28" s="167" t="s">
        <v>453</v>
      </c>
      <c r="D28" s="165" t="s">
        <v>287</v>
      </c>
      <c r="E28" s="165" t="s">
        <v>452</v>
      </c>
      <c r="F28" s="101" t="s">
        <v>288</v>
      </c>
      <c r="G28" s="101" t="s">
        <v>452</v>
      </c>
      <c r="H28" s="165" t="s">
        <v>297</v>
      </c>
      <c r="I28" s="165" t="s">
        <v>486</v>
      </c>
      <c r="J28" s="101" t="s">
        <v>451</v>
      </c>
      <c r="L28" s="166" t="s">
        <v>432</v>
      </c>
      <c r="M28" s="166"/>
      <c r="N28" s="166"/>
      <c r="O28" s="166"/>
      <c r="P28" s="183">
        <v>0.86</v>
      </c>
      <c r="Q28" s="185">
        <v>31831.5</v>
      </c>
      <c r="R28" s="185">
        <v>0</v>
      </c>
      <c r="S28" s="185">
        <f t="shared" si="12"/>
        <v>31831.5</v>
      </c>
      <c r="T28" s="184">
        <f t="shared" si="13"/>
        <v>16985.747140895513</v>
      </c>
      <c r="U28" s="189">
        <f t="shared" si="10"/>
        <v>2.8530392884383367E-2</v>
      </c>
      <c r="V28" s="184">
        <f t="shared" si="14"/>
        <v>10389.342859104483</v>
      </c>
      <c r="W28" s="189">
        <f t="shared" si="11"/>
        <v>9.5204890127561809E-2</v>
      </c>
      <c r="X28" s="161">
        <f>$AJ$27</f>
        <v>0.62048187388225995</v>
      </c>
      <c r="Y28" s="26">
        <f t="shared" si="15"/>
        <v>0.12677285594169729</v>
      </c>
      <c r="AB28" s="166" t="s">
        <v>475</v>
      </c>
      <c r="AC28" s="166"/>
      <c r="AD28" s="166"/>
      <c r="AE28" s="185">
        <f>AI28*AJ28</f>
        <v>61792.549779753324</v>
      </c>
      <c r="AF28" s="188">
        <f>AE28/SUM(AE$27:AE$30)</f>
        <v>0.18593732139754057</v>
      </c>
      <c r="AG28" s="184">
        <f>AI28-AE28</f>
        <v>37795.451708713757</v>
      </c>
      <c r="AH28" s="189">
        <f>AG28/SUM(AG$27:AG$30)</f>
        <v>0.18593732139754066</v>
      </c>
      <c r="AI28" s="185">
        <v>99588.001488467082</v>
      </c>
      <c r="AJ28" s="190">
        <v>0.62048187388225973</v>
      </c>
      <c r="AP28" s="166"/>
      <c r="AQ28" s="166"/>
      <c r="AR28" s="166"/>
      <c r="AS28" s="167" t="s">
        <v>453</v>
      </c>
      <c r="AT28" s="101" t="s">
        <v>686</v>
      </c>
      <c r="AU28" s="101" t="s">
        <v>687</v>
      </c>
      <c r="AV28" s="101" t="s">
        <v>688</v>
      </c>
      <c r="AW28" s="101" t="s">
        <v>686</v>
      </c>
      <c r="AX28" s="101" t="s">
        <v>687</v>
      </c>
      <c r="AY28" s="101" t="s">
        <v>688</v>
      </c>
      <c r="AZ28" s="165" t="s">
        <v>696</v>
      </c>
      <c r="BA28" s="165" t="s">
        <v>697</v>
      </c>
      <c r="BB28" s="101" t="s">
        <v>702</v>
      </c>
      <c r="BC28" s="101" t="s">
        <v>703</v>
      </c>
      <c r="BD28" s="101" t="s">
        <v>702</v>
      </c>
      <c r="BE28" s="101" t="s">
        <v>703</v>
      </c>
    </row>
    <row r="29" spans="2:59" outlineLevel="1" x14ac:dyDescent="0.25">
      <c r="B29" s="166" t="s">
        <v>436</v>
      </c>
      <c r="C29" s="183">
        <v>0.86</v>
      </c>
      <c r="D29" s="92">
        <f>H29*I29</f>
        <v>8000.2142902474725</v>
      </c>
      <c r="E29" s="168">
        <f>D29*$C29/SUMPRODUCT(D$29:D$52,$C$29:$C$52)</f>
        <v>1.0523812255528259E-2</v>
      </c>
      <c r="F29" s="169">
        <f>H29-D29</f>
        <v>631.319043085864</v>
      </c>
      <c r="G29" s="170">
        <f>F29*$C29/SUMPRODUCT(F$29:F$52,$C$29:$C$52)</f>
        <v>4.6480203269391104E-3</v>
      </c>
      <c r="H29" s="92">
        <v>8631.5333333333365</v>
      </c>
      <c r="I29" s="178">
        <v>0.92685899263716798</v>
      </c>
      <c r="J29" s="170">
        <v>0.27270318402958632</v>
      </c>
      <c r="L29" s="166" t="s">
        <v>474</v>
      </c>
      <c r="M29" s="166"/>
      <c r="N29" s="166"/>
      <c r="O29" s="166"/>
      <c r="P29" s="183">
        <v>0.86</v>
      </c>
      <c r="Q29" s="185">
        <v>11430.7</v>
      </c>
      <c r="R29" s="185">
        <v>0</v>
      </c>
      <c r="S29" s="185">
        <f t="shared" si="12"/>
        <v>11430.7</v>
      </c>
      <c r="T29" s="184">
        <f t="shared" si="13"/>
        <v>6099.5862539759164</v>
      </c>
      <c r="U29" s="189">
        <f t="shared" si="10"/>
        <v>1.0245271568839703E-2</v>
      </c>
      <c r="V29" s="184">
        <f t="shared" si="14"/>
        <v>3730.8157460240845</v>
      </c>
      <c r="W29" s="189">
        <f t="shared" si="11"/>
        <v>3.4188101018837347E-2</v>
      </c>
      <c r="X29" s="161">
        <f>$AJ$27</f>
        <v>0.62048187388225995</v>
      </c>
      <c r="Y29" s="42">
        <f t="shared" si="15"/>
        <v>4.5524165823563431E-2</v>
      </c>
      <c r="AB29" s="166" t="s">
        <v>477</v>
      </c>
      <c r="AC29" s="166"/>
      <c r="AD29" s="166"/>
      <c r="AE29" s="185">
        <f>AI29*AJ29</f>
        <v>159717.72580047889</v>
      </c>
      <c r="AF29" s="188">
        <f>AE29/SUM(AE$27:AE$30)</f>
        <v>0.48059978461640451</v>
      </c>
      <c r="AG29" s="184">
        <f>AI29-AE29</f>
        <v>97691.446849722182</v>
      </c>
      <c r="AH29" s="189">
        <f>AG29/SUM(AG$27:AG$30)</f>
        <v>0.48059978461640462</v>
      </c>
      <c r="AI29" s="185">
        <v>257409.17265020107</v>
      </c>
      <c r="AJ29" s="190">
        <v>0.62048187388225973</v>
      </c>
      <c r="AP29" s="166" t="s">
        <v>689</v>
      </c>
      <c r="AQ29" s="166"/>
      <c r="AR29" s="166"/>
      <c r="AS29" s="167">
        <v>1</v>
      </c>
      <c r="AT29" s="165">
        <v>4366</v>
      </c>
      <c r="AU29" s="165">
        <v>4336</v>
      </c>
      <c r="AV29" s="165">
        <v>4549</v>
      </c>
      <c r="AW29" s="165">
        <v>4366</v>
      </c>
      <c r="AX29" s="165">
        <v>4336</v>
      </c>
      <c r="AY29" s="165">
        <v>4549</v>
      </c>
      <c r="AZ29" s="90">
        <f>AZ30+AZ33</f>
        <v>1868</v>
      </c>
      <c r="BA29" s="90">
        <f>BA30+BA33</f>
        <v>1864</v>
      </c>
      <c r="BB29" s="165">
        <f t="shared" ref="BB29:BE29" si="16">BB30+BB33</f>
        <v>2287</v>
      </c>
      <c r="BC29" s="165">
        <f t="shared" si="16"/>
        <v>1928</v>
      </c>
      <c r="BD29" s="165">
        <f t="shared" si="16"/>
        <v>2287</v>
      </c>
      <c r="BE29" s="165">
        <f t="shared" si="16"/>
        <v>1884</v>
      </c>
    </row>
    <row r="30" spans="2:59" outlineLevel="1" x14ac:dyDescent="0.25">
      <c r="B30" s="166" t="s">
        <v>478</v>
      </c>
      <c r="C30" s="183">
        <v>0.86</v>
      </c>
      <c r="D30" s="92">
        <f t="shared" ref="D30:D38" si="17">H30*I30</f>
        <v>38739.785795838885</v>
      </c>
      <c r="E30" s="168">
        <f>D30*C30/SUMPRODUCT(D$29:D$52,$C$29:$C$52)</f>
        <v>5.0959914040274737E-2</v>
      </c>
      <c r="F30" s="169">
        <f t="shared" ref="F30:F38" si="18">H30-D30</f>
        <v>23695.214204161115</v>
      </c>
      <c r="G30" s="170">
        <f>F30*$C30/SUMPRODUCT(F$29:F$52,$C$29:$C$52)</f>
        <v>0.17445353261288826</v>
      </c>
      <c r="H30" s="92">
        <v>62435</v>
      </c>
      <c r="I30" s="178">
        <v>0.62048187388225973</v>
      </c>
      <c r="J30" s="170">
        <v>0</v>
      </c>
      <c r="L30" s="166" t="s">
        <v>460</v>
      </c>
      <c r="M30" s="166"/>
      <c r="N30" s="166"/>
      <c r="O30" s="166"/>
      <c r="P30" s="183">
        <v>0.86</v>
      </c>
      <c r="Q30" s="185">
        <v>707</v>
      </c>
      <c r="R30" s="185">
        <v>0</v>
      </c>
      <c r="S30" s="185">
        <f t="shared" si="12"/>
        <v>707</v>
      </c>
      <c r="T30" s="184">
        <f t="shared" si="13"/>
        <v>377.26538895789167</v>
      </c>
      <c r="U30" s="189">
        <f t="shared" si="10"/>
        <v>6.3368008951067466E-4</v>
      </c>
      <c r="V30" s="184">
        <f t="shared" si="14"/>
        <v>230.75461104210834</v>
      </c>
      <c r="W30" s="189">
        <f t="shared" si="11"/>
        <v>2.1145675610695761E-3</v>
      </c>
      <c r="X30" s="161">
        <f>$AJ$27</f>
        <v>0.62048187388225995</v>
      </c>
      <c r="Y30" s="42">
        <f t="shared" si="15"/>
        <v>2.815714281475268E-3</v>
      </c>
      <c r="AB30" s="166" t="s">
        <v>476</v>
      </c>
      <c r="AC30" s="166"/>
      <c r="AD30" s="166"/>
      <c r="AE30" s="185">
        <f>AI30*AJ30</f>
        <v>33007.100971752872</v>
      </c>
      <c r="AF30" s="188">
        <f>AE30/SUM(AE$27:AE$30)</f>
        <v>9.9320257274717494E-2</v>
      </c>
      <c r="AG30" s="184">
        <f>AI30-AE30</f>
        <v>20188.81394713511</v>
      </c>
      <c r="AH30" s="189">
        <f>AG30/SUM(AG$27:AG$30)</f>
        <v>9.9320257274717522E-2</v>
      </c>
      <c r="AI30" s="185">
        <v>53195.914918887982</v>
      </c>
      <c r="AJ30" s="190">
        <v>0.62048187388225973</v>
      </c>
      <c r="AP30" s="166" t="s">
        <v>705</v>
      </c>
      <c r="AQ30" s="166"/>
      <c r="AR30" s="166"/>
      <c r="AS30" s="167">
        <v>1</v>
      </c>
      <c r="AT30" s="310">
        <f>AT29*(1-$BD$46)</f>
        <v>3580.1200000000003</v>
      </c>
      <c r="AU30" s="310">
        <f t="shared" ref="AU30:AY30" si="19">AU29*(1-$BD$46)</f>
        <v>3555.5200000000004</v>
      </c>
      <c r="AV30" s="310">
        <f t="shared" si="19"/>
        <v>3730.1800000000003</v>
      </c>
      <c r="AW30" s="310">
        <f t="shared" si="19"/>
        <v>3580.1200000000003</v>
      </c>
      <c r="AX30" s="310">
        <f t="shared" si="19"/>
        <v>3555.5200000000004</v>
      </c>
      <c r="AY30" s="310">
        <f t="shared" si="19"/>
        <v>3730.1800000000003</v>
      </c>
      <c r="AZ30" s="90">
        <v>1121</v>
      </c>
      <c r="BA30" s="90">
        <v>1121</v>
      </c>
      <c r="BB30" s="165">
        <f>SUM(BB31:BB32)</f>
        <v>2287</v>
      </c>
      <c r="BC30" s="165">
        <f>SUM(BC31:BC32)</f>
        <v>1928</v>
      </c>
      <c r="BD30" s="165">
        <f>SUM(BD31:BD32)</f>
        <v>2287</v>
      </c>
      <c r="BE30" s="165">
        <f>SUM(BE31:BE32)</f>
        <v>1884</v>
      </c>
    </row>
    <row r="31" spans="2:59" outlineLevel="1" x14ac:dyDescent="0.25">
      <c r="B31" s="166" t="s">
        <v>475</v>
      </c>
      <c r="C31" s="183">
        <v>0.86</v>
      </c>
      <c r="D31" s="92">
        <f t="shared" si="17"/>
        <v>21059.030703189121</v>
      </c>
      <c r="E31" s="168">
        <f>D31*C31/SUMPRODUCT(D$29:D$52,$C$29:$C$52)</f>
        <v>2.7701918644095731E-2</v>
      </c>
      <c r="F31" s="169">
        <f t="shared" si="18"/>
        <v>12880.769296810882</v>
      </c>
      <c r="G31" s="170">
        <f>F31*$C31/SUMPRODUCT(F$29:F$52,$C$29:$C$52)</f>
        <v>9.4833314746134476E-2</v>
      </c>
      <c r="H31" s="92">
        <v>33939.800000000003</v>
      </c>
      <c r="I31" s="178">
        <v>0.62048187388225973</v>
      </c>
      <c r="J31" s="170">
        <v>0</v>
      </c>
      <c r="L31" s="166" t="s">
        <v>461</v>
      </c>
      <c r="M31" s="166"/>
      <c r="N31" s="166"/>
      <c r="O31" s="166"/>
      <c r="P31" s="183">
        <v>0.86</v>
      </c>
      <c r="Q31" s="185">
        <v>16116.5</v>
      </c>
      <c r="R31" s="185">
        <v>537</v>
      </c>
      <c r="S31" s="185">
        <f t="shared" si="12"/>
        <v>16653.5</v>
      </c>
      <c r="T31" s="184">
        <f t="shared" si="13"/>
        <v>13319.469300000001</v>
      </c>
      <c r="U31" s="189">
        <f t="shared" si="10"/>
        <v>2.2372268289898023E-2</v>
      </c>
      <c r="V31" s="184">
        <f t="shared" si="14"/>
        <v>1002.5406999999993</v>
      </c>
      <c r="W31" s="189">
        <f t="shared" si="11"/>
        <v>9.1869888679500123E-3</v>
      </c>
      <c r="X31" s="161">
        <f>$AJ$35</f>
        <v>0.93</v>
      </c>
      <c r="Y31" s="42">
        <f t="shared" si="15"/>
        <v>1.2233203722352013E-2</v>
      </c>
      <c r="AB31" s="166"/>
      <c r="AC31" s="166"/>
      <c r="AD31" s="166"/>
      <c r="AE31" s="185"/>
      <c r="AF31" s="188"/>
      <c r="AG31" s="184"/>
      <c r="AH31" s="189"/>
      <c r="AI31" s="185"/>
      <c r="AJ31" s="190"/>
      <c r="AP31" s="166" t="s">
        <v>707</v>
      </c>
      <c r="AQ31" s="166"/>
      <c r="AR31" s="166"/>
      <c r="AS31" s="167">
        <v>1</v>
      </c>
      <c r="AT31" s="310"/>
      <c r="AU31" s="310"/>
      <c r="AV31" s="310"/>
      <c r="AW31" s="310"/>
      <c r="AX31" s="310"/>
      <c r="AY31" s="310"/>
      <c r="AZ31" s="90"/>
      <c r="BA31" s="90"/>
      <c r="BB31" s="165"/>
      <c r="BC31" s="165">
        <v>1928</v>
      </c>
      <c r="BD31" s="165"/>
      <c r="BE31" s="165">
        <v>1884</v>
      </c>
    </row>
    <row r="32" spans="2:59" outlineLevel="1" x14ac:dyDescent="0.25">
      <c r="B32" s="166"/>
      <c r="C32" s="183"/>
      <c r="D32" s="92"/>
      <c r="E32" s="168"/>
      <c r="F32" s="169"/>
      <c r="G32" s="170"/>
      <c r="H32" s="92"/>
      <c r="I32" s="178"/>
      <c r="J32" s="170"/>
      <c r="L32" s="166"/>
      <c r="M32" s="166"/>
      <c r="N32" s="166"/>
      <c r="O32" s="166"/>
      <c r="P32" s="183"/>
      <c r="Q32" s="185"/>
      <c r="R32" s="185"/>
      <c r="S32" s="185"/>
      <c r="T32" s="184"/>
      <c r="U32" s="189"/>
      <c r="V32" s="184"/>
      <c r="W32" s="189"/>
      <c r="X32" s="161"/>
      <c r="AB32" s="166"/>
      <c r="AC32" s="166"/>
      <c r="AD32" s="166"/>
      <c r="AE32" s="185"/>
      <c r="AF32" s="188"/>
      <c r="AG32" s="184"/>
      <c r="AH32" s="189"/>
      <c r="AI32" s="185"/>
      <c r="AJ32" s="190"/>
      <c r="AP32" s="166" t="s">
        <v>708</v>
      </c>
      <c r="AQ32" s="166"/>
      <c r="AR32" s="166"/>
      <c r="AS32" s="167">
        <v>1</v>
      </c>
      <c r="AT32" s="310"/>
      <c r="AU32" s="310"/>
      <c r="AV32" s="310"/>
      <c r="AW32" s="310"/>
      <c r="AX32" s="310"/>
      <c r="AY32" s="310"/>
      <c r="AZ32" s="90"/>
      <c r="BA32" s="90"/>
      <c r="BB32" s="165">
        <v>2287</v>
      </c>
      <c r="BC32" s="165"/>
      <c r="BD32" s="165">
        <v>2287</v>
      </c>
      <c r="BE32" s="165"/>
    </row>
    <row r="33" spans="2:57" outlineLevel="1" x14ac:dyDescent="0.25">
      <c r="B33" s="166"/>
      <c r="C33" s="183"/>
      <c r="D33" s="92"/>
      <c r="E33" s="168"/>
      <c r="F33" s="169"/>
      <c r="G33" s="170"/>
      <c r="H33" s="92"/>
      <c r="I33" s="178"/>
      <c r="J33" s="170"/>
      <c r="L33" s="166"/>
      <c r="M33" s="166"/>
      <c r="N33" s="166"/>
      <c r="O33" s="166"/>
      <c r="P33" s="183"/>
      <c r="Q33" s="185"/>
      <c r="R33" s="185"/>
      <c r="S33" s="185"/>
      <c r="T33" s="184"/>
      <c r="U33" s="189"/>
      <c r="V33" s="184"/>
      <c r="W33" s="189"/>
      <c r="X33" s="161"/>
      <c r="AB33" s="166"/>
      <c r="AC33" s="166"/>
      <c r="AD33" s="166"/>
      <c r="AE33" s="185"/>
      <c r="AF33" s="188"/>
      <c r="AG33" s="184"/>
      <c r="AH33" s="189"/>
      <c r="AI33" s="185"/>
      <c r="AJ33" s="190"/>
      <c r="AP33" s="166" t="s">
        <v>706</v>
      </c>
      <c r="AQ33" s="166"/>
      <c r="AR33" s="166"/>
      <c r="AS33" s="167">
        <v>1</v>
      </c>
      <c r="AT33" s="310">
        <f>AT29*$BD$46</f>
        <v>785.88</v>
      </c>
      <c r="AU33" s="310">
        <f t="shared" ref="AU33:AY33" si="20">AU29*$BD$46</f>
        <v>780.48</v>
      </c>
      <c r="AV33" s="310">
        <f t="shared" si="20"/>
        <v>818.81999999999994</v>
      </c>
      <c r="AW33" s="310">
        <f t="shared" si="20"/>
        <v>785.88</v>
      </c>
      <c r="AX33" s="310">
        <f t="shared" si="20"/>
        <v>780.48</v>
      </c>
      <c r="AY33" s="310">
        <f t="shared" si="20"/>
        <v>818.81999999999994</v>
      </c>
      <c r="AZ33" s="90">
        <v>747</v>
      </c>
      <c r="BA33" s="90">
        <v>743</v>
      </c>
      <c r="BB33" s="165">
        <v>0</v>
      </c>
      <c r="BC33" s="165">
        <v>0</v>
      </c>
      <c r="BD33" s="165">
        <v>0</v>
      </c>
      <c r="BE33" s="165">
        <v>0</v>
      </c>
    </row>
    <row r="34" spans="2:57" outlineLevel="2" x14ac:dyDescent="0.25">
      <c r="B34" s="166" t="s">
        <v>477</v>
      </c>
      <c r="C34" s="183">
        <v>0.86</v>
      </c>
      <c r="D34" s="92">
        <f t="shared" si="17"/>
        <v>68413.87639421731</v>
      </c>
      <c r="E34" s="168">
        <f>D34*C34/SUMPRODUCT(D$29:D$52,$C$29:$C$52)</f>
        <v>8.9994438239402258E-2</v>
      </c>
      <c r="F34" s="169">
        <f t="shared" si="18"/>
        <v>41845.390272449687</v>
      </c>
      <c r="G34" s="170">
        <f>F34*$C34/SUMPRODUCT(F$29:F$52,$C$29:$C$52)</f>
        <v>0.30808230276778314</v>
      </c>
      <c r="H34" s="92">
        <v>110259.266666667</v>
      </c>
      <c r="I34" s="178">
        <v>0.62048187388225973</v>
      </c>
      <c r="J34" s="170">
        <v>0</v>
      </c>
      <c r="L34" s="166" t="s">
        <v>431</v>
      </c>
      <c r="M34" s="166"/>
      <c r="N34" s="166"/>
      <c r="O34" s="166"/>
      <c r="P34" s="183">
        <v>0.85</v>
      </c>
      <c r="Q34" s="185">
        <v>2047.3</v>
      </c>
      <c r="R34" s="185">
        <v>586</v>
      </c>
      <c r="S34" s="185">
        <f t="shared" si="12"/>
        <v>2633.3</v>
      </c>
      <c r="T34" s="184">
        <f t="shared" si="13"/>
        <v>2081.6236500000005</v>
      </c>
      <c r="U34" s="189">
        <f>T34/SUM(T$26:T$59)</f>
        <v>3.4964338088452809E-3</v>
      </c>
      <c r="V34" s="184">
        <f t="shared" si="14"/>
        <v>156.6813499999999</v>
      </c>
      <c r="W34" s="189">
        <f>V34/SUM(V$26:V$59)</f>
        <v>1.4357819271231379E-3</v>
      </c>
      <c r="X34" s="161">
        <f>$AJ$35</f>
        <v>0.93</v>
      </c>
      <c r="AB34" s="83" t="s">
        <v>483</v>
      </c>
      <c r="AC34" s="166"/>
      <c r="AD34" s="166"/>
      <c r="AE34" s="187">
        <f>SUM(AE35:AE36)</f>
        <v>53556.646249999976</v>
      </c>
      <c r="AF34" s="191">
        <f>AE34/(AE$26+AE$34)</f>
        <v>0.1387885456773818</v>
      </c>
      <c r="AG34" s="186">
        <f>SUM(AG35:AG36)</f>
        <v>4031.1454166666626</v>
      </c>
      <c r="AH34" s="192">
        <f>AG34/(AG$26+AG$34)</f>
        <v>1.9445856395445563E-2</v>
      </c>
      <c r="AI34" s="187">
        <f>SUM(AI35:AI36)</f>
        <v>57587.791666666642</v>
      </c>
      <c r="AJ34" s="193"/>
      <c r="AP34" s="166" t="s">
        <v>690</v>
      </c>
      <c r="AQ34" s="166"/>
      <c r="AR34" s="166"/>
      <c r="AS34" s="167">
        <v>1</v>
      </c>
      <c r="AT34" s="165">
        <v>366</v>
      </c>
      <c r="AU34" s="165">
        <v>503</v>
      </c>
      <c r="AV34" s="165">
        <v>793</v>
      </c>
      <c r="AW34" s="165">
        <v>366</v>
      </c>
      <c r="AX34" s="165">
        <v>503</v>
      </c>
      <c r="AY34" s="165">
        <v>793</v>
      </c>
      <c r="AZ34" s="90"/>
      <c r="BA34" s="90"/>
      <c r="BB34" s="165"/>
      <c r="BC34" s="165"/>
      <c r="BD34" s="165"/>
      <c r="BE34" s="165"/>
    </row>
    <row r="35" spans="2:57" outlineLevel="2" x14ac:dyDescent="0.25">
      <c r="B35" s="166" t="s">
        <v>476</v>
      </c>
      <c r="C35" s="183">
        <v>0.86</v>
      </c>
      <c r="D35" s="92">
        <f t="shared" si="17"/>
        <v>14138.341343739448</v>
      </c>
      <c r="E35" s="168">
        <f>D35*C35/SUMPRODUCT(D$29:D$52,$C$29:$C$52)</f>
        <v>1.8598158062774157E-2</v>
      </c>
      <c r="F35" s="169">
        <f t="shared" si="18"/>
        <v>8647.7253229272501</v>
      </c>
      <c r="G35" s="170">
        <f>F35*$C35/SUMPRODUCT(F$29:F$52,$C$29:$C$52)</f>
        <v>6.3667971880400173E-2</v>
      </c>
      <c r="H35" s="92">
        <v>22786.066666666698</v>
      </c>
      <c r="I35" s="178">
        <v>0.62048187388225973</v>
      </c>
      <c r="J35" s="170">
        <v>0</v>
      </c>
      <c r="L35" s="166" t="s">
        <v>464</v>
      </c>
      <c r="M35" s="166"/>
      <c r="N35" s="166"/>
      <c r="O35" s="166"/>
      <c r="P35" s="183">
        <v>0.85</v>
      </c>
      <c r="Q35" s="185">
        <v>9008.7999999999993</v>
      </c>
      <c r="R35" s="185">
        <v>40</v>
      </c>
      <c r="S35" s="185">
        <f t="shared" si="12"/>
        <v>9048.7999999999993</v>
      </c>
      <c r="T35" s="184">
        <f t="shared" si="13"/>
        <v>7153.0763999999999</v>
      </c>
      <c r="U35" s="189">
        <f>T35/SUM(T$26:T$59)</f>
        <v>1.2014783826179763E-2</v>
      </c>
      <c r="V35" s="184">
        <f t="shared" si="14"/>
        <v>538.40359999999953</v>
      </c>
      <c r="W35" s="189">
        <f>V35/SUM(V$26:V$59)</f>
        <v>4.9337726435088472E-3</v>
      </c>
      <c r="X35" s="161">
        <f>$AJ$35</f>
        <v>0.93</v>
      </c>
      <c r="AB35" s="166" t="s">
        <v>480</v>
      </c>
      <c r="AC35" s="166"/>
      <c r="AD35" s="166"/>
      <c r="AE35" s="185">
        <f>AI35*AJ35</f>
        <v>27475.937049999968</v>
      </c>
      <c r="AF35" s="188">
        <f>AE35/SUM(AE$35:AE$36)</f>
        <v>0.51302572087399856</v>
      </c>
      <c r="AG35" s="184">
        <f>AI35-AE35</f>
        <v>2068.0812833333293</v>
      </c>
      <c r="AH35" s="189">
        <f>AG35/SUM(AG$35:AG$36)</f>
        <v>0.51302572087399845</v>
      </c>
      <c r="AI35" s="185">
        <v>29544.018333333297</v>
      </c>
      <c r="AJ35" s="190">
        <v>0.93</v>
      </c>
      <c r="AP35" s="166" t="s">
        <v>691</v>
      </c>
      <c r="AQ35" s="166"/>
      <c r="AR35" s="166"/>
      <c r="AS35" s="167">
        <v>0.86</v>
      </c>
      <c r="AT35" s="165">
        <v>1525</v>
      </c>
      <c r="AU35" s="165">
        <v>1845</v>
      </c>
      <c r="AV35" s="165">
        <v>1922</v>
      </c>
      <c r="AW35" s="165">
        <v>1455</v>
      </c>
      <c r="AX35" s="165">
        <v>1516</v>
      </c>
      <c r="AY35" s="165">
        <v>1784</v>
      </c>
      <c r="AZ35" s="90">
        <v>107</v>
      </c>
      <c r="BA35" s="90">
        <v>107</v>
      </c>
      <c r="BB35" s="165">
        <f>BB36</f>
        <v>609</v>
      </c>
      <c r="BC35" s="165">
        <f>BC36</f>
        <v>861</v>
      </c>
      <c r="BD35" s="165">
        <f>BD36</f>
        <v>538</v>
      </c>
      <c r="BE35" s="165">
        <f>BE36</f>
        <v>787</v>
      </c>
    </row>
    <row r="36" spans="2:57" outlineLevel="2" x14ac:dyDescent="0.25">
      <c r="B36" s="166" t="s">
        <v>480</v>
      </c>
      <c r="C36" s="183">
        <v>0.85</v>
      </c>
      <c r="D36" s="92">
        <f t="shared" si="17"/>
        <v>4095.4809354661024</v>
      </c>
      <c r="E36" s="168">
        <f>D36*C36/SUMPRODUCT(D$29:D$52,$C$29:$C$52)</f>
        <v>5.3247209739873142E-3</v>
      </c>
      <c r="F36" s="169">
        <f t="shared" si="18"/>
        <v>323.18573120056726</v>
      </c>
      <c r="G36" s="170">
        <f>F36*$C36/SUMPRODUCT(F$29:F$52,$C$29:$C$52)</f>
        <v>2.3517534066013895E-3</v>
      </c>
      <c r="H36" s="92">
        <v>4418.6666666666697</v>
      </c>
      <c r="I36" s="178">
        <v>0.92685899263716798</v>
      </c>
      <c r="J36" s="170">
        <v>0</v>
      </c>
      <c r="L36" s="166" t="s">
        <v>466</v>
      </c>
      <c r="M36" s="166"/>
      <c r="N36" s="166"/>
      <c r="O36" s="166"/>
      <c r="P36" s="183">
        <v>0.91</v>
      </c>
      <c r="Q36" s="185">
        <v>40016.699999999997</v>
      </c>
      <c r="R36" s="185">
        <v>93785</v>
      </c>
      <c r="S36" s="185">
        <f t="shared" si="12"/>
        <v>133801.70000000001</v>
      </c>
      <c r="T36" s="184">
        <f t="shared" si="13"/>
        <v>113236.37871000002</v>
      </c>
      <c r="U36" s="189">
        <f>T36/SUM(T$26:T$59)</f>
        <v>0.19019936812922544</v>
      </c>
      <c r="V36" s="184">
        <f t="shared" si="14"/>
        <v>8523.168289999996</v>
      </c>
      <c r="W36" s="189">
        <f>V36/SUM(V$26:V$59)</f>
        <v>7.810381384007109E-2</v>
      </c>
      <c r="X36" s="161">
        <f>$AJ$35</f>
        <v>0.93</v>
      </c>
      <c r="AB36" s="166" t="s">
        <v>481</v>
      </c>
      <c r="AC36" s="166"/>
      <c r="AD36" s="166"/>
      <c r="AE36" s="185">
        <f>AI36*AJ36</f>
        <v>26080.709200000008</v>
      </c>
      <c r="AF36" s="188">
        <f>AE36/SUM(AE$35:AE$36)</f>
        <v>0.4869742791260015</v>
      </c>
      <c r="AG36" s="184">
        <f>AI36-AE36</f>
        <v>1963.0641333333333</v>
      </c>
      <c r="AH36" s="189">
        <f>AG36/SUM(AG$35:AG$36)</f>
        <v>0.48697427912600155</v>
      </c>
      <c r="AI36" s="185">
        <v>28043.773333333342</v>
      </c>
      <c r="AJ36" s="190">
        <v>0.93</v>
      </c>
      <c r="AP36" s="166" t="s">
        <v>709</v>
      </c>
      <c r="AQ36" s="166"/>
      <c r="AR36" s="166"/>
      <c r="AS36" s="167">
        <v>0.86</v>
      </c>
      <c r="AT36" s="165"/>
      <c r="AU36" s="165"/>
      <c r="AV36" s="165"/>
      <c r="AW36" s="165"/>
      <c r="AX36" s="165"/>
      <c r="AY36" s="165"/>
      <c r="AZ36" s="90"/>
      <c r="BA36" s="90"/>
      <c r="BB36" s="165">
        <v>609</v>
      </c>
      <c r="BC36" s="165">
        <v>861</v>
      </c>
      <c r="BD36" s="165">
        <v>538</v>
      </c>
      <c r="BE36" s="165">
        <v>787</v>
      </c>
    </row>
    <row r="37" spans="2:57" outlineLevel="2" x14ac:dyDescent="0.25">
      <c r="B37" s="166"/>
      <c r="C37" s="183"/>
      <c r="D37" s="92"/>
      <c r="E37" s="168"/>
      <c r="F37" s="169"/>
      <c r="G37" s="170"/>
      <c r="H37" s="92"/>
      <c r="I37" s="178"/>
      <c r="J37" s="170"/>
      <c r="L37" s="166"/>
      <c r="M37" s="166"/>
      <c r="N37" s="166"/>
      <c r="O37" s="166"/>
      <c r="P37" s="183"/>
      <c r="Q37" s="185"/>
      <c r="R37" s="185"/>
      <c r="S37" s="185"/>
      <c r="T37" s="184"/>
      <c r="U37" s="189"/>
      <c r="V37" s="184"/>
      <c r="W37" s="189"/>
      <c r="X37" s="161"/>
      <c r="AB37" s="166"/>
      <c r="AC37" s="166"/>
      <c r="AD37" s="166"/>
      <c r="AE37" s="185"/>
      <c r="AF37" s="188"/>
      <c r="AG37" s="184"/>
      <c r="AH37" s="189"/>
      <c r="AI37" s="185"/>
      <c r="AJ37" s="190"/>
      <c r="AP37" s="166" t="s">
        <v>701</v>
      </c>
      <c r="AQ37" s="166"/>
      <c r="AR37" s="166"/>
      <c r="AS37" s="167">
        <v>0.875</v>
      </c>
      <c r="AT37" s="165"/>
      <c r="AU37" s="165"/>
      <c r="AV37" s="165"/>
      <c r="AW37" s="165">
        <v>336</v>
      </c>
      <c r="AX37" s="165">
        <v>566</v>
      </c>
      <c r="AY37" s="165">
        <v>699</v>
      </c>
      <c r="AZ37" s="90"/>
      <c r="BA37" s="90">
        <v>30</v>
      </c>
      <c r="BB37" s="165"/>
      <c r="BC37" s="165"/>
      <c r="BD37" s="165">
        <v>42</v>
      </c>
      <c r="BE37" s="165">
        <v>62</v>
      </c>
    </row>
    <row r="38" spans="2:57" outlineLevel="2" x14ac:dyDescent="0.25">
      <c r="B38" s="166" t="s">
        <v>481</v>
      </c>
      <c r="C38" s="183">
        <v>0.85</v>
      </c>
      <c r="D38" s="92">
        <f t="shared" si="17"/>
        <v>11613.017957647857</v>
      </c>
      <c r="E38" s="168">
        <f t="shared" ref="E38:E52" si="21">D38*C38/SUMPRODUCT(D$29:D$52,$C$29:$C$52)</f>
        <v>1.5098612657402435E-2</v>
      </c>
      <c r="F38" s="169">
        <f t="shared" si="18"/>
        <v>916.415375685443</v>
      </c>
      <c r="G38" s="170">
        <f t="shared" ref="G38:G52" si="22">F38*$C38/SUMPRODUCT(F$29:F$52,$C$29:$C$52)</f>
        <v>6.6685585827817324E-3</v>
      </c>
      <c r="H38" s="92">
        <v>12529.4333333333</v>
      </c>
      <c r="I38" s="178">
        <v>0.92685899263716798</v>
      </c>
      <c r="J38" s="170">
        <v>0</v>
      </c>
      <c r="L38" s="166" t="s">
        <v>550</v>
      </c>
      <c r="M38" s="166"/>
      <c r="N38" s="166"/>
      <c r="O38" s="166"/>
      <c r="P38" s="183">
        <v>0.91</v>
      </c>
      <c r="Q38" s="185">
        <v>98.7</v>
      </c>
      <c r="R38" s="185">
        <v>0</v>
      </c>
      <c r="S38" s="185">
        <f t="shared" si="12"/>
        <v>98.7</v>
      </c>
      <c r="T38" s="184">
        <f t="shared" si="13"/>
        <v>83.529810000000012</v>
      </c>
      <c r="U38" s="189">
        <f t="shared" ref="U38:U59" si="23">T38/SUM(T$26:T$59)</f>
        <v>1.403022355796268E-4</v>
      </c>
      <c r="V38" s="184">
        <f t="shared" si="14"/>
        <v>6.2871899999999963</v>
      </c>
      <c r="W38" s="189">
        <f t="shared" ref="W38:W59" si="24">V38/SUM(V$26:V$59)</f>
        <v>5.7613964740470527E-5</v>
      </c>
      <c r="X38" s="161">
        <f t="shared" ref="X38:X60" si="25">$AJ$35</f>
        <v>0.93</v>
      </c>
      <c r="AP38" s="166" t="s">
        <v>698</v>
      </c>
      <c r="AQ38" s="166"/>
      <c r="AR38" s="166"/>
      <c r="AS38" s="167">
        <v>0.86</v>
      </c>
      <c r="AT38" s="165"/>
      <c r="AU38" s="165"/>
      <c r="AV38" s="165"/>
      <c r="AW38" s="165">
        <v>232</v>
      </c>
      <c r="AX38" s="165">
        <v>390</v>
      </c>
      <c r="AY38" s="165">
        <v>482</v>
      </c>
      <c r="AZ38" s="90"/>
      <c r="BA38" s="90">
        <v>23</v>
      </c>
      <c r="BB38" s="165"/>
      <c r="BC38" s="165"/>
      <c r="BD38" s="165">
        <v>29</v>
      </c>
      <c r="BE38" s="165">
        <v>42</v>
      </c>
    </row>
    <row r="39" spans="2:57" outlineLevel="2" x14ac:dyDescent="0.25">
      <c r="B39" s="166" t="s">
        <v>442</v>
      </c>
      <c r="C39" s="183">
        <v>0.93</v>
      </c>
      <c r="D39" s="92">
        <f t="shared" ref="D39:D52" si="26">H39*I39</f>
        <v>125972.18626629541</v>
      </c>
      <c r="E39" s="168">
        <f t="shared" si="21"/>
        <v>0.17919695914371556</v>
      </c>
      <c r="F39" s="169">
        <f t="shared" ref="F39:F52" si="27">H39-D39</f>
        <v>9940.8137337045919</v>
      </c>
      <c r="G39" s="170">
        <f t="shared" si="22"/>
        <v>7.914537891799911E-2</v>
      </c>
      <c r="H39" s="92">
        <v>135913</v>
      </c>
      <c r="I39" s="178">
        <v>0.92685899263716798</v>
      </c>
      <c r="J39" s="170">
        <v>0.19883912083302038</v>
      </c>
      <c r="L39" s="166" t="s">
        <v>470</v>
      </c>
      <c r="M39" s="166"/>
      <c r="N39" s="166"/>
      <c r="O39" s="166"/>
      <c r="P39" s="183">
        <v>1</v>
      </c>
      <c r="Q39" s="185">
        <v>2126.8000000000002</v>
      </c>
      <c r="R39" s="185">
        <v>192</v>
      </c>
      <c r="S39" s="185">
        <f t="shared" si="12"/>
        <v>2318.8000000000002</v>
      </c>
      <c r="T39" s="184">
        <f t="shared" si="13"/>
        <v>2156.4840000000004</v>
      </c>
      <c r="U39" s="189">
        <f t="shared" si="23"/>
        <v>3.6221742416473347E-3</v>
      </c>
      <c r="V39" s="184">
        <f t="shared" si="14"/>
        <v>162.31599999999989</v>
      </c>
      <c r="W39" s="189">
        <f t="shared" si="24"/>
        <v>1.4874162067337257E-3</v>
      </c>
      <c r="X39" s="161">
        <f t="shared" si="25"/>
        <v>0.93</v>
      </c>
      <c r="AP39" s="166" t="s">
        <v>692</v>
      </c>
      <c r="AQ39" s="166"/>
      <c r="AR39" s="166"/>
      <c r="AS39" s="167">
        <v>0.85</v>
      </c>
      <c r="AT39" s="165">
        <v>458</v>
      </c>
      <c r="AU39" s="165">
        <v>610</v>
      </c>
      <c r="AV39" s="165">
        <v>793</v>
      </c>
      <c r="AW39" s="165"/>
      <c r="AX39" s="165"/>
      <c r="AY39" s="165"/>
      <c r="AZ39" s="90">
        <v>32</v>
      </c>
      <c r="BA39" s="90"/>
      <c r="BB39" s="165"/>
      <c r="BC39" s="165"/>
      <c r="BD39" s="165"/>
      <c r="BE39" s="165"/>
    </row>
    <row r="40" spans="2:57" outlineLevel="2" x14ac:dyDescent="0.25">
      <c r="B40" s="166" t="s">
        <v>437</v>
      </c>
      <c r="C40" s="183">
        <v>0.9</v>
      </c>
      <c r="D40" s="92">
        <f t="shared" si="26"/>
        <v>36603.206384229525</v>
      </c>
      <c r="E40" s="168">
        <f t="shared" si="21"/>
        <v>5.0388874796215039E-2</v>
      </c>
      <c r="F40" s="169">
        <f t="shared" si="27"/>
        <v>2888.4602824371759</v>
      </c>
      <c r="G40" s="170">
        <f t="shared" si="22"/>
        <v>2.2255101917213038E-2</v>
      </c>
      <c r="H40" s="92">
        <v>39491.666666666701</v>
      </c>
      <c r="I40" s="178">
        <v>0.92685899263716798</v>
      </c>
      <c r="J40" s="170">
        <v>0</v>
      </c>
      <c r="L40" s="166" t="s">
        <v>463</v>
      </c>
      <c r="M40" s="166"/>
      <c r="N40" s="166"/>
      <c r="O40" s="166"/>
      <c r="P40" s="183">
        <v>0.87</v>
      </c>
      <c r="Q40" s="185">
        <v>0</v>
      </c>
      <c r="R40" s="185">
        <v>2604.6</v>
      </c>
      <c r="S40" s="185">
        <f t="shared" si="12"/>
        <v>2604.6</v>
      </c>
      <c r="T40" s="184">
        <f t="shared" si="13"/>
        <v>2107.3818600000004</v>
      </c>
      <c r="U40" s="189">
        <f t="shared" si="23"/>
        <v>3.5396990149738415E-3</v>
      </c>
      <c r="V40" s="184">
        <f t="shared" si="14"/>
        <v>158.62013999999988</v>
      </c>
      <c r="W40" s="189">
        <f t="shared" si="24"/>
        <v>1.4535484299167828E-3</v>
      </c>
      <c r="X40" s="161">
        <f t="shared" si="25"/>
        <v>0.93</v>
      </c>
      <c r="Y40" s="26"/>
      <c r="AA40" s="26"/>
      <c r="AD40" s="26"/>
      <c r="AE40" s="26"/>
      <c r="AF40" s="65"/>
      <c r="AP40" s="166" t="s">
        <v>693</v>
      </c>
      <c r="AQ40" s="166"/>
      <c r="AR40" s="166"/>
      <c r="AS40" s="167">
        <v>0.9</v>
      </c>
      <c r="AT40" s="165">
        <v>159</v>
      </c>
      <c r="AU40" s="165">
        <v>244</v>
      </c>
      <c r="AV40" s="165">
        <v>381</v>
      </c>
      <c r="AW40" s="165"/>
      <c r="AX40" s="165"/>
      <c r="AY40" s="165"/>
      <c r="AZ40" s="90">
        <v>27</v>
      </c>
      <c r="BA40" s="90"/>
      <c r="BB40" s="165"/>
      <c r="BC40" s="165"/>
      <c r="BD40" s="165"/>
      <c r="BE40" s="165"/>
    </row>
    <row r="41" spans="2:57" outlineLevel="2" x14ac:dyDescent="0.25">
      <c r="B41" s="166" t="s">
        <v>438</v>
      </c>
      <c r="C41" s="183">
        <v>0.87</v>
      </c>
      <c r="D41" s="92">
        <f t="shared" si="26"/>
        <v>90204.110729731736</v>
      </c>
      <c r="E41" s="168">
        <f t="shared" si="21"/>
        <v>0.12003795899244715</v>
      </c>
      <c r="F41" s="169">
        <f t="shared" si="27"/>
        <v>7118.2559369349037</v>
      </c>
      <c r="G41" s="170">
        <f t="shared" si="22"/>
        <v>5.3016802262705415E-2</v>
      </c>
      <c r="H41" s="92">
        <v>97322.36666666664</v>
      </c>
      <c r="I41" s="178">
        <v>0.92685899263716798</v>
      </c>
      <c r="J41" s="170">
        <v>0</v>
      </c>
      <c r="L41" s="166" t="s">
        <v>465</v>
      </c>
      <c r="M41" s="166"/>
      <c r="N41" s="166"/>
      <c r="O41" s="166"/>
      <c r="P41" s="183">
        <v>0.875</v>
      </c>
      <c r="Q41" s="185">
        <v>6226.3</v>
      </c>
      <c r="R41" s="185">
        <v>17429.8</v>
      </c>
      <c r="S41" s="185">
        <f t="shared" si="12"/>
        <v>23656.1</v>
      </c>
      <c r="T41" s="184">
        <f t="shared" si="13"/>
        <v>19250.151374999998</v>
      </c>
      <c r="U41" s="189">
        <f t="shared" si="23"/>
        <v>3.2333837143394988E-2</v>
      </c>
      <c r="V41" s="184">
        <f t="shared" si="14"/>
        <v>1448.9361249999988</v>
      </c>
      <c r="W41" s="189">
        <f t="shared" si="24"/>
        <v>1.3277625587415678E-2</v>
      </c>
      <c r="X41" s="161">
        <f t="shared" si="25"/>
        <v>0.93</v>
      </c>
      <c r="AD41" s="12"/>
      <c r="AE41" s="26"/>
      <c r="AF41" s="65"/>
      <c r="AP41" s="166" t="s">
        <v>700</v>
      </c>
      <c r="AQ41" s="166"/>
      <c r="AR41" s="166"/>
      <c r="AS41" s="167"/>
      <c r="AT41" s="165"/>
      <c r="AU41" s="165"/>
      <c r="AV41" s="165"/>
      <c r="AW41" s="165"/>
      <c r="AX41" s="165"/>
      <c r="AY41" s="165"/>
      <c r="AZ41" s="90">
        <v>208</v>
      </c>
      <c r="BA41" s="90">
        <v>208</v>
      </c>
      <c r="BB41" s="165"/>
      <c r="BC41" s="165"/>
      <c r="BD41" s="165"/>
      <c r="BE41" s="165"/>
    </row>
    <row r="42" spans="2:57" outlineLevel="2" x14ac:dyDescent="0.25">
      <c r="B42" s="166" t="s">
        <v>439</v>
      </c>
      <c r="C42" s="183">
        <v>0.91</v>
      </c>
      <c r="D42" s="92">
        <f t="shared" si="26"/>
        <v>29382.974831585889</v>
      </c>
      <c r="E42" s="168">
        <f t="shared" si="21"/>
        <v>4.0898763293892797E-2</v>
      </c>
      <c r="F42" s="169">
        <f t="shared" si="27"/>
        <v>2318.69183508071</v>
      </c>
      <c r="G42" s="170">
        <f t="shared" si="22"/>
        <v>1.8063633075250322E-2</v>
      </c>
      <c r="H42" s="92">
        <v>31701.666666666599</v>
      </c>
      <c r="I42" s="178">
        <v>0.92685899263716798</v>
      </c>
      <c r="J42" s="170">
        <v>1</v>
      </c>
      <c r="L42" s="166" t="s">
        <v>551</v>
      </c>
      <c r="M42" s="166"/>
      <c r="N42" s="166"/>
      <c r="O42" s="166"/>
      <c r="P42" s="183">
        <v>0.87</v>
      </c>
      <c r="Q42" s="185">
        <v>0</v>
      </c>
      <c r="R42" s="185">
        <v>0</v>
      </c>
      <c r="S42" s="185">
        <f t="shared" si="12"/>
        <v>0</v>
      </c>
      <c r="T42" s="184">
        <f t="shared" si="13"/>
        <v>0</v>
      </c>
      <c r="U42" s="189">
        <f t="shared" si="23"/>
        <v>0</v>
      </c>
      <c r="V42" s="184">
        <f t="shared" si="14"/>
        <v>0</v>
      </c>
      <c r="W42" s="189">
        <f t="shared" si="24"/>
        <v>0</v>
      </c>
      <c r="X42" s="161">
        <f t="shared" si="25"/>
        <v>0.93</v>
      </c>
      <c r="AB42" s="12"/>
      <c r="AC42" s="12"/>
      <c r="AD42" s="12"/>
      <c r="AE42" s="26"/>
      <c r="AF42" s="65"/>
      <c r="AP42" s="166" t="s">
        <v>694</v>
      </c>
      <c r="AQ42" s="166"/>
      <c r="AR42" s="166"/>
      <c r="AS42" s="167">
        <v>1</v>
      </c>
      <c r="AT42" s="165">
        <v>31</v>
      </c>
      <c r="AU42" s="165">
        <v>40</v>
      </c>
      <c r="AV42" s="165">
        <v>46</v>
      </c>
      <c r="AW42" s="165">
        <v>42</v>
      </c>
      <c r="AX42" s="165">
        <v>50</v>
      </c>
      <c r="AY42" s="165">
        <v>55</v>
      </c>
      <c r="AZ42" s="90">
        <v>10</v>
      </c>
      <c r="BA42" s="90">
        <v>10</v>
      </c>
      <c r="BB42" s="165">
        <v>13.4</v>
      </c>
      <c r="BC42" s="165">
        <v>11.6</v>
      </c>
      <c r="BD42" s="165">
        <f>1.5+24.5</f>
        <v>26</v>
      </c>
      <c r="BE42" s="165">
        <f>2+10</f>
        <v>12</v>
      </c>
    </row>
    <row r="43" spans="2:57" outlineLevel="2" x14ac:dyDescent="0.25">
      <c r="B43" s="166" t="s">
        <v>440</v>
      </c>
      <c r="C43" s="183">
        <v>0.87</v>
      </c>
      <c r="D43" s="92">
        <f t="shared" si="26"/>
        <v>15543.487097124786</v>
      </c>
      <c r="E43" s="168">
        <f t="shared" si="21"/>
        <v>2.0684295334994267E-2</v>
      </c>
      <c r="F43" s="169">
        <f t="shared" si="27"/>
        <v>1226.5795695418474</v>
      </c>
      <c r="G43" s="170">
        <f t="shared" si="22"/>
        <v>9.1355701556687548E-3</v>
      </c>
      <c r="H43" s="92">
        <v>16770.066666666633</v>
      </c>
      <c r="I43" s="178">
        <v>0.92685899263716798</v>
      </c>
      <c r="J43" s="170">
        <v>1</v>
      </c>
      <c r="L43" s="166" t="s">
        <v>402</v>
      </c>
      <c r="M43" s="166"/>
      <c r="N43" s="166"/>
      <c r="O43" s="166"/>
      <c r="P43" s="183">
        <v>0.89500000000000002</v>
      </c>
      <c r="Q43" s="185">
        <v>143785.1</v>
      </c>
      <c r="R43" s="185">
        <v>34843</v>
      </c>
      <c r="S43" s="185">
        <f t="shared" si="12"/>
        <v>178628.1</v>
      </c>
      <c r="T43" s="184">
        <f t="shared" si="13"/>
        <v>148681.09903499999</v>
      </c>
      <c r="U43" s="189">
        <f t="shared" si="23"/>
        <v>0.2497346825408365</v>
      </c>
      <c r="V43" s="184">
        <f t="shared" si="14"/>
        <v>11191.050464999993</v>
      </c>
      <c r="W43" s="189">
        <f t="shared" si="24"/>
        <v>0.1025515034378373</v>
      </c>
      <c r="X43" s="161">
        <f t="shared" si="25"/>
        <v>0.93</v>
      </c>
      <c r="AB43" s="12"/>
      <c r="AC43" s="12"/>
      <c r="AD43" s="12"/>
      <c r="AE43" s="26"/>
      <c r="AF43" s="65"/>
      <c r="AP43" s="83" t="s">
        <v>711</v>
      </c>
      <c r="AQ43" s="83"/>
      <c r="AR43" s="83"/>
      <c r="AS43" s="312"/>
      <c r="AT43" s="314">
        <f t="shared" ref="AT43:AZ43" si="28">$AS29*AT29+$AS34*AT34+$AS35*AT35+SUMPRODUCT($AS37:$AS40,AT37:AT40)+$AS42*AT42</f>
        <v>6606.9</v>
      </c>
      <c r="AU43" s="314">
        <f t="shared" si="28"/>
        <v>7203.8</v>
      </c>
      <c r="AV43" s="314">
        <f t="shared" si="28"/>
        <v>8057.87</v>
      </c>
      <c r="AW43" s="314">
        <f t="shared" si="28"/>
        <v>6518.82</v>
      </c>
      <c r="AX43" s="314">
        <f t="shared" si="28"/>
        <v>7023.41</v>
      </c>
      <c r="AY43" s="314">
        <f t="shared" si="28"/>
        <v>7957.3850000000002</v>
      </c>
      <c r="AZ43" s="315">
        <f t="shared" si="28"/>
        <v>2021.52</v>
      </c>
      <c r="BA43" s="315">
        <f t="shared" ref="BA43:BE43" si="29">$AS29*BA29+$AS34*BA34+$AS35*BA35+SUMPRODUCT($AS37:$AS40,BA37:BA40)+$AS42*BA42</f>
        <v>2012.05</v>
      </c>
      <c r="BB43" s="314">
        <f t="shared" si="29"/>
        <v>2824.14</v>
      </c>
      <c r="BC43" s="314">
        <f t="shared" si="29"/>
        <v>2680.06</v>
      </c>
      <c r="BD43" s="314">
        <f t="shared" si="29"/>
        <v>2837.37</v>
      </c>
      <c r="BE43" s="314">
        <f t="shared" si="29"/>
        <v>2663.1899999999996</v>
      </c>
    </row>
    <row r="44" spans="2:57" outlineLevel="2" x14ac:dyDescent="0.25">
      <c r="B44" s="166" t="s">
        <v>441</v>
      </c>
      <c r="C44" s="183">
        <v>0.87</v>
      </c>
      <c r="D44" s="92">
        <f t="shared" si="26"/>
        <v>39489.568868500683</v>
      </c>
      <c r="E44" s="168">
        <f t="shared" si="21"/>
        <v>5.2550235350905056E-2</v>
      </c>
      <c r="F44" s="169">
        <f t="shared" si="27"/>
        <v>3116.2311314993494</v>
      </c>
      <c r="G44" s="170">
        <f t="shared" si="22"/>
        <v>2.320970349581554E-2</v>
      </c>
      <c r="H44" s="92">
        <v>42605.800000000032</v>
      </c>
      <c r="I44" s="178">
        <v>0.92685899263716798</v>
      </c>
      <c r="J44" s="170">
        <v>1</v>
      </c>
      <c r="L44" s="166" t="s">
        <v>467</v>
      </c>
      <c r="M44" s="166"/>
      <c r="N44" s="166"/>
      <c r="O44" s="166"/>
      <c r="P44" s="183">
        <v>0.91</v>
      </c>
      <c r="Q44" s="185">
        <v>1937.9</v>
      </c>
      <c r="R44" s="185">
        <v>489</v>
      </c>
      <c r="S44" s="185">
        <f t="shared" si="12"/>
        <v>2426.9</v>
      </c>
      <c r="T44" s="184">
        <f t="shared" si="13"/>
        <v>2053.8854700000002</v>
      </c>
      <c r="U44" s="189">
        <f t="shared" si="23"/>
        <v>3.4498429131529511E-3</v>
      </c>
      <c r="V44" s="184">
        <f t="shared" si="14"/>
        <v>154.5935299999999</v>
      </c>
      <c r="W44" s="189">
        <f t="shared" si="24"/>
        <v>1.4166497571291583E-3</v>
      </c>
      <c r="X44" s="161">
        <f t="shared" si="25"/>
        <v>0.93</v>
      </c>
      <c r="AB44" s="12"/>
      <c r="AC44" s="12"/>
      <c r="AD44" s="12"/>
      <c r="AE44" s="26"/>
      <c r="AF44" s="65"/>
      <c r="AP44" s="83" t="s">
        <v>695</v>
      </c>
      <c r="AQ44" s="83"/>
      <c r="AR44" s="83"/>
      <c r="AS44" s="312"/>
      <c r="AT44" s="311">
        <v>6628</v>
      </c>
      <c r="AU44" s="311">
        <v>7230</v>
      </c>
      <c r="AV44" s="311">
        <v>8085</v>
      </c>
      <c r="AW44" s="311">
        <v>6539</v>
      </c>
      <c r="AX44" s="311">
        <v>7048</v>
      </c>
      <c r="AY44" s="311">
        <v>7986</v>
      </c>
      <c r="AZ44" s="160">
        <v>2051</v>
      </c>
      <c r="BA44" s="160">
        <v>2043</v>
      </c>
      <c r="BB44" s="311">
        <v>2830</v>
      </c>
      <c r="BC44" s="311">
        <v>2688</v>
      </c>
      <c r="BD44" s="311">
        <v>2838</v>
      </c>
      <c r="BE44" s="311">
        <v>2674</v>
      </c>
    </row>
    <row r="45" spans="2:57" outlineLevel="2" x14ac:dyDescent="0.25">
      <c r="B45" s="166" t="s">
        <v>443</v>
      </c>
      <c r="C45" s="183">
        <v>0.9</v>
      </c>
      <c r="D45" s="92">
        <f t="shared" si="26"/>
        <v>103581.4047798645</v>
      </c>
      <c r="E45" s="168">
        <f t="shared" si="21"/>
        <v>0.14259271119257511</v>
      </c>
      <c r="F45" s="169">
        <f t="shared" si="27"/>
        <v>8173.8952201354987</v>
      </c>
      <c r="G45" s="170">
        <f t="shared" si="22"/>
        <v>6.297849144432284E-2</v>
      </c>
      <c r="H45" s="92">
        <v>111755.3</v>
      </c>
      <c r="I45" s="178">
        <v>0.92685899263716798</v>
      </c>
      <c r="J45" s="170">
        <v>0.60570716705655525</v>
      </c>
      <c r="L45" s="166" t="s">
        <v>462</v>
      </c>
      <c r="M45" s="166"/>
      <c r="N45" s="166"/>
      <c r="O45" s="166"/>
      <c r="P45" s="183">
        <v>0.91</v>
      </c>
      <c r="Q45" s="185">
        <v>1397.8</v>
      </c>
      <c r="R45" s="185">
        <v>14372</v>
      </c>
      <c r="S45" s="185">
        <f t="shared" si="12"/>
        <v>15769.8</v>
      </c>
      <c r="T45" s="184">
        <f t="shared" si="13"/>
        <v>13345.981740000001</v>
      </c>
      <c r="U45" s="189">
        <f t="shared" si="23"/>
        <v>2.2416800350998974E-2</v>
      </c>
      <c r="V45" s="184">
        <f t="shared" si="14"/>
        <v>1004.5362599999994</v>
      </c>
      <c r="W45" s="189">
        <f t="shared" si="24"/>
        <v>9.2052755943695247E-3</v>
      </c>
      <c r="X45" s="161">
        <f t="shared" si="25"/>
        <v>0.93</v>
      </c>
      <c r="AB45" s="12"/>
      <c r="AC45" s="12"/>
      <c r="AD45" s="12"/>
      <c r="AE45" s="26"/>
      <c r="AF45" s="65"/>
    </row>
    <row r="46" spans="2:57" outlineLevel="2" x14ac:dyDescent="0.25">
      <c r="B46" s="166" t="s">
        <v>444</v>
      </c>
      <c r="C46" s="183">
        <v>0.92</v>
      </c>
      <c r="D46" s="92">
        <f t="shared" si="26"/>
        <v>3649.7235506071347</v>
      </c>
      <c r="E46" s="168">
        <f t="shared" si="21"/>
        <v>5.1359503625540851E-3</v>
      </c>
      <c r="F46" s="169">
        <f t="shared" si="27"/>
        <v>288.0097827262025</v>
      </c>
      <c r="G46" s="170">
        <f t="shared" si="22"/>
        <v>2.2683796616346378E-3</v>
      </c>
      <c r="H46" s="92">
        <v>3937.7333333333372</v>
      </c>
      <c r="I46" s="178">
        <v>0.92685899263716798</v>
      </c>
      <c r="J46" s="170">
        <v>1</v>
      </c>
      <c r="L46" s="166" t="s">
        <v>468</v>
      </c>
      <c r="M46" s="166"/>
      <c r="N46" s="166"/>
      <c r="O46" s="166"/>
      <c r="P46" s="183">
        <v>0.9</v>
      </c>
      <c r="Q46" s="185">
        <v>3732.3</v>
      </c>
      <c r="R46" s="185">
        <v>1118</v>
      </c>
      <c r="S46" s="185">
        <f t="shared" si="12"/>
        <v>4850.3</v>
      </c>
      <c r="T46" s="184">
        <f t="shared" si="13"/>
        <v>4059.7011000000007</v>
      </c>
      <c r="U46" s="189">
        <f t="shared" si="23"/>
        <v>6.8189445195083057E-3</v>
      </c>
      <c r="V46" s="184">
        <f t="shared" si="14"/>
        <v>305.56889999999981</v>
      </c>
      <c r="W46" s="189">
        <f t="shared" si="24"/>
        <v>2.8001437574471846E-3</v>
      </c>
      <c r="X46" s="161">
        <f t="shared" si="25"/>
        <v>0.93</v>
      </c>
      <c r="AB46" s="12"/>
      <c r="AC46" s="12"/>
      <c r="AD46" s="12"/>
      <c r="AE46" s="26"/>
      <c r="AF46" s="65"/>
      <c r="BA46" t="s">
        <v>713</v>
      </c>
      <c r="BD46" s="317">
        <v>0.18</v>
      </c>
    </row>
    <row r="47" spans="2:57" outlineLevel="2" x14ac:dyDescent="0.25">
      <c r="B47" s="166" t="s">
        <v>448</v>
      </c>
      <c r="C47" s="183">
        <v>0.9</v>
      </c>
      <c r="D47" s="92">
        <f t="shared" si="26"/>
        <v>2313.4678513921531</v>
      </c>
      <c r="E47" s="168">
        <f t="shared" si="21"/>
        <v>3.1847767839020039E-3</v>
      </c>
      <c r="F47" s="169">
        <f t="shared" si="27"/>
        <v>182.56214860784985</v>
      </c>
      <c r="G47" s="170">
        <f t="shared" si="22"/>
        <v>1.4066107289745849E-3</v>
      </c>
      <c r="H47" s="92">
        <f>2773.36666666667*0.9</f>
        <v>2496.0300000000029</v>
      </c>
      <c r="I47" s="178">
        <v>0.92685899263716798</v>
      </c>
      <c r="J47" s="170">
        <v>0.40587012896078656</v>
      </c>
      <c r="L47" s="166" t="s">
        <v>407</v>
      </c>
      <c r="M47" s="166"/>
      <c r="N47" s="166"/>
      <c r="O47" s="166"/>
      <c r="P47" s="183">
        <v>0.87</v>
      </c>
      <c r="Q47" s="185">
        <v>54666.9</v>
      </c>
      <c r="R47" s="185">
        <v>0</v>
      </c>
      <c r="S47" s="185">
        <f t="shared" si="12"/>
        <v>54666.9</v>
      </c>
      <c r="T47" s="184">
        <f t="shared" si="13"/>
        <v>44230.988790000003</v>
      </c>
      <c r="U47" s="189">
        <f t="shared" si="23"/>
        <v>7.4293316471501752E-2</v>
      </c>
      <c r="V47" s="184">
        <f t="shared" si="14"/>
        <v>3329.2142099999978</v>
      </c>
      <c r="W47" s="189">
        <f t="shared" si="24"/>
        <v>3.0507942357144199E-2</v>
      </c>
      <c r="X47" s="161">
        <f t="shared" si="25"/>
        <v>0.93</v>
      </c>
      <c r="Y47" s="42">
        <f t="shared" ref="Y47:Y54" si="30">W47/SUM(W$26:W$31,W$47:W$54)</f>
        <v>4.0623742922635674E-2</v>
      </c>
      <c r="AB47" s="12"/>
      <c r="AC47" s="12"/>
      <c r="AD47" s="12"/>
      <c r="AE47" s="26"/>
      <c r="AF47" s="65"/>
      <c r="BA47" t="s">
        <v>712</v>
      </c>
    </row>
    <row r="48" spans="2:57" outlineLevel="2" x14ac:dyDescent="0.25">
      <c r="B48" s="166" t="s">
        <v>449</v>
      </c>
      <c r="C48" s="183">
        <v>0.9</v>
      </c>
      <c r="D48" s="92">
        <f t="shared" si="26"/>
        <v>257.05198348801702</v>
      </c>
      <c r="E48" s="168">
        <f t="shared" si="21"/>
        <v>3.5386408710022266E-4</v>
      </c>
      <c r="F48" s="169">
        <f t="shared" si="27"/>
        <v>20.284683178649971</v>
      </c>
      <c r="G48" s="170">
        <f t="shared" si="22"/>
        <v>1.5629008099717602E-4</v>
      </c>
      <c r="H48" s="92">
        <f>2773.36666666667*0.1</f>
        <v>277.33666666666699</v>
      </c>
      <c r="I48" s="178">
        <v>0.92685899263716798</v>
      </c>
      <c r="J48" s="170">
        <v>0.40587012896078656</v>
      </c>
      <c r="L48" s="166" t="s">
        <v>552</v>
      </c>
      <c r="M48" s="166"/>
      <c r="N48" s="166"/>
      <c r="O48" s="166"/>
      <c r="P48" s="183">
        <v>0.878</v>
      </c>
      <c r="Q48" s="185">
        <v>142</v>
      </c>
      <c r="R48" s="185">
        <v>0</v>
      </c>
      <c r="S48" s="185">
        <f t="shared" si="12"/>
        <v>142</v>
      </c>
      <c r="T48" s="184">
        <f t="shared" si="13"/>
        <v>115.94868</v>
      </c>
      <c r="U48" s="189">
        <f t="shared" si="23"/>
        <v>1.9475513013266472E-4</v>
      </c>
      <c r="V48" s="184">
        <f t="shared" si="14"/>
        <v>8.7273199999999935</v>
      </c>
      <c r="W48" s="189">
        <f t="shared" si="24"/>
        <v>7.9974600220257885E-5</v>
      </c>
      <c r="X48" s="161">
        <f t="shared" si="25"/>
        <v>0.93</v>
      </c>
      <c r="Y48" s="42">
        <f t="shared" si="30"/>
        <v>1.0649251796975141E-4</v>
      </c>
      <c r="AB48" s="12"/>
      <c r="AC48" s="12"/>
      <c r="AD48" s="12"/>
      <c r="AE48" s="26"/>
      <c r="AF48" s="65"/>
    </row>
    <row r="49" spans="2:44" outlineLevel="2" x14ac:dyDescent="0.25">
      <c r="B49" s="166" t="s">
        <v>445</v>
      </c>
      <c r="C49" s="183">
        <v>1</v>
      </c>
      <c r="D49" s="92">
        <f t="shared" si="26"/>
        <v>19145.662781409661</v>
      </c>
      <c r="E49" s="168">
        <f t="shared" si="21"/>
        <v>2.9284878447717939E-2</v>
      </c>
      <c r="F49" s="169">
        <f t="shared" si="27"/>
        <v>1510.837218590339</v>
      </c>
      <c r="G49" s="170">
        <f t="shared" si="22"/>
        <v>1.2934163684403482E-2</v>
      </c>
      <c r="H49" s="92">
        <v>20656.5</v>
      </c>
      <c r="I49" s="178">
        <v>0.92685899263716798</v>
      </c>
      <c r="J49" s="170">
        <v>0.2671631311304497</v>
      </c>
      <c r="L49" s="166" t="s">
        <v>553</v>
      </c>
      <c r="M49" s="166"/>
      <c r="N49" s="166"/>
      <c r="O49" s="166"/>
      <c r="P49" s="183">
        <v>0.87599999999999989</v>
      </c>
      <c r="Q49" s="185">
        <v>6539</v>
      </c>
      <c r="R49" s="185">
        <v>0</v>
      </c>
      <c r="S49" s="185">
        <f t="shared" si="12"/>
        <v>6539</v>
      </c>
      <c r="T49" s="184">
        <f t="shared" si="13"/>
        <v>5327.1925199999996</v>
      </c>
      <c r="U49" s="189">
        <f t="shared" si="23"/>
        <v>8.9479075783731061E-3</v>
      </c>
      <c r="V49" s="184">
        <f t="shared" si="14"/>
        <v>400.97147999999964</v>
      </c>
      <c r="W49" s="189">
        <f t="shared" si="24"/>
        <v>3.6743850131225994E-3</v>
      </c>
      <c r="X49" s="161">
        <f t="shared" si="25"/>
        <v>0.93</v>
      </c>
      <c r="Y49" s="42">
        <f t="shared" si="30"/>
        <v>4.8927348303096268E-3</v>
      </c>
      <c r="AB49" s="12"/>
      <c r="AC49" s="12"/>
      <c r="AD49" s="12"/>
      <c r="AE49" s="26"/>
      <c r="AF49" s="65"/>
    </row>
    <row r="50" spans="2:44" outlineLevel="2" x14ac:dyDescent="0.25">
      <c r="B50" s="166" t="s">
        <v>446</v>
      </c>
      <c r="C50" s="183">
        <v>1</v>
      </c>
      <c r="D50" s="92">
        <f t="shared" si="26"/>
        <v>35644.185384547847</v>
      </c>
      <c r="E50" s="168">
        <f t="shared" si="21"/>
        <v>5.4520736538197417E-2</v>
      </c>
      <c r="F50" s="169">
        <f t="shared" si="27"/>
        <v>2812.7812821188563</v>
      </c>
      <c r="G50" s="170">
        <f t="shared" si="22"/>
        <v>2.4080008794922475E-2</v>
      </c>
      <c r="H50" s="92">
        <v>38456.966666666704</v>
      </c>
      <c r="I50" s="178">
        <v>0.92685899263716798</v>
      </c>
      <c r="J50" s="170">
        <v>0.14385536511797675</v>
      </c>
      <c r="L50" s="166" t="s">
        <v>554</v>
      </c>
      <c r="M50" s="166"/>
      <c r="N50" s="166"/>
      <c r="O50" s="166"/>
      <c r="P50" s="183">
        <v>0.87599999999999989</v>
      </c>
      <c r="Q50" s="185">
        <v>738</v>
      </c>
      <c r="R50" s="185">
        <v>0</v>
      </c>
      <c r="S50" s="185">
        <f t="shared" si="12"/>
        <v>738</v>
      </c>
      <c r="T50" s="184">
        <f t="shared" si="13"/>
        <v>601.23383999999999</v>
      </c>
      <c r="U50" s="189">
        <f t="shared" si="23"/>
        <v>1.0098724258815342E-3</v>
      </c>
      <c r="V50" s="184">
        <f t="shared" si="14"/>
        <v>45.254159999999963</v>
      </c>
      <c r="W50" s="189">
        <f t="shared" si="24"/>
        <v>4.146958464114511E-4</v>
      </c>
      <c r="X50" s="161">
        <f t="shared" si="25"/>
        <v>0.93</v>
      </c>
      <c r="Y50" s="42">
        <f t="shared" si="30"/>
        <v>5.5220038305069661E-4</v>
      </c>
      <c r="AB50" s="12"/>
      <c r="AC50" s="12"/>
      <c r="AD50" s="12"/>
      <c r="AE50" s="26"/>
      <c r="AF50" s="65"/>
    </row>
    <row r="51" spans="2:44" outlineLevel="2" x14ac:dyDescent="0.25">
      <c r="B51" s="166" t="s">
        <v>455</v>
      </c>
      <c r="C51" s="183">
        <v>0.9</v>
      </c>
      <c r="D51" s="92">
        <f t="shared" si="26"/>
        <v>38744.652296118176</v>
      </c>
      <c r="E51" s="168">
        <f t="shared" si="21"/>
        <v>5.3336841944347575E-2</v>
      </c>
      <c r="F51" s="169">
        <f t="shared" si="27"/>
        <v>3057.4477038818441</v>
      </c>
      <c r="G51" s="170">
        <f t="shared" si="22"/>
        <v>2.3557121650648622E-2</v>
      </c>
      <c r="H51" s="92">
        <f>69670.1666666667*0.6</f>
        <v>41802.10000000002</v>
      </c>
      <c r="I51" s="178">
        <v>0.92685899263716798</v>
      </c>
      <c r="J51" s="170">
        <v>0.46986991038291381</v>
      </c>
      <c r="L51" s="166" t="s">
        <v>555</v>
      </c>
      <c r="M51" s="166"/>
      <c r="N51" s="166"/>
      <c r="O51" s="166"/>
      <c r="P51" s="183">
        <v>0.87599999999999989</v>
      </c>
      <c r="Q51" s="185">
        <v>2276</v>
      </c>
      <c r="R51" s="185">
        <v>0</v>
      </c>
      <c r="S51" s="185">
        <f t="shared" si="12"/>
        <v>2276</v>
      </c>
      <c r="T51" s="184">
        <f>S51*X51*P51</f>
        <v>1854.2116800000001</v>
      </c>
      <c r="U51" s="189">
        <f t="shared" si="23"/>
        <v>3.1144575085452196E-3</v>
      </c>
      <c r="V51" s="184">
        <f t="shared" si="14"/>
        <v>139.56431999999987</v>
      </c>
      <c r="W51" s="189">
        <f t="shared" si="24"/>
        <v>1.2789264856808435E-3</v>
      </c>
      <c r="X51" s="161">
        <f t="shared" si="25"/>
        <v>0.93</v>
      </c>
      <c r="Y51" s="42">
        <f t="shared" si="30"/>
        <v>1.7029919672403593E-3</v>
      </c>
      <c r="AB51" s="12"/>
      <c r="AC51" s="12"/>
      <c r="AD51" s="12"/>
      <c r="AE51" s="26"/>
      <c r="AF51" s="65"/>
    </row>
    <row r="52" spans="2:44" outlineLevel="2" x14ac:dyDescent="0.25">
      <c r="B52" s="166" t="s">
        <v>454</v>
      </c>
      <c r="C52" s="183">
        <v>0.75</v>
      </c>
      <c r="D52" s="92">
        <f t="shared" si="26"/>
        <v>25829.768197412119</v>
      </c>
      <c r="E52" s="168">
        <f t="shared" si="21"/>
        <v>2.963157885797087E-2</v>
      </c>
      <c r="F52" s="169">
        <f t="shared" si="27"/>
        <v>2038.2984692545615</v>
      </c>
      <c r="G52" s="170">
        <f t="shared" si="22"/>
        <v>1.3087289805915893E-2</v>
      </c>
      <c r="H52" s="92">
        <f>69670.1666666667*0.4</f>
        <v>27868.06666666668</v>
      </c>
      <c r="I52" s="178">
        <v>0.92685899263716798</v>
      </c>
      <c r="J52" s="170">
        <v>0.46986991038291381</v>
      </c>
      <c r="L52" s="166" t="s">
        <v>403</v>
      </c>
      <c r="M52" s="166"/>
      <c r="N52" s="166"/>
      <c r="O52" s="166"/>
      <c r="P52" s="183">
        <v>0.9</v>
      </c>
      <c r="Q52" s="185">
        <v>56803</v>
      </c>
      <c r="R52" s="185">
        <v>0</v>
      </c>
      <c r="S52" s="185">
        <f t="shared" si="12"/>
        <v>56803</v>
      </c>
      <c r="T52" s="184">
        <f t="shared" si="13"/>
        <v>47544.111000000004</v>
      </c>
      <c r="U52" s="189">
        <f t="shared" si="23"/>
        <v>7.9858257332872246E-2</v>
      </c>
      <c r="V52" s="184">
        <f t="shared" si="14"/>
        <v>3578.5889999999977</v>
      </c>
      <c r="W52" s="189">
        <f t="shared" si="24"/>
        <v>3.2793139775740145E-2</v>
      </c>
      <c r="X52" s="161">
        <f t="shared" si="25"/>
        <v>0.93</v>
      </c>
      <c r="Y52" s="42">
        <f t="shared" si="30"/>
        <v>4.3666664381374211E-2</v>
      </c>
      <c r="AB52" s="12"/>
      <c r="AC52" s="12"/>
      <c r="AD52" s="12"/>
      <c r="AE52" s="26"/>
      <c r="AF52" s="65"/>
    </row>
    <row r="53" spans="2:44" outlineLevel="2" x14ac:dyDescent="0.25">
      <c r="B53" s="172" t="s">
        <v>447</v>
      </c>
      <c r="C53" s="172"/>
      <c r="D53" s="173">
        <v>692.67262049750991</v>
      </c>
      <c r="E53" s="174"/>
      <c r="F53" s="175">
        <v>54.660712835823112</v>
      </c>
      <c r="G53" s="176"/>
      <c r="H53" s="92"/>
      <c r="I53" s="179">
        <v>0.92685899263716798</v>
      </c>
      <c r="J53" s="176">
        <v>0.15455308043620117</v>
      </c>
      <c r="L53" s="166" t="s">
        <v>556</v>
      </c>
      <c r="M53" s="166"/>
      <c r="N53" s="166"/>
      <c r="O53" s="166"/>
      <c r="P53" s="183">
        <v>0.9</v>
      </c>
      <c r="Q53" s="185"/>
      <c r="R53" s="185"/>
      <c r="S53" s="185">
        <f t="shared" si="12"/>
        <v>0</v>
      </c>
      <c r="T53" s="184">
        <f t="shared" si="13"/>
        <v>0</v>
      </c>
      <c r="U53" s="189">
        <f t="shared" si="23"/>
        <v>0</v>
      </c>
      <c r="V53" s="184">
        <f t="shared" si="14"/>
        <v>0</v>
      </c>
      <c r="W53" s="189">
        <f t="shared" si="24"/>
        <v>0</v>
      </c>
      <c r="X53" s="161">
        <f t="shared" si="25"/>
        <v>0.93</v>
      </c>
      <c r="Y53" s="42">
        <f t="shared" si="30"/>
        <v>0</v>
      </c>
      <c r="AA53" s="1"/>
      <c r="AB53" s="12"/>
      <c r="AC53" s="12"/>
      <c r="AF53" s="32"/>
    </row>
    <row r="54" spans="2:44" outlineLevel="2" x14ac:dyDescent="0.25">
      <c r="L54" s="166" t="s">
        <v>557</v>
      </c>
      <c r="M54" s="166"/>
      <c r="N54" s="166"/>
      <c r="O54" s="166"/>
      <c r="P54" s="183">
        <v>0.88500000000000001</v>
      </c>
      <c r="Q54" s="185">
        <v>198</v>
      </c>
      <c r="R54" s="185">
        <v>1547.5</v>
      </c>
      <c r="S54" s="185">
        <f t="shared" si="12"/>
        <v>1745.5</v>
      </c>
      <c r="T54" s="184">
        <f t="shared" si="13"/>
        <v>1436.633775</v>
      </c>
      <c r="U54" s="189">
        <f t="shared" si="23"/>
        <v>2.4130658305304242E-3</v>
      </c>
      <c r="V54" s="184">
        <f t="shared" si="14"/>
        <v>108.13372499999993</v>
      </c>
      <c r="W54" s="189">
        <f t="shared" si="24"/>
        <v>9.9090573362754049E-4</v>
      </c>
      <c r="X54" s="161">
        <f t="shared" si="25"/>
        <v>0.93</v>
      </c>
      <c r="Y54" s="42">
        <f t="shared" si="30"/>
        <v>1.3194695109952034E-3</v>
      </c>
      <c r="AB54" s="12"/>
      <c r="AC54" s="12"/>
    </row>
    <row r="55" spans="2:44" outlineLevel="2" x14ac:dyDescent="0.25">
      <c r="L55" s="166" t="s">
        <v>471</v>
      </c>
      <c r="M55" s="166"/>
      <c r="N55" s="166"/>
      <c r="O55" s="166"/>
      <c r="P55" s="183">
        <v>0.755</v>
      </c>
      <c r="Q55" s="185">
        <v>22689.449999999997</v>
      </c>
      <c r="R55" s="185">
        <v>0</v>
      </c>
      <c r="S55" s="185">
        <f t="shared" si="12"/>
        <v>22689.449999999997</v>
      </c>
      <c r="T55" s="184">
        <f t="shared" si="13"/>
        <v>15931.397317500001</v>
      </c>
      <c r="U55" s="189">
        <f t="shared" si="23"/>
        <v>2.6759436655638499E-2</v>
      </c>
      <c r="V55" s="184">
        <f t="shared" si="14"/>
        <v>1199.137432499999</v>
      </c>
      <c r="W55" s="189">
        <f t="shared" si="24"/>
        <v>1.098854365066641E-2</v>
      </c>
      <c r="X55" s="161">
        <f t="shared" si="25"/>
        <v>0.93</v>
      </c>
      <c r="Y55" s="26"/>
    </row>
    <row r="56" spans="2:44" outlineLevel="2" x14ac:dyDescent="0.25">
      <c r="L56" s="166" t="s">
        <v>406</v>
      </c>
      <c r="M56" s="166"/>
      <c r="N56" s="166"/>
      <c r="O56" s="166"/>
      <c r="P56" s="183">
        <v>0.89500000000000002</v>
      </c>
      <c r="Q56" s="185">
        <v>9769.35</v>
      </c>
      <c r="R56" s="185">
        <v>27163.3</v>
      </c>
      <c r="S56" s="185">
        <f t="shared" si="12"/>
        <v>36932.65</v>
      </c>
      <c r="T56" s="184">
        <f t="shared" si="13"/>
        <v>30740.891227500004</v>
      </c>
      <c r="U56" s="189">
        <f t="shared" si="23"/>
        <v>5.1634449580675305E-2</v>
      </c>
      <c r="V56" s="184">
        <f t="shared" si="14"/>
        <v>2313.8305224999986</v>
      </c>
      <c r="W56" s="189">
        <f t="shared" si="24"/>
        <v>2.1203264119382347E-2</v>
      </c>
      <c r="X56" s="161">
        <f t="shared" si="25"/>
        <v>0.93</v>
      </c>
    </row>
    <row r="57" spans="2:44" outlineLevel="2" x14ac:dyDescent="0.25">
      <c r="L57" s="166" t="s">
        <v>558</v>
      </c>
      <c r="M57" s="166"/>
      <c r="N57" s="166"/>
      <c r="O57" s="166"/>
      <c r="P57" s="183">
        <v>0.97</v>
      </c>
      <c r="Q57" s="185">
        <v>0</v>
      </c>
      <c r="R57" s="185">
        <v>0</v>
      </c>
      <c r="S57" s="185">
        <f t="shared" si="12"/>
        <v>0</v>
      </c>
      <c r="T57" s="184">
        <f t="shared" si="13"/>
        <v>0</v>
      </c>
      <c r="U57" s="189">
        <f t="shared" si="23"/>
        <v>0</v>
      </c>
      <c r="V57" s="184">
        <f t="shared" si="14"/>
        <v>0</v>
      </c>
      <c r="W57" s="189">
        <f t="shared" si="24"/>
        <v>0</v>
      </c>
      <c r="X57" s="161">
        <f t="shared" si="25"/>
        <v>0.93</v>
      </c>
    </row>
    <row r="58" spans="2:44" outlineLevel="2" x14ac:dyDescent="0.25">
      <c r="L58" s="166" t="s">
        <v>469</v>
      </c>
      <c r="M58" s="166"/>
      <c r="N58" s="166"/>
      <c r="O58" s="166"/>
      <c r="P58" s="183">
        <v>0.91</v>
      </c>
      <c r="Q58" s="185">
        <v>135.5</v>
      </c>
      <c r="R58" s="185">
        <v>30.8</v>
      </c>
      <c r="S58" s="185">
        <f t="shared" si="12"/>
        <v>166.3</v>
      </c>
      <c r="T58" s="184">
        <f t="shared" si="13"/>
        <v>140.73969000000002</v>
      </c>
      <c r="U58" s="189">
        <f t="shared" si="23"/>
        <v>2.3639576268380891E-4</v>
      </c>
      <c r="V58" s="184">
        <f t="shared" si="14"/>
        <v>10.593309999999994</v>
      </c>
      <c r="W58" s="189">
        <f t="shared" si="24"/>
        <v>9.7073985170620562E-5</v>
      </c>
      <c r="X58" s="161">
        <f t="shared" si="25"/>
        <v>0.93</v>
      </c>
      <c r="Z58" s="262"/>
      <c r="AA58" s="263"/>
      <c r="AB58" s="264"/>
      <c r="AC58" s="265"/>
    </row>
    <row r="59" spans="2:44" outlineLevel="2" x14ac:dyDescent="0.25">
      <c r="L59" s="166" t="s">
        <v>559</v>
      </c>
      <c r="M59" s="166"/>
      <c r="N59" s="166"/>
      <c r="O59" s="166"/>
      <c r="P59" s="183">
        <v>0.92</v>
      </c>
      <c r="Q59" s="185">
        <v>0</v>
      </c>
      <c r="R59" s="185">
        <v>0</v>
      </c>
      <c r="S59" s="185">
        <f t="shared" si="12"/>
        <v>0</v>
      </c>
      <c r="T59" s="184">
        <f t="shared" si="13"/>
        <v>0</v>
      </c>
      <c r="U59" s="189">
        <f t="shared" si="23"/>
        <v>0</v>
      </c>
      <c r="V59" s="184">
        <f t="shared" si="14"/>
        <v>0</v>
      </c>
      <c r="W59" s="189">
        <f t="shared" si="24"/>
        <v>0</v>
      </c>
      <c r="X59" s="161">
        <f t="shared" si="25"/>
        <v>0.93</v>
      </c>
    </row>
    <row r="60" spans="2:44" outlineLevel="2" x14ac:dyDescent="0.25">
      <c r="L60" s="172" t="s">
        <v>418</v>
      </c>
      <c r="M60" s="172"/>
      <c r="N60" s="172"/>
      <c r="O60" s="172"/>
      <c r="P60" s="247">
        <v>1</v>
      </c>
      <c r="Q60" s="248">
        <v>16268</v>
      </c>
      <c r="R60" s="248">
        <v>1347.3</v>
      </c>
      <c r="S60" s="248">
        <f t="shared" si="12"/>
        <v>17615.3</v>
      </c>
      <c r="T60" s="249">
        <f t="shared" si="13"/>
        <v>16382.228999999999</v>
      </c>
      <c r="U60" s="250"/>
      <c r="V60" s="249">
        <f t="shared" si="14"/>
        <v>1233.070999999999</v>
      </c>
      <c r="W60" s="250"/>
      <c r="X60" s="251">
        <f t="shared" si="25"/>
        <v>0.93</v>
      </c>
      <c r="Z60" s="259" t="s">
        <v>598</v>
      </c>
      <c r="AA60" s="259"/>
      <c r="AB60" s="259"/>
      <c r="AC60" s="258"/>
      <c r="AE60" t="s">
        <v>599</v>
      </c>
      <c r="AQ60" s="12"/>
      <c r="AR60" s="26"/>
    </row>
    <row r="61" spans="2:44" outlineLevel="2" x14ac:dyDescent="0.25">
      <c r="Z61" s="259" t="s">
        <v>600</v>
      </c>
      <c r="AA61" s="259"/>
      <c r="AB61" s="259"/>
      <c r="AC61" s="258"/>
      <c r="AE61" t="s">
        <v>1</v>
      </c>
      <c r="AG61">
        <v>9</v>
      </c>
      <c r="AH61" t="s">
        <v>8</v>
      </c>
      <c r="AQ61" s="12"/>
      <c r="AR61" s="26"/>
    </row>
    <row r="62" spans="2:44" outlineLevel="1" x14ac:dyDescent="0.25">
      <c r="S62" s="182" t="s">
        <v>564</v>
      </c>
      <c r="T62" s="12">
        <f>SUM(T26:T31)</f>
        <v>133223.58807869646</v>
      </c>
      <c r="U62" s="26">
        <f>T62/SUM(T$62:T$63)</f>
        <v>0.22377121699882263</v>
      </c>
      <c r="V62" s="12">
        <f>SUM(V26:V31)</f>
        <v>74341.969921303564</v>
      </c>
      <c r="W62" s="26">
        <f>V62/SUM(V$62:V$63)</f>
        <v>0.68124800328654078</v>
      </c>
      <c r="Z62" s="258" t="s">
        <v>594</v>
      </c>
      <c r="AA62" s="259"/>
      <c r="AB62" s="259"/>
      <c r="AC62" s="258"/>
      <c r="AE62" t="s">
        <v>5</v>
      </c>
      <c r="AG62">
        <v>14</v>
      </c>
      <c r="AH62" t="s">
        <v>8</v>
      </c>
      <c r="AI62" s="2"/>
      <c r="AQ62" s="12"/>
      <c r="AR62" s="26"/>
    </row>
    <row r="63" spans="2:44" x14ac:dyDescent="0.25">
      <c r="S63" s="182" t="s">
        <v>565</v>
      </c>
      <c r="T63" s="12">
        <f>SUM(T34:T59)</f>
        <v>462132.64166999998</v>
      </c>
      <c r="U63" s="26">
        <f>T63/SUM(T$62:T$63)</f>
        <v>0.77622878300117737</v>
      </c>
      <c r="V63" s="12">
        <f>SUM(V34:V59)</f>
        <v>34784.177329999977</v>
      </c>
      <c r="W63" s="26">
        <f>V63/SUM(V$62:V$63)</f>
        <v>0.31875199671345927</v>
      </c>
      <c r="AQ63" s="12"/>
      <c r="AR63" s="26"/>
    </row>
    <row r="64" spans="2:44" x14ac:dyDescent="0.25">
      <c r="S64" s="182"/>
      <c r="T64" s="12"/>
      <c r="U64" s="26"/>
      <c r="V64" s="12"/>
      <c r="W64" s="26"/>
      <c r="AQ64" s="12"/>
      <c r="AR64" s="26"/>
    </row>
    <row r="65" spans="1:46" x14ac:dyDescent="0.25">
      <c r="AA65" s="260" t="s">
        <v>595</v>
      </c>
      <c r="AB65" s="261">
        <v>1</v>
      </c>
      <c r="AC65" s="261">
        <v>1</v>
      </c>
      <c r="AD65" s="261">
        <v>1</v>
      </c>
      <c r="AE65" s="261">
        <v>1</v>
      </c>
      <c r="AF65" s="261">
        <v>1</v>
      </c>
      <c r="AG65" s="261">
        <v>1</v>
      </c>
      <c r="AH65" s="261">
        <v>1</v>
      </c>
      <c r="AI65" s="261">
        <v>1</v>
      </c>
      <c r="AJ65" s="261">
        <v>0.65</v>
      </c>
      <c r="AK65" s="261">
        <v>1</v>
      </c>
      <c r="AL65" s="261">
        <v>1</v>
      </c>
      <c r="AM65" s="261">
        <v>1</v>
      </c>
      <c r="AN65" s="261">
        <v>1</v>
      </c>
      <c r="AO65" s="261">
        <v>1</v>
      </c>
      <c r="AP65" s="261">
        <v>1</v>
      </c>
      <c r="AQ65" s="261">
        <v>1</v>
      </c>
      <c r="AR65" s="261">
        <v>1</v>
      </c>
      <c r="AS65" s="261">
        <v>0.65</v>
      </c>
      <c r="AT65" s="261">
        <v>1</v>
      </c>
    </row>
    <row r="66" spans="1:46" x14ac:dyDescent="0.25">
      <c r="W66" s="2"/>
      <c r="AA66" s="270" t="s">
        <v>596</v>
      </c>
      <c r="AB66" s="271">
        <f>1+(D77*(1-AB65))/SUM(D72:D73)</f>
        <v>1</v>
      </c>
      <c r="AC66" s="271">
        <f>1+(E77*(1-AC65))/SUM(E72:E73)</f>
        <v>1</v>
      </c>
      <c r="AD66" s="261">
        <v>1</v>
      </c>
      <c r="AE66" s="271">
        <f t="shared" ref="AE66:AL66" si="31">1+(G77*(1-AE65))/SUM(G72:G73)</f>
        <v>1</v>
      </c>
      <c r="AF66" s="271">
        <f t="shared" si="31"/>
        <v>1</v>
      </c>
      <c r="AG66" s="271">
        <f t="shared" si="31"/>
        <v>1</v>
      </c>
      <c r="AH66" s="271">
        <f t="shared" si="31"/>
        <v>1</v>
      </c>
      <c r="AI66" s="271">
        <f t="shared" si="31"/>
        <v>1</v>
      </c>
      <c r="AJ66" s="271">
        <f t="shared" si="31"/>
        <v>1.0743640187232888</v>
      </c>
      <c r="AK66" s="271">
        <f t="shared" si="31"/>
        <v>1</v>
      </c>
      <c r="AL66" s="271">
        <f t="shared" si="31"/>
        <v>1</v>
      </c>
      <c r="AM66" s="261">
        <v>1</v>
      </c>
      <c r="AN66" s="271">
        <f>1+(P77*(1-AN65))/SUM(P72:P73)</f>
        <v>1</v>
      </c>
      <c r="AO66" s="271">
        <f>1+(R77*(1-AO65))/SUM(R72:R73)</f>
        <v>1</v>
      </c>
      <c r="AP66" s="271">
        <f>1+(R77*(1-AP65))/SUM(R72:R73)</f>
        <v>1</v>
      </c>
      <c r="AQ66" s="271">
        <f>1+(S77*(1-AQ65))/SUM(S72:S73)</f>
        <v>1</v>
      </c>
      <c r="AR66" s="271">
        <f>1+(T77*(1-AR65))/SUM(T72:T73)</f>
        <v>1</v>
      </c>
      <c r="AS66" s="271">
        <f>1+(U77*(1-AS65))/SUM(U72:U73)</f>
        <v>1.1155987682962838</v>
      </c>
      <c r="AT66" s="271">
        <f>1+(V77*(1-AT65))/SUM(V72:V73)</f>
        <v>1</v>
      </c>
    </row>
    <row r="67" spans="1:46" x14ac:dyDescent="0.25">
      <c r="B67" s="6" t="s">
        <v>472</v>
      </c>
      <c r="C67" s="6"/>
      <c r="D67" s="90" t="s">
        <v>36</v>
      </c>
      <c r="E67" s="90" t="s">
        <v>36</v>
      </c>
      <c r="F67" s="90" t="s">
        <v>36</v>
      </c>
      <c r="G67" s="90" t="s">
        <v>36</v>
      </c>
      <c r="H67" s="90" t="s">
        <v>36</v>
      </c>
      <c r="I67" s="90" t="s">
        <v>36</v>
      </c>
      <c r="J67" s="90" t="s">
        <v>36</v>
      </c>
      <c r="K67" s="90" t="s">
        <v>36</v>
      </c>
      <c r="L67" s="49" t="s">
        <v>2</v>
      </c>
      <c r="M67" s="49" t="s">
        <v>2</v>
      </c>
      <c r="N67" s="49" t="s">
        <v>2</v>
      </c>
      <c r="O67" s="49" t="s">
        <v>2</v>
      </c>
      <c r="P67" s="49" t="s">
        <v>2</v>
      </c>
      <c r="Q67" s="49" t="s">
        <v>2</v>
      </c>
      <c r="R67" s="49" t="s">
        <v>2</v>
      </c>
      <c r="S67" s="49" t="s">
        <v>2</v>
      </c>
      <c r="T67" s="49" t="s">
        <v>2</v>
      </c>
      <c r="U67" s="49" t="s">
        <v>2</v>
      </c>
      <c r="V67" s="49" t="s">
        <v>2</v>
      </c>
      <c r="Y67" s="6" t="s">
        <v>472</v>
      </c>
      <c r="AB67" t="str">
        <f t="shared" ref="AB67:AO70" si="32">""&amp;D67</f>
        <v>beef</v>
      </c>
      <c r="AC67" t="str">
        <f t="shared" si="32"/>
        <v>beef</v>
      </c>
      <c r="AD67" t="str">
        <f t="shared" si="32"/>
        <v>beef</v>
      </c>
      <c r="AE67" t="str">
        <f t="shared" si="32"/>
        <v>beef</v>
      </c>
      <c r="AF67" t="str">
        <f t="shared" si="32"/>
        <v>beef</v>
      </c>
      <c r="AG67" t="str">
        <f t="shared" si="32"/>
        <v>beef</v>
      </c>
      <c r="AH67" t="str">
        <f t="shared" si="32"/>
        <v>beef</v>
      </c>
      <c r="AI67" t="str">
        <f t="shared" si="32"/>
        <v>beef</v>
      </c>
      <c r="AJ67" t="str">
        <f t="shared" si="32"/>
        <v>dairy</v>
      </c>
      <c r="AK67" t="str">
        <f t="shared" si="32"/>
        <v>dairy</v>
      </c>
      <c r="AL67" t="str">
        <f t="shared" si="32"/>
        <v>dairy</v>
      </c>
      <c r="AM67" t="str">
        <f t="shared" si="32"/>
        <v>dairy</v>
      </c>
      <c r="AN67" t="str">
        <f t="shared" si="32"/>
        <v>dairy</v>
      </c>
      <c r="AO67" t="str">
        <f t="shared" si="32"/>
        <v>dairy</v>
      </c>
      <c r="AP67" t="str">
        <f t="shared" ref="AP67:AT70" si="33">""&amp;R67</f>
        <v>dairy</v>
      </c>
      <c r="AQ67" t="str">
        <f t="shared" si="33"/>
        <v>dairy</v>
      </c>
      <c r="AR67" t="str">
        <f t="shared" si="33"/>
        <v>dairy</v>
      </c>
      <c r="AS67" t="str">
        <f t="shared" si="33"/>
        <v>dairy</v>
      </c>
      <c r="AT67" t="str">
        <f t="shared" si="33"/>
        <v>dairy</v>
      </c>
    </row>
    <row r="68" spans="1:46" x14ac:dyDescent="0.25">
      <c r="B68" s="6" t="s">
        <v>710</v>
      </c>
      <c r="C68" s="6"/>
      <c r="D68" s="32"/>
      <c r="E68" s="32"/>
      <c r="F68" s="32"/>
      <c r="G68" s="32"/>
      <c r="H68" s="32"/>
      <c r="I68" s="32" t="s">
        <v>1</v>
      </c>
      <c r="J68" s="32" t="s">
        <v>1</v>
      </c>
      <c r="K68" t="s">
        <v>5</v>
      </c>
      <c r="L68" s="32" t="s">
        <v>1</v>
      </c>
      <c r="M68" t="s">
        <v>5</v>
      </c>
      <c r="N68" s="32"/>
      <c r="O68" s="32"/>
      <c r="P68" s="32" t="s">
        <v>1</v>
      </c>
      <c r="Q68" t="s">
        <v>5</v>
      </c>
      <c r="R68" s="32"/>
      <c r="S68" s="32" t="s">
        <v>1</v>
      </c>
      <c r="T68" t="s">
        <v>5</v>
      </c>
      <c r="U68" s="32" t="s">
        <v>1</v>
      </c>
      <c r="V68" s="32" t="s">
        <v>1</v>
      </c>
      <c r="Y68" s="6" t="s">
        <v>710</v>
      </c>
      <c r="AB68" t="str">
        <f t="shared" si="32"/>
        <v/>
      </c>
      <c r="AC68" t="str">
        <f t="shared" si="32"/>
        <v/>
      </c>
      <c r="AD68" t="str">
        <f t="shared" si="32"/>
        <v/>
      </c>
      <c r="AE68" t="str">
        <f t="shared" si="32"/>
        <v/>
      </c>
      <c r="AF68" t="str">
        <f t="shared" si="32"/>
        <v/>
      </c>
      <c r="AG68" t="str">
        <f t="shared" si="32"/>
        <v>conventional</v>
      </c>
      <c r="AH68" t="str">
        <f t="shared" si="32"/>
        <v>conventional</v>
      </c>
      <c r="AI68" t="str">
        <f t="shared" si="32"/>
        <v>organic</v>
      </c>
      <c r="AJ68" t="str">
        <f t="shared" si="32"/>
        <v>conventional</v>
      </c>
      <c r="AK68" t="str">
        <f t="shared" si="32"/>
        <v>organic</v>
      </c>
      <c r="AL68" t="str">
        <f t="shared" si="32"/>
        <v/>
      </c>
      <c r="AM68" t="str">
        <f t="shared" si="32"/>
        <v/>
      </c>
      <c r="AN68" t="str">
        <f t="shared" si="32"/>
        <v>conventional</v>
      </c>
      <c r="AO68" t="str">
        <f t="shared" si="32"/>
        <v>organic</v>
      </c>
      <c r="AP68" t="str">
        <f t="shared" si="33"/>
        <v/>
      </c>
      <c r="AQ68" t="str">
        <f t="shared" si="33"/>
        <v>conventional</v>
      </c>
      <c r="AR68" t="str">
        <f t="shared" si="33"/>
        <v>organic</v>
      </c>
      <c r="AS68" t="str">
        <f t="shared" si="33"/>
        <v>conventional</v>
      </c>
      <c r="AT68" t="str">
        <f t="shared" si="33"/>
        <v>conventional</v>
      </c>
    </row>
    <row r="69" spans="1:46" outlineLevel="2" x14ac:dyDescent="0.25">
      <c r="B69" s="6" t="s">
        <v>473</v>
      </c>
      <c r="C69" s="6"/>
      <c r="J69" t="s">
        <v>404</v>
      </c>
      <c r="U69" t="s">
        <v>404</v>
      </c>
      <c r="V69" t="s">
        <v>404</v>
      </c>
      <c r="Y69" s="6" t="s">
        <v>473</v>
      </c>
      <c r="AB69" t="str">
        <f t="shared" si="32"/>
        <v/>
      </c>
      <c r="AC69" t="str">
        <f t="shared" si="32"/>
        <v/>
      </c>
      <c r="AD69" t="str">
        <f t="shared" si="32"/>
        <v/>
      </c>
      <c r="AE69" t="str">
        <f t="shared" si="32"/>
        <v/>
      </c>
      <c r="AF69" t="str">
        <f t="shared" si="32"/>
        <v/>
      </c>
      <c r="AG69" t="str">
        <f t="shared" si="32"/>
        <v/>
      </c>
      <c r="AH69" t="str">
        <f t="shared" si="32"/>
        <v>maize based</v>
      </c>
      <c r="AI69" t="str">
        <f t="shared" si="32"/>
        <v/>
      </c>
      <c r="AJ69" t="str">
        <f t="shared" si="32"/>
        <v/>
      </c>
      <c r="AK69" t="str">
        <f t="shared" si="32"/>
        <v/>
      </c>
      <c r="AL69" t="str">
        <f t="shared" si="32"/>
        <v/>
      </c>
      <c r="AM69" t="str">
        <f t="shared" si="32"/>
        <v/>
      </c>
      <c r="AN69" t="str">
        <f t="shared" si="32"/>
        <v/>
      </c>
      <c r="AO69" t="str">
        <f t="shared" si="32"/>
        <v/>
      </c>
      <c r="AP69" t="str">
        <f t="shared" si="33"/>
        <v/>
      </c>
      <c r="AQ69" t="str">
        <f t="shared" si="33"/>
        <v/>
      </c>
      <c r="AR69" t="str">
        <f t="shared" si="33"/>
        <v/>
      </c>
      <c r="AS69" t="str">
        <f t="shared" si="33"/>
        <v>maize based</v>
      </c>
      <c r="AT69" t="str">
        <f t="shared" si="33"/>
        <v>maize based</v>
      </c>
    </row>
    <row r="70" spans="1:46" outlineLevel="2" x14ac:dyDescent="0.25">
      <c r="B70" s="6" t="s">
        <v>621</v>
      </c>
      <c r="C70" s="6"/>
      <c r="D70" t="s">
        <v>17</v>
      </c>
      <c r="E70" t="s">
        <v>399</v>
      </c>
      <c r="F70" t="s">
        <v>622</v>
      </c>
      <c r="G70" t="s">
        <v>31</v>
      </c>
      <c r="H70" t="s">
        <v>32</v>
      </c>
      <c r="I70" t="s">
        <v>33</v>
      </c>
      <c r="J70" t="s">
        <v>33</v>
      </c>
      <c r="K70" t="s">
        <v>33</v>
      </c>
      <c r="L70" t="s">
        <v>17</v>
      </c>
      <c r="M70" t="s">
        <v>17</v>
      </c>
      <c r="N70" t="s">
        <v>399</v>
      </c>
      <c r="O70" t="s">
        <v>622</v>
      </c>
      <c r="P70" t="s">
        <v>31</v>
      </c>
      <c r="Q70" t="s">
        <v>31</v>
      </c>
      <c r="R70" t="s">
        <v>32</v>
      </c>
      <c r="S70" t="s">
        <v>33</v>
      </c>
      <c r="T70" t="s">
        <v>33</v>
      </c>
      <c r="U70" t="s">
        <v>17</v>
      </c>
      <c r="V70" t="s">
        <v>33</v>
      </c>
      <c r="Y70" s="6" t="s">
        <v>621</v>
      </c>
      <c r="AB70" t="str">
        <f t="shared" si="32"/>
        <v>cows</v>
      </c>
      <c r="AC70" t="str">
        <f t="shared" si="32"/>
        <v>breeding bulls</v>
      </c>
      <c r="AD70" t="str">
        <f t="shared" si="32"/>
        <v>calves, suckling</v>
      </c>
      <c r="AE70" t="str">
        <f t="shared" si="32"/>
        <v>heifers</v>
      </c>
      <c r="AF70" t="str">
        <f t="shared" si="32"/>
        <v>steers</v>
      </c>
      <c r="AG70" t="str">
        <f t="shared" si="32"/>
        <v>bulls</v>
      </c>
      <c r="AH70" t="str">
        <f t="shared" si="32"/>
        <v>bulls</v>
      </c>
      <c r="AI70" t="str">
        <f t="shared" si="32"/>
        <v>bulls</v>
      </c>
      <c r="AJ70" t="str">
        <f t="shared" si="32"/>
        <v>cows</v>
      </c>
      <c r="AK70" t="str">
        <f t="shared" si="32"/>
        <v>cows</v>
      </c>
      <c r="AL70" t="str">
        <f t="shared" si="32"/>
        <v>breeding bulls</v>
      </c>
      <c r="AM70" t="str">
        <f t="shared" si="32"/>
        <v>calves, suckling</v>
      </c>
      <c r="AN70" t="str">
        <f t="shared" si="32"/>
        <v>heifers</v>
      </c>
      <c r="AO70" t="str">
        <f t="shared" si="32"/>
        <v>heifers</v>
      </c>
      <c r="AP70" t="str">
        <f t="shared" si="33"/>
        <v>steers</v>
      </c>
      <c r="AQ70" t="str">
        <f t="shared" si="33"/>
        <v>bulls</v>
      </c>
      <c r="AR70" t="str">
        <f t="shared" si="33"/>
        <v>bulls</v>
      </c>
      <c r="AS70" t="str">
        <f t="shared" si="33"/>
        <v>cows</v>
      </c>
      <c r="AT70" t="str">
        <f t="shared" si="33"/>
        <v>bulls</v>
      </c>
    </row>
    <row r="71" spans="1:46" outlineLevel="2" x14ac:dyDescent="0.25">
      <c r="B71" s="6" t="s">
        <v>456</v>
      </c>
      <c r="C71" s="6"/>
      <c r="Y71" s="6" t="s">
        <v>456</v>
      </c>
      <c r="AB71" s="313" t="str">
        <f t="shared" ref="AB71:AT71" si="34">AB67&amp;AB68&amp;AB69&amp;AB70</f>
        <v>beefcows</v>
      </c>
      <c r="AC71" s="313" t="str">
        <f t="shared" si="34"/>
        <v>beefbreeding bulls</v>
      </c>
      <c r="AD71" s="313" t="str">
        <f t="shared" si="34"/>
        <v>beefcalves, suckling</v>
      </c>
      <c r="AE71" s="313" t="str">
        <f t="shared" si="34"/>
        <v>beefheifers</v>
      </c>
      <c r="AF71" s="313" t="str">
        <f t="shared" si="34"/>
        <v>beefsteers</v>
      </c>
      <c r="AG71" s="313" t="str">
        <f t="shared" si="34"/>
        <v>beefconventionalbulls</v>
      </c>
      <c r="AH71" s="313" t="str">
        <f t="shared" si="34"/>
        <v>beefconventionalmaize basedbulls</v>
      </c>
      <c r="AI71" s="313" t="str">
        <f t="shared" si="34"/>
        <v>beeforganicbulls</v>
      </c>
      <c r="AJ71" s="313" t="str">
        <f t="shared" si="34"/>
        <v>dairyconventionalcows</v>
      </c>
      <c r="AK71" s="313" t="str">
        <f t="shared" si="34"/>
        <v>dairyorganiccows</v>
      </c>
      <c r="AL71" s="313" t="str">
        <f t="shared" si="34"/>
        <v>dairybreeding bulls</v>
      </c>
      <c r="AM71" s="313" t="str">
        <f t="shared" si="34"/>
        <v>dairycalves, suckling</v>
      </c>
      <c r="AN71" s="313" t="str">
        <f t="shared" si="34"/>
        <v>dairyconventionalheifers</v>
      </c>
      <c r="AO71" s="313" t="str">
        <f t="shared" si="34"/>
        <v>dairyorganicheifers</v>
      </c>
      <c r="AP71" s="313" t="str">
        <f t="shared" si="34"/>
        <v>dairysteers</v>
      </c>
      <c r="AQ71" s="313" t="str">
        <f t="shared" si="34"/>
        <v>dairyconventionalbulls</v>
      </c>
      <c r="AR71" s="313" t="str">
        <f t="shared" si="34"/>
        <v>dairyorganicbulls</v>
      </c>
      <c r="AS71" s="313" t="str">
        <f t="shared" si="34"/>
        <v>dairyconventionalmaize basedcows</v>
      </c>
      <c r="AT71" s="313" t="str">
        <f t="shared" si="34"/>
        <v>dairyconventionalmaize basedbulls</v>
      </c>
    </row>
    <row r="72" spans="1:46" outlineLevel="2" x14ac:dyDescent="0.25">
      <c r="A72" s="154"/>
      <c r="B72" t="s">
        <v>408</v>
      </c>
      <c r="D72" s="12"/>
      <c r="F72" s="12"/>
      <c r="G72" s="12"/>
      <c r="H72" s="12"/>
      <c r="I72" s="12">
        <f>(G7*D24+I7*F24)/(D24+F24)*C7</f>
        <v>1243.8128706133955</v>
      </c>
      <c r="J72" s="2">
        <f>H10*C10</f>
        <v>1165</v>
      </c>
      <c r="K72">
        <f>AS31*BC31</f>
        <v>1928</v>
      </c>
      <c r="L72" s="2">
        <f>Y7</f>
        <v>2973.75</v>
      </c>
      <c r="M72" s="2">
        <f>AS30*AT30</f>
        <v>3580.1200000000003</v>
      </c>
      <c r="O72" s="2"/>
      <c r="P72" s="12"/>
      <c r="R72" s="12"/>
      <c r="S72" s="12">
        <f>(M7*D23+O7*F23)/(D23+F23)*C7</f>
        <v>2120.9288261634415</v>
      </c>
      <c r="U72" s="12">
        <f>Z7</f>
        <v>1619.5499999999997</v>
      </c>
      <c r="V72">
        <f>N10*C10</f>
        <v>1868</v>
      </c>
      <c r="Y72" s="110" t="str">
        <f t="shared" ref="Y72:Y77" si="35">B72</f>
        <v>ley silage, 1st cut</v>
      </c>
      <c r="AB72" s="13">
        <f t="shared" ref="AB72:AH72" si="36">AB66*D72/D$123*100</f>
        <v>0</v>
      </c>
      <c r="AC72" s="13">
        <f t="shared" si="36"/>
        <v>0</v>
      </c>
      <c r="AD72" s="13">
        <f t="shared" si="36"/>
        <v>0</v>
      </c>
      <c r="AE72" s="13">
        <f t="shared" si="36"/>
        <v>0</v>
      </c>
      <c r="AF72" s="13">
        <f t="shared" si="36"/>
        <v>0</v>
      </c>
      <c r="AG72" s="13">
        <f t="shared" si="36"/>
        <v>60.138713626619086</v>
      </c>
      <c r="AH72" s="13">
        <f t="shared" si="36"/>
        <v>56.070538180908102</v>
      </c>
      <c r="AI72" s="13">
        <f t="shared" ref="AI72:AT72" si="37">AI66*K72/K$123*100</f>
        <v>71.938687939822245</v>
      </c>
      <c r="AJ72" s="13">
        <f t="shared" si="37"/>
        <v>41.480852339300604</v>
      </c>
      <c r="AK72" s="13">
        <f t="shared" si="37"/>
        <v>49.528526368214258</v>
      </c>
      <c r="AL72" s="13">
        <f t="shared" si="37"/>
        <v>0</v>
      </c>
      <c r="AM72" s="13">
        <f t="shared" si="37"/>
        <v>0</v>
      </c>
      <c r="AN72" s="13">
        <f t="shared" si="37"/>
        <v>0</v>
      </c>
      <c r="AO72" s="13">
        <f t="shared" si="37"/>
        <v>0</v>
      </c>
      <c r="AP72" s="13">
        <f t="shared" si="37"/>
        <v>0</v>
      </c>
      <c r="AQ72" s="13">
        <f t="shared" si="37"/>
        <v>65.065884609325579</v>
      </c>
      <c r="AR72" s="13">
        <f t="shared" si="37"/>
        <v>0</v>
      </c>
      <c r="AS72" s="13">
        <f t="shared" si="37"/>
        <v>22.93829412577864</v>
      </c>
      <c r="AT72" s="13">
        <f t="shared" si="37"/>
        <v>56.668911580722877</v>
      </c>
    </row>
    <row r="73" spans="1:46" outlineLevel="2" x14ac:dyDescent="0.25">
      <c r="B73" t="s">
        <v>409</v>
      </c>
      <c r="D73" s="12">
        <f>SUMPRODUCT(D9:F9,D24:F24)/SUM(D24:F24)*C9</f>
        <v>777.22554493675455</v>
      </c>
      <c r="E73" s="12">
        <f>SUMPRODUCT(J9:L9,D24:F24)/SUM(D24:F24)*C9</f>
        <v>217.26842691318663</v>
      </c>
      <c r="G73" s="12">
        <f>SUMPRODUCT(V8:X8,D24:F24)/SUM(D24:F24)*C8</f>
        <v>2488.57630716729</v>
      </c>
      <c r="H73" s="12">
        <f>SUMPRODUCT(S8:U8,D24:F24)/SUM(D24:F24)*C8</f>
        <v>2536.0033645488702</v>
      </c>
      <c r="I73" s="12"/>
      <c r="J73" s="2"/>
      <c r="L73" s="2">
        <f>Y8</f>
        <v>711.50000000000011</v>
      </c>
      <c r="N73" s="12">
        <f>E73</f>
        <v>217.26842691318663</v>
      </c>
      <c r="P73" s="12">
        <f>AB8*C8</f>
        <v>2343</v>
      </c>
      <c r="Q73">
        <f>AS30*AZ30</f>
        <v>1121</v>
      </c>
      <c r="R73" s="12">
        <f>SUMPRODUCT(P8:R8,D23:F23)/SUM(D23:F23)*C8</f>
        <v>2641.6801191929694</v>
      </c>
      <c r="S73" s="12"/>
      <c r="T73">
        <f>AS32*BB32</f>
        <v>2287</v>
      </c>
      <c r="U73" s="12">
        <f>Z8</f>
        <v>751.1500000000002</v>
      </c>
      <c r="Y73" s="110" t="str">
        <f t="shared" si="35"/>
        <v>ley silage, regrowth</v>
      </c>
      <c r="AB73" s="13">
        <f t="shared" ref="AB73:AH73" si="38">AB66*D73/D$123*100</f>
        <v>19.638470390756044</v>
      </c>
      <c r="AC73" s="13">
        <f t="shared" si="38"/>
        <v>7.0178130628008537</v>
      </c>
      <c r="AD73" s="13">
        <f t="shared" si="38"/>
        <v>0</v>
      </c>
      <c r="AE73" s="13">
        <f t="shared" si="38"/>
        <v>68.854768967576106</v>
      </c>
      <c r="AF73" s="13">
        <f t="shared" si="38"/>
        <v>69.016974351370379</v>
      </c>
      <c r="AG73" s="13">
        <f t="shared" si="38"/>
        <v>0</v>
      </c>
      <c r="AH73" s="13">
        <f t="shared" si="38"/>
        <v>0</v>
      </c>
      <c r="AI73" s="13">
        <f t="shared" ref="AI73:AT73" si="39">AI66*K73/K$123*100</f>
        <v>0</v>
      </c>
      <c r="AJ73" s="13">
        <f t="shared" si="39"/>
        <v>9.9247167513786927</v>
      </c>
      <c r="AK73" s="13">
        <f t="shared" si="39"/>
        <v>0</v>
      </c>
      <c r="AL73" s="13">
        <f t="shared" si="39"/>
        <v>7.0178130628008537</v>
      </c>
      <c r="AM73" s="13">
        <f t="shared" si="39"/>
        <v>0</v>
      </c>
      <c r="AN73" s="13">
        <f t="shared" si="39"/>
        <v>55.625459984330824</v>
      </c>
      <c r="AO73" s="13">
        <f t="shared" si="39"/>
        <v>55.45332225256243</v>
      </c>
      <c r="AP73" s="13">
        <f t="shared" si="39"/>
        <v>55.029062371648976</v>
      </c>
      <c r="AQ73" s="13">
        <f t="shared" si="39"/>
        <v>0</v>
      </c>
      <c r="AR73" s="13">
        <f t="shared" si="39"/>
        <v>80.98040465416021</v>
      </c>
      <c r="AS73" s="13">
        <f t="shared" si="39"/>
        <v>10.638819198282629</v>
      </c>
      <c r="AT73" s="13">
        <f t="shared" si="39"/>
        <v>0</v>
      </c>
    </row>
    <row r="74" spans="1:46" outlineLevel="2" x14ac:dyDescent="0.25">
      <c r="B74" t="s">
        <v>410</v>
      </c>
      <c r="D74" s="12">
        <f>SUMPRODUCT(D12:F12,D24:F24)/SUM(D24:F24)*C12</f>
        <v>804.26595957734855</v>
      </c>
      <c r="E74" s="12">
        <f>SUMPRODUCT(J12:L12,D24:F24)/SUM(D24:F24)*C12</f>
        <v>1275.2992766219929</v>
      </c>
      <c r="G74" s="12"/>
      <c r="H74" s="12"/>
      <c r="I74" s="12"/>
      <c r="J74" s="2"/>
      <c r="M74">
        <f>AS34*AU34</f>
        <v>503</v>
      </c>
      <c r="N74" s="12">
        <f>E74</f>
        <v>1275.2992766219929</v>
      </c>
      <c r="P74" s="12"/>
      <c r="R74" s="12"/>
      <c r="S74" s="12"/>
      <c r="U74" s="12"/>
      <c r="Y74" s="110" t="str">
        <f t="shared" si="35"/>
        <v>other silage</v>
      </c>
      <c r="AB74" s="13">
        <f t="shared" ref="AB74:AH76" si="40">D74/D$123*100</f>
        <v>20.321711421281208</v>
      </c>
      <c r="AC74" s="13">
        <f t="shared" si="40"/>
        <v>41.192418289263692</v>
      </c>
      <c r="AD74" s="13">
        <f t="shared" si="40"/>
        <v>0</v>
      </c>
      <c r="AE74" s="13">
        <f t="shared" si="40"/>
        <v>0</v>
      </c>
      <c r="AF74" s="13">
        <f t="shared" si="40"/>
        <v>0</v>
      </c>
      <c r="AG74" s="13">
        <f t="shared" si="40"/>
        <v>0</v>
      </c>
      <c r="AH74" s="13">
        <f t="shared" si="40"/>
        <v>0</v>
      </c>
      <c r="AI74" s="13">
        <f t="shared" ref="AI74:AT76" si="41">K74/K$123*100</f>
        <v>0</v>
      </c>
      <c r="AJ74" s="13">
        <f t="shared" si="41"/>
        <v>0</v>
      </c>
      <c r="AK74" s="13">
        <f t="shared" si="41"/>
        <v>6.9586630512976573</v>
      </c>
      <c r="AL74" s="13">
        <f t="shared" si="41"/>
        <v>41.192418289263692</v>
      </c>
      <c r="AM74" s="13">
        <f t="shared" si="41"/>
        <v>0</v>
      </c>
      <c r="AN74" s="13">
        <f t="shared" si="41"/>
        <v>0</v>
      </c>
      <c r="AO74" s="13">
        <f t="shared" si="41"/>
        <v>0</v>
      </c>
      <c r="AP74" s="13">
        <f t="shared" si="41"/>
        <v>0</v>
      </c>
      <c r="AQ74" s="13">
        <f t="shared" si="41"/>
        <v>0</v>
      </c>
      <c r="AR74" s="13">
        <f t="shared" si="41"/>
        <v>0</v>
      </c>
      <c r="AS74" s="13">
        <f t="shared" si="41"/>
        <v>0</v>
      </c>
      <c r="AT74" s="13">
        <f t="shared" si="41"/>
        <v>0</v>
      </c>
    </row>
    <row r="75" spans="1:46" outlineLevel="2" x14ac:dyDescent="0.25">
      <c r="B75" t="s">
        <v>405</v>
      </c>
      <c r="D75" s="12"/>
      <c r="E75" s="12"/>
      <c r="G75" s="12"/>
      <c r="H75" s="12"/>
      <c r="I75" s="12"/>
      <c r="J75" s="2">
        <f>H11*C11</f>
        <v>272</v>
      </c>
      <c r="P75" s="12"/>
      <c r="R75" s="12"/>
      <c r="S75" s="12"/>
      <c r="U75" s="12">
        <f>Z11</f>
        <v>1250.5</v>
      </c>
      <c r="V75">
        <f>N11*C11</f>
        <v>436</v>
      </c>
      <c r="Y75" s="110" t="str">
        <f t="shared" si="35"/>
        <v>maize silage</v>
      </c>
      <c r="AB75" s="13">
        <f t="shared" si="40"/>
        <v>0</v>
      </c>
      <c r="AC75" s="13">
        <f t="shared" si="40"/>
        <v>0</v>
      </c>
      <c r="AD75" s="13">
        <f t="shared" si="40"/>
        <v>0</v>
      </c>
      <c r="AE75" s="13">
        <f t="shared" si="40"/>
        <v>0</v>
      </c>
      <c r="AF75" s="13">
        <f t="shared" si="40"/>
        <v>0</v>
      </c>
      <c r="AG75" s="13">
        <f t="shared" si="40"/>
        <v>0</v>
      </c>
      <c r="AH75" s="13">
        <f t="shared" si="40"/>
        <v>13.09114711176567</v>
      </c>
      <c r="AI75" s="13">
        <f t="shared" si="41"/>
        <v>0</v>
      </c>
      <c r="AJ75" s="13">
        <f t="shared" si="41"/>
        <v>0</v>
      </c>
      <c r="AK75" s="13">
        <f t="shared" si="41"/>
        <v>0</v>
      </c>
      <c r="AL75" s="13">
        <f t="shared" si="41"/>
        <v>0</v>
      </c>
      <c r="AM75" s="13">
        <f t="shared" si="41"/>
        <v>0</v>
      </c>
      <c r="AN75" s="13">
        <f t="shared" si="41"/>
        <v>0</v>
      </c>
      <c r="AO75" s="13">
        <f t="shared" si="41"/>
        <v>0</v>
      </c>
      <c r="AP75" s="13">
        <f t="shared" si="41"/>
        <v>0</v>
      </c>
      <c r="AQ75" s="13">
        <f t="shared" si="41"/>
        <v>0</v>
      </c>
      <c r="AR75" s="13">
        <f t="shared" si="41"/>
        <v>0</v>
      </c>
      <c r="AS75" s="13">
        <f t="shared" si="41"/>
        <v>15.876048855936714</v>
      </c>
      <c r="AT75" s="13">
        <f t="shared" si="41"/>
        <v>13.226790925693349</v>
      </c>
    </row>
    <row r="76" spans="1:46" outlineLevel="2" x14ac:dyDescent="0.25">
      <c r="B76" t="s">
        <v>400</v>
      </c>
      <c r="D76" s="12">
        <f>SUMPRODUCT(D13:F13,D24:F24)/SUM(D24:F24)*C13</f>
        <v>44.711555222661033</v>
      </c>
      <c r="E76" s="12">
        <f>SUMPRODUCT(J13:L13,D24:F24)/SUM(D24:F24)*C13</f>
        <v>20.785639384447773</v>
      </c>
      <c r="G76" s="12"/>
      <c r="H76" s="12"/>
      <c r="I76" s="12"/>
      <c r="L76" s="2">
        <f>Y13</f>
        <v>244</v>
      </c>
      <c r="N76" s="12">
        <f>E76</f>
        <v>20.785639384447773</v>
      </c>
      <c r="P76" s="12"/>
      <c r="R76" s="12"/>
      <c r="S76" s="12"/>
      <c r="U76" s="12">
        <f>Z13</f>
        <v>244</v>
      </c>
      <c r="Y76" s="110" t="str">
        <f t="shared" si="35"/>
        <v>straw</v>
      </c>
      <c r="AB76" s="13">
        <f t="shared" si="40"/>
        <v>1.1297448457337229</v>
      </c>
      <c r="AC76" s="13">
        <f t="shared" si="40"/>
        <v>0.67138025374082655</v>
      </c>
      <c r="AD76" s="13">
        <f t="shared" si="40"/>
        <v>0</v>
      </c>
      <c r="AE76" s="13">
        <f t="shared" si="40"/>
        <v>0</v>
      </c>
      <c r="AF76" s="13">
        <f t="shared" si="40"/>
        <v>0</v>
      </c>
      <c r="AG76" s="13">
        <f t="shared" si="40"/>
        <v>0</v>
      </c>
      <c r="AH76" s="13">
        <f t="shared" si="40"/>
        <v>0</v>
      </c>
      <c r="AI76" s="13">
        <f t="shared" si="41"/>
        <v>0</v>
      </c>
      <c r="AJ76" s="13">
        <f t="shared" si="41"/>
        <v>3.1679738484393072</v>
      </c>
      <c r="AK76" s="13">
        <f t="shared" si="41"/>
        <v>0</v>
      </c>
      <c r="AL76" s="13">
        <f t="shared" si="41"/>
        <v>0.67138025374082655</v>
      </c>
      <c r="AM76" s="13">
        <f t="shared" si="41"/>
        <v>0</v>
      </c>
      <c r="AN76" s="13">
        <f t="shared" si="41"/>
        <v>0</v>
      </c>
      <c r="AO76" s="13">
        <f t="shared" si="41"/>
        <v>0</v>
      </c>
      <c r="AP76" s="13">
        <f t="shared" si="41"/>
        <v>0</v>
      </c>
      <c r="AQ76" s="13">
        <f t="shared" si="41"/>
        <v>0</v>
      </c>
      <c r="AR76" s="13">
        <f t="shared" si="41"/>
        <v>0</v>
      </c>
      <c r="AS76" s="13">
        <f t="shared" si="41"/>
        <v>3.0977656304266756</v>
      </c>
      <c r="AT76" s="13">
        <f t="shared" si="41"/>
        <v>0</v>
      </c>
    </row>
    <row r="77" spans="1:46" outlineLevel="2" x14ac:dyDescent="0.25">
      <c r="B77" t="s">
        <v>397</v>
      </c>
      <c r="D77" s="12">
        <f>SUMPRODUCT(D14:F14,D24:F24)/SUM(D24:F24)*C14+SUMPRODUCT(D15:F15,D24:F24)/SUM(D24:F24)*C15</f>
        <v>2297.4653811953758</v>
      </c>
      <c r="E77" s="12">
        <f>SUMPRODUCT(J14:L14,D24:F24)/SUM(D24:F24)*C14+SUMPRODUCT(J15:L15,D24:F24)/SUM(D24:F24)*C15</f>
        <v>1549.6029752225008</v>
      </c>
      <c r="F77" s="290">
        <v>100</v>
      </c>
      <c r="G77" s="12">
        <f>SUMPRODUCT(V14:X14,D24:F24)/SUM(D24:F24)*C14+SUMPRODUCT(V15:X15,D24:F24)/SUM(D24:F24)*C15</f>
        <v>1099.6632647339202</v>
      </c>
      <c r="H77" s="12">
        <f>SUMPRODUCT(S14:U14,D24:F24)/SUM(D24:F24)*C14+SUMPRODUCT(S15:U15,D24:F24)/SUM(D24:F24)*C15</f>
        <v>1112.7040318510626</v>
      </c>
      <c r="I77" s="12"/>
      <c r="L77">
        <f>Y15</f>
        <v>782.99999999999989</v>
      </c>
      <c r="M77" s="2">
        <f>AS33*AU33</f>
        <v>780.48</v>
      </c>
      <c r="N77" s="12">
        <f>E77</f>
        <v>1549.6029752225008</v>
      </c>
      <c r="O77" s="2"/>
      <c r="P77" s="12">
        <f>AB14*C14+AB15*C15</f>
        <v>1600</v>
      </c>
      <c r="Q77">
        <f>AS33*AZ33</f>
        <v>747</v>
      </c>
      <c r="R77" s="12">
        <f>SUMPRODUCT(P14:R14,D23:F23)/SUM(D23:F23)*C14+SUMPRODUCT(P15:R15,D23:F23)/SUM(D23:F23)*C15</f>
        <v>1853.7099113910278</v>
      </c>
      <c r="S77" s="12"/>
      <c r="U77" s="12">
        <f>Z15</f>
        <v>782.99999999999989</v>
      </c>
      <c r="Y77" s="110" t="str">
        <f t="shared" si="35"/>
        <v>grazing</v>
      </c>
      <c r="AB77" s="13">
        <f t="shared" ref="AB77:AH77" si="42">AB65*D77/D$123*100</f>
        <v>58.050981669759572</v>
      </c>
      <c r="AC77" s="13">
        <f t="shared" si="42"/>
        <v>50.052481882315824</v>
      </c>
      <c r="AD77" s="13">
        <f t="shared" si="42"/>
        <v>100</v>
      </c>
      <c r="AE77" s="13">
        <f t="shared" si="42"/>
        <v>30.425854259446911</v>
      </c>
      <c r="AF77" s="13">
        <f t="shared" si="42"/>
        <v>30.282083494235561</v>
      </c>
      <c r="AG77" s="13">
        <f t="shared" si="42"/>
        <v>0</v>
      </c>
      <c r="AH77" s="13">
        <f t="shared" si="42"/>
        <v>0</v>
      </c>
      <c r="AI77" s="13">
        <f t="shared" ref="AI77:AT77" si="43">AI65*K77/K$123*100</f>
        <v>0</v>
      </c>
      <c r="AJ77" s="13">
        <f t="shared" si="43"/>
        <v>6.6079520088655128</v>
      </c>
      <c r="AK77" s="13">
        <f t="shared" si="43"/>
        <v>10.797410215262019</v>
      </c>
      <c r="AL77" s="13">
        <f t="shared" si="43"/>
        <v>50.052481882315824</v>
      </c>
      <c r="AM77" s="13">
        <f t="shared" si="43"/>
        <v>0</v>
      </c>
      <c r="AN77" s="13">
        <f t="shared" si="43"/>
        <v>37.985802806201164</v>
      </c>
      <c r="AO77" s="13">
        <f t="shared" si="43"/>
        <v>36.952392259290043</v>
      </c>
      <c r="AP77" s="13">
        <f t="shared" si="43"/>
        <v>38.614788214420173</v>
      </c>
      <c r="AQ77" s="13">
        <f t="shared" si="43"/>
        <v>0</v>
      </c>
      <c r="AR77" s="13">
        <f t="shared" si="43"/>
        <v>0</v>
      </c>
      <c r="AS77" s="13">
        <f t="shared" si="43"/>
        <v>6.4615074492035101</v>
      </c>
      <c r="AT77" s="13">
        <f t="shared" si="43"/>
        <v>0</v>
      </c>
    </row>
    <row r="78" spans="1:46" outlineLevel="2" x14ac:dyDescent="0.25">
      <c r="A78" s="154"/>
      <c r="B78" s="6" t="s">
        <v>458</v>
      </c>
      <c r="C78" s="6"/>
      <c r="D78" s="163"/>
      <c r="F78" s="163"/>
      <c r="G78" s="163"/>
      <c r="H78" s="163"/>
      <c r="I78" s="163">
        <f>(G16*D$24+I16*F$24)/(D$24+F$24)*C16</f>
        <v>630.77661825605128</v>
      </c>
      <c r="J78" s="72">
        <f>H16*C16</f>
        <v>562.43999999999994</v>
      </c>
      <c r="K78" s="6">
        <f>AS35*BC35</f>
        <v>740.46</v>
      </c>
      <c r="L78" s="72">
        <f>Y16*C16</f>
        <v>1568.8483904071509</v>
      </c>
      <c r="M78" s="6">
        <f>AS35*AU35</f>
        <v>1586.7</v>
      </c>
      <c r="O78" s="72"/>
      <c r="P78" s="163">
        <f>AB16*C16</f>
        <v>141.9</v>
      </c>
      <c r="Q78" s="163">
        <f>AS35*AZ35</f>
        <v>92.02</v>
      </c>
      <c r="R78" s="163">
        <f>SUMPRODUCT(P16:R16,D$23:F$23)/SUM(D$23:F$23)*C16</f>
        <v>139.41044642965076</v>
      </c>
      <c r="S78" s="163">
        <f>(M16*D$23+O16*F$23)/(D$23+F$23)*C16</f>
        <v>768.77373612665917</v>
      </c>
      <c r="T78" s="163">
        <f>AS35*BB35</f>
        <v>523.74</v>
      </c>
      <c r="U78" s="163">
        <f>Z16*C16</f>
        <v>997.16339040715081</v>
      </c>
      <c r="V78" s="72">
        <f>N16*C16</f>
        <v>872.04</v>
      </c>
      <c r="Y78" s="110" t="str">
        <f t="shared" ref="Y78:Y92" si="44">B88</f>
        <v>wheat</v>
      </c>
      <c r="AB78" s="13">
        <f t="shared" ref="AB78:AH78" si="45">(D79+D88)/D$123*100</f>
        <v>0</v>
      </c>
      <c r="AC78" s="13">
        <f t="shared" si="45"/>
        <v>0</v>
      </c>
      <c r="AD78" s="13">
        <f t="shared" si="45"/>
        <v>0</v>
      </c>
      <c r="AE78" s="13">
        <f t="shared" si="45"/>
        <v>0</v>
      </c>
      <c r="AF78" s="13">
        <f t="shared" si="45"/>
        <v>0</v>
      </c>
      <c r="AG78" s="13">
        <f t="shared" si="45"/>
        <v>8.7950802360888023</v>
      </c>
      <c r="AH78" s="13">
        <f t="shared" si="45"/>
        <v>6.338193642704308</v>
      </c>
      <c r="AI78" s="13">
        <f t="shared" ref="AI78:AT78" si="46">(K79+K88)/K$123*100</f>
        <v>6.4690065438563593</v>
      </c>
      <c r="AJ78" s="13">
        <f t="shared" si="46"/>
        <v>6.1497391870569844</v>
      </c>
      <c r="AK78" s="13">
        <f t="shared" si="46"/>
        <v>5.1396453111321856</v>
      </c>
      <c r="AL78" s="13">
        <f t="shared" si="46"/>
        <v>0</v>
      </c>
      <c r="AM78" s="13">
        <f t="shared" si="46"/>
        <v>25.895167825161479</v>
      </c>
      <c r="AN78" s="13">
        <f t="shared" si="46"/>
        <v>1.3863617500865526</v>
      </c>
      <c r="AO78" s="13">
        <f t="shared" si="46"/>
        <v>1.0658220265036826</v>
      </c>
      <c r="AP78" s="13">
        <f t="shared" si="46"/>
        <v>1.3702995315856561</v>
      </c>
      <c r="AQ78" s="13">
        <f t="shared" si="46"/>
        <v>7.597272449205918</v>
      </c>
      <c r="AR78" s="13">
        <f t="shared" si="46"/>
        <v>4.342202034998115</v>
      </c>
      <c r="AS78" s="13">
        <f t="shared" si="46"/>
        <v>5.0974881237730667</v>
      </c>
      <c r="AT78" s="13">
        <f t="shared" si="46"/>
        <v>6.3615760162052783</v>
      </c>
    </row>
    <row r="79" spans="1:46" outlineLevel="2" x14ac:dyDescent="0.25">
      <c r="B79" s="164" t="s">
        <v>367</v>
      </c>
      <c r="C79" s="164"/>
      <c r="D79" s="12"/>
      <c r="F79" s="12"/>
      <c r="G79" s="12"/>
      <c r="H79" s="12"/>
      <c r="I79" s="12">
        <f t="shared" ref="I79:K82" si="47">I$78*$AH27</f>
        <v>147.69170057433243</v>
      </c>
      <c r="J79" s="12">
        <f t="shared" si="47"/>
        <v>131.69118459192447</v>
      </c>
      <c r="K79" s="12">
        <f t="shared" si="47"/>
        <v>173.37325677927674</v>
      </c>
      <c r="L79" s="12">
        <f t="shared" ref="L79:M82" si="48">L$78*$AF27</f>
        <v>367.3342987302679</v>
      </c>
      <c r="M79" s="12">
        <f t="shared" si="48"/>
        <v>371.51412166987899</v>
      </c>
      <c r="O79" s="12"/>
      <c r="P79" s="12">
        <f t="shared" ref="P79:T82" si="49">P$78*$AH27</f>
        <v>33.224840149338753</v>
      </c>
      <c r="Q79" s="12">
        <f t="shared" si="49"/>
        <v>21.545805430177246</v>
      </c>
      <c r="R79" s="12">
        <f t="shared" si="49"/>
        <v>32.641929512143051</v>
      </c>
      <c r="S79" s="12">
        <f t="shared" si="49"/>
        <v>180.00270961112176</v>
      </c>
      <c r="T79" s="12">
        <f t="shared" si="49"/>
        <v>122.62986455119575</v>
      </c>
      <c r="U79" s="12">
        <f>U$78*$AF27</f>
        <v>233.478465461947</v>
      </c>
      <c r="V79" s="12">
        <f>V$78*$AH27</f>
        <v>204.18174491775449</v>
      </c>
      <c r="Y79" s="110" t="str">
        <f t="shared" si="44"/>
        <v>barley</v>
      </c>
      <c r="AB79" s="13">
        <f t="shared" ref="AB79:AH80" si="50">(D81+D89)/D$123*100</f>
        <v>0</v>
      </c>
      <c r="AC79" s="13">
        <f t="shared" si="50"/>
        <v>0</v>
      </c>
      <c r="AD79" s="13">
        <f t="shared" si="50"/>
        <v>0</v>
      </c>
      <c r="AE79" s="13">
        <f t="shared" si="50"/>
        <v>0</v>
      </c>
      <c r="AF79" s="13">
        <f t="shared" si="50"/>
        <v>0</v>
      </c>
      <c r="AG79" s="13">
        <f t="shared" si="50"/>
        <v>16.456273052444185</v>
      </c>
      <c r="AH79" s="13">
        <f t="shared" si="50"/>
        <v>13.009738603465815</v>
      </c>
      <c r="AI79" s="13">
        <f t="shared" ref="AI79:AT79" si="51">(K81+K89)/K$123*100</f>
        <v>13.278244386956374</v>
      </c>
      <c r="AJ79" s="13">
        <f t="shared" si="51"/>
        <v>11.290606059990822</v>
      </c>
      <c r="AK79" s="13">
        <f t="shared" si="51"/>
        <v>10.549605420990108</v>
      </c>
      <c r="AL79" s="13">
        <f t="shared" si="51"/>
        <v>0</v>
      </c>
      <c r="AM79" s="13">
        <f t="shared" si="51"/>
        <v>28.160177745950715</v>
      </c>
      <c r="AN79" s="13">
        <f t="shared" si="51"/>
        <v>2.2689110468918563</v>
      </c>
      <c r="AO79" s="13">
        <f t="shared" si="51"/>
        <v>2.1876999574776184</v>
      </c>
      <c r="AP79" s="13">
        <f t="shared" si="51"/>
        <v>2.1464108702309166</v>
      </c>
      <c r="AQ79" s="13">
        <f t="shared" si="51"/>
        <v>13.591338970365666</v>
      </c>
      <c r="AR79" s="13">
        <f t="shared" si="51"/>
        <v>8.9127780915604671</v>
      </c>
      <c r="AS79" s="13">
        <f t="shared" si="51"/>
        <v>8.404170018075888</v>
      </c>
      <c r="AT79" s="13">
        <f t="shared" si="51"/>
        <v>12.896189928777954</v>
      </c>
    </row>
    <row r="80" spans="1:46" outlineLevel="2" x14ac:dyDescent="0.25">
      <c r="B80" s="164" t="s">
        <v>474</v>
      </c>
      <c r="C80" s="164"/>
      <c r="D80" s="12"/>
      <c r="F80" s="12"/>
      <c r="G80" s="12"/>
      <c r="H80" s="12"/>
      <c r="I80" s="12">
        <f t="shared" si="47"/>
        <v>117.28491479872922</v>
      </c>
      <c r="J80" s="12">
        <f t="shared" si="47"/>
        <v>104.57858704683275</v>
      </c>
      <c r="K80" s="12">
        <f t="shared" si="47"/>
        <v>137.67914900202297</v>
      </c>
      <c r="L80" s="12">
        <f t="shared" si="48"/>
        <v>291.70746739114861</v>
      </c>
      <c r="M80" s="12">
        <f t="shared" si="48"/>
        <v>295.02674786147765</v>
      </c>
      <c r="O80" s="12"/>
      <c r="P80" s="12">
        <f t="shared" si="49"/>
        <v>26.38450590631102</v>
      </c>
      <c r="Q80" s="12">
        <f t="shared" si="49"/>
        <v>17.109952315001692</v>
      </c>
      <c r="R80" s="12">
        <f t="shared" si="49"/>
        <v>25.921604983964599</v>
      </c>
      <c r="S80" s="12">
        <f t="shared" si="49"/>
        <v>142.94372925617074</v>
      </c>
      <c r="T80" s="12">
        <f t="shared" si="49"/>
        <v>97.382812708747949</v>
      </c>
      <c r="U80" s="12">
        <f>U$78*$AF28</f>
        <v>185.40988980799563</v>
      </c>
      <c r="V80" s="12">
        <f>V$78*$AH28</f>
        <v>162.14478175151135</v>
      </c>
      <c r="Y80" s="110" t="str">
        <f t="shared" si="44"/>
        <v>oats</v>
      </c>
      <c r="AB80" s="13">
        <f t="shared" si="50"/>
        <v>0</v>
      </c>
      <c r="AC80" s="13">
        <f t="shared" si="50"/>
        <v>0</v>
      </c>
      <c r="AD80" s="13">
        <f t="shared" si="50"/>
        <v>0</v>
      </c>
      <c r="AE80" s="13">
        <f t="shared" si="50"/>
        <v>0</v>
      </c>
      <c r="AF80" s="13">
        <f t="shared" si="50"/>
        <v>0</v>
      </c>
      <c r="AG80" s="13">
        <f t="shared" si="50"/>
        <v>3.6372465594215786</v>
      </c>
      <c r="AH80" s="13">
        <f t="shared" si="50"/>
        <v>2.6885792015166539</v>
      </c>
      <c r="AI80" s="13">
        <f t="shared" ref="AI80:AT80" si="52">(K82+K90)/K$123*100</f>
        <v>2.7440683306208573</v>
      </c>
      <c r="AJ80" s="13">
        <f t="shared" si="52"/>
        <v>2.5305995086863016</v>
      </c>
      <c r="AK80" s="13">
        <f t="shared" si="52"/>
        <v>2.1801706078495133</v>
      </c>
      <c r="AL80" s="13">
        <f t="shared" si="52"/>
        <v>0</v>
      </c>
      <c r="AM80" s="13">
        <f t="shared" si="52"/>
        <v>9.5204890127561814</v>
      </c>
      <c r="AN80" s="13">
        <f t="shared" si="52"/>
        <v>0.55429500315000624</v>
      </c>
      <c r="AO80" s="13">
        <f t="shared" si="52"/>
        <v>0.4521078235396882</v>
      </c>
      <c r="AP80" s="13">
        <f t="shared" si="52"/>
        <v>0.54223737074929057</v>
      </c>
      <c r="AQ80" s="13">
        <f t="shared" si="52"/>
        <v>3.1053519716836115</v>
      </c>
      <c r="AR80" s="13">
        <f t="shared" si="52"/>
        <v>1.8419055551445949</v>
      </c>
      <c r="AS80" s="13">
        <f t="shared" si="52"/>
        <v>2.0416884227683041</v>
      </c>
      <c r="AT80" s="13">
        <f t="shared" si="52"/>
        <v>2.68903535703005</v>
      </c>
    </row>
    <row r="81" spans="2:46" outlineLevel="2" x14ac:dyDescent="0.25">
      <c r="B81" s="164" t="s">
        <v>401</v>
      </c>
      <c r="C81" s="164"/>
      <c r="D81" s="12"/>
      <c r="F81" s="12"/>
      <c r="G81" s="12"/>
      <c r="H81" s="12"/>
      <c r="I81" s="12">
        <f t="shared" si="47"/>
        <v>303.15110687492233</v>
      </c>
      <c r="J81" s="12">
        <f t="shared" si="47"/>
        <v>270.30854285965057</v>
      </c>
      <c r="K81" s="12">
        <f t="shared" si="47"/>
        <v>355.86491651706297</v>
      </c>
      <c r="L81" s="12">
        <f t="shared" si="48"/>
        <v>753.98819852546956</v>
      </c>
      <c r="M81" s="12">
        <f t="shared" si="48"/>
        <v>762.5676782508491</v>
      </c>
      <c r="O81" s="12"/>
      <c r="P81" s="12">
        <f t="shared" si="49"/>
        <v>68.197109437067823</v>
      </c>
      <c r="Q81" s="12">
        <f t="shared" si="49"/>
        <v>44.22479218040155</v>
      </c>
      <c r="R81" s="12">
        <f t="shared" si="49"/>
        <v>67.000630527366965</v>
      </c>
      <c r="S81" s="12">
        <f t="shared" si="49"/>
        <v>369.4724920012211</v>
      </c>
      <c r="T81" s="12">
        <f t="shared" si="49"/>
        <v>251.70933119499577</v>
      </c>
      <c r="U81" s="12">
        <f>U$78*$AF29</f>
        <v>479.23651065704036</v>
      </c>
      <c r="V81" s="12">
        <f>V$78*$AH29</f>
        <v>419.10223617688945</v>
      </c>
      <c r="Y81" s="110" t="str">
        <f t="shared" si="44"/>
        <v>triticale</v>
      </c>
      <c r="AB81" s="13">
        <f t="shared" ref="AB81:AH81" si="53">(D80+D91)/D$123*100</f>
        <v>0</v>
      </c>
      <c r="AC81" s="13">
        <f t="shared" si="53"/>
        <v>0</v>
      </c>
      <c r="AD81" s="13">
        <f t="shared" si="53"/>
        <v>0</v>
      </c>
      <c r="AE81" s="13">
        <f t="shared" si="53"/>
        <v>0</v>
      </c>
      <c r="AF81" s="13">
        <f t="shared" si="53"/>
        <v>0</v>
      </c>
      <c r="AG81" s="13">
        <f t="shared" si="53"/>
        <v>5.8891480485237606</v>
      </c>
      <c r="AH81" s="13">
        <f t="shared" si="53"/>
        <v>5.0332855432745562</v>
      </c>
      <c r="AI81" s="13">
        <f t="shared" ref="AI81:AT81" si="54">(K80+K91)/K$123*100</f>
        <v>5.1371666679859018</v>
      </c>
      <c r="AJ81" s="13">
        <f t="shared" si="54"/>
        <v>3.9696382637077976</v>
      </c>
      <c r="AK81" s="13">
        <f t="shared" si="54"/>
        <v>4.0814944920242038</v>
      </c>
      <c r="AL81" s="13">
        <f t="shared" si="54"/>
        <v>0</v>
      </c>
      <c r="AM81" s="13">
        <f t="shared" si="54"/>
        <v>3.4188101018837349</v>
      </c>
      <c r="AN81" s="13">
        <f t="shared" si="54"/>
        <v>0.70529164372503017</v>
      </c>
      <c r="AO81" s="13">
        <f t="shared" si="54"/>
        <v>0.84639045446009398</v>
      </c>
      <c r="AP81" s="13">
        <f t="shared" si="54"/>
        <v>0.63111634374194048</v>
      </c>
      <c r="AQ81" s="13">
        <f t="shared" si="54"/>
        <v>4.6592010515149394</v>
      </c>
      <c r="AR81" s="13">
        <f t="shared" si="54"/>
        <v>3.448228937260474</v>
      </c>
      <c r="AS81" s="13">
        <f t="shared" si="54"/>
        <v>2.6355687688154275</v>
      </c>
      <c r="AT81" s="13">
        <f t="shared" si="54"/>
        <v>4.9410321920692617</v>
      </c>
    </row>
    <row r="82" spans="2:46" outlineLevel="2" x14ac:dyDescent="0.25">
      <c r="B82" s="164" t="s">
        <v>432</v>
      </c>
      <c r="C82" s="164"/>
      <c r="D82" s="12"/>
      <c r="F82" s="12"/>
      <c r="G82" s="12"/>
      <c r="H82" s="12"/>
      <c r="I82" s="12">
        <f t="shared" si="47"/>
        <v>62.648896008067297</v>
      </c>
      <c r="J82" s="12">
        <f t="shared" si="47"/>
        <v>55.86168550159212</v>
      </c>
      <c r="K82" s="12">
        <f t="shared" si="47"/>
        <v>73.542677701637345</v>
      </c>
      <c r="L82" s="12">
        <f t="shared" si="48"/>
        <v>155.81842576026466</v>
      </c>
      <c r="M82" s="12">
        <f t="shared" si="48"/>
        <v>157.59145221779426</v>
      </c>
      <c r="O82" s="12"/>
      <c r="P82" s="12">
        <f t="shared" si="49"/>
        <v>14.093544507282417</v>
      </c>
      <c r="Q82" s="12">
        <f t="shared" si="49"/>
        <v>9.1394500744195053</v>
      </c>
      <c r="R82" s="12">
        <f t="shared" si="49"/>
        <v>13.846281406176139</v>
      </c>
      <c r="S82" s="12">
        <f t="shared" si="49"/>
        <v>76.354805258145589</v>
      </c>
      <c r="T82" s="12">
        <f t="shared" si="49"/>
        <v>52.017991545060553</v>
      </c>
      <c r="U82" s="12">
        <f>U$78*$AF30</f>
        <v>99.03852448016778</v>
      </c>
      <c r="V82" s="12">
        <f>V$78*$AH30</f>
        <v>86.611237153844669</v>
      </c>
      <c r="Y82" s="110" t="str">
        <f t="shared" si="44"/>
        <v>rye</v>
      </c>
      <c r="AB82" s="13">
        <f t="shared" ref="AB82:AH82" si="55">(D83+D92)/D$123*100</f>
        <v>0</v>
      </c>
      <c r="AC82" s="13">
        <f t="shared" si="55"/>
        <v>0</v>
      </c>
      <c r="AD82" s="13">
        <f t="shared" si="55"/>
        <v>0</v>
      </c>
      <c r="AE82" s="13">
        <f t="shared" si="55"/>
        <v>0</v>
      </c>
      <c r="AF82" s="13">
        <f t="shared" si="55"/>
        <v>0</v>
      </c>
      <c r="AG82" s="13">
        <f t="shared" si="55"/>
        <v>1.3507533293838584E-2</v>
      </c>
      <c r="AH82" s="13">
        <f t="shared" si="55"/>
        <v>0</v>
      </c>
      <c r="AI82" s="13">
        <f t="shared" ref="AI82:AT82" si="56">(K83+K92)/K$123*100</f>
        <v>0</v>
      </c>
      <c r="AJ82" s="13">
        <f t="shared" si="56"/>
        <v>1.1272622080408017E-2</v>
      </c>
      <c r="AK82" s="13">
        <f t="shared" si="56"/>
        <v>0</v>
      </c>
      <c r="AL82" s="13">
        <f t="shared" si="56"/>
        <v>0</v>
      </c>
      <c r="AM82" s="13">
        <f t="shared" si="56"/>
        <v>0.21145675610695761</v>
      </c>
      <c r="AN82" s="13">
        <f t="shared" si="56"/>
        <v>4.8796554435071035E-3</v>
      </c>
      <c r="AO82" s="13">
        <f t="shared" si="56"/>
        <v>0</v>
      </c>
      <c r="AP82" s="13">
        <f t="shared" si="56"/>
        <v>5.6371722021104978E-3</v>
      </c>
      <c r="AQ82" s="13">
        <f t="shared" si="56"/>
        <v>1.6945393347994473E-2</v>
      </c>
      <c r="AR82" s="13">
        <f t="shared" si="56"/>
        <v>0</v>
      </c>
      <c r="AS82" s="13">
        <f t="shared" si="56"/>
        <v>1.7420276725880934E-2</v>
      </c>
      <c r="AT82" s="13">
        <f t="shared" si="56"/>
        <v>1.3668084713412143E-3</v>
      </c>
    </row>
    <row r="83" spans="2:46" outlineLevel="2" x14ac:dyDescent="0.25">
      <c r="B83" s="110" t="s">
        <v>460</v>
      </c>
      <c r="C83" s="110"/>
      <c r="D83" s="12"/>
      <c r="G83" s="12"/>
      <c r="H83" s="12"/>
      <c r="I83" s="12"/>
      <c r="J83" s="12"/>
      <c r="P83" s="12"/>
      <c r="R83" s="12"/>
      <c r="S83" s="12"/>
      <c r="U83" s="12"/>
      <c r="V83" s="12"/>
      <c r="Y83" s="110" t="str">
        <f t="shared" si="44"/>
        <v>maize</v>
      </c>
      <c r="AB83" s="13">
        <f t="shared" ref="AB83:AH83" si="57">D93/D$123*100</f>
        <v>0</v>
      </c>
      <c r="AC83" s="13">
        <f t="shared" si="57"/>
        <v>0</v>
      </c>
      <c r="AD83" s="13">
        <f t="shared" si="57"/>
        <v>0</v>
      </c>
      <c r="AE83" s="13">
        <f t="shared" si="57"/>
        <v>0</v>
      </c>
      <c r="AF83" s="13">
        <f t="shared" si="57"/>
        <v>0</v>
      </c>
      <c r="AG83" s="13">
        <f t="shared" si="57"/>
        <v>5.8685075988393134E-2</v>
      </c>
      <c r="AH83" s="13">
        <f t="shared" si="57"/>
        <v>0</v>
      </c>
      <c r="AI83" s="13">
        <f t="shared" ref="AI83:AT83" si="58">K93/K$123*100</f>
        <v>0</v>
      </c>
      <c r="AJ83" s="13">
        <f t="shared" si="58"/>
        <v>0.39798335104430993</v>
      </c>
      <c r="AK83" s="13">
        <f t="shared" si="58"/>
        <v>0</v>
      </c>
      <c r="AL83" s="13">
        <f t="shared" si="58"/>
        <v>0</v>
      </c>
      <c r="AM83" s="13">
        <f t="shared" si="58"/>
        <v>0.91869888679500122</v>
      </c>
      <c r="AN83" s="13">
        <f t="shared" si="58"/>
        <v>2.1200240211883402E-2</v>
      </c>
      <c r="AO83" s="13">
        <f t="shared" si="58"/>
        <v>0</v>
      </c>
      <c r="AP83" s="13">
        <f t="shared" si="58"/>
        <v>2.4491361364359067E-2</v>
      </c>
      <c r="AQ83" s="13">
        <f t="shared" si="58"/>
        <v>7.3621265603978081E-2</v>
      </c>
      <c r="AR83" s="13">
        <f t="shared" si="58"/>
        <v>0</v>
      </c>
      <c r="AS83" s="13">
        <f t="shared" si="58"/>
        <v>0.6150281680723525</v>
      </c>
      <c r="AT83" s="13">
        <f t="shared" si="58"/>
        <v>4.8255588786707375E-2</v>
      </c>
    </row>
    <row r="84" spans="2:46" outlineLevel="2" x14ac:dyDescent="0.25">
      <c r="B84" s="6" t="s">
        <v>459</v>
      </c>
      <c r="C84" s="6"/>
      <c r="D84" s="163"/>
      <c r="F84" s="163"/>
      <c r="G84" s="163"/>
      <c r="H84" s="163"/>
      <c r="I84" s="163">
        <f>(G17*D$24+I17*F$24)/(D$24+F$24)*C17</f>
        <v>49.238160785457367</v>
      </c>
      <c r="J84" s="72">
        <f>H17*C17</f>
        <v>66.3</v>
      </c>
      <c r="M84" s="163"/>
      <c r="O84" s="72"/>
      <c r="P84" s="163"/>
      <c r="R84" s="163">
        <f>SUMPRODUCT(P17:R17,D$23:F$23)/SUM(D$23:F$23)*C17</f>
        <v>2.7418595795607028</v>
      </c>
      <c r="S84" s="163">
        <f>(M17*D$23+O17*F$23)/(D$23+F$23)*C17</f>
        <v>86.918338397569158</v>
      </c>
      <c r="U84" s="163"/>
      <c r="V84" s="72">
        <f>N17*C17</f>
        <v>27.2</v>
      </c>
      <c r="Y84" s="110" t="str">
        <f t="shared" si="44"/>
        <v>peas</v>
      </c>
      <c r="AB84" s="13">
        <f t="shared" ref="AB84:AH85" si="59">(D85+D94)/D$123*100</f>
        <v>0</v>
      </c>
      <c r="AC84" s="13">
        <f t="shared" si="59"/>
        <v>0</v>
      </c>
      <c r="AD84" s="13">
        <f t="shared" si="59"/>
        <v>0</v>
      </c>
      <c r="AE84" s="13">
        <f t="shared" si="59"/>
        <v>0</v>
      </c>
      <c r="AF84" s="13">
        <f t="shared" si="59"/>
        <v>0</v>
      </c>
      <c r="AG84" s="13">
        <f t="shared" si="59"/>
        <v>1.230521308754674</v>
      </c>
      <c r="AH84" s="13">
        <f t="shared" si="59"/>
        <v>1.6370482011197791</v>
      </c>
      <c r="AI84" s="13">
        <f t="shared" ref="AI84:AT84" si="60">(K85+K94)/K$123*100</f>
        <v>0</v>
      </c>
      <c r="AJ84" s="13">
        <f t="shared" si="60"/>
        <v>6.2198540886316538E-2</v>
      </c>
      <c r="AK84" s="13">
        <f t="shared" si="60"/>
        <v>0</v>
      </c>
      <c r="AL84" s="13">
        <f t="shared" si="60"/>
        <v>0</v>
      </c>
      <c r="AM84" s="13">
        <f t="shared" si="60"/>
        <v>0.14357819271231378</v>
      </c>
      <c r="AN84" s="13">
        <f t="shared" si="60"/>
        <v>3.3132642462517254E-3</v>
      </c>
      <c r="AO84" s="13">
        <f t="shared" si="60"/>
        <v>0</v>
      </c>
      <c r="AP84" s="13">
        <f t="shared" si="60"/>
        <v>3.3129545230803178E-2</v>
      </c>
      <c r="AQ84" s="13">
        <f t="shared" si="60"/>
        <v>1.3794797059070938</v>
      </c>
      <c r="AR84" s="13">
        <f t="shared" si="60"/>
        <v>0</v>
      </c>
      <c r="AS84" s="13">
        <f t="shared" si="60"/>
        <v>9.6119233524986178E-2</v>
      </c>
      <c r="AT84" s="13">
        <f t="shared" si="60"/>
        <v>0.43086866195785822</v>
      </c>
    </row>
    <row r="85" spans="2:46" outlineLevel="2" x14ac:dyDescent="0.25">
      <c r="B85" s="164" t="s">
        <v>431</v>
      </c>
      <c r="C85" s="164"/>
      <c r="D85" s="12"/>
      <c r="F85" s="12"/>
      <c r="G85" s="12"/>
      <c r="H85" s="12"/>
      <c r="I85" s="12">
        <f>I$84*$AH35</f>
        <v>25.260442931469107</v>
      </c>
      <c r="J85" s="12">
        <f>J$84*$AH35</f>
        <v>34.013605293946092</v>
      </c>
      <c r="M85" s="12"/>
      <c r="O85" s="12"/>
      <c r="P85" s="289"/>
      <c r="R85" s="289">
        <f>R$84*$AF35</f>
        <v>1.4066444873394082</v>
      </c>
      <c r="S85" s="12">
        <f>S$84*$AF35</f>
        <v>44.591343213583066</v>
      </c>
      <c r="U85" s="12"/>
      <c r="V85" s="12">
        <f>V$84*$AF35</f>
        <v>13.954299607772761</v>
      </c>
      <c r="Y85" s="110" t="str">
        <f t="shared" si="44"/>
        <v>broad beans</v>
      </c>
      <c r="AB85" s="13">
        <f t="shared" si="59"/>
        <v>0</v>
      </c>
      <c r="AC85" s="13">
        <f t="shared" si="59"/>
        <v>0</v>
      </c>
      <c r="AD85" s="13">
        <f t="shared" si="59"/>
        <v>0</v>
      </c>
      <c r="AE85" s="13">
        <f t="shared" si="59"/>
        <v>0</v>
      </c>
      <c r="AF85" s="13">
        <f t="shared" si="59"/>
        <v>0</v>
      </c>
      <c r="AG85" s="13">
        <f t="shared" si="59"/>
        <v>1.1908458068725807</v>
      </c>
      <c r="AH85" s="13">
        <f t="shared" si="59"/>
        <v>1.5539189073731028</v>
      </c>
      <c r="AI85" s="13">
        <f t="shared" ref="AI85:AT85" si="61">(K86+K95)/K$123*100</f>
        <v>0</v>
      </c>
      <c r="AJ85" s="13">
        <f t="shared" si="61"/>
        <v>0.21373263842786655</v>
      </c>
      <c r="AK85" s="13">
        <f t="shared" si="61"/>
        <v>7.1730950141110057</v>
      </c>
      <c r="AL85" s="13">
        <f t="shared" si="61"/>
        <v>0</v>
      </c>
      <c r="AM85" s="13">
        <f t="shared" si="61"/>
        <v>0.49337726435088475</v>
      </c>
      <c r="AN85" s="13">
        <f t="shared" si="61"/>
        <v>1.1385358869662632E-2</v>
      </c>
      <c r="AO85" s="13">
        <f t="shared" si="61"/>
        <v>1.3455221813289011</v>
      </c>
      <c r="AP85" s="13">
        <f t="shared" si="61"/>
        <v>4.0966798466627027E-2</v>
      </c>
      <c r="AQ85" s="13">
        <f t="shared" si="61"/>
        <v>1.338045660068792</v>
      </c>
      <c r="AR85" s="13">
        <f t="shared" si="61"/>
        <v>0</v>
      </c>
      <c r="AS85" s="13">
        <f t="shared" si="61"/>
        <v>0.33029420131428044</v>
      </c>
      <c r="AT85" s="13">
        <f t="shared" si="61"/>
        <v>0.42774566708132739</v>
      </c>
    </row>
    <row r="86" spans="2:46" outlineLevel="2" x14ac:dyDescent="0.25">
      <c r="B86" s="164" t="s">
        <v>464</v>
      </c>
      <c r="C86" s="164"/>
      <c r="D86" s="12"/>
      <c r="F86" s="12"/>
      <c r="G86" s="12"/>
      <c r="H86" s="12"/>
      <c r="I86" s="12">
        <f>I$84*$AH36</f>
        <v>23.97771785398826</v>
      </c>
      <c r="J86" s="12">
        <f>J$84*$AH36</f>
        <v>32.286394706053905</v>
      </c>
      <c r="M86" s="12">
        <f>AS39*AU39</f>
        <v>518.5</v>
      </c>
      <c r="O86" s="12"/>
      <c r="P86" s="289"/>
      <c r="Q86">
        <f>AS39*AZ39</f>
        <v>27.2</v>
      </c>
      <c r="R86" s="289">
        <f>R$84*$AF36</f>
        <v>1.3352150922212949</v>
      </c>
      <c r="S86" s="12">
        <f>S$84*$AF36</f>
        <v>42.326995183986099</v>
      </c>
      <c r="U86" s="12"/>
      <c r="V86" s="12">
        <f>V$84*$AF36</f>
        <v>13.24570039222724</v>
      </c>
      <c r="Y86" s="110" t="str">
        <f t="shared" si="44"/>
        <v>rapeseed</v>
      </c>
      <c r="AB86" s="13">
        <f t="shared" ref="AB86:AB110" si="62">D96/D$123*100</f>
        <v>0</v>
      </c>
      <c r="AC86" s="13">
        <f t="shared" ref="AC86:AC110" si="63">E96/E$123*100</f>
        <v>0</v>
      </c>
      <c r="AD86" s="13">
        <f t="shared" ref="AD86:AD110" si="64">F96/F$123*100</f>
        <v>0</v>
      </c>
      <c r="AE86" s="13">
        <f t="shared" ref="AE86:AE110" si="65">G96/G$123*100</f>
        <v>0</v>
      </c>
      <c r="AF86" s="13">
        <f t="shared" ref="AF86:AF110" si="66">H96/H$123*100</f>
        <v>0</v>
      </c>
      <c r="AG86" s="13">
        <f t="shared" ref="AG86:AG110" si="67">I96/I$123*100</f>
        <v>0.49891518495011011</v>
      </c>
      <c r="AH86" s="13">
        <f t="shared" ref="AH86:AH110" si="68">J96/J$123*100</f>
        <v>0</v>
      </c>
      <c r="AI86" s="13">
        <f t="shared" ref="AI86:AT86" si="69">K96/K$123*100</f>
        <v>0</v>
      </c>
      <c r="AJ86" s="13">
        <f t="shared" si="69"/>
        <v>3.3834826631664936</v>
      </c>
      <c r="AK86" s="13">
        <f t="shared" si="69"/>
        <v>0</v>
      </c>
      <c r="AL86" s="13">
        <f t="shared" si="69"/>
        <v>0</v>
      </c>
      <c r="AM86" s="13">
        <f t="shared" si="69"/>
        <v>7.8103813840071092</v>
      </c>
      <c r="AN86" s="13">
        <f t="shared" si="69"/>
        <v>0.18023529130967705</v>
      </c>
      <c r="AO86" s="13">
        <f t="shared" si="69"/>
        <v>0</v>
      </c>
      <c r="AP86" s="13">
        <f t="shared" si="69"/>
        <v>0.20821498275295594</v>
      </c>
      <c r="AQ86" s="13">
        <f t="shared" si="69"/>
        <v>0.62589622193442496</v>
      </c>
      <c r="AR86" s="13">
        <f t="shared" si="69"/>
        <v>0</v>
      </c>
      <c r="AS86" s="13">
        <f t="shared" si="69"/>
        <v>5.2287040112895822</v>
      </c>
      <c r="AT86" s="13">
        <f t="shared" si="69"/>
        <v>0.41024818659446338</v>
      </c>
    </row>
    <row r="87" spans="2:46" outlineLevel="2" x14ac:dyDescent="0.25">
      <c r="B87" s="6" t="s">
        <v>457</v>
      </c>
      <c r="C87" s="6"/>
      <c r="D87" s="163"/>
      <c r="F87" s="163"/>
      <c r="G87" s="163"/>
      <c r="H87" s="163"/>
      <c r="I87" s="163">
        <f>(G18*D$24+I18*F$24)/(D$24+F$24)*C18</f>
        <v>132.11599300087491</v>
      </c>
      <c r="J87" s="72"/>
      <c r="L87" s="163">
        <f>Y18*C18</f>
        <v>1370.1342545518819</v>
      </c>
      <c r="M87" s="6"/>
      <c r="O87" s="291">
        <v>100</v>
      </c>
      <c r="P87" s="163">
        <f>AB18*C18</f>
        <v>97.2</v>
      </c>
      <c r="R87" s="163">
        <f>SUMPRODUCT(P18:R18,D$23:F$23)/SUM(D$23:F$23)*C18</f>
        <v>127.97579935447216</v>
      </c>
      <c r="S87" s="163">
        <f>(M18*D$23+O18*F$23)/(D$23+F$23)*C18</f>
        <v>261.21784663361586</v>
      </c>
      <c r="U87" s="163">
        <f>Z18*C18</f>
        <v>2165.3407913577166</v>
      </c>
      <c r="V87" s="72">
        <f>N18*C18</f>
        <v>71.100000000000009</v>
      </c>
      <c r="Y87" s="110" t="str">
        <f t="shared" si="44"/>
        <v>linseed</v>
      </c>
      <c r="AB87" s="13">
        <f t="shared" si="62"/>
        <v>0</v>
      </c>
      <c r="AC87" s="13">
        <f t="shared" si="63"/>
        <v>0</v>
      </c>
      <c r="AD87" s="13">
        <f t="shared" si="64"/>
        <v>0</v>
      </c>
      <c r="AE87" s="13">
        <f t="shared" si="65"/>
        <v>0</v>
      </c>
      <c r="AF87" s="13">
        <f t="shared" si="66"/>
        <v>0</v>
      </c>
      <c r="AG87" s="13">
        <f t="shared" si="67"/>
        <v>3.6802917118822752E-4</v>
      </c>
      <c r="AH87" s="13">
        <f t="shared" si="68"/>
        <v>0</v>
      </c>
      <c r="AI87" s="13">
        <f t="shared" ref="AI87:AT87" si="70">K97/K$123*100</f>
        <v>0</v>
      </c>
      <c r="AJ87" s="13">
        <f t="shared" si="70"/>
        <v>2.4958557242137649E-3</v>
      </c>
      <c r="AK87" s="13">
        <f t="shared" si="70"/>
        <v>0</v>
      </c>
      <c r="AL87" s="13">
        <f t="shared" si="70"/>
        <v>0</v>
      </c>
      <c r="AM87" s="13">
        <f t="shared" si="70"/>
        <v>5.7613964740470527E-3</v>
      </c>
      <c r="AN87" s="13">
        <f t="shared" si="70"/>
        <v>1.3295214673853263E-4</v>
      </c>
      <c r="AO87" s="13">
        <f t="shared" si="70"/>
        <v>0</v>
      </c>
      <c r="AP87" s="13">
        <f t="shared" si="70"/>
        <v>1.5359161204765519E-4</v>
      </c>
      <c r="AQ87" s="13">
        <f t="shared" si="70"/>
        <v>4.6169784916729557E-4</v>
      </c>
      <c r="AR87" s="13">
        <f t="shared" si="70"/>
        <v>0</v>
      </c>
      <c r="AS87" s="13">
        <f t="shared" si="70"/>
        <v>3.8569994694707295E-3</v>
      </c>
      <c r="AT87" s="13">
        <f t="shared" si="70"/>
        <v>3.0262318054907772E-4</v>
      </c>
    </row>
    <row r="88" spans="2:46" outlineLevel="2" x14ac:dyDescent="0.25">
      <c r="B88" t="str">
        <f t="shared" ref="B88:B93" si="71">L26</f>
        <v>wheat</v>
      </c>
      <c r="F88" s="13"/>
      <c r="I88" s="13">
        <f t="shared" ref="I88:I93" si="72">I$87*$W26</f>
        <v>34.211658111455151</v>
      </c>
      <c r="J88" s="13"/>
      <c r="L88" s="13">
        <f t="shared" ref="L88:L93" si="73">L$87*$U26</f>
        <v>106.32376583397684</v>
      </c>
      <c r="O88" s="13">
        <f t="shared" ref="O88:P93" si="74">O$87*$W26</f>
        <v>25.895167825161479</v>
      </c>
      <c r="P88" s="13">
        <f t="shared" si="74"/>
        <v>25.170103126056958</v>
      </c>
      <c r="R88" s="13">
        <f t="shared" ref="R88:S93" si="75">R$87*$W26</f>
        <v>33.139548018432485</v>
      </c>
      <c r="S88" s="13">
        <f t="shared" si="75"/>
        <v>67.642799775047763</v>
      </c>
      <c r="U88" s="13">
        <f t="shared" ref="U88:V93" si="76">U$87*$U26</f>
        <v>168.03257526495051</v>
      </c>
      <c r="V88" s="13">
        <f t="shared" si="76"/>
        <v>5.5174299348265068</v>
      </c>
      <c r="Y88" s="110" t="str">
        <f t="shared" si="44"/>
        <v>vegetable oils</v>
      </c>
      <c r="AB88" s="13">
        <f t="shared" si="62"/>
        <v>0</v>
      </c>
      <c r="AC88" s="13">
        <f t="shared" si="63"/>
        <v>0</v>
      </c>
      <c r="AD88" s="13">
        <f t="shared" si="64"/>
        <v>0</v>
      </c>
      <c r="AE88" s="13">
        <f t="shared" si="65"/>
        <v>0</v>
      </c>
      <c r="AF88" s="13">
        <f t="shared" si="66"/>
        <v>0</v>
      </c>
      <c r="AG88" s="13">
        <f t="shared" si="67"/>
        <v>9.5013866211436822E-3</v>
      </c>
      <c r="AH88" s="13">
        <f t="shared" si="68"/>
        <v>0</v>
      </c>
      <c r="AI88" s="13">
        <f t="shared" ref="AI88:AT88" si="77">K98/K$123*100</f>
        <v>0</v>
      </c>
      <c r="AJ88" s="13">
        <f t="shared" si="77"/>
        <v>6.4435354702415792E-2</v>
      </c>
      <c r="AK88" s="13">
        <f t="shared" si="77"/>
        <v>0</v>
      </c>
      <c r="AL88" s="13">
        <f t="shared" si="77"/>
        <v>0</v>
      </c>
      <c r="AM88" s="13">
        <f t="shared" si="77"/>
        <v>0.14874162067337257</v>
      </c>
      <c r="AN88" s="13">
        <f t="shared" si="77"/>
        <v>3.4324174472239043E-3</v>
      </c>
      <c r="AO88" s="13">
        <f t="shared" si="77"/>
        <v>0</v>
      </c>
      <c r="AP88" s="13">
        <f t="shared" si="77"/>
        <v>3.9652652617667341E-3</v>
      </c>
      <c r="AQ88" s="13">
        <f t="shared" si="77"/>
        <v>1.1919625156141098E-2</v>
      </c>
      <c r="AR88" s="13">
        <f t="shared" si="77"/>
        <v>0</v>
      </c>
      <c r="AS88" s="13">
        <f t="shared" si="77"/>
        <v>9.957591958992984E-2</v>
      </c>
      <c r="AT88" s="13">
        <f t="shared" si="77"/>
        <v>7.8128041579790201E-3</v>
      </c>
    </row>
    <row r="89" spans="2:46" outlineLevel="2" x14ac:dyDescent="0.25">
      <c r="B89" t="str">
        <f t="shared" si="71"/>
        <v>barley</v>
      </c>
      <c r="C89" s="164"/>
      <c r="F89" s="13"/>
      <c r="I89" s="13">
        <f t="shared" si="72"/>
        <v>37.204098459874182</v>
      </c>
      <c r="J89" s="13"/>
      <c r="L89" s="13">
        <f t="shared" si="73"/>
        <v>115.62373971542154</v>
      </c>
      <c r="O89" s="13">
        <f t="shared" si="74"/>
        <v>28.160177745950715</v>
      </c>
      <c r="P89" s="13">
        <f t="shared" si="74"/>
        <v>27.371692769064097</v>
      </c>
      <c r="R89" s="13">
        <f t="shared" si="75"/>
        <v>36.038212570020605</v>
      </c>
      <c r="S89" s="13">
        <f t="shared" si="75"/>
        <v>73.559409916171163</v>
      </c>
      <c r="U89" s="13">
        <f t="shared" si="76"/>
        <v>182.73012241199254</v>
      </c>
      <c r="V89" s="13">
        <f t="shared" si="76"/>
        <v>6.0000309213896665</v>
      </c>
      <c r="Y89" s="110" t="str">
        <f t="shared" si="44"/>
        <v>soybeans</v>
      </c>
      <c r="AB89" s="13">
        <f t="shared" si="62"/>
        <v>0</v>
      </c>
      <c r="AC89" s="13">
        <f t="shared" si="63"/>
        <v>0</v>
      </c>
      <c r="AD89" s="13">
        <f t="shared" si="64"/>
        <v>0</v>
      </c>
      <c r="AE89" s="13">
        <f t="shared" si="65"/>
        <v>0</v>
      </c>
      <c r="AF89" s="13">
        <f t="shared" si="66"/>
        <v>0</v>
      </c>
      <c r="AG89" s="13">
        <f t="shared" si="67"/>
        <v>9.2850444567383218E-3</v>
      </c>
      <c r="AH89" s="13">
        <f t="shared" si="68"/>
        <v>0</v>
      </c>
      <c r="AI89" s="13">
        <f t="shared" ref="AI89:AT89" si="78">K99/K$123*100</f>
        <v>0</v>
      </c>
      <c r="AJ89" s="13">
        <f t="shared" si="78"/>
        <v>6.2968191575980506E-2</v>
      </c>
      <c r="AK89" s="13">
        <f t="shared" si="78"/>
        <v>0</v>
      </c>
      <c r="AL89" s="13">
        <f t="shared" si="78"/>
        <v>0</v>
      </c>
      <c r="AM89" s="13">
        <f t="shared" si="78"/>
        <v>0.14535484299167828</v>
      </c>
      <c r="AN89" s="13">
        <f t="shared" si="78"/>
        <v>3.3542628947059953E-3</v>
      </c>
      <c r="AO89" s="13">
        <f t="shared" si="78"/>
        <v>0</v>
      </c>
      <c r="AP89" s="13">
        <f t="shared" si="78"/>
        <v>3.8749780117707201E-3</v>
      </c>
      <c r="AQ89" s="13">
        <f t="shared" si="78"/>
        <v>1.1648220822436621E-2</v>
      </c>
      <c r="AR89" s="13">
        <f t="shared" si="78"/>
        <v>0</v>
      </c>
      <c r="AS89" s="13">
        <f t="shared" si="78"/>
        <v>9.7308622107391843E-2</v>
      </c>
      <c r="AT89" s="13">
        <f t="shared" si="78"/>
        <v>7.6349102327017302E-3</v>
      </c>
    </row>
    <row r="90" spans="2:46" outlineLevel="2" x14ac:dyDescent="0.25">
      <c r="B90" t="str">
        <f t="shared" si="71"/>
        <v>oats</v>
      </c>
      <c r="C90" s="164"/>
      <c r="F90" s="13"/>
      <c r="I90" s="13">
        <f t="shared" si="72"/>
        <v>12.57808859774202</v>
      </c>
      <c r="J90" s="13"/>
      <c r="L90" s="13">
        <f t="shared" si="73"/>
        <v>39.090468586716916</v>
      </c>
      <c r="O90" s="13">
        <f t="shared" si="74"/>
        <v>9.5204890127561814</v>
      </c>
      <c r="P90" s="13">
        <f t="shared" si="74"/>
        <v>9.2539153203990079</v>
      </c>
      <c r="R90" s="13">
        <f t="shared" si="75"/>
        <v>12.183921916529417</v>
      </c>
      <c r="S90" s="13">
        <f t="shared" si="75"/>
        <v>24.869216388111688</v>
      </c>
      <c r="U90" s="13">
        <f t="shared" si="76"/>
        <v>61.778023506017249</v>
      </c>
      <c r="V90" s="13">
        <f t="shared" si="76"/>
        <v>2.0285109340796574</v>
      </c>
      <c r="Y90" s="110" t="str">
        <f t="shared" si="44"/>
        <v>soybean meal</v>
      </c>
      <c r="AB90" s="13">
        <f t="shared" si="62"/>
        <v>0</v>
      </c>
      <c r="AC90" s="13">
        <f t="shared" si="63"/>
        <v>0</v>
      </c>
      <c r="AD90" s="13">
        <f t="shared" si="64"/>
        <v>0</v>
      </c>
      <c r="AE90" s="13">
        <f t="shared" si="65"/>
        <v>0</v>
      </c>
      <c r="AF90" s="13">
        <f t="shared" si="66"/>
        <v>0</v>
      </c>
      <c r="AG90" s="13">
        <f t="shared" si="67"/>
        <v>8.4815436019657742E-2</v>
      </c>
      <c r="AH90" s="13">
        <f t="shared" si="68"/>
        <v>0</v>
      </c>
      <c r="AI90" s="13">
        <f t="shared" ref="AI90:AT90" si="79">K100/K$123*100</f>
        <v>0</v>
      </c>
      <c r="AJ90" s="13">
        <f t="shared" si="79"/>
        <v>0.57519106653391427</v>
      </c>
      <c r="AK90" s="13">
        <f t="shared" si="79"/>
        <v>0</v>
      </c>
      <c r="AL90" s="13">
        <f t="shared" si="79"/>
        <v>0</v>
      </c>
      <c r="AM90" s="13">
        <f t="shared" si="79"/>
        <v>1.3277625587415678</v>
      </c>
      <c r="AN90" s="13">
        <f t="shared" si="79"/>
        <v>3.0639946988362182E-2</v>
      </c>
      <c r="AO90" s="13">
        <f t="shared" si="79"/>
        <v>0</v>
      </c>
      <c r="AP90" s="13">
        <f t="shared" si="79"/>
        <v>3.5396486378307765E-2</v>
      </c>
      <c r="AQ90" s="13">
        <f t="shared" si="79"/>
        <v>0.10640217529505162</v>
      </c>
      <c r="AR90" s="13">
        <f t="shared" si="79"/>
        <v>0</v>
      </c>
      <c r="AS90" s="13">
        <f t="shared" si="79"/>
        <v>0.88887815787688529</v>
      </c>
      <c r="AT90" s="13">
        <f t="shared" si="79"/>
        <v>6.9742072143510206E-2</v>
      </c>
    </row>
    <row r="91" spans="2:46" outlineLevel="2" x14ac:dyDescent="0.25">
      <c r="B91" t="str">
        <f t="shared" si="71"/>
        <v>triticale</v>
      </c>
      <c r="C91" s="164"/>
      <c r="F91" s="13"/>
      <c r="I91" s="13">
        <f t="shared" si="72"/>
        <v>4.5167949149179192</v>
      </c>
      <c r="J91" s="13"/>
      <c r="L91" s="13">
        <f t="shared" si="73"/>
        <v>14.037397523653777</v>
      </c>
      <c r="O91" s="13">
        <f t="shared" si="74"/>
        <v>3.4188101018837349</v>
      </c>
      <c r="P91" s="13">
        <f t="shared" si="74"/>
        <v>3.3230834190309904</v>
      </c>
      <c r="R91" s="13">
        <f t="shared" si="75"/>
        <v>4.3752495562971534</v>
      </c>
      <c r="S91" s="13">
        <f t="shared" si="75"/>
        <v>8.9305421286332205</v>
      </c>
      <c r="U91" s="13">
        <f t="shared" si="76"/>
        <v>22.184504446546079</v>
      </c>
      <c r="V91" s="13">
        <f t="shared" si="76"/>
        <v>0.72843880854450294</v>
      </c>
      <c r="Y91" s="110" t="str">
        <f t="shared" si="44"/>
        <v>soybean protein concentrate</v>
      </c>
      <c r="AB91" s="13">
        <f t="shared" si="62"/>
        <v>0</v>
      </c>
      <c r="AC91" s="13">
        <f t="shared" si="63"/>
        <v>0</v>
      </c>
      <c r="AD91" s="13">
        <f t="shared" si="64"/>
        <v>0</v>
      </c>
      <c r="AE91" s="13">
        <f t="shared" si="65"/>
        <v>0</v>
      </c>
      <c r="AF91" s="13">
        <f t="shared" si="66"/>
        <v>0</v>
      </c>
      <c r="AG91" s="13">
        <f t="shared" si="67"/>
        <v>0</v>
      </c>
      <c r="AH91" s="13">
        <f t="shared" si="68"/>
        <v>0</v>
      </c>
      <c r="AI91" s="13">
        <f t="shared" ref="AI91:AT91" si="80">K101/K$123*100</f>
        <v>0</v>
      </c>
      <c r="AJ91" s="13">
        <f t="shared" si="80"/>
        <v>0</v>
      </c>
      <c r="AK91" s="13">
        <f t="shared" si="80"/>
        <v>0</v>
      </c>
      <c r="AL91" s="13">
        <f t="shared" si="80"/>
        <v>0</v>
      </c>
      <c r="AM91" s="13">
        <f t="shared" si="80"/>
        <v>0</v>
      </c>
      <c r="AN91" s="13">
        <f t="shared" si="80"/>
        <v>0</v>
      </c>
      <c r="AO91" s="13">
        <f t="shared" si="80"/>
        <v>0</v>
      </c>
      <c r="AP91" s="13">
        <f t="shared" si="80"/>
        <v>0</v>
      </c>
      <c r="AQ91" s="13">
        <f t="shared" si="80"/>
        <v>0</v>
      </c>
      <c r="AR91" s="13">
        <f t="shared" si="80"/>
        <v>0</v>
      </c>
      <c r="AS91" s="13">
        <f t="shared" si="80"/>
        <v>0</v>
      </c>
      <c r="AT91" s="13">
        <f t="shared" si="80"/>
        <v>0</v>
      </c>
    </row>
    <row r="92" spans="2:46" outlineLevel="2" x14ac:dyDescent="0.25">
      <c r="B92" t="str">
        <f t="shared" si="71"/>
        <v>rye</v>
      </c>
      <c r="C92" s="164"/>
      <c r="F92" s="13"/>
      <c r="I92" s="13">
        <f t="shared" si="72"/>
        <v>0.27936819309814526</v>
      </c>
      <c r="J92" s="13"/>
      <c r="L92" s="13">
        <f t="shared" si="73"/>
        <v>0.86822679706607797</v>
      </c>
      <c r="O92" s="13">
        <f t="shared" si="74"/>
        <v>0.21145675610695761</v>
      </c>
      <c r="P92" s="13">
        <f t="shared" si="74"/>
        <v>0.20553596693596279</v>
      </c>
      <c r="R92" s="13">
        <f t="shared" si="75"/>
        <v>0.27061347391691565</v>
      </c>
      <c r="S92" s="13">
        <f t="shared" si="75"/>
        <v>0.55236278486389168</v>
      </c>
      <c r="U92" s="13">
        <f t="shared" si="76"/>
        <v>1.3721333464886729</v>
      </c>
      <c r="V92" s="13">
        <f t="shared" si="76"/>
        <v>4.5054654364208975E-2</v>
      </c>
      <c r="Y92" s="110" t="str">
        <f t="shared" si="44"/>
        <v>rapeseed meal</v>
      </c>
      <c r="AB92" s="13">
        <f t="shared" si="62"/>
        <v>0</v>
      </c>
      <c r="AC92" s="13">
        <f t="shared" si="63"/>
        <v>0</v>
      </c>
      <c r="AD92" s="13">
        <f t="shared" si="64"/>
        <v>0</v>
      </c>
      <c r="AE92" s="13">
        <f t="shared" si="65"/>
        <v>0</v>
      </c>
      <c r="AF92" s="13">
        <f t="shared" si="66"/>
        <v>0</v>
      </c>
      <c r="AG92" s="13">
        <f t="shared" si="67"/>
        <v>0.65508327684698231</v>
      </c>
      <c r="AH92" s="13">
        <f t="shared" si="68"/>
        <v>0</v>
      </c>
      <c r="AI92" s="13">
        <f t="shared" ref="AI92:AT92" si="81">K102/K$123*100</f>
        <v>0</v>
      </c>
      <c r="AJ92" s="13">
        <f t="shared" si="81"/>
        <v>4.4425645420347344</v>
      </c>
      <c r="AK92" s="13">
        <f t="shared" si="81"/>
        <v>0</v>
      </c>
      <c r="AL92" s="13">
        <f t="shared" si="81"/>
        <v>0</v>
      </c>
      <c r="AM92" s="13">
        <f t="shared" si="81"/>
        <v>10.255150343783729</v>
      </c>
      <c r="AN92" s="13">
        <f t="shared" si="81"/>
        <v>0.23665169711445078</v>
      </c>
      <c r="AO92" s="13">
        <f t="shared" si="81"/>
        <v>0</v>
      </c>
      <c r="AP92" s="13">
        <f t="shared" si="81"/>
        <v>0.27338946038309825</v>
      </c>
      <c r="AQ92" s="13">
        <f t="shared" si="81"/>
        <v>0.82181132264384626</v>
      </c>
      <c r="AR92" s="13">
        <f t="shared" si="81"/>
        <v>0</v>
      </c>
      <c r="AS92" s="13">
        <f t="shared" si="81"/>
        <v>6.8653684247374684</v>
      </c>
      <c r="AT92" s="13">
        <f t="shared" si="81"/>
        <v>0.53866215040479692</v>
      </c>
    </row>
    <row r="93" spans="2:46" outlineLevel="2" x14ac:dyDescent="0.25">
      <c r="B93" t="str">
        <f t="shared" si="71"/>
        <v>maize</v>
      </c>
      <c r="C93" s="164"/>
      <c r="F93" s="13"/>
      <c r="I93" s="13">
        <f t="shared" si="72"/>
        <v>1.2137481569771995</v>
      </c>
      <c r="J93" s="13"/>
      <c r="L93" s="13">
        <f t="shared" si="73"/>
        <v>30.653011136014133</v>
      </c>
      <c r="O93" s="13">
        <f t="shared" si="74"/>
        <v>0.91869888679500122</v>
      </c>
      <c r="P93" s="13">
        <f t="shared" si="74"/>
        <v>0.89297531796474128</v>
      </c>
      <c r="R93" s="13">
        <f t="shared" si="75"/>
        <v>1.1757122440365402</v>
      </c>
      <c r="S93" s="13">
        <f t="shared" si="75"/>
        <v>2.3998054491329026</v>
      </c>
      <c r="U93" s="13">
        <f t="shared" si="76"/>
        <v>48.443585123314932</v>
      </c>
      <c r="V93" s="13">
        <f t="shared" si="76"/>
        <v>1.5906682754117496</v>
      </c>
      <c r="Y93" t="s">
        <v>601</v>
      </c>
      <c r="AB93" s="13">
        <f t="shared" si="62"/>
        <v>0</v>
      </c>
      <c r="AC93" s="13">
        <f t="shared" si="63"/>
        <v>0</v>
      </c>
      <c r="AD93" s="13">
        <f t="shared" si="64"/>
        <v>0</v>
      </c>
      <c r="AE93" s="13">
        <f t="shared" si="65"/>
        <v>0</v>
      </c>
      <c r="AF93" s="13">
        <f t="shared" si="66"/>
        <v>0</v>
      </c>
      <c r="AG93" s="13">
        <f t="shared" si="67"/>
        <v>0</v>
      </c>
      <c r="AH93" s="13">
        <f t="shared" si="68"/>
        <v>0</v>
      </c>
      <c r="AI93" s="13">
        <f t="shared" ref="AI93:AT93" si="82">K103/K$123*100</f>
        <v>0</v>
      </c>
      <c r="AJ93" s="13">
        <f t="shared" si="82"/>
        <v>0</v>
      </c>
      <c r="AK93" s="13">
        <f t="shared" si="82"/>
        <v>3.0380167118587784</v>
      </c>
      <c r="AL93" s="13">
        <f t="shared" si="82"/>
        <v>0</v>
      </c>
      <c r="AM93" s="13">
        <f t="shared" si="82"/>
        <v>0</v>
      </c>
      <c r="AN93" s="13">
        <f t="shared" si="82"/>
        <v>0</v>
      </c>
      <c r="AO93" s="13">
        <f t="shared" si="82"/>
        <v>1.202065772290158</v>
      </c>
      <c r="AP93" s="13">
        <f t="shared" si="82"/>
        <v>0</v>
      </c>
      <c r="AQ93" s="13">
        <f t="shared" si="82"/>
        <v>0</v>
      </c>
      <c r="AR93" s="13">
        <f t="shared" si="82"/>
        <v>0</v>
      </c>
      <c r="AS93" s="13">
        <f t="shared" si="82"/>
        <v>0</v>
      </c>
      <c r="AT93" s="13">
        <f t="shared" si="82"/>
        <v>0</v>
      </c>
    </row>
    <row r="94" spans="2:46" outlineLevel="2" x14ac:dyDescent="0.25">
      <c r="B94" t="str">
        <f>L34</f>
        <v>peas</v>
      </c>
      <c r="C94" s="164"/>
      <c r="F94" s="13"/>
      <c r="I94" s="13">
        <f>I$87*$W34</f>
        <v>0.18968975503458319</v>
      </c>
      <c r="J94" s="13"/>
      <c r="L94" s="13">
        <f>L$87*$U34</f>
        <v>4.7905837302722256</v>
      </c>
      <c r="O94" s="13">
        <f t="shared" ref="O94:P96" si="83">O$87*$W34</f>
        <v>0.14357819271231378</v>
      </c>
      <c r="P94" s="13">
        <f t="shared" si="83"/>
        <v>0.139558003316369</v>
      </c>
      <c r="R94" s="13">
        <f t="shared" ref="R94:S96" si="84">R$87*$W34</f>
        <v>0.18374533982228808</v>
      </c>
      <c r="S94" s="13">
        <f t="shared" si="84"/>
        <v>0.37505186323856926</v>
      </c>
      <c r="U94" s="13">
        <f t="shared" ref="U94:V96" si="85">U$87*$U34</f>
        <v>7.570970750574916</v>
      </c>
      <c r="V94" s="13">
        <f t="shared" si="85"/>
        <v>0.2485964438088995</v>
      </c>
      <c r="Y94" s="110" t="str">
        <f t="shared" ref="Y94:Y110" si="86">B104</f>
        <v>sunflower seed meal</v>
      </c>
      <c r="AB94" s="13">
        <f t="shared" si="62"/>
        <v>0</v>
      </c>
      <c r="AC94" s="13">
        <f t="shared" si="63"/>
        <v>0</v>
      </c>
      <c r="AD94" s="13">
        <f t="shared" si="64"/>
        <v>0</v>
      </c>
      <c r="AE94" s="13">
        <f t="shared" si="65"/>
        <v>0</v>
      </c>
      <c r="AF94" s="13">
        <f t="shared" si="66"/>
        <v>0</v>
      </c>
      <c r="AG94" s="13">
        <f t="shared" si="67"/>
        <v>9.0493413936850002E-3</v>
      </c>
      <c r="AH94" s="13">
        <f t="shared" si="68"/>
        <v>0</v>
      </c>
      <c r="AI94" s="13">
        <f t="shared" ref="AI94:AT94" si="87">K104/K$123*100</f>
        <v>0</v>
      </c>
      <c r="AJ94" s="13">
        <f t="shared" si="87"/>
        <v>6.136972904857535E-2</v>
      </c>
      <c r="AK94" s="13">
        <f t="shared" si="87"/>
        <v>0</v>
      </c>
      <c r="AL94" s="13">
        <f t="shared" si="87"/>
        <v>0</v>
      </c>
      <c r="AM94" s="13">
        <f t="shared" si="87"/>
        <v>0.14166497571291584</v>
      </c>
      <c r="AN94" s="13">
        <f t="shared" si="87"/>
        <v>3.2691141329254793E-3</v>
      </c>
      <c r="AO94" s="13">
        <f t="shared" si="87"/>
        <v>0</v>
      </c>
      <c r="AP94" s="13">
        <f t="shared" si="87"/>
        <v>3.7766107728313516E-3</v>
      </c>
      <c r="AQ94" s="13">
        <f t="shared" si="87"/>
        <v>1.1352527964985915E-2</v>
      </c>
      <c r="AR94" s="13">
        <f t="shared" si="87"/>
        <v>0</v>
      </c>
      <c r="AS94" s="13">
        <f t="shared" si="87"/>
        <v>9.4838419579113625E-2</v>
      </c>
      <c r="AT94" s="13">
        <f t="shared" si="87"/>
        <v>7.441096219600373E-3</v>
      </c>
    </row>
    <row r="95" spans="2:46" outlineLevel="2" x14ac:dyDescent="0.25">
      <c r="B95" t="str">
        <f>L35</f>
        <v>broad beans</v>
      </c>
      <c r="F95" s="13"/>
      <c r="I95" s="13">
        <f>I$87*$W35</f>
        <v>0.65183027203772292</v>
      </c>
      <c r="J95" s="13"/>
      <c r="L95" s="13">
        <f>L$87*$U35</f>
        <v>16.461866881284816</v>
      </c>
      <c r="O95" s="13">
        <f t="shared" si="83"/>
        <v>0.49337726435088475</v>
      </c>
      <c r="P95" s="13">
        <f t="shared" si="83"/>
        <v>0.47956270094905995</v>
      </c>
      <c r="R95" s="13">
        <f t="shared" si="84"/>
        <v>0.63140349788627192</v>
      </c>
      <c r="S95" s="13">
        <f t="shared" si="84"/>
        <v>1.2887894657172236</v>
      </c>
      <c r="U95" s="13">
        <f t="shared" si="85"/>
        <v>26.016101518171983</v>
      </c>
      <c r="V95" s="13">
        <f t="shared" si="85"/>
        <v>0.8542511300413812</v>
      </c>
      <c r="Y95" s="110" t="str">
        <f t="shared" si="86"/>
        <v>palm kernel expeller</v>
      </c>
      <c r="AB95" s="13">
        <f t="shared" si="62"/>
        <v>0</v>
      </c>
      <c r="AC95" s="13">
        <f t="shared" si="63"/>
        <v>0</v>
      </c>
      <c r="AD95" s="13">
        <f t="shared" si="64"/>
        <v>0</v>
      </c>
      <c r="AE95" s="13">
        <f t="shared" si="65"/>
        <v>0</v>
      </c>
      <c r="AF95" s="13">
        <f t="shared" si="66"/>
        <v>0</v>
      </c>
      <c r="AG95" s="13">
        <f t="shared" si="67"/>
        <v>5.880188879234155E-2</v>
      </c>
      <c r="AH95" s="13">
        <f t="shared" si="68"/>
        <v>0</v>
      </c>
      <c r="AI95" s="13">
        <f t="shared" ref="AI95:AT95" si="88">K105/K$123*100</f>
        <v>0</v>
      </c>
      <c r="AJ95" s="13">
        <f t="shared" si="88"/>
        <v>0.39877553799094467</v>
      </c>
      <c r="AK95" s="13">
        <f t="shared" si="88"/>
        <v>0</v>
      </c>
      <c r="AL95" s="13">
        <f t="shared" si="88"/>
        <v>0</v>
      </c>
      <c r="AM95" s="13">
        <f t="shared" si="88"/>
        <v>0.92052755943695241</v>
      </c>
      <c r="AN95" s="13">
        <f t="shared" si="88"/>
        <v>2.1242439347895763E-2</v>
      </c>
      <c r="AO95" s="13">
        <f t="shared" si="88"/>
        <v>0</v>
      </c>
      <c r="AP95" s="13">
        <f t="shared" si="88"/>
        <v>2.454011148600925E-2</v>
      </c>
      <c r="AQ95" s="13">
        <f t="shared" si="88"/>
        <v>7.3767808934127849E-2</v>
      </c>
      <c r="AR95" s="13">
        <f t="shared" si="88"/>
        <v>0</v>
      </c>
      <c r="AS95" s="13">
        <f t="shared" si="88"/>
        <v>0.61625238331975196</v>
      </c>
      <c r="AT95" s="13">
        <f t="shared" si="88"/>
        <v>4.8351641667911303E-2</v>
      </c>
    </row>
    <row r="96" spans="2:46" outlineLevel="2" x14ac:dyDescent="0.25">
      <c r="B96" t="str">
        <f>L36</f>
        <v>rapeseed</v>
      </c>
      <c r="F96" s="13"/>
      <c r="I96" s="13">
        <f>I$87*$W36</f>
        <v>10.318762922636468</v>
      </c>
      <c r="J96" s="13"/>
      <c r="L96" s="13">
        <f>L$87*$U36</f>
        <v>260.59866946797524</v>
      </c>
      <c r="O96" s="13">
        <f t="shared" si="83"/>
        <v>7.8103813840071092</v>
      </c>
      <c r="P96" s="13">
        <f t="shared" si="83"/>
        <v>7.5916907052549103</v>
      </c>
      <c r="R96" s="13">
        <f t="shared" si="84"/>
        <v>9.9953980088159842</v>
      </c>
      <c r="S96" s="13">
        <f t="shared" si="84"/>
        <v>20.402110065176174</v>
      </c>
      <c r="U96" s="13">
        <f t="shared" si="85"/>
        <v>411.84645030067469</v>
      </c>
      <c r="V96" s="13">
        <f t="shared" si="85"/>
        <v>13.523175073987931</v>
      </c>
      <c r="Y96" s="110" t="str">
        <f t="shared" si="86"/>
        <v>luzern meal</v>
      </c>
      <c r="AB96" s="13">
        <f t="shared" si="62"/>
        <v>0</v>
      </c>
      <c r="AC96" s="13">
        <f t="shared" si="63"/>
        <v>0</v>
      </c>
      <c r="AD96" s="13">
        <f t="shared" si="64"/>
        <v>0</v>
      </c>
      <c r="AE96" s="13">
        <f t="shared" si="65"/>
        <v>0</v>
      </c>
      <c r="AF96" s="13">
        <f t="shared" si="66"/>
        <v>0</v>
      </c>
      <c r="AG96" s="13">
        <f t="shared" si="67"/>
        <v>1.7886888897567656E-2</v>
      </c>
      <c r="AH96" s="13">
        <f t="shared" si="68"/>
        <v>0</v>
      </c>
      <c r="AI96" s="13">
        <f t="shared" ref="AI96:AT96" si="89">K106/K$123*100</f>
        <v>0</v>
      </c>
      <c r="AJ96" s="13">
        <f t="shared" si="89"/>
        <v>0.12130313990935594</v>
      </c>
      <c r="AK96" s="13">
        <f t="shared" si="89"/>
        <v>0</v>
      </c>
      <c r="AL96" s="13">
        <f t="shared" si="89"/>
        <v>0</v>
      </c>
      <c r="AM96" s="13">
        <f t="shared" si="89"/>
        <v>0.28001437574471844</v>
      </c>
      <c r="AN96" s="13">
        <f t="shared" si="89"/>
        <v>6.4617167974137888E-3</v>
      </c>
      <c r="AO96" s="13">
        <f t="shared" si="89"/>
        <v>0</v>
      </c>
      <c r="AP96" s="13">
        <f t="shared" si="89"/>
        <v>7.4648324517994124E-3</v>
      </c>
      <c r="AQ96" s="13">
        <f t="shared" si="89"/>
        <v>2.2439357471687103E-2</v>
      </c>
      <c r="AR96" s="13">
        <f t="shared" si="89"/>
        <v>0</v>
      </c>
      <c r="AS96" s="13">
        <f t="shared" si="89"/>
        <v>0.18745720825786316</v>
      </c>
      <c r="AT96" s="13">
        <f t="shared" si="89"/>
        <v>1.4708038471063079E-2</v>
      </c>
    </row>
    <row r="97" spans="2:46" outlineLevel="2" x14ac:dyDescent="0.25">
      <c r="B97" t="str">
        <f t="shared" ref="B97:B102" si="90">L38</f>
        <v>linseed</v>
      </c>
      <c r="C97" s="93"/>
      <c r="F97" s="13"/>
      <c r="I97" s="13">
        <f t="shared" ref="I97:I102" si="91">I$87*$W38</f>
        <v>7.6117261624046575E-3</v>
      </c>
      <c r="J97" s="13"/>
      <c r="L97" s="13">
        <f t="shared" ref="L97:L102" si="92">L$87*$U38</f>
        <v>0.19223289895785448</v>
      </c>
      <c r="O97" s="13">
        <f t="shared" ref="O97:P102" si="93">O$87*$W38</f>
        <v>5.7613964740470527E-3</v>
      </c>
      <c r="P97" s="13">
        <f t="shared" si="93"/>
        <v>5.6000773727737357E-3</v>
      </c>
      <c r="R97" s="13">
        <f t="shared" ref="R97:S102" si="94">R$87*$W38</f>
        <v>7.3731931916420895E-3</v>
      </c>
      <c r="S97" s="13">
        <f t="shared" si="94"/>
        <v>1.5049795805530782E-2</v>
      </c>
      <c r="U97" s="13">
        <f t="shared" ref="U97:V102" si="95">U$87*$U38</f>
        <v>0.30380215381924586</v>
      </c>
      <c r="V97" s="13">
        <f t="shared" si="95"/>
        <v>9.9754889497114668E-3</v>
      </c>
      <c r="Y97" s="110" t="str">
        <f t="shared" si="86"/>
        <v>wheat bran</v>
      </c>
      <c r="AB97" s="13">
        <f t="shared" si="62"/>
        <v>0</v>
      </c>
      <c r="AC97" s="13">
        <f t="shared" si="63"/>
        <v>0</v>
      </c>
      <c r="AD97" s="13">
        <f t="shared" si="64"/>
        <v>0</v>
      </c>
      <c r="AE97" s="13">
        <f t="shared" si="65"/>
        <v>0</v>
      </c>
      <c r="AF97" s="13">
        <f t="shared" si="66"/>
        <v>0</v>
      </c>
      <c r="AG97" s="13">
        <f t="shared" si="67"/>
        <v>0.19488005713432707</v>
      </c>
      <c r="AH97" s="13">
        <f t="shared" si="68"/>
        <v>0</v>
      </c>
      <c r="AI97" s="13">
        <f t="shared" ref="AI97:AT97" si="96">K107/K$123*100</f>
        <v>0</v>
      </c>
      <c r="AJ97" s="13">
        <f t="shared" si="96"/>
        <v>1.321614002942858</v>
      </c>
      <c r="AK97" s="13">
        <f t="shared" si="96"/>
        <v>0</v>
      </c>
      <c r="AL97" s="13">
        <f t="shared" si="96"/>
        <v>0</v>
      </c>
      <c r="AM97" s="13">
        <f t="shared" si="96"/>
        <v>3.0507942357144198</v>
      </c>
      <c r="AN97" s="13">
        <f t="shared" si="96"/>
        <v>7.0401272455886954E-2</v>
      </c>
      <c r="AO97" s="13">
        <f t="shared" si="96"/>
        <v>0</v>
      </c>
      <c r="AP97" s="13">
        <f t="shared" si="96"/>
        <v>8.1330352250506319E-2</v>
      </c>
      <c r="AQ97" s="13">
        <f t="shared" si="96"/>
        <v>0.24447981374416825</v>
      </c>
      <c r="AR97" s="13">
        <f t="shared" si="96"/>
        <v>0</v>
      </c>
      <c r="AS97" s="13">
        <f t="shared" si="96"/>
        <v>2.0423714635193808</v>
      </c>
      <c r="AT97" s="13">
        <f t="shared" si="96"/>
        <v>0.16024605474932127</v>
      </c>
    </row>
    <row r="98" spans="2:46" outlineLevel="2" x14ac:dyDescent="0.25">
      <c r="B98" t="str">
        <f t="shared" si="90"/>
        <v>vegetable oils</v>
      </c>
      <c r="F98" s="13"/>
      <c r="I98" s="13">
        <f t="shared" si="91"/>
        <v>0.19651146915822082</v>
      </c>
      <c r="J98" s="13"/>
      <c r="L98" s="13">
        <f t="shared" si="92"/>
        <v>4.962865004436499</v>
      </c>
      <c r="O98" s="13">
        <f t="shared" si="93"/>
        <v>0.14874162067337257</v>
      </c>
      <c r="P98" s="13">
        <f t="shared" si="93"/>
        <v>0.14457685529451814</v>
      </c>
      <c r="R98" s="13">
        <f t="shared" si="94"/>
        <v>0.19035327802954535</v>
      </c>
      <c r="S98" s="13">
        <f t="shared" si="94"/>
        <v>0.38853965857092504</v>
      </c>
      <c r="U98" s="13">
        <f t="shared" si="95"/>
        <v>7.8432416388441766</v>
      </c>
      <c r="V98" s="13">
        <f t="shared" si="95"/>
        <v>0.25753658858112555</v>
      </c>
      <c r="Y98" s="110" t="str">
        <f t="shared" si="86"/>
        <v>wheat bran, fine</v>
      </c>
      <c r="AB98" s="13">
        <f t="shared" si="62"/>
        <v>0</v>
      </c>
      <c r="AC98" s="13">
        <f t="shared" si="63"/>
        <v>0</v>
      </c>
      <c r="AD98" s="13">
        <f t="shared" si="64"/>
        <v>0</v>
      </c>
      <c r="AE98" s="13">
        <f t="shared" si="65"/>
        <v>0</v>
      </c>
      <c r="AF98" s="13">
        <f t="shared" si="66"/>
        <v>0</v>
      </c>
      <c r="AG98" s="13">
        <f t="shared" si="67"/>
        <v>5.108654814463125E-4</v>
      </c>
      <c r="AH98" s="13">
        <f t="shared" si="68"/>
        <v>0</v>
      </c>
      <c r="AI98" s="13">
        <f t="shared" ref="AI98:AT98" si="97">K108/K$123*100</f>
        <v>0</v>
      </c>
      <c r="AJ98" s="13">
        <f t="shared" si="97"/>
        <v>3.4645257386917328E-3</v>
      </c>
      <c r="AK98" s="13">
        <f t="shared" si="97"/>
        <v>0</v>
      </c>
      <c r="AL98" s="13">
        <f t="shared" si="97"/>
        <v>0</v>
      </c>
      <c r="AM98" s="13">
        <f t="shared" si="97"/>
        <v>7.9974600220257888E-3</v>
      </c>
      <c r="AN98" s="13">
        <f t="shared" si="97"/>
        <v>1.8455238815339291E-4</v>
      </c>
      <c r="AO98" s="13">
        <f t="shared" si="97"/>
        <v>0</v>
      </c>
      <c r="AP98" s="13">
        <f t="shared" si="97"/>
        <v>2.1320226486804789E-4</v>
      </c>
      <c r="AQ98" s="13">
        <f t="shared" si="97"/>
        <v>6.4088803948898038E-4</v>
      </c>
      <c r="AR98" s="13">
        <f t="shared" si="97"/>
        <v>0</v>
      </c>
      <c r="AS98" s="13">
        <f t="shared" si="97"/>
        <v>5.3539448640650723E-3</v>
      </c>
      <c r="AT98" s="13">
        <f t="shared" si="97"/>
        <v>4.2007468138700703E-4</v>
      </c>
    </row>
    <row r="99" spans="2:46" outlineLevel="2" x14ac:dyDescent="0.25">
      <c r="B99" t="str">
        <f t="shared" si="90"/>
        <v>soybeans</v>
      </c>
      <c r="C99" s="110"/>
      <c r="F99" s="13"/>
      <c r="I99" s="13">
        <f t="shared" si="91"/>
        <v>0.19203699419331838</v>
      </c>
      <c r="J99" s="13"/>
      <c r="L99" s="13">
        <f t="shared" si="92"/>
        <v>4.8498628712192149</v>
      </c>
      <c r="O99" s="13">
        <f t="shared" si="93"/>
        <v>0.14535484299167828</v>
      </c>
      <c r="P99" s="13">
        <f t="shared" si="93"/>
        <v>0.1412849073879113</v>
      </c>
      <c r="R99" s="13">
        <f t="shared" si="94"/>
        <v>0.18601902221903824</v>
      </c>
      <c r="S99" s="13">
        <f t="shared" si="94"/>
        <v>0.37969279084053531</v>
      </c>
      <c r="U99" s="13">
        <f t="shared" si="95"/>
        <v>7.6646546662515878</v>
      </c>
      <c r="V99" s="13">
        <f t="shared" si="95"/>
        <v>0.25167259996464014</v>
      </c>
      <c r="Y99" s="110" t="str">
        <f t="shared" si="86"/>
        <v>oat hulls</v>
      </c>
      <c r="AB99" s="13">
        <f t="shared" si="62"/>
        <v>0</v>
      </c>
      <c r="AC99" s="13">
        <f t="shared" si="63"/>
        <v>0</v>
      </c>
      <c r="AD99" s="13">
        <f t="shared" si="64"/>
        <v>0</v>
      </c>
      <c r="AE99" s="13">
        <f t="shared" si="65"/>
        <v>0</v>
      </c>
      <c r="AF99" s="13">
        <f t="shared" si="66"/>
        <v>0</v>
      </c>
      <c r="AG99" s="13">
        <f t="shared" si="67"/>
        <v>2.3471407966757316E-2</v>
      </c>
      <c r="AH99" s="13">
        <f t="shared" si="68"/>
        <v>0</v>
      </c>
      <c r="AI99" s="13">
        <f t="shared" ref="AI99:AT99" si="98">K109/K$123*100</f>
        <v>0</v>
      </c>
      <c r="AJ99" s="13">
        <f t="shared" si="98"/>
        <v>0.15917555594859789</v>
      </c>
      <c r="AK99" s="13">
        <f t="shared" si="98"/>
        <v>0</v>
      </c>
      <c r="AL99" s="13">
        <f t="shared" si="98"/>
        <v>0</v>
      </c>
      <c r="AM99" s="13">
        <f t="shared" si="98"/>
        <v>0.36743850131225997</v>
      </c>
      <c r="AN99" s="13">
        <f t="shared" si="98"/>
        <v>8.4791487209590587E-3</v>
      </c>
      <c r="AO99" s="13">
        <f t="shared" si="98"/>
        <v>0</v>
      </c>
      <c r="AP99" s="13">
        <f t="shared" si="98"/>
        <v>9.7954501133788105E-3</v>
      </c>
      <c r="AQ99" s="13">
        <f t="shared" si="98"/>
        <v>2.9445216367475335E-2</v>
      </c>
      <c r="AR99" s="13">
        <f t="shared" si="98"/>
        <v>0</v>
      </c>
      <c r="AS99" s="13">
        <f t="shared" si="98"/>
        <v>0.24598378379417407</v>
      </c>
      <c r="AT99" s="13">
        <f t="shared" si="98"/>
        <v>1.9300079142998843E-2</v>
      </c>
    </row>
    <row r="100" spans="2:46" outlineLevel="2" x14ac:dyDescent="0.25">
      <c r="B100" t="str">
        <f t="shared" si="90"/>
        <v>soybean meal</v>
      </c>
      <c r="F100" s="13"/>
      <c r="I100" s="13">
        <f t="shared" si="91"/>
        <v>1.7541866891752473</v>
      </c>
      <c r="J100" s="13"/>
      <c r="L100" s="13">
        <f t="shared" si="92"/>
        <v>44.301697851267441</v>
      </c>
      <c r="O100" s="13">
        <f t="shared" si="93"/>
        <v>1.3277625587415678</v>
      </c>
      <c r="P100" s="13">
        <f t="shared" si="93"/>
        <v>1.290585207096804</v>
      </c>
      <c r="R100" s="13">
        <f t="shared" si="94"/>
        <v>1.6992147480789144</v>
      </c>
      <c r="S100" s="13">
        <f t="shared" si="94"/>
        <v>3.4683527643521224</v>
      </c>
      <c r="U100" s="13">
        <f t="shared" si="95"/>
        <v>70.013776507710432</v>
      </c>
      <c r="V100" s="13">
        <f t="shared" si="95"/>
        <v>2.2989358208953838</v>
      </c>
      <c r="Y100" s="110" t="str">
        <f t="shared" si="86"/>
        <v>oat bran</v>
      </c>
      <c r="AB100" s="13">
        <f t="shared" si="62"/>
        <v>0</v>
      </c>
      <c r="AC100" s="13">
        <f t="shared" si="63"/>
        <v>0</v>
      </c>
      <c r="AD100" s="13">
        <f t="shared" si="64"/>
        <v>0</v>
      </c>
      <c r="AE100" s="13">
        <f t="shared" si="65"/>
        <v>0</v>
      </c>
      <c r="AF100" s="13">
        <f t="shared" si="66"/>
        <v>0</v>
      </c>
      <c r="AG100" s="13">
        <f t="shared" si="67"/>
        <v>2.6490134698680073E-3</v>
      </c>
      <c r="AH100" s="13">
        <f t="shared" si="68"/>
        <v>0</v>
      </c>
      <c r="AI100" s="13">
        <f t="shared" ref="AI100:AT100" si="99">K110/K$123*100</f>
        <v>0</v>
      </c>
      <c r="AJ100" s="13">
        <f t="shared" si="99"/>
        <v>1.7964759181842063E-2</v>
      </c>
      <c r="AK100" s="13">
        <f t="shared" si="99"/>
        <v>0</v>
      </c>
      <c r="AL100" s="13">
        <f t="shared" si="99"/>
        <v>0</v>
      </c>
      <c r="AM100" s="13">
        <f t="shared" si="99"/>
        <v>4.1469584641145113E-2</v>
      </c>
      <c r="AN100" s="13">
        <f t="shared" si="99"/>
        <v>9.5696769476491604E-4</v>
      </c>
      <c r="AO100" s="13">
        <f t="shared" si="99"/>
        <v>0</v>
      </c>
      <c r="AP100" s="13">
        <f t="shared" si="99"/>
        <v>1.1055271729123049E-3</v>
      </c>
      <c r="AQ100" s="13">
        <f t="shared" si="99"/>
        <v>3.3232252147418258E-3</v>
      </c>
      <c r="AR100" s="13">
        <f t="shared" si="99"/>
        <v>0</v>
      </c>
      <c r="AS100" s="13">
        <f t="shared" si="99"/>
        <v>2.77620480868788E-2</v>
      </c>
      <c r="AT100" s="13">
        <f t="shared" si="99"/>
        <v>2.178231902054312E-3</v>
      </c>
    </row>
    <row r="101" spans="2:46" outlineLevel="2" x14ac:dyDescent="0.25">
      <c r="B101" t="str">
        <f t="shared" si="90"/>
        <v>soybean protein concentrate</v>
      </c>
      <c r="F101" s="13"/>
      <c r="I101" s="13">
        <f t="shared" si="91"/>
        <v>0</v>
      </c>
      <c r="J101" s="13"/>
      <c r="L101" s="13">
        <f t="shared" si="92"/>
        <v>0</v>
      </c>
      <c r="O101" s="13">
        <f t="shared" si="93"/>
        <v>0</v>
      </c>
      <c r="P101" s="13">
        <f t="shared" si="93"/>
        <v>0</v>
      </c>
      <c r="R101" s="13">
        <f t="shared" si="94"/>
        <v>0</v>
      </c>
      <c r="S101" s="13">
        <f t="shared" si="94"/>
        <v>0</v>
      </c>
      <c r="U101" s="13">
        <f t="shared" si="95"/>
        <v>0</v>
      </c>
      <c r="V101" s="13">
        <f t="shared" si="95"/>
        <v>0</v>
      </c>
      <c r="Y101" s="110" t="str">
        <f t="shared" si="86"/>
        <v>rye bran</v>
      </c>
      <c r="AB101" s="13">
        <f t="shared" si="62"/>
        <v>0</v>
      </c>
      <c r="AC101" s="13">
        <f t="shared" si="63"/>
        <v>0</v>
      </c>
      <c r="AD101" s="13">
        <f t="shared" si="64"/>
        <v>0</v>
      </c>
      <c r="AE101" s="13">
        <f t="shared" si="65"/>
        <v>0</v>
      </c>
      <c r="AF101" s="13">
        <f t="shared" si="66"/>
        <v>0</v>
      </c>
      <c r="AG101" s="13">
        <f t="shared" si="67"/>
        <v>8.1695862566661028E-3</v>
      </c>
      <c r="AH101" s="13">
        <f t="shared" si="68"/>
        <v>0</v>
      </c>
      <c r="AI101" s="13">
        <f t="shared" ref="AI101:AT101" si="100">K111/K$123*100</f>
        <v>0</v>
      </c>
      <c r="AJ101" s="13">
        <f t="shared" si="100"/>
        <v>5.5403512056737859E-2</v>
      </c>
      <c r="AK101" s="13">
        <f t="shared" si="100"/>
        <v>0</v>
      </c>
      <c r="AL101" s="13">
        <f t="shared" si="100"/>
        <v>0</v>
      </c>
      <c r="AM101" s="13">
        <f t="shared" si="100"/>
        <v>0.12789264856808435</v>
      </c>
      <c r="AN101" s="13">
        <f t="shared" si="100"/>
        <v>2.9512987442885481E-3</v>
      </c>
      <c r="AO101" s="13">
        <f t="shared" si="100"/>
        <v>0</v>
      </c>
      <c r="AP101" s="13">
        <f t="shared" si="100"/>
        <v>3.4094577852959427E-3</v>
      </c>
      <c r="AQ101" s="13">
        <f t="shared" si="100"/>
        <v>1.0248862586385358E-2</v>
      </c>
      <c r="AR101" s="13">
        <f t="shared" si="100"/>
        <v>0</v>
      </c>
      <c r="AS101" s="13">
        <f t="shared" si="100"/>
        <v>8.5618457243544915E-2</v>
      </c>
      <c r="AT101" s="13">
        <f t="shared" si="100"/>
        <v>6.7176907982054394E-3</v>
      </c>
    </row>
    <row r="102" spans="2:46" outlineLevel="2" x14ac:dyDescent="0.25">
      <c r="B102" t="str">
        <f t="shared" si="90"/>
        <v>rapeseed meal</v>
      </c>
      <c r="F102" s="13"/>
      <c r="I102" s="13">
        <f t="shared" si="91"/>
        <v>13.548693710422512</v>
      </c>
      <c r="J102" s="13"/>
      <c r="L102" s="13">
        <f t="shared" si="92"/>
        <v>342.17004309883987</v>
      </c>
      <c r="O102" s="13">
        <f t="shared" si="93"/>
        <v>10.255150343783729</v>
      </c>
      <c r="P102" s="13">
        <f t="shared" si="93"/>
        <v>9.9680061341577861</v>
      </c>
      <c r="R102" s="13">
        <f t="shared" si="94"/>
        <v>13.124110627460128</v>
      </c>
      <c r="S102" s="13">
        <f t="shared" si="94"/>
        <v>26.788282897071714</v>
      </c>
      <c r="U102" s="13">
        <f t="shared" si="95"/>
        <v>540.76069512244305</v>
      </c>
      <c r="V102" s="13">
        <f t="shared" si="95"/>
        <v>17.756135928653478</v>
      </c>
      <c r="Y102" s="110" t="str">
        <f t="shared" si="86"/>
        <v>wheat distillers grain, dry</v>
      </c>
      <c r="AB102" s="13">
        <f t="shared" si="62"/>
        <v>0</v>
      </c>
      <c r="AC102" s="13">
        <f t="shared" si="63"/>
        <v>0</v>
      </c>
      <c r="AD102" s="13">
        <f t="shared" si="64"/>
        <v>0</v>
      </c>
      <c r="AE102" s="13">
        <f t="shared" si="65"/>
        <v>0</v>
      </c>
      <c r="AF102" s="13">
        <f t="shared" si="66"/>
        <v>0</v>
      </c>
      <c r="AG102" s="13">
        <f t="shared" si="67"/>
        <v>0.20947754779055638</v>
      </c>
      <c r="AH102" s="13">
        <f t="shared" si="68"/>
        <v>0</v>
      </c>
      <c r="AI102" s="13">
        <f t="shared" ref="AI102:AT102" si="101">K112/K$123*100</f>
        <v>0</v>
      </c>
      <c r="AJ102" s="13">
        <f t="shared" si="101"/>
        <v>1.4206094996744831</v>
      </c>
      <c r="AK102" s="13">
        <f t="shared" si="101"/>
        <v>0</v>
      </c>
      <c r="AL102" s="13">
        <f t="shared" si="101"/>
        <v>0</v>
      </c>
      <c r="AM102" s="13">
        <f t="shared" si="101"/>
        <v>3.2793139775740143</v>
      </c>
      <c r="AN102" s="13">
        <f t="shared" si="101"/>
        <v>7.5674679760735511E-2</v>
      </c>
      <c r="AO102" s="13">
        <f t="shared" si="101"/>
        <v>0</v>
      </c>
      <c r="AP102" s="13">
        <f t="shared" si="101"/>
        <v>8.7422402276057576E-2</v>
      </c>
      <c r="AQ102" s="13">
        <f t="shared" si="101"/>
        <v>0.2627925741632976</v>
      </c>
      <c r="AR102" s="13">
        <f t="shared" si="101"/>
        <v>0</v>
      </c>
      <c r="AS102" s="13">
        <f t="shared" si="101"/>
        <v>2.1953552977488813</v>
      </c>
      <c r="AT102" s="13">
        <f t="shared" si="101"/>
        <v>0.17224928546106344</v>
      </c>
    </row>
    <row r="103" spans="2:46" outlineLevel="2" x14ac:dyDescent="0.25">
      <c r="B103" t="s">
        <v>601</v>
      </c>
      <c r="M103">
        <f>AS40*AU40</f>
        <v>219.6</v>
      </c>
      <c r="Q103">
        <f>AS40*AZ40</f>
        <v>24.3</v>
      </c>
      <c r="Y103" s="110" t="str">
        <f t="shared" si="86"/>
        <v>barley brewers grain</v>
      </c>
      <c r="AB103" s="13">
        <f t="shared" si="62"/>
        <v>0</v>
      </c>
      <c r="AC103" s="13">
        <f t="shared" si="63"/>
        <v>0</v>
      </c>
      <c r="AD103" s="13">
        <f t="shared" si="64"/>
        <v>0</v>
      </c>
      <c r="AE103" s="13">
        <f t="shared" si="65"/>
        <v>0</v>
      </c>
      <c r="AF103" s="13">
        <f t="shared" si="66"/>
        <v>0</v>
      </c>
      <c r="AG103" s="13">
        <f t="shared" si="67"/>
        <v>0</v>
      </c>
      <c r="AH103" s="13">
        <f t="shared" si="68"/>
        <v>0</v>
      </c>
      <c r="AI103" s="13">
        <f t="shared" ref="AI103:AT103" si="102">K113/K$123*100</f>
        <v>0</v>
      </c>
      <c r="AJ103" s="13">
        <f t="shared" si="102"/>
        <v>0</v>
      </c>
      <c r="AK103" s="13">
        <f t="shared" si="102"/>
        <v>0</v>
      </c>
      <c r="AL103" s="13">
        <f t="shared" si="102"/>
        <v>0</v>
      </c>
      <c r="AM103" s="13">
        <f t="shared" si="102"/>
        <v>0</v>
      </c>
      <c r="AN103" s="13">
        <f t="shared" si="102"/>
        <v>0</v>
      </c>
      <c r="AO103" s="13">
        <f t="shared" si="102"/>
        <v>0</v>
      </c>
      <c r="AP103" s="13">
        <f t="shared" si="102"/>
        <v>0</v>
      </c>
      <c r="AQ103" s="13">
        <f t="shared" si="102"/>
        <v>0</v>
      </c>
      <c r="AR103" s="13">
        <f t="shared" si="102"/>
        <v>0</v>
      </c>
      <c r="AS103" s="13">
        <f t="shared" si="102"/>
        <v>0</v>
      </c>
      <c r="AT103" s="13">
        <f t="shared" si="102"/>
        <v>0</v>
      </c>
    </row>
    <row r="104" spans="2:46" outlineLevel="2" x14ac:dyDescent="0.25">
      <c r="B104" t="str">
        <f t="shared" ref="B104:B120" si="103">L44</f>
        <v>sunflower seed meal</v>
      </c>
      <c r="C104" s="110"/>
      <c r="F104" s="13"/>
      <c r="I104" s="13">
        <f t="shared" ref="I104:I119" si="104">I$87*$W44</f>
        <v>0.18716208939756701</v>
      </c>
      <c r="J104" s="13"/>
      <c r="L104" s="13">
        <f t="shared" ref="L104:L119" si="105">L$87*$U44</f>
        <v>4.7267479481339114</v>
      </c>
      <c r="O104" s="13">
        <f t="shared" ref="O104:P119" si="106">O$87*$W44</f>
        <v>0.14166497571291584</v>
      </c>
      <c r="P104" s="13">
        <f t="shared" si="106"/>
        <v>0.13769835639295419</v>
      </c>
      <c r="R104" s="13">
        <f t="shared" ref="R104:S119" si="107">R$87*$W44</f>
        <v>0.18129688507392289</v>
      </c>
      <c r="S104" s="13">
        <f t="shared" si="107"/>
        <v>0.37005419899131364</v>
      </c>
      <c r="U104" s="13">
        <f t="shared" ref="U104:V119" si="108">U$87*$U44</f>
        <v>7.4700855836264219</v>
      </c>
      <c r="V104" s="13">
        <f t="shared" si="108"/>
        <v>0.24528383112517485</v>
      </c>
      <c r="Y104" s="110" t="str">
        <f t="shared" si="86"/>
        <v>maize gluten meal</v>
      </c>
      <c r="AB104" s="13">
        <f t="shared" si="62"/>
        <v>0</v>
      </c>
      <c r="AC104" s="13">
        <f t="shared" si="63"/>
        <v>0</v>
      </c>
      <c r="AD104" s="13">
        <f t="shared" si="64"/>
        <v>0</v>
      </c>
      <c r="AE104" s="13">
        <f t="shared" si="65"/>
        <v>0</v>
      </c>
      <c r="AF104" s="13">
        <f t="shared" si="66"/>
        <v>0</v>
      </c>
      <c r="AG104" s="13">
        <f t="shared" si="67"/>
        <v>6.3297538628935548E-3</v>
      </c>
      <c r="AH104" s="13">
        <f t="shared" si="68"/>
        <v>0</v>
      </c>
      <c r="AI104" s="13">
        <f t="shared" ref="AI104:AT104" si="109">K114/K$123*100</f>
        <v>0</v>
      </c>
      <c r="AJ104" s="13">
        <f t="shared" si="109"/>
        <v>4.2926359235494246E-2</v>
      </c>
      <c r="AK104" s="13">
        <f t="shared" si="109"/>
        <v>0</v>
      </c>
      <c r="AL104" s="13">
        <f t="shared" si="109"/>
        <v>0</v>
      </c>
      <c r="AM104" s="13">
        <f t="shared" si="109"/>
        <v>9.909057336275405E-2</v>
      </c>
      <c r="AN104" s="13">
        <f t="shared" si="109"/>
        <v>2.2866512501744235E-3</v>
      </c>
      <c r="AO104" s="13">
        <f t="shared" si="109"/>
        <v>0</v>
      </c>
      <c r="AP104" s="13">
        <f t="shared" si="109"/>
        <v>2.6416305439262745E-3</v>
      </c>
      <c r="AQ104" s="13">
        <f t="shared" si="109"/>
        <v>7.940766583314298E-3</v>
      </c>
      <c r="AR104" s="13">
        <f t="shared" si="109"/>
        <v>0</v>
      </c>
      <c r="AS104" s="13">
        <f t="shared" si="109"/>
        <v>6.6336745025503241E-2</v>
      </c>
      <c r="AT104" s="13">
        <f t="shared" si="109"/>
        <v>5.2048326492629164E-3</v>
      </c>
    </row>
    <row r="105" spans="2:46" outlineLevel="2" x14ac:dyDescent="0.25">
      <c r="B105" t="str">
        <f t="shared" si="103"/>
        <v>palm kernel expeller</v>
      </c>
      <c r="F105" s="13"/>
      <c r="I105" s="13">
        <f t="shared" si="104"/>
        <v>1.2161641259968488</v>
      </c>
      <c r="J105" s="13"/>
      <c r="L105" s="13">
        <f t="shared" si="105"/>
        <v>30.714026038354344</v>
      </c>
      <c r="O105" s="13">
        <f t="shared" si="106"/>
        <v>0.92052755943695241</v>
      </c>
      <c r="P105" s="13">
        <f t="shared" si="106"/>
        <v>0.89475278777271783</v>
      </c>
      <c r="R105" s="13">
        <f t="shared" si="107"/>
        <v>1.1780525024676538</v>
      </c>
      <c r="S105" s="13">
        <f t="shared" si="107"/>
        <v>2.4045822684301856</v>
      </c>
      <c r="U105" s="13">
        <f t="shared" si="108"/>
        <v>48.540012211740056</v>
      </c>
      <c r="V105" s="13">
        <f t="shared" si="108"/>
        <v>1.5938345049560272</v>
      </c>
      <c r="Y105" s="110" t="str">
        <f t="shared" si="86"/>
        <v>sugar beet molasses</v>
      </c>
      <c r="AB105" s="13">
        <f t="shared" si="62"/>
        <v>0</v>
      </c>
      <c r="AC105" s="13">
        <f t="shared" si="63"/>
        <v>0</v>
      </c>
      <c r="AD105" s="13">
        <f t="shared" si="64"/>
        <v>0</v>
      </c>
      <c r="AE105" s="13">
        <f t="shared" si="65"/>
        <v>0</v>
      </c>
      <c r="AF105" s="13">
        <f t="shared" si="66"/>
        <v>0</v>
      </c>
      <c r="AG105" s="13">
        <f t="shared" si="67"/>
        <v>7.0193131657187727E-2</v>
      </c>
      <c r="AH105" s="13">
        <f t="shared" si="68"/>
        <v>0</v>
      </c>
      <c r="AI105" s="13">
        <f t="shared" ref="AI105:AT105" si="110">K115/K$123*100</f>
        <v>0</v>
      </c>
      <c r="AJ105" s="13">
        <f t="shared" si="110"/>
        <v>0.47602729121024218</v>
      </c>
      <c r="AK105" s="13">
        <f t="shared" si="110"/>
        <v>0</v>
      </c>
      <c r="AL105" s="13">
        <f t="shared" si="110"/>
        <v>0</v>
      </c>
      <c r="AM105" s="13">
        <f t="shared" si="110"/>
        <v>1.0988543650666409</v>
      </c>
      <c r="AN105" s="13">
        <f t="shared" si="110"/>
        <v>2.535757562367404E-2</v>
      </c>
      <c r="AO105" s="13">
        <f t="shared" si="110"/>
        <v>0</v>
      </c>
      <c r="AP105" s="13">
        <f t="shared" si="110"/>
        <v>2.929408071401712E-2</v>
      </c>
      <c r="AQ105" s="13">
        <f t="shared" si="110"/>
        <v>8.8058285727207697E-2</v>
      </c>
      <c r="AR105" s="13">
        <f t="shared" si="110"/>
        <v>0</v>
      </c>
      <c r="AS105" s="13">
        <f t="shared" si="110"/>
        <v>0.73563427238161927</v>
      </c>
      <c r="AT105" s="13">
        <f t="shared" si="110"/>
        <v>5.7718437607039867E-2</v>
      </c>
    </row>
    <row r="106" spans="2:46" outlineLevel="2" x14ac:dyDescent="0.25">
      <c r="B106" t="str">
        <f t="shared" si="103"/>
        <v>luzern meal</v>
      </c>
      <c r="C106" s="93"/>
      <c r="F106" s="13"/>
      <c r="I106" s="13">
        <f t="shared" si="104"/>
        <v>0.36994377306033582</v>
      </c>
      <c r="J106" s="13"/>
      <c r="L106" s="13">
        <f t="shared" si="105"/>
        <v>9.3428694660671532</v>
      </c>
      <c r="O106" s="13">
        <f t="shared" si="106"/>
        <v>0.28001437574471844</v>
      </c>
      <c r="P106" s="13">
        <f t="shared" si="106"/>
        <v>0.27217397322386633</v>
      </c>
      <c r="R106" s="13">
        <f t="shared" si="107"/>
        <v>0.35835063566673864</v>
      </c>
      <c r="S106" s="13">
        <f t="shared" si="107"/>
        <v>0.73144752258491552</v>
      </c>
      <c r="U106" s="13">
        <f t="shared" si="108"/>
        <v>14.76533872209648</v>
      </c>
      <c r="V106" s="13">
        <f t="shared" si="108"/>
        <v>0.48482695533704057</v>
      </c>
      <c r="Y106" s="110" t="str">
        <f t="shared" si="86"/>
        <v>sugar beet pulp</v>
      </c>
      <c r="AB106" s="13">
        <f t="shared" si="62"/>
        <v>0</v>
      </c>
      <c r="AC106" s="13">
        <f t="shared" si="63"/>
        <v>0</v>
      </c>
      <c r="AD106" s="13">
        <f t="shared" si="64"/>
        <v>0</v>
      </c>
      <c r="AE106" s="13">
        <f t="shared" si="65"/>
        <v>0</v>
      </c>
      <c r="AF106" s="13">
        <f t="shared" si="66"/>
        <v>0</v>
      </c>
      <c r="AG106" s="13">
        <f t="shared" si="67"/>
        <v>0.13544319950020575</v>
      </c>
      <c r="AH106" s="13">
        <f t="shared" si="68"/>
        <v>0</v>
      </c>
      <c r="AI106" s="13">
        <f t="shared" ref="AI106:AT106" si="111">K116/K$123*100</f>
        <v>0</v>
      </c>
      <c r="AJ106" s="13">
        <f t="shared" si="111"/>
        <v>0.91853231005300495</v>
      </c>
      <c r="AK106" s="13">
        <f t="shared" si="111"/>
        <v>0</v>
      </c>
      <c r="AL106" s="13">
        <f t="shared" si="111"/>
        <v>0</v>
      </c>
      <c r="AM106" s="13">
        <f t="shared" si="111"/>
        <v>2.1203264119382346</v>
      </c>
      <c r="AN106" s="13">
        <f t="shared" si="111"/>
        <v>4.8929447838464507E-2</v>
      </c>
      <c r="AO106" s="13">
        <f t="shared" si="111"/>
        <v>0</v>
      </c>
      <c r="AP106" s="13">
        <f t="shared" si="111"/>
        <v>5.6525245770502136E-2</v>
      </c>
      <c r="AQ106" s="13">
        <f t="shared" si="111"/>
        <v>0.16991542733333806</v>
      </c>
      <c r="AR106" s="13">
        <f t="shared" si="111"/>
        <v>0</v>
      </c>
      <c r="AS106" s="13">
        <f t="shared" si="111"/>
        <v>1.4194645139923689</v>
      </c>
      <c r="AT106" s="13">
        <f t="shared" si="111"/>
        <v>0.11137229063707067</v>
      </c>
    </row>
    <row r="107" spans="2:46" outlineLevel="2" x14ac:dyDescent="0.25">
      <c r="B107" t="str">
        <f t="shared" si="103"/>
        <v>wheat bran</v>
      </c>
      <c r="C107" s="158"/>
      <c r="F107" s="13"/>
      <c r="I107" s="13">
        <f t="shared" si="104"/>
        <v>4.0305870989275583</v>
      </c>
      <c r="J107" s="13"/>
      <c r="L107" s="13">
        <f t="shared" si="105"/>
        <v>101.7918177818681</v>
      </c>
      <c r="O107" s="13">
        <f t="shared" si="106"/>
        <v>3.0507942357144198</v>
      </c>
      <c r="P107" s="13">
        <f t="shared" si="106"/>
        <v>2.9653719971144161</v>
      </c>
      <c r="R107" s="13">
        <f t="shared" si="107"/>
        <v>3.9042783098156884</v>
      </c>
      <c r="S107" s="13">
        <f t="shared" si="107"/>
        <v>7.9692190077556866</v>
      </c>
      <c r="U107" s="13">
        <f t="shared" si="108"/>
        <v>160.8703486809909</v>
      </c>
      <c r="V107" s="13">
        <f t="shared" si="108"/>
        <v>5.2822548011237753</v>
      </c>
      <c r="Y107" s="110" t="str">
        <f t="shared" si="86"/>
        <v>whey powder</v>
      </c>
      <c r="AB107" s="13">
        <f t="shared" si="62"/>
        <v>0</v>
      </c>
      <c r="AC107" s="13">
        <f t="shared" si="63"/>
        <v>0</v>
      </c>
      <c r="AD107" s="13">
        <f t="shared" si="64"/>
        <v>0</v>
      </c>
      <c r="AE107" s="13">
        <f t="shared" si="65"/>
        <v>0</v>
      </c>
      <c r="AF107" s="13">
        <f t="shared" si="66"/>
        <v>0</v>
      </c>
      <c r="AG107" s="13">
        <f t="shared" si="67"/>
        <v>0</v>
      </c>
      <c r="AH107" s="13">
        <f t="shared" si="68"/>
        <v>0</v>
      </c>
      <c r="AI107" s="13">
        <f t="shared" ref="AI107:AT107" si="112">K117/K$123*100</f>
        <v>0</v>
      </c>
      <c r="AJ107" s="13">
        <f t="shared" si="112"/>
        <v>0</v>
      </c>
      <c r="AK107" s="13">
        <f t="shared" si="112"/>
        <v>0</v>
      </c>
      <c r="AL107" s="13">
        <f t="shared" si="112"/>
        <v>0</v>
      </c>
      <c r="AM107" s="13">
        <f t="shared" si="112"/>
        <v>0</v>
      </c>
      <c r="AN107" s="13">
        <f t="shared" si="112"/>
        <v>0</v>
      </c>
      <c r="AO107" s="13">
        <f t="shared" si="112"/>
        <v>0</v>
      </c>
      <c r="AP107" s="13">
        <f t="shared" si="112"/>
        <v>0</v>
      </c>
      <c r="AQ107" s="13">
        <f t="shared" si="112"/>
        <v>0</v>
      </c>
      <c r="AR107" s="13">
        <f t="shared" si="112"/>
        <v>0</v>
      </c>
      <c r="AS107" s="13">
        <f t="shared" si="112"/>
        <v>0</v>
      </c>
      <c r="AT107" s="13">
        <f t="shared" si="112"/>
        <v>0</v>
      </c>
    </row>
    <row r="108" spans="2:46" outlineLevel="1" x14ac:dyDescent="0.25">
      <c r="B108" t="str">
        <f t="shared" si="103"/>
        <v>wheat bran, fine</v>
      </c>
      <c r="F108" s="13"/>
      <c r="I108" s="13">
        <f t="shared" si="104"/>
        <v>1.056592372294736E-2</v>
      </c>
      <c r="J108" s="13"/>
      <c r="L108" s="13">
        <f t="shared" si="105"/>
        <v>0.26684067504447334</v>
      </c>
      <c r="O108" s="13">
        <f t="shared" si="106"/>
        <v>7.9974600220257888E-3</v>
      </c>
      <c r="P108" s="13">
        <f t="shared" si="106"/>
        <v>7.7735311414090669E-3</v>
      </c>
      <c r="R108" s="13">
        <f t="shared" si="107"/>
        <v>1.0234813391241849E-2</v>
      </c>
      <c r="S108" s="13">
        <f t="shared" si="107"/>
        <v>2.0890792854920067E-2</v>
      </c>
      <c r="U108" s="13">
        <f t="shared" si="108"/>
        <v>0.42171122760243929</v>
      </c>
      <c r="V108" s="13">
        <f t="shared" si="108"/>
        <v>1.3847089752432463E-2</v>
      </c>
      <c r="Y108" s="110" t="str">
        <f t="shared" si="86"/>
        <v>potatoe protein</v>
      </c>
      <c r="AB108" s="13">
        <f t="shared" si="62"/>
        <v>0</v>
      </c>
      <c r="AC108" s="13">
        <f t="shared" si="63"/>
        <v>0</v>
      </c>
      <c r="AD108" s="13">
        <f t="shared" si="64"/>
        <v>0</v>
      </c>
      <c r="AE108" s="13">
        <f t="shared" si="65"/>
        <v>0</v>
      </c>
      <c r="AF108" s="13">
        <f t="shared" si="66"/>
        <v>0</v>
      </c>
      <c r="AG108" s="13">
        <f t="shared" si="67"/>
        <v>6.2009373017834091E-4</v>
      </c>
      <c r="AH108" s="13">
        <f t="shared" si="68"/>
        <v>0</v>
      </c>
      <c r="AI108" s="13">
        <f t="shared" ref="AI108:AT108" si="113">K118/K$123*100</f>
        <v>0</v>
      </c>
      <c r="AJ108" s="13">
        <f t="shared" si="113"/>
        <v>4.2052766660258274E-3</v>
      </c>
      <c r="AK108" s="13">
        <f t="shared" si="113"/>
        <v>0</v>
      </c>
      <c r="AL108" s="13">
        <f t="shared" si="113"/>
        <v>0</v>
      </c>
      <c r="AM108" s="13">
        <f t="shared" si="113"/>
        <v>9.7073985170620554E-3</v>
      </c>
      <c r="AN108" s="13">
        <f t="shared" si="113"/>
        <v>2.240115704419248E-4</v>
      </c>
      <c r="AO108" s="13">
        <f t="shared" si="113"/>
        <v>0</v>
      </c>
      <c r="AP108" s="13">
        <f t="shared" si="113"/>
        <v>2.5878708291312121E-4</v>
      </c>
      <c r="AQ108" s="13">
        <f t="shared" si="113"/>
        <v>7.7791643684418715E-4</v>
      </c>
      <c r="AR108" s="13">
        <f t="shared" si="113"/>
        <v>0</v>
      </c>
      <c r="AS108" s="13">
        <f t="shared" si="113"/>
        <v>6.4986728649744927E-3</v>
      </c>
      <c r="AT108" s="13">
        <f t="shared" si="113"/>
        <v>5.0989093136080688E-4</v>
      </c>
    </row>
    <row r="109" spans="2:46" outlineLevel="1" x14ac:dyDescent="0.25">
      <c r="B109" t="str">
        <f t="shared" si="103"/>
        <v>oat hulls</v>
      </c>
      <c r="F109" s="13"/>
      <c r="I109" s="13">
        <f t="shared" si="104"/>
        <v>0.48544502467622502</v>
      </c>
      <c r="J109" s="13"/>
      <c r="L109" s="13">
        <f t="shared" si="105"/>
        <v>12.25983467969337</v>
      </c>
      <c r="O109" s="13">
        <f t="shared" si="106"/>
        <v>0.36743850131225997</v>
      </c>
      <c r="P109" s="13">
        <f t="shared" si="106"/>
        <v>0.35715022327551665</v>
      </c>
      <c r="R109" s="13">
        <f t="shared" si="107"/>
        <v>0.47023235919045736</v>
      </c>
      <c r="S109" s="13">
        <f t="shared" si="107"/>
        <v>0.95981494083071583</v>
      </c>
      <c r="U109" s="13">
        <f t="shared" si="108"/>
        <v>19.375269276750132</v>
      </c>
      <c r="V109" s="13">
        <f t="shared" si="108"/>
        <v>0.63619622882232796</v>
      </c>
      <c r="Y109" s="110" t="str">
        <f t="shared" si="86"/>
        <v>fish meal</v>
      </c>
      <c r="AB109" s="13">
        <f t="shared" si="62"/>
        <v>0</v>
      </c>
      <c r="AC109" s="13">
        <f t="shared" si="63"/>
        <v>0</v>
      </c>
      <c r="AD109" s="13">
        <f t="shared" si="64"/>
        <v>0</v>
      </c>
      <c r="AE109" s="13">
        <f t="shared" si="65"/>
        <v>0</v>
      </c>
      <c r="AF109" s="13">
        <f t="shared" si="66"/>
        <v>0</v>
      </c>
      <c r="AG109" s="13">
        <f t="shared" si="67"/>
        <v>0</v>
      </c>
      <c r="AH109" s="13">
        <f t="shared" si="68"/>
        <v>0</v>
      </c>
      <c r="AI109" s="13">
        <f t="shared" ref="AI109:AT109" si="114">K119/K$123*100</f>
        <v>0</v>
      </c>
      <c r="AJ109" s="13">
        <f t="shared" si="114"/>
        <v>0</v>
      </c>
      <c r="AK109" s="13">
        <f t="shared" si="114"/>
        <v>0</v>
      </c>
      <c r="AL109" s="13">
        <f t="shared" si="114"/>
        <v>0</v>
      </c>
      <c r="AM109" s="13">
        <f t="shared" si="114"/>
        <v>0</v>
      </c>
      <c r="AN109" s="13">
        <f t="shared" si="114"/>
        <v>0</v>
      </c>
      <c r="AO109" s="13">
        <f t="shared" si="114"/>
        <v>0</v>
      </c>
      <c r="AP109" s="13">
        <f t="shared" si="114"/>
        <v>0</v>
      </c>
      <c r="AQ109" s="13">
        <f t="shared" si="114"/>
        <v>0</v>
      </c>
      <c r="AR109" s="13">
        <f t="shared" si="114"/>
        <v>0</v>
      </c>
      <c r="AS109" s="13">
        <f t="shared" si="114"/>
        <v>0</v>
      </c>
      <c r="AT109" s="13">
        <f t="shared" si="114"/>
        <v>0</v>
      </c>
    </row>
    <row r="110" spans="2:46" x14ac:dyDescent="0.25">
      <c r="B110" t="str">
        <f t="shared" si="103"/>
        <v>oat bran</v>
      </c>
      <c r="D110" s="163"/>
      <c r="F110" s="13"/>
      <c r="I110" s="13">
        <f t="shared" si="104"/>
        <v>5.4787953541987171E-2</v>
      </c>
      <c r="J110" s="13"/>
      <c r="L110" s="13">
        <f t="shared" si="105"/>
        <v>1.3836608034276965</v>
      </c>
      <c r="O110" s="13">
        <f t="shared" si="106"/>
        <v>4.1469584641145113E-2</v>
      </c>
      <c r="P110" s="13">
        <f t="shared" si="106"/>
        <v>4.030843627119305E-2</v>
      </c>
      <c r="R110" s="13">
        <f t="shared" si="107"/>
        <v>5.307103243348487E-2</v>
      </c>
      <c r="S110" s="13">
        <f t="shared" si="107"/>
        <v>0.10832595600750396</v>
      </c>
      <c r="U110" s="13">
        <f t="shared" si="108"/>
        <v>2.1867179578286584</v>
      </c>
      <c r="V110" s="13">
        <f t="shared" si="108"/>
        <v>7.1801929480177093E-2</v>
      </c>
      <c r="Y110" s="110" t="str">
        <f t="shared" si="86"/>
        <v>minerals</v>
      </c>
      <c r="AB110" s="13">
        <f t="shared" si="62"/>
        <v>0.85909167246946194</v>
      </c>
      <c r="AC110" s="13">
        <f t="shared" si="63"/>
        <v>1.0659065118787974</v>
      </c>
      <c r="AD110" s="13">
        <f t="shared" si="64"/>
        <v>0</v>
      </c>
      <c r="AE110" s="13">
        <f t="shared" si="65"/>
        <v>0.71937677297698155</v>
      </c>
      <c r="AF110" s="13">
        <f t="shared" si="66"/>
        <v>0.70094215439405494</v>
      </c>
      <c r="AG110" s="13">
        <f t="shared" si="67"/>
        <v>0.59452761799360676</v>
      </c>
      <c r="AH110" s="13">
        <f t="shared" si="68"/>
        <v>0.57755060787201484</v>
      </c>
      <c r="AI110" s="13">
        <f t="shared" ref="AI110:AT110" si="115">K120/K$123*100</f>
        <v>0.43282613075826659</v>
      </c>
      <c r="AJ110" s="13">
        <f t="shared" si="115"/>
        <v>0.66022570674046432</v>
      </c>
      <c r="AK110" s="13">
        <f t="shared" si="115"/>
        <v>0.55337280726025118</v>
      </c>
      <c r="AL110" s="13">
        <f t="shared" si="115"/>
        <v>1.0659065118787974</v>
      </c>
      <c r="AM110" s="13">
        <f t="shared" si="115"/>
        <v>0</v>
      </c>
      <c r="AN110" s="13">
        <f t="shared" si="115"/>
        <v>0.71223380261627178</v>
      </c>
      <c r="AO110" s="13">
        <f t="shared" si="115"/>
        <v>0.49467727254739008</v>
      </c>
      <c r="AP110" s="13">
        <f t="shared" si="115"/>
        <v>0.72908796527420217</v>
      </c>
      <c r="AQ110" s="13">
        <f t="shared" si="115"/>
        <v>0.66953698870828937</v>
      </c>
      <c r="AR110" s="13">
        <f t="shared" si="115"/>
        <v>0.4744807268761464</v>
      </c>
      <c r="AS110" s="13">
        <f t="shared" si="115"/>
        <v>0.83716818155279793</v>
      </c>
      <c r="AT110" s="13">
        <f t="shared" si="115"/>
        <v>0.66740688157168271</v>
      </c>
    </row>
    <row r="111" spans="2:46" x14ac:dyDescent="0.25">
      <c r="B111" t="str">
        <f t="shared" si="103"/>
        <v>rye bran</v>
      </c>
      <c r="F111" s="13"/>
      <c r="I111" s="13">
        <f t="shared" si="104"/>
        <v>0.16896664263084388</v>
      </c>
      <c r="J111" s="13"/>
      <c r="L111" s="13">
        <f t="shared" si="105"/>
        <v>4.2672249168041159</v>
      </c>
      <c r="O111" s="13">
        <f t="shared" si="106"/>
        <v>0.12789264856808435</v>
      </c>
      <c r="P111" s="13">
        <f t="shared" si="106"/>
        <v>0.124311654408178</v>
      </c>
      <c r="R111" s="13">
        <f t="shared" si="107"/>
        <v>0.16367163932061185</v>
      </c>
      <c r="S111" s="13">
        <f t="shared" si="107"/>
        <v>0.3340784225922479</v>
      </c>
      <c r="U111" s="13">
        <f t="shared" si="108"/>
        <v>6.7438618862032884</v>
      </c>
      <c r="V111" s="13">
        <f t="shared" si="108"/>
        <v>0.22143792885756514</v>
      </c>
    </row>
    <row r="112" spans="2:46" x14ac:dyDescent="0.25">
      <c r="B112" t="str">
        <f t="shared" si="103"/>
        <v>wheat distillers grain, dry</v>
      </c>
      <c r="F112" s="13"/>
      <c r="I112" s="13">
        <f t="shared" si="104"/>
        <v>4.3324982250883979</v>
      </c>
      <c r="J112" s="13"/>
      <c r="L112" s="13">
        <f t="shared" si="105"/>
        <v>109.41653388058727</v>
      </c>
      <c r="O112" s="13">
        <f t="shared" si="106"/>
        <v>3.2793139775740143</v>
      </c>
      <c r="P112" s="13">
        <f t="shared" si="106"/>
        <v>3.1874931862019422</v>
      </c>
      <c r="R112" s="13">
        <f t="shared" si="107"/>
        <v>4.1967282761432809</v>
      </c>
      <c r="S112" s="13">
        <f t="shared" si="107"/>
        <v>8.5661533565740164</v>
      </c>
      <c r="U112" s="13">
        <f t="shared" si="108"/>
        <v>172.92034212960976</v>
      </c>
      <c r="V112" s="13">
        <f t="shared" si="108"/>
        <v>5.677922096367217</v>
      </c>
      <c r="AB112" s="2">
        <f t="shared" ref="AB112:AH112" si="116">SUM(AB72:AB110)</f>
        <v>100.00000000000001</v>
      </c>
      <c r="AC112" s="2">
        <f t="shared" si="116"/>
        <v>99.999999999999986</v>
      </c>
      <c r="AD112" s="2">
        <f t="shared" si="116"/>
        <v>100</v>
      </c>
      <c r="AE112" s="2">
        <f t="shared" si="116"/>
        <v>100</v>
      </c>
      <c r="AF112" s="2">
        <f t="shared" si="116"/>
        <v>100</v>
      </c>
      <c r="AG112" s="2">
        <f t="shared" si="116"/>
        <v>99.999999999999986</v>
      </c>
      <c r="AH112" s="2">
        <f t="shared" si="116"/>
        <v>100.00000000000001</v>
      </c>
      <c r="AI112" s="2">
        <f t="shared" ref="AI112:AK112" si="117">SUM(AI72:AI110)</f>
        <v>100.00000000000001</v>
      </c>
      <c r="AJ112" s="2">
        <f>SUM(AJ72:AJ110)</f>
        <v>99.999999999999986</v>
      </c>
      <c r="AK112" s="2">
        <f t="shared" si="117"/>
        <v>99.999999999999972</v>
      </c>
      <c r="AL112" s="2">
        <f>SUM(AL72:AL110)</f>
        <v>99.999999999999986</v>
      </c>
      <c r="AM112" s="2">
        <f>SUM(AM72:AM110)</f>
        <v>100</v>
      </c>
      <c r="AN112" s="2">
        <f>SUM(AN72:AN110)</f>
        <v>99.999999999999915</v>
      </c>
      <c r="AO112" s="2">
        <f t="shared" ref="AO112" si="118">SUM(AO72:AO110)</f>
        <v>100</v>
      </c>
      <c r="AP112" s="2">
        <f>SUM(AP72:AP110)</f>
        <v>100.00000000000001</v>
      </c>
      <c r="AQ112" s="2">
        <f>SUM(AQ72:AQ110)</f>
        <v>99.999999999999972</v>
      </c>
      <c r="AR112" s="2">
        <f t="shared" ref="AR112" si="119">SUM(AR72:AR110)</f>
        <v>100</v>
      </c>
      <c r="AS112" s="2">
        <f>SUM(AS72:AS110)</f>
        <v>100.00000000000003</v>
      </c>
      <c r="AT112" s="2">
        <f>SUM(AT72:AT110)</f>
        <v>99.999999999999986</v>
      </c>
    </row>
    <row r="113" spans="2:46" x14ac:dyDescent="0.25">
      <c r="B113" t="str">
        <f t="shared" si="103"/>
        <v>barley brewers grain</v>
      </c>
      <c r="F113" s="13"/>
      <c r="I113" s="13">
        <f t="shared" si="104"/>
        <v>0</v>
      </c>
      <c r="J113" s="13"/>
      <c r="L113" s="13">
        <f t="shared" si="105"/>
        <v>0</v>
      </c>
      <c r="O113" s="13">
        <f t="shared" si="106"/>
        <v>0</v>
      </c>
      <c r="P113" s="13">
        <f t="shared" si="106"/>
        <v>0</v>
      </c>
      <c r="R113" s="13">
        <f t="shared" si="107"/>
        <v>0</v>
      </c>
      <c r="S113" s="13">
        <f t="shared" si="107"/>
        <v>0</v>
      </c>
      <c r="U113" s="13">
        <f t="shared" si="108"/>
        <v>0</v>
      </c>
      <c r="V113" s="13">
        <f t="shared" si="108"/>
        <v>0</v>
      </c>
    </row>
    <row r="114" spans="2:46" x14ac:dyDescent="0.25">
      <c r="B114" t="str">
        <f t="shared" si="103"/>
        <v>maize gluten meal</v>
      </c>
      <c r="F114" s="13"/>
      <c r="I114" s="13">
        <f t="shared" si="104"/>
        <v>0.13091449496846297</v>
      </c>
      <c r="J114" s="13"/>
      <c r="L114" s="13">
        <f t="shared" si="105"/>
        <v>3.3062241528984204</v>
      </c>
      <c r="O114" s="13">
        <f t="shared" si="106"/>
        <v>9.909057336275405E-2</v>
      </c>
      <c r="P114" s="13">
        <f t="shared" si="106"/>
        <v>9.6316037308596933E-2</v>
      </c>
      <c r="R114" s="13">
        <f t="shared" si="107"/>
        <v>0.12681195334591416</v>
      </c>
      <c r="S114" s="13">
        <f t="shared" si="107"/>
        <v>0.25884226195508947</v>
      </c>
      <c r="U114" s="13">
        <f t="shared" si="108"/>
        <v>5.2251098750790144</v>
      </c>
      <c r="V114" s="13">
        <f t="shared" si="108"/>
        <v>0.17156898055071318</v>
      </c>
      <c r="Y114" s="6"/>
      <c r="Z114" s="6"/>
      <c r="AA114" s="182" t="s">
        <v>501</v>
      </c>
      <c r="AB114" s="72">
        <f t="shared" ref="AB114:AH114" si="120">SUM(AB72:AB77)</f>
        <v>99.140908327530553</v>
      </c>
      <c r="AC114" s="72">
        <f t="shared" si="120"/>
        <v>98.934093488121192</v>
      </c>
      <c r="AD114" s="72">
        <f t="shared" si="120"/>
        <v>100</v>
      </c>
      <c r="AE114" s="72">
        <f t="shared" si="120"/>
        <v>99.280623227023014</v>
      </c>
      <c r="AF114" s="72">
        <f t="shared" si="120"/>
        <v>99.299057845605944</v>
      </c>
      <c r="AG114" s="72">
        <f t="shared" si="120"/>
        <v>60.138713626619086</v>
      </c>
      <c r="AH114" s="72">
        <f t="shared" si="120"/>
        <v>69.161685292673766</v>
      </c>
      <c r="AI114" s="72">
        <f t="shared" ref="AI114:AK114" si="121">SUM(AI72:AI77)</f>
        <v>71.938687939822245</v>
      </c>
      <c r="AJ114" s="72">
        <f>SUM(AJ72:AJ77)</f>
        <v>61.181494947984113</v>
      </c>
      <c r="AK114" s="72">
        <f t="shared" si="121"/>
        <v>67.28459963477394</v>
      </c>
      <c r="AL114" s="72">
        <f>SUM(AL72:AL77)</f>
        <v>98.934093488121192</v>
      </c>
      <c r="AM114" s="72">
        <f>SUM(AM72:AM77)</f>
        <v>0</v>
      </c>
      <c r="AN114" s="72">
        <f>SUM(AN72:AN77)</f>
        <v>93.611262790531981</v>
      </c>
      <c r="AO114" s="72">
        <f t="shared" ref="AO114" si="122">SUM(AO72:AO77)</f>
        <v>92.405714511852466</v>
      </c>
      <c r="AP114" s="72">
        <f>SUM(AP72:AP77)</f>
        <v>93.643850586069149</v>
      </c>
      <c r="AQ114" s="72">
        <f>SUM(AQ72:AQ77)</f>
        <v>65.065884609325579</v>
      </c>
      <c r="AR114" s="72">
        <f t="shared" ref="AR114" si="123">SUM(AR72:AR77)</f>
        <v>80.98040465416021</v>
      </c>
      <c r="AS114" s="72">
        <f>SUM(AS72:AS77)</f>
        <v>59.012435259628177</v>
      </c>
      <c r="AT114" s="72">
        <f>SUM(AT72:AT77)</f>
        <v>69.895702506416228</v>
      </c>
    </row>
    <row r="115" spans="2:46" x14ac:dyDescent="0.25">
      <c r="B115" t="str">
        <f t="shared" si="103"/>
        <v>sugar beet molasses</v>
      </c>
      <c r="F115" s="13"/>
      <c r="I115" s="13">
        <f t="shared" si="104"/>
        <v>1.4517623560412518</v>
      </c>
      <c r="J115" s="13"/>
      <c r="L115" s="13">
        <f t="shared" si="105"/>
        <v>36.664020794401559</v>
      </c>
      <c r="O115" s="13">
        <f t="shared" si="106"/>
        <v>1.0988543650666409</v>
      </c>
      <c r="P115" s="13">
        <f t="shared" si="106"/>
        <v>1.0680864428447749</v>
      </c>
      <c r="R115" s="13">
        <f t="shared" si="107"/>
        <v>1.4062676574355435</v>
      </c>
      <c r="S115" s="13">
        <f t="shared" si="107"/>
        <v>2.8704037100665714</v>
      </c>
      <c r="U115" s="13">
        <f t="shared" si="108"/>
        <v>57.943299744206961</v>
      </c>
      <c r="V115" s="13">
        <f t="shared" si="108"/>
        <v>1.9025959462158974</v>
      </c>
      <c r="AA115" s="182" t="s">
        <v>597</v>
      </c>
      <c r="AB115" s="72">
        <f t="shared" ref="AB115:AK115" si="124">AB77/AB114*100</f>
        <v>58.5540143307718</v>
      </c>
      <c r="AC115" s="72">
        <f t="shared" si="124"/>
        <v>50.591742560743761</v>
      </c>
      <c r="AD115" s="72">
        <f t="shared" si="124"/>
        <v>100</v>
      </c>
      <c r="AE115" s="72">
        <f t="shared" si="124"/>
        <v>30.646316743875307</v>
      </c>
      <c r="AF115" s="72">
        <f t="shared" si="124"/>
        <v>30.495841704076714</v>
      </c>
      <c r="AG115" s="72">
        <f t="shared" si="124"/>
        <v>0</v>
      </c>
      <c r="AH115" s="72">
        <f t="shared" si="124"/>
        <v>0</v>
      </c>
      <c r="AI115" s="72">
        <f t="shared" si="124"/>
        <v>0</v>
      </c>
      <c r="AJ115" s="72">
        <f>AJ77/AJ114*100</f>
        <v>10.800572974693617</v>
      </c>
      <c r="AK115" s="72">
        <f t="shared" si="124"/>
        <v>16.047372316802367</v>
      </c>
      <c r="AL115" s="72">
        <f>AL77/AL114*100</f>
        <v>50.591742560743761</v>
      </c>
      <c r="AM115" s="72"/>
      <c r="AN115" s="72">
        <f>AN77/AN114*100</f>
        <v>40.578239918843529</v>
      </c>
      <c r="AO115" s="72">
        <f t="shared" ref="AO115" si="125">AO77/AO114*100</f>
        <v>39.989293361884378</v>
      </c>
      <c r="AP115" s="72">
        <f>AP77/AP114*100</f>
        <v>41.235797089451033</v>
      </c>
      <c r="AQ115" s="72">
        <f>AQ77/AQ114*100</f>
        <v>0</v>
      </c>
      <c r="AR115" s="72">
        <f t="shared" ref="AR115" si="126">AR77/AR114*100</f>
        <v>0</v>
      </c>
      <c r="AS115" s="72">
        <f>AS77/AS114*100</f>
        <v>10.949399767651991</v>
      </c>
      <c r="AT115" s="72">
        <f>AT77/AT114*100</f>
        <v>0</v>
      </c>
    </row>
    <row r="116" spans="2:46" x14ac:dyDescent="0.25">
      <c r="B116" t="str">
        <f t="shared" si="103"/>
        <v>sugar beet pulp</v>
      </c>
      <c r="F116" s="13"/>
      <c r="I116" s="13">
        <f t="shared" si="104"/>
        <v>2.8012902939920203</v>
      </c>
      <c r="J116" s="13"/>
      <c r="L116" s="13">
        <f t="shared" si="105"/>
        <v>70.746128085415293</v>
      </c>
      <c r="O116" s="13">
        <f t="shared" si="106"/>
        <v>2.1203264119382346</v>
      </c>
      <c r="P116" s="13">
        <f t="shared" si="106"/>
        <v>2.0609572724039644</v>
      </c>
      <c r="R116" s="13">
        <f t="shared" si="107"/>
        <v>2.7135046746019542</v>
      </c>
      <c r="S116" s="13">
        <f t="shared" si="107"/>
        <v>5.5386709948688679</v>
      </c>
      <c r="U116" s="13">
        <f t="shared" si="108"/>
        <v>111.80617991633959</v>
      </c>
      <c r="V116" s="13">
        <f t="shared" si="108"/>
        <v>3.6712093651860145</v>
      </c>
    </row>
    <row r="117" spans="2:46" x14ac:dyDescent="0.25">
      <c r="B117" t="str">
        <f t="shared" si="103"/>
        <v>whey powder</v>
      </c>
      <c r="F117" s="13"/>
      <c r="I117" s="13">
        <f t="shared" si="104"/>
        <v>0</v>
      </c>
      <c r="J117" s="13"/>
      <c r="L117" s="13">
        <f t="shared" si="105"/>
        <v>0</v>
      </c>
      <c r="O117" s="13">
        <f t="shared" si="106"/>
        <v>0</v>
      </c>
      <c r="P117" s="13">
        <f t="shared" si="106"/>
        <v>0</v>
      </c>
      <c r="R117" s="13">
        <f t="shared" si="107"/>
        <v>0</v>
      </c>
      <c r="S117" s="13">
        <f t="shared" si="107"/>
        <v>0</v>
      </c>
      <c r="U117" s="13">
        <f t="shared" si="108"/>
        <v>0</v>
      </c>
      <c r="V117" s="13">
        <f t="shared" si="108"/>
        <v>0</v>
      </c>
    </row>
    <row r="118" spans="2:46" x14ac:dyDescent="0.25">
      <c r="B118" t="str">
        <f t="shared" si="103"/>
        <v>potatoe protein</v>
      </c>
      <c r="F118" s="13"/>
      <c r="I118" s="13">
        <f t="shared" si="104"/>
        <v>1.282502594536874E-2</v>
      </c>
      <c r="J118" s="13"/>
      <c r="L118" s="13">
        <f t="shared" si="105"/>
        <v>0.32389393208400408</v>
      </c>
      <c r="O118" s="13">
        <f t="shared" si="106"/>
        <v>9.7073985170620554E-3</v>
      </c>
      <c r="P118" s="13">
        <f t="shared" si="106"/>
        <v>9.4355913585843186E-3</v>
      </c>
      <c r="R118" s="13">
        <f t="shared" si="107"/>
        <v>1.2423120848734343E-2</v>
      </c>
      <c r="S118" s="13">
        <f t="shared" si="107"/>
        <v>2.5357457370413061E-2</v>
      </c>
      <c r="U118" s="13">
        <f t="shared" si="108"/>
        <v>0.51187738784336978</v>
      </c>
      <c r="V118" s="13">
        <f t="shared" si="108"/>
        <v>1.6807738726818816E-2</v>
      </c>
    </row>
    <row r="119" spans="2:46" x14ac:dyDescent="0.25">
      <c r="B119" t="str">
        <f t="shared" si="103"/>
        <v>fish meal</v>
      </c>
      <c r="F119" s="13"/>
      <c r="I119" s="13">
        <f t="shared" si="104"/>
        <v>0</v>
      </c>
      <c r="J119" s="13"/>
      <c r="L119" s="13">
        <f t="shared" si="105"/>
        <v>0</v>
      </c>
      <c r="O119" s="13">
        <f t="shared" si="106"/>
        <v>0</v>
      </c>
      <c r="P119" s="13">
        <f t="shared" si="106"/>
        <v>0</v>
      </c>
      <c r="R119" s="13">
        <f t="shared" si="107"/>
        <v>0</v>
      </c>
      <c r="S119" s="13">
        <f t="shared" si="107"/>
        <v>0</v>
      </c>
      <c r="U119" s="13">
        <f t="shared" si="108"/>
        <v>0</v>
      </c>
      <c r="V119" s="13">
        <f t="shared" si="108"/>
        <v>0</v>
      </c>
    </row>
    <row r="120" spans="2:46" x14ac:dyDescent="0.25">
      <c r="B120" s="6" t="str">
        <f t="shared" si="103"/>
        <v>minerals</v>
      </c>
      <c r="D120" s="72">
        <f>SUMPRODUCT(D19:F19,D24:F24)/SUM(D24:F24)*C19</f>
        <v>34</v>
      </c>
      <c r="E120" s="6">
        <f>SUMPRODUCT(J19:L19,D24:F24)/SUM(D24:F24)*C19</f>
        <v>33</v>
      </c>
      <c r="F120" s="72"/>
      <c r="G120" s="72">
        <f>SUMPRODUCT(V19:X19,D24:F24)/SUM(D24:F24)*C19</f>
        <v>26</v>
      </c>
      <c r="H120" s="72">
        <f>SUMPRODUCT(S19:U19,D24:F24)/SUM(D24:F24)*C19</f>
        <v>25.755861925323035</v>
      </c>
      <c r="I120" s="72">
        <f>(G19*D24+I19*F24)/(D24+F24)*C19</f>
        <v>12.296257412267911</v>
      </c>
      <c r="J120" s="72">
        <f>H19*C19</f>
        <v>12</v>
      </c>
      <c r="K120" s="72">
        <f>BC42</f>
        <v>11.6</v>
      </c>
      <c r="L120" s="72">
        <f>Y19*C19</f>
        <v>50.85113708373455</v>
      </c>
      <c r="M120" s="6">
        <f>AU42</f>
        <v>40</v>
      </c>
      <c r="N120" s="163">
        <f>E120</f>
        <v>33</v>
      </c>
      <c r="O120" s="72"/>
      <c r="P120" s="72">
        <f>AB19*C19</f>
        <v>30</v>
      </c>
      <c r="Q120" s="6">
        <f>AS42*AZ42</f>
        <v>10</v>
      </c>
      <c r="R120" s="72">
        <f>SUMPRODUCT(P19:R19,D23:F23)/SUM(D23:F23)*C19</f>
        <v>35</v>
      </c>
      <c r="S120" s="72">
        <f>(M19*D23+O19*F23)/(D23+F23)*C19</f>
        <v>21.824652166959858</v>
      </c>
      <c r="T120" s="72">
        <f>AS42*BB42</f>
        <v>13.4</v>
      </c>
      <c r="U120" s="72">
        <f>Z19*C19</f>
        <v>65.940765270466045</v>
      </c>
      <c r="V120" s="72">
        <f>N19*C19</f>
        <v>22</v>
      </c>
    </row>
    <row r="123" spans="2:46" x14ac:dyDescent="0.25">
      <c r="B123" s="6" t="s">
        <v>297</v>
      </c>
      <c r="C123" s="6"/>
      <c r="D123" s="12">
        <f t="shared" ref="D123:V123" si="127">SUM(D72:D77,D79:D83,D85:D86,D88:D120)</f>
        <v>3957.6684409321397</v>
      </c>
      <c r="E123" s="12">
        <f t="shared" si="127"/>
        <v>3095.9563181421281</v>
      </c>
      <c r="F123" s="12">
        <f t="shared" si="127"/>
        <v>100</v>
      </c>
      <c r="G123" s="12">
        <f t="shared" si="127"/>
        <v>3614.2395719012102</v>
      </c>
      <c r="H123" s="12">
        <f t="shared" si="127"/>
        <v>3674.463258325256</v>
      </c>
      <c r="I123" s="12">
        <f t="shared" si="127"/>
        <v>2068.2399000680466</v>
      </c>
      <c r="J123" s="12">
        <f t="shared" si="127"/>
        <v>2077.7399999999998</v>
      </c>
      <c r="K123" s="12">
        <f t="shared" si="127"/>
        <v>2680.06</v>
      </c>
      <c r="L123" s="12">
        <f t="shared" si="127"/>
        <v>7702.0837820427678</v>
      </c>
      <c r="M123" s="12">
        <f t="shared" si="127"/>
        <v>7228.4000000000015</v>
      </c>
      <c r="N123" s="12">
        <f t="shared" si="127"/>
        <v>3095.9563181421281</v>
      </c>
      <c r="O123" s="12">
        <f t="shared" si="127"/>
        <v>100</v>
      </c>
      <c r="P123" s="12">
        <f t="shared" si="127"/>
        <v>4212.1000000000022</v>
      </c>
      <c r="Q123" s="12">
        <f t="shared" si="127"/>
        <v>2021.52</v>
      </c>
      <c r="R123" s="12">
        <f t="shared" si="127"/>
        <v>4800.5181359476801</v>
      </c>
      <c r="S123" s="12">
        <f t="shared" si="127"/>
        <v>3259.6633994882459</v>
      </c>
      <c r="T123" s="12">
        <f t="shared" si="127"/>
        <v>2824.14</v>
      </c>
      <c r="U123" s="12">
        <f t="shared" si="127"/>
        <v>7876.6449470353336</v>
      </c>
      <c r="V123" s="12">
        <f t="shared" si="127"/>
        <v>3296.3399999999992</v>
      </c>
    </row>
    <row r="125" spans="2:46" x14ac:dyDescent="0.25">
      <c r="D125" s="292" t="s">
        <v>623</v>
      </c>
    </row>
    <row r="126" spans="2:46" x14ac:dyDescent="0.25">
      <c r="D126" s="292" t="s">
        <v>624</v>
      </c>
    </row>
  </sheetData>
  <mergeCells count="5">
    <mergeCell ref="V24:W24"/>
    <mergeCell ref="T24:U24"/>
    <mergeCell ref="Q24:Q25"/>
    <mergeCell ref="R24:R25"/>
    <mergeCell ref="S24:S25"/>
  </mergeCells>
  <pageMargins left="0.7" right="0.7" top="0.75" bottom="0.75" header="0.3" footer="0.3"/>
  <pageSetup paperSize="9" orientation="portrait" r:id="rId1"/>
  <ignoredErrors>
    <ignoredError sqref="S38:S60 S26:S31 S34:S36" formulaRange="1"/>
    <ignoredError sqref="V38:V60 F29 V26:V31 V34:V36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L46" sqref="L46"/>
    </sheetView>
  </sheetViews>
  <sheetFormatPr defaultRowHeight="15" x14ac:dyDescent="0.25"/>
  <sheetData>
    <row r="1" spans="1:10" x14ac:dyDescent="0.25">
      <c r="A1" s="6" t="s">
        <v>188</v>
      </c>
      <c r="B1" s="6" t="s">
        <v>189</v>
      </c>
      <c r="C1" s="6" t="s">
        <v>190</v>
      </c>
      <c r="D1" s="6" t="s">
        <v>191</v>
      </c>
      <c r="E1" s="6" t="s">
        <v>192</v>
      </c>
      <c r="F1" s="6" t="s">
        <v>193</v>
      </c>
      <c r="G1" s="6" t="s">
        <v>194</v>
      </c>
      <c r="H1" s="6" t="s">
        <v>195</v>
      </c>
      <c r="I1" s="6" t="s">
        <v>196</v>
      </c>
      <c r="J1" s="6" t="s">
        <v>197</v>
      </c>
    </row>
    <row r="2" spans="1:10" x14ac:dyDescent="0.25">
      <c r="A2" t="s">
        <v>198</v>
      </c>
      <c r="B2" t="s">
        <v>199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 t="shared" ref="I2:I33" si="0">D2*E2</f>
        <v>8026633.5999999996</v>
      </c>
      <c r="J2">
        <f t="shared" ref="J2:J33" si="1">D2*H2</f>
        <v>1812715.9</v>
      </c>
    </row>
    <row r="3" spans="1:10" x14ac:dyDescent="0.25">
      <c r="A3" t="s">
        <v>198</v>
      </c>
      <c r="B3" t="s">
        <v>207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 t="shared" si="0"/>
        <v>13107977.6</v>
      </c>
      <c r="J3">
        <f t="shared" si="1"/>
        <v>2863036.8000000003</v>
      </c>
    </row>
    <row r="4" spans="1:10" x14ac:dyDescent="0.25">
      <c r="A4" t="s">
        <v>198</v>
      </c>
      <c r="B4" t="s">
        <v>212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 t="shared" si="0"/>
        <v>1543252.2000000002</v>
      </c>
      <c r="J4">
        <f t="shared" si="1"/>
        <v>403299.69999999995</v>
      </c>
    </row>
    <row r="5" spans="1:10" x14ac:dyDescent="0.25">
      <c r="A5" t="s">
        <v>198</v>
      </c>
      <c r="B5" t="s">
        <v>215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 t="shared" si="0"/>
        <v>1326889.8</v>
      </c>
      <c r="J5">
        <f t="shared" si="1"/>
        <v>324099.59999999998</v>
      </c>
    </row>
    <row r="6" spans="1:10" x14ac:dyDescent="0.25">
      <c r="A6" t="s">
        <v>198</v>
      </c>
      <c r="B6" t="s">
        <v>216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 t="shared" si="0"/>
        <v>470766.39999999997</v>
      </c>
      <c r="J6">
        <f t="shared" si="1"/>
        <v>118029.59999999999</v>
      </c>
    </row>
    <row r="7" spans="1:10" x14ac:dyDescent="0.25">
      <c r="A7" t="s">
        <v>198</v>
      </c>
      <c r="B7" t="s">
        <v>218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 t="shared" si="0"/>
        <v>185207.1</v>
      </c>
      <c r="J7">
        <f t="shared" si="1"/>
        <v>46694.7</v>
      </c>
    </row>
    <row r="8" spans="1:10" x14ac:dyDescent="0.25">
      <c r="A8" t="s">
        <v>198</v>
      </c>
      <c r="B8" t="s">
        <v>219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 t="shared" si="0"/>
        <v>928172.79999999993</v>
      </c>
      <c r="J8">
        <f t="shared" si="1"/>
        <v>227133.6</v>
      </c>
    </row>
    <row r="9" spans="1:10" x14ac:dyDescent="0.25">
      <c r="A9" t="s">
        <v>198</v>
      </c>
      <c r="B9" t="s">
        <v>221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 t="shared" si="0"/>
        <v>91473.599999999991</v>
      </c>
      <c r="J9">
        <f t="shared" si="1"/>
        <v>43166.400000000001</v>
      </c>
    </row>
    <row r="10" spans="1:10" x14ac:dyDescent="0.25">
      <c r="A10" t="s">
        <v>198</v>
      </c>
      <c r="B10" t="s">
        <v>222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 t="shared" si="0"/>
        <v>65221.200000000004</v>
      </c>
      <c r="J10">
        <f t="shared" si="1"/>
        <v>17139.599999999999</v>
      </c>
    </row>
    <row r="11" spans="1:10" x14ac:dyDescent="0.25">
      <c r="A11" t="s">
        <v>198</v>
      </c>
      <c r="B11" t="s">
        <v>223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 t="shared" si="0"/>
        <v>7249303.6000000006</v>
      </c>
      <c r="J11">
        <f t="shared" si="1"/>
        <v>1844421.4000000001</v>
      </c>
    </row>
    <row r="12" spans="1:10" x14ac:dyDescent="0.25">
      <c r="A12" t="s">
        <v>208</v>
      </c>
      <c r="B12" t="s">
        <v>199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 t="shared" si="0"/>
        <v>1612747.5</v>
      </c>
      <c r="J12">
        <f t="shared" si="1"/>
        <v>183229.8</v>
      </c>
    </row>
    <row r="13" spans="1:10" x14ac:dyDescent="0.25">
      <c r="A13" t="s">
        <v>208</v>
      </c>
      <c r="B13" t="s">
        <v>207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 t="shared" si="0"/>
        <v>2481144.8000000003</v>
      </c>
      <c r="J13">
        <f t="shared" si="1"/>
        <v>284694.39999999997</v>
      </c>
    </row>
    <row r="14" spans="1:10" x14ac:dyDescent="0.25">
      <c r="A14" t="s">
        <v>208</v>
      </c>
      <c r="B14" t="s">
        <v>212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 t="shared" si="0"/>
        <v>1512789.6</v>
      </c>
      <c r="J14">
        <f t="shared" si="1"/>
        <v>143735.4</v>
      </c>
    </row>
    <row r="15" spans="1:10" x14ac:dyDescent="0.25">
      <c r="A15" t="s">
        <v>208</v>
      </c>
      <c r="B15" t="s">
        <v>215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 t="shared" si="0"/>
        <v>1301418.3</v>
      </c>
      <c r="J15">
        <f t="shared" si="1"/>
        <v>111052.2</v>
      </c>
    </row>
    <row r="16" spans="1:10" x14ac:dyDescent="0.25">
      <c r="A16" t="s">
        <v>208</v>
      </c>
      <c r="B16" t="s">
        <v>216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 t="shared" si="0"/>
        <v>529905.6</v>
      </c>
      <c r="J16">
        <f t="shared" si="1"/>
        <v>47451.6</v>
      </c>
    </row>
    <row r="17" spans="1:10" x14ac:dyDescent="0.25">
      <c r="A17" t="s">
        <v>208</v>
      </c>
      <c r="B17" t="s">
        <v>218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 t="shared" si="0"/>
        <v>350602</v>
      </c>
      <c r="J17">
        <f t="shared" si="1"/>
        <v>32184.600000000002</v>
      </c>
    </row>
    <row r="18" spans="1:10" x14ac:dyDescent="0.25">
      <c r="A18" t="s">
        <v>208</v>
      </c>
      <c r="B18" t="s">
        <v>219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 t="shared" si="0"/>
        <v>956662.4</v>
      </c>
      <c r="J18">
        <f t="shared" si="1"/>
        <v>77817.599999999991</v>
      </c>
    </row>
    <row r="19" spans="1:10" x14ac:dyDescent="0.25">
      <c r="A19" t="s">
        <v>208</v>
      </c>
      <c r="B19" t="s">
        <v>221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 t="shared" si="0"/>
        <v>38741.300000000003</v>
      </c>
      <c r="J19">
        <f t="shared" si="1"/>
        <v>8287.5</v>
      </c>
    </row>
    <row r="20" spans="1:10" x14ac:dyDescent="0.25">
      <c r="A20" t="s">
        <v>208</v>
      </c>
      <c r="B20" t="s">
        <v>222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 t="shared" si="0"/>
        <v>70439.099999999991</v>
      </c>
      <c r="J20">
        <f t="shared" si="1"/>
        <v>4835.0999999999995</v>
      </c>
    </row>
    <row r="21" spans="1:10" x14ac:dyDescent="0.25">
      <c r="A21" t="s">
        <v>208</v>
      </c>
      <c r="B21" t="s">
        <v>223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 t="shared" si="0"/>
        <v>9066330</v>
      </c>
      <c r="J21">
        <f t="shared" si="1"/>
        <v>799016.4</v>
      </c>
    </row>
    <row r="22" spans="1:10" x14ac:dyDescent="0.25">
      <c r="A22" t="s">
        <v>206</v>
      </c>
      <c r="B22" t="s">
        <v>199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 t="shared" si="0"/>
        <v>2366295.5999999996</v>
      </c>
      <c r="J22">
        <f t="shared" si="1"/>
        <v>354438</v>
      </c>
    </row>
    <row r="23" spans="1:10" x14ac:dyDescent="0.25">
      <c r="A23" t="s">
        <v>206</v>
      </c>
      <c r="B23" t="s">
        <v>207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 t="shared" si="0"/>
        <v>4436529.4000000004</v>
      </c>
      <c r="J23">
        <f t="shared" si="1"/>
        <v>658725.19999999995</v>
      </c>
    </row>
    <row r="24" spans="1:10" x14ac:dyDescent="0.25">
      <c r="A24" t="s">
        <v>206</v>
      </c>
      <c r="B24" t="s">
        <v>212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 t="shared" si="0"/>
        <v>451467</v>
      </c>
      <c r="J24">
        <f t="shared" si="1"/>
        <v>54815.8</v>
      </c>
    </row>
    <row r="25" spans="1:10" x14ac:dyDescent="0.25">
      <c r="A25" t="s">
        <v>206</v>
      </c>
      <c r="B25" t="s">
        <v>215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 t="shared" si="0"/>
        <v>247259.6</v>
      </c>
      <c r="J25">
        <f t="shared" si="1"/>
        <v>27818.600000000002</v>
      </c>
    </row>
    <row r="26" spans="1:10" x14ac:dyDescent="0.25">
      <c r="A26" t="s">
        <v>206</v>
      </c>
      <c r="B26" t="s">
        <v>216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 t="shared" si="0"/>
        <v>122794.09999999999</v>
      </c>
      <c r="J26">
        <f t="shared" si="1"/>
        <v>15314</v>
      </c>
    </row>
    <row r="27" spans="1:10" x14ac:dyDescent="0.25">
      <c r="A27" t="s">
        <v>206</v>
      </c>
      <c r="B27" t="s">
        <v>218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 t="shared" si="0"/>
        <v>55246.399999999994</v>
      </c>
      <c r="J27">
        <f t="shared" si="1"/>
        <v>6617.6</v>
      </c>
    </row>
    <row r="28" spans="1:10" x14ac:dyDescent="0.25">
      <c r="A28" t="s">
        <v>206</v>
      </c>
      <c r="B28" t="s">
        <v>219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 t="shared" si="0"/>
        <v>270354</v>
      </c>
      <c r="J28">
        <f t="shared" si="1"/>
        <v>33148.5</v>
      </c>
    </row>
    <row r="29" spans="1:10" x14ac:dyDescent="0.25">
      <c r="A29" t="s">
        <v>206</v>
      </c>
      <c r="B29" t="s">
        <v>221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 t="shared" si="0"/>
        <v>8003.2</v>
      </c>
      <c r="J29">
        <f t="shared" si="1"/>
        <v>1726.1000000000001</v>
      </c>
    </row>
    <row r="30" spans="1:10" x14ac:dyDescent="0.25">
      <c r="A30" t="s">
        <v>206</v>
      </c>
      <c r="B30" t="s">
        <v>222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 t="shared" si="0"/>
        <v>3492</v>
      </c>
      <c r="J30">
        <f t="shared" si="1"/>
        <v>427.20000000000005</v>
      </c>
    </row>
    <row r="31" spans="1:10" x14ac:dyDescent="0.25">
      <c r="A31" t="s">
        <v>206</v>
      </c>
      <c r="B31" t="s">
        <v>223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 t="shared" si="0"/>
        <v>2165628</v>
      </c>
      <c r="J31">
        <f t="shared" si="1"/>
        <v>271063</v>
      </c>
    </row>
    <row r="32" spans="1:10" x14ac:dyDescent="0.25">
      <c r="A32" t="s">
        <v>209</v>
      </c>
      <c r="B32" t="s">
        <v>199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 t="shared" si="0"/>
        <v>2789591.4</v>
      </c>
      <c r="J32">
        <f t="shared" si="1"/>
        <v>265307.39999999997</v>
      </c>
    </row>
    <row r="33" spans="1:10" x14ac:dyDescent="0.25">
      <c r="A33" t="s">
        <v>209</v>
      </c>
      <c r="B33" t="s">
        <v>207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 t="shared" si="0"/>
        <v>3709452.8000000003</v>
      </c>
      <c r="J33">
        <f t="shared" si="1"/>
        <v>360864</v>
      </c>
    </row>
    <row r="34" spans="1:10" x14ac:dyDescent="0.25">
      <c r="A34" t="s">
        <v>209</v>
      </c>
      <c r="B34" t="s">
        <v>212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 t="shared" ref="I34:I61" si="2">D34*E34</f>
        <v>530961.6</v>
      </c>
      <c r="J34">
        <f t="shared" ref="J34:J61" si="3">D34*H34</f>
        <v>46310.400000000001</v>
      </c>
    </row>
    <row r="35" spans="1:10" x14ac:dyDescent="0.25">
      <c r="A35" t="s">
        <v>209</v>
      </c>
      <c r="B35" t="s">
        <v>215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 t="shared" si="2"/>
        <v>79655.599999999991</v>
      </c>
      <c r="J35">
        <f t="shared" si="3"/>
        <v>5909.5</v>
      </c>
    </row>
    <row r="36" spans="1:10" x14ac:dyDescent="0.25">
      <c r="A36" t="s">
        <v>209</v>
      </c>
      <c r="B36" t="s">
        <v>216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 t="shared" si="2"/>
        <v>219578.8</v>
      </c>
      <c r="J36">
        <f t="shared" si="3"/>
        <v>18517.900000000001</v>
      </c>
    </row>
    <row r="37" spans="1:10" x14ac:dyDescent="0.25">
      <c r="A37" t="s">
        <v>209</v>
      </c>
      <c r="B37" t="s">
        <v>218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 t="shared" si="2"/>
        <v>47776.800000000003</v>
      </c>
      <c r="J37">
        <f t="shared" si="3"/>
        <v>3522.3999999999996</v>
      </c>
    </row>
    <row r="38" spans="1:10" x14ac:dyDescent="0.25">
      <c r="A38" t="s">
        <v>209</v>
      </c>
      <c r="B38" t="s">
        <v>219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 t="shared" si="2"/>
        <v>130651.20000000001</v>
      </c>
      <c r="J38">
        <f t="shared" si="3"/>
        <v>9791.1</v>
      </c>
    </row>
    <row r="39" spans="1:10" x14ac:dyDescent="0.25">
      <c r="A39" t="s">
        <v>209</v>
      </c>
      <c r="B39" t="s">
        <v>221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 t="shared" si="2"/>
        <v>35063.599999999999</v>
      </c>
      <c r="J39">
        <f t="shared" si="3"/>
        <v>6721</v>
      </c>
    </row>
    <row r="40" spans="1:10" x14ac:dyDescent="0.25">
      <c r="A40" t="s">
        <v>209</v>
      </c>
      <c r="B40" t="s">
        <v>222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 t="shared" si="2"/>
        <v>4478.5999999999995</v>
      </c>
      <c r="J40">
        <f t="shared" si="3"/>
        <v>317.8</v>
      </c>
    </row>
    <row r="41" spans="1:10" x14ac:dyDescent="0.25">
      <c r="A41" t="s">
        <v>209</v>
      </c>
      <c r="B41" t="s">
        <v>223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 t="shared" si="2"/>
        <v>2761193.6</v>
      </c>
      <c r="J41">
        <f t="shared" si="3"/>
        <v>241542.39999999999</v>
      </c>
    </row>
    <row r="42" spans="1:10" x14ac:dyDescent="0.25">
      <c r="A42" t="s">
        <v>211</v>
      </c>
      <c r="B42" t="s">
        <v>199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 t="shared" si="2"/>
        <v>6835284</v>
      </c>
      <c r="J42">
        <f t="shared" si="3"/>
        <v>465756</v>
      </c>
    </row>
    <row r="43" spans="1:10" x14ac:dyDescent="0.25">
      <c r="A43" t="s">
        <v>211</v>
      </c>
      <c r="B43" t="s">
        <v>207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 t="shared" si="2"/>
        <v>15093116.799999999</v>
      </c>
      <c r="J43">
        <f t="shared" si="3"/>
        <v>1120776</v>
      </c>
    </row>
    <row r="44" spans="1:10" x14ac:dyDescent="0.25">
      <c r="A44" t="s">
        <v>211</v>
      </c>
      <c r="B44" t="s">
        <v>212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 t="shared" si="2"/>
        <v>3288426.9000000004</v>
      </c>
      <c r="J44">
        <f t="shared" si="3"/>
        <v>210784.2</v>
      </c>
    </row>
    <row r="45" spans="1:10" x14ac:dyDescent="0.25">
      <c r="A45" t="s">
        <v>211</v>
      </c>
      <c r="B45" t="s">
        <v>215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 t="shared" si="2"/>
        <v>2558034</v>
      </c>
      <c r="J45">
        <f t="shared" si="3"/>
        <v>126873</v>
      </c>
    </row>
    <row r="46" spans="1:10" x14ac:dyDescent="0.25">
      <c r="A46" t="s">
        <v>211</v>
      </c>
      <c r="B46" t="s">
        <v>216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 t="shared" si="2"/>
        <v>1124622.3999999999</v>
      </c>
      <c r="J46">
        <f t="shared" si="3"/>
        <v>64794.399999999994</v>
      </c>
    </row>
    <row r="47" spans="1:10" x14ac:dyDescent="0.25">
      <c r="A47" t="s">
        <v>211</v>
      </c>
      <c r="B47" t="s">
        <v>218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 t="shared" si="2"/>
        <v>609646.6</v>
      </c>
      <c r="J47">
        <f t="shared" si="3"/>
        <v>30838.800000000003</v>
      </c>
    </row>
    <row r="48" spans="1:10" x14ac:dyDescent="0.25">
      <c r="A48" t="s">
        <v>211</v>
      </c>
      <c r="B48" t="s">
        <v>219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 t="shared" si="2"/>
        <v>2299216</v>
      </c>
      <c r="J48">
        <f t="shared" si="3"/>
        <v>116287.99999999999</v>
      </c>
    </row>
    <row r="49" spans="1:10" x14ac:dyDescent="0.25">
      <c r="A49" t="s">
        <v>211</v>
      </c>
      <c r="B49" t="s">
        <v>221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 t="shared" si="2"/>
        <v>40114.799999999996</v>
      </c>
      <c r="J49">
        <f t="shared" si="3"/>
        <v>5464.8</v>
      </c>
    </row>
    <row r="50" spans="1:10" x14ac:dyDescent="0.25">
      <c r="A50" t="s">
        <v>211</v>
      </c>
      <c r="B50" t="s">
        <v>222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 t="shared" si="2"/>
        <v>118491</v>
      </c>
      <c r="J50">
        <f t="shared" si="3"/>
        <v>5007.1000000000004</v>
      </c>
    </row>
    <row r="51" spans="1:10" x14ac:dyDescent="0.25">
      <c r="A51" t="s">
        <v>211</v>
      </c>
      <c r="B51" t="s">
        <v>223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 t="shared" si="2"/>
        <v>18744824</v>
      </c>
      <c r="J51">
        <f t="shared" si="3"/>
        <v>1000426</v>
      </c>
    </row>
    <row r="52" spans="1:10" x14ac:dyDescent="0.25">
      <c r="A52" t="s">
        <v>213</v>
      </c>
      <c r="B52" t="s">
        <v>199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 t="shared" si="2"/>
        <v>1378013</v>
      </c>
      <c r="J52">
        <f t="shared" si="3"/>
        <v>116760.5</v>
      </c>
    </row>
    <row r="53" spans="1:10" x14ac:dyDescent="0.25">
      <c r="A53" t="s">
        <v>213</v>
      </c>
      <c r="B53" t="s">
        <v>207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 t="shared" si="2"/>
        <v>2308701</v>
      </c>
      <c r="J53">
        <f t="shared" si="3"/>
        <v>198208.5</v>
      </c>
    </row>
    <row r="54" spans="1:10" x14ac:dyDescent="0.25">
      <c r="A54" t="s">
        <v>213</v>
      </c>
      <c r="B54" t="s">
        <v>212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 t="shared" si="2"/>
        <v>666052.80000000005</v>
      </c>
      <c r="J54">
        <f t="shared" si="3"/>
        <v>54902.399999999994</v>
      </c>
    </row>
    <row r="55" spans="1:10" x14ac:dyDescent="0.25">
      <c r="A55" t="s">
        <v>213</v>
      </c>
      <c r="B55" t="s">
        <v>215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 t="shared" si="2"/>
        <v>211216.2</v>
      </c>
      <c r="J55">
        <f t="shared" si="3"/>
        <v>15210</v>
      </c>
    </row>
    <row r="56" spans="1:10" x14ac:dyDescent="0.25">
      <c r="A56" t="s">
        <v>213</v>
      </c>
      <c r="B56" t="s">
        <v>216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 t="shared" si="2"/>
        <v>170996.4</v>
      </c>
      <c r="J56">
        <f t="shared" si="3"/>
        <v>13380</v>
      </c>
    </row>
    <row r="57" spans="1:10" x14ac:dyDescent="0.25">
      <c r="A57" t="s">
        <v>213</v>
      </c>
      <c r="B57" t="s">
        <v>218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 t="shared" si="2"/>
        <v>78570.3</v>
      </c>
      <c r="J57">
        <f t="shared" si="3"/>
        <v>6079.5</v>
      </c>
    </row>
    <row r="58" spans="1:10" x14ac:dyDescent="0.25">
      <c r="A58" t="s">
        <v>213</v>
      </c>
      <c r="B58" t="s">
        <v>219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 t="shared" si="2"/>
        <v>246657.9</v>
      </c>
      <c r="J58">
        <f t="shared" si="3"/>
        <v>19624.100000000002</v>
      </c>
    </row>
    <row r="59" spans="1:10" x14ac:dyDescent="0.25">
      <c r="A59" t="s">
        <v>213</v>
      </c>
      <c r="B59" t="s">
        <v>221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 t="shared" si="2"/>
        <v>27295</v>
      </c>
      <c r="J59">
        <f t="shared" si="3"/>
        <v>3752.3999999999996</v>
      </c>
    </row>
    <row r="60" spans="1:10" x14ac:dyDescent="0.25">
      <c r="A60" t="s">
        <v>213</v>
      </c>
      <c r="B60" t="s">
        <v>222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 t="shared" si="2"/>
        <v>7254.4</v>
      </c>
      <c r="J60">
        <f t="shared" si="3"/>
        <v>590.4</v>
      </c>
    </row>
    <row r="61" spans="1:10" x14ac:dyDescent="0.25">
      <c r="A61" t="s">
        <v>213</v>
      </c>
      <c r="B61" t="s">
        <v>223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 t="shared" si="2"/>
        <v>2322918.4000000004</v>
      </c>
      <c r="J61">
        <f t="shared" si="3"/>
        <v>190150.40000000002</v>
      </c>
    </row>
    <row r="62" spans="1:10" x14ac:dyDescent="0.25">
      <c r="A62" t="s">
        <v>615</v>
      </c>
      <c r="B62" t="s">
        <v>199</v>
      </c>
      <c r="C62">
        <v>2019</v>
      </c>
    </row>
    <row r="63" spans="1:10" x14ac:dyDescent="0.25">
      <c r="A63" t="s">
        <v>615</v>
      </c>
      <c r="B63" t="s">
        <v>207</v>
      </c>
      <c r="C63">
        <v>2019</v>
      </c>
    </row>
    <row r="64" spans="1:10" x14ac:dyDescent="0.25">
      <c r="A64" t="s">
        <v>615</v>
      </c>
      <c r="B64" t="s">
        <v>212</v>
      </c>
      <c r="C64">
        <v>2019</v>
      </c>
    </row>
    <row r="65" spans="1:10" x14ac:dyDescent="0.25">
      <c r="A65" t="s">
        <v>615</v>
      </c>
      <c r="B65" t="s">
        <v>215</v>
      </c>
      <c r="C65">
        <v>2019</v>
      </c>
    </row>
    <row r="66" spans="1:10" x14ac:dyDescent="0.25">
      <c r="A66" t="s">
        <v>615</v>
      </c>
      <c r="B66" t="s">
        <v>216</v>
      </c>
      <c r="C66">
        <v>2019</v>
      </c>
    </row>
    <row r="67" spans="1:10" x14ac:dyDescent="0.25">
      <c r="A67" t="s">
        <v>615</v>
      </c>
      <c r="B67" t="s">
        <v>218</v>
      </c>
      <c r="C67">
        <v>2019</v>
      </c>
    </row>
    <row r="68" spans="1:10" x14ac:dyDescent="0.25">
      <c r="A68" t="s">
        <v>615</v>
      </c>
      <c r="B68" t="s">
        <v>219</v>
      </c>
      <c r="C68">
        <v>2019</v>
      </c>
    </row>
    <row r="69" spans="1:10" x14ac:dyDescent="0.25">
      <c r="A69" t="s">
        <v>615</v>
      </c>
      <c r="B69" t="s">
        <v>221</v>
      </c>
      <c r="C69">
        <v>2019</v>
      </c>
    </row>
    <row r="70" spans="1:10" x14ac:dyDescent="0.25">
      <c r="A70" t="s">
        <v>615</v>
      </c>
      <c r="B70" t="s">
        <v>222</v>
      </c>
      <c r="C70">
        <v>2019</v>
      </c>
    </row>
    <row r="71" spans="1:10" x14ac:dyDescent="0.25">
      <c r="A71" t="s">
        <v>615</v>
      </c>
      <c r="B71" t="s">
        <v>223</v>
      </c>
      <c r="C71">
        <v>2019</v>
      </c>
    </row>
    <row r="72" spans="1:10" x14ac:dyDescent="0.25">
      <c r="A72" t="s">
        <v>116</v>
      </c>
      <c r="B72" t="s">
        <v>199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 t="shared" ref="I72:I103" si="4">D72*E72</f>
        <v>428409.59999999998</v>
      </c>
      <c r="J72">
        <f t="shared" ref="J72:J103" si="5">D72*H72</f>
        <v>28291.199999999997</v>
      </c>
    </row>
    <row r="73" spans="1:10" x14ac:dyDescent="0.25">
      <c r="A73" t="s">
        <v>116</v>
      </c>
      <c r="B73" t="s">
        <v>207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 t="shared" si="4"/>
        <v>1239333.8999999999</v>
      </c>
      <c r="J73">
        <f t="shared" si="5"/>
        <v>91612.5</v>
      </c>
    </row>
    <row r="74" spans="1:10" x14ac:dyDescent="0.25">
      <c r="A74" t="s">
        <v>116</v>
      </c>
      <c r="B74" t="s">
        <v>212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 t="shared" si="4"/>
        <v>65266.8</v>
      </c>
      <c r="J74">
        <f t="shared" si="5"/>
        <v>3904.5</v>
      </c>
    </row>
    <row r="75" spans="1:10" x14ac:dyDescent="0.25">
      <c r="A75" t="s">
        <v>116</v>
      </c>
      <c r="B75" t="s">
        <v>215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 t="shared" si="4"/>
        <v>18431.899999999998</v>
      </c>
      <c r="J75">
        <f t="shared" si="5"/>
        <v>1199</v>
      </c>
    </row>
    <row r="76" spans="1:10" x14ac:dyDescent="0.25">
      <c r="A76" t="s">
        <v>116</v>
      </c>
      <c r="B76" t="s">
        <v>216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 t="shared" si="4"/>
        <v>37906.9</v>
      </c>
      <c r="J76">
        <f t="shared" si="5"/>
        <v>3568.7</v>
      </c>
    </row>
    <row r="77" spans="1:10" x14ac:dyDescent="0.25">
      <c r="A77" t="s">
        <v>116</v>
      </c>
      <c r="B77" t="s">
        <v>218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 t="shared" si="4"/>
        <v>11247</v>
      </c>
      <c r="J77">
        <f t="shared" si="5"/>
        <v>765.9</v>
      </c>
    </row>
    <row r="78" spans="1:10" x14ac:dyDescent="0.25">
      <c r="A78" t="s">
        <v>116</v>
      </c>
      <c r="B78" t="s">
        <v>219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 t="shared" si="4"/>
        <v>21841.599999999999</v>
      </c>
      <c r="J78">
        <f t="shared" si="5"/>
        <v>1292</v>
      </c>
    </row>
    <row r="79" spans="1:10" x14ac:dyDescent="0.25">
      <c r="A79" t="s">
        <v>116</v>
      </c>
      <c r="B79" t="s">
        <v>221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 t="shared" si="4"/>
        <v>7242.8</v>
      </c>
      <c r="J79">
        <f t="shared" si="5"/>
        <v>836</v>
      </c>
    </row>
    <row r="80" spans="1:10" x14ac:dyDescent="0.25">
      <c r="A80" t="s">
        <v>116</v>
      </c>
      <c r="B80" t="s">
        <v>222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 t="shared" si="4"/>
        <v>7560</v>
      </c>
      <c r="J80">
        <f t="shared" si="5"/>
        <v>288</v>
      </c>
    </row>
    <row r="81" spans="1:10" x14ac:dyDescent="0.25">
      <c r="A81" t="s">
        <v>116</v>
      </c>
      <c r="B81" t="s">
        <v>223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 t="shared" si="4"/>
        <v>433204.2</v>
      </c>
      <c r="J81">
        <f t="shared" si="5"/>
        <v>29743.200000000001</v>
      </c>
    </row>
    <row r="82" spans="1:10" x14ac:dyDescent="0.25">
      <c r="A82" t="s">
        <v>198</v>
      </c>
      <c r="B82" t="s">
        <v>216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 t="shared" si="4"/>
        <v>484972.79999999999</v>
      </c>
      <c r="J82">
        <f t="shared" si="5"/>
        <v>117902.40000000001</v>
      </c>
    </row>
    <row r="83" spans="1:10" x14ac:dyDescent="0.25">
      <c r="A83" t="s">
        <v>198</v>
      </c>
      <c r="B83" t="s">
        <v>222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 t="shared" si="4"/>
        <v>51549.299999999996</v>
      </c>
      <c r="J83">
        <f t="shared" si="5"/>
        <v>13690.6</v>
      </c>
    </row>
    <row r="84" spans="1:10" x14ac:dyDescent="0.25">
      <c r="A84" t="s">
        <v>198</v>
      </c>
      <c r="B84" t="s">
        <v>215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 t="shared" si="4"/>
        <v>1284817.6000000001</v>
      </c>
      <c r="J84">
        <f t="shared" si="5"/>
        <v>311924.8</v>
      </c>
    </row>
    <row r="85" spans="1:10" x14ac:dyDescent="0.25">
      <c r="A85" t="s">
        <v>198</v>
      </c>
      <c r="B85" t="s">
        <v>212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 t="shared" si="4"/>
        <v>1642297.5</v>
      </c>
      <c r="J85">
        <f t="shared" si="5"/>
        <v>417446.39999999997</v>
      </c>
    </row>
    <row r="86" spans="1:10" x14ac:dyDescent="0.25">
      <c r="A86" t="s">
        <v>198</v>
      </c>
      <c r="B86" t="s">
        <v>221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 t="shared" si="4"/>
        <v>100848</v>
      </c>
      <c r="J86">
        <f t="shared" si="5"/>
        <v>47300</v>
      </c>
    </row>
    <row r="87" spans="1:10" x14ac:dyDescent="0.25">
      <c r="A87" t="s">
        <v>198</v>
      </c>
      <c r="B87" t="s">
        <v>223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 t="shared" si="4"/>
        <v>7526214.4000000004</v>
      </c>
      <c r="J87">
        <f t="shared" si="5"/>
        <v>1899076.8</v>
      </c>
    </row>
    <row r="88" spans="1:10" x14ac:dyDescent="0.25">
      <c r="A88" t="s">
        <v>198</v>
      </c>
      <c r="B88" t="s">
        <v>218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 t="shared" si="4"/>
        <v>258295.80000000002</v>
      </c>
      <c r="J88">
        <f t="shared" si="5"/>
        <v>67856.2</v>
      </c>
    </row>
    <row r="89" spans="1:10" x14ac:dyDescent="0.25">
      <c r="A89" t="s">
        <v>198</v>
      </c>
      <c r="B89" t="s">
        <v>219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 t="shared" si="4"/>
        <v>879547.5</v>
      </c>
      <c r="J89">
        <f t="shared" si="5"/>
        <v>216552.5</v>
      </c>
    </row>
    <row r="90" spans="1:10" x14ac:dyDescent="0.25">
      <c r="A90" t="s">
        <v>198</v>
      </c>
      <c r="B90" t="s">
        <v>207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 t="shared" si="4"/>
        <v>12904819</v>
      </c>
      <c r="J90">
        <f t="shared" si="5"/>
        <v>2748766.4</v>
      </c>
    </row>
    <row r="91" spans="1:10" x14ac:dyDescent="0.25">
      <c r="A91" t="s">
        <v>198</v>
      </c>
      <c r="B91" t="s">
        <v>199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 t="shared" si="4"/>
        <v>7388081.1000000006</v>
      </c>
      <c r="J91">
        <f t="shared" si="5"/>
        <v>1648892.9000000001</v>
      </c>
    </row>
    <row r="92" spans="1:10" x14ac:dyDescent="0.25">
      <c r="A92" t="s">
        <v>208</v>
      </c>
      <c r="B92" t="s">
        <v>216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 t="shared" si="4"/>
        <v>668327.4</v>
      </c>
      <c r="J92">
        <f t="shared" si="5"/>
        <v>57122</v>
      </c>
    </row>
    <row r="93" spans="1:10" x14ac:dyDescent="0.25">
      <c r="A93" t="s">
        <v>208</v>
      </c>
      <c r="B93" t="s">
        <v>222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 t="shared" si="4"/>
        <v>63079.999999999993</v>
      </c>
      <c r="J93">
        <f t="shared" si="5"/>
        <v>4500</v>
      </c>
    </row>
    <row r="94" spans="1:10" x14ac:dyDescent="0.25">
      <c r="A94" t="s">
        <v>208</v>
      </c>
      <c r="B94" t="s">
        <v>215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 t="shared" si="4"/>
        <v>1291612.8</v>
      </c>
      <c r="J94">
        <f t="shared" si="5"/>
        <v>96811.199999999997</v>
      </c>
    </row>
    <row r="95" spans="1:10" x14ac:dyDescent="0.25">
      <c r="A95" t="s">
        <v>208</v>
      </c>
      <c r="B95" t="s">
        <v>212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 t="shared" si="4"/>
        <v>1763582</v>
      </c>
      <c r="J95">
        <f t="shared" si="5"/>
        <v>155837.6</v>
      </c>
    </row>
    <row r="96" spans="1:10" x14ac:dyDescent="0.25">
      <c r="A96" t="s">
        <v>208</v>
      </c>
      <c r="B96" t="s">
        <v>221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 t="shared" si="4"/>
        <v>31738.999999999996</v>
      </c>
      <c r="J96">
        <f t="shared" si="5"/>
        <v>6358</v>
      </c>
    </row>
    <row r="97" spans="1:10" x14ac:dyDescent="0.25">
      <c r="A97" t="s">
        <v>208</v>
      </c>
      <c r="B97" t="s">
        <v>223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 t="shared" si="4"/>
        <v>10276328.5</v>
      </c>
      <c r="J97">
        <f t="shared" si="5"/>
        <v>849996.80000000005</v>
      </c>
    </row>
    <row r="98" spans="1:10" x14ac:dyDescent="0.25">
      <c r="A98" t="s">
        <v>208</v>
      </c>
      <c r="B98" t="s">
        <v>218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 t="shared" si="4"/>
        <v>398532.4</v>
      </c>
      <c r="J98">
        <f t="shared" si="5"/>
        <v>31446.400000000001</v>
      </c>
    </row>
    <row r="99" spans="1:10" x14ac:dyDescent="0.25">
      <c r="A99" t="s">
        <v>208</v>
      </c>
      <c r="B99" t="s">
        <v>219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 t="shared" si="4"/>
        <v>1125312.5</v>
      </c>
      <c r="J99">
        <f t="shared" si="5"/>
        <v>89304.8</v>
      </c>
    </row>
    <row r="100" spans="1:10" x14ac:dyDescent="0.25">
      <c r="A100" t="s">
        <v>208</v>
      </c>
      <c r="B100" t="s">
        <v>207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 t="shared" si="4"/>
        <v>2476650</v>
      </c>
      <c r="J100">
        <f t="shared" si="5"/>
        <v>233475</v>
      </c>
    </row>
    <row r="101" spans="1:10" x14ac:dyDescent="0.25">
      <c r="A101" t="s">
        <v>208</v>
      </c>
      <c r="B101" t="s">
        <v>199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 t="shared" si="4"/>
        <v>1627437.5999999999</v>
      </c>
      <c r="J101">
        <f t="shared" si="5"/>
        <v>158774.39999999999</v>
      </c>
    </row>
    <row r="102" spans="1:10" x14ac:dyDescent="0.25">
      <c r="A102" t="s">
        <v>206</v>
      </c>
      <c r="B102" t="s">
        <v>216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 t="shared" si="4"/>
        <v>165479.20000000001</v>
      </c>
      <c r="J102">
        <f t="shared" si="5"/>
        <v>18706.800000000003</v>
      </c>
    </row>
    <row r="103" spans="1:10" x14ac:dyDescent="0.25">
      <c r="A103" t="s">
        <v>206</v>
      </c>
      <c r="B103" t="s">
        <v>222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 t="shared" si="4"/>
        <v>12042.8</v>
      </c>
      <c r="J103">
        <f t="shared" si="5"/>
        <v>1390.6</v>
      </c>
    </row>
    <row r="104" spans="1:10" x14ac:dyDescent="0.25">
      <c r="A104" t="s">
        <v>206</v>
      </c>
      <c r="B104" t="s">
        <v>215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 t="shared" ref="I104:I135" si="6">D104*E104</f>
        <v>250133.80000000002</v>
      </c>
      <c r="J104">
        <f t="shared" ref="J104:J135" si="7">D104*H104</f>
        <v>26706.799999999999</v>
      </c>
    </row>
    <row r="105" spans="1:10" x14ac:dyDescent="0.25">
      <c r="A105" t="s">
        <v>206</v>
      </c>
      <c r="B105" t="s">
        <v>212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 t="shared" si="6"/>
        <v>478640</v>
      </c>
      <c r="J105">
        <f t="shared" si="7"/>
        <v>58054.400000000001</v>
      </c>
    </row>
    <row r="106" spans="1:10" x14ac:dyDescent="0.25">
      <c r="A106" t="s">
        <v>206</v>
      </c>
      <c r="B106" t="s">
        <v>221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 t="shared" si="6"/>
        <v>6854.0999999999995</v>
      </c>
      <c r="J106">
        <f t="shared" si="7"/>
        <v>1593.8999999999999</v>
      </c>
    </row>
    <row r="107" spans="1:10" x14ac:dyDescent="0.25">
      <c r="A107" t="s">
        <v>206</v>
      </c>
      <c r="B107" t="s">
        <v>223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 t="shared" si="6"/>
        <v>2538086.3999999999</v>
      </c>
      <c r="J107">
        <f t="shared" si="7"/>
        <v>299084.40000000002</v>
      </c>
    </row>
    <row r="108" spans="1:10" x14ac:dyDescent="0.25">
      <c r="A108" t="s">
        <v>206</v>
      </c>
      <c r="B108" t="s">
        <v>218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 t="shared" si="6"/>
        <v>68536.800000000003</v>
      </c>
      <c r="J108">
        <f t="shared" si="7"/>
        <v>7776</v>
      </c>
    </row>
    <row r="109" spans="1:10" x14ac:dyDescent="0.25">
      <c r="A109" t="s">
        <v>206</v>
      </c>
      <c r="B109" t="s">
        <v>219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 t="shared" si="6"/>
        <v>260452.5</v>
      </c>
      <c r="J109">
        <f t="shared" si="7"/>
        <v>29617.5</v>
      </c>
    </row>
    <row r="110" spans="1:10" x14ac:dyDescent="0.25">
      <c r="A110" t="s">
        <v>206</v>
      </c>
      <c r="B110" t="s">
        <v>207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 t="shared" si="6"/>
        <v>4156987.5</v>
      </c>
      <c r="J110">
        <f t="shared" si="7"/>
        <v>546637.5</v>
      </c>
    </row>
    <row r="111" spans="1:10" x14ac:dyDescent="0.25">
      <c r="A111" t="s">
        <v>206</v>
      </c>
      <c r="B111" t="s">
        <v>199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 t="shared" si="6"/>
        <v>2111907</v>
      </c>
      <c r="J111">
        <f t="shared" si="7"/>
        <v>290443.5</v>
      </c>
    </row>
    <row r="112" spans="1:10" x14ac:dyDescent="0.25">
      <c r="A112" t="s">
        <v>209</v>
      </c>
      <c r="B112" t="s">
        <v>216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 t="shared" si="6"/>
        <v>262973.7</v>
      </c>
      <c r="J112">
        <f t="shared" si="7"/>
        <v>21934.2</v>
      </c>
    </row>
    <row r="113" spans="1:10" x14ac:dyDescent="0.25">
      <c r="A113" t="s">
        <v>209</v>
      </c>
      <c r="B113" t="s">
        <v>222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 t="shared" si="6"/>
        <v>6921.6</v>
      </c>
      <c r="J113">
        <f t="shared" si="7"/>
        <v>577.5</v>
      </c>
    </row>
    <row r="114" spans="1:10" x14ac:dyDescent="0.25">
      <c r="A114" t="s">
        <v>209</v>
      </c>
      <c r="B114" t="s">
        <v>215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 t="shared" si="6"/>
        <v>79475.199999999997</v>
      </c>
      <c r="J114">
        <f t="shared" si="7"/>
        <v>5577.5999999999995</v>
      </c>
    </row>
    <row r="115" spans="1:10" x14ac:dyDescent="0.25">
      <c r="A115" t="s">
        <v>209</v>
      </c>
      <c r="B115" t="s">
        <v>212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 t="shared" si="6"/>
        <v>605612.80000000005</v>
      </c>
      <c r="J115">
        <f t="shared" si="7"/>
        <v>49555.199999999997</v>
      </c>
    </row>
    <row r="116" spans="1:10" x14ac:dyDescent="0.25">
      <c r="A116" t="s">
        <v>209</v>
      </c>
      <c r="B116" t="s">
        <v>221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 t="shared" si="6"/>
        <v>23834.2</v>
      </c>
      <c r="J116">
        <f t="shared" si="7"/>
        <v>3574.1000000000004</v>
      </c>
    </row>
    <row r="117" spans="1:10" x14ac:dyDescent="0.25">
      <c r="A117" t="s">
        <v>209</v>
      </c>
      <c r="B117" t="s">
        <v>223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 t="shared" si="6"/>
        <v>2953025.2</v>
      </c>
      <c r="J117">
        <f t="shared" si="7"/>
        <v>238317.40000000002</v>
      </c>
    </row>
    <row r="118" spans="1:10" x14ac:dyDescent="0.25">
      <c r="A118" t="s">
        <v>209</v>
      </c>
      <c r="B118" t="s">
        <v>218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 t="shared" si="6"/>
        <v>64858.2</v>
      </c>
      <c r="J118">
        <f t="shared" si="7"/>
        <v>4817.3999999999996</v>
      </c>
    </row>
    <row r="119" spans="1:10" x14ac:dyDescent="0.25">
      <c r="A119" t="s">
        <v>209</v>
      </c>
      <c r="B119" t="s">
        <v>219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 t="shared" si="6"/>
        <v>140479.80000000002</v>
      </c>
      <c r="J119">
        <f t="shared" si="7"/>
        <v>10357.199999999999</v>
      </c>
    </row>
    <row r="120" spans="1:10" x14ac:dyDescent="0.25">
      <c r="A120" t="s">
        <v>209</v>
      </c>
      <c r="B120" t="s">
        <v>207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 t="shared" si="6"/>
        <v>3646364.8000000003</v>
      </c>
      <c r="J120">
        <f t="shared" si="7"/>
        <v>306445.09999999998</v>
      </c>
    </row>
    <row r="121" spans="1:10" x14ac:dyDescent="0.25">
      <c r="A121" t="s">
        <v>209</v>
      </c>
      <c r="B121" t="s">
        <v>199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 t="shared" si="6"/>
        <v>2762169</v>
      </c>
      <c r="J121">
        <f t="shared" si="7"/>
        <v>243273.60000000001</v>
      </c>
    </row>
    <row r="122" spans="1:10" x14ac:dyDescent="0.25">
      <c r="A122" t="s">
        <v>211</v>
      </c>
      <c r="B122" t="s">
        <v>216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 t="shared" si="6"/>
        <v>1189511.7000000002</v>
      </c>
      <c r="J122">
        <f t="shared" si="7"/>
        <v>61000.600000000006</v>
      </c>
    </row>
    <row r="123" spans="1:10" x14ac:dyDescent="0.25">
      <c r="A123" t="s">
        <v>211</v>
      </c>
      <c r="B123" t="s">
        <v>222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 t="shared" si="6"/>
        <v>156710.40000000002</v>
      </c>
      <c r="J123">
        <f t="shared" si="7"/>
        <v>6402.4</v>
      </c>
    </row>
    <row r="124" spans="1:10" x14ac:dyDescent="0.25">
      <c r="A124" t="s">
        <v>211</v>
      </c>
      <c r="B124" t="s">
        <v>215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 t="shared" si="6"/>
        <v>2454656.4</v>
      </c>
      <c r="J124">
        <f t="shared" si="7"/>
        <v>109494</v>
      </c>
    </row>
    <row r="125" spans="1:10" x14ac:dyDescent="0.25">
      <c r="A125" t="s">
        <v>211</v>
      </c>
      <c r="B125" t="s">
        <v>212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 t="shared" si="6"/>
        <v>3372809.2</v>
      </c>
      <c r="J125">
        <f t="shared" si="7"/>
        <v>178085.90000000002</v>
      </c>
    </row>
    <row r="126" spans="1:10" x14ac:dyDescent="0.25">
      <c r="A126" t="s">
        <v>211</v>
      </c>
      <c r="B126" t="s">
        <v>221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 t="shared" si="6"/>
        <v>37014.5</v>
      </c>
      <c r="J126">
        <f t="shared" si="7"/>
        <v>4525</v>
      </c>
    </row>
    <row r="127" spans="1:10" x14ac:dyDescent="0.25">
      <c r="A127" t="s">
        <v>211</v>
      </c>
      <c r="B127" t="s">
        <v>223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 t="shared" si="6"/>
        <v>18791374.5</v>
      </c>
      <c r="J127">
        <f t="shared" si="7"/>
        <v>919746.6</v>
      </c>
    </row>
    <row r="128" spans="1:10" x14ac:dyDescent="0.25">
      <c r="A128" t="s">
        <v>211</v>
      </c>
      <c r="B128" t="s">
        <v>218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 t="shared" si="6"/>
        <v>652068.60000000009</v>
      </c>
      <c r="J128">
        <f t="shared" si="7"/>
        <v>30362</v>
      </c>
    </row>
    <row r="129" spans="1:10" x14ac:dyDescent="0.25">
      <c r="A129" t="s">
        <v>211</v>
      </c>
      <c r="B129" t="s">
        <v>219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 t="shared" si="6"/>
        <v>2375871</v>
      </c>
      <c r="J129">
        <f t="shared" si="7"/>
        <v>107167.5</v>
      </c>
    </row>
    <row r="130" spans="1:10" x14ac:dyDescent="0.25">
      <c r="A130" t="s">
        <v>211</v>
      </c>
      <c r="B130" t="s">
        <v>207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 t="shared" si="6"/>
        <v>15192305</v>
      </c>
      <c r="J130">
        <f t="shared" si="7"/>
        <v>870147.5</v>
      </c>
    </row>
    <row r="131" spans="1:10" x14ac:dyDescent="0.25">
      <c r="A131" t="s">
        <v>211</v>
      </c>
      <c r="B131" t="s">
        <v>199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 t="shared" si="6"/>
        <v>6774033.6000000006</v>
      </c>
      <c r="J131">
        <f t="shared" si="7"/>
        <v>392968.8</v>
      </c>
    </row>
    <row r="132" spans="1:10" x14ac:dyDescent="0.25">
      <c r="A132" t="s">
        <v>213</v>
      </c>
      <c r="B132" t="s">
        <v>216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 t="shared" si="6"/>
        <v>163922.59999999998</v>
      </c>
      <c r="J132">
        <f t="shared" si="7"/>
        <v>13433.400000000001</v>
      </c>
    </row>
    <row r="133" spans="1:10" x14ac:dyDescent="0.25">
      <c r="A133" t="s">
        <v>213</v>
      </c>
      <c r="B133" t="s">
        <v>222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 t="shared" si="6"/>
        <v>12317.4</v>
      </c>
      <c r="J133">
        <f t="shared" si="7"/>
        <v>818.1</v>
      </c>
    </row>
    <row r="134" spans="1:10" x14ac:dyDescent="0.25">
      <c r="A134" t="s">
        <v>213</v>
      </c>
      <c r="B134" t="s">
        <v>215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 t="shared" si="6"/>
        <v>179952.5</v>
      </c>
      <c r="J134">
        <f t="shared" si="7"/>
        <v>13422.5</v>
      </c>
    </row>
    <row r="135" spans="1:10" x14ac:dyDescent="0.25">
      <c r="A135" t="s">
        <v>213</v>
      </c>
      <c r="B135" t="s">
        <v>212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 t="shared" si="6"/>
        <v>653140.19999999995</v>
      </c>
      <c r="J135">
        <f t="shared" si="7"/>
        <v>53401.399999999994</v>
      </c>
    </row>
    <row r="136" spans="1:10" x14ac:dyDescent="0.25">
      <c r="A136" t="s">
        <v>213</v>
      </c>
      <c r="B136" t="s">
        <v>221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 t="shared" ref="I136:I167" si="8">D136*E136</f>
        <v>24957.899999999998</v>
      </c>
      <c r="J136">
        <f t="shared" ref="J136:J167" si="9">D136*H136</f>
        <v>3732.3</v>
      </c>
    </row>
    <row r="137" spans="1:10" x14ac:dyDescent="0.25">
      <c r="A137" t="s">
        <v>213</v>
      </c>
      <c r="B137" t="s">
        <v>223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 t="shared" si="8"/>
        <v>2398680</v>
      </c>
      <c r="J137">
        <f t="shared" si="9"/>
        <v>192560.69999999998</v>
      </c>
    </row>
    <row r="138" spans="1:10" x14ac:dyDescent="0.25">
      <c r="A138" t="s">
        <v>213</v>
      </c>
      <c r="B138" t="s">
        <v>218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 t="shared" si="8"/>
        <v>61381.5</v>
      </c>
      <c r="J138">
        <f t="shared" si="9"/>
        <v>4771.6000000000004</v>
      </c>
    </row>
    <row r="139" spans="1:10" x14ac:dyDescent="0.25">
      <c r="A139" t="s">
        <v>213</v>
      </c>
      <c r="B139" t="s">
        <v>219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 t="shared" si="8"/>
        <v>230110.4</v>
      </c>
      <c r="J139">
        <f t="shared" si="9"/>
        <v>18059.599999999999</v>
      </c>
    </row>
    <row r="140" spans="1:10" x14ac:dyDescent="0.25">
      <c r="A140" t="s">
        <v>213</v>
      </c>
      <c r="B140" t="s">
        <v>207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 t="shared" si="8"/>
        <v>2401594.4</v>
      </c>
      <c r="J140">
        <f t="shared" si="9"/>
        <v>189385.19999999998</v>
      </c>
    </row>
    <row r="141" spans="1:10" x14ac:dyDescent="0.25">
      <c r="A141" t="s">
        <v>213</v>
      </c>
      <c r="B141" t="s">
        <v>199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 t="shared" si="8"/>
        <v>1339767</v>
      </c>
      <c r="J141">
        <f t="shared" si="9"/>
        <v>107721.9</v>
      </c>
    </row>
    <row r="142" spans="1:10" x14ac:dyDescent="0.25">
      <c r="A142" t="s">
        <v>615</v>
      </c>
      <c r="B142" t="s">
        <v>216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 t="shared" si="8"/>
        <v>176789.80000000002</v>
      </c>
      <c r="J142">
        <f t="shared" si="9"/>
        <v>20192.7</v>
      </c>
    </row>
    <row r="143" spans="1:10" x14ac:dyDescent="0.25">
      <c r="A143" t="s">
        <v>615</v>
      </c>
      <c r="B143" t="s">
        <v>222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 t="shared" si="8"/>
        <v>15953.6</v>
      </c>
      <c r="J143">
        <f t="shared" si="9"/>
        <v>1973.4</v>
      </c>
    </row>
    <row r="144" spans="1:10" x14ac:dyDescent="0.25">
      <c r="A144" t="s">
        <v>615</v>
      </c>
      <c r="B144" t="s">
        <v>215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 t="shared" si="8"/>
        <v>240659.09999999998</v>
      </c>
      <c r="J144">
        <f t="shared" si="9"/>
        <v>24338.6</v>
      </c>
    </row>
    <row r="145" spans="1:10" x14ac:dyDescent="0.25">
      <c r="A145" t="s">
        <v>615</v>
      </c>
      <c r="B145" t="s">
        <v>212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 t="shared" si="8"/>
        <v>344190.8</v>
      </c>
      <c r="J145">
        <f t="shared" si="9"/>
        <v>38076.799999999996</v>
      </c>
    </row>
    <row r="146" spans="1:10" x14ac:dyDescent="0.25">
      <c r="A146" t="s">
        <v>615</v>
      </c>
      <c r="B146" t="s">
        <v>221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 t="shared" si="8"/>
        <v>26160.899999999998</v>
      </c>
      <c r="J146">
        <f t="shared" si="9"/>
        <v>5296.2</v>
      </c>
    </row>
    <row r="147" spans="1:10" x14ac:dyDescent="0.25">
      <c r="A147" t="s">
        <v>615</v>
      </c>
      <c r="B147" t="s">
        <v>223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 t="shared" si="8"/>
        <v>328697.59999999998</v>
      </c>
      <c r="J147">
        <f t="shared" si="9"/>
        <v>32736</v>
      </c>
    </row>
    <row r="148" spans="1:10" x14ac:dyDescent="0.25">
      <c r="A148" t="s">
        <v>615</v>
      </c>
      <c r="B148" t="s">
        <v>218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 t="shared" si="8"/>
        <v>64806.299999999996</v>
      </c>
      <c r="J148">
        <f t="shared" si="9"/>
        <v>8014.5</v>
      </c>
    </row>
    <row r="149" spans="1:10" x14ac:dyDescent="0.25">
      <c r="A149" t="s">
        <v>615</v>
      </c>
      <c r="B149" t="s">
        <v>219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 t="shared" si="8"/>
        <v>242886.6</v>
      </c>
      <c r="J149">
        <f t="shared" si="9"/>
        <v>24703.200000000001</v>
      </c>
    </row>
    <row r="150" spans="1:10" x14ac:dyDescent="0.25">
      <c r="A150" t="s">
        <v>615</v>
      </c>
      <c r="B150" t="s">
        <v>207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 t="shared" si="8"/>
        <v>78578.400000000009</v>
      </c>
      <c r="J150">
        <f t="shared" si="9"/>
        <v>6977.4000000000005</v>
      </c>
    </row>
    <row r="151" spans="1:10" x14ac:dyDescent="0.25">
      <c r="A151" t="s">
        <v>615</v>
      </c>
      <c r="B151" t="s">
        <v>199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 t="shared" si="8"/>
        <v>54535.3</v>
      </c>
      <c r="J151">
        <f t="shared" si="9"/>
        <v>5646.1</v>
      </c>
    </row>
    <row r="152" spans="1:10" x14ac:dyDescent="0.25">
      <c r="A152" t="s">
        <v>116</v>
      </c>
      <c r="B152" t="s">
        <v>216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 t="shared" si="8"/>
        <v>36088</v>
      </c>
      <c r="J152">
        <f t="shared" si="9"/>
        <v>2184</v>
      </c>
    </row>
    <row r="153" spans="1:10" x14ac:dyDescent="0.25">
      <c r="A153" t="s">
        <v>116</v>
      </c>
      <c r="B153" t="s">
        <v>222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 t="shared" si="8"/>
        <v>8103</v>
      </c>
      <c r="J153">
        <f t="shared" si="9"/>
        <v>329.3</v>
      </c>
    </row>
    <row r="154" spans="1:10" x14ac:dyDescent="0.25">
      <c r="A154" t="s">
        <v>116</v>
      </c>
      <c r="B154" t="s">
        <v>215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 t="shared" si="8"/>
        <v>21678.899999999998</v>
      </c>
      <c r="J154">
        <f t="shared" si="9"/>
        <v>1244.6000000000001</v>
      </c>
    </row>
    <row r="155" spans="1:10" x14ac:dyDescent="0.25">
      <c r="A155" t="s">
        <v>116</v>
      </c>
      <c r="B155" t="s">
        <v>212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 t="shared" si="8"/>
        <v>50140.2</v>
      </c>
      <c r="J155">
        <f t="shared" si="9"/>
        <v>3113.7</v>
      </c>
    </row>
    <row r="156" spans="1:10" x14ac:dyDescent="0.25">
      <c r="A156" t="s">
        <v>116</v>
      </c>
      <c r="B156" t="s">
        <v>221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 t="shared" si="8"/>
        <v>5045</v>
      </c>
      <c r="J156">
        <f t="shared" si="9"/>
        <v>710</v>
      </c>
    </row>
    <row r="157" spans="1:10" x14ac:dyDescent="0.25">
      <c r="A157" t="s">
        <v>116</v>
      </c>
      <c r="B157" t="s">
        <v>223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 t="shared" si="8"/>
        <v>370431.6</v>
      </c>
      <c r="J157">
        <f t="shared" si="9"/>
        <v>21817.4</v>
      </c>
    </row>
    <row r="158" spans="1:10" x14ac:dyDescent="0.25">
      <c r="A158" t="s">
        <v>116</v>
      </c>
      <c r="B158" t="s">
        <v>218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 t="shared" si="8"/>
        <v>12904</v>
      </c>
      <c r="J158">
        <f t="shared" si="9"/>
        <v>792</v>
      </c>
    </row>
    <row r="159" spans="1:10" x14ac:dyDescent="0.25">
      <c r="A159" t="s">
        <v>116</v>
      </c>
      <c r="B159" t="s">
        <v>219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 t="shared" si="8"/>
        <v>17671.5</v>
      </c>
      <c r="J159">
        <f t="shared" si="9"/>
        <v>945</v>
      </c>
    </row>
    <row r="160" spans="1:10" x14ac:dyDescent="0.25">
      <c r="A160" t="s">
        <v>116</v>
      </c>
      <c r="B160" t="s">
        <v>207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 t="shared" si="8"/>
        <v>1220688</v>
      </c>
      <c r="J160">
        <f t="shared" si="9"/>
        <v>66120.599999999991</v>
      </c>
    </row>
    <row r="161" spans="1:10" x14ac:dyDescent="0.25">
      <c r="A161" t="s">
        <v>116</v>
      </c>
      <c r="B161" t="s">
        <v>199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 t="shared" si="8"/>
        <v>377216.39999999997</v>
      </c>
      <c r="J161">
        <f t="shared" si="9"/>
        <v>21318</v>
      </c>
    </row>
    <row r="162" spans="1:10" x14ac:dyDescent="0.25">
      <c r="A162" t="s">
        <v>198</v>
      </c>
      <c r="B162" t="s">
        <v>216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 t="shared" si="8"/>
        <v>423977.39999999997</v>
      </c>
      <c r="J162">
        <f t="shared" si="9"/>
        <v>97435.8</v>
      </c>
    </row>
    <row r="163" spans="1:10" x14ac:dyDescent="0.25">
      <c r="A163" t="s">
        <v>198</v>
      </c>
      <c r="B163" t="s">
        <v>222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 t="shared" si="8"/>
        <v>56119.5</v>
      </c>
      <c r="J163">
        <f t="shared" si="9"/>
        <v>13243.5</v>
      </c>
    </row>
    <row r="164" spans="1:10" x14ac:dyDescent="0.25">
      <c r="A164" t="s">
        <v>198</v>
      </c>
      <c r="B164" t="s">
        <v>215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 t="shared" si="8"/>
        <v>1172004</v>
      </c>
      <c r="J164">
        <f t="shared" si="9"/>
        <v>273564.3</v>
      </c>
    </row>
    <row r="165" spans="1:10" x14ac:dyDescent="0.25">
      <c r="A165" t="s">
        <v>198</v>
      </c>
      <c r="B165" t="s">
        <v>212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 t="shared" si="8"/>
        <v>1523691.4000000001</v>
      </c>
      <c r="J165">
        <f t="shared" si="9"/>
        <v>382410</v>
      </c>
    </row>
    <row r="166" spans="1:10" x14ac:dyDescent="0.25">
      <c r="A166" t="s">
        <v>198</v>
      </c>
      <c r="B166" t="s">
        <v>221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 t="shared" si="8"/>
        <v>69845</v>
      </c>
      <c r="J166">
        <f t="shared" si="9"/>
        <v>32818</v>
      </c>
    </row>
    <row r="167" spans="1:10" x14ac:dyDescent="0.25">
      <c r="A167" t="s">
        <v>198</v>
      </c>
      <c r="B167" t="s">
        <v>223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 t="shared" si="8"/>
        <v>6985855.7999999998</v>
      </c>
      <c r="J167">
        <f t="shared" si="9"/>
        <v>1698883.2</v>
      </c>
    </row>
    <row r="168" spans="1:10" x14ac:dyDescent="0.25">
      <c r="A168" t="s">
        <v>198</v>
      </c>
      <c r="B168" t="s">
        <v>218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 t="shared" ref="I168:I199" si="10">D168*E168</f>
        <v>207631.8</v>
      </c>
      <c r="J168">
        <f t="shared" ref="J168:J199" si="11">D168*H168</f>
        <v>50782.5</v>
      </c>
    </row>
    <row r="169" spans="1:10" x14ac:dyDescent="0.25">
      <c r="A169" t="s">
        <v>198</v>
      </c>
      <c r="B169" t="s">
        <v>219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 t="shared" si="10"/>
        <v>874717.20000000007</v>
      </c>
      <c r="J169">
        <f t="shared" si="11"/>
        <v>207356.1</v>
      </c>
    </row>
    <row r="170" spans="1:10" x14ac:dyDescent="0.25">
      <c r="A170" t="s">
        <v>198</v>
      </c>
      <c r="B170" t="s">
        <v>207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 t="shared" si="10"/>
        <v>12618791.1</v>
      </c>
      <c r="J170">
        <f t="shared" si="11"/>
        <v>2668239.3000000003</v>
      </c>
    </row>
    <row r="171" spans="1:10" x14ac:dyDescent="0.25">
      <c r="A171" t="s">
        <v>198</v>
      </c>
      <c r="B171" t="s">
        <v>199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 t="shared" si="10"/>
        <v>6784198.2000000002</v>
      </c>
      <c r="J171">
        <f t="shared" si="11"/>
        <v>1511449.2</v>
      </c>
    </row>
    <row r="172" spans="1:10" x14ac:dyDescent="0.25">
      <c r="A172" t="s">
        <v>208</v>
      </c>
      <c r="B172" t="s">
        <v>216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 t="shared" si="10"/>
        <v>664185.5</v>
      </c>
      <c r="J172">
        <f t="shared" si="11"/>
        <v>54391.700000000004</v>
      </c>
    </row>
    <row r="173" spans="1:10" x14ac:dyDescent="0.25">
      <c r="A173" t="s">
        <v>208</v>
      </c>
      <c r="B173" t="s">
        <v>222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 t="shared" si="10"/>
        <v>82240</v>
      </c>
      <c r="J173">
        <f t="shared" si="11"/>
        <v>5602.6</v>
      </c>
    </row>
    <row r="174" spans="1:10" x14ac:dyDescent="0.25">
      <c r="A174" t="s">
        <v>208</v>
      </c>
      <c r="B174" t="s">
        <v>215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 t="shared" si="10"/>
        <v>1260267.5999999999</v>
      </c>
      <c r="J174">
        <f t="shared" si="11"/>
        <v>91669.599999999991</v>
      </c>
    </row>
    <row r="175" spans="1:10" x14ac:dyDescent="0.25">
      <c r="A175" t="s">
        <v>208</v>
      </c>
      <c r="B175" t="s">
        <v>212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 t="shared" si="10"/>
        <v>1790812.7999999998</v>
      </c>
      <c r="J175">
        <f t="shared" si="11"/>
        <v>155156.4</v>
      </c>
    </row>
    <row r="176" spans="1:10" x14ac:dyDescent="0.25">
      <c r="A176" t="s">
        <v>208</v>
      </c>
      <c r="B176" t="s">
        <v>221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 t="shared" si="10"/>
        <v>36571.5</v>
      </c>
      <c r="J176">
        <f t="shared" si="11"/>
        <v>8032.5</v>
      </c>
    </row>
    <row r="177" spans="1:10" x14ac:dyDescent="0.25">
      <c r="A177" t="s">
        <v>208</v>
      </c>
      <c r="B177" t="s">
        <v>223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 t="shared" si="10"/>
        <v>9890736</v>
      </c>
      <c r="J177">
        <f t="shared" si="11"/>
        <v>800768</v>
      </c>
    </row>
    <row r="178" spans="1:10" x14ac:dyDescent="0.25">
      <c r="A178" t="s">
        <v>208</v>
      </c>
      <c r="B178" t="s">
        <v>218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 t="shared" si="10"/>
        <v>398634.6</v>
      </c>
      <c r="J178">
        <f t="shared" si="11"/>
        <v>30448.6</v>
      </c>
    </row>
    <row r="179" spans="1:10" x14ac:dyDescent="0.25">
      <c r="A179" t="s">
        <v>208</v>
      </c>
      <c r="B179" t="s">
        <v>219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 t="shared" si="10"/>
        <v>1072624.7999999998</v>
      </c>
      <c r="J179">
        <f t="shared" si="11"/>
        <v>80846.100000000006</v>
      </c>
    </row>
    <row r="180" spans="1:10" x14ac:dyDescent="0.25">
      <c r="A180" t="s">
        <v>208</v>
      </c>
      <c r="B180" t="s">
        <v>207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 t="shared" si="10"/>
        <v>2548358</v>
      </c>
      <c r="J180">
        <f t="shared" si="11"/>
        <v>230450</v>
      </c>
    </row>
    <row r="181" spans="1:10" x14ac:dyDescent="0.25">
      <c r="A181" t="s">
        <v>208</v>
      </c>
      <c r="B181" t="s">
        <v>199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 t="shared" si="10"/>
        <v>1552157.4000000001</v>
      </c>
      <c r="J181">
        <f t="shared" si="11"/>
        <v>146575.5</v>
      </c>
    </row>
    <row r="182" spans="1:10" x14ac:dyDescent="0.25">
      <c r="A182" t="s">
        <v>206</v>
      </c>
      <c r="B182" t="s">
        <v>216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 t="shared" si="10"/>
        <v>148066.4</v>
      </c>
      <c r="J182">
        <f t="shared" si="11"/>
        <v>16897.599999999999</v>
      </c>
    </row>
    <row r="183" spans="1:10" x14ac:dyDescent="0.25">
      <c r="A183" t="s">
        <v>206</v>
      </c>
      <c r="B183" t="s">
        <v>222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 t="shared" si="10"/>
        <v>17046.899999999998</v>
      </c>
      <c r="J183">
        <f t="shared" si="11"/>
        <v>1743.7</v>
      </c>
    </row>
    <row r="184" spans="1:10" x14ac:dyDescent="0.25">
      <c r="A184" t="s">
        <v>206</v>
      </c>
      <c r="B184" t="s">
        <v>215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 t="shared" si="10"/>
        <v>225467.19999999998</v>
      </c>
      <c r="J184">
        <f t="shared" si="11"/>
        <v>23288</v>
      </c>
    </row>
    <row r="185" spans="1:10" x14ac:dyDescent="0.25">
      <c r="A185" t="s">
        <v>206</v>
      </c>
      <c r="B185" t="s">
        <v>212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 t="shared" si="10"/>
        <v>495647.60000000003</v>
      </c>
      <c r="J185">
        <f t="shared" si="11"/>
        <v>58748</v>
      </c>
    </row>
    <row r="186" spans="1:10" x14ac:dyDescent="0.25">
      <c r="A186" t="s">
        <v>206</v>
      </c>
      <c r="B186" t="s">
        <v>221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 t="shared" si="10"/>
        <v>6389.0999999999995</v>
      </c>
      <c r="J186">
        <f t="shared" si="11"/>
        <v>1348.5</v>
      </c>
    </row>
    <row r="187" spans="1:10" x14ac:dyDescent="0.25">
      <c r="A187" t="s">
        <v>206</v>
      </c>
      <c r="B187" t="s">
        <v>223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 t="shared" si="10"/>
        <v>2305574.7000000002</v>
      </c>
      <c r="J187">
        <f t="shared" si="11"/>
        <v>270811.19999999995</v>
      </c>
    </row>
    <row r="188" spans="1:10" x14ac:dyDescent="0.25">
      <c r="A188" t="s">
        <v>206</v>
      </c>
      <c r="B188" t="s">
        <v>218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 t="shared" si="10"/>
        <v>64174.500000000007</v>
      </c>
      <c r="J188">
        <f t="shared" si="11"/>
        <v>7351.5000000000009</v>
      </c>
    </row>
    <row r="189" spans="1:10" x14ac:dyDescent="0.25">
      <c r="A189" t="s">
        <v>206</v>
      </c>
      <c r="B189" t="s">
        <v>219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 t="shared" si="10"/>
        <v>247205.40000000002</v>
      </c>
      <c r="J189">
        <f t="shared" si="11"/>
        <v>27518.800000000003</v>
      </c>
    </row>
    <row r="190" spans="1:10" x14ac:dyDescent="0.25">
      <c r="A190" t="s">
        <v>206</v>
      </c>
      <c r="B190" t="s">
        <v>207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 t="shared" si="10"/>
        <v>3851668.0000000005</v>
      </c>
      <c r="J190">
        <f t="shared" si="11"/>
        <v>493837</v>
      </c>
    </row>
    <row r="191" spans="1:10" x14ac:dyDescent="0.25">
      <c r="A191" t="s">
        <v>206</v>
      </c>
      <c r="B191" t="s">
        <v>199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 t="shared" si="10"/>
        <v>1925532</v>
      </c>
      <c r="J191">
        <f t="shared" si="11"/>
        <v>260133.59999999998</v>
      </c>
    </row>
    <row r="192" spans="1:10" x14ac:dyDescent="0.25">
      <c r="A192" t="s">
        <v>209</v>
      </c>
      <c r="B192" t="s">
        <v>216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 t="shared" si="10"/>
        <v>283176</v>
      </c>
      <c r="J192">
        <f t="shared" si="11"/>
        <v>21776.400000000001</v>
      </c>
    </row>
    <row r="193" spans="1:10" x14ac:dyDescent="0.25">
      <c r="A193" t="s">
        <v>209</v>
      </c>
      <c r="B193" t="s">
        <v>222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 t="shared" si="10"/>
        <v>10471.800000000001</v>
      </c>
      <c r="J193">
        <f t="shared" si="11"/>
        <v>911.4</v>
      </c>
    </row>
    <row r="194" spans="1:10" x14ac:dyDescent="0.25">
      <c r="A194" t="s">
        <v>209</v>
      </c>
      <c r="B194" t="s">
        <v>215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 t="shared" si="10"/>
        <v>75274.2</v>
      </c>
      <c r="J194">
        <f t="shared" si="11"/>
        <v>5133.3</v>
      </c>
    </row>
    <row r="195" spans="1:10" x14ac:dyDescent="0.25">
      <c r="A195" t="s">
        <v>209</v>
      </c>
      <c r="B195" t="s">
        <v>212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 t="shared" si="10"/>
        <v>622318.39999999991</v>
      </c>
      <c r="J195">
        <f t="shared" si="11"/>
        <v>48758.2</v>
      </c>
    </row>
    <row r="196" spans="1:10" x14ac:dyDescent="0.25">
      <c r="A196" t="s">
        <v>209</v>
      </c>
      <c r="B196" t="s">
        <v>221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 t="shared" si="10"/>
        <v>27872.1</v>
      </c>
      <c r="J196">
        <f t="shared" si="11"/>
        <v>4528.7999999999993</v>
      </c>
    </row>
    <row r="197" spans="1:10" x14ac:dyDescent="0.25">
      <c r="A197" t="s">
        <v>209</v>
      </c>
      <c r="B197" t="s">
        <v>223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 t="shared" si="10"/>
        <v>2976239.5</v>
      </c>
      <c r="J197">
        <f t="shared" si="11"/>
        <v>233294</v>
      </c>
    </row>
    <row r="198" spans="1:10" x14ac:dyDescent="0.25">
      <c r="A198" t="s">
        <v>209</v>
      </c>
      <c r="B198" t="s">
        <v>218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 t="shared" si="10"/>
        <v>63609</v>
      </c>
      <c r="J198">
        <f t="shared" si="11"/>
        <v>4804.8</v>
      </c>
    </row>
    <row r="199" spans="1:10" x14ac:dyDescent="0.25">
      <c r="A199" t="s">
        <v>209</v>
      </c>
      <c r="B199" t="s">
        <v>219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 t="shared" si="10"/>
        <v>144058.5</v>
      </c>
      <c r="J199">
        <f t="shared" si="11"/>
        <v>10003.5</v>
      </c>
    </row>
    <row r="200" spans="1:10" x14ac:dyDescent="0.25">
      <c r="A200" t="s">
        <v>209</v>
      </c>
      <c r="B200" t="s">
        <v>207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 t="shared" ref="I200:I231" si="12">D200*E200</f>
        <v>3342564.9</v>
      </c>
      <c r="J200">
        <f t="shared" ref="J200:J231" si="13">D200*H200</f>
        <v>272924.10000000003</v>
      </c>
    </row>
    <row r="201" spans="1:10" x14ac:dyDescent="0.25">
      <c r="A201" t="s">
        <v>209</v>
      </c>
      <c r="B201" t="s">
        <v>199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 t="shared" si="12"/>
        <v>2524763.2999999998</v>
      </c>
      <c r="J201">
        <f t="shared" si="13"/>
        <v>213756.7</v>
      </c>
    </row>
    <row r="202" spans="1:10" x14ac:dyDescent="0.25">
      <c r="A202" t="s">
        <v>211</v>
      </c>
      <c r="B202" t="s">
        <v>216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 t="shared" si="12"/>
        <v>1192285.8</v>
      </c>
      <c r="J202">
        <f t="shared" si="13"/>
        <v>59647.8</v>
      </c>
    </row>
    <row r="203" spans="1:10" x14ac:dyDescent="0.25">
      <c r="A203" t="s">
        <v>211</v>
      </c>
      <c r="B203" t="s">
        <v>222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 t="shared" si="12"/>
        <v>159508.79999999999</v>
      </c>
      <c r="J203">
        <f t="shared" si="13"/>
        <v>6275.2000000000007</v>
      </c>
    </row>
    <row r="204" spans="1:10" x14ac:dyDescent="0.25">
      <c r="A204" t="s">
        <v>211</v>
      </c>
      <c r="B204" t="s">
        <v>215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 t="shared" si="12"/>
        <v>2441880</v>
      </c>
      <c r="J204">
        <f t="shared" si="13"/>
        <v>105336</v>
      </c>
    </row>
    <row r="205" spans="1:10" x14ac:dyDescent="0.25">
      <c r="A205" t="s">
        <v>211</v>
      </c>
      <c r="B205" t="s">
        <v>212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 t="shared" si="12"/>
        <v>3492701.8</v>
      </c>
      <c r="J205">
        <f t="shared" si="13"/>
        <v>179676</v>
      </c>
    </row>
    <row r="206" spans="1:10" x14ac:dyDescent="0.25">
      <c r="A206" t="s">
        <v>211</v>
      </c>
      <c r="B206" t="s">
        <v>221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 t="shared" si="12"/>
        <v>23966.600000000002</v>
      </c>
      <c r="J206">
        <f t="shared" si="13"/>
        <v>2927.4</v>
      </c>
    </row>
    <row r="207" spans="1:10" x14ac:dyDescent="0.25">
      <c r="A207" t="s">
        <v>211</v>
      </c>
      <c r="B207" t="s">
        <v>223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 t="shared" si="12"/>
        <v>18506871.799999997</v>
      </c>
      <c r="J207">
        <f t="shared" si="13"/>
        <v>881037.10000000009</v>
      </c>
    </row>
    <row r="208" spans="1:10" x14ac:dyDescent="0.25">
      <c r="A208" t="s">
        <v>211</v>
      </c>
      <c r="B208" t="s">
        <v>218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 t="shared" si="12"/>
        <v>709902.6</v>
      </c>
      <c r="J208">
        <f t="shared" si="13"/>
        <v>32155.200000000001</v>
      </c>
    </row>
    <row r="209" spans="1:10" x14ac:dyDescent="0.25">
      <c r="A209" t="s">
        <v>211</v>
      </c>
      <c r="B209" t="s">
        <v>219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 t="shared" si="12"/>
        <v>2541076.4</v>
      </c>
      <c r="J209">
        <f t="shared" si="13"/>
        <v>111391.5</v>
      </c>
    </row>
    <row r="210" spans="1:10" x14ac:dyDescent="0.25">
      <c r="A210" t="s">
        <v>211</v>
      </c>
      <c r="B210" t="s">
        <v>207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 t="shared" si="12"/>
        <v>15323258.699999999</v>
      </c>
      <c r="J210">
        <f t="shared" si="13"/>
        <v>867799.2</v>
      </c>
    </row>
    <row r="211" spans="1:10" x14ac:dyDescent="0.25">
      <c r="A211" t="s">
        <v>211</v>
      </c>
      <c r="B211" t="s">
        <v>199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 t="shared" si="12"/>
        <v>6487067.2000000002</v>
      </c>
      <c r="J211">
        <f t="shared" si="13"/>
        <v>372728.8</v>
      </c>
    </row>
    <row r="212" spans="1:10" x14ac:dyDescent="0.25">
      <c r="A212" t="s">
        <v>213</v>
      </c>
      <c r="B212" t="s">
        <v>216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 t="shared" si="12"/>
        <v>142575</v>
      </c>
      <c r="J212">
        <f t="shared" si="13"/>
        <v>11475</v>
      </c>
    </row>
    <row r="213" spans="1:10" x14ac:dyDescent="0.25">
      <c r="A213" t="s">
        <v>213</v>
      </c>
      <c r="B213" t="s">
        <v>222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 t="shared" si="12"/>
        <v>7126.4</v>
      </c>
      <c r="J213">
        <f t="shared" si="13"/>
        <v>464</v>
      </c>
    </row>
    <row r="214" spans="1:10" x14ac:dyDescent="0.25">
      <c r="A214" t="s">
        <v>213</v>
      </c>
      <c r="B214" t="s">
        <v>215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 t="shared" si="12"/>
        <v>162488.79999999999</v>
      </c>
      <c r="J214">
        <f t="shared" si="13"/>
        <v>11675.599999999999</v>
      </c>
    </row>
    <row r="215" spans="1:10" x14ac:dyDescent="0.25">
      <c r="A215" t="s">
        <v>213</v>
      </c>
      <c r="B215" t="s">
        <v>212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 t="shared" si="12"/>
        <v>632574</v>
      </c>
      <c r="J215">
        <f t="shared" si="13"/>
        <v>50850</v>
      </c>
    </row>
    <row r="216" spans="1:10" x14ac:dyDescent="0.25">
      <c r="A216" t="s">
        <v>213</v>
      </c>
      <c r="B216" t="s">
        <v>221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 t="shared" si="12"/>
        <v>20682.2</v>
      </c>
      <c r="J216">
        <f t="shared" si="13"/>
        <v>2725.5</v>
      </c>
    </row>
    <row r="217" spans="1:10" x14ac:dyDescent="0.25">
      <c r="A217" t="s">
        <v>213</v>
      </c>
      <c r="B217" t="s">
        <v>223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 t="shared" si="12"/>
        <v>2221879.8000000003</v>
      </c>
      <c r="J217">
        <f t="shared" si="13"/>
        <v>178813.6</v>
      </c>
    </row>
    <row r="218" spans="1:10" x14ac:dyDescent="0.25">
      <c r="A218" t="s">
        <v>213</v>
      </c>
      <c r="B218" t="s">
        <v>218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 t="shared" si="12"/>
        <v>62666.5</v>
      </c>
      <c r="J218">
        <f t="shared" si="13"/>
        <v>4572.5</v>
      </c>
    </row>
    <row r="219" spans="1:10" x14ac:dyDescent="0.25">
      <c r="A219" t="s">
        <v>213</v>
      </c>
      <c r="B219" t="s">
        <v>219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 t="shared" si="12"/>
        <v>207816.30000000002</v>
      </c>
      <c r="J219">
        <f t="shared" si="13"/>
        <v>15082.199999999999</v>
      </c>
    </row>
    <row r="220" spans="1:10" x14ac:dyDescent="0.25">
      <c r="A220" t="s">
        <v>213</v>
      </c>
      <c r="B220" t="s">
        <v>207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 t="shared" si="12"/>
        <v>1996719.2999999998</v>
      </c>
      <c r="J220">
        <f t="shared" si="13"/>
        <v>153636</v>
      </c>
    </row>
    <row r="221" spans="1:10" x14ac:dyDescent="0.25">
      <c r="A221" t="s">
        <v>213</v>
      </c>
      <c r="B221" t="s">
        <v>199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 t="shared" si="12"/>
        <v>1072142.5</v>
      </c>
      <c r="J221">
        <f t="shared" si="13"/>
        <v>83972</v>
      </c>
    </row>
    <row r="222" spans="1:10" x14ac:dyDescent="0.25">
      <c r="A222" t="s">
        <v>615</v>
      </c>
      <c r="B222" t="s">
        <v>216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 t="shared" si="12"/>
        <v>136920.5</v>
      </c>
      <c r="J222">
        <f t="shared" si="13"/>
        <v>14884.3</v>
      </c>
    </row>
    <row r="223" spans="1:10" x14ac:dyDescent="0.25">
      <c r="A223" t="s">
        <v>615</v>
      </c>
      <c r="B223" t="s">
        <v>222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 t="shared" si="12"/>
        <v>8327.1999999999989</v>
      </c>
      <c r="J223">
        <f t="shared" si="13"/>
        <v>921.19999999999993</v>
      </c>
    </row>
    <row r="224" spans="1:10" x14ac:dyDescent="0.25">
      <c r="A224" t="s">
        <v>615</v>
      </c>
      <c r="B224" t="s">
        <v>215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 t="shared" si="12"/>
        <v>189732</v>
      </c>
      <c r="J224">
        <f t="shared" si="13"/>
        <v>19429.600000000002</v>
      </c>
    </row>
    <row r="225" spans="1:10" x14ac:dyDescent="0.25">
      <c r="A225" t="s">
        <v>615</v>
      </c>
      <c r="B225" t="s">
        <v>212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 t="shared" si="12"/>
        <v>309386</v>
      </c>
      <c r="J225">
        <f t="shared" si="13"/>
        <v>33866</v>
      </c>
    </row>
    <row r="226" spans="1:10" x14ac:dyDescent="0.25">
      <c r="A226" t="s">
        <v>615</v>
      </c>
      <c r="B226" t="s">
        <v>221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 t="shared" si="12"/>
        <v>30962.600000000002</v>
      </c>
      <c r="J226">
        <f t="shared" si="13"/>
        <v>6211.6</v>
      </c>
    </row>
    <row r="227" spans="1:10" x14ac:dyDescent="0.25">
      <c r="A227" t="s">
        <v>615</v>
      </c>
      <c r="B227" t="s">
        <v>223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 t="shared" si="12"/>
        <v>294501.2</v>
      </c>
      <c r="J227">
        <f t="shared" si="13"/>
        <v>28851.199999999997</v>
      </c>
    </row>
    <row r="228" spans="1:10" x14ac:dyDescent="0.25">
      <c r="A228" t="s">
        <v>615</v>
      </c>
      <c r="B228" t="s">
        <v>218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 t="shared" si="12"/>
        <v>57620.5</v>
      </c>
      <c r="J228">
        <f t="shared" si="13"/>
        <v>6575.0999999999995</v>
      </c>
    </row>
    <row r="229" spans="1:10" x14ac:dyDescent="0.25">
      <c r="A229" t="s">
        <v>615</v>
      </c>
      <c r="B229" t="s">
        <v>219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 t="shared" si="12"/>
        <v>241511.59999999998</v>
      </c>
      <c r="J229">
        <f t="shared" si="13"/>
        <v>24469.599999999999</v>
      </c>
    </row>
    <row r="230" spans="1:10" x14ac:dyDescent="0.25">
      <c r="A230" t="s">
        <v>615</v>
      </c>
      <c r="B230" t="s">
        <v>207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 t="shared" si="12"/>
        <v>81385.2</v>
      </c>
      <c r="J230">
        <f t="shared" si="13"/>
        <v>7745.6</v>
      </c>
    </row>
    <row r="231" spans="1:10" x14ac:dyDescent="0.25">
      <c r="A231" t="s">
        <v>615</v>
      </c>
      <c r="B231" t="s">
        <v>199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 t="shared" si="12"/>
        <v>49968</v>
      </c>
      <c r="J231">
        <f t="shared" si="13"/>
        <v>4980</v>
      </c>
    </row>
    <row r="232" spans="1:10" x14ac:dyDescent="0.25">
      <c r="A232" t="s">
        <v>116</v>
      </c>
      <c r="B232" t="s">
        <v>216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 t="shared" ref="I232:I241" si="14">D232*E232</f>
        <v>36991.5</v>
      </c>
      <c r="J232">
        <f t="shared" ref="J232:J241" si="15">D232*H232</f>
        <v>2211.2999999999997</v>
      </c>
    </row>
    <row r="233" spans="1:10" x14ac:dyDescent="0.25">
      <c r="A233" t="s">
        <v>116</v>
      </c>
      <c r="B233" t="s">
        <v>222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 t="shared" si="14"/>
        <v>3502.7999999999997</v>
      </c>
      <c r="J233">
        <f t="shared" si="15"/>
        <v>140.4</v>
      </c>
    </row>
    <row r="234" spans="1:10" x14ac:dyDescent="0.25">
      <c r="A234" t="s">
        <v>116</v>
      </c>
      <c r="B234" t="s">
        <v>215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 t="shared" si="14"/>
        <v>16596.8</v>
      </c>
      <c r="J234">
        <f t="shared" si="15"/>
        <v>901.6</v>
      </c>
    </row>
    <row r="235" spans="1:10" x14ac:dyDescent="0.25">
      <c r="A235" t="s">
        <v>116</v>
      </c>
      <c r="B235" t="s">
        <v>212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 t="shared" si="14"/>
        <v>45599.4</v>
      </c>
      <c r="J235">
        <f t="shared" si="15"/>
        <v>2822.4</v>
      </c>
    </row>
    <row r="236" spans="1:10" x14ac:dyDescent="0.25">
      <c r="A236" t="s">
        <v>116</v>
      </c>
      <c r="B236" t="s">
        <v>221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 t="shared" si="14"/>
        <v>4662</v>
      </c>
      <c r="J236">
        <f t="shared" si="15"/>
        <v>612</v>
      </c>
    </row>
    <row r="237" spans="1:10" x14ac:dyDescent="0.25">
      <c r="A237" t="s">
        <v>116</v>
      </c>
      <c r="B237" t="s">
        <v>223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 t="shared" si="14"/>
        <v>323462.39999999997</v>
      </c>
      <c r="J237">
        <f t="shared" si="15"/>
        <v>18432.600000000002</v>
      </c>
    </row>
    <row r="238" spans="1:10" x14ac:dyDescent="0.25">
      <c r="A238" t="s">
        <v>116</v>
      </c>
      <c r="B238" t="s">
        <v>218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 t="shared" si="14"/>
        <v>18737.399999999998</v>
      </c>
      <c r="J238">
        <f t="shared" si="15"/>
        <v>999.6</v>
      </c>
    </row>
    <row r="239" spans="1:10" x14ac:dyDescent="0.25">
      <c r="A239" t="s">
        <v>116</v>
      </c>
      <c r="B239" t="s">
        <v>219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 t="shared" si="14"/>
        <v>15096</v>
      </c>
      <c r="J239">
        <f t="shared" si="15"/>
        <v>790.50000000000011</v>
      </c>
    </row>
    <row r="240" spans="1:10" x14ac:dyDescent="0.25">
      <c r="A240" t="s">
        <v>116</v>
      </c>
      <c r="B240" t="s">
        <v>207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 t="shared" si="14"/>
        <v>974565.2</v>
      </c>
      <c r="J240">
        <f t="shared" si="15"/>
        <v>53251.8</v>
      </c>
    </row>
    <row r="241" spans="1:10" x14ac:dyDescent="0.25">
      <c r="A241" t="s">
        <v>116</v>
      </c>
      <c r="B241" t="s">
        <v>199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 t="shared" si="14"/>
        <v>393879.8</v>
      </c>
      <c r="J241">
        <f t="shared" si="15"/>
        <v>22251.8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S24" sqref="S24"/>
    </sheetView>
  </sheetViews>
  <sheetFormatPr defaultRowHeight="15" x14ac:dyDescent="0.25"/>
  <cols>
    <col min="1" max="1" width="13.28515625" customWidth="1"/>
    <col min="2" max="2" width="22" customWidth="1"/>
    <col min="3" max="3" width="17.8554687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224</v>
      </c>
    </row>
    <row r="3" spans="1:24" x14ac:dyDescent="0.25">
      <c r="B3" s="6" t="s">
        <v>192</v>
      </c>
      <c r="H3" s="6" t="s">
        <v>225</v>
      </c>
      <c r="N3" s="6" t="s">
        <v>226</v>
      </c>
      <c r="T3" s="6" t="s">
        <v>227</v>
      </c>
    </row>
    <row r="4" spans="1:24" ht="30" customHeight="1" x14ac:dyDescent="0.25">
      <c r="B4" s="70" t="s">
        <v>204</v>
      </c>
      <c r="C4" s="70" t="s">
        <v>214</v>
      </c>
      <c r="D4" s="70" t="s">
        <v>217</v>
      </c>
      <c r="E4" s="70" t="s">
        <v>228</v>
      </c>
      <c r="F4" s="70" t="s">
        <v>229</v>
      </c>
      <c r="G4" s="70"/>
      <c r="H4" s="70" t="s">
        <v>204</v>
      </c>
      <c r="I4" s="70" t="s">
        <v>214</v>
      </c>
      <c r="J4" s="70" t="s">
        <v>217</v>
      </c>
      <c r="K4" s="70" t="s">
        <v>228</v>
      </c>
      <c r="L4" s="70" t="s">
        <v>229</v>
      </c>
      <c r="M4" s="71"/>
      <c r="N4" s="70" t="s">
        <v>204</v>
      </c>
      <c r="O4" s="70" t="s">
        <v>214</v>
      </c>
      <c r="P4" s="70" t="s">
        <v>217</v>
      </c>
      <c r="Q4" s="70" t="s">
        <v>228</v>
      </c>
      <c r="R4" s="70" t="s">
        <v>229</v>
      </c>
      <c r="S4" s="70"/>
      <c r="T4" s="70" t="s">
        <v>204</v>
      </c>
      <c r="U4" s="70" t="s">
        <v>214</v>
      </c>
      <c r="V4" s="70" t="s">
        <v>217</v>
      </c>
      <c r="W4" s="70" t="s">
        <v>228</v>
      </c>
      <c r="X4" s="70" t="s">
        <v>229</v>
      </c>
    </row>
    <row r="5" spans="1:24" x14ac:dyDescent="0.25">
      <c r="A5" s="6" t="s">
        <v>230</v>
      </c>
      <c r="B5" s="73">
        <f>GETPIVOTDATA("Sum of Slaktvikt*Antal",'G&amp;D sammanställning'!$B$21,"Djur2",$A5,"Ras2",B$4)/GETPIVOTDATA("Sum of Antal djur",'G&amp;D sammanställning'!$B$21,"Djur2",$A5,"Ras2",B$4)</f>
        <v>312.53652200175168</v>
      </c>
      <c r="C5" s="72">
        <f>GETPIVOTDATA("Sum of Slaktvikt*Antal",'G&amp;D sammanställning'!$B$21,"Djur2",$A5,"Ras2",C$4)/GETPIVOTDATA("Sum of Antal djur",'G&amp;D sammanställning'!$B$21,"Djur2",$A5,"Ras2",C$4)</f>
        <v>355.01132489869156</v>
      </c>
      <c r="D5" s="72">
        <f>GETPIVOTDATA("Sum of Slaktvikt*Antal",'G&amp;D sammanställning'!$B$21,"Djur2",$A5,"Ras2",D$4)/GETPIVOTDATA("Sum of Antal djur",'G&amp;D sammanställning'!$B$21,"Djur2",$A5,"Ras2",D$4)</f>
        <v>336.27636512100622</v>
      </c>
      <c r="E5" s="73">
        <f t="shared" ref="E5:E14" si="0">(C5*$O5+D5*$P5)/SUM($O5,$P5)</f>
        <v>343.01428921077814</v>
      </c>
      <c r="F5" s="72">
        <f>(B5*$N5+C5*$O5+D5*$P5)/SUM($N5:$P5)</f>
        <v>323.26120826335631</v>
      </c>
      <c r="G5" s="72"/>
      <c r="H5" s="286">
        <f>GETPIVOTDATA("Sum of Ålder*Antal",'G&amp;D sammanställning'!$B$21,"Djur2",$A5,"Ras2",H$4)/GETPIVOTDATA("Sum of Antal djur",'G&amp;D sammanställning'!$B$21,"Djur2",$A5,"Ras2",H$4)</f>
        <v>61.420068255262606</v>
      </c>
      <c r="I5" s="285">
        <f>GETPIVOTDATA("Sum of Ålder*Antal",'G&amp;D sammanställning'!$B$21,"Djur2",$A5,"Ras2",I$4)/GETPIVOTDATA("Sum of Antal djur",'G&amp;D sammanställning'!$B$21,"Djur2",$A5,"Ras2",I$4)</f>
        <v>78.294465926315453</v>
      </c>
      <c r="J5" s="285">
        <f>GETPIVOTDATA("Sum of Ålder*Antal",'G&amp;D sammanställning'!$B$21,"Djur2",$A5,"Ras2",J$4)/GETPIVOTDATA("Sum of Antal djur",'G&amp;D sammanställning'!$B$21,"Djur2",$A5,"Ras2",J$4)</f>
        <v>72.410146110947025</v>
      </c>
      <c r="K5" s="286">
        <f t="shared" ref="K5:K14" si="1">(I5*$O5+J5*$P5)/SUM($O5,$P5)</f>
        <v>74.526409006964371</v>
      </c>
      <c r="L5" s="285">
        <f>(H5*$N5+I5*$O5+J5*$P5)/SUM($N5:$P5)</f>
        <v>66.032000344502251</v>
      </c>
      <c r="M5" s="72"/>
      <c r="N5" s="72">
        <f>GETPIVOTDATA("Sum of Antal djur",'G&amp;D sammanställning'!$B$21,"Djur2",$A5,"Ras2",N$4)/5</f>
        <v>33111</v>
      </c>
      <c r="O5" s="72">
        <f>GETPIVOTDATA("Sum of Antal djur",'G&amp;D sammanställning'!$B$21,"Djur2",$A5,"Ras2",O$4)/5</f>
        <v>6465.4</v>
      </c>
      <c r="P5" s="72">
        <f>GETPIVOTDATA("Sum of Antal djur",'G&amp;D sammanställning'!$B$21,"Djur2",$A5,"Ras2",P$4)/5</f>
        <v>11511.8</v>
      </c>
      <c r="Q5" s="72">
        <f t="shared" ref="Q5:Q14" si="2">SUM(O5,P5)</f>
        <v>17977.199999999997</v>
      </c>
      <c r="R5" s="72">
        <f t="shared" ref="R5:R14" si="3">SUM(N5,O5,P5)</f>
        <v>51088.2</v>
      </c>
      <c r="S5" s="72"/>
    </row>
    <row r="6" spans="1:24" x14ac:dyDescent="0.25">
      <c r="A6" t="s">
        <v>198</v>
      </c>
      <c r="B6" s="2">
        <f>GETPIVOTDATA("Sum of Slaktvikt*Antal",'G&amp;D sammanställning'!$B$21,"Djur",$A6,"Ras2",B$4)/GETPIVOTDATA("Sum of Antal djur",'G&amp;D sammanställning'!$B$21,"Djur",$A6,"Ras2",B$4)</f>
        <v>319.86244812776482</v>
      </c>
      <c r="C6" s="2">
        <f>GETPIVOTDATA("Sum of Slaktvikt*Antal",'G&amp;D sammanställning'!$B$21,"Djur",$A6,"Ras2",C$4)/GETPIVOTDATA("Sum of Antal djur",'G&amp;D sammanställning'!$B$21,"Djur",$A6,"Ras2",C$4)</f>
        <v>365.82194855175209</v>
      </c>
      <c r="D6" s="2">
        <f>GETPIVOTDATA("Sum of Slaktvikt*Antal",'G&amp;D sammanställning'!$B$21,"Djur",$A6,"Ras2",D$4)/GETPIVOTDATA("Sum of Antal djur",'G&amp;D sammanställning'!$B$21,"Djur",$A6,"Ras2",D$4)</f>
        <v>346.03629643759837</v>
      </c>
      <c r="E6" s="74">
        <f t="shared" si="0"/>
        <v>353.36723053600105</v>
      </c>
      <c r="F6" s="74">
        <f t="shared" ref="F6:F14" si="4">(B6*$N6+C6*$O6+D6*$P6)/SUM($N6:$P6)</f>
        <v>331.5660916707738</v>
      </c>
      <c r="G6" s="2"/>
      <c r="H6" s="13">
        <f>GETPIVOTDATA("Sum of Ålder*Antal",'G&amp;D sammanställning'!$B$21,"Djur",$A6,"Ras2",H$4)/GETPIVOTDATA("Sum of Antal djur",'G&amp;D sammanställning'!$B$21,"Djur",$A6,"Ras2",H$4)</f>
        <v>69.114749844886916</v>
      </c>
      <c r="I6" s="13">
        <f>GETPIVOTDATA("Sum of Ålder*Antal",'G&amp;D sammanställning'!$B$21,"Djur",$A6,"Ras2",I$4)/GETPIVOTDATA("Sum of Antal djur",'G&amp;D sammanställning'!$B$21,"Djur",$A6,"Ras2",I$4)</f>
        <v>91.159939234352834</v>
      </c>
      <c r="J6" s="13">
        <f>GETPIVOTDATA("Sum of Ålder*Antal",'G&amp;D sammanställning'!$B$21,"Djur",$A6,"Ras2",J$4)/GETPIVOTDATA("Sum of Antal djur",'G&amp;D sammanställning'!$B$21,"Djur",$A6,"Ras2",J$4)</f>
        <v>85.792360150698656</v>
      </c>
      <c r="K6" s="288">
        <f t="shared" si="1"/>
        <v>87.781143148762439</v>
      </c>
      <c r="L6" s="288">
        <f t="shared" ref="L6:L14" si="5">(H6*$N6+I6*$O6+J6*$P6)/SUM($N6:$P6)</f>
        <v>75.63515671696571</v>
      </c>
      <c r="M6" s="2"/>
      <c r="N6" s="2">
        <f>GETPIVOTDATA("Sum of Antal djur",'G&amp;D sammanställning'!$B$21,"Djur",$A6,"Ras2",N$4)/5</f>
        <v>24820.6</v>
      </c>
      <c r="O6" s="2">
        <f>GETPIVOTDATA("Sum of Antal djur",'G&amp;D sammanställning'!$B$21,"Djur",$A6,"Ras2",O$4)/5</f>
        <v>4937</v>
      </c>
      <c r="P6" s="2">
        <f>GETPIVOTDATA("Sum of Antal djur",'G&amp;D sammanställning'!$B$21,"Djur",$A6,"Ras2",P$4)/5</f>
        <v>8387.6</v>
      </c>
      <c r="Q6" s="2">
        <f t="shared" si="2"/>
        <v>13324.6</v>
      </c>
      <c r="R6" s="2">
        <f t="shared" si="3"/>
        <v>38145.199999999997</v>
      </c>
      <c r="S6" s="2"/>
    </row>
    <row r="7" spans="1:24" x14ac:dyDescent="0.25">
      <c r="A7" t="s">
        <v>206</v>
      </c>
      <c r="B7" s="2">
        <f>GETPIVOTDATA("Sum of Slaktvikt*Antal",'G&amp;D sammanställning'!$B$21,"Djur",$A7,"Ras2",B$4)/GETPIVOTDATA("Sum of Antal djur",'G&amp;D sammanställning'!$B$21,"Djur",$A7,"Ras2",B$4)</f>
        <v>290.60345701051818</v>
      </c>
      <c r="C7" s="2">
        <f>GETPIVOTDATA("Sum of Slaktvikt*Antal",'G&amp;D sammanställning'!$B$21,"Djur",$A7,"Ras2",C$4)/GETPIVOTDATA("Sum of Antal djur",'G&amp;D sammanställning'!$B$21,"Djur",$A7,"Ras2",C$4)</f>
        <v>320.09111489138968</v>
      </c>
      <c r="D7" s="2">
        <f>GETPIVOTDATA("Sum of Slaktvikt*Antal",'G&amp;D sammanställning'!$B$21,"Djur",$A7,"Ras2",D$4)/GETPIVOTDATA("Sum of Antal djur",'G&amp;D sammanställning'!$B$21,"Djur",$A7,"Ras2",D$4)</f>
        <v>310.07368926445167</v>
      </c>
      <c r="E7" s="74">
        <f t="shared" si="0"/>
        <v>313.36445858229803</v>
      </c>
      <c r="F7" s="74">
        <f t="shared" si="4"/>
        <v>298.78531870509153</v>
      </c>
      <c r="G7" s="2"/>
      <c r="H7" s="13">
        <f>GETPIVOTDATA("Sum of Ålder*Antal",'G&amp;D sammanställning'!$B$21,"Djur",$A7,"Ras2",H$4)/GETPIVOTDATA("Sum of Antal djur",'G&amp;D sammanställning'!$B$21,"Djur",$A7,"Ras2",H$4)</f>
        <v>38.382987551867224</v>
      </c>
      <c r="I7" s="13">
        <f>GETPIVOTDATA("Sum of Ålder*Antal",'G&amp;D sammanställning'!$B$21,"Djur",$A7,"Ras2",I$4)/GETPIVOTDATA("Sum of Antal djur",'G&amp;D sammanställning'!$B$21,"Djur",$A7,"Ras2",I$4)</f>
        <v>36.736731222193143</v>
      </c>
      <c r="J7" s="13">
        <f>GETPIVOTDATA("Sum of Ålder*Antal",'G&amp;D sammanställning'!$B$21,"Djur",$A7,"Ras2",J$4)/GETPIVOTDATA("Sum of Antal djur",'G&amp;D sammanställning'!$B$21,"Djur",$A7,"Ras2",J$4)</f>
        <v>36.482657960437869</v>
      </c>
      <c r="K7" s="288">
        <f t="shared" si="1"/>
        <v>36.566122168250004</v>
      </c>
      <c r="L7" s="288">
        <f t="shared" si="5"/>
        <v>37.729881789384223</v>
      </c>
      <c r="M7" s="2"/>
      <c r="N7" s="2">
        <f>GETPIVOTDATA("Sum of Antal djur",'G&amp;D sammanställning'!$B$21,"Djur",$A7,"Ras2",N$4)/5</f>
        <v>8290.4</v>
      </c>
      <c r="O7" s="2">
        <f>GETPIVOTDATA("Sum of Antal djur",'G&amp;D sammanställning'!$B$21,"Djur",$A7,"Ras2",O$4)/5</f>
        <v>1528.4</v>
      </c>
      <c r="P7" s="2">
        <f>GETPIVOTDATA("Sum of Antal djur",'G&amp;D sammanställning'!$B$21,"Djur",$A7,"Ras2",P$4)/5</f>
        <v>3124.2</v>
      </c>
      <c r="Q7" s="2">
        <f t="shared" si="2"/>
        <v>4652.6000000000004</v>
      </c>
      <c r="R7" s="2">
        <f t="shared" si="3"/>
        <v>12943</v>
      </c>
      <c r="S7" s="2"/>
    </row>
    <row r="8" spans="1:24" x14ac:dyDescent="0.25">
      <c r="A8" s="6" t="s">
        <v>208</v>
      </c>
      <c r="B8" s="75">
        <f>GETPIVOTDATA("Sum of Slaktvikt*Antal",'G&amp;D sammanställning'!$B$21,"Djur",$A8,"Ras2",B$4)/GETPIVOTDATA("Sum of Antal djur",'G&amp;D sammanställning'!$B$21,"Djur",$A8,"Ras2",B$4)</f>
        <v>300.68910796745581</v>
      </c>
      <c r="C8" s="2">
        <f>GETPIVOTDATA("Sum of Slaktvikt*Antal",'G&amp;D sammanställning'!$B$21,"Djur",$A8,"Ras2",C$4)/GETPIVOTDATA("Sum of Antal djur",'G&amp;D sammanställning'!$B$21,"Djur",$A8,"Ras2",C$4)</f>
        <v>310.49582701504727</v>
      </c>
      <c r="D8" s="2">
        <f>GETPIVOTDATA("Sum of Slaktvikt*Antal",'G&amp;D sammanställning'!$B$21,"Djur",$A8,"Ras2",D$4)/GETPIVOTDATA("Sum of Antal djur",'G&amp;D sammanställning'!$B$21,"Djur",$A8,"Ras2",D$4)</f>
        <v>312.75009692477084</v>
      </c>
      <c r="E8" s="76">
        <f t="shared" si="0"/>
        <v>311.96747557580363</v>
      </c>
      <c r="F8" s="74">
        <f t="shared" si="4"/>
        <v>309.52626426888571</v>
      </c>
      <c r="G8" s="2"/>
      <c r="H8" s="283">
        <f>GETPIVOTDATA("Sum of Ålder*Antal",'G&amp;D sammanställning'!$B$21,"Djur",$A8,"Ras2",H$4)/GETPIVOTDATA("Sum of Antal djur",'G&amp;D sammanställning'!$B$21,"Djur",$A8,"Ras2",H$4)</f>
        <v>28.193025727479295</v>
      </c>
      <c r="I8" s="13">
        <f>GETPIVOTDATA("Sum of Ålder*Antal",'G&amp;D sammanställning'!$B$21,"Djur",$A8,"Ras2",I$4)/GETPIVOTDATA("Sum of Antal djur",'G&amp;D sammanställning'!$B$21,"Djur",$A8,"Ras2",I$4)</f>
        <v>25.298247404642481</v>
      </c>
      <c r="J8" s="13">
        <f>GETPIVOTDATA("Sum of Ålder*Antal",'G&amp;D sammanställning'!$B$21,"Djur",$A8,"Ras2",J$4)/GETPIVOTDATA("Sum of Antal djur",'G&amp;D sammanställning'!$B$21,"Djur",$A8,"Ras2",J$4)</f>
        <v>25.6</v>
      </c>
      <c r="K8" s="287">
        <f t="shared" si="1"/>
        <v>25.495239686155401</v>
      </c>
      <c r="L8" s="288">
        <f t="shared" si="5"/>
        <v>26.079177541031722</v>
      </c>
      <c r="M8" s="2"/>
      <c r="N8" s="2">
        <f>GETPIVOTDATA("Sum of Antal djur",'G&amp;D sammanställning'!$B$21,"Djur",$A8,"Ras2",N$4)/5</f>
        <v>5457.2</v>
      </c>
      <c r="O8" s="2">
        <f>GETPIVOTDATA("Sum of Antal djur",'G&amp;D sammanställning'!$B$21,"Djur",$A8,"Ras2",O$4)/5</f>
        <v>6858.4</v>
      </c>
      <c r="P8" s="2">
        <f>GETPIVOTDATA("Sum of Antal djur",'G&amp;D sammanställning'!$B$21,"Djur",$A8,"Ras2",P$4)/5</f>
        <v>12896.6</v>
      </c>
      <c r="Q8" s="2">
        <f t="shared" si="2"/>
        <v>19755</v>
      </c>
      <c r="R8" s="2">
        <f t="shared" si="3"/>
        <v>25212.199999999997</v>
      </c>
      <c r="S8" s="2"/>
      <c r="T8" s="75">
        <f t="shared" ref="T8:X12" si="6">N8/SUM(N$8:N$10,N$14)*100</f>
        <v>11.564069420016528</v>
      </c>
      <c r="U8" s="2">
        <f t="shared" si="6"/>
        <v>31.779217288961792</v>
      </c>
      <c r="V8" s="2">
        <f t="shared" si="6"/>
        <v>31.80027123659228</v>
      </c>
      <c r="W8" s="75">
        <f t="shared" si="6"/>
        <v>31.792958716629865</v>
      </c>
      <c r="X8" s="2">
        <f t="shared" si="6"/>
        <v>23.06119051582677</v>
      </c>
    </row>
    <row r="9" spans="1:24" x14ac:dyDescent="0.25">
      <c r="A9" s="6" t="s">
        <v>209</v>
      </c>
      <c r="B9" s="75">
        <f>GETPIVOTDATA("Sum of Slaktvikt*Antal",'G&amp;D sammanställning'!$B$21,"Djur",$A9,"Ras2",B$4)/GETPIVOTDATA("Sum of Antal djur",'G&amp;D sammanställning'!$B$21,"Djur",$A9,"Ras2",B$4)</f>
        <v>330.10277508873833</v>
      </c>
      <c r="C9" s="2">
        <f>GETPIVOTDATA("Sum of Slaktvikt*Antal",'G&amp;D sammanställning'!$B$21,"Djur",$A9,"Ras2",C$4)/GETPIVOTDATA("Sum of Antal djur",'G&amp;D sammanställning'!$B$21,"Djur",$A9,"Ras2",C$4)</f>
        <v>333.87834095000693</v>
      </c>
      <c r="D9" s="2">
        <f>GETPIVOTDATA("Sum of Slaktvikt*Antal",'G&amp;D sammanställning'!$B$21,"Djur",$A9,"Ras2",D$4)/GETPIVOTDATA("Sum of Antal djur",'G&amp;D sammanställning'!$B$21,"Djur",$A9,"Ras2",D$4)</f>
        <v>338.83448768501057</v>
      </c>
      <c r="E9" s="76">
        <f t="shared" si="0"/>
        <v>337.38673948220071</v>
      </c>
      <c r="F9" s="74">
        <f t="shared" si="4"/>
        <v>333.0112780254571</v>
      </c>
      <c r="G9" s="2"/>
      <c r="H9" s="283">
        <f>GETPIVOTDATA("Sum of Ålder*Antal",'G&amp;D sammanställning'!$B$21,"Djur",$A9,"Ras2",H$4)/GETPIVOTDATA("Sum of Antal djur",'G&amp;D sammanställning'!$B$21,"Djur",$A9,"Ras2",H$4)</f>
        <v>27.869191674733784</v>
      </c>
      <c r="I9" s="13">
        <f>GETPIVOTDATA("Sum of Ålder*Antal",'G&amp;D sammanställning'!$B$21,"Djur",$A9,"Ras2",I$4)/GETPIVOTDATA("Sum of Antal djur",'G&amp;D sammanställning'!$B$21,"Djur",$A9,"Ras2",I$4)</f>
        <v>26.631990029081845</v>
      </c>
      <c r="J9" s="13">
        <f>GETPIVOTDATA("Sum of Ålder*Antal",'G&amp;D sammanställning'!$B$21,"Djur",$A9,"Ras2",J$4)/GETPIVOTDATA("Sum of Antal djur",'G&amp;D sammanställning'!$B$21,"Djur",$A9,"Ras2",J$4)</f>
        <v>26.950762900737185</v>
      </c>
      <c r="K9" s="287">
        <f t="shared" si="1"/>
        <v>26.857645631067964</v>
      </c>
      <c r="L9" s="288">
        <f t="shared" si="5"/>
        <v>27.465279123861212</v>
      </c>
      <c r="M9" s="2"/>
      <c r="N9" s="2">
        <f>GETPIVOTDATA("Sum of Antal djur",'G&amp;D sammanställning'!$B$21,"Djur",$A9,"Ras2",N$4)/5</f>
        <v>7437.6</v>
      </c>
      <c r="O9" s="2">
        <f>GETPIVOTDATA("Sum of Antal djur",'G&amp;D sammanställning'!$B$21,"Djur",$A9,"Ras2",O$4)/5</f>
        <v>1444.2</v>
      </c>
      <c r="P9" s="2">
        <f>GETPIVOTDATA("Sum of Antal djur",'G&amp;D sammanställning'!$B$21,"Djur",$A9,"Ras2",P$4)/5</f>
        <v>3499.8</v>
      </c>
      <c r="Q9" s="2">
        <f t="shared" si="2"/>
        <v>4944</v>
      </c>
      <c r="R9" s="2">
        <f t="shared" si="3"/>
        <v>12381.600000000002</v>
      </c>
      <c r="S9" s="2"/>
      <c r="T9" s="75">
        <f t="shared" si="6"/>
        <v>15.760632323960078</v>
      </c>
      <c r="U9" s="2">
        <f t="shared" si="6"/>
        <v>6.6918735577858728</v>
      </c>
      <c r="V9" s="2">
        <f t="shared" si="6"/>
        <v>8.6297620515349536</v>
      </c>
      <c r="W9" s="75">
        <f t="shared" si="6"/>
        <v>7.9566888329545966</v>
      </c>
      <c r="X9" s="2">
        <f t="shared" si="6"/>
        <v>11.325248748255243</v>
      </c>
    </row>
    <row r="10" spans="1:24" x14ac:dyDescent="0.25">
      <c r="A10" s="6" t="s">
        <v>210</v>
      </c>
      <c r="B10" s="73">
        <f>GETPIVOTDATA("Sum of Slaktvikt*Antal",'G&amp;D sammanställning'!$B$21,"Djur2",$A10,"Ras2",B$4)/GETPIVOTDATA("Sum of Antal djur",'G&amp;D sammanställning'!$B$21,"Djur2",$A10,"Ras2",B$4)</f>
        <v>328.59083539567786</v>
      </c>
      <c r="C10" s="72">
        <f>GETPIVOTDATA("Sum of Slaktvikt*Antal",'G&amp;D sammanställning'!$B$21,"Djur2",$A10,"Ras2",C$4)/GETPIVOTDATA("Sum of Antal djur",'G&amp;D sammanställning'!$B$21,"Djur2",$A10,"Ras2",C$4)</f>
        <v>362.16844430664293</v>
      </c>
      <c r="D10" s="72">
        <f>GETPIVOTDATA("Sum of Slaktvikt*Antal",'G&amp;D sammanställning'!$B$21,"Djur2",$A10,"Ras2",D$4)/GETPIVOTDATA("Sum of Antal djur",'G&amp;D sammanställning'!$B$21,"Djur2",$A10,"Ras2",D$4)</f>
        <v>359.84896643488707</v>
      </c>
      <c r="E10" s="73">
        <f t="shared" si="0"/>
        <v>360.67560761346999</v>
      </c>
      <c r="F10" s="72">
        <f t="shared" si="4"/>
        <v>345.92850578899288</v>
      </c>
      <c r="G10" s="72"/>
      <c r="H10" s="286">
        <f>GETPIVOTDATA("Sum of Ålder*Antal",'G&amp;D sammanställning'!$B$21,"Djur2",$A10,"Ras2",H$4)/GETPIVOTDATA("Sum of Antal djur",'G&amp;D sammanställning'!$B$21,"Djur2",$A10,"Ras2",H$4)</f>
        <v>19.735886093627194</v>
      </c>
      <c r="I10" s="285">
        <f>GETPIVOTDATA("Sum of Ålder*Antal",'G&amp;D sammanställning'!$B$21,"Djur2",$A10,"Ras2",I$4)/GETPIVOTDATA("Sum of Antal djur",'G&amp;D sammanställning'!$B$21,"Djur2",$A10,"Ras2",I$4)</f>
        <v>18.586624292690487</v>
      </c>
      <c r="J10" s="285">
        <f>GETPIVOTDATA("Sum of Ålder*Antal",'G&amp;D sammanställning'!$B$21,"Djur2",$A10,"Ras2",J$4)/GETPIVOTDATA("Sum of Antal djur",'G&amp;D sammanställning'!$B$21,"Djur2",$A10,"Ras2",J$4)</f>
        <v>18.646733625203879</v>
      </c>
      <c r="K10" s="286">
        <f t="shared" si="1"/>
        <v>18.625311196441888</v>
      </c>
      <c r="L10" s="285">
        <f t="shared" si="5"/>
        <v>19.135763973894299</v>
      </c>
      <c r="M10" s="72"/>
      <c r="N10" s="72">
        <f>GETPIVOTDATA("Sum of Antal djur",'G&amp;D sammanställning'!$B$21,"Djur2",$A10,"Ras2",N$4)/5</f>
        <v>30790.2</v>
      </c>
      <c r="O10" s="72">
        <f>GETPIVOTDATA("Sum of Antal djur",'G&amp;D sammanställning'!$B$21,"Djur2",$A10,"Ras2",O$4)/5</f>
        <v>12901</v>
      </c>
      <c r="P10" s="72">
        <f>GETPIVOTDATA("Sum of Antal djur",'G&amp;D sammanställning'!$B$21,"Djur2",$A10,"Ras2",P$4)/5</f>
        <v>23298</v>
      </c>
      <c r="Q10" s="72">
        <f t="shared" si="2"/>
        <v>36199</v>
      </c>
      <c r="R10" s="72">
        <f t="shared" si="3"/>
        <v>66989.2</v>
      </c>
      <c r="S10" s="72"/>
      <c r="T10" s="73">
        <f t="shared" si="6"/>
        <v>65.245915534741798</v>
      </c>
      <c r="U10" s="72">
        <f t="shared" si="6"/>
        <v>59.778327633981121</v>
      </c>
      <c r="V10" s="72">
        <f t="shared" si="6"/>
        <v>57.447910245345824</v>
      </c>
      <c r="W10" s="73">
        <f t="shared" si="6"/>
        <v>58.25731777186963</v>
      </c>
      <c r="X10" s="72">
        <f t="shared" si="6"/>
        <v>61.27393498793532</v>
      </c>
    </row>
    <row r="11" spans="1:24" x14ac:dyDescent="0.25">
      <c r="A11" t="s">
        <v>211</v>
      </c>
      <c r="B11" s="2">
        <f>GETPIVOTDATA("Sum of Slaktvikt*Antal",'G&amp;D sammanställning'!$B$21,"Djur",$A11,"Ras2",B$4)/GETPIVOTDATA("Sum of Antal djur",'G&amp;D sammanställning'!$B$21,"Djur",$A11,"Ras2",B$4)</f>
        <v>324.71416226560643</v>
      </c>
      <c r="C11" s="2">
        <f>GETPIVOTDATA("Sum of Slaktvikt*Antal",'G&amp;D sammanställning'!$B$21,"Djur",$A11,"Ras2",C$4)/GETPIVOTDATA("Sum of Antal djur",'G&amp;D sammanställning'!$B$21,"Djur",$A11,"Ras2",C$4)</f>
        <v>360.40344116576864</v>
      </c>
      <c r="D11" s="2">
        <f>GETPIVOTDATA("Sum of Slaktvikt*Antal",'G&amp;D sammanställning'!$B$21,"Djur",$A11,"Ras2",D$4)/GETPIVOTDATA("Sum of Antal djur",'G&amp;D sammanställning'!$B$21,"Djur",$A11,"Ras2",D$4)</f>
        <v>359.37646985142504</v>
      </c>
      <c r="E11" s="74">
        <f t="shared" si="0"/>
        <v>359.74346652301256</v>
      </c>
      <c r="F11" s="74">
        <f t="shared" si="4"/>
        <v>343.80599902131183</v>
      </c>
      <c r="G11" s="2"/>
      <c r="H11" s="13">
        <f>GETPIVOTDATA("Sum of Ålder*Antal",'G&amp;D sammanställning'!$B$21,"Djur",$A11,"Ras2",H$4)/GETPIVOTDATA("Sum of Antal djur",'G&amp;D sammanställning'!$B$21,"Djur",$A11,"Ras2",H$4)</f>
        <v>18.570824679563255</v>
      </c>
      <c r="I11" s="13">
        <f>GETPIVOTDATA("Sum of Ålder*Antal",'G&amp;D sammanställning'!$B$21,"Djur",$A11,"Ras2",I$4)/GETPIVOTDATA("Sum of Antal djur",'G&amp;D sammanställning'!$B$21,"Djur",$A11,"Ras2",I$4)</f>
        <v>17.230892519882868</v>
      </c>
      <c r="J11" s="13">
        <f>GETPIVOTDATA("Sum of Ålder*Antal",'G&amp;D sammanställning'!$B$21,"Djur",$A11,"Ras2",J$4)/GETPIVOTDATA("Sum of Antal djur",'G&amp;D sammanställning'!$B$21,"Djur",$A11,"Ras2",J$4)</f>
        <v>17.350930761374368</v>
      </c>
      <c r="K11" s="288">
        <f t="shared" si="1"/>
        <v>17.308034105474338</v>
      </c>
      <c r="L11" s="288">
        <f t="shared" si="5"/>
        <v>17.882572600104616</v>
      </c>
      <c r="M11" s="2"/>
      <c r="N11" s="2">
        <f>GETPIVOTDATA("Sum of Antal djur",'G&amp;D sammanställning'!$B$21,"Djur",$A11,"Ras2",N$4)/5</f>
        <v>26963.200000000001</v>
      </c>
      <c r="O11" s="2">
        <f>GETPIVOTDATA("Sum of Antal djur",'G&amp;D sammanställning'!$B$21,"Djur",$A11,"Ras2",O$4)/5</f>
        <v>11542.6</v>
      </c>
      <c r="P11" s="2">
        <f>GETPIVOTDATA("Sum of Antal djur",'G&amp;D sammanställning'!$B$21,"Djur",$A11,"Ras2",P$4)/5</f>
        <v>20757.2</v>
      </c>
      <c r="Q11" s="2">
        <f t="shared" si="2"/>
        <v>32299.800000000003</v>
      </c>
      <c r="R11" s="2">
        <f t="shared" si="3"/>
        <v>59263</v>
      </c>
      <c r="S11" s="2"/>
      <c r="T11" s="2">
        <f t="shared" si="6"/>
        <v>57.136318365790082</v>
      </c>
      <c r="U11" s="2">
        <f t="shared" si="6"/>
        <v>53.484018645685651</v>
      </c>
      <c r="V11" s="2">
        <f t="shared" si="6"/>
        <v>51.182838121070148</v>
      </c>
      <c r="W11" s="2">
        <f t="shared" si="6"/>
        <v>51.982091012675347</v>
      </c>
      <c r="X11" s="2">
        <f t="shared" si="6"/>
        <v>54.206905130827224</v>
      </c>
    </row>
    <row r="12" spans="1:24" x14ac:dyDescent="0.25">
      <c r="A12" t="s">
        <v>213</v>
      </c>
      <c r="B12" s="2">
        <f>GETPIVOTDATA("Sum of Slaktvikt*Antal",'G&amp;D sammanställning'!$B$21,"Djur",$A12,"Ras2",B$4)/GETPIVOTDATA("Sum of Antal djur",'G&amp;D sammanställning'!$B$21,"Djur",$A12,"Ras2",B$4)</f>
        <v>355.90400836164093</v>
      </c>
      <c r="C12" s="2">
        <f>GETPIVOTDATA("Sum of Slaktvikt*Antal",'G&amp;D sammanställning'!$B$21,"Djur",$A12,"Ras2",C$4)/GETPIVOTDATA("Sum of Antal djur",'G&amp;D sammanställning'!$B$21,"Djur",$A12,"Ras2",C$4)</f>
        <v>377.16603356890448</v>
      </c>
      <c r="D12" s="2">
        <f>GETPIVOTDATA("Sum of Slaktvikt*Antal",'G&amp;D sammanställning'!$B$21,"Djur",$A12,"Ras2",D$4)/GETPIVOTDATA("Sum of Antal djur",'G&amp;D sammanställning'!$B$21,"Djur",$A12,"Ras2",D$4)</f>
        <v>363.70905226700256</v>
      </c>
      <c r="E12" s="74">
        <f t="shared" si="0"/>
        <v>368.39718403775134</v>
      </c>
      <c r="F12" s="74">
        <f t="shared" si="4"/>
        <v>362.20896948046908</v>
      </c>
      <c r="G12" s="2"/>
      <c r="H12" s="13">
        <f>GETPIVOTDATA("Sum of Ålder*Antal",'G&amp;D sammanställning'!$B$21,"Djur",$A12,"Ras2",H$4)/GETPIVOTDATA("Sum of Antal djur",'G&amp;D sammanställning'!$B$21,"Djur",$A12,"Ras2",H$4)</f>
        <v>27.944348053305461</v>
      </c>
      <c r="I12" s="13">
        <f>GETPIVOTDATA("Sum of Ålder*Antal",'G&amp;D sammanställning'!$B$21,"Djur",$A12,"Ras2",I$4)/GETPIVOTDATA("Sum of Antal djur",'G&amp;D sammanställning'!$B$21,"Djur",$A12,"Ras2",I$4)</f>
        <v>30.106551825677265</v>
      </c>
      <c r="J12" s="13">
        <f>GETPIVOTDATA("Sum of Ålder*Antal",'G&amp;D sammanställning'!$B$21,"Djur",$A12,"Ras2",J$4)/GETPIVOTDATA("Sum of Antal djur",'G&amp;D sammanställning'!$B$21,"Djur",$A12,"Ras2",J$4)</f>
        <v>29.232863664987406</v>
      </c>
      <c r="K12" s="288">
        <f t="shared" si="1"/>
        <v>29.53723840787854</v>
      </c>
      <c r="L12" s="288">
        <f t="shared" si="5"/>
        <v>28.748235872744687</v>
      </c>
      <c r="M12" s="2"/>
      <c r="N12" s="2">
        <f>GETPIVOTDATA("Sum of Antal djur",'G&amp;D sammanställning'!$B$21,"Djur",$A12,"Ras2",N$4)/5</f>
        <v>3827</v>
      </c>
      <c r="O12" s="2">
        <f>GETPIVOTDATA("Sum of Antal djur",'G&amp;D sammanställning'!$B$21,"Djur",$A12,"Ras2",O$4)/5</f>
        <v>1358.4</v>
      </c>
      <c r="P12" s="2">
        <f>GETPIVOTDATA("Sum of Antal djur",'G&amp;D sammanställning'!$B$21,"Djur",$A12,"Ras2",P$4)/5</f>
        <v>2540.8000000000002</v>
      </c>
      <c r="Q12" s="2">
        <f t="shared" si="2"/>
        <v>3899.2000000000003</v>
      </c>
      <c r="R12" s="2">
        <f t="shared" si="3"/>
        <v>7726.2</v>
      </c>
      <c r="S12" s="2"/>
      <c r="T12" s="2">
        <f t="shared" si="6"/>
        <v>8.1095971689517068</v>
      </c>
      <c r="U12" s="2">
        <f t="shared" si="6"/>
        <v>6.2943089882954775</v>
      </c>
      <c r="V12" s="2">
        <f t="shared" si="6"/>
        <v>6.2650721242756751</v>
      </c>
      <c r="W12" s="2">
        <f t="shared" si="6"/>
        <v>6.2752267591942887</v>
      </c>
      <c r="X12" s="2">
        <f t="shared" si="6"/>
        <v>7.0670298571080998</v>
      </c>
    </row>
    <row r="13" spans="1:24" x14ac:dyDescent="0.25">
      <c r="A13" s="6" t="s">
        <v>615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283">
        <f>GETPIVOTDATA("Sum of Ålder*Antal",'G&amp;D sammanställning'!$B$21,"Djur",$A13,"Ras2",H$4)/GETPIVOTDATA("Sum of Antal djur",'G&amp;D sammanställning'!$B$21,"Djur",$A13,"Ras2",H$4)</f>
        <v>41.352528548123978</v>
      </c>
      <c r="I13" s="13">
        <f>GETPIVOTDATA("Sum of Ålder*Antal",'G&amp;D sammanställning'!$B$21,"Djur",$A13,"Ras2",I$4)/GETPIVOTDATA("Sum of Antal djur",'G&amp;D sammanställning'!$B$21,"Djur",$A13,"Ras2",I$4)</f>
        <v>59.747599164926925</v>
      </c>
      <c r="J13" s="13">
        <f>GETPIVOTDATA("Sum of Ålder*Antal",'G&amp;D sammanställning'!$B$21,"Djur",$A13,"Ras2",J$4)/GETPIVOTDATA("Sum of Antal djur",'G&amp;D sammanställning'!$B$21,"Djur",$A13,"Ras2",J$4)</f>
        <v>45.687833827893172</v>
      </c>
      <c r="K13" s="287">
        <f>(I13*$O13+J13*$P13)/SUM($O13,$P13)</f>
        <v>56.088803088803083</v>
      </c>
      <c r="L13" s="288">
        <f>(H13*$N13+I13*$O13+J13*$P13)/SUM($N13:$P13)</f>
        <v>54.529449335404799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116</v>
      </c>
      <c r="B14" s="75">
        <f>GETPIVOTDATA("Sum of Slaktvikt*Antal",'G&amp;D sammanställning'!$B$21,"Djur",$A14,"Ras2",B$4)/GETPIVOTDATA("Sum of Antal djur",'G&amp;D sammanställning'!$B$21,"Djur",$A14,"Ras2",B$4)</f>
        <v>169.21559612093554</v>
      </c>
      <c r="C14" s="2">
        <f>GETPIVOTDATA("Sum of Slaktvikt*Antal",'G&amp;D sammanställning'!$B$21,"Djur",$A14,"Ras2",C$4)/GETPIVOTDATA("Sum of Antal djur",'G&amp;D sammanställning'!$B$21,"Djur",$A14,"Ras2",C$4)</f>
        <v>155.01138168343039</v>
      </c>
      <c r="D14" s="2">
        <f>GETPIVOTDATA("Sum of Slaktvikt*Antal",'G&amp;D sammanställning'!$B$21,"Djur",$A14,"Ras2",D$4)/GETPIVOTDATA("Sum of Antal djur",'G&amp;D sammanställning'!$B$21,"Djur",$A14,"Ras2",D$4)</f>
        <v>161.2581919590983</v>
      </c>
      <c r="E14" s="76">
        <f t="shared" si="0"/>
        <v>159.35247093023253</v>
      </c>
      <c r="F14" s="74">
        <f t="shared" si="4"/>
        <v>166.6410884411095</v>
      </c>
      <c r="G14" s="2"/>
      <c r="H14" s="283">
        <f>GETPIVOTDATA("Sum of Ålder*Antal",'G&amp;D sammanställning'!$B$21,"Djur",$A14,"Ras2",H$4)/GETPIVOTDATA("Sum of Antal djur",'G&amp;D sammanställning'!$B$21,"Djur",$A14,"Ras2",H$4)</f>
        <v>9.2950484883057616</v>
      </c>
      <c r="I14" s="13">
        <f>GETPIVOTDATA("Sum of Ålder*Antal",'G&amp;D sammanställning'!$B$21,"Djur",$A14,"Ras2",I$4)/GETPIVOTDATA("Sum of Antal djur",'G&amp;D sammanställning'!$B$21,"Djur",$A14,"Ras2",I$4)</f>
        <v>9.4210693488618311</v>
      </c>
      <c r="J14" s="13">
        <f>GETPIVOTDATA("Sum of Ålder*Antal",'G&amp;D sammanställning'!$B$21,"Djur",$A14,"Ras2",J$4)/GETPIVOTDATA("Sum of Antal djur",'G&amp;D sammanställning'!$B$21,"Djur",$A14,"Ras2",J$4)</f>
        <v>9.3539391122472697</v>
      </c>
      <c r="K14" s="287">
        <f t="shared" si="1"/>
        <v>9.3744186046511633</v>
      </c>
      <c r="L14" s="288">
        <f t="shared" si="5"/>
        <v>9.3157659556529797</v>
      </c>
      <c r="M14" s="2"/>
      <c r="N14" s="2">
        <f>GETPIVOTDATA("Sum of Antal djur",'G&amp;D sammanställning'!$B$21,"Djur",$A14,"Ras2",N$4)/5</f>
        <v>3506</v>
      </c>
      <c r="O14" s="2">
        <f>GETPIVOTDATA("Sum of Antal djur",'G&amp;D sammanställning'!$B$21,"Djur",$A14,"Ras2",O$4)/5</f>
        <v>377.8</v>
      </c>
      <c r="P14" s="2">
        <f>GETPIVOTDATA("Sum of Antal djur",'G&amp;D sammanställning'!$B$21,"Djur",$A14,"Ras2",P$4)/5</f>
        <v>860.6</v>
      </c>
      <c r="Q14" s="2">
        <f t="shared" si="2"/>
        <v>1238.4000000000001</v>
      </c>
      <c r="R14" s="2">
        <f t="shared" si="3"/>
        <v>4744.4000000000005</v>
      </c>
      <c r="S14" s="2"/>
      <c r="T14" s="75">
        <f>N14/SUM(N$8:N$10,N$14)*100</f>
        <v>7.429382721281601</v>
      </c>
      <c r="U14" s="2">
        <f>O14/SUM(O$8:O$10,O$14)*100</f>
        <v>1.7505815192712246</v>
      </c>
      <c r="V14" s="2">
        <f>P14/SUM(P$8:P$10,P$14)*100</f>
        <v>2.122056466526939</v>
      </c>
      <c r="W14" s="75">
        <f>Q14/SUM(Q$8:Q$10,Q$14)*100</f>
        <v>1.9930346785459088</v>
      </c>
      <c r="X14" s="2">
        <f>R14/SUM(R$8:R$10,R$14)*100</f>
        <v>4.3396257479826659</v>
      </c>
    </row>
    <row r="16" spans="1:24" x14ac:dyDescent="0.25">
      <c r="H16">
        <f>H10/H11</f>
        <v>1.0627361161481461</v>
      </c>
      <c r="I16">
        <f t="shared" ref="I16:L16" si="7">I10/I11</f>
        <v>1.0786802988436746</v>
      </c>
      <c r="J16">
        <f t="shared" si="7"/>
        <v>1.0746820376180712</v>
      </c>
      <c r="K16">
        <f t="shared" si="7"/>
        <v>1.0761078400319832</v>
      </c>
      <c r="L16">
        <f t="shared" si="7"/>
        <v>1.0700789199526219</v>
      </c>
    </row>
    <row r="17" spans="2:18" x14ac:dyDescent="0.25">
      <c r="N17" s="42"/>
      <c r="O17" s="42"/>
      <c r="P17" s="42"/>
      <c r="Q17" s="42"/>
      <c r="R17" s="42"/>
    </row>
    <row r="18" spans="2:18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8" x14ac:dyDescent="0.25">
      <c r="B19" s="284" t="s">
        <v>190</v>
      </c>
      <c r="C19" t="s">
        <v>724</v>
      </c>
      <c r="G19" t="s">
        <v>617</v>
      </c>
      <c r="H19">
        <v>0</v>
      </c>
      <c r="I19">
        <v>7</v>
      </c>
      <c r="J19">
        <v>7</v>
      </c>
      <c r="K19">
        <v>7</v>
      </c>
    </row>
    <row r="20" spans="2:18" x14ac:dyDescent="0.25">
      <c r="G20" t="s">
        <v>618</v>
      </c>
      <c r="H20" s="26">
        <f t="shared" ref="H20:J20" si="8">1/((H5+H19-H18)/12)</f>
        <v>0.34863382347201699</v>
      </c>
      <c r="I20" s="26">
        <f t="shared" si="8"/>
        <v>0.21195996118056068</v>
      </c>
      <c r="J20" s="26">
        <f t="shared" si="8"/>
        <v>0.23654574094377639</v>
      </c>
      <c r="K20" s="26">
        <f>1/((K5+K19-K18)/12)</f>
        <v>0.22707313941461149</v>
      </c>
    </row>
    <row r="21" spans="2:18" x14ac:dyDescent="0.25">
      <c r="B21" s="284" t="s">
        <v>200</v>
      </c>
      <c r="C21" t="s">
        <v>201</v>
      </c>
      <c r="D21" t="s">
        <v>202</v>
      </c>
      <c r="E21" t="s">
        <v>203</v>
      </c>
    </row>
    <row r="22" spans="2:18" x14ac:dyDescent="0.25">
      <c r="B22" s="66" t="s">
        <v>204</v>
      </c>
      <c r="C22" s="12"/>
      <c r="D22" s="12"/>
      <c r="E22" s="12"/>
    </row>
    <row r="23" spans="2:18" x14ac:dyDescent="0.25">
      <c r="B23" s="68" t="s">
        <v>205</v>
      </c>
      <c r="C23" s="12">
        <v>165555</v>
      </c>
      <c r="D23" s="12">
        <v>51741983.899999999</v>
      </c>
      <c r="E23" s="12">
        <v>10168399.4</v>
      </c>
    </row>
    <row r="24" spans="2:18" x14ac:dyDescent="0.25">
      <c r="B24" s="69" t="s">
        <v>198</v>
      </c>
      <c r="C24" s="12">
        <v>124103</v>
      </c>
      <c r="D24" s="12">
        <v>39695889.399999999</v>
      </c>
      <c r="E24" s="12">
        <v>8577347.8000000007</v>
      </c>
    </row>
    <row r="25" spans="2:18" x14ac:dyDescent="0.25">
      <c r="B25" s="69" t="s">
        <v>206</v>
      </c>
      <c r="C25" s="12">
        <v>41452</v>
      </c>
      <c r="D25" s="12">
        <v>12046094.5</v>
      </c>
      <c r="E25" s="12">
        <v>1591051.6</v>
      </c>
    </row>
    <row r="26" spans="2:18" x14ac:dyDescent="0.25">
      <c r="B26" s="68" t="s">
        <v>208</v>
      </c>
      <c r="C26" s="12">
        <v>27286</v>
      </c>
      <c r="D26" s="12">
        <v>8204603</v>
      </c>
      <c r="E26" s="12">
        <v>769274.9</v>
      </c>
    </row>
    <row r="27" spans="2:18" x14ac:dyDescent="0.25">
      <c r="B27" s="69" t="s">
        <v>208</v>
      </c>
      <c r="C27" s="12">
        <v>27286</v>
      </c>
      <c r="D27" s="12">
        <v>8204603</v>
      </c>
      <c r="E27" s="12">
        <v>769274.9</v>
      </c>
    </row>
    <row r="28" spans="2:18" x14ac:dyDescent="0.25">
      <c r="B28" s="68" t="s">
        <v>209</v>
      </c>
      <c r="C28" s="12">
        <v>37188</v>
      </c>
      <c r="D28" s="12">
        <v>12275862</v>
      </c>
      <c r="E28" s="12">
        <v>1036399.5</v>
      </c>
    </row>
    <row r="29" spans="2:18" x14ac:dyDescent="0.25">
      <c r="B29" s="69" t="s">
        <v>209</v>
      </c>
      <c r="C29" s="12">
        <v>37188</v>
      </c>
      <c r="D29" s="12">
        <v>12275862</v>
      </c>
      <c r="E29" s="12">
        <v>1036399.5</v>
      </c>
    </row>
    <row r="30" spans="2:18" x14ac:dyDescent="0.25">
      <c r="B30" s="68" t="s">
        <v>210</v>
      </c>
      <c r="C30" s="12">
        <v>153951</v>
      </c>
      <c r="D30" s="12">
        <v>50586887.700000003</v>
      </c>
      <c r="E30" s="12">
        <v>3038359.4</v>
      </c>
    </row>
    <row r="31" spans="2:18" x14ac:dyDescent="0.25">
      <c r="B31" s="69" t="s">
        <v>211</v>
      </c>
      <c r="C31" s="12">
        <v>134816</v>
      </c>
      <c r="D31" s="12">
        <v>43776664.5</v>
      </c>
      <c r="E31" s="12">
        <v>2503644.2999999998</v>
      </c>
    </row>
    <row r="32" spans="2:18" x14ac:dyDescent="0.25">
      <c r="B32" s="69" t="s">
        <v>213</v>
      </c>
      <c r="C32" s="12">
        <v>19135</v>
      </c>
      <c r="D32" s="12">
        <v>6810223.1999999993</v>
      </c>
      <c r="E32" s="12">
        <v>534715.1</v>
      </c>
    </row>
    <row r="33" spans="1:6" x14ac:dyDescent="0.25">
      <c r="B33" s="68" t="s">
        <v>116</v>
      </c>
      <c r="C33" s="12">
        <v>17530</v>
      </c>
      <c r="D33" s="12">
        <v>2966349.4</v>
      </c>
      <c r="E33" s="12">
        <v>162942.20000000001</v>
      </c>
    </row>
    <row r="34" spans="1:6" x14ac:dyDescent="0.25">
      <c r="B34" s="69" t="s">
        <v>116</v>
      </c>
      <c r="C34" s="12">
        <v>17530</v>
      </c>
      <c r="D34" s="12">
        <v>2966349.4</v>
      </c>
      <c r="E34" s="12">
        <v>162942.20000000001</v>
      </c>
    </row>
    <row r="35" spans="1:6" x14ac:dyDescent="0.25">
      <c r="B35" s="68" t="s">
        <v>615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615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214</v>
      </c>
      <c r="C37" s="12"/>
      <c r="D37" s="12"/>
      <c r="E37" s="12"/>
      <c r="F37" s="67"/>
    </row>
    <row r="38" spans="1:6" x14ac:dyDescent="0.25">
      <c r="A38" s="67"/>
      <c r="B38" s="68" t="s">
        <v>205</v>
      </c>
      <c r="C38" s="12">
        <v>32327</v>
      </c>
      <c r="D38" s="12">
        <v>11476451.100000001</v>
      </c>
      <c r="E38" s="12">
        <v>2531025.1999999997</v>
      </c>
      <c r="F38" s="67"/>
    </row>
    <row r="39" spans="1:6" x14ac:dyDescent="0.25">
      <c r="A39" s="67"/>
      <c r="B39" s="69" t="s">
        <v>198</v>
      </c>
      <c r="C39" s="12">
        <v>24685</v>
      </c>
      <c r="D39" s="12">
        <v>9030314.8000000007</v>
      </c>
      <c r="E39" s="12">
        <v>2250283.0999999996</v>
      </c>
      <c r="F39" s="67"/>
    </row>
    <row r="40" spans="1:6" x14ac:dyDescent="0.25">
      <c r="A40" s="67"/>
      <c r="B40" s="69" t="s">
        <v>206</v>
      </c>
      <c r="C40" s="12">
        <v>7642</v>
      </c>
      <c r="D40" s="12">
        <v>2446136.2999999998</v>
      </c>
      <c r="E40" s="12">
        <v>280742.09999999998</v>
      </c>
      <c r="F40" s="67"/>
    </row>
    <row r="41" spans="1:6" x14ac:dyDescent="0.25">
      <c r="A41" s="67"/>
      <c r="B41" s="68" t="s">
        <v>208</v>
      </c>
      <c r="C41" s="12">
        <v>34292</v>
      </c>
      <c r="D41" s="12">
        <v>10647522.9</v>
      </c>
      <c r="E41" s="12">
        <v>867527.5</v>
      </c>
      <c r="F41" s="67"/>
    </row>
    <row r="42" spans="1:6" x14ac:dyDescent="0.25">
      <c r="A42" s="67"/>
      <c r="B42" s="69" t="s">
        <v>208</v>
      </c>
      <c r="C42" s="12">
        <v>34292</v>
      </c>
      <c r="D42" s="12">
        <v>10647522.9</v>
      </c>
      <c r="E42" s="12">
        <v>867527.5</v>
      </c>
      <c r="F42" s="67"/>
    </row>
    <row r="43" spans="1:6" x14ac:dyDescent="0.25">
      <c r="A43" s="67"/>
      <c r="B43" s="68" t="s">
        <v>209</v>
      </c>
      <c r="C43" s="12">
        <v>7221</v>
      </c>
      <c r="D43" s="12">
        <v>2410935.5</v>
      </c>
      <c r="E43" s="12">
        <v>192309.6</v>
      </c>
      <c r="F43" s="67"/>
    </row>
    <row r="44" spans="1:6" x14ac:dyDescent="0.25">
      <c r="A44" s="67"/>
      <c r="B44" s="69" t="s">
        <v>209</v>
      </c>
      <c r="C44" s="12">
        <v>7221</v>
      </c>
      <c r="D44" s="12">
        <v>2410935.5</v>
      </c>
      <c r="E44" s="12">
        <v>192309.6</v>
      </c>
      <c r="F44" s="67"/>
    </row>
    <row r="45" spans="1:6" x14ac:dyDescent="0.25">
      <c r="A45" s="67"/>
      <c r="B45" s="68" t="s">
        <v>210</v>
      </c>
      <c r="C45" s="12">
        <v>64505</v>
      </c>
      <c r="D45" s="12">
        <v>23361675.500000004</v>
      </c>
      <c r="E45" s="12">
        <v>1198930.2</v>
      </c>
      <c r="F45" s="67"/>
    </row>
    <row r="46" spans="1:6" x14ac:dyDescent="0.25">
      <c r="A46" s="67"/>
      <c r="B46" s="69" t="s">
        <v>211</v>
      </c>
      <c r="C46" s="12">
        <v>57713</v>
      </c>
      <c r="D46" s="12">
        <v>20799963.800000004</v>
      </c>
      <c r="E46" s="12">
        <v>994446.5</v>
      </c>
      <c r="F46" s="67"/>
    </row>
    <row r="47" spans="1:6" x14ac:dyDescent="0.25">
      <c r="A47" s="67"/>
      <c r="B47" s="69" t="s">
        <v>213</v>
      </c>
      <c r="C47" s="12">
        <v>6792</v>
      </c>
      <c r="D47" s="12">
        <v>2561711.6999999993</v>
      </c>
      <c r="E47" s="12">
        <v>204483.69999999998</v>
      </c>
      <c r="F47" s="67"/>
    </row>
    <row r="48" spans="1:6" x14ac:dyDescent="0.25">
      <c r="A48" s="67"/>
      <c r="B48" s="68" t="s">
        <v>116</v>
      </c>
      <c r="C48" s="12">
        <v>1889</v>
      </c>
      <c r="D48" s="12">
        <v>292816.5</v>
      </c>
      <c r="E48" s="12">
        <v>17796.399999999998</v>
      </c>
      <c r="F48" s="67"/>
    </row>
    <row r="49" spans="1:6" x14ac:dyDescent="0.25">
      <c r="A49" s="67"/>
      <c r="B49" s="69" t="s">
        <v>116</v>
      </c>
      <c r="C49" s="12">
        <v>1889</v>
      </c>
      <c r="D49" s="12">
        <v>292816.5</v>
      </c>
      <c r="E49" s="12">
        <v>17796.399999999998</v>
      </c>
      <c r="F49" s="67"/>
    </row>
    <row r="50" spans="1:6" x14ac:dyDescent="0.25">
      <c r="A50" s="67"/>
      <c r="B50" s="68" t="s">
        <v>615</v>
      </c>
      <c r="C50" s="12">
        <v>3832</v>
      </c>
      <c r="D50" s="12">
        <v>2085907.5</v>
      </c>
      <c r="E50" s="12">
        <v>228952.8</v>
      </c>
      <c r="F50" s="67"/>
    </row>
    <row r="51" spans="1:6" x14ac:dyDescent="0.25">
      <c r="A51" s="67"/>
      <c r="B51" s="69" t="s">
        <v>615</v>
      </c>
      <c r="C51" s="12">
        <v>3832</v>
      </c>
      <c r="D51" s="12">
        <v>2085907.5</v>
      </c>
      <c r="E51" s="12">
        <v>228952.8</v>
      </c>
      <c r="F51" s="67"/>
    </row>
    <row r="52" spans="1:6" x14ac:dyDescent="0.25">
      <c r="A52" s="67"/>
      <c r="B52" s="66" t="s">
        <v>217</v>
      </c>
      <c r="C52" s="12"/>
      <c r="D52" s="12"/>
      <c r="E52" s="12"/>
      <c r="F52" s="67"/>
    </row>
    <row r="53" spans="1:6" x14ac:dyDescent="0.25">
      <c r="A53" s="67"/>
      <c r="B53" s="68" t="s">
        <v>205</v>
      </c>
      <c r="C53" s="12">
        <v>57559</v>
      </c>
      <c r="D53" s="12">
        <v>19355731.299999997</v>
      </c>
      <c r="E53" s="12">
        <v>4167855.6</v>
      </c>
      <c r="F53" s="67"/>
    </row>
    <row r="54" spans="1:6" x14ac:dyDescent="0.25">
      <c r="A54" s="67"/>
      <c r="B54" s="69" t="s">
        <v>198</v>
      </c>
      <c r="C54" s="12">
        <v>41938</v>
      </c>
      <c r="D54" s="12">
        <v>14512070.199999999</v>
      </c>
      <c r="E54" s="12">
        <v>3597960</v>
      </c>
      <c r="F54" s="67"/>
    </row>
    <row r="55" spans="1:6" x14ac:dyDescent="0.25">
      <c r="A55" s="67"/>
      <c r="B55" s="69" t="s">
        <v>206</v>
      </c>
      <c r="C55" s="12">
        <v>15621</v>
      </c>
      <c r="D55" s="12">
        <v>4843661.0999999996</v>
      </c>
      <c r="E55" s="12">
        <v>569895.6</v>
      </c>
      <c r="F55" s="67"/>
    </row>
    <row r="56" spans="1:6" x14ac:dyDescent="0.25">
      <c r="A56" s="67"/>
      <c r="B56" s="68" t="s">
        <v>208</v>
      </c>
      <c r="C56" s="12">
        <v>64483</v>
      </c>
      <c r="D56" s="12">
        <v>20167064.5</v>
      </c>
      <c r="E56" s="12">
        <v>1650764.8</v>
      </c>
      <c r="F56" s="67"/>
    </row>
    <row r="57" spans="1:6" x14ac:dyDescent="0.25">
      <c r="A57" s="67"/>
      <c r="B57" s="69" t="s">
        <v>208</v>
      </c>
      <c r="C57" s="12">
        <v>64483</v>
      </c>
      <c r="D57" s="12">
        <v>20167064.5</v>
      </c>
      <c r="E57" s="12">
        <v>1650764.8</v>
      </c>
      <c r="F57" s="67"/>
    </row>
    <row r="58" spans="1:6" x14ac:dyDescent="0.25">
      <c r="A58" s="67"/>
      <c r="B58" s="68" t="s">
        <v>209</v>
      </c>
      <c r="C58" s="12">
        <v>17499</v>
      </c>
      <c r="D58" s="12">
        <v>5929264.7000000002</v>
      </c>
      <c r="E58" s="12">
        <v>471611.4</v>
      </c>
      <c r="F58" s="67"/>
    </row>
    <row r="59" spans="1:6" x14ac:dyDescent="0.25">
      <c r="A59" s="67"/>
      <c r="B59" s="69" t="s">
        <v>209</v>
      </c>
      <c r="C59" s="12">
        <v>17499</v>
      </c>
      <c r="D59" s="12">
        <v>5929264.7000000002</v>
      </c>
      <c r="E59" s="12">
        <v>471611.4</v>
      </c>
      <c r="F59" s="67"/>
    </row>
    <row r="60" spans="1:6" x14ac:dyDescent="0.25">
      <c r="A60" s="67"/>
      <c r="B60" s="68" t="s">
        <v>210</v>
      </c>
      <c r="C60" s="12">
        <v>116490</v>
      </c>
      <c r="D60" s="12">
        <v>41918806.099999994</v>
      </c>
      <c r="E60" s="12">
        <v>2172158</v>
      </c>
      <c r="F60" s="67"/>
    </row>
    <row r="61" spans="1:6" x14ac:dyDescent="0.25">
      <c r="A61" s="67"/>
      <c r="B61" s="69" t="s">
        <v>211</v>
      </c>
      <c r="C61" s="12">
        <v>103786</v>
      </c>
      <c r="D61" s="12">
        <v>37298246.299999997</v>
      </c>
      <c r="E61" s="12">
        <v>1800783.7000000002</v>
      </c>
      <c r="F61" s="67"/>
    </row>
    <row r="62" spans="1:6" x14ac:dyDescent="0.25">
      <c r="A62" s="67"/>
      <c r="B62" s="69" t="s">
        <v>213</v>
      </c>
      <c r="C62" s="12">
        <v>12704</v>
      </c>
      <c r="D62" s="12">
        <v>4620559.8000000007</v>
      </c>
      <c r="E62" s="12">
        <v>371374.3</v>
      </c>
      <c r="F62" s="67"/>
    </row>
    <row r="63" spans="1:6" x14ac:dyDescent="0.25">
      <c r="B63" s="68" t="s">
        <v>116</v>
      </c>
      <c r="C63" s="12">
        <v>4303</v>
      </c>
      <c r="D63" s="12">
        <v>693894</v>
      </c>
      <c r="E63" s="12">
        <v>40250</v>
      </c>
    </row>
    <row r="64" spans="1:6" x14ac:dyDescent="0.25">
      <c r="B64" s="69" t="s">
        <v>116</v>
      </c>
      <c r="C64" s="12">
        <v>4303</v>
      </c>
      <c r="D64" s="12">
        <v>693894</v>
      </c>
      <c r="E64" s="12">
        <v>40250</v>
      </c>
    </row>
    <row r="65" spans="2:5" x14ac:dyDescent="0.25">
      <c r="B65" s="68" t="s">
        <v>615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615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220</v>
      </c>
      <c r="C67" s="12">
        <v>807871</v>
      </c>
      <c r="D67" s="12">
        <v>265003421.30000001</v>
      </c>
      <c r="E67" s="12">
        <v>28801493.200000003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37" workbookViewId="0">
      <selection activeCell="L42" sqref="L42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231</v>
      </c>
    </row>
    <row r="2" spans="1:19" x14ac:dyDescent="0.25">
      <c r="A2" s="27"/>
      <c r="B2" s="27"/>
    </row>
    <row r="4" spans="1:19" x14ac:dyDescent="0.25">
      <c r="C4" s="6" t="s">
        <v>191</v>
      </c>
      <c r="D4" s="6" t="s">
        <v>232</v>
      </c>
      <c r="E4" s="6" t="s">
        <v>192</v>
      </c>
      <c r="F4" s="6" t="s">
        <v>233</v>
      </c>
      <c r="G4" s="6" t="s">
        <v>234</v>
      </c>
      <c r="H4" s="6" t="s">
        <v>225</v>
      </c>
      <c r="I4" s="6" t="s">
        <v>235</v>
      </c>
      <c r="N4" t="s">
        <v>191</v>
      </c>
      <c r="P4" t="s">
        <v>192</v>
      </c>
      <c r="R4" t="s">
        <v>225</v>
      </c>
    </row>
    <row r="5" spans="1:19" x14ac:dyDescent="0.25">
      <c r="A5" s="77" t="s">
        <v>236</v>
      </c>
      <c r="B5" s="78" t="s">
        <v>237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238</v>
      </c>
      <c r="L5" s="13">
        <f>SUMPRODUCT(C5:C6,H5:H6)/SUM(C5:C6)/12</f>
        <v>5.0579254131664273</v>
      </c>
      <c r="M5" t="s">
        <v>239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176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71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240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241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179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180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181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242</v>
      </c>
      <c r="B11" s="81" t="s">
        <v>237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176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240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179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180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181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243</v>
      </c>
      <c r="B17" s="81" t="s">
        <v>237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176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240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179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180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181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244</v>
      </c>
      <c r="B23" s="81" t="s">
        <v>237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176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240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179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180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181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245</v>
      </c>
      <c r="B29" s="81" t="s">
        <v>237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176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240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179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180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181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246</v>
      </c>
      <c r="B35" s="81" t="s">
        <v>237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176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240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179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180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181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191</v>
      </c>
      <c r="P40" t="s">
        <v>192</v>
      </c>
      <c r="R40" t="s">
        <v>225</v>
      </c>
    </row>
    <row r="41" spans="1:19" x14ac:dyDescent="0.25">
      <c r="A41" s="83" t="s">
        <v>247</v>
      </c>
      <c r="B41" s="84" t="s">
        <v>237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238</v>
      </c>
      <c r="L41" s="13">
        <f>SUMPRODUCT(C41:C42,H41:H42)/SUM(C41:C42)/12</f>
        <v>6.4128831355158482</v>
      </c>
      <c r="M41" t="s">
        <v>239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176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71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240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241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179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180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181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248</v>
      </c>
      <c r="B47" s="87" t="s">
        <v>237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238</v>
      </c>
      <c r="L47" s="13">
        <f>SUMPRODUCT(C47:C48,H47:H48)/SUM(C47:C48)/12</f>
        <v>6.4392738490745138</v>
      </c>
      <c r="M47" t="s">
        <v>239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176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71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240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241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179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180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181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249</v>
      </c>
      <c r="B53" s="91" t="s">
        <v>237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176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240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179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180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181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250</v>
      </c>
      <c r="B59" s="91" t="s">
        <v>237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176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240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179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180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181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251</v>
      </c>
      <c r="B65" s="91" t="s">
        <v>237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176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240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179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180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181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252</v>
      </c>
      <c r="B71" s="91" t="s">
        <v>237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176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240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179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180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181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246</v>
      </c>
      <c r="B77" s="91" t="s">
        <v>237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176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240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179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180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181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191</v>
      </c>
      <c r="P82" t="s">
        <v>192</v>
      </c>
      <c r="R82" t="s">
        <v>225</v>
      </c>
    </row>
    <row r="83" spans="1:19" x14ac:dyDescent="0.25">
      <c r="A83" s="87" t="s">
        <v>253</v>
      </c>
      <c r="B83" s="87" t="s">
        <v>237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238</v>
      </c>
      <c r="L83" s="13">
        <f>SUMPRODUCT(C83:C84,H83:H84)/SUM(C83:C84)/12</f>
        <v>6.3976205997392439</v>
      </c>
      <c r="M83" t="s">
        <v>239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176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71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240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241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179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180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181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254</v>
      </c>
      <c r="B89" s="91" t="s">
        <v>237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176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240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179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180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181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255</v>
      </c>
      <c r="B95" s="91" t="s">
        <v>237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176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240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179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180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181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256</v>
      </c>
      <c r="B101" s="91" t="s">
        <v>237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176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240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179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180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181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257</v>
      </c>
      <c r="B107" s="91" t="s">
        <v>237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176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240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179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180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181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258</v>
      </c>
      <c r="B113" s="91" t="s">
        <v>237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176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240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179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180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181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259</v>
      </c>
      <c r="B119" s="91" t="s">
        <v>237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176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240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179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180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181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246</v>
      </c>
      <c r="B125" s="91" t="s">
        <v>237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176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240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179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180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181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41"/>
  <sheetViews>
    <sheetView workbookViewId="0">
      <selection activeCell="W3" sqref="W3"/>
    </sheetView>
  </sheetViews>
  <sheetFormatPr defaultRowHeight="15" x14ac:dyDescent="0.25"/>
  <sheetData>
    <row r="1" spans="2:25" x14ac:dyDescent="0.25">
      <c r="B1" s="6" t="s">
        <v>260</v>
      </c>
      <c r="C1" t="s">
        <v>262</v>
      </c>
      <c r="F1" t="s">
        <v>278</v>
      </c>
      <c r="I1" t="s">
        <v>263</v>
      </c>
      <c r="M1" t="s">
        <v>261</v>
      </c>
      <c r="W1" t="s">
        <v>716</v>
      </c>
    </row>
    <row r="2" spans="2:25" x14ac:dyDescent="0.25">
      <c r="C2" t="s">
        <v>264</v>
      </c>
      <c r="D2" t="s">
        <v>265</v>
      </c>
      <c r="E2" t="s">
        <v>266</v>
      </c>
      <c r="F2" t="s">
        <v>264</v>
      </c>
      <c r="G2" t="s">
        <v>265</v>
      </c>
      <c r="H2" t="s">
        <v>266</v>
      </c>
      <c r="I2" t="s">
        <v>264</v>
      </c>
      <c r="J2" t="s">
        <v>265</v>
      </c>
      <c r="K2" t="s">
        <v>266</v>
      </c>
      <c r="M2" t="s">
        <v>264</v>
      </c>
      <c r="N2" t="s">
        <v>265</v>
      </c>
      <c r="O2" t="s">
        <v>266</v>
      </c>
      <c r="P2" t="s">
        <v>267</v>
      </c>
      <c r="Q2" t="s">
        <v>264</v>
      </c>
      <c r="R2" t="s">
        <v>265</v>
      </c>
      <c r="S2" t="s">
        <v>266</v>
      </c>
      <c r="U2" t="s">
        <v>268</v>
      </c>
      <c r="W2" t="s">
        <v>264</v>
      </c>
      <c r="X2" t="s">
        <v>265</v>
      </c>
      <c r="Y2" t="s">
        <v>266</v>
      </c>
    </row>
    <row r="3" spans="2:25" x14ac:dyDescent="0.25">
      <c r="B3">
        <v>2016</v>
      </c>
      <c r="C3" s="12">
        <v>330833</v>
      </c>
      <c r="D3" s="12">
        <f>C3-E3</f>
        <v>281771</v>
      </c>
      <c r="E3" s="12">
        <v>49062</v>
      </c>
      <c r="F3" s="12">
        <v>2862.23</v>
      </c>
      <c r="G3" s="12">
        <f>F3-H3</f>
        <v>2381.0300000000002</v>
      </c>
      <c r="H3">
        <v>481.2</v>
      </c>
      <c r="I3" s="12">
        <f t="shared" ref="I3:K7" si="0">F3*1000000/C3</f>
        <v>8651.5855431592372</v>
      </c>
      <c r="J3" s="12">
        <f t="shared" si="0"/>
        <v>8450.2308612312827</v>
      </c>
      <c r="K3" s="12">
        <f t="shared" si="0"/>
        <v>9807.9980432921602</v>
      </c>
      <c r="M3" s="12">
        <v>9759</v>
      </c>
      <c r="N3" s="12">
        <v>9829</v>
      </c>
      <c r="O3" s="12">
        <v>9135</v>
      </c>
      <c r="P3" s="26">
        <v>0.92700000000000005</v>
      </c>
      <c r="Q3" s="12">
        <f t="shared" ref="Q3:S7" si="1">M3*$P3</f>
        <v>9046.5930000000008</v>
      </c>
      <c r="R3" s="12">
        <f t="shared" si="1"/>
        <v>9111.4830000000002</v>
      </c>
      <c r="S3" s="12">
        <f t="shared" si="1"/>
        <v>8468.1450000000004</v>
      </c>
      <c r="U3">
        <f>I3/M3</f>
        <v>0.88652377735006016</v>
      </c>
      <c r="W3" s="12">
        <f>I3/P3</f>
        <v>9332.8862385752291</v>
      </c>
      <c r="X3" s="12">
        <f>W3*(N3/M3)</f>
        <v>9399.8297816329468</v>
      </c>
      <c r="Y3" s="12">
        <f>W3*(O3/M3)</f>
        <v>8736.132369032146</v>
      </c>
    </row>
    <row r="4" spans="2:25" x14ac:dyDescent="0.25">
      <c r="B4">
        <v>2017</v>
      </c>
      <c r="C4" s="12">
        <v>322010</v>
      </c>
      <c r="D4" s="12">
        <f t="shared" ref="D4:D7" si="2">C4-E4</f>
        <v>269102</v>
      </c>
      <c r="E4" s="12">
        <v>52908</v>
      </c>
      <c r="F4" s="12">
        <v>2816.66</v>
      </c>
      <c r="G4" s="12">
        <f t="shared" ref="G4:G7" si="3">F4-H4</f>
        <v>2352.4899999999998</v>
      </c>
      <c r="H4">
        <v>464.17</v>
      </c>
      <c r="I4" s="12">
        <f t="shared" si="0"/>
        <v>8747.1196546691099</v>
      </c>
      <c r="J4" s="12">
        <f t="shared" si="0"/>
        <v>8742.0011742759252</v>
      </c>
      <c r="K4" s="12">
        <f t="shared" si="0"/>
        <v>8773.1533983518566</v>
      </c>
      <c r="M4" s="12">
        <v>9801</v>
      </c>
      <c r="N4" s="12">
        <v>9903</v>
      </c>
      <c r="O4" s="12">
        <v>9246</v>
      </c>
      <c r="P4" s="26">
        <v>0.92500000000000004</v>
      </c>
      <c r="Q4" s="12">
        <f t="shared" si="1"/>
        <v>9065.9250000000011</v>
      </c>
      <c r="R4" s="12">
        <f t="shared" si="1"/>
        <v>9160.2749999999996</v>
      </c>
      <c r="S4" s="12">
        <f t="shared" si="1"/>
        <v>8552.5500000000011</v>
      </c>
      <c r="U4">
        <f>I4/M4</f>
        <v>0.89247216148037034</v>
      </c>
      <c r="W4" s="12">
        <f>I4/P4</f>
        <v>9456.3455726152533</v>
      </c>
      <c r="X4" s="12">
        <f t="shared" ref="X4:X7" si="4">W4*(N4/M4)</f>
        <v>9554.7587190703853</v>
      </c>
      <c r="Y4" s="12">
        <f t="shared" ref="Y4:Y7" si="5">W4*(O4/M4)</f>
        <v>8920.8622757270314</v>
      </c>
    </row>
    <row r="5" spans="2:25" x14ac:dyDescent="0.25">
      <c r="B5">
        <v>2018</v>
      </c>
      <c r="C5" s="12">
        <v>319387</v>
      </c>
      <c r="D5" s="12">
        <f t="shared" si="2"/>
        <v>260685</v>
      </c>
      <c r="E5" s="12">
        <v>58702</v>
      </c>
      <c r="F5" s="12">
        <v>2760.23</v>
      </c>
      <c r="G5" s="12">
        <f t="shared" si="3"/>
        <v>2295.2600000000002</v>
      </c>
      <c r="H5">
        <v>464.97</v>
      </c>
      <c r="I5" s="12">
        <f t="shared" si="0"/>
        <v>8642.2741063349476</v>
      </c>
      <c r="J5" s="12">
        <f t="shared" si="0"/>
        <v>8804.7260103189674</v>
      </c>
      <c r="K5" s="12">
        <f t="shared" si="0"/>
        <v>7920.8544853667681</v>
      </c>
      <c r="M5" s="12">
        <v>9827</v>
      </c>
      <c r="N5" s="12">
        <v>9953</v>
      </c>
      <c r="O5" s="12">
        <v>9280</v>
      </c>
      <c r="P5" s="26">
        <v>0.92300000000000004</v>
      </c>
      <c r="Q5" s="12">
        <f t="shared" si="1"/>
        <v>9070.3209999999999</v>
      </c>
      <c r="R5" s="12">
        <f t="shared" si="1"/>
        <v>9186.6190000000006</v>
      </c>
      <c r="S5" s="12">
        <f t="shared" si="1"/>
        <v>8565.44</v>
      </c>
      <c r="U5">
        <f>I5/M5</f>
        <v>0.87944175295969751</v>
      </c>
      <c r="W5" s="12">
        <f>I5/P5</f>
        <v>9363.2438855199871</v>
      </c>
      <c r="X5" s="12">
        <f t="shared" si="4"/>
        <v>9483.2976892826318</v>
      </c>
      <c r="Y5" s="12">
        <f t="shared" si="5"/>
        <v>8842.0579279154863</v>
      </c>
    </row>
    <row r="6" spans="2:25" x14ac:dyDescent="0.25">
      <c r="B6">
        <v>2019</v>
      </c>
      <c r="C6" s="12">
        <v>305570</v>
      </c>
      <c r="D6" s="12">
        <f t="shared" si="2"/>
        <v>248826</v>
      </c>
      <c r="E6" s="12">
        <v>56744</v>
      </c>
      <c r="F6" s="12">
        <v>2704.39</v>
      </c>
      <c r="G6" s="12">
        <f t="shared" si="3"/>
        <v>2290.16</v>
      </c>
      <c r="H6">
        <v>414.23</v>
      </c>
      <c r="I6" s="12">
        <f t="shared" si="0"/>
        <v>8850.3125306803686</v>
      </c>
      <c r="J6" s="12">
        <f t="shared" si="0"/>
        <v>9203.8613328189185</v>
      </c>
      <c r="K6" s="12">
        <f t="shared" si="0"/>
        <v>7299.9788523896796</v>
      </c>
      <c r="M6" s="12">
        <v>9996</v>
      </c>
      <c r="N6" s="12">
        <v>10112</v>
      </c>
      <c r="O6" s="12">
        <v>9499</v>
      </c>
      <c r="P6" s="26">
        <v>0.92100000000000004</v>
      </c>
      <c r="Q6" s="12">
        <f t="shared" si="1"/>
        <v>9206.3160000000007</v>
      </c>
      <c r="R6" s="12">
        <f t="shared" si="1"/>
        <v>9313.152</v>
      </c>
      <c r="S6" s="12">
        <f t="shared" si="1"/>
        <v>8748.5789999999997</v>
      </c>
      <c r="U6">
        <f>I6/M6</f>
        <v>0.88538540723092918</v>
      </c>
      <c r="W6" s="12">
        <f>I6/P6</f>
        <v>9609.4598595878051</v>
      </c>
      <c r="X6" s="12">
        <f t="shared" si="4"/>
        <v>9720.9741996950652</v>
      </c>
      <c r="Y6" s="12">
        <f t="shared" si="5"/>
        <v>9131.6785920592793</v>
      </c>
    </row>
    <row r="7" spans="2:25" x14ac:dyDescent="0.25">
      <c r="B7">
        <v>2020</v>
      </c>
      <c r="C7" s="12">
        <v>303390</v>
      </c>
      <c r="D7" s="12">
        <f t="shared" si="2"/>
        <v>246203</v>
      </c>
      <c r="E7" s="12">
        <v>57187</v>
      </c>
      <c r="F7" s="12">
        <v>2772.74</v>
      </c>
      <c r="G7" s="12">
        <f t="shared" si="3"/>
        <v>2403.54</v>
      </c>
      <c r="H7">
        <v>369.2</v>
      </c>
      <c r="I7" s="12">
        <f t="shared" si="0"/>
        <v>9139.1937769867163</v>
      </c>
      <c r="J7" s="12">
        <f t="shared" si="0"/>
        <v>9762.4318143970631</v>
      </c>
      <c r="K7" s="12">
        <f t="shared" si="0"/>
        <v>6456.0127301659468</v>
      </c>
      <c r="M7" s="12">
        <v>10232</v>
      </c>
      <c r="N7" s="12">
        <v>10330</v>
      </c>
      <c r="O7" s="12">
        <v>9676</v>
      </c>
      <c r="P7" s="26">
        <v>0.92</v>
      </c>
      <c r="Q7" s="12">
        <f t="shared" si="1"/>
        <v>9413.44</v>
      </c>
      <c r="R7" s="12">
        <f t="shared" si="1"/>
        <v>9503.6</v>
      </c>
      <c r="S7" s="12">
        <f t="shared" si="1"/>
        <v>8901.92</v>
      </c>
      <c r="U7">
        <f>I7/M7</f>
        <v>0.89319720259838897</v>
      </c>
      <c r="W7" s="12">
        <f>I7/P7</f>
        <v>9933.9062793333869</v>
      </c>
      <c r="X7" s="12">
        <f t="shared" si="4"/>
        <v>10029.051198740608</v>
      </c>
      <c r="Y7" s="12">
        <f t="shared" si="5"/>
        <v>9394.1044916760984</v>
      </c>
    </row>
    <row r="8" spans="2:25" x14ac:dyDescent="0.25">
      <c r="M8" s="6"/>
    </row>
    <row r="9" spans="2:25" x14ac:dyDescent="0.25">
      <c r="I9" s="12"/>
      <c r="M9" s="12"/>
      <c r="N9" s="12"/>
      <c r="O9" s="12"/>
      <c r="U9" s="26">
        <f>AVERAGE(U3:U7)</f>
        <v>0.8874040603238893</v>
      </c>
      <c r="W9" s="12">
        <f>AVERAGE(W3:W7)</f>
        <v>9539.1683671263327</v>
      </c>
      <c r="X9" s="12">
        <f>AVERAGE(X3:X7)</f>
        <v>9637.582317684326</v>
      </c>
      <c r="Y9" s="12">
        <f>AVERAGE(Y3:Y7)</f>
        <v>9004.9671312820083</v>
      </c>
    </row>
    <row r="11" spans="2:25" x14ac:dyDescent="0.25">
      <c r="K11" s="6" t="s">
        <v>275</v>
      </c>
    </row>
    <row r="12" spans="2:25" x14ac:dyDescent="0.25">
      <c r="B12" s="6" t="s">
        <v>274</v>
      </c>
      <c r="L12" t="s">
        <v>276</v>
      </c>
      <c r="N12" t="s">
        <v>273</v>
      </c>
    </row>
    <row r="13" spans="2:25" x14ac:dyDescent="0.25">
      <c r="B13" t="s">
        <v>190</v>
      </c>
      <c r="C13" t="s">
        <v>269</v>
      </c>
      <c r="D13" t="s">
        <v>270</v>
      </c>
      <c r="E13" t="s">
        <v>271</v>
      </c>
      <c r="F13" t="s">
        <v>279</v>
      </c>
      <c r="G13" t="s">
        <v>172</v>
      </c>
      <c r="H13" t="s">
        <v>272</v>
      </c>
      <c r="I13" t="s">
        <v>273</v>
      </c>
      <c r="K13" t="s">
        <v>190</v>
      </c>
      <c r="L13" t="s">
        <v>58</v>
      </c>
      <c r="M13" t="s">
        <v>59</v>
      </c>
      <c r="N13" t="s">
        <v>58</v>
      </c>
      <c r="O13" t="s">
        <v>59</v>
      </c>
    </row>
    <row r="14" spans="2:2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6">C14*1000000/G14</f>
        <v>6726.5690142247331</v>
      </c>
      <c r="K14">
        <v>2015</v>
      </c>
      <c r="L14" s="12">
        <v>9716</v>
      </c>
      <c r="M14" s="12">
        <v>8916</v>
      </c>
    </row>
    <row r="15" spans="2:2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7">C15*(0.25+D15/100*12.2+E15/100*7.7)</f>
        <v>3355.05582</v>
      </c>
      <c r="G15" s="12">
        <v>466265</v>
      </c>
      <c r="H15" s="12">
        <f t="shared" si="6"/>
        <v>6987.4427632354991</v>
      </c>
      <c r="K15">
        <v>2016</v>
      </c>
      <c r="L15" s="12">
        <v>9829</v>
      </c>
      <c r="M15" s="12">
        <v>9135</v>
      </c>
    </row>
    <row r="16" spans="2:25" x14ac:dyDescent="0.25">
      <c r="B16">
        <v>1997</v>
      </c>
      <c r="C16">
        <v>3276</v>
      </c>
      <c r="D16">
        <v>4.28</v>
      </c>
      <c r="E16">
        <v>3.32</v>
      </c>
      <c r="F16" s="2">
        <f t="shared" si="7"/>
        <v>3367.0728000000004</v>
      </c>
      <c r="G16" s="12">
        <v>467981</v>
      </c>
      <c r="H16" s="12">
        <f t="shared" si="6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7"/>
        <v>3357.5814299999997</v>
      </c>
      <c r="G17" s="12">
        <v>449130</v>
      </c>
      <c r="H17" s="12">
        <f t="shared" si="6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7"/>
        <v>3349.4087200000008</v>
      </c>
      <c r="G18" s="12">
        <v>448520</v>
      </c>
      <c r="H18" s="12">
        <f t="shared" si="6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7"/>
        <v>3338.2784399999996</v>
      </c>
      <c r="G19" s="12">
        <v>427621</v>
      </c>
      <c r="H19" s="12">
        <f t="shared" si="6"/>
        <v>7710.0984282811178</v>
      </c>
      <c r="I19" s="1">
        <f t="shared" ref="I19:I40" si="8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7"/>
        <v>3339.2183999999997</v>
      </c>
      <c r="G20" s="12">
        <v>418471</v>
      </c>
      <c r="H20" s="12">
        <f t="shared" si="6"/>
        <v>7861.9545918355152</v>
      </c>
      <c r="I20" s="1">
        <f t="shared" si="8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7"/>
        <v>3272.3898800000002</v>
      </c>
      <c r="G21" s="12">
        <v>417082</v>
      </c>
      <c r="H21" s="12">
        <f t="shared" si="6"/>
        <v>7734.6900609472477</v>
      </c>
      <c r="I21" s="1">
        <f t="shared" si="8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7"/>
        <v>3279.0647399999993</v>
      </c>
      <c r="G22" s="12">
        <v>402520</v>
      </c>
      <c r="H22" s="12">
        <f t="shared" si="6"/>
        <v>7964.8216237702472</v>
      </c>
      <c r="I22" s="1">
        <f t="shared" si="8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7"/>
        <v>3321.8660399999999</v>
      </c>
      <c r="G23" s="12">
        <v>403702</v>
      </c>
      <c r="H23" s="12">
        <f t="shared" si="6"/>
        <v>7998.4741220008818</v>
      </c>
      <c r="I23" s="1">
        <f t="shared" si="8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7"/>
        <v>3253.9678799999997</v>
      </c>
      <c r="G24" s="12">
        <v>393263</v>
      </c>
      <c r="H24" s="12">
        <f t="shared" si="6"/>
        <v>8042.9636146802522</v>
      </c>
      <c r="I24" s="1">
        <f t="shared" si="8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7"/>
        <v>3208.5629999999996</v>
      </c>
      <c r="G25" s="12">
        <v>387530</v>
      </c>
      <c r="H25" s="12">
        <f t="shared" si="6"/>
        <v>8076.794054653833</v>
      </c>
      <c r="I25" s="1">
        <f t="shared" si="8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7"/>
        <v>3069.1899600000002</v>
      </c>
      <c r="G26" s="12">
        <v>369646</v>
      </c>
      <c r="H26" s="12">
        <f t="shared" si="6"/>
        <v>8077.9989503470888</v>
      </c>
      <c r="I26" s="1">
        <f t="shared" si="8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7"/>
        <v>3058.3295599999997</v>
      </c>
      <c r="G27" s="12">
        <v>357194</v>
      </c>
      <c r="H27" s="12">
        <f t="shared" si="6"/>
        <v>8362.4025039614335</v>
      </c>
      <c r="I27" s="1">
        <f t="shared" si="8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7"/>
        <v>3018.2916399999999</v>
      </c>
      <c r="G28" s="12">
        <v>356776</v>
      </c>
      <c r="H28" s="12">
        <f t="shared" si="6"/>
        <v>8220.8444514204984</v>
      </c>
      <c r="I28" s="1">
        <f t="shared" si="8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7"/>
        <v>2943.9390600000006</v>
      </c>
      <c r="G29" s="12">
        <v>348095</v>
      </c>
      <c r="H29" s="12">
        <f t="shared" si="6"/>
        <v>8221.8934486275302</v>
      </c>
      <c r="I29" s="1">
        <f t="shared" si="8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7"/>
        <v>2921.1644999999999</v>
      </c>
      <c r="G30" s="12">
        <v>346495</v>
      </c>
      <c r="H30" s="12">
        <f t="shared" si="6"/>
        <v>8225.2269152513018</v>
      </c>
      <c r="I30" s="1">
        <f t="shared" si="8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7"/>
        <v>2941.6229799999996</v>
      </c>
      <c r="G31" s="12">
        <v>347969</v>
      </c>
      <c r="H31" s="12">
        <f t="shared" si="6"/>
        <v>8221.996787070113</v>
      </c>
      <c r="I31" s="1">
        <f t="shared" si="8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7"/>
        <v>2962.8160799999996</v>
      </c>
      <c r="G32" s="12">
        <v>344021</v>
      </c>
      <c r="H32" s="12">
        <f t="shared" si="6"/>
        <v>8336.7003758491483</v>
      </c>
      <c r="I32" s="1">
        <f t="shared" si="8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7"/>
        <v>3024.5809999999997</v>
      </c>
      <c r="G33" s="12">
        <v>344339</v>
      </c>
      <c r="H33" s="12">
        <f t="shared" si="6"/>
        <v>8512.6866256799258</v>
      </c>
      <c r="I33" s="1">
        <f t="shared" si="8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7"/>
        <v>3026.5518143999993</v>
      </c>
      <c r="G34" s="12">
        <v>339823</v>
      </c>
      <c r="H34" s="12">
        <f t="shared" si="6"/>
        <v>8631.4345997769433</v>
      </c>
      <c r="I34" s="1">
        <f t="shared" si="8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7"/>
        <v>2956.4832339</v>
      </c>
      <c r="G35" s="12">
        <v>330833</v>
      </c>
      <c r="H35" s="12">
        <f t="shared" si="6"/>
        <v>8651.5855431592372</v>
      </c>
      <c r="I35" s="1">
        <f t="shared" si="8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7"/>
        <v>2903.4412945999998</v>
      </c>
      <c r="G36" s="12">
        <v>322010</v>
      </c>
      <c r="H36" s="12">
        <f t="shared" si="6"/>
        <v>8747.1196546691099</v>
      </c>
      <c r="I36" s="1">
        <f t="shared" si="8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7"/>
        <v>2839.7798286000002</v>
      </c>
      <c r="G37" s="12">
        <v>319387</v>
      </c>
      <c r="H37" s="12">
        <f t="shared" si="6"/>
        <v>8642.2741063349476</v>
      </c>
      <c r="I37" s="1">
        <f t="shared" si="8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7"/>
        <v>2803.8574641999999</v>
      </c>
      <c r="G38" s="12">
        <v>305570</v>
      </c>
      <c r="H38" s="12">
        <f t="shared" si="6"/>
        <v>8850.3125306803686</v>
      </c>
      <c r="I38" s="1">
        <f t="shared" si="8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7"/>
        <v>2873.4736441999999</v>
      </c>
      <c r="G39" s="12">
        <v>303390</v>
      </c>
      <c r="H39" s="12">
        <f t="shared" si="6"/>
        <v>9139.1937769867163</v>
      </c>
      <c r="I39" s="1">
        <f t="shared" si="8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7"/>
        <v>2893.4809777999999</v>
      </c>
      <c r="G40" s="12">
        <v>301850</v>
      </c>
      <c r="H40" s="12">
        <f t="shared" si="6"/>
        <v>9217.2270995527579</v>
      </c>
      <c r="I40" s="1">
        <f t="shared" si="8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324</v>
      </c>
      <c r="R1" s="4" t="s">
        <v>325</v>
      </c>
    </row>
    <row r="2" spans="6:44" x14ac:dyDescent="0.25">
      <c r="G2" t="s">
        <v>322</v>
      </c>
    </row>
    <row r="3" spans="6:44" x14ac:dyDescent="0.25">
      <c r="F3" t="s">
        <v>323</v>
      </c>
      <c r="G3" t="s">
        <v>319</v>
      </c>
      <c r="H3" t="s">
        <v>320</v>
      </c>
      <c r="I3" t="s">
        <v>321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39" t="s">
        <v>326</v>
      </c>
      <c r="S4" s="117"/>
      <c r="T4" s="117"/>
      <c r="U4" s="117"/>
      <c r="V4" s="117"/>
      <c r="W4" s="117"/>
      <c r="X4" s="111"/>
      <c r="Y4" s="111"/>
      <c r="AB4" t="s">
        <v>323</v>
      </c>
      <c r="AC4" t="s">
        <v>359</v>
      </c>
      <c r="AD4" t="s">
        <v>329</v>
      </c>
      <c r="AE4" t="s">
        <v>330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8" t="s">
        <v>328</v>
      </c>
      <c r="S5" s="118" t="s">
        <v>327</v>
      </c>
      <c r="T5" s="117"/>
      <c r="U5" s="117"/>
      <c r="V5" s="117"/>
      <c r="W5" s="117"/>
      <c r="X5" s="117"/>
      <c r="Y5" s="117"/>
      <c r="AB5" s="132">
        <v>30</v>
      </c>
      <c r="AC5" s="132">
        <f t="shared" ref="AC5:AC28" si="1">AB5^0.75</f>
        <v>12.818610191887021</v>
      </c>
      <c r="AD5" s="132">
        <v>0</v>
      </c>
      <c r="AE5" s="124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19" t="s">
        <v>121</v>
      </c>
      <c r="S6" s="120">
        <v>0</v>
      </c>
      <c r="T6" s="121">
        <v>250</v>
      </c>
      <c r="U6" s="121">
        <v>500</v>
      </c>
      <c r="V6" s="122">
        <v>1000</v>
      </c>
      <c r="W6" s="114"/>
      <c r="X6" s="114"/>
      <c r="Y6" s="114"/>
      <c r="AB6" s="133">
        <v>40</v>
      </c>
      <c r="AC6" s="133">
        <f t="shared" si="1"/>
        <v>15.905414575341014</v>
      </c>
      <c r="AD6" s="133">
        <v>0</v>
      </c>
      <c r="AE6" s="127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3">
        <v>30</v>
      </c>
      <c r="S7" s="123">
        <v>6</v>
      </c>
      <c r="T7" s="124">
        <v>8</v>
      </c>
      <c r="U7" s="124">
        <v>11</v>
      </c>
      <c r="V7" s="125">
        <v>17.5</v>
      </c>
      <c r="W7" s="112"/>
      <c r="X7" s="153" t="s">
        <v>362</v>
      </c>
      <c r="Y7" s="112"/>
      <c r="AB7" s="133">
        <v>50</v>
      </c>
      <c r="AC7" s="133">
        <f t="shared" si="1"/>
        <v>18.803015465431965</v>
      </c>
      <c r="AD7" s="133">
        <v>0</v>
      </c>
      <c r="AE7" s="127">
        <v>8.5</v>
      </c>
      <c r="AH7" s="279"/>
      <c r="AI7" s="279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5">
        <v>40</v>
      </c>
      <c r="S8" s="126">
        <v>7</v>
      </c>
      <c r="T8" s="127">
        <v>9.5</v>
      </c>
      <c r="U8" s="127">
        <v>12.5</v>
      </c>
      <c r="V8" s="128">
        <v>19</v>
      </c>
      <c r="W8" s="112"/>
      <c r="X8" s="273" t="s">
        <v>360</v>
      </c>
      <c r="Y8" s="10">
        <v>0</v>
      </c>
      <c r="AB8" s="133">
        <v>60</v>
      </c>
      <c r="AC8" s="133">
        <f t="shared" si="1"/>
        <v>21.558246717785043</v>
      </c>
      <c r="AD8" s="133">
        <v>0</v>
      </c>
      <c r="AE8" s="127">
        <v>10</v>
      </c>
      <c r="AH8" s="135"/>
      <c r="AI8" s="135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5">
        <v>50</v>
      </c>
      <c r="S9" s="126">
        <v>8.5</v>
      </c>
      <c r="T9" s="127">
        <v>11</v>
      </c>
      <c r="U9" s="127">
        <v>14</v>
      </c>
      <c r="V9" s="128">
        <v>21</v>
      </c>
      <c r="W9" s="112"/>
      <c r="X9" s="14" t="s">
        <v>323</v>
      </c>
      <c r="Y9" s="277">
        <v>0.16</v>
      </c>
      <c r="AB9" s="133">
        <v>70</v>
      </c>
      <c r="AC9" s="133">
        <f t="shared" si="1"/>
        <v>24.200454924935883</v>
      </c>
      <c r="AD9" s="133">
        <v>0</v>
      </c>
      <c r="AE9" s="127">
        <v>11.5</v>
      </c>
      <c r="AH9" s="135"/>
      <c r="AI9" s="135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5">
        <v>60</v>
      </c>
      <c r="S10" s="126">
        <v>10</v>
      </c>
      <c r="T10" s="127">
        <v>12.5</v>
      </c>
      <c r="U10" s="127">
        <v>15.5</v>
      </c>
      <c r="V10" s="128">
        <v>23</v>
      </c>
      <c r="W10" s="112"/>
      <c r="X10" s="275" t="s">
        <v>329</v>
      </c>
      <c r="Y10" s="278">
        <v>12.5</v>
      </c>
      <c r="AB10" s="134">
        <v>80</v>
      </c>
      <c r="AC10" s="134">
        <f t="shared" si="1"/>
        <v>26.749612199056873</v>
      </c>
      <c r="AD10" s="134">
        <v>0</v>
      </c>
      <c r="AE10" s="130">
        <v>13</v>
      </c>
      <c r="AH10" s="135"/>
      <c r="AI10" s="135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5">
        <v>70</v>
      </c>
      <c r="S11" s="126">
        <v>11.5</v>
      </c>
      <c r="T11" s="127">
        <v>14</v>
      </c>
      <c r="U11" s="127">
        <v>17.5</v>
      </c>
      <c r="V11" s="128">
        <v>25</v>
      </c>
      <c r="W11" s="114"/>
      <c r="X11" s="114"/>
      <c r="Y11" s="114"/>
      <c r="AB11" s="132">
        <v>30</v>
      </c>
      <c r="AC11" s="132">
        <f t="shared" si="1"/>
        <v>12.818610191887021</v>
      </c>
      <c r="AD11" s="132">
        <v>250</v>
      </c>
      <c r="AE11" s="124">
        <v>8</v>
      </c>
      <c r="AH11" s="135"/>
      <c r="AI11" s="135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6">
        <v>80</v>
      </c>
      <c r="S12" s="129">
        <v>13</v>
      </c>
      <c r="T12" s="130">
        <v>16</v>
      </c>
      <c r="U12" s="130">
        <v>19.5</v>
      </c>
      <c r="V12" s="131">
        <v>28</v>
      </c>
      <c r="X12" s="273" t="s">
        <v>360</v>
      </c>
      <c r="Y12" s="10">
        <v>0</v>
      </c>
      <c r="AB12" s="133">
        <v>40</v>
      </c>
      <c r="AC12" s="133">
        <f t="shared" si="1"/>
        <v>15.905414575341014</v>
      </c>
      <c r="AD12" s="133">
        <v>250</v>
      </c>
      <c r="AE12" s="127">
        <v>9.5</v>
      </c>
      <c r="AH12" s="135"/>
      <c r="AI12" s="135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359</v>
      </c>
      <c r="Y13" s="274">
        <v>0.46328995179259302</v>
      </c>
      <c r="AB13" s="133">
        <v>50</v>
      </c>
      <c r="AC13" s="133">
        <f t="shared" si="1"/>
        <v>18.803015465431965</v>
      </c>
      <c r="AD13" s="133">
        <v>250</v>
      </c>
      <c r="AE13" s="127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39" t="s">
        <v>364</v>
      </c>
      <c r="S14" s="117"/>
      <c r="T14" s="117"/>
      <c r="U14" s="117"/>
      <c r="V14" s="117"/>
      <c r="X14" s="275" t="s">
        <v>329</v>
      </c>
      <c r="Y14" s="276">
        <f>0.0125625963867342*1000</f>
        <v>12.562596386734201</v>
      </c>
      <c r="AB14" s="133">
        <v>60</v>
      </c>
      <c r="AC14" s="133">
        <f t="shared" si="1"/>
        <v>21.558246717785043</v>
      </c>
      <c r="AD14" s="133">
        <v>250</v>
      </c>
      <c r="AE14" s="127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8" t="s">
        <v>328</v>
      </c>
      <c r="S15" s="118" t="s">
        <v>361</v>
      </c>
      <c r="T15" s="117"/>
      <c r="U15" s="117"/>
      <c r="V15" s="117"/>
      <c r="AB15" s="133">
        <v>70</v>
      </c>
      <c r="AC15" s="133">
        <f t="shared" si="1"/>
        <v>24.200454924935883</v>
      </c>
      <c r="AD15" s="133">
        <v>250</v>
      </c>
      <c r="AE15" s="127">
        <v>14</v>
      </c>
      <c r="AH15" s="280"/>
      <c r="AI15" s="280"/>
      <c r="AJ15" s="280"/>
      <c r="AK15" s="280"/>
      <c r="AL15" s="280"/>
      <c r="AM15" s="280"/>
      <c r="AN15" s="15"/>
      <c r="AO15" s="15"/>
      <c r="AP15" s="15"/>
      <c r="AQ15" s="15"/>
      <c r="AR15" s="15"/>
    </row>
    <row r="16" spans="6:44" x14ac:dyDescent="0.25">
      <c r="R16" s="119" t="s">
        <v>121</v>
      </c>
      <c r="S16" s="150">
        <v>0</v>
      </c>
      <c r="T16" s="151">
        <v>0.25</v>
      </c>
      <c r="U16" s="151">
        <v>0.5</v>
      </c>
      <c r="V16" s="152">
        <v>1</v>
      </c>
      <c r="AB16" s="134">
        <v>80</v>
      </c>
      <c r="AC16" s="134">
        <f t="shared" si="1"/>
        <v>26.749612199056873</v>
      </c>
      <c r="AD16" s="134">
        <v>250</v>
      </c>
      <c r="AE16" s="130">
        <v>16</v>
      </c>
      <c r="AH16" s="135"/>
      <c r="AI16" s="135"/>
      <c r="AJ16" s="135"/>
      <c r="AK16" s="135"/>
      <c r="AL16" s="135"/>
      <c r="AM16" s="135"/>
      <c r="AN16" s="15"/>
      <c r="AO16" s="15"/>
      <c r="AP16" s="15"/>
      <c r="AQ16" s="15"/>
      <c r="AR16" s="15"/>
    </row>
    <row r="17" spans="18:44" x14ac:dyDescent="0.25">
      <c r="R17" s="113">
        <v>30</v>
      </c>
      <c r="S17" s="141">
        <f>($Y$12+$R17^0.75*$Y$13+S$16*$Y$14)/S7</f>
        <v>0.98978888297456324</v>
      </c>
      <c r="T17" s="142">
        <f t="shared" ref="T17:V17" si="2">($Y$12+$R17^0.75*$Y$13+T$16*$Y$14)/T7</f>
        <v>1.1349227993163662</v>
      </c>
      <c r="U17" s="142">
        <f t="shared" si="2"/>
        <v>1.1109119537467711</v>
      </c>
      <c r="V17" s="143">
        <f t="shared" si="2"/>
        <v>1.0572188391189474</v>
      </c>
      <c r="AB17" s="132">
        <v>30</v>
      </c>
      <c r="AC17" s="132">
        <f t="shared" si="1"/>
        <v>12.818610191887021</v>
      </c>
      <c r="AD17" s="132">
        <v>500</v>
      </c>
      <c r="AE17" s="124">
        <v>11</v>
      </c>
      <c r="AH17" s="135"/>
      <c r="AI17" s="135"/>
      <c r="AJ17" s="135"/>
      <c r="AK17" s="135"/>
      <c r="AL17" s="135"/>
      <c r="AM17" s="135"/>
      <c r="AN17" s="15"/>
      <c r="AO17" s="15"/>
      <c r="AP17" s="15"/>
      <c r="AQ17" s="15"/>
      <c r="AR17" s="15"/>
    </row>
    <row r="18" spans="18:44" x14ac:dyDescent="0.25">
      <c r="R18" s="115">
        <v>40</v>
      </c>
      <c r="S18" s="144">
        <f t="shared" ref="S18:V18" si="3">($Y$12+$R18^0.75*$Y$13+S$16*$Y$14)/S8</f>
        <v>1.0526883931215636</v>
      </c>
      <c r="T18" s="145">
        <f t="shared" si="3"/>
        <v>1.1062597735299469</v>
      </c>
      <c r="U18" s="145">
        <f t="shared" si="3"/>
        <v>1.0920093556174435</v>
      </c>
      <c r="V18" s="146">
        <f t="shared" si="3"/>
        <v>1.0490218493992181</v>
      </c>
      <c r="AB18" s="133">
        <v>40</v>
      </c>
      <c r="AC18" s="133">
        <f t="shared" si="1"/>
        <v>15.905414575341014</v>
      </c>
      <c r="AD18" s="133">
        <v>500</v>
      </c>
      <c r="AE18" s="127">
        <v>12.5</v>
      </c>
      <c r="AH18" s="135"/>
      <c r="AI18" s="135"/>
      <c r="AJ18" s="135"/>
      <c r="AK18" s="135"/>
      <c r="AL18" s="135"/>
      <c r="AM18" s="135"/>
      <c r="AN18" s="15"/>
      <c r="AO18" s="15"/>
      <c r="AP18" s="15"/>
      <c r="AQ18" s="15"/>
      <c r="AR18" s="15"/>
    </row>
    <row r="19" spans="18:44" x14ac:dyDescent="0.25">
      <c r="R19" s="115">
        <v>50</v>
      </c>
      <c r="S19" s="144">
        <f>($Y$12+$R19^0.75*$Y$13+S$16*$Y$14)/S9</f>
        <v>1.0248527210041596</v>
      </c>
      <c r="T19" s="145">
        <f t="shared" ref="T19:V19" si="4">($Y$12+$R19^0.75*$Y$13+T$16*$Y$14)/T9</f>
        <v>1.0774452022926277</v>
      </c>
      <c r="U19" s="145">
        <f t="shared" si="4"/>
        <v>1.0708961658501754</v>
      </c>
      <c r="V19" s="146">
        <f t="shared" si="4"/>
        <v>1.0130402150128361</v>
      </c>
      <c r="AB19" s="133">
        <v>50</v>
      </c>
      <c r="AC19" s="133">
        <f t="shared" si="1"/>
        <v>18.803015465431965</v>
      </c>
      <c r="AD19" s="133">
        <v>500</v>
      </c>
      <c r="AE19" s="127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5">
        <v>60</v>
      </c>
      <c r="S20" s="144">
        <f t="shared" ref="S20:V20" si="5">($Y$12+$R20^0.75*$Y$13+S$16*$Y$14)/S10</f>
        <v>0.99877190826154594</v>
      </c>
      <c r="T20" s="145">
        <f t="shared" si="5"/>
        <v>1.0502694543439208</v>
      </c>
      <c r="U20" s="145">
        <f t="shared" si="5"/>
        <v>1.0496140178053264</v>
      </c>
      <c r="V20" s="146">
        <f t="shared" si="5"/>
        <v>0.9804484986673766</v>
      </c>
      <c r="AB20" s="133">
        <v>60</v>
      </c>
      <c r="AC20" s="133">
        <f t="shared" si="1"/>
        <v>21.558246717785043</v>
      </c>
      <c r="AD20" s="133">
        <v>500</v>
      </c>
      <c r="AE20" s="127">
        <v>15.5</v>
      </c>
      <c r="AH20" s="280"/>
      <c r="AI20" s="280"/>
      <c r="AJ20" s="280"/>
      <c r="AK20" s="280"/>
      <c r="AL20" s="280"/>
      <c r="AM20" s="280"/>
      <c r="AN20" s="280"/>
      <c r="AO20" s="280"/>
      <c r="AP20" s="280"/>
      <c r="AQ20" s="15"/>
      <c r="AR20" s="15"/>
    </row>
    <row r="21" spans="18:44" x14ac:dyDescent="0.25">
      <c r="R21" s="115">
        <v>70</v>
      </c>
      <c r="S21" s="144">
        <f>($Y$12+$R21^0.75*$Y$13+S$16*$Y$14)/S11</f>
        <v>0.97494153004629269</v>
      </c>
      <c r="T21" s="145">
        <f t="shared" ref="T21:V21" si="6">($Y$12+$R21^0.75*$Y$13+T$16*$Y$14)/T11</f>
        <v>1.0251769065868512</v>
      </c>
      <c r="U21" s="145">
        <f t="shared" si="6"/>
        <v>0.99960718793711234</v>
      </c>
      <c r="V21" s="146">
        <f t="shared" si="6"/>
        <v>0.95097695929066273</v>
      </c>
      <c r="AB21" s="133">
        <v>70</v>
      </c>
      <c r="AC21" s="133">
        <f t="shared" si="1"/>
        <v>24.200454924935883</v>
      </c>
      <c r="AD21" s="133">
        <v>500</v>
      </c>
      <c r="AE21" s="127">
        <v>17.5</v>
      </c>
      <c r="AH21" s="135"/>
      <c r="AI21" s="135"/>
      <c r="AJ21" s="135"/>
      <c r="AK21" s="135"/>
      <c r="AL21" s="135"/>
      <c r="AM21" s="135"/>
      <c r="AN21" s="135"/>
      <c r="AO21" s="135"/>
      <c r="AP21" s="135"/>
      <c r="AQ21" s="15"/>
      <c r="AR21" s="15"/>
    </row>
    <row r="22" spans="18:44" x14ac:dyDescent="0.25">
      <c r="R22" s="116">
        <v>80</v>
      </c>
      <c r="S22" s="147">
        <f t="shared" ref="S22:V22" si="7">($Y$12+$R22^0.75*$Y$13+S$16*$Y$14)/S12</f>
        <v>0.95329434970550908</v>
      </c>
      <c r="T22" s="148">
        <f t="shared" si="7"/>
        <v>0.97084222767844797</v>
      </c>
      <c r="U22" s="148">
        <f t="shared" si="7"/>
        <v>0.9576474225404471</v>
      </c>
      <c r="V22" s="149">
        <f t="shared" si="7"/>
        <v>0.89126510474663634</v>
      </c>
      <c r="AB22" s="134">
        <v>80</v>
      </c>
      <c r="AC22" s="134">
        <f t="shared" si="1"/>
        <v>26.749612199056873</v>
      </c>
      <c r="AD22" s="134">
        <v>500</v>
      </c>
      <c r="AE22" s="130">
        <v>19.5</v>
      </c>
      <c r="AH22" s="135"/>
      <c r="AI22" s="135"/>
      <c r="AJ22" s="135"/>
      <c r="AK22" s="135"/>
      <c r="AL22" s="135"/>
      <c r="AM22" s="135"/>
      <c r="AN22" s="135"/>
      <c r="AO22" s="135"/>
      <c r="AP22" s="135"/>
      <c r="AQ22" s="15"/>
      <c r="AR22" s="15"/>
    </row>
    <row r="23" spans="18:44" x14ac:dyDescent="0.25">
      <c r="AB23" s="132">
        <v>30</v>
      </c>
      <c r="AC23" s="132">
        <f t="shared" si="1"/>
        <v>12.818610191887021</v>
      </c>
      <c r="AD23" s="132">
        <v>1000</v>
      </c>
      <c r="AE23" s="124">
        <v>17.5</v>
      </c>
      <c r="AH23" s="135"/>
      <c r="AI23" s="135"/>
      <c r="AJ23" s="135"/>
      <c r="AK23" s="135"/>
      <c r="AL23" s="135"/>
      <c r="AM23" s="135"/>
      <c r="AN23" s="135"/>
      <c r="AO23" s="135"/>
      <c r="AP23" s="135"/>
      <c r="AQ23" s="15"/>
      <c r="AR23" s="15"/>
    </row>
    <row r="24" spans="18:44" ht="15.75" x14ac:dyDescent="0.25">
      <c r="R24" s="139" t="s">
        <v>363</v>
      </c>
      <c r="S24" s="117"/>
      <c r="T24" s="117"/>
      <c r="U24" s="117"/>
      <c r="V24" s="117"/>
      <c r="AB24" s="133">
        <v>40</v>
      </c>
      <c r="AC24" s="133">
        <f t="shared" si="1"/>
        <v>15.905414575341014</v>
      </c>
      <c r="AD24" s="133">
        <v>1000</v>
      </c>
      <c r="AE24" s="127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8" t="s">
        <v>328</v>
      </c>
      <c r="S25" s="118" t="s">
        <v>361</v>
      </c>
      <c r="T25" s="117"/>
      <c r="U25" s="117"/>
      <c r="V25" s="117"/>
      <c r="AB25" s="133">
        <v>50</v>
      </c>
      <c r="AC25" s="133">
        <f t="shared" si="1"/>
        <v>18.803015465431965</v>
      </c>
      <c r="AD25" s="133">
        <v>1000</v>
      </c>
      <c r="AE25" s="127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19" t="s">
        <v>121</v>
      </c>
      <c r="S26" s="150">
        <v>0</v>
      </c>
      <c r="T26" s="151">
        <v>0.25</v>
      </c>
      <c r="U26" s="151">
        <v>0.5</v>
      </c>
      <c r="V26" s="152">
        <v>1</v>
      </c>
      <c r="AB26" s="133">
        <v>60</v>
      </c>
      <c r="AC26" s="133">
        <f t="shared" si="1"/>
        <v>21.558246717785043</v>
      </c>
      <c r="AD26" s="133">
        <v>1000</v>
      </c>
      <c r="AE26" s="127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3">
        <v>30</v>
      </c>
      <c r="S27" s="141">
        <f>(0.475*$R27^0.75 + S$26*$X$27)/S7</f>
        <v>1.0148066401910558</v>
      </c>
      <c r="T27" s="142">
        <f t="shared" ref="T27:V27" si="8">(0.475*$R27^0.75 + T$26*$X$27)/T7</f>
        <v>1.1361049801432919</v>
      </c>
      <c r="U27" s="142">
        <f t="shared" si="8"/>
        <v>1.0989854401042123</v>
      </c>
      <c r="V27" s="143">
        <f t="shared" si="8"/>
        <v>1.0336479909226477</v>
      </c>
      <c r="X27">
        <v>12</v>
      </c>
      <c r="AB27" s="133">
        <v>70</v>
      </c>
      <c r="AC27" s="133">
        <f t="shared" si="1"/>
        <v>24.200454924935883</v>
      </c>
      <c r="AD27" s="133">
        <v>1000</v>
      </c>
      <c r="AE27" s="127">
        <v>25</v>
      </c>
    </row>
    <row r="28" spans="18:44" x14ac:dyDescent="0.25">
      <c r="R28" s="115">
        <v>40</v>
      </c>
      <c r="S28" s="144">
        <f t="shared" ref="S28:V28" si="9">(0.475*$R28^0.75 + S$26*$X$27)/S8</f>
        <v>1.0792959890409974</v>
      </c>
      <c r="T28" s="145">
        <f t="shared" si="9"/>
        <v>1.1110602024512612</v>
      </c>
      <c r="U28" s="145">
        <f t="shared" si="9"/>
        <v>1.0844057538629586</v>
      </c>
      <c r="V28" s="146">
        <f t="shared" si="9"/>
        <v>1.0292143117519463</v>
      </c>
      <c r="X28">
        <v>0.2</v>
      </c>
      <c r="AB28" s="134">
        <v>80</v>
      </c>
      <c r="AC28" s="134">
        <f t="shared" si="1"/>
        <v>26.749612199056873</v>
      </c>
      <c r="AD28" s="134">
        <v>1000</v>
      </c>
      <c r="AE28" s="130">
        <v>28</v>
      </c>
    </row>
    <row r="29" spans="18:44" x14ac:dyDescent="0.25">
      <c r="R29" s="115">
        <v>50</v>
      </c>
      <c r="S29" s="144">
        <f t="shared" ref="S29:V29" si="10">(0.475*$R29^0.75 + S$26*$X$27)/S9</f>
        <v>1.0507567465976686</v>
      </c>
      <c r="T29" s="145">
        <f t="shared" si="10"/>
        <v>1.0846756678254712</v>
      </c>
      <c r="U29" s="145">
        <f t="shared" si="10"/>
        <v>1.0665308818628703</v>
      </c>
      <c r="V29" s="146">
        <f t="shared" si="10"/>
        <v>0.99673487362286584</v>
      </c>
    </row>
    <row r="30" spans="18:44" x14ac:dyDescent="0.25">
      <c r="R30" s="115">
        <v>60</v>
      </c>
      <c r="S30" s="144">
        <f t="shared" ref="S30:V30" si="11">(0.475*$R30^0.75 + S$26*$X$27)/S10</f>
        <v>1.0240167190947895</v>
      </c>
      <c r="T30" s="145">
        <f t="shared" si="11"/>
        <v>1.0592133752758317</v>
      </c>
      <c r="U30" s="145">
        <f t="shared" si="11"/>
        <v>1.0477527219966383</v>
      </c>
      <c r="V30" s="146">
        <f t="shared" si="11"/>
        <v>0.966963790910778</v>
      </c>
    </row>
    <row r="31" spans="18:44" x14ac:dyDescent="0.25">
      <c r="R31" s="115">
        <v>70</v>
      </c>
      <c r="S31" s="144">
        <f t="shared" ref="S31:V31" si="12">(0.475*$R31^0.75 + S$26*$X$27)/S11</f>
        <v>0.99958400776909073</v>
      </c>
      <c r="T31" s="145">
        <f t="shared" si="12"/>
        <v>1.0353725778103244</v>
      </c>
      <c r="U31" s="145">
        <f t="shared" si="12"/>
        <v>0.99972663367683112</v>
      </c>
      <c r="V31" s="146">
        <f t="shared" si="12"/>
        <v>0.9398086435737818</v>
      </c>
    </row>
    <row r="32" spans="18:44" x14ac:dyDescent="0.25">
      <c r="R32" s="116">
        <v>80</v>
      </c>
      <c r="S32" s="147">
        <f t="shared" ref="S32:V32" si="13">(0.475*$R32^0.75 + S$26*$X$27)/S12</f>
        <v>0.9773896765040011</v>
      </c>
      <c r="T32" s="148">
        <f t="shared" si="13"/>
        <v>0.98162911215950088</v>
      </c>
      <c r="U32" s="148">
        <f t="shared" si="13"/>
        <v>0.95928542536164174</v>
      </c>
      <c r="V32" s="149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331</v>
      </c>
    </row>
    <row r="2" spans="1:9" ht="15.75" thickBot="1" x14ac:dyDescent="0.3"/>
    <row r="3" spans="1:9" x14ac:dyDescent="0.25">
      <c r="A3" s="138" t="s">
        <v>332</v>
      </c>
      <c r="B3" s="138"/>
    </row>
    <row r="4" spans="1:9" x14ac:dyDescent="0.25">
      <c r="A4" s="135" t="s">
        <v>333</v>
      </c>
      <c r="B4" s="135">
        <v>0.99434308508956182</v>
      </c>
    </row>
    <row r="5" spans="1:9" x14ac:dyDescent="0.25">
      <c r="A5" s="135" t="s">
        <v>334</v>
      </c>
      <c r="B5" s="135">
        <v>0.98871817086542757</v>
      </c>
    </row>
    <row r="6" spans="1:9" x14ac:dyDescent="0.25">
      <c r="A6" s="135" t="s">
        <v>335</v>
      </c>
      <c r="B6" s="140">
        <v>0.9876437109478492</v>
      </c>
    </row>
    <row r="7" spans="1:9" x14ac:dyDescent="0.25">
      <c r="A7" s="135" t="s">
        <v>336</v>
      </c>
      <c r="B7" s="135">
        <v>0.64295634155271764</v>
      </c>
    </row>
    <row r="8" spans="1:9" ht="15.75" thickBot="1" x14ac:dyDescent="0.3">
      <c r="A8" s="136" t="s">
        <v>337</v>
      </c>
      <c r="B8" s="136">
        <v>24</v>
      </c>
    </row>
    <row r="10" spans="1:9" ht="15.75" thickBot="1" x14ac:dyDescent="0.3">
      <c r="A10" t="s">
        <v>338</v>
      </c>
    </row>
    <row r="11" spans="1:9" x14ac:dyDescent="0.25">
      <c r="A11" s="137"/>
      <c r="B11" s="137" t="s">
        <v>342</v>
      </c>
      <c r="C11" s="137" t="s">
        <v>343</v>
      </c>
      <c r="D11" s="137" t="s">
        <v>344</v>
      </c>
      <c r="E11" s="137" t="s">
        <v>345</v>
      </c>
      <c r="F11" s="137" t="s">
        <v>346</v>
      </c>
    </row>
    <row r="12" spans="1:9" x14ac:dyDescent="0.25">
      <c r="A12" s="135" t="s">
        <v>339</v>
      </c>
      <c r="B12" s="135">
        <v>2</v>
      </c>
      <c r="C12" s="135">
        <v>760.80833333333317</v>
      </c>
      <c r="D12" s="135">
        <v>380.40416666666658</v>
      </c>
      <c r="E12" s="135">
        <v>920.20014398848559</v>
      </c>
      <c r="F12" s="135">
        <v>3.5480108451103033E-21</v>
      </c>
    </row>
    <row r="13" spans="1:9" x14ac:dyDescent="0.25">
      <c r="A13" s="135" t="s">
        <v>340</v>
      </c>
      <c r="B13" s="135">
        <v>21</v>
      </c>
      <c r="C13" s="135">
        <v>8.6812499999999542</v>
      </c>
      <c r="D13" s="135">
        <v>0.41339285714285495</v>
      </c>
      <c r="E13" s="135"/>
      <c r="F13" s="135"/>
    </row>
    <row r="14" spans="1:9" ht="15.75" thickBot="1" x14ac:dyDescent="0.3">
      <c r="A14" s="136" t="s">
        <v>297</v>
      </c>
      <c r="B14" s="136">
        <v>23</v>
      </c>
      <c r="C14" s="136">
        <v>769.48958333333314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347</v>
      </c>
      <c r="C16" s="137" t="s">
        <v>336</v>
      </c>
      <c r="D16" s="137" t="s">
        <v>348</v>
      </c>
      <c r="E16" s="137" t="s">
        <v>349</v>
      </c>
      <c r="F16" s="137" t="s">
        <v>350</v>
      </c>
      <c r="G16" s="137" t="s">
        <v>351</v>
      </c>
      <c r="H16" s="137" t="s">
        <v>352</v>
      </c>
      <c r="I16" s="137" t="s">
        <v>353</v>
      </c>
    </row>
    <row r="17" spans="1:9" x14ac:dyDescent="0.25">
      <c r="A17" s="135" t="s">
        <v>341</v>
      </c>
      <c r="B17" s="135">
        <v>-0.40773809523810023</v>
      </c>
      <c r="C17" s="135">
        <v>0.46902457944381531</v>
      </c>
      <c r="D17" s="135">
        <v>-0.86933204166316702</v>
      </c>
      <c r="E17" s="135">
        <v>0.3944933503705087</v>
      </c>
      <c r="F17" s="135">
        <v>-1.383128104167036</v>
      </c>
      <c r="G17" s="135">
        <v>0.56765191369083567</v>
      </c>
      <c r="H17" s="135">
        <v>-1.383128104167036</v>
      </c>
      <c r="I17" s="135">
        <v>0.56765191369083567</v>
      </c>
    </row>
    <row r="18" spans="1:9" x14ac:dyDescent="0.25">
      <c r="A18" s="135" t="s">
        <v>323</v>
      </c>
      <c r="B18" s="135">
        <v>0.16892857142857148</v>
      </c>
      <c r="C18" s="135">
        <v>7.6847981397678419E-3</v>
      </c>
      <c r="D18" s="135">
        <v>21.982174203690253</v>
      </c>
      <c r="E18" s="135">
        <v>5.622260089430527E-16</v>
      </c>
      <c r="F18" s="135">
        <v>0.15294715882317275</v>
      </c>
      <c r="G18" s="135">
        <v>0.18490998403397021</v>
      </c>
      <c r="H18" s="135">
        <v>0.15294715882317275</v>
      </c>
      <c r="I18" s="135">
        <v>0.18490998403397021</v>
      </c>
    </row>
    <row r="19" spans="1:9" ht="15.75" thickBot="1" x14ac:dyDescent="0.3">
      <c r="A19" s="136" t="s">
        <v>329</v>
      </c>
      <c r="B19" s="136">
        <v>1.3076190476190479E-2</v>
      </c>
      <c r="C19" s="136">
        <v>3.549456219730319E-4</v>
      </c>
      <c r="D19" s="136">
        <v>36.839982427460349</v>
      </c>
      <c r="E19" s="136">
        <v>1.4430475578158989E-20</v>
      </c>
      <c r="F19" s="136">
        <v>1.2338040646609885E-2</v>
      </c>
      <c r="G19" s="136">
        <v>1.3814340305771073E-2</v>
      </c>
      <c r="H19" s="136">
        <v>1.2338040646609885E-2</v>
      </c>
      <c r="I19" s="136">
        <v>1.3814340305771073E-2</v>
      </c>
    </row>
    <row r="23" spans="1:9" x14ac:dyDescent="0.25">
      <c r="A23" t="s">
        <v>354</v>
      </c>
    </row>
    <row r="24" spans="1:9" ht="15.75" thickBot="1" x14ac:dyDescent="0.3"/>
    <row r="25" spans="1:9" x14ac:dyDescent="0.25">
      <c r="A25" s="137" t="s">
        <v>355</v>
      </c>
      <c r="B25" s="137" t="s">
        <v>356</v>
      </c>
      <c r="C25" s="137" t="s">
        <v>357</v>
      </c>
      <c r="D25" s="137" t="s">
        <v>358</v>
      </c>
    </row>
    <row r="26" spans="1:9" x14ac:dyDescent="0.25">
      <c r="A26" s="135">
        <v>1</v>
      </c>
      <c r="B26" s="135">
        <v>4.6601190476190446</v>
      </c>
      <c r="C26" s="135">
        <v>1.3398809523809554</v>
      </c>
      <c r="D26" s="135">
        <v>2.1809163068088218</v>
      </c>
    </row>
    <row r="27" spans="1:9" x14ac:dyDescent="0.25">
      <c r="A27" s="135">
        <v>2</v>
      </c>
      <c r="B27" s="135">
        <v>6.3494047619047596</v>
      </c>
      <c r="C27" s="135">
        <v>0.65059523809524045</v>
      </c>
      <c r="D27" s="135">
        <v>1.0589700236970436</v>
      </c>
    </row>
    <row r="28" spans="1:9" x14ac:dyDescent="0.25">
      <c r="A28" s="135">
        <v>3</v>
      </c>
      <c r="B28" s="135">
        <v>8.0386904761904745</v>
      </c>
      <c r="C28" s="135">
        <v>0.4613095238095255</v>
      </c>
      <c r="D28" s="135">
        <v>0.75087078532955975</v>
      </c>
    </row>
    <row r="29" spans="1:9" x14ac:dyDescent="0.25">
      <c r="A29" s="135">
        <v>4</v>
      </c>
      <c r="B29" s="135">
        <v>9.7279761904761894</v>
      </c>
      <c r="C29" s="135">
        <v>0.27202380952381056</v>
      </c>
      <c r="D29" s="135">
        <v>0.44277154696207599</v>
      </c>
    </row>
    <row r="30" spans="1:9" x14ac:dyDescent="0.25">
      <c r="A30" s="135">
        <v>5</v>
      </c>
      <c r="B30" s="135">
        <v>11.417261904761904</v>
      </c>
      <c r="C30" s="135">
        <v>8.273809523809561E-2</v>
      </c>
      <c r="D30" s="135">
        <v>0.13467230859459212</v>
      </c>
    </row>
    <row r="31" spans="1:9" x14ac:dyDescent="0.25">
      <c r="A31" s="135">
        <v>6</v>
      </c>
      <c r="B31" s="135">
        <v>13.106547619047619</v>
      </c>
      <c r="C31" s="135">
        <v>-0.10654761904761934</v>
      </c>
      <c r="D31" s="135">
        <v>-0.1734269297728917</v>
      </c>
    </row>
    <row r="32" spans="1:9" x14ac:dyDescent="0.25">
      <c r="A32" s="135">
        <v>7</v>
      </c>
      <c r="B32" s="135">
        <v>7.9291666666666645</v>
      </c>
      <c r="C32" s="135">
        <v>7.0833333333335524E-2</v>
      </c>
      <c r="D32" s="135">
        <v>0.11529499800544522</v>
      </c>
    </row>
    <row r="33" spans="1:4" x14ac:dyDescent="0.25">
      <c r="A33" s="135">
        <v>8</v>
      </c>
      <c r="B33" s="135">
        <v>9.6184523809523803</v>
      </c>
      <c r="C33" s="135">
        <v>-0.11845238095238031</v>
      </c>
      <c r="D33" s="135">
        <v>-0.19280424036204005</v>
      </c>
    </row>
    <row r="34" spans="1:4" x14ac:dyDescent="0.25">
      <c r="A34" s="135">
        <v>9</v>
      </c>
      <c r="B34" s="135">
        <v>11.307738095238093</v>
      </c>
      <c r="C34" s="135">
        <v>-0.30773809523809348</v>
      </c>
      <c r="D34" s="135">
        <v>-0.50090347872952101</v>
      </c>
    </row>
    <row r="35" spans="1:4" x14ac:dyDescent="0.25">
      <c r="A35" s="135">
        <v>10</v>
      </c>
      <c r="B35" s="135">
        <v>12.99702380952381</v>
      </c>
      <c r="C35" s="135">
        <v>-0.4970238095238102</v>
      </c>
      <c r="D35" s="135">
        <v>-0.80900271709700777</v>
      </c>
    </row>
    <row r="36" spans="1:4" x14ac:dyDescent="0.25">
      <c r="A36" s="135">
        <v>11</v>
      </c>
      <c r="B36" s="135">
        <v>14.686309523809523</v>
      </c>
      <c r="C36" s="135">
        <v>-0.68630952380952337</v>
      </c>
      <c r="D36" s="135">
        <v>-1.1171019554644888</v>
      </c>
    </row>
    <row r="37" spans="1:4" x14ac:dyDescent="0.25">
      <c r="A37" s="135">
        <v>12</v>
      </c>
      <c r="B37" s="135">
        <v>16.37559523809524</v>
      </c>
      <c r="C37" s="135">
        <v>-0.37559523809524009</v>
      </c>
      <c r="D37" s="135">
        <v>-0.61135414908768126</v>
      </c>
    </row>
    <row r="38" spans="1:4" x14ac:dyDescent="0.25">
      <c r="A38" s="135">
        <v>13</v>
      </c>
      <c r="B38" s="135">
        <v>11.198214285714284</v>
      </c>
      <c r="C38" s="135">
        <v>-0.19821428571428434</v>
      </c>
      <c r="D38" s="135">
        <v>-0.32263222130934294</v>
      </c>
    </row>
    <row r="39" spans="1:4" x14ac:dyDescent="0.25">
      <c r="A39" s="135">
        <v>14</v>
      </c>
      <c r="B39" s="135">
        <v>12.887499999999999</v>
      </c>
      <c r="C39" s="135">
        <v>-0.38749999999999929</v>
      </c>
      <c r="D39" s="135">
        <v>-0.63073145967682676</v>
      </c>
    </row>
    <row r="40" spans="1:4" x14ac:dyDescent="0.25">
      <c r="A40" s="135">
        <v>15</v>
      </c>
      <c r="B40" s="135">
        <v>14.576785714285714</v>
      </c>
      <c r="C40" s="135">
        <v>-0.57678571428571423</v>
      </c>
      <c r="D40" s="135">
        <v>-0.93883069804431063</v>
      </c>
    </row>
    <row r="41" spans="1:4" x14ac:dyDescent="0.25">
      <c r="A41" s="135">
        <v>16</v>
      </c>
      <c r="B41" s="135">
        <v>16.266071428571429</v>
      </c>
      <c r="C41" s="135">
        <v>-0.76607142857142918</v>
      </c>
      <c r="D41" s="135">
        <v>-1.2469299364117945</v>
      </c>
    </row>
    <row r="42" spans="1:4" x14ac:dyDescent="0.25">
      <c r="A42" s="135">
        <v>17</v>
      </c>
      <c r="B42" s="135">
        <v>17.955357142857146</v>
      </c>
      <c r="C42" s="135">
        <v>-0.4553571428571459</v>
      </c>
      <c r="D42" s="135">
        <v>-0.74118213003498712</v>
      </c>
    </row>
    <row r="43" spans="1:4" x14ac:dyDescent="0.25">
      <c r="A43" s="135">
        <v>18</v>
      </c>
      <c r="B43" s="135">
        <v>19.644642857142859</v>
      </c>
      <c r="C43" s="135">
        <v>-0.14464285714285907</v>
      </c>
      <c r="D43" s="135">
        <v>-0.23543432365817393</v>
      </c>
    </row>
    <row r="44" spans="1:4" x14ac:dyDescent="0.25">
      <c r="A44" s="135">
        <v>19</v>
      </c>
      <c r="B44" s="135">
        <v>17.736309523809524</v>
      </c>
      <c r="C44" s="135">
        <v>-0.23630952380952408</v>
      </c>
      <c r="D44" s="135">
        <v>-0.38463961519462514</v>
      </c>
    </row>
    <row r="45" spans="1:4" x14ac:dyDescent="0.25">
      <c r="A45" s="135">
        <v>20</v>
      </c>
      <c r="B45" s="135">
        <v>19.425595238095241</v>
      </c>
      <c r="C45" s="135">
        <v>-0.4255952380952408</v>
      </c>
      <c r="D45" s="135">
        <v>-0.69273885356211184</v>
      </c>
    </row>
    <row r="46" spans="1:4" x14ac:dyDescent="0.25">
      <c r="A46" s="135">
        <v>21</v>
      </c>
      <c r="B46" s="135">
        <v>21.114880952380954</v>
      </c>
      <c r="C46" s="135">
        <v>-0.11488095238095397</v>
      </c>
      <c r="D46" s="135">
        <v>-0.18699104718529874</v>
      </c>
    </row>
    <row r="47" spans="1:4" x14ac:dyDescent="0.25">
      <c r="A47" s="135">
        <v>22</v>
      </c>
      <c r="B47" s="135">
        <v>22.804166666666667</v>
      </c>
      <c r="C47" s="135">
        <v>0.19583333333333286</v>
      </c>
      <c r="D47" s="135">
        <v>0.31875675919151442</v>
      </c>
    </row>
    <row r="48" spans="1:4" x14ac:dyDescent="0.25">
      <c r="A48" s="135">
        <v>23</v>
      </c>
      <c r="B48" s="135">
        <v>24.493452380952384</v>
      </c>
      <c r="C48" s="135">
        <v>0.50654761904761614</v>
      </c>
      <c r="D48" s="135">
        <v>0.82450456556832175</v>
      </c>
    </row>
    <row r="49" spans="1:4" ht="15.75" thickBot="1" x14ac:dyDescent="0.3">
      <c r="A49" s="136">
        <v>24</v>
      </c>
      <c r="B49" s="136">
        <v>26.182738095238101</v>
      </c>
      <c r="C49" s="136">
        <v>1.8172619047618994</v>
      </c>
      <c r="D49" s="136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331</v>
      </c>
    </row>
    <row r="2" spans="1:9" ht="15.75" thickBot="1" x14ac:dyDescent="0.3"/>
    <row r="3" spans="1:9" x14ac:dyDescent="0.25">
      <c r="A3" s="138" t="s">
        <v>332</v>
      </c>
      <c r="B3" s="138"/>
    </row>
    <row r="4" spans="1:9" x14ac:dyDescent="0.25">
      <c r="A4" s="135" t="s">
        <v>333</v>
      </c>
      <c r="B4" s="135">
        <v>0.99923601209082613</v>
      </c>
    </row>
    <row r="5" spans="1:9" x14ac:dyDescent="0.25">
      <c r="A5" s="135" t="s">
        <v>334</v>
      </c>
      <c r="B5" s="135">
        <v>0.99847260785917769</v>
      </c>
    </row>
    <row r="6" spans="1:9" x14ac:dyDescent="0.25">
      <c r="A6" s="135" t="s">
        <v>335</v>
      </c>
      <c r="B6" s="140">
        <v>0.95294863548914033</v>
      </c>
    </row>
    <row r="7" spans="1:9" x14ac:dyDescent="0.25">
      <c r="A7" s="135" t="s">
        <v>336</v>
      </c>
      <c r="B7" s="135">
        <v>0.63937706804773409</v>
      </c>
    </row>
    <row r="8" spans="1:9" ht="15.75" thickBot="1" x14ac:dyDescent="0.3">
      <c r="A8" s="136" t="s">
        <v>337</v>
      </c>
      <c r="B8" s="136">
        <v>24</v>
      </c>
    </row>
    <row r="10" spans="1:9" ht="15.75" thickBot="1" x14ac:dyDescent="0.3">
      <c r="A10" t="s">
        <v>338</v>
      </c>
    </row>
    <row r="11" spans="1:9" x14ac:dyDescent="0.25">
      <c r="A11" s="137"/>
      <c r="B11" s="137" t="s">
        <v>342</v>
      </c>
      <c r="C11" s="137" t="s">
        <v>343</v>
      </c>
      <c r="D11" s="137" t="s">
        <v>344</v>
      </c>
      <c r="E11" s="137" t="s">
        <v>345</v>
      </c>
      <c r="F11" s="137" t="s">
        <v>346</v>
      </c>
    </row>
    <row r="12" spans="1:9" x14ac:dyDescent="0.25">
      <c r="A12" s="135" t="s">
        <v>339</v>
      </c>
      <c r="B12" s="135">
        <v>2</v>
      </c>
      <c r="C12" s="135">
        <v>5879.2563332268028</v>
      </c>
      <c r="D12" s="135">
        <v>2939.6281666134014</v>
      </c>
      <c r="E12" s="135">
        <v>7190.8178606561842</v>
      </c>
      <c r="F12" s="135">
        <v>1.658295194250544E-30</v>
      </c>
    </row>
    <row r="13" spans="1:9" x14ac:dyDescent="0.25">
      <c r="A13" s="135" t="s">
        <v>340</v>
      </c>
      <c r="B13" s="135">
        <v>22</v>
      </c>
      <c r="C13" s="135">
        <v>8.9936667731969688</v>
      </c>
      <c r="D13" s="135">
        <v>0.40880303514531674</v>
      </c>
      <c r="E13" s="135"/>
      <c r="F13" s="135"/>
    </row>
    <row r="14" spans="1:9" ht="15.75" thickBot="1" x14ac:dyDescent="0.3">
      <c r="A14" s="136" t="s">
        <v>297</v>
      </c>
      <c r="B14" s="136">
        <v>24</v>
      </c>
      <c r="C14" s="136">
        <v>5888.25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347</v>
      </c>
      <c r="C16" s="137" t="s">
        <v>336</v>
      </c>
      <c r="D16" s="137" t="s">
        <v>348</v>
      </c>
      <c r="E16" s="137" t="s">
        <v>349</v>
      </c>
      <c r="F16" s="137" t="s">
        <v>350</v>
      </c>
      <c r="G16" s="137" t="s">
        <v>351</v>
      </c>
      <c r="H16" s="137" t="s">
        <v>352</v>
      </c>
      <c r="I16" s="137" t="s">
        <v>353</v>
      </c>
    </row>
    <row r="17" spans="1:9" x14ac:dyDescent="0.25">
      <c r="A17" s="135" t="s">
        <v>341</v>
      </c>
      <c r="B17" s="135">
        <v>0</v>
      </c>
      <c r="C17" s="135" t="e">
        <v>#N/A</v>
      </c>
      <c r="D17" s="135" t="e">
        <v>#N/A</v>
      </c>
      <c r="E17" s="135" t="e">
        <v>#N/A</v>
      </c>
      <c r="F17" s="135" t="e">
        <v>#N/A</v>
      </c>
      <c r="G17" s="135" t="e">
        <v>#N/A</v>
      </c>
      <c r="H17" s="135" t="e">
        <v>#N/A</v>
      </c>
      <c r="I17" s="135" t="e">
        <v>#N/A</v>
      </c>
    </row>
    <row r="18" spans="1:9" x14ac:dyDescent="0.25">
      <c r="A18" s="135" t="s">
        <v>323</v>
      </c>
      <c r="B18" s="135">
        <v>0.1629082774049217</v>
      </c>
      <c r="C18" s="135">
        <v>3.3127900815938349E-3</v>
      </c>
      <c r="D18" s="135">
        <v>49.175550938181992</v>
      </c>
      <c r="E18" s="135">
        <v>5.4013091173267767E-24</v>
      </c>
      <c r="F18" s="135">
        <v>0.15603797127508467</v>
      </c>
      <c r="G18" s="135">
        <v>0.16977858353475872</v>
      </c>
      <c r="H18" s="135">
        <v>0.15603797127508467</v>
      </c>
      <c r="I18" s="135">
        <v>0.16977858353475872</v>
      </c>
    </row>
    <row r="19" spans="1:9" ht="15.75" thickBot="1" x14ac:dyDescent="0.3">
      <c r="A19" s="136" t="s">
        <v>329</v>
      </c>
      <c r="B19" s="136">
        <v>1.2974027910940667E-2</v>
      </c>
      <c r="C19" s="136">
        <v>3.330620646154739E-4</v>
      </c>
      <c r="D19" s="136">
        <v>38.953784562404053</v>
      </c>
      <c r="E19" s="136">
        <v>8.5990489859870578E-22</v>
      </c>
      <c r="F19" s="136">
        <v>1.2283299465194126E-2</v>
      </c>
      <c r="G19" s="136">
        <v>1.3664756356687209E-2</v>
      </c>
      <c r="H19" s="136">
        <v>1.2283299465194126E-2</v>
      </c>
      <c r="I19" s="136">
        <v>1.3664756356687209E-2</v>
      </c>
    </row>
    <row r="23" spans="1:9" x14ac:dyDescent="0.25">
      <c r="A23" t="s">
        <v>354</v>
      </c>
    </row>
    <row r="24" spans="1:9" ht="15.75" thickBot="1" x14ac:dyDescent="0.3"/>
    <row r="25" spans="1:9" x14ac:dyDescent="0.25">
      <c r="A25" s="137" t="s">
        <v>355</v>
      </c>
      <c r="B25" s="137" t="s">
        <v>356</v>
      </c>
      <c r="C25" s="137" t="s">
        <v>357</v>
      </c>
      <c r="D25" s="137" t="s">
        <v>358</v>
      </c>
    </row>
    <row r="26" spans="1:9" x14ac:dyDescent="0.25">
      <c r="A26" s="135">
        <v>1</v>
      </c>
      <c r="B26" s="135">
        <v>4.8872483221476513</v>
      </c>
      <c r="C26" s="135">
        <v>1.1127516778523487</v>
      </c>
      <c r="D26" s="135">
        <v>1.8177555632337312</v>
      </c>
    </row>
    <row r="27" spans="1:9" x14ac:dyDescent="0.25">
      <c r="A27" s="135">
        <v>2</v>
      </c>
      <c r="B27" s="135">
        <v>6.5163310961968683</v>
      </c>
      <c r="C27" s="135">
        <v>0.48366890380313166</v>
      </c>
      <c r="D27" s="135">
        <v>0.79010605703886705</v>
      </c>
    </row>
    <row r="28" spans="1:9" x14ac:dyDescent="0.25">
      <c r="A28" s="135">
        <v>3</v>
      </c>
      <c r="B28" s="135">
        <v>8.1454138702460845</v>
      </c>
      <c r="C28" s="135">
        <v>0.35458612975391546</v>
      </c>
      <c r="D28" s="135">
        <v>0.57924056448039174</v>
      </c>
    </row>
    <row r="29" spans="1:9" x14ac:dyDescent="0.25">
      <c r="A29" s="135">
        <v>4</v>
      </c>
      <c r="B29" s="135">
        <v>9.7744966442953025</v>
      </c>
      <c r="C29" s="135">
        <v>0.22550335570469748</v>
      </c>
      <c r="D29" s="135">
        <v>0.36837507192191343</v>
      </c>
    </row>
    <row r="30" spans="1:9" x14ac:dyDescent="0.25">
      <c r="A30" s="135">
        <v>5</v>
      </c>
      <c r="B30" s="135">
        <v>11.403579418344519</v>
      </c>
      <c r="C30" s="135">
        <v>9.6420581655481286E-2</v>
      </c>
      <c r="D30" s="135">
        <v>0.15750957936343804</v>
      </c>
    </row>
    <row r="31" spans="1:9" x14ac:dyDescent="0.25">
      <c r="A31" s="135">
        <v>6</v>
      </c>
      <c r="B31" s="135">
        <v>13.032662192393737</v>
      </c>
      <c r="C31" s="135">
        <v>-3.2662192393736689E-2</v>
      </c>
      <c r="D31" s="135">
        <v>-5.335591319504026E-2</v>
      </c>
    </row>
    <row r="32" spans="1:9" x14ac:dyDescent="0.25">
      <c r="A32" s="135">
        <v>7</v>
      </c>
      <c r="B32" s="135">
        <v>8.1307552998828179</v>
      </c>
      <c r="C32" s="135">
        <v>-0.13075529988281787</v>
      </c>
      <c r="D32" s="135">
        <v>-0.21359767728503481</v>
      </c>
    </row>
    <row r="33" spans="1:4" x14ac:dyDescent="0.25">
      <c r="A33" s="135">
        <v>8</v>
      </c>
      <c r="B33" s="135">
        <v>9.7598380739320358</v>
      </c>
      <c r="C33" s="135">
        <v>-0.25983807393203584</v>
      </c>
      <c r="D33" s="135">
        <v>-0.42446316984351312</v>
      </c>
    </row>
    <row r="34" spans="1:4" x14ac:dyDescent="0.25">
      <c r="A34" s="135">
        <v>9</v>
      </c>
      <c r="B34" s="135">
        <v>11.388920847981252</v>
      </c>
      <c r="C34" s="135">
        <v>-0.38892084798125204</v>
      </c>
      <c r="D34" s="135">
        <v>-0.63532866240198849</v>
      </c>
    </row>
    <row r="35" spans="1:4" x14ac:dyDescent="0.25">
      <c r="A35" s="135">
        <v>10</v>
      </c>
      <c r="B35" s="135">
        <v>13.01800362203047</v>
      </c>
      <c r="C35" s="135">
        <v>-0.51800362203047001</v>
      </c>
      <c r="D35" s="135">
        <v>-0.84619415496046679</v>
      </c>
    </row>
    <row r="36" spans="1:4" x14ac:dyDescent="0.25">
      <c r="A36" s="135">
        <v>11</v>
      </c>
      <c r="B36" s="135">
        <v>14.647086396079686</v>
      </c>
      <c r="C36" s="135">
        <v>-0.64708639607968621</v>
      </c>
      <c r="D36" s="135">
        <v>-1.0570596475189422</v>
      </c>
    </row>
    <row r="37" spans="1:4" x14ac:dyDescent="0.25">
      <c r="A37" s="135">
        <v>12</v>
      </c>
      <c r="B37" s="135">
        <v>16.276169170128902</v>
      </c>
      <c r="C37" s="135">
        <v>-0.27616917012890241</v>
      </c>
      <c r="D37" s="135">
        <v>-0.45114112644103033</v>
      </c>
    </row>
    <row r="38" spans="1:4" x14ac:dyDescent="0.25">
      <c r="A38" s="135">
        <v>13</v>
      </c>
      <c r="B38" s="135">
        <v>11.374262277617985</v>
      </c>
      <c r="C38" s="135">
        <v>-0.37426227761798536</v>
      </c>
      <c r="D38" s="135">
        <v>-0.61138289053102779</v>
      </c>
    </row>
    <row r="39" spans="1:4" x14ac:dyDescent="0.25">
      <c r="A39" s="135">
        <v>14</v>
      </c>
      <c r="B39" s="135">
        <v>13.003345051667203</v>
      </c>
      <c r="C39" s="135">
        <v>-0.50334505166720334</v>
      </c>
      <c r="D39" s="135">
        <v>-0.8222483830895061</v>
      </c>
    </row>
    <row r="40" spans="1:4" x14ac:dyDescent="0.25">
      <c r="A40" s="135">
        <v>15</v>
      </c>
      <c r="B40" s="135">
        <v>14.63242782571642</v>
      </c>
      <c r="C40" s="135">
        <v>-0.63242782571641953</v>
      </c>
      <c r="D40" s="135">
        <v>-1.0331138756479814</v>
      </c>
    </row>
    <row r="41" spans="1:4" x14ac:dyDescent="0.25">
      <c r="A41" s="135">
        <v>16</v>
      </c>
      <c r="B41" s="135">
        <v>16.261510599765636</v>
      </c>
      <c r="C41" s="135">
        <v>-0.76151059976563573</v>
      </c>
      <c r="D41" s="135">
        <v>-1.2439793682064568</v>
      </c>
    </row>
    <row r="42" spans="1:4" x14ac:dyDescent="0.25">
      <c r="A42" s="135">
        <v>17</v>
      </c>
      <c r="B42" s="135">
        <v>17.890593373814852</v>
      </c>
      <c r="C42" s="135">
        <v>-0.39059337381485193</v>
      </c>
      <c r="D42" s="135">
        <v>-0.63806084712854505</v>
      </c>
    </row>
    <row r="43" spans="1:4" x14ac:dyDescent="0.25">
      <c r="A43" s="135">
        <v>18</v>
      </c>
      <c r="B43" s="135">
        <v>19.519676147864072</v>
      </c>
      <c r="C43" s="135">
        <v>-1.967614786407168E-2</v>
      </c>
      <c r="D43" s="135">
        <v>-3.2142326050638992E-2</v>
      </c>
    </row>
    <row r="44" spans="1:4" x14ac:dyDescent="0.25">
      <c r="A44" s="135">
        <v>19</v>
      </c>
      <c r="B44" s="135">
        <v>17.861276233088319</v>
      </c>
      <c r="C44" s="135">
        <v>-0.36127623308831858</v>
      </c>
      <c r="D44" s="135">
        <v>-0.59016930338662366</v>
      </c>
    </row>
    <row r="45" spans="1:4" x14ac:dyDescent="0.25">
      <c r="A45" s="135">
        <v>20</v>
      </c>
      <c r="B45" s="135">
        <v>19.490359007137535</v>
      </c>
      <c r="C45" s="135">
        <v>-0.49035900713753477</v>
      </c>
      <c r="D45" s="135">
        <v>-0.80103479594509897</v>
      </c>
    </row>
    <row r="46" spans="1:4" x14ac:dyDescent="0.25">
      <c r="A46" s="135">
        <v>21</v>
      </c>
      <c r="B46" s="135">
        <v>21.119441781186751</v>
      </c>
      <c r="C46" s="135">
        <v>-0.11944178118675097</v>
      </c>
      <c r="D46" s="135">
        <v>-0.19511627486718716</v>
      </c>
    </row>
    <row r="47" spans="1:4" x14ac:dyDescent="0.25">
      <c r="A47" s="135">
        <v>22</v>
      </c>
      <c r="B47" s="135">
        <v>22.748524555235971</v>
      </c>
      <c r="C47" s="135">
        <v>0.25147544476402928</v>
      </c>
      <c r="D47" s="135">
        <v>0.41080224621071887</v>
      </c>
    </row>
    <row r="48" spans="1:4" x14ac:dyDescent="0.25">
      <c r="A48" s="135">
        <v>23</v>
      </c>
      <c r="B48" s="135">
        <v>24.377607329285187</v>
      </c>
      <c r="C48" s="135">
        <v>0.62239267071481308</v>
      </c>
      <c r="D48" s="135">
        <v>1.0167207672886307</v>
      </c>
    </row>
    <row r="49" spans="1:4" ht="15.75" thickBot="1" x14ac:dyDescent="0.3">
      <c r="A49" s="136">
        <v>24</v>
      </c>
      <c r="B49" s="136">
        <v>26.006690103334407</v>
      </c>
      <c r="C49" s="136">
        <v>1.9933098966655933</v>
      </c>
      <c r="D49" s="136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2025-03-21T12:17:36Z</dcterms:modified>
</cp:coreProperties>
</file>