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6615" activeTab="3"/>
  </bookViews>
  <sheets>
    <sheet name="Regions" sheetId="7" r:id="rId1"/>
    <sheet name="DemandAndConversions" sheetId="2" r:id="rId2"/>
    <sheet name="CropProduction" sheetId="6" r:id="rId3"/>
    <sheet name="CattleHerd" sheetId="3" r:id="rId4"/>
    <sheet name="PigHerd" sheetId="4" r:id="rId5"/>
    <sheet name="FeedMgmt" sheetId="9" r:id="rId6"/>
    <sheet name="SheepHerd" sheetId="10" r:id="rId7"/>
    <sheet name="MachineryAndEnergyMgmt" sheetId="8" r:id="rId8"/>
    <sheet name="motivations" sheetId="5" r:id="rId9"/>
    <sheet name="oldCattleHerd" sheetId="11" r:id="rId10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6" i="2" l="1"/>
  <c r="N287" i="2"/>
  <c r="N288" i="2"/>
  <c r="N289" i="2"/>
  <c r="N290" i="2"/>
  <c r="N291" i="2"/>
  <c r="N292" i="2"/>
  <c r="N293" i="2"/>
  <c r="N294" i="2"/>
  <c r="N295" i="2"/>
  <c r="N296" i="2"/>
  <c r="N297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3" i="2"/>
  <c r="N324" i="2"/>
  <c r="N325" i="2"/>
  <c r="N326" i="2"/>
  <c r="N327" i="2"/>
  <c r="N328" i="2"/>
  <c r="N329" i="2"/>
  <c r="N285" i="2"/>
  <c r="H322" i="2"/>
  <c r="N322" i="2" s="1"/>
  <c r="H298" i="2"/>
  <c r="N298" i="2" s="1"/>
  <c r="H5" i="10" l="1"/>
  <c r="N5" i="10" s="1"/>
  <c r="H4" i="10"/>
  <c r="H3" i="10"/>
  <c r="H2" i="10"/>
  <c r="N2" i="10" l="1"/>
  <c r="N4" i="10"/>
  <c r="N246" i="2" l="1"/>
  <c r="N245" i="2"/>
  <c r="N243" i="2"/>
  <c r="N242" i="2"/>
  <c r="N241" i="2"/>
  <c r="N240" i="2"/>
  <c r="N238" i="2"/>
  <c r="N3" i="2" l="1"/>
  <c r="M3" i="2"/>
  <c r="L3" i="2"/>
  <c r="K3" i="2"/>
  <c r="J3" i="2"/>
  <c r="I3" i="2"/>
  <c r="N220" i="2" l="1"/>
  <c r="N221" i="2"/>
  <c r="N222" i="2"/>
  <c r="N223" i="2"/>
  <c r="N225" i="2"/>
  <c r="N226" i="2"/>
  <c r="N227" i="2"/>
  <c r="N228" i="2"/>
  <c r="N229" i="2"/>
  <c r="N230" i="2"/>
  <c r="N231" i="2"/>
  <c r="N233" i="2"/>
  <c r="N234" i="2"/>
  <c r="N235" i="2"/>
  <c r="N236" i="2"/>
  <c r="N248" i="2"/>
  <c r="N250" i="2"/>
  <c r="N251" i="2"/>
  <c r="N253" i="2"/>
  <c r="N255" i="2"/>
  <c r="N256" i="2"/>
  <c r="N258" i="2"/>
  <c r="N259" i="2"/>
  <c r="N260" i="2"/>
  <c r="N261" i="2"/>
  <c r="N263" i="2"/>
  <c r="N264" i="2"/>
  <c r="N265" i="2"/>
  <c r="N209" i="2"/>
  <c r="N210" i="2"/>
  <c r="N211" i="2"/>
  <c r="N212" i="2"/>
  <c r="N213" i="2"/>
  <c r="N214" i="2"/>
  <c r="N215" i="2"/>
  <c r="N216" i="2"/>
  <c r="N217" i="2"/>
  <c r="N218" i="2"/>
  <c r="N208" i="2"/>
  <c r="N151" i="2" l="1"/>
  <c r="N134" i="2"/>
  <c r="N135" i="2"/>
  <c r="N136" i="2"/>
  <c r="N137" i="2"/>
  <c r="N139" i="2"/>
  <c r="N140" i="2"/>
  <c r="N133" i="2"/>
  <c r="N148" i="2"/>
  <c r="N119" i="2"/>
  <c r="N114" i="2"/>
  <c r="N69" i="2" l="1"/>
  <c r="N59" i="2"/>
  <c r="N60" i="2"/>
  <c r="N46" i="2"/>
  <c r="N8" i="2" l="1"/>
  <c r="N16" i="2" s="1"/>
  <c r="N7" i="2"/>
  <c r="N13" i="2" s="1"/>
  <c r="N14" i="2" l="1"/>
  <c r="N15" i="2"/>
  <c r="N165" i="2"/>
  <c r="N164" i="2"/>
  <c r="N81" i="2"/>
  <c r="N87" i="2" l="1"/>
  <c r="N86" i="2"/>
  <c r="N85" i="2"/>
  <c r="N64" i="2"/>
  <c r="E2" i="8" l="1"/>
  <c r="E3" i="8" s="1"/>
  <c r="E17" i="5" l="1"/>
  <c r="N63" i="2" l="1"/>
  <c r="N147" i="2" l="1"/>
  <c r="N124" i="2"/>
  <c r="H185" i="2"/>
  <c r="N156" i="2"/>
  <c r="H125" i="2"/>
  <c r="N125" i="2" s="1"/>
  <c r="H123" i="2"/>
  <c r="H121" i="2"/>
  <c r="H118" i="2"/>
  <c r="H115" i="2"/>
  <c r="N115" i="2" s="1"/>
  <c r="N92" i="2" l="1"/>
  <c r="N91" i="2"/>
  <c r="N90" i="2"/>
  <c r="N89" i="2"/>
  <c r="N49" i="2"/>
  <c r="N50" i="2"/>
  <c r="N51" i="2"/>
  <c r="N52" i="2"/>
  <c r="N53" i="2"/>
  <c r="N54" i="2"/>
  <c r="N55" i="2"/>
  <c r="N56" i="2"/>
  <c r="N48" i="2"/>
</calcChain>
</file>

<file path=xl/sharedStrings.xml><?xml version="1.0" encoding="utf-8"?>
<sst xmlns="http://schemas.openxmlformats.org/spreadsheetml/2006/main" count="1241" uniqueCount="213">
  <si>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</si>
  <si>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</si>
  <si>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</si>
  <si>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</si>
  <si>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</si>
  <si>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</si>
  <si>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</si>
  <si>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</si>
  <si>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</si>
  <si>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</si>
  <si>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</si>
  <si>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</si>
  <si>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</si>
  <si>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</si>
  <si>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</si>
  <si>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</si>
  <si>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</si>
  <si>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</si>
  <si>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</si>
  <si>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</si>
  <si>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</si>
  <si>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</si>
  <si>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</si>
  <si>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</si>
  <si>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</si>
  <si>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</si>
  <si>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</si>
  <si>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</si>
  <si>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</si>
  <si>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</si>
  <si>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</si>
  <si>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</si>
  <si>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</si>
  <si>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</si>
  <si>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</si>
  <si>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</si>
  <si>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</si>
  <si>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</si>
  <si>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</si>
  <si>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</si>
  <si>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</si>
  <si>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</si>
  <si>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</si>
  <si>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</si>
  <si>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</si>
  <si>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</si>
  <si>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</si>
  <si>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</si>
  <si>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</si>
  <si>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</si>
  <si>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</si>
  <si>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</si>
  <si>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</si>
  <si>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</si>
  <si>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</si>
  <si>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</si>
  <si>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</si>
  <si>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</si>
  <si>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</si>
  <si>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</si>
  <si>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</si>
  <si>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</si>
  <si>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</si>
  <si>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</si>
  <si>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</si>
  <si>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</si>
  <si>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</si>
  <si>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</si>
  <si>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</si>
  <si>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</si>
  <si>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</si>
  <si>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</si>
  <si>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</si>
  <si>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</si>
  <si>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</si>
  <si>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</si>
  <si>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</si>
  <si>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</si>
  <si>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</si>
  <si>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</si>
  <si>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</si>
  <si>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</si>
  <si>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</si>
  <si>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</si>
  <si>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</si>
  <si>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</si>
  <si>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</si>
  <si>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</si>
  <si>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</si>
  <si>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</si>
  <si>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</si>
  <si>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</si>
  <si>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</si>
  <si>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</si>
  <si>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</si>
  <si>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</si>
  <si>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</si>
  <si>
    <t>f_breed</t>
  </si>
  <si>
    <t>dairy</t>
  </si>
  <si>
    <t>milk_prod</t>
  </si>
  <si>
    <t>over 10 years</t>
  </si>
  <si>
    <t>growing pigs</t>
  </si>
  <si>
    <t>feed_energy_per_growth</t>
  </si>
  <si>
    <t>finishing pigs</t>
  </si>
  <si>
    <t>f_animal</t>
  </si>
  <si>
    <t>MJ NE/kg w.g.</t>
  </si>
  <si>
    <t>PIGS</t>
  </si>
  <si>
    <t>Mortality</t>
  </si>
  <si>
    <t>Growing/finishing pigs energy per kg weight gain</t>
  </si>
  <si>
    <t>growing/finishing</t>
  </si>
  <si>
    <t>yield</t>
  </si>
  <si>
    <t>cropland</t>
  </si>
  <si>
    <t>max_land_use_factor</t>
  </si>
  <si>
    <t>f_land_use</t>
  </si>
  <si>
    <t>field machinery</t>
  </si>
  <si>
    <t>energy_source_share</t>
  </si>
  <si>
    <t>f_activity</t>
  </si>
  <si>
    <t>f_energy_source</t>
  </si>
  <si>
    <t>greenhouse</t>
  </si>
  <si>
    <t>semi-natural grasslands</t>
  </si>
  <si>
    <t>enteric_adj</t>
  </si>
  <si>
    <t>f_species</t>
  </si>
  <si>
    <t>bulls</t>
  </si>
  <si>
    <t>beef</t>
  </si>
  <si>
    <t>slaughter_share_male_as_steers</t>
  </si>
  <si>
    <t>f_prod_system</t>
  </si>
  <si>
    <t>f_crop</t>
  </si>
  <si>
    <t>Semi-natural pastures</t>
  </si>
  <si>
    <t>Semi-natural meadows</t>
  </si>
  <si>
    <t>Diesel</t>
  </si>
  <si>
    <t>Biodiesel</t>
  </si>
  <si>
    <t>Hydrogen</t>
  </si>
  <si>
    <t>Electricity</t>
  </si>
  <si>
    <t>cattle</t>
  </si>
  <si>
    <t>cows</t>
  </si>
  <si>
    <t>Pea protein product</t>
  </si>
  <si>
    <t>Wheat protein product</t>
  </si>
  <si>
    <t>Quinoa</t>
  </si>
  <si>
    <t>Eggs novel foods</t>
  </si>
  <si>
    <t>Sweet lupin</t>
  </si>
  <si>
    <t>Grey pea</t>
  </si>
  <si>
    <t>Hazelnuts</t>
  </si>
  <si>
    <t>Walnuts</t>
  </si>
  <si>
    <t>Seeds</t>
  </si>
  <si>
    <t>Sunflower seeds</t>
  </si>
  <si>
    <t>Rapeseed oil novel foods</t>
  </si>
  <si>
    <t>Soy protein product</t>
  </si>
  <si>
    <t>Oat drink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</si>
  <si>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</si>
  <si>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</si>
  <si>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</si>
  <si>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</si>
  <si>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</si>
  <si>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</si>
  <si>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</si>
  <si>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</si>
  <si>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</si>
  <si>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Beetroot</t>
  </si>
  <si>
    <t>obs ändra ej här</t>
  </si>
  <si>
    <t>Mutton/goat meat</t>
  </si>
  <si>
    <t>blueberries and raspberries</t>
  </si>
  <si>
    <t>gooseberries and currants</t>
  </si>
  <si>
    <t>plus chickpeas</t>
  </si>
  <si>
    <t>f_feed</t>
  </si>
  <si>
    <t>f_sub_system</t>
  </si>
  <si>
    <t>autumn lamb</t>
  </si>
  <si>
    <t>spring lamb</t>
  </si>
  <si>
    <t>winter lamb</t>
  </si>
  <si>
    <t>other sheep</t>
  </si>
  <si>
    <t>max_share_sub_system</t>
  </si>
  <si>
    <t>conventional</t>
  </si>
  <si>
    <t>organic</t>
  </si>
  <si>
    <t>f_origin</t>
  </si>
  <si>
    <t>domestic</t>
  </si>
  <si>
    <t>share_in_prod_system</t>
  </si>
  <si>
    <t>slaughter_age</t>
  </si>
  <si>
    <t>redist_male_calves</t>
  </si>
  <si>
    <t>redist_female_calves</t>
  </si>
  <si>
    <t>Export</t>
  </si>
  <si>
    <t>export_demand</t>
  </si>
  <si>
    <t>Ley for grazing</t>
  </si>
  <si>
    <t>x0_crops</t>
  </si>
  <si>
    <t>Semi-natural pastures, thin soils</t>
  </si>
  <si>
    <t>Semi-natural pastures, wooded</t>
  </si>
  <si>
    <t>Wheat grains</t>
  </si>
  <si>
    <t>Barley grains</t>
  </si>
  <si>
    <t>Rye grains</t>
  </si>
  <si>
    <t>Oat grains</t>
  </si>
  <si>
    <t>Rice and products, whole grain</t>
  </si>
  <si>
    <t>slaughter_weight</t>
  </si>
  <si>
    <t>cereals</t>
  </si>
  <si>
    <t>tubers</t>
  </si>
  <si>
    <t>vegetables</t>
  </si>
  <si>
    <t>fruits</t>
  </si>
  <si>
    <t>meat</t>
  </si>
  <si>
    <t>eggs</t>
  </si>
  <si>
    <t>pulses</t>
  </si>
  <si>
    <t>vegetable oils</t>
  </si>
  <si>
    <t>sweeteners</t>
  </si>
  <si>
    <t>alcoholic beverages</t>
  </si>
  <si>
    <t>alternatives meat</t>
  </si>
  <si>
    <t>alternatives dairy</t>
  </si>
  <si>
    <t>treenuts</t>
  </si>
  <si>
    <t>seeds</t>
  </si>
  <si>
    <t>waste</t>
  </si>
  <si>
    <t>f_food_group</t>
  </si>
  <si>
    <t>f_waste_level</t>
  </si>
  <si>
    <t>household</t>
  </si>
  <si>
    <t>waste_share</t>
  </si>
  <si>
    <t>retail</t>
  </si>
  <si>
    <t>processing</t>
  </si>
  <si>
    <t>JK: Changed to abs here as 0 in default</t>
  </si>
  <si>
    <t>&lt;-- Unfeasibility problems if this does not reach zero by 2040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</si>
</sst>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name val="Calibri"/>
      <family val="2"/>
    </font>
    <font>
      <sz val="11"/>
      <color theme="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8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0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9" fillId="4" borderId="0" xfId="1" applyFont="1" applyFill="1" applyBorder="1"/>
    <xf numFmtId="0" fontId="9" fillId="4" borderId="0" xfId="0" applyFont="1" applyFill="1" applyBorder="1"/>
    <xf numFmtId="0" fontId="0" fillId="4" borderId="0" xfId="0" applyFill="1" applyBorder="1"/>
    <xf numFmtId="0" fontId="2" fillId="4" borderId="0" xfId="0" applyFont="1" applyFill="1"/>
    <xf numFmtId="0" fontId="0" fillId="4" borderId="0" xfId="0" applyFill="1"/>
    <xf numFmtId="0" fontId="0" fillId="0" borderId="0" xfId="0" applyFill="1" applyBorder="1"/>
    <xf numFmtId="1" fontId="0" fillId="0" borderId="0" xfId="0" applyNumberFormat="1"/>
    <xf numFmtId="164" fontId="0" fillId="0" borderId="0" xfId="0" applyNumberFormat="1"/>
    <xf numFmtId="164" fontId="4" fillId="0" borderId="0" xfId="0" applyNumberFormat="1" applyFont="1"/>
    <xf numFmtId="0" fontId="0" fillId="0" borderId="0" xfId="0" applyFill="1"/>
    <xf numFmtId="0" fontId="6" fillId="0" borderId="0" xfId="0" applyFont="1" applyFill="1"/>
    <xf numFmtId="2" fontId="6" fillId="0" borderId="0" xfId="0" applyNumberFormat="1" applyFont="1"/>
    <xf numFmtId="0" fontId="6" fillId="0" borderId="0" xfId="0" applyFont="1" applyFill="1" applyBorder="1"/>
    <xf numFmtId="0" fontId="6" fillId="3" borderId="0" xfId="0" applyFont="1" applyFill="1" applyBorder="1"/>
    <xf numFmtId="0" fontId="10" fillId="3" borderId="0" xfId="0" applyFont="1" applyFill="1" applyBorder="1"/>
    <xf numFmtId="164" fontId="6" fillId="0" borderId="0" xfId="0" applyNumberFormat="1" applyFont="1"/>
    <xf numFmtId="0" fontId="2" fillId="0" borderId="0" xfId="0" applyFont="1" applyFill="1"/>
    <xf numFmtId="0" fontId="2" fillId="0" borderId="0" xfId="2" applyFont="1"/>
    <xf numFmtId="0" fontId="0" fillId="0" borderId="0" xfId="0" applyNumberFormat="1" applyFill="1" applyAlignment="1" applyProtection="1"/>
    <xf numFmtId="0" fontId="3" fillId="0" borderId="0" xfId="0" applyFont="1" applyFill="1"/>
    <xf numFmtId="0" fontId="10" fillId="0" borderId="0" xfId="0" applyFont="1" applyFill="1"/>
    <xf numFmtId="0" fontId="10" fillId="3" borderId="0" xfId="0" applyFont="1" applyFill="1"/>
    <xf numFmtId="0" fontId="6" fillId="3" borderId="0" xfId="0" applyFont="1" applyFill="1"/>
    <xf numFmtId="0" fontId="0" fillId="0" borderId="0" xfId="0" applyFont="1" applyFill="1"/>
    <xf numFmtId="0" fontId="11" fillId="0" borderId="0" xfId="0" applyNumberFormat="1" applyFont="1" applyFill="1" applyAlignment="1" applyProtection="1"/>
    <xf numFmtId="1" fontId="11" fillId="0" borderId="0" xfId="0" applyNumberFormat="1" applyFont="1" applyFill="1" applyAlignment="1" applyProtection="1"/>
    <xf numFmtId="0" fontId="6" fillId="0" borderId="0" xfId="0" applyFont="1" applyBorder="1"/>
    <xf numFmtId="0" fontId="6" fillId="0" borderId="0" xfId="0" applyNumberFormat="1" applyFont="1"/>
    <xf numFmtId="0" fontId="0" fillId="3" borderId="0" xfId="0" applyFont="1" applyFill="1"/>
    <xf numFmtId="165" fontId="11" fillId="0" borderId="0" xfId="0" applyNumberFormat="1" applyFont="1" applyFill="1" applyAlignment="1" applyProtection="1"/>
    <xf numFmtId="0" fontId="10" fillId="0" borderId="0" xfId="0" applyFont="1"/>
    <xf numFmtId="0" fontId="12" fillId="0" borderId="0" xfId="0" applyFont="1"/>
  </cellXfs>
  <cellStyles count="3">
    <cellStyle name="Normal" xfId="0" builtinId="0"/>
    <cellStyle name="Normal 2" xfId="2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A2A-8D5F-BE1A6CBC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CD-4D7E-9A76-0223983CF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  <c:max val="2"/>
          <c:min val="1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5</xdr:row>
      <xdr:rowOff>157163</xdr:rowOff>
    </xdr:from>
    <xdr:to>
      <xdr:col>7</xdr:col>
      <xdr:colOff>142875</xdr:colOff>
      <xdr:row>14</xdr:row>
      <xdr:rowOff>38101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600075</xdr:colOff>
      <xdr:row>6</xdr:row>
      <xdr:rowOff>0</xdr:rowOff>
    </xdr:from>
    <xdr:to>
      <xdr:col>15</xdr:col>
      <xdr:colOff>142875</xdr:colOff>
      <xdr:row>14</xdr:row>
      <xdr:rowOff>71438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"/>
  <sheetViews>
    <sheetView workbookViewId="0">
      <selection activeCell="E12" sqref="E12"/>
    </sheetView>
  </sheetViews>
  <sheetFormatPr defaultRowHeight="15" x14ac:dyDescent="0.25"/>
  <cols>
    <col min="4" max="4" width="22.28515625" bestFit="1" customWidth="1"/>
    <col min="5" max="5" width="20.140625" bestFit="1" customWidth="1"/>
    <col min="6" max="6" width="6" bestFit="1" customWidth="1"/>
    <col min="7" max="8" width="7" bestFit="1" customWidth="1"/>
  </cols>
  <sheetData>
    <row r="1" spans="1:13" x14ac:dyDescent="0.25">
      <c r="A1" s="1" t="s">
        <v>121</v>
      </c>
      <c r="B1" s="1" t="s">
        <v>97</v>
      </c>
      <c r="C1" s="1" t="s">
        <v>126</v>
      </c>
      <c r="D1" s="1" t="s">
        <v>113</v>
      </c>
      <c r="E1" s="1" t="s">
        <v>1</v>
      </c>
      <c r="F1" s="1" t="s">
        <v>2</v>
      </c>
      <c r="G1" s="1" t="s">
        <v>3</v>
      </c>
      <c r="H1" s="1" t="s">
        <v>9</v>
      </c>
      <c r="I1" s="1"/>
      <c r="J1" s="1"/>
      <c r="K1" s="1"/>
      <c r="L1" s="1"/>
      <c r="M1" s="1"/>
    </row>
    <row r="2" spans="1:13" x14ac:dyDescent="0.25">
      <c r="D2" t="s">
        <v>111</v>
      </c>
      <c r="E2" t="s">
        <v>112</v>
      </c>
      <c r="F2" t="s">
        <v>96</v>
      </c>
      <c r="G2">
        <v>1</v>
      </c>
      <c r="H2">
        <v>3</v>
      </c>
    </row>
    <row r="3" spans="1:13" x14ac:dyDescent="0.25">
      <c r="D3" t="s">
        <v>118</v>
      </c>
      <c r="E3" t="s">
        <v>112</v>
      </c>
      <c r="F3" t="s">
        <v>96</v>
      </c>
      <c r="G3">
        <v>1</v>
      </c>
      <c r="H3">
        <v>3</v>
      </c>
    </row>
    <row r="4" spans="1:13" x14ac:dyDescent="0.25">
      <c r="D4" t="s">
        <v>119</v>
      </c>
      <c r="E4" t="s">
        <v>112</v>
      </c>
      <c r="F4" t="s">
        <v>96</v>
      </c>
      <c r="G4">
        <v>1</v>
      </c>
      <c r="H4">
        <v>3</v>
      </c>
    </row>
    <row r="5" spans="1:13" x14ac:dyDescent="0.25">
      <c r="C5" t="s">
        <v>180</v>
      </c>
      <c r="E5" t="s">
        <v>181</v>
      </c>
      <c r="F5" t="s">
        <v>11</v>
      </c>
      <c r="G5">
        <v>1</v>
      </c>
      <c r="H5">
        <v>1</v>
      </c>
    </row>
    <row r="6" spans="1:13" x14ac:dyDescent="0.25">
      <c r="C6" t="s">
        <v>127</v>
      </c>
      <c r="E6" t="s">
        <v>181</v>
      </c>
      <c r="F6" t="s">
        <v>11</v>
      </c>
      <c r="G6">
        <v>1</v>
      </c>
      <c r="H6">
        <v>4</v>
      </c>
    </row>
    <row r="7" spans="1:13" x14ac:dyDescent="0.25">
      <c r="C7" t="s">
        <v>182</v>
      </c>
      <c r="E7" t="s">
        <v>181</v>
      </c>
      <c r="F7" t="s">
        <v>11</v>
      </c>
      <c r="G7">
        <v>1</v>
      </c>
      <c r="H7">
        <v>2</v>
      </c>
    </row>
    <row r="8" spans="1:13" x14ac:dyDescent="0.25">
      <c r="C8" t="s">
        <v>183</v>
      </c>
      <c r="E8" t="s">
        <v>181</v>
      </c>
      <c r="F8" t="s">
        <v>11</v>
      </c>
      <c r="G8">
        <v>1</v>
      </c>
      <c r="H8">
        <v>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5"/>
  <sheetViews>
    <sheetView topLeftCell="A250" workbookViewId="0">
      <selection activeCell="N272" sqref="N272"/>
    </sheetView>
  </sheetViews>
  <sheetFormatPr defaultRowHeight="15" x14ac:dyDescent="0.25"/>
  <cols>
    <col min="1" max="1" width="26.28515625" customWidth="1"/>
    <col min="2" max="2" width="37" bestFit="1" customWidth="1"/>
    <col min="3" max="3" width="12.7109375" customWidth="1"/>
    <col min="4" max="5" width="11.28515625" customWidth="1"/>
    <col min="6" max="6" width="15.28515625" bestFit="1" customWidth="1"/>
    <col min="8" max="14" width="6.7109375" customWidth="1"/>
  </cols>
  <sheetData>
    <row r="1" spans="1:14" x14ac:dyDescent="0.25">
      <c r="A1" s="1" t="s">
        <v>205</v>
      </c>
      <c r="B1" s="1" t="s">
        <v>0</v>
      </c>
      <c r="C1" s="1" t="s">
        <v>172</v>
      </c>
      <c r="D1" s="1" t="s">
        <v>125</v>
      </c>
      <c r="E1" s="1" t="s">
        <v>206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14" x14ac:dyDescent="0.25">
      <c r="B2" s="5" t="s">
        <v>91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x14ac:dyDescent="0.25">
      <c r="B3" s="1"/>
      <c r="C3" s="1"/>
      <c r="D3" s="1"/>
      <c r="E3" s="1"/>
      <c r="F3" t="s">
        <v>10</v>
      </c>
      <c r="G3" s="2" t="s">
        <v>11</v>
      </c>
      <c r="H3" s="2">
        <v>1</v>
      </c>
      <c r="I3" s="3">
        <f>10642196/(5222847+5156448)</f>
        <v>1.0253293696729884</v>
      </c>
      <c r="J3" s="3">
        <f>10884214/(5222847+5156448)</f>
        <v>1.048646752982741</v>
      </c>
      <c r="K3" s="3">
        <f>11101837/(5222847+5156448)</f>
        <v>1.0696137839805111</v>
      </c>
      <c r="L3" s="3">
        <f>11328285/(5222847+5156448)</f>
        <v>1.0914310654047312</v>
      </c>
      <c r="M3" s="3">
        <f>11557052/(5222847+5156448)</f>
        <v>1.1134717724084342</v>
      </c>
      <c r="N3" s="3">
        <f>11761182/(5222847+5156448)</f>
        <v>1.1331388114510668</v>
      </c>
    </row>
    <row r="4" spans="1:14" x14ac:dyDescent="0.25">
      <c r="B4" s="5" t="s">
        <v>14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1:14" x14ac:dyDescent="0.25">
      <c r="B5" s="1"/>
      <c r="C5" s="1"/>
      <c r="D5" s="1"/>
      <c r="E5" s="1"/>
      <c r="F5" s="9" t="s">
        <v>12</v>
      </c>
      <c r="G5" s="9" t="s">
        <v>11</v>
      </c>
      <c r="H5" s="9">
        <v>1</v>
      </c>
      <c r="I5" s="2"/>
      <c r="J5" s="2"/>
      <c r="K5" s="2"/>
      <c r="L5" s="2"/>
      <c r="M5" s="2"/>
      <c r="N5" s="2"/>
    </row>
    <row r="6" spans="1:14" x14ac:dyDescent="0.25">
      <c r="B6" s="6" t="s">
        <v>15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B7" t="s">
        <v>16</v>
      </c>
      <c r="F7" t="s">
        <v>12</v>
      </c>
      <c r="G7" t="s">
        <v>11</v>
      </c>
      <c r="H7">
        <v>1</v>
      </c>
      <c r="I7" s="3"/>
      <c r="J7" s="3"/>
      <c r="K7" s="3"/>
      <c r="L7" s="3"/>
      <c r="M7" s="3"/>
      <c r="N7">
        <f>32.6/69.8</f>
        <v>0.46704871060171926</v>
      </c>
    </row>
    <row r="8" spans="1:14" x14ac:dyDescent="0.25">
      <c r="B8" t="s">
        <v>17</v>
      </c>
      <c r="F8" t="s">
        <v>12</v>
      </c>
      <c r="G8" t="s">
        <v>11</v>
      </c>
      <c r="H8">
        <v>1</v>
      </c>
      <c r="N8">
        <f>97.8/23.3</f>
        <v>4.1974248927038627</v>
      </c>
    </row>
    <row r="9" spans="1:14" x14ac:dyDescent="0.25">
      <c r="B9" t="s">
        <v>188</v>
      </c>
      <c r="F9" t="s">
        <v>12</v>
      </c>
      <c r="G9" t="s">
        <v>11</v>
      </c>
      <c r="H9">
        <v>1</v>
      </c>
      <c r="N9">
        <v>0</v>
      </c>
    </row>
    <row r="10" spans="1:14" x14ac:dyDescent="0.25">
      <c r="B10" t="s">
        <v>18</v>
      </c>
      <c r="F10" t="s">
        <v>12</v>
      </c>
      <c r="G10" t="s">
        <v>11</v>
      </c>
      <c r="H10">
        <v>1</v>
      </c>
      <c r="N10">
        <v>1</v>
      </c>
    </row>
    <row r="11" spans="1:14" x14ac:dyDescent="0.25">
      <c r="B11" t="s">
        <v>19</v>
      </c>
      <c r="F11" t="s">
        <v>12</v>
      </c>
      <c r="G11" t="s">
        <v>11</v>
      </c>
      <c r="H11">
        <v>1</v>
      </c>
      <c r="N11">
        <v>1</v>
      </c>
    </row>
    <row r="12" spans="1:14" x14ac:dyDescent="0.25">
      <c r="B12" t="s">
        <v>20</v>
      </c>
      <c r="F12" t="s">
        <v>12</v>
      </c>
      <c r="G12" t="s">
        <v>11</v>
      </c>
      <c r="H12">
        <v>1</v>
      </c>
      <c r="N12">
        <v>1</v>
      </c>
    </row>
    <row r="13" spans="1:14" x14ac:dyDescent="0.25">
      <c r="B13" t="s">
        <v>21</v>
      </c>
      <c r="F13" t="s">
        <v>12</v>
      </c>
      <c r="G13" t="s">
        <v>11</v>
      </c>
      <c r="H13">
        <v>1</v>
      </c>
      <c r="N13">
        <f>N7</f>
        <v>0.46704871060171926</v>
      </c>
    </row>
    <row r="14" spans="1:14" x14ac:dyDescent="0.25">
      <c r="B14" t="s">
        <v>22</v>
      </c>
      <c r="F14" t="s">
        <v>12</v>
      </c>
      <c r="G14" t="s">
        <v>11</v>
      </c>
      <c r="H14">
        <v>1</v>
      </c>
      <c r="N14">
        <f>N8</f>
        <v>4.1974248927038627</v>
      </c>
    </row>
    <row r="15" spans="1:14" x14ac:dyDescent="0.25">
      <c r="B15" t="s">
        <v>23</v>
      </c>
      <c r="F15" t="s">
        <v>12</v>
      </c>
      <c r="G15" t="s">
        <v>11</v>
      </c>
      <c r="H15">
        <v>1</v>
      </c>
      <c r="N15">
        <f>N7</f>
        <v>0.46704871060171926</v>
      </c>
    </row>
    <row r="16" spans="1:14" x14ac:dyDescent="0.25">
      <c r="B16" t="s">
        <v>24</v>
      </c>
      <c r="F16" t="s">
        <v>12</v>
      </c>
      <c r="G16" t="s">
        <v>11</v>
      </c>
      <c r="H16">
        <v>1</v>
      </c>
      <c r="N16">
        <f>N8</f>
        <v>4.1974248927038627</v>
      </c>
    </row>
    <row r="17" spans="2:14" x14ac:dyDescent="0.25">
      <c r="B17" s="4" t="s">
        <v>25</v>
      </c>
      <c r="C17" s="4"/>
      <c r="D17" s="4"/>
      <c r="E17" s="4"/>
      <c r="F17" t="s">
        <v>12</v>
      </c>
      <c r="G17" t="s">
        <v>11</v>
      </c>
      <c r="H17">
        <v>1</v>
      </c>
      <c r="N17">
        <v>1</v>
      </c>
    </row>
    <row r="18" spans="2:14" x14ac:dyDescent="0.25">
      <c r="B18" s="4" t="s">
        <v>26</v>
      </c>
      <c r="C18" s="4"/>
      <c r="D18" s="4"/>
      <c r="E18" s="4"/>
      <c r="F18" t="s">
        <v>12</v>
      </c>
      <c r="G18" t="s">
        <v>11</v>
      </c>
      <c r="H18">
        <v>1</v>
      </c>
      <c r="N18">
        <v>1</v>
      </c>
    </row>
    <row r="19" spans="2:14" x14ac:dyDescent="0.25">
      <c r="B19" s="9" t="s">
        <v>137</v>
      </c>
      <c r="C19" s="9"/>
      <c r="D19" s="9"/>
      <c r="E19" s="9"/>
      <c r="F19" s="9" t="s">
        <v>12</v>
      </c>
      <c r="G19" s="9" t="s">
        <v>96</v>
      </c>
      <c r="H19" s="9">
        <v>0</v>
      </c>
      <c r="I19" s="9"/>
      <c r="J19" s="9"/>
      <c r="K19" s="9"/>
      <c r="L19" s="9"/>
      <c r="M19" s="9"/>
      <c r="N19" s="9">
        <v>7.1</v>
      </c>
    </row>
    <row r="20" spans="2:14" x14ac:dyDescent="0.25">
      <c r="B20" s="6" t="s">
        <v>27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2:14" x14ac:dyDescent="0.25">
      <c r="B21" s="7" t="s">
        <v>28</v>
      </c>
      <c r="C21" s="7"/>
      <c r="D21" s="7"/>
      <c r="E21" s="7"/>
      <c r="F21" t="s">
        <v>12</v>
      </c>
      <c r="G21" t="s">
        <v>11</v>
      </c>
      <c r="H21">
        <v>1</v>
      </c>
      <c r="N21">
        <v>1</v>
      </c>
    </row>
    <row r="22" spans="2:14" x14ac:dyDescent="0.25">
      <c r="B22" s="7" t="s">
        <v>29</v>
      </c>
      <c r="C22" s="7"/>
      <c r="D22" s="7"/>
      <c r="E22" s="7"/>
      <c r="F22" t="s">
        <v>12</v>
      </c>
      <c r="G22" t="s">
        <v>11</v>
      </c>
      <c r="H22">
        <v>1</v>
      </c>
      <c r="N22">
        <v>1</v>
      </c>
    </row>
    <row r="23" spans="2:14" x14ac:dyDescent="0.25">
      <c r="B23" s="7" t="s">
        <v>30</v>
      </c>
      <c r="C23" s="7"/>
      <c r="D23" s="7"/>
      <c r="E23" s="7"/>
      <c r="F23" t="s">
        <v>12</v>
      </c>
      <c r="G23" t="s">
        <v>11</v>
      </c>
      <c r="H23">
        <v>1</v>
      </c>
      <c r="N23">
        <v>1</v>
      </c>
    </row>
    <row r="24" spans="2:14" x14ac:dyDescent="0.25">
      <c r="B24" s="7" t="s">
        <v>31</v>
      </c>
      <c r="C24" s="7"/>
      <c r="D24" s="7"/>
      <c r="E24" s="7"/>
      <c r="F24" t="s">
        <v>12</v>
      </c>
      <c r="G24" t="s">
        <v>11</v>
      </c>
      <c r="H24">
        <v>1</v>
      </c>
      <c r="N24">
        <v>1</v>
      </c>
    </row>
    <row r="25" spans="2:14" x14ac:dyDescent="0.25">
      <c r="B25" s="6" t="s">
        <v>32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2:14" x14ac:dyDescent="0.25">
      <c r="B26" s="7" t="s">
        <v>33</v>
      </c>
      <c r="C26" s="7"/>
      <c r="D26" s="7"/>
      <c r="E26" s="7"/>
      <c r="F26" t="s">
        <v>12</v>
      </c>
      <c r="G26" t="s">
        <v>11</v>
      </c>
      <c r="H26">
        <v>1</v>
      </c>
      <c r="N26">
        <v>3</v>
      </c>
    </row>
    <row r="27" spans="2:14" s="9" customFormat="1" x14ac:dyDescent="0.25">
      <c r="B27" s="9" t="s">
        <v>157</v>
      </c>
      <c r="F27" s="9" t="s">
        <v>12</v>
      </c>
      <c r="G27" s="9" t="s">
        <v>11</v>
      </c>
      <c r="H27" s="9">
        <v>1</v>
      </c>
      <c r="N27" s="9">
        <v>1</v>
      </c>
    </row>
    <row r="28" spans="2:14" x14ac:dyDescent="0.25">
      <c r="B28" s="7" t="s">
        <v>34</v>
      </c>
      <c r="C28" s="7"/>
      <c r="D28" s="7"/>
      <c r="E28" s="7"/>
      <c r="F28" t="s">
        <v>12</v>
      </c>
      <c r="G28" t="s">
        <v>11</v>
      </c>
      <c r="H28">
        <v>1</v>
      </c>
      <c r="N28">
        <v>2</v>
      </c>
    </row>
    <row r="29" spans="2:14" x14ac:dyDescent="0.25">
      <c r="B29" s="7" t="s">
        <v>35</v>
      </c>
      <c r="C29" s="7"/>
      <c r="D29" s="7"/>
      <c r="E29" s="7"/>
      <c r="F29" t="s">
        <v>12</v>
      </c>
      <c r="G29" t="s">
        <v>11</v>
      </c>
      <c r="H29">
        <v>1</v>
      </c>
      <c r="N29">
        <v>3</v>
      </c>
    </row>
    <row r="30" spans="2:14" x14ac:dyDescent="0.25">
      <c r="B30" s="7" t="s">
        <v>36</v>
      </c>
      <c r="C30" s="7"/>
      <c r="D30" s="7"/>
      <c r="E30" s="7"/>
      <c r="F30" t="s">
        <v>12</v>
      </c>
      <c r="G30" t="s">
        <v>11</v>
      </c>
      <c r="H30">
        <v>1</v>
      </c>
      <c r="N30">
        <v>3</v>
      </c>
    </row>
    <row r="31" spans="2:14" x14ac:dyDescent="0.25">
      <c r="B31" s="7" t="s">
        <v>37</v>
      </c>
      <c r="C31" s="7"/>
      <c r="D31" s="7"/>
      <c r="E31" s="7"/>
      <c r="F31" t="s">
        <v>12</v>
      </c>
      <c r="G31" t="s">
        <v>11</v>
      </c>
      <c r="H31">
        <v>1</v>
      </c>
      <c r="N31">
        <v>3</v>
      </c>
    </row>
    <row r="32" spans="2:14" x14ac:dyDescent="0.25">
      <c r="B32" s="7" t="s">
        <v>38</v>
      </c>
      <c r="C32" s="7"/>
      <c r="D32" s="7"/>
      <c r="E32" s="7"/>
      <c r="F32" t="s">
        <v>12</v>
      </c>
      <c r="G32" t="s">
        <v>11</v>
      </c>
      <c r="H32">
        <v>1</v>
      </c>
      <c r="N32">
        <v>3</v>
      </c>
    </row>
    <row r="33" spans="2:15" x14ac:dyDescent="0.25">
      <c r="B33" s="7" t="s">
        <v>39</v>
      </c>
      <c r="C33" s="7"/>
      <c r="D33" s="7"/>
      <c r="E33" s="7"/>
      <c r="F33" t="s">
        <v>12</v>
      </c>
      <c r="G33" t="s">
        <v>11</v>
      </c>
      <c r="H33">
        <v>1</v>
      </c>
      <c r="N33">
        <v>1</v>
      </c>
    </row>
    <row r="34" spans="2:15" x14ac:dyDescent="0.25">
      <c r="B34" s="7" t="s">
        <v>40</v>
      </c>
      <c r="C34" s="7"/>
      <c r="D34" s="7"/>
      <c r="E34" s="7"/>
      <c r="F34" t="s">
        <v>12</v>
      </c>
      <c r="G34" t="s">
        <v>11</v>
      </c>
      <c r="H34">
        <v>1</v>
      </c>
      <c r="N34" s="9">
        <v>1</v>
      </c>
    </row>
    <row r="35" spans="2:15" x14ac:dyDescent="0.25">
      <c r="B35" s="7" t="s">
        <v>41</v>
      </c>
      <c r="C35" s="7"/>
      <c r="D35" s="7"/>
      <c r="E35" s="7"/>
      <c r="F35" t="s">
        <v>12</v>
      </c>
      <c r="G35" t="s">
        <v>11</v>
      </c>
      <c r="H35">
        <v>1</v>
      </c>
      <c r="N35">
        <v>0.5</v>
      </c>
    </row>
    <row r="36" spans="2:15" x14ac:dyDescent="0.25">
      <c r="B36" s="7" t="s">
        <v>42</v>
      </c>
      <c r="C36" s="7"/>
      <c r="D36" s="7"/>
      <c r="E36" s="7"/>
      <c r="F36" t="s">
        <v>12</v>
      </c>
      <c r="G36" t="s">
        <v>11</v>
      </c>
      <c r="H36">
        <v>1</v>
      </c>
      <c r="N36">
        <v>3</v>
      </c>
    </row>
    <row r="37" spans="2:15" x14ac:dyDescent="0.25">
      <c r="B37" s="7"/>
      <c r="C37" s="7"/>
      <c r="D37" s="7"/>
      <c r="E37" s="7"/>
    </row>
    <row r="38" spans="2:15" x14ac:dyDescent="0.25">
      <c r="B38" s="6" t="s">
        <v>43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2:15" x14ac:dyDescent="0.25">
      <c r="B39" s="7" t="s">
        <v>44</v>
      </c>
      <c r="C39" s="7"/>
      <c r="D39" s="7"/>
      <c r="E39" s="7"/>
      <c r="F39" t="s">
        <v>12</v>
      </c>
      <c r="G39" t="s">
        <v>11</v>
      </c>
      <c r="H39">
        <v>1</v>
      </c>
      <c r="N39">
        <v>2</v>
      </c>
    </row>
    <row r="40" spans="2:15" x14ac:dyDescent="0.25">
      <c r="B40" s="7" t="s">
        <v>45</v>
      </c>
      <c r="C40" s="7"/>
      <c r="D40" s="7"/>
      <c r="E40" s="7"/>
      <c r="F40" t="s">
        <v>12</v>
      </c>
      <c r="G40" t="s">
        <v>11</v>
      </c>
      <c r="H40">
        <v>1</v>
      </c>
      <c r="N40">
        <v>2</v>
      </c>
    </row>
    <row r="41" spans="2:15" x14ac:dyDescent="0.25">
      <c r="B41" s="7" t="s">
        <v>46</v>
      </c>
      <c r="C41" s="7"/>
      <c r="D41" s="7"/>
      <c r="E41" s="7"/>
      <c r="F41" t="s">
        <v>12</v>
      </c>
      <c r="G41" t="s">
        <v>11</v>
      </c>
      <c r="H41">
        <v>1</v>
      </c>
      <c r="N41">
        <v>2</v>
      </c>
    </row>
    <row r="42" spans="2:15" x14ac:dyDescent="0.25">
      <c r="B42" s="7" t="s">
        <v>47</v>
      </c>
      <c r="C42" s="7"/>
      <c r="D42" s="7"/>
      <c r="E42" s="7"/>
      <c r="F42" t="s">
        <v>12</v>
      </c>
      <c r="G42" t="s">
        <v>11</v>
      </c>
      <c r="H42">
        <v>1</v>
      </c>
      <c r="N42">
        <v>2</v>
      </c>
    </row>
    <row r="43" spans="2:15" x14ac:dyDescent="0.25">
      <c r="B43" s="7" t="s">
        <v>48</v>
      </c>
      <c r="C43" s="7"/>
      <c r="D43" s="7"/>
      <c r="E43" s="7"/>
      <c r="F43" t="s">
        <v>12</v>
      </c>
      <c r="G43" t="s">
        <v>11</v>
      </c>
      <c r="H43">
        <v>1</v>
      </c>
      <c r="N43">
        <v>2</v>
      </c>
    </row>
    <row r="44" spans="2:15" x14ac:dyDescent="0.25">
      <c r="B44" s="7" t="s">
        <v>49</v>
      </c>
      <c r="C44" s="7"/>
      <c r="D44" s="7"/>
      <c r="E44" s="7"/>
      <c r="F44" t="s">
        <v>12</v>
      </c>
      <c r="G44" t="s">
        <v>11</v>
      </c>
      <c r="H44">
        <v>1</v>
      </c>
      <c r="N44">
        <v>2</v>
      </c>
    </row>
    <row r="45" spans="2:15" x14ac:dyDescent="0.25">
      <c r="B45" s="7" t="s">
        <v>50</v>
      </c>
      <c r="C45" s="7"/>
      <c r="D45" s="7"/>
      <c r="E45" s="7"/>
      <c r="F45" t="s">
        <v>12</v>
      </c>
      <c r="G45" t="s">
        <v>96</v>
      </c>
      <c r="H45">
        <v>0.2</v>
      </c>
      <c r="N45">
        <v>20</v>
      </c>
      <c r="O45" t="s">
        <v>161</v>
      </c>
    </row>
    <row r="46" spans="2:15" x14ac:dyDescent="0.25">
      <c r="B46" s="7" t="s">
        <v>51</v>
      </c>
      <c r="C46" s="7"/>
      <c r="D46" s="7"/>
      <c r="E46" s="7"/>
      <c r="F46" t="s">
        <v>12</v>
      </c>
      <c r="G46" t="s">
        <v>96</v>
      </c>
      <c r="H46">
        <v>0.5</v>
      </c>
      <c r="N46">
        <f>10+10</f>
        <v>20</v>
      </c>
      <c r="O46" t="s">
        <v>160</v>
      </c>
    </row>
    <row r="47" spans="2:15" x14ac:dyDescent="0.25">
      <c r="B47" s="6" t="s">
        <v>52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2:15" x14ac:dyDescent="0.25">
      <c r="B48" s="4" t="s">
        <v>53</v>
      </c>
      <c r="C48" s="4"/>
      <c r="D48" s="4"/>
      <c r="E48" s="4"/>
      <c r="F48" t="s">
        <v>12</v>
      </c>
      <c r="G48" t="s">
        <v>11</v>
      </c>
      <c r="H48">
        <v>1</v>
      </c>
      <c r="N48" s="3">
        <f>2/3</f>
        <v>0.66666666666666663</v>
      </c>
    </row>
    <row r="49" spans="2:14" x14ac:dyDescent="0.25">
      <c r="B49" s="4" t="s">
        <v>54</v>
      </c>
      <c r="C49" s="4"/>
      <c r="D49" s="4"/>
      <c r="E49" s="4"/>
      <c r="F49" t="s">
        <v>12</v>
      </c>
      <c r="G49" t="s">
        <v>11</v>
      </c>
      <c r="H49">
        <v>1</v>
      </c>
      <c r="N49" s="3">
        <f t="shared" ref="N49:N56" si="0">2/3</f>
        <v>0.66666666666666663</v>
      </c>
    </row>
    <row r="50" spans="2:14" x14ac:dyDescent="0.25">
      <c r="B50" s="4" t="s">
        <v>55</v>
      </c>
      <c r="C50" s="4"/>
      <c r="D50" s="4"/>
      <c r="E50" s="4"/>
      <c r="F50" t="s">
        <v>12</v>
      </c>
      <c r="G50" t="s">
        <v>11</v>
      </c>
      <c r="H50">
        <v>1</v>
      </c>
      <c r="N50" s="3">
        <f t="shared" si="0"/>
        <v>0.66666666666666663</v>
      </c>
    </row>
    <row r="51" spans="2:14" x14ac:dyDescent="0.25">
      <c r="B51" s="4" t="s">
        <v>56</v>
      </c>
      <c r="C51" s="4"/>
      <c r="D51" s="4"/>
      <c r="E51" s="4"/>
      <c r="F51" t="s">
        <v>12</v>
      </c>
      <c r="G51" t="s">
        <v>11</v>
      </c>
      <c r="H51">
        <v>1</v>
      </c>
      <c r="N51" s="3">
        <f t="shared" si="0"/>
        <v>0.66666666666666663</v>
      </c>
    </row>
    <row r="52" spans="2:14" x14ac:dyDescent="0.25">
      <c r="B52" s="4" t="s">
        <v>57</v>
      </c>
      <c r="C52" s="4"/>
      <c r="D52" s="4"/>
      <c r="E52" s="4"/>
      <c r="F52" t="s">
        <v>12</v>
      </c>
      <c r="G52" t="s">
        <v>11</v>
      </c>
      <c r="H52">
        <v>1</v>
      </c>
      <c r="N52" s="3">
        <f t="shared" si="0"/>
        <v>0.66666666666666663</v>
      </c>
    </row>
    <row r="53" spans="2:14" x14ac:dyDescent="0.25">
      <c r="B53" s="4" t="s">
        <v>58</v>
      </c>
      <c r="C53" s="4"/>
      <c r="D53" s="4"/>
      <c r="E53" s="4"/>
      <c r="F53" t="s">
        <v>12</v>
      </c>
      <c r="G53" t="s">
        <v>11</v>
      </c>
      <c r="H53">
        <v>1</v>
      </c>
      <c r="N53" s="3">
        <f t="shared" si="0"/>
        <v>0.66666666666666663</v>
      </c>
    </row>
    <row r="54" spans="2:14" x14ac:dyDescent="0.25">
      <c r="B54" s="4" t="s">
        <v>59</v>
      </c>
      <c r="C54" s="4"/>
      <c r="D54" s="4"/>
      <c r="E54" s="4"/>
      <c r="F54" t="s">
        <v>12</v>
      </c>
      <c r="G54" t="s">
        <v>11</v>
      </c>
      <c r="H54">
        <v>1</v>
      </c>
      <c r="N54" s="3">
        <f t="shared" si="0"/>
        <v>0.66666666666666663</v>
      </c>
    </row>
    <row r="55" spans="2:14" x14ac:dyDescent="0.25">
      <c r="B55" s="4" t="s">
        <v>60</v>
      </c>
      <c r="C55" s="4"/>
      <c r="D55" s="4"/>
      <c r="E55" s="4"/>
      <c r="F55" t="s">
        <v>12</v>
      </c>
      <c r="G55" t="s">
        <v>11</v>
      </c>
      <c r="H55">
        <v>1</v>
      </c>
      <c r="N55" s="3">
        <f t="shared" si="0"/>
        <v>0.66666666666666663</v>
      </c>
    </row>
    <row r="56" spans="2:14" x14ac:dyDescent="0.25">
      <c r="B56" s="4" t="s">
        <v>61</v>
      </c>
      <c r="C56" s="4"/>
      <c r="D56" s="4"/>
      <c r="E56" s="4"/>
      <c r="F56" t="s">
        <v>12</v>
      </c>
      <c r="G56" t="s">
        <v>11</v>
      </c>
      <c r="H56">
        <v>1</v>
      </c>
      <c r="N56" s="3">
        <f t="shared" si="0"/>
        <v>0.66666666666666663</v>
      </c>
    </row>
    <row r="57" spans="2:14" x14ac:dyDescent="0.25">
      <c r="B57" s="6" t="s">
        <v>62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2:14" x14ac:dyDescent="0.25">
      <c r="B58" t="s">
        <v>13</v>
      </c>
      <c r="F58" t="s">
        <v>12</v>
      </c>
      <c r="G58" t="s">
        <v>11</v>
      </c>
      <c r="H58">
        <v>1</v>
      </c>
      <c r="N58" s="3">
        <v>0.1</v>
      </c>
    </row>
    <row r="59" spans="2:14" x14ac:dyDescent="0.25">
      <c r="B59" t="s">
        <v>63</v>
      </c>
      <c r="F59" t="s">
        <v>12</v>
      </c>
      <c r="G59" t="s">
        <v>11</v>
      </c>
      <c r="H59">
        <v>1</v>
      </c>
      <c r="N59" s="3">
        <f>13/39.9</f>
        <v>0.32581453634085217</v>
      </c>
    </row>
    <row r="60" spans="2:14" x14ac:dyDescent="0.25">
      <c r="B60" t="s">
        <v>159</v>
      </c>
      <c r="F60" t="s">
        <v>12</v>
      </c>
      <c r="G60" t="s">
        <v>11</v>
      </c>
      <c r="H60">
        <v>1</v>
      </c>
      <c r="N60" s="3">
        <f>1/2.9</f>
        <v>0.34482758620689657</v>
      </c>
    </row>
    <row r="61" spans="2:14" x14ac:dyDescent="0.25">
      <c r="B61" t="s">
        <v>64</v>
      </c>
      <c r="F61" t="s">
        <v>12</v>
      </c>
      <c r="G61" t="s">
        <v>11</v>
      </c>
      <c r="H61">
        <v>1</v>
      </c>
      <c r="N61" s="3">
        <v>0.2</v>
      </c>
    </row>
    <row r="62" spans="2:14" x14ac:dyDescent="0.25">
      <c r="B62" s="6" t="s">
        <v>65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2:14" x14ac:dyDescent="0.25">
      <c r="B63" t="s">
        <v>65</v>
      </c>
      <c r="F63" t="s">
        <v>12</v>
      </c>
      <c r="G63" t="s">
        <v>11</v>
      </c>
      <c r="H63">
        <v>1</v>
      </c>
      <c r="N63" s="3">
        <f>25/29.3</f>
        <v>0.85324232081911255</v>
      </c>
    </row>
    <row r="64" spans="2:14" x14ac:dyDescent="0.25">
      <c r="B64" s="9" t="s">
        <v>138</v>
      </c>
      <c r="C64" s="9"/>
      <c r="D64" s="9"/>
      <c r="E64" s="9"/>
      <c r="F64" s="9" t="s">
        <v>12</v>
      </c>
      <c r="G64" s="9" t="s">
        <v>96</v>
      </c>
      <c r="H64" s="9">
        <v>0</v>
      </c>
      <c r="I64" s="9"/>
      <c r="J64" s="9"/>
      <c r="K64" s="9"/>
      <c r="L64" s="9"/>
      <c r="M64" s="9"/>
      <c r="N64" s="35">
        <f>N122*0.060606</f>
        <v>0</v>
      </c>
    </row>
    <row r="65" spans="2:15" x14ac:dyDescent="0.25">
      <c r="B65" s="6" t="s">
        <v>66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2:15" x14ac:dyDescent="0.25">
      <c r="B66" s="6" t="s">
        <v>67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2:15" x14ac:dyDescent="0.25">
      <c r="B67" t="s">
        <v>68</v>
      </c>
      <c r="F67" t="s">
        <v>12</v>
      </c>
      <c r="G67" t="s">
        <v>11</v>
      </c>
      <c r="H67">
        <v>1</v>
      </c>
      <c r="N67">
        <v>10</v>
      </c>
    </row>
    <row r="68" spans="2:15" x14ac:dyDescent="0.25">
      <c r="B68" s="8" t="s">
        <v>69</v>
      </c>
      <c r="C68" s="8"/>
      <c r="D68" s="8"/>
      <c r="E68" s="8"/>
      <c r="F68" t="s">
        <v>12</v>
      </c>
      <c r="G68" t="s">
        <v>96</v>
      </c>
      <c r="H68">
        <v>0</v>
      </c>
      <c r="N68">
        <v>24</v>
      </c>
    </row>
    <row r="69" spans="2:15" x14ac:dyDescent="0.25">
      <c r="B69" s="8" t="s">
        <v>70</v>
      </c>
      <c r="C69" s="8"/>
      <c r="D69" s="8"/>
      <c r="E69" s="8"/>
      <c r="F69" t="s">
        <v>12</v>
      </c>
      <c r="G69" t="s">
        <v>11</v>
      </c>
      <c r="H69">
        <v>1</v>
      </c>
      <c r="N69">
        <f>(4.8+0.3)/0.7</f>
        <v>7.2857142857142856</v>
      </c>
      <c r="O69" t="s">
        <v>162</v>
      </c>
    </row>
    <row r="70" spans="2:15" x14ac:dyDescent="0.25">
      <c r="B70" s="8" t="s">
        <v>71</v>
      </c>
      <c r="C70" s="8"/>
      <c r="D70" s="8"/>
      <c r="E70" s="8"/>
      <c r="F70" t="s">
        <v>12</v>
      </c>
      <c r="G70" t="s">
        <v>11</v>
      </c>
      <c r="H70">
        <v>1</v>
      </c>
      <c r="N70">
        <v>1</v>
      </c>
    </row>
    <row r="71" spans="2:15" x14ac:dyDescent="0.25">
      <c r="B71" s="8" t="s">
        <v>72</v>
      </c>
      <c r="C71" s="8"/>
      <c r="D71" s="8"/>
      <c r="E71" s="8"/>
      <c r="F71" t="s">
        <v>12</v>
      </c>
      <c r="G71" t="s">
        <v>11</v>
      </c>
      <c r="H71">
        <v>1</v>
      </c>
      <c r="N71">
        <v>2</v>
      </c>
    </row>
    <row r="72" spans="2:15" x14ac:dyDescent="0.25">
      <c r="B72" s="9" t="s">
        <v>139</v>
      </c>
      <c r="C72" s="9"/>
      <c r="D72" s="9"/>
      <c r="E72" s="9"/>
      <c r="F72" s="9" t="s">
        <v>12</v>
      </c>
      <c r="G72" s="9" t="s">
        <v>96</v>
      </c>
      <c r="H72" s="9">
        <v>0</v>
      </c>
      <c r="I72" s="9"/>
      <c r="J72" s="9"/>
      <c r="K72" s="9"/>
      <c r="L72" s="9"/>
      <c r="M72" s="9"/>
      <c r="N72" s="9">
        <v>3</v>
      </c>
    </row>
    <row r="73" spans="2:15" x14ac:dyDescent="0.25">
      <c r="B73" s="9" t="s">
        <v>140</v>
      </c>
      <c r="C73" s="9"/>
      <c r="D73" s="9"/>
      <c r="E73" s="9"/>
      <c r="F73" s="9" t="s">
        <v>12</v>
      </c>
      <c r="G73" s="9" t="s">
        <v>96</v>
      </c>
      <c r="H73" s="9">
        <v>0</v>
      </c>
      <c r="I73" s="9"/>
      <c r="J73" s="9"/>
      <c r="K73" s="9"/>
      <c r="L73" s="9"/>
      <c r="M73" s="9"/>
      <c r="N73" s="9">
        <v>3</v>
      </c>
    </row>
    <row r="74" spans="2:15" x14ac:dyDescent="0.25">
      <c r="B74" s="6" t="s">
        <v>73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 s="29" customFormat="1" x14ac:dyDescent="0.25">
      <c r="B75" s="36" t="s">
        <v>141</v>
      </c>
      <c r="C75" s="36"/>
      <c r="D75" s="36"/>
      <c r="E75" s="36"/>
      <c r="F75" s="36" t="s">
        <v>12</v>
      </c>
      <c r="G75" s="36" t="s">
        <v>11</v>
      </c>
      <c r="H75" s="36">
        <v>1</v>
      </c>
      <c r="I75" s="36"/>
      <c r="J75" s="36"/>
      <c r="K75" s="36"/>
      <c r="L75" s="36"/>
      <c r="M75" s="36"/>
      <c r="N75" s="36">
        <v>10</v>
      </c>
    </row>
    <row r="76" spans="2:15" s="29" customFormat="1" x14ac:dyDescent="0.25">
      <c r="B76" s="36" t="s">
        <v>142</v>
      </c>
      <c r="C76" s="36"/>
      <c r="D76" s="36"/>
      <c r="E76" s="36"/>
      <c r="F76" s="36" t="s">
        <v>12</v>
      </c>
      <c r="G76" s="36" t="s">
        <v>11</v>
      </c>
      <c r="H76" s="36">
        <v>1</v>
      </c>
      <c r="I76" s="36"/>
      <c r="J76" s="36"/>
      <c r="K76" s="36"/>
      <c r="L76" s="36"/>
      <c r="M76" s="36"/>
      <c r="N76" s="36">
        <v>10</v>
      </c>
    </row>
    <row r="77" spans="2:15" s="29" customFormat="1" x14ac:dyDescent="0.25">
      <c r="B77" s="38" t="s">
        <v>143</v>
      </c>
      <c r="C77" s="38"/>
      <c r="D77" s="38"/>
      <c r="E77" s="38"/>
      <c r="F77" s="37"/>
      <c r="G77" s="37"/>
      <c r="H77" s="37"/>
      <c r="I77" s="37"/>
      <c r="J77" s="37"/>
      <c r="K77" s="37"/>
      <c r="L77" s="37"/>
      <c r="M77" s="37"/>
      <c r="N77" s="37"/>
    </row>
    <row r="78" spans="2:15" s="29" customFormat="1" x14ac:dyDescent="0.25">
      <c r="B78" s="36" t="s">
        <v>144</v>
      </c>
      <c r="C78" s="36"/>
      <c r="D78" s="36"/>
      <c r="E78" s="36"/>
      <c r="F78" s="36" t="s">
        <v>12</v>
      </c>
      <c r="G78" s="36" t="s">
        <v>96</v>
      </c>
      <c r="H78" s="36">
        <v>0</v>
      </c>
      <c r="I78" s="36"/>
      <c r="J78" s="36"/>
      <c r="K78" s="36"/>
      <c r="L78" s="36"/>
      <c r="M78" s="36"/>
      <c r="N78" s="36">
        <v>7</v>
      </c>
    </row>
    <row r="79" spans="2:15" x14ac:dyDescent="0.25">
      <c r="B79" s="6" t="s">
        <v>74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2:15" x14ac:dyDescent="0.25">
      <c r="B80" t="s">
        <v>75</v>
      </c>
      <c r="F80" t="s">
        <v>12</v>
      </c>
      <c r="G80" t="s">
        <v>11</v>
      </c>
      <c r="H80">
        <v>1</v>
      </c>
      <c r="N80">
        <v>2</v>
      </c>
    </row>
    <row r="81" spans="2:15" x14ac:dyDescent="0.25">
      <c r="B81" s="9" t="s">
        <v>145</v>
      </c>
      <c r="C81" s="9"/>
      <c r="D81" s="9"/>
      <c r="E81" s="9"/>
      <c r="F81" s="9" t="s">
        <v>12</v>
      </c>
      <c r="G81" s="9" t="s">
        <v>96</v>
      </c>
      <c r="H81" s="39">
        <v>0</v>
      </c>
      <c r="I81" s="9"/>
      <c r="J81" s="9"/>
      <c r="K81" s="9"/>
      <c r="L81" s="9"/>
      <c r="M81" s="9"/>
      <c r="N81" s="39">
        <f>N97*0.092+N100*0.008+N98*0.097</f>
        <v>0</v>
      </c>
      <c r="O81" t="s">
        <v>158</v>
      </c>
    </row>
    <row r="82" spans="2:15" x14ac:dyDescent="0.25">
      <c r="B82" t="s">
        <v>76</v>
      </c>
      <c r="F82" t="s">
        <v>12</v>
      </c>
      <c r="G82" t="s">
        <v>11</v>
      </c>
      <c r="H82">
        <v>1</v>
      </c>
      <c r="N82">
        <v>1</v>
      </c>
    </row>
    <row r="83" spans="2:15" x14ac:dyDescent="0.25">
      <c r="B83" t="s">
        <v>77</v>
      </c>
      <c r="F83" t="s">
        <v>12</v>
      </c>
      <c r="G83" t="s">
        <v>11</v>
      </c>
      <c r="H83">
        <v>1</v>
      </c>
      <c r="N83">
        <v>1</v>
      </c>
    </row>
    <row r="84" spans="2:15" x14ac:dyDescent="0.25">
      <c r="B84" s="6" t="s">
        <v>78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2:15" x14ac:dyDescent="0.25">
      <c r="B85" t="s">
        <v>79</v>
      </c>
      <c r="F85" t="s">
        <v>12</v>
      </c>
      <c r="G85" t="s">
        <v>11</v>
      </c>
      <c r="H85">
        <v>1</v>
      </c>
      <c r="N85" s="3">
        <f>1/4</f>
        <v>0.25</v>
      </c>
    </row>
    <row r="86" spans="2:15" x14ac:dyDescent="0.25">
      <c r="B86" t="s">
        <v>80</v>
      </c>
      <c r="F86" t="s">
        <v>12</v>
      </c>
      <c r="G86" t="s">
        <v>11</v>
      </c>
      <c r="H86">
        <v>1</v>
      </c>
      <c r="N86" s="3">
        <f>1/4</f>
        <v>0.25</v>
      </c>
    </row>
    <row r="87" spans="2:15" x14ac:dyDescent="0.25">
      <c r="B87" t="s">
        <v>81</v>
      </c>
      <c r="F87" t="s">
        <v>12</v>
      </c>
      <c r="G87" t="s">
        <v>11</v>
      </c>
      <c r="H87">
        <v>1</v>
      </c>
      <c r="N87" s="3">
        <f>1/4</f>
        <v>0.25</v>
      </c>
    </row>
    <row r="88" spans="2:15" x14ac:dyDescent="0.25">
      <c r="B88" s="6" t="s">
        <v>82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2:15" x14ac:dyDescent="0.25">
      <c r="B89" t="s">
        <v>83</v>
      </c>
      <c r="F89" t="s">
        <v>12</v>
      </c>
      <c r="G89" t="s">
        <v>11</v>
      </c>
      <c r="H89">
        <v>1</v>
      </c>
      <c r="N89" s="3">
        <f>2/3</f>
        <v>0.66666666666666663</v>
      </c>
    </row>
    <row r="90" spans="2:15" x14ac:dyDescent="0.25">
      <c r="B90" t="s">
        <v>84</v>
      </c>
      <c r="F90" t="s">
        <v>12</v>
      </c>
      <c r="G90" t="s">
        <v>11</v>
      </c>
      <c r="H90">
        <v>1</v>
      </c>
      <c r="N90" s="3">
        <f>2/3</f>
        <v>0.66666666666666663</v>
      </c>
    </row>
    <row r="91" spans="2:15" x14ac:dyDescent="0.25">
      <c r="B91" t="s">
        <v>85</v>
      </c>
      <c r="F91" t="s">
        <v>12</v>
      </c>
      <c r="G91" t="s">
        <v>11</v>
      </c>
      <c r="H91">
        <v>1</v>
      </c>
      <c r="N91" s="3">
        <f>2/3</f>
        <v>0.66666666666666663</v>
      </c>
    </row>
    <row r="92" spans="2:15" x14ac:dyDescent="0.25">
      <c r="B92" t="s">
        <v>86</v>
      </c>
      <c r="F92" t="s">
        <v>12</v>
      </c>
      <c r="G92" t="s">
        <v>11</v>
      </c>
      <c r="H92">
        <v>1</v>
      </c>
      <c r="N92" s="3">
        <f>2/3</f>
        <v>0.66666666666666663</v>
      </c>
    </row>
    <row r="93" spans="2:15" x14ac:dyDescent="0.25">
      <c r="B93" s="6" t="s">
        <v>87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2:15" x14ac:dyDescent="0.25">
      <c r="B94" s="6" t="s">
        <v>88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5" x14ac:dyDescent="0.25">
      <c r="B95" s="6" t="s">
        <v>89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2:15" x14ac:dyDescent="0.25">
      <c r="B96" s="6" t="s">
        <v>90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2:14" s="33" customFormat="1" x14ac:dyDescent="0.25">
      <c r="B97" s="34" t="s">
        <v>135</v>
      </c>
      <c r="C97" s="34"/>
      <c r="D97" s="34"/>
      <c r="E97" s="34"/>
      <c r="F97" s="34" t="s">
        <v>12</v>
      </c>
      <c r="G97" s="34" t="s">
        <v>96</v>
      </c>
      <c r="H97" s="34">
        <v>0</v>
      </c>
      <c r="I97" s="34"/>
      <c r="J97" s="34"/>
      <c r="K97" s="34"/>
      <c r="L97" s="34"/>
      <c r="M97" s="34"/>
      <c r="N97" s="34">
        <v>0</v>
      </c>
    </row>
    <row r="98" spans="2:14" x14ac:dyDescent="0.25">
      <c r="B98" s="34" t="s">
        <v>146</v>
      </c>
      <c r="C98" s="34"/>
      <c r="D98" s="34"/>
      <c r="E98" s="34"/>
      <c r="F98" s="9" t="s">
        <v>12</v>
      </c>
      <c r="G98" s="9" t="s">
        <v>96</v>
      </c>
      <c r="H98" s="9">
        <v>0</v>
      </c>
      <c r="I98" s="9"/>
      <c r="J98" s="9"/>
      <c r="K98" s="9"/>
      <c r="L98" s="9"/>
      <c r="M98" s="9"/>
      <c r="N98" s="9">
        <v>0</v>
      </c>
    </row>
    <row r="99" spans="2:14" x14ac:dyDescent="0.25">
      <c r="B99" s="34" t="s">
        <v>136</v>
      </c>
      <c r="C99" s="34"/>
      <c r="D99" s="34"/>
      <c r="E99" s="34"/>
      <c r="F99" s="9" t="s">
        <v>12</v>
      </c>
      <c r="G99" s="9" t="s">
        <v>96</v>
      </c>
      <c r="H99" s="9">
        <v>0</v>
      </c>
      <c r="I99" s="9"/>
      <c r="J99" s="9"/>
      <c r="K99" s="9"/>
      <c r="L99" s="9"/>
      <c r="M99" s="9"/>
      <c r="N99" s="9">
        <v>0</v>
      </c>
    </row>
    <row r="100" spans="2:14" x14ac:dyDescent="0.25">
      <c r="B100" s="34" t="s">
        <v>147</v>
      </c>
      <c r="C100" s="34"/>
      <c r="D100" s="34"/>
      <c r="E100" s="34"/>
      <c r="F100" s="9" t="s">
        <v>12</v>
      </c>
      <c r="G100" s="9" t="s">
        <v>96</v>
      </c>
      <c r="H100" s="9">
        <v>0</v>
      </c>
      <c r="I100" s="9"/>
      <c r="J100" s="9"/>
      <c r="K100" s="9"/>
      <c r="L100" s="9"/>
      <c r="M100" s="9"/>
      <c r="N100" s="9">
        <v>0</v>
      </c>
    </row>
    <row r="101" spans="2:14" x14ac:dyDescent="0.25">
      <c r="B101" s="34" t="s">
        <v>148</v>
      </c>
      <c r="C101" s="34"/>
      <c r="D101" s="34"/>
      <c r="E101" s="34"/>
      <c r="F101" s="9" t="s">
        <v>12</v>
      </c>
      <c r="G101" s="9" t="s">
        <v>96</v>
      </c>
      <c r="H101" s="9">
        <v>0</v>
      </c>
      <c r="I101" s="9"/>
      <c r="J101" s="9"/>
      <c r="K101" s="9"/>
      <c r="L101" s="9"/>
      <c r="M101" s="9"/>
      <c r="N101" s="9">
        <v>0</v>
      </c>
    </row>
    <row r="102" spans="2:14" x14ac:dyDescent="0.25">
      <c r="B102" s="34" t="s">
        <v>149</v>
      </c>
      <c r="C102" s="34"/>
      <c r="D102" s="34"/>
      <c r="E102" s="34"/>
      <c r="F102" s="9" t="s">
        <v>12</v>
      </c>
      <c r="G102" s="9" t="s">
        <v>96</v>
      </c>
      <c r="H102" s="9">
        <v>0</v>
      </c>
      <c r="I102" s="9"/>
      <c r="J102" s="9"/>
      <c r="K102" s="9"/>
      <c r="L102" s="9"/>
      <c r="M102" s="9"/>
      <c r="N102" s="9">
        <v>0</v>
      </c>
    </row>
    <row r="103" spans="2:14" x14ac:dyDescent="0.25">
      <c r="B103" s="34" t="s">
        <v>150</v>
      </c>
      <c r="C103" s="34"/>
      <c r="D103" s="34"/>
      <c r="E103" s="34"/>
      <c r="F103" s="9" t="s">
        <v>12</v>
      </c>
      <c r="G103" s="9" t="s">
        <v>96</v>
      </c>
      <c r="H103" s="9">
        <v>0</v>
      </c>
      <c r="I103" s="9"/>
      <c r="J103" s="9"/>
      <c r="K103" s="9"/>
      <c r="L103" s="9"/>
      <c r="M103" s="9"/>
      <c r="N103" s="9">
        <v>0</v>
      </c>
    </row>
    <row r="104" spans="2:14" x14ac:dyDescent="0.25">
      <c r="B104" s="34" t="s">
        <v>151</v>
      </c>
      <c r="C104" s="34"/>
      <c r="D104" s="34"/>
      <c r="E104" s="34"/>
      <c r="F104" s="9" t="s">
        <v>12</v>
      </c>
      <c r="G104" s="9" t="s">
        <v>96</v>
      </c>
      <c r="H104" s="9">
        <v>0</v>
      </c>
      <c r="I104" s="9"/>
      <c r="J104" s="9"/>
      <c r="K104" s="9"/>
      <c r="L104" s="9"/>
      <c r="M104" s="9"/>
      <c r="N104" s="9">
        <v>10</v>
      </c>
    </row>
    <row r="105" spans="2:14" x14ac:dyDescent="0.25">
      <c r="B105" s="34" t="s">
        <v>152</v>
      </c>
      <c r="C105" s="34"/>
      <c r="D105" s="34"/>
      <c r="E105" s="34"/>
      <c r="F105" s="9" t="s">
        <v>12</v>
      </c>
      <c r="G105" s="9" t="s">
        <v>96</v>
      </c>
      <c r="H105" s="9">
        <v>0</v>
      </c>
      <c r="I105" s="9"/>
      <c r="J105" s="9"/>
      <c r="K105" s="9"/>
      <c r="L105" s="9"/>
      <c r="M105" s="9"/>
      <c r="N105" s="9">
        <v>10</v>
      </c>
    </row>
    <row r="106" spans="2:14" x14ac:dyDescent="0.25">
      <c r="B106" s="34" t="s">
        <v>153</v>
      </c>
      <c r="C106" s="34"/>
      <c r="D106" s="34"/>
      <c r="E106" s="34"/>
      <c r="F106" s="9" t="s">
        <v>12</v>
      </c>
      <c r="G106" s="9" t="s">
        <v>96</v>
      </c>
      <c r="H106" s="9">
        <v>0</v>
      </c>
      <c r="I106" s="9"/>
      <c r="J106" s="9"/>
      <c r="K106" s="9"/>
      <c r="L106" s="9"/>
      <c r="M106" s="9"/>
      <c r="N106" s="9">
        <v>0</v>
      </c>
    </row>
    <row r="107" spans="2:14" x14ac:dyDescent="0.25">
      <c r="B107" s="34" t="s">
        <v>154</v>
      </c>
      <c r="C107" s="34"/>
      <c r="D107" s="34"/>
      <c r="E107" s="34"/>
      <c r="F107" s="9" t="s">
        <v>12</v>
      </c>
      <c r="G107" s="9" t="s">
        <v>96</v>
      </c>
      <c r="H107" s="9">
        <v>0</v>
      </c>
      <c r="I107" s="9"/>
      <c r="J107" s="9"/>
      <c r="K107" s="9"/>
      <c r="L107" s="9"/>
      <c r="M107" s="9"/>
      <c r="N107" s="9">
        <v>0</v>
      </c>
    </row>
    <row r="108" spans="2:14" x14ac:dyDescent="0.25">
      <c r="B108" s="34" t="s">
        <v>155</v>
      </c>
      <c r="C108" s="34"/>
      <c r="D108" s="34"/>
      <c r="E108" s="34"/>
      <c r="F108" s="9" t="s">
        <v>12</v>
      </c>
      <c r="G108" s="9" t="s">
        <v>96</v>
      </c>
      <c r="H108" s="9">
        <v>0</v>
      </c>
      <c r="I108" s="9"/>
      <c r="J108" s="9"/>
      <c r="K108" s="9"/>
      <c r="L108" s="9"/>
      <c r="M108" s="9"/>
      <c r="N108" s="9">
        <v>0</v>
      </c>
    </row>
    <row r="109" spans="2:14" x14ac:dyDescent="0.25">
      <c r="B109" s="34" t="s">
        <v>156</v>
      </c>
      <c r="C109" s="34"/>
      <c r="D109" s="34"/>
      <c r="E109" s="34"/>
      <c r="F109" s="9" t="s">
        <v>12</v>
      </c>
      <c r="G109" s="9" t="s">
        <v>96</v>
      </c>
      <c r="H109" s="9">
        <v>0</v>
      </c>
      <c r="I109" s="9"/>
      <c r="J109" s="9"/>
      <c r="K109" s="9"/>
      <c r="L109" s="9"/>
      <c r="M109" s="9"/>
      <c r="N109" s="9">
        <v>0</v>
      </c>
    </row>
    <row r="110" spans="2:14" x14ac:dyDescent="0.25">
      <c r="B110" s="34"/>
      <c r="C110" s="34"/>
      <c r="D110" s="34"/>
      <c r="E110" s="34"/>
      <c r="F110" s="9"/>
      <c r="G110" s="9"/>
      <c r="H110" s="9"/>
      <c r="I110" s="9"/>
      <c r="J110" s="9"/>
      <c r="K110" s="9"/>
      <c r="L110" s="9"/>
      <c r="M110" s="9"/>
      <c r="N110" s="9"/>
    </row>
    <row r="111" spans="2:14" x14ac:dyDescent="0.25">
      <c r="B111" s="5" t="s">
        <v>92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2:14" x14ac:dyDescent="0.25">
      <c r="F112" s="9" t="s">
        <v>95</v>
      </c>
      <c r="G112" s="9" t="s">
        <v>11</v>
      </c>
      <c r="H112" s="9">
        <v>1</v>
      </c>
    </row>
    <row r="113" spans="2:14" x14ac:dyDescent="0.25">
      <c r="B113" s="6" t="s">
        <v>15</v>
      </c>
      <c r="C113" s="6"/>
      <c r="D113" s="6"/>
      <c r="E113" s="6"/>
      <c r="F113" s="6"/>
      <c r="G113" s="6"/>
      <c r="H113" s="10"/>
      <c r="I113" s="6"/>
      <c r="J113" s="6"/>
      <c r="K113" s="6"/>
      <c r="L113" s="6"/>
      <c r="M113" s="6"/>
      <c r="N113" s="6"/>
    </row>
    <row r="114" spans="2:14" x14ac:dyDescent="0.25">
      <c r="B114" t="s">
        <v>16</v>
      </c>
      <c r="F114" t="s">
        <v>95</v>
      </c>
      <c r="G114" t="s">
        <v>96</v>
      </c>
      <c r="H114">
        <v>22</v>
      </c>
      <c r="N114">
        <f>H114-20</f>
        <v>2</v>
      </c>
    </row>
    <row r="115" spans="2:14" x14ac:dyDescent="0.25">
      <c r="B115" t="s">
        <v>17</v>
      </c>
      <c r="F115" t="s">
        <v>95</v>
      </c>
      <c r="G115" t="s">
        <v>96</v>
      </c>
      <c r="H115" s="11">
        <f>H114</f>
        <v>22</v>
      </c>
      <c r="N115">
        <f>H115-20</f>
        <v>2</v>
      </c>
    </row>
    <row r="116" spans="2:14" x14ac:dyDescent="0.25">
      <c r="B116" t="s">
        <v>188</v>
      </c>
      <c r="F116" t="s">
        <v>95</v>
      </c>
      <c r="G116" t="s">
        <v>96</v>
      </c>
      <c r="H116">
        <v>100</v>
      </c>
      <c r="N116">
        <v>100</v>
      </c>
    </row>
    <row r="117" spans="2:14" x14ac:dyDescent="0.25">
      <c r="B117" t="s">
        <v>18</v>
      </c>
      <c r="F117" t="s">
        <v>95</v>
      </c>
      <c r="G117" t="s">
        <v>96</v>
      </c>
      <c r="H117">
        <v>4</v>
      </c>
      <c r="N117">
        <v>0</v>
      </c>
    </row>
    <row r="118" spans="2:14" x14ac:dyDescent="0.25">
      <c r="B118" t="s">
        <v>19</v>
      </c>
      <c r="F118" t="s">
        <v>95</v>
      </c>
      <c r="G118" t="s">
        <v>96</v>
      </c>
      <c r="H118" s="11">
        <f>H117</f>
        <v>4</v>
      </c>
      <c r="N118">
        <v>0</v>
      </c>
    </row>
    <row r="119" spans="2:14" x14ac:dyDescent="0.25">
      <c r="B119" t="s">
        <v>20</v>
      </c>
      <c r="F119" t="s">
        <v>95</v>
      </c>
      <c r="G119" t="s">
        <v>96</v>
      </c>
      <c r="H119">
        <v>100</v>
      </c>
      <c r="N119">
        <f>H119-20</f>
        <v>80</v>
      </c>
    </row>
    <row r="120" spans="2:14" x14ac:dyDescent="0.25">
      <c r="B120" t="s">
        <v>21</v>
      </c>
      <c r="F120" t="s">
        <v>95</v>
      </c>
      <c r="G120" t="s">
        <v>96</v>
      </c>
      <c r="H120">
        <v>8</v>
      </c>
      <c r="N120">
        <v>0</v>
      </c>
    </row>
    <row r="121" spans="2:14" x14ac:dyDescent="0.25">
      <c r="B121" t="s">
        <v>22</v>
      </c>
      <c r="F121" t="s">
        <v>95</v>
      </c>
      <c r="G121" t="s">
        <v>96</v>
      </c>
      <c r="H121" s="11">
        <f>H120</f>
        <v>8</v>
      </c>
      <c r="N121">
        <v>0</v>
      </c>
    </row>
    <row r="122" spans="2:14" x14ac:dyDescent="0.25">
      <c r="B122" t="s">
        <v>23</v>
      </c>
      <c r="F122" t="s">
        <v>95</v>
      </c>
      <c r="G122" t="s">
        <v>96</v>
      </c>
      <c r="H122">
        <v>1</v>
      </c>
      <c r="N122">
        <v>0</v>
      </c>
    </row>
    <row r="123" spans="2:14" x14ac:dyDescent="0.25">
      <c r="B123" t="s">
        <v>24</v>
      </c>
      <c r="F123" t="s">
        <v>95</v>
      </c>
      <c r="G123" t="s">
        <v>96</v>
      </c>
      <c r="H123" s="11">
        <f>H122</f>
        <v>1</v>
      </c>
      <c r="N123">
        <v>0</v>
      </c>
    </row>
    <row r="124" spans="2:14" x14ac:dyDescent="0.25">
      <c r="B124" t="s">
        <v>25</v>
      </c>
      <c r="F124" t="s">
        <v>95</v>
      </c>
      <c r="G124" t="s">
        <v>96</v>
      </c>
      <c r="H124" s="4">
        <v>22</v>
      </c>
      <c r="N124">
        <f>H124-10</f>
        <v>12</v>
      </c>
    </row>
    <row r="125" spans="2:14" x14ac:dyDescent="0.25">
      <c r="B125" t="s">
        <v>26</v>
      </c>
      <c r="F125" t="s">
        <v>95</v>
      </c>
      <c r="G125" t="s">
        <v>96</v>
      </c>
      <c r="H125" s="11">
        <f>H124</f>
        <v>22</v>
      </c>
      <c r="N125">
        <f>H125-10</f>
        <v>12</v>
      </c>
    </row>
    <row r="126" spans="2:14" x14ac:dyDescent="0.25">
      <c r="B126" s="9" t="s">
        <v>137</v>
      </c>
      <c r="C126" s="9"/>
      <c r="D126" s="9"/>
      <c r="E126" s="9"/>
      <c r="F126" s="9" t="s">
        <v>95</v>
      </c>
      <c r="G126" s="9" t="s">
        <v>96</v>
      </c>
      <c r="H126" s="9">
        <v>100</v>
      </c>
      <c r="I126" s="9"/>
      <c r="J126" s="9"/>
      <c r="K126" s="9"/>
      <c r="L126" s="9"/>
      <c r="M126" s="9"/>
      <c r="N126" s="9">
        <v>60</v>
      </c>
    </row>
    <row r="127" spans="2:14" x14ac:dyDescent="0.25">
      <c r="B127" s="6" t="s">
        <v>27</v>
      </c>
      <c r="C127" s="6"/>
      <c r="D127" s="6"/>
      <c r="E127" s="6"/>
      <c r="F127" s="6"/>
      <c r="G127" s="6"/>
      <c r="H127" s="10"/>
      <c r="I127" s="6"/>
      <c r="J127" s="6"/>
      <c r="K127" s="6"/>
      <c r="L127" s="6"/>
      <c r="M127" s="6"/>
      <c r="N127" s="6"/>
    </row>
    <row r="128" spans="2:14" x14ac:dyDescent="0.25">
      <c r="B128" s="7" t="s">
        <v>28</v>
      </c>
      <c r="C128" s="7"/>
      <c r="D128" s="7"/>
      <c r="E128" s="7"/>
      <c r="F128" t="s">
        <v>95</v>
      </c>
      <c r="G128" t="s">
        <v>96</v>
      </c>
      <c r="H128" s="7">
        <v>16</v>
      </c>
      <c r="I128" s="7"/>
      <c r="J128" s="7"/>
      <c r="K128" s="7"/>
      <c r="L128" s="7"/>
      <c r="M128" s="7"/>
      <c r="N128">
        <v>0</v>
      </c>
    </row>
    <row r="129" spans="2:14" x14ac:dyDescent="0.25">
      <c r="B129" s="7" t="s">
        <v>29</v>
      </c>
      <c r="C129" s="7"/>
      <c r="D129" s="7"/>
      <c r="E129" s="7"/>
      <c r="F129" t="s">
        <v>95</v>
      </c>
      <c r="G129" t="s">
        <v>96</v>
      </c>
      <c r="H129" s="7">
        <v>16</v>
      </c>
      <c r="I129" s="7"/>
      <c r="J129" s="7"/>
      <c r="K129" s="7"/>
      <c r="L129" s="7"/>
      <c r="M129" s="7"/>
      <c r="N129">
        <v>0</v>
      </c>
    </row>
    <row r="130" spans="2:14" x14ac:dyDescent="0.25">
      <c r="B130" s="7" t="s">
        <v>30</v>
      </c>
      <c r="C130" s="7"/>
      <c r="D130" s="7"/>
      <c r="E130" s="7"/>
      <c r="F130" t="s">
        <v>95</v>
      </c>
      <c r="G130" t="s">
        <v>96</v>
      </c>
      <c r="H130" s="7">
        <v>16</v>
      </c>
      <c r="I130" s="7"/>
      <c r="J130" s="7"/>
      <c r="K130" s="7"/>
      <c r="L130" s="7"/>
      <c r="M130" s="7"/>
      <c r="N130">
        <v>0</v>
      </c>
    </row>
    <row r="131" spans="2:14" x14ac:dyDescent="0.25">
      <c r="B131" s="7" t="s">
        <v>31</v>
      </c>
      <c r="C131" s="7"/>
      <c r="D131" s="7"/>
      <c r="E131" s="7"/>
      <c r="F131" t="s">
        <v>95</v>
      </c>
      <c r="G131" t="s">
        <v>96</v>
      </c>
      <c r="H131" s="7">
        <v>16</v>
      </c>
      <c r="I131" s="7"/>
      <c r="J131" s="7"/>
      <c r="K131" s="7"/>
      <c r="L131" s="7"/>
      <c r="M131" s="7"/>
      <c r="N131">
        <v>0</v>
      </c>
    </row>
    <row r="132" spans="2:14" x14ac:dyDescent="0.25">
      <c r="B132" s="6" t="s">
        <v>93</v>
      </c>
      <c r="C132" s="6"/>
      <c r="D132" s="6"/>
      <c r="E132" s="6"/>
      <c r="F132" s="6"/>
      <c r="G132" s="6"/>
      <c r="H132" s="10"/>
      <c r="I132" s="6"/>
      <c r="J132" s="6"/>
      <c r="K132" s="6"/>
      <c r="L132" s="6"/>
      <c r="M132" s="6"/>
      <c r="N132" s="6"/>
    </row>
    <row r="133" spans="2:14" x14ac:dyDescent="0.25">
      <c r="B133" s="7" t="s">
        <v>44</v>
      </c>
      <c r="C133" s="7"/>
      <c r="D133" s="7"/>
      <c r="E133" s="7"/>
      <c r="F133" t="s">
        <v>95</v>
      </c>
      <c r="G133" t="s">
        <v>96</v>
      </c>
      <c r="H133" s="7">
        <v>85</v>
      </c>
      <c r="I133" s="7"/>
      <c r="J133" s="7"/>
      <c r="K133" s="7"/>
      <c r="L133" s="7"/>
      <c r="M133" s="7"/>
      <c r="N133">
        <f>H133-40</f>
        <v>45</v>
      </c>
    </row>
    <row r="134" spans="2:14" x14ac:dyDescent="0.25">
      <c r="B134" s="7" t="s">
        <v>45</v>
      </c>
      <c r="C134" s="7"/>
      <c r="D134" s="7"/>
      <c r="E134" s="7"/>
      <c r="F134" t="s">
        <v>95</v>
      </c>
      <c r="G134" t="s">
        <v>96</v>
      </c>
      <c r="H134" s="7">
        <v>85</v>
      </c>
      <c r="I134" s="7"/>
      <c r="J134" s="7"/>
      <c r="K134" s="7"/>
      <c r="L134" s="7"/>
      <c r="M134" s="7"/>
      <c r="N134">
        <f t="shared" ref="N134:N140" si="1">H134-40</f>
        <v>45</v>
      </c>
    </row>
    <row r="135" spans="2:14" x14ac:dyDescent="0.25">
      <c r="B135" s="7" t="s">
        <v>46</v>
      </c>
      <c r="C135" s="7"/>
      <c r="D135" s="7"/>
      <c r="E135" s="7"/>
      <c r="F135" t="s">
        <v>95</v>
      </c>
      <c r="G135" t="s">
        <v>96</v>
      </c>
      <c r="H135" s="7">
        <v>85</v>
      </c>
      <c r="I135" s="7"/>
      <c r="J135" s="7"/>
      <c r="K135" s="7"/>
      <c r="L135" s="7"/>
      <c r="M135" s="7"/>
      <c r="N135">
        <f t="shared" si="1"/>
        <v>45</v>
      </c>
    </row>
    <row r="136" spans="2:14" x14ac:dyDescent="0.25">
      <c r="B136" s="7" t="s">
        <v>47</v>
      </c>
      <c r="C136" s="7"/>
      <c r="D136" s="7"/>
      <c r="E136" s="7"/>
      <c r="F136" t="s">
        <v>95</v>
      </c>
      <c r="G136" t="s">
        <v>96</v>
      </c>
      <c r="H136" s="7">
        <v>95</v>
      </c>
      <c r="I136" s="7"/>
      <c r="J136" s="7"/>
      <c r="K136" s="7"/>
      <c r="L136" s="7"/>
      <c r="M136" s="7"/>
      <c r="N136">
        <f t="shared" si="1"/>
        <v>55</v>
      </c>
    </row>
    <row r="137" spans="2:14" x14ac:dyDescent="0.25">
      <c r="B137" s="7" t="s">
        <v>48</v>
      </c>
      <c r="C137" s="7"/>
      <c r="D137" s="7"/>
      <c r="E137" s="7"/>
      <c r="F137" t="s">
        <v>95</v>
      </c>
      <c r="G137" t="s">
        <v>96</v>
      </c>
      <c r="H137" s="4">
        <v>97</v>
      </c>
      <c r="I137" s="7"/>
      <c r="J137" s="7"/>
      <c r="K137" s="7"/>
      <c r="L137" s="7"/>
      <c r="M137" s="7"/>
      <c r="N137">
        <f t="shared" si="1"/>
        <v>57</v>
      </c>
    </row>
    <row r="138" spans="2:14" x14ac:dyDescent="0.25">
      <c r="B138" s="7" t="s">
        <v>49</v>
      </c>
      <c r="C138" s="7"/>
      <c r="D138" s="7"/>
      <c r="E138" s="7"/>
      <c r="F138" t="s">
        <v>95</v>
      </c>
      <c r="G138" t="s">
        <v>96</v>
      </c>
      <c r="H138" s="7">
        <v>29</v>
      </c>
      <c r="I138" s="7"/>
      <c r="J138" s="7"/>
      <c r="K138" s="7"/>
      <c r="L138" s="7"/>
      <c r="M138" s="7"/>
      <c r="N138">
        <v>0</v>
      </c>
    </row>
    <row r="139" spans="2:14" x14ac:dyDescent="0.25">
      <c r="B139" s="7" t="s">
        <v>50</v>
      </c>
      <c r="C139" s="7"/>
      <c r="D139" s="7"/>
      <c r="E139" s="7"/>
      <c r="F139" t="s">
        <v>95</v>
      </c>
      <c r="G139" t="s">
        <v>96</v>
      </c>
      <c r="H139" s="4">
        <v>50</v>
      </c>
      <c r="I139" s="7"/>
      <c r="J139" s="7"/>
      <c r="K139" s="7"/>
      <c r="L139" s="7"/>
      <c r="M139" s="7"/>
      <c r="N139">
        <f t="shared" si="1"/>
        <v>10</v>
      </c>
    </row>
    <row r="140" spans="2:14" x14ac:dyDescent="0.25">
      <c r="B140" s="7" t="s">
        <v>51</v>
      </c>
      <c r="C140" s="7"/>
      <c r="D140" s="7"/>
      <c r="E140" s="7"/>
      <c r="F140" t="s">
        <v>95</v>
      </c>
      <c r="G140" t="s">
        <v>96</v>
      </c>
      <c r="H140" s="4">
        <v>90</v>
      </c>
      <c r="I140" s="7"/>
      <c r="J140" s="7"/>
      <c r="K140" s="7"/>
      <c r="L140" s="7"/>
      <c r="M140" s="7"/>
      <c r="N140">
        <f t="shared" si="1"/>
        <v>50</v>
      </c>
    </row>
    <row r="141" spans="2:14" x14ac:dyDescent="0.25">
      <c r="B141" s="6" t="s">
        <v>94</v>
      </c>
      <c r="C141" s="6"/>
      <c r="D141" s="6"/>
      <c r="E141" s="6"/>
      <c r="F141" s="6"/>
      <c r="G141" s="6"/>
      <c r="H141" s="10"/>
      <c r="I141" s="6"/>
      <c r="J141" s="6"/>
      <c r="K141" s="6"/>
      <c r="L141" s="6"/>
      <c r="M141" s="6"/>
      <c r="N141" s="6"/>
    </row>
    <row r="142" spans="2:14" x14ac:dyDescent="0.25">
      <c r="B142" s="7" t="s">
        <v>33</v>
      </c>
      <c r="C142" s="7"/>
      <c r="D142" s="7"/>
      <c r="E142" s="7"/>
      <c r="F142" t="s">
        <v>95</v>
      </c>
      <c r="G142" t="s">
        <v>96</v>
      </c>
      <c r="H142">
        <v>7</v>
      </c>
      <c r="I142" s="7"/>
      <c r="J142" s="7"/>
      <c r="K142" s="7"/>
      <c r="L142" s="7"/>
      <c r="M142" s="7"/>
      <c r="N142">
        <v>0</v>
      </c>
    </row>
    <row r="143" spans="2:14" x14ac:dyDescent="0.25">
      <c r="B143" s="7" t="s">
        <v>34</v>
      </c>
      <c r="C143" s="7"/>
      <c r="D143" s="7"/>
      <c r="E143" s="7"/>
      <c r="F143" t="s">
        <v>95</v>
      </c>
      <c r="G143" t="s">
        <v>96</v>
      </c>
      <c r="H143" s="7">
        <v>35</v>
      </c>
      <c r="I143" s="7"/>
      <c r="J143" s="7"/>
      <c r="K143" s="7"/>
      <c r="L143" s="7"/>
      <c r="M143" s="7"/>
      <c r="N143">
        <v>5</v>
      </c>
    </row>
    <row r="144" spans="2:14" x14ac:dyDescent="0.25">
      <c r="B144" s="7" t="s">
        <v>35</v>
      </c>
      <c r="C144" s="7"/>
      <c r="D144" s="7"/>
      <c r="E144" s="7"/>
      <c r="F144" t="s">
        <v>95</v>
      </c>
      <c r="G144" t="s">
        <v>96</v>
      </c>
      <c r="H144" s="7">
        <v>63</v>
      </c>
      <c r="I144" s="7"/>
      <c r="J144" s="7"/>
      <c r="K144" s="7"/>
      <c r="L144" s="7"/>
      <c r="M144" s="7"/>
      <c r="N144">
        <v>33</v>
      </c>
    </row>
    <row r="145" spans="2:14" x14ac:dyDescent="0.25">
      <c r="B145" s="7" t="s">
        <v>36</v>
      </c>
      <c r="C145" s="7"/>
      <c r="D145" s="7"/>
      <c r="E145" s="7"/>
      <c r="F145" t="s">
        <v>95</v>
      </c>
      <c r="G145" t="s">
        <v>96</v>
      </c>
      <c r="H145" s="7">
        <v>54</v>
      </c>
      <c r="I145" s="7"/>
      <c r="J145" s="7"/>
      <c r="K145" s="7"/>
      <c r="L145" s="7"/>
      <c r="M145" s="7"/>
      <c r="N145">
        <v>24</v>
      </c>
    </row>
    <row r="146" spans="2:14" x14ac:dyDescent="0.25">
      <c r="B146" s="7" t="s">
        <v>37</v>
      </c>
      <c r="C146" s="7"/>
      <c r="D146" s="7"/>
      <c r="E146" s="7"/>
      <c r="F146" t="s">
        <v>95</v>
      </c>
      <c r="G146" t="s">
        <v>96</v>
      </c>
      <c r="H146" s="4">
        <v>75</v>
      </c>
      <c r="I146" s="7"/>
      <c r="J146" s="7"/>
      <c r="K146" s="7"/>
      <c r="L146" s="7"/>
      <c r="M146" s="7"/>
      <c r="N146">
        <v>70</v>
      </c>
    </row>
    <row r="147" spans="2:14" x14ac:dyDescent="0.25">
      <c r="B147" s="7" t="s">
        <v>38</v>
      </c>
      <c r="C147" s="7"/>
      <c r="D147" s="7"/>
      <c r="E147" s="7"/>
      <c r="F147" t="s">
        <v>95</v>
      </c>
      <c r="G147" t="s">
        <v>96</v>
      </c>
      <c r="H147" s="7">
        <v>10</v>
      </c>
      <c r="I147" s="7"/>
      <c r="J147" s="7"/>
      <c r="K147" s="7"/>
      <c r="L147" s="7"/>
      <c r="M147" s="7"/>
      <c r="N147">
        <f t="shared" ref="N147" si="2">H147-10</f>
        <v>0</v>
      </c>
    </row>
    <row r="148" spans="2:14" x14ac:dyDescent="0.25">
      <c r="B148" s="7" t="s">
        <v>39</v>
      </c>
      <c r="C148" s="7"/>
      <c r="D148" s="7"/>
      <c r="E148" s="7"/>
      <c r="F148" t="s">
        <v>95</v>
      </c>
      <c r="G148" t="s">
        <v>96</v>
      </c>
      <c r="H148" s="7">
        <v>90</v>
      </c>
      <c r="I148" s="7"/>
      <c r="J148" s="7"/>
      <c r="K148" s="7"/>
      <c r="L148" s="7"/>
      <c r="M148" s="7"/>
      <c r="N148">
        <f>H148-20</f>
        <v>70</v>
      </c>
    </row>
    <row r="149" spans="2:14" x14ac:dyDescent="0.25">
      <c r="B149" s="7" t="s">
        <v>40</v>
      </c>
      <c r="C149" s="7"/>
      <c r="D149" s="7"/>
      <c r="E149" s="7"/>
      <c r="F149" t="s">
        <v>95</v>
      </c>
      <c r="G149" t="s">
        <v>96</v>
      </c>
      <c r="H149" s="7">
        <v>46</v>
      </c>
      <c r="I149" s="7"/>
      <c r="J149" s="7"/>
      <c r="K149" s="7"/>
      <c r="L149" s="7"/>
      <c r="M149" s="7"/>
      <c r="N149">
        <v>26</v>
      </c>
    </row>
    <row r="150" spans="2:14" x14ac:dyDescent="0.25">
      <c r="B150" s="7" t="s">
        <v>41</v>
      </c>
      <c r="C150" s="7"/>
      <c r="D150" s="7"/>
      <c r="E150" s="7"/>
      <c r="F150" t="s">
        <v>95</v>
      </c>
      <c r="G150" t="s">
        <v>96</v>
      </c>
      <c r="H150" s="7">
        <v>100</v>
      </c>
      <c r="I150" s="7"/>
      <c r="J150" s="7"/>
      <c r="K150" s="7"/>
      <c r="L150" s="7"/>
      <c r="M150" s="7"/>
      <c r="N150">
        <v>70</v>
      </c>
    </row>
    <row r="151" spans="2:14" x14ac:dyDescent="0.25">
      <c r="B151" s="7" t="s">
        <v>42</v>
      </c>
      <c r="C151" s="7"/>
      <c r="D151" s="7"/>
      <c r="E151" s="7"/>
      <c r="F151" t="s">
        <v>95</v>
      </c>
      <c r="G151" t="s">
        <v>96</v>
      </c>
      <c r="H151" s="4">
        <v>90</v>
      </c>
      <c r="I151" s="7"/>
      <c r="J151" s="7"/>
      <c r="K151" s="7"/>
      <c r="L151" s="7"/>
      <c r="M151" s="7"/>
      <c r="N151">
        <f>H151-40</f>
        <v>50</v>
      </c>
    </row>
    <row r="152" spans="2:14" x14ac:dyDescent="0.25">
      <c r="B152" s="6" t="s">
        <v>52</v>
      </c>
      <c r="C152" s="6"/>
      <c r="D152" s="6"/>
      <c r="E152" s="6"/>
      <c r="F152" s="6"/>
      <c r="G152" s="6"/>
      <c r="H152" s="10"/>
      <c r="I152" s="6"/>
      <c r="J152" s="6"/>
      <c r="K152" s="6"/>
      <c r="L152" s="6"/>
      <c r="M152" s="6"/>
      <c r="N152" s="6"/>
    </row>
    <row r="153" spans="2:14" x14ac:dyDescent="0.25">
      <c r="B153" s="4" t="s">
        <v>53</v>
      </c>
      <c r="C153" s="4"/>
      <c r="D153" s="4"/>
      <c r="E153" s="4"/>
      <c r="F153" t="s">
        <v>95</v>
      </c>
      <c r="G153" t="s">
        <v>96</v>
      </c>
      <c r="H153" s="12">
        <v>3.6594736842105262</v>
      </c>
      <c r="I153" s="4"/>
      <c r="J153" s="4"/>
      <c r="K153" s="4"/>
      <c r="L153" s="4"/>
      <c r="M153" s="4"/>
      <c r="N153">
        <v>0</v>
      </c>
    </row>
    <row r="154" spans="2:14" x14ac:dyDescent="0.25">
      <c r="B154" s="4" t="s">
        <v>54</v>
      </c>
      <c r="C154" s="4"/>
      <c r="D154" s="4"/>
      <c r="E154" s="4"/>
      <c r="F154" t="s">
        <v>95</v>
      </c>
      <c r="G154" t="s">
        <v>96</v>
      </c>
      <c r="H154" s="12">
        <v>2.438757763975155</v>
      </c>
      <c r="I154" s="4"/>
      <c r="J154" s="4"/>
      <c r="K154" s="4"/>
      <c r="L154" s="4"/>
      <c r="M154" s="4"/>
      <c r="N154">
        <v>0</v>
      </c>
    </row>
    <row r="155" spans="2:14" x14ac:dyDescent="0.25">
      <c r="B155" s="4" t="s">
        <v>55</v>
      </c>
      <c r="C155" s="4"/>
      <c r="D155" s="4"/>
      <c r="E155" s="4"/>
      <c r="F155" t="s">
        <v>95</v>
      </c>
      <c r="G155" t="s">
        <v>96</v>
      </c>
      <c r="H155" s="12">
        <v>6.317653239929947</v>
      </c>
      <c r="I155" s="4"/>
      <c r="J155" s="4"/>
      <c r="K155" s="4"/>
      <c r="L155" s="4"/>
      <c r="M155" s="4"/>
      <c r="N155">
        <v>0</v>
      </c>
    </row>
    <row r="156" spans="2:14" x14ac:dyDescent="0.25">
      <c r="B156" s="4" t="s">
        <v>56</v>
      </c>
      <c r="C156" s="4"/>
      <c r="D156" s="4"/>
      <c r="E156" s="4"/>
      <c r="F156" t="s">
        <v>95</v>
      </c>
      <c r="G156" t="s">
        <v>96</v>
      </c>
      <c r="H156">
        <v>49.08</v>
      </c>
      <c r="I156" s="4"/>
      <c r="J156" s="4"/>
      <c r="K156" s="4"/>
      <c r="L156" s="4"/>
      <c r="M156" s="4"/>
      <c r="N156">
        <f>H156-40</f>
        <v>9.0799999999999983</v>
      </c>
    </row>
    <row r="157" spans="2:14" x14ac:dyDescent="0.25">
      <c r="B157" s="4" t="s">
        <v>57</v>
      </c>
      <c r="C157" s="4"/>
      <c r="D157" s="4"/>
      <c r="E157" s="4"/>
      <c r="F157" t="s">
        <v>95</v>
      </c>
      <c r="G157" t="s">
        <v>96</v>
      </c>
      <c r="H157">
        <v>0</v>
      </c>
      <c r="I157" s="4"/>
      <c r="J157" s="4"/>
      <c r="K157" s="4"/>
      <c r="L157" s="4"/>
      <c r="M157" s="4"/>
      <c r="N157">
        <v>0</v>
      </c>
    </row>
    <row r="158" spans="2:14" x14ac:dyDescent="0.25">
      <c r="B158" s="4" t="s">
        <v>58</v>
      </c>
      <c r="C158" s="4"/>
      <c r="D158" s="4"/>
      <c r="E158" s="4"/>
      <c r="F158" t="s">
        <v>95</v>
      </c>
      <c r="G158" t="s">
        <v>96</v>
      </c>
      <c r="H158">
        <v>16.36</v>
      </c>
      <c r="I158" s="4"/>
      <c r="J158" s="4"/>
      <c r="K158" s="4"/>
      <c r="L158" s="4"/>
      <c r="M158" s="4"/>
      <c r="N158">
        <v>0</v>
      </c>
    </row>
    <row r="159" spans="2:14" x14ac:dyDescent="0.25">
      <c r="B159" s="4" t="s">
        <v>59</v>
      </c>
      <c r="C159" s="4"/>
      <c r="D159" s="4"/>
      <c r="E159" s="4"/>
      <c r="F159" t="s">
        <v>95</v>
      </c>
      <c r="G159" t="s">
        <v>96</v>
      </c>
      <c r="H159">
        <v>16.36</v>
      </c>
      <c r="I159" s="4"/>
      <c r="J159" s="4"/>
      <c r="K159" s="4"/>
      <c r="L159" s="4"/>
      <c r="M159" s="4"/>
      <c r="N159">
        <v>0</v>
      </c>
    </row>
    <row r="160" spans="2:14" x14ac:dyDescent="0.25">
      <c r="B160" s="4" t="s">
        <v>60</v>
      </c>
      <c r="C160" s="4"/>
      <c r="D160" s="4"/>
      <c r="E160" s="4"/>
      <c r="F160" t="s">
        <v>95</v>
      </c>
      <c r="G160" t="s">
        <v>96</v>
      </c>
      <c r="H160">
        <v>16.36</v>
      </c>
      <c r="I160" s="4"/>
      <c r="J160" s="4"/>
      <c r="K160" s="4"/>
      <c r="L160" s="4"/>
      <c r="M160" s="4"/>
      <c r="N160">
        <v>0</v>
      </c>
    </row>
    <row r="161" spans="2:14" x14ac:dyDescent="0.25">
      <c r="B161" s="4" t="s">
        <v>61</v>
      </c>
      <c r="C161" s="4"/>
      <c r="D161" s="4"/>
      <c r="E161" s="4"/>
      <c r="F161" t="s">
        <v>95</v>
      </c>
      <c r="G161" t="s">
        <v>96</v>
      </c>
      <c r="H161">
        <v>35.173999999999999</v>
      </c>
      <c r="I161" s="4"/>
      <c r="J161" s="4"/>
      <c r="K161" s="4"/>
      <c r="L161" s="4"/>
      <c r="M161" s="4"/>
      <c r="N161">
        <v>0</v>
      </c>
    </row>
    <row r="162" spans="2:14" x14ac:dyDescent="0.25">
      <c r="B162" s="6" t="s">
        <v>62</v>
      </c>
      <c r="C162" s="6"/>
      <c r="D162" s="6"/>
      <c r="E162" s="6"/>
      <c r="F162" s="6"/>
      <c r="G162" s="6"/>
      <c r="H162" s="10"/>
      <c r="I162" s="6"/>
      <c r="J162" s="6"/>
      <c r="K162" s="6"/>
      <c r="L162" s="6"/>
      <c r="M162" s="6"/>
      <c r="N162" s="6"/>
    </row>
    <row r="163" spans="2:14" x14ac:dyDescent="0.25">
      <c r="B163" t="s">
        <v>13</v>
      </c>
      <c r="F163" t="s">
        <v>95</v>
      </c>
      <c r="G163" t="s">
        <v>96</v>
      </c>
      <c r="H163" s="13">
        <v>36.909999999999997</v>
      </c>
      <c r="N163">
        <v>0</v>
      </c>
    </row>
    <row r="164" spans="2:14" x14ac:dyDescent="0.25">
      <c r="B164" t="s">
        <v>63</v>
      </c>
      <c r="F164" t="s">
        <v>95</v>
      </c>
      <c r="G164" t="s">
        <v>96</v>
      </c>
      <c r="H164" s="13">
        <v>43.11</v>
      </c>
      <c r="N164" s="30">
        <f>H164-40</f>
        <v>3.1099999999999994</v>
      </c>
    </row>
    <row r="165" spans="2:14" x14ac:dyDescent="0.25">
      <c r="B165" t="s">
        <v>159</v>
      </c>
      <c r="F165" t="s">
        <v>95</v>
      </c>
      <c r="G165" t="s">
        <v>96</v>
      </c>
      <c r="H165" s="13">
        <v>63.94</v>
      </c>
      <c r="N165" s="30">
        <f>H165-40</f>
        <v>23.939999999999998</v>
      </c>
    </row>
    <row r="166" spans="2:14" x14ac:dyDescent="0.25">
      <c r="B166" t="s">
        <v>64</v>
      </c>
      <c r="F166" t="s">
        <v>95</v>
      </c>
      <c r="G166" t="s">
        <v>96</v>
      </c>
      <c r="H166" s="13">
        <v>36.49</v>
      </c>
      <c r="N166">
        <v>0</v>
      </c>
    </row>
    <row r="167" spans="2:14" x14ac:dyDescent="0.25">
      <c r="B167" s="6" t="s">
        <v>65</v>
      </c>
      <c r="C167" s="6"/>
      <c r="D167" s="6"/>
      <c r="E167" s="6"/>
      <c r="F167" s="6"/>
      <c r="G167" s="6"/>
      <c r="H167" s="10"/>
      <c r="I167" s="6"/>
      <c r="J167" s="6"/>
      <c r="K167" s="6"/>
      <c r="L167" s="6"/>
      <c r="M167" s="6"/>
      <c r="N167" s="6"/>
    </row>
    <row r="168" spans="2:14" x14ac:dyDescent="0.25">
      <c r="B168" t="s">
        <v>65</v>
      </c>
      <c r="F168" t="s">
        <v>95</v>
      </c>
      <c r="G168" t="s">
        <v>96</v>
      </c>
      <c r="H168" s="7">
        <v>12</v>
      </c>
      <c r="N168">
        <v>0</v>
      </c>
    </row>
    <row r="169" spans="2:14" x14ac:dyDescent="0.25">
      <c r="B169" s="6" t="s">
        <v>67</v>
      </c>
      <c r="C169" s="6"/>
      <c r="D169" s="6"/>
      <c r="E169" s="6"/>
      <c r="F169" s="6"/>
      <c r="G169" s="6"/>
      <c r="H169" s="10"/>
      <c r="I169" s="6"/>
      <c r="J169" s="6"/>
      <c r="K169" s="6"/>
      <c r="L169" s="6"/>
      <c r="M169" s="6"/>
      <c r="N169" s="6"/>
    </row>
    <row r="170" spans="2:14" x14ac:dyDescent="0.25">
      <c r="B170" t="s">
        <v>68</v>
      </c>
      <c r="F170" t="s">
        <v>95</v>
      </c>
      <c r="G170" t="s">
        <v>96</v>
      </c>
      <c r="H170">
        <v>5</v>
      </c>
      <c r="N170">
        <v>0</v>
      </c>
    </row>
    <row r="171" spans="2:14" x14ac:dyDescent="0.25">
      <c r="B171" s="8" t="s">
        <v>69</v>
      </c>
      <c r="C171" s="8"/>
      <c r="D171" s="8"/>
      <c r="E171" s="8"/>
      <c r="F171" t="s">
        <v>95</v>
      </c>
      <c r="G171" t="s">
        <v>96</v>
      </c>
      <c r="H171">
        <v>0.4</v>
      </c>
      <c r="I171" s="8"/>
      <c r="J171" s="8"/>
      <c r="K171" s="8"/>
      <c r="L171" s="8"/>
      <c r="M171" s="8"/>
      <c r="N171">
        <v>0</v>
      </c>
    </row>
    <row r="172" spans="2:14" x14ac:dyDescent="0.25">
      <c r="B172" s="8" t="s">
        <v>70</v>
      </c>
      <c r="C172" s="8"/>
      <c r="D172" s="8"/>
      <c r="E172" s="8"/>
      <c r="F172" t="s">
        <v>95</v>
      </c>
      <c r="G172" t="s">
        <v>96</v>
      </c>
      <c r="H172" s="4">
        <v>95</v>
      </c>
      <c r="I172" s="8"/>
      <c r="J172" s="8"/>
      <c r="K172" s="8"/>
      <c r="L172" s="8"/>
      <c r="M172" s="8"/>
      <c r="N172">
        <v>60</v>
      </c>
    </row>
    <row r="173" spans="2:14" x14ac:dyDescent="0.25">
      <c r="B173" s="8" t="s">
        <v>71</v>
      </c>
      <c r="C173" s="8"/>
      <c r="D173" s="8"/>
      <c r="E173" s="8"/>
      <c r="F173" t="s">
        <v>95</v>
      </c>
      <c r="G173" t="s">
        <v>96</v>
      </c>
      <c r="H173">
        <v>100</v>
      </c>
      <c r="I173" s="8"/>
      <c r="J173" s="8"/>
      <c r="K173" s="8"/>
      <c r="L173" s="8"/>
      <c r="M173" s="8"/>
      <c r="N173">
        <v>100</v>
      </c>
    </row>
    <row r="174" spans="2:14" x14ac:dyDescent="0.25">
      <c r="B174" s="8" t="s">
        <v>72</v>
      </c>
      <c r="C174" s="8"/>
      <c r="D174" s="8"/>
      <c r="E174" s="8"/>
      <c r="F174" t="s">
        <v>95</v>
      </c>
      <c r="G174" t="s">
        <v>96</v>
      </c>
      <c r="H174">
        <v>100</v>
      </c>
      <c r="I174" s="8"/>
      <c r="J174" s="8"/>
      <c r="K174" s="8"/>
      <c r="L174" s="8"/>
      <c r="M174" s="8"/>
      <c r="N174">
        <v>60</v>
      </c>
    </row>
    <row r="175" spans="2:14" x14ac:dyDescent="0.25">
      <c r="B175" s="9" t="s">
        <v>139</v>
      </c>
      <c r="C175" s="9"/>
      <c r="D175" s="9"/>
      <c r="E175" s="9"/>
      <c r="F175" s="9" t="s">
        <v>95</v>
      </c>
      <c r="G175" s="9" t="s">
        <v>96</v>
      </c>
      <c r="H175" s="9">
        <v>100</v>
      </c>
      <c r="I175" s="9"/>
      <c r="J175" s="9"/>
      <c r="K175" s="9"/>
      <c r="L175" s="9"/>
      <c r="M175" s="9"/>
      <c r="N175" s="9">
        <v>60</v>
      </c>
    </row>
    <row r="176" spans="2:14" x14ac:dyDescent="0.25">
      <c r="B176" s="9" t="s">
        <v>140</v>
      </c>
      <c r="C176" s="9"/>
      <c r="D176" s="9"/>
      <c r="E176" s="9"/>
      <c r="F176" s="9" t="s">
        <v>95</v>
      </c>
      <c r="G176" s="9" t="s">
        <v>96</v>
      </c>
      <c r="H176" s="9">
        <v>100</v>
      </c>
      <c r="I176" s="9"/>
      <c r="J176" s="9"/>
      <c r="K176" s="9"/>
      <c r="L176" s="9"/>
      <c r="M176" s="9"/>
      <c r="N176" s="9">
        <v>60</v>
      </c>
    </row>
    <row r="177" spans="2:16" x14ac:dyDescent="0.25">
      <c r="B177" s="9" t="s">
        <v>144</v>
      </c>
      <c r="C177" s="9"/>
      <c r="D177" s="9"/>
      <c r="E177" s="9"/>
      <c r="F177" s="9" t="s">
        <v>95</v>
      </c>
      <c r="G177" s="9" t="s">
        <v>96</v>
      </c>
      <c r="H177" s="9">
        <v>100</v>
      </c>
      <c r="I177" s="9"/>
      <c r="J177" s="9"/>
      <c r="K177" s="9"/>
      <c r="L177" s="9"/>
      <c r="M177" s="9"/>
      <c r="N177" s="9">
        <v>60</v>
      </c>
    </row>
    <row r="178" spans="2:16" x14ac:dyDescent="0.25">
      <c r="B178" s="6" t="s">
        <v>73</v>
      </c>
      <c r="C178" s="6"/>
      <c r="D178" s="6"/>
      <c r="E178" s="6"/>
      <c r="F178" s="6"/>
      <c r="G178" s="6"/>
      <c r="H178" s="6"/>
      <c r="I178" s="6"/>
      <c r="J178" s="6"/>
      <c r="K178" s="6"/>
      <c r="L178" s="10"/>
      <c r="M178" s="10"/>
      <c r="N178" s="10"/>
      <c r="O178" s="10"/>
      <c r="P178" s="10"/>
    </row>
    <row r="179" spans="2:16" s="9" customFormat="1" x14ac:dyDescent="0.25">
      <c r="B179" s="9" t="s">
        <v>141</v>
      </c>
      <c r="C179" s="50"/>
      <c r="D179" s="50"/>
      <c r="E179" s="50"/>
      <c r="F179" s="36" t="s">
        <v>95</v>
      </c>
      <c r="G179" s="36" t="s">
        <v>96</v>
      </c>
      <c r="H179" s="50">
        <v>100</v>
      </c>
      <c r="I179" s="50"/>
      <c r="J179" s="50"/>
      <c r="K179" s="50"/>
      <c r="M179" s="51"/>
      <c r="N179" s="9">
        <v>60</v>
      </c>
      <c r="O179" s="50"/>
      <c r="P179" s="50"/>
    </row>
    <row r="180" spans="2:16" s="9" customFormat="1" x14ac:dyDescent="0.25">
      <c r="B180" s="9" t="s">
        <v>142</v>
      </c>
      <c r="C180" s="50"/>
      <c r="D180" s="50"/>
      <c r="E180" s="50"/>
      <c r="F180" s="36" t="s">
        <v>95</v>
      </c>
      <c r="G180" s="36" t="s">
        <v>96</v>
      </c>
      <c r="H180" s="50">
        <v>100</v>
      </c>
      <c r="I180" s="50"/>
      <c r="J180" s="50"/>
      <c r="K180" s="50"/>
      <c r="M180" s="51"/>
      <c r="N180" s="9">
        <v>60</v>
      </c>
      <c r="O180" s="50"/>
      <c r="P180" s="50"/>
    </row>
    <row r="181" spans="2:16" x14ac:dyDescent="0.25">
      <c r="B181" s="6" t="s">
        <v>74</v>
      </c>
      <c r="C181" s="6"/>
      <c r="D181" s="6"/>
      <c r="E181" s="6"/>
      <c r="F181" s="6"/>
      <c r="G181" s="6"/>
      <c r="H181" s="10"/>
      <c r="I181" s="6"/>
      <c r="J181" s="6"/>
      <c r="K181" s="6"/>
      <c r="L181" s="6"/>
      <c r="M181" s="6"/>
      <c r="N181" s="6"/>
    </row>
    <row r="182" spans="2:16" x14ac:dyDescent="0.25">
      <c r="B182" t="s">
        <v>75</v>
      </c>
      <c r="F182" t="s">
        <v>95</v>
      </c>
      <c r="G182" t="s">
        <v>96</v>
      </c>
      <c r="H182" s="13">
        <v>52</v>
      </c>
      <c r="N182">
        <v>12</v>
      </c>
    </row>
    <row r="183" spans="2:16" x14ac:dyDescent="0.25">
      <c r="B183" s="6" t="s">
        <v>78</v>
      </c>
      <c r="C183" s="6"/>
      <c r="D183" s="6"/>
      <c r="E183" s="6"/>
      <c r="F183" s="6"/>
      <c r="G183" s="6"/>
      <c r="H183" s="10"/>
      <c r="I183" s="6"/>
      <c r="J183" s="6"/>
      <c r="K183" s="6"/>
      <c r="L183" s="6"/>
      <c r="M183" s="6"/>
      <c r="N183" s="6"/>
    </row>
    <row r="184" spans="2:16" x14ac:dyDescent="0.25">
      <c r="B184" t="s">
        <v>79</v>
      </c>
      <c r="F184" t="s">
        <v>95</v>
      </c>
      <c r="G184" t="s">
        <v>96</v>
      </c>
      <c r="H184" s="4">
        <v>24</v>
      </c>
      <c r="N184">
        <v>4</v>
      </c>
    </row>
    <row r="185" spans="2:16" x14ac:dyDescent="0.25">
      <c r="B185" t="s">
        <v>80</v>
      </c>
      <c r="F185" t="s">
        <v>95</v>
      </c>
      <c r="G185" t="s">
        <v>96</v>
      </c>
      <c r="H185" s="11">
        <f>H184</f>
        <v>24</v>
      </c>
      <c r="N185">
        <v>4</v>
      </c>
    </row>
    <row r="186" spans="2:16" x14ac:dyDescent="0.25">
      <c r="B186" t="s">
        <v>81</v>
      </c>
      <c r="F186" t="s">
        <v>95</v>
      </c>
      <c r="G186" t="s">
        <v>96</v>
      </c>
      <c r="H186">
        <v>61</v>
      </c>
      <c r="N186">
        <v>21</v>
      </c>
    </row>
    <row r="187" spans="2:16" x14ac:dyDescent="0.25">
      <c r="B187" s="6" t="s">
        <v>82</v>
      </c>
      <c r="C187" s="6"/>
      <c r="D187" s="6"/>
      <c r="E187" s="6"/>
      <c r="F187" s="6"/>
      <c r="G187" s="6"/>
      <c r="H187" s="10"/>
      <c r="I187" s="6"/>
      <c r="J187" s="6"/>
      <c r="K187" s="6"/>
      <c r="L187" s="6"/>
      <c r="M187" s="6"/>
      <c r="N187" s="6"/>
    </row>
    <row r="188" spans="2:16" x14ac:dyDescent="0.25">
      <c r="B188" t="s">
        <v>83</v>
      </c>
      <c r="F188" t="s">
        <v>95</v>
      </c>
      <c r="G188" t="s">
        <v>96</v>
      </c>
      <c r="H188">
        <v>100</v>
      </c>
      <c r="N188">
        <v>100</v>
      </c>
    </row>
    <row r="189" spans="2:16" x14ac:dyDescent="0.25">
      <c r="B189" t="s">
        <v>84</v>
      </c>
      <c r="F189" t="s">
        <v>95</v>
      </c>
      <c r="G189" t="s">
        <v>96</v>
      </c>
      <c r="H189">
        <v>4</v>
      </c>
      <c r="N189">
        <v>0</v>
      </c>
    </row>
    <row r="190" spans="2:16" x14ac:dyDescent="0.25">
      <c r="B190" t="s">
        <v>85</v>
      </c>
      <c r="F190" t="s">
        <v>95</v>
      </c>
      <c r="G190" t="s">
        <v>96</v>
      </c>
      <c r="H190">
        <v>85</v>
      </c>
      <c r="N190">
        <v>65</v>
      </c>
    </row>
    <row r="191" spans="2:16" x14ac:dyDescent="0.25">
      <c r="B191" t="s">
        <v>86</v>
      </c>
      <c r="F191" t="s">
        <v>95</v>
      </c>
      <c r="G191" t="s">
        <v>96</v>
      </c>
      <c r="H191">
        <v>22</v>
      </c>
      <c r="N191">
        <v>2</v>
      </c>
    </row>
    <row r="192" spans="2:16" x14ac:dyDescent="0.25">
      <c r="B192" s="6" t="s">
        <v>90</v>
      </c>
      <c r="C192" s="6"/>
      <c r="D192" s="6"/>
      <c r="E192" s="6"/>
      <c r="F192" s="6"/>
      <c r="G192" s="6"/>
      <c r="H192" s="10"/>
      <c r="I192" s="6"/>
      <c r="J192" s="6"/>
      <c r="K192" s="6"/>
      <c r="L192" s="6"/>
      <c r="M192" s="6"/>
      <c r="N192" s="6"/>
    </row>
    <row r="193" spans="2:15" x14ac:dyDescent="0.25">
      <c r="B193" s="9" t="s">
        <v>135</v>
      </c>
      <c r="C193" s="9"/>
      <c r="D193" s="9"/>
      <c r="E193" s="9"/>
      <c r="F193" s="9" t="s">
        <v>95</v>
      </c>
      <c r="G193" s="9" t="s">
        <v>96</v>
      </c>
      <c r="H193" s="9">
        <v>5</v>
      </c>
      <c r="N193" s="9">
        <v>0</v>
      </c>
    </row>
    <row r="194" spans="2:15" x14ac:dyDescent="0.25">
      <c r="B194" s="9" t="s">
        <v>146</v>
      </c>
      <c r="C194" s="9"/>
      <c r="D194" s="9"/>
      <c r="E194" s="9"/>
      <c r="F194" s="9" t="s">
        <v>95</v>
      </c>
      <c r="G194" s="9" t="s">
        <v>96</v>
      </c>
      <c r="H194" s="9">
        <v>100</v>
      </c>
      <c r="N194" s="9">
        <v>100</v>
      </c>
    </row>
    <row r="195" spans="2:15" x14ac:dyDescent="0.25">
      <c r="B195" s="9" t="s">
        <v>136</v>
      </c>
      <c r="C195" s="9"/>
      <c r="D195" s="9"/>
      <c r="E195" s="9"/>
      <c r="F195" s="9" t="s">
        <v>95</v>
      </c>
      <c r="G195" s="9" t="s">
        <v>96</v>
      </c>
      <c r="H195" s="9">
        <v>22</v>
      </c>
      <c r="N195" s="9">
        <v>12</v>
      </c>
    </row>
    <row r="196" spans="2:15" x14ac:dyDescent="0.25">
      <c r="B196" s="9" t="s">
        <v>147</v>
      </c>
      <c r="C196" s="9"/>
      <c r="D196" s="9"/>
      <c r="E196" s="9"/>
      <c r="F196" s="9" t="s">
        <v>95</v>
      </c>
      <c r="G196" s="9" t="s">
        <v>96</v>
      </c>
      <c r="H196" s="9">
        <v>1</v>
      </c>
      <c r="N196" s="9">
        <v>0</v>
      </c>
    </row>
    <row r="197" spans="2:15" x14ac:dyDescent="0.25">
      <c r="B197" s="9" t="s">
        <v>148</v>
      </c>
      <c r="C197" s="9"/>
      <c r="D197" s="9"/>
      <c r="E197" s="9"/>
      <c r="F197" s="9" t="s">
        <v>95</v>
      </c>
      <c r="G197" s="9" t="s">
        <v>96</v>
      </c>
      <c r="H197" s="9">
        <v>24</v>
      </c>
      <c r="N197" s="9">
        <v>14</v>
      </c>
    </row>
    <row r="198" spans="2:15" x14ac:dyDescent="0.25">
      <c r="B198" s="9" t="s">
        <v>149</v>
      </c>
      <c r="C198" s="9"/>
      <c r="D198" s="9"/>
      <c r="E198" s="9"/>
      <c r="F198" s="9" t="s">
        <v>95</v>
      </c>
      <c r="G198" s="9" t="s">
        <v>96</v>
      </c>
      <c r="H198" s="9">
        <v>24</v>
      </c>
      <c r="N198" s="9">
        <v>14</v>
      </c>
    </row>
    <row r="199" spans="2:15" x14ac:dyDescent="0.25">
      <c r="B199" s="9" t="s">
        <v>150</v>
      </c>
      <c r="C199" s="9"/>
      <c r="D199" s="9"/>
      <c r="E199" s="9"/>
      <c r="F199" s="9" t="s">
        <v>95</v>
      </c>
      <c r="G199" s="9" t="s">
        <v>96</v>
      </c>
      <c r="H199" s="9">
        <v>24</v>
      </c>
      <c r="N199" s="9">
        <v>12</v>
      </c>
    </row>
    <row r="200" spans="2:15" x14ac:dyDescent="0.25">
      <c r="B200" s="9" t="s">
        <v>151</v>
      </c>
      <c r="C200" s="9"/>
      <c r="D200" s="9"/>
      <c r="E200" s="9"/>
      <c r="F200" s="9" t="s">
        <v>95</v>
      </c>
      <c r="G200" s="9" t="s">
        <v>96</v>
      </c>
      <c r="H200" s="9">
        <v>0.4</v>
      </c>
      <c r="N200" s="9">
        <v>0</v>
      </c>
    </row>
    <row r="201" spans="2:15" x14ac:dyDescent="0.25">
      <c r="B201" s="9" t="s">
        <v>152</v>
      </c>
      <c r="C201" s="9"/>
      <c r="D201" s="9"/>
      <c r="E201" s="9"/>
      <c r="F201" s="9" t="s">
        <v>95</v>
      </c>
      <c r="G201" s="9" t="s">
        <v>96</v>
      </c>
      <c r="H201" s="9">
        <v>0.4</v>
      </c>
      <c r="N201" s="9">
        <v>0</v>
      </c>
    </row>
    <row r="202" spans="2:15" x14ac:dyDescent="0.25">
      <c r="B202" s="9" t="s">
        <v>153</v>
      </c>
      <c r="C202" s="9"/>
      <c r="D202" s="9"/>
      <c r="E202" s="9"/>
      <c r="F202" s="9" t="s">
        <v>95</v>
      </c>
      <c r="G202" s="9" t="s">
        <v>96</v>
      </c>
      <c r="H202" s="9">
        <v>24</v>
      </c>
      <c r="N202" s="9">
        <v>14</v>
      </c>
    </row>
    <row r="203" spans="2:15" x14ac:dyDescent="0.25">
      <c r="B203" s="9" t="s">
        <v>154</v>
      </c>
      <c r="C203" s="9"/>
      <c r="D203" s="9"/>
      <c r="E203" s="9"/>
      <c r="F203" s="9" t="s">
        <v>95</v>
      </c>
      <c r="G203" s="9" t="s">
        <v>96</v>
      </c>
      <c r="H203" s="9">
        <v>0</v>
      </c>
      <c r="N203" s="9">
        <v>14</v>
      </c>
    </row>
    <row r="204" spans="2:15" x14ac:dyDescent="0.25">
      <c r="B204" s="9" t="s">
        <v>155</v>
      </c>
      <c r="C204" s="9"/>
      <c r="D204" s="9"/>
      <c r="E204" s="9"/>
      <c r="F204" s="9" t="s">
        <v>95</v>
      </c>
      <c r="G204" s="9" t="s">
        <v>96</v>
      </c>
      <c r="H204" s="9">
        <v>24</v>
      </c>
      <c r="N204" s="9">
        <v>14</v>
      </c>
    </row>
    <row r="205" spans="2:15" x14ac:dyDescent="0.25">
      <c r="B205" s="9" t="s">
        <v>156</v>
      </c>
      <c r="C205" s="9"/>
      <c r="D205" s="9"/>
      <c r="E205" s="9"/>
      <c r="F205" s="9" t="s">
        <v>95</v>
      </c>
      <c r="G205" s="9" t="s">
        <v>96</v>
      </c>
      <c r="H205" s="9">
        <v>24</v>
      </c>
      <c r="N205" s="9">
        <v>14</v>
      </c>
    </row>
    <row r="207" spans="2:15" x14ac:dyDescent="0.25">
      <c r="B207" s="6" t="s">
        <v>15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>
        <v>2</v>
      </c>
    </row>
    <row r="208" spans="2:15" x14ac:dyDescent="0.25">
      <c r="B208" t="s">
        <v>16</v>
      </c>
      <c r="C208" t="s">
        <v>173</v>
      </c>
      <c r="D208" t="s">
        <v>171</v>
      </c>
      <c r="F208" s="9" t="s">
        <v>174</v>
      </c>
      <c r="G208" s="9" t="s">
        <v>96</v>
      </c>
      <c r="H208">
        <v>5.3</v>
      </c>
      <c r="I208" s="43"/>
      <c r="J208" s="43"/>
      <c r="K208" s="43"/>
      <c r="L208" s="43"/>
      <c r="M208" s="43"/>
      <c r="N208" s="47">
        <f>H208*$O$207</f>
        <v>10.6</v>
      </c>
    </row>
    <row r="209" spans="2:15" x14ac:dyDescent="0.25">
      <c r="B209" t="s">
        <v>17</v>
      </c>
      <c r="C209" t="s">
        <v>173</v>
      </c>
      <c r="D209" t="s">
        <v>171</v>
      </c>
      <c r="F209" t="s">
        <v>174</v>
      </c>
      <c r="G209" s="9" t="s">
        <v>96</v>
      </c>
      <c r="H209">
        <v>5.3</v>
      </c>
      <c r="I209" s="34"/>
      <c r="J209" s="34"/>
      <c r="K209" s="34"/>
      <c r="L209" s="34"/>
      <c r="M209" s="34"/>
      <c r="N209" s="47">
        <f t="shared" ref="N209:N265" si="3">H209*$O$207</f>
        <v>10.6</v>
      </c>
    </row>
    <row r="210" spans="2:15" x14ac:dyDescent="0.25">
      <c r="B210" t="s">
        <v>18</v>
      </c>
      <c r="C210" t="s">
        <v>173</v>
      </c>
      <c r="D210" t="s">
        <v>171</v>
      </c>
      <c r="F210" t="s">
        <v>174</v>
      </c>
      <c r="G210" s="9" t="s">
        <v>96</v>
      </c>
      <c r="H210">
        <v>4.9000000000000004</v>
      </c>
      <c r="I210" s="34"/>
      <c r="J210" s="34"/>
      <c r="K210" s="34"/>
      <c r="L210" s="34"/>
      <c r="M210" s="34"/>
      <c r="N210" s="47">
        <f t="shared" si="3"/>
        <v>9.8000000000000007</v>
      </c>
    </row>
    <row r="211" spans="2:15" x14ac:dyDescent="0.25">
      <c r="B211" t="s">
        <v>19</v>
      </c>
      <c r="C211" t="s">
        <v>173</v>
      </c>
      <c r="D211" t="s">
        <v>171</v>
      </c>
      <c r="F211" t="s">
        <v>174</v>
      </c>
      <c r="G211" s="9" t="s">
        <v>96</v>
      </c>
      <c r="H211">
        <v>4.9000000000000004</v>
      </c>
      <c r="I211" s="33"/>
      <c r="J211" s="33"/>
      <c r="K211" s="33"/>
      <c r="L211" s="33"/>
      <c r="M211" s="33"/>
      <c r="N211" s="47">
        <f t="shared" si="3"/>
        <v>9.8000000000000007</v>
      </c>
    </row>
    <row r="212" spans="2:15" x14ac:dyDescent="0.25">
      <c r="B212" t="s">
        <v>21</v>
      </c>
      <c r="C212" t="s">
        <v>173</v>
      </c>
      <c r="D212" t="s">
        <v>171</v>
      </c>
      <c r="F212" t="s">
        <v>174</v>
      </c>
      <c r="G212" s="9" t="s">
        <v>96</v>
      </c>
      <c r="H212">
        <v>12.7</v>
      </c>
      <c r="I212" s="33"/>
      <c r="J212" s="33"/>
      <c r="K212" s="33"/>
      <c r="L212" s="33"/>
      <c r="M212" s="33"/>
      <c r="N212" s="47">
        <f t="shared" si="3"/>
        <v>25.4</v>
      </c>
    </row>
    <row r="213" spans="2:15" x14ac:dyDescent="0.25">
      <c r="B213" t="s">
        <v>22</v>
      </c>
      <c r="C213" t="s">
        <v>173</v>
      </c>
      <c r="D213" t="s">
        <v>171</v>
      </c>
      <c r="F213" t="s">
        <v>174</v>
      </c>
      <c r="G213" s="9" t="s">
        <v>96</v>
      </c>
      <c r="H213">
        <v>12.7</v>
      </c>
      <c r="I213" s="33"/>
      <c r="J213" s="33"/>
      <c r="K213" s="33"/>
      <c r="L213" s="33"/>
      <c r="M213" s="33"/>
      <c r="N213" s="47">
        <f t="shared" si="3"/>
        <v>25.4</v>
      </c>
    </row>
    <row r="214" spans="2:15" x14ac:dyDescent="0.25">
      <c r="B214" t="s">
        <v>23</v>
      </c>
      <c r="C214" t="s">
        <v>173</v>
      </c>
      <c r="D214" t="s">
        <v>171</v>
      </c>
      <c r="F214" t="s">
        <v>174</v>
      </c>
      <c r="G214" s="9" t="s">
        <v>96</v>
      </c>
      <c r="H214">
        <v>24</v>
      </c>
      <c r="I214" s="33"/>
      <c r="J214" s="33"/>
      <c r="K214" s="33"/>
      <c r="L214" s="33"/>
      <c r="M214" s="33"/>
      <c r="N214" s="47">
        <f t="shared" si="3"/>
        <v>48</v>
      </c>
    </row>
    <row r="215" spans="2:15" x14ac:dyDescent="0.25">
      <c r="B215" t="s">
        <v>24</v>
      </c>
      <c r="C215" t="s">
        <v>173</v>
      </c>
      <c r="D215" t="s">
        <v>171</v>
      </c>
      <c r="F215" t="s">
        <v>174</v>
      </c>
      <c r="G215" s="9" t="s">
        <v>96</v>
      </c>
      <c r="H215">
        <v>24</v>
      </c>
      <c r="I215" s="33"/>
      <c r="J215" s="33"/>
      <c r="K215" s="33"/>
      <c r="L215" s="33"/>
      <c r="M215" s="33"/>
      <c r="N215" s="47">
        <f t="shared" si="3"/>
        <v>48</v>
      </c>
    </row>
    <row r="216" spans="2:15" x14ac:dyDescent="0.25">
      <c r="B216" t="s">
        <v>25</v>
      </c>
      <c r="C216" t="s">
        <v>173</v>
      </c>
      <c r="D216" t="s">
        <v>171</v>
      </c>
      <c r="F216" t="s">
        <v>174</v>
      </c>
      <c r="G216" s="9" t="s">
        <v>96</v>
      </c>
      <c r="H216">
        <v>10</v>
      </c>
      <c r="I216" s="33"/>
      <c r="J216" s="33"/>
      <c r="K216" s="33"/>
      <c r="L216" s="33"/>
      <c r="M216" s="33"/>
      <c r="N216" s="47">
        <f t="shared" si="3"/>
        <v>20</v>
      </c>
    </row>
    <row r="217" spans="2:15" x14ac:dyDescent="0.25">
      <c r="B217" t="s">
        <v>26</v>
      </c>
      <c r="C217" t="s">
        <v>173</v>
      </c>
      <c r="D217" t="s">
        <v>171</v>
      </c>
      <c r="F217" t="s">
        <v>174</v>
      </c>
      <c r="G217" s="9" t="s">
        <v>96</v>
      </c>
      <c r="H217">
        <v>10</v>
      </c>
      <c r="I217" s="33"/>
      <c r="J217" s="33"/>
      <c r="K217" s="33"/>
      <c r="L217" s="33"/>
      <c r="M217" s="33"/>
      <c r="N217" s="47">
        <f t="shared" si="3"/>
        <v>20</v>
      </c>
    </row>
    <row r="218" spans="2:15" x14ac:dyDescent="0.25">
      <c r="B218" s="9" t="s">
        <v>137</v>
      </c>
      <c r="C218" s="9" t="s">
        <v>173</v>
      </c>
      <c r="D218" s="9" t="s">
        <v>171</v>
      </c>
      <c r="E218" s="9"/>
      <c r="F218" s="9" t="s">
        <v>174</v>
      </c>
      <c r="G218" s="9" t="s">
        <v>96</v>
      </c>
      <c r="H218" s="9">
        <v>0</v>
      </c>
      <c r="I218" s="33"/>
      <c r="J218" s="33"/>
      <c r="K218" s="33"/>
      <c r="L218" s="33"/>
      <c r="M218" s="33"/>
      <c r="N218" s="47">
        <f t="shared" si="3"/>
        <v>0</v>
      </c>
    </row>
    <row r="219" spans="2:15" x14ac:dyDescent="0.25">
      <c r="B219" s="6" t="s">
        <v>27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2:15" x14ac:dyDescent="0.25">
      <c r="B220" s="7" t="s">
        <v>28</v>
      </c>
      <c r="C220" t="s">
        <v>173</v>
      </c>
      <c r="D220" t="s">
        <v>171</v>
      </c>
      <c r="F220" t="s">
        <v>174</v>
      </c>
      <c r="G220" s="9" t="s">
        <v>96</v>
      </c>
      <c r="H220">
        <v>12</v>
      </c>
      <c r="I220" s="33"/>
      <c r="J220" s="33"/>
      <c r="K220" s="33"/>
      <c r="L220" s="33"/>
      <c r="M220" s="33"/>
      <c r="N220" s="47">
        <f t="shared" si="3"/>
        <v>24</v>
      </c>
    </row>
    <row r="221" spans="2:15" x14ac:dyDescent="0.25">
      <c r="B221" s="7" t="s">
        <v>29</v>
      </c>
      <c r="C221" t="s">
        <v>173</v>
      </c>
      <c r="D221" t="s">
        <v>171</v>
      </c>
      <c r="F221" t="s">
        <v>174</v>
      </c>
      <c r="G221" s="9" t="s">
        <v>96</v>
      </c>
      <c r="H221">
        <v>12</v>
      </c>
      <c r="I221" s="40"/>
      <c r="J221" s="40"/>
      <c r="K221" s="40"/>
      <c r="L221" s="40"/>
      <c r="M221" s="40"/>
      <c r="N221" s="47">
        <f t="shared" si="3"/>
        <v>24</v>
      </c>
      <c r="O221" s="40"/>
    </row>
    <row r="222" spans="2:15" x14ac:dyDescent="0.25">
      <c r="B222" s="7" t="s">
        <v>30</v>
      </c>
      <c r="C222" t="s">
        <v>173</v>
      </c>
      <c r="D222" t="s">
        <v>171</v>
      </c>
      <c r="F222" t="s">
        <v>174</v>
      </c>
      <c r="G222" s="9" t="s">
        <v>96</v>
      </c>
      <c r="H222">
        <v>0</v>
      </c>
      <c r="I222" s="33"/>
      <c r="J222" s="33"/>
      <c r="K222" s="33"/>
      <c r="L222" s="33"/>
      <c r="M222" s="33"/>
      <c r="N222" s="47">
        <f t="shared" si="3"/>
        <v>0</v>
      </c>
    </row>
    <row r="223" spans="2:15" x14ac:dyDescent="0.25">
      <c r="B223" s="7" t="s">
        <v>31</v>
      </c>
      <c r="C223" t="s">
        <v>173</v>
      </c>
      <c r="D223" t="s">
        <v>171</v>
      </c>
      <c r="F223" t="s">
        <v>174</v>
      </c>
      <c r="G223" s="9" t="s">
        <v>96</v>
      </c>
      <c r="H223">
        <v>0</v>
      </c>
      <c r="I223" s="33"/>
      <c r="J223" s="33"/>
      <c r="K223" s="33"/>
      <c r="L223" s="33"/>
      <c r="M223" s="33"/>
      <c r="N223" s="47">
        <f t="shared" si="3"/>
        <v>0</v>
      </c>
    </row>
    <row r="224" spans="2:15" x14ac:dyDescent="0.25">
      <c r="B224" s="6" t="s">
        <v>94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2:15" x14ac:dyDescent="0.25">
      <c r="B225" s="7" t="s">
        <v>33</v>
      </c>
      <c r="C225" t="s">
        <v>173</v>
      </c>
      <c r="D225" t="s">
        <v>171</v>
      </c>
      <c r="F225" t="s">
        <v>174</v>
      </c>
      <c r="G225" s="9" t="s">
        <v>96</v>
      </c>
      <c r="H225">
        <v>25</v>
      </c>
      <c r="I225" s="33"/>
      <c r="J225" s="33"/>
      <c r="K225" s="33"/>
      <c r="L225" s="33"/>
      <c r="M225" s="33"/>
      <c r="N225" s="47">
        <f t="shared" si="3"/>
        <v>50</v>
      </c>
    </row>
    <row r="226" spans="2:15" x14ac:dyDescent="0.25">
      <c r="B226" s="9" t="s">
        <v>157</v>
      </c>
      <c r="C226" s="9" t="s">
        <v>173</v>
      </c>
      <c r="D226" s="9" t="s">
        <v>171</v>
      </c>
      <c r="E226" s="9"/>
      <c r="F226" s="9" t="s">
        <v>174</v>
      </c>
      <c r="G226" s="9" t="s">
        <v>96</v>
      </c>
      <c r="H226" s="9">
        <v>25</v>
      </c>
      <c r="I226" s="40"/>
      <c r="J226" s="40"/>
      <c r="K226" s="40"/>
      <c r="L226" s="40"/>
      <c r="M226" s="40"/>
      <c r="N226" s="47">
        <f t="shared" si="3"/>
        <v>50</v>
      </c>
    </row>
    <row r="227" spans="2:15" x14ac:dyDescent="0.25">
      <c r="B227" s="7" t="s">
        <v>34</v>
      </c>
      <c r="C227" t="s">
        <v>173</v>
      </c>
      <c r="D227" t="s">
        <v>171</v>
      </c>
      <c r="F227" t="s">
        <v>174</v>
      </c>
      <c r="G227" s="9" t="s">
        <v>96</v>
      </c>
      <c r="H227">
        <v>13</v>
      </c>
      <c r="I227" s="33"/>
      <c r="J227" s="33"/>
      <c r="K227" s="33"/>
      <c r="L227" s="33"/>
      <c r="M227" s="33"/>
      <c r="N227" s="47">
        <f t="shared" si="3"/>
        <v>26</v>
      </c>
    </row>
    <row r="228" spans="2:15" x14ac:dyDescent="0.25">
      <c r="B228" s="7" t="s">
        <v>36</v>
      </c>
      <c r="C228" t="s">
        <v>173</v>
      </c>
      <c r="D228" t="s">
        <v>171</v>
      </c>
      <c r="F228" t="s">
        <v>174</v>
      </c>
      <c r="G228" s="9" t="s">
        <v>96</v>
      </c>
      <c r="H228">
        <v>19</v>
      </c>
      <c r="I228" s="33"/>
      <c r="J228" s="33"/>
      <c r="K228" s="33"/>
      <c r="L228" s="33"/>
      <c r="M228" s="33"/>
      <c r="N228" s="47">
        <f t="shared" si="3"/>
        <v>38</v>
      </c>
    </row>
    <row r="229" spans="2:15" x14ac:dyDescent="0.25">
      <c r="B229" s="7" t="s">
        <v>39</v>
      </c>
      <c r="C229" t="s">
        <v>173</v>
      </c>
      <c r="D229" t="s">
        <v>171</v>
      </c>
      <c r="F229" t="s">
        <v>174</v>
      </c>
      <c r="G229" s="9" t="s">
        <v>96</v>
      </c>
      <c r="H229">
        <v>9</v>
      </c>
      <c r="I229" s="33"/>
      <c r="J229" s="33"/>
      <c r="K229" s="33"/>
      <c r="L229" s="33"/>
      <c r="M229" s="33"/>
      <c r="N229" s="47">
        <f t="shared" si="3"/>
        <v>18</v>
      </c>
    </row>
    <row r="230" spans="2:15" x14ac:dyDescent="0.25">
      <c r="B230" s="7" t="s">
        <v>40</v>
      </c>
      <c r="C230" t="s">
        <v>173</v>
      </c>
      <c r="D230" t="s">
        <v>171</v>
      </c>
      <c r="F230" t="s">
        <v>174</v>
      </c>
      <c r="G230" s="9" t="s">
        <v>96</v>
      </c>
      <c r="H230">
        <v>11</v>
      </c>
      <c r="I230" s="33"/>
      <c r="J230" s="33"/>
      <c r="K230" s="33"/>
      <c r="L230" s="33"/>
      <c r="M230" s="33"/>
      <c r="N230" s="47">
        <f t="shared" si="3"/>
        <v>22</v>
      </c>
    </row>
    <row r="231" spans="2:15" x14ac:dyDescent="0.25">
      <c r="B231" s="7" t="s">
        <v>42</v>
      </c>
      <c r="C231" t="s">
        <v>173</v>
      </c>
      <c r="D231" t="s">
        <v>171</v>
      </c>
      <c r="F231" t="s">
        <v>174</v>
      </c>
      <c r="G231" s="9" t="s">
        <v>96</v>
      </c>
      <c r="H231">
        <v>13</v>
      </c>
      <c r="I231" s="33"/>
      <c r="J231" s="33"/>
      <c r="K231" s="33"/>
      <c r="L231" s="33"/>
      <c r="M231" s="33"/>
      <c r="N231" s="47">
        <f t="shared" si="3"/>
        <v>26</v>
      </c>
    </row>
    <row r="232" spans="2:15" x14ac:dyDescent="0.25">
      <c r="B232" s="6" t="s">
        <v>93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2:15" x14ac:dyDescent="0.25">
      <c r="B233" s="7" t="s">
        <v>44</v>
      </c>
      <c r="D233" t="s">
        <v>171</v>
      </c>
      <c r="F233" t="s">
        <v>174</v>
      </c>
      <c r="G233" s="9" t="s">
        <v>96</v>
      </c>
      <c r="H233">
        <v>7.9</v>
      </c>
      <c r="I233" s="33"/>
      <c r="J233" s="33"/>
      <c r="K233" s="33"/>
      <c r="L233" s="33"/>
      <c r="M233" s="33"/>
      <c r="N233" s="47">
        <f t="shared" si="3"/>
        <v>15.8</v>
      </c>
    </row>
    <row r="234" spans="2:15" x14ac:dyDescent="0.25">
      <c r="B234" s="7" t="s">
        <v>45</v>
      </c>
      <c r="D234" t="s">
        <v>171</v>
      </c>
      <c r="F234" t="s">
        <v>174</v>
      </c>
      <c r="G234" s="9" t="s">
        <v>96</v>
      </c>
      <c r="H234">
        <v>7.9</v>
      </c>
      <c r="I234" s="40"/>
      <c r="J234" s="40"/>
      <c r="K234" s="40"/>
      <c r="L234" s="40"/>
      <c r="M234" s="40"/>
      <c r="N234" s="47">
        <f t="shared" si="3"/>
        <v>15.8</v>
      </c>
    </row>
    <row r="235" spans="2:15" x14ac:dyDescent="0.25">
      <c r="B235" s="7" t="s">
        <v>46</v>
      </c>
      <c r="D235" t="s">
        <v>171</v>
      </c>
      <c r="F235" t="s">
        <v>174</v>
      </c>
      <c r="G235" s="9" t="s">
        <v>96</v>
      </c>
      <c r="H235">
        <v>7.9</v>
      </c>
      <c r="I235" s="33"/>
      <c r="J235" s="33"/>
      <c r="K235" s="33"/>
      <c r="L235" s="33"/>
      <c r="M235" s="33"/>
      <c r="N235" s="47">
        <f t="shared" si="3"/>
        <v>15.8</v>
      </c>
    </row>
    <row r="236" spans="2:15" x14ac:dyDescent="0.25">
      <c r="B236" s="7" t="s">
        <v>47</v>
      </c>
      <c r="D236" t="s">
        <v>171</v>
      </c>
      <c r="F236" t="s">
        <v>174</v>
      </c>
      <c r="G236" s="9" t="s">
        <v>96</v>
      </c>
      <c r="H236">
        <v>7.9</v>
      </c>
      <c r="I236" s="33"/>
      <c r="J236" s="33"/>
      <c r="K236" s="33"/>
      <c r="L236" s="33"/>
      <c r="M236" s="33"/>
      <c r="N236" s="47">
        <f t="shared" si="3"/>
        <v>15.8</v>
      </c>
    </row>
    <row r="237" spans="2:15" x14ac:dyDescent="0.25">
      <c r="B237" s="6" t="s">
        <v>52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52"/>
    </row>
    <row r="238" spans="2:15" x14ac:dyDescent="0.25">
      <c r="B238" s="4"/>
      <c r="C238" t="s">
        <v>173</v>
      </c>
      <c r="D238" t="s">
        <v>171</v>
      </c>
      <c r="F238" t="s">
        <v>174</v>
      </c>
      <c r="G238" s="9" t="s">
        <v>96</v>
      </c>
      <c r="H238">
        <v>15.75</v>
      </c>
      <c r="I238" s="33"/>
      <c r="J238" s="33"/>
      <c r="K238" s="33"/>
      <c r="L238" s="33"/>
      <c r="M238" s="33"/>
      <c r="N238" s="47">
        <f>H238*($O$207+O238)</f>
        <v>31.5</v>
      </c>
      <c r="O238">
        <v>0</v>
      </c>
    </row>
    <row r="239" spans="2:15" x14ac:dyDescent="0.25">
      <c r="B239" s="6" t="s">
        <v>62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52"/>
    </row>
    <row r="240" spans="2:15" x14ac:dyDescent="0.25">
      <c r="B240" t="s">
        <v>13</v>
      </c>
      <c r="C240" t="s">
        <v>173</v>
      </c>
      <c r="D240" t="s">
        <v>171</v>
      </c>
      <c r="F240" t="s">
        <v>174</v>
      </c>
      <c r="G240" s="9" t="s">
        <v>96</v>
      </c>
      <c r="H240">
        <v>2.2999999999999998</v>
      </c>
      <c r="I240" s="33"/>
      <c r="J240" s="33"/>
      <c r="K240" s="33"/>
      <c r="L240" s="33"/>
      <c r="M240" s="33"/>
      <c r="N240" s="47">
        <f>H240*($O$207+O238)</f>
        <v>4.5999999999999996</v>
      </c>
    </row>
    <row r="241" spans="2:14" x14ac:dyDescent="0.25">
      <c r="B241" t="s">
        <v>63</v>
      </c>
      <c r="C241" t="s">
        <v>173</v>
      </c>
      <c r="D241" t="s">
        <v>171</v>
      </c>
      <c r="F241" t="s">
        <v>174</v>
      </c>
      <c r="G241" s="9" t="s">
        <v>96</v>
      </c>
      <c r="H241">
        <v>18.100000000000001</v>
      </c>
      <c r="I241" s="40"/>
      <c r="J241" s="40"/>
      <c r="K241" s="40"/>
      <c r="L241" s="40"/>
      <c r="M241" s="40"/>
      <c r="N241" s="47">
        <f>H241*($O$207+O238)</f>
        <v>36.200000000000003</v>
      </c>
    </row>
    <row r="242" spans="2:14" x14ac:dyDescent="0.25">
      <c r="B242" t="s">
        <v>159</v>
      </c>
      <c r="C242" t="s">
        <v>173</v>
      </c>
      <c r="D242" t="s">
        <v>171</v>
      </c>
      <c r="F242" t="s">
        <v>174</v>
      </c>
      <c r="G242" s="9" t="s">
        <v>96</v>
      </c>
      <c r="H242">
        <v>20</v>
      </c>
      <c r="I242" s="33"/>
      <c r="J242" s="33"/>
      <c r="K242" s="33"/>
      <c r="L242" s="33"/>
      <c r="M242" s="33"/>
      <c r="N242" s="47">
        <f>H242*($O$207+O238)</f>
        <v>40</v>
      </c>
    </row>
    <row r="243" spans="2:14" x14ac:dyDescent="0.25">
      <c r="B243" t="s">
        <v>64</v>
      </c>
      <c r="C243" t="s">
        <v>173</v>
      </c>
      <c r="D243" t="s">
        <v>171</v>
      </c>
      <c r="F243" t="s">
        <v>174</v>
      </c>
      <c r="G243" s="9" t="s">
        <v>96</v>
      </c>
      <c r="H243">
        <v>0.95</v>
      </c>
      <c r="I243" s="33"/>
      <c r="J243" s="33"/>
      <c r="K243" s="33"/>
      <c r="L243" s="33"/>
      <c r="M243" s="33"/>
      <c r="N243" s="47">
        <f>H243*($O$207+O238)</f>
        <v>1.9</v>
      </c>
    </row>
    <row r="244" spans="2:14" x14ac:dyDescent="0.25">
      <c r="B244" s="6" t="s">
        <v>65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52"/>
    </row>
    <row r="245" spans="2:14" x14ac:dyDescent="0.25">
      <c r="B245" t="s">
        <v>65</v>
      </c>
      <c r="C245" t="s">
        <v>173</v>
      </c>
      <c r="D245" t="s">
        <v>171</v>
      </c>
      <c r="F245" t="s">
        <v>174</v>
      </c>
      <c r="G245" s="9" t="s">
        <v>96</v>
      </c>
      <c r="H245">
        <v>16.5</v>
      </c>
      <c r="I245" s="33"/>
      <c r="J245" s="33"/>
      <c r="K245" s="33"/>
      <c r="L245" s="33"/>
      <c r="M245" s="33"/>
      <c r="N245" s="47">
        <f>H245*($O$207+O238)</f>
        <v>33</v>
      </c>
    </row>
    <row r="246" spans="2:14" x14ac:dyDescent="0.25">
      <c r="B246" s="9" t="s">
        <v>138</v>
      </c>
      <c r="C246" s="9" t="s">
        <v>173</v>
      </c>
      <c r="D246" s="9" t="s">
        <v>171</v>
      </c>
      <c r="E246" s="9"/>
      <c r="F246" s="9" t="s">
        <v>174</v>
      </c>
      <c r="G246" s="9" t="s">
        <v>96</v>
      </c>
      <c r="H246" s="9">
        <v>16.5</v>
      </c>
      <c r="I246" s="40"/>
      <c r="J246" s="40"/>
      <c r="K246" s="40"/>
      <c r="L246" s="40"/>
      <c r="M246" s="40"/>
      <c r="N246" s="47">
        <f>H246*($O$207+O238)</f>
        <v>33</v>
      </c>
    </row>
    <row r="247" spans="2:14" x14ac:dyDescent="0.25">
      <c r="B247" s="6" t="s">
        <v>67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</row>
    <row r="248" spans="2:14" x14ac:dyDescent="0.25">
      <c r="D248" t="s">
        <v>171</v>
      </c>
      <c r="F248" t="s">
        <v>174</v>
      </c>
      <c r="G248" s="9" t="s">
        <v>96</v>
      </c>
      <c r="H248">
        <v>34.200000000000003</v>
      </c>
      <c r="I248" s="33"/>
      <c r="J248" s="33"/>
      <c r="K248" s="33"/>
      <c r="L248" s="33"/>
      <c r="M248" s="33"/>
      <c r="N248" s="47">
        <f t="shared" si="3"/>
        <v>68.400000000000006</v>
      </c>
    </row>
    <row r="249" spans="2:14" x14ac:dyDescent="0.25">
      <c r="B249" s="6" t="s">
        <v>73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</row>
    <row r="250" spans="2:14" x14ac:dyDescent="0.25">
      <c r="B250" s="9" t="s">
        <v>141</v>
      </c>
      <c r="C250" s="9" t="s">
        <v>173</v>
      </c>
      <c r="D250" s="9" t="s">
        <v>171</v>
      </c>
      <c r="E250" s="9"/>
      <c r="F250" s="9" t="s">
        <v>174</v>
      </c>
      <c r="G250" s="9" t="s">
        <v>96</v>
      </c>
      <c r="H250" s="9">
        <v>0</v>
      </c>
      <c r="I250" s="33"/>
      <c r="J250" s="33"/>
      <c r="K250" s="33"/>
      <c r="L250" s="33"/>
      <c r="M250" s="33"/>
      <c r="N250" s="47">
        <f t="shared" si="3"/>
        <v>0</v>
      </c>
    </row>
    <row r="251" spans="2:14" x14ac:dyDescent="0.25">
      <c r="B251" s="9" t="s">
        <v>142</v>
      </c>
      <c r="C251" s="9" t="s">
        <v>173</v>
      </c>
      <c r="D251" s="9" t="s">
        <v>171</v>
      </c>
      <c r="E251" s="9"/>
      <c r="F251" s="9" t="s">
        <v>174</v>
      </c>
      <c r="G251" s="9" t="s">
        <v>96</v>
      </c>
      <c r="H251" s="9">
        <v>0</v>
      </c>
      <c r="I251" s="40"/>
      <c r="J251" s="40"/>
      <c r="K251" s="40"/>
      <c r="L251" s="40"/>
      <c r="M251" s="40"/>
      <c r="N251" s="47">
        <f t="shared" si="3"/>
        <v>0</v>
      </c>
    </row>
    <row r="252" spans="2:14" x14ac:dyDescent="0.25">
      <c r="B252" s="45" t="s">
        <v>143</v>
      </c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</row>
    <row r="253" spans="2:14" x14ac:dyDescent="0.25">
      <c r="B253" s="9" t="s">
        <v>144</v>
      </c>
      <c r="C253" s="9" t="s">
        <v>173</v>
      </c>
      <c r="D253" s="9" t="s">
        <v>171</v>
      </c>
      <c r="E253" s="9"/>
      <c r="F253" s="9" t="s">
        <v>174</v>
      </c>
      <c r="G253" s="9" t="s">
        <v>96</v>
      </c>
      <c r="H253" s="9">
        <v>0</v>
      </c>
      <c r="I253" s="33"/>
      <c r="J253" s="33"/>
      <c r="K253" s="33"/>
      <c r="L253" s="33"/>
      <c r="M253" s="33"/>
      <c r="N253" s="47">
        <f t="shared" si="3"/>
        <v>0</v>
      </c>
    </row>
    <row r="254" spans="2:14" x14ac:dyDescent="0.25">
      <c r="B254" s="6" t="s">
        <v>74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</row>
    <row r="255" spans="2:14" x14ac:dyDescent="0.25">
      <c r="B255" t="s">
        <v>75</v>
      </c>
      <c r="C255" t="s">
        <v>173</v>
      </c>
      <c r="D255" t="s">
        <v>171</v>
      </c>
      <c r="F255" t="s">
        <v>174</v>
      </c>
      <c r="G255" s="9" t="s">
        <v>96</v>
      </c>
      <c r="H255">
        <v>1</v>
      </c>
      <c r="I255" s="33"/>
      <c r="J255" s="33"/>
      <c r="K255" s="33"/>
      <c r="L255" s="33"/>
      <c r="M255" s="33"/>
      <c r="N255" s="47">
        <f t="shared" si="3"/>
        <v>2</v>
      </c>
    </row>
    <row r="256" spans="2:14" x14ac:dyDescent="0.25">
      <c r="B256" s="34" t="s">
        <v>145</v>
      </c>
      <c r="C256" s="34" t="s">
        <v>173</v>
      </c>
      <c r="D256" s="34" t="s">
        <v>171</v>
      </c>
      <c r="E256" s="34"/>
      <c r="F256" s="34" t="s">
        <v>174</v>
      </c>
      <c r="G256" s="34" t="s">
        <v>96</v>
      </c>
      <c r="H256" s="34">
        <v>1</v>
      </c>
      <c r="I256" s="40"/>
      <c r="J256" s="40"/>
      <c r="K256" s="40"/>
      <c r="L256" s="40"/>
      <c r="M256" s="40"/>
      <c r="N256" s="47">
        <f t="shared" si="3"/>
        <v>2</v>
      </c>
    </row>
    <row r="257" spans="2:23" x14ac:dyDescent="0.25">
      <c r="B257" s="6" t="s">
        <v>82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</row>
    <row r="258" spans="2:23" x14ac:dyDescent="0.25">
      <c r="B258" t="s">
        <v>83</v>
      </c>
      <c r="D258" t="s">
        <v>171</v>
      </c>
      <c r="F258" t="s">
        <v>174</v>
      </c>
      <c r="G258" s="34" t="s">
        <v>96</v>
      </c>
      <c r="H258">
        <v>24.7</v>
      </c>
      <c r="I258" s="33"/>
      <c r="J258" s="33"/>
      <c r="K258" s="33"/>
      <c r="L258" s="33"/>
      <c r="M258" s="33"/>
      <c r="N258" s="47">
        <f t="shared" si="3"/>
        <v>49.4</v>
      </c>
    </row>
    <row r="259" spans="2:23" x14ac:dyDescent="0.25">
      <c r="B259" t="s">
        <v>84</v>
      </c>
      <c r="D259" t="s">
        <v>171</v>
      </c>
      <c r="F259" t="s">
        <v>174</v>
      </c>
      <c r="G259" s="34" t="s">
        <v>96</v>
      </c>
      <c r="H259">
        <v>8</v>
      </c>
      <c r="I259" s="40"/>
      <c r="J259" s="40"/>
      <c r="K259" s="40"/>
      <c r="L259" s="40"/>
      <c r="M259" s="40"/>
      <c r="N259" s="47">
        <f t="shared" si="3"/>
        <v>16</v>
      </c>
    </row>
    <row r="260" spans="2:23" x14ac:dyDescent="0.25">
      <c r="B260" t="s">
        <v>85</v>
      </c>
      <c r="D260" t="s">
        <v>171</v>
      </c>
      <c r="F260" t="s">
        <v>174</v>
      </c>
      <c r="G260" s="34" t="s">
        <v>96</v>
      </c>
      <c r="H260">
        <v>7.9</v>
      </c>
      <c r="I260" s="33"/>
      <c r="J260" s="33"/>
      <c r="K260" s="33"/>
      <c r="L260" s="33"/>
      <c r="M260" s="33"/>
      <c r="N260" s="47">
        <f t="shared" si="3"/>
        <v>15.8</v>
      </c>
    </row>
    <row r="261" spans="2:23" x14ac:dyDescent="0.25">
      <c r="B261" t="s">
        <v>86</v>
      </c>
      <c r="D261" t="s">
        <v>171</v>
      </c>
      <c r="F261" t="s">
        <v>174</v>
      </c>
      <c r="G261" s="34" t="s">
        <v>96</v>
      </c>
      <c r="H261">
        <v>4.7</v>
      </c>
      <c r="I261" s="33"/>
      <c r="J261" s="33"/>
      <c r="K261" s="33"/>
      <c r="L261" s="33"/>
      <c r="M261" s="33"/>
      <c r="N261" s="47">
        <f t="shared" si="3"/>
        <v>9.4</v>
      </c>
    </row>
    <row r="262" spans="2:23" x14ac:dyDescent="0.25">
      <c r="B262" s="6" t="s">
        <v>90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</row>
    <row r="263" spans="2:23" x14ac:dyDescent="0.25">
      <c r="B263" s="34" t="s">
        <v>135</v>
      </c>
      <c r="C263" s="44"/>
      <c r="D263" s="34" t="s">
        <v>171</v>
      </c>
      <c r="E263" s="34"/>
      <c r="F263" s="34" t="s">
        <v>174</v>
      </c>
      <c r="G263" s="34" t="s">
        <v>96</v>
      </c>
      <c r="H263" s="34">
        <v>34.200000000000003</v>
      </c>
      <c r="I263" s="33"/>
      <c r="J263" s="33"/>
      <c r="K263" s="33"/>
      <c r="L263" s="33"/>
      <c r="M263" s="33"/>
      <c r="N263" s="47">
        <f t="shared" si="3"/>
        <v>68.400000000000006</v>
      </c>
    </row>
    <row r="264" spans="2:23" x14ac:dyDescent="0.25">
      <c r="B264" s="34" t="s">
        <v>136</v>
      </c>
      <c r="C264" s="34"/>
      <c r="D264" s="34" t="s">
        <v>171</v>
      </c>
      <c r="E264" s="34"/>
      <c r="F264" s="34" t="s">
        <v>174</v>
      </c>
      <c r="G264" s="34" t="s">
        <v>96</v>
      </c>
      <c r="H264" s="34">
        <v>5.3</v>
      </c>
      <c r="I264" s="40"/>
      <c r="J264" s="40"/>
      <c r="K264" s="40"/>
      <c r="L264" s="40"/>
      <c r="M264" s="40"/>
      <c r="N264" s="47">
        <f t="shared" si="3"/>
        <v>10.6</v>
      </c>
      <c r="O264" s="40"/>
    </row>
    <row r="265" spans="2:23" x14ac:dyDescent="0.25">
      <c r="B265" s="9" t="s">
        <v>147</v>
      </c>
      <c r="C265" s="9"/>
      <c r="D265" s="9" t="s">
        <v>171</v>
      </c>
      <c r="E265" s="9"/>
      <c r="F265" s="9" t="s">
        <v>174</v>
      </c>
      <c r="G265" s="34" t="s">
        <v>96</v>
      </c>
      <c r="H265" s="9">
        <v>24</v>
      </c>
      <c r="I265" s="33"/>
      <c r="J265" s="33"/>
      <c r="K265" s="33"/>
      <c r="L265" s="33"/>
      <c r="M265" s="33"/>
      <c r="N265" s="47">
        <f t="shared" si="3"/>
        <v>48</v>
      </c>
    </row>
    <row r="266" spans="2:23" x14ac:dyDescent="0.25">
      <c r="B266" s="34"/>
      <c r="C266" s="34"/>
      <c r="D266" s="34"/>
      <c r="E266" s="34"/>
      <c r="F266" s="34"/>
      <c r="G266" s="34"/>
      <c r="H266" s="34"/>
      <c r="I266" s="33"/>
      <c r="J266" s="33"/>
      <c r="K266" s="33"/>
      <c r="L266" s="33"/>
      <c r="M266" s="33"/>
      <c r="N266" s="34"/>
    </row>
    <row r="267" spans="2:23" x14ac:dyDescent="0.25">
      <c r="B267" s="34"/>
      <c r="C267" s="34"/>
      <c r="D267" s="34"/>
      <c r="E267" s="34"/>
      <c r="F267" s="34"/>
      <c r="G267" s="34"/>
      <c r="H267" s="34"/>
      <c r="I267" s="33"/>
      <c r="J267" s="33"/>
      <c r="K267" s="33"/>
      <c r="L267" s="33"/>
      <c r="M267" s="33"/>
      <c r="N267" s="34"/>
    </row>
    <row r="268" spans="2:23" x14ac:dyDescent="0.25">
      <c r="B268" s="34" t="s">
        <v>178</v>
      </c>
      <c r="C268" s="34"/>
      <c r="D268" s="33"/>
      <c r="E268" s="33"/>
      <c r="F268" s="34"/>
      <c r="G268" s="34"/>
      <c r="H268" s="33"/>
      <c r="I268" s="34"/>
      <c r="J268" s="33"/>
      <c r="K268" s="33"/>
      <c r="L268" s="33"/>
      <c r="M268" s="33"/>
      <c r="N268" s="33"/>
      <c r="O268" s="34"/>
    </row>
    <row r="269" spans="2:23" x14ac:dyDescent="0.25">
      <c r="B269" s="9" t="s">
        <v>13</v>
      </c>
      <c r="C269" s="9"/>
      <c r="D269" s="9" t="s">
        <v>170</v>
      </c>
      <c r="E269" s="9"/>
      <c r="F269" s="9" t="s">
        <v>179</v>
      </c>
      <c r="G269" s="9" t="s">
        <v>96</v>
      </c>
      <c r="H269" s="9">
        <v>0</v>
      </c>
      <c r="I269" s="9"/>
      <c r="J269" s="9"/>
      <c r="K269" s="9"/>
      <c r="L269" s="9"/>
      <c r="M269" s="9"/>
      <c r="N269" s="9">
        <v>0</v>
      </c>
      <c r="O269" s="33"/>
    </row>
    <row r="270" spans="2:23" x14ac:dyDescent="0.25">
      <c r="B270" s="9" t="s">
        <v>13</v>
      </c>
      <c r="C270" s="9"/>
      <c r="D270" s="9" t="s">
        <v>171</v>
      </c>
      <c r="E270" s="9"/>
      <c r="F270" s="9" t="s">
        <v>179</v>
      </c>
      <c r="G270" s="9" t="s">
        <v>96</v>
      </c>
      <c r="H270" s="9">
        <v>0</v>
      </c>
      <c r="I270" s="9"/>
      <c r="J270" s="9"/>
      <c r="K270" s="9"/>
      <c r="L270" s="9"/>
      <c r="M270" s="9"/>
      <c r="N270" s="9">
        <v>500</v>
      </c>
      <c r="O270" s="33"/>
    </row>
    <row r="271" spans="2:23" x14ac:dyDescent="0.25">
      <c r="B271" s="9" t="s">
        <v>63</v>
      </c>
      <c r="C271" s="9"/>
      <c r="D271" s="9" t="s">
        <v>170</v>
      </c>
      <c r="E271" s="9"/>
      <c r="F271" s="9" t="s">
        <v>179</v>
      </c>
      <c r="G271" s="9" t="s">
        <v>96</v>
      </c>
      <c r="H271" s="9">
        <v>0</v>
      </c>
      <c r="I271" s="9"/>
      <c r="J271" s="9"/>
      <c r="K271" s="9"/>
      <c r="L271" s="9"/>
      <c r="M271" s="9"/>
      <c r="N271" s="9">
        <v>0</v>
      </c>
      <c r="O271" s="34"/>
      <c r="P271" s="4" t="s">
        <v>211</v>
      </c>
      <c r="Q271" s="9"/>
      <c r="R271" s="9"/>
      <c r="S271" s="9"/>
      <c r="T271" s="9"/>
      <c r="U271" s="9"/>
      <c r="V271" s="9"/>
      <c r="W271" s="9"/>
    </row>
    <row r="272" spans="2:23" x14ac:dyDescent="0.25">
      <c r="B272" s="9" t="s">
        <v>63</v>
      </c>
      <c r="C272" s="9"/>
      <c r="D272" s="9" t="s">
        <v>171</v>
      </c>
      <c r="E272" s="9"/>
      <c r="F272" s="9" t="s">
        <v>179</v>
      </c>
      <c r="G272" s="9" t="s">
        <v>96</v>
      </c>
      <c r="H272" s="9">
        <v>0</v>
      </c>
      <c r="I272" s="9"/>
      <c r="J272" s="9"/>
      <c r="K272" s="9"/>
      <c r="L272" s="9"/>
      <c r="M272" s="9"/>
      <c r="N272" s="9">
        <v>1000</v>
      </c>
      <c r="O272" s="33"/>
      <c r="Q272" s="9"/>
      <c r="R272" s="9"/>
      <c r="S272" s="9"/>
      <c r="T272" s="9"/>
      <c r="U272" s="9"/>
      <c r="V272" s="9"/>
      <c r="W272" s="9"/>
    </row>
    <row r="273" spans="1:15" x14ac:dyDescent="0.25">
      <c r="B273" s="9" t="s">
        <v>56</v>
      </c>
      <c r="C273" s="9"/>
      <c r="D273" s="9" t="s">
        <v>170</v>
      </c>
      <c r="E273" s="9"/>
      <c r="F273" s="9" t="s">
        <v>179</v>
      </c>
      <c r="G273" s="9" t="s">
        <v>11</v>
      </c>
      <c r="H273" s="9">
        <v>1</v>
      </c>
      <c r="N273" s="9">
        <v>0.5</v>
      </c>
      <c r="O273" s="33"/>
    </row>
    <row r="274" spans="1:15" x14ac:dyDescent="0.25">
      <c r="B274" s="9" t="s">
        <v>56</v>
      </c>
      <c r="C274" s="9"/>
      <c r="D274" s="9" t="s">
        <v>171</v>
      </c>
      <c r="E274" s="9"/>
      <c r="F274" s="9" t="s">
        <v>179</v>
      </c>
      <c r="G274" s="9" t="s">
        <v>96</v>
      </c>
      <c r="H274" s="9">
        <v>0</v>
      </c>
      <c r="N274" s="9">
        <v>1000</v>
      </c>
      <c r="O274" s="33"/>
    </row>
    <row r="275" spans="1:15" x14ac:dyDescent="0.25">
      <c r="B275" s="9" t="s">
        <v>151</v>
      </c>
      <c r="C275" s="9"/>
      <c r="D275" s="9" t="s">
        <v>171</v>
      </c>
      <c r="E275" s="9"/>
      <c r="F275" s="9" t="s">
        <v>179</v>
      </c>
      <c r="G275" s="9" t="s">
        <v>96</v>
      </c>
      <c r="H275" s="9">
        <v>0</v>
      </c>
      <c r="N275" s="9">
        <v>2000</v>
      </c>
      <c r="O275" s="33"/>
    </row>
    <row r="276" spans="1:15" x14ac:dyDescent="0.25">
      <c r="B276" s="9" t="s">
        <v>152</v>
      </c>
      <c r="C276" s="33"/>
      <c r="D276" s="34" t="s">
        <v>171</v>
      </c>
      <c r="E276" s="34"/>
      <c r="F276" s="34" t="s">
        <v>179</v>
      </c>
      <c r="G276" s="34" t="s">
        <v>96</v>
      </c>
      <c r="H276" s="34">
        <v>0</v>
      </c>
      <c r="I276" s="33"/>
      <c r="J276" s="33"/>
      <c r="K276" s="33"/>
      <c r="L276" s="33"/>
      <c r="M276" s="33"/>
      <c r="N276" s="34">
        <v>2000</v>
      </c>
      <c r="O276" s="33"/>
    </row>
    <row r="277" spans="1:15" x14ac:dyDescent="0.25">
      <c r="B277" s="34" t="s">
        <v>184</v>
      </c>
      <c r="C277" s="33"/>
      <c r="D277" s="34" t="s">
        <v>170</v>
      </c>
      <c r="E277" s="34"/>
      <c r="F277" s="34" t="s">
        <v>179</v>
      </c>
      <c r="G277" s="34" t="s">
        <v>11</v>
      </c>
      <c r="H277" s="34">
        <v>1</v>
      </c>
      <c r="I277" s="33"/>
      <c r="J277" s="33"/>
      <c r="K277" s="33"/>
      <c r="L277" s="33"/>
      <c r="M277" s="33"/>
      <c r="N277" s="34">
        <v>0.5</v>
      </c>
    </row>
    <row r="278" spans="1:15" x14ac:dyDescent="0.25">
      <c r="B278" s="34" t="s">
        <v>185</v>
      </c>
      <c r="C278" s="33"/>
      <c r="D278" s="34" t="s">
        <v>170</v>
      </c>
      <c r="E278" s="34"/>
      <c r="F278" s="34" t="s">
        <v>179</v>
      </c>
      <c r="G278" s="34" t="s">
        <v>11</v>
      </c>
      <c r="H278" s="34">
        <v>1</v>
      </c>
      <c r="I278" s="33"/>
      <c r="J278" s="33"/>
      <c r="K278" s="33"/>
      <c r="L278" s="33"/>
      <c r="M278" s="33"/>
      <c r="N278" s="34">
        <v>0.5</v>
      </c>
    </row>
    <row r="279" spans="1:15" x14ac:dyDescent="0.25">
      <c r="B279" s="34" t="s">
        <v>186</v>
      </c>
      <c r="C279" s="33"/>
      <c r="D279" s="34" t="s">
        <v>170</v>
      </c>
      <c r="E279" s="34"/>
      <c r="F279" s="34" t="s">
        <v>179</v>
      </c>
      <c r="G279" s="34" t="s">
        <v>11</v>
      </c>
      <c r="H279" s="34">
        <v>1</v>
      </c>
      <c r="I279" s="33"/>
      <c r="J279" s="33"/>
      <c r="K279" s="33"/>
      <c r="L279" s="33"/>
      <c r="M279" s="33"/>
      <c r="N279" s="34">
        <v>0.5</v>
      </c>
    </row>
    <row r="280" spans="1:15" x14ac:dyDescent="0.25">
      <c r="B280" s="34" t="s">
        <v>187</v>
      </c>
      <c r="C280" s="33"/>
      <c r="D280" s="34" t="s">
        <v>170</v>
      </c>
      <c r="E280" s="34"/>
      <c r="F280" s="34" t="s">
        <v>179</v>
      </c>
      <c r="G280" s="34" t="s">
        <v>11</v>
      </c>
      <c r="H280" s="34">
        <v>1</v>
      </c>
      <c r="I280" s="33"/>
      <c r="J280" s="33"/>
      <c r="K280" s="33"/>
      <c r="L280" s="33"/>
      <c r="M280" s="33"/>
      <c r="N280" s="34">
        <v>1</v>
      </c>
    </row>
    <row r="281" spans="1:15" x14ac:dyDescent="0.25">
      <c r="B281" s="34" t="s">
        <v>68</v>
      </c>
      <c r="C281" s="33"/>
      <c r="D281" s="34" t="s">
        <v>170</v>
      </c>
      <c r="E281" s="34"/>
      <c r="F281" s="34" t="s">
        <v>179</v>
      </c>
      <c r="G281" s="34" t="s">
        <v>11</v>
      </c>
      <c r="H281" s="34">
        <v>1</v>
      </c>
      <c r="I281" s="33"/>
      <c r="J281" s="33"/>
      <c r="K281" s="33"/>
      <c r="L281" s="33"/>
      <c r="M281" s="33"/>
      <c r="N281" s="34">
        <v>0.5</v>
      </c>
    </row>
    <row r="282" spans="1:15" x14ac:dyDescent="0.25">
      <c r="B282" s="34" t="s">
        <v>31</v>
      </c>
      <c r="C282" s="33"/>
      <c r="D282" s="34" t="s">
        <v>170</v>
      </c>
      <c r="E282" s="34"/>
      <c r="F282" s="34" t="s">
        <v>179</v>
      </c>
      <c r="G282" s="34" t="s">
        <v>11</v>
      </c>
      <c r="H282" s="34">
        <v>1</v>
      </c>
      <c r="I282" s="33"/>
      <c r="J282" s="33"/>
      <c r="K282" s="33"/>
      <c r="L282" s="33"/>
      <c r="M282" s="33"/>
      <c r="N282" s="34">
        <v>0.5</v>
      </c>
    </row>
    <row r="283" spans="1:15" x14ac:dyDescent="0.25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</row>
    <row r="284" spans="1:15" x14ac:dyDescent="0.25">
      <c r="A284" s="54" t="s">
        <v>204</v>
      </c>
      <c r="B284" s="9"/>
      <c r="C284" s="33"/>
      <c r="D284" s="9"/>
      <c r="E284" s="9"/>
      <c r="F284" s="9"/>
      <c r="G284" s="33"/>
      <c r="H284" s="33"/>
      <c r="I284" s="33"/>
      <c r="J284" s="33"/>
      <c r="K284" s="33"/>
      <c r="L284" s="33"/>
      <c r="M284" s="33"/>
      <c r="N284" s="33"/>
    </row>
    <row r="285" spans="1:15" x14ac:dyDescent="0.25">
      <c r="A285" s="9" t="s">
        <v>190</v>
      </c>
      <c r="B285" s="9"/>
      <c r="C285" s="33"/>
      <c r="D285" s="9"/>
      <c r="E285" s="9" t="s">
        <v>207</v>
      </c>
      <c r="F285" s="9" t="s">
        <v>208</v>
      </c>
      <c r="G285" s="34" t="s">
        <v>96</v>
      </c>
      <c r="H285" s="9">
        <v>25</v>
      </c>
      <c r="I285" s="33"/>
      <c r="J285" s="33"/>
      <c r="K285" s="33"/>
      <c r="L285" s="33"/>
      <c r="M285" s="33"/>
      <c r="N285" s="34">
        <f>H285*0.25</f>
        <v>6.25</v>
      </c>
    </row>
    <row r="286" spans="1:15" x14ac:dyDescent="0.25">
      <c r="A286" s="9" t="s">
        <v>190</v>
      </c>
      <c r="E286" s="9" t="s">
        <v>209</v>
      </c>
      <c r="F286" s="9" t="s">
        <v>208</v>
      </c>
      <c r="G286" s="34" t="s">
        <v>96</v>
      </c>
      <c r="H286" s="9">
        <v>2</v>
      </c>
      <c r="N286" s="34">
        <f t="shared" ref="N286:N329" si="4">H286*0.25</f>
        <v>0.5</v>
      </c>
    </row>
    <row r="287" spans="1:15" x14ac:dyDescent="0.25">
      <c r="A287" s="9" t="s">
        <v>190</v>
      </c>
      <c r="E287" s="9" t="s">
        <v>210</v>
      </c>
      <c r="F287" s="9" t="s">
        <v>208</v>
      </c>
      <c r="G287" s="34" t="s">
        <v>96</v>
      </c>
      <c r="H287" s="9">
        <v>10.5</v>
      </c>
      <c r="N287" s="34">
        <f t="shared" si="4"/>
        <v>2.625</v>
      </c>
    </row>
    <row r="288" spans="1:15" x14ac:dyDescent="0.25">
      <c r="A288" s="9" t="s">
        <v>191</v>
      </c>
      <c r="E288" s="9" t="s">
        <v>207</v>
      </c>
      <c r="F288" s="9" t="s">
        <v>208</v>
      </c>
      <c r="G288" s="34" t="s">
        <v>96</v>
      </c>
      <c r="H288" s="9">
        <v>17</v>
      </c>
      <c r="N288" s="34">
        <f t="shared" si="4"/>
        <v>4.25</v>
      </c>
    </row>
    <row r="289" spans="1:14" x14ac:dyDescent="0.25">
      <c r="A289" s="9" t="s">
        <v>191</v>
      </c>
      <c r="E289" s="9" t="s">
        <v>209</v>
      </c>
      <c r="F289" s="9" t="s">
        <v>208</v>
      </c>
      <c r="G289" s="34" t="s">
        <v>96</v>
      </c>
      <c r="H289" s="9">
        <v>7</v>
      </c>
      <c r="N289" s="34">
        <f t="shared" si="4"/>
        <v>1.75</v>
      </c>
    </row>
    <row r="290" spans="1:14" x14ac:dyDescent="0.25">
      <c r="A290" s="9" t="s">
        <v>191</v>
      </c>
      <c r="E290" s="9" t="s">
        <v>210</v>
      </c>
      <c r="F290" s="9" t="s">
        <v>208</v>
      </c>
      <c r="G290" s="34" t="s">
        <v>96</v>
      </c>
      <c r="H290" s="9">
        <v>15</v>
      </c>
      <c r="N290" s="34">
        <f t="shared" si="4"/>
        <v>3.75</v>
      </c>
    </row>
    <row r="291" spans="1:14" x14ac:dyDescent="0.25">
      <c r="A291" s="9" t="s">
        <v>192</v>
      </c>
      <c r="E291" s="9" t="s">
        <v>207</v>
      </c>
      <c r="F291" s="9" t="s">
        <v>208</v>
      </c>
      <c r="G291" s="34" t="s">
        <v>96</v>
      </c>
      <c r="H291" s="9">
        <v>19</v>
      </c>
      <c r="N291" s="34">
        <f t="shared" si="4"/>
        <v>4.75</v>
      </c>
    </row>
    <row r="292" spans="1:14" x14ac:dyDescent="0.25">
      <c r="A292" s="9" t="s">
        <v>192</v>
      </c>
      <c r="E292" s="9" t="s">
        <v>209</v>
      </c>
      <c r="F292" s="9" t="s">
        <v>208</v>
      </c>
      <c r="G292" s="34" t="s">
        <v>96</v>
      </c>
      <c r="H292" s="9">
        <v>10</v>
      </c>
      <c r="N292" s="34">
        <f t="shared" si="4"/>
        <v>2.5</v>
      </c>
    </row>
    <row r="293" spans="1:14" x14ac:dyDescent="0.25">
      <c r="A293" s="9" t="s">
        <v>192</v>
      </c>
      <c r="E293" s="9" t="s">
        <v>210</v>
      </c>
      <c r="F293" s="9" t="s">
        <v>208</v>
      </c>
      <c r="G293" s="34" t="s">
        <v>96</v>
      </c>
      <c r="H293" s="9">
        <v>2</v>
      </c>
      <c r="N293" s="34">
        <f t="shared" si="4"/>
        <v>0.5</v>
      </c>
    </row>
    <row r="294" spans="1:14" x14ac:dyDescent="0.25">
      <c r="A294" s="9" t="s">
        <v>193</v>
      </c>
      <c r="E294" s="9" t="s">
        <v>207</v>
      </c>
      <c r="F294" s="9" t="s">
        <v>208</v>
      </c>
      <c r="G294" s="34" t="s">
        <v>96</v>
      </c>
      <c r="H294" s="9">
        <v>19</v>
      </c>
      <c r="N294" s="34">
        <f t="shared" si="4"/>
        <v>4.75</v>
      </c>
    </row>
    <row r="295" spans="1:14" x14ac:dyDescent="0.25">
      <c r="A295" s="9" t="s">
        <v>193</v>
      </c>
      <c r="E295" s="9" t="s">
        <v>209</v>
      </c>
      <c r="F295" s="9" t="s">
        <v>208</v>
      </c>
      <c r="G295" s="34" t="s">
        <v>96</v>
      </c>
      <c r="H295" s="9">
        <v>10</v>
      </c>
      <c r="N295" s="34">
        <f t="shared" si="4"/>
        <v>2.5</v>
      </c>
    </row>
    <row r="296" spans="1:14" x14ac:dyDescent="0.25">
      <c r="A296" s="9" t="s">
        <v>193</v>
      </c>
      <c r="E296" s="9" t="s">
        <v>210</v>
      </c>
      <c r="F296" s="9" t="s">
        <v>208</v>
      </c>
      <c r="G296" s="34" t="s">
        <v>96</v>
      </c>
      <c r="H296" s="9">
        <v>2</v>
      </c>
      <c r="N296" s="34">
        <f t="shared" si="4"/>
        <v>0.5</v>
      </c>
    </row>
    <row r="297" spans="1:14" x14ac:dyDescent="0.25">
      <c r="A297" s="9" t="s">
        <v>98</v>
      </c>
      <c r="E297" s="9" t="s">
        <v>207</v>
      </c>
      <c r="F297" s="9" t="s">
        <v>208</v>
      </c>
      <c r="G297" s="34" t="s">
        <v>96</v>
      </c>
      <c r="H297" s="9">
        <v>11</v>
      </c>
      <c r="N297" s="34">
        <f t="shared" si="4"/>
        <v>2.75</v>
      </c>
    </row>
    <row r="298" spans="1:14" x14ac:dyDescent="0.25">
      <c r="A298" s="9" t="s">
        <v>98</v>
      </c>
      <c r="E298" s="9" t="s">
        <v>209</v>
      </c>
      <c r="F298" s="9" t="s">
        <v>208</v>
      </c>
      <c r="G298" s="34" t="s">
        <v>96</v>
      </c>
      <c r="H298" s="9">
        <f>0.5</f>
        <v>0.5</v>
      </c>
      <c r="N298" s="34">
        <f t="shared" si="4"/>
        <v>0.125</v>
      </c>
    </row>
    <row r="299" spans="1:14" x14ac:dyDescent="0.25">
      <c r="A299" s="9" t="s">
        <v>98</v>
      </c>
      <c r="E299" s="9" t="s">
        <v>210</v>
      </c>
      <c r="F299" s="9" t="s">
        <v>208</v>
      </c>
      <c r="G299" s="34" t="s">
        <v>96</v>
      </c>
      <c r="H299" s="9">
        <v>1</v>
      </c>
      <c r="N299" s="34">
        <f t="shared" si="4"/>
        <v>0.25</v>
      </c>
    </row>
    <row r="300" spans="1:14" x14ac:dyDescent="0.25">
      <c r="A300" s="9" t="s">
        <v>194</v>
      </c>
      <c r="E300" s="9" t="s">
        <v>207</v>
      </c>
      <c r="F300" s="9" t="s">
        <v>208</v>
      </c>
      <c r="G300" s="34" t="s">
        <v>96</v>
      </c>
      <c r="H300" s="9">
        <v>11</v>
      </c>
      <c r="N300" s="34">
        <f t="shared" si="4"/>
        <v>2.75</v>
      </c>
    </row>
    <row r="301" spans="1:14" x14ac:dyDescent="0.25">
      <c r="A301" s="9" t="s">
        <v>194</v>
      </c>
      <c r="E301" s="9" t="s">
        <v>209</v>
      </c>
      <c r="F301" s="9" t="s">
        <v>208</v>
      </c>
      <c r="G301" s="34" t="s">
        <v>96</v>
      </c>
      <c r="H301" s="9">
        <v>4</v>
      </c>
      <c r="N301" s="34">
        <f t="shared" si="4"/>
        <v>1</v>
      </c>
    </row>
    <row r="302" spans="1:14" x14ac:dyDescent="0.25">
      <c r="A302" s="9" t="s">
        <v>194</v>
      </c>
      <c r="E302" s="9" t="s">
        <v>210</v>
      </c>
      <c r="F302" s="9" t="s">
        <v>208</v>
      </c>
      <c r="G302" s="34" t="s">
        <v>96</v>
      </c>
      <c r="H302" s="9">
        <v>5</v>
      </c>
      <c r="N302" s="34">
        <f t="shared" si="4"/>
        <v>1.25</v>
      </c>
    </row>
    <row r="303" spans="1:14" x14ac:dyDescent="0.25">
      <c r="A303" s="9" t="s">
        <v>195</v>
      </c>
      <c r="E303" s="9" t="s">
        <v>207</v>
      </c>
      <c r="F303" s="9" t="s">
        <v>208</v>
      </c>
      <c r="G303" s="34" t="s">
        <v>96</v>
      </c>
      <c r="H303" s="9">
        <v>11</v>
      </c>
      <c r="N303" s="34">
        <f t="shared" si="4"/>
        <v>2.75</v>
      </c>
    </row>
    <row r="304" spans="1:14" x14ac:dyDescent="0.25">
      <c r="A304" s="9" t="s">
        <v>195</v>
      </c>
      <c r="E304" s="9" t="s">
        <v>209</v>
      </c>
      <c r="F304" s="9" t="s">
        <v>208</v>
      </c>
      <c r="G304" s="34" t="s">
        <v>96</v>
      </c>
      <c r="H304" s="9">
        <v>4</v>
      </c>
      <c r="N304" s="34">
        <f t="shared" si="4"/>
        <v>1</v>
      </c>
    </row>
    <row r="305" spans="1:14" x14ac:dyDescent="0.25">
      <c r="A305" s="9" t="s">
        <v>195</v>
      </c>
      <c r="E305" s="9" t="s">
        <v>210</v>
      </c>
      <c r="F305" s="9" t="s">
        <v>208</v>
      </c>
      <c r="G305" s="34" t="s">
        <v>96</v>
      </c>
      <c r="H305" s="9">
        <v>5</v>
      </c>
      <c r="N305" s="34">
        <f t="shared" si="4"/>
        <v>1.25</v>
      </c>
    </row>
    <row r="306" spans="1:14" x14ac:dyDescent="0.25">
      <c r="A306" s="9" t="s">
        <v>196</v>
      </c>
      <c r="E306" s="9" t="s">
        <v>207</v>
      </c>
      <c r="F306" s="9" t="s">
        <v>208</v>
      </c>
      <c r="G306" s="34" t="s">
        <v>96</v>
      </c>
      <c r="H306" s="9">
        <v>4</v>
      </c>
      <c r="N306" s="34">
        <f t="shared" si="4"/>
        <v>1</v>
      </c>
    </row>
    <row r="307" spans="1:14" x14ac:dyDescent="0.25">
      <c r="A307" s="9" t="s">
        <v>196</v>
      </c>
      <c r="E307" s="9" t="s">
        <v>209</v>
      </c>
      <c r="F307" s="9" t="s">
        <v>208</v>
      </c>
      <c r="G307" s="34" t="s">
        <v>96</v>
      </c>
      <c r="H307" s="9">
        <v>1</v>
      </c>
      <c r="N307" s="34">
        <f t="shared" si="4"/>
        <v>0.25</v>
      </c>
    </row>
    <row r="308" spans="1:14" x14ac:dyDescent="0.25">
      <c r="A308" s="9" t="s">
        <v>196</v>
      </c>
      <c r="E308" s="9" t="s">
        <v>210</v>
      </c>
      <c r="F308" s="9" t="s">
        <v>208</v>
      </c>
      <c r="G308" s="34" t="s">
        <v>96</v>
      </c>
      <c r="H308" s="9">
        <v>5</v>
      </c>
      <c r="N308" s="34">
        <f t="shared" si="4"/>
        <v>1.25</v>
      </c>
    </row>
    <row r="309" spans="1:14" x14ac:dyDescent="0.25">
      <c r="A309" s="9" t="s">
        <v>197</v>
      </c>
      <c r="E309" s="9" t="s">
        <v>207</v>
      </c>
      <c r="F309" s="9" t="s">
        <v>208</v>
      </c>
      <c r="G309" s="34" t="s">
        <v>96</v>
      </c>
      <c r="H309" s="9">
        <v>4</v>
      </c>
      <c r="N309" s="34">
        <f t="shared" si="4"/>
        <v>1</v>
      </c>
    </row>
    <row r="310" spans="1:14" x14ac:dyDescent="0.25">
      <c r="A310" s="9" t="s">
        <v>197</v>
      </c>
      <c r="E310" s="9" t="s">
        <v>209</v>
      </c>
      <c r="F310" s="9" t="s">
        <v>208</v>
      </c>
      <c r="G310" s="34" t="s">
        <v>96</v>
      </c>
      <c r="H310" s="9">
        <v>1</v>
      </c>
      <c r="N310" s="34">
        <f t="shared" si="4"/>
        <v>0.25</v>
      </c>
    </row>
    <row r="311" spans="1:14" x14ac:dyDescent="0.25">
      <c r="A311" s="9" t="s">
        <v>197</v>
      </c>
      <c r="E311" s="9" t="s">
        <v>210</v>
      </c>
      <c r="F311" s="9" t="s">
        <v>208</v>
      </c>
      <c r="G311" s="34" t="s">
        <v>96</v>
      </c>
      <c r="H311" s="9">
        <v>5</v>
      </c>
      <c r="N311" s="34">
        <f t="shared" si="4"/>
        <v>1.25</v>
      </c>
    </row>
    <row r="312" spans="1:14" x14ac:dyDescent="0.25">
      <c r="A312" s="9" t="s">
        <v>198</v>
      </c>
      <c r="E312" s="9" t="s">
        <v>207</v>
      </c>
      <c r="F312" s="9" t="s">
        <v>208</v>
      </c>
      <c r="G312" s="34" t="s">
        <v>96</v>
      </c>
      <c r="H312" s="9">
        <v>13</v>
      </c>
      <c r="N312" s="34">
        <f t="shared" si="4"/>
        <v>3.25</v>
      </c>
    </row>
    <row r="313" spans="1:14" x14ac:dyDescent="0.25">
      <c r="A313" s="9" t="s">
        <v>198</v>
      </c>
      <c r="E313" s="9" t="s">
        <v>209</v>
      </c>
      <c r="F313" s="9" t="s">
        <v>208</v>
      </c>
      <c r="G313" s="34" t="s">
        <v>96</v>
      </c>
      <c r="H313" s="9">
        <v>5</v>
      </c>
      <c r="N313" s="34">
        <f t="shared" si="4"/>
        <v>1.25</v>
      </c>
    </row>
    <row r="314" spans="1:14" x14ac:dyDescent="0.25">
      <c r="A314" s="9" t="s">
        <v>198</v>
      </c>
      <c r="E314" s="9" t="s">
        <v>210</v>
      </c>
      <c r="F314" s="9" t="s">
        <v>208</v>
      </c>
      <c r="G314" s="34" t="s">
        <v>96</v>
      </c>
      <c r="H314" s="9">
        <v>5</v>
      </c>
      <c r="N314" s="34">
        <f t="shared" si="4"/>
        <v>1.25</v>
      </c>
    </row>
    <row r="315" spans="1:14" x14ac:dyDescent="0.25">
      <c r="A315" s="9" t="s">
        <v>199</v>
      </c>
      <c r="E315" s="9" t="s">
        <v>207</v>
      </c>
      <c r="F315" s="9" t="s">
        <v>208</v>
      </c>
      <c r="G315" s="34" t="s">
        <v>96</v>
      </c>
      <c r="H315" s="9">
        <v>0</v>
      </c>
      <c r="N315" s="34">
        <f t="shared" si="4"/>
        <v>0</v>
      </c>
    </row>
    <row r="316" spans="1:14" x14ac:dyDescent="0.25">
      <c r="A316" s="9" t="s">
        <v>199</v>
      </c>
      <c r="E316" s="9" t="s">
        <v>209</v>
      </c>
      <c r="F316" s="9" t="s">
        <v>208</v>
      </c>
      <c r="G316" s="34" t="s">
        <v>96</v>
      </c>
      <c r="H316" s="9">
        <v>5</v>
      </c>
      <c r="N316" s="34">
        <f t="shared" si="4"/>
        <v>1.25</v>
      </c>
    </row>
    <row r="317" spans="1:14" x14ac:dyDescent="0.25">
      <c r="A317" s="9" t="s">
        <v>199</v>
      </c>
      <c r="E317" s="9" t="s">
        <v>210</v>
      </c>
      <c r="F317" s="9" t="s">
        <v>208</v>
      </c>
      <c r="G317" s="34" t="s">
        <v>96</v>
      </c>
      <c r="H317" s="9">
        <v>5</v>
      </c>
      <c r="N317" s="34">
        <f t="shared" si="4"/>
        <v>1.25</v>
      </c>
    </row>
    <row r="318" spans="1:14" x14ac:dyDescent="0.25">
      <c r="A318" s="9" t="s">
        <v>200</v>
      </c>
      <c r="E318" s="9" t="s">
        <v>207</v>
      </c>
      <c r="F318" s="9" t="s">
        <v>208</v>
      </c>
      <c r="G318" s="34" t="s">
        <v>96</v>
      </c>
      <c r="H318" s="9">
        <v>11</v>
      </c>
      <c r="N318" s="34">
        <f t="shared" si="4"/>
        <v>2.75</v>
      </c>
    </row>
    <row r="319" spans="1:14" x14ac:dyDescent="0.25">
      <c r="A319" s="9" t="s">
        <v>200</v>
      </c>
      <c r="E319" s="9" t="s">
        <v>209</v>
      </c>
      <c r="F319" s="9" t="s">
        <v>208</v>
      </c>
      <c r="G319" s="34" t="s">
        <v>96</v>
      </c>
      <c r="H319" s="9">
        <v>4</v>
      </c>
      <c r="N319" s="34">
        <f t="shared" si="4"/>
        <v>1</v>
      </c>
    </row>
    <row r="320" spans="1:14" x14ac:dyDescent="0.25">
      <c r="A320" s="9" t="s">
        <v>200</v>
      </c>
      <c r="E320" s="9" t="s">
        <v>210</v>
      </c>
      <c r="F320" s="9" t="s">
        <v>208</v>
      </c>
      <c r="G320" s="34" t="s">
        <v>96</v>
      </c>
      <c r="H320" s="9">
        <v>5</v>
      </c>
      <c r="N320" s="34">
        <f t="shared" si="4"/>
        <v>1.25</v>
      </c>
    </row>
    <row r="321" spans="1:14" x14ac:dyDescent="0.25">
      <c r="A321" s="34" t="s">
        <v>201</v>
      </c>
      <c r="E321" s="9" t="s">
        <v>207</v>
      </c>
      <c r="F321" s="9" t="s">
        <v>208</v>
      </c>
      <c r="G321" s="34" t="s">
        <v>96</v>
      </c>
      <c r="H321" s="9">
        <v>11</v>
      </c>
      <c r="N321" s="34">
        <f t="shared" si="4"/>
        <v>2.75</v>
      </c>
    </row>
    <row r="322" spans="1:14" x14ac:dyDescent="0.25">
      <c r="A322" s="34" t="s">
        <v>201</v>
      </c>
      <c r="E322" s="9" t="s">
        <v>209</v>
      </c>
      <c r="F322" s="9" t="s">
        <v>208</v>
      </c>
      <c r="G322" s="34" t="s">
        <v>96</v>
      </c>
      <c r="H322" s="9">
        <f>0.5</f>
        <v>0.5</v>
      </c>
      <c r="N322" s="34">
        <f t="shared" si="4"/>
        <v>0.125</v>
      </c>
    </row>
    <row r="323" spans="1:14" x14ac:dyDescent="0.25">
      <c r="A323" s="34" t="s">
        <v>201</v>
      </c>
      <c r="E323" s="9" t="s">
        <v>210</v>
      </c>
      <c r="F323" s="9" t="s">
        <v>208</v>
      </c>
      <c r="G323" s="34" t="s">
        <v>96</v>
      </c>
      <c r="H323" s="9">
        <v>1</v>
      </c>
      <c r="N323" s="34">
        <f t="shared" si="4"/>
        <v>0.25</v>
      </c>
    </row>
    <row r="324" spans="1:14" x14ac:dyDescent="0.25">
      <c r="A324" s="34" t="s">
        <v>202</v>
      </c>
      <c r="E324" s="9" t="s">
        <v>207</v>
      </c>
      <c r="F324" s="9" t="s">
        <v>208</v>
      </c>
      <c r="G324" s="34" t="s">
        <v>96</v>
      </c>
      <c r="H324" s="9">
        <v>4</v>
      </c>
      <c r="N324" s="34">
        <f t="shared" si="4"/>
        <v>1</v>
      </c>
    </row>
    <row r="325" spans="1:14" x14ac:dyDescent="0.25">
      <c r="A325" s="34" t="s">
        <v>202</v>
      </c>
      <c r="E325" s="9" t="s">
        <v>209</v>
      </c>
      <c r="F325" s="9" t="s">
        <v>208</v>
      </c>
      <c r="G325" s="34" t="s">
        <v>96</v>
      </c>
      <c r="H325" s="9">
        <v>1</v>
      </c>
      <c r="N325" s="34">
        <f t="shared" si="4"/>
        <v>0.25</v>
      </c>
    </row>
    <row r="326" spans="1:14" x14ac:dyDescent="0.25">
      <c r="A326" s="34" t="s">
        <v>202</v>
      </c>
      <c r="E326" s="9" t="s">
        <v>210</v>
      </c>
      <c r="F326" s="9" t="s">
        <v>208</v>
      </c>
      <c r="G326" s="34" t="s">
        <v>96</v>
      </c>
      <c r="H326" s="9">
        <v>5</v>
      </c>
      <c r="N326" s="34">
        <f t="shared" si="4"/>
        <v>1.25</v>
      </c>
    </row>
    <row r="327" spans="1:14" x14ac:dyDescent="0.25">
      <c r="A327" s="34" t="s">
        <v>203</v>
      </c>
      <c r="E327" s="9" t="s">
        <v>207</v>
      </c>
      <c r="F327" s="9" t="s">
        <v>208</v>
      </c>
      <c r="G327" s="34" t="s">
        <v>96</v>
      </c>
      <c r="H327" s="9">
        <v>4</v>
      </c>
      <c r="N327" s="34">
        <f t="shared" si="4"/>
        <v>1</v>
      </c>
    </row>
    <row r="328" spans="1:14" x14ac:dyDescent="0.25">
      <c r="A328" s="34" t="s">
        <v>203</v>
      </c>
      <c r="E328" s="9" t="s">
        <v>209</v>
      </c>
      <c r="F328" s="9" t="s">
        <v>208</v>
      </c>
      <c r="G328" s="34" t="s">
        <v>96</v>
      </c>
      <c r="H328" s="9">
        <v>1</v>
      </c>
      <c r="N328" s="34">
        <f t="shared" si="4"/>
        <v>0.25</v>
      </c>
    </row>
    <row r="329" spans="1:14" x14ac:dyDescent="0.25">
      <c r="A329" s="34" t="s">
        <v>203</v>
      </c>
      <c r="E329" s="9" t="s">
        <v>210</v>
      </c>
      <c r="F329" s="9" t="s">
        <v>208</v>
      </c>
      <c r="G329" s="34" t="s">
        <v>96</v>
      </c>
      <c r="H329" s="9">
        <v>5</v>
      </c>
      <c r="N329" s="34">
        <f t="shared" si="4"/>
        <v>1.25</v>
      </c>
    </row>
    <row r="330" spans="1:14" x14ac:dyDescent="0.25">
      <c r="A330" s="9"/>
    </row>
    <row r="331" spans="1:14" x14ac:dyDescent="0.25">
      <c r="A331" s="9"/>
    </row>
    <row r="332" spans="1:14" x14ac:dyDescent="0.25">
      <c r="A332" s="9"/>
    </row>
    <row r="333" spans="1:14" x14ac:dyDescent="0.25">
      <c r="A333" s="9"/>
    </row>
    <row r="334" spans="1:14" x14ac:dyDescent="0.25">
      <c r="A334" s="9"/>
    </row>
    <row r="335" spans="1:14" x14ac:dyDescent="0.25">
      <c r="A335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F13" sqref="F13"/>
    </sheetView>
  </sheetViews>
  <sheetFormatPr defaultRowHeight="15" x14ac:dyDescent="0.25"/>
  <cols>
    <col min="1" max="1" width="21.85546875" bestFit="1" customWidth="1"/>
  </cols>
  <sheetData>
    <row r="1" spans="1:5" x14ac:dyDescent="0.25">
      <c r="A1" s="1" t="s">
        <v>126</v>
      </c>
      <c r="B1" s="1" t="s">
        <v>1</v>
      </c>
      <c r="C1" s="1" t="s">
        <v>2</v>
      </c>
      <c r="D1" s="1" t="s">
        <v>3</v>
      </c>
      <c r="E1" s="1" t="s">
        <v>9</v>
      </c>
    </row>
    <row r="2" spans="1:5" x14ac:dyDescent="0.25">
      <c r="B2" t="s">
        <v>110</v>
      </c>
      <c r="C2" t="s">
        <v>11</v>
      </c>
      <c r="D2">
        <v>1</v>
      </c>
      <c r="E2">
        <v>1</v>
      </c>
    </row>
    <row r="3" spans="1:5" x14ac:dyDescent="0.25">
      <c r="A3" t="s">
        <v>127</v>
      </c>
      <c r="B3" t="s">
        <v>110</v>
      </c>
      <c r="C3" t="s">
        <v>11</v>
      </c>
      <c r="D3">
        <v>1</v>
      </c>
      <c r="E3">
        <v>0.75</v>
      </c>
    </row>
    <row r="4" spans="1:5" x14ac:dyDescent="0.25">
      <c r="A4" t="s">
        <v>128</v>
      </c>
      <c r="B4" t="s">
        <v>110</v>
      </c>
      <c r="C4" t="s">
        <v>11</v>
      </c>
      <c r="D4">
        <v>1</v>
      </c>
      <c r="E4">
        <v>0.75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N18" sqref="N18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8.7109375" customWidth="1"/>
    <col min="5" max="5" width="30.5703125" bestFit="1" customWidth="1"/>
    <col min="6" max="6" width="6" bestFit="1" customWidth="1"/>
    <col min="7" max="13" width="7" bestFit="1" customWidth="1"/>
  </cols>
  <sheetData>
    <row r="1" spans="1:14" x14ac:dyDescent="0.25">
      <c r="A1" s="1" t="s">
        <v>97</v>
      </c>
      <c r="B1" s="1" t="s">
        <v>125</v>
      </c>
      <c r="C1" s="1" t="s">
        <v>104</v>
      </c>
      <c r="D1" s="1" t="s">
        <v>163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4" x14ac:dyDescent="0.25">
      <c r="A2" t="s">
        <v>98</v>
      </c>
      <c r="B2" t="s">
        <v>170</v>
      </c>
      <c r="E2" t="s">
        <v>99</v>
      </c>
      <c r="F2" t="s">
        <v>11</v>
      </c>
      <c r="G2">
        <v>1</v>
      </c>
      <c r="H2" s="3"/>
      <c r="I2" s="3"/>
      <c r="J2" s="3"/>
      <c r="K2" s="3"/>
      <c r="L2" s="3"/>
      <c r="M2" s="3">
        <v>0.6</v>
      </c>
    </row>
    <row r="3" spans="1:14" x14ac:dyDescent="0.25">
      <c r="A3" t="s">
        <v>98</v>
      </c>
      <c r="B3" t="s">
        <v>171</v>
      </c>
      <c r="E3" t="s">
        <v>99</v>
      </c>
      <c r="F3" t="s">
        <v>11</v>
      </c>
      <c r="G3">
        <v>1</v>
      </c>
      <c r="M3" s="3">
        <v>0.6</v>
      </c>
    </row>
    <row r="4" spans="1:14" x14ac:dyDescent="0.25">
      <c r="A4" t="s">
        <v>98</v>
      </c>
      <c r="B4" t="s">
        <v>170</v>
      </c>
      <c r="E4" t="s">
        <v>124</v>
      </c>
      <c r="F4" t="s">
        <v>96</v>
      </c>
      <c r="G4" s="31">
        <v>14.798145933014354</v>
      </c>
      <c r="M4">
        <v>100</v>
      </c>
    </row>
    <row r="5" spans="1:14" x14ac:dyDescent="0.25">
      <c r="A5" t="s">
        <v>98</v>
      </c>
      <c r="B5" t="s">
        <v>171</v>
      </c>
      <c r="E5" t="s">
        <v>124</v>
      </c>
      <c r="F5" t="s">
        <v>96</v>
      </c>
      <c r="G5" s="31">
        <v>65.534646274777856</v>
      </c>
      <c r="M5">
        <v>100</v>
      </c>
    </row>
    <row r="6" spans="1:14" x14ac:dyDescent="0.25">
      <c r="A6" t="s">
        <v>123</v>
      </c>
      <c r="B6" t="s">
        <v>170</v>
      </c>
      <c r="E6" t="s">
        <v>124</v>
      </c>
      <c r="F6" t="s">
        <v>96</v>
      </c>
      <c r="G6" s="31">
        <v>9.2748685002842954</v>
      </c>
      <c r="M6">
        <v>100</v>
      </c>
    </row>
    <row r="7" spans="1:14" x14ac:dyDescent="0.25">
      <c r="A7" t="s">
        <v>123</v>
      </c>
      <c r="B7" t="s">
        <v>171</v>
      </c>
      <c r="E7" t="s">
        <v>124</v>
      </c>
      <c r="F7" t="s">
        <v>96</v>
      </c>
      <c r="G7" s="31">
        <v>35.940115438601644</v>
      </c>
      <c r="M7">
        <v>100</v>
      </c>
    </row>
    <row r="9" spans="1:14" x14ac:dyDescent="0.25">
      <c r="E9" t="s">
        <v>176</v>
      </c>
      <c r="F9" t="s">
        <v>11</v>
      </c>
      <c r="G9" s="31">
        <v>1</v>
      </c>
      <c r="K9">
        <v>0</v>
      </c>
      <c r="M9">
        <v>0</v>
      </c>
      <c r="N9" s="55" t="s">
        <v>212</v>
      </c>
    </row>
    <row r="10" spans="1:14" x14ac:dyDescent="0.25">
      <c r="E10" t="s">
        <v>177</v>
      </c>
      <c r="F10" t="s">
        <v>11</v>
      </c>
      <c r="G10" s="31">
        <v>1</v>
      </c>
      <c r="K10">
        <v>0</v>
      </c>
      <c r="M10">
        <v>0</v>
      </c>
    </row>
    <row r="11" spans="1:14" x14ac:dyDescent="0.25">
      <c r="A11" t="s">
        <v>98</v>
      </c>
      <c r="C11" t="s">
        <v>122</v>
      </c>
      <c r="E11" t="s">
        <v>189</v>
      </c>
      <c r="F11" t="s">
        <v>11</v>
      </c>
      <c r="G11">
        <v>1</v>
      </c>
      <c r="M11">
        <v>0.9</v>
      </c>
    </row>
    <row r="12" spans="1:14" x14ac:dyDescent="0.25">
      <c r="A12" t="s">
        <v>123</v>
      </c>
      <c r="C12" t="s">
        <v>122</v>
      </c>
      <c r="E12" t="s">
        <v>189</v>
      </c>
      <c r="F12" t="s">
        <v>11</v>
      </c>
      <c r="G12">
        <v>1</v>
      </c>
      <c r="M12">
        <v>0.9</v>
      </c>
    </row>
    <row r="13" spans="1:14" x14ac:dyDescent="0.25">
      <c r="G13" s="3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J4" sqref="J4"/>
    </sheetView>
  </sheetViews>
  <sheetFormatPr defaultRowHeight="15" x14ac:dyDescent="0.25"/>
  <cols>
    <col min="1" max="1" width="12.7109375" bestFit="1" customWidth="1"/>
    <col min="2" max="2" width="24" bestFit="1" customWidth="1"/>
    <col min="3" max="3" width="6" bestFit="1" customWidth="1"/>
    <col min="4" max="10" width="7" bestFit="1" customWidth="1"/>
  </cols>
  <sheetData>
    <row r="1" spans="1:10" x14ac:dyDescent="0.25">
      <c r="A1" s="1" t="s">
        <v>104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101</v>
      </c>
      <c r="B2" t="s">
        <v>102</v>
      </c>
      <c r="C2" t="s">
        <v>11</v>
      </c>
      <c r="D2">
        <v>1</v>
      </c>
      <c r="F2">
        <v>1</v>
      </c>
      <c r="H2" s="3">
        <v>1</v>
      </c>
      <c r="I2" s="3"/>
      <c r="J2" s="3">
        <v>1</v>
      </c>
    </row>
    <row r="3" spans="1:10" x14ac:dyDescent="0.25">
      <c r="A3" t="s">
        <v>103</v>
      </c>
      <c r="B3" t="s">
        <v>102</v>
      </c>
      <c r="C3" t="s">
        <v>11</v>
      </c>
      <c r="D3">
        <v>1</v>
      </c>
      <c r="F3">
        <v>1</v>
      </c>
      <c r="H3" s="3">
        <v>1</v>
      </c>
      <c r="I3" s="3"/>
      <c r="J3" s="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H12" sqref="H1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11" bestFit="1" customWidth="1"/>
    <col min="5" max="5" width="6" bestFit="1" customWidth="1"/>
    <col min="6" max="7" width="7" bestFit="1" customWidth="1"/>
  </cols>
  <sheetData>
    <row r="1" spans="1:7" x14ac:dyDescent="0.25">
      <c r="A1" s="1" t="s">
        <v>121</v>
      </c>
      <c r="B1" s="1" t="s">
        <v>97</v>
      </c>
      <c r="C1" s="1" t="s">
        <v>104</v>
      </c>
      <c r="D1" s="1" t="s">
        <v>1</v>
      </c>
      <c r="E1" s="1" t="s">
        <v>2</v>
      </c>
      <c r="F1" s="1" t="s">
        <v>3</v>
      </c>
      <c r="G1" s="1" t="s">
        <v>9</v>
      </c>
    </row>
    <row r="2" spans="1:7" x14ac:dyDescent="0.25">
      <c r="A2" t="s">
        <v>133</v>
      </c>
      <c r="B2" t="s">
        <v>98</v>
      </c>
      <c r="C2" t="s">
        <v>134</v>
      </c>
      <c r="D2" t="s">
        <v>120</v>
      </c>
      <c r="E2" t="s">
        <v>11</v>
      </c>
      <c r="F2" s="31">
        <v>1</v>
      </c>
      <c r="G2" s="31">
        <v>0.9</v>
      </c>
    </row>
    <row r="3" spans="1:7" x14ac:dyDescent="0.25">
      <c r="A3" t="s">
        <v>133</v>
      </c>
      <c r="C3" t="s">
        <v>122</v>
      </c>
      <c r="D3" t="s">
        <v>120</v>
      </c>
      <c r="E3" t="s">
        <v>11</v>
      </c>
      <c r="F3" s="31">
        <v>1</v>
      </c>
      <c r="G3" s="31">
        <v>0.9</v>
      </c>
    </row>
    <row r="4" spans="1:7" x14ac:dyDescent="0.25">
      <c r="F4" s="31"/>
      <c r="G4" s="31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selection activeCell="N9" sqref="N9"/>
    </sheetView>
  </sheetViews>
  <sheetFormatPr defaultRowHeight="15" x14ac:dyDescent="0.25"/>
  <sheetData>
    <row r="1" spans="1:23" x14ac:dyDescent="0.25">
      <c r="A1" s="41" t="s">
        <v>97</v>
      </c>
      <c r="B1" s="41" t="s">
        <v>125</v>
      </c>
      <c r="C1" s="41" t="s">
        <v>164</v>
      </c>
      <c r="D1" s="41" t="s">
        <v>104</v>
      </c>
      <c r="E1" s="41" t="s">
        <v>163</v>
      </c>
      <c r="F1" s="41" t="s">
        <v>1</v>
      </c>
      <c r="G1" s="4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23" x14ac:dyDescent="0.25">
      <c r="C2" s="42" t="s">
        <v>165</v>
      </c>
      <c r="F2" s="42" t="s">
        <v>169</v>
      </c>
      <c r="G2" t="s">
        <v>96</v>
      </c>
      <c r="H2" s="48">
        <f>30*1.1</f>
        <v>33</v>
      </c>
      <c r="N2" s="30">
        <f>((100-N5)/2)</f>
        <v>28.549999999999997</v>
      </c>
      <c r="Q2" s="48"/>
    </row>
    <row r="3" spans="1:23" x14ac:dyDescent="0.25">
      <c r="C3" s="42" t="s">
        <v>166</v>
      </c>
      <c r="F3" s="42" t="s">
        <v>169</v>
      </c>
      <c r="G3" t="s">
        <v>96</v>
      </c>
      <c r="H3" s="49">
        <f>18</f>
        <v>18</v>
      </c>
      <c r="N3">
        <v>0</v>
      </c>
      <c r="Q3" s="49"/>
    </row>
    <row r="4" spans="1:23" x14ac:dyDescent="0.25">
      <c r="C4" s="42" t="s">
        <v>167</v>
      </c>
      <c r="F4" s="42" t="s">
        <v>169</v>
      </c>
      <c r="G4" t="s">
        <v>96</v>
      </c>
      <c r="H4" s="49">
        <f>13*1.1</f>
        <v>14.3</v>
      </c>
      <c r="N4" s="30">
        <f>((100-N5)/2)</f>
        <v>28.549999999999997</v>
      </c>
      <c r="Q4" s="49"/>
      <c r="W4" s="30"/>
    </row>
    <row r="5" spans="1:23" x14ac:dyDescent="0.25">
      <c r="C5" s="42" t="s">
        <v>168</v>
      </c>
      <c r="F5" s="42" t="s">
        <v>169</v>
      </c>
      <c r="G5" t="s">
        <v>96</v>
      </c>
      <c r="H5" s="49">
        <f>39*1.1</f>
        <v>42.900000000000006</v>
      </c>
      <c r="N5" s="30">
        <f>H5</f>
        <v>42.900000000000006</v>
      </c>
      <c r="Q5" s="49"/>
      <c r="W5" s="30"/>
    </row>
    <row r="7" spans="1:23" x14ac:dyDescent="0.25">
      <c r="H7" s="48"/>
      <c r="I7" s="48"/>
      <c r="J7" s="48"/>
      <c r="K7" s="48"/>
      <c r="L7" s="48"/>
      <c r="M7" s="48"/>
      <c r="N7" s="53"/>
    </row>
    <row r="8" spans="1:23" x14ac:dyDescent="0.25">
      <c r="H8" s="49"/>
    </row>
    <row r="9" spans="1:23" x14ac:dyDescent="0.25">
      <c r="H9" s="49"/>
    </row>
    <row r="10" spans="1:23" x14ac:dyDescent="0.25">
      <c r="H10" s="4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D8" sqref="D8"/>
    </sheetView>
  </sheetViews>
  <sheetFormatPr defaultRowHeight="15" x14ac:dyDescent="0.25"/>
  <cols>
    <col min="1" max="1" width="15" bestFit="1" customWidth="1"/>
    <col min="2" max="2" width="15.85546875" bestFit="1" customWidth="1"/>
    <col min="3" max="3" width="20.140625" bestFit="1" customWidth="1"/>
    <col min="4" max="4" width="6" bestFit="1" customWidth="1"/>
    <col min="5" max="6" width="7" bestFit="1" customWidth="1"/>
  </cols>
  <sheetData>
    <row r="1" spans="1:9" x14ac:dyDescent="0.25">
      <c r="A1" s="1" t="s">
        <v>116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9</v>
      </c>
      <c r="I1" s="1"/>
    </row>
    <row r="2" spans="1:9" x14ac:dyDescent="0.25">
      <c r="A2" t="s">
        <v>114</v>
      </c>
      <c r="B2" s="18" t="s">
        <v>129</v>
      </c>
      <c r="C2" s="29" t="s">
        <v>115</v>
      </c>
      <c r="D2" t="s">
        <v>96</v>
      </c>
      <c r="E2" s="32">
        <f>(241822577+237201100)/(241822577+237201100+5856000+8368914)*100</f>
        <v>97.116076100458642</v>
      </c>
      <c r="F2" s="31">
        <v>50</v>
      </c>
    </row>
    <row r="3" spans="1:9" x14ac:dyDescent="0.25">
      <c r="A3" t="s">
        <v>114</v>
      </c>
      <c r="B3" s="18" t="s">
        <v>130</v>
      </c>
      <c r="C3" s="29" t="s">
        <v>115</v>
      </c>
      <c r="D3" t="s">
        <v>96</v>
      </c>
      <c r="E3" s="32">
        <f>100-E2</f>
        <v>2.8839238995413581</v>
      </c>
      <c r="F3" s="31">
        <v>25</v>
      </c>
    </row>
    <row r="4" spans="1:9" x14ac:dyDescent="0.25">
      <c r="A4" t="s">
        <v>114</v>
      </c>
      <c r="B4" s="18" t="s">
        <v>131</v>
      </c>
      <c r="C4" s="29" t="s">
        <v>115</v>
      </c>
      <c r="D4" t="s">
        <v>96</v>
      </c>
      <c r="E4" s="32">
        <v>0</v>
      </c>
      <c r="F4" s="31">
        <v>0</v>
      </c>
    </row>
    <row r="5" spans="1:9" x14ac:dyDescent="0.25">
      <c r="A5" t="s">
        <v>114</v>
      </c>
      <c r="B5" s="29" t="s">
        <v>132</v>
      </c>
      <c r="C5" s="29" t="s">
        <v>115</v>
      </c>
      <c r="D5" t="s">
        <v>96</v>
      </c>
      <c r="E5" s="32">
        <v>0</v>
      </c>
      <c r="F5" s="31">
        <v>25</v>
      </c>
    </row>
    <row r="6" spans="1:9" x14ac:dyDescent="0.25">
      <c r="E6" s="30"/>
      <c r="F6" s="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8"/>
  <sheetViews>
    <sheetView workbookViewId="0">
      <selection activeCell="O30" sqref="O30"/>
    </sheetView>
  </sheetViews>
  <sheetFormatPr defaultRowHeight="15" x14ac:dyDescent="0.25"/>
  <sheetData>
    <row r="2" spans="2:22" x14ac:dyDescent="0.25">
      <c r="B2" s="27" t="s">
        <v>106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</row>
    <row r="3" spans="2:22" ht="15.75" thickBot="1" x14ac:dyDescent="0.3"/>
    <row r="4" spans="2:22" x14ac:dyDescent="0.25">
      <c r="B4" s="14" t="s">
        <v>108</v>
      </c>
      <c r="C4" s="15"/>
      <c r="D4" s="15"/>
      <c r="E4" s="15"/>
      <c r="F4" s="15"/>
      <c r="G4" s="15"/>
      <c r="H4" s="16"/>
      <c r="J4" s="14" t="s">
        <v>107</v>
      </c>
      <c r="K4" s="15"/>
      <c r="L4" s="15"/>
      <c r="M4" s="15"/>
      <c r="N4" s="15"/>
      <c r="O4" s="15"/>
      <c r="P4" s="16"/>
    </row>
    <row r="5" spans="2:22" x14ac:dyDescent="0.25">
      <c r="B5" s="17"/>
      <c r="C5" s="18"/>
      <c r="D5" s="18"/>
      <c r="E5" s="18"/>
      <c r="F5" s="18"/>
      <c r="G5" s="18"/>
      <c r="H5" s="19"/>
      <c r="J5" s="17"/>
      <c r="K5" s="18"/>
      <c r="L5" s="18"/>
      <c r="M5" s="18"/>
      <c r="N5" s="18"/>
      <c r="O5" s="18"/>
      <c r="P5" s="19"/>
    </row>
    <row r="6" spans="2:22" x14ac:dyDescent="0.25">
      <c r="B6" s="17"/>
      <c r="C6" s="18" t="s">
        <v>105</v>
      </c>
      <c r="D6" s="18"/>
      <c r="E6" s="18"/>
      <c r="F6" s="18"/>
      <c r="G6" s="18"/>
      <c r="H6" s="19"/>
      <c r="J6" s="17"/>
      <c r="K6" s="18" t="s">
        <v>109</v>
      </c>
      <c r="L6" s="18"/>
      <c r="M6" s="18"/>
      <c r="N6" s="18"/>
      <c r="O6" s="18"/>
      <c r="P6" s="19"/>
    </row>
    <row r="7" spans="2:22" x14ac:dyDescent="0.25">
      <c r="B7" s="17">
        <v>2012</v>
      </c>
      <c r="C7" s="18">
        <v>26.2</v>
      </c>
      <c r="D7" s="18"/>
      <c r="E7" s="18"/>
      <c r="F7" s="18"/>
      <c r="G7" s="18"/>
      <c r="H7" s="19"/>
      <c r="J7" s="17">
        <v>2012</v>
      </c>
      <c r="K7" s="18">
        <v>1.7</v>
      </c>
      <c r="L7" s="18"/>
      <c r="M7" s="18"/>
      <c r="N7" s="18"/>
      <c r="O7" s="18"/>
      <c r="P7" s="19"/>
    </row>
    <row r="8" spans="2:22" x14ac:dyDescent="0.25">
      <c r="B8" s="17">
        <v>2013</v>
      </c>
      <c r="C8" s="18">
        <v>26.1</v>
      </c>
      <c r="D8" s="20"/>
      <c r="E8" s="18"/>
      <c r="F8" s="18"/>
      <c r="G8" s="18"/>
      <c r="H8" s="19"/>
      <c r="J8" s="17">
        <v>2013</v>
      </c>
      <c r="K8" s="18">
        <v>1.6</v>
      </c>
      <c r="L8" s="18"/>
      <c r="M8" s="18"/>
      <c r="N8" s="18"/>
      <c r="O8" s="18"/>
      <c r="P8" s="19"/>
    </row>
    <row r="9" spans="2:22" x14ac:dyDescent="0.25">
      <c r="B9" s="17">
        <v>2014</v>
      </c>
      <c r="C9" s="18">
        <v>26.7</v>
      </c>
      <c r="D9" s="20"/>
      <c r="E9" s="18"/>
      <c r="F9" s="18"/>
      <c r="G9" s="18"/>
      <c r="H9" s="19"/>
      <c r="J9" s="17">
        <v>2014</v>
      </c>
      <c r="K9" s="18">
        <v>1.6</v>
      </c>
      <c r="L9" s="18"/>
      <c r="M9" s="18"/>
      <c r="N9" s="18"/>
      <c r="O9" s="18"/>
      <c r="P9" s="19"/>
    </row>
    <row r="10" spans="2:22" x14ac:dyDescent="0.25">
      <c r="B10" s="17">
        <v>2015</v>
      </c>
      <c r="C10" s="18">
        <v>26.6</v>
      </c>
      <c r="D10" s="20"/>
      <c r="E10" s="18"/>
      <c r="F10" s="18"/>
      <c r="G10" s="18"/>
      <c r="H10" s="19"/>
      <c r="J10" s="17">
        <v>2015</v>
      </c>
      <c r="K10" s="18">
        <v>1.5</v>
      </c>
      <c r="L10" s="18"/>
      <c r="M10" s="18"/>
      <c r="N10" s="18"/>
      <c r="O10" s="18"/>
      <c r="P10" s="19"/>
    </row>
    <row r="11" spans="2:22" x14ac:dyDescent="0.25">
      <c r="B11" s="17">
        <v>2016</v>
      </c>
      <c r="C11" s="18">
        <v>27</v>
      </c>
      <c r="D11" s="20"/>
      <c r="E11" s="18"/>
      <c r="F11" s="18"/>
      <c r="G11" s="18"/>
      <c r="H11" s="19"/>
      <c r="J11" s="17">
        <v>2016</v>
      </c>
      <c r="K11" s="18">
        <v>1.7</v>
      </c>
      <c r="L11" s="18"/>
      <c r="M11" s="18"/>
      <c r="N11" s="18"/>
      <c r="O11" s="18"/>
      <c r="P11" s="19"/>
    </row>
    <row r="12" spans="2:22" x14ac:dyDescent="0.25">
      <c r="B12" s="17">
        <v>2017</v>
      </c>
      <c r="C12" s="18">
        <v>25.7</v>
      </c>
      <c r="D12" s="20"/>
      <c r="E12" s="18"/>
      <c r="F12" s="18"/>
      <c r="G12" s="18"/>
      <c r="H12" s="19"/>
      <c r="J12" s="17">
        <v>2017</v>
      </c>
      <c r="K12" s="18">
        <v>1.6</v>
      </c>
      <c r="L12" s="18"/>
      <c r="M12" s="18"/>
      <c r="N12" s="18"/>
      <c r="O12" s="18"/>
      <c r="P12" s="19"/>
    </row>
    <row r="13" spans="2:22" x14ac:dyDescent="0.25">
      <c r="B13" s="17">
        <v>2018</v>
      </c>
      <c r="C13" s="18">
        <v>25.4</v>
      </c>
      <c r="D13" s="20"/>
      <c r="E13" s="18"/>
      <c r="F13" s="18"/>
      <c r="G13" s="18"/>
      <c r="H13" s="19"/>
      <c r="J13" s="17">
        <v>2018</v>
      </c>
      <c r="K13" s="18">
        <v>1.8</v>
      </c>
      <c r="L13" s="18"/>
      <c r="M13" s="18"/>
      <c r="N13" s="18"/>
      <c r="O13" s="18"/>
      <c r="P13" s="19"/>
    </row>
    <row r="14" spans="2:22" x14ac:dyDescent="0.25">
      <c r="B14" s="17">
        <v>2019</v>
      </c>
      <c r="C14" s="18">
        <v>25.8</v>
      </c>
      <c r="D14" s="20"/>
      <c r="E14" s="18"/>
      <c r="F14" s="18"/>
      <c r="G14" s="18"/>
      <c r="H14" s="19"/>
      <c r="J14" s="17">
        <v>2019</v>
      </c>
      <c r="K14" s="18">
        <v>1.7</v>
      </c>
      <c r="L14" s="18"/>
      <c r="M14" s="18"/>
      <c r="N14" s="18"/>
      <c r="O14" s="18"/>
      <c r="P14" s="19"/>
    </row>
    <row r="15" spans="2:22" x14ac:dyDescent="0.25">
      <c r="B15" s="17">
        <v>2020</v>
      </c>
      <c r="C15" s="18">
        <v>25.3</v>
      </c>
      <c r="D15" s="20"/>
      <c r="E15" s="18"/>
      <c r="F15" s="18"/>
      <c r="G15" s="18"/>
      <c r="H15" s="19"/>
      <c r="J15" s="17">
        <v>2020</v>
      </c>
      <c r="K15" s="18">
        <v>1.7</v>
      </c>
      <c r="L15" s="18"/>
      <c r="M15" s="18"/>
      <c r="N15" s="18"/>
      <c r="O15" s="18"/>
      <c r="P15" s="19"/>
    </row>
    <row r="16" spans="2:22" x14ac:dyDescent="0.25">
      <c r="B16" s="17">
        <v>2021</v>
      </c>
      <c r="C16" s="18">
        <v>24.8</v>
      </c>
      <c r="D16" s="20"/>
      <c r="E16" s="18"/>
      <c r="F16" s="18"/>
      <c r="G16" s="18"/>
      <c r="H16" s="19"/>
      <c r="J16" s="17">
        <v>2021</v>
      </c>
      <c r="K16" s="18">
        <v>1.7</v>
      </c>
      <c r="L16" s="18"/>
      <c r="M16" s="18"/>
      <c r="N16" s="18"/>
      <c r="O16" s="18"/>
      <c r="P16" s="19"/>
    </row>
    <row r="17" spans="2:16" x14ac:dyDescent="0.25">
      <c r="B17" s="17">
        <v>2022</v>
      </c>
      <c r="C17" s="18">
        <v>24.6</v>
      </c>
      <c r="D17" s="20"/>
      <c r="E17" s="24">
        <f>(C17-C7)/C7</f>
        <v>-6.1068702290076257E-2</v>
      </c>
      <c r="F17" s="25" t="s">
        <v>100</v>
      </c>
      <c r="G17" s="26"/>
      <c r="H17" s="19"/>
      <c r="J17" s="17">
        <v>2022</v>
      </c>
      <c r="K17" s="18">
        <v>1.7</v>
      </c>
      <c r="L17" s="18"/>
      <c r="M17" s="18"/>
      <c r="N17" s="18"/>
      <c r="O17" s="18"/>
      <c r="P17" s="19"/>
    </row>
    <row r="18" spans="2:16" ht="15.75" thickBot="1" x14ac:dyDescent="0.3">
      <c r="B18" s="21"/>
      <c r="C18" s="22"/>
      <c r="D18" s="22"/>
      <c r="E18" s="22"/>
      <c r="F18" s="22"/>
      <c r="G18" s="22"/>
      <c r="H18" s="23"/>
      <c r="J18" s="21"/>
      <c r="K18" s="22"/>
      <c r="L18" s="22"/>
      <c r="M18" s="22"/>
      <c r="N18" s="22"/>
      <c r="O18" s="22"/>
      <c r="P18" s="23"/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>
      <selection sqref="A1:XFD1048576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8.7109375" customWidth="1"/>
    <col min="5" max="5" width="30.5703125" bestFit="1" customWidth="1"/>
    <col min="6" max="6" width="6" bestFit="1" customWidth="1"/>
    <col min="7" max="13" width="7" bestFit="1" customWidth="1"/>
  </cols>
  <sheetData>
    <row r="1" spans="1:13" x14ac:dyDescent="0.25">
      <c r="A1" s="1" t="s">
        <v>97</v>
      </c>
      <c r="B1" s="1" t="s">
        <v>125</v>
      </c>
      <c r="C1" s="1" t="s">
        <v>104</v>
      </c>
      <c r="D1" s="1" t="s">
        <v>163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25">
      <c r="A2" t="s">
        <v>98</v>
      </c>
      <c r="E2" t="s">
        <v>99</v>
      </c>
      <c r="F2" t="s">
        <v>11</v>
      </c>
      <c r="G2">
        <v>1</v>
      </c>
      <c r="H2" s="3"/>
      <c r="I2" s="3"/>
      <c r="J2" s="3"/>
      <c r="K2" s="3"/>
      <c r="L2" s="3"/>
      <c r="M2" s="3">
        <v>1</v>
      </c>
    </row>
    <row r="4" spans="1:13" x14ac:dyDescent="0.25">
      <c r="A4" t="s">
        <v>98</v>
      </c>
      <c r="B4" t="s">
        <v>170</v>
      </c>
      <c r="E4" t="s">
        <v>124</v>
      </c>
      <c r="F4" t="s">
        <v>96</v>
      </c>
      <c r="G4" s="31">
        <v>14.798145933014354</v>
      </c>
      <c r="M4">
        <v>100</v>
      </c>
    </row>
    <row r="5" spans="1:13" x14ac:dyDescent="0.25">
      <c r="A5" t="s">
        <v>98</v>
      </c>
      <c r="B5" t="s">
        <v>171</v>
      </c>
      <c r="E5" t="s">
        <v>124</v>
      </c>
      <c r="F5" t="s">
        <v>96</v>
      </c>
      <c r="G5" s="31">
        <v>65.534646274777856</v>
      </c>
      <c r="M5">
        <v>100</v>
      </c>
    </row>
    <row r="6" spans="1:13" x14ac:dyDescent="0.25">
      <c r="A6" t="s">
        <v>123</v>
      </c>
      <c r="B6" t="s">
        <v>170</v>
      </c>
      <c r="E6" t="s">
        <v>124</v>
      </c>
      <c r="F6" t="s">
        <v>96</v>
      </c>
      <c r="G6" s="31">
        <v>9.2748685002842954</v>
      </c>
      <c r="M6">
        <v>100</v>
      </c>
    </row>
    <row r="7" spans="1:13" x14ac:dyDescent="0.25">
      <c r="A7" t="s">
        <v>123</v>
      </c>
      <c r="B7" t="s">
        <v>171</v>
      </c>
      <c r="E7" t="s">
        <v>124</v>
      </c>
      <c r="F7" t="s">
        <v>96</v>
      </c>
      <c r="G7" s="31">
        <v>35.940115438601644</v>
      </c>
      <c r="M7">
        <v>100</v>
      </c>
    </row>
    <row r="9" spans="1:13" x14ac:dyDescent="0.25">
      <c r="A9" t="s">
        <v>123</v>
      </c>
      <c r="E9" t="s">
        <v>175</v>
      </c>
      <c r="F9" t="s">
        <v>11</v>
      </c>
      <c r="G9" s="31">
        <v>1</v>
      </c>
      <c r="M9">
        <v>1.1000000000000001</v>
      </c>
    </row>
    <row r="10" spans="1:13" x14ac:dyDescent="0.25">
      <c r="A10" t="s">
        <v>98</v>
      </c>
      <c r="E10" t="s">
        <v>175</v>
      </c>
      <c r="F10" t="s">
        <v>11</v>
      </c>
      <c r="G10" s="31">
        <v>1</v>
      </c>
      <c r="M10">
        <v>1.1000000000000001</v>
      </c>
    </row>
    <row r="12" spans="1:13" x14ac:dyDescent="0.25">
      <c r="E12" t="s">
        <v>176</v>
      </c>
      <c r="F12" t="s">
        <v>11</v>
      </c>
      <c r="G12" s="31">
        <v>1</v>
      </c>
      <c r="M12">
        <v>0</v>
      </c>
    </row>
    <row r="13" spans="1:13" x14ac:dyDescent="0.25">
      <c r="E13" t="s">
        <v>177</v>
      </c>
      <c r="F13" t="s">
        <v>11</v>
      </c>
      <c r="G13" s="31">
        <v>1</v>
      </c>
      <c r="M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Regions</vt:lpstr>
      <vt:lpstr>DemandAndConversions</vt:lpstr>
      <vt:lpstr>CropProduction</vt:lpstr>
      <vt:lpstr>CattleHerd</vt:lpstr>
      <vt:lpstr>PigHerd</vt:lpstr>
      <vt:lpstr>FeedMgmt</vt:lpstr>
      <vt:lpstr>SheepHerd</vt:lpstr>
      <vt:lpstr>MachineryAndEnergyMgmt</vt:lpstr>
      <vt:lpstr>motivations</vt:lpstr>
      <vt:lpstr>oldCattleHerd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2024-09-13T14:55:44Z</dcterms:modified>
</cp:coreProperties>
</file>