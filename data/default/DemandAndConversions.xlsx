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1" i="1" l="1"/>
  <c r="M65" i="1" l="1"/>
  <c r="M64" i="1"/>
  <c r="M63" i="1"/>
  <c r="M62" i="1"/>
  <c r="M498" i="1" l="1"/>
  <c r="M499" i="1" s="1"/>
  <c r="M496" i="1"/>
  <c r="M497" i="1" s="1"/>
  <c r="M494" i="1"/>
  <c r="M495" i="1" s="1"/>
  <c r="M484" i="1"/>
  <c r="M485" i="1" s="1"/>
  <c r="M491" i="1"/>
  <c r="M490" i="1" s="1"/>
  <c r="M488" i="1"/>
  <c r="M489" i="1" s="1"/>
  <c r="M486" i="1"/>
  <c r="M487" i="1" s="1"/>
  <c r="M161" i="1" l="1"/>
  <c r="O14" i="4" l="1"/>
  <c r="M526" i="1" l="1"/>
  <c r="M525" i="1"/>
  <c r="M524" i="1"/>
  <c r="M521" i="1"/>
  <c r="M520" i="1"/>
  <c r="M516" i="1"/>
  <c r="M510" i="1"/>
  <c r="M509" i="1"/>
  <c r="M244" i="1"/>
  <c r="M242" i="1"/>
  <c r="M240" i="1"/>
  <c r="M241" i="1"/>
  <c r="M239" i="1"/>
  <c r="M404" i="1" l="1"/>
  <c r="M403" i="1"/>
  <c r="M222" i="1"/>
  <c r="M223" i="1"/>
  <c r="M221" i="1"/>
  <c r="M633" i="1" l="1"/>
  <c r="M632" i="1"/>
  <c r="M583" i="1"/>
  <c r="M581" i="1"/>
  <c r="M580" i="1"/>
  <c r="M578" i="1"/>
  <c r="M445" i="1" l="1"/>
  <c r="M434" i="1"/>
  <c r="M522" i="1" l="1"/>
  <c r="M519" i="1"/>
  <c r="M154" i="1"/>
  <c r="M153" i="1"/>
  <c r="M69" i="1" l="1"/>
  <c r="M562" i="1"/>
  <c r="M561" i="1"/>
  <c r="M560" i="1"/>
  <c r="M563" i="1" l="1"/>
  <c r="M590" i="1"/>
  <c r="M587" i="1"/>
  <c r="M584" i="1"/>
  <c r="M564" i="1"/>
  <c r="M591" i="1"/>
  <c r="M588" i="1"/>
  <c r="M585" i="1"/>
  <c r="M565" i="1"/>
  <c r="M592" i="1"/>
  <c r="M589" i="1"/>
  <c r="M586" i="1"/>
  <c r="M631" i="1"/>
  <c r="M575" i="1" s="1"/>
  <c r="M630" i="1"/>
  <c r="M145" i="1" s="1"/>
  <c r="M310" i="1" l="1"/>
  <c r="M309" i="1"/>
  <c r="M308" i="1"/>
  <c r="M307" i="1"/>
  <c r="M306" i="1"/>
  <c r="M305" i="1"/>
  <c r="M304" i="1"/>
  <c r="M303" i="1"/>
  <c r="M302" i="1"/>
  <c r="M376" i="1" l="1"/>
  <c r="M374" i="1"/>
  <c r="M372" i="1"/>
  <c r="M370" i="1"/>
  <c r="M368" i="1"/>
  <c r="M264" i="1" l="1"/>
  <c r="M20" i="1"/>
  <c r="M19" i="1"/>
  <c r="M18" i="1"/>
  <c r="M17" i="1"/>
  <c r="M16" i="1"/>
  <c r="M15" i="1"/>
  <c r="M13" i="1"/>
  <c r="M12" i="1"/>
  <c r="M9" i="1"/>
  <c r="M8" i="1"/>
  <c r="M10" i="1"/>
  <c r="M11" i="1"/>
  <c r="V19" i="4" l="1"/>
  <c r="R19" i="4"/>
  <c r="S19" i="4"/>
  <c r="T19" i="4"/>
  <c r="U19" i="4"/>
  <c r="Q19" i="4"/>
  <c r="O19" i="4"/>
  <c r="H19" i="4"/>
  <c r="Q8" i="4"/>
  <c r="R8" i="4"/>
  <c r="Q9" i="4"/>
  <c r="R9" i="4"/>
  <c r="Q10" i="4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V12" i="4"/>
  <c r="S12" i="4"/>
  <c r="T12" i="4"/>
  <c r="U12" i="4"/>
  <c r="S8" i="4"/>
  <c r="T8" i="4"/>
  <c r="V8" i="4" s="1"/>
  <c r="U8" i="4"/>
  <c r="V10" i="4"/>
  <c r="O12" i="4"/>
  <c r="O11" i="4"/>
  <c r="O10" i="4"/>
  <c r="O9" i="4"/>
  <c r="O8" i="4"/>
  <c r="H9" i="4"/>
  <c r="H10" i="4"/>
  <c r="H11" i="4"/>
  <c r="H12" i="4"/>
  <c r="H8" i="4"/>
  <c r="V9" i="4" l="1"/>
  <c r="M45" i="1" l="1"/>
  <c r="M48" i="1"/>
  <c r="M390" i="1"/>
  <c r="M39" i="1"/>
  <c r="M341" i="1" l="1"/>
  <c r="M269" i="1"/>
  <c r="M105" i="1" l="1"/>
  <c r="M459" i="1" l="1"/>
  <c r="M273" i="1" l="1"/>
  <c r="M271" i="1"/>
  <c r="M266" i="1"/>
  <c r="M262" i="1"/>
  <c r="M108" i="1" l="1"/>
  <c r="M107" i="1"/>
  <c r="M569" i="1" l="1"/>
  <c r="M570" i="1" s="1"/>
  <c r="M515" i="1" l="1"/>
  <c r="M514" i="1"/>
  <c r="M513" i="1"/>
  <c r="M216" i="1" l="1"/>
  <c r="M243" i="1" s="1"/>
  <c r="M52" i="1"/>
  <c r="M53" i="1"/>
  <c r="M503" i="1" l="1"/>
  <c r="M502" i="1"/>
  <c r="M51" i="1"/>
  <c r="M492" i="1" l="1"/>
  <c r="M508" i="1" l="1"/>
  <c r="M507" i="1"/>
</calcChain>
</file>

<file path=xl/sharedStrings.xml><?xml version="1.0" encoding="utf-8"?>
<sst xmlns="http://schemas.openxmlformats.org/spreadsheetml/2006/main" count="2722" uniqueCount="525">
  <si>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</si>
  <si>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</si>
  <si>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</si>
  <si>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</si>
  <si>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</si>
  <si>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</si>
  <si>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</si>
  <si>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</si>
  <si>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</si>
  <si>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</si>
  <si>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</si>
  <si>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</si>
  <si>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</si>
  <si>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</si>
  <si>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</si>
  <si>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</si>
  <si>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</si>
  <si>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</si>
  <si>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</si>
  <si>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</si>
  <si>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</si>
  <si>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</si>
  <si>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</si>
  <si>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</si>
  <si>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</si>
  <si>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</si>
  <si>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</si>
  <si>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</si>
  <si>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</si>
  <si>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</si>
  <si>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</si>
  <si>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</si>
  <si>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</si>
  <si>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</si>
  <si>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</si>
  <si>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</si>
  <si>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</si>
  <si>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</si>
  <si>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</si>
  <si>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</si>
  <si>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</si>
  <si>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</si>
  <si>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</si>
  <si>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</si>
  <si>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</si>
  <si>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</si>
  <si>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</si>
  <si>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</si>
  <si>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</si>
  <si>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</si>
  <si>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</si>
  <si>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</si>
  <si>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</si>
  <si>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</si>
  <si>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</si>
  <si>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</si>
  <si>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</si>
  <si>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</si>
  <si>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</si>
  <si>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</si>
  <si>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</si>
  <si>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</si>
  <si>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</si>
  <si>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</si>
  <si>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</si>
  <si>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</si>
  <si>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</si>
  <si>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</si>
  <si>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</si>
  <si>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</si>
  <si>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</si>
  <si>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</si>
  <si>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</si>
  <si>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</si>
  <si>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</si>
  <si>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</si>
  <si>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</si>
  <si>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</si>
  <si>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</si>
  <si>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</si>
  <si>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</si>
  <si>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</si>
  <si>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</si>
  <si>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</si>
  <si>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</si>
  <si>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</si>
  <si>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</si>
  <si>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</si>
  <si>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</si>
  <si>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</si>
  <si>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</si>
  <si>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</si>
  <si>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</si>
  <si>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</si>
  <si>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</si>
  <si>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</si>
  <si>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</si>
  <si>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</si>
  <si>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</si>
  <si>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</si>
  <si>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</si>
  <si>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</si>
  <si>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</si>
  <si>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</si>
  <si>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</si>
  <si>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</si>
  <si>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</si>
  <si>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</si>
  <si>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</si>
  <si>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</si>
  <si>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</si>
  <si>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</si>
  <si>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</si>
  <si>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</si>
  <si>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</si>
  <si>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</si>
  <si>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</si>
  <si>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</si>
  <si>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</si>
  <si>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</si>
  <si>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</si>
  <si>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</si>
  <si>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</si>
  <si>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</si>
  <si>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</si>
  <si>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</si>
  <si>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</si>
  <si>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</si>
  <si>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</si>
  <si>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</si>
  <si>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</si>
  <si>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</si>
  <si>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</si>
  <si>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</si>
  <si>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</si>
  <si>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</si>
  <si>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</si>
  <si>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</si>
  <si>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</si>
  <si>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</si>
  <si>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</si>
  <si>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</si>
  <si>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</si>
  <si>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</si>
  <si>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</si>
  <si>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</si>
  <si>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</si>
  <si>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</si>
  <si>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</si>
  <si>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</si>
  <si>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</si>
  <si>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</si>
  <si>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</si>
  <si>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</si>
  <si>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</si>
  <si>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</si>
  <si>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</si>
  <si>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</si>
  <si>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</si>
  <si>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</si>
  <si>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</si>
  <si>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</si>
  <si>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</si>
  <si>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</si>
  <si>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</si>
  <si>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</si>
  <si>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</si>
  <si>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</si>
  <si>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</si>
  <si>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</si>
  <si>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</si>
  <si>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</si>
  <si>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</si>
  <si>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</si>
  <si>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</si>
  <si>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</si>
  <si>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</si>
  <si>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</si>
  <si>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</si>
  <si>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</si>
  <si>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</si>
  <si>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</si>
  <si>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</si>
  <si>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</si>
  <si>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</si>
  <si>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</si>
  <si>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</si>
  <si>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</si>
  <si>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</si>
  <si>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</si>
  <si>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</si>
  <si>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</si>
  <si>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</si>
  <si>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</si>
  <si>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</si>
  <si>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</si>
  <si>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</si>
  <si>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</si>
  <si>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</si>
  <si>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</si>
  <si>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</si>
  <si>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</si>
  <si>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</si>
  <si>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</si>
  <si>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</si>
  <si>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</si>
  <si>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</si>
  <si>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</si>
  <si>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</si>
  <si>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</si>
  <si>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</si>
  <si>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</si>
  <si>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</si>
  <si>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</si>
  <si>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</si>
  <si>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</si>
  <si>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</si>
  <si>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</si>
  <si>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</si>
  <si>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</si>
  <si>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</si>
  <si>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</si>
  <si>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</si>
  <si>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</si>
  <si>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</si>
  <si>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</si>
  <si>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</si>
  <si>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</si>
  <si>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</si>
  <si>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</si>
  <si>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</si>
  <si>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</si>
  <si>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</si>
  <si>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</si>
  <si>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</si>
  <si>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</si>
  <si>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</si>
  <si>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</si>
  <si>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</si>
  <si>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</si>
  <si>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</si>
  <si>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</si>
  <si>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</si>
  <si>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</si>
  <si>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</si>
  <si>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</si>
  <si>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</si>
  <si>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</si>
  <si>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</si>
  <si>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</si>
  <si>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</si>
  <si>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</si>
  <si>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</si>
  <si>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</si>
  <si>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</si>
  <si>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</si>
  <si>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</si>
  <si>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</si>
  <si>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</si>
  <si>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</si>
  <si>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</si>
  <si>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</si>
  <si>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</si>
  <si>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</si>
  <si>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</si>
  <si>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</si>
  <si>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</si>
  <si>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</si>
  <si>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</si>
  <si>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</si>
  <si>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</si>
  <si>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</si>
  <si>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</si>
  <si>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</si>
  <si>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</si>
  <si>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</si>
  <si>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</si>
  <si>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</si>
  <si>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</si>
  <si>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</si>
  <si>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</si>
  <si>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</si>
  <si>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</si>
  <si>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</si>
  <si>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</si>
  <si>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</si>
  <si>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</si>
  <si>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</si>
  <si>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</si>
  <si>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</si>
  <si>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</si>
  <si>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</si>
  <si>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</si>
  <si>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</si>
  <si>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</si>
  <si>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</si>
  <si>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</si>
  <si>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</si>
  <si>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</si>
  <si>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</si>
  <si>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</si>
  <si>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</si>
  <si>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</si>
  <si>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</si>
  <si>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</si>
  <si>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</si>
  <si>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</si>
  <si>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</si>
  <si>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</si>
  <si>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</si>
  <si>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</si>
  <si>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</si>
  <si>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</si>
  <si>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</si>
  <si>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</si>
  <si>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</si>
  <si>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</si>
  <si>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</si>
  <si>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</si>
  <si>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</si>
  <si>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</si>
  <si>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</si>
  <si>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</si>
  <si>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</si>
  <si>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</si>
  <si>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</si>
  <si>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</si>
  <si>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</si>
  <si>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</si>
  <si>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(1/0.50)=carcass weight--&gt;live weight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</si>
  <si>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</si>
  <si>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</si>
  <si>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</si>
  <si>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</si>
  <si>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</si>
  <si>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</si>
  <si>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</si>
  <si>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</si>
  <si>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</si>
  <si>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</si>
  <si>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</si>
  <si>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</si>
  <si>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</si>
  <si>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</si>
  <si>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</si>
  <si>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</si>
  <si>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</si>
  <si>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</si>
  <si>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</si>
  <si>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</si>
  <si>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</si>
  <si>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</si>
  <si>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</si>
  <si>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</si>
  <si>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</si>
  <si>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</si>
  <si>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</si>
  <si>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</si>
  <si>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</si>
  <si>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</si>
  <si>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</si>
  <si>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</si>
  <si>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</si>
  <si>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</si>
  <si>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</si>
  <si>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</si>
  <si>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</si>
  <si>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</si>
  <si>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</si>
  <si>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</si>
  <si>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</si>
  <si>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</si>
  <si>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</si>
  <si>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</si>
  <si>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</si>
  <si>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</si>
  <si>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</si>
  <si>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</si>
  <si>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</si>
  <si>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</si>
  <si>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</si>
  <si>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</si>
  <si>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</si>
  <si>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</si>
  <si>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</si>
  <si>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</si>
  <si>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</si>
  <si>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</si>
  <si>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</si>
  <si>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</si>
  <si>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</si>
  <si>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</si>
  <si>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</si>
  <si>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</si>
  <si>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</si>
  <si>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</si>
  <si>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</si>
  <si>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</si>
  <si>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</si>
  <si>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</si>
  <si>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</si>
  <si>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</si>
  <si>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Milk Powder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</si>
  <si>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</si>
  <si>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</si>
  <si>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</si>
  <si>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</si>
  <si>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</si>
  <si>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</si>
  <si>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</si>
  <si>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</si>
  <si>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</si>
  <si>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</si>
  <si>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</si>
  <si>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</si>
  <si>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</si>
  <si>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</si>
  <si>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</si>
  <si>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</si>
  <si>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</si>
  <si>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</si>
  <si>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</si>
  <si>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</si>
  <si>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</si>
  <si>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</si>
  <si>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</si>
  <si>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</si>
  <si>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</si>
  <si>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</si>
  <si>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</si>
  <si>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</si>
  <si>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</si>
  <si>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</si>
  <si>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</si>
  <si>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</si>
  <si>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</si>
  <si>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</si>
  <si>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</si>
  <si>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</si>
  <si>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</si>
  <si>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</si>
  <si>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</si>
  <si>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</si>
  <si>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</si>
  <si>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</si>
  <si>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</si>
  <si>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</si>
  <si>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</si>
  <si>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</si>
  <si>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</si>
  <si>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</si>
  <si>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</si>
  <si>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 xml:space="preserve">FAO 1992 / https://doi.org/10.3382/ps.0592243 </t>
  </si>
  <si>
    <t>assumed same as for bioethanol</t>
  </si>
  <si>
    <t>Use total exports</t>
  </si>
  <si>
    <t>Use total exports incl. Malted barley</t>
  </si>
  <si>
    <t>Malt</t>
  </si>
  <si>
    <t>Use net exports as no feed imports assumed</t>
  </si>
  <si>
    <t>Adjusted to match prod. 90% in Hanna's sheet</t>
  </si>
  <si>
    <t>Adjusted to match prod. 46% in Hanna's sheet</t>
  </si>
  <si>
    <t>quinoa</t>
  </si>
  <si>
    <t>hazelnuts</t>
  </si>
  <si>
    <t>walnuts</t>
  </si>
  <si>
    <t>hazelnut shells</t>
  </si>
  <si>
    <t>walnut shells</t>
  </si>
  <si>
    <t>fat%</t>
  </si>
  <si>
    <t>raw milk</t>
  </si>
  <si>
    <t>Dairy products where cream is generated</t>
  </si>
  <si>
    <t>Dairy products produced from only cream</t>
  </si>
  <si>
    <t>Dairy products produced from a mix of milk and cream</t>
  </si>
  <si>
    <t>Swedish pop. avg. 2016-2020</t>
  </si>
  <si>
    <t>JBV. Marknadsbalans griskött. Priser och marknads­information för livsmedel. https://jordbruksverket.se/mat-och-drycker/handel-och-marknad/priser-och-marknadsinformation-for-livsmedel</t>
  </si>
  <si>
    <t>JBV. Marknadsbalans matfågel. Priser och marknads­information för livsmedel. https://jordbruksverket.se/mat-och-drycker/handel-och-marknad/priser-och-marknadsinformation-for-livsmedel</t>
  </si>
  <si>
    <t>JBV. Marknadsbalans nötkött. Priser och marknads­information för livsmedel. https://jordbruksverket.se/mat-och-drycker/handel-och-marknad/priser-och-marknadsinformation-for-livsmedel</t>
  </si>
  <si>
    <t>JBV. Marknadsbalans fårkött. Priser och marknads­information för livsmedel. https://jordbruksverket.se/mat-och-drycker/handel-och-marknad/priser-och-marknadsinformation-for-livsmedel</t>
  </si>
  <si>
    <t>Avg. 2016-2020. (imp-exp)/consumption</t>
  </si>
  <si>
    <t>JBV. Konsumtion animalieprodukter. Priser och marknads­information för livsmedel. https://jordbruksverket.se/mat-och-drycker/handel-och-marknad/priser-och-marknadsinformation-for-livsmedel</t>
  </si>
  <si>
    <t>Retail weight</t>
  </si>
  <si>
    <t>Avg.2016-2020. Based on "totalkonsumtion" adjusted with JBV factors for CW --&gt; retail weight</t>
  </si>
  <si>
    <t>FOOD NUTRIENT COMPOSITION</t>
  </si>
  <si>
    <t>composition</t>
  </si>
  <si>
    <t>DemandAndConversions-food_composition.csv</t>
  </si>
  <si>
    <t>Sweet potatoes</t>
  </si>
  <si>
    <t>Imported fruit</t>
  </si>
  <si>
    <t>imported fruit</t>
  </si>
  <si>
    <t>Wild caught freshwater arctic char</t>
  </si>
  <si>
    <t>fish</t>
  </si>
  <si>
    <t>Coldwater farmed fish carp</t>
  </si>
  <si>
    <t>Warmwater farmed fish tilapia</t>
  </si>
  <si>
    <t>Cod</t>
  </si>
  <si>
    <t>Herring</t>
  </si>
  <si>
    <t>Tuna</t>
  </si>
  <si>
    <t>Wild caught Salmon</t>
  </si>
  <si>
    <t>Farmed Salmon</t>
  </si>
  <si>
    <t>Sea bass</t>
  </si>
  <si>
    <t>Shrimp and crayfish</t>
  </si>
  <si>
    <t>Mackerel</t>
  </si>
  <si>
    <t>Mussels and oysters</t>
  </si>
  <si>
    <t>Crustaceans</t>
  </si>
  <si>
    <t>Other nuts</t>
  </si>
  <si>
    <t>Chestnuts, pistachios, cashews, almonds and prepared nuts</t>
  </si>
  <si>
    <t>Seeds and oilcrops</t>
  </si>
  <si>
    <t>Groundnuts</t>
  </si>
  <si>
    <t>Soybeans</t>
  </si>
  <si>
    <t>Soybeans in soy protein products and tofu</t>
  </si>
  <si>
    <t>antagande från beråkningar i vegoguiden (inte så snygg lösning men för att få med i importen)</t>
  </si>
  <si>
    <t>Olives</t>
  </si>
  <si>
    <t>Coconuts</t>
  </si>
  <si>
    <t>Other vegetable oils</t>
  </si>
  <si>
    <t>mainly palm oil</t>
  </si>
  <si>
    <t>Coffee, tea and cacoa</t>
  </si>
  <si>
    <t>conumption</t>
  </si>
  <si>
    <t>Moose and deer</t>
  </si>
  <si>
    <t>wild food</t>
  </si>
  <si>
    <t>Wild boar</t>
  </si>
  <si>
    <t>Reindeer</t>
  </si>
  <si>
    <t>Berries</t>
  </si>
  <si>
    <t>Mushrooms</t>
  </si>
  <si>
    <t>Tofu soy</t>
  </si>
  <si>
    <t>Wild caught (freshwater - Arctic char)</t>
  </si>
  <si>
    <t>obs detta skulle jag behöva lägga till?</t>
  </si>
  <si>
    <t>Coldwater Farmed fish (carp)</t>
  </si>
  <si>
    <t>Warmwater Farmed fish (tilapia)</t>
  </si>
  <si>
    <t>Torsk (cod)</t>
  </si>
  <si>
    <t>Sill (Herring)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</si>
</sst>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0"/>
    <numFmt numFmtId="166" formatCode="#,##0.0"/>
    <numFmt numFmtId="167" formatCode="0.0%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12" fillId="3" borderId="0" xfId="0" applyFont="1" applyFill="1"/>
    <xf numFmtId="0" fontId="0" fillId="0" borderId="0" xfId="0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  <xf numFmtId="0" fontId="14" fillId="2" borderId="0" xfId="0" applyFont="1" applyFill="1"/>
    <xf numFmtId="0" fontId="15" fillId="0" borderId="0" xfId="0" applyFont="1"/>
    <xf numFmtId="3" fontId="5" fillId="0" borderId="0" xfId="0" applyNumberFormat="1" applyFont="1"/>
    <xf numFmtId="0" fontId="8" fillId="0" borderId="0" xfId="1" applyFill="1" applyBorder="1"/>
    <xf numFmtId="164" fontId="0" fillId="0" borderId="0" xfId="0" applyNumberFormat="1" applyFill="1" applyBorder="1"/>
    <xf numFmtId="1" fontId="7" fillId="0" borderId="0" xfId="0" applyNumberFormat="1" applyFont="1" applyBorder="1"/>
    <xf numFmtId="0" fontId="7" fillId="0" borderId="0" xfId="0" applyFont="1" applyFill="1" applyBorder="1"/>
    <xf numFmtId="0" fontId="0" fillId="0" borderId="0" xfId="0" applyFont="1" applyBorder="1"/>
    <xf numFmtId="0" fontId="0" fillId="0" borderId="0" xfId="0" applyFont="1" applyFill="1" applyBorder="1"/>
    <xf numFmtId="1" fontId="0" fillId="0" borderId="0" xfId="0" applyNumberFormat="1" applyFont="1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1" xfId="0" applyFill="1" applyBorder="1"/>
    <xf numFmtId="0" fontId="0" fillId="2" borderId="2" xfId="0" applyFill="1" applyBorder="1"/>
    <xf numFmtId="10" fontId="0" fillId="0" borderId="4" xfId="0" applyNumberFormat="1" applyBorder="1"/>
    <xf numFmtId="167" fontId="0" fillId="0" borderId="4" xfId="0" applyNumberFormat="1" applyBorder="1"/>
    <xf numFmtId="167" fontId="0" fillId="0" borderId="6" xfId="0" applyNumberFormat="1" applyBorder="1"/>
    <xf numFmtId="9" fontId="0" fillId="0" borderId="2" xfId="0" applyNumberFormat="1" applyBorder="1"/>
    <xf numFmtId="9" fontId="0" fillId="0" borderId="4" xfId="0" applyNumberFormat="1" applyBorder="1"/>
    <xf numFmtId="0" fontId="1" fillId="0" borderId="0" xfId="0" applyFont="1" applyFill="1"/>
    <xf numFmtId="0" fontId="0" fillId="0" borderId="0" xfId="0" applyFont="1" applyFill="1"/>
    <xf numFmtId="0" fontId="4" fillId="0" borderId="0" xfId="0" applyFont="1" applyFill="1"/>
    <xf numFmtId="0" fontId="16" fillId="3" borderId="0" xfId="0" applyFont="1" applyFill="1"/>
    <xf numFmtId="164" fontId="5" fillId="3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11906</xdr:colOff>
      <xdr:row>152</xdr:row>
      <xdr:rowOff>0</xdr:rowOff>
    </xdr:from>
    <xdr:to>
      <xdr:col>12</xdr:col>
      <xdr:colOff>0</xdr:colOff>
      <xdr:row>153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151</xdr:row>
      <xdr:rowOff>188119</xdr:rowOff>
    </xdr:from>
    <xdr:to>
      <xdr:col>11</xdr:col>
      <xdr:colOff>1426369</xdr:colOff>
      <xdr:row>153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40"/>
  <sheetViews>
    <sheetView tabSelected="1" zoomScale="70" zoomScaleNormal="70" zoomScaleSheetLayoutView="80" workbookViewId="0">
      <pane ySplit="1" topLeftCell="A92" activePane="bottomLeft" state="frozen"/>
      <selection pane="bottomLeft" activeCell="C105" sqref="C105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3" max="13" width="9.140625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35</v>
      </c>
      <c r="B1" s="1" t="s">
        <v>24</v>
      </c>
      <c r="C1" s="1" t="s">
        <v>420</v>
      </c>
      <c r="D1" s="1" t="s">
        <v>26</v>
      </c>
      <c r="E1" s="1" t="s">
        <v>351</v>
      </c>
      <c r="F1" s="1" t="s">
        <v>55</v>
      </c>
      <c r="G1" s="1" t="s">
        <v>34</v>
      </c>
      <c r="H1" s="1" t="s">
        <v>27</v>
      </c>
      <c r="I1" s="1" t="s">
        <v>46</v>
      </c>
      <c r="J1" s="1" t="s">
        <v>41</v>
      </c>
      <c r="K1" s="1" t="s">
        <v>48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16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30">
        <v>10.157655</v>
      </c>
      <c r="N3" t="s">
        <v>6</v>
      </c>
      <c r="O3" t="s">
        <v>470</v>
      </c>
      <c r="P3" t="s">
        <v>7</v>
      </c>
    </row>
    <row r="4" spans="1:16" x14ac:dyDescent="0.25">
      <c r="L4" t="s">
        <v>342</v>
      </c>
      <c r="M4" s="30" t="s">
        <v>346</v>
      </c>
      <c r="N4" t="s">
        <v>343</v>
      </c>
      <c r="O4" t="s">
        <v>344</v>
      </c>
      <c r="P4" t="s">
        <v>345</v>
      </c>
    </row>
    <row r="6" spans="1:16" x14ac:dyDescent="0.25">
      <c r="A6" s="2" t="s">
        <v>8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9"/>
      <c r="N6" s="3"/>
      <c r="O6" s="3"/>
      <c r="P6" s="3"/>
    </row>
    <row r="7" spans="1:16" x14ac:dyDescent="0.25">
      <c r="A7" s="4" t="s">
        <v>9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168</v>
      </c>
      <c r="B8" t="s">
        <v>25</v>
      </c>
      <c r="L8" t="s">
        <v>17</v>
      </c>
      <c r="M8" s="22">
        <f>93.1*0.72</f>
        <v>67.031999999999996</v>
      </c>
      <c r="N8" t="s">
        <v>18</v>
      </c>
      <c r="O8" s="17" t="s">
        <v>303</v>
      </c>
      <c r="P8" t="s">
        <v>302</v>
      </c>
    </row>
    <row r="9" spans="1:16" x14ac:dyDescent="0.25">
      <c r="A9" t="s">
        <v>173</v>
      </c>
      <c r="B9" t="s">
        <v>25</v>
      </c>
      <c r="L9" t="s">
        <v>17</v>
      </c>
      <c r="M9" s="29">
        <f>93.1*0.28</f>
        <v>26.068000000000001</v>
      </c>
      <c r="N9" t="s">
        <v>18</v>
      </c>
    </row>
    <row r="10" spans="1:16" x14ac:dyDescent="0.25">
      <c r="A10" t="s">
        <v>298</v>
      </c>
      <c r="B10" t="s">
        <v>25</v>
      </c>
      <c r="L10" t="s">
        <v>17</v>
      </c>
      <c r="M10" s="22">
        <f>14.1*0.9</f>
        <v>12.69</v>
      </c>
      <c r="N10" t="s">
        <v>18</v>
      </c>
      <c r="O10" s="17" t="s">
        <v>300</v>
      </c>
      <c r="P10" t="s">
        <v>301</v>
      </c>
    </row>
    <row r="11" spans="1:16" x14ac:dyDescent="0.25">
      <c r="A11" t="s">
        <v>299</v>
      </c>
      <c r="B11" t="s">
        <v>25</v>
      </c>
      <c r="L11" t="s">
        <v>17</v>
      </c>
      <c r="M11" s="22">
        <f>14.1*0.1</f>
        <v>1.4100000000000001</v>
      </c>
      <c r="N11" t="s">
        <v>18</v>
      </c>
      <c r="O11" s="6"/>
    </row>
    <row r="12" spans="1:16" x14ac:dyDescent="0.25">
      <c r="A12" t="s">
        <v>169</v>
      </c>
      <c r="B12" t="s">
        <v>25</v>
      </c>
      <c r="L12" t="s">
        <v>17</v>
      </c>
      <c r="M12" s="22">
        <f>3.5*0.72</f>
        <v>2.52</v>
      </c>
      <c r="N12" t="s">
        <v>18</v>
      </c>
      <c r="O12" s="6" t="s">
        <v>304</v>
      </c>
    </row>
    <row r="13" spans="1:16" x14ac:dyDescent="0.25">
      <c r="A13" t="s">
        <v>174</v>
      </c>
      <c r="B13" t="s">
        <v>25</v>
      </c>
      <c r="L13" t="s">
        <v>17</v>
      </c>
      <c r="M13" s="22">
        <f>3.5*0.28</f>
        <v>0.98000000000000009</v>
      </c>
      <c r="N13" t="s">
        <v>18</v>
      </c>
      <c r="O13" s="6"/>
    </row>
    <row r="14" spans="1:16" x14ac:dyDescent="0.25">
      <c r="A14" t="s">
        <v>86</v>
      </c>
      <c r="B14" t="s">
        <v>25</v>
      </c>
      <c r="L14" t="s">
        <v>17</v>
      </c>
      <c r="M14">
        <v>3.8</v>
      </c>
      <c r="N14" t="s">
        <v>18</v>
      </c>
    </row>
    <row r="15" spans="1:16" x14ac:dyDescent="0.25">
      <c r="A15" t="s">
        <v>170</v>
      </c>
      <c r="B15" t="s">
        <v>25</v>
      </c>
      <c r="L15" t="s">
        <v>17</v>
      </c>
      <c r="M15" s="22">
        <f>12.8*0.72</f>
        <v>9.2159999999999993</v>
      </c>
      <c r="N15" t="s">
        <v>18</v>
      </c>
      <c r="O15" s="6" t="s">
        <v>304</v>
      </c>
    </row>
    <row r="16" spans="1:16" x14ac:dyDescent="0.25">
      <c r="A16" t="s">
        <v>175</v>
      </c>
      <c r="B16" t="s">
        <v>25</v>
      </c>
      <c r="L16" t="s">
        <v>17</v>
      </c>
      <c r="M16" s="22">
        <f>12.8*0.28</f>
        <v>3.5840000000000005</v>
      </c>
      <c r="N16" t="s">
        <v>18</v>
      </c>
      <c r="O16" s="6"/>
    </row>
    <row r="17" spans="1:16" x14ac:dyDescent="0.25">
      <c r="A17" t="s">
        <v>171</v>
      </c>
      <c r="B17" t="s">
        <v>25</v>
      </c>
      <c r="L17" t="s">
        <v>17</v>
      </c>
      <c r="M17" s="22">
        <f>5.2*0.72</f>
        <v>3.7439999999999998</v>
      </c>
      <c r="N17" t="s">
        <v>18</v>
      </c>
      <c r="O17" s="6" t="s">
        <v>304</v>
      </c>
    </row>
    <row r="18" spans="1:16" x14ac:dyDescent="0.25">
      <c r="A18" t="s">
        <v>176</v>
      </c>
      <c r="B18" t="s">
        <v>25</v>
      </c>
      <c r="L18" t="s">
        <v>17</v>
      </c>
      <c r="M18" s="22">
        <f>5.2*0.28</f>
        <v>1.4560000000000002</v>
      </c>
      <c r="N18" t="s">
        <v>18</v>
      </c>
      <c r="O18" s="6"/>
    </row>
    <row r="19" spans="1:16" x14ac:dyDescent="0.25">
      <c r="A19" s="6" t="s">
        <v>172</v>
      </c>
      <c r="B19" t="s">
        <v>25</v>
      </c>
      <c r="L19" t="s">
        <v>17</v>
      </c>
      <c r="M19" s="13">
        <f>0.5*0.72</f>
        <v>0.36</v>
      </c>
      <c r="N19" t="s">
        <v>18</v>
      </c>
      <c r="O19" s="6" t="s">
        <v>305</v>
      </c>
    </row>
    <row r="20" spans="1:16" x14ac:dyDescent="0.25">
      <c r="A20" s="6" t="s">
        <v>177</v>
      </c>
      <c r="B20" t="s">
        <v>25</v>
      </c>
      <c r="L20" t="s">
        <v>17</v>
      </c>
      <c r="M20" s="13">
        <f>0.5*0.28</f>
        <v>0.14000000000000001</v>
      </c>
      <c r="N20" t="s">
        <v>18</v>
      </c>
      <c r="O20" s="6"/>
    </row>
    <row r="21" spans="1:16" s="7" customFormat="1" x14ac:dyDescent="0.25">
      <c r="A21" s="17" t="s">
        <v>386</v>
      </c>
      <c r="B21" s="17" t="s">
        <v>25</v>
      </c>
      <c r="C21" s="17"/>
      <c r="D21" s="17"/>
      <c r="E21" s="17"/>
      <c r="F21" s="17"/>
      <c r="G21" s="17"/>
      <c r="H21" s="17"/>
      <c r="I21" s="17"/>
      <c r="J21" s="17"/>
      <c r="K21" s="17"/>
      <c r="L21" s="17" t="s">
        <v>17</v>
      </c>
      <c r="M21" s="29">
        <v>0.1</v>
      </c>
      <c r="N21" s="17" t="s">
        <v>18</v>
      </c>
      <c r="O21" s="17"/>
    </row>
    <row r="22" spans="1:16" x14ac:dyDescent="0.25">
      <c r="A22" s="4" t="s">
        <v>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7" t="s">
        <v>96</v>
      </c>
      <c r="B23" t="s">
        <v>100</v>
      </c>
      <c r="L23" t="s">
        <v>17</v>
      </c>
      <c r="M23">
        <v>108.1</v>
      </c>
      <c r="N23" t="s">
        <v>18</v>
      </c>
    </row>
    <row r="24" spans="1:16" x14ac:dyDescent="0.25">
      <c r="A24" s="17" t="s">
        <v>97</v>
      </c>
      <c r="B24" t="s">
        <v>100</v>
      </c>
      <c r="L24" t="s">
        <v>17</v>
      </c>
      <c r="M24">
        <v>24.1</v>
      </c>
      <c r="N24" t="s">
        <v>18</v>
      </c>
    </row>
    <row r="25" spans="1:16" x14ac:dyDescent="0.25">
      <c r="A25" s="17" t="s">
        <v>198</v>
      </c>
      <c r="B25" t="s">
        <v>100</v>
      </c>
      <c r="L25" t="s">
        <v>17</v>
      </c>
      <c r="M25">
        <v>0.9</v>
      </c>
      <c r="N25" t="s">
        <v>18</v>
      </c>
      <c r="O25" t="s">
        <v>99</v>
      </c>
    </row>
    <row r="26" spans="1:16" x14ac:dyDescent="0.25">
      <c r="A26" s="17" t="s">
        <v>98</v>
      </c>
      <c r="B26" t="s">
        <v>100</v>
      </c>
      <c r="L26" t="s">
        <v>17</v>
      </c>
      <c r="M26">
        <v>0.3</v>
      </c>
      <c r="N26" t="s">
        <v>18</v>
      </c>
    </row>
    <row r="27" spans="1:16" s="7" customFormat="1" x14ac:dyDescent="0.25">
      <c r="A27" s="17" t="s">
        <v>482</v>
      </c>
      <c r="B27" s="17" t="s">
        <v>100</v>
      </c>
      <c r="C27" s="17"/>
      <c r="D27" s="17"/>
      <c r="E27" s="17"/>
      <c r="F27" s="17"/>
      <c r="G27" s="17"/>
      <c r="H27" s="17"/>
      <c r="I27" s="17"/>
      <c r="J27" s="17"/>
      <c r="K27" s="17"/>
      <c r="L27" s="17" t="s">
        <v>17</v>
      </c>
      <c r="M27" s="17">
        <v>0.3</v>
      </c>
      <c r="N27" s="17" t="s">
        <v>18</v>
      </c>
    </row>
    <row r="28" spans="1:16" x14ac:dyDescent="0.25">
      <c r="A28" s="4" t="s">
        <v>11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5"/>
      <c r="N28" s="5"/>
      <c r="O28" s="5"/>
      <c r="P28" s="5"/>
    </row>
    <row r="29" spans="1:16" x14ac:dyDescent="0.25">
      <c r="A29" s="17" t="s">
        <v>124</v>
      </c>
      <c r="B29" t="s">
        <v>105</v>
      </c>
      <c r="L29" t="s">
        <v>17</v>
      </c>
      <c r="M29">
        <v>25</v>
      </c>
      <c r="N29" t="s">
        <v>18</v>
      </c>
    </row>
    <row r="30" spans="1:16" x14ac:dyDescent="0.25">
      <c r="A30" s="17" t="s">
        <v>350</v>
      </c>
      <c r="B30" s="17" t="s">
        <v>105</v>
      </c>
      <c r="C30" s="17"/>
      <c r="D30" s="17"/>
      <c r="E30" s="17"/>
      <c r="F30" s="17"/>
      <c r="G30" s="17"/>
      <c r="H30" s="17"/>
      <c r="I30" s="17"/>
      <c r="J30" s="17"/>
      <c r="K30" s="17"/>
      <c r="L30" s="17" t="s">
        <v>17</v>
      </c>
      <c r="M30" s="17">
        <v>3.6</v>
      </c>
      <c r="N30" s="17" t="s">
        <v>18</v>
      </c>
    </row>
    <row r="31" spans="1:16" x14ac:dyDescent="0.25">
      <c r="A31" s="17" t="s">
        <v>130</v>
      </c>
      <c r="B31" t="s">
        <v>105</v>
      </c>
      <c r="L31" t="s">
        <v>17</v>
      </c>
      <c r="M31">
        <v>19.3</v>
      </c>
      <c r="N31" t="s">
        <v>18</v>
      </c>
    </row>
    <row r="32" spans="1:16" x14ac:dyDescent="0.25">
      <c r="A32" s="17" t="s">
        <v>126</v>
      </c>
      <c r="B32" t="s">
        <v>105</v>
      </c>
      <c r="L32" t="s">
        <v>17</v>
      </c>
      <c r="M32">
        <v>14.6</v>
      </c>
      <c r="N32" t="s">
        <v>18</v>
      </c>
    </row>
    <row r="33" spans="1:16" x14ac:dyDescent="0.25">
      <c r="A33" s="17" t="s">
        <v>127</v>
      </c>
      <c r="B33" t="s">
        <v>105</v>
      </c>
      <c r="L33" t="s">
        <v>17</v>
      </c>
      <c r="M33">
        <v>11.3</v>
      </c>
      <c r="N33" t="s">
        <v>18</v>
      </c>
    </row>
    <row r="34" spans="1:16" x14ac:dyDescent="0.25">
      <c r="A34" s="17" t="s">
        <v>128</v>
      </c>
      <c r="B34" t="s">
        <v>105</v>
      </c>
      <c r="L34" t="s">
        <v>17</v>
      </c>
      <c r="M34">
        <v>3.8</v>
      </c>
      <c r="N34" t="s">
        <v>18</v>
      </c>
    </row>
    <row r="35" spans="1:16" x14ac:dyDescent="0.25">
      <c r="A35" s="17" t="s">
        <v>129</v>
      </c>
      <c r="B35" t="s">
        <v>105</v>
      </c>
      <c r="L35" t="s">
        <v>17</v>
      </c>
      <c r="M35">
        <v>3.5</v>
      </c>
      <c r="N35" t="s">
        <v>18</v>
      </c>
    </row>
    <row r="36" spans="1:16" x14ac:dyDescent="0.25">
      <c r="A36" s="17" t="s">
        <v>104</v>
      </c>
      <c r="B36" t="s">
        <v>105</v>
      </c>
      <c r="L36" t="s">
        <v>17</v>
      </c>
      <c r="M36">
        <v>37</v>
      </c>
      <c r="N36" t="s">
        <v>18</v>
      </c>
    </row>
    <row r="37" spans="1:16" x14ac:dyDescent="0.25">
      <c r="A37" s="17" t="s">
        <v>107</v>
      </c>
      <c r="B37" t="s">
        <v>105</v>
      </c>
      <c r="L37" t="s">
        <v>17</v>
      </c>
      <c r="M37">
        <v>14.3</v>
      </c>
      <c r="N37" t="s">
        <v>18</v>
      </c>
    </row>
    <row r="38" spans="1:16" x14ac:dyDescent="0.25">
      <c r="A38" s="17" t="s">
        <v>237</v>
      </c>
      <c r="B38" t="s">
        <v>105</v>
      </c>
      <c r="L38" t="s">
        <v>17</v>
      </c>
      <c r="M38">
        <v>2.8</v>
      </c>
      <c r="N38" t="s">
        <v>18</v>
      </c>
    </row>
    <row r="39" spans="1:16" x14ac:dyDescent="0.25">
      <c r="A39" s="17" t="s">
        <v>137</v>
      </c>
      <c r="B39" t="s">
        <v>105</v>
      </c>
      <c r="L39" t="s">
        <v>17</v>
      </c>
      <c r="M39" s="17">
        <f>0.3+0+0.1+0.6+6.6+0.4+3.4</f>
        <v>11.4</v>
      </c>
      <c r="N39" t="s">
        <v>18</v>
      </c>
      <c r="O39" t="s">
        <v>238</v>
      </c>
    </row>
    <row r="40" spans="1:16" x14ac:dyDescent="0.25">
      <c r="A40" s="4" t="s">
        <v>240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7" t="s">
        <v>229</v>
      </c>
      <c r="B41" t="s">
        <v>232</v>
      </c>
      <c r="L41" t="s">
        <v>17</v>
      </c>
      <c r="M41" s="17">
        <v>12.9</v>
      </c>
      <c r="N41" t="s">
        <v>18</v>
      </c>
    </row>
    <row r="42" spans="1:16" x14ac:dyDescent="0.25">
      <c r="A42" s="17" t="s">
        <v>230</v>
      </c>
      <c r="B42" t="s">
        <v>232</v>
      </c>
      <c r="L42" t="s">
        <v>17</v>
      </c>
      <c r="M42" s="17">
        <v>2.1</v>
      </c>
      <c r="N42" t="s">
        <v>18</v>
      </c>
    </row>
    <row r="43" spans="1:16" x14ac:dyDescent="0.25">
      <c r="A43" s="17" t="s">
        <v>231</v>
      </c>
      <c r="B43" t="s">
        <v>232</v>
      </c>
      <c r="L43" t="s">
        <v>17</v>
      </c>
      <c r="M43" s="17">
        <v>1.8</v>
      </c>
      <c r="N43" t="s">
        <v>18</v>
      </c>
    </row>
    <row r="44" spans="1:16" x14ac:dyDescent="0.25">
      <c r="A44" s="17" t="s">
        <v>233</v>
      </c>
      <c r="B44" t="s">
        <v>232</v>
      </c>
      <c r="L44" t="s">
        <v>17</v>
      </c>
      <c r="M44" s="17">
        <v>5</v>
      </c>
      <c r="N44" t="s">
        <v>18</v>
      </c>
    </row>
    <row r="45" spans="1:16" x14ac:dyDescent="0.25">
      <c r="A45" s="17" t="s">
        <v>241</v>
      </c>
      <c r="B45" t="s">
        <v>232</v>
      </c>
      <c r="L45" t="s">
        <v>17</v>
      </c>
      <c r="M45" s="29">
        <f>0.8+0.3/0.35+0.3</f>
        <v>1.9571428571428573</v>
      </c>
      <c r="N45" t="s">
        <v>18</v>
      </c>
      <c r="O45" t="s">
        <v>245</v>
      </c>
    </row>
    <row r="46" spans="1:16" x14ac:dyDescent="0.25">
      <c r="A46" s="17" t="s">
        <v>242</v>
      </c>
      <c r="B46" t="s">
        <v>232</v>
      </c>
      <c r="L46" t="s">
        <v>17</v>
      </c>
      <c r="M46" s="17">
        <v>4.9000000000000004</v>
      </c>
      <c r="N46" t="s">
        <v>18</v>
      </c>
    </row>
    <row r="47" spans="1:16" x14ac:dyDescent="0.25">
      <c r="A47" s="17" t="s">
        <v>248</v>
      </c>
      <c r="B47" t="s">
        <v>232</v>
      </c>
      <c r="D47" s="9"/>
      <c r="E47" s="9"/>
      <c r="L47" t="s">
        <v>17</v>
      </c>
      <c r="M47" s="6">
        <v>0.2</v>
      </c>
      <c r="N47" t="s">
        <v>18</v>
      </c>
      <c r="O47" s="6" t="s">
        <v>251</v>
      </c>
    </row>
    <row r="48" spans="1:16" x14ac:dyDescent="0.25">
      <c r="A48" s="17" t="s">
        <v>243</v>
      </c>
      <c r="B48" t="s">
        <v>232</v>
      </c>
      <c r="L48" t="s">
        <v>17</v>
      </c>
      <c r="M48" s="29">
        <f>0.5</f>
        <v>0.5</v>
      </c>
      <c r="N48" t="s">
        <v>18</v>
      </c>
      <c r="O48" t="s">
        <v>244</v>
      </c>
    </row>
    <row r="49" spans="1:16" s="7" customFormat="1" x14ac:dyDescent="0.25">
      <c r="A49" s="17" t="s">
        <v>483</v>
      </c>
      <c r="B49" s="17" t="s">
        <v>232</v>
      </c>
      <c r="C49" s="17"/>
      <c r="D49" s="17"/>
      <c r="E49" s="17"/>
      <c r="F49" s="17"/>
      <c r="G49" s="17"/>
      <c r="H49" s="17"/>
      <c r="I49" s="17"/>
      <c r="J49" s="17"/>
      <c r="K49" s="17"/>
      <c r="L49" s="17" t="s">
        <v>17</v>
      </c>
      <c r="M49" s="29">
        <v>101.1</v>
      </c>
      <c r="N49" s="17" t="s">
        <v>18</v>
      </c>
      <c r="O49" s="17" t="s">
        <v>484</v>
      </c>
    </row>
    <row r="50" spans="1:16" x14ac:dyDescent="0.25">
      <c r="A50" s="4" t="s">
        <v>13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5"/>
      <c r="M50" s="5"/>
      <c r="N50" s="5"/>
      <c r="O50" s="5"/>
      <c r="P50" s="5"/>
    </row>
    <row r="51" spans="1:16" x14ac:dyDescent="0.25">
      <c r="A51" s="6" t="s">
        <v>61</v>
      </c>
      <c r="B51" t="s">
        <v>79</v>
      </c>
      <c r="L51" t="s">
        <v>17</v>
      </c>
      <c r="M51" s="6">
        <f>29.5+8.5</f>
        <v>38</v>
      </c>
      <c r="N51" t="s">
        <v>18</v>
      </c>
      <c r="O51" s="6" t="s">
        <v>82</v>
      </c>
    </row>
    <row r="52" spans="1:16" x14ac:dyDescent="0.25">
      <c r="A52" s="6" t="s">
        <v>60</v>
      </c>
      <c r="B52" t="s">
        <v>79</v>
      </c>
      <c r="L52" t="s">
        <v>17</v>
      </c>
      <c r="M52" s="6">
        <f>80.7+14.4+0.3*5</f>
        <v>96.600000000000009</v>
      </c>
      <c r="N52" t="s">
        <v>18</v>
      </c>
      <c r="O52" s="6" t="s">
        <v>82</v>
      </c>
    </row>
    <row r="53" spans="1:16" x14ac:dyDescent="0.25">
      <c r="A53" s="6" t="s">
        <v>62</v>
      </c>
      <c r="B53" t="s">
        <v>79</v>
      </c>
      <c r="L53" t="s">
        <v>17</v>
      </c>
      <c r="M53" s="6">
        <f>45.6+44.1+1.3*5+1.8*10</f>
        <v>114.2</v>
      </c>
      <c r="N53" t="s">
        <v>18</v>
      </c>
      <c r="O53" s="6" t="s">
        <v>82</v>
      </c>
    </row>
    <row r="54" spans="1:16" x14ac:dyDescent="0.25">
      <c r="A54" s="6" t="s">
        <v>63</v>
      </c>
      <c r="B54" t="s">
        <v>79</v>
      </c>
      <c r="L54" t="s">
        <v>17</v>
      </c>
      <c r="M54">
        <v>46.8</v>
      </c>
      <c r="N54" t="s">
        <v>18</v>
      </c>
    </row>
    <row r="55" spans="1:16" x14ac:dyDescent="0.25">
      <c r="A55" s="6" t="s">
        <v>67</v>
      </c>
      <c r="B55" t="s">
        <v>79</v>
      </c>
      <c r="L55" t="s">
        <v>17</v>
      </c>
      <c r="M55">
        <v>8.1</v>
      </c>
      <c r="N55" t="s">
        <v>18</v>
      </c>
    </row>
    <row r="56" spans="1:16" x14ac:dyDescent="0.25">
      <c r="A56" s="6" t="s">
        <v>68</v>
      </c>
      <c r="B56" t="s">
        <v>79</v>
      </c>
      <c r="L56" t="s">
        <v>17</v>
      </c>
      <c r="M56">
        <v>1</v>
      </c>
      <c r="N56" t="s">
        <v>18</v>
      </c>
    </row>
    <row r="57" spans="1:16" x14ac:dyDescent="0.25">
      <c r="A57" s="6" t="s">
        <v>65</v>
      </c>
      <c r="B57" t="s">
        <v>79</v>
      </c>
      <c r="L57" t="s">
        <v>17</v>
      </c>
      <c r="M57">
        <v>6.6</v>
      </c>
      <c r="N57" t="s">
        <v>18</v>
      </c>
    </row>
    <row r="58" spans="1:16" x14ac:dyDescent="0.25">
      <c r="A58" s="6" t="s">
        <v>66</v>
      </c>
      <c r="B58" t="s">
        <v>79</v>
      </c>
      <c r="L58" t="s">
        <v>17</v>
      </c>
      <c r="M58">
        <v>8.3000000000000007</v>
      </c>
      <c r="N58" t="s">
        <v>18</v>
      </c>
    </row>
    <row r="59" spans="1:16" x14ac:dyDescent="0.25">
      <c r="A59" s="6" t="s">
        <v>64</v>
      </c>
      <c r="B59" t="s">
        <v>79</v>
      </c>
      <c r="L59" t="s">
        <v>17</v>
      </c>
      <c r="M59">
        <v>15.3</v>
      </c>
      <c r="N59" t="s">
        <v>18</v>
      </c>
    </row>
    <row r="60" spans="1:16" x14ac:dyDescent="0.25">
      <c r="A60" s="17" t="s">
        <v>352</v>
      </c>
      <c r="B60" s="17" t="s">
        <v>79</v>
      </c>
      <c r="C60" s="17"/>
      <c r="D60" s="17"/>
      <c r="E60" s="17"/>
      <c r="F60" s="17"/>
      <c r="G60" s="17"/>
      <c r="H60" s="17"/>
      <c r="I60" s="17"/>
      <c r="J60" s="17"/>
      <c r="K60" s="17"/>
      <c r="L60" s="17" t="s">
        <v>17</v>
      </c>
      <c r="M60" s="17">
        <v>0</v>
      </c>
      <c r="N60" s="17" t="s">
        <v>18</v>
      </c>
    </row>
    <row r="61" spans="1:16" x14ac:dyDescent="0.25">
      <c r="A61" s="4" t="s">
        <v>22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5"/>
      <c r="M61" s="5"/>
      <c r="N61" s="5"/>
      <c r="O61" s="5"/>
      <c r="P61" s="5"/>
    </row>
    <row r="62" spans="1:16" x14ac:dyDescent="0.25">
      <c r="A62" t="s">
        <v>53</v>
      </c>
      <c r="B62" t="s">
        <v>54</v>
      </c>
      <c r="L62" t="s">
        <v>17</v>
      </c>
      <c r="M62" s="22">
        <f>31.8*1000/365.25 * 0.78 * (1-M220/100) * (1-M219/100) * (1-M218/100)</f>
        <v>57.44178569199179</v>
      </c>
      <c r="N62" t="s">
        <v>18</v>
      </c>
      <c r="O62" t="s">
        <v>478</v>
      </c>
      <c r="P62" t="s">
        <v>471</v>
      </c>
    </row>
    <row r="63" spans="1:16" x14ac:dyDescent="0.25">
      <c r="A63" t="s">
        <v>92</v>
      </c>
      <c r="B63" t="s">
        <v>54</v>
      </c>
      <c r="L63" t="s">
        <v>17</v>
      </c>
      <c r="M63" s="22">
        <f>24.5*1000/365.25 * 0.7 * (1-M220/100) * (1-M219/100) * (1-M218/100)</f>
        <v>39.716441889117036</v>
      </c>
      <c r="N63" t="s">
        <v>18</v>
      </c>
      <c r="O63" t="s">
        <v>478</v>
      </c>
      <c r="P63" t="s">
        <v>473</v>
      </c>
    </row>
    <row r="64" spans="1:16" x14ac:dyDescent="0.25">
      <c r="A64" t="s">
        <v>324</v>
      </c>
      <c r="B64" t="s">
        <v>54</v>
      </c>
      <c r="L64" t="s">
        <v>17</v>
      </c>
      <c r="M64" s="29">
        <f>1.8*1000/365.25 * 0.88 * (1-M220/100) * (1-M219/100) * (1-M218/100)</f>
        <v>3.6682707843942506</v>
      </c>
      <c r="N64" t="s">
        <v>18</v>
      </c>
      <c r="O64" t="s">
        <v>478</v>
      </c>
      <c r="P64" t="s">
        <v>474</v>
      </c>
    </row>
    <row r="65" spans="1:16" x14ac:dyDescent="0.25">
      <c r="A65" t="s">
        <v>254</v>
      </c>
      <c r="B65" t="s">
        <v>54</v>
      </c>
      <c r="L65" t="s">
        <v>17</v>
      </c>
      <c r="M65" s="22">
        <f>22.7*1000/365.25 * 0.88 * (1-M220/100) * (1-M219/100) * (1-M218/100)</f>
        <v>46.260970447638599</v>
      </c>
      <c r="N65" t="s">
        <v>18</v>
      </c>
      <c r="O65" t="s">
        <v>478</v>
      </c>
      <c r="P65" t="s">
        <v>472</v>
      </c>
    </row>
    <row r="66" spans="1:16" x14ac:dyDescent="0.25">
      <c r="A66" t="s">
        <v>427</v>
      </c>
      <c r="B66" t="s">
        <v>429</v>
      </c>
      <c r="L66" t="s">
        <v>17</v>
      </c>
      <c r="M66">
        <v>1.5</v>
      </c>
      <c r="N66" t="s">
        <v>18</v>
      </c>
      <c r="O66" t="s">
        <v>430</v>
      </c>
    </row>
    <row r="67" spans="1:16" x14ac:dyDescent="0.25">
      <c r="A67" t="s">
        <v>428</v>
      </c>
      <c r="B67" t="s">
        <v>429</v>
      </c>
      <c r="L67" t="s">
        <v>17</v>
      </c>
      <c r="M67">
        <v>0.12</v>
      </c>
      <c r="N67" t="s">
        <v>18</v>
      </c>
    </row>
    <row r="68" spans="1:16" x14ac:dyDescent="0.25">
      <c r="A68" s="4" t="s">
        <v>14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5"/>
      <c r="M68" s="5"/>
      <c r="N68" s="5"/>
      <c r="O68" s="5"/>
      <c r="P68" s="5"/>
    </row>
    <row r="69" spans="1:16" x14ac:dyDescent="0.25">
      <c r="A69" t="s">
        <v>14</v>
      </c>
      <c r="B69" t="s">
        <v>306</v>
      </c>
      <c r="L69" t="s">
        <v>17</v>
      </c>
      <c r="M69" s="6">
        <f>29.3+1.6</f>
        <v>30.900000000000002</v>
      </c>
      <c r="N69" t="s">
        <v>18</v>
      </c>
      <c r="O69" s="6" t="s">
        <v>309</v>
      </c>
    </row>
    <row r="70" spans="1:16" x14ac:dyDescent="0.25">
      <c r="A70" s="17" t="s">
        <v>353</v>
      </c>
      <c r="B70" s="17" t="s">
        <v>306</v>
      </c>
      <c r="C70" s="17"/>
      <c r="D70" s="17"/>
      <c r="E70" s="17"/>
      <c r="F70" s="17"/>
      <c r="G70" s="17"/>
      <c r="H70" s="17"/>
      <c r="I70" s="17"/>
      <c r="J70" s="17"/>
      <c r="K70" s="17"/>
      <c r="L70" s="17" t="s">
        <v>17</v>
      </c>
      <c r="M70" s="17">
        <v>0</v>
      </c>
      <c r="N70" s="17" t="s">
        <v>18</v>
      </c>
      <c r="O70" s="17" t="s">
        <v>354</v>
      </c>
    </row>
    <row r="71" spans="1:16" x14ac:dyDescent="0.25">
      <c r="A71" s="4" t="s">
        <v>15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</row>
    <row r="72" spans="1:16" s="44" customFormat="1" x14ac:dyDescent="0.25">
      <c r="A72" s="26" t="s">
        <v>485</v>
      </c>
      <c r="B72" s="84" t="s">
        <v>486</v>
      </c>
      <c r="C72" s="83"/>
      <c r="D72" s="83"/>
      <c r="E72" s="83"/>
      <c r="F72" s="83"/>
      <c r="G72" s="83"/>
      <c r="H72" s="83"/>
      <c r="I72" s="83"/>
      <c r="J72" s="83"/>
      <c r="K72" s="83"/>
      <c r="L72" s="44" t="s">
        <v>17</v>
      </c>
      <c r="M72" s="19">
        <v>9.1999999999999993</v>
      </c>
      <c r="N72" s="44" t="s">
        <v>18</v>
      </c>
    </row>
    <row r="73" spans="1:16" s="44" customFormat="1" x14ac:dyDescent="0.25">
      <c r="A73" s="26" t="s">
        <v>487</v>
      </c>
      <c r="B73" s="84" t="s">
        <v>486</v>
      </c>
      <c r="C73" s="83"/>
      <c r="D73" s="83"/>
      <c r="E73" s="83"/>
      <c r="F73" s="83"/>
      <c r="G73" s="83"/>
      <c r="H73" s="83"/>
      <c r="I73" s="83"/>
      <c r="J73" s="83"/>
      <c r="K73" s="83"/>
      <c r="L73" s="44" t="s">
        <v>17</v>
      </c>
      <c r="M73" s="19">
        <v>0</v>
      </c>
      <c r="N73" s="44" t="s">
        <v>18</v>
      </c>
    </row>
    <row r="74" spans="1:16" s="44" customFormat="1" x14ac:dyDescent="0.25">
      <c r="A74" s="26" t="s">
        <v>488</v>
      </c>
      <c r="B74" s="84" t="s">
        <v>486</v>
      </c>
      <c r="C74" s="83"/>
      <c r="D74" s="83"/>
      <c r="E74" s="83"/>
      <c r="F74" s="83"/>
      <c r="G74" s="83"/>
      <c r="H74" s="83"/>
      <c r="I74" s="83"/>
      <c r="J74" s="83"/>
      <c r="K74" s="83"/>
      <c r="L74" s="44" t="s">
        <v>17</v>
      </c>
      <c r="M74" s="19">
        <v>0</v>
      </c>
      <c r="N74" s="44" t="s">
        <v>18</v>
      </c>
    </row>
    <row r="75" spans="1:16" s="44" customFormat="1" x14ac:dyDescent="0.25">
      <c r="A75" s="26" t="s">
        <v>489</v>
      </c>
      <c r="B75" s="84" t="s">
        <v>486</v>
      </c>
      <c r="C75" s="83"/>
      <c r="D75" s="83"/>
      <c r="E75" s="83"/>
      <c r="F75" s="83"/>
      <c r="G75" s="83"/>
      <c r="H75" s="83"/>
      <c r="I75" s="83"/>
      <c r="J75" s="83"/>
      <c r="K75" s="83"/>
      <c r="L75" s="44" t="s">
        <v>17</v>
      </c>
      <c r="M75" s="19">
        <v>6.5</v>
      </c>
      <c r="N75" s="44" t="s">
        <v>18</v>
      </c>
    </row>
    <row r="76" spans="1:16" s="44" customFormat="1" x14ac:dyDescent="0.25">
      <c r="A76" s="26" t="s">
        <v>490</v>
      </c>
      <c r="B76" s="84" t="s">
        <v>486</v>
      </c>
      <c r="C76" s="83"/>
      <c r="D76" s="83"/>
      <c r="E76" s="83"/>
      <c r="F76" s="83"/>
      <c r="G76" s="83"/>
      <c r="H76" s="83"/>
      <c r="I76" s="83"/>
      <c r="J76" s="83"/>
      <c r="K76" s="83"/>
      <c r="L76" s="44" t="s">
        <v>17</v>
      </c>
      <c r="M76" s="19">
        <v>4.5</v>
      </c>
      <c r="N76" s="44" t="s">
        <v>18</v>
      </c>
    </row>
    <row r="77" spans="1:16" s="44" customFormat="1" x14ac:dyDescent="0.25">
      <c r="A77" s="26" t="s">
        <v>491</v>
      </c>
      <c r="B77" s="84" t="s">
        <v>486</v>
      </c>
      <c r="C77" s="83"/>
      <c r="D77" s="83"/>
      <c r="E77" s="83"/>
      <c r="F77" s="83"/>
      <c r="G77" s="83"/>
      <c r="H77" s="83"/>
      <c r="I77" s="83"/>
      <c r="J77" s="83"/>
      <c r="K77" s="83"/>
      <c r="L77" s="44" t="s">
        <v>17</v>
      </c>
      <c r="M77" s="19">
        <v>1.7</v>
      </c>
      <c r="N77" s="44" t="s">
        <v>18</v>
      </c>
    </row>
    <row r="78" spans="1:16" s="44" customFormat="1" x14ac:dyDescent="0.25">
      <c r="A78" s="26" t="s">
        <v>492</v>
      </c>
      <c r="B78" s="84" t="s">
        <v>486</v>
      </c>
      <c r="C78" s="83"/>
      <c r="D78" s="83"/>
      <c r="E78" s="83"/>
      <c r="F78" s="83"/>
      <c r="G78" s="83"/>
      <c r="H78" s="83"/>
      <c r="I78" s="83"/>
      <c r="J78" s="83"/>
      <c r="K78" s="83"/>
      <c r="L78" s="44" t="s">
        <v>17</v>
      </c>
      <c r="M78" s="19">
        <v>0.2</v>
      </c>
      <c r="N78" s="44" t="s">
        <v>18</v>
      </c>
    </row>
    <row r="79" spans="1:16" s="44" customFormat="1" x14ac:dyDescent="0.25">
      <c r="A79" s="26" t="s">
        <v>493</v>
      </c>
      <c r="B79" s="84" t="s">
        <v>486</v>
      </c>
      <c r="C79" s="83"/>
      <c r="D79" s="83"/>
      <c r="E79" s="83"/>
      <c r="F79" s="83"/>
      <c r="G79" s="83"/>
      <c r="H79" s="83"/>
      <c r="I79" s="83"/>
      <c r="J79" s="83"/>
      <c r="K79" s="83"/>
      <c r="L79" s="44" t="s">
        <v>17</v>
      </c>
      <c r="M79" s="19">
        <v>9</v>
      </c>
      <c r="N79" s="44" t="s">
        <v>18</v>
      </c>
    </row>
    <row r="80" spans="1:16" s="44" customFormat="1" x14ac:dyDescent="0.25">
      <c r="A80" s="26" t="s">
        <v>494</v>
      </c>
      <c r="B80" s="84" t="s">
        <v>486</v>
      </c>
      <c r="C80" s="83"/>
      <c r="D80" s="83"/>
      <c r="E80" s="83"/>
      <c r="F80" s="83"/>
      <c r="G80" s="83"/>
      <c r="H80" s="83"/>
      <c r="I80" s="83"/>
      <c r="J80" s="83"/>
      <c r="K80" s="83"/>
      <c r="L80" s="44" t="s">
        <v>17</v>
      </c>
      <c r="M80" s="19">
        <v>2.4</v>
      </c>
      <c r="N80" s="44" t="s">
        <v>18</v>
      </c>
    </row>
    <row r="81" spans="1:16" s="44" customFormat="1" x14ac:dyDescent="0.25">
      <c r="A81" s="26" t="s">
        <v>495</v>
      </c>
      <c r="B81" s="84" t="s">
        <v>486</v>
      </c>
      <c r="C81" s="83"/>
      <c r="D81" s="83"/>
      <c r="E81" s="83"/>
      <c r="F81" s="83"/>
      <c r="G81" s="83"/>
      <c r="H81" s="83"/>
      <c r="I81" s="83"/>
      <c r="J81" s="83"/>
      <c r="K81" s="83"/>
      <c r="L81" s="44" t="s">
        <v>17</v>
      </c>
      <c r="M81" s="19">
        <v>5.5</v>
      </c>
      <c r="N81" s="44" t="s">
        <v>18</v>
      </c>
    </row>
    <row r="82" spans="1:16" s="44" customFormat="1" x14ac:dyDescent="0.25">
      <c r="A82" s="26" t="s">
        <v>496</v>
      </c>
      <c r="B82" s="84" t="s">
        <v>486</v>
      </c>
      <c r="C82" s="83"/>
      <c r="D82" s="83"/>
      <c r="E82" s="83"/>
      <c r="F82" s="83"/>
      <c r="G82" s="83"/>
      <c r="H82" s="83"/>
      <c r="I82" s="83"/>
      <c r="J82" s="83"/>
      <c r="K82" s="83"/>
      <c r="L82" s="44" t="s">
        <v>17</v>
      </c>
      <c r="M82" s="19">
        <v>0.7</v>
      </c>
      <c r="N82" s="44" t="s">
        <v>18</v>
      </c>
    </row>
    <row r="83" spans="1:16" s="44" customFormat="1" x14ac:dyDescent="0.25">
      <c r="A83" s="26" t="s">
        <v>497</v>
      </c>
      <c r="B83" s="84" t="s">
        <v>486</v>
      </c>
      <c r="C83" s="83"/>
      <c r="D83" s="83"/>
      <c r="E83" s="83"/>
      <c r="F83" s="83"/>
      <c r="G83" s="83"/>
      <c r="H83" s="83"/>
      <c r="I83" s="83"/>
      <c r="J83" s="83"/>
      <c r="K83" s="83"/>
      <c r="L83" s="44" t="s">
        <v>17</v>
      </c>
      <c r="M83" s="19">
        <v>0.7</v>
      </c>
      <c r="N83" s="44" t="s">
        <v>18</v>
      </c>
    </row>
    <row r="84" spans="1:16" s="44" customFormat="1" x14ac:dyDescent="0.25">
      <c r="A84" s="26" t="s">
        <v>498</v>
      </c>
      <c r="B84" s="84" t="s">
        <v>486</v>
      </c>
      <c r="C84" s="83"/>
      <c r="D84" s="83"/>
      <c r="E84" s="83"/>
      <c r="F84" s="83"/>
      <c r="G84" s="83"/>
      <c r="H84" s="83"/>
      <c r="I84" s="83"/>
      <c r="J84" s="83"/>
      <c r="K84" s="83"/>
      <c r="L84" s="44" t="s">
        <v>17</v>
      </c>
      <c r="M84" s="19">
        <v>0.7</v>
      </c>
      <c r="N84" s="44" t="s">
        <v>18</v>
      </c>
    </row>
    <row r="85" spans="1:16" x14ac:dyDescent="0.25">
      <c r="A85" s="4" t="s">
        <v>19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5"/>
      <c r="M85" s="5"/>
      <c r="N85" s="5"/>
      <c r="O85" s="5"/>
      <c r="P85" s="5"/>
    </row>
    <row r="86" spans="1:16" x14ac:dyDescent="0.25">
      <c r="A86" t="s">
        <v>191</v>
      </c>
      <c r="B86" t="s">
        <v>196</v>
      </c>
      <c r="L86" t="s">
        <v>17</v>
      </c>
      <c r="M86">
        <v>4.5</v>
      </c>
      <c r="N86" t="s">
        <v>18</v>
      </c>
    </row>
    <row r="87" spans="1:16" x14ac:dyDescent="0.25">
      <c r="A87" s="26" t="s">
        <v>192</v>
      </c>
      <c r="B87" t="s">
        <v>196</v>
      </c>
      <c r="L87" t="s">
        <v>17</v>
      </c>
      <c r="M87" s="6">
        <v>0</v>
      </c>
      <c r="N87" t="s">
        <v>18</v>
      </c>
    </row>
    <row r="88" spans="1:16" x14ac:dyDescent="0.25">
      <c r="A88" s="26" t="s">
        <v>193</v>
      </c>
      <c r="B88" t="s">
        <v>196</v>
      </c>
      <c r="L88" t="s">
        <v>17</v>
      </c>
      <c r="M88">
        <v>0.7</v>
      </c>
      <c r="N88" t="s">
        <v>18</v>
      </c>
    </row>
    <row r="89" spans="1:16" x14ac:dyDescent="0.25">
      <c r="A89" s="26" t="s">
        <v>194</v>
      </c>
      <c r="B89" t="s">
        <v>196</v>
      </c>
      <c r="L89" t="s">
        <v>17</v>
      </c>
      <c r="M89">
        <v>0.3</v>
      </c>
      <c r="N89" t="s">
        <v>18</v>
      </c>
    </row>
    <row r="90" spans="1:16" x14ac:dyDescent="0.25">
      <c r="A90" s="17" t="s">
        <v>355</v>
      </c>
      <c r="B90" s="17" t="s">
        <v>196</v>
      </c>
      <c r="C90" s="17"/>
      <c r="D90" s="17"/>
      <c r="E90" s="17"/>
      <c r="F90" s="17"/>
      <c r="G90" s="17"/>
      <c r="H90" s="17"/>
      <c r="I90" s="17"/>
      <c r="J90" s="17"/>
      <c r="K90" s="17"/>
      <c r="L90" s="17" t="s">
        <v>17</v>
      </c>
      <c r="M90" s="17">
        <v>0</v>
      </c>
      <c r="N90" s="17" t="s">
        <v>18</v>
      </c>
      <c r="O90" s="7"/>
    </row>
    <row r="91" spans="1:16" x14ac:dyDescent="0.25">
      <c r="A91" s="17" t="s">
        <v>356</v>
      </c>
      <c r="B91" s="17" t="s">
        <v>196</v>
      </c>
      <c r="C91" s="17"/>
      <c r="D91" s="17"/>
      <c r="E91" s="17"/>
      <c r="F91" s="17"/>
      <c r="G91" s="17"/>
      <c r="H91" s="17"/>
      <c r="I91" s="17"/>
      <c r="J91" s="17"/>
      <c r="K91" s="17"/>
      <c r="L91" s="17" t="s">
        <v>17</v>
      </c>
      <c r="M91" s="17">
        <v>0</v>
      </c>
      <c r="N91" s="17" t="s">
        <v>18</v>
      </c>
      <c r="O91" s="7"/>
    </row>
    <row r="92" spans="1:16" x14ac:dyDescent="0.25">
      <c r="A92" s="26" t="s">
        <v>195</v>
      </c>
      <c r="B92" t="s">
        <v>196</v>
      </c>
      <c r="L92" t="s">
        <v>17</v>
      </c>
      <c r="M92">
        <v>0.6</v>
      </c>
      <c r="N92" t="s">
        <v>18</v>
      </c>
    </row>
    <row r="93" spans="1:16" x14ac:dyDescent="0.25">
      <c r="A93" s="4" t="s">
        <v>20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5"/>
      <c r="M93" s="5"/>
      <c r="N93" s="5"/>
      <c r="O93" s="5"/>
      <c r="P93" s="5"/>
    </row>
    <row r="94" spans="1:16" s="44" customFormat="1" x14ac:dyDescent="0.25">
      <c r="A94" s="57" t="s">
        <v>357</v>
      </c>
      <c r="B94" s="57" t="s">
        <v>358</v>
      </c>
      <c r="C94" s="57"/>
      <c r="D94" s="58"/>
      <c r="E94" s="58"/>
      <c r="F94" s="58"/>
      <c r="G94" s="58"/>
      <c r="H94" s="58"/>
      <c r="I94" s="58"/>
      <c r="J94" s="58"/>
      <c r="K94" s="58"/>
      <c r="L94" s="17" t="s">
        <v>17</v>
      </c>
      <c r="M94" s="57">
        <v>0.2</v>
      </c>
      <c r="N94" s="57" t="s">
        <v>18</v>
      </c>
      <c r="O94" s="57"/>
      <c r="P94" s="57"/>
    </row>
    <row r="95" spans="1:16" s="44" customFormat="1" x14ac:dyDescent="0.25">
      <c r="A95" s="57" t="s">
        <v>359</v>
      </c>
      <c r="B95" s="57" t="s">
        <v>358</v>
      </c>
      <c r="C95" s="57"/>
      <c r="D95" s="58"/>
      <c r="E95" s="58"/>
      <c r="F95" s="58"/>
      <c r="G95" s="58"/>
      <c r="H95" s="58"/>
      <c r="I95" s="58"/>
      <c r="J95" s="58"/>
      <c r="K95" s="58"/>
      <c r="L95" s="17" t="s">
        <v>17</v>
      </c>
      <c r="M95" s="57">
        <v>0.1</v>
      </c>
      <c r="N95" s="57" t="s">
        <v>18</v>
      </c>
      <c r="O95" s="57"/>
      <c r="P95" s="57"/>
    </row>
    <row r="96" spans="1:16" s="85" customFormat="1" x14ac:dyDescent="0.25">
      <c r="A96" s="57" t="s">
        <v>499</v>
      </c>
      <c r="B96" s="57" t="s">
        <v>358</v>
      </c>
      <c r="C96" s="57"/>
      <c r="D96" s="58"/>
      <c r="E96" s="58"/>
      <c r="F96" s="58"/>
      <c r="G96" s="58"/>
      <c r="H96" s="58"/>
      <c r="I96" s="58"/>
      <c r="J96" s="58"/>
      <c r="K96" s="58"/>
      <c r="L96" s="17" t="s">
        <v>17</v>
      </c>
      <c r="M96" s="57">
        <v>4.4000000000000004</v>
      </c>
      <c r="N96" s="57" t="s">
        <v>18</v>
      </c>
      <c r="O96" s="57" t="s">
        <v>500</v>
      </c>
    </row>
    <row r="97" spans="1:16" s="44" customFormat="1" x14ac:dyDescent="0.25">
      <c r="A97" s="52" t="s">
        <v>501</v>
      </c>
      <c r="B97" s="54"/>
      <c r="C97" s="54"/>
      <c r="D97" s="52"/>
      <c r="E97" s="52"/>
      <c r="F97" s="52"/>
      <c r="G97" s="52"/>
      <c r="H97" s="52"/>
      <c r="I97" s="52"/>
      <c r="J97" s="52"/>
      <c r="K97" s="52"/>
      <c r="L97" s="54"/>
      <c r="M97" s="54"/>
      <c r="N97" s="54"/>
      <c r="O97" s="54"/>
      <c r="P97" s="54"/>
    </row>
    <row r="98" spans="1:16" s="44" customFormat="1" x14ac:dyDescent="0.25">
      <c r="A98" s="57" t="s">
        <v>361</v>
      </c>
      <c r="B98" s="57" t="s">
        <v>362</v>
      </c>
      <c r="C98" s="57"/>
      <c r="D98" s="58"/>
      <c r="E98" s="58"/>
      <c r="F98" s="58"/>
      <c r="G98" s="58"/>
      <c r="H98" s="58"/>
      <c r="I98" s="58"/>
      <c r="J98" s="58"/>
      <c r="K98" s="58"/>
      <c r="L98" s="17" t="s">
        <v>17</v>
      </c>
      <c r="M98" s="57">
        <v>0</v>
      </c>
      <c r="N98" s="57" t="s">
        <v>18</v>
      </c>
      <c r="O98" s="57"/>
      <c r="P98" s="57"/>
    </row>
    <row r="99" spans="1:16" s="57" customFormat="1" x14ac:dyDescent="0.25">
      <c r="A99" s="57" t="s">
        <v>502</v>
      </c>
      <c r="B99" s="57" t="s">
        <v>362</v>
      </c>
      <c r="D99" s="58"/>
      <c r="E99" s="58"/>
      <c r="F99" s="58"/>
      <c r="G99" s="58"/>
      <c r="H99" s="58"/>
      <c r="I99" s="58"/>
      <c r="J99" s="58"/>
      <c r="K99" s="58"/>
      <c r="L99" s="17" t="s">
        <v>17</v>
      </c>
      <c r="M99" s="57">
        <v>2.7</v>
      </c>
      <c r="N99" s="57" t="s">
        <v>18</v>
      </c>
    </row>
    <row r="100" spans="1:16" s="57" customFormat="1" x14ac:dyDescent="0.25">
      <c r="A100" s="57" t="s">
        <v>503</v>
      </c>
      <c r="B100" s="57" t="s">
        <v>362</v>
      </c>
      <c r="D100" s="58"/>
      <c r="E100" s="58"/>
      <c r="F100" s="58"/>
      <c r="G100" s="58"/>
      <c r="H100" s="58"/>
      <c r="I100" s="58"/>
      <c r="J100" s="58"/>
      <c r="K100" s="58"/>
      <c r="L100" s="17" t="s">
        <v>17</v>
      </c>
      <c r="M100" s="57">
        <v>1</v>
      </c>
      <c r="N100" s="57" t="s">
        <v>18</v>
      </c>
    </row>
    <row r="101" spans="1:16" s="57" customFormat="1" x14ac:dyDescent="0.25">
      <c r="A101" s="57" t="s">
        <v>504</v>
      </c>
      <c r="B101" s="57" t="s">
        <v>362</v>
      </c>
      <c r="D101" s="58"/>
      <c r="E101" s="58"/>
      <c r="F101" s="58"/>
      <c r="G101" s="58"/>
      <c r="H101" s="58"/>
      <c r="I101" s="58"/>
      <c r="J101" s="58"/>
      <c r="K101" s="58"/>
      <c r="L101" s="17" t="s">
        <v>17</v>
      </c>
      <c r="M101" s="57">
        <f>M138*0.34+M144*1</f>
        <v>0</v>
      </c>
      <c r="N101" s="57" t="s">
        <v>18</v>
      </c>
      <c r="O101" s="57" t="s">
        <v>505</v>
      </c>
    </row>
    <row r="102" spans="1:16" s="57" customFormat="1" x14ac:dyDescent="0.25">
      <c r="A102" s="57" t="s">
        <v>506</v>
      </c>
      <c r="B102" s="57" t="s">
        <v>362</v>
      </c>
      <c r="D102" s="58"/>
      <c r="E102" s="58"/>
      <c r="F102" s="58"/>
      <c r="G102" s="58"/>
      <c r="H102" s="58"/>
      <c r="I102" s="58"/>
      <c r="J102" s="58"/>
      <c r="K102" s="58"/>
      <c r="L102" s="17" t="s">
        <v>17</v>
      </c>
      <c r="M102" s="57">
        <v>2.6</v>
      </c>
      <c r="N102" s="57" t="s">
        <v>18</v>
      </c>
    </row>
    <row r="103" spans="1:16" s="57" customFormat="1" x14ac:dyDescent="0.25">
      <c r="A103" s="57" t="s">
        <v>507</v>
      </c>
      <c r="B103" s="57" t="s">
        <v>362</v>
      </c>
      <c r="D103" s="58"/>
      <c r="E103" s="58"/>
      <c r="F103" s="58"/>
      <c r="G103" s="58"/>
      <c r="H103" s="58"/>
      <c r="I103" s="58"/>
      <c r="J103" s="58"/>
      <c r="K103" s="58"/>
      <c r="L103" s="17" t="s">
        <v>17</v>
      </c>
      <c r="M103" s="57">
        <v>0.5</v>
      </c>
      <c r="N103" s="57" t="s">
        <v>18</v>
      </c>
    </row>
    <row r="104" spans="1:16" x14ac:dyDescent="0.25">
      <c r="A104" s="4" t="s">
        <v>21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5"/>
      <c r="M104" s="5"/>
      <c r="N104" s="5"/>
      <c r="O104" s="5"/>
      <c r="P104" s="5"/>
    </row>
    <row r="105" spans="1:16" x14ac:dyDescent="0.25">
      <c r="A105" t="s">
        <v>115</v>
      </c>
      <c r="B105" t="s">
        <v>116</v>
      </c>
      <c r="L105" t="s">
        <v>17</v>
      </c>
      <c r="M105" s="13">
        <f>6+4.4/3+13*0.6</f>
        <v>15.266666666666666</v>
      </c>
      <c r="N105" t="s">
        <v>18</v>
      </c>
      <c r="O105" s="6" t="s">
        <v>197</v>
      </c>
    </row>
    <row r="106" spans="1:16" s="7" customFormat="1" x14ac:dyDescent="0.25">
      <c r="A106" s="17" t="s">
        <v>363</v>
      </c>
      <c r="B106" s="17" t="s">
        <v>116</v>
      </c>
      <c r="C106" s="17"/>
      <c r="D106" s="17"/>
      <c r="E106" s="17"/>
      <c r="F106" s="17"/>
      <c r="G106" s="17"/>
      <c r="H106" s="17"/>
      <c r="I106" s="17"/>
      <c r="J106" s="17"/>
      <c r="K106" s="17"/>
      <c r="L106" s="17" t="s">
        <v>17</v>
      </c>
      <c r="M106" s="29">
        <v>0</v>
      </c>
      <c r="N106" s="17" t="s">
        <v>18</v>
      </c>
      <c r="O106" s="17" t="s">
        <v>364</v>
      </c>
    </row>
    <row r="107" spans="1:16" x14ac:dyDescent="0.25">
      <c r="A107" t="s">
        <v>122</v>
      </c>
      <c r="B107" t="s">
        <v>116</v>
      </c>
      <c r="L107" t="s">
        <v>17</v>
      </c>
      <c r="M107" s="22">
        <f>8.2+4.4/3</f>
        <v>9.6666666666666661</v>
      </c>
      <c r="N107" t="s">
        <v>18</v>
      </c>
      <c r="O107" t="s">
        <v>121</v>
      </c>
    </row>
    <row r="108" spans="1:16" x14ac:dyDescent="0.25">
      <c r="A108" t="s">
        <v>123</v>
      </c>
      <c r="B108" t="s">
        <v>116</v>
      </c>
      <c r="L108" t="s">
        <v>17</v>
      </c>
      <c r="M108" s="22">
        <f>2.8+4.4/3</f>
        <v>4.2666666666666666</v>
      </c>
      <c r="N108" t="s">
        <v>18</v>
      </c>
      <c r="O108" t="s">
        <v>121</v>
      </c>
    </row>
    <row r="109" spans="1:16" s="17" customFormat="1" x14ac:dyDescent="0.25">
      <c r="A109" s="17" t="s">
        <v>508</v>
      </c>
      <c r="B109" s="17" t="s">
        <v>116</v>
      </c>
      <c r="L109" s="17" t="s">
        <v>17</v>
      </c>
      <c r="M109" s="29">
        <v>15.13</v>
      </c>
      <c r="N109" s="17" t="s">
        <v>18</v>
      </c>
      <c r="O109" s="17" t="s">
        <v>509</v>
      </c>
    </row>
    <row r="110" spans="1:16" x14ac:dyDescent="0.25">
      <c r="A110" s="4" t="s">
        <v>23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5"/>
      <c r="M110" s="5"/>
      <c r="N110" s="5"/>
      <c r="O110" s="5"/>
      <c r="P110" s="5"/>
    </row>
    <row r="111" spans="1:16" x14ac:dyDescent="0.25">
      <c r="A111" t="s">
        <v>206</v>
      </c>
      <c r="B111" t="s">
        <v>209</v>
      </c>
      <c r="L111" t="s">
        <v>17</v>
      </c>
      <c r="M111">
        <v>79.3</v>
      </c>
      <c r="N111" t="s">
        <v>18</v>
      </c>
    </row>
    <row r="112" spans="1:16" x14ac:dyDescent="0.25">
      <c r="A112" t="s">
        <v>208</v>
      </c>
      <c r="B112" t="s">
        <v>209</v>
      </c>
      <c r="L112" t="s">
        <v>17</v>
      </c>
      <c r="M112">
        <v>10</v>
      </c>
      <c r="N112" t="s">
        <v>18</v>
      </c>
      <c r="O112" t="s">
        <v>212</v>
      </c>
    </row>
    <row r="113" spans="1:26" x14ac:dyDescent="0.25">
      <c r="A113" t="s">
        <v>207</v>
      </c>
      <c r="B113" t="s">
        <v>209</v>
      </c>
      <c r="L113" t="s">
        <v>17</v>
      </c>
      <c r="M113">
        <v>1</v>
      </c>
      <c r="N113" t="s">
        <v>18</v>
      </c>
    </row>
    <row r="114" spans="1:26" x14ac:dyDescent="0.25">
      <c r="A114" s="4" t="s">
        <v>28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5"/>
      <c r="M114" s="5"/>
      <c r="N114" s="5"/>
      <c r="O114" s="5"/>
      <c r="P114" s="5"/>
    </row>
    <row r="115" spans="1:26" x14ac:dyDescent="0.25">
      <c r="A115" t="s">
        <v>216</v>
      </c>
      <c r="B115" t="s">
        <v>109</v>
      </c>
      <c r="L115" t="s">
        <v>17</v>
      </c>
      <c r="M115">
        <v>67.400000000000006</v>
      </c>
      <c r="N115" t="s">
        <v>18</v>
      </c>
    </row>
    <row r="116" spans="1:26" x14ac:dyDescent="0.25">
      <c r="A116" t="s">
        <v>219</v>
      </c>
      <c r="B116" t="s">
        <v>109</v>
      </c>
      <c r="L116" t="s">
        <v>17</v>
      </c>
      <c r="M116">
        <v>125.5</v>
      </c>
      <c r="N116" t="s">
        <v>18</v>
      </c>
    </row>
    <row r="117" spans="1:26" x14ac:dyDescent="0.25">
      <c r="A117" t="s">
        <v>217</v>
      </c>
      <c r="B117" t="s">
        <v>109</v>
      </c>
      <c r="L117" t="s">
        <v>17</v>
      </c>
      <c r="M117">
        <v>6.9</v>
      </c>
      <c r="N117" t="s">
        <v>18</v>
      </c>
      <c r="O117" t="s">
        <v>218</v>
      </c>
    </row>
    <row r="118" spans="1:26" x14ac:dyDescent="0.25">
      <c r="A118" t="s">
        <v>220</v>
      </c>
      <c r="B118" t="s">
        <v>109</v>
      </c>
      <c r="L118" t="s">
        <v>17</v>
      </c>
      <c r="M118">
        <v>7.9</v>
      </c>
      <c r="N118" t="s">
        <v>18</v>
      </c>
      <c r="O118" t="s">
        <v>221</v>
      </c>
    </row>
    <row r="119" spans="1:26" x14ac:dyDescent="0.25">
      <c r="A119" s="4" t="s">
        <v>29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5"/>
      <c r="M119" s="5"/>
      <c r="N119" s="5"/>
      <c r="O119" s="5"/>
      <c r="P119" s="5"/>
    </row>
    <row r="120" spans="1:26" s="57" customFormat="1" x14ac:dyDescent="0.25">
      <c r="A120" s="57" t="s">
        <v>510</v>
      </c>
      <c r="B120" s="57" t="s">
        <v>25</v>
      </c>
      <c r="C120" s="58"/>
      <c r="D120" s="58"/>
      <c r="E120" s="58"/>
      <c r="F120" s="58"/>
      <c r="G120" s="58"/>
      <c r="H120" s="58"/>
      <c r="I120" s="58"/>
      <c r="J120" s="58"/>
      <c r="K120" s="58"/>
      <c r="L120" s="57" t="s">
        <v>511</v>
      </c>
      <c r="M120" s="57">
        <v>31.9</v>
      </c>
      <c r="N120" s="57" t="s">
        <v>18</v>
      </c>
    </row>
    <row r="121" spans="1:26" x14ac:dyDescent="0.25">
      <c r="A121" s="4" t="s">
        <v>30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5"/>
      <c r="M121" s="5"/>
      <c r="N121" s="5"/>
      <c r="O121" s="5"/>
      <c r="P121" s="5"/>
    </row>
    <row r="122" spans="1:26" x14ac:dyDescent="0.25">
      <c r="A122" s="4" t="s">
        <v>31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5"/>
      <c r="M122" s="5"/>
      <c r="N122" s="5"/>
      <c r="O122" s="5"/>
      <c r="P122" s="5"/>
    </row>
    <row r="123" spans="1:26" x14ac:dyDescent="0.25">
      <c r="A123" s="26" t="s">
        <v>512</v>
      </c>
      <c r="B123" s="84" t="s">
        <v>513</v>
      </c>
      <c r="C123" s="83"/>
      <c r="D123" s="83"/>
      <c r="E123" s="83"/>
      <c r="F123" s="83"/>
      <c r="G123" s="83"/>
      <c r="H123" s="83"/>
      <c r="I123" s="83"/>
      <c r="J123" s="83"/>
      <c r="K123" s="83"/>
      <c r="L123" s="44" t="s">
        <v>17</v>
      </c>
      <c r="M123" s="19">
        <v>3.9</v>
      </c>
      <c r="N123" s="44" t="s">
        <v>18</v>
      </c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 spans="1:26" x14ac:dyDescent="0.25">
      <c r="A124" s="26" t="s">
        <v>514</v>
      </c>
      <c r="B124" s="84" t="s">
        <v>513</v>
      </c>
      <c r="C124" s="83"/>
      <c r="D124" s="83"/>
      <c r="E124" s="83"/>
      <c r="F124" s="83"/>
      <c r="G124" s="83"/>
      <c r="H124" s="83"/>
      <c r="I124" s="83"/>
      <c r="J124" s="83"/>
      <c r="K124" s="83"/>
      <c r="L124" s="44" t="s">
        <v>17</v>
      </c>
      <c r="M124" s="19">
        <v>1.2</v>
      </c>
      <c r="N124" s="44" t="s">
        <v>18</v>
      </c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 spans="1:26" x14ac:dyDescent="0.25">
      <c r="A125" s="26" t="s">
        <v>515</v>
      </c>
      <c r="B125" s="84" t="s">
        <v>513</v>
      </c>
      <c r="C125" s="83"/>
      <c r="D125" s="83"/>
      <c r="E125" s="83"/>
      <c r="F125" s="83"/>
      <c r="G125" s="83"/>
      <c r="H125" s="83"/>
      <c r="I125" s="83"/>
      <c r="J125" s="83"/>
      <c r="K125" s="83"/>
      <c r="L125" s="44" t="s">
        <v>17</v>
      </c>
      <c r="M125" s="19">
        <v>0.1</v>
      </c>
      <c r="N125" s="44" t="s">
        <v>18</v>
      </c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 spans="1:26" x14ac:dyDescent="0.25">
      <c r="A126" s="26" t="s">
        <v>516</v>
      </c>
      <c r="B126" s="84" t="s">
        <v>513</v>
      </c>
      <c r="C126" s="83"/>
      <c r="D126" s="83"/>
      <c r="E126" s="83"/>
      <c r="F126" s="83"/>
      <c r="G126" s="83"/>
      <c r="H126" s="83"/>
      <c r="I126" s="83"/>
      <c r="J126" s="83"/>
      <c r="K126" s="83"/>
      <c r="L126" s="44" t="s">
        <v>17</v>
      </c>
      <c r="M126" s="19">
        <v>3.9</v>
      </c>
      <c r="N126" s="44" t="s">
        <v>18</v>
      </c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 spans="1:26" x14ac:dyDescent="0.25">
      <c r="A127" s="26" t="s">
        <v>517</v>
      </c>
      <c r="B127" s="84" t="s">
        <v>513</v>
      </c>
      <c r="C127" s="83"/>
      <c r="D127" s="83"/>
      <c r="E127" s="83"/>
      <c r="F127" s="83"/>
      <c r="G127" s="83"/>
      <c r="H127" s="83"/>
      <c r="I127" s="83"/>
      <c r="J127" s="83"/>
      <c r="K127" s="83"/>
      <c r="L127" s="44" t="s">
        <v>17</v>
      </c>
      <c r="M127" s="19">
        <v>0</v>
      </c>
      <c r="N127" s="44" t="s">
        <v>18</v>
      </c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 spans="1:26" x14ac:dyDescent="0.25">
      <c r="A128" s="4" t="s">
        <v>32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5"/>
      <c r="M128" s="5"/>
      <c r="N128" s="5"/>
      <c r="O128" s="5"/>
      <c r="P128" s="5"/>
    </row>
    <row r="129" spans="1:16" s="44" customFormat="1" x14ac:dyDescent="0.25">
      <c r="A129" s="57" t="s">
        <v>365</v>
      </c>
      <c r="B129" s="57" t="s">
        <v>366</v>
      </c>
      <c r="C129" s="57"/>
      <c r="D129" s="58"/>
      <c r="E129" s="58"/>
      <c r="F129" s="58"/>
      <c r="G129" s="58"/>
      <c r="H129" s="58"/>
      <c r="I129" s="58"/>
      <c r="J129" s="58"/>
      <c r="K129" s="58"/>
      <c r="L129" s="57" t="s">
        <v>17</v>
      </c>
      <c r="M129" s="57">
        <v>0</v>
      </c>
      <c r="N129" s="57" t="s">
        <v>18</v>
      </c>
      <c r="O129" s="57"/>
    </row>
    <row r="130" spans="1:16" s="44" customFormat="1" x14ac:dyDescent="0.25">
      <c r="A130" s="57" t="s">
        <v>367</v>
      </c>
      <c r="B130" s="57" t="s">
        <v>366</v>
      </c>
      <c r="C130" s="57"/>
      <c r="D130" s="58"/>
      <c r="E130" s="58"/>
      <c r="F130" s="58"/>
      <c r="G130" s="58"/>
      <c r="H130" s="58"/>
      <c r="I130" s="58"/>
      <c r="J130" s="58"/>
      <c r="K130" s="58"/>
      <c r="L130" s="57" t="s">
        <v>17</v>
      </c>
      <c r="M130" s="57">
        <v>0</v>
      </c>
      <c r="N130" s="57" t="s">
        <v>18</v>
      </c>
      <c r="O130" s="57" t="s">
        <v>368</v>
      </c>
    </row>
    <row r="131" spans="1:16" s="44" customFormat="1" x14ac:dyDescent="0.25">
      <c r="A131" s="57" t="s">
        <v>369</v>
      </c>
      <c r="B131" s="57" t="s">
        <v>366</v>
      </c>
      <c r="C131" s="57"/>
      <c r="D131" s="57"/>
      <c r="E131" s="57"/>
      <c r="F131" s="57"/>
      <c r="G131" s="57"/>
      <c r="H131" s="57"/>
      <c r="I131" s="57"/>
      <c r="J131" s="57"/>
      <c r="K131" s="57"/>
      <c r="L131" s="57" t="s">
        <v>17</v>
      </c>
      <c r="M131" s="57">
        <v>0</v>
      </c>
      <c r="N131" s="57" t="s">
        <v>18</v>
      </c>
      <c r="O131" s="57"/>
    </row>
    <row r="132" spans="1:16" x14ac:dyDescent="0.25">
      <c r="A132" s="57" t="s">
        <v>370</v>
      </c>
      <c r="B132" s="57" t="s">
        <v>371</v>
      </c>
      <c r="C132" s="57"/>
      <c r="D132" s="57"/>
      <c r="E132" s="57"/>
      <c r="F132" s="57"/>
      <c r="G132" s="57"/>
      <c r="H132" s="57"/>
      <c r="I132" s="57"/>
      <c r="J132" s="57"/>
      <c r="K132" s="57"/>
      <c r="L132" s="57" t="s">
        <v>17</v>
      </c>
      <c r="M132" s="57">
        <v>0</v>
      </c>
      <c r="N132" s="57" t="s">
        <v>18</v>
      </c>
      <c r="O132" s="17"/>
    </row>
    <row r="133" spans="1:16" x14ac:dyDescent="0.25">
      <c r="A133" s="57" t="s">
        <v>372</v>
      </c>
      <c r="B133" s="57" t="s">
        <v>366</v>
      </c>
      <c r="C133" s="57"/>
      <c r="D133" s="58"/>
      <c r="E133" s="58"/>
      <c r="F133" s="58"/>
      <c r="G133" s="58"/>
      <c r="H133" s="58"/>
      <c r="I133" s="58"/>
      <c r="J133" s="58"/>
      <c r="K133" s="58"/>
      <c r="L133" s="57" t="s">
        <v>17</v>
      </c>
      <c r="M133" s="57">
        <v>0</v>
      </c>
      <c r="N133" s="57" t="s">
        <v>18</v>
      </c>
      <c r="O133" s="17"/>
      <c r="P133" s="48"/>
    </row>
    <row r="134" spans="1:16" x14ac:dyDescent="0.25">
      <c r="A134" s="57" t="s">
        <v>373</v>
      </c>
      <c r="B134" s="57" t="s">
        <v>371</v>
      </c>
      <c r="C134" s="57"/>
      <c r="D134" s="58"/>
      <c r="E134" s="58"/>
      <c r="F134" s="58"/>
      <c r="G134" s="58"/>
      <c r="H134" s="58"/>
      <c r="I134" s="58"/>
      <c r="J134" s="58"/>
      <c r="K134" s="58"/>
      <c r="L134" s="57" t="s">
        <v>17</v>
      </c>
      <c r="M134" s="57">
        <v>0</v>
      </c>
      <c r="N134" s="57" t="s">
        <v>18</v>
      </c>
      <c r="O134" s="17"/>
      <c r="P134" s="48"/>
    </row>
    <row r="135" spans="1:16" x14ac:dyDescent="0.25">
      <c r="A135" s="57" t="s">
        <v>374</v>
      </c>
      <c r="B135" s="57" t="s">
        <v>366</v>
      </c>
      <c r="C135" s="57"/>
      <c r="D135" s="57"/>
      <c r="E135" s="57"/>
      <c r="F135" s="57"/>
      <c r="G135" s="57"/>
      <c r="H135" s="57"/>
      <c r="I135" s="57"/>
      <c r="J135" s="57"/>
      <c r="K135" s="57"/>
      <c r="L135" s="57" t="s">
        <v>17</v>
      </c>
      <c r="M135" s="57">
        <v>0</v>
      </c>
      <c r="N135" s="57" t="s">
        <v>18</v>
      </c>
      <c r="O135" s="17"/>
      <c r="P135" s="48"/>
    </row>
    <row r="136" spans="1:16" s="17" customFormat="1" x14ac:dyDescent="0.25">
      <c r="A136" s="57" t="s">
        <v>518</v>
      </c>
      <c r="B136" s="57" t="s">
        <v>366</v>
      </c>
      <c r="C136" s="57"/>
      <c r="D136" s="57"/>
      <c r="E136" s="57"/>
      <c r="F136" s="57"/>
      <c r="G136" s="57"/>
      <c r="H136" s="57"/>
      <c r="I136" s="57"/>
      <c r="J136" s="57"/>
      <c r="K136" s="57"/>
      <c r="L136" s="57" t="s">
        <v>17</v>
      </c>
      <c r="M136" s="57">
        <v>0</v>
      </c>
      <c r="N136" s="57" t="s">
        <v>18</v>
      </c>
    </row>
    <row r="137" spans="1:16" x14ac:dyDescent="0.25">
      <c r="A137" s="57" t="s">
        <v>375</v>
      </c>
      <c r="B137" s="57" t="s">
        <v>366</v>
      </c>
      <c r="C137" s="57"/>
      <c r="D137" s="58"/>
      <c r="E137" s="58"/>
      <c r="F137" s="58"/>
      <c r="G137" s="58"/>
      <c r="H137" s="58"/>
      <c r="I137" s="58"/>
      <c r="J137" s="58"/>
      <c r="K137" s="58"/>
      <c r="L137" s="57" t="s">
        <v>17</v>
      </c>
      <c r="M137" s="57">
        <v>0</v>
      </c>
      <c r="N137" s="57" t="s">
        <v>18</v>
      </c>
      <c r="O137" s="17"/>
      <c r="P137" s="48"/>
    </row>
    <row r="138" spans="1:16" x14ac:dyDescent="0.25">
      <c r="A138" s="57" t="s">
        <v>376</v>
      </c>
      <c r="B138" s="57" t="s">
        <v>366</v>
      </c>
      <c r="C138" s="57"/>
      <c r="D138" s="58"/>
      <c r="E138" s="58"/>
      <c r="F138" s="58"/>
      <c r="G138" s="58"/>
      <c r="H138" s="58"/>
      <c r="I138" s="58"/>
      <c r="J138" s="58"/>
      <c r="K138" s="58"/>
      <c r="L138" s="57" t="s">
        <v>17</v>
      </c>
      <c r="M138" s="57">
        <v>0</v>
      </c>
      <c r="N138" s="57" t="s">
        <v>18</v>
      </c>
      <c r="O138" s="17"/>
      <c r="P138" s="48"/>
    </row>
    <row r="139" spans="1:16" x14ac:dyDescent="0.25">
      <c r="A139" s="57" t="s">
        <v>377</v>
      </c>
      <c r="B139" s="57" t="s">
        <v>366</v>
      </c>
      <c r="C139" s="57"/>
      <c r="D139" s="58"/>
      <c r="E139" s="58"/>
      <c r="F139" s="58"/>
      <c r="G139" s="58"/>
      <c r="H139" s="58"/>
      <c r="I139" s="58"/>
      <c r="J139" s="58"/>
      <c r="K139" s="58"/>
      <c r="L139" s="57" t="s">
        <v>17</v>
      </c>
      <c r="M139" s="57">
        <v>0</v>
      </c>
      <c r="N139" s="57" t="s">
        <v>18</v>
      </c>
      <c r="O139" s="17"/>
      <c r="P139" s="48"/>
    </row>
    <row r="140" spans="1:16" x14ac:dyDescent="0.25">
      <c r="A140" s="57" t="s">
        <v>378</v>
      </c>
      <c r="B140" s="57" t="s">
        <v>366</v>
      </c>
      <c r="C140" s="57"/>
      <c r="D140" s="58"/>
      <c r="E140" s="58"/>
      <c r="F140" s="58"/>
      <c r="G140" s="58"/>
      <c r="H140" s="58"/>
      <c r="I140" s="58"/>
      <c r="J140" s="58"/>
      <c r="K140" s="58"/>
      <c r="L140" s="57" t="s">
        <v>17</v>
      </c>
      <c r="M140" s="57">
        <v>0</v>
      </c>
      <c r="N140" s="57" t="s">
        <v>18</v>
      </c>
      <c r="O140" s="17"/>
      <c r="P140" s="48"/>
    </row>
    <row r="141" spans="1:16" x14ac:dyDescent="0.25">
      <c r="A141" s="57" t="s">
        <v>379</v>
      </c>
      <c r="B141" s="57" t="s">
        <v>366</v>
      </c>
      <c r="C141" s="57"/>
      <c r="D141" s="58"/>
      <c r="E141" s="58"/>
      <c r="F141" s="58"/>
      <c r="G141" s="58"/>
      <c r="H141" s="58"/>
      <c r="I141" s="58"/>
      <c r="J141" s="58"/>
      <c r="K141" s="58"/>
      <c r="L141" s="57" t="s">
        <v>17</v>
      </c>
      <c r="M141" s="57">
        <v>0</v>
      </c>
      <c r="N141" s="57" t="s">
        <v>18</v>
      </c>
      <c r="O141" s="17"/>
      <c r="P141" s="48"/>
    </row>
    <row r="142" spans="1:16" x14ac:dyDescent="0.25">
      <c r="A142" s="57" t="s">
        <v>380</v>
      </c>
      <c r="B142" s="57" t="s">
        <v>366</v>
      </c>
      <c r="C142" s="57"/>
      <c r="D142" s="17"/>
      <c r="E142" s="17"/>
      <c r="F142" s="17"/>
      <c r="G142" s="17"/>
      <c r="H142" s="17"/>
      <c r="I142" s="17"/>
      <c r="J142" s="17"/>
      <c r="K142" s="17"/>
      <c r="L142" s="57" t="s">
        <v>17</v>
      </c>
      <c r="M142" s="57">
        <v>0</v>
      </c>
      <c r="N142" s="57" t="s">
        <v>18</v>
      </c>
      <c r="O142" s="17"/>
      <c r="P142" s="48"/>
    </row>
    <row r="144" spans="1:16" x14ac:dyDescent="0.25">
      <c r="A144" s="2" t="s">
        <v>187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3"/>
      <c r="M144" s="3"/>
      <c r="N144" s="3"/>
      <c r="O144" s="3"/>
      <c r="P144" s="3"/>
    </row>
    <row r="145" spans="1:16" x14ac:dyDescent="0.25">
      <c r="A145" t="s">
        <v>183</v>
      </c>
      <c r="B145" t="s">
        <v>189</v>
      </c>
      <c r="J145" t="s">
        <v>44</v>
      </c>
      <c r="L145" t="s">
        <v>186</v>
      </c>
      <c r="M145" s="33">
        <f>600000*(M630/100)</f>
        <v>188217.14285714284</v>
      </c>
      <c r="N145" t="s">
        <v>179</v>
      </c>
      <c r="O145" s="17" t="s">
        <v>314</v>
      </c>
      <c r="P145" s="21"/>
    </row>
    <row r="146" spans="1:16" x14ac:dyDescent="0.25">
      <c r="A146" t="s">
        <v>184</v>
      </c>
      <c r="B146" t="s">
        <v>189</v>
      </c>
      <c r="J146" t="s">
        <v>44</v>
      </c>
      <c r="L146" t="s">
        <v>186</v>
      </c>
      <c r="M146" s="33">
        <v>10000</v>
      </c>
      <c r="N146" t="s">
        <v>179</v>
      </c>
      <c r="O146" t="s">
        <v>185</v>
      </c>
    </row>
    <row r="147" spans="1:16" x14ac:dyDescent="0.25">
      <c r="A147" s="17" t="s">
        <v>381</v>
      </c>
      <c r="B147" s="17" t="s">
        <v>189</v>
      </c>
      <c r="C147" s="17"/>
      <c r="D147" s="17"/>
      <c r="E147" s="17"/>
      <c r="F147" s="17"/>
      <c r="G147" s="17"/>
      <c r="H147" s="17"/>
      <c r="I147" s="17"/>
      <c r="J147" s="17" t="s">
        <v>44</v>
      </c>
      <c r="K147" s="17"/>
      <c r="L147" s="17" t="s">
        <v>186</v>
      </c>
      <c r="M147" s="63">
        <v>0</v>
      </c>
      <c r="N147" s="17" t="s">
        <v>179</v>
      </c>
      <c r="O147" s="17" t="s">
        <v>382</v>
      </c>
      <c r="P147" s="7"/>
    </row>
    <row r="148" spans="1:16" x14ac:dyDescent="0.25">
      <c r="M148" s="33"/>
    </row>
    <row r="149" spans="1:16" x14ac:dyDescent="0.25">
      <c r="A149" t="s">
        <v>98</v>
      </c>
      <c r="B149" t="s">
        <v>189</v>
      </c>
      <c r="J149" t="s">
        <v>44</v>
      </c>
      <c r="L149" t="s">
        <v>186</v>
      </c>
      <c r="M149" s="33">
        <v>34000</v>
      </c>
      <c r="N149" t="s">
        <v>179</v>
      </c>
      <c r="O149" t="s">
        <v>285</v>
      </c>
      <c r="P149" t="s">
        <v>281</v>
      </c>
    </row>
    <row r="150" spans="1:16" x14ac:dyDescent="0.25">
      <c r="M150" s="33"/>
    </row>
    <row r="151" spans="1:16" x14ac:dyDescent="0.25">
      <c r="A151" t="s">
        <v>258</v>
      </c>
      <c r="B151" t="s">
        <v>189</v>
      </c>
      <c r="J151" t="s">
        <v>44</v>
      </c>
      <c r="L151" t="s">
        <v>186</v>
      </c>
      <c r="M151" s="37">
        <v>355.5</v>
      </c>
      <c r="N151" t="s">
        <v>259</v>
      </c>
      <c r="O151" t="s">
        <v>260</v>
      </c>
    </row>
    <row r="152" spans="1:16" x14ac:dyDescent="0.25">
      <c r="A152" s="45" t="s">
        <v>330</v>
      </c>
      <c r="M152" s="37"/>
    </row>
    <row r="153" spans="1:16" x14ac:dyDescent="0.25">
      <c r="A153" t="s">
        <v>325</v>
      </c>
      <c r="B153" t="s">
        <v>189</v>
      </c>
      <c r="J153" t="s">
        <v>44</v>
      </c>
      <c r="L153" s="44"/>
      <c r="M153" s="37">
        <f>103.1*1.12*0.78</f>
        <v>90.068160000000006</v>
      </c>
      <c r="N153" t="s">
        <v>259</v>
      </c>
      <c r="O153" t="s">
        <v>326</v>
      </c>
    </row>
    <row r="154" spans="1:16" x14ac:dyDescent="0.25">
      <c r="A154" t="s">
        <v>325</v>
      </c>
      <c r="B154" t="s">
        <v>189</v>
      </c>
      <c r="J154" t="s">
        <v>42</v>
      </c>
      <c r="L154" s="44"/>
      <c r="M154" s="37">
        <f>103.1*1.12*(1-0.78)</f>
        <v>25.403839999999999</v>
      </c>
      <c r="N154" t="s">
        <v>259</v>
      </c>
    </row>
    <row r="155" spans="1:16" x14ac:dyDescent="0.25">
      <c r="L155" s="44"/>
      <c r="M155" s="37"/>
    </row>
    <row r="156" spans="1:16" x14ac:dyDescent="0.25">
      <c r="L156" s="44"/>
      <c r="M156" s="37"/>
    </row>
    <row r="157" spans="1:16" x14ac:dyDescent="0.25">
      <c r="A157" s="17" t="s">
        <v>348</v>
      </c>
      <c r="B157" t="s">
        <v>189</v>
      </c>
      <c r="J157" t="s">
        <v>44</v>
      </c>
      <c r="L157" t="s">
        <v>186</v>
      </c>
      <c r="M157" s="15">
        <v>1000</v>
      </c>
      <c r="N157" t="s">
        <v>349</v>
      </c>
      <c r="O157" s="6"/>
      <c r="P157" s="9"/>
    </row>
    <row r="158" spans="1:16" x14ac:dyDescent="0.25">
      <c r="M158" s="33"/>
    </row>
    <row r="159" spans="1:16" x14ac:dyDescent="0.25">
      <c r="A159" s="2" t="s">
        <v>178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3"/>
      <c r="M159" s="36"/>
      <c r="N159" s="3"/>
      <c r="O159" s="3"/>
      <c r="P159" s="3"/>
    </row>
    <row r="160" spans="1:16" x14ac:dyDescent="0.25">
      <c r="A160" t="s">
        <v>275</v>
      </c>
      <c r="B160" t="s">
        <v>25</v>
      </c>
      <c r="J160" t="s">
        <v>44</v>
      </c>
      <c r="L160" t="s">
        <v>279</v>
      </c>
      <c r="M160" s="33">
        <v>558249.80000000005</v>
      </c>
      <c r="N160" t="s">
        <v>179</v>
      </c>
      <c r="O160" t="s">
        <v>457</v>
      </c>
      <c r="P160" t="s">
        <v>280</v>
      </c>
    </row>
    <row r="161" spans="1:20" x14ac:dyDescent="0.25">
      <c r="A161" t="s">
        <v>276</v>
      </c>
      <c r="B161" t="s">
        <v>25</v>
      </c>
      <c r="J161" t="s">
        <v>44</v>
      </c>
      <c r="L161" t="s">
        <v>279</v>
      </c>
      <c r="M161" s="33">
        <f>376376+141821</f>
        <v>518197</v>
      </c>
      <c r="N161" t="s">
        <v>179</v>
      </c>
      <c r="O161" t="s">
        <v>455</v>
      </c>
      <c r="P161" t="s">
        <v>280</v>
      </c>
      <c r="T161" s="6" t="s">
        <v>322</v>
      </c>
    </row>
    <row r="162" spans="1:20" x14ac:dyDescent="0.25">
      <c r="A162" t="s">
        <v>277</v>
      </c>
      <c r="B162" t="s">
        <v>25</v>
      </c>
      <c r="J162" t="s">
        <v>44</v>
      </c>
      <c r="L162" t="s">
        <v>279</v>
      </c>
      <c r="M162" s="33">
        <v>32965.800000000003</v>
      </c>
      <c r="N162" t="s">
        <v>179</v>
      </c>
      <c r="O162" t="s">
        <v>454</v>
      </c>
      <c r="P162" t="s">
        <v>280</v>
      </c>
    </row>
    <row r="163" spans="1:20" x14ac:dyDescent="0.25">
      <c r="A163" t="s">
        <v>278</v>
      </c>
      <c r="B163" t="s">
        <v>25</v>
      </c>
      <c r="J163" t="s">
        <v>44</v>
      </c>
      <c r="L163" t="s">
        <v>279</v>
      </c>
      <c r="M163" s="33">
        <v>196581</v>
      </c>
      <c r="N163" t="s">
        <v>179</v>
      </c>
      <c r="O163" t="s">
        <v>454</v>
      </c>
      <c r="P163" t="s">
        <v>280</v>
      </c>
      <c r="T163" s="6" t="s">
        <v>323</v>
      </c>
    </row>
    <row r="164" spans="1:20" x14ac:dyDescent="0.25">
      <c r="A164" t="s">
        <v>191</v>
      </c>
      <c r="B164" t="s">
        <v>196</v>
      </c>
      <c r="J164" t="s">
        <v>44</v>
      </c>
      <c r="L164" t="s">
        <v>279</v>
      </c>
      <c r="M164" s="33">
        <v>22062.799999999999</v>
      </c>
      <c r="N164" t="s">
        <v>179</v>
      </c>
      <c r="O164" t="s">
        <v>457</v>
      </c>
      <c r="P164" t="s">
        <v>280</v>
      </c>
    </row>
    <row r="165" spans="1:20" x14ac:dyDescent="0.25">
      <c r="A165" t="s">
        <v>98</v>
      </c>
      <c r="B165" t="s">
        <v>100</v>
      </c>
      <c r="J165" t="s">
        <v>44</v>
      </c>
      <c r="L165" t="s">
        <v>279</v>
      </c>
      <c r="M165" s="33">
        <v>25000</v>
      </c>
      <c r="N165" t="s">
        <v>179</v>
      </c>
      <c r="O165" t="s">
        <v>283</v>
      </c>
      <c r="P165" t="s">
        <v>282</v>
      </c>
    </row>
    <row r="166" spans="1:20" x14ac:dyDescent="0.25">
      <c r="A166" s="17" t="s">
        <v>53</v>
      </c>
      <c r="B166" s="17" t="s">
        <v>54</v>
      </c>
      <c r="C166" s="17"/>
      <c r="D166" s="17"/>
      <c r="E166" s="17"/>
      <c r="F166" s="17"/>
      <c r="G166" s="17"/>
      <c r="H166" s="17"/>
      <c r="I166" s="17"/>
      <c r="J166" s="17" t="s">
        <v>44</v>
      </c>
      <c r="K166" s="17"/>
      <c r="L166" s="17" t="s">
        <v>279</v>
      </c>
      <c r="M166" s="63">
        <v>0</v>
      </c>
      <c r="N166" s="17" t="s">
        <v>179</v>
      </c>
      <c r="O166" s="17"/>
    </row>
    <row r="167" spans="1:20" x14ac:dyDescent="0.25">
      <c r="A167" s="17" t="s">
        <v>53</v>
      </c>
      <c r="B167" s="17" t="s">
        <v>54</v>
      </c>
      <c r="C167" s="17"/>
      <c r="D167" s="17"/>
      <c r="E167" s="17"/>
      <c r="F167" s="17"/>
      <c r="G167" s="17"/>
      <c r="H167" s="17"/>
      <c r="I167" s="17"/>
      <c r="J167" s="17" t="s">
        <v>42</v>
      </c>
      <c r="K167" s="17"/>
      <c r="L167" s="17" t="s">
        <v>279</v>
      </c>
      <c r="M167" s="63">
        <v>0</v>
      </c>
      <c r="N167" s="17" t="s">
        <v>179</v>
      </c>
      <c r="O167" s="17"/>
    </row>
    <row r="168" spans="1:20" x14ac:dyDescent="0.25">
      <c r="A168" s="17" t="s">
        <v>92</v>
      </c>
      <c r="B168" s="17" t="s">
        <v>54</v>
      </c>
      <c r="C168" s="17"/>
      <c r="D168" s="17"/>
      <c r="E168" s="17"/>
      <c r="F168" s="17"/>
      <c r="G168" s="17"/>
      <c r="H168" s="17"/>
      <c r="I168" s="17"/>
      <c r="J168" s="17" t="s">
        <v>44</v>
      </c>
      <c r="K168" s="17"/>
      <c r="L168" s="17" t="s">
        <v>279</v>
      </c>
      <c r="M168" s="63">
        <v>0</v>
      </c>
      <c r="N168" s="17" t="s">
        <v>179</v>
      </c>
      <c r="O168" s="17" t="s">
        <v>383</v>
      </c>
      <c r="P168">
        <v>20000</v>
      </c>
    </row>
    <row r="169" spans="1:20" x14ac:dyDescent="0.25">
      <c r="A169" s="17" t="s">
        <v>92</v>
      </c>
      <c r="B169" s="17" t="s">
        <v>54</v>
      </c>
      <c r="C169" s="17"/>
      <c r="D169" s="17"/>
      <c r="E169" s="17"/>
      <c r="F169" s="17"/>
      <c r="G169" s="17"/>
      <c r="H169" s="17"/>
      <c r="I169" s="17"/>
      <c r="J169" s="17" t="s">
        <v>42</v>
      </c>
      <c r="K169" s="17"/>
      <c r="L169" s="17" t="s">
        <v>279</v>
      </c>
      <c r="M169" s="63">
        <v>0</v>
      </c>
      <c r="N169" s="17" t="s">
        <v>179</v>
      </c>
      <c r="O169" s="17"/>
    </row>
    <row r="170" spans="1:20" x14ac:dyDescent="0.25">
      <c r="A170" s="17" t="s">
        <v>324</v>
      </c>
      <c r="B170" s="17" t="s">
        <v>54</v>
      </c>
      <c r="C170" s="17"/>
      <c r="D170" s="17"/>
      <c r="E170" s="17"/>
      <c r="F170" s="17"/>
      <c r="G170" s="17"/>
      <c r="H170" s="17"/>
      <c r="I170" s="17"/>
      <c r="J170" s="17" t="s">
        <v>44</v>
      </c>
      <c r="K170" s="17"/>
      <c r="L170" s="17" t="s">
        <v>279</v>
      </c>
      <c r="M170" s="63">
        <v>0</v>
      </c>
      <c r="N170" s="17" t="s">
        <v>179</v>
      </c>
      <c r="O170" s="17"/>
    </row>
    <row r="171" spans="1:20" x14ac:dyDescent="0.25">
      <c r="A171" s="17" t="s">
        <v>324</v>
      </c>
      <c r="B171" s="17" t="s">
        <v>54</v>
      </c>
      <c r="C171" s="17"/>
      <c r="D171" s="17"/>
      <c r="E171" s="17"/>
      <c r="F171" s="17"/>
      <c r="G171" s="17"/>
      <c r="H171" s="17"/>
      <c r="I171" s="17"/>
      <c r="J171" s="17" t="s">
        <v>42</v>
      </c>
      <c r="K171" s="17"/>
      <c r="L171" s="17" t="s">
        <v>279</v>
      </c>
      <c r="M171" s="63">
        <v>0</v>
      </c>
      <c r="N171" s="17" t="s">
        <v>179</v>
      </c>
      <c r="O171" s="17"/>
    </row>
    <row r="172" spans="1:20" x14ac:dyDescent="0.25">
      <c r="A172" s="17" t="s">
        <v>254</v>
      </c>
      <c r="B172" s="17" t="s">
        <v>54</v>
      </c>
      <c r="C172" s="17"/>
      <c r="D172" s="17"/>
      <c r="E172" s="17"/>
      <c r="F172" s="17"/>
      <c r="G172" s="17"/>
      <c r="H172" s="17"/>
      <c r="I172" s="17"/>
      <c r="J172" s="17" t="s">
        <v>44</v>
      </c>
      <c r="K172" s="17"/>
      <c r="L172" s="17" t="s">
        <v>279</v>
      </c>
      <c r="M172" s="63">
        <v>0</v>
      </c>
      <c r="N172" s="17" t="s">
        <v>179</v>
      </c>
      <c r="O172" s="17"/>
    </row>
    <row r="173" spans="1:20" x14ac:dyDescent="0.25">
      <c r="A173" s="17" t="s">
        <v>254</v>
      </c>
      <c r="B173" s="17" t="s">
        <v>54</v>
      </c>
      <c r="C173" s="17"/>
      <c r="D173" s="17"/>
      <c r="E173" s="17"/>
      <c r="F173" s="17"/>
      <c r="G173" s="17"/>
      <c r="H173" s="17"/>
      <c r="I173" s="17"/>
      <c r="J173" s="17" t="s">
        <v>42</v>
      </c>
      <c r="K173" s="17"/>
      <c r="L173" s="17" t="s">
        <v>279</v>
      </c>
      <c r="M173" s="63">
        <v>0</v>
      </c>
      <c r="N173" s="17" t="s">
        <v>179</v>
      </c>
      <c r="O173" s="17"/>
    </row>
    <row r="174" spans="1:20" x14ac:dyDescent="0.25">
      <c r="A174" s="17" t="s">
        <v>352</v>
      </c>
      <c r="B174" s="17" t="s">
        <v>79</v>
      </c>
      <c r="C174" s="17"/>
      <c r="D174" s="17"/>
      <c r="E174" s="17"/>
      <c r="F174" s="17"/>
      <c r="G174" s="17"/>
      <c r="H174" s="17"/>
      <c r="I174" s="17"/>
      <c r="J174" s="17" t="s">
        <v>44</v>
      </c>
      <c r="K174" s="17"/>
      <c r="L174" s="17" t="s">
        <v>279</v>
      </c>
      <c r="M174" s="63">
        <v>0</v>
      </c>
      <c r="N174" s="17" t="s">
        <v>179</v>
      </c>
      <c r="O174" s="17"/>
    </row>
    <row r="175" spans="1:20" x14ac:dyDescent="0.25">
      <c r="A175" s="17" t="s">
        <v>352</v>
      </c>
      <c r="B175" s="17" t="s">
        <v>79</v>
      </c>
      <c r="C175" s="17"/>
      <c r="D175" s="17"/>
      <c r="E175" s="17"/>
      <c r="F175" s="17"/>
      <c r="G175" s="17"/>
      <c r="H175" s="17"/>
      <c r="I175" s="17"/>
      <c r="J175" s="17" t="s">
        <v>42</v>
      </c>
      <c r="K175" s="17"/>
      <c r="L175" s="17" t="s">
        <v>279</v>
      </c>
      <c r="M175" s="63">
        <v>0</v>
      </c>
      <c r="N175" s="17" t="s">
        <v>179</v>
      </c>
      <c r="O175" s="17"/>
    </row>
    <row r="176" spans="1:20" x14ac:dyDescent="0.25">
      <c r="A176" s="17" t="s">
        <v>63</v>
      </c>
      <c r="B176" s="17" t="s">
        <v>79</v>
      </c>
      <c r="C176" s="17"/>
      <c r="D176" s="17"/>
      <c r="E176" s="17"/>
      <c r="F176" s="17"/>
      <c r="G176" s="17"/>
      <c r="H176" s="17"/>
      <c r="I176" s="17"/>
      <c r="J176" s="17" t="s">
        <v>44</v>
      </c>
      <c r="K176" s="17"/>
      <c r="L176" s="17" t="s">
        <v>279</v>
      </c>
      <c r="M176" s="63">
        <v>20000</v>
      </c>
      <c r="N176" s="17" t="s">
        <v>179</v>
      </c>
      <c r="O176" s="17" t="s">
        <v>384</v>
      </c>
    </row>
    <row r="177" spans="1:16" x14ac:dyDescent="0.25">
      <c r="A177" s="17" t="s">
        <v>63</v>
      </c>
      <c r="B177" s="17" t="s">
        <v>79</v>
      </c>
      <c r="C177" s="17"/>
      <c r="D177" s="17"/>
      <c r="E177" s="17"/>
      <c r="F177" s="17"/>
      <c r="G177" s="17"/>
      <c r="H177" s="17"/>
      <c r="I177" s="17"/>
      <c r="J177" s="17" t="s">
        <v>42</v>
      </c>
      <c r="K177" s="17"/>
      <c r="L177" s="17" t="s">
        <v>279</v>
      </c>
      <c r="M177" s="63">
        <v>0</v>
      </c>
      <c r="N177" s="17" t="s">
        <v>179</v>
      </c>
      <c r="O177" s="17"/>
    </row>
    <row r="178" spans="1:16" x14ac:dyDescent="0.25">
      <c r="A178" s="57" t="s">
        <v>365</v>
      </c>
      <c r="B178" s="57" t="s">
        <v>366</v>
      </c>
      <c r="C178" s="17"/>
      <c r="D178" s="17"/>
      <c r="E178" s="17"/>
      <c r="F178" s="17"/>
      <c r="G178" s="17"/>
      <c r="H178" s="17"/>
      <c r="I178" s="17"/>
      <c r="J178" s="17" t="s">
        <v>44</v>
      </c>
      <c r="K178" s="17"/>
      <c r="L178" s="17" t="s">
        <v>279</v>
      </c>
      <c r="M178" s="63">
        <v>0</v>
      </c>
      <c r="N178" s="17" t="s">
        <v>179</v>
      </c>
      <c r="O178" s="17"/>
    </row>
    <row r="179" spans="1:16" x14ac:dyDescent="0.25">
      <c r="A179" s="57" t="s">
        <v>372</v>
      </c>
      <c r="B179" s="57" t="s">
        <v>366</v>
      </c>
      <c r="C179" s="17"/>
      <c r="D179" s="17"/>
      <c r="E179" s="17"/>
      <c r="F179" s="17"/>
      <c r="G179" s="17"/>
      <c r="H179" s="17"/>
      <c r="I179" s="17"/>
      <c r="J179" s="17" t="s">
        <v>44</v>
      </c>
      <c r="K179" s="17"/>
      <c r="L179" s="17" t="s">
        <v>279</v>
      </c>
      <c r="M179" s="63">
        <v>0</v>
      </c>
      <c r="N179" s="17" t="s">
        <v>179</v>
      </c>
      <c r="O179" s="17"/>
    </row>
    <row r="180" spans="1:16" x14ac:dyDescent="0.25">
      <c r="A180" s="57" t="s">
        <v>372</v>
      </c>
      <c r="B180" s="57" t="s">
        <v>366</v>
      </c>
      <c r="C180" s="17"/>
      <c r="D180" s="17"/>
      <c r="E180" s="17"/>
      <c r="F180" s="17"/>
      <c r="G180" s="17"/>
      <c r="H180" s="17"/>
      <c r="I180" s="17"/>
      <c r="J180" s="17" t="s">
        <v>42</v>
      </c>
      <c r="K180" s="17"/>
      <c r="L180" s="17" t="s">
        <v>279</v>
      </c>
      <c r="M180" s="63">
        <v>0</v>
      </c>
      <c r="N180" s="17" t="s">
        <v>179</v>
      </c>
      <c r="O180" s="17"/>
    </row>
    <row r="181" spans="1:16" x14ac:dyDescent="0.25">
      <c r="A181" s="57" t="s">
        <v>373</v>
      </c>
      <c r="B181" s="57" t="s">
        <v>366</v>
      </c>
      <c r="C181" s="17"/>
      <c r="D181" s="17"/>
      <c r="E181" s="17"/>
      <c r="F181" s="17"/>
      <c r="G181" s="17"/>
      <c r="H181" s="17"/>
      <c r="I181" s="17"/>
      <c r="J181" s="17" t="s">
        <v>44</v>
      </c>
      <c r="K181" s="17"/>
      <c r="L181" s="17" t="s">
        <v>279</v>
      </c>
      <c r="M181" s="63">
        <v>0</v>
      </c>
      <c r="N181" s="17" t="s">
        <v>179</v>
      </c>
      <c r="O181" s="17"/>
    </row>
    <row r="182" spans="1:16" x14ac:dyDescent="0.25">
      <c r="A182" s="57" t="s">
        <v>373</v>
      </c>
      <c r="B182" s="57" t="s">
        <v>371</v>
      </c>
      <c r="C182" s="17"/>
      <c r="D182" s="17"/>
      <c r="E182" s="17"/>
      <c r="F182" s="17"/>
      <c r="G182" s="17"/>
      <c r="H182" s="17"/>
      <c r="I182" s="17"/>
      <c r="J182" s="17" t="s">
        <v>42</v>
      </c>
      <c r="K182" s="17"/>
      <c r="L182" s="17" t="s">
        <v>279</v>
      </c>
      <c r="M182" s="63">
        <v>0</v>
      </c>
      <c r="N182" s="17" t="s">
        <v>179</v>
      </c>
      <c r="O182" s="17"/>
    </row>
    <row r="183" spans="1:16" x14ac:dyDescent="0.25">
      <c r="A183" s="57" t="s">
        <v>377</v>
      </c>
      <c r="B183" s="57" t="s">
        <v>366</v>
      </c>
      <c r="C183" s="17"/>
      <c r="D183" s="17"/>
      <c r="E183" s="17"/>
      <c r="F183" s="17"/>
      <c r="G183" s="17"/>
      <c r="H183" s="17"/>
      <c r="I183" s="17"/>
      <c r="J183" s="17" t="s">
        <v>44</v>
      </c>
      <c r="K183" s="17"/>
      <c r="L183" s="17" t="s">
        <v>279</v>
      </c>
      <c r="M183" s="63">
        <v>0</v>
      </c>
      <c r="N183" s="17" t="s">
        <v>179</v>
      </c>
      <c r="O183" s="17"/>
    </row>
    <row r="184" spans="1:16" x14ac:dyDescent="0.25">
      <c r="A184" s="57" t="s">
        <v>377</v>
      </c>
      <c r="B184" s="57" t="s">
        <v>366</v>
      </c>
      <c r="C184" s="17"/>
      <c r="D184" s="17"/>
      <c r="E184" s="17"/>
      <c r="F184" s="17"/>
      <c r="G184" s="17"/>
      <c r="H184" s="17"/>
      <c r="I184" s="17"/>
      <c r="J184" s="17" t="s">
        <v>42</v>
      </c>
      <c r="K184" s="17"/>
      <c r="L184" s="17" t="s">
        <v>279</v>
      </c>
      <c r="M184" s="63">
        <v>0</v>
      </c>
      <c r="N184" s="17" t="s">
        <v>179</v>
      </c>
      <c r="O184" s="17"/>
    </row>
    <row r="185" spans="1:16" x14ac:dyDescent="0.25">
      <c r="A185" s="17" t="s">
        <v>375</v>
      </c>
      <c r="B185" s="57" t="s">
        <v>366</v>
      </c>
      <c r="C185" s="17"/>
      <c r="D185" s="17"/>
      <c r="E185" s="17"/>
      <c r="F185" s="17"/>
      <c r="G185" s="17"/>
      <c r="H185" s="17"/>
      <c r="I185" s="17"/>
      <c r="J185" s="17" t="s">
        <v>44</v>
      </c>
      <c r="K185" s="17"/>
      <c r="L185" s="17" t="s">
        <v>279</v>
      </c>
      <c r="M185" s="63">
        <v>0</v>
      </c>
      <c r="N185" s="17" t="s">
        <v>179</v>
      </c>
      <c r="O185" s="17"/>
    </row>
    <row r="186" spans="1:16" x14ac:dyDescent="0.25">
      <c r="A186" s="17" t="s">
        <v>375</v>
      </c>
      <c r="B186" s="57" t="s">
        <v>366</v>
      </c>
      <c r="C186" s="17"/>
      <c r="D186" s="17"/>
      <c r="E186" s="17"/>
      <c r="F186" s="17"/>
      <c r="G186" s="17"/>
      <c r="H186" s="17"/>
      <c r="I186" s="17"/>
      <c r="J186" s="17" t="s">
        <v>42</v>
      </c>
      <c r="K186" s="17"/>
      <c r="L186" s="17" t="s">
        <v>279</v>
      </c>
      <c r="M186" s="63">
        <v>0</v>
      </c>
      <c r="N186" s="17" t="s">
        <v>179</v>
      </c>
      <c r="O186" s="17"/>
    </row>
    <row r="187" spans="1:16" x14ac:dyDescent="0.25">
      <c r="A187" s="17" t="s">
        <v>376</v>
      </c>
      <c r="B187" s="57" t="s">
        <v>366</v>
      </c>
      <c r="C187" s="17"/>
      <c r="D187" s="17"/>
      <c r="E187" s="17"/>
      <c r="F187" s="17"/>
      <c r="G187" s="17"/>
      <c r="H187" s="17"/>
      <c r="I187" s="17"/>
      <c r="J187" s="17" t="s">
        <v>44</v>
      </c>
      <c r="K187" s="17"/>
      <c r="L187" s="17" t="s">
        <v>279</v>
      </c>
      <c r="M187" s="63">
        <v>0</v>
      </c>
      <c r="N187" s="17" t="s">
        <v>179</v>
      </c>
      <c r="O187" s="17"/>
    </row>
    <row r="188" spans="1:16" x14ac:dyDescent="0.25">
      <c r="A188" s="17" t="s">
        <v>376</v>
      </c>
      <c r="B188" s="57" t="s">
        <v>366</v>
      </c>
      <c r="C188" s="17"/>
      <c r="D188" s="17"/>
      <c r="E188" s="17"/>
      <c r="F188" s="17"/>
      <c r="G188" s="17"/>
      <c r="H188" s="17"/>
      <c r="I188" s="17"/>
      <c r="J188" s="17" t="s">
        <v>42</v>
      </c>
      <c r="K188" s="17"/>
      <c r="L188" s="17" t="s">
        <v>279</v>
      </c>
      <c r="M188" s="63">
        <v>0</v>
      </c>
      <c r="N188" s="17" t="s">
        <v>179</v>
      </c>
      <c r="O188" s="17"/>
    </row>
    <row r="190" spans="1:16" x14ac:dyDescent="0.25">
      <c r="A190" s="61" t="s">
        <v>418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spans="1:16" x14ac:dyDescent="0.25">
      <c r="A191" s="62" t="s">
        <v>422</v>
      </c>
    </row>
    <row r="192" spans="1:16" x14ac:dyDescent="0.25">
      <c r="A192" s="62" t="s">
        <v>423</v>
      </c>
    </row>
    <row r="193" spans="1:16" x14ac:dyDescent="0.25">
      <c r="A193" s="62" t="s">
        <v>425</v>
      </c>
    </row>
    <row r="194" spans="1:16" x14ac:dyDescent="0.25">
      <c r="A194" s="62" t="s">
        <v>426</v>
      </c>
    </row>
    <row r="195" spans="1:16" x14ac:dyDescent="0.25">
      <c r="A195" s="57" t="s">
        <v>419</v>
      </c>
      <c r="C195" t="s">
        <v>191</v>
      </c>
      <c r="L195" t="s">
        <v>421</v>
      </c>
      <c r="M195">
        <v>50</v>
      </c>
      <c r="N195" t="s">
        <v>37</v>
      </c>
      <c r="O195" s="6" t="s">
        <v>424</v>
      </c>
    </row>
    <row r="196" spans="1:16" x14ac:dyDescent="0.25">
      <c r="A196" s="57" t="s">
        <v>419</v>
      </c>
      <c r="C196" t="s">
        <v>115</v>
      </c>
      <c r="L196" t="s">
        <v>421</v>
      </c>
      <c r="M196">
        <v>50</v>
      </c>
      <c r="N196" t="s">
        <v>37</v>
      </c>
    </row>
    <row r="197" spans="1:16" x14ac:dyDescent="0.25">
      <c r="A197" s="57"/>
    </row>
    <row r="198" spans="1:16" x14ac:dyDescent="0.25">
      <c r="A198" s="61" t="s">
        <v>479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200" spans="1:16" x14ac:dyDescent="0.25">
      <c r="L200" t="s">
        <v>480</v>
      </c>
      <c r="M200" t="s">
        <v>481</v>
      </c>
    </row>
    <row r="202" spans="1:16" x14ac:dyDescent="0.25">
      <c r="A202" s="2" t="s">
        <v>33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3"/>
      <c r="M202" s="3"/>
      <c r="N202" s="3"/>
      <c r="O202" s="3"/>
      <c r="P202" s="3"/>
    </row>
    <row r="203" spans="1:16" x14ac:dyDescent="0.25">
      <c r="B203" t="s">
        <v>25</v>
      </c>
      <c r="K203" t="s">
        <v>49</v>
      </c>
      <c r="L203" t="s">
        <v>52</v>
      </c>
      <c r="M203">
        <v>25</v>
      </c>
      <c r="N203" t="s">
        <v>37</v>
      </c>
      <c r="P203" t="s">
        <v>438</v>
      </c>
    </row>
    <row r="204" spans="1:16" x14ac:dyDescent="0.25">
      <c r="B204" t="s">
        <v>25</v>
      </c>
      <c r="K204" t="s">
        <v>50</v>
      </c>
      <c r="L204" t="s">
        <v>52</v>
      </c>
      <c r="M204">
        <v>2</v>
      </c>
      <c r="N204" t="s">
        <v>37</v>
      </c>
      <c r="P204" t="s">
        <v>438</v>
      </c>
    </row>
    <row r="205" spans="1:16" x14ac:dyDescent="0.25">
      <c r="B205" t="s">
        <v>25</v>
      </c>
      <c r="K205" t="s">
        <v>51</v>
      </c>
      <c r="L205" t="s">
        <v>52</v>
      </c>
      <c r="M205" s="17">
        <v>10.5</v>
      </c>
      <c r="N205" t="s">
        <v>37</v>
      </c>
      <c r="O205" s="6"/>
      <c r="P205" t="s">
        <v>438</v>
      </c>
    </row>
    <row r="206" spans="1:16" x14ac:dyDescent="0.25">
      <c r="B206" t="s">
        <v>100</v>
      </c>
      <c r="K206" t="s">
        <v>49</v>
      </c>
      <c r="L206" t="s">
        <v>52</v>
      </c>
      <c r="M206">
        <v>17</v>
      </c>
      <c r="N206" t="s">
        <v>37</v>
      </c>
      <c r="P206" t="s">
        <v>438</v>
      </c>
    </row>
    <row r="207" spans="1:16" x14ac:dyDescent="0.25">
      <c r="B207" t="s">
        <v>100</v>
      </c>
      <c r="K207" t="s">
        <v>50</v>
      </c>
      <c r="L207" t="s">
        <v>52</v>
      </c>
      <c r="M207">
        <v>7</v>
      </c>
      <c r="N207" t="s">
        <v>37</v>
      </c>
      <c r="P207" t="s">
        <v>438</v>
      </c>
    </row>
    <row r="208" spans="1:16" x14ac:dyDescent="0.25">
      <c r="B208" t="s">
        <v>100</v>
      </c>
      <c r="K208" t="s">
        <v>51</v>
      </c>
      <c r="L208" t="s">
        <v>52</v>
      </c>
      <c r="M208" s="17">
        <v>15</v>
      </c>
      <c r="N208" t="s">
        <v>37</v>
      </c>
      <c r="O208" s="6"/>
      <c r="P208" t="s">
        <v>438</v>
      </c>
    </row>
    <row r="209" spans="2:16" x14ac:dyDescent="0.25">
      <c r="B209" t="s">
        <v>105</v>
      </c>
      <c r="K209" t="s">
        <v>49</v>
      </c>
      <c r="L209" t="s">
        <v>52</v>
      </c>
      <c r="M209">
        <v>19</v>
      </c>
      <c r="N209" t="s">
        <v>37</v>
      </c>
      <c r="P209" t="s">
        <v>438</v>
      </c>
    </row>
    <row r="210" spans="2:16" x14ac:dyDescent="0.25">
      <c r="B210" t="s">
        <v>105</v>
      </c>
      <c r="K210" t="s">
        <v>50</v>
      </c>
      <c r="L210" t="s">
        <v>52</v>
      </c>
      <c r="M210">
        <v>10</v>
      </c>
      <c r="N210" t="s">
        <v>37</v>
      </c>
      <c r="P210" t="s">
        <v>438</v>
      </c>
    </row>
    <row r="211" spans="2:16" x14ac:dyDescent="0.25">
      <c r="B211" t="s">
        <v>105</v>
      </c>
      <c r="K211" t="s">
        <v>51</v>
      </c>
      <c r="L211" t="s">
        <v>52</v>
      </c>
      <c r="M211" s="17">
        <v>2</v>
      </c>
      <c r="N211" t="s">
        <v>37</v>
      </c>
      <c r="O211" s="6"/>
      <c r="P211" t="s">
        <v>438</v>
      </c>
    </row>
    <row r="212" spans="2:16" x14ac:dyDescent="0.25">
      <c r="B212" t="s">
        <v>232</v>
      </c>
      <c r="K212" t="s">
        <v>49</v>
      </c>
      <c r="L212" t="s">
        <v>52</v>
      </c>
      <c r="M212">
        <v>19</v>
      </c>
      <c r="N212" t="s">
        <v>37</v>
      </c>
      <c r="P212" t="s">
        <v>438</v>
      </c>
    </row>
    <row r="213" spans="2:16" x14ac:dyDescent="0.25">
      <c r="B213" t="s">
        <v>232</v>
      </c>
      <c r="K213" t="s">
        <v>50</v>
      </c>
      <c r="L213" t="s">
        <v>52</v>
      </c>
      <c r="M213">
        <v>10</v>
      </c>
      <c r="N213" t="s">
        <v>37</v>
      </c>
      <c r="P213" t="s">
        <v>438</v>
      </c>
    </row>
    <row r="214" spans="2:16" x14ac:dyDescent="0.25">
      <c r="B214" t="s">
        <v>232</v>
      </c>
      <c r="K214" t="s">
        <v>51</v>
      </c>
      <c r="L214" t="s">
        <v>52</v>
      </c>
      <c r="M214" s="17">
        <v>2</v>
      </c>
      <c r="N214" t="s">
        <v>37</v>
      </c>
      <c r="O214" s="6"/>
      <c r="P214" t="s">
        <v>438</v>
      </c>
    </row>
    <row r="215" spans="2:16" x14ac:dyDescent="0.25">
      <c r="B215" t="s">
        <v>79</v>
      </c>
      <c r="K215" t="s">
        <v>49</v>
      </c>
      <c r="L215" t="s">
        <v>52</v>
      </c>
      <c r="M215">
        <v>11</v>
      </c>
      <c r="N215" t="s">
        <v>37</v>
      </c>
      <c r="P215" t="s">
        <v>438</v>
      </c>
    </row>
    <row r="216" spans="2:16" x14ac:dyDescent="0.25">
      <c r="B216" t="s">
        <v>79</v>
      </c>
      <c r="K216" t="s">
        <v>50</v>
      </c>
      <c r="L216" t="s">
        <v>52</v>
      </c>
      <c r="M216">
        <f>0.5</f>
        <v>0.5</v>
      </c>
      <c r="N216" t="s">
        <v>37</v>
      </c>
      <c r="P216" t="s">
        <v>438</v>
      </c>
    </row>
    <row r="217" spans="2:16" x14ac:dyDescent="0.25">
      <c r="B217" t="s">
        <v>79</v>
      </c>
      <c r="K217" t="s">
        <v>51</v>
      </c>
      <c r="L217" t="s">
        <v>52</v>
      </c>
      <c r="M217" s="17">
        <v>1</v>
      </c>
      <c r="N217" t="s">
        <v>37</v>
      </c>
      <c r="O217" s="6"/>
      <c r="P217" t="s">
        <v>438</v>
      </c>
    </row>
    <row r="218" spans="2:16" x14ac:dyDescent="0.25">
      <c r="B218" t="s">
        <v>54</v>
      </c>
      <c r="K218" t="s">
        <v>49</v>
      </c>
      <c r="L218" t="s">
        <v>52</v>
      </c>
      <c r="M218">
        <v>11</v>
      </c>
      <c r="N218" t="s">
        <v>37</v>
      </c>
      <c r="P218" t="s">
        <v>438</v>
      </c>
    </row>
    <row r="219" spans="2:16" x14ac:dyDescent="0.25">
      <c r="B219" t="s">
        <v>54</v>
      </c>
      <c r="K219" t="s">
        <v>50</v>
      </c>
      <c r="L219" t="s">
        <v>52</v>
      </c>
      <c r="M219">
        <v>4</v>
      </c>
      <c r="N219" t="s">
        <v>37</v>
      </c>
      <c r="P219" t="s">
        <v>438</v>
      </c>
    </row>
    <row r="220" spans="2:16" x14ac:dyDescent="0.25">
      <c r="B220" t="s">
        <v>54</v>
      </c>
      <c r="K220" t="s">
        <v>51</v>
      </c>
      <c r="L220" t="s">
        <v>52</v>
      </c>
      <c r="M220" s="17">
        <v>1</v>
      </c>
      <c r="N220" t="s">
        <v>37</v>
      </c>
      <c r="O220" s="17" t="s">
        <v>437</v>
      </c>
      <c r="P220" t="s">
        <v>438</v>
      </c>
    </row>
    <row r="221" spans="2:16" x14ac:dyDescent="0.25">
      <c r="B221" t="s">
        <v>429</v>
      </c>
      <c r="K221" t="s">
        <v>49</v>
      </c>
      <c r="L221" t="s">
        <v>52</v>
      </c>
      <c r="M221" s="27">
        <f>M218</f>
        <v>11</v>
      </c>
      <c r="N221" s="27" t="s">
        <v>37</v>
      </c>
      <c r="O221" s="17" t="s">
        <v>431</v>
      </c>
    </row>
    <row r="222" spans="2:16" x14ac:dyDescent="0.25">
      <c r="B222" t="s">
        <v>429</v>
      </c>
      <c r="K222" t="s">
        <v>50</v>
      </c>
      <c r="L222" t="s">
        <v>52</v>
      </c>
      <c r="M222" s="27">
        <f t="shared" ref="M222:M223" si="0">M219</f>
        <v>4</v>
      </c>
      <c r="N222" s="27" t="s">
        <v>37</v>
      </c>
      <c r="O222" s="6"/>
    </row>
    <row r="223" spans="2:16" x14ac:dyDescent="0.25">
      <c r="B223" t="s">
        <v>429</v>
      </c>
      <c r="K223" t="s">
        <v>51</v>
      </c>
      <c r="L223" t="s">
        <v>52</v>
      </c>
      <c r="M223" s="27">
        <f t="shared" si="0"/>
        <v>1</v>
      </c>
      <c r="N223" s="27" t="s">
        <v>37</v>
      </c>
      <c r="O223" s="6"/>
    </row>
    <row r="224" spans="2:16" x14ac:dyDescent="0.25">
      <c r="B224" t="s">
        <v>306</v>
      </c>
      <c r="K224" t="s">
        <v>49</v>
      </c>
      <c r="L224" t="s">
        <v>52</v>
      </c>
      <c r="M224">
        <v>11</v>
      </c>
      <c r="N224" t="s">
        <v>37</v>
      </c>
      <c r="P224" t="s">
        <v>438</v>
      </c>
    </row>
    <row r="225" spans="1:16" x14ac:dyDescent="0.25">
      <c r="B225" t="s">
        <v>306</v>
      </c>
      <c r="K225" t="s">
        <v>50</v>
      </c>
      <c r="L225" t="s">
        <v>52</v>
      </c>
      <c r="M225">
        <v>4</v>
      </c>
      <c r="N225" t="s">
        <v>37</v>
      </c>
      <c r="P225" t="s">
        <v>438</v>
      </c>
    </row>
    <row r="226" spans="1:16" x14ac:dyDescent="0.25">
      <c r="B226" t="s">
        <v>306</v>
      </c>
      <c r="K226" t="s">
        <v>51</v>
      </c>
      <c r="L226" t="s">
        <v>52</v>
      </c>
      <c r="M226" s="6">
        <v>5</v>
      </c>
      <c r="N226" t="s">
        <v>37</v>
      </c>
      <c r="O226" s="6"/>
      <c r="P226" t="s">
        <v>438</v>
      </c>
    </row>
    <row r="227" spans="1:16" x14ac:dyDescent="0.25">
      <c r="B227" t="s">
        <v>196</v>
      </c>
      <c r="K227" t="s">
        <v>49</v>
      </c>
      <c r="L227" t="s">
        <v>52</v>
      </c>
      <c r="M227">
        <v>4</v>
      </c>
      <c r="N227" t="s">
        <v>37</v>
      </c>
      <c r="P227" t="s">
        <v>438</v>
      </c>
    </row>
    <row r="228" spans="1:16" x14ac:dyDescent="0.25">
      <c r="B228" t="s">
        <v>196</v>
      </c>
      <c r="K228" t="s">
        <v>50</v>
      </c>
      <c r="L228" t="s">
        <v>52</v>
      </c>
      <c r="M228">
        <v>1</v>
      </c>
      <c r="N228" t="s">
        <v>37</v>
      </c>
      <c r="P228" t="s">
        <v>438</v>
      </c>
    </row>
    <row r="229" spans="1:16" x14ac:dyDescent="0.25">
      <c r="B229" t="s">
        <v>196</v>
      </c>
      <c r="K229" t="s">
        <v>51</v>
      </c>
      <c r="L229" t="s">
        <v>52</v>
      </c>
      <c r="M229" s="17">
        <v>5</v>
      </c>
      <c r="N229" t="s">
        <v>37</v>
      </c>
      <c r="O229" s="6"/>
      <c r="P229" t="s">
        <v>438</v>
      </c>
    </row>
    <row r="230" spans="1:16" x14ac:dyDescent="0.25">
      <c r="B230" t="s">
        <v>116</v>
      </c>
      <c r="K230" t="s">
        <v>49</v>
      </c>
      <c r="L230" t="s">
        <v>52</v>
      </c>
      <c r="M230">
        <v>4</v>
      </c>
      <c r="N230" t="s">
        <v>37</v>
      </c>
      <c r="P230" t="s">
        <v>438</v>
      </c>
    </row>
    <row r="231" spans="1:16" x14ac:dyDescent="0.25">
      <c r="B231" t="s">
        <v>116</v>
      </c>
      <c r="K231" t="s">
        <v>50</v>
      </c>
      <c r="L231" t="s">
        <v>52</v>
      </c>
      <c r="M231">
        <v>1</v>
      </c>
      <c r="N231" t="s">
        <v>37</v>
      </c>
      <c r="P231" t="s">
        <v>438</v>
      </c>
    </row>
    <row r="232" spans="1:16" x14ac:dyDescent="0.25">
      <c r="B232" t="s">
        <v>116</v>
      </c>
      <c r="K232" t="s">
        <v>51</v>
      </c>
      <c r="L232" t="s">
        <v>52</v>
      </c>
      <c r="M232" s="17">
        <v>5</v>
      </c>
      <c r="N232" t="s">
        <v>37</v>
      </c>
      <c r="O232" s="6"/>
      <c r="P232" t="s">
        <v>438</v>
      </c>
    </row>
    <row r="233" spans="1:16" x14ac:dyDescent="0.25">
      <c r="B233" t="s">
        <v>209</v>
      </c>
      <c r="K233" t="s">
        <v>49</v>
      </c>
      <c r="L233" t="s">
        <v>52</v>
      </c>
      <c r="M233">
        <v>13</v>
      </c>
      <c r="N233" t="s">
        <v>37</v>
      </c>
      <c r="P233" t="s">
        <v>438</v>
      </c>
    </row>
    <row r="234" spans="1:16" x14ac:dyDescent="0.25">
      <c r="B234" t="s">
        <v>209</v>
      </c>
      <c r="K234" t="s">
        <v>50</v>
      </c>
      <c r="L234" t="s">
        <v>52</v>
      </c>
      <c r="M234">
        <v>5</v>
      </c>
      <c r="N234" t="s">
        <v>37</v>
      </c>
      <c r="P234" t="s">
        <v>438</v>
      </c>
    </row>
    <row r="235" spans="1:16" x14ac:dyDescent="0.25">
      <c r="B235" t="s">
        <v>209</v>
      </c>
      <c r="K235" t="s">
        <v>51</v>
      </c>
      <c r="L235" t="s">
        <v>52</v>
      </c>
      <c r="M235" s="17">
        <v>5</v>
      </c>
      <c r="N235" t="s">
        <v>37</v>
      </c>
      <c r="O235" s="6"/>
      <c r="P235" t="s">
        <v>438</v>
      </c>
    </row>
    <row r="236" spans="1:16" x14ac:dyDescent="0.25">
      <c r="B236" t="s">
        <v>109</v>
      </c>
      <c r="K236" t="s">
        <v>49</v>
      </c>
      <c r="L236" t="s">
        <v>52</v>
      </c>
      <c r="M236">
        <v>0</v>
      </c>
      <c r="N236" t="s">
        <v>37</v>
      </c>
      <c r="P236" t="s">
        <v>438</v>
      </c>
    </row>
    <row r="237" spans="1:16" x14ac:dyDescent="0.25">
      <c r="B237" t="s">
        <v>109</v>
      </c>
      <c r="K237" t="s">
        <v>50</v>
      </c>
      <c r="L237" t="s">
        <v>52</v>
      </c>
      <c r="M237">
        <v>5</v>
      </c>
      <c r="N237" t="s">
        <v>37</v>
      </c>
      <c r="P237" t="s">
        <v>438</v>
      </c>
    </row>
    <row r="238" spans="1:16" x14ac:dyDescent="0.25">
      <c r="B238" t="s">
        <v>109</v>
      </c>
      <c r="K238" t="s">
        <v>51</v>
      </c>
      <c r="L238" t="s">
        <v>52</v>
      </c>
      <c r="M238" s="17">
        <v>5</v>
      </c>
      <c r="N238" t="s">
        <v>37</v>
      </c>
      <c r="O238" s="6"/>
      <c r="P238" t="s">
        <v>438</v>
      </c>
    </row>
    <row r="239" spans="1:16" x14ac:dyDescent="0.25">
      <c r="A239" s="7"/>
      <c r="B239" s="17" t="s">
        <v>366</v>
      </c>
      <c r="C239" s="17"/>
      <c r="D239" s="17"/>
      <c r="E239" s="17"/>
      <c r="F239" s="17"/>
      <c r="G239" s="17"/>
      <c r="H239" s="17"/>
      <c r="I239" s="17"/>
      <c r="J239" s="17"/>
      <c r="K239" s="17" t="s">
        <v>49</v>
      </c>
      <c r="L239" s="17" t="s">
        <v>52</v>
      </c>
      <c r="M239" s="27">
        <f>M218</f>
        <v>11</v>
      </c>
      <c r="N239" s="17" t="s">
        <v>37</v>
      </c>
      <c r="O239" s="17" t="s">
        <v>431</v>
      </c>
    </row>
    <row r="240" spans="1:16" x14ac:dyDescent="0.25">
      <c r="A240" s="7"/>
      <c r="B240" s="17" t="s">
        <v>366</v>
      </c>
      <c r="C240" s="17"/>
      <c r="D240" s="17"/>
      <c r="E240" s="17"/>
      <c r="F240" s="17"/>
      <c r="G240" s="17"/>
      <c r="H240" s="17"/>
      <c r="I240" s="17"/>
      <c r="J240" s="17"/>
      <c r="K240" s="17" t="s">
        <v>50</v>
      </c>
      <c r="L240" s="17" t="s">
        <v>52</v>
      </c>
      <c r="M240" s="27">
        <f t="shared" ref="M240:M241" si="1">M219</f>
        <v>4</v>
      </c>
      <c r="N240" s="17" t="s">
        <v>37</v>
      </c>
      <c r="O240" s="7"/>
    </row>
    <row r="241" spans="1:16" x14ac:dyDescent="0.25">
      <c r="A241" s="7"/>
      <c r="B241" s="17" t="s">
        <v>366</v>
      </c>
      <c r="C241" s="17"/>
      <c r="D241" s="17"/>
      <c r="E241" s="17"/>
      <c r="F241" s="17"/>
      <c r="G241" s="17"/>
      <c r="H241" s="17"/>
      <c r="I241" s="17"/>
      <c r="J241" s="17"/>
      <c r="K241" s="17" t="s">
        <v>51</v>
      </c>
      <c r="L241" s="17" t="s">
        <v>52</v>
      </c>
      <c r="M241" s="27">
        <f t="shared" si="1"/>
        <v>1</v>
      </c>
      <c r="N241" s="17" t="s">
        <v>37</v>
      </c>
      <c r="O241" s="7"/>
    </row>
    <row r="242" spans="1:16" x14ac:dyDescent="0.25">
      <c r="A242" s="7"/>
      <c r="B242" s="57" t="s">
        <v>371</v>
      </c>
      <c r="C242" s="57"/>
      <c r="D242" s="17"/>
      <c r="E242" s="17"/>
      <c r="F242" s="17"/>
      <c r="G242" s="17"/>
      <c r="H242" s="17"/>
      <c r="I242" s="17"/>
      <c r="J242" s="17"/>
      <c r="K242" s="17" t="s">
        <v>49</v>
      </c>
      <c r="L242" s="17" t="s">
        <v>52</v>
      </c>
      <c r="M242" s="27">
        <f>M215</f>
        <v>11</v>
      </c>
      <c r="N242" s="17" t="s">
        <v>37</v>
      </c>
      <c r="O242" s="17" t="s">
        <v>439</v>
      </c>
    </row>
    <row r="243" spans="1:16" x14ac:dyDescent="0.25">
      <c r="A243" s="7"/>
      <c r="B243" s="57" t="s">
        <v>371</v>
      </c>
      <c r="C243" s="57"/>
      <c r="D243" s="17"/>
      <c r="E243" s="17"/>
      <c r="F243" s="17"/>
      <c r="G243" s="17"/>
      <c r="H243" s="17"/>
      <c r="I243" s="17"/>
      <c r="J243" s="17"/>
      <c r="K243" s="17" t="s">
        <v>50</v>
      </c>
      <c r="L243" s="17" t="s">
        <v>52</v>
      </c>
      <c r="M243" s="27">
        <f t="shared" ref="M243:M244" si="2">M216</f>
        <v>0.5</v>
      </c>
      <c r="N243" s="17" t="s">
        <v>37</v>
      </c>
      <c r="O243" s="7"/>
    </row>
    <row r="244" spans="1:16" x14ac:dyDescent="0.25">
      <c r="B244" s="57" t="s">
        <v>371</v>
      </c>
      <c r="C244" s="57"/>
      <c r="D244" s="17"/>
      <c r="E244" s="17"/>
      <c r="F244" s="17"/>
      <c r="G244" s="17"/>
      <c r="H244" s="17"/>
      <c r="I244" s="17"/>
      <c r="J244" s="17"/>
      <c r="K244" s="17" t="s">
        <v>51</v>
      </c>
      <c r="L244" s="17" t="s">
        <v>52</v>
      </c>
      <c r="M244" s="27">
        <f t="shared" si="2"/>
        <v>1</v>
      </c>
      <c r="N244" s="17" t="s">
        <v>37</v>
      </c>
      <c r="O244" s="6"/>
    </row>
    <row r="245" spans="1:16" x14ac:dyDescent="0.25">
      <c r="B245" s="57" t="s">
        <v>358</v>
      </c>
      <c r="C245" s="57"/>
      <c r="D245" s="17"/>
      <c r="E245" s="17"/>
      <c r="F245" s="17"/>
      <c r="G245" s="17"/>
      <c r="H245" s="17"/>
      <c r="I245" s="17"/>
      <c r="J245" s="17"/>
      <c r="K245" s="17" t="s">
        <v>49</v>
      </c>
      <c r="L245" s="17" t="s">
        <v>52</v>
      </c>
      <c r="M245" s="17">
        <v>4</v>
      </c>
      <c r="N245" s="17" t="s">
        <v>37</v>
      </c>
      <c r="O245" s="6"/>
      <c r="P245" t="s">
        <v>438</v>
      </c>
    </row>
    <row r="246" spans="1:16" x14ac:dyDescent="0.25">
      <c r="B246" s="57" t="s">
        <v>358</v>
      </c>
      <c r="C246" s="57"/>
      <c r="D246" s="17"/>
      <c r="E246" s="17"/>
      <c r="F246" s="17"/>
      <c r="G246" s="17"/>
      <c r="H246" s="17"/>
      <c r="I246" s="17"/>
      <c r="J246" s="17"/>
      <c r="K246" s="17" t="s">
        <v>50</v>
      </c>
      <c r="L246" s="17" t="s">
        <v>52</v>
      </c>
      <c r="M246" s="17">
        <v>1</v>
      </c>
      <c r="N246" s="17" t="s">
        <v>37</v>
      </c>
      <c r="O246" s="6"/>
      <c r="P246" t="s">
        <v>438</v>
      </c>
    </row>
    <row r="247" spans="1:16" x14ac:dyDescent="0.25">
      <c r="B247" s="57" t="s">
        <v>358</v>
      </c>
      <c r="C247" s="57"/>
      <c r="D247" s="17"/>
      <c r="E247" s="17"/>
      <c r="F247" s="17"/>
      <c r="G247" s="17"/>
      <c r="H247" s="17"/>
      <c r="I247" s="17"/>
      <c r="J247" s="17"/>
      <c r="K247" s="17" t="s">
        <v>51</v>
      </c>
      <c r="L247" s="17" t="s">
        <v>52</v>
      </c>
      <c r="M247" s="17">
        <v>5</v>
      </c>
      <c r="N247" s="17" t="s">
        <v>37</v>
      </c>
      <c r="O247" s="6"/>
      <c r="P247" t="s">
        <v>438</v>
      </c>
    </row>
    <row r="248" spans="1:16" x14ac:dyDescent="0.25">
      <c r="B248" s="57" t="s">
        <v>362</v>
      </c>
      <c r="C248" s="57"/>
      <c r="D248" s="17"/>
      <c r="E248" s="17"/>
      <c r="F248" s="17"/>
      <c r="G248" s="17"/>
      <c r="H248" s="17"/>
      <c r="I248" s="17"/>
      <c r="J248" s="17"/>
      <c r="K248" s="17" t="s">
        <v>49</v>
      </c>
      <c r="L248" s="17" t="s">
        <v>52</v>
      </c>
      <c r="M248" s="17">
        <v>4</v>
      </c>
      <c r="N248" s="17" t="s">
        <v>37</v>
      </c>
      <c r="O248" s="6"/>
      <c r="P248" t="s">
        <v>438</v>
      </c>
    </row>
    <row r="249" spans="1:16" x14ac:dyDescent="0.25">
      <c r="B249" s="57" t="s">
        <v>362</v>
      </c>
      <c r="C249" s="57"/>
      <c r="D249" s="17"/>
      <c r="E249" s="17"/>
      <c r="F249" s="17"/>
      <c r="G249" s="17"/>
      <c r="H249" s="17"/>
      <c r="I249" s="17"/>
      <c r="J249" s="17"/>
      <c r="K249" s="17" t="s">
        <v>50</v>
      </c>
      <c r="L249" s="17" t="s">
        <v>52</v>
      </c>
      <c r="M249" s="17">
        <v>1</v>
      </c>
      <c r="N249" s="17" t="s">
        <v>37</v>
      </c>
      <c r="O249" s="6"/>
      <c r="P249" t="s">
        <v>438</v>
      </c>
    </row>
    <row r="250" spans="1:16" x14ac:dyDescent="0.25">
      <c r="B250" s="57" t="s">
        <v>362</v>
      </c>
      <c r="C250" s="57"/>
      <c r="D250" s="17"/>
      <c r="E250" s="17"/>
      <c r="F250" s="17"/>
      <c r="G250" s="17"/>
      <c r="H250" s="17"/>
      <c r="I250" s="17"/>
      <c r="J250" s="17"/>
      <c r="K250" s="17" t="s">
        <v>51</v>
      </c>
      <c r="L250" s="17" t="s">
        <v>52</v>
      </c>
      <c r="M250" s="17">
        <v>5</v>
      </c>
      <c r="N250" s="17" t="s">
        <v>37</v>
      </c>
      <c r="O250" s="6"/>
      <c r="P250" t="s">
        <v>438</v>
      </c>
    </row>
    <row r="251" spans="1:16" x14ac:dyDescent="0.25">
      <c r="B251" s="57" t="s">
        <v>486</v>
      </c>
      <c r="C251" s="57"/>
      <c r="D251" s="17"/>
      <c r="E251" s="17"/>
      <c r="F251" s="17"/>
      <c r="G251" s="17"/>
      <c r="H251" s="17"/>
      <c r="I251" s="17"/>
      <c r="J251" s="17"/>
      <c r="K251" t="s">
        <v>49</v>
      </c>
      <c r="L251" t="s">
        <v>52</v>
      </c>
      <c r="M251">
        <v>11</v>
      </c>
      <c r="N251" t="s">
        <v>37</v>
      </c>
      <c r="O251" s="6"/>
    </row>
    <row r="252" spans="1:16" x14ac:dyDescent="0.25">
      <c r="B252" s="57" t="s">
        <v>486</v>
      </c>
      <c r="C252" s="57"/>
      <c r="D252" s="17"/>
      <c r="E252" s="17"/>
      <c r="F252" s="17"/>
      <c r="G252" s="17"/>
      <c r="H252" s="17"/>
      <c r="I252" s="17"/>
      <c r="J252" s="17"/>
      <c r="K252" t="s">
        <v>50</v>
      </c>
      <c r="L252" t="s">
        <v>52</v>
      </c>
      <c r="M252">
        <v>4</v>
      </c>
      <c r="N252" t="s">
        <v>37</v>
      </c>
      <c r="O252" s="6"/>
    </row>
    <row r="253" spans="1:16" x14ac:dyDescent="0.25">
      <c r="B253" s="57" t="s">
        <v>486</v>
      </c>
      <c r="C253" s="57"/>
      <c r="D253" s="17"/>
      <c r="E253" s="17"/>
      <c r="F253" s="17"/>
      <c r="G253" s="17"/>
      <c r="H253" s="17"/>
      <c r="I253" s="17"/>
      <c r="J253" s="17"/>
      <c r="K253" t="s">
        <v>51</v>
      </c>
      <c r="L253" t="s">
        <v>52</v>
      </c>
      <c r="M253" s="17">
        <v>1</v>
      </c>
      <c r="N253" t="s">
        <v>37</v>
      </c>
      <c r="O253" s="6"/>
    </row>
    <row r="254" spans="1:16" x14ac:dyDescent="0.25">
      <c r="B254" s="57" t="s">
        <v>513</v>
      </c>
      <c r="C254" s="57"/>
      <c r="D254" s="17"/>
      <c r="E254" s="17"/>
      <c r="F254" s="17"/>
      <c r="G254" s="17"/>
      <c r="H254" s="17"/>
      <c r="I254" s="17"/>
      <c r="J254" s="17"/>
      <c r="K254" t="s">
        <v>49</v>
      </c>
      <c r="L254" t="s">
        <v>52</v>
      </c>
      <c r="M254">
        <v>11</v>
      </c>
      <c r="N254" t="s">
        <v>37</v>
      </c>
      <c r="O254" s="6"/>
    </row>
    <row r="255" spans="1:16" x14ac:dyDescent="0.25">
      <c r="B255" s="57" t="s">
        <v>513</v>
      </c>
      <c r="C255" s="57"/>
      <c r="D255" s="17"/>
      <c r="E255" s="17"/>
      <c r="F255" s="17"/>
      <c r="G255" s="17"/>
      <c r="H255" s="17"/>
      <c r="I255" s="17"/>
      <c r="J255" s="17"/>
      <c r="K255" t="s">
        <v>50</v>
      </c>
      <c r="L255" t="s">
        <v>52</v>
      </c>
      <c r="M255">
        <v>4</v>
      </c>
      <c r="N255" t="s">
        <v>37</v>
      </c>
      <c r="O255" s="6"/>
    </row>
    <row r="256" spans="1:16" x14ac:dyDescent="0.25">
      <c r="B256" s="57" t="s">
        <v>513</v>
      </c>
      <c r="C256" s="57"/>
      <c r="D256" s="17"/>
      <c r="E256" s="17"/>
      <c r="F256" s="17"/>
      <c r="G256" s="17"/>
      <c r="H256" s="17"/>
      <c r="I256" s="17"/>
      <c r="J256" s="17"/>
      <c r="K256" t="s">
        <v>51</v>
      </c>
      <c r="L256" t="s">
        <v>52</v>
      </c>
      <c r="M256" s="17">
        <v>1</v>
      </c>
      <c r="N256" t="s">
        <v>37</v>
      </c>
      <c r="O256" s="6"/>
    </row>
    <row r="257" spans="1:16" x14ac:dyDescent="0.25">
      <c r="M257" s="6"/>
      <c r="O257" s="6"/>
    </row>
    <row r="258" spans="1:16" x14ac:dyDescent="0.25">
      <c r="A258" s="2" t="s">
        <v>38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3"/>
      <c r="M258" s="3"/>
      <c r="N258" s="3"/>
      <c r="O258" s="3"/>
      <c r="P258" s="3"/>
    </row>
    <row r="259" spans="1:16" x14ac:dyDescent="0.25">
      <c r="L259" s="7" t="s">
        <v>39</v>
      </c>
      <c r="M259" s="7">
        <v>100</v>
      </c>
      <c r="N259" s="7" t="s">
        <v>37</v>
      </c>
      <c r="O259" s="7" t="s">
        <v>43</v>
      </c>
    </row>
    <row r="260" spans="1:16" x14ac:dyDescent="0.25">
      <c r="A260" s="4" t="s">
        <v>9</v>
      </c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5"/>
      <c r="M260" s="5"/>
      <c r="N260" s="5"/>
      <c r="O260" s="5"/>
      <c r="P260" s="5"/>
    </row>
    <row r="261" spans="1:16" x14ac:dyDescent="0.25">
      <c r="A261" t="s">
        <v>168</v>
      </c>
      <c r="L261" t="s">
        <v>39</v>
      </c>
      <c r="M261">
        <v>22</v>
      </c>
      <c r="N261" t="s">
        <v>37</v>
      </c>
    </row>
    <row r="262" spans="1:16" x14ac:dyDescent="0.25">
      <c r="A262" t="s">
        <v>173</v>
      </c>
      <c r="L262" t="s">
        <v>39</v>
      </c>
      <c r="M262" s="27">
        <f>M261</f>
        <v>22</v>
      </c>
      <c r="N262" s="27" t="s">
        <v>37</v>
      </c>
      <c r="O262" s="27" t="s">
        <v>205</v>
      </c>
    </row>
    <row r="263" spans="1:16" x14ac:dyDescent="0.25">
      <c r="A263" t="s">
        <v>298</v>
      </c>
      <c r="L263" t="s">
        <v>39</v>
      </c>
      <c r="M263">
        <v>100</v>
      </c>
      <c r="N263" t="s">
        <v>37</v>
      </c>
    </row>
    <row r="264" spans="1:16" x14ac:dyDescent="0.25">
      <c r="A264" t="s">
        <v>299</v>
      </c>
      <c r="L264" t="s">
        <v>39</v>
      </c>
      <c r="M264" s="27">
        <f>M263</f>
        <v>100</v>
      </c>
      <c r="N264" s="27" t="s">
        <v>37</v>
      </c>
      <c r="O264" s="27" t="s">
        <v>205</v>
      </c>
    </row>
    <row r="265" spans="1:16" x14ac:dyDescent="0.25">
      <c r="A265" t="s">
        <v>169</v>
      </c>
      <c r="L265" t="s">
        <v>39</v>
      </c>
      <c r="M265">
        <v>4</v>
      </c>
      <c r="N265" t="s">
        <v>37</v>
      </c>
    </row>
    <row r="266" spans="1:16" x14ac:dyDescent="0.25">
      <c r="A266" t="s">
        <v>174</v>
      </c>
      <c r="L266" t="s">
        <v>39</v>
      </c>
      <c r="M266" s="27">
        <f>M265</f>
        <v>4</v>
      </c>
      <c r="N266" s="27" t="s">
        <v>37</v>
      </c>
      <c r="O266" s="27" t="s">
        <v>205</v>
      </c>
    </row>
    <row r="267" spans="1:16" x14ac:dyDescent="0.25">
      <c r="A267" t="s">
        <v>86</v>
      </c>
      <c r="L267" t="s">
        <v>39</v>
      </c>
      <c r="M267">
        <v>100</v>
      </c>
      <c r="N267" t="s">
        <v>37</v>
      </c>
    </row>
    <row r="268" spans="1:16" x14ac:dyDescent="0.25">
      <c r="A268" t="s">
        <v>170</v>
      </c>
      <c r="L268" t="s">
        <v>39</v>
      </c>
      <c r="M268">
        <v>8</v>
      </c>
      <c r="N268" t="s">
        <v>37</v>
      </c>
    </row>
    <row r="269" spans="1:16" x14ac:dyDescent="0.25">
      <c r="A269" t="s">
        <v>175</v>
      </c>
      <c r="L269" t="s">
        <v>39</v>
      </c>
      <c r="M269" s="27">
        <f>M268</f>
        <v>8</v>
      </c>
      <c r="N269" s="27" t="s">
        <v>37</v>
      </c>
      <c r="O269" s="27" t="s">
        <v>205</v>
      </c>
    </row>
    <row r="270" spans="1:16" x14ac:dyDescent="0.25">
      <c r="A270" t="s">
        <v>171</v>
      </c>
      <c r="L270" t="s">
        <v>39</v>
      </c>
      <c r="M270">
        <v>1</v>
      </c>
      <c r="N270" t="s">
        <v>37</v>
      </c>
    </row>
    <row r="271" spans="1:16" x14ac:dyDescent="0.25">
      <c r="A271" t="s">
        <v>176</v>
      </c>
      <c r="L271" t="s">
        <v>39</v>
      </c>
      <c r="M271" s="27">
        <f>M270</f>
        <v>1</v>
      </c>
      <c r="N271" s="27" t="s">
        <v>37</v>
      </c>
      <c r="O271" s="27" t="s">
        <v>205</v>
      </c>
    </row>
    <row r="272" spans="1:16" x14ac:dyDescent="0.25">
      <c r="A272" t="s">
        <v>172</v>
      </c>
      <c r="L272" t="s">
        <v>39</v>
      </c>
      <c r="M272" s="6">
        <v>22</v>
      </c>
      <c r="N272" s="17" t="s">
        <v>37</v>
      </c>
      <c r="O272" t="s">
        <v>138</v>
      </c>
    </row>
    <row r="273" spans="1:16" x14ac:dyDescent="0.25">
      <c r="A273" t="s">
        <v>177</v>
      </c>
      <c r="L273" t="s">
        <v>39</v>
      </c>
      <c r="M273" s="27">
        <f>M272</f>
        <v>22</v>
      </c>
      <c r="N273" s="27" t="s">
        <v>37</v>
      </c>
      <c r="O273" s="27" t="s">
        <v>205</v>
      </c>
    </row>
    <row r="274" spans="1:16" s="17" customFormat="1" x14ac:dyDescent="0.25">
      <c r="A274" s="17" t="s">
        <v>386</v>
      </c>
      <c r="L274" s="17" t="s">
        <v>39</v>
      </c>
      <c r="M274" s="17">
        <v>0</v>
      </c>
      <c r="N274" s="17" t="s">
        <v>37</v>
      </c>
    </row>
    <row r="275" spans="1:16" x14ac:dyDescent="0.25">
      <c r="A275" s="4" t="s">
        <v>10</v>
      </c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5"/>
      <c r="M275" s="5"/>
      <c r="N275" s="5"/>
      <c r="O275" s="5"/>
      <c r="P275" s="5"/>
    </row>
    <row r="276" spans="1:16" x14ac:dyDescent="0.25">
      <c r="A276" s="17" t="s">
        <v>96</v>
      </c>
      <c r="L276" t="s">
        <v>39</v>
      </c>
      <c r="M276" s="17">
        <v>16</v>
      </c>
      <c r="N276" s="17" t="s">
        <v>37</v>
      </c>
    </row>
    <row r="277" spans="1:16" x14ac:dyDescent="0.25">
      <c r="A277" s="17" t="s">
        <v>97</v>
      </c>
      <c r="L277" t="s">
        <v>39</v>
      </c>
      <c r="M277" s="17">
        <v>16</v>
      </c>
      <c r="N277" s="17" t="s">
        <v>37</v>
      </c>
    </row>
    <row r="278" spans="1:16" x14ac:dyDescent="0.25">
      <c r="A278" s="17" t="s">
        <v>198</v>
      </c>
      <c r="L278" t="s">
        <v>39</v>
      </c>
      <c r="M278" s="17">
        <v>16</v>
      </c>
      <c r="N278" s="17" t="s">
        <v>37</v>
      </c>
    </row>
    <row r="279" spans="1:16" x14ac:dyDescent="0.25">
      <c r="A279" s="17" t="s">
        <v>98</v>
      </c>
      <c r="L279" t="s">
        <v>39</v>
      </c>
      <c r="M279" s="17">
        <v>16</v>
      </c>
      <c r="N279" s="17" t="s">
        <v>37</v>
      </c>
    </row>
    <row r="280" spans="1:16" x14ac:dyDescent="0.25">
      <c r="A280" s="4" t="s">
        <v>12</v>
      </c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5"/>
      <c r="M280" s="5"/>
      <c r="N280" s="5"/>
      <c r="O280" s="5"/>
      <c r="P280" s="5"/>
    </row>
    <row r="281" spans="1:16" x14ac:dyDescent="0.25">
      <c r="A281" s="17" t="s">
        <v>229</v>
      </c>
      <c r="L281" t="s">
        <v>39</v>
      </c>
      <c r="M281" s="17">
        <v>85</v>
      </c>
      <c r="N281" s="17" t="s">
        <v>37</v>
      </c>
    </row>
    <row r="282" spans="1:16" x14ac:dyDescent="0.25">
      <c r="A282" s="17" t="s">
        <v>230</v>
      </c>
      <c r="L282" t="s">
        <v>39</v>
      </c>
      <c r="M282" s="17">
        <v>85</v>
      </c>
      <c r="N282" s="17" t="s">
        <v>37</v>
      </c>
    </row>
    <row r="283" spans="1:16" x14ac:dyDescent="0.25">
      <c r="A283" s="17" t="s">
        <v>231</v>
      </c>
      <c r="L283" t="s">
        <v>39</v>
      </c>
      <c r="M283" s="17">
        <v>85</v>
      </c>
      <c r="N283" s="17" t="s">
        <v>37</v>
      </c>
    </row>
    <row r="284" spans="1:16" x14ac:dyDescent="0.25">
      <c r="A284" s="17" t="s">
        <v>233</v>
      </c>
      <c r="L284" t="s">
        <v>39</v>
      </c>
      <c r="M284" s="17">
        <v>95</v>
      </c>
      <c r="N284" s="17" t="s">
        <v>37</v>
      </c>
    </row>
    <row r="285" spans="1:16" x14ac:dyDescent="0.25">
      <c r="A285" s="17" t="s">
        <v>241</v>
      </c>
      <c r="L285" t="s">
        <v>39</v>
      </c>
      <c r="M285" s="6">
        <v>97</v>
      </c>
      <c r="N285" s="17" t="s">
        <v>37</v>
      </c>
      <c r="O285" s="6" t="s">
        <v>253</v>
      </c>
    </row>
    <row r="286" spans="1:16" x14ac:dyDescent="0.25">
      <c r="A286" s="17" t="s">
        <v>242</v>
      </c>
      <c r="L286" t="s">
        <v>39</v>
      </c>
      <c r="M286" s="17">
        <v>29</v>
      </c>
      <c r="N286" s="17" t="s">
        <v>37</v>
      </c>
    </row>
    <row r="287" spans="1:16" x14ac:dyDescent="0.25">
      <c r="A287" s="17" t="s">
        <v>248</v>
      </c>
      <c r="D287" s="9"/>
      <c r="E287" s="9"/>
      <c r="L287" t="s">
        <v>39</v>
      </c>
      <c r="M287" s="6">
        <v>50</v>
      </c>
      <c r="N287" s="17" t="s">
        <v>37</v>
      </c>
      <c r="O287" s="6" t="s">
        <v>252</v>
      </c>
    </row>
    <row r="288" spans="1:16" x14ac:dyDescent="0.25">
      <c r="A288" s="17" t="s">
        <v>243</v>
      </c>
      <c r="L288" t="s">
        <v>39</v>
      </c>
      <c r="M288" s="6">
        <v>90</v>
      </c>
      <c r="N288" s="17" t="s">
        <v>37</v>
      </c>
      <c r="O288" s="6" t="s">
        <v>252</v>
      </c>
    </row>
    <row r="289" spans="1:16" x14ac:dyDescent="0.25">
      <c r="A289" s="4" t="s">
        <v>11</v>
      </c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5"/>
      <c r="M289" s="5"/>
      <c r="N289" s="5"/>
      <c r="O289" s="5"/>
      <c r="P289" s="5"/>
    </row>
    <row r="290" spans="1:16" x14ac:dyDescent="0.25">
      <c r="A290" s="17" t="s">
        <v>124</v>
      </c>
      <c r="L290" t="s">
        <v>39</v>
      </c>
      <c r="M290">
        <v>7</v>
      </c>
      <c r="N290" s="17" t="s">
        <v>37</v>
      </c>
    </row>
    <row r="291" spans="1:16" x14ac:dyDescent="0.25">
      <c r="A291" s="17" t="s">
        <v>350</v>
      </c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 t="s">
        <v>39</v>
      </c>
      <c r="M291" s="17">
        <v>7</v>
      </c>
      <c r="N291" s="17" t="s">
        <v>37</v>
      </c>
      <c r="O291" s="17" t="s">
        <v>385</v>
      </c>
    </row>
    <row r="292" spans="1:16" x14ac:dyDescent="0.25">
      <c r="A292" s="17" t="s">
        <v>130</v>
      </c>
      <c r="L292" t="s">
        <v>39</v>
      </c>
      <c r="M292" s="17">
        <v>35</v>
      </c>
      <c r="N292" s="17" t="s">
        <v>37</v>
      </c>
    </row>
    <row r="293" spans="1:16" x14ac:dyDescent="0.25">
      <c r="A293" s="17" t="s">
        <v>126</v>
      </c>
      <c r="L293" t="s">
        <v>39</v>
      </c>
      <c r="M293" s="17">
        <v>63</v>
      </c>
      <c r="N293" s="17" t="s">
        <v>37</v>
      </c>
    </row>
    <row r="294" spans="1:16" x14ac:dyDescent="0.25">
      <c r="A294" s="17" t="s">
        <v>127</v>
      </c>
      <c r="L294" t="s">
        <v>39</v>
      </c>
      <c r="M294" s="17">
        <v>54</v>
      </c>
      <c r="N294" s="17" t="s">
        <v>37</v>
      </c>
      <c r="O294" s="6"/>
    </row>
    <row r="295" spans="1:16" x14ac:dyDescent="0.25">
      <c r="A295" s="17" t="s">
        <v>128</v>
      </c>
      <c r="L295" t="s">
        <v>39</v>
      </c>
      <c r="M295" s="6">
        <v>75</v>
      </c>
      <c r="N295" s="17" t="s">
        <v>37</v>
      </c>
      <c r="O295" s="6" t="s">
        <v>239</v>
      </c>
    </row>
    <row r="296" spans="1:16" x14ac:dyDescent="0.25">
      <c r="A296" s="17" t="s">
        <v>129</v>
      </c>
      <c r="L296" t="s">
        <v>39</v>
      </c>
      <c r="M296" s="17">
        <v>10</v>
      </c>
      <c r="N296" s="17" t="s">
        <v>37</v>
      </c>
    </row>
    <row r="297" spans="1:16" x14ac:dyDescent="0.25">
      <c r="A297" s="17" t="s">
        <v>104</v>
      </c>
      <c r="L297" t="s">
        <v>39</v>
      </c>
      <c r="M297" s="17">
        <v>91</v>
      </c>
      <c r="N297" s="17" t="s">
        <v>37</v>
      </c>
      <c r="O297" s="6" t="s">
        <v>458</v>
      </c>
    </row>
    <row r="298" spans="1:16" x14ac:dyDescent="0.25">
      <c r="A298" s="17" t="s">
        <v>107</v>
      </c>
      <c r="L298" t="s">
        <v>39</v>
      </c>
      <c r="M298" s="17">
        <v>50</v>
      </c>
      <c r="N298" s="17" t="s">
        <v>37</v>
      </c>
      <c r="O298" s="6" t="s">
        <v>459</v>
      </c>
    </row>
    <row r="299" spans="1:16" x14ac:dyDescent="0.25">
      <c r="A299" s="17" t="s">
        <v>237</v>
      </c>
      <c r="L299" t="s">
        <v>39</v>
      </c>
      <c r="M299" s="17">
        <v>100</v>
      </c>
      <c r="N299" s="17" t="s">
        <v>37</v>
      </c>
    </row>
    <row r="300" spans="1:16" x14ac:dyDescent="0.25">
      <c r="A300" s="17" t="s">
        <v>137</v>
      </c>
      <c r="L300" t="s">
        <v>39</v>
      </c>
      <c r="M300" s="6">
        <v>90</v>
      </c>
      <c r="N300" s="17" t="s">
        <v>37</v>
      </c>
      <c r="O300" s="6" t="s">
        <v>252</v>
      </c>
    </row>
    <row r="301" spans="1:16" x14ac:dyDescent="0.25">
      <c r="A301" s="4" t="s">
        <v>13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5"/>
      <c r="M301" s="5"/>
      <c r="N301" s="5" t="s">
        <v>308</v>
      </c>
      <c r="O301" s="41">
        <v>0.81799999999999995</v>
      </c>
      <c r="P301" s="5"/>
    </row>
    <row r="302" spans="1:16" x14ac:dyDescent="0.25">
      <c r="A302" s="6" t="s">
        <v>61</v>
      </c>
      <c r="L302" t="s">
        <v>39</v>
      </c>
      <c r="M302" s="13">
        <f>8.5*20/(29.5+8.5)*$O$301</f>
        <v>3.6594736842105262</v>
      </c>
      <c r="N302" t="s">
        <v>37</v>
      </c>
    </row>
    <row r="303" spans="1:16" x14ac:dyDescent="0.25">
      <c r="A303" s="6" t="s">
        <v>60</v>
      </c>
      <c r="L303" t="s">
        <v>39</v>
      </c>
      <c r="M303" s="13">
        <f>(80.7*0+14.4*20+0.3*5*0)/(80.7+14.4+0.3*5)*$O$301</f>
        <v>2.438757763975155</v>
      </c>
      <c r="N303" t="s">
        <v>37</v>
      </c>
    </row>
    <row r="304" spans="1:16" x14ac:dyDescent="0.25">
      <c r="A304" s="6" t="s">
        <v>62</v>
      </c>
      <c r="L304" t="s">
        <v>39</v>
      </c>
      <c r="M304" s="13">
        <f>(45.6*0+44.1*20+1.3*5*0+1.8*10*0)/(45.6+44.1+1.3*5+1.8*10)*$O$301</f>
        <v>6.317653239929947</v>
      </c>
      <c r="N304" t="s">
        <v>37</v>
      </c>
    </row>
    <row r="305" spans="1:16" x14ac:dyDescent="0.25">
      <c r="A305" s="6" t="s">
        <v>63</v>
      </c>
      <c r="L305" t="s">
        <v>39</v>
      </c>
      <c r="M305">
        <f>60*$O$301</f>
        <v>49.08</v>
      </c>
      <c r="N305" t="s">
        <v>37</v>
      </c>
    </row>
    <row r="306" spans="1:16" x14ac:dyDescent="0.25">
      <c r="A306" s="6" t="s">
        <v>67</v>
      </c>
      <c r="L306" t="s">
        <v>39</v>
      </c>
      <c r="M306">
        <f>0*$O$301</f>
        <v>0</v>
      </c>
      <c r="N306" t="s">
        <v>37</v>
      </c>
    </row>
    <row r="307" spans="1:16" x14ac:dyDescent="0.25">
      <c r="A307" s="6" t="s">
        <v>68</v>
      </c>
      <c r="L307" t="s">
        <v>39</v>
      </c>
      <c r="M307">
        <f>20*$O$301</f>
        <v>16.36</v>
      </c>
      <c r="N307" t="s">
        <v>37</v>
      </c>
    </row>
    <row r="308" spans="1:16" x14ac:dyDescent="0.25">
      <c r="A308" s="6" t="s">
        <v>65</v>
      </c>
      <c r="L308" t="s">
        <v>39</v>
      </c>
      <c r="M308">
        <f>20*$O$301</f>
        <v>16.36</v>
      </c>
      <c r="N308" t="s">
        <v>37</v>
      </c>
    </row>
    <row r="309" spans="1:16" x14ac:dyDescent="0.25">
      <c r="A309" s="6" t="s">
        <v>66</v>
      </c>
      <c r="L309" t="s">
        <v>39</v>
      </c>
      <c r="M309">
        <f>20*$O$301</f>
        <v>16.36</v>
      </c>
      <c r="N309" t="s">
        <v>37</v>
      </c>
    </row>
    <row r="310" spans="1:16" x14ac:dyDescent="0.25">
      <c r="A310" s="6" t="s">
        <v>64</v>
      </c>
      <c r="L310" t="s">
        <v>39</v>
      </c>
      <c r="M310">
        <f>43*$O$301</f>
        <v>35.173999999999999</v>
      </c>
      <c r="N310" t="s">
        <v>37</v>
      </c>
    </row>
    <row r="311" spans="1:16" s="17" customFormat="1" x14ac:dyDescent="0.25">
      <c r="A311" s="17" t="s">
        <v>352</v>
      </c>
      <c r="L311" s="17" t="s">
        <v>39</v>
      </c>
      <c r="M311" s="17">
        <v>3.7</v>
      </c>
      <c r="N311" s="17" t="s">
        <v>37</v>
      </c>
      <c r="O311" s="17" t="s">
        <v>387</v>
      </c>
    </row>
    <row r="312" spans="1:16" x14ac:dyDescent="0.25">
      <c r="A312" s="4" t="s">
        <v>22</v>
      </c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5"/>
      <c r="M312" s="5"/>
      <c r="N312" s="5"/>
      <c r="O312" s="5"/>
      <c r="P312" s="5"/>
    </row>
    <row r="313" spans="1:16" x14ac:dyDescent="0.25">
      <c r="A313" t="s">
        <v>53</v>
      </c>
      <c r="L313" t="s">
        <v>39</v>
      </c>
      <c r="M313" s="17">
        <v>24.6</v>
      </c>
      <c r="N313" t="s">
        <v>37</v>
      </c>
      <c r="O313" s="17" t="s">
        <v>475</v>
      </c>
      <c r="P313" t="s">
        <v>471</v>
      </c>
    </row>
    <row r="314" spans="1:16" x14ac:dyDescent="0.25">
      <c r="A314" t="s">
        <v>92</v>
      </c>
      <c r="L314" t="s">
        <v>39</v>
      </c>
      <c r="M314" s="17">
        <v>44.5</v>
      </c>
      <c r="N314" t="s">
        <v>37</v>
      </c>
      <c r="O314" s="17" t="s">
        <v>475</v>
      </c>
      <c r="P314" t="s">
        <v>473</v>
      </c>
    </row>
    <row r="315" spans="1:16" x14ac:dyDescent="0.25">
      <c r="A315" t="s">
        <v>324</v>
      </c>
      <c r="L315" t="s">
        <v>39</v>
      </c>
      <c r="M315" s="17">
        <v>69.2</v>
      </c>
      <c r="N315" s="17" t="s">
        <v>37</v>
      </c>
      <c r="O315" s="17" t="s">
        <v>475</v>
      </c>
      <c r="P315" t="s">
        <v>474</v>
      </c>
    </row>
    <row r="316" spans="1:16" x14ac:dyDescent="0.25">
      <c r="A316" t="s">
        <v>254</v>
      </c>
      <c r="L316" t="s">
        <v>39</v>
      </c>
      <c r="M316" s="29">
        <v>29.4</v>
      </c>
      <c r="N316" t="s">
        <v>37</v>
      </c>
      <c r="O316" s="17" t="s">
        <v>475</v>
      </c>
      <c r="P316" t="s">
        <v>472</v>
      </c>
    </row>
    <row r="317" spans="1:16" x14ac:dyDescent="0.25">
      <c r="A317" t="s">
        <v>427</v>
      </c>
      <c r="L317" t="s">
        <v>39</v>
      </c>
      <c r="M317">
        <v>0</v>
      </c>
      <c r="N317" t="s">
        <v>37</v>
      </c>
      <c r="O317" t="s">
        <v>432</v>
      </c>
    </row>
    <row r="318" spans="1:16" x14ac:dyDescent="0.25">
      <c r="A318" t="s">
        <v>428</v>
      </c>
      <c r="L318" t="s">
        <v>39</v>
      </c>
      <c r="M318">
        <v>0</v>
      </c>
      <c r="N318" t="s">
        <v>37</v>
      </c>
    </row>
    <row r="319" spans="1:16" x14ac:dyDescent="0.25">
      <c r="A319" s="4" t="s">
        <v>14</v>
      </c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5"/>
      <c r="M319" s="5"/>
      <c r="N319" s="5"/>
      <c r="O319" s="5"/>
      <c r="P319" s="5"/>
    </row>
    <row r="320" spans="1:16" x14ac:dyDescent="0.25">
      <c r="A320" t="s">
        <v>14</v>
      </c>
      <c r="L320" t="s">
        <v>39</v>
      </c>
      <c r="M320" s="17">
        <v>5.0999999999999996</v>
      </c>
      <c r="N320" t="s">
        <v>37</v>
      </c>
      <c r="O320" s="17"/>
    </row>
    <row r="321" spans="1:16" x14ac:dyDescent="0.25">
      <c r="A321" s="17" t="s">
        <v>353</v>
      </c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 t="s">
        <v>39</v>
      </c>
      <c r="M321" s="17">
        <v>2.5</v>
      </c>
      <c r="N321" s="17" t="s">
        <v>37</v>
      </c>
      <c r="O321" s="17"/>
    </row>
    <row r="322" spans="1:16" x14ac:dyDescent="0.25">
      <c r="A322" s="4" t="s">
        <v>19</v>
      </c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5"/>
      <c r="M322" s="5"/>
      <c r="N322" s="5"/>
      <c r="O322" s="5"/>
      <c r="P322" s="5"/>
    </row>
    <row r="323" spans="1:16" x14ac:dyDescent="0.25">
      <c r="A323" t="s">
        <v>191</v>
      </c>
      <c r="L323" t="s">
        <v>39</v>
      </c>
      <c r="M323">
        <v>5</v>
      </c>
      <c r="N323" t="s">
        <v>37</v>
      </c>
    </row>
    <row r="324" spans="1:16" x14ac:dyDescent="0.25">
      <c r="A324" s="26" t="s">
        <v>192</v>
      </c>
      <c r="L324" t="s">
        <v>39</v>
      </c>
      <c r="M324">
        <v>0.4</v>
      </c>
      <c r="N324" t="s">
        <v>37</v>
      </c>
    </row>
    <row r="325" spans="1:16" x14ac:dyDescent="0.25">
      <c r="A325" s="26" t="s">
        <v>193</v>
      </c>
      <c r="L325" t="s">
        <v>39</v>
      </c>
      <c r="M325" s="6">
        <v>95</v>
      </c>
      <c r="N325" t="s">
        <v>37</v>
      </c>
      <c r="O325" s="6" t="s">
        <v>139</v>
      </c>
    </row>
    <row r="326" spans="1:16" x14ac:dyDescent="0.25">
      <c r="A326" s="26" t="s">
        <v>194</v>
      </c>
      <c r="L326" t="s">
        <v>39</v>
      </c>
      <c r="M326">
        <v>100</v>
      </c>
      <c r="N326" t="s">
        <v>37</v>
      </c>
    </row>
    <row r="327" spans="1:16" x14ac:dyDescent="0.25">
      <c r="A327" s="26" t="s">
        <v>195</v>
      </c>
      <c r="B327" s="8"/>
      <c r="C327" s="8"/>
      <c r="D327" s="8"/>
      <c r="E327" s="8"/>
      <c r="F327" s="9"/>
      <c r="G327" s="9"/>
      <c r="H327" s="8"/>
      <c r="I327" s="8"/>
      <c r="J327" s="8"/>
      <c r="K327" s="8"/>
      <c r="L327" t="s">
        <v>39</v>
      </c>
      <c r="M327">
        <v>100</v>
      </c>
      <c r="N327" t="s">
        <v>37</v>
      </c>
      <c r="O327" s="8"/>
      <c r="P327" s="8"/>
    </row>
    <row r="328" spans="1:16" s="17" customFormat="1" x14ac:dyDescent="0.25">
      <c r="A328" s="17" t="s">
        <v>355</v>
      </c>
      <c r="B328" s="19"/>
      <c r="C328" s="19"/>
      <c r="D328" s="19"/>
      <c r="E328" s="19"/>
      <c r="F328" s="18"/>
      <c r="G328" s="18"/>
      <c r="H328" s="19"/>
      <c r="I328" s="19"/>
      <c r="J328" s="19"/>
      <c r="K328" s="19"/>
      <c r="L328" s="17" t="s">
        <v>39</v>
      </c>
      <c r="M328" s="17">
        <v>100</v>
      </c>
      <c r="N328" s="17" t="s">
        <v>37</v>
      </c>
      <c r="O328" s="19" t="s">
        <v>388</v>
      </c>
      <c r="P328" s="19"/>
    </row>
    <row r="329" spans="1:16" s="17" customFormat="1" x14ac:dyDescent="0.25">
      <c r="A329" s="17" t="s">
        <v>356</v>
      </c>
      <c r="B329" s="19"/>
      <c r="C329" s="19"/>
      <c r="D329" s="19"/>
      <c r="E329" s="19"/>
      <c r="F329" s="18"/>
      <c r="G329" s="18"/>
      <c r="H329" s="19"/>
      <c r="I329" s="19"/>
      <c r="J329" s="19"/>
      <c r="K329" s="19"/>
      <c r="L329" s="17" t="s">
        <v>39</v>
      </c>
      <c r="M329" s="17">
        <v>100</v>
      </c>
      <c r="N329" s="17" t="s">
        <v>37</v>
      </c>
      <c r="O329" s="19" t="s">
        <v>388</v>
      </c>
      <c r="P329" s="19"/>
    </row>
    <row r="330" spans="1:16" x14ac:dyDescent="0.25">
      <c r="A330" s="4" t="s">
        <v>20</v>
      </c>
      <c r="B330" s="4"/>
      <c r="C330" s="4"/>
      <c r="D330" s="4"/>
      <c r="E330" s="47"/>
      <c r="F330" s="4"/>
      <c r="G330" s="4"/>
      <c r="H330" s="4"/>
      <c r="I330" s="4"/>
      <c r="J330" s="4"/>
      <c r="K330" s="4"/>
      <c r="L330" s="5"/>
      <c r="M330" s="5"/>
      <c r="N330" s="5"/>
      <c r="O330" s="5"/>
      <c r="P330" s="5"/>
    </row>
    <row r="331" spans="1:16" s="7" customFormat="1" x14ac:dyDescent="0.25">
      <c r="A331" s="17" t="s">
        <v>357</v>
      </c>
      <c r="B331" s="19"/>
      <c r="C331" s="19"/>
      <c r="D331" s="19"/>
      <c r="E331" s="19"/>
      <c r="F331" s="18"/>
      <c r="G331" s="18"/>
      <c r="H331" s="19"/>
      <c r="I331" s="19"/>
      <c r="J331" s="19"/>
      <c r="K331" s="19"/>
      <c r="L331" s="17" t="s">
        <v>39</v>
      </c>
      <c r="M331" s="51">
        <v>100</v>
      </c>
      <c r="N331" s="17" t="s">
        <v>37</v>
      </c>
      <c r="O331" s="49" t="s">
        <v>388</v>
      </c>
      <c r="P331" s="49"/>
    </row>
    <row r="332" spans="1:16" s="7" customFormat="1" x14ac:dyDescent="0.25">
      <c r="A332" s="17" t="s">
        <v>359</v>
      </c>
      <c r="B332" s="19"/>
      <c r="C332" s="19"/>
      <c r="D332" s="19"/>
      <c r="E332" s="19"/>
      <c r="F332" s="18"/>
      <c r="G332" s="18"/>
      <c r="H332" s="19"/>
      <c r="I332" s="19"/>
      <c r="J332" s="19"/>
      <c r="K332" s="19"/>
      <c r="L332" s="17" t="s">
        <v>39</v>
      </c>
      <c r="M332" s="51">
        <v>100</v>
      </c>
      <c r="N332" s="17" t="s">
        <v>37</v>
      </c>
      <c r="O332" s="49" t="s">
        <v>388</v>
      </c>
      <c r="P332" s="49"/>
    </row>
    <row r="333" spans="1:16" s="7" customFormat="1" x14ac:dyDescent="0.25">
      <c r="A333" s="52" t="s">
        <v>501</v>
      </c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4"/>
      <c r="M333" s="55"/>
      <c r="N333" s="54"/>
      <c r="O333" s="50"/>
      <c r="P333" s="50"/>
    </row>
    <row r="334" spans="1:16" s="7" customFormat="1" x14ac:dyDescent="0.25">
      <c r="A334" s="17" t="s">
        <v>361</v>
      </c>
      <c r="B334" s="19"/>
      <c r="C334" s="19"/>
      <c r="D334" s="19"/>
      <c r="E334" s="19"/>
      <c r="F334" s="18"/>
      <c r="G334" s="18"/>
      <c r="H334" s="19"/>
      <c r="I334" s="19"/>
      <c r="J334" s="19"/>
      <c r="K334" s="19"/>
      <c r="L334" s="17" t="s">
        <v>39</v>
      </c>
      <c r="M334" s="51">
        <v>100</v>
      </c>
      <c r="N334" s="17" t="s">
        <v>37</v>
      </c>
      <c r="O334" s="49" t="s">
        <v>388</v>
      </c>
      <c r="P334" s="49"/>
    </row>
    <row r="335" spans="1:16" x14ac:dyDescent="0.25">
      <c r="A335" s="4" t="s">
        <v>21</v>
      </c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5"/>
      <c r="M335" s="5"/>
      <c r="N335" s="5"/>
      <c r="O335" s="5"/>
      <c r="P335" s="5"/>
    </row>
    <row r="336" spans="1:16" x14ac:dyDescent="0.25">
      <c r="A336" t="s">
        <v>115</v>
      </c>
      <c r="L336" t="s">
        <v>39</v>
      </c>
      <c r="M336" s="15">
        <v>52</v>
      </c>
      <c r="N336" t="s">
        <v>37</v>
      </c>
      <c r="O336" s="24"/>
    </row>
    <row r="337" spans="1:16" s="17" customFormat="1" x14ac:dyDescent="0.25">
      <c r="A337" s="17" t="s">
        <v>363</v>
      </c>
      <c r="L337" s="17" t="s">
        <v>39</v>
      </c>
      <c r="M337" s="15">
        <v>52</v>
      </c>
      <c r="N337" s="17" t="s">
        <v>37</v>
      </c>
      <c r="O337" s="56" t="s">
        <v>389</v>
      </c>
    </row>
    <row r="338" spans="1:16" s="17" customFormat="1" x14ac:dyDescent="0.25">
      <c r="A338" s="17" t="s">
        <v>122</v>
      </c>
      <c r="L338" s="17" t="s">
        <v>39</v>
      </c>
      <c r="M338" s="15">
        <v>100</v>
      </c>
      <c r="N338" s="17" t="s">
        <v>37</v>
      </c>
      <c r="O338" s="56"/>
    </row>
    <row r="339" spans="1:16" x14ac:dyDescent="0.25">
      <c r="A339" s="4" t="s">
        <v>23</v>
      </c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5"/>
      <c r="M339" s="5"/>
      <c r="N339" s="5"/>
      <c r="O339" s="5"/>
      <c r="P339" s="5"/>
    </row>
    <row r="340" spans="1:16" x14ac:dyDescent="0.25">
      <c r="A340" t="s">
        <v>206</v>
      </c>
      <c r="L340" t="s">
        <v>39</v>
      </c>
      <c r="M340" s="6">
        <v>24</v>
      </c>
      <c r="N340" t="s">
        <v>37</v>
      </c>
      <c r="O340" s="6" t="s">
        <v>211</v>
      </c>
    </row>
    <row r="341" spans="1:16" x14ac:dyDescent="0.25">
      <c r="A341" t="s">
        <v>208</v>
      </c>
      <c r="L341" t="s">
        <v>39</v>
      </c>
      <c r="M341" s="27">
        <f>M340</f>
        <v>24</v>
      </c>
      <c r="N341" s="27" t="s">
        <v>37</v>
      </c>
      <c r="O341" s="27" t="s">
        <v>210</v>
      </c>
    </row>
    <row r="342" spans="1:16" x14ac:dyDescent="0.25">
      <c r="A342" t="s">
        <v>207</v>
      </c>
      <c r="L342" t="s">
        <v>39</v>
      </c>
      <c r="M342">
        <v>61</v>
      </c>
      <c r="N342" t="s">
        <v>37</v>
      </c>
    </row>
    <row r="343" spans="1:16" x14ac:dyDescent="0.25">
      <c r="A343" s="4" t="s">
        <v>28</v>
      </c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5"/>
      <c r="M343" s="5"/>
      <c r="N343" s="5"/>
      <c r="O343" s="5"/>
      <c r="P343" s="5"/>
    </row>
    <row r="344" spans="1:16" x14ac:dyDescent="0.25">
      <c r="A344" t="s">
        <v>216</v>
      </c>
      <c r="L344" t="s">
        <v>39</v>
      </c>
      <c r="M344">
        <v>100</v>
      </c>
      <c r="N344" t="s">
        <v>37</v>
      </c>
    </row>
    <row r="345" spans="1:16" x14ac:dyDescent="0.25">
      <c r="A345" t="s">
        <v>219</v>
      </c>
      <c r="L345" t="s">
        <v>39</v>
      </c>
      <c r="M345">
        <v>4</v>
      </c>
      <c r="N345" t="s">
        <v>37</v>
      </c>
      <c r="O345" t="s">
        <v>110</v>
      </c>
    </row>
    <row r="346" spans="1:16" x14ac:dyDescent="0.25">
      <c r="A346" t="s">
        <v>217</v>
      </c>
      <c r="L346" t="s">
        <v>39</v>
      </c>
      <c r="M346">
        <v>85</v>
      </c>
      <c r="N346" t="s">
        <v>37</v>
      </c>
      <c r="O346" t="s">
        <v>222</v>
      </c>
    </row>
    <row r="347" spans="1:16" x14ac:dyDescent="0.25">
      <c r="A347" t="s">
        <v>220</v>
      </c>
      <c r="L347" t="s">
        <v>39</v>
      </c>
      <c r="M347">
        <v>22</v>
      </c>
      <c r="N347" t="s">
        <v>37</v>
      </c>
      <c r="O347" t="s">
        <v>223</v>
      </c>
    </row>
    <row r="348" spans="1:16" s="17" customFormat="1" x14ac:dyDescent="0.25">
      <c r="A348" s="52" t="s">
        <v>32</v>
      </c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4"/>
      <c r="M348" s="54"/>
      <c r="N348" s="54"/>
      <c r="O348" s="54"/>
      <c r="P348" s="54"/>
    </row>
    <row r="349" spans="1:16" s="17" customFormat="1" x14ac:dyDescent="0.25">
      <c r="A349" s="57" t="s">
        <v>365</v>
      </c>
      <c r="B349" s="57" t="s">
        <v>366</v>
      </c>
      <c r="C349" s="57"/>
      <c r="D349" s="58"/>
      <c r="E349" s="58"/>
      <c r="F349" s="58"/>
      <c r="G349" s="58"/>
      <c r="H349" s="58"/>
      <c r="I349" s="58"/>
      <c r="J349" s="58"/>
      <c r="K349" s="58"/>
      <c r="L349" s="57" t="s">
        <v>39</v>
      </c>
      <c r="M349" s="17">
        <v>5</v>
      </c>
      <c r="N349" s="57" t="s">
        <v>37</v>
      </c>
      <c r="O349" s="57" t="s">
        <v>390</v>
      </c>
    </row>
    <row r="350" spans="1:16" s="17" customFormat="1" x14ac:dyDescent="0.25">
      <c r="A350" s="57" t="s">
        <v>367</v>
      </c>
      <c r="B350" s="57" t="s">
        <v>391</v>
      </c>
      <c r="C350" s="57"/>
      <c r="D350" s="58"/>
      <c r="E350" s="58"/>
      <c r="F350" s="58"/>
      <c r="G350" s="58"/>
      <c r="H350" s="58"/>
      <c r="I350" s="58"/>
      <c r="J350" s="58"/>
      <c r="K350" s="58"/>
      <c r="L350" s="57" t="s">
        <v>39</v>
      </c>
      <c r="M350" s="17">
        <v>100</v>
      </c>
      <c r="N350" s="57" t="s">
        <v>37</v>
      </c>
      <c r="O350" s="57" t="s">
        <v>392</v>
      </c>
    </row>
    <row r="351" spans="1:16" s="17" customFormat="1" x14ac:dyDescent="0.25">
      <c r="A351" s="57" t="s">
        <v>369</v>
      </c>
      <c r="B351" s="57" t="s">
        <v>366</v>
      </c>
      <c r="C351" s="57"/>
      <c r="D351" s="57"/>
      <c r="E351" s="57"/>
      <c r="F351" s="57"/>
      <c r="G351" s="57"/>
      <c r="H351" s="57"/>
      <c r="I351" s="57"/>
      <c r="J351" s="57"/>
      <c r="K351" s="57"/>
      <c r="L351" s="57" t="s">
        <v>39</v>
      </c>
      <c r="M351" s="17">
        <v>22</v>
      </c>
      <c r="N351" s="57" t="s">
        <v>37</v>
      </c>
      <c r="O351" s="57" t="s">
        <v>393</v>
      </c>
      <c r="P351" s="57"/>
    </row>
    <row r="352" spans="1:16" s="17" customFormat="1" x14ac:dyDescent="0.25">
      <c r="A352" s="17" t="s">
        <v>370</v>
      </c>
      <c r="B352" s="17" t="s">
        <v>371</v>
      </c>
      <c r="L352" s="17" t="s">
        <v>39</v>
      </c>
      <c r="M352" s="17">
        <v>1</v>
      </c>
      <c r="N352" s="17" t="s">
        <v>37</v>
      </c>
      <c r="O352" s="57" t="s">
        <v>394</v>
      </c>
    </row>
    <row r="353" spans="1:16" s="17" customFormat="1" x14ac:dyDescent="0.25">
      <c r="A353" s="57" t="s">
        <v>372</v>
      </c>
      <c r="B353" s="57" t="s">
        <v>366</v>
      </c>
      <c r="C353" s="57"/>
      <c r="D353" s="58"/>
      <c r="E353" s="58"/>
      <c r="F353" s="58"/>
      <c r="G353" s="58"/>
      <c r="H353" s="58"/>
      <c r="I353" s="58"/>
      <c r="J353" s="58"/>
      <c r="K353" s="58"/>
      <c r="L353" s="57" t="s">
        <v>39</v>
      </c>
      <c r="M353" s="17">
        <v>24</v>
      </c>
      <c r="N353" s="17" t="s">
        <v>37</v>
      </c>
      <c r="O353" s="57" t="s">
        <v>395</v>
      </c>
    </row>
    <row r="354" spans="1:16" s="17" customFormat="1" x14ac:dyDescent="0.25">
      <c r="A354" s="57" t="s">
        <v>373</v>
      </c>
      <c r="B354" s="57" t="s">
        <v>371</v>
      </c>
      <c r="C354" s="57"/>
      <c r="D354" s="58"/>
      <c r="E354" s="58"/>
      <c r="F354" s="58"/>
      <c r="G354" s="58"/>
      <c r="H354" s="58"/>
      <c r="I354" s="58"/>
      <c r="J354" s="58"/>
      <c r="K354" s="58"/>
      <c r="L354" s="57" t="s">
        <v>39</v>
      </c>
      <c r="M354" s="17">
        <v>24</v>
      </c>
      <c r="N354" s="17" t="s">
        <v>37</v>
      </c>
      <c r="O354" s="57" t="s">
        <v>395</v>
      </c>
    </row>
    <row r="355" spans="1:16" s="17" customFormat="1" x14ac:dyDescent="0.25">
      <c r="A355" s="57" t="s">
        <v>374</v>
      </c>
      <c r="B355" s="57" t="s">
        <v>366</v>
      </c>
      <c r="C355" s="57"/>
      <c r="D355" s="58"/>
      <c r="E355" s="58"/>
      <c r="F355" s="58"/>
      <c r="G355" s="58"/>
      <c r="H355" s="58"/>
      <c r="I355" s="58"/>
      <c r="J355" s="58"/>
      <c r="K355" s="58"/>
      <c r="L355" s="57" t="s">
        <v>39</v>
      </c>
      <c r="M355" s="17">
        <v>24</v>
      </c>
      <c r="N355" s="17" t="s">
        <v>37</v>
      </c>
      <c r="O355" s="57" t="s">
        <v>395</v>
      </c>
    </row>
    <row r="356" spans="1:16" s="17" customFormat="1" x14ac:dyDescent="0.25">
      <c r="A356" s="57" t="s">
        <v>375</v>
      </c>
      <c r="B356" s="57" t="s">
        <v>366</v>
      </c>
      <c r="C356" s="57"/>
      <c r="D356" s="58"/>
      <c r="E356" s="58"/>
      <c r="F356" s="58"/>
      <c r="G356" s="58"/>
      <c r="H356" s="58"/>
      <c r="I356" s="58"/>
      <c r="J356" s="58"/>
      <c r="K356" s="58"/>
      <c r="L356" s="57" t="s">
        <v>39</v>
      </c>
      <c r="M356" s="17">
        <v>0.4</v>
      </c>
      <c r="N356" s="57" t="s">
        <v>37</v>
      </c>
      <c r="O356" s="57" t="s">
        <v>396</v>
      </c>
    </row>
    <row r="357" spans="1:16" s="17" customFormat="1" x14ac:dyDescent="0.25">
      <c r="A357" s="57" t="s">
        <v>376</v>
      </c>
      <c r="B357" s="57" t="s">
        <v>366</v>
      </c>
      <c r="C357" s="57"/>
      <c r="D357" s="58"/>
      <c r="E357" s="58"/>
      <c r="F357" s="58"/>
      <c r="G357" s="58"/>
      <c r="H357" s="58"/>
      <c r="I357" s="58"/>
      <c r="J357" s="58"/>
      <c r="K357" s="58"/>
      <c r="L357" s="57" t="s">
        <v>39</v>
      </c>
      <c r="M357" s="17">
        <v>0.4</v>
      </c>
      <c r="N357" s="57" t="s">
        <v>37</v>
      </c>
      <c r="O357" s="57" t="s">
        <v>396</v>
      </c>
    </row>
    <row r="358" spans="1:16" s="17" customFormat="1" x14ac:dyDescent="0.25">
      <c r="A358" s="57" t="s">
        <v>377</v>
      </c>
      <c r="B358" s="57" t="s">
        <v>366</v>
      </c>
      <c r="C358" s="57"/>
      <c r="D358" s="58"/>
      <c r="E358" s="58"/>
      <c r="F358" s="58"/>
      <c r="G358" s="58"/>
      <c r="H358" s="58"/>
      <c r="I358" s="58"/>
      <c r="J358" s="58"/>
      <c r="K358" s="58"/>
      <c r="L358" s="57" t="s">
        <v>39</v>
      </c>
      <c r="M358" s="17">
        <v>24</v>
      </c>
      <c r="N358" s="57" t="s">
        <v>37</v>
      </c>
      <c r="O358" s="57" t="s">
        <v>395</v>
      </c>
    </row>
    <row r="359" spans="1:16" s="17" customFormat="1" x14ac:dyDescent="0.25">
      <c r="A359" s="57" t="s">
        <v>378</v>
      </c>
      <c r="B359" s="57" t="s">
        <v>366</v>
      </c>
      <c r="C359" s="57"/>
      <c r="D359" s="58"/>
      <c r="E359" s="58"/>
      <c r="F359" s="58"/>
      <c r="G359" s="58"/>
      <c r="H359" s="58"/>
      <c r="I359" s="58"/>
      <c r="J359" s="58"/>
      <c r="K359" s="58"/>
      <c r="L359" s="57" t="s">
        <v>39</v>
      </c>
      <c r="M359" s="57">
        <v>0</v>
      </c>
      <c r="N359" s="57" t="s">
        <v>37</v>
      </c>
      <c r="O359" s="57" t="s">
        <v>397</v>
      </c>
    </row>
    <row r="360" spans="1:16" s="17" customFormat="1" x14ac:dyDescent="0.25">
      <c r="A360" s="57" t="s">
        <v>379</v>
      </c>
      <c r="B360" s="57" t="s">
        <v>366</v>
      </c>
      <c r="C360" s="57"/>
      <c r="D360" s="58"/>
      <c r="E360" s="58"/>
      <c r="F360" s="58"/>
      <c r="G360" s="58"/>
      <c r="H360" s="58"/>
      <c r="I360" s="58"/>
      <c r="J360" s="58"/>
      <c r="K360" s="58"/>
      <c r="L360" s="57" t="s">
        <v>39</v>
      </c>
      <c r="M360" s="17">
        <v>24</v>
      </c>
      <c r="N360" s="57" t="s">
        <v>37</v>
      </c>
      <c r="O360" s="57" t="s">
        <v>395</v>
      </c>
    </row>
    <row r="361" spans="1:16" s="17" customFormat="1" x14ac:dyDescent="0.25">
      <c r="A361" s="57" t="s">
        <v>380</v>
      </c>
      <c r="B361" s="57" t="s">
        <v>366</v>
      </c>
      <c r="C361" s="57"/>
      <c r="L361" s="57" t="s">
        <v>39</v>
      </c>
      <c r="M361" s="17">
        <v>24</v>
      </c>
      <c r="N361" s="57" t="s">
        <v>37</v>
      </c>
      <c r="O361" s="57" t="s">
        <v>395</v>
      </c>
    </row>
    <row r="363" spans="1:16" x14ac:dyDescent="0.25">
      <c r="A363" s="2" t="s">
        <v>140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3"/>
      <c r="M363" s="3"/>
      <c r="N363" s="3"/>
      <c r="O363" s="3"/>
      <c r="P363" s="3"/>
    </row>
    <row r="364" spans="1:16" x14ac:dyDescent="0.25">
      <c r="I364" s="7"/>
      <c r="J364" s="7" t="s">
        <v>44</v>
      </c>
      <c r="K364" s="7"/>
      <c r="L364" s="7" t="s">
        <v>40</v>
      </c>
      <c r="M364" s="7">
        <v>-100</v>
      </c>
      <c r="N364" s="7" t="s">
        <v>45</v>
      </c>
      <c r="O364" s="7" t="s">
        <v>167</v>
      </c>
    </row>
    <row r="365" spans="1:16" x14ac:dyDescent="0.25">
      <c r="I365" s="7"/>
      <c r="J365" s="7" t="s">
        <v>42</v>
      </c>
      <c r="K365" s="7"/>
      <c r="L365" s="7" t="s">
        <v>40</v>
      </c>
      <c r="M365" s="7">
        <v>0</v>
      </c>
      <c r="N365" s="7" t="s">
        <v>37</v>
      </c>
      <c r="O365" s="7" t="s">
        <v>43</v>
      </c>
    </row>
    <row r="366" spans="1:16" x14ac:dyDescent="0.25">
      <c r="A366" s="4" t="s">
        <v>9</v>
      </c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5"/>
      <c r="M366" s="5"/>
      <c r="N366" s="5"/>
      <c r="O366" s="5"/>
      <c r="P366" s="5"/>
    </row>
    <row r="367" spans="1:16" x14ac:dyDescent="0.25">
      <c r="A367" t="s">
        <v>168</v>
      </c>
      <c r="I367" t="s">
        <v>85</v>
      </c>
      <c r="J367" t="s">
        <v>42</v>
      </c>
      <c r="L367" t="s">
        <v>40</v>
      </c>
      <c r="M367" s="17">
        <v>5.3</v>
      </c>
      <c r="N367" t="s">
        <v>37</v>
      </c>
      <c r="O367" t="s">
        <v>158</v>
      </c>
      <c r="P367" t="s">
        <v>95</v>
      </c>
    </row>
    <row r="368" spans="1:16" x14ac:dyDescent="0.25">
      <c r="A368" t="s">
        <v>173</v>
      </c>
      <c r="I368" t="s">
        <v>85</v>
      </c>
      <c r="J368" t="s">
        <v>42</v>
      </c>
      <c r="L368" t="s">
        <v>40</v>
      </c>
      <c r="M368" s="40">
        <f>M367</f>
        <v>5.3</v>
      </c>
      <c r="N368" t="s">
        <v>37</v>
      </c>
    </row>
    <row r="369" spans="1:16" x14ac:dyDescent="0.25">
      <c r="A369" t="s">
        <v>169</v>
      </c>
      <c r="I369" t="s">
        <v>85</v>
      </c>
      <c r="J369" t="s">
        <v>42</v>
      </c>
      <c r="L369" t="s">
        <v>40</v>
      </c>
      <c r="M369" s="17">
        <v>4.9000000000000004</v>
      </c>
      <c r="N369" t="s">
        <v>37</v>
      </c>
      <c r="O369" t="s">
        <v>158</v>
      </c>
      <c r="P369" t="s">
        <v>95</v>
      </c>
    </row>
    <row r="370" spans="1:16" x14ac:dyDescent="0.25">
      <c r="A370" t="s">
        <v>174</v>
      </c>
      <c r="I370" t="s">
        <v>85</v>
      </c>
      <c r="J370" t="s">
        <v>42</v>
      </c>
      <c r="L370" t="s">
        <v>40</v>
      </c>
      <c r="M370" s="40">
        <f>M369</f>
        <v>4.9000000000000004</v>
      </c>
      <c r="N370" t="s">
        <v>37</v>
      </c>
    </row>
    <row r="371" spans="1:16" x14ac:dyDescent="0.25">
      <c r="A371" t="s">
        <v>170</v>
      </c>
      <c r="I371" t="s">
        <v>85</v>
      </c>
      <c r="J371" t="s">
        <v>42</v>
      </c>
      <c r="L371" t="s">
        <v>40</v>
      </c>
      <c r="M371" s="17">
        <v>12.7</v>
      </c>
      <c r="N371" t="s">
        <v>37</v>
      </c>
      <c r="O371" t="s">
        <v>158</v>
      </c>
      <c r="P371" t="s">
        <v>95</v>
      </c>
    </row>
    <row r="372" spans="1:16" x14ac:dyDescent="0.25">
      <c r="A372" t="s">
        <v>175</v>
      </c>
      <c r="I372" t="s">
        <v>85</v>
      </c>
      <c r="J372" t="s">
        <v>42</v>
      </c>
      <c r="L372" t="s">
        <v>40</v>
      </c>
      <c r="M372" s="40">
        <f>M371</f>
        <v>12.7</v>
      </c>
      <c r="N372" t="s">
        <v>37</v>
      </c>
    </row>
    <row r="373" spans="1:16" x14ac:dyDescent="0.25">
      <c r="A373" t="s">
        <v>171</v>
      </c>
      <c r="I373" t="s">
        <v>85</v>
      </c>
      <c r="J373" t="s">
        <v>42</v>
      </c>
      <c r="L373" t="s">
        <v>40</v>
      </c>
      <c r="M373" s="17">
        <v>24</v>
      </c>
      <c r="N373" t="s">
        <v>37</v>
      </c>
      <c r="O373" t="s">
        <v>159</v>
      </c>
      <c r="P373" s="26" t="s">
        <v>156</v>
      </c>
    </row>
    <row r="374" spans="1:16" x14ac:dyDescent="0.25">
      <c r="A374" t="s">
        <v>176</v>
      </c>
      <c r="I374" t="s">
        <v>85</v>
      </c>
      <c r="J374" t="s">
        <v>42</v>
      </c>
      <c r="L374" t="s">
        <v>40</v>
      </c>
      <c r="M374" s="40">
        <f>M373</f>
        <v>24</v>
      </c>
      <c r="N374" t="s">
        <v>37</v>
      </c>
      <c r="P374" s="26"/>
    </row>
    <row r="375" spans="1:16" x14ac:dyDescent="0.25">
      <c r="A375" t="s">
        <v>172</v>
      </c>
      <c r="I375" t="s">
        <v>85</v>
      </c>
      <c r="J375" t="s">
        <v>42</v>
      </c>
      <c r="L375" t="s">
        <v>40</v>
      </c>
      <c r="M375" s="6">
        <v>10</v>
      </c>
      <c r="N375" t="s">
        <v>37</v>
      </c>
    </row>
    <row r="376" spans="1:16" x14ac:dyDescent="0.25">
      <c r="A376" t="s">
        <v>177</v>
      </c>
      <c r="I376" t="s">
        <v>85</v>
      </c>
      <c r="J376" t="s">
        <v>42</v>
      </c>
      <c r="L376" t="s">
        <v>40</v>
      </c>
      <c r="M376" s="40">
        <f>M375</f>
        <v>10</v>
      </c>
      <c r="N376" t="s">
        <v>37</v>
      </c>
    </row>
    <row r="377" spans="1:16" s="17" customFormat="1" x14ac:dyDescent="0.25">
      <c r="A377" s="17" t="s">
        <v>386</v>
      </c>
      <c r="I377" s="17" t="s">
        <v>85</v>
      </c>
      <c r="J377" s="17" t="s">
        <v>42</v>
      </c>
      <c r="L377" s="17" t="s">
        <v>40</v>
      </c>
      <c r="M377" s="17">
        <v>0</v>
      </c>
      <c r="N377" s="17" t="s">
        <v>37</v>
      </c>
      <c r="O377" s="17" t="s">
        <v>417</v>
      </c>
    </row>
    <row r="378" spans="1:16" x14ac:dyDescent="0.25">
      <c r="A378" s="4" t="s">
        <v>10</v>
      </c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5"/>
      <c r="M378" s="5"/>
      <c r="N378" s="5"/>
      <c r="O378" s="5"/>
      <c r="P378" s="5"/>
    </row>
    <row r="379" spans="1:16" x14ac:dyDescent="0.25">
      <c r="A379" s="17" t="s">
        <v>96</v>
      </c>
      <c r="I379" t="s">
        <v>85</v>
      </c>
      <c r="J379" t="s">
        <v>42</v>
      </c>
      <c r="L379" t="s">
        <v>40</v>
      </c>
      <c r="M379" s="17">
        <v>12</v>
      </c>
      <c r="N379" t="s">
        <v>37</v>
      </c>
      <c r="P379" s="26" t="s">
        <v>156</v>
      </c>
    </row>
    <row r="380" spans="1:16" x14ac:dyDescent="0.25">
      <c r="A380" s="17" t="s">
        <v>97</v>
      </c>
      <c r="I380" t="s">
        <v>85</v>
      </c>
      <c r="J380" t="s">
        <v>42</v>
      </c>
      <c r="L380" t="s">
        <v>40</v>
      </c>
      <c r="M380" s="17">
        <v>12</v>
      </c>
      <c r="N380" t="s">
        <v>37</v>
      </c>
      <c r="P380" s="26" t="s">
        <v>156</v>
      </c>
    </row>
    <row r="381" spans="1:16" x14ac:dyDescent="0.25">
      <c r="A381" s="17" t="s">
        <v>198</v>
      </c>
      <c r="I381" t="s">
        <v>85</v>
      </c>
      <c r="J381" t="s">
        <v>42</v>
      </c>
      <c r="L381" t="s">
        <v>40</v>
      </c>
      <c r="M381" s="17">
        <v>0</v>
      </c>
      <c r="N381" t="s">
        <v>37</v>
      </c>
    </row>
    <row r="382" spans="1:16" x14ac:dyDescent="0.25">
      <c r="A382" s="17" t="s">
        <v>98</v>
      </c>
      <c r="I382" t="s">
        <v>85</v>
      </c>
      <c r="J382" t="s">
        <v>42</v>
      </c>
      <c r="L382" t="s">
        <v>40</v>
      </c>
      <c r="M382" s="17">
        <v>0</v>
      </c>
      <c r="N382" t="s">
        <v>37</v>
      </c>
    </row>
    <row r="383" spans="1:16" x14ac:dyDescent="0.25">
      <c r="A383" s="4" t="s">
        <v>11</v>
      </c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5"/>
      <c r="M383" s="5"/>
      <c r="N383" s="5"/>
      <c r="O383" s="5"/>
      <c r="P383" s="5"/>
    </row>
    <row r="384" spans="1:16" x14ac:dyDescent="0.25">
      <c r="A384" s="17" t="s">
        <v>124</v>
      </c>
      <c r="I384" t="s">
        <v>85</v>
      </c>
      <c r="J384" t="s">
        <v>42</v>
      </c>
      <c r="L384" t="s">
        <v>40</v>
      </c>
      <c r="M384" s="17">
        <v>25</v>
      </c>
      <c r="N384" t="s">
        <v>37</v>
      </c>
      <c r="O384" t="s">
        <v>161</v>
      </c>
      <c r="P384" s="26" t="s">
        <v>156</v>
      </c>
    </row>
    <row r="385" spans="1:16" s="17" customFormat="1" x14ac:dyDescent="0.25">
      <c r="A385" s="17" t="s">
        <v>350</v>
      </c>
      <c r="I385" s="17" t="s">
        <v>85</v>
      </c>
      <c r="J385" s="17" t="s">
        <v>42</v>
      </c>
      <c r="L385" s="17" t="s">
        <v>40</v>
      </c>
      <c r="M385" s="17">
        <v>25</v>
      </c>
      <c r="N385" s="17" t="s">
        <v>37</v>
      </c>
      <c r="O385" s="17" t="s">
        <v>398</v>
      </c>
      <c r="P385" s="17" t="s">
        <v>156</v>
      </c>
    </row>
    <row r="386" spans="1:16" x14ac:dyDescent="0.25">
      <c r="A386" s="17" t="s">
        <v>130</v>
      </c>
      <c r="I386" t="s">
        <v>85</v>
      </c>
      <c r="J386" t="s">
        <v>42</v>
      </c>
      <c r="L386" t="s">
        <v>40</v>
      </c>
      <c r="M386" s="17">
        <v>13</v>
      </c>
      <c r="N386" t="s">
        <v>37</v>
      </c>
      <c r="O386" t="s">
        <v>162</v>
      </c>
      <c r="P386" s="26" t="s">
        <v>156</v>
      </c>
    </row>
    <row r="387" spans="1:16" x14ac:dyDescent="0.25">
      <c r="A387" s="17" t="s">
        <v>127</v>
      </c>
      <c r="I387" t="s">
        <v>85</v>
      </c>
      <c r="J387" t="s">
        <v>42</v>
      </c>
      <c r="L387" t="s">
        <v>40</v>
      </c>
      <c r="M387" s="17">
        <v>19</v>
      </c>
      <c r="N387" t="s">
        <v>37</v>
      </c>
      <c r="O387" t="s">
        <v>160</v>
      </c>
      <c r="P387" s="26" t="s">
        <v>156</v>
      </c>
    </row>
    <row r="388" spans="1:16" x14ac:dyDescent="0.25">
      <c r="A388" s="17" t="s">
        <v>104</v>
      </c>
      <c r="I388" t="s">
        <v>85</v>
      </c>
      <c r="J388" t="s">
        <v>42</v>
      </c>
      <c r="L388" t="s">
        <v>40</v>
      </c>
      <c r="M388" s="17">
        <v>9</v>
      </c>
      <c r="N388" t="s">
        <v>37</v>
      </c>
      <c r="O388" t="s">
        <v>164</v>
      </c>
      <c r="P388" s="26" t="s">
        <v>156</v>
      </c>
    </row>
    <row r="389" spans="1:16" x14ac:dyDescent="0.25">
      <c r="A389" s="17" t="s">
        <v>107</v>
      </c>
      <c r="I389" t="s">
        <v>85</v>
      </c>
      <c r="J389" t="s">
        <v>42</v>
      </c>
      <c r="L389" t="s">
        <v>40</v>
      </c>
      <c r="M389" s="17">
        <v>11</v>
      </c>
      <c r="N389" t="s">
        <v>37</v>
      </c>
      <c r="O389" s="26" t="s">
        <v>163</v>
      </c>
      <c r="P389" s="26" t="s">
        <v>156</v>
      </c>
    </row>
    <row r="390" spans="1:16" x14ac:dyDescent="0.25">
      <c r="A390" s="17" t="s">
        <v>137</v>
      </c>
      <c r="I390" t="s">
        <v>85</v>
      </c>
      <c r="J390" t="s">
        <v>42</v>
      </c>
      <c r="L390" t="s">
        <v>40</v>
      </c>
      <c r="M390" s="6">
        <f>AVERAGE(M386:M389)</f>
        <v>13</v>
      </c>
      <c r="N390" t="s">
        <v>37</v>
      </c>
      <c r="O390" s="26"/>
      <c r="P390" s="26"/>
    </row>
    <row r="391" spans="1:16" x14ac:dyDescent="0.25">
      <c r="A391" s="4" t="s">
        <v>12</v>
      </c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5"/>
      <c r="M391" s="5"/>
      <c r="N391" s="5"/>
      <c r="O391" s="5"/>
      <c r="P391" s="5"/>
    </row>
    <row r="392" spans="1:16" x14ac:dyDescent="0.25">
      <c r="A392" s="17" t="s">
        <v>229</v>
      </c>
      <c r="J392" t="s">
        <v>42</v>
      </c>
      <c r="L392" t="s">
        <v>40</v>
      </c>
      <c r="M392" s="17">
        <v>7.9</v>
      </c>
      <c r="N392" s="17" t="s">
        <v>37</v>
      </c>
      <c r="O392" t="s">
        <v>234</v>
      </c>
      <c r="P392" t="s">
        <v>156</v>
      </c>
    </row>
    <row r="393" spans="1:16" x14ac:dyDescent="0.25">
      <c r="A393" s="17" t="s">
        <v>230</v>
      </c>
      <c r="J393" t="s">
        <v>42</v>
      </c>
      <c r="L393" t="s">
        <v>40</v>
      </c>
      <c r="M393" s="17">
        <v>7.9</v>
      </c>
      <c r="N393" s="17" t="s">
        <v>37</v>
      </c>
      <c r="O393" t="s">
        <v>234</v>
      </c>
      <c r="P393" t="s">
        <v>156</v>
      </c>
    </row>
    <row r="394" spans="1:16" x14ac:dyDescent="0.25">
      <c r="A394" s="17" t="s">
        <v>231</v>
      </c>
      <c r="J394" t="s">
        <v>42</v>
      </c>
      <c r="L394" t="s">
        <v>40</v>
      </c>
      <c r="M394" s="17">
        <v>7.9</v>
      </c>
      <c r="N394" s="17" t="s">
        <v>37</v>
      </c>
      <c r="O394" t="s">
        <v>234</v>
      </c>
      <c r="P394" t="s">
        <v>156</v>
      </c>
    </row>
    <row r="395" spans="1:16" x14ac:dyDescent="0.25">
      <c r="A395" s="17" t="s">
        <v>233</v>
      </c>
      <c r="J395" t="s">
        <v>42</v>
      </c>
      <c r="L395" t="s">
        <v>40</v>
      </c>
      <c r="M395" s="17">
        <v>7.9</v>
      </c>
      <c r="N395" s="17" t="s">
        <v>37</v>
      </c>
      <c r="O395" t="s">
        <v>234</v>
      </c>
      <c r="P395" t="s">
        <v>156</v>
      </c>
    </row>
    <row r="396" spans="1:16" x14ac:dyDescent="0.25">
      <c r="A396" s="4" t="s">
        <v>13</v>
      </c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5"/>
      <c r="M396" s="5"/>
      <c r="N396" s="5"/>
      <c r="O396" s="5"/>
      <c r="P396" s="5"/>
    </row>
    <row r="397" spans="1:16" x14ac:dyDescent="0.25">
      <c r="A397" s="6"/>
      <c r="B397" t="s">
        <v>79</v>
      </c>
      <c r="I397" t="s">
        <v>85</v>
      </c>
      <c r="J397" t="s">
        <v>42</v>
      </c>
      <c r="L397" t="s">
        <v>40</v>
      </c>
      <c r="M397" s="29">
        <v>15.75</v>
      </c>
      <c r="N397" t="s">
        <v>37</v>
      </c>
      <c r="O397" t="s">
        <v>157</v>
      </c>
      <c r="P397" t="s">
        <v>91</v>
      </c>
    </row>
    <row r="398" spans="1:16" x14ac:dyDescent="0.25">
      <c r="A398" s="4" t="s">
        <v>22</v>
      </c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5"/>
      <c r="M398" s="5"/>
      <c r="N398" s="5"/>
      <c r="O398" s="5"/>
      <c r="P398" s="5"/>
    </row>
    <row r="399" spans="1:16" x14ac:dyDescent="0.25">
      <c r="A399" t="s">
        <v>53</v>
      </c>
      <c r="I399" t="s">
        <v>85</v>
      </c>
      <c r="J399" t="s">
        <v>42</v>
      </c>
      <c r="L399" t="s">
        <v>40</v>
      </c>
      <c r="M399" s="6">
        <v>2.2999999999999998</v>
      </c>
      <c r="N399" t="s">
        <v>37</v>
      </c>
      <c r="O399" t="s">
        <v>307</v>
      </c>
    </row>
    <row r="400" spans="1:16" x14ac:dyDescent="0.25">
      <c r="A400" t="s">
        <v>92</v>
      </c>
      <c r="I400" t="s">
        <v>85</v>
      </c>
      <c r="J400" t="s">
        <v>42</v>
      </c>
      <c r="L400" t="s">
        <v>40</v>
      </c>
      <c r="M400" s="6">
        <v>18.100000000000001</v>
      </c>
      <c r="N400" t="s">
        <v>37</v>
      </c>
      <c r="O400" t="s">
        <v>307</v>
      </c>
    </row>
    <row r="401" spans="1:16" x14ac:dyDescent="0.25">
      <c r="A401" t="s">
        <v>324</v>
      </c>
      <c r="I401" t="s">
        <v>85</v>
      </c>
      <c r="J401" t="s">
        <v>42</v>
      </c>
      <c r="L401" t="s">
        <v>40</v>
      </c>
      <c r="M401" s="6">
        <v>21</v>
      </c>
      <c r="N401" t="s">
        <v>37</v>
      </c>
      <c r="O401" t="s">
        <v>307</v>
      </c>
    </row>
    <row r="402" spans="1:16" x14ac:dyDescent="0.25">
      <c r="A402" t="s">
        <v>254</v>
      </c>
      <c r="I402" t="s">
        <v>85</v>
      </c>
      <c r="J402" t="s">
        <v>42</v>
      </c>
      <c r="L402" t="s">
        <v>40</v>
      </c>
      <c r="M402" s="6">
        <v>0.95</v>
      </c>
      <c r="N402" t="s">
        <v>37</v>
      </c>
      <c r="O402" t="s">
        <v>307</v>
      </c>
    </row>
    <row r="403" spans="1:16" x14ac:dyDescent="0.25">
      <c r="A403" t="s">
        <v>427</v>
      </c>
      <c r="I403" t="s">
        <v>85</v>
      </c>
      <c r="J403" t="s">
        <v>42</v>
      </c>
      <c r="L403" t="s">
        <v>39</v>
      </c>
      <c r="M403" s="22">
        <f>M399*0.6+M400*0.4</f>
        <v>8.620000000000001</v>
      </c>
      <c r="N403" t="s">
        <v>37</v>
      </c>
      <c r="O403" t="s">
        <v>433</v>
      </c>
    </row>
    <row r="404" spans="1:16" x14ac:dyDescent="0.25">
      <c r="A404" t="s">
        <v>428</v>
      </c>
      <c r="I404" t="s">
        <v>85</v>
      </c>
      <c r="J404" t="s">
        <v>42</v>
      </c>
      <c r="L404" t="s">
        <v>39</v>
      </c>
      <c r="M404" s="22">
        <f>M399*0.6+M400*0.4</f>
        <v>8.620000000000001</v>
      </c>
      <c r="N404" t="s">
        <v>37</v>
      </c>
      <c r="O404" t="s">
        <v>434</v>
      </c>
    </row>
    <row r="405" spans="1:16" x14ac:dyDescent="0.25">
      <c r="A405" s="4" t="s">
        <v>14</v>
      </c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5"/>
      <c r="M405" s="5"/>
      <c r="N405" s="5"/>
      <c r="O405" s="5"/>
      <c r="P405" s="5"/>
    </row>
    <row r="406" spans="1:16" x14ac:dyDescent="0.25">
      <c r="A406" t="s">
        <v>14</v>
      </c>
      <c r="I406" t="s">
        <v>85</v>
      </c>
      <c r="J406" t="s">
        <v>42</v>
      </c>
      <c r="L406" t="s">
        <v>40</v>
      </c>
      <c r="M406" s="6">
        <v>16.5</v>
      </c>
      <c r="N406" t="s">
        <v>37</v>
      </c>
      <c r="O406" s="6" t="s">
        <v>310</v>
      </c>
      <c r="P406" s="26" t="s">
        <v>204</v>
      </c>
    </row>
    <row r="407" spans="1:16" s="17" customFormat="1" x14ac:dyDescent="0.25">
      <c r="A407" s="17" t="s">
        <v>353</v>
      </c>
      <c r="I407" s="17" t="s">
        <v>85</v>
      </c>
      <c r="J407" s="17" t="s">
        <v>42</v>
      </c>
      <c r="L407" s="17" t="s">
        <v>40</v>
      </c>
      <c r="M407" s="17">
        <v>16.5</v>
      </c>
      <c r="N407" s="17" t="s">
        <v>37</v>
      </c>
    </row>
    <row r="408" spans="1:16" x14ac:dyDescent="0.25">
      <c r="A408" s="4" t="s">
        <v>19</v>
      </c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5"/>
      <c r="M408" s="5"/>
      <c r="N408" s="5"/>
      <c r="O408" s="5"/>
      <c r="P408" s="5"/>
    </row>
    <row r="409" spans="1:16" x14ac:dyDescent="0.25">
      <c r="B409" t="s">
        <v>196</v>
      </c>
      <c r="J409" t="s">
        <v>42</v>
      </c>
      <c r="L409" t="s">
        <v>40</v>
      </c>
      <c r="M409">
        <v>34.200000000000003</v>
      </c>
      <c r="N409" t="s">
        <v>37</v>
      </c>
      <c r="O409" t="s">
        <v>203</v>
      </c>
      <c r="P409" s="26" t="s">
        <v>204</v>
      </c>
    </row>
    <row r="410" spans="1:16" s="17" customFormat="1" x14ac:dyDescent="0.25">
      <c r="A410" s="52" t="s">
        <v>20</v>
      </c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4"/>
      <c r="M410" s="54"/>
      <c r="N410" s="54"/>
      <c r="O410" s="54"/>
      <c r="P410" s="54"/>
    </row>
    <row r="411" spans="1:16" s="17" customFormat="1" x14ac:dyDescent="0.25">
      <c r="A411" s="17" t="s">
        <v>357</v>
      </c>
      <c r="I411" s="17" t="s">
        <v>85</v>
      </c>
      <c r="J411" s="17" t="s">
        <v>42</v>
      </c>
      <c r="L411" s="17" t="s">
        <v>40</v>
      </c>
      <c r="M411" s="17">
        <v>0</v>
      </c>
      <c r="N411" s="17" t="s">
        <v>37</v>
      </c>
      <c r="O411" s="17" t="s">
        <v>399</v>
      </c>
    </row>
    <row r="412" spans="1:16" s="17" customFormat="1" x14ac:dyDescent="0.25">
      <c r="A412" s="17" t="s">
        <v>359</v>
      </c>
      <c r="I412" s="17" t="s">
        <v>85</v>
      </c>
      <c r="J412" s="17" t="s">
        <v>42</v>
      </c>
      <c r="L412" s="17" t="s">
        <v>40</v>
      </c>
      <c r="M412" s="17">
        <v>0</v>
      </c>
      <c r="N412" s="17" t="s">
        <v>37</v>
      </c>
      <c r="O412" s="17" t="s">
        <v>399</v>
      </c>
    </row>
    <row r="413" spans="1:16" s="17" customFormat="1" x14ac:dyDescent="0.25">
      <c r="A413" s="52" t="s">
        <v>501</v>
      </c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</row>
    <row r="414" spans="1:16" s="17" customFormat="1" x14ac:dyDescent="0.25">
      <c r="A414" s="17" t="s">
        <v>361</v>
      </c>
      <c r="I414" s="17" t="s">
        <v>85</v>
      </c>
      <c r="J414" s="17" t="s">
        <v>42</v>
      </c>
      <c r="L414" s="17" t="s">
        <v>40</v>
      </c>
      <c r="M414" s="17">
        <v>0</v>
      </c>
      <c r="N414" s="17" t="s">
        <v>37</v>
      </c>
      <c r="O414" s="17" t="s">
        <v>400</v>
      </c>
    </row>
    <row r="415" spans="1:16" x14ac:dyDescent="0.25">
      <c r="A415" s="4" t="s">
        <v>21</v>
      </c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5"/>
      <c r="M415" s="5"/>
      <c r="N415" s="5"/>
      <c r="O415" s="5"/>
      <c r="P415" s="5"/>
    </row>
    <row r="416" spans="1:16" x14ac:dyDescent="0.25">
      <c r="A416" t="s">
        <v>115</v>
      </c>
      <c r="I416" t="s">
        <v>85</v>
      </c>
      <c r="J416" t="s">
        <v>42</v>
      </c>
      <c r="L416" t="s">
        <v>40</v>
      </c>
      <c r="M416" s="23">
        <v>1</v>
      </c>
      <c r="N416" t="s">
        <v>37</v>
      </c>
    </row>
    <row r="417" spans="1:16" s="17" customFormat="1" x14ac:dyDescent="0.25">
      <c r="A417" s="57" t="s">
        <v>363</v>
      </c>
      <c r="B417" s="57"/>
      <c r="C417" s="57"/>
      <c r="D417" s="57"/>
      <c r="E417" s="57"/>
      <c r="F417" s="57"/>
      <c r="G417" s="57"/>
      <c r="H417" s="57"/>
      <c r="I417" s="57" t="s">
        <v>85</v>
      </c>
      <c r="J417" s="57" t="s">
        <v>42</v>
      </c>
      <c r="K417" s="57"/>
      <c r="L417" s="57" t="s">
        <v>40</v>
      </c>
      <c r="M417" s="59">
        <v>1</v>
      </c>
      <c r="N417" s="57" t="s">
        <v>37</v>
      </c>
    </row>
    <row r="418" spans="1:16" x14ac:dyDescent="0.25">
      <c r="A418" s="4" t="s">
        <v>28</v>
      </c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5"/>
      <c r="M418" s="5"/>
      <c r="N418" s="5"/>
      <c r="O418" s="5"/>
      <c r="P418" s="5"/>
    </row>
    <row r="419" spans="1:16" x14ac:dyDescent="0.25">
      <c r="A419" t="s">
        <v>216</v>
      </c>
      <c r="J419" t="s">
        <v>42</v>
      </c>
      <c r="L419" t="s">
        <v>40</v>
      </c>
      <c r="M419" s="17">
        <v>24.7</v>
      </c>
      <c r="N419" t="s">
        <v>37</v>
      </c>
      <c r="O419" t="s">
        <v>224</v>
      </c>
      <c r="P419" s="26" t="s">
        <v>156</v>
      </c>
    </row>
    <row r="420" spans="1:16" x14ac:dyDescent="0.25">
      <c r="A420" t="s">
        <v>219</v>
      </c>
      <c r="J420" t="s">
        <v>42</v>
      </c>
      <c r="L420" t="s">
        <v>40</v>
      </c>
      <c r="M420" s="17">
        <v>8</v>
      </c>
      <c r="N420" t="s">
        <v>37</v>
      </c>
      <c r="O420" t="s">
        <v>155</v>
      </c>
      <c r="P420" s="26" t="s">
        <v>156</v>
      </c>
    </row>
    <row r="421" spans="1:16" x14ac:dyDescent="0.25">
      <c r="A421" t="s">
        <v>217</v>
      </c>
      <c r="J421" t="s">
        <v>42</v>
      </c>
      <c r="L421" t="s">
        <v>40</v>
      </c>
      <c r="M421">
        <v>7.9</v>
      </c>
      <c r="N421" t="s">
        <v>37</v>
      </c>
      <c r="O421" t="s">
        <v>236</v>
      </c>
      <c r="P421" s="26" t="s">
        <v>156</v>
      </c>
    </row>
    <row r="422" spans="1:16" x14ac:dyDescent="0.25">
      <c r="A422" t="s">
        <v>220</v>
      </c>
      <c r="J422" t="s">
        <v>42</v>
      </c>
      <c r="L422" t="s">
        <v>40</v>
      </c>
      <c r="M422">
        <v>4.7</v>
      </c>
      <c r="N422" t="s">
        <v>37</v>
      </c>
      <c r="O422" t="s">
        <v>225</v>
      </c>
      <c r="P422" s="26" t="s">
        <v>156</v>
      </c>
    </row>
    <row r="423" spans="1:16" x14ac:dyDescent="0.25">
      <c r="A423" s="4" t="s">
        <v>32</v>
      </c>
      <c r="B423" s="4"/>
      <c r="C423" s="4"/>
      <c r="D423" s="4"/>
      <c r="E423" s="47"/>
      <c r="F423" s="4"/>
      <c r="G423" s="4"/>
      <c r="H423" s="4"/>
      <c r="I423" s="4"/>
      <c r="J423" s="4"/>
      <c r="K423" s="4"/>
      <c r="L423" s="5"/>
      <c r="M423" s="5"/>
      <c r="N423" s="5"/>
      <c r="O423" s="5"/>
      <c r="P423" s="5"/>
    </row>
    <row r="424" spans="1:16" s="17" customFormat="1" x14ac:dyDescent="0.25">
      <c r="A424" s="57" t="s">
        <v>365</v>
      </c>
      <c r="B424" s="57"/>
      <c r="C424" s="57"/>
      <c r="D424" s="58"/>
      <c r="E424" s="58"/>
      <c r="F424" s="58"/>
      <c r="G424" s="58"/>
      <c r="H424" s="58"/>
      <c r="I424" s="58"/>
      <c r="J424" s="57" t="s">
        <v>42</v>
      </c>
      <c r="K424" s="58"/>
      <c r="L424" s="17" t="s">
        <v>40</v>
      </c>
      <c r="M424" s="17">
        <v>34.200000000000003</v>
      </c>
      <c r="N424" s="57" t="s">
        <v>37</v>
      </c>
      <c r="O424" s="57" t="s">
        <v>390</v>
      </c>
    </row>
    <row r="425" spans="1:16" s="17" customFormat="1" x14ac:dyDescent="0.25">
      <c r="A425" s="57" t="s">
        <v>369</v>
      </c>
      <c r="B425" s="57"/>
      <c r="C425" s="57"/>
      <c r="D425" s="57"/>
      <c r="E425" s="57"/>
      <c r="F425" s="57"/>
      <c r="G425" s="57"/>
      <c r="H425" s="57"/>
      <c r="I425" s="57"/>
      <c r="J425" s="57" t="s">
        <v>42</v>
      </c>
      <c r="K425" s="57"/>
      <c r="L425" s="17" t="s">
        <v>40</v>
      </c>
      <c r="M425" s="17">
        <v>5.3</v>
      </c>
      <c r="N425" s="17" t="s">
        <v>37</v>
      </c>
      <c r="O425" s="57" t="s">
        <v>393</v>
      </c>
    </row>
    <row r="426" spans="1:16" s="17" customFormat="1" x14ac:dyDescent="0.25">
      <c r="A426" s="17" t="s">
        <v>370</v>
      </c>
      <c r="J426" s="17" t="s">
        <v>42</v>
      </c>
      <c r="L426" s="17" t="s">
        <v>40</v>
      </c>
      <c r="M426" s="17">
        <v>24</v>
      </c>
      <c r="N426" s="17" t="s">
        <v>37</v>
      </c>
      <c r="O426" s="57" t="s">
        <v>394</v>
      </c>
    </row>
    <row r="429" spans="1:16" x14ac:dyDescent="0.25">
      <c r="A429" s="2" t="s">
        <v>57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3"/>
      <c r="M429" s="3"/>
      <c r="N429" s="3"/>
      <c r="O429" s="3"/>
      <c r="P429" s="3"/>
    </row>
    <row r="430" spans="1:16" x14ac:dyDescent="0.25">
      <c r="L430" s="7" t="s">
        <v>83</v>
      </c>
      <c r="M430" s="7">
        <v>0</v>
      </c>
      <c r="N430" s="7" t="s">
        <v>37</v>
      </c>
      <c r="O430" s="7" t="s">
        <v>43</v>
      </c>
    </row>
    <row r="431" spans="1:16" x14ac:dyDescent="0.25">
      <c r="L431" s="7" t="s">
        <v>84</v>
      </c>
      <c r="M431" s="7">
        <v>0</v>
      </c>
      <c r="N431" s="7" t="s">
        <v>37</v>
      </c>
      <c r="O431" s="7" t="s">
        <v>43</v>
      </c>
    </row>
    <row r="432" spans="1:16" x14ac:dyDescent="0.25">
      <c r="A432" s="4" t="s">
        <v>9</v>
      </c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5"/>
      <c r="M432" s="5"/>
      <c r="N432" s="5"/>
      <c r="O432" s="5"/>
      <c r="P432" s="5"/>
    </row>
    <row r="433" spans="1:16" x14ac:dyDescent="0.25">
      <c r="A433" t="s">
        <v>168</v>
      </c>
      <c r="D433" t="s">
        <v>36</v>
      </c>
      <c r="L433" t="s">
        <v>83</v>
      </c>
      <c r="M433">
        <v>79</v>
      </c>
      <c r="N433" t="s">
        <v>37</v>
      </c>
      <c r="P433" t="s">
        <v>89</v>
      </c>
    </row>
    <row r="434" spans="1:16" x14ac:dyDescent="0.25">
      <c r="A434" t="s">
        <v>168</v>
      </c>
      <c r="D434" t="s">
        <v>36</v>
      </c>
      <c r="H434" t="s">
        <v>332</v>
      </c>
      <c r="L434" t="s">
        <v>84</v>
      </c>
      <c r="M434">
        <f>19+2</f>
        <v>21</v>
      </c>
      <c r="N434" t="s">
        <v>37</v>
      </c>
      <c r="O434" t="s">
        <v>334</v>
      </c>
      <c r="P434" t="s">
        <v>89</v>
      </c>
    </row>
    <row r="435" spans="1:16" x14ac:dyDescent="0.25">
      <c r="A435" t="s">
        <v>173</v>
      </c>
      <c r="D435" t="s">
        <v>36</v>
      </c>
      <c r="L435" t="s">
        <v>83</v>
      </c>
      <c r="M435">
        <v>95</v>
      </c>
      <c r="N435" t="s">
        <v>37</v>
      </c>
      <c r="P435" s="6" t="s">
        <v>331</v>
      </c>
    </row>
    <row r="436" spans="1:16" x14ac:dyDescent="0.25">
      <c r="A436" t="s">
        <v>173</v>
      </c>
      <c r="D436" t="s">
        <v>36</v>
      </c>
      <c r="H436" t="s">
        <v>332</v>
      </c>
      <c r="L436" t="s">
        <v>84</v>
      </c>
      <c r="M436">
        <v>5</v>
      </c>
      <c r="N436" t="s">
        <v>37</v>
      </c>
      <c r="O436" t="s">
        <v>333</v>
      </c>
      <c r="P436" s="6" t="s">
        <v>331</v>
      </c>
    </row>
    <row r="437" spans="1:16" x14ac:dyDescent="0.25">
      <c r="A437" s="8" t="s">
        <v>169</v>
      </c>
      <c r="B437" s="8"/>
      <c r="C437" s="8"/>
      <c r="D437" s="8" t="s">
        <v>47</v>
      </c>
      <c r="E437" s="8"/>
      <c r="F437" s="8"/>
      <c r="G437" s="8"/>
      <c r="H437" s="8"/>
      <c r="I437" s="8"/>
      <c r="J437" s="8"/>
      <c r="K437" s="8"/>
      <c r="L437" t="s">
        <v>83</v>
      </c>
      <c r="M437" s="8">
        <v>72</v>
      </c>
      <c r="N437" s="8" t="s">
        <v>37</v>
      </c>
      <c r="O437" s="8"/>
      <c r="P437" t="s">
        <v>89</v>
      </c>
    </row>
    <row r="438" spans="1:16" x14ac:dyDescent="0.25">
      <c r="A438" s="8" t="s">
        <v>169</v>
      </c>
      <c r="B438" s="8"/>
      <c r="C438" s="8"/>
      <c r="D438" s="8" t="s">
        <v>47</v>
      </c>
      <c r="E438" s="8"/>
      <c r="F438" s="8"/>
      <c r="G438" s="8"/>
      <c r="H438" t="s">
        <v>332</v>
      </c>
      <c r="I438" s="8"/>
      <c r="J438" s="8"/>
      <c r="K438" s="8"/>
      <c r="L438" t="s">
        <v>84</v>
      </c>
      <c r="M438" s="8">
        <v>19</v>
      </c>
      <c r="N438" s="8" t="s">
        <v>37</v>
      </c>
      <c r="O438" s="8" t="s">
        <v>335</v>
      </c>
      <c r="P438" t="s">
        <v>89</v>
      </c>
    </row>
    <row r="439" spans="1:16" x14ac:dyDescent="0.25">
      <c r="A439" s="8" t="s">
        <v>174</v>
      </c>
      <c r="B439" s="8"/>
      <c r="C439" s="8"/>
      <c r="D439" s="8" t="s">
        <v>47</v>
      </c>
      <c r="E439" s="8"/>
      <c r="F439" s="8"/>
      <c r="G439" s="8"/>
      <c r="H439" s="8"/>
      <c r="I439" s="8"/>
      <c r="J439" s="8"/>
      <c r="K439" s="8"/>
      <c r="L439" t="s">
        <v>83</v>
      </c>
      <c r="M439" s="9">
        <v>91</v>
      </c>
      <c r="N439" s="8" t="s">
        <v>37</v>
      </c>
      <c r="O439" s="8"/>
      <c r="P439" t="s">
        <v>89</v>
      </c>
    </row>
    <row r="440" spans="1:16" x14ac:dyDescent="0.25">
      <c r="A440" s="8" t="s">
        <v>174</v>
      </c>
      <c r="B440" s="8"/>
      <c r="C440" s="8"/>
      <c r="D440" s="8" t="s">
        <v>47</v>
      </c>
      <c r="E440" s="8"/>
      <c r="F440" s="8"/>
      <c r="G440" s="8"/>
      <c r="H440" t="s">
        <v>332</v>
      </c>
      <c r="I440" s="8"/>
      <c r="J440" s="8"/>
      <c r="K440" s="8"/>
      <c r="L440" t="s">
        <v>84</v>
      </c>
      <c r="M440" s="9">
        <v>9</v>
      </c>
      <c r="N440" s="9" t="s">
        <v>37</v>
      </c>
      <c r="O440" s="8" t="s">
        <v>336</v>
      </c>
      <c r="P440" t="s">
        <v>89</v>
      </c>
    </row>
    <row r="441" spans="1:16" x14ac:dyDescent="0.25">
      <c r="A441" t="s">
        <v>170</v>
      </c>
      <c r="B441" s="8"/>
      <c r="C441" s="8"/>
      <c r="D441" s="9" t="s">
        <v>87</v>
      </c>
      <c r="E441" s="9"/>
      <c r="F441" s="8"/>
      <c r="G441" s="8"/>
      <c r="H441" s="8"/>
      <c r="I441" s="8"/>
      <c r="J441" s="8"/>
      <c r="K441" s="8"/>
      <c r="L441" t="s">
        <v>83</v>
      </c>
      <c r="M441" s="9">
        <v>80</v>
      </c>
      <c r="N441" s="9" t="s">
        <v>37</v>
      </c>
      <c r="O441" s="8"/>
      <c r="P441" t="s">
        <v>89</v>
      </c>
    </row>
    <row r="442" spans="1:16" x14ac:dyDescent="0.25">
      <c r="A442" t="s">
        <v>170</v>
      </c>
      <c r="B442" s="8"/>
      <c r="C442" s="8"/>
      <c r="D442" s="9" t="s">
        <v>87</v>
      </c>
      <c r="E442" s="9"/>
      <c r="F442" s="8"/>
      <c r="G442" s="8"/>
      <c r="H442" t="s">
        <v>332</v>
      </c>
      <c r="I442" s="8"/>
      <c r="J442" s="8"/>
      <c r="K442" s="8"/>
      <c r="L442" t="s">
        <v>84</v>
      </c>
      <c r="M442" s="9">
        <v>20</v>
      </c>
      <c r="N442" s="9" t="s">
        <v>37</v>
      </c>
      <c r="O442" s="8" t="s">
        <v>337</v>
      </c>
      <c r="P442" t="s">
        <v>89</v>
      </c>
    </row>
    <row r="443" spans="1:16" x14ac:dyDescent="0.25">
      <c r="A443" t="s">
        <v>175</v>
      </c>
      <c r="B443" s="8"/>
      <c r="C443" s="8"/>
      <c r="D443" s="9" t="s">
        <v>87</v>
      </c>
      <c r="E443" s="9"/>
      <c r="F443" s="8"/>
      <c r="G443" s="8"/>
      <c r="H443" s="9"/>
      <c r="I443" s="8"/>
      <c r="J443" s="8"/>
      <c r="K443" s="8"/>
      <c r="L443" t="s">
        <v>83</v>
      </c>
      <c r="M443" s="9">
        <v>100</v>
      </c>
      <c r="N443" s="9" t="s">
        <v>37</v>
      </c>
      <c r="O443" s="8"/>
      <c r="P443" t="s">
        <v>89</v>
      </c>
    </row>
    <row r="444" spans="1:16" x14ac:dyDescent="0.25">
      <c r="A444" t="s">
        <v>171</v>
      </c>
      <c r="B444" s="8"/>
      <c r="C444" s="8"/>
      <c r="D444" s="9" t="s">
        <v>88</v>
      </c>
      <c r="E444" s="9"/>
      <c r="F444" s="8"/>
      <c r="G444" s="8"/>
      <c r="H444" s="8"/>
      <c r="I444" s="8"/>
      <c r="J444" s="8"/>
      <c r="K444" s="8"/>
      <c r="L444" t="s">
        <v>83</v>
      </c>
      <c r="M444" s="9">
        <v>53</v>
      </c>
      <c r="N444" s="9" t="s">
        <v>37</v>
      </c>
      <c r="O444" s="8"/>
      <c r="P444" t="s">
        <v>89</v>
      </c>
    </row>
    <row r="445" spans="1:16" x14ac:dyDescent="0.25">
      <c r="A445" t="s">
        <v>171</v>
      </c>
      <c r="B445" s="8"/>
      <c r="C445" s="8"/>
      <c r="D445" s="9" t="s">
        <v>88</v>
      </c>
      <c r="E445" s="9"/>
      <c r="F445" s="8"/>
      <c r="G445" s="8"/>
      <c r="H445" t="s">
        <v>339</v>
      </c>
      <c r="I445" s="8"/>
      <c r="J445" s="8"/>
      <c r="K445" s="8"/>
      <c r="L445" t="s">
        <v>84</v>
      </c>
      <c r="M445" s="9">
        <f>20+27</f>
        <v>47</v>
      </c>
      <c r="N445" s="9" t="s">
        <v>37</v>
      </c>
      <c r="O445" s="19" t="s">
        <v>338</v>
      </c>
      <c r="P445" t="s">
        <v>89</v>
      </c>
    </row>
    <row r="446" spans="1:16" x14ac:dyDescent="0.25">
      <c r="A446" t="s">
        <v>176</v>
      </c>
      <c r="B446" s="8"/>
      <c r="C446" s="8"/>
      <c r="D446" s="9" t="s">
        <v>88</v>
      </c>
      <c r="E446" s="9"/>
      <c r="F446" s="8"/>
      <c r="G446" s="8"/>
      <c r="H446" s="9"/>
      <c r="I446" s="8"/>
      <c r="J446" s="8"/>
      <c r="K446" s="8"/>
      <c r="L446" t="s">
        <v>83</v>
      </c>
      <c r="M446" s="9">
        <v>73</v>
      </c>
      <c r="N446" s="9" t="s">
        <v>37</v>
      </c>
      <c r="O446" s="8"/>
      <c r="P446" t="s">
        <v>89</v>
      </c>
    </row>
    <row r="447" spans="1:16" x14ac:dyDescent="0.25">
      <c r="A447" t="s">
        <v>176</v>
      </c>
      <c r="B447" s="8"/>
      <c r="C447" s="8"/>
      <c r="D447" s="9" t="s">
        <v>88</v>
      </c>
      <c r="E447" s="9"/>
      <c r="F447" s="8"/>
      <c r="G447" s="8"/>
      <c r="H447" t="s">
        <v>339</v>
      </c>
      <c r="I447" s="8"/>
      <c r="J447" s="8"/>
      <c r="K447" s="8"/>
      <c r="L447" t="s">
        <v>84</v>
      </c>
      <c r="M447" s="9">
        <v>27</v>
      </c>
      <c r="N447" s="9" t="s">
        <v>37</v>
      </c>
      <c r="O447" s="8" t="s">
        <v>340</v>
      </c>
      <c r="P447" t="s">
        <v>89</v>
      </c>
    </row>
    <row r="448" spans="1:16" x14ac:dyDescent="0.25">
      <c r="A448" t="s">
        <v>275</v>
      </c>
      <c r="B448" s="10"/>
      <c r="C448" s="10"/>
      <c r="D448" s="9" t="s">
        <v>36</v>
      </c>
      <c r="E448" s="9"/>
      <c r="F448" s="10"/>
      <c r="G448" s="10"/>
      <c r="H448" s="10"/>
      <c r="I448" s="10"/>
      <c r="J448" s="10"/>
      <c r="K448" s="10"/>
      <c r="L448" t="s">
        <v>83</v>
      </c>
      <c r="M448" s="20">
        <v>100</v>
      </c>
      <c r="N448" s="9" t="s">
        <v>37</v>
      </c>
      <c r="O448" s="8" t="s">
        <v>341</v>
      </c>
      <c r="P448" s="8"/>
    </row>
    <row r="449" spans="1:16" x14ac:dyDescent="0.25">
      <c r="A449" t="s">
        <v>276</v>
      </c>
      <c r="B449" s="10"/>
      <c r="C449" s="10"/>
      <c r="D449" s="8" t="s">
        <v>47</v>
      </c>
      <c r="E449" s="8"/>
      <c r="F449" s="10"/>
      <c r="G449" s="10"/>
      <c r="H449" s="10"/>
      <c r="I449" s="10"/>
      <c r="J449" s="10"/>
      <c r="K449" s="10"/>
      <c r="L449" t="s">
        <v>83</v>
      </c>
      <c r="M449" s="20">
        <v>100</v>
      </c>
      <c r="N449" s="9" t="s">
        <v>37</v>
      </c>
      <c r="O449" s="8" t="s">
        <v>341</v>
      </c>
      <c r="P449" s="8"/>
    </row>
    <row r="450" spans="1:16" x14ac:dyDescent="0.25">
      <c r="A450" t="s">
        <v>277</v>
      </c>
      <c r="B450" s="10"/>
      <c r="C450" s="10"/>
      <c r="D450" s="9" t="s">
        <v>87</v>
      </c>
      <c r="E450" s="9"/>
      <c r="F450" s="10"/>
      <c r="G450" s="10"/>
      <c r="H450" s="10"/>
      <c r="I450" s="10"/>
      <c r="J450" s="10"/>
      <c r="K450" s="10"/>
      <c r="L450" t="s">
        <v>83</v>
      </c>
      <c r="M450" s="20">
        <v>100</v>
      </c>
      <c r="N450" s="9" t="s">
        <v>37</v>
      </c>
      <c r="O450" s="8" t="s">
        <v>341</v>
      </c>
      <c r="P450" s="8"/>
    </row>
    <row r="451" spans="1:16" x14ac:dyDescent="0.25">
      <c r="A451" t="s">
        <v>278</v>
      </c>
      <c r="B451" s="10"/>
      <c r="C451" s="10"/>
      <c r="D451" s="9" t="s">
        <v>88</v>
      </c>
      <c r="E451" s="9"/>
      <c r="F451" s="10"/>
      <c r="G451" s="10"/>
      <c r="H451" s="10"/>
      <c r="I451" s="10"/>
      <c r="J451" s="10"/>
      <c r="K451" s="10"/>
      <c r="L451" t="s">
        <v>83</v>
      </c>
      <c r="M451" s="20">
        <v>100</v>
      </c>
      <c r="N451" s="9" t="s">
        <v>37</v>
      </c>
      <c r="O451" s="8" t="s">
        <v>341</v>
      </c>
      <c r="P451" s="8"/>
    </row>
    <row r="452" spans="1:16" x14ac:dyDescent="0.25">
      <c r="A452" s="48" t="s">
        <v>386</v>
      </c>
      <c r="B452" s="68"/>
      <c r="C452" s="68"/>
      <c r="D452" s="69" t="s">
        <v>460</v>
      </c>
      <c r="E452" s="69"/>
      <c r="F452" s="68"/>
      <c r="G452" s="68"/>
      <c r="H452" s="68"/>
      <c r="I452" s="68"/>
      <c r="J452" s="68"/>
      <c r="K452" s="68"/>
      <c r="L452" s="48" t="s">
        <v>83</v>
      </c>
      <c r="M452" s="70">
        <v>100</v>
      </c>
      <c r="N452" s="69" t="s">
        <v>37</v>
      </c>
      <c r="O452" s="8"/>
      <c r="P452" s="8"/>
    </row>
    <row r="453" spans="1:16" x14ac:dyDescent="0.25">
      <c r="A453" s="4" t="s">
        <v>10</v>
      </c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5"/>
      <c r="M453" s="5"/>
      <c r="N453" s="5"/>
      <c r="O453" s="5"/>
      <c r="P453" s="5"/>
    </row>
    <row r="454" spans="1:16" x14ac:dyDescent="0.25">
      <c r="A454" s="17" t="s">
        <v>96</v>
      </c>
      <c r="B454" s="8"/>
      <c r="C454" s="8"/>
      <c r="D454" s="9" t="s">
        <v>102</v>
      </c>
      <c r="E454" s="9"/>
      <c r="F454" s="8"/>
      <c r="G454" s="8"/>
      <c r="H454" s="9"/>
      <c r="I454" s="8"/>
      <c r="J454" s="8"/>
      <c r="K454" s="8"/>
      <c r="L454" t="s">
        <v>83</v>
      </c>
      <c r="M454" s="11">
        <v>100</v>
      </c>
      <c r="N454" s="9" t="s">
        <v>37</v>
      </c>
      <c r="O454" s="10" t="s">
        <v>101</v>
      </c>
    </row>
    <row r="455" spans="1:16" x14ac:dyDescent="0.25">
      <c r="A455" s="17" t="s">
        <v>97</v>
      </c>
      <c r="B455" s="8"/>
      <c r="C455" s="8"/>
      <c r="D455" s="9" t="s">
        <v>102</v>
      </c>
      <c r="E455" s="9"/>
      <c r="F455" s="8"/>
      <c r="G455" s="8"/>
      <c r="H455" s="9"/>
      <c r="I455" s="8"/>
      <c r="J455" s="8"/>
      <c r="K455" s="8"/>
      <c r="L455" t="s">
        <v>83</v>
      </c>
      <c r="M455" s="9">
        <v>50</v>
      </c>
      <c r="N455" s="9" t="s">
        <v>37</v>
      </c>
      <c r="O455" s="8"/>
    </row>
    <row r="456" spans="1:16" x14ac:dyDescent="0.25">
      <c r="A456" s="17" t="s">
        <v>97</v>
      </c>
      <c r="B456" s="8"/>
      <c r="C456" s="8"/>
      <c r="D456" s="9" t="s">
        <v>102</v>
      </c>
      <c r="E456" s="9"/>
      <c r="F456" s="8"/>
      <c r="G456" s="8"/>
      <c r="H456" s="9" t="s">
        <v>113</v>
      </c>
      <c r="I456" s="8"/>
      <c r="J456" s="8"/>
      <c r="K456" s="8"/>
      <c r="L456" t="s">
        <v>84</v>
      </c>
      <c r="M456" s="9">
        <v>50</v>
      </c>
      <c r="N456" s="9" t="s">
        <v>37</v>
      </c>
      <c r="O456" s="8"/>
    </row>
    <row r="457" spans="1:16" x14ac:dyDescent="0.25">
      <c r="A457" s="17" t="s">
        <v>198</v>
      </c>
      <c r="B457" s="8"/>
      <c r="C457" s="8"/>
      <c r="D457" s="11" t="s">
        <v>103</v>
      </c>
      <c r="E457" s="11"/>
      <c r="F457" s="8"/>
      <c r="G457" s="8"/>
      <c r="H457" s="9"/>
      <c r="I457" s="8"/>
      <c r="J457" s="8"/>
      <c r="K457" s="8"/>
      <c r="L457" t="s">
        <v>83</v>
      </c>
      <c r="M457" s="18">
        <v>20</v>
      </c>
      <c r="N457" s="9" t="s">
        <v>37</v>
      </c>
      <c r="O457" s="10" t="s">
        <v>199</v>
      </c>
    </row>
    <row r="458" spans="1:16" x14ac:dyDescent="0.25">
      <c r="A458" s="17" t="s">
        <v>98</v>
      </c>
      <c r="B458" s="8"/>
      <c r="C458" s="8"/>
      <c r="D458" s="9" t="s">
        <v>103</v>
      </c>
      <c r="E458" s="9"/>
      <c r="F458" s="8"/>
      <c r="G458" s="8"/>
      <c r="H458" s="9"/>
      <c r="I458" s="8"/>
      <c r="J458" s="8"/>
      <c r="K458" s="8"/>
      <c r="L458" t="s">
        <v>83</v>
      </c>
      <c r="M458" s="18">
        <v>19</v>
      </c>
      <c r="N458" s="9" t="s">
        <v>37</v>
      </c>
      <c r="O458" s="19"/>
    </row>
    <row r="459" spans="1:16" x14ac:dyDescent="0.25">
      <c r="A459" s="17" t="s">
        <v>98</v>
      </c>
      <c r="B459" s="8"/>
      <c r="C459" s="8"/>
      <c r="D459" s="9" t="s">
        <v>103</v>
      </c>
      <c r="E459" s="9"/>
      <c r="F459" s="8"/>
      <c r="G459" s="8"/>
      <c r="H459" t="s">
        <v>180</v>
      </c>
      <c r="I459" s="8"/>
      <c r="J459" s="8"/>
      <c r="K459" s="8"/>
      <c r="L459" t="s">
        <v>84</v>
      </c>
      <c r="M459" s="28">
        <f>0.02*0.5*100/(844/1000)/0.9</f>
        <v>1.3164823591363877</v>
      </c>
      <c r="N459" s="9" t="s">
        <v>37</v>
      </c>
      <c r="O459" s="19" t="s">
        <v>181</v>
      </c>
      <c r="P459" s="9" t="s">
        <v>182</v>
      </c>
    </row>
    <row r="460" spans="1:16" x14ac:dyDescent="0.25">
      <c r="A460" s="4" t="s">
        <v>11</v>
      </c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5"/>
      <c r="M460" s="5"/>
      <c r="N460" s="5"/>
      <c r="O460" s="5"/>
      <c r="P460" s="5"/>
    </row>
    <row r="461" spans="1:16" x14ac:dyDescent="0.25">
      <c r="A461" s="17" t="s">
        <v>124</v>
      </c>
      <c r="D461" s="9" t="s">
        <v>125</v>
      </c>
      <c r="E461" s="9"/>
      <c r="L461" t="s">
        <v>83</v>
      </c>
      <c r="M461" s="18">
        <v>100</v>
      </c>
      <c r="N461" s="17" t="s">
        <v>37</v>
      </c>
    </row>
    <row r="462" spans="1:16" s="17" customFormat="1" x14ac:dyDescent="0.25">
      <c r="A462" s="17" t="s">
        <v>350</v>
      </c>
      <c r="D462" s="18" t="s">
        <v>401</v>
      </c>
      <c r="E462" s="18"/>
      <c r="L462" s="17" t="s">
        <v>83</v>
      </c>
      <c r="M462" s="18">
        <v>100</v>
      </c>
      <c r="N462" s="17" t="s">
        <v>37</v>
      </c>
    </row>
    <row r="463" spans="1:16" x14ac:dyDescent="0.25">
      <c r="A463" s="17" t="s">
        <v>130</v>
      </c>
      <c r="D463" s="9" t="s">
        <v>136</v>
      </c>
      <c r="E463" s="9"/>
      <c r="L463" t="s">
        <v>83</v>
      </c>
      <c r="M463" s="18">
        <v>100</v>
      </c>
      <c r="N463" s="17" t="s">
        <v>37</v>
      </c>
    </row>
    <row r="464" spans="1:16" x14ac:dyDescent="0.25">
      <c r="A464" s="17" t="s">
        <v>126</v>
      </c>
      <c r="D464" s="9" t="s">
        <v>132</v>
      </c>
      <c r="E464" s="9"/>
      <c r="L464" t="s">
        <v>83</v>
      </c>
      <c r="M464" s="18">
        <v>100</v>
      </c>
      <c r="N464" s="17" t="s">
        <v>37</v>
      </c>
    </row>
    <row r="465" spans="1:16" x14ac:dyDescent="0.25">
      <c r="A465" s="17" t="s">
        <v>127</v>
      </c>
      <c r="D465" s="9" t="s">
        <v>133</v>
      </c>
      <c r="E465" s="9"/>
      <c r="L465" t="s">
        <v>83</v>
      </c>
      <c r="M465" s="18">
        <v>100</v>
      </c>
      <c r="N465" s="17" t="s">
        <v>37</v>
      </c>
    </row>
    <row r="466" spans="1:16" x14ac:dyDescent="0.25">
      <c r="A466" s="17" t="s">
        <v>128</v>
      </c>
      <c r="D466" s="9" t="s">
        <v>134</v>
      </c>
      <c r="E466" s="9"/>
      <c r="L466" t="s">
        <v>83</v>
      </c>
      <c r="M466" s="18">
        <v>100</v>
      </c>
      <c r="N466" s="17" t="s">
        <v>37</v>
      </c>
    </row>
    <row r="467" spans="1:16" x14ac:dyDescent="0.25">
      <c r="A467" s="17" t="s">
        <v>129</v>
      </c>
      <c r="D467" s="9" t="s">
        <v>131</v>
      </c>
      <c r="E467" s="9"/>
      <c r="L467" t="s">
        <v>83</v>
      </c>
      <c r="M467" s="18">
        <v>100</v>
      </c>
      <c r="N467" s="17" t="s">
        <v>37</v>
      </c>
    </row>
    <row r="468" spans="1:16" x14ac:dyDescent="0.25">
      <c r="A468" s="17" t="s">
        <v>104</v>
      </c>
      <c r="B468" s="8"/>
      <c r="C468" s="8"/>
      <c r="D468" s="9" t="s">
        <v>106</v>
      </c>
      <c r="E468" s="9"/>
      <c r="F468" s="8"/>
      <c r="G468" s="8"/>
      <c r="H468" s="9"/>
      <c r="I468" s="8"/>
      <c r="J468" s="8"/>
      <c r="K468" s="8"/>
      <c r="L468" t="s">
        <v>83</v>
      </c>
      <c r="M468" s="18">
        <v>100</v>
      </c>
      <c r="N468" s="17" t="s">
        <v>37</v>
      </c>
      <c r="O468" s="10"/>
    </row>
    <row r="469" spans="1:16" x14ac:dyDescent="0.25">
      <c r="A469" s="17" t="s">
        <v>107</v>
      </c>
      <c r="B469" s="8"/>
      <c r="C469" s="8"/>
      <c r="D469" s="9" t="s">
        <v>108</v>
      </c>
      <c r="E469" s="9"/>
      <c r="F469" s="8"/>
      <c r="G469" s="8"/>
      <c r="H469" s="9"/>
      <c r="I469" s="8"/>
      <c r="J469" s="8"/>
      <c r="K469" s="8"/>
      <c r="L469" t="s">
        <v>83</v>
      </c>
      <c r="M469" s="18">
        <v>100</v>
      </c>
      <c r="N469" s="17" t="s">
        <v>37</v>
      </c>
      <c r="O469" s="10"/>
    </row>
    <row r="470" spans="1:16" x14ac:dyDescent="0.25">
      <c r="A470" s="17" t="s">
        <v>137</v>
      </c>
      <c r="B470" s="8"/>
      <c r="C470" s="8"/>
      <c r="D470" s="9" t="s">
        <v>135</v>
      </c>
      <c r="E470" s="9"/>
      <c r="F470" s="8"/>
      <c r="G470" s="8"/>
      <c r="H470" s="9"/>
      <c r="I470" s="8"/>
      <c r="J470" s="8"/>
      <c r="K470" s="8"/>
      <c r="L470" t="s">
        <v>83</v>
      </c>
      <c r="M470" s="18">
        <v>100</v>
      </c>
      <c r="N470" s="17" t="s">
        <v>37</v>
      </c>
      <c r="O470" s="10"/>
    </row>
    <row r="471" spans="1:16" x14ac:dyDescent="0.25">
      <c r="A471" s="4" t="s">
        <v>12</v>
      </c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5"/>
      <c r="M471" s="5"/>
      <c r="N471" s="5"/>
      <c r="O471" s="5"/>
      <c r="P471" s="5"/>
    </row>
    <row r="472" spans="1:16" x14ac:dyDescent="0.25">
      <c r="A472" s="17" t="s">
        <v>229</v>
      </c>
      <c r="D472" s="9" t="s">
        <v>227</v>
      </c>
      <c r="E472" s="9"/>
      <c r="L472" t="s">
        <v>83</v>
      </c>
      <c r="M472" s="17">
        <v>100</v>
      </c>
      <c r="N472" s="17" t="s">
        <v>37</v>
      </c>
    </row>
    <row r="473" spans="1:16" x14ac:dyDescent="0.25">
      <c r="A473" s="17" t="s">
        <v>230</v>
      </c>
      <c r="D473" s="9" t="s">
        <v>227</v>
      </c>
      <c r="E473" s="9"/>
      <c r="L473" t="s">
        <v>83</v>
      </c>
      <c r="M473" s="17">
        <v>65</v>
      </c>
      <c r="N473" s="17" t="s">
        <v>37</v>
      </c>
      <c r="P473" t="s">
        <v>89</v>
      </c>
    </row>
    <row r="474" spans="1:16" x14ac:dyDescent="0.25">
      <c r="A474" s="17" t="s">
        <v>230</v>
      </c>
      <c r="D474" s="9" t="s">
        <v>227</v>
      </c>
      <c r="E474" s="9"/>
      <c r="H474" s="19" t="s">
        <v>228</v>
      </c>
      <c r="L474" t="s">
        <v>84</v>
      </c>
      <c r="M474" s="17">
        <v>35</v>
      </c>
      <c r="N474" s="17" t="s">
        <v>37</v>
      </c>
      <c r="P474" t="s">
        <v>89</v>
      </c>
    </row>
    <row r="475" spans="1:16" x14ac:dyDescent="0.25">
      <c r="A475" s="17" t="s">
        <v>231</v>
      </c>
      <c r="D475" s="9" t="s">
        <v>227</v>
      </c>
      <c r="E475" s="9"/>
      <c r="L475" t="s">
        <v>83</v>
      </c>
      <c r="M475" s="17">
        <v>22</v>
      </c>
      <c r="N475" s="17" t="s">
        <v>37</v>
      </c>
      <c r="P475" t="s">
        <v>89</v>
      </c>
    </row>
    <row r="476" spans="1:16" x14ac:dyDescent="0.25">
      <c r="A476" s="17" t="s">
        <v>231</v>
      </c>
      <c r="D476" s="9" t="s">
        <v>227</v>
      </c>
      <c r="E476" s="9"/>
      <c r="H476" s="19" t="s">
        <v>228</v>
      </c>
      <c r="L476" t="s">
        <v>84</v>
      </c>
      <c r="M476" s="17">
        <v>35</v>
      </c>
      <c r="N476" s="17" t="s">
        <v>37</v>
      </c>
      <c r="P476" t="s">
        <v>89</v>
      </c>
    </row>
    <row r="477" spans="1:16" x14ac:dyDescent="0.25">
      <c r="A477" s="17" t="s">
        <v>233</v>
      </c>
      <c r="D477" s="9" t="s">
        <v>235</v>
      </c>
      <c r="E477" s="9"/>
      <c r="L477" t="s">
        <v>83</v>
      </c>
      <c r="M477" s="17">
        <v>100</v>
      </c>
      <c r="N477" s="17" t="s">
        <v>37</v>
      </c>
    </row>
    <row r="478" spans="1:16" x14ac:dyDescent="0.25">
      <c r="A478" s="17" t="s">
        <v>241</v>
      </c>
      <c r="D478" s="9" t="s">
        <v>246</v>
      </c>
      <c r="E478" s="9"/>
      <c r="L478" t="s">
        <v>83</v>
      </c>
      <c r="M478" s="17">
        <v>100</v>
      </c>
      <c r="N478" s="17" t="s">
        <v>37</v>
      </c>
    </row>
    <row r="479" spans="1:16" x14ac:dyDescent="0.25">
      <c r="A479" s="17" t="s">
        <v>242</v>
      </c>
      <c r="D479" s="9" t="s">
        <v>247</v>
      </c>
      <c r="E479" s="9"/>
      <c r="L479" t="s">
        <v>83</v>
      </c>
      <c r="M479" s="17">
        <v>100</v>
      </c>
      <c r="N479" s="17" t="s">
        <v>37</v>
      </c>
    </row>
    <row r="480" spans="1:16" x14ac:dyDescent="0.25">
      <c r="A480" s="17" t="s">
        <v>248</v>
      </c>
      <c r="D480" s="9" t="s">
        <v>249</v>
      </c>
      <c r="E480" s="9"/>
      <c r="L480" t="s">
        <v>83</v>
      </c>
      <c r="M480" s="17">
        <v>100</v>
      </c>
      <c r="N480" s="17" t="s">
        <v>37</v>
      </c>
    </row>
    <row r="481" spans="1:19" x14ac:dyDescent="0.25">
      <c r="A481" s="17" t="s">
        <v>243</v>
      </c>
      <c r="D481" s="9" t="s">
        <v>250</v>
      </c>
      <c r="E481" s="9"/>
      <c r="L481" t="s">
        <v>83</v>
      </c>
      <c r="M481" s="17">
        <v>100</v>
      </c>
      <c r="N481" s="17" t="s">
        <v>37</v>
      </c>
      <c r="R481" s="76"/>
      <c r="S481" s="77" t="s">
        <v>465</v>
      </c>
    </row>
    <row r="482" spans="1:19" x14ac:dyDescent="0.25">
      <c r="A482" s="4" t="s">
        <v>13</v>
      </c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5"/>
      <c r="M482" s="5"/>
      <c r="N482" s="5"/>
      <c r="O482" s="5"/>
      <c r="P482" s="5"/>
      <c r="R482" s="72" t="s">
        <v>466</v>
      </c>
      <c r="S482" s="79">
        <v>4.2000000000000003E-2</v>
      </c>
    </row>
    <row r="483" spans="1:19" x14ac:dyDescent="0.25">
      <c r="A483" s="83" t="s">
        <v>467</v>
      </c>
      <c r="B483" s="83"/>
      <c r="C483" s="83"/>
      <c r="D483" s="83"/>
      <c r="E483" s="83"/>
      <c r="F483" s="83"/>
      <c r="G483" s="83"/>
      <c r="H483" s="83"/>
      <c r="I483" s="83"/>
      <c r="J483" s="83"/>
      <c r="K483" s="83"/>
      <c r="L483" s="44"/>
      <c r="M483" s="44"/>
      <c r="N483" s="44"/>
      <c r="O483" s="44"/>
      <c r="P483" s="44"/>
      <c r="R483" s="74" t="s">
        <v>59</v>
      </c>
      <c r="S483" s="80">
        <v>0.4</v>
      </c>
    </row>
    <row r="484" spans="1:19" x14ac:dyDescent="0.25">
      <c r="A484" s="10" t="s">
        <v>61</v>
      </c>
      <c r="B484" s="10"/>
      <c r="C484" s="10"/>
      <c r="D484" s="10"/>
      <c r="E484" s="10"/>
      <c r="F484" s="10" t="s">
        <v>77</v>
      </c>
      <c r="G484" s="10" t="s">
        <v>58</v>
      </c>
      <c r="H484" s="10"/>
      <c r="I484" s="10"/>
      <c r="J484" s="10"/>
      <c r="K484" s="10"/>
      <c r="L484" t="s">
        <v>83</v>
      </c>
      <c r="M484" s="12">
        <f>1 / ((S484-S485)/(S$482-S485)) * 100</f>
        <v>90.632911392405063</v>
      </c>
      <c r="N484" s="10" t="s">
        <v>37</v>
      </c>
      <c r="O484" t="s">
        <v>70</v>
      </c>
      <c r="P484" s="8" t="s">
        <v>90</v>
      </c>
      <c r="R484" s="71"/>
      <c r="S484" s="81">
        <v>5.0000000000000001E-3</v>
      </c>
    </row>
    <row r="485" spans="1:19" x14ac:dyDescent="0.25">
      <c r="A485" s="10" t="s">
        <v>61</v>
      </c>
      <c r="B485" s="10"/>
      <c r="C485" s="10"/>
      <c r="D485" s="10"/>
      <c r="E485" s="10"/>
      <c r="F485" s="10" t="s">
        <v>77</v>
      </c>
      <c r="G485" s="10" t="s">
        <v>58</v>
      </c>
      <c r="H485" s="10" t="s">
        <v>59</v>
      </c>
      <c r="I485" s="10"/>
      <c r="J485" s="10"/>
      <c r="K485" s="10"/>
      <c r="L485" t="s">
        <v>84</v>
      </c>
      <c r="M485" s="12">
        <f>100-M484</f>
        <v>9.3670886075949369</v>
      </c>
      <c r="N485" s="10" t="s">
        <v>37</v>
      </c>
      <c r="P485" s="8" t="s">
        <v>90</v>
      </c>
      <c r="R485" s="72"/>
      <c r="S485" s="82">
        <v>0.4</v>
      </c>
    </row>
    <row r="486" spans="1:19" x14ac:dyDescent="0.25">
      <c r="A486" s="10" t="s">
        <v>60</v>
      </c>
      <c r="B486" s="10"/>
      <c r="C486" s="10"/>
      <c r="D486" s="10"/>
      <c r="E486" s="10"/>
      <c r="F486" s="10" t="s">
        <v>77</v>
      </c>
      <c r="G486" s="10" t="s">
        <v>58</v>
      </c>
      <c r="H486" s="10"/>
      <c r="I486" s="10"/>
      <c r="J486" s="10"/>
      <c r="K486" s="10"/>
      <c r="L486" t="s">
        <v>83</v>
      </c>
      <c r="M486" s="12">
        <f>1 / ((S486-S487)/(S$482-S487)) * 100</f>
        <v>92.987012987012989</v>
      </c>
      <c r="N486" s="10" t="s">
        <v>37</v>
      </c>
      <c r="O486" t="s">
        <v>71</v>
      </c>
      <c r="P486" s="8" t="s">
        <v>90</v>
      </c>
      <c r="R486" s="72"/>
      <c r="S486" s="78">
        <v>1.4999999999999999E-2</v>
      </c>
    </row>
    <row r="487" spans="1:19" x14ac:dyDescent="0.25">
      <c r="A487" s="10" t="s">
        <v>60</v>
      </c>
      <c r="B487" s="10"/>
      <c r="C487" s="10"/>
      <c r="D487" s="10"/>
      <c r="E487" s="10"/>
      <c r="F487" s="10" t="s">
        <v>77</v>
      </c>
      <c r="G487" s="10" t="s">
        <v>58</v>
      </c>
      <c r="H487" s="10" t="s">
        <v>59</v>
      </c>
      <c r="I487" s="10"/>
      <c r="J487" s="10"/>
      <c r="K487" s="10"/>
      <c r="L487" t="s">
        <v>84</v>
      </c>
      <c r="M487" s="12">
        <f>100-M486</f>
        <v>7.0129870129870113</v>
      </c>
      <c r="N487" s="10" t="s">
        <v>37</v>
      </c>
      <c r="P487" s="8" t="s">
        <v>90</v>
      </c>
      <c r="R487" s="72"/>
      <c r="S487" s="82">
        <v>0.4</v>
      </c>
    </row>
    <row r="488" spans="1:19" x14ac:dyDescent="0.25">
      <c r="A488" s="10" t="s">
        <v>62</v>
      </c>
      <c r="B488" s="10"/>
      <c r="C488" s="10"/>
      <c r="D488" s="10"/>
      <c r="E488" s="10"/>
      <c r="F488" s="10" t="s">
        <v>77</v>
      </c>
      <c r="G488" s="10" t="s">
        <v>58</v>
      </c>
      <c r="H488" s="10"/>
      <c r="I488" s="10"/>
      <c r="J488" s="10"/>
      <c r="K488" s="10"/>
      <c r="L488" t="s">
        <v>83</v>
      </c>
      <c r="M488" s="12">
        <f>1 / ((S488-S489)/(S$482-S489)) * 100</f>
        <v>96.756756756756772</v>
      </c>
      <c r="N488" s="10" t="s">
        <v>37</v>
      </c>
      <c r="O488" t="s">
        <v>72</v>
      </c>
      <c r="P488" s="8" t="s">
        <v>90</v>
      </c>
      <c r="R488" s="72"/>
      <c r="S488" s="82">
        <v>0.03</v>
      </c>
    </row>
    <row r="489" spans="1:19" x14ac:dyDescent="0.25">
      <c r="A489" s="10" t="s">
        <v>62</v>
      </c>
      <c r="B489" s="10"/>
      <c r="C489" s="10"/>
      <c r="D489" s="10"/>
      <c r="E489" s="10"/>
      <c r="F489" s="10" t="s">
        <v>77</v>
      </c>
      <c r="G489" s="10" t="s">
        <v>58</v>
      </c>
      <c r="H489" s="10" t="s">
        <v>59</v>
      </c>
      <c r="I489" s="10"/>
      <c r="J489" s="10"/>
      <c r="K489" s="10"/>
      <c r="L489" t="s">
        <v>84</v>
      </c>
      <c r="M489" s="12">
        <f>100-M488</f>
        <v>3.2432432432432279</v>
      </c>
      <c r="N489" s="10" t="s">
        <v>37</v>
      </c>
      <c r="P489" s="8" t="s">
        <v>90</v>
      </c>
      <c r="R489" s="72"/>
      <c r="S489" s="82">
        <v>0.4</v>
      </c>
    </row>
    <row r="490" spans="1:19" x14ac:dyDescent="0.25">
      <c r="A490" s="10" t="s">
        <v>63</v>
      </c>
      <c r="B490" s="10"/>
      <c r="C490" s="10"/>
      <c r="D490" s="10"/>
      <c r="E490" s="10"/>
      <c r="F490" s="10" t="s">
        <v>77</v>
      </c>
      <c r="G490" s="10" t="s">
        <v>58</v>
      </c>
      <c r="H490" s="10"/>
      <c r="I490" s="10"/>
      <c r="J490" s="10"/>
      <c r="K490" s="10"/>
      <c r="L490" t="s">
        <v>83</v>
      </c>
      <c r="M490" s="12">
        <f>(100-M491)*0.1</f>
        <v>9.7000000000000011</v>
      </c>
      <c r="N490" s="10" t="s">
        <v>37</v>
      </c>
      <c r="O490" t="s">
        <v>78</v>
      </c>
      <c r="P490" s="8" t="s">
        <v>90</v>
      </c>
      <c r="R490" s="72"/>
      <c r="S490" s="82">
        <v>0.03</v>
      </c>
    </row>
    <row r="491" spans="1:19" x14ac:dyDescent="0.25">
      <c r="A491" s="10" t="s">
        <v>63</v>
      </c>
      <c r="B491" s="10"/>
      <c r="C491" s="10"/>
      <c r="D491" s="10"/>
      <c r="E491" s="10"/>
      <c r="F491" s="10" t="s">
        <v>77</v>
      </c>
      <c r="G491" s="10" t="s">
        <v>58</v>
      </c>
      <c r="H491" s="10" t="s">
        <v>59</v>
      </c>
      <c r="I491" s="10"/>
      <c r="J491" s="10"/>
      <c r="K491" s="10"/>
      <c r="L491" t="s">
        <v>84</v>
      </c>
      <c r="M491" s="12">
        <f>(S$482-S490)/S491*100</f>
        <v>3.0000000000000009</v>
      </c>
      <c r="N491" s="10" t="s">
        <v>37</v>
      </c>
      <c r="P491" s="8" t="s">
        <v>90</v>
      </c>
      <c r="R491" s="72"/>
      <c r="S491" s="82">
        <v>0.4</v>
      </c>
    </row>
    <row r="492" spans="1:19" x14ac:dyDescent="0.25">
      <c r="A492" s="10" t="s">
        <v>63</v>
      </c>
      <c r="B492" s="10"/>
      <c r="C492" s="10"/>
      <c r="D492" s="10"/>
      <c r="E492" s="10"/>
      <c r="F492" s="10" t="s">
        <v>77</v>
      </c>
      <c r="G492" s="10" t="s">
        <v>58</v>
      </c>
      <c r="H492" s="10" t="s">
        <v>69</v>
      </c>
      <c r="I492" s="10"/>
      <c r="J492" s="10"/>
      <c r="K492" s="10"/>
      <c r="L492" t="s">
        <v>84</v>
      </c>
      <c r="M492" s="12">
        <f>(100-M491)*0.9</f>
        <v>87.3</v>
      </c>
      <c r="N492" s="10" t="s">
        <v>37</v>
      </c>
      <c r="P492" s="8" t="s">
        <v>90</v>
      </c>
      <c r="R492" s="72"/>
      <c r="S492" s="73"/>
    </row>
    <row r="493" spans="1:19" x14ac:dyDescent="0.25">
      <c r="A493" s="83" t="s">
        <v>469</v>
      </c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M493" s="12"/>
      <c r="N493" s="10"/>
      <c r="P493" s="8"/>
      <c r="R493" s="72"/>
      <c r="S493" s="73"/>
    </row>
    <row r="494" spans="1:19" x14ac:dyDescent="0.25">
      <c r="A494" s="10" t="s">
        <v>67</v>
      </c>
      <c r="B494" s="10"/>
      <c r="C494" s="10"/>
      <c r="D494" s="10"/>
      <c r="E494" s="10"/>
      <c r="F494" s="10" t="s">
        <v>77</v>
      </c>
      <c r="G494" s="10" t="s">
        <v>58</v>
      </c>
      <c r="H494" s="10"/>
      <c r="I494" s="10"/>
      <c r="J494" s="10"/>
      <c r="K494" s="10"/>
      <c r="L494" t="s">
        <v>83</v>
      </c>
      <c r="M494" s="12">
        <f>1 / ((S494-S495)/(S$482-S495)) * 100</f>
        <v>119.33333333333334</v>
      </c>
      <c r="N494" s="10" t="s">
        <v>37</v>
      </c>
      <c r="O494" t="s">
        <v>76</v>
      </c>
      <c r="P494" s="8" t="s">
        <v>90</v>
      </c>
      <c r="R494" s="72"/>
      <c r="S494" s="82">
        <v>0.1</v>
      </c>
    </row>
    <row r="495" spans="1:19" x14ac:dyDescent="0.25">
      <c r="A495" s="10" t="s">
        <v>67</v>
      </c>
      <c r="B495" s="10"/>
      <c r="C495" s="10"/>
      <c r="D495" s="10"/>
      <c r="E495" s="10"/>
      <c r="F495" s="10" t="s">
        <v>77</v>
      </c>
      <c r="G495" s="10" t="s">
        <v>58</v>
      </c>
      <c r="H495" s="10" t="s">
        <v>59</v>
      </c>
      <c r="I495" s="10"/>
      <c r="J495" s="10"/>
      <c r="K495" s="10"/>
      <c r="L495" t="s">
        <v>84</v>
      </c>
      <c r="M495" s="12">
        <f>100-M494</f>
        <v>-19.333333333333343</v>
      </c>
      <c r="N495" s="10" t="s">
        <v>37</v>
      </c>
      <c r="P495" s="8"/>
      <c r="R495" s="72"/>
      <c r="S495" s="82">
        <v>0.4</v>
      </c>
    </row>
    <row r="496" spans="1:19" x14ac:dyDescent="0.25">
      <c r="A496" s="11" t="s">
        <v>68</v>
      </c>
      <c r="B496" s="10"/>
      <c r="C496" s="10"/>
      <c r="D496" s="10"/>
      <c r="E496" s="10"/>
      <c r="F496" s="10" t="s">
        <v>77</v>
      </c>
      <c r="G496" s="10" t="s">
        <v>58</v>
      </c>
      <c r="H496" s="10"/>
      <c r="I496" s="10"/>
      <c r="J496" s="10"/>
      <c r="K496" s="10"/>
      <c r="L496" t="s">
        <v>83</v>
      </c>
      <c r="M496" s="12">
        <f>1 / ((S496-S497)/(S$482-S497)) * 100</f>
        <v>127.85714285714288</v>
      </c>
      <c r="N496" s="10" t="s">
        <v>37</v>
      </c>
      <c r="O496" t="s">
        <v>73</v>
      </c>
      <c r="P496" s="8" t="s">
        <v>90</v>
      </c>
      <c r="R496" s="72"/>
      <c r="S496" s="82">
        <v>0.12</v>
      </c>
    </row>
    <row r="497" spans="1:19" x14ac:dyDescent="0.25">
      <c r="A497" s="11" t="s">
        <v>68</v>
      </c>
      <c r="B497" s="10"/>
      <c r="C497" s="10"/>
      <c r="D497" s="10"/>
      <c r="E497" s="10"/>
      <c r="F497" s="10" t="s">
        <v>77</v>
      </c>
      <c r="G497" s="10" t="s">
        <v>58</v>
      </c>
      <c r="H497" s="10" t="s">
        <v>59</v>
      </c>
      <c r="I497" s="10"/>
      <c r="J497" s="10"/>
      <c r="K497" s="10"/>
      <c r="L497" t="s">
        <v>84</v>
      </c>
      <c r="M497" s="12">
        <f>100-M496</f>
        <v>-27.857142857142875</v>
      </c>
      <c r="N497" s="10" t="s">
        <v>37</v>
      </c>
      <c r="P497" s="8"/>
      <c r="R497" s="72"/>
      <c r="S497" s="82">
        <v>0.4</v>
      </c>
    </row>
    <row r="498" spans="1:19" x14ac:dyDescent="0.25">
      <c r="A498" s="10" t="s">
        <v>65</v>
      </c>
      <c r="B498" s="10"/>
      <c r="C498" s="10"/>
      <c r="D498" s="10"/>
      <c r="E498" s="10"/>
      <c r="F498" s="10" t="s">
        <v>77</v>
      </c>
      <c r="G498" s="10" t="s">
        <v>58</v>
      </c>
      <c r="H498" s="10"/>
      <c r="I498" s="10"/>
      <c r="J498" s="10"/>
      <c r="K498" s="10"/>
      <c r="L498" t="s">
        <v>83</v>
      </c>
      <c r="M498" s="12">
        <f>1 / ((S498-S499)/(S$482-S499)) * 100</f>
        <v>132.59259259259261</v>
      </c>
      <c r="N498" s="10" t="s">
        <v>37</v>
      </c>
      <c r="O498" t="s">
        <v>74</v>
      </c>
      <c r="P498" s="8" t="s">
        <v>90</v>
      </c>
      <c r="R498" s="72"/>
      <c r="S498" s="82">
        <v>0.13</v>
      </c>
    </row>
    <row r="499" spans="1:19" x14ac:dyDescent="0.25">
      <c r="A499" s="10" t="s">
        <v>65</v>
      </c>
      <c r="B499" s="10"/>
      <c r="C499" s="10"/>
      <c r="D499" s="10"/>
      <c r="E499" s="10"/>
      <c r="F499" s="10" t="s">
        <v>77</v>
      </c>
      <c r="G499" s="10" t="s">
        <v>58</v>
      </c>
      <c r="H499" s="10" t="s">
        <v>59</v>
      </c>
      <c r="I499" s="10"/>
      <c r="J499" s="10"/>
      <c r="K499" s="10"/>
      <c r="L499" t="s">
        <v>84</v>
      </c>
      <c r="M499" s="12">
        <f>100-M498</f>
        <v>-32.592592592592609</v>
      </c>
      <c r="N499" s="10" t="s">
        <v>37</v>
      </c>
      <c r="P499" s="8"/>
      <c r="R499" s="72"/>
      <c r="S499" s="82">
        <v>0.4</v>
      </c>
    </row>
    <row r="500" spans="1:19" x14ac:dyDescent="0.25">
      <c r="A500" s="83" t="s">
        <v>468</v>
      </c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M500" s="12"/>
      <c r="N500" s="10"/>
      <c r="P500" s="8"/>
      <c r="R500" s="72"/>
      <c r="S500" s="82"/>
    </row>
    <row r="501" spans="1:19" x14ac:dyDescent="0.25">
      <c r="A501" s="10" t="s">
        <v>66</v>
      </c>
      <c r="B501" s="10"/>
      <c r="C501" s="10"/>
      <c r="D501" s="10"/>
      <c r="E501" s="10"/>
      <c r="F501" s="10"/>
      <c r="G501" s="10"/>
      <c r="H501" s="10" t="s">
        <v>59</v>
      </c>
      <c r="I501" s="10"/>
      <c r="J501" s="10"/>
      <c r="K501" s="10"/>
      <c r="L501" t="s">
        <v>83</v>
      </c>
      <c r="M501" s="12">
        <v>100</v>
      </c>
      <c r="N501" s="10" t="s">
        <v>37</v>
      </c>
      <c r="P501" s="8"/>
      <c r="R501" s="72"/>
      <c r="S501" s="82">
        <v>0.4</v>
      </c>
    </row>
    <row r="502" spans="1:19" x14ac:dyDescent="0.25">
      <c r="A502" s="10" t="s">
        <v>64</v>
      </c>
      <c r="B502" s="10"/>
      <c r="C502" s="10"/>
      <c r="D502" s="10"/>
      <c r="E502" s="10"/>
      <c r="F502" s="10"/>
      <c r="G502" s="10"/>
      <c r="H502" s="10" t="s">
        <v>59</v>
      </c>
      <c r="I502" s="10"/>
      <c r="J502" s="10"/>
      <c r="K502" s="10"/>
      <c r="L502" t="s">
        <v>83</v>
      </c>
      <c r="M502" s="12">
        <f>1/((0.4-0.8)/(0.01-0.4)+1)*100</f>
        <v>49.367088607594937</v>
      </c>
      <c r="N502" s="10" t="s">
        <v>37</v>
      </c>
      <c r="O502" t="s">
        <v>75</v>
      </c>
      <c r="P502" s="8" t="s">
        <v>90</v>
      </c>
      <c r="R502" s="72"/>
      <c r="S502" s="82">
        <v>0.8</v>
      </c>
    </row>
    <row r="503" spans="1:19" x14ac:dyDescent="0.25">
      <c r="A503" s="10" t="s">
        <v>64</v>
      </c>
      <c r="B503" s="8"/>
      <c r="C503" s="8"/>
      <c r="D503" s="8"/>
      <c r="E503" s="8"/>
      <c r="F503" s="10"/>
      <c r="G503" s="10"/>
      <c r="H503" s="10" t="s">
        <v>80</v>
      </c>
      <c r="I503" s="8"/>
      <c r="J503" s="8"/>
      <c r="K503" s="8"/>
      <c r="L503" t="s">
        <v>84</v>
      </c>
      <c r="M503" s="14">
        <f>1/((0.01-0.4)/(0.4-0.8)+1)*100</f>
        <v>50.632911392405056</v>
      </c>
      <c r="N503" s="10" t="s">
        <v>37</v>
      </c>
      <c r="O503" s="8" t="s">
        <v>81</v>
      </c>
      <c r="P503" s="8" t="s">
        <v>90</v>
      </c>
      <c r="R503" s="72"/>
      <c r="S503" s="82">
        <v>0.01</v>
      </c>
    </row>
    <row r="504" spans="1:19" x14ac:dyDescent="0.25">
      <c r="A504" s="10" t="s">
        <v>402</v>
      </c>
      <c r="B504" s="8"/>
      <c r="C504" s="8"/>
      <c r="D504" s="8"/>
      <c r="E504" s="8"/>
      <c r="F504" s="10"/>
      <c r="G504" s="10"/>
      <c r="H504" s="10"/>
      <c r="I504" s="8"/>
      <c r="J504" s="8"/>
      <c r="K504" s="8"/>
      <c r="M504" s="14"/>
      <c r="N504" s="10"/>
      <c r="O504" s="8"/>
      <c r="P504" s="8"/>
      <c r="R504" s="74"/>
      <c r="S504" s="75"/>
    </row>
    <row r="505" spans="1:19" x14ac:dyDescent="0.25">
      <c r="A505" s="4" t="s">
        <v>22</v>
      </c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5"/>
      <c r="M505" s="5"/>
      <c r="N505" s="5"/>
      <c r="O505" s="5"/>
      <c r="P505" s="5"/>
    </row>
    <row r="506" spans="1:19" x14ac:dyDescent="0.25">
      <c r="A506" s="8" t="s">
        <v>53</v>
      </c>
      <c r="B506" s="8"/>
      <c r="C506" s="8"/>
      <c r="D506" s="8"/>
      <c r="E506" s="8"/>
      <c r="F506" s="8" t="s">
        <v>56</v>
      </c>
      <c r="G506" s="8" t="s">
        <v>54</v>
      </c>
      <c r="H506" s="8"/>
      <c r="I506" s="8"/>
      <c r="J506" s="8"/>
      <c r="K506" s="8"/>
      <c r="L506" t="s">
        <v>83</v>
      </c>
      <c r="M506" s="18">
        <v>78</v>
      </c>
      <c r="N506" s="8" t="s">
        <v>37</v>
      </c>
      <c r="O506" s="46" t="s">
        <v>477</v>
      </c>
      <c r="P506" t="s">
        <v>476</v>
      </c>
    </row>
    <row r="507" spans="1:19" x14ac:dyDescent="0.25">
      <c r="A507" s="8" t="s">
        <v>53</v>
      </c>
      <c r="B507" s="8"/>
      <c r="C507" s="8"/>
      <c r="D507" s="8"/>
      <c r="E507" s="8"/>
      <c r="F507" s="8" t="s">
        <v>56</v>
      </c>
      <c r="G507" s="8" t="s">
        <v>54</v>
      </c>
      <c r="H507" s="8" t="s">
        <v>435</v>
      </c>
      <c r="I507" s="8"/>
      <c r="J507" s="8"/>
      <c r="K507" s="8"/>
      <c r="L507" t="s">
        <v>84</v>
      </c>
      <c r="M507" s="65">
        <f>(1/0.76)*4</f>
        <v>5.2631578947368425</v>
      </c>
      <c r="N507" s="8" t="s">
        <v>37</v>
      </c>
      <c r="O507" s="9" t="s">
        <v>93</v>
      </c>
      <c r="P507" s="8" t="s">
        <v>89</v>
      </c>
    </row>
    <row r="508" spans="1:19" x14ac:dyDescent="0.25">
      <c r="A508" s="8" t="s">
        <v>53</v>
      </c>
      <c r="B508" s="8"/>
      <c r="C508" s="8"/>
      <c r="D508" s="8"/>
      <c r="E508" s="8"/>
      <c r="F508" s="8" t="s">
        <v>56</v>
      </c>
      <c r="G508" s="8" t="s">
        <v>54</v>
      </c>
      <c r="H508" s="8" t="s">
        <v>440</v>
      </c>
      <c r="I508" s="8"/>
      <c r="J508" s="8"/>
      <c r="K508" s="8"/>
      <c r="L508" t="s">
        <v>84</v>
      </c>
      <c r="M508" s="65">
        <f>(1/0.76)*6</f>
        <v>7.8947368421052637</v>
      </c>
      <c r="N508" s="8" t="s">
        <v>37</v>
      </c>
      <c r="O508" s="9" t="s">
        <v>93</v>
      </c>
      <c r="P508" s="8" t="s">
        <v>89</v>
      </c>
    </row>
    <row r="509" spans="1:19" x14ac:dyDescent="0.25">
      <c r="A509" s="8" t="s">
        <v>53</v>
      </c>
      <c r="B509" s="8"/>
      <c r="C509" s="8"/>
      <c r="D509" s="8"/>
      <c r="E509" s="8"/>
      <c r="F509" s="8" t="s">
        <v>56</v>
      </c>
      <c r="G509" s="8" t="s">
        <v>54</v>
      </c>
      <c r="H509" s="8" t="s">
        <v>441</v>
      </c>
      <c r="I509" s="8"/>
      <c r="J509" s="8"/>
      <c r="K509" s="8"/>
      <c r="L509" t="s">
        <v>84</v>
      </c>
      <c r="M509" s="65">
        <f>(1/0.76)*5</f>
        <v>6.5789473684210531</v>
      </c>
      <c r="N509" s="8" t="s">
        <v>37</v>
      </c>
      <c r="O509" s="9" t="s">
        <v>93</v>
      </c>
      <c r="P509" s="8" t="s">
        <v>89</v>
      </c>
    </row>
    <row r="510" spans="1:19" x14ac:dyDescent="0.25">
      <c r="A510" s="8" t="s">
        <v>53</v>
      </c>
      <c r="B510" s="8"/>
      <c r="C510" s="8"/>
      <c r="D510" s="8"/>
      <c r="E510" s="8"/>
      <c r="F510" s="8" t="s">
        <v>56</v>
      </c>
      <c r="G510" s="8" t="s">
        <v>54</v>
      </c>
      <c r="H510" s="9" t="s">
        <v>446</v>
      </c>
      <c r="I510" s="8"/>
      <c r="J510" s="8"/>
      <c r="K510" s="8"/>
      <c r="L510" t="s">
        <v>84</v>
      </c>
      <c r="M510" s="65">
        <f>(1/0.76)*3.5</f>
        <v>4.6052631578947372</v>
      </c>
      <c r="N510" s="8" t="s">
        <v>37</v>
      </c>
      <c r="O510" s="9" t="s">
        <v>444</v>
      </c>
      <c r="P510" s="64" t="s">
        <v>443</v>
      </c>
    </row>
    <row r="511" spans="1:19" x14ac:dyDescent="0.25">
      <c r="A511" s="8" t="s">
        <v>53</v>
      </c>
      <c r="B511" s="8"/>
      <c r="C511" s="8"/>
      <c r="D511" s="8"/>
      <c r="E511" s="8"/>
      <c r="F511" s="8" t="s">
        <v>56</v>
      </c>
      <c r="G511" s="8" t="s">
        <v>54</v>
      </c>
      <c r="H511" s="8" t="s">
        <v>442</v>
      </c>
      <c r="I511" s="8"/>
      <c r="J511" s="8"/>
      <c r="K511" s="8"/>
      <c r="L511" t="s">
        <v>84</v>
      </c>
      <c r="M511" s="9">
        <v>18</v>
      </c>
      <c r="N511" s="8" t="s">
        <v>37</v>
      </c>
      <c r="O511" s="8"/>
      <c r="P511" s="8" t="s">
        <v>89</v>
      </c>
    </row>
    <row r="512" spans="1:19" x14ac:dyDescent="0.25">
      <c r="A512" t="s">
        <v>92</v>
      </c>
      <c r="B512" s="8"/>
      <c r="C512" s="8"/>
      <c r="D512" s="8"/>
      <c r="E512" s="8"/>
      <c r="F512" s="9" t="s">
        <v>77</v>
      </c>
      <c r="G512" s="9" t="s">
        <v>54</v>
      </c>
      <c r="H512" s="8"/>
      <c r="I512" s="8"/>
      <c r="J512" s="8"/>
      <c r="K512" s="8"/>
      <c r="L512" t="s">
        <v>83</v>
      </c>
      <c r="M512" s="18">
        <v>70</v>
      </c>
      <c r="N512" s="9" t="s">
        <v>37</v>
      </c>
      <c r="O512" s="46" t="s">
        <v>477</v>
      </c>
      <c r="P512" t="s">
        <v>476</v>
      </c>
    </row>
    <row r="513" spans="1:16" x14ac:dyDescent="0.25">
      <c r="A513" t="s">
        <v>92</v>
      </c>
      <c r="B513" s="8"/>
      <c r="C513" s="8"/>
      <c r="D513" s="8"/>
      <c r="E513" s="8"/>
      <c r="F513" s="9" t="s">
        <v>77</v>
      </c>
      <c r="G513" s="9" t="s">
        <v>54</v>
      </c>
      <c r="H513" s="9" t="s">
        <v>435</v>
      </c>
      <c r="I513" s="8"/>
      <c r="J513" s="8"/>
      <c r="K513" s="8"/>
      <c r="L513" t="s">
        <v>84</v>
      </c>
      <c r="M513" s="16">
        <f>(1/0.52)*7</f>
        <v>13.46153846153846</v>
      </c>
      <c r="N513" s="9" t="s">
        <v>37</v>
      </c>
      <c r="O513" s="9" t="s">
        <v>94</v>
      </c>
      <c r="P513" s="8" t="s">
        <v>89</v>
      </c>
    </row>
    <row r="514" spans="1:16" x14ac:dyDescent="0.25">
      <c r="A514" t="s">
        <v>92</v>
      </c>
      <c r="B514" s="8"/>
      <c r="C514" s="8"/>
      <c r="D514" s="8"/>
      <c r="E514" s="8"/>
      <c r="F514" s="9" t="s">
        <v>77</v>
      </c>
      <c r="G514" s="9" t="s">
        <v>54</v>
      </c>
      <c r="H514" s="8" t="s">
        <v>440</v>
      </c>
      <c r="I514" s="8"/>
      <c r="J514" s="8"/>
      <c r="K514" s="8"/>
      <c r="L514" t="s">
        <v>84</v>
      </c>
      <c r="M514" s="65">
        <f>(1/0.52)*3</f>
        <v>5.7692307692307683</v>
      </c>
      <c r="N514" s="9" t="s">
        <v>37</v>
      </c>
      <c r="O514" s="9" t="s">
        <v>94</v>
      </c>
      <c r="P514" s="8" t="s">
        <v>89</v>
      </c>
    </row>
    <row r="515" spans="1:16" x14ac:dyDescent="0.25">
      <c r="A515" t="s">
        <v>92</v>
      </c>
      <c r="B515" s="8"/>
      <c r="C515" s="8"/>
      <c r="D515" s="8"/>
      <c r="E515" s="8"/>
      <c r="F515" s="9" t="s">
        <v>77</v>
      </c>
      <c r="G515" s="9" t="s">
        <v>54</v>
      </c>
      <c r="H515" s="9" t="s">
        <v>441</v>
      </c>
      <c r="I515" s="8"/>
      <c r="J515" s="8"/>
      <c r="K515" s="8"/>
      <c r="L515" t="s">
        <v>84</v>
      </c>
      <c r="M515" s="16">
        <f>(1/0.52)*6</f>
        <v>11.538461538461537</v>
      </c>
      <c r="N515" s="9" t="s">
        <v>37</v>
      </c>
      <c r="O515" s="9" t="s">
        <v>94</v>
      </c>
      <c r="P515" s="8" t="s">
        <v>89</v>
      </c>
    </row>
    <row r="516" spans="1:16" x14ac:dyDescent="0.25">
      <c r="A516" t="s">
        <v>92</v>
      </c>
      <c r="B516" s="8"/>
      <c r="C516" s="8"/>
      <c r="D516" s="8"/>
      <c r="E516" s="8"/>
      <c r="F516" s="9" t="s">
        <v>77</v>
      </c>
      <c r="G516" s="9" t="s">
        <v>54</v>
      </c>
      <c r="H516" s="9" t="s">
        <v>446</v>
      </c>
      <c r="I516" s="8"/>
      <c r="J516" s="8"/>
      <c r="K516" s="8"/>
      <c r="L516" t="s">
        <v>84</v>
      </c>
      <c r="M516" s="65">
        <f>(1/0.52)*4.5</f>
        <v>8.6538461538461533</v>
      </c>
      <c r="N516" s="9" t="s">
        <v>37</v>
      </c>
      <c r="O516" s="9" t="s">
        <v>445</v>
      </c>
      <c r="P516" s="64" t="s">
        <v>443</v>
      </c>
    </row>
    <row r="517" spans="1:16" x14ac:dyDescent="0.25">
      <c r="A517" t="s">
        <v>92</v>
      </c>
      <c r="B517" s="8"/>
      <c r="C517" s="8"/>
      <c r="D517" s="8"/>
      <c r="E517" s="8"/>
      <c r="F517" s="9" t="s">
        <v>77</v>
      </c>
      <c r="G517" s="9" t="s">
        <v>54</v>
      </c>
      <c r="H517" s="8" t="s">
        <v>442</v>
      </c>
      <c r="I517" s="8"/>
      <c r="J517" s="8"/>
      <c r="K517" s="8"/>
      <c r="L517" t="s">
        <v>84</v>
      </c>
      <c r="M517" s="9">
        <v>12</v>
      </c>
      <c r="N517" s="9" t="s">
        <v>37</v>
      </c>
      <c r="O517" s="8"/>
      <c r="P517" s="8" t="s">
        <v>89</v>
      </c>
    </row>
    <row r="518" spans="1:16" x14ac:dyDescent="0.25">
      <c r="A518" t="s">
        <v>324</v>
      </c>
      <c r="B518" s="8"/>
      <c r="C518" s="8"/>
      <c r="D518" s="8"/>
      <c r="E518" s="8"/>
      <c r="F518" s="9" t="s">
        <v>327</v>
      </c>
      <c r="G518" s="9" t="s">
        <v>54</v>
      </c>
      <c r="H518" s="8"/>
      <c r="I518" s="8"/>
      <c r="J518" s="8"/>
      <c r="K518" s="8"/>
      <c r="L518" t="s">
        <v>83</v>
      </c>
      <c r="M518" s="18">
        <v>88</v>
      </c>
      <c r="N518" s="9" t="s">
        <v>37</v>
      </c>
      <c r="O518" s="46" t="s">
        <v>477</v>
      </c>
      <c r="P518" t="s">
        <v>476</v>
      </c>
    </row>
    <row r="519" spans="1:16" x14ac:dyDescent="0.25">
      <c r="A519" t="s">
        <v>324</v>
      </c>
      <c r="B519" s="8"/>
      <c r="C519" s="8"/>
      <c r="D519" s="8"/>
      <c r="E519" s="8"/>
      <c r="F519" s="9" t="s">
        <v>327</v>
      </c>
      <c r="G519" s="9" t="s">
        <v>54</v>
      </c>
      <c r="H519" s="9" t="s">
        <v>435</v>
      </c>
      <c r="I519" s="26"/>
      <c r="J519" s="26"/>
      <c r="K519" s="26"/>
      <c r="L519" t="s">
        <v>84</v>
      </c>
      <c r="M519" s="16">
        <f>(1/0.5)*8</f>
        <v>16</v>
      </c>
      <c r="N519" s="9" t="s">
        <v>37</v>
      </c>
      <c r="O519" s="9" t="s">
        <v>329</v>
      </c>
      <c r="P519" s="26" t="s">
        <v>328</v>
      </c>
    </row>
    <row r="520" spans="1:16" x14ac:dyDescent="0.25">
      <c r="A520" t="s">
        <v>324</v>
      </c>
      <c r="B520" s="8"/>
      <c r="C520" s="8"/>
      <c r="D520" s="8"/>
      <c r="E520" s="8"/>
      <c r="F520" s="9" t="s">
        <v>327</v>
      </c>
      <c r="G520" s="9" t="s">
        <v>54</v>
      </c>
      <c r="H520" s="26" t="s">
        <v>440</v>
      </c>
      <c r="I520" s="8"/>
      <c r="J520" s="8"/>
      <c r="K520" s="8"/>
      <c r="L520" t="s">
        <v>84</v>
      </c>
      <c r="M520" s="65">
        <f>(1/0.5)*3</f>
        <v>6</v>
      </c>
      <c r="N520" s="9" t="s">
        <v>37</v>
      </c>
      <c r="O520" s="9" t="s">
        <v>329</v>
      </c>
      <c r="P520" s="26" t="s">
        <v>328</v>
      </c>
    </row>
    <row r="521" spans="1:16" x14ac:dyDescent="0.25">
      <c r="A521" t="s">
        <v>324</v>
      </c>
      <c r="B521" s="8"/>
      <c r="C521" s="8"/>
      <c r="D521" s="8"/>
      <c r="E521" s="8"/>
      <c r="F521" s="9" t="s">
        <v>327</v>
      </c>
      <c r="G521" s="9" t="s">
        <v>54</v>
      </c>
      <c r="H521" s="9" t="s">
        <v>447</v>
      </c>
      <c r="I521" s="8"/>
      <c r="J521" s="8"/>
      <c r="K521" s="8"/>
      <c r="L521" t="s">
        <v>84</v>
      </c>
      <c r="M521" s="65">
        <f>(1/0.5)*4.5</f>
        <v>9</v>
      </c>
      <c r="N521" s="9" t="s">
        <v>37</v>
      </c>
      <c r="O521" s="9" t="s">
        <v>448</v>
      </c>
      <c r="P521" s="26"/>
    </row>
    <row r="522" spans="1:16" x14ac:dyDescent="0.25">
      <c r="A522" t="s">
        <v>324</v>
      </c>
      <c r="B522" s="8"/>
      <c r="C522" s="8"/>
      <c r="D522" s="8"/>
      <c r="E522" s="8"/>
      <c r="F522" s="9" t="s">
        <v>327</v>
      </c>
      <c r="G522" s="9" t="s">
        <v>54</v>
      </c>
      <c r="H522" s="26" t="s">
        <v>441</v>
      </c>
      <c r="I522" s="8"/>
      <c r="J522" s="8"/>
      <c r="K522" s="8"/>
      <c r="L522" t="s">
        <v>84</v>
      </c>
      <c r="M522" s="9">
        <f>(1/0.5)*8</f>
        <v>16</v>
      </c>
      <c r="N522" s="9" t="s">
        <v>37</v>
      </c>
      <c r="O522" s="9" t="s">
        <v>329</v>
      </c>
      <c r="P522" s="26" t="s">
        <v>328</v>
      </c>
    </row>
    <row r="523" spans="1:16" x14ac:dyDescent="0.25">
      <c r="A523" t="s">
        <v>254</v>
      </c>
      <c r="B523" s="8"/>
      <c r="C523" s="8"/>
      <c r="D523" s="8"/>
      <c r="E523" s="8"/>
      <c r="F523" s="9" t="s">
        <v>255</v>
      </c>
      <c r="G523" s="9" t="s">
        <v>54</v>
      </c>
      <c r="H523" s="8"/>
      <c r="I523" s="8"/>
      <c r="J523" s="8"/>
      <c r="K523" s="8"/>
      <c r="L523" t="s">
        <v>83</v>
      </c>
      <c r="M523" s="18">
        <v>88</v>
      </c>
      <c r="N523" s="9" t="s">
        <v>37</v>
      </c>
      <c r="O523" s="46" t="s">
        <v>477</v>
      </c>
      <c r="P523" t="s">
        <v>476</v>
      </c>
    </row>
    <row r="524" spans="1:16" x14ac:dyDescent="0.25">
      <c r="A524" s="17" t="s">
        <v>254</v>
      </c>
      <c r="B524" s="19"/>
      <c r="C524" s="19"/>
      <c r="D524" s="19"/>
      <c r="E524" s="19"/>
      <c r="F524" s="18" t="s">
        <v>255</v>
      </c>
      <c r="G524" s="18" t="s">
        <v>54</v>
      </c>
      <c r="H524" s="26" t="s">
        <v>450</v>
      </c>
      <c r="I524" s="8"/>
      <c r="J524" s="8"/>
      <c r="K524" s="8"/>
      <c r="L524" t="s">
        <v>84</v>
      </c>
      <c r="M524" s="21">
        <f>(1/0.78)*21.32</f>
        <v>27.333333333333332</v>
      </c>
      <c r="N524" s="9" t="s">
        <v>37</v>
      </c>
      <c r="O524" s="9" t="s">
        <v>451</v>
      </c>
      <c r="P524" s="8" t="s">
        <v>452</v>
      </c>
    </row>
    <row r="525" spans="1:16" x14ac:dyDescent="0.25">
      <c r="A525" s="17" t="s">
        <v>254</v>
      </c>
      <c r="B525" s="19"/>
      <c r="C525" s="19"/>
      <c r="D525" s="19"/>
      <c r="E525" s="19"/>
      <c r="F525" s="18" t="s">
        <v>255</v>
      </c>
      <c r="G525" s="18" t="s">
        <v>54</v>
      </c>
      <c r="H525" t="s">
        <v>449</v>
      </c>
      <c r="L525" t="s">
        <v>84</v>
      </c>
      <c r="M525" s="21">
        <f>(1/0.78)*(4.1+3+8.06+3.01+3.64+0.57+1.99)</f>
        <v>31.243589743589741</v>
      </c>
      <c r="N525" s="9" t="s">
        <v>37</v>
      </c>
      <c r="O525" s="9"/>
      <c r="P525" s="8" t="s">
        <v>452</v>
      </c>
    </row>
    <row r="526" spans="1:16" x14ac:dyDescent="0.25">
      <c r="A526" s="17" t="s">
        <v>254</v>
      </c>
      <c r="B526" s="19"/>
      <c r="C526" s="19"/>
      <c r="D526" s="19"/>
      <c r="E526" s="19"/>
      <c r="F526" s="18" t="s">
        <v>255</v>
      </c>
      <c r="G526" s="18" t="s">
        <v>54</v>
      </c>
      <c r="H526" s="9" t="s">
        <v>447</v>
      </c>
      <c r="I526" s="8"/>
      <c r="J526" s="8"/>
      <c r="K526" s="8"/>
      <c r="L526" t="s">
        <v>84</v>
      </c>
      <c r="M526" s="65">
        <f>(1/0.78)*3.12</f>
        <v>4</v>
      </c>
      <c r="N526" s="9" t="s">
        <v>37</v>
      </c>
      <c r="O526" s="9"/>
      <c r="P526" s="8" t="s">
        <v>452</v>
      </c>
    </row>
    <row r="527" spans="1:16" x14ac:dyDescent="0.25">
      <c r="A527" s="6"/>
      <c r="B527" s="10"/>
      <c r="C527" s="10"/>
      <c r="D527" s="10"/>
      <c r="E527" s="10"/>
      <c r="F527" s="11"/>
      <c r="G527" s="11"/>
      <c r="H527" s="11"/>
      <c r="I527" s="8"/>
      <c r="J527" s="8"/>
      <c r="K527" s="8"/>
      <c r="M527" s="9"/>
      <c r="N527" s="9"/>
      <c r="P527" s="9"/>
    </row>
    <row r="528" spans="1:16" x14ac:dyDescent="0.25">
      <c r="A528" t="s">
        <v>427</v>
      </c>
      <c r="H528" s="8" t="s">
        <v>435</v>
      </c>
      <c r="L528" t="s">
        <v>83</v>
      </c>
      <c r="M528">
        <v>100</v>
      </c>
      <c r="N528" t="s">
        <v>37</v>
      </c>
    </row>
    <row r="529" spans="1:16" x14ac:dyDescent="0.25">
      <c r="A529" t="s">
        <v>428</v>
      </c>
      <c r="H529" s="9" t="s">
        <v>446</v>
      </c>
      <c r="L529" t="s">
        <v>83</v>
      </c>
      <c r="M529">
        <v>100</v>
      </c>
      <c r="N529" t="s">
        <v>37</v>
      </c>
    </row>
    <row r="530" spans="1:16" x14ac:dyDescent="0.25">
      <c r="A530" s="4" t="s">
        <v>14</v>
      </c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5"/>
      <c r="M530" s="5"/>
      <c r="N530" s="5"/>
      <c r="O530" s="5"/>
      <c r="P530" s="5"/>
    </row>
    <row r="531" spans="1:16" x14ac:dyDescent="0.25">
      <c r="A531" t="s">
        <v>14</v>
      </c>
      <c r="B531" s="8"/>
      <c r="C531" s="8"/>
      <c r="D531" s="8"/>
      <c r="E531" s="8"/>
      <c r="F531" s="9" t="s">
        <v>255</v>
      </c>
      <c r="G531" s="9" t="s">
        <v>306</v>
      </c>
      <c r="H531" s="8"/>
      <c r="I531" s="8"/>
      <c r="J531" s="8"/>
      <c r="K531" s="8"/>
      <c r="L531" t="s">
        <v>83</v>
      </c>
      <c r="M531" s="9">
        <v>100</v>
      </c>
      <c r="N531" s="9" t="s">
        <v>37</v>
      </c>
      <c r="O531" s="8"/>
      <c r="P531" s="8"/>
    </row>
    <row r="532" spans="1:16" x14ac:dyDescent="0.25">
      <c r="A532" s="6" t="s">
        <v>353</v>
      </c>
      <c r="B532" s="10"/>
      <c r="C532" s="10"/>
      <c r="D532" s="10"/>
      <c r="E532" s="10"/>
      <c r="F532" s="11" t="s">
        <v>255</v>
      </c>
      <c r="G532" s="11" t="s">
        <v>306</v>
      </c>
      <c r="H532" s="10"/>
      <c r="I532" s="10"/>
      <c r="J532" s="10"/>
      <c r="K532" s="10"/>
      <c r="L532" s="6" t="s">
        <v>83</v>
      </c>
      <c r="M532" s="11">
        <v>100</v>
      </c>
      <c r="N532" s="11" t="s">
        <v>37</v>
      </c>
      <c r="O532" s="8"/>
      <c r="P532" s="8"/>
    </row>
    <row r="533" spans="1:16" x14ac:dyDescent="0.25">
      <c r="A533" s="4" t="s">
        <v>19</v>
      </c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5"/>
      <c r="M533" s="5"/>
      <c r="N533" s="5"/>
      <c r="O533" s="5"/>
      <c r="P533" s="5"/>
    </row>
    <row r="534" spans="1:16" x14ac:dyDescent="0.25">
      <c r="A534" t="s">
        <v>191</v>
      </c>
      <c r="D534" t="s">
        <v>200</v>
      </c>
      <c r="L534" t="s">
        <v>83</v>
      </c>
      <c r="M534">
        <v>100</v>
      </c>
      <c r="N534" t="s">
        <v>37</v>
      </c>
    </row>
    <row r="535" spans="1:16" x14ac:dyDescent="0.25">
      <c r="A535" s="26" t="s">
        <v>192</v>
      </c>
      <c r="D535" t="s">
        <v>201</v>
      </c>
      <c r="L535" t="s">
        <v>83</v>
      </c>
      <c r="M535">
        <v>100</v>
      </c>
      <c r="N535" t="s">
        <v>37</v>
      </c>
    </row>
    <row r="536" spans="1:16" x14ac:dyDescent="0.25">
      <c r="A536" s="26" t="s">
        <v>193</v>
      </c>
      <c r="D536" t="s">
        <v>202</v>
      </c>
      <c r="L536" t="s">
        <v>83</v>
      </c>
      <c r="M536">
        <v>100</v>
      </c>
      <c r="N536" t="s">
        <v>37</v>
      </c>
    </row>
    <row r="537" spans="1:16" x14ac:dyDescent="0.25">
      <c r="A537" s="6" t="s">
        <v>194</v>
      </c>
    </row>
    <row r="538" spans="1:16" s="17" customFormat="1" x14ac:dyDescent="0.25">
      <c r="A538" s="17" t="s">
        <v>195</v>
      </c>
      <c r="B538" s="19"/>
      <c r="C538" s="19"/>
      <c r="D538" s="19" t="s">
        <v>403</v>
      </c>
      <c r="E538" s="19"/>
      <c r="F538" s="18"/>
      <c r="G538" s="18"/>
      <c r="H538" s="19"/>
      <c r="I538" s="19"/>
      <c r="J538" s="19"/>
      <c r="K538" s="19"/>
      <c r="L538" s="17" t="s">
        <v>83</v>
      </c>
      <c r="M538" s="17">
        <v>100</v>
      </c>
      <c r="N538" s="17" t="s">
        <v>37</v>
      </c>
      <c r="O538" s="19"/>
      <c r="P538" s="19"/>
    </row>
    <row r="539" spans="1:16" s="17" customFormat="1" x14ac:dyDescent="0.25">
      <c r="A539" s="17" t="s">
        <v>355</v>
      </c>
      <c r="B539" s="19"/>
      <c r="C539" s="19"/>
      <c r="D539" s="19" t="s">
        <v>404</v>
      </c>
      <c r="E539" s="19"/>
      <c r="F539" s="18"/>
      <c r="G539" s="18"/>
      <c r="H539" s="19"/>
      <c r="I539" s="19"/>
      <c r="J539" s="19"/>
      <c r="K539" s="19"/>
      <c r="L539" s="17" t="s">
        <v>83</v>
      </c>
      <c r="M539" s="17">
        <v>100</v>
      </c>
      <c r="N539" s="17" t="s">
        <v>37</v>
      </c>
      <c r="O539" s="19"/>
      <c r="P539" s="19"/>
    </row>
    <row r="540" spans="1:16" s="17" customFormat="1" x14ac:dyDescent="0.25">
      <c r="A540" s="17" t="s">
        <v>356</v>
      </c>
      <c r="B540" s="19"/>
      <c r="C540" s="19"/>
      <c r="D540" s="19" t="s">
        <v>405</v>
      </c>
      <c r="E540" s="19"/>
      <c r="F540" s="18"/>
      <c r="G540" s="18"/>
      <c r="H540" s="19"/>
      <c r="I540" s="19"/>
      <c r="J540" s="19"/>
      <c r="K540" s="19"/>
      <c r="L540" s="17" t="s">
        <v>83</v>
      </c>
      <c r="M540" s="17">
        <v>100</v>
      </c>
      <c r="N540" s="17" t="s">
        <v>37</v>
      </c>
      <c r="O540" s="19"/>
      <c r="P540" s="19"/>
    </row>
    <row r="541" spans="1:16" s="17" customFormat="1" x14ac:dyDescent="0.25">
      <c r="A541" s="52" t="s">
        <v>20</v>
      </c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4"/>
      <c r="M541" s="54"/>
      <c r="N541" s="54"/>
      <c r="O541" s="53"/>
      <c r="P541" s="53"/>
    </row>
    <row r="542" spans="1:16" s="17" customFormat="1" x14ac:dyDescent="0.25">
      <c r="A542" s="48" t="s">
        <v>357</v>
      </c>
      <c r="B542" s="68"/>
      <c r="C542" s="68"/>
      <c r="D542" s="68" t="s">
        <v>461</v>
      </c>
      <c r="E542" s="68"/>
      <c r="F542" s="69"/>
      <c r="G542" s="69"/>
      <c r="H542" s="68"/>
      <c r="I542" s="68"/>
      <c r="J542" s="68"/>
      <c r="K542" s="68"/>
      <c r="L542" s="48" t="s">
        <v>83</v>
      </c>
      <c r="M542" s="48">
        <v>50</v>
      </c>
      <c r="N542" s="48" t="s">
        <v>37</v>
      </c>
      <c r="O542" s="19"/>
      <c r="P542" s="19"/>
    </row>
    <row r="543" spans="1:16" s="17" customFormat="1" x14ac:dyDescent="0.25">
      <c r="A543" s="48" t="s">
        <v>357</v>
      </c>
      <c r="B543" s="68"/>
      <c r="C543" s="68"/>
      <c r="D543" s="68" t="s">
        <v>461</v>
      </c>
      <c r="E543" s="68"/>
      <c r="F543" s="69"/>
      <c r="G543" s="69"/>
      <c r="H543" s="68" t="s">
        <v>463</v>
      </c>
      <c r="I543" s="68"/>
      <c r="J543" s="68"/>
      <c r="K543" s="68"/>
      <c r="L543" s="48" t="s">
        <v>84</v>
      </c>
      <c r="M543" s="48">
        <v>50</v>
      </c>
      <c r="N543" s="48" t="s">
        <v>37</v>
      </c>
      <c r="O543" s="19"/>
      <c r="P543" s="19"/>
    </row>
    <row r="544" spans="1:16" s="17" customFormat="1" x14ac:dyDescent="0.25">
      <c r="A544" s="48" t="s">
        <v>359</v>
      </c>
      <c r="B544" s="68"/>
      <c r="C544" s="68"/>
      <c r="D544" s="68" t="s">
        <v>462</v>
      </c>
      <c r="E544" s="68"/>
      <c r="F544" s="69"/>
      <c r="G544" s="69"/>
      <c r="H544" s="68"/>
      <c r="I544" s="68"/>
      <c r="J544" s="68"/>
      <c r="K544" s="68"/>
      <c r="L544" s="48" t="s">
        <v>83</v>
      </c>
      <c r="M544" s="48">
        <v>53</v>
      </c>
      <c r="N544" s="48" t="s">
        <v>37</v>
      </c>
      <c r="O544" s="19"/>
      <c r="P544" s="19"/>
    </row>
    <row r="545" spans="1:16" s="17" customFormat="1" x14ac:dyDescent="0.25">
      <c r="A545" s="48" t="s">
        <v>359</v>
      </c>
      <c r="B545" s="68"/>
      <c r="C545" s="68"/>
      <c r="D545" s="68" t="s">
        <v>462</v>
      </c>
      <c r="E545" s="68"/>
      <c r="F545" s="69"/>
      <c r="G545" s="69"/>
      <c r="H545" s="68" t="s">
        <v>464</v>
      </c>
      <c r="I545" s="68"/>
      <c r="J545" s="68"/>
      <c r="K545" s="68"/>
      <c r="L545" s="48" t="s">
        <v>84</v>
      </c>
      <c r="M545" s="48">
        <v>47</v>
      </c>
      <c r="N545" s="48" t="s">
        <v>37</v>
      </c>
      <c r="O545" s="19"/>
      <c r="P545" s="19"/>
    </row>
    <row r="546" spans="1:16" s="17" customFormat="1" x14ac:dyDescent="0.25">
      <c r="A546" s="52" t="s">
        <v>360</v>
      </c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4"/>
      <c r="M546" s="54"/>
      <c r="N546" s="54"/>
      <c r="O546" s="53"/>
      <c r="P546" s="53"/>
    </row>
    <row r="547" spans="1:16" s="17" customFormat="1" x14ac:dyDescent="0.25">
      <c r="A547" s="48" t="s">
        <v>361</v>
      </c>
      <c r="B547" s="68"/>
      <c r="C547" s="68"/>
      <c r="D547" s="68" t="s">
        <v>406</v>
      </c>
      <c r="E547" s="68"/>
      <c r="F547" s="69"/>
      <c r="G547" s="69"/>
      <c r="H547" s="68"/>
      <c r="I547" s="68"/>
      <c r="J547" s="68"/>
      <c r="K547" s="68"/>
      <c r="L547" s="48" t="s">
        <v>83</v>
      </c>
      <c r="M547" s="48">
        <v>100</v>
      </c>
      <c r="N547" s="48" t="s">
        <v>37</v>
      </c>
      <c r="O547" s="19"/>
      <c r="P547" s="19"/>
    </row>
    <row r="548" spans="1:16" x14ac:dyDescent="0.25">
      <c r="A548" s="4" t="s">
        <v>21</v>
      </c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5"/>
      <c r="M548" s="5"/>
      <c r="N548" s="5"/>
      <c r="O548" s="5"/>
      <c r="P548" s="5"/>
    </row>
    <row r="549" spans="1:16" x14ac:dyDescent="0.25">
      <c r="A549" t="s">
        <v>115</v>
      </c>
      <c r="D549" t="s">
        <v>117</v>
      </c>
      <c r="J549" t="s">
        <v>44</v>
      </c>
      <c r="L549" t="s">
        <v>83</v>
      </c>
      <c r="M549" s="21">
        <v>38</v>
      </c>
      <c r="N549" t="s">
        <v>37</v>
      </c>
      <c r="O549" s="11"/>
      <c r="P549" s="8" t="s">
        <v>89</v>
      </c>
    </row>
    <row r="550" spans="1:16" x14ac:dyDescent="0.25">
      <c r="A550" t="s">
        <v>115</v>
      </c>
      <c r="D550" t="s">
        <v>117</v>
      </c>
      <c r="H550" t="s">
        <v>118</v>
      </c>
      <c r="J550" t="s">
        <v>44</v>
      </c>
      <c r="L550" t="s">
        <v>84</v>
      </c>
      <c r="M550" s="21">
        <v>60</v>
      </c>
      <c r="N550" t="s">
        <v>37</v>
      </c>
      <c r="P550" s="8" t="s">
        <v>89</v>
      </c>
    </row>
    <row r="551" spans="1:16" x14ac:dyDescent="0.25">
      <c r="A551" t="s">
        <v>115</v>
      </c>
      <c r="D551" t="s">
        <v>117</v>
      </c>
      <c r="J551" t="s">
        <v>42</v>
      </c>
      <c r="L551" t="s">
        <v>83</v>
      </c>
      <c r="M551" s="21">
        <v>32</v>
      </c>
      <c r="N551" t="s">
        <v>37</v>
      </c>
      <c r="O551" t="s">
        <v>120</v>
      </c>
      <c r="P551" s="8"/>
    </row>
    <row r="552" spans="1:16" x14ac:dyDescent="0.25">
      <c r="A552" t="s">
        <v>115</v>
      </c>
      <c r="D552" t="s">
        <v>117</v>
      </c>
      <c r="H552" t="s">
        <v>119</v>
      </c>
      <c r="J552" t="s">
        <v>42</v>
      </c>
      <c r="L552" t="s">
        <v>84</v>
      </c>
      <c r="M552" s="21">
        <v>68</v>
      </c>
      <c r="N552" t="s">
        <v>37</v>
      </c>
      <c r="P552" s="8"/>
    </row>
    <row r="553" spans="1:16" s="17" customFormat="1" x14ac:dyDescent="0.25">
      <c r="A553" s="17" t="s">
        <v>363</v>
      </c>
      <c r="D553" s="17" t="s">
        <v>117</v>
      </c>
      <c r="J553" s="17" t="s">
        <v>44</v>
      </c>
      <c r="L553" s="17" t="s">
        <v>83</v>
      </c>
      <c r="M553" s="15">
        <v>38</v>
      </c>
      <c r="N553" s="17" t="s">
        <v>37</v>
      </c>
      <c r="P553" s="19"/>
    </row>
    <row r="554" spans="1:16" s="17" customFormat="1" x14ac:dyDescent="0.25">
      <c r="A554" s="17" t="s">
        <v>363</v>
      </c>
      <c r="D554" s="17" t="s">
        <v>117</v>
      </c>
      <c r="H554" s="17" t="s">
        <v>118</v>
      </c>
      <c r="J554" s="17" t="s">
        <v>44</v>
      </c>
      <c r="L554" s="17" t="s">
        <v>84</v>
      </c>
      <c r="M554" s="15">
        <v>60</v>
      </c>
      <c r="N554" s="17" t="s">
        <v>37</v>
      </c>
      <c r="P554" s="19"/>
    </row>
    <row r="555" spans="1:16" s="17" customFormat="1" x14ac:dyDescent="0.25">
      <c r="A555" s="17" t="s">
        <v>363</v>
      </c>
      <c r="D555" s="17" t="s">
        <v>117</v>
      </c>
      <c r="J555" s="17" t="s">
        <v>42</v>
      </c>
      <c r="L555" s="17" t="s">
        <v>83</v>
      </c>
      <c r="M555" s="15">
        <v>32</v>
      </c>
      <c r="N555" s="17" t="s">
        <v>37</v>
      </c>
      <c r="P555" s="19"/>
    </row>
    <row r="556" spans="1:16" s="17" customFormat="1" x14ac:dyDescent="0.25">
      <c r="A556" s="17" t="s">
        <v>363</v>
      </c>
      <c r="D556" s="17" t="s">
        <v>117</v>
      </c>
      <c r="H556" s="17" t="s">
        <v>119</v>
      </c>
      <c r="J556" s="17" t="s">
        <v>42</v>
      </c>
      <c r="L556" s="17" t="s">
        <v>84</v>
      </c>
      <c r="M556" s="15">
        <v>68</v>
      </c>
      <c r="N556" s="17" t="s">
        <v>37</v>
      </c>
      <c r="P556" s="19"/>
    </row>
    <row r="557" spans="1:16" s="17" customFormat="1" x14ac:dyDescent="0.25">
      <c r="A557" s="17" t="s">
        <v>122</v>
      </c>
      <c r="D557" s="17" t="s">
        <v>406</v>
      </c>
      <c r="L557" s="17" t="s">
        <v>83</v>
      </c>
      <c r="M557" s="15">
        <v>43</v>
      </c>
      <c r="N557" s="17" t="s">
        <v>37</v>
      </c>
      <c r="O557" s="17" t="s">
        <v>407</v>
      </c>
      <c r="P557" s="19"/>
    </row>
    <row r="558" spans="1:16" s="17" customFormat="1" x14ac:dyDescent="0.25">
      <c r="A558" s="17" t="s">
        <v>122</v>
      </c>
      <c r="D558" s="17" t="s">
        <v>406</v>
      </c>
      <c r="H558" s="17" t="s">
        <v>436</v>
      </c>
      <c r="L558" s="17" t="s">
        <v>84</v>
      </c>
      <c r="M558" s="15">
        <v>47</v>
      </c>
      <c r="N558" s="17" t="s">
        <v>37</v>
      </c>
      <c r="P558" s="19"/>
    </row>
    <row r="559" spans="1:16" x14ac:dyDescent="0.25">
      <c r="A559" s="4" t="s">
        <v>23</v>
      </c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5"/>
      <c r="M559" s="5"/>
      <c r="N559" s="5"/>
      <c r="O559" s="5"/>
      <c r="P559" s="5"/>
    </row>
    <row r="560" spans="1:16" x14ac:dyDescent="0.25">
      <c r="A560" t="s">
        <v>206</v>
      </c>
      <c r="D560" t="s">
        <v>213</v>
      </c>
      <c r="L560" t="s">
        <v>83</v>
      </c>
      <c r="M560" s="22">
        <f>161/1000*100</f>
        <v>16.100000000000001</v>
      </c>
      <c r="N560" t="s">
        <v>37</v>
      </c>
      <c r="O560" t="s">
        <v>316</v>
      </c>
      <c r="P560" s="17" t="s">
        <v>318</v>
      </c>
    </row>
    <row r="561" spans="1:16" x14ac:dyDescent="0.25">
      <c r="A561" t="s">
        <v>206</v>
      </c>
      <c r="D561" t="s">
        <v>213</v>
      </c>
      <c r="H561" t="s">
        <v>214</v>
      </c>
      <c r="L561" t="s">
        <v>84</v>
      </c>
      <c r="M561" s="22">
        <f>(6.4+25.2)/1000/0.9*100</f>
        <v>3.5111111111111115</v>
      </c>
      <c r="N561" t="s">
        <v>37</v>
      </c>
      <c r="O561" t="s">
        <v>319</v>
      </c>
      <c r="P561" s="17" t="s">
        <v>318</v>
      </c>
    </row>
    <row r="562" spans="1:16" x14ac:dyDescent="0.25">
      <c r="A562" t="s">
        <v>206</v>
      </c>
      <c r="D562" t="s">
        <v>213</v>
      </c>
      <c r="H562" t="s">
        <v>215</v>
      </c>
      <c r="L562" t="s">
        <v>84</v>
      </c>
      <c r="M562" s="22">
        <f>19/1000/0.76*100</f>
        <v>2.5</v>
      </c>
      <c r="N562" t="s">
        <v>37</v>
      </c>
      <c r="O562" t="s">
        <v>320</v>
      </c>
      <c r="P562" s="17" t="s">
        <v>318</v>
      </c>
    </row>
    <row r="563" spans="1:16" x14ac:dyDescent="0.25">
      <c r="A563" t="s">
        <v>208</v>
      </c>
      <c r="D563" t="s">
        <v>213</v>
      </c>
      <c r="L563" t="s">
        <v>83</v>
      </c>
      <c r="M563" s="43">
        <f>M560/0.8</f>
        <v>20.125</v>
      </c>
      <c r="N563" t="s">
        <v>37</v>
      </c>
      <c r="O563" s="17" t="s">
        <v>321</v>
      </c>
    </row>
    <row r="564" spans="1:16" x14ac:dyDescent="0.25">
      <c r="A564" t="s">
        <v>208</v>
      </c>
      <c r="D564" t="s">
        <v>213</v>
      </c>
      <c r="H564" t="s">
        <v>214</v>
      </c>
      <c r="L564" t="s">
        <v>84</v>
      </c>
      <c r="M564" s="43">
        <f>M561</f>
        <v>3.5111111111111115</v>
      </c>
      <c r="N564" t="s">
        <v>37</v>
      </c>
    </row>
    <row r="565" spans="1:16" x14ac:dyDescent="0.25">
      <c r="A565" t="s">
        <v>208</v>
      </c>
      <c r="D565" t="s">
        <v>213</v>
      </c>
      <c r="H565" t="s">
        <v>215</v>
      </c>
      <c r="L565" t="s">
        <v>84</v>
      </c>
      <c r="M565" s="43">
        <f>M562</f>
        <v>2.5</v>
      </c>
      <c r="N565" t="s">
        <v>37</v>
      </c>
    </row>
    <row r="566" spans="1:16" x14ac:dyDescent="0.25">
      <c r="A566" s="6" t="s">
        <v>207</v>
      </c>
    </row>
    <row r="567" spans="1:16" x14ac:dyDescent="0.25">
      <c r="A567" s="4" t="s">
        <v>28</v>
      </c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5"/>
      <c r="M567" s="5"/>
      <c r="N567" s="5"/>
      <c r="O567" s="5"/>
      <c r="P567" s="5"/>
    </row>
    <row r="568" spans="1:16" x14ac:dyDescent="0.25">
      <c r="A568" t="s">
        <v>216</v>
      </c>
      <c r="B568" s="10"/>
      <c r="C568" s="10"/>
      <c r="D568" s="8" t="s">
        <v>226</v>
      </c>
      <c r="E568" s="8"/>
      <c r="F568" s="10"/>
      <c r="G568" s="10"/>
      <c r="H568" s="10"/>
      <c r="I568" s="10"/>
      <c r="J568" s="10"/>
      <c r="K568" s="10"/>
      <c r="L568" t="s">
        <v>83</v>
      </c>
      <c r="M568" s="20">
        <v>70</v>
      </c>
      <c r="N568" s="9" t="s">
        <v>37</v>
      </c>
      <c r="O568" s="8"/>
      <c r="P568" s="8" t="s">
        <v>89</v>
      </c>
    </row>
    <row r="569" spans="1:16" x14ac:dyDescent="0.25">
      <c r="A569" t="s">
        <v>219</v>
      </c>
      <c r="B569" s="10"/>
      <c r="C569" s="10"/>
      <c r="D569" s="8" t="s">
        <v>47</v>
      </c>
      <c r="E569" s="8"/>
      <c r="F569" s="10"/>
      <c r="G569" s="10"/>
      <c r="H569" s="10"/>
      <c r="I569" s="10"/>
      <c r="J569" s="10"/>
      <c r="K569" s="10"/>
      <c r="L569" t="s">
        <v>83</v>
      </c>
      <c r="M569" s="20">
        <f>655*0.7</f>
        <v>458.49999999999994</v>
      </c>
      <c r="N569" s="9" t="s">
        <v>37</v>
      </c>
      <c r="O569" s="8"/>
      <c r="P569" s="8" t="s">
        <v>89</v>
      </c>
    </row>
    <row r="570" spans="1:16" x14ac:dyDescent="0.25">
      <c r="A570" t="s">
        <v>219</v>
      </c>
      <c r="B570" s="10"/>
      <c r="C570" s="10"/>
      <c r="D570" s="8" t="s">
        <v>47</v>
      </c>
      <c r="E570" s="8"/>
      <c r="F570" s="10"/>
      <c r="G570" s="10"/>
      <c r="H570" s="19" t="s">
        <v>114</v>
      </c>
      <c r="I570" s="10"/>
      <c r="J570" s="10"/>
      <c r="K570" s="10"/>
      <c r="L570" t="s">
        <v>84</v>
      </c>
      <c r="M570" s="20">
        <f>1*(M569/100)*0.2*100</f>
        <v>91.699999999999989</v>
      </c>
      <c r="N570" s="9" t="s">
        <v>37</v>
      </c>
      <c r="O570" s="8" t="s">
        <v>112</v>
      </c>
      <c r="P570" s="8" t="s">
        <v>111</v>
      </c>
    </row>
    <row r="571" spans="1:16" x14ac:dyDescent="0.25">
      <c r="B571" s="10"/>
      <c r="C571" s="10"/>
      <c r="D571" s="8"/>
      <c r="E571" s="8"/>
      <c r="F571" s="10"/>
      <c r="G571" s="10"/>
      <c r="H571" s="10" t="s">
        <v>165</v>
      </c>
      <c r="I571" s="10"/>
      <c r="J571" s="10"/>
      <c r="K571" s="10"/>
      <c r="M571" s="20"/>
      <c r="N571" s="9"/>
      <c r="O571" s="10" t="s">
        <v>166</v>
      </c>
      <c r="P571" s="8"/>
    </row>
    <row r="572" spans="1:16" x14ac:dyDescent="0.25">
      <c r="A572" t="s">
        <v>217</v>
      </c>
      <c r="B572" s="10"/>
      <c r="C572" s="10"/>
      <c r="D572" s="9" t="s">
        <v>227</v>
      </c>
      <c r="E572" s="9"/>
      <c r="F572" s="10"/>
      <c r="G572" s="10"/>
      <c r="H572" s="19"/>
      <c r="I572" s="10"/>
      <c r="J572" s="10"/>
      <c r="K572" s="10"/>
      <c r="L572" t="s">
        <v>83</v>
      </c>
      <c r="M572" s="20">
        <v>65</v>
      </c>
      <c r="N572" s="9" t="s">
        <v>37</v>
      </c>
      <c r="O572" s="8"/>
      <c r="P572" s="8" t="s">
        <v>89</v>
      </c>
    </row>
    <row r="573" spans="1:16" x14ac:dyDescent="0.25">
      <c r="A573" t="s">
        <v>217</v>
      </c>
      <c r="B573" s="10"/>
      <c r="C573" s="10"/>
      <c r="D573" s="9" t="s">
        <v>227</v>
      </c>
      <c r="E573" s="9"/>
      <c r="F573" s="10"/>
      <c r="G573" s="10"/>
      <c r="H573" s="19" t="s">
        <v>228</v>
      </c>
      <c r="I573" s="10"/>
      <c r="J573" s="10"/>
      <c r="K573" s="10"/>
      <c r="L573" t="s">
        <v>84</v>
      </c>
      <c r="M573" s="20">
        <v>35</v>
      </c>
      <c r="N573" s="9" t="s">
        <v>37</v>
      </c>
      <c r="O573" s="8"/>
      <c r="P573" s="8" t="s">
        <v>89</v>
      </c>
    </row>
    <row r="574" spans="1:16" x14ac:dyDescent="0.25">
      <c r="A574" t="s">
        <v>220</v>
      </c>
      <c r="B574" s="10"/>
      <c r="C574" s="10"/>
      <c r="D574" s="9" t="s">
        <v>36</v>
      </c>
      <c r="E574" s="9"/>
      <c r="F574" s="10"/>
      <c r="G574" s="10"/>
      <c r="H574" s="19"/>
      <c r="I574" s="10"/>
      <c r="J574" s="10"/>
      <c r="K574" s="10"/>
      <c r="L574" t="s">
        <v>83</v>
      </c>
      <c r="M574" s="20">
        <v>68</v>
      </c>
      <c r="N574" s="9" t="s">
        <v>37</v>
      </c>
      <c r="O574" s="8"/>
      <c r="P574" s="8" t="s">
        <v>89</v>
      </c>
    </row>
    <row r="575" spans="1:16" x14ac:dyDescent="0.25">
      <c r="A575" t="s">
        <v>220</v>
      </c>
      <c r="B575" s="10"/>
      <c r="C575" s="10"/>
      <c r="D575" s="9" t="s">
        <v>36</v>
      </c>
      <c r="E575" s="9"/>
      <c r="F575" s="10"/>
      <c r="G575" s="10"/>
      <c r="H575" t="s">
        <v>293</v>
      </c>
      <c r="I575" s="10"/>
      <c r="J575" s="10"/>
      <c r="K575" s="10"/>
      <c r="L575" t="s">
        <v>84</v>
      </c>
      <c r="M575" s="66">
        <f>M631</f>
        <v>36.402116402116405</v>
      </c>
      <c r="N575" s="67" t="s">
        <v>37</v>
      </c>
      <c r="O575" s="19" t="s">
        <v>453</v>
      </c>
      <c r="P575" s="10"/>
    </row>
    <row r="576" spans="1:16" x14ac:dyDescent="0.25">
      <c r="A576" s="4" t="s">
        <v>32</v>
      </c>
      <c r="B576" s="4"/>
      <c r="C576" s="4"/>
      <c r="D576" s="4"/>
      <c r="E576" s="47"/>
      <c r="F576" s="4"/>
      <c r="G576" s="4"/>
      <c r="H576" s="4"/>
      <c r="I576" s="4"/>
      <c r="J576" s="4"/>
      <c r="K576" s="4"/>
      <c r="L576" s="5"/>
      <c r="M576" s="5"/>
      <c r="N576" s="5"/>
      <c r="O576" s="5"/>
      <c r="P576" s="5"/>
    </row>
    <row r="577" spans="1:16" s="17" customFormat="1" x14ac:dyDescent="0.25">
      <c r="A577" s="57" t="s">
        <v>365</v>
      </c>
      <c r="B577" s="57"/>
      <c r="C577" s="57"/>
      <c r="D577" s="57" t="s">
        <v>200</v>
      </c>
      <c r="E577" s="57"/>
      <c r="F577" s="58"/>
      <c r="G577" s="58"/>
      <c r="H577" s="58"/>
      <c r="I577" s="58"/>
      <c r="J577" s="57"/>
      <c r="K577" s="58"/>
      <c r="L577" s="17" t="s">
        <v>83</v>
      </c>
      <c r="M577" s="51">
        <v>94</v>
      </c>
      <c r="N577" s="57" t="s">
        <v>37</v>
      </c>
      <c r="O577" s="57"/>
      <c r="P577" s="19"/>
    </row>
    <row r="578" spans="1:16" s="17" customFormat="1" x14ac:dyDescent="0.25">
      <c r="A578" s="57" t="s">
        <v>365</v>
      </c>
      <c r="B578" s="57"/>
      <c r="C578" s="57"/>
      <c r="D578" s="57" t="s">
        <v>200</v>
      </c>
      <c r="E578" s="57"/>
      <c r="F578" s="58"/>
      <c r="G578" s="58"/>
      <c r="H578" s="57" t="s">
        <v>408</v>
      </c>
      <c r="I578" s="58"/>
      <c r="J578" s="57"/>
      <c r="K578" s="58"/>
      <c r="L578" s="17" t="s">
        <v>84</v>
      </c>
      <c r="M578" s="29">
        <f>11*0.94</f>
        <v>10.34</v>
      </c>
      <c r="N578" s="57" t="s">
        <v>37</v>
      </c>
      <c r="O578" s="57" t="s">
        <v>409</v>
      </c>
      <c r="P578" s="19"/>
    </row>
    <row r="579" spans="1:16" s="17" customFormat="1" x14ac:dyDescent="0.25">
      <c r="A579" s="57" t="s">
        <v>369</v>
      </c>
      <c r="B579" s="57"/>
      <c r="C579" s="57"/>
      <c r="D579" s="57" t="s">
        <v>36</v>
      </c>
      <c r="E579" s="57"/>
      <c r="F579" s="57"/>
      <c r="G579" s="57"/>
      <c r="H579" s="57"/>
      <c r="I579" s="57"/>
      <c r="J579" s="57"/>
      <c r="K579" s="57"/>
      <c r="L579" s="17" t="s">
        <v>83</v>
      </c>
      <c r="M579" s="17">
        <v>31</v>
      </c>
      <c r="N579" s="57" t="s">
        <v>37</v>
      </c>
      <c r="O579" s="57" t="s">
        <v>393</v>
      </c>
      <c r="P579" s="19"/>
    </row>
    <row r="580" spans="1:16" s="17" customFormat="1" x14ac:dyDescent="0.25">
      <c r="A580" s="57" t="s">
        <v>369</v>
      </c>
      <c r="B580" s="57"/>
      <c r="C580" s="57"/>
      <c r="D580" s="57" t="s">
        <v>36</v>
      </c>
      <c r="E580" s="57"/>
      <c r="F580" s="57"/>
      <c r="G580" s="57"/>
      <c r="H580" s="57" t="s">
        <v>410</v>
      </c>
      <c r="I580" s="57"/>
      <c r="J580" s="57"/>
      <c r="K580" s="57"/>
      <c r="L580" s="17" t="s">
        <v>84</v>
      </c>
      <c r="M580" s="29">
        <f>69*0.31</f>
        <v>21.39</v>
      </c>
      <c r="N580" s="57" t="s">
        <v>37</v>
      </c>
      <c r="O580" s="57"/>
      <c r="P580" s="19"/>
    </row>
    <row r="581" spans="1:16" s="17" customFormat="1" x14ac:dyDescent="0.25">
      <c r="A581" s="57" t="s">
        <v>369</v>
      </c>
      <c r="B581" s="57"/>
      <c r="C581" s="57"/>
      <c r="D581" s="57" t="s">
        <v>36</v>
      </c>
      <c r="E581" s="57"/>
      <c r="F581" s="57"/>
      <c r="G581" s="57"/>
      <c r="H581" s="57" t="s">
        <v>411</v>
      </c>
      <c r="I581" s="57"/>
      <c r="J581" s="57"/>
      <c r="K581" s="57"/>
      <c r="L581" s="17" t="s">
        <v>84</v>
      </c>
      <c r="M581" s="29">
        <f>1.9*0.31</f>
        <v>0.58899999999999997</v>
      </c>
      <c r="N581" s="57" t="s">
        <v>37</v>
      </c>
      <c r="O581" s="57"/>
      <c r="P581" s="19"/>
    </row>
    <row r="582" spans="1:16" s="17" customFormat="1" x14ac:dyDescent="0.25">
      <c r="A582" s="57" t="s">
        <v>370</v>
      </c>
      <c r="B582" s="57"/>
      <c r="C582" s="57"/>
      <c r="D582" s="57" t="s">
        <v>88</v>
      </c>
      <c r="E582" s="57"/>
      <c r="F582" s="57"/>
      <c r="G582" s="57"/>
      <c r="H582" s="57"/>
      <c r="I582" s="57"/>
      <c r="J582" s="57"/>
      <c r="K582" s="57"/>
      <c r="L582" s="17" t="s">
        <v>83</v>
      </c>
      <c r="M582" s="17">
        <v>769</v>
      </c>
      <c r="N582" s="57" t="s">
        <v>37</v>
      </c>
      <c r="O582" s="57"/>
      <c r="P582" s="19"/>
    </row>
    <row r="583" spans="1:16" s="17" customFormat="1" x14ac:dyDescent="0.25">
      <c r="A583" s="57" t="s">
        <v>370</v>
      </c>
      <c r="B583" s="57"/>
      <c r="C583" s="57"/>
      <c r="D583" s="57" t="s">
        <v>88</v>
      </c>
      <c r="E583" s="57"/>
      <c r="F583" s="57"/>
      <c r="G583" s="57"/>
      <c r="H583" s="57" t="s">
        <v>412</v>
      </c>
      <c r="I583" s="57"/>
      <c r="J583" s="57"/>
      <c r="K583" s="57"/>
      <c r="L583" s="17" t="s">
        <v>84</v>
      </c>
      <c r="M583" s="29">
        <f>1.5*7.69</f>
        <v>11.535</v>
      </c>
      <c r="N583" s="57" t="s">
        <v>37</v>
      </c>
      <c r="O583" s="57"/>
      <c r="P583" s="19"/>
    </row>
    <row r="584" spans="1:16" s="17" customFormat="1" x14ac:dyDescent="0.25">
      <c r="A584" s="57" t="s">
        <v>372</v>
      </c>
      <c r="B584" s="57"/>
      <c r="C584" s="57"/>
      <c r="D584" s="57" t="s">
        <v>213</v>
      </c>
      <c r="E584" s="57"/>
      <c r="F584" s="58"/>
      <c r="G584" s="58"/>
      <c r="H584" s="58"/>
      <c r="I584" s="58"/>
      <c r="J584" s="57"/>
      <c r="K584" s="58"/>
      <c r="L584" s="17" t="s">
        <v>83</v>
      </c>
      <c r="M584" s="29">
        <f>M560*0.55</f>
        <v>8.8550000000000022</v>
      </c>
      <c r="N584" s="57" t="s">
        <v>37</v>
      </c>
      <c r="O584" s="57"/>
      <c r="P584" s="19"/>
    </row>
    <row r="585" spans="1:16" s="17" customFormat="1" x14ac:dyDescent="0.25">
      <c r="A585" s="57" t="s">
        <v>372</v>
      </c>
      <c r="B585" s="57"/>
      <c r="C585" s="57"/>
      <c r="D585" s="57" t="s">
        <v>213</v>
      </c>
      <c r="E585" s="57"/>
      <c r="F585" s="58"/>
      <c r="G585" s="58"/>
      <c r="H585" s="17" t="s">
        <v>214</v>
      </c>
      <c r="I585" s="58"/>
      <c r="J585" s="57"/>
      <c r="K585" s="58"/>
      <c r="L585" s="17" t="s">
        <v>84</v>
      </c>
      <c r="M585" s="29">
        <f>M561*0.55</f>
        <v>1.9311111111111114</v>
      </c>
      <c r="N585" s="57" t="s">
        <v>37</v>
      </c>
      <c r="O585" s="57"/>
      <c r="P585" s="19"/>
    </row>
    <row r="586" spans="1:16" s="17" customFormat="1" x14ac:dyDescent="0.25">
      <c r="A586" s="57" t="s">
        <v>372</v>
      </c>
      <c r="B586" s="57"/>
      <c r="C586" s="57"/>
      <c r="D586" s="57" t="s">
        <v>213</v>
      </c>
      <c r="E586" s="57"/>
      <c r="F586" s="58"/>
      <c r="G586" s="58"/>
      <c r="H586" s="17" t="s">
        <v>215</v>
      </c>
      <c r="I586" s="58"/>
      <c r="J586" s="57"/>
      <c r="K586" s="58"/>
      <c r="L586" s="17" t="s">
        <v>84</v>
      </c>
      <c r="M586" s="29">
        <f>M562*0.55</f>
        <v>1.375</v>
      </c>
      <c r="N586" s="57" t="s">
        <v>37</v>
      </c>
      <c r="O586" s="57"/>
      <c r="P586" s="19"/>
    </row>
    <row r="587" spans="1:16" s="17" customFormat="1" x14ac:dyDescent="0.25">
      <c r="A587" s="57" t="s">
        <v>373</v>
      </c>
      <c r="B587" s="57"/>
      <c r="C587" s="57"/>
      <c r="D587" s="57" t="s">
        <v>213</v>
      </c>
      <c r="E587" s="57"/>
      <c r="F587" s="58"/>
      <c r="G587" s="58"/>
      <c r="H587" s="58"/>
      <c r="I587" s="58"/>
      <c r="J587" s="57"/>
      <c r="K587" s="58"/>
      <c r="L587" s="17" t="s">
        <v>83</v>
      </c>
      <c r="M587" s="29">
        <f>M560*1.09</f>
        <v>17.549000000000003</v>
      </c>
      <c r="N587" s="57" t="s">
        <v>37</v>
      </c>
      <c r="O587" s="57"/>
      <c r="P587" s="19"/>
    </row>
    <row r="588" spans="1:16" s="17" customFormat="1" x14ac:dyDescent="0.25">
      <c r="A588" s="57" t="s">
        <v>373</v>
      </c>
      <c r="B588" s="57"/>
      <c r="C588" s="57"/>
      <c r="D588" s="57" t="s">
        <v>213</v>
      </c>
      <c r="E588" s="57"/>
      <c r="F588" s="58"/>
      <c r="G588" s="58"/>
      <c r="H588" s="17" t="s">
        <v>214</v>
      </c>
      <c r="I588" s="58"/>
      <c r="J588" s="57"/>
      <c r="K588" s="58"/>
      <c r="L588" s="17" t="s">
        <v>84</v>
      </c>
      <c r="M588" s="29">
        <f t="shared" ref="M588:M589" si="3">M561*1.09</f>
        <v>3.8271111111111118</v>
      </c>
      <c r="N588" s="57" t="s">
        <v>37</v>
      </c>
      <c r="O588" s="57"/>
      <c r="P588" s="19"/>
    </row>
    <row r="589" spans="1:16" s="17" customFormat="1" x14ac:dyDescent="0.25">
      <c r="A589" s="57" t="s">
        <v>373</v>
      </c>
      <c r="B589" s="57"/>
      <c r="C589" s="57"/>
      <c r="D589" s="57" t="s">
        <v>213</v>
      </c>
      <c r="E589" s="57"/>
      <c r="F589" s="58"/>
      <c r="G589" s="58"/>
      <c r="H589" s="17" t="s">
        <v>215</v>
      </c>
      <c r="I589" s="58"/>
      <c r="J589" s="57"/>
      <c r="K589" s="58"/>
      <c r="L589" s="17" t="s">
        <v>84</v>
      </c>
      <c r="M589" s="29">
        <f t="shared" si="3"/>
        <v>2.7250000000000001</v>
      </c>
      <c r="N589" s="57" t="s">
        <v>37</v>
      </c>
      <c r="O589" s="57"/>
      <c r="P589" s="19"/>
    </row>
    <row r="590" spans="1:16" s="17" customFormat="1" x14ac:dyDescent="0.25">
      <c r="A590" s="57" t="s">
        <v>374</v>
      </c>
      <c r="B590" s="57"/>
      <c r="C590" s="57"/>
      <c r="D590" s="57" t="s">
        <v>213</v>
      </c>
      <c r="E590" s="57"/>
      <c r="F590" s="58"/>
      <c r="G590" s="58"/>
      <c r="H590" s="58"/>
      <c r="I590" s="58"/>
      <c r="J590" s="57"/>
      <c r="K590" s="58"/>
      <c r="L590" s="17" t="s">
        <v>83</v>
      </c>
      <c r="M590" s="29">
        <f>M560*0.67</f>
        <v>10.787000000000001</v>
      </c>
      <c r="N590" s="57" t="s">
        <v>37</v>
      </c>
      <c r="O590" s="57"/>
      <c r="P590" s="19"/>
    </row>
    <row r="591" spans="1:16" s="17" customFormat="1" x14ac:dyDescent="0.25">
      <c r="A591" s="57" t="s">
        <v>374</v>
      </c>
      <c r="B591" s="57"/>
      <c r="C591" s="57"/>
      <c r="D591" s="57" t="s">
        <v>213</v>
      </c>
      <c r="E591" s="57"/>
      <c r="F591" s="58"/>
      <c r="G591" s="58"/>
      <c r="H591" s="17" t="s">
        <v>214</v>
      </c>
      <c r="I591" s="58"/>
      <c r="J591" s="57"/>
      <c r="K591" s="58"/>
      <c r="L591" s="17" t="s">
        <v>84</v>
      </c>
      <c r="M591" s="29">
        <f t="shared" ref="M591:M592" si="4">M561*0.67</f>
        <v>2.352444444444445</v>
      </c>
      <c r="N591" s="57" t="s">
        <v>37</v>
      </c>
      <c r="O591" s="57"/>
      <c r="P591" s="19"/>
    </row>
    <row r="592" spans="1:16" s="17" customFormat="1" x14ac:dyDescent="0.25">
      <c r="A592" s="57" t="s">
        <v>374</v>
      </c>
      <c r="B592" s="57"/>
      <c r="C592" s="57"/>
      <c r="D592" s="57" t="s">
        <v>213</v>
      </c>
      <c r="E592" s="57"/>
      <c r="F592" s="58"/>
      <c r="G592" s="58"/>
      <c r="H592" s="17" t="s">
        <v>215</v>
      </c>
      <c r="I592" s="58"/>
      <c r="J592" s="57"/>
      <c r="K592" s="58"/>
      <c r="L592" s="17" t="s">
        <v>84</v>
      </c>
      <c r="M592" s="29">
        <f t="shared" si="4"/>
        <v>1.675</v>
      </c>
      <c r="N592" s="57" t="s">
        <v>37</v>
      </c>
      <c r="O592" s="57"/>
      <c r="P592" s="19"/>
    </row>
    <row r="593" spans="1:16" s="17" customFormat="1" x14ac:dyDescent="0.25">
      <c r="A593" s="57" t="s">
        <v>375</v>
      </c>
      <c r="B593" s="57"/>
      <c r="C593" s="57"/>
      <c r="D593" s="57" t="s">
        <v>201</v>
      </c>
      <c r="E593" s="57"/>
      <c r="F593" s="58"/>
      <c r="G593" s="58"/>
      <c r="H593" s="58"/>
      <c r="I593" s="58"/>
      <c r="J593" s="57"/>
      <c r="K593" s="58"/>
      <c r="L593" s="17" t="s">
        <v>83</v>
      </c>
      <c r="M593" s="17">
        <v>150</v>
      </c>
      <c r="N593" s="57" t="s">
        <v>37</v>
      </c>
      <c r="O593" s="57"/>
      <c r="P593" s="19"/>
    </row>
    <row r="594" spans="1:16" s="17" customFormat="1" x14ac:dyDescent="0.25">
      <c r="A594" s="57" t="s">
        <v>376</v>
      </c>
      <c r="B594" s="57"/>
      <c r="C594" s="57"/>
      <c r="D594" s="57" t="s">
        <v>201</v>
      </c>
      <c r="E594" s="57"/>
      <c r="F594" s="58"/>
      <c r="G594" s="58"/>
      <c r="H594" s="58"/>
      <c r="I594" s="58"/>
      <c r="J594" s="57"/>
      <c r="K594" s="58"/>
      <c r="L594" s="17" t="s">
        <v>83</v>
      </c>
      <c r="M594" s="17">
        <v>100</v>
      </c>
      <c r="N594" s="57" t="s">
        <v>37</v>
      </c>
      <c r="O594" s="57"/>
      <c r="P594" s="19"/>
    </row>
    <row r="595" spans="1:16" s="17" customFormat="1" x14ac:dyDescent="0.25">
      <c r="A595" s="57" t="s">
        <v>376</v>
      </c>
      <c r="B595" s="57"/>
      <c r="C595" s="57"/>
      <c r="D595" s="57" t="s">
        <v>201</v>
      </c>
      <c r="E595" s="57"/>
      <c r="F595" s="58"/>
      <c r="G595" s="58"/>
      <c r="H595" s="57" t="s">
        <v>413</v>
      </c>
      <c r="I595" s="58"/>
      <c r="J595" s="57"/>
      <c r="K595" s="58"/>
      <c r="L595" s="17" t="s">
        <v>84</v>
      </c>
      <c r="M595" s="17">
        <v>22</v>
      </c>
      <c r="N595" s="57" t="s">
        <v>37</v>
      </c>
      <c r="O595" s="57"/>
      <c r="P595" s="19"/>
    </row>
    <row r="596" spans="1:16" s="17" customFormat="1" x14ac:dyDescent="0.25">
      <c r="A596" s="57" t="s">
        <v>377</v>
      </c>
      <c r="B596" s="57"/>
      <c r="C596" s="57"/>
      <c r="D596" s="57" t="s">
        <v>213</v>
      </c>
      <c r="E596" s="57"/>
      <c r="F596" s="58"/>
      <c r="G596" s="58"/>
      <c r="H596" s="58"/>
      <c r="I596" s="58"/>
      <c r="J596" s="57"/>
      <c r="K596" s="58"/>
      <c r="L596" s="17" t="s">
        <v>83</v>
      </c>
      <c r="M596" s="29">
        <v>8.9</v>
      </c>
      <c r="N596" s="57" t="s">
        <v>37</v>
      </c>
      <c r="O596" s="57"/>
      <c r="P596" s="19"/>
    </row>
    <row r="597" spans="1:16" s="17" customFormat="1" x14ac:dyDescent="0.25">
      <c r="A597" s="57" t="s">
        <v>377</v>
      </c>
      <c r="B597" s="57"/>
      <c r="C597" s="57"/>
      <c r="D597" s="57" t="s">
        <v>213</v>
      </c>
      <c r="E597" s="57"/>
      <c r="F597" s="58"/>
      <c r="G597" s="58"/>
      <c r="H597" s="17" t="s">
        <v>214</v>
      </c>
      <c r="I597" s="58"/>
      <c r="J597" s="57"/>
      <c r="K597" s="58"/>
      <c r="L597" s="17" t="s">
        <v>84</v>
      </c>
      <c r="M597" s="29">
        <v>1.9</v>
      </c>
      <c r="N597" s="57" t="s">
        <v>37</v>
      </c>
      <c r="O597" s="57"/>
      <c r="P597" s="19"/>
    </row>
    <row r="598" spans="1:16" s="17" customFormat="1" x14ac:dyDescent="0.25">
      <c r="A598" s="57" t="s">
        <v>377</v>
      </c>
      <c r="B598" s="57"/>
      <c r="C598" s="57"/>
      <c r="D598" s="57" t="s">
        <v>213</v>
      </c>
      <c r="E598" s="57"/>
      <c r="F598" s="58"/>
      <c r="G598" s="58"/>
      <c r="H598" s="17" t="s">
        <v>215</v>
      </c>
      <c r="I598" s="58"/>
      <c r="J598" s="57"/>
      <c r="K598" s="58"/>
      <c r="L598" s="17" t="s">
        <v>84</v>
      </c>
      <c r="M598" s="29">
        <v>1.4</v>
      </c>
      <c r="N598" s="57" t="s">
        <v>37</v>
      </c>
      <c r="O598" s="57"/>
      <c r="P598" s="19"/>
    </row>
    <row r="599" spans="1:16" s="17" customFormat="1" x14ac:dyDescent="0.25">
      <c r="A599" s="57" t="s">
        <v>378</v>
      </c>
      <c r="B599" s="57"/>
      <c r="C599" s="57"/>
      <c r="D599" s="58"/>
      <c r="E599" s="58"/>
      <c r="F599" s="58"/>
      <c r="G599" s="58"/>
      <c r="H599" s="58"/>
      <c r="I599" s="58"/>
      <c r="J599" s="57"/>
      <c r="K599" s="58"/>
      <c r="M599" s="57"/>
      <c r="N599" s="57"/>
      <c r="O599" s="57"/>
      <c r="P599" s="19"/>
    </row>
    <row r="600" spans="1:16" s="17" customFormat="1" x14ac:dyDescent="0.25">
      <c r="A600" s="57" t="s">
        <v>379</v>
      </c>
      <c r="B600" s="57"/>
      <c r="C600" s="57"/>
      <c r="D600" s="57" t="s">
        <v>213</v>
      </c>
      <c r="E600" s="57"/>
      <c r="F600" s="58"/>
      <c r="G600" s="58"/>
      <c r="H600" s="58"/>
      <c r="I600" s="58"/>
      <c r="J600" s="57"/>
      <c r="K600" s="58"/>
      <c r="L600" s="17" t="s">
        <v>83</v>
      </c>
      <c r="M600" s="29">
        <v>4.83</v>
      </c>
      <c r="N600" s="57" t="s">
        <v>37</v>
      </c>
      <c r="O600" s="57"/>
      <c r="P600" s="19"/>
    </row>
    <row r="601" spans="1:16" s="17" customFormat="1" x14ac:dyDescent="0.25">
      <c r="A601" s="57" t="s">
        <v>379</v>
      </c>
      <c r="B601" s="57"/>
      <c r="C601" s="57"/>
      <c r="D601" s="57" t="s">
        <v>213</v>
      </c>
      <c r="E601" s="57"/>
      <c r="F601" s="58"/>
      <c r="G601" s="58"/>
      <c r="H601" s="17" t="s">
        <v>214</v>
      </c>
      <c r="I601" s="58"/>
      <c r="J601" s="57"/>
      <c r="K601" s="58"/>
      <c r="L601" s="17" t="s">
        <v>84</v>
      </c>
      <c r="M601" s="60">
        <v>1.0533300000000001</v>
      </c>
      <c r="N601" s="57" t="s">
        <v>37</v>
      </c>
      <c r="O601" s="57"/>
      <c r="P601" s="19"/>
    </row>
    <row r="602" spans="1:16" s="17" customFormat="1" x14ac:dyDescent="0.25">
      <c r="A602" s="57" t="s">
        <v>379</v>
      </c>
      <c r="B602" s="57"/>
      <c r="C602" s="57"/>
      <c r="D602" s="57" t="s">
        <v>213</v>
      </c>
      <c r="E602" s="57"/>
      <c r="F602" s="58"/>
      <c r="G602" s="58"/>
      <c r="H602" s="17" t="s">
        <v>215</v>
      </c>
      <c r="I602" s="58"/>
      <c r="J602" s="57"/>
      <c r="K602" s="58"/>
      <c r="L602" s="17" t="s">
        <v>84</v>
      </c>
      <c r="M602" s="17">
        <v>0.75</v>
      </c>
      <c r="N602" s="57" t="s">
        <v>37</v>
      </c>
      <c r="O602" s="57"/>
      <c r="P602" s="19"/>
    </row>
    <row r="603" spans="1:16" s="17" customFormat="1" x14ac:dyDescent="0.25">
      <c r="A603" s="57" t="s">
        <v>380</v>
      </c>
      <c r="B603" s="57"/>
      <c r="C603" s="57"/>
      <c r="D603" s="57" t="s">
        <v>213</v>
      </c>
      <c r="E603" s="57"/>
      <c r="L603" s="17" t="s">
        <v>83</v>
      </c>
      <c r="M603" s="29">
        <v>6.9</v>
      </c>
      <c r="N603" s="57" t="s">
        <v>37</v>
      </c>
      <c r="O603" s="57"/>
      <c r="P603" s="19"/>
    </row>
    <row r="604" spans="1:16" s="17" customFormat="1" x14ac:dyDescent="0.25">
      <c r="A604" s="57" t="s">
        <v>380</v>
      </c>
      <c r="B604" s="57"/>
      <c r="C604" s="57"/>
      <c r="D604" s="57" t="s">
        <v>213</v>
      </c>
      <c r="E604" s="57"/>
      <c r="H604" s="17" t="s">
        <v>214</v>
      </c>
      <c r="L604" s="17" t="s">
        <v>84</v>
      </c>
      <c r="M604" s="29">
        <v>1.5</v>
      </c>
      <c r="N604" s="57" t="s">
        <v>37</v>
      </c>
      <c r="O604" s="57"/>
      <c r="P604" s="19"/>
    </row>
    <row r="605" spans="1:16" s="17" customFormat="1" x14ac:dyDescent="0.25">
      <c r="A605" s="57" t="s">
        <v>380</v>
      </c>
      <c r="B605" s="57"/>
      <c r="C605" s="57"/>
      <c r="D605" s="57" t="s">
        <v>213</v>
      </c>
      <c r="E605" s="57"/>
      <c r="H605" s="17" t="s">
        <v>215</v>
      </c>
      <c r="L605" s="17" t="s">
        <v>84</v>
      </c>
      <c r="M605" s="29">
        <v>1.1000000000000001</v>
      </c>
      <c r="N605" s="57" t="s">
        <v>37</v>
      </c>
      <c r="O605" s="57"/>
      <c r="P605" s="19"/>
    </row>
    <row r="606" spans="1:16" s="17" customFormat="1" x14ac:dyDescent="0.25">
      <c r="A606" s="4" t="s">
        <v>15</v>
      </c>
      <c r="B606" s="4"/>
      <c r="C606" s="4"/>
      <c r="D606" s="4"/>
      <c r="E606" s="47"/>
      <c r="F606" s="4"/>
      <c r="G606" s="4"/>
      <c r="H606" s="4"/>
      <c r="I606" s="4"/>
      <c r="J606" s="4"/>
      <c r="K606" s="4"/>
      <c r="L606" s="5"/>
      <c r="M606" s="5"/>
      <c r="N606" s="5"/>
      <c r="O606" s="5"/>
      <c r="P606" s="5"/>
    </row>
    <row r="607" spans="1:16" s="17" customFormat="1" x14ac:dyDescent="0.25">
      <c r="A607" s="26" t="s">
        <v>519</v>
      </c>
      <c r="B607" s="57"/>
      <c r="C607" s="57"/>
      <c r="D607" s="26"/>
      <c r="E607" s="57"/>
      <c r="L607" s="17" t="s">
        <v>83</v>
      </c>
      <c r="M607" s="29">
        <v>100</v>
      </c>
      <c r="N607" s="57" t="s">
        <v>37</v>
      </c>
      <c r="O607" s="57" t="s">
        <v>520</v>
      </c>
      <c r="P607" s="19"/>
    </row>
    <row r="608" spans="1:16" s="17" customFormat="1" x14ac:dyDescent="0.25">
      <c r="A608" s="26" t="s">
        <v>521</v>
      </c>
      <c r="B608" s="57"/>
      <c r="C608" s="57"/>
      <c r="D608" s="26"/>
      <c r="E608" s="57"/>
      <c r="L608" s="17" t="s">
        <v>83</v>
      </c>
      <c r="M608" s="29">
        <v>100</v>
      </c>
      <c r="N608" s="57" t="s">
        <v>37</v>
      </c>
      <c r="O608" s="57"/>
      <c r="P608" s="19"/>
    </row>
    <row r="609" spans="1:16" s="17" customFormat="1" x14ac:dyDescent="0.25">
      <c r="A609" s="26" t="s">
        <v>522</v>
      </c>
      <c r="B609" s="57"/>
      <c r="C609" s="57"/>
      <c r="D609" s="26"/>
      <c r="E609" s="57"/>
      <c r="L609" s="17" t="s">
        <v>83</v>
      </c>
      <c r="M609" s="29">
        <v>100</v>
      </c>
      <c r="N609" s="57" t="s">
        <v>37</v>
      </c>
      <c r="O609" s="57"/>
      <c r="P609" s="19"/>
    </row>
    <row r="610" spans="1:16" s="17" customFormat="1" x14ac:dyDescent="0.25">
      <c r="A610" s="26" t="s">
        <v>523</v>
      </c>
      <c r="B610" s="57"/>
      <c r="C610" s="57"/>
      <c r="D610" s="26"/>
      <c r="E610" s="57"/>
      <c r="L610" s="17" t="s">
        <v>83</v>
      </c>
      <c r="M610" s="29">
        <v>100</v>
      </c>
      <c r="N610" s="57" t="s">
        <v>37</v>
      </c>
      <c r="O610" s="57"/>
      <c r="P610" s="19"/>
    </row>
    <row r="611" spans="1:16" s="17" customFormat="1" x14ac:dyDescent="0.25">
      <c r="A611" s="26" t="s">
        <v>524</v>
      </c>
      <c r="B611" s="57"/>
      <c r="C611" s="57"/>
      <c r="D611" s="26"/>
      <c r="E611" s="57"/>
      <c r="L611" s="17" t="s">
        <v>83</v>
      </c>
      <c r="M611" s="29">
        <v>100</v>
      </c>
      <c r="N611" s="57" t="s">
        <v>37</v>
      </c>
      <c r="O611" s="57"/>
      <c r="P611" s="19"/>
    </row>
    <row r="612" spans="1:16" s="17" customFormat="1" x14ac:dyDescent="0.25">
      <c r="A612" s="26" t="s">
        <v>491</v>
      </c>
      <c r="B612" s="57"/>
      <c r="C612" s="57"/>
      <c r="D612" s="26"/>
      <c r="E612" s="57"/>
      <c r="L612" s="17" t="s">
        <v>83</v>
      </c>
      <c r="M612" s="29">
        <v>100</v>
      </c>
      <c r="N612" s="57" t="s">
        <v>37</v>
      </c>
      <c r="O612" s="57"/>
      <c r="P612" s="19"/>
    </row>
    <row r="613" spans="1:16" s="17" customFormat="1" x14ac:dyDescent="0.25">
      <c r="A613" s="26" t="s">
        <v>492</v>
      </c>
      <c r="B613" s="57"/>
      <c r="C613" s="57"/>
      <c r="D613" s="26"/>
      <c r="E613" s="57"/>
      <c r="L613" s="17" t="s">
        <v>83</v>
      </c>
      <c r="M613" s="29">
        <v>100</v>
      </c>
      <c r="N613" s="57" t="s">
        <v>37</v>
      </c>
      <c r="O613" s="57"/>
      <c r="P613" s="19"/>
    </row>
    <row r="614" spans="1:16" s="17" customFormat="1" x14ac:dyDescent="0.25">
      <c r="A614" s="26" t="s">
        <v>493</v>
      </c>
      <c r="B614" s="57"/>
      <c r="C614" s="57"/>
      <c r="D614" s="26"/>
      <c r="E614" s="57"/>
      <c r="L614" s="17" t="s">
        <v>83</v>
      </c>
      <c r="M614" s="29">
        <v>100</v>
      </c>
      <c r="N614" s="57" t="s">
        <v>37</v>
      </c>
      <c r="O614" s="57"/>
      <c r="P614" s="19"/>
    </row>
    <row r="615" spans="1:16" s="17" customFormat="1" x14ac:dyDescent="0.25">
      <c r="A615" s="26" t="s">
        <v>494</v>
      </c>
      <c r="B615" s="57"/>
      <c r="C615" s="57"/>
      <c r="D615" s="26"/>
      <c r="E615" s="57"/>
      <c r="L615" s="17" t="s">
        <v>83</v>
      </c>
      <c r="M615" s="29">
        <v>100</v>
      </c>
      <c r="N615" s="57" t="s">
        <v>37</v>
      </c>
      <c r="O615" s="57"/>
      <c r="P615" s="19"/>
    </row>
    <row r="616" spans="1:16" s="17" customFormat="1" x14ac:dyDescent="0.25">
      <c r="A616" s="26" t="s">
        <v>495</v>
      </c>
      <c r="B616" s="57"/>
      <c r="C616" s="57"/>
      <c r="D616" s="26"/>
      <c r="E616" s="57"/>
      <c r="L616" s="17" t="s">
        <v>83</v>
      </c>
      <c r="M616" s="29">
        <v>100</v>
      </c>
      <c r="N616" s="57" t="s">
        <v>37</v>
      </c>
      <c r="O616" s="57"/>
      <c r="P616" s="19"/>
    </row>
    <row r="617" spans="1:16" s="17" customFormat="1" x14ac:dyDescent="0.25">
      <c r="A617" s="26" t="s">
        <v>496</v>
      </c>
      <c r="B617" s="57"/>
      <c r="C617" s="57"/>
      <c r="D617" s="26"/>
      <c r="E617" s="57"/>
      <c r="L617" s="17" t="s">
        <v>83</v>
      </c>
      <c r="M617" s="29">
        <v>100</v>
      </c>
      <c r="N617" s="57" t="s">
        <v>37</v>
      </c>
      <c r="O617" s="57"/>
      <c r="P617" s="19"/>
    </row>
    <row r="618" spans="1:16" s="17" customFormat="1" x14ac:dyDescent="0.25">
      <c r="A618" s="26" t="s">
        <v>497</v>
      </c>
      <c r="B618" s="57"/>
      <c r="C618" s="57"/>
      <c r="D618" s="26"/>
      <c r="E618" s="57"/>
      <c r="L618" s="17" t="s">
        <v>83</v>
      </c>
      <c r="M618" s="29">
        <v>100</v>
      </c>
      <c r="N618" s="57" t="s">
        <v>37</v>
      </c>
      <c r="O618" s="57"/>
      <c r="P618" s="19"/>
    </row>
    <row r="619" spans="1:16" s="17" customFormat="1" x14ac:dyDescent="0.25">
      <c r="A619" s="26" t="s">
        <v>498</v>
      </c>
      <c r="B619" s="57"/>
      <c r="C619" s="57"/>
      <c r="D619" s="26"/>
      <c r="E619" s="57"/>
      <c r="L619" s="17" t="s">
        <v>83</v>
      </c>
      <c r="M619" s="29">
        <v>100</v>
      </c>
      <c r="N619" s="57" t="s">
        <v>37</v>
      </c>
      <c r="O619" s="57"/>
      <c r="P619" s="19"/>
    </row>
    <row r="620" spans="1:16" s="17" customFormat="1" x14ac:dyDescent="0.25">
      <c r="A620" s="26" t="s">
        <v>31</v>
      </c>
      <c r="B620" s="57"/>
      <c r="C620" s="57"/>
      <c r="D620" s="26"/>
      <c r="E620" s="57"/>
      <c r="L620" s="17" t="s">
        <v>83</v>
      </c>
      <c r="M620" s="29">
        <v>100</v>
      </c>
      <c r="N620" s="57" t="s">
        <v>37</v>
      </c>
      <c r="O620" s="57"/>
      <c r="P620" s="19"/>
    </row>
    <row r="621" spans="1:16" s="17" customFormat="1" x14ac:dyDescent="0.25">
      <c r="A621" s="86" t="s">
        <v>31</v>
      </c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87"/>
      <c r="N621" s="54"/>
      <c r="O621" s="54"/>
      <c r="P621" s="53"/>
    </row>
    <row r="622" spans="1:16" s="17" customFormat="1" x14ac:dyDescent="0.25">
      <c r="A622" s="26" t="s">
        <v>512</v>
      </c>
      <c r="B622" s="57"/>
      <c r="C622" s="57"/>
      <c r="D622" s="57"/>
      <c r="E622" s="57"/>
      <c r="L622" s="17" t="s">
        <v>83</v>
      </c>
      <c r="M622" s="29">
        <v>100</v>
      </c>
      <c r="N622" s="57" t="s">
        <v>37</v>
      </c>
      <c r="O622" s="57"/>
      <c r="P622" s="19"/>
    </row>
    <row r="623" spans="1:16" s="17" customFormat="1" x14ac:dyDescent="0.25">
      <c r="A623" s="26" t="s">
        <v>514</v>
      </c>
      <c r="B623" s="57"/>
      <c r="C623" s="57"/>
      <c r="D623" s="57"/>
      <c r="E623" s="57"/>
      <c r="L623" s="17" t="s">
        <v>83</v>
      </c>
      <c r="M623" s="29">
        <v>100</v>
      </c>
      <c r="N623" s="57" t="s">
        <v>37</v>
      </c>
      <c r="O623" s="57"/>
      <c r="P623" s="19"/>
    </row>
    <row r="624" spans="1:16" s="17" customFormat="1" x14ac:dyDescent="0.25">
      <c r="A624" s="26" t="s">
        <v>515</v>
      </c>
      <c r="B624" s="57"/>
      <c r="C624" s="57"/>
      <c r="D624" s="57"/>
      <c r="E624" s="57"/>
      <c r="L624" s="17" t="s">
        <v>83</v>
      </c>
      <c r="M624" s="29">
        <v>100</v>
      </c>
      <c r="N624" s="57" t="s">
        <v>37</v>
      </c>
      <c r="O624" s="57"/>
      <c r="P624" s="19"/>
    </row>
    <row r="625" spans="1:16" s="17" customFormat="1" x14ac:dyDescent="0.25">
      <c r="A625" s="26" t="s">
        <v>516</v>
      </c>
      <c r="B625" s="57"/>
      <c r="C625" s="57"/>
      <c r="D625" s="57"/>
      <c r="E625" s="57"/>
      <c r="L625" s="17" t="s">
        <v>83</v>
      </c>
      <c r="M625" s="29">
        <v>100</v>
      </c>
      <c r="N625" s="57" t="s">
        <v>37</v>
      </c>
      <c r="O625" s="57"/>
      <c r="P625" s="19"/>
    </row>
    <row r="626" spans="1:16" s="17" customFormat="1" x14ac:dyDescent="0.25">
      <c r="A626" s="26" t="s">
        <v>517</v>
      </c>
      <c r="B626" s="57"/>
      <c r="C626" s="57"/>
      <c r="D626" s="57"/>
      <c r="E626" s="57"/>
      <c r="L626" s="17" t="s">
        <v>83</v>
      </c>
      <c r="M626" s="29">
        <v>100</v>
      </c>
      <c r="N626" s="57" t="s">
        <v>37</v>
      </c>
      <c r="O626" s="57"/>
      <c r="P626" s="19"/>
    </row>
    <row r="627" spans="1:16" x14ac:dyDescent="0.25">
      <c r="A627" s="4" t="s">
        <v>188</v>
      </c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5"/>
      <c r="M627" s="5"/>
      <c r="N627" s="5"/>
      <c r="O627" s="5"/>
      <c r="P627" s="5"/>
    </row>
    <row r="628" spans="1:16" x14ac:dyDescent="0.25">
      <c r="A628" t="s">
        <v>184</v>
      </c>
      <c r="B628" s="10"/>
      <c r="C628" s="10"/>
      <c r="D628" t="s">
        <v>117</v>
      </c>
      <c r="L628" t="s">
        <v>83</v>
      </c>
      <c r="M628" s="21">
        <v>38</v>
      </c>
      <c r="N628" t="s">
        <v>37</v>
      </c>
      <c r="O628" s="11" t="s">
        <v>190</v>
      </c>
      <c r="P628" s="8" t="s">
        <v>89</v>
      </c>
    </row>
    <row r="629" spans="1:16" x14ac:dyDescent="0.25">
      <c r="A629" t="s">
        <v>184</v>
      </c>
      <c r="B629" s="10"/>
      <c r="C629" s="10"/>
      <c r="D629" t="s">
        <v>117</v>
      </c>
      <c r="H629" t="s">
        <v>118</v>
      </c>
      <c r="L629" t="s">
        <v>84</v>
      </c>
      <c r="M629" s="21">
        <v>60</v>
      </c>
      <c r="N629" t="s">
        <v>37</v>
      </c>
      <c r="P629" s="8" t="s">
        <v>89</v>
      </c>
    </row>
    <row r="630" spans="1:16" x14ac:dyDescent="0.25">
      <c r="A630" s="17" t="s">
        <v>183</v>
      </c>
      <c r="B630" s="10"/>
      <c r="C630" s="10"/>
      <c r="D630" t="s">
        <v>36</v>
      </c>
      <c r="L630" t="s">
        <v>83</v>
      </c>
      <c r="M630" s="15">
        <f>(1*0.766) / (2.1/0.86) * 100</f>
        <v>31.369523809523809</v>
      </c>
      <c r="N630" s="17" t="s">
        <v>37</v>
      </c>
      <c r="O630" s="17" t="s">
        <v>315</v>
      </c>
      <c r="P630" s="9" t="s">
        <v>312</v>
      </c>
    </row>
    <row r="631" spans="1:16" x14ac:dyDescent="0.25">
      <c r="A631" s="17" t="s">
        <v>183</v>
      </c>
      <c r="B631" s="10"/>
      <c r="C631" s="10"/>
      <c r="D631" t="s">
        <v>36</v>
      </c>
      <c r="H631" t="s">
        <v>293</v>
      </c>
      <c r="L631" t="s">
        <v>84</v>
      </c>
      <c r="M631" s="15">
        <f>(0.8/0.9) / (2.1/0.86) * 100</f>
        <v>36.402116402116405</v>
      </c>
      <c r="N631" s="17" t="s">
        <v>37</v>
      </c>
      <c r="O631" s="42" t="s">
        <v>311</v>
      </c>
      <c r="P631" s="9" t="s">
        <v>313</v>
      </c>
    </row>
    <row r="632" spans="1:16" s="17" customFormat="1" x14ac:dyDescent="0.25">
      <c r="A632" s="17" t="s">
        <v>381</v>
      </c>
      <c r="B632" s="19"/>
      <c r="C632" s="19"/>
      <c r="E632" s="17" t="s">
        <v>414</v>
      </c>
      <c r="L632" s="17" t="s">
        <v>83</v>
      </c>
      <c r="M632" s="15">
        <f>((7.8762418/27)/(1/0.86))*100</f>
        <v>25.087288696296294</v>
      </c>
      <c r="N632" s="17" t="s">
        <v>37</v>
      </c>
      <c r="O632" s="17" t="s">
        <v>415</v>
      </c>
      <c r="P632" s="18"/>
    </row>
    <row r="633" spans="1:16" s="17" customFormat="1" x14ac:dyDescent="0.25">
      <c r="A633" s="6" t="s">
        <v>381</v>
      </c>
      <c r="B633" s="10"/>
      <c r="C633" s="10"/>
      <c r="D633" s="6"/>
      <c r="E633" s="6" t="s">
        <v>414</v>
      </c>
      <c r="F633" s="6"/>
      <c r="G633" s="6"/>
      <c r="H633" s="6"/>
      <c r="I633" s="6"/>
      <c r="J633" s="6"/>
      <c r="K633" s="6"/>
      <c r="L633" s="6" t="s">
        <v>84</v>
      </c>
      <c r="M633" s="13">
        <f>((0.4565/55)/(1/0.86))*100</f>
        <v>0.71379999999999999</v>
      </c>
      <c r="N633" s="6" t="s">
        <v>37</v>
      </c>
      <c r="O633" s="6" t="s">
        <v>416</v>
      </c>
      <c r="P633" s="18"/>
    </row>
    <row r="634" spans="1:16" x14ac:dyDescent="0.25">
      <c r="A634" s="17" t="s">
        <v>348</v>
      </c>
      <c r="B634" s="10"/>
      <c r="C634" s="10"/>
      <c r="D634" t="s">
        <v>347</v>
      </c>
      <c r="H634" s="6"/>
      <c r="L634" t="s">
        <v>83</v>
      </c>
      <c r="M634" s="15">
        <v>100</v>
      </c>
      <c r="N634" s="17" t="s">
        <v>37</v>
      </c>
      <c r="O634" s="6"/>
      <c r="P634" s="9"/>
    </row>
    <row r="635" spans="1:16" x14ac:dyDescent="0.25">
      <c r="A635" s="4" t="s">
        <v>284</v>
      </c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5"/>
      <c r="M635" s="38" t="s">
        <v>294</v>
      </c>
      <c r="N635" s="5"/>
      <c r="O635" s="5"/>
      <c r="P635" s="5"/>
    </row>
    <row r="636" spans="1:16" x14ac:dyDescent="0.25">
      <c r="A636" t="s">
        <v>258</v>
      </c>
      <c r="B636" s="10"/>
      <c r="C636" s="10"/>
      <c r="D636" s="10"/>
      <c r="E636" s="10"/>
      <c r="F636" s="19" t="s">
        <v>256</v>
      </c>
      <c r="G636" s="19" t="s">
        <v>257</v>
      </c>
      <c r="H636" s="10"/>
      <c r="I636" s="10"/>
      <c r="J636" s="10"/>
      <c r="K636" s="10"/>
      <c r="L636" t="s">
        <v>83</v>
      </c>
      <c r="M636" s="19">
        <v>100</v>
      </c>
      <c r="N636" s="8" t="s">
        <v>37</v>
      </c>
      <c r="O636" s="8"/>
      <c r="P636" s="8"/>
    </row>
    <row r="637" spans="1:16" x14ac:dyDescent="0.25">
      <c r="A637" t="s">
        <v>325</v>
      </c>
      <c r="B637" s="10"/>
      <c r="C637" s="10"/>
      <c r="D637" s="10"/>
      <c r="E637" s="10"/>
      <c r="F637" s="19" t="s">
        <v>327</v>
      </c>
      <c r="G637" s="19" t="s">
        <v>257</v>
      </c>
      <c r="H637" s="10"/>
      <c r="I637" s="10"/>
      <c r="J637" s="10"/>
      <c r="K637" s="10"/>
      <c r="L637" t="s">
        <v>83</v>
      </c>
      <c r="M637" s="19">
        <v>100</v>
      </c>
      <c r="N637" s="8" t="s">
        <v>37</v>
      </c>
      <c r="O637" s="8"/>
      <c r="P637" s="8"/>
    </row>
    <row r="638" spans="1:16" x14ac:dyDescent="0.25">
      <c r="B638" s="10"/>
      <c r="C638" s="10"/>
      <c r="D638" s="10"/>
      <c r="E638" s="10"/>
      <c r="F638" s="19"/>
      <c r="G638" s="19"/>
      <c r="H638" s="10"/>
      <c r="I638" s="10"/>
      <c r="J638" s="10"/>
      <c r="K638" s="10"/>
      <c r="M638" s="19"/>
      <c r="N638" s="8"/>
      <c r="O638" s="8"/>
      <c r="P638" s="8"/>
    </row>
    <row r="639" spans="1:16" x14ac:dyDescent="0.25">
      <c r="A639" s="2" t="s">
        <v>296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 spans="1:16" x14ac:dyDescent="0.25">
      <c r="A640" s="6" t="s">
        <v>297</v>
      </c>
    </row>
  </sheetData>
  <hyperlinks>
    <hyperlink ref="P510" r:id="rId1"/>
    <hyperlink ref="P516" r:id="rId2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141</v>
      </c>
    </row>
    <row r="9" spans="5:5" x14ac:dyDescent="0.25">
      <c r="E9" t="s">
        <v>144</v>
      </c>
    </row>
    <row r="10" spans="5:5" x14ac:dyDescent="0.25">
      <c r="E10" t="s">
        <v>142</v>
      </c>
    </row>
    <row r="11" spans="5:5" x14ac:dyDescent="0.25">
      <c r="E11" t="s">
        <v>143</v>
      </c>
    </row>
    <row r="12" spans="5:5" x14ac:dyDescent="0.25">
      <c r="E12" t="s">
        <v>146</v>
      </c>
    </row>
    <row r="13" spans="5:5" x14ac:dyDescent="0.25">
      <c r="E13" t="s">
        <v>145</v>
      </c>
    </row>
    <row r="15" spans="5:5" x14ac:dyDescent="0.25">
      <c r="E15" s="25" t="s">
        <v>147</v>
      </c>
    </row>
    <row r="16" spans="5:5" x14ac:dyDescent="0.25">
      <c r="E16" t="s">
        <v>148</v>
      </c>
    </row>
    <row r="17" spans="5:5" x14ac:dyDescent="0.25">
      <c r="E17" t="s">
        <v>149</v>
      </c>
    </row>
    <row r="19" spans="5:5" x14ac:dyDescent="0.25">
      <c r="E19" s="25" t="s">
        <v>150</v>
      </c>
    </row>
    <row r="20" spans="5:5" x14ac:dyDescent="0.25">
      <c r="E20" t="s">
        <v>152</v>
      </c>
    </row>
    <row r="21" spans="5:5" x14ac:dyDescent="0.25">
      <c r="E21" t="s">
        <v>151</v>
      </c>
    </row>
    <row r="23" spans="5:5" x14ac:dyDescent="0.25">
      <c r="E23" s="25" t="s">
        <v>153</v>
      </c>
    </row>
    <row r="24" spans="5:5" x14ac:dyDescent="0.25">
      <c r="E24" t="s">
        <v>154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>
      <selection activeCell="O10" sqref="O10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262</v>
      </c>
    </row>
    <row r="2" spans="1:22" x14ac:dyDescent="0.25">
      <c r="A2" t="s">
        <v>264</v>
      </c>
      <c r="F2" s="31" t="s">
        <v>263</v>
      </c>
    </row>
    <row r="3" spans="1:22" x14ac:dyDescent="0.25">
      <c r="A3" t="s">
        <v>273</v>
      </c>
      <c r="F3" s="31" t="s">
        <v>272</v>
      </c>
    </row>
    <row r="4" spans="1:22" x14ac:dyDescent="0.25">
      <c r="F4" s="31"/>
    </row>
    <row r="5" spans="1:22" x14ac:dyDescent="0.25">
      <c r="C5" s="25" t="s">
        <v>286</v>
      </c>
    </row>
    <row r="6" spans="1:22" x14ac:dyDescent="0.25">
      <c r="C6" s="1" t="s">
        <v>261</v>
      </c>
      <c r="J6" s="1" t="s">
        <v>265</v>
      </c>
      <c r="Q6" s="1" t="s">
        <v>274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268</v>
      </c>
      <c r="I7" s="32"/>
      <c r="J7">
        <v>2016</v>
      </c>
      <c r="K7">
        <v>2017</v>
      </c>
      <c r="L7">
        <v>2018</v>
      </c>
      <c r="M7">
        <v>2019</v>
      </c>
      <c r="N7">
        <v>2020</v>
      </c>
      <c r="O7" s="32" t="s">
        <v>268</v>
      </c>
      <c r="P7" s="32"/>
      <c r="Q7">
        <v>2016</v>
      </c>
      <c r="R7">
        <v>2017</v>
      </c>
      <c r="S7">
        <v>2018</v>
      </c>
      <c r="T7">
        <v>2019</v>
      </c>
      <c r="U7">
        <v>2020</v>
      </c>
      <c r="V7" s="32" t="s">
        <v>268</v>
      </c>
    </row>
    <row r="8" spans="1:22" x14ac:dyDescent="0.25">
      <c r="A8" t="s">
        <v>150</v>
      </c>
      <c r="B8" t="s">
        <v>266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4"/>
      <c r="J8" s="33">
        <v>967062</v>
      </c>
      <c r="K8" s="33">
        <v>705522</v>
      </c>
      <c r="L8" s="34">
        <v>418327</v>
      </c>
      <c r="M8" s="34">
        <v>627125</v>
      </c>
      <c r="N8" s="34">
        <v>1057894</v>
      </c>
      <c r="O8" s="34">
        <f>AVERAGE(J8:N8)</f>
        <v>755186</v>
      </c>
      <c r="P8" s="34"/>
      <c r="Q8" s="34">
        <f t="shared" ref="Q8:Q12" si="0">J8-C8</f>
        <v>824710</v>
      </c>
      <c r="R8" s="34">
        <f t="shared" ref="R8:R12" si="1">K8-D8</f>
        <v>460723</v>
      </c>
      <c r="S8" s="34">
        <f>L8-E8</f>
        <v>145381</v>
      </c>
      <c r="T8" s="34">
        <f>M8-F8</f>
        <v>343408</v>
      </c>
      <c r="U8" s="34">
        <f>N8-G8</f>
        <v>1017027</v>
      </c>
      <c r="V8" s="35">
        <f>AVERAGE(Q8:U8)</f>
        <v>558249.80000000005</v>
      </c>
    </row>
    <row r="9" spans="1:22" x14ac:dyDescent="0.25">
      <c r="A9" t="s">
        <v>289</v>
      </c>
      <c r="B9" t="s">
        <v>267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2">AVERAGE(C9:G9)</f>
        <v>10565.6</v>
      </c>
      <c r="I9" s="34"/>
      <c r="J9" s="33">
        <v>34581</v>
      </c>
      <c r="K9" s="33">
        <v>6354</v>
      </c>
      <c r="L9" s="33">
        <v>6898</v>
      </c>
      <c r="M9" s="33">
        <v>59879</v>
      </c>
      <c r="N9" s="33">
        <v>57117</v>
      </c>
      <c r="O9" s="34">
        <f t="shared" ref="O9:O14" si="3">AVERAGE(J9:N9)</f>
        <v>32965.800000000003</v>
      </c>
      <c r="P9" s="34"/>
      <c r="Q9" s="34">
        <f t="shared" si="0"/>
        <v>23060</v>
      </c>
      <c r="R9" s="34">
        <f t="shared" si="1"/>
        <v>-599</v>
      </c>
      <c r="S9" s="34">
        <f t="shared" ref="S9:S12" si="4">L9-E9</f>
        <v>-4376</v>
      </c>
      <c r="T9" s="34">
        <f t="shared" ref="T9:T12" si="5">M9-F9</f>
        <v>45914</v>
      </c>
      <c r="U9" s="34">
        <f t="shared" ref="U9:U12" si="6">N9-G9</f>
        <v>48002</v>
      </c>
      <c r="V9" s="35">
        <f t="shared" ref="V9:V12" si="7">AVERAGE(Q9:U9)</f>
        <v>22400.2</v>
      </c>
    </row>
    <row r="10" spans="1:22" x14ac:dyDescent="0.25">
      <c r="A10" t="s">
        <v>290</v>
      </c>
      <c r="B10" t="s">
        <v>269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2"/>
        <v>71725.399999999994</v>
      </c>
      <c r="I10" s="34"/>
      <c r="J10" s="33">
        <v>479848</v>
      </c>
      <c r="K10" s="33">
        <v>430370</v>
      </c>
      <c r="L10" s="33">
        <v>330483</v>
      </c>
      <c r="M10" s="33">
        <v>219501</v>
      </c>
      <c r="N10" s="33">
        <v>421677</v>
      </c>
      <c r="O10" s="34">
        <f t="shared" si="3"/>
        <v>376375.8</v>
      </c>
      <c r="P10" s="34"/>
      <c r="Q10" s="34">
        <f t="shared" si="0"/>
        <v>401986</v>
      </c>
      <c r="R10" s="34">
        <f t="shared" si="1"/>
        <v>397851</v>
      </c>
      <c r="S10" s="34">
        <f t="shared" si="4"/>
        <v>243078</v>
      </c>
      <c r="T10" s="34">
        <f t="shared" si="5"/>
        <v>108699</v>
      </c>
      <c r="U10" s="34">
        <f t="shared" si="6"/>
        <v>371638</v>
      </c>
      <c r="V10" s="35">
        <f t="shared" si="7"/>
        <v>304650.40000000002</v>
      </c>
    </row>
    <row r="11" spans="1:22" x14ac:dyDescent="0.25">
      <c r="A11" t="s">
        <v>291</v>
      </c>
      <c r="B11" t="s">
        <v>270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2"/>
        <v>19331.400000000001</v>
      </c>
      <c r="I11" s="34"/>
      <c r="J11" s="33">
        <v>226191</v>
      </c>
      <c r="K11" s="33">
        <v>269865</v>
      </c>
      <c r="L11" s="33">
        <v>164780</v>
      </c>
      <c r="M11" s="33">
        <v>135097</v>
      </c>
      <c r="N11" s="33">
        <v>186972</v>
      </c>
      <c r="O11" s="34">
        <f t="shared" si="3"/>
        <v>196581</v>
      </c>
      <c r="P11" s="34"/>
      <c r="Q11" s="34">
        <f t="shared" si="0"/>
        <v>223627</v>
      </c>
      <c r="R11" s="34">
        <f t="shared" si="1"/>
        <v>266317</v>
      </c>
      <c r="S11" s="34">
        <f t="shared" si="4"/>
        <v>115021</v>
      </c>
      <c r="T11" s="34">
        <f>M11-F11</f>
        <v>98833</v>
      </c>
      <c r="U11" s="34">
        <f t="shared" si="6"/>
        <v>182450</v>
      </c>
      <c r="V11" s="35">
        <f t="shared" si="7"/>
        <v>177249.6</v>
      </c>
    </row>
    <row r="12" spans="1:22" x14ac:dyDescent="0.25">
      <c r="A12" t="s">
        <v>292</v>
      </c>
      <c r="B12" t="s">
        <v>271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2"/>
        <v>65281</v>
      </c>
      <c r="I12" s="34"/>
      <c r="J12">
        <v>412</v>
      </c>
      <c r="K12">
        <v>595</v>
      </c>
      <c r="L12">
        <v>601</v>
      </c>
      <c r="M12">
        <v>607</v>
      </c>
      <c r="N12">
        <v>221</v>
      </c>
      <c r="O12" s="34">
        <f t="shared" si="3"/>
        <v>487.2</v>
      </c>
      <c r="P12" s="34"/>
      <c r="Q12" s="34">
        <f t="shared" si="0"/>
        <v>-31756</v>
      </c>
      <c r="R12" s="34">
        <f t="shared" si="1"/>
        <v>-36082</v>
      </c>
      <c r="S12" s="34">
        <f t="shared" si="4"/>
        <v>-76971</v>
      </c>
      <c r="T12" s="34">
        <f t="shared" si="5"/>
        <v>-125931</v>
      </c>
      <c r="U12" s="34">
        <f t="shared" si="6"/>
        <v>-53229</v>
      </c>
      <c r="V12" s="35">
        <f t="shared" si="7"/>
        <v>-64793.8</v>
      </c>
    </row>
    <row r="13" spans="1:22" x14ac:dyDescent="0.25">
      <c r="C13" s="33"/>
      <c r="D13" s="33"/>
      <c r="E13" s="34"/>
      <c r="F13" s="34"/>
      <c r="G13" s="34"/>
      <c r="H13" s="34"/>
      <c r="I13" s="34"/>
      <c r="O13" s="34"/>
      <c r="P13" s="34"/>
      <c r="Q13" s="34"/>
      <c r="R13" s="34"/>
      <c r="S13" s="34"/>
      <c r="T13" s="34"/>
      <c r="U13" s="34"/>
      <c r="V13" s="35"/>
    </row>
    <row r="14" spans="1:22" x14ac:dyDescent="0.25">
      <c r="A14" t="s">
        <v>456</v>
      </c>
      <c r="C14" s="33"/>
      <c r="D14" s="33"/>
      <c r="E14" s="34"/>
      <c r="F14" s="34"/>
      <c r="G14" s="34"/>
      <c r="H14" s="34"/>
      <c r="I14" s="34"/>
      <c r="J14" s="33">
        <v>155167</v>
      </c>
      <c r="K14" s="33">
        <v>158492</v>
      </c>
      <c r="L14" s="33">
        <v>134849</v>
      </c>
      <c r="M14" s="33">
        <v>133496</v>
      </c>
      <c r="N14" s="33">
        <v>127100</v>
      </c>
      <c r="O14" s="34">
        <f t="shared" si="3"/>
        <v>141820.79999999999</v>
      </c>
      <c r="P14" s="34"/>
      <c r="Q14" s="34"/>
      <c r="R14" s="34"/>
      <c r="S14" s="34"/>
      <c r="T14" s="34"/>
      <c r="U14" s="34"/>
      <c r="V14" s="35"/>
    </row>
    <row r="16" spans="1:22" x14ac:dyDescent="0.25">
      <c r="C16" s="25" t="s">
        <v>287</v>
      </c>
    </row>
    <row r="17" spans="1:22" x14ac:dyDescent="0.25">
      <c r="C17" s="1" t="s">
        <v>261</v>
      </c>
      <c r="J17" s="1" t="s">
        <v>265</v>
      </c>
      <c r="Q17" s="1" t="s">
        <v>274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32" t="s">
        <v>268</v>
      </c>
      <c r="I18" s="32"/>
      <c r="J18">
        <v>2016</v>
      </c>
      <c r="K18">
        <v>2017</v>
      </c>
      <c r="L18">
        <v>2018</v>
      </c>
      <c r="M18">
        <v>2019</v>
      </c>
      <c r="N18">
        <v>2020</v>
      </c>
      <c r="O18" s="32" t="s">
        <v>268</v>
      </c>
      <c r="P18" s="32"/>
      <c r="Q18">
        <v>2016</v>
      </c>
      <c r="R18">
        <v>2017</v>
      </c>
      <c r="S18">
        <v>2018</v>
      </c>
      <c r="T18">
        <v>2019</v>
      </c>
      <c r="U18">
        <v>2020</v>
      </c>
      <c r="V18" s="32" t="s">
        <v>268</v>
      </c>
    </row>
    <row r="19" spans="1:22" x14ac:dyDescent="0.25">
      <c r="A19" t="s">
        <v>288</v>
      </c>
      <c r="B19" t="s">
        <v>191</v>
      </c>
      <c r="C19" s="33">
        <v>9962</v>
      </c>
      <c r="D19" s="33">
        <v>9725</v>
      </c>
      <c r="E19" s="33">
        <v>33834</v>
      </c>
      <c r="F19" s="33">
        <v>15706</v>
      </c>
      <c r="G19" s="33">
        <v>20607</v>
      </c>
      <c r="H19" s="34">
        <f>AVERAGE(C19:G19)</f>
        <v>17966.8</v>
      </c>
      <c r="I19" s="34"/>
      <c r="J19" s="33">
        <v>57573</v>
      </c>
      <c r="K19" s="33">
        <v>60238</v>
      </c>
      <c r="L19" s="33">
        <v>34935</v>
      </c>
      <c r="M19" s="33">
        <v>20423</v>
      </c>
      <c r="N19" s="33">
        <v>26979</v>
      </c>
      <c r="O19" s="34">
        <f>AVERAGE(J19:N19)</f>
        <v>40029.599999999999</v>
      </c>
      <c r="P19" s="34"/>
      <c r="Q19" s="34">
        <f t="shared" ref="Q19" si="8">J19-C19</f>
        <v>47611</v>
      </c>
      <c r="R19" s="34">
        <f t="shared" ref="R19" si="9">K19-D19</f>
        <v>50513</v>
      </c>
      <c r="S19" s="34">
        <f t="shared" ref="S19" si="10">L19-E19</f>
        <v>1101</v>
      </c>
      <c r="T19" s="34">
        <f t="shared" ref="T19" si="11">M19-F19</f>
        <v>4717</v>
      </c>
      <c r="U19" s="34">
        <f t="shared" ref="U19" si="12">N19-G19</f>
        <v>6372</v>
      </c>
      <c r="V19" s="34">
        <f>AVERAGE(Q19:U19)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295</v>
      </c>
    </row>
    <row r="2" spans="1:1" x14ac:dyDescent="0.25">
      <c r="A2" t="s">
        <v>317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2025-03-11T11:50:21Z</dcterms:modified>
</cp:coreProperties>
</file>