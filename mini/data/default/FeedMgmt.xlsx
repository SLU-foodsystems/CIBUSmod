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5100" activeTab="1"/>
  </bookViews>
  <sheets>
    <sheet name="references" sheetId="9" r:id="rId1"/>
    <sheet name="default"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41" i="1" l="1"/>
  <c r="N37" i="1"/>
  <c r="N36" i="1"/>
</calcChain>
</file>

<file path=xl/sharedStrings.xml><?xml version="1.0" encoding="utf-8"?>
<sst xmlns="http://schemas.openxmlformats.org/spreadsheetml/2006/main" count="299" uniqueCount="91">
  <si>
    <t>f_feed</t>
  </si>
  <si>
    <t>f_crop_prod</t>
  </si>
  <si>
    <t>parameter</t>
  </si>
  <si>
    <t>value</t>
  </si>
  <si>
    <t>unit</t>
  </si>
  <si>
    <t>description</t>
  </si>
  <si>
    <t>source</t>
  </si>
  <si>
    <t>f_by_prod</t>
  </si>
  <si>
    <t>fodder</t>
  </si>
  <si>
    <t>f_prod_system</t>
  </si>
  <si>
    <t>f_breed</t>
  </si>
  <si>
    <t>f_sub_system</t>
  </si>
  <si>
    <t>f_animal</t>
  </si>
  <si>
    <t>wheat</t>
  </si>
  <si>
    <t>feed_par_E</t>
  </si>
  <si>
    <t>f_species</t>
  </si>
  <si>
    <t>cattle</t>
  </si>
  <si>
    <t>Feed nutritional parameters</t>
  </si>
  <si>
    <t>share_regional</t>
  </si>
  <si>
    <t>%</t>
  </si>
  <si>
    <t>Share of crop and by-products that are imported</t>
  </si>
  <si>
    <t>share_imported</t>
  </si>
  <si>
    <t>feed_to_prod</t>
  </si>
  <si>
    <t>grazing</t>
  </si>
  <si>
    <t>fallback</t>
  </si>
  <si>
    <t>rapeseed meal</t>
  </si>
  <si>
    <t>soybean meal</t>
  </si>
  <si>
    <t>wheat bran</t>
  </si>
  <si>
    <t>see feed pars sheet</t>
  </si>
  <si>
    <t>need to align with DM in products and by-products</t>
  </si>
  <si>
    <t>ley silage, 1st cut</t>
  </si>
  <si>
    <t>ley silage, regrowth</t>
  </si>
  <si>
    <t>dairy</t>
  </si>
  <si>
    <t>cows</t>
  </si>
  <si>
    <t>bulls</t>
  </si>
  <si>
    <t>Semi-natural pastures</t>
  </si>
  <si>
    <t>max_crop_in_crop_prod</t>
  </si>
  <si>
    <r>
      <t>Maximum contribution of crop to crop product demand for feed</t>
    </r>
    <r>
      <rPr>
        <sz val="11"/>
        <color theme="1"/>
        <rFont val="Calibri"/>
        <family val="2"/>
        <scheme val="minor"/>
      </rPr>
      <t xml:space="preserve"> (Primarily used to limit semi-natural pastures in grazing)</t>
    </r>
  </si>
  <si>
    <t>feed_par_DM</t>
  </si>
  <si>
    <t>storage_losses</t>
  </si>
  <si>
    <t>feeding_losses</t>
  </si>
  <si>
    <t>Storage and feeding losses</t>
  </si>
  <si>
    <t>80% in silo</t>
  </si>
  <si>
    <t>60% in silo</t>
  </si>
  <si>
    <t>No feeding on pasture</t>
  </si>
  <si>
    <t>10% feeding on pasture</t>
  </si>
  <si>
    <t>feed_par_GE</t>
  </si>
  <si>
    <t>feed_par_fat</t>
  </si>
  <si>
    <t>g/kg DM</t>
  </si>
  <si>
    <t>Total fat</t>
  </si>
  <si>
    <t>f_region</t>
  </si>
  <si>
    <t>kg product/kg DM feed</t>
  </si>
  <si>
    <t>feed_par_DE</t>
  </si>
  <si>
    <t>Energy in feed used for feed req. calc.: ME for cattle,sheep and horses and NE for pigs</t>
  </si>
  <si>
    <t>MJ DE/kg DM</t>
  </si>
  <si>
    <t>MJ GE/kg DM</t>
  </si>
  <si>
    <t>kg DM/kg as fed</t>
  </si>
  <si>
    <t>Enteric fermentation</t>
  </si>
  <si>
    <t>For cattle Ym is calculated from feed ration</t>
  </si>
  <si>
    <t>enteric_adj</t>
  </si>
  <si>
    <t>-</t>
  </si>
  <si>
    <t>Adjustment factor for enteric methane emissions</t>
  </si>
  <si>
    <t>feed_par_ASH</t>
  </si>
  <si>
    <t>feed_par_N</t>
  </si>
  <si>
    <t>feed_par_P</t>
  </si>
  <si>
    <t>feed_par_K</t>
  </si>
  <si>
    <t>Cattle</t>
  </si>
  <si>
    <t>General</t>
  </si>
  <si>
    <t>MJ ME/kg DM</t>
  </si>
  <si>
    <t>f_feed_group:feed</t>
  </si>
  <si>
    <t>ley silage</t>
  </si>
  <si>
    <t>dry concentrates</t>
  </si>
  <si>
    <t>??</t>
  </si>
  <si>
    <t>Statistics Netherlands (2012) Standardised calculation methods for animal manure and nutrients. Standard data 1990–2008</t>
  </si>
  <si>
    <t>Statistics Netherlands (2012)</t>
  </si>
  <si>
    <t>Cederberg &amp; Henriksson (2020)</t>
  </si>
  <si>
    <t>for cattle</t>
  </si>
  <si>
    <t>Cederberg, C. &amp; Henriksson, M. (2020). Gräsmarkernas användning i jordbruket</t>
  </si>
  <si>
    <t>f_crop_resid</t>
  </si>
  <si>
    <t>Conversion factors: Feeds --&gt; crop products, by-products or crop residues</t>
  </si>
  <si>
    <t>Crop products</t>
  </si>
  <si>
    <t>By-products</t>
  </si>
  <si>
    <t>Crop residues</t>
  </si>
  <si>
    <t>milling by-products from wheat, barley or rye</t>
  </si>
  <si>
    <t>f_crop_group</t>
  </si>
  <si>
    <t>max_overproduction</t>
  </si>
  <si>
    <t>Parameters to constrain regional feed supply</t>
  </si>
  <si>
    <r>
      <t>The parameter</t>
    </r>
    <r>
      <rPr>
        <b/>
        <sz val="11"/>
        <color theme="4"/>
        <rFont val="Calibri"/>
        <family val="2"/>
        <scheme val="minor"/>
      </rPr>
      <t xml:space="preserve"> share_regional</t>
    </r>
    <r>
      <rPr>
        <sz val="11"/>
        <color theme="4"/>
        <rFont val="Calibri"/>
        <family val="2"/>
        <scheme val="minor"/>
      </rPr>
      <t xml:space="preserve"> constrains crop production in a region to supply at least X% of feed demand in that region. Can differ per species/breed/animal etc.</t>
    </r>
  </si>
  <si>
    <r>
      <t xml:space="preserve">The paramter </t>
    </r>
    <r>
      <rPr>
        <b/>
        <sz val="11"/>
        <color theme="4"/>
        <rFont val="Calibri"/>
        <family val="2"/>
        <scheme val="minor"/>
      </rPr>
      <t>max_overproduction</t>
    </r>
    <r>
      <rPr>
        <sz val="11"/>
        <color theme="4"/>
        <rFont val="Calibri"/>
        <family val="2"/>
        <scheme val="minor"/>
      </rPr>
      <t xml:space="preserve"> constrains crop production to not exceed feed demand plus X% in any region. Only specify this for crop products exclusively used for feed</t>
    </r>
  </si>
  <si>
    <t>Hessle, A. &amp; Danielsson, R. (2023) Number of cattle required to obtain good ecological status in Swedish grasslands and livestock’s methane emissions. Swedish University of Agricultural Sciences. Department of Animal Environment and Health. Section of Production systems</t>
  </si>
  <si>
    <t>Ahlgren, S., Behaderovic, D., Wirsenius, S., Carlsson, A., Hessle, A. Toräng, P., Seeman, A., den Braver, T. &amp;  et al. Kvarnbäck, O. (2022) Miljöpåverkan av svensk nöt- och lammköttsproduktion. 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</si>
</sst>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sz val="11"/>
      <color theme="1"/>
      <name val="Calibri"/>
      <family val="2"/>
      <scheme val="minor"/>
    </font>
    <font>
      <b/>
      <u/>
      <sz val="11"/>
      <color theme="1"/>
      <name val="Calibri"/>
      <family val="2"/>
      <scheme val="minor"/>
    </font>
    <font>
      <sz val="11"/>
      <color rgb="FFFF0000"/>
      <name val="Calibri"/>
      <family val="2"/>
      <scheme val="minor"/>
    </font>
    <font>
      <b/>
      <sz val="11"/>
      <color theme="1"/>
      <name val="Calibri"/>
      <family val="2"/>
      <scheme val="minor"/>
    </font>
    <font>
      <sz val="11"/>
      <color rgb="FF7030A0"/>
      <name val="Calibri"/>
      <family val="2"/>
      <scheme val="minor"/>
    </font>
    <font>
      <sz val="11"/>
      <name val="Calibri"/>
      <family val="2"/>
      <scheme val="minor"/>
    </font>
    <font>
      <sz val="11"/>
      <color theme="4"/>
      <name val="Calibri"/>
      <family val="2"/>
      <scheme val="minor"/>
    </font>
    <font>
      <b/>
      <sz val="11"/>
      <color theme="4"/>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xf numFmtId="0" fontId="0" fillId="2" borderId="0" xfId="0" applyFill="1"/>
    <xf numFmtId="0" fontId="2" fillId="0" borderId="0" xfId="0" applyFont="1"/>
    <xf numFmtId="0" fontId="3" fillId="0" borderId="0" xfId="0" applyFont="1"/>
    <xf numFmtId="0" fontId="0" fillId="0" borderId="0" xfId="0" applyFill="1"/>
    <xf numFmtId="0" fontId="4" fillId="0" borderId="0" xfId="0" applyFont="1"/>
    <xf numFmtId="2" fontId="4" fillId="0" borderId="0" xfId="0" applyNumberFormat="1" applyFont="1"/>
    <xf numFmtId="2" fontId="5" fillId="0" borderId="0" xfId="0" applyNumberFormat="1" applyFont="1"/>
    <xf numFmtId="1" fontId="0" fillId="0" borderId="0" xfId="0" applyNumberFormat="1"/>
    <xf numFmtId="0" fontId="2" fillId="2" borderId="0" xfId="0" applyFont="1" applyFill="1"/>
    <xf numFmtId="0" fontId="5" fillId="0" borderId="0" xfId="0" applyFont="1"/>
    <xf numFmtId="0" fontId="0" fillId="0" borderId="0" xfId="0" applyBorder="1"/>
    <xf numFmtId="0" fontId="6" fillId="0" borderId="0" xfId="0" applyFont="1"/>
    <xf numFmtId="0" fontId="1" fillId="0" borderId="0" xfId="0" applyFont="1"/>
    <xf numFmtId="0" fontId="1" fillId="0" borderId="0" xfId="0" applyFont="1" applyFill="1"/>
    <xf numFmtId="0" fontId="6" fillId="0" borderId="0" xfId="0" quotePrefix="1" applyFont="1" applyFill="1"/>
    <xf numFmtId="1" fontId="5" fillId="0" borderId="0" xfId="0" applyNumberFormat="1"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B9" sqref="B9"/>
    </sheetView>
  </sheetViews>
  <sheetFormatPr defaultRowHeight="15" x14ac:dyDescent="0.25"/>
  <sheetData>
    <row r="1" spans="1:1" x14ac:dyDescent="0.25">
      <c r="A1" t="s">
        <v>73</v>
      </c>
    </row>
    <row r="2" spans="1:1" x14ac:dyDescent="0.25">
      <c r="A2" t="s">
        <v>77</v>
      </c>
    </row>
    <row r="3" spans="1:1" x14ac:dyDescent="0.25">
      <c r="A3" t="s">
        <v>89</v>
      </c>
    </row>
    <row r="4" spans="1:1" x14ac:dyDescent="0.25">
      <c r="A4"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8"/>
  <sheetViews>
    <sheetView tabSelected="1" zoomScale="80" zoomScaleNormal="80" workbookViewId="0">
      <pane ySplit="1" topLeftCell="A2" activePane="bottomLeft" state="frozen"/>
      <selection pane="bottomLeft" activeCell="N31" sqref="N31"/>
    </sheetView>
  </sheetViews>
  <sheetFormatPr defaultRowHeight="15" x14ac:dyDescent="0.25"/>
  <cols>
    <col min="6" max="7" width="20.28515625" customWidth="1"/>
    <col min="8" max="8" width="23.5703125" bestFit="1" customWidth="1"/>
    <col min="9" max="9" width="19.5703125" bestFit="1" customWidth="1"/>
    <col min="10" max="11" width="20.140625" customWidth="1"/>
    <col min="12" max="12" width="9.7109375" customWidth="1"/>
    <col min="13" max="13" width="16.42578125" bestFit="1" customWidth="1"/>
    <col min="14" max="14" width="25.85546875" bestFit="1" customWidth="1"/>
    <col min="15" max="15" width="12.7109375" bestFit="1" customWidth="1"/>
    <col min="16" max="16" width="38.140625" customWidth="1"/>
    <col min="17" max="17" width="58" customWidth="1"/>
  </cols>
  <sheetData>
    <row r="1" spans="1:18" x14ac:dyDescent="0.25">
      <c r="A1" s="4" t="s">
        <v>15</v>
      </c>
      <c r="B1" s="4" t="s">
        <v>10</v>
      </c>
      <c r="C1" s="4" t="s">
        <v>9</v>
      </c>
      <c r="D1" s="4" t="s">
        <v>11</v>
      </c>
      <c r="E1" s="4" t="s">
        <v>12</v>
      </c>
      <c r="F1" s="4" t="s">
        <v>0</v>
      </c>
      <c r="G1" s="4" t="s">
        <v>69</v>
      </c>
      <c r="H1" s="4" t="s">
        <v>84</v>
      </c>
      <c r="I1" s="4" t="s">
        <v>1</v>
      </c>
      <c r="J1" s="4" t="s">
        <v>7</v>
      </c>
      <c r="K1" s="4" t="s">
        <v>78</v>
      </c>
      <c r="L1" s="4" t="s">
        <v>50</v>
      </c>
      <c r="M1" s="4" t="s">
        <v>2</v>
      </c>
      <c r="N1" s="4" t="s">
        <v>3</v>
      </c>
      <c r="O1" s="4" t="s">
        <v>4</v>
      </c>
      <c r="P1" s="4" t="s">
        <v>5</v>
      </c>
      <c r="Q1" s="4" t="s">
        <v>6</v>
      </c>
    </row>
    <row r="2" spans="1:18" x14ac:dyDescent="0.25">
      <c r="A2" s="1" t="s">
        <v>79</v>
      </c>
      <c r="B2" s="1"/>
      <c r="C2" s="1"/>
      <c r="D2" s="1"/>
      <c r="E2" s="1"/>
      <c r="F2" s="1"/>
      <c r="G2" s="1"/>
      <c r="H2" s="1"/>
      <c r="I2" s="1"/>
      <c r="J2" s="1"/>
      <c r="K2" s="1"/>
      <c r="L2" s="1"/>
      <c r="M2" s="2"/>
      <c r="N2" s="2"/>
      <c r="O2" s="2" t="s">
        <v>51</v>
      </c>
      <c r="P2" s="10" t="s">
        <v>29</v>
      </c>
      <c r="Q2" s="2"/>
      <c r="R2" s="5"/>
    </row>
    <row r="3" spans="1:18" x14ac:dyDescent="0.25">
      <c r="M3" s="6" t="s">
        <v>22</v>
      </c>
      <c r="N3" s="7">
        <v>0</v>
      </c>
      <c r="O3" s="6"/>
      <c r="P3" s="6" t="s">
        <v>24</v>
      </c>
    </row>
    <row r="4" spans="1:18" x14ac:dyDescent="0.25">
      <c r="A4" s="14" t="s">
        <v>80</v>
      </c>
      <c r="M4" s="6"/>
      <c r="N4" s="7"/>
      <c r="O4" s="6"/>
      <c r="P4" s="6"/>
    </row>
    <row r="5" spans="1:18" x14ac:dyDescent="0.25">
      <c r="F5" t="s">
        <v>30</v>
      </c>
      <c r="I5" t="s">
        <v>8</v>
      </c>
      <c r="M5" t="s">
        <v>22</v>
      </c>
      <c r="N5" s="8">
        <v>1</v>
      </c>
    </row>
    <row r="6" spans="1:18" x14ac:dyDescent="0.25">
      <c r="F6" t="s">
        <v>31</v>
      </c>
      <c r="I6" t="s">
        <v>8</v>
      </c>
      <c r="M6" t="s">
        <v>22</v>
      </c>
      <c r="N6" s="8">
        <v>1</v>
      </c>
    </row>
    <row r="7" spans="1:18" x14ac:dyDescent="0.25">
      <c r="F7" t="s">
        <v>23</v>
      </c>
      <c r="I7" t="s">
        <v>23</v>
      </c>
      <c r="M7" t="s">
        <v>22</v>
      </c>
      <c r="N7" s="8">
        <v>1</v>
      </c>
    </row>
    <row r="8" spans="1:18" x14ac:dyDescent="0.25">
      <c r="F8" t="s">
        <v>13</v>
      </c>
      <c r="I8" t="s">
        <v>13</v>
      </c>
      <c r="M8" t="s">
        <v>22</v>
      </c>
      <c r="N8" s="8">
        <v>1</v>
      </c>
    </row>
    <row r="9" spans="1:18" x14ac:dyDescent="0.25">
      <c r="A9" s="14" t="s">
        <v>81</v>
      </c>
      <c r="F9" s="11"/>
      <c r="G9" s="11"/>
      <c r="H9" s="11"/>
      <c r="I9" s="11"/>
      <c r="J9" s="11"/>
      <c r="K9" s="11"/>
      <c r="L9" s="11"/>
      <c r="M9" s="11"/>
      <c r="N9" s="8"/>
      <c r="O9" s="11"/>
      <c r="P9" s="3"/>
    </row>
    <row r="10" spans="1:18" x14ac:dyDescent="0.25">
      <c r="F10" t="s">
        <v>26</v>
      </c>
      <c r="J10" t="s">
        <v>26</v>
      </c>
      <c r="M10" t="s">
        <v>22</v>
      </c>
      <c r="N10" s="8">
        <v>1</v>
      </c>
    </row>
    <row r="11" spans="1:18" x14ac:dyDescent="0.25">
      <c r="F11" t="s">
        <v>25</v>
      </c>
      <c r="J11" t="s">
        <v>25</v>
      </c>
      <c r="M11" t="s">
        <v>22</v>
      </c>
      <c r="N11" s="8">
        <v>1</v>
      </c>
    </row>
    <row r="12" spans="1:18" x14ac:dyDescent="0.25">
      <c r="F12" t="s">
        <v>27</v>
      </c>
      <c r="J12" t="s">
        <v>83</v>
      </c>
      <c r="M12" t="s">
        <v>22</v>
      </c>
      <c r="N12" s="8">
        <v>1</v>
      </c>
    </row>
    <row r="13" spans="1:18" x14ac:dyDescent="0.25">
      <c r="N13" s="8"/>
    </row>
    <row r="14" spans="1:18" x14ac:dyDescent="0.25">
      <c r="A14" s="14" t="s">
        <v>82</v>
      </c>
      <c r="N14" s="8"/>
    </row>
    <row r="15" spans="1:18" x14ac:dyDescent="0.25">
      <c r="N15" s="8"/>
    </row>
    <row r="16" spans="1:18" x14ac:dyDescent="0.25">
      <c r="A16" s="1" t="s">
        <v>86</v>
      </c>
      <c r="B16" s="1"/>
      <c r="C16" s="1"/>
      <c r="D16" s="1"/>
      <c r="E16" s="2"/>
      <c r="F16" s="2"/>
      <c r="G16" s="2"/>
      <c r="H16" s="2"/>
      <c r="I16" s="2"/>
      <c r="J16" s="2"/>
      <c r="K16" s="2"/>
      <c r="L16" s="2"/>
      <c r="M16" s="2"/>
      <c r="N16" s="2"/>
      <c r="O16" s="2"/>
      <c r="P16" s="2"/>
      <c r="Q16" s="2"/>
    </row>
    <row r="17" spans="1:17" s="5" customFormat="1" x14ac:dyDescent="0.25">
      <c r="A17" s="16" t="s">
        <v>87</v>
      </c>
      <c r="B17" s="15"/>
      <c r="C17" s="15"/>
      <c r="D17" s="15"/>
    </row>
    <row r="18" spans="1:17" x14ac:dyDescent="0.25">
      <c r="M18" s="6" t="s">
        <v>18</v>
      </c>
      <c r="N18" s="6">
        <v>0</v>
      </c>
      <c r="O18" s="6" t="s">
        <v>19</v>
      </c>
      <c r="P18" s="6" t="s">
        <v>24</v>
      </c>
    </row>
    <row r="19" spans="1:17" x14ac:dyDescent="0.25">
      <c r="I19" t="s">
        <v>8</v>
      </c>
      <c r="M19" t="s">
        <v>18</v>
      </c>
      <c r="N19" s="3">
        <v>95</v>
      </c>
      <c r="O19" t="s">
        <v>19</v>
      </c>
    </row>
    <row r="20" spans="1:17" x14ac:dyDescent="0.25">
      <c r="I20" t="s">
        <v>23</v>
      </c>
      <c r="M20" t="s">
        <v>18</v>
      </c>
      <c r="N20" s="3">
        <v>95</v>
      </c>
      <c r="O20" t="s">
        <v>19</v>
      </c>
    </row>
    <row r="21" spans="1:17" x14ac:dyDescent="0.25">
      <c r="N21" s="3"/>
      <c r="P21" s="3"/>
    </row>
    <row r="22" spans="1:17" x14ac:dyDescent="0.25">
      <c r="A22" s="13" t="s">
        <v>88</v>
      </c>
      <c r="N22" s="3"/>
      <c r="P22" s="3"/>
    </row>
    <row r="23" spans="1:17" x14ac:dyDescent="0.25">
      <c r="I23" t="s">
        <v>8</v>
      </c>
      <c r="M23" t="s">
        <v>85</v>
      </c>
      <c r="N23" s="3">
        <v>5</v>
      </c>
      <c r="O23" t="s">
        <v>19</v>
      </c>
      <c r="P23" s="3"/>
    </row>
    <row r="24" spans="1:17" x14ac:dyDescent="0.25">
      <c r="I24" t="s">
        <v>23</v>
      </c>
      <c r="M24" t="s">
        <v>85</v>
      </c>
      <c r="N24" s="3">
        <v>5</v>
      </c>
      <c r="O24" t="s">
        <v>19</v>
      </c>
      <c r="P24" s="3"/>
    </row>
    <row r="25" spans="1:17" x14ac:dyDescent="0.25">
      <c r="N25" s="3"/>
      <c r="P25" s="3"/>
    </row>
    <row r="26" spans="1:17" x14ac:dyDescent="0.25">
      <c r="A26" s="1" t="s">
        <v>20</v>
      </c>
      <c r="B26" s="1"/>
      <c r="C26" s="1"/>
      <c r="D26" s="1"/>
      <c r="E26" s="2"/>
      <c r="F26" s="2"/>
      <c r="G26" s="2"/>
      <c r="H26" s="2"/>
      <c r="I26" s="2"/>
      <c r="J26" s="2"/>
      <c r="K26" s="2"/>
      <c r="L26" s="2"/>
      <c r="M26" s="2"/>
      <c r="N26" s="2"/>
      <c r="O26" s="2"/>
      <c r="P26" s="2"/>
      <c r="Q26" s="2"/>
    </row>
    <row r="27" spans="1:17" x14ac:dyDescent="0.25">
      <c r="M27" s="6" t="s">
        <v>21</v>
      </c>
      <c r="N27" s="6">
        <v>0</v>
      </c>
      <c r="O27" s="6" t="s">
        <v>19</v>
      </c>
      <c r="P27" s="6" t="s">
        <v>24</v>
      </c>
    </row>
    <row r="28" spans="1:17" x14ac:dyDescent="0.25">
      <c r="A28" s="1" t="s">
        <v>37</v>
      </c>
      <c r="B28" s="1"/>
      <c r="C28" s="1"/>
      <c r="D28" s="1"/>
      <c r="E28" s="2"/>
      <c r="F28" s="2"/>
      <c r="G28" s="2"/>
      <c r="H28" s="2"/>
      <c r="I28" s="2"/>
      <c r="J28" s="2"/>
      <c r="K28" s="2"/>
      <c r="L28" s="2"/>
      <c r="M28" s="2"/>
      <c r="N28" s="2"/>
      <c r="O28" s="2"/>
      <c r="P28" s="2"/>
      <c r="Q28" s="2"/>
    </row>
    <row r="30" spans="1:17" x14ac:dyDescent="0.25">
      <c r="A30" t="s">
        <v>16</v>
      </c>
      <c r="H30" t="s">
        <v>35</v>
      </c>
      <c r="I30" t="s">
        <v>23</v>
      </c>
      <c r="M30" t="s">
        <v>36</v>
      </c>
      <c r="N30" s="11">
        <v>30</v>
      </c>
      <c r="O30" t="s">
        <v>19</v>
      </c>
      <c r="P30" s="11"/>
    </row>
    <row r="31" spans="1:17" x14ac:dyDescent="0.25">
      <c r="A31" t="s">
        <v>16</v>
      </c>
      <c r="B31" t="s">
        <v>32</v>
      </c>
      <c r="E31" t="s">
        <v>33</v>
      </c>
      <c r="H31" t="s">
        <v>35</v>
      </c>
      <c r="I31" t="s">
        <v>23</v>
      </c>
      <c r="M31" t="s">
        <v>36</v>
      </c>
      <c r="N31" s="11">
        <v>10</v>
      </c>
      <c r="O31" t="s">
        <v>19</v>
      </c>
      <c r="P31" s="11"/>
    </row>
    <row r="32" spans="1:17" x14ac:dyDescent="0.25">
      <c r="N32" s="3"/>
      <c r="P32" s="3"/>
    </row>
    <row r="33" spans="1:17" x14ac:dyDescent="0.25">
      <c r="A33" s="1" t="s">
        <v>41</v>
      </c>
      <c r="B33" s="1"/>
      <c r="C33" s="1"/>
      <c r="D33" s="1"/>
      <c r="E33" s="2"/>
      <c r="F33" s="2"/>
      <c r="G33" s="2"/>
      <c r="H33" s="2"/>
      <c r="I33" s="2"/>
      <c r="J33" s="2"/>
      <c r="K33" s="2"/>
      <c r="L33" s="2"/>
      <c r="M33" s="2"/>
      <c r="N33" s="2"/>
      <c r="O33" s="2"/>
      <c r="P33" s="2"/>
      <c r="Q33" s="2"/>
    </row>
    <row r="34" spans="1:17" x14ac:dyDescent="0.25">
      <c r="M34" s="6" t="s">
        <v>39</v>
      </c>
      <c r="N34" s="6">
        <v>0</v>
      </c>
      <c r="O34" s="6" t="s">
        <v>19</v>
      </c>
      <c r="P34" s="6" t="s">
        <v>24</v>
      </c>
    </row>
    <row r="35" spans="1:17" x14ac:dyDescent="0.25">
      <c r="M35" s="6" t="s">
        <v>40</v>
      </c>
      <c r="N35" s="6">
        <v>0</v>
      </c>
      <c r="O35" s="6" t="s">
        <v>19</v>
      </c>
      <c r="P35" s="6" t="s">
        <v>24</v>
      </c>
    </row>
    <row r="36" spans="1:17" x14ac:dyDescent="0.25">
      <c r="A36" t="s">
        <v>16</v>
      </c>
      <c r="B36" t="s">
        <v>32</v>
      </c>
      <c r="E36" t="s">
        <v>33</v>
      </c>
      <c r="G36" t="s">
        <v>70</v>
      </c>
      <c r="M36" s="11" t="s">
        <v>39</v>
      </c>
      <c r="N36" s="11">
        <f>(0.8*20+0.2*2)</f>
        <v>16.399999999999999</v>
      </c>
      <c r="O36" s="11" t="s">
        <v>19</v>
      </c>
      <c r="P36" s="11" t="s">
        <v>42</v>
      </c>
      <c r="Q36" t="s">
        <v>75</v>
      </c>
    </row>
    <row r="37" spans="1:17" x14ac:dyDescent="0.25">
      <c r="A37" t="s">
        <v>16</v>
      </c>
      <c r="G37" t="s">
        <v>70</v>
      </c>
      <c r="M37" s="11" t="s">
        <v>39</v>
      </c>
      <c r="N37" s="11">
        <f>(0.6*20+0.4*2)</f>
        <v>12.8</v>
      </c>
      <c r="O37" s="11" t="s">
        <v>19</v>
      </c>
      <c r="P37" s="11" t="s">
        <v>43</v>
      </c>
      <c r="Q37" t="s">
        <v>75</v>
      </c>
    </row>
    <row r="38" spans="1:17" x14ac:dyDescent="0.25">
      <c r="M38" s="11"/>
      <c r="N38" s="11"/>
      <c r="O38" s="11"/>
      <c r="P38" s="11"/>
    </row>
    <row r="39" spans="1:17" x14ac:dyDescent="0.25">
      <c r="A39" t="s">
        <v>16</v>
      </c>
      <c r="B39" t="s">
        <v>32</v>
      </c>
      <c r="E39" t="s">
        <v>33</v>
      </c>
      <c r="G39" t="s">
        <v>70</v>
      </c>
      <c r="M39" s="11" t="s">
        <v>40</v>
      </c>
      <c r="N39" s="11">
        <v>5</v>
      </c>
      <c r="O39" s="11" t="s">
        <v>19</v>
      </c>
      <c r="P39" s="11" t="s">
        <v>44</v>
      </c>
      <c r="Q39" t="s">
        <v>75</v>
      </c>
    </row>
    <row r="40" spans="1:17" x14ac:dyDescent="0.25">
      <c r="A40" t="s">
        <v>16</v>
      </c>
      <c r="E40" t="s">
        <v>34</v>
      </c>
      <c r="G40" t="s">
        <v>70</v>
      </c>
      <c r="M40" s="11" t="s">
        <v>40</v>
      </c>
      <c r="N40" s="11">
        <v>5</v>
      </c>
      <c r="O40" s="11" t="s">
        <v>19</v>
      </c>
      <c r="P40" s="11" t="s">
        <v>44</v>
      </c>
      <c r="Q40" t="s">
        <v>75</v>
      </c>
    </row>
    <row r="41" spans="1:17" x14ac:dyDescent="0.25">
      <c r="A41" t="s">
        <v>16</v>
      </c>
      <c r="G41" t="s">
        <v>70</v>
      </c>
      <c r="M41" s="11" t="s">
        <v>40</v>
      </c>
      <c r="N41" s="11">
        <f>0.9*5+0.1*15</f>
        <v>6</v>
      </c>
      <c r="O41" s="11" t="s">
        <v>19</v>
      </c>
      <c r="P41" s="11" t="s">
        <v>45</v>
      </c>
      <c r="Q41" t="s">
        <v>75</v>
      </c>
    </row>
    <row r="42" spans="1:17" x14ac:dyDescent="0.25">
      <c r="M42" s="11"/>
      <c r="N42" s="11"/>
      <c r="O42" s="11"/>
      <c r="P42" s="11"/>
    </row>
    <row r="43" spans="1:17" x14ac:dyDescent="0.25">
      <c r="A43" s="3"/>
      <c r="G43" t="s">
        <v>71</v>
      </c>
      <c r="M43" s="11" t="s">
        <v>39</v>
      </c>
      <c r="N43" s="11"/>
      <c r="P43" s="3" t="s">
        <v>72</v>
      </c>
    </row>
    <row r="44" spans="1:17" x14ac:dyDescent="0.25">
      <c r="A44" s="3"/>
      <c r="G44" t="s">
        <v>71</v>
      </c>
      <c r="M44" s="11" t="s">
        <v>40</v>
      </c>
      <c r="N44" s="11">
        <v>2</v>
      </c>
      <c r="O44" s="11" t="s">
        <v>19</v>
      </c>
      <c r="P44" s="3" t="s">
        <v>76</v>
      </c>
      <c r="Q44" t="s">
        <v>74</v>
      </c>
    </row>
    <row r="45" spans="1:17" x14ac:dyDescent="0.25">
      <c r="A45" s="3"/>
      <c r="M45" s="11"/>
      <c r="N45" s="11"/>
      <c r="O45" s="11"/>
      <c r="P45" s="3"/>
    </row>
    <row r="46" spans="1:17" x14ac:dyDescent="0.25">
      <c r="A46" s="1" t="s">
        <v>57</v>
      </c>
      <c r="B46" s="1"/>
      <c r="C46" s="1"/>
      <c r="D46" s="1"/>
      <c r="E46" s="2"/>
      <c r="F46" s="2"/>
      <c r="G46" s="2"/>
      <c r="H46" s="2"/>
      <c r="I46" s="2"/>
      <c r="J46" s="2"/>
      <c r="K46" s="2"/>
      <c r="L46" s="2"/>
      <c r="M46" s="2"/>
      <c r="N46" s="2"/>
      <c r="O46" s="2"/>
      <c r="P46" s="2"/>
      <c r="Q46" s="2"/>
    </row>
    <row r="47" spans="1:17" x14ac:dyDescent="0.25">
      <c r="A47" t="s">
        <v>16</v>
      </c>
      <c r="N47" s="11"/>
      <c r="P47" s="11" t="s">
        <v>58</v>
      </c>
    </row>
    <row r="48" spans="1:17" x14ac:dyDescent="0.25">
      <c r="N48" s="11"/>
      <c r="P48" s="3"/>
    </row>
    <row r="49" spans="1:17" x14ac:dyDescent="0.25">
      <c r="M49" t="s">
        <v>59</v>
      </c>
      <c r="N49" s="11">
        <v>1</v>
      </c>
      <c r="O49" s="11" t="s">
        <v>60</v>
      </c>
      <c r="P49" s="11" t="s">
        <v>61</v>
      </c>
      <c r="Q49" s="11"/>
    </row>
    <row r="50" spans="1:17" x14ac:dyDescent="0.25">
      <c r="N50" s="3"/>
      <c r="P50" s="3"/>
    </row>
    <row r="51" spans="1:17" x14ac:dyDescent="0.25">
      <c r="A51" s="1" t="s">
        <v>17</v>
      </c>
      <c r="B51" s="1"/>
      <c r="C51" s="1"/>
      <c r="D51" s="1"/>
      <c r="E51" s="2"/>
      <c r="F51" s="2"/>
      <c r="G51" s="2"/>
      <c r="H51" s="2"/>
      <c r="I51" s="2"/>
      <c r="J51" s="2"/>
      <c r="K51" s="2"/>
      <c r="L51" s="2"/>
      <c r="M51" s="2"/>
      <c r="N51" s="2"/>
      <c r="O51" s="2"/>
      <c r="P51" s="2" t="s">
        <v>28</v>
      </c>
      <c r="Q51" s="2"/>
    </row>
    <row r="52" spans="1:17" x14ac:dyDescent="0.25">
      <c r="A52" s="14" t="s">
        <v>67</v>
      </c>
    </row>
    <row r="53" spans="1:17" x14ac:dyDescent="0.25">
      <c r="F53" t="s">
        <v>30</v>
      </c>
      <c r="M53" t="s">
        <v>38</v>
      </c>
      <c r="N53" s="9">
        <v>100</v>
      </c>
      <c r="O53" t="s">
        <v>56</v>
      </c>
      <c r="P53" s="3"/>
    </row>
    <row r="54" spans="1:17" x14ac:dyDescent="0.25">
      <c r="F54" t="s">
        <v>31</v>
      </c>
      <c r="M54" t="s">
        <v>38</v>
      </c>
      <c r="N54" s="9">
        <v>100</v>
      </c>
      <c r="P54" s="3"/>
    </row>
    <row r="55" spans="1:17" x14ac:dyDescent="0.25">
      <c r="F55" t="s">
        <v>23</v>
      </c>
      <c r="M55" t="s">
        <v>38</v>
      </c>
      <c r="N55" s="9">
        <v>100</v>
      </c>
    </row>
    <row r="56" spans="1:17" x14ac:dyDescent="0.25">
      <c r="F56" t="s">
        <v>13</v>
      </c>
      <c r="M56" t="s">
        <v>38</v>
      </c>
      <c r="N56" s="9">
        <v>86</v>
      </c>
    </row>
    <row r="57" spans="1:17" x14ac:dyDescent="0.25">
      <c r="F57" t="s">
        <v>26</v>
      </c>
      <c r="M57" t="s">
        <v>38</v>
      </c>
      <c r="N57" s="9">
        <v>87.5</v>
      </c>
    </row>
    <row r="58" spans="1:17" x14ac:dyDescent="0.25">
      <c r="F58" t="s">
        <v>25</v>
      </c>
      <c r="M58" t="s">
        <v>38</v>
      </c>
      <c r="N58" s="9">
        <v>89.5</v>
      </c>
      <c r="P58" s="3"/>
    </row>
    <row r="59" spans="1:17" x14ac:dyDescent="0.25">
      <c r="F59" t="s">
        <v>27</v>
      </c>
      <c r="M59" t="s">
        <v>38</v>
      </c>
      <c r="N59" s="9">
        <v>87</v>
      </c>
    </row>
    <row r="60" spans="1:17" x14ac:dyDescent="0.25">
      <c r="N60" s="9"/>
    </row>
    <row r="61" spans="1:17" x14ac:dyDescent="0.25">
      <c r="F61" t="s">
        <v>30</v>
      </c>
      <c r="M61" t="s">
        <v>46</v>
      </c>
      <c r="N61" s="9">
        <v>17.316948400000001</v>
      </c>
      <c r="O61" t="s">
        <v>55</v>
      </c>
    </row>
    <row r="62" spans="1:17" x14ac:dyDescent="0.25">
      <c r="F62" t="s">
        <v>31</v>
      </c>
      <c r="M62" t="s">
        <v>46</v>
      </c>
      <c r="N62" s="9">
        <v>17.150216</v>
      </c>
    </row>
    <row r="63" spans="1:17" x14ac:dyDescent="0.25">
      <c r="F63" t="s">
        <v>23</v>
      </c>
      <c r="M63" t="s">
        <v>46</v>
      </c>
      <c r="N63" s="9">
        <v>17.411437070000002</v>
      </c>
    </row>
    <row r="64" spans="1:17" x14ac:dyDescent="0.25">
      <c r="F64" t="s">
        <v>13</v>
      </c>
      <c r="M64" t="s">
        <v>46</v>
      </c>
      <c r="N64" s="9">
        <v>18.210023199999998</v>
      </c>
    </row>
    <row r="65" spans="6:14" x14ac:dyDescent="0.25">
      <c r="F65" t="s">
        <v>26</v>
      </c>
      <c r="M65" t="s">
        <v>46</v>
      </c>
      <c r="N65" s="9">
        <v>19.589487999999999</v>
      </c>
    </row>
    <row r="66" spans="6:14" x14ac:dyDescent="0.25">
      <c r="F66" t="s">
        <v>25</v>
      </c>
      <c r="M66" t="s">
        <v>46</v>
      </c>
      <c r="N66" s="9">
        <v>19.4920008</v>
      </c>
    </row>
    <row r="67" spans="6:14" x14ac:dyDescent="0.25">
      <c r="F67" t="s">
        <v>27</v>
      </c>
      <c r="M67" t="s">
        <v>46</v>
      </c>
      <c r="N67" s="9">
        <v>18.194123999999999</v>
      </c>
    </row>
    <row r="68" spans="6:14" x14ac:dyDescent="0.25">
      <c r="N68" s="9"/>
    </row>
    <row r="69" spans="6:14" x14ac:dyDescent="0.25">
      <c r="F69" t="s">
        <v>30</v>
      </c>
      <c r="M69" s="12" t="s">
        <v>62</v>
      </c>
      <c r="N69" s="18">
        <v>7.55</v>
      </c>
    </row>
    <row r="70" spans="6:14" x14ac:dyDescent="0.25">
      <c r="F70" t="s">
        <v>31</v>
      </c>
      <c r="M70" s="12" t="s">
        <v>62</v>
      </c>
      <c r="N70" s="18">
        <v>7.8</v>
      </c>
    </row>
    <row r="71" spans="6:14" x14ac:dyDescent="0.25">
      <c r="F71" t="s">
        <v>23</v>
      </c>
      <c r="M71" s="12" t="s">
        <v>62</v>
      </c>
      <c r="N71" s="18">
        <v>6.5666666669999998</v>
      </c>
    </row>
    <row r="72" spans="6:14" x14ac:dyDescent="0.25">
      <c r="F72" t="s">
        <v>13</v>
      </c>
      <c r="M72" s="12" t="s">
        <v>62</v>
      </c>
      <c r="N72" s="18">
        <v>1.8</v>
      </c>
    </row>
    <row r="73" spans="6:14" x14ac:dyDescent="0.25">
      <c r="F73" t="s">
        <v>26</v>
      </c>
      <c r="M73" s="12" t="s">
        <v>62</v>
      </c>
      <c r="N73" s="18">
        <v>7.15</v>
      </c>
    </row>
    <row r="74" spans="6:14" x14ac:dyDescent="0.25">
      <c r="F74" t="s">
        <v>25</v>
      </c>
      <c r="M74" s="12" t="s">
        <v>62</v>
      </c>
      <c r="N74" s="18">
        <v>7.7</v>
      </c>
    </row>
    <row r="75" spans="6:14" x14ac:dyDescent="0.25">
      <c r="F75" t="s">
        <v>27</v>
      </c>
      <c r="M75" s="12" t="s">
        <v>62</v>
      </c>
      <c r="N75" s="18">
        <v>5.9</v>
      </c>
    </row>
    <row r="76" spans="6:14" x14ac:dyDescent="0.25">
      <c r="N76" s="18"/>
    </row>
    <row r="77" spans="6:14" x14ac:dyDescent="0.25">
      <c r="F77" t="s">
        <v>30</v>
      </c>
      <c r="M77" s="12" t="s">
        <v>63</v>
      </c>
      <c r="N77" s="18">
        <v>2.4239999999999999</v>
      </c>
    </row>
    <row r="78" spans="6:14" x14ac:dyDescent="0.25">
      <c r="F78" t="s">
        <v>31</v>
      </c>
      <c r="M78" s="12" t="s">
        <v>63</v>
      </c>
      <c r="N78" s="18">
        <v>2.1280000000000001</v>
      </c>
    </row>
    <row r="79" spans="6:14" x14ac:dyDescent="0.25">
      <c r="F79" t="s">
        <v>23</v>
      </c>
      <c r="M79" s="12" t="s">
        <v>63</v>
      </c>
      <c r="N79" s="18">
        <v>2.246666667</v>
      </c>
    </row>
    <row r="80" spans="6:14" x14ac:dyDescent="0.25">
      <c r="F80" t="s">
        <v>13</v>
      </c>
      <c r="M80" s="12" t="s">
        <v>63</v>
      </c>
      <c r="N80" s="18">
        <v>1.9359999999999999</v>
      </c>
    </row>
    <row r="81" spans="6:14" x14ac:dyDescent="0.25">
      <c r="F81" t="s">
        <v>26</v>
      </c>
      <c r="M81" s="12" t="s">
        <v>63</v>
      </c>
      <c r="N81" s="18">
        <v>8.2080000000000002</v>
      </c>
    </row>
    <row r="82" spans="6:14" x14ac:dyDescent="0.25">
      <c r="F82" t="s">
        <v>25</v>
      </c>
      <c r="M82" s="12" t="s">
        <v>63</v>
      </c>
      <c r="N82" s="18">
        <v>6.1520000000000001</v>
      </c>
    </row>
    <row r="83" spans="6:14" x14ac:dyDescent="0.25">
      <c r="F83" t="s">
        <v>27</v>
      </c>
      <c r="M83" s="12" t="s">
        <v>63</v>
      </c>
      <c r="N83" s="18">
        <v>2.64</v>
      </c>
    </row>
    <row r="84" spans="6:14" x14ac:dyDescent="0.25">
      <c r="N84" s="18"/>
    </row>
    <row r="85" spans="6:14" x14ac:dyDescent="0.25">
      <c r="F85" t="s">
        <v>30</v>
      </c>
      <c r="M85" s="12" t="s">
        <v>64</v>
      </c>
      <c r="N85" s="18">
        <v>0.28000000000000003</v>
      </c>
    </row>
    <row r="86" spans="6:14" x14ac:dyDescent="0.25">
      <c r="F86" t="s">
        <v>31</v>
      </c>
      <c r="M86" s="12" t="s">
        <v>64</v>
      </c>
      <c r="N86" s="18">
        <v>0.27</v>
      </c>
    </row>
    <row r="87" spans="6:14" x14ac:dyDescent="0.25">
      <c r="F87" t="s">
        <v>23</v>
      </c>
      <c r="M87" s="12" t="s">
        <v>64</v>
      </c>
      <c r="N87" s="18">
        <v>0.27</v>
      </c>
    </row>
    <row r="88" spans="6:14" x14ac:dyDescent="0.25">
      <c r="F88" t="s">
        <v>13</v>
      </c>
      <c r="M88" s="12" t="s">
        <v>64</v>
      </c>
      <c r="N88" s="18">
        <v>0.34499999999999997</v>
      </c>
    </row>
    <row r="89" spans="6:14" x14ac:dyDescent="0.25">
      <c r="F89" t="s">
        <v>26</v>
      </c>
      <c r="M89" s="12" t="s">
        <v>64</v>
      </c>
      <c r="N89" s="18">
        <v>0.71499999999999997</v>
      </c>
    </row>
    <row r="90" spans="6:14" x14ac:dyDescent="0.25">
      <c r="F90" t="s">
        <v>25</v>
      </c>
      <c r="M90" s="12" t="s">
        <v>64</v>
      </c>
      <c r="N90" s="18">
        <v>1.2450000000000001</v>
      </c>
    </row>
    <row r="91" spans="6:14" x14ac:dyDescent="0.25">
      <c r="F91" t="s">
        <v>27</v>
      </c>
      <c r="M91" s="12" t="s">
        <v>64</v>
      </c>
      <c r="N91" s="18">
        <v>1.1950000000000001</v>
      </c>
    </row>
    <row r="92" spans="6:14" x14ac:dyDescent="0.25">
      <c r="N92" s="18"/>
    </row>
    <row r="93" spans="6:14" x14ac:dyDescent="0.25">
      <c r="F93" t="s">
        <v>30</v>
      </c>
      <c r="M93" s="12" t="s">
        <v>65</v>
      </c>
      <c r="N93" s="18">
        <v>2.4249999999999998</v>
      </c>
    </row>
    <row r="94" spans="6:14" x14ac:dyDescent="0.25">
      <c r="F94" t="s">
        <v>31</v>
      </c>
      <c r="M94" s="12" t="s">
        <v>65</v>
      </c>
      <c r="N94" s="18">
        <v>2.34</v>
      </c>
    </row>
    <row r="95" spans="6:14" x14ac:dyDescent="0.25">
      <c r="F95" t="s">
        <v>23</v>
      </c>
      <c r="M95" s="12" t="s">
        <v>65</v>
      </c>
      <c r="N95" s="18">
        <v>2.34</v>
      </c>
    </row>
    <row r="96" spans="6:14" x14ac:dyDescent="0.25">
      <c r="F96" t="s">
        <v>13</v>
      </c>
      <c r="M96" s="12" t="s">
        <v>65</v>
      </c>
      <c r="N96" s="18">
        <v>0.52500000000000002</v>
      </c>
    </row>
    <row r="97" spans="1:16" x14ac:dyDescent="0.25">
      <c r="F97" t="s">
        <v>26</v>
      </c>
      <c r="M97" s="12" t="s">
        <v>65</v>
      </c>
      <c r="N97" s="18">
        <v>2.35</v>
      </c>
    </row>
    <row r="98" spans="1:16" x14ac:dyDescent="0.25">
      <c r="F98" t="s">
        <v>25</v>
      </c>
      <c r="M98" s="12" t="s">
        <v>65</v>
      </c>
      <c r="N98" s="18">
        <v>1.55</v>
      </c>
    </row>
    <row r="99" spans="1:16" x14ac:dyDescent="0.25">
      <c r="F99" t="s">
        <v>27</v>
      </c>
      <c r="M99" s="12" t="s">
        <v>65</v>
      </c>
      <c r="N99" s="18">
        <v>1.35</v>
      </c>
    </row>
    <row r="100" spans="1:16" x14ac:dyDescent="0.25">
      <c r="N100" s="9"/>
    </row>
    <row r="101" spans="1:16" x14ac:dyDescent="0.25">
      <c r="A101" s="14" t="s">
        <v>66</v>
      </c>
      <c r="N101" s="9"/>
    </row>
    <row r="102" spans="1:16" x14ac:dyDescent="0.25">
      <c r="A102" t="s">
        <v>16</v>
      </c>
      <c r="F102" t="s">
        <v>30</v>
      </c>
      <c r="M102" t="s">
        <v>14</v>
      </c>
      <c r="N102" s="9">
        <v>11.3</v>
      </c>
      <c r="O102" t="s">
        <v>68</v>
      </c>
      <c r="P102" s="11" t="s">
        <v>53</v>
      </c>
    </row>
    <row r="103" spans="1:16" x14ac:dyDescent="0.25">
      <c r="A103" t="s">
        <v>16</v>
      </c>
      <c r="F103" t="s">
        <v>31</v>
      </c>
      <c r="M103" t="s">
        <v>14</v>
      </c>
      <c r="N103" s="9">
        <v>10.1</v>
      </c>
      <c r="P103" s="11"/>
    </row>
    <row r="104" spans="1:16" x14ac:dyDescent="0.25">
      <c r="A104" t="s">
        <v>16</v>
      </c>
      <c r="F104" t="s">
        <v>23</v>
      </c>
      <c r="M104" t="s">
        <v>14</v>
      </c>
      <c r="N104" s="9">
        <v>9.9416666669999998</v>
      </c>
      <c r="P104" s="11"/>
    </row>
    <row r="105" spans="1:16" x14ac:dyDescent="0.25">
      <c r="A105" t="s">
        <v>16</v>
      </c>
      <c r="F105" t="s">
        <v>13</v>
      </c>
      <c r="M105" t="s">
        <v>14</v>
      </c>
      <c r="N105" s="9">
        <v>14.1</v>
      </c>
      <c r="P105" s="11"/>
    </row>
    <row r="106" spans="1:16" x14ac:dyDescent="0.25">
      <c r="A106" t="s">
        <v>16</v>
      </c>
      <c r="F106" t="s">
        <v>26</v>
      </c>
      <c r="M106" t="s">
        <v>14</v>
      </c>
      <c r="N106" s="9">
        <v>14.6</v>
      </c>
      <c r="P106" s="11"/>
    </row>
    <row r="107" spans="1:16" x14ac:dyDescent="0.25">
      <c r="A107" t="s">
        <v>16</v>
      </c>
      <c r="F107" t="s">
        <v>25</v>
      </c>
      <c r="M107" t="s">
        <v>14</v>
      </c>
      <c r="N107" s="9">
        <v>12.2</v>
      </c>
      <c r="P107" s="11"/>
    </row>
    <row r="108" spans="1:16" x14ac:dyDescent="0.25">
      <c r="A108" t="s">
        <v>16</v>
      </c>
      <c r="F108" t="s">
        <v>27</v>
      </c>
      <c r="M108" t="s">
        <v>14</v>
      </c>
      <c r="N108" s="9">
        <v>11</v>
      </c>
      <c r="P108" s="11"/>
    </row>
    <row r="109" spans="1:16" x14ac:dyDescent="0.25">
      <c r="N109" s="17"/>
      <c r="P109" s="11"/>
    </row>
    <row r="110" spans="1:16" x14ac:dyDescent="0.25">
      <c r="A110" t="s">
        <v>16</v>
      </c>
      <c r="F110" t="s">
        <v>30</v>
      </c>
      <c r="M110" t="s">
        <v>52</v>
      </c>
      <c r="N110" s="9">
        <v>13.35</v>
      </c>
      <c r="O110" t="s">
        <v>54</v>
      </c>
      <c r="P110" s="3"/>
    </row>
    <row r="111" spans="1:16" x14ac:dyDescent="0.25">
      <c r="A111" t="s">
        <v>16</v>
      </c>
      <c r="F111" t="s">
        <v>31</v>
      </c>
      <c r="M111" t="s">
        <v>52</v>
      </c>
      <c r="N111" s="9">
        <v>11.9</v>
      </c>
      <c r="P111" s="3"/>
    </row>
    <row r="112" spans="1:16" x14ac:dyDescent="0.25">
      <c r="A112" t="s">
        <v>16</v>
      </c>
      <c r="F112" t="s">
        <v>23</v>
      </c>
      <c r="M112" t="s">
        <v>52</v>
      </c>
      <c r="N112" s="9">
        <v>12.4</v>
      </c>
      <c r="P112" s="3"/>
    </row>
    <row r="113" spans="1:16" x14ac:dyDescent="0.25">
      <c r="A113" t="s">
        <v>16</v>
      </c>
      <c r="F113" t="s">
        <v>13</v>
      </c>
      <c r="M113" t="s">
        <v>52</v>
      </c>
      <c r="N113" s="9">
        <v>16</v>
      </c>
      <c r="P113" s="3"/>
    </row>
    <row r="114" spans="1:16" x14ac:dyDescent="0.25">
      <c r="A114" t="s">
        <v>16</v>
      </c>
      <c r="F114" t="s">
        <v>26</v>
      </c>
      <c r="M114" t="s">
        <v>52</v>
      </c>
      <c r="N114" s="9">
        <v>17.8</v>
      </c>
      <c r="P114" s="3"/>
    </row>
    <row r="115" spans="1:16" x14ac:dyDescent="0.25">
      <c r="A115" t="s">
        <v>16</v>
      </c>
      <c r="F115" t="s">
        <v>25</v>
      </c>
      <c r="M115" t="s">
        <v>52</v>
      </c>
      <c r="N115" s="9">
        <v>14.6</v>
      </c>
      <c r="P115" s="3"/>
    </row>
    <row r="116" spans="1:16" x14ac:dyDescent="0.25">
      <c r="A116" t="s">
        <v>16</v>
      </c>
      <c r="F116" t="s">
        <v>27</v>
      </c>
      <c r="M116" t="s">
        <v>52</v>
      </c>
      <c r="N116" s="9">
        <v>12.7</v>
      </c>
      <c r="P116" s="3"/>
    </row>
    <row r="117" spans="1:16" x14ac:dyDescent="0.25">
      <c r="N117" s="17"/>
      <c r="P117" s="3"/>
    </row>
    <row r="118" spans="1:16" x14ac:dyDescent="0.25">
      <c r="A118" t="s">
        <v>16</v>
      </c>
      <c r="F118" t="s">
        <v>30</v>
      </c>
      <c r="L118" s="14"/>
      <c r="M118" t="s">
        <v>47</v>
      </c>
      <c r="N118" s="9">
        <v>20</v>
      </c>
      <c r="O118" t="s">
        <v>48</v>
      </c>
      <c r="P118" s="11" t="s">
        <v>49</v>
      </c>
    </row>
    <row r="119" spans="1:16" x14ac:dyDescent="0.25">
      <c r="A119" t="s">
        <v>16</v>
      </c>
      <c r="F119" t="s">
        <v>31</v>
      </c>
      <c r="M119" t="s">
        <v>47</v>
      </c>
      <c r="N119" s="9">
        <v>20</v>
      </c>
      <c r="P119" s="11"/>
    </row>
    <row r="120" spans="1:16" x14ac:dyDescent="0.25">
      <c r="A120" t="s">
        <v>16</v>
      </c>
      <c r="F120" t="s">
        <v>23</v>
      </c>
      <c r="M120" t="s">
        <v>47</v>
      </c>
      <c r="N120" s="9">
        <v>20</v>
      </c>
      <c r="P120" s="3"/>
    </row>
    <row r="121" spans="1:16" x14ac:dyDescent="0.25">
      <c r="A121" t="s">
        <v>16</v>
      </c>
      <c r="F121" t="s">
        <v>13</v>
      </c>
      <c r="L121" s="14"/>
      <c r="M121" t="s">
        <v>47</v>
      </c>
      <c r="N121" s="9">
        <v>25</v>
      </c>
    </row>
    <row r="122" spans="1:16" x14ac:dyDescent="0.25">
      <c r="A122" t="s">
        <v>16</v>
      </c>
      <c r="F122" t="s">
        <v>26</v>
      </c>
      <c r="M122" t="s">
        <v>47</v>
      </c>
      <c r="N122" s="9">
        <v>10</v>
      </c>
      <c r="P122" s="11"/>
    </row>
    <row r="123" spans="1:16" x14ac:dyDescent="0.25">
      <c r="A123" t="s">
        <v>16</v>
      </c>
      <c r="F123" t="s">
        <v>25</v>
      </c>
      <c r="M123" t="s">
        <v>47</v>
      </c>
      <c r="N123" s="9">
        <v>46</v>
      </c>
      <c r="P123" s="3"/>
    </row>
    <row r="124" spans="1:16" x14ac:dyDescent="0.25">
      <c r="A124" t="s">
        <v>16</v>
      </c>
      <c r="F124" t="s">
        <v>27</v>
      </c>
      <c r="L124" s="14"/>
      <c r="M124" t="s">
        <v>47</v>
      </c>
      <c r="N124" s="9">
        <v>45</v>
      </c>
    </row>
    <row r="125" spans="1:16" x14ac:dyDescent="0.25">
      <c r="N125" s="11"/>
      <c r="P125" s="11"/>
    </row>
    <row r="126" spans="1:16" x14ac:dyDescent="0.25">
      <c r="N126" s="11"/>
      <c r="P126" s="3"/>
    </row>
    <row r="127" spans="1:16" x14ac:dyDescent="0.25">
      <c r="L127" s="14"/>
    </row>
    <row r="128" spans="1:16" x14ac:dyDescent="0.25">
      <c r="N128" s="11"/>
      <c r="P128" s="1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references</vt:lpstr>
      <vt:lpstr>default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2024-10-10T13:10:14Z</dcterms:modified>
</cp:coreProperties>
</file>