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3" hidden="1">'Antal djur'!$P$41:$P$42,'Antal djur'!$T$36:$T$38,'Antal djur'!$AM$41:$AM$42,'Antal djur'!$AQ$36:$AQ$38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djur'!$H$39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 iterate="1" calcCompleted="0"/>
  <pivotCaches>
    <pivotCache cacheId="0" r:id="rId12"/>
  </pivotCaches>
</workbook>
</file>

<file path=xl/calcChain.xml><?xml version="1.0" encoding="utf-8"?>
<calcChain xmlns="http://schemas.openxmlformats.org/spreadsheetml/2006/main">
  <c r="I142" i="1" l="1"/>
  <c r="I141" i="1"/>
  <c r="I101" i="8" l="1"/>
  <c r="J101" i="8"/>
  <c r="I102" i="8"/>
  <c r="J102" i="8"/>
  <c r="I103" i="8"/>
  <c r="J103" i="8"/>
  <c r="I104" i="8"/>
  <c r="J104" i="8"/>
  <c r="J100" i="8"/>
  <c r="I100" i="8"/>
  <c r="D105" i="8"/>
  <c r="C105" i="8"/>
  <c r="E104" i="8"/>
  <c r="E103" i="8"/>
  <c r="E102" i="8"/>
  <c r="E101" i="8"/>
  <c r="E100" i="8"/>
  <c r="G105" i="8"/>
  <c r="F105" i="8"/>
  <c r="H101" i="8"/>
  <c r="H102" i="8"/>
  <c r="H103" i="8"/>
  <c r="H104" i="8"/>
  <c r="H100" i="8"/>
  <c r="E105" i="8" l="1"/>
  <c r="E106" i="8" s="1"/>
  <c r="K100" i="8"/>
  <c r="K104" i="8"/>
  <c r="J105" i="8"/>
  <c r="K103" i="8"/>
  <c r="I105" i="8"/>
  <c r="K102" i="8"/>
  <c r="H105" i="8"/>
  <c r="H106" i="8" s="1"/>
  <c r="K101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5" i="8" l="1"/>
  <c r="K106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8" i="8" l="1"/>
  <c r="AE70" i="8"/>
  <c r="AE71" i="8"/>
  <c r="AE72" i="8"/>
  <c r="AE73" i="8"/>
  <c r="AE74" i="8"/>
  <c r="AE75" i="8"/>
  <c r="AE67" i="8"/>
  <c r="AN37" i="8"/>
  <c r="AN36" i="8"/>
  <c r="AN38" i="8"/>
  <c r="AM38" i="8"/>
  <c r="AM36" i="8"/>
  <c r="AM37" i="8"/>
  <c r="Q37" i="8"/>
  <c r="Q36" i="8"/>
  <c r="Q38" i="8"/>
  <c r="P38" i="8"/>
  <c r="P36" i="8"/>
  <c r="P3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D77" i="8"/>
  <c r="AD77" i="8" s="1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D78" i="8"/>
  <c r="AD78" i="8" s="1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D69" i="8"/>
  <c r="AD69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AN39" i="8" l="1"/>
  <c r="AE78" i="8"/>
  <c r="AE77" i="8"/>
  <c r="AE69" i="8"/>
  <c r="AE76" i="8"/>
  <c r="P39" i="8"/>
  <c r="Q39" i="8"/>
  <c r="AM39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E2" i="2"/>
  <c r="F2" i="2" s="1"/>
  <c r="G2" i="2" s="1"/>
  <c r="H2" i="2" s="1"/>
  <c r="I2" i="2" s="1"/>
  <c r="J2" i="2" s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7" i="8" s="1"/>
  <c r="H47" i="8" s="1"/>
  <c r="AA5" i="8"/>
  <c r="E5" i="8"/>
  <c r="E46" i="8" s="1"/>
  <c r="H46" i="8" s="1"/>
  <c r="D5" i="8"/>
  <c r="D46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E23" i="8" l="1"/>
  <c r="AH5" i="8"/>
  <c r="D47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D23" i="8"/>
  <c r="AG5" i="8"/>
  <c r="Q6" i="11"/>
  <c r="K5" i="8"/>
  <c r="G5" i="8" s="1"/>
  <c r="E12" i="8"/>
  <c r="D60" i="8"/>
  <c r="D61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D21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18" i="8" l="1"/>
  <c r="D20" i="8" s="1"/>
  <c r="AB12" i="8"/>
  <c r="AA12" i="8"/>
  <c r="AB23" i="8"/>
  <c r="AD5" i="8"/>
  <c r="E50" i="8" s="1"/>
  <c r="H50" i="8" s="1"/>
  <c r="AE5" i="8"/>
  <c r="D24" i="8" l="1"/>
  <c r="F9" i="8" s="1"/>
  <c r="D22" i="8"/>
  <c r="J9" i="8" s="1"/>
  <c r="AF5" i="8"/>
  <c r="D50" i="8"/>
  <c r="AA13" i="8"/>
  <c r="AB13" i="8"/>
  <c r="E20" i="8"/>
  <c r="E22" i="8" s="1"/>
  <c r="AA14" i="8" l="1"/>
  <c r="AA16" i="8" s="1"/>
  <c r="AA15" i="8"/>
  <c r="D25" i="8"/>
  <c r="D26" i="8" s="1"/>
  <c r="D27" i="8" s="1"/>
  <c r="AB14" i="8"/>
  <c r="AB15" i="8"/>
  <c r="G50" i="8"/>
  <c r="F50" i="8"/>
  <c r="E24" i="8"/>
  <c r="K9" i="8"/>
  <c r="H9" i="8"/>
  <c r="D28" i="8" l="1"/>
  <c r="D29" i="8" s="1"/>
  <c r="D8" i="8" s="1"/>
  <c r="AB16" i="8"/>
  <c r="AB17" i="8"/>
  <c r="AA17" i="8"/>
  <c r="F6" i="8"/>
  <c r="H6" i="8" s="1"/>
  <c r="D6" i="8"/>
  <c r="G9" i="8"/>
  <c r="E25" i="8"/>
  <c r="E26" i="8" s="1"/>
  <c r="E27" i="8" s="1"/>
  <c r="D9" i="8" l="1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G6" i="8"/>
  <c r="E6" i="8"/>
  <c r="E28" i="8"/>
  <c r="E29" i="8" s="1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D9" i="8"/>
  <c r="AB25" i="8"/>
  <c r="I7" i="8"/>
  <c r="I8" i="8"/>
  <c r="AF9" i="8" l="1"/>
  <c r="E54" i="8"/>
  <c r="H54" i="8" s="1"/>
  <c r="AC9" i="8"/>
  <c r="D54" i="8" s="1"/>
  <c r="AA26" i="8"/>
  <c r="AA27" i="8" s="1"/>
  <c r="AA28" i="8"/>
  <c r="AB26" i="8"/>
  <c r="AB27" i="8" s="1"/>
  <c r="AB28" i="8"/>
  <c r="AE9" i="8" l="1"/>
  <c r="AD6" i="8"/>
  <c r="AB6" i="8"/>
  <c r="G54" i="8"/>
  <c r="F54" i="8"/>
  <c r="AA29" i="8"/>
  <c r="AA7" i="8"/>
  <c r="AC7" i="8"/>
  <c r="AC6" i="8"/>
  <c r="AA6" i="8"/>
  <c r="AD7" i="8"/>
  <c r="AB7" i="8"/>
  <c r="AB29" i="8"/>
  <c r="AF7" i="8" l="1"/>
  <c r="E52" i="8"/>
  <c r="H52" i="8" s="1"/>
  <c r="AF6" i="8"/>
  <c r="E51" i="8"/>
  <c r="H51" i="8" s="1"/>
  <c r="AB9" i="8"/>
  <c r="E48" i="8" s="1"/>
  <c r="H48" i="8" s="1"/>
  <c r="AD8" i="8"/>
  <c r="E56" i="8" s="1"/>
  <c r="H56" i="8" s="1"/>
  <c r="AB8" i="8"/>
  <c r="E49" i="8" s="1"/>
  <c r="H49" i="8" s="1"/>
  <c r="AE6" i="8"/>
  <c r="D51" i="8"/>
  <c r="AC8" i="8"/>
  <c r="AA8" i="8"/>
  <c r="AA9" i="8"/>
  <c r="AE7" i="8"/>
  <c r="D52" i="8"/>
  <c r="AF8" i="8" l="1"/>
  <c r="E53" i="8"/>
  <c r="H53" i="8" s="1"/>
  <c r="E55" i="8"/>
  <c r="H55" i="8" s="1"/>
  <c r="D49" i="8"/>
  <c r="F49" i="8" s="1"/>
  <c r="D62" i="8"/>
  <c r="D63" i="8"/>
  <c r="G52" i="8"/>
  <c r="F52" i="8"/>
  <c r="U51" i="8"/>
  <c r="AC51" i="8"/>
  <c r="Y51" i="8"/>
  <c r="R55" i="8"/>
  <c r="M51" i="8"/>
  <c r="S55" i="8"/>
  <c r="N51" i="8"/>
  <c r="V51" i="8"/>
  <c r="AE8" i="8"/>
  <c r="H11" i="8" s="1"/>
  <c r="D53" i="8"/>
  <c r="X51" i="8"/>
  <c r="L55" i="8"/>
  <c r="AB51" i="8"/>
  <c r="T51" i="8"/>
  <c r="Q55" i="8"/>
  <c r="Q51" i="8"/>
  <c r="AG51" i="8"/>
  <c r="T55" i="8"/>
  <c r="G51" i="8"/>
  <c r="F51" i="8"/>
  <c r="O51" i="8"/>
  <c r="L51" i="8"/>
  <c r="W51" i="8"/>
  <c r="P51" i="8"/>
  <c r="AA51" i="8"/>
  <c r="M55" i="8"/>
  <c r="S51" i="8"/>
  <c r="M50" i="8"/>
  <c r="N54" i="8"/>
  <c r="P50" i="8"/>
  <c r="Z50" i="8"/>
  <c r="S50" i="8"/>
  <c r="U50" i="8"/>
  <c r="O50" i="8"/>
  <c r="X50" i="8"/>
  <c r="L54" i="8"/>
  <c r="AA50" i="8"/>
  <c r="AD50" i="8"/>
  <c r="Q54" i="8"/>
  <c r="P54" i="8"/>
  <c r="T54" i="8"/>
  <c r="V50" i="8"/>
  <c r="S54" i="8"/>
  <c r="T50" i="8"/>
  <c r="R50" i="8"/>
  <c r="Q50" i="8"/>
  <c r="Y50" i="8"/>
  <c r="N50" i="8"/>
  <c r="AB50" i="8"/>
  <c r="R54" i="8"/>
  <c r="D48" i="8"/>
  <c r="AC50" i="8"/>
  <c r="AE50" i="8"/>
  <c r="AF50" i="8"/>
  <c r="O54" i="8"/>
  <c r="W50" i="8"/>
  <c r="M54" i="8"/>
  <c r="L50" i="8"/>
  <c r="AG50" i="8"/>
  <c r="R51" i="8"/>
  <c r="AD51" i="8"/>
  <c r="O55" i="8"/>
  <c r="AF51" i="8"/>
  <c r="Z51" i="8"/>
  <c r="AE51" i="8"/>
  <c r="N55" i="8"/>
  <c r="P55" i="8"/>
  <c r="AE11" i="8" l="1"/>
  <c r="I11" i="8"/>
  <c r="I12" i="8" s="1"/>
  <c r="AF11" i="8"/>
  <c r="F53" i="8"/>
  <c r="G53" i="8"/>
  <c r="F48" i="8"/>
  <c r="D56" i="8"/>
  <c r="D55" i="8"/>
  <c r="AF12" i="8" l="1"/>
  <c r="H12" i="8"/>
  <c r="AE12" i="8"/>
  <c r="F55" i="8"/>
  <c r="G55" i="8"/>
  <c r="G56" i="8"/>
  <c r="F56" i="8"/>
</calcChain>
</file>

<file path=xl/sharedStrings.xml><?xml version="1.0" encoding="utf-8"?>
<sst xmlns="http://schemas.openxmlformats.org/spreadsheetml/2006/main" count="2475" uniqueCount="435">
  <si>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</si>
  <si>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</si>
  <si>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</si>
  <si>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</si>
  <si>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</si>
  <si>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</si>
  <si>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</si>
  <si>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</si>
  <si>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</si>
  <si>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</si>
  <si>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</si>
  <si>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</si>
  <si>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</si>
  <si>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</si>
  <si>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</si>
  <si>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</si>
  <si>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</si>
  <si>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</si>
  <si>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</si>
  <si>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</si>
  <si>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</si>
  <si>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</si>
  <si>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</si>
  <si>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</si>
  <si>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</si>
  <si>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</si>
  <si>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</si>
  <si>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</si>
  <si>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</si>
  <si>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</si>
  <si>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</si>
  <si>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</si>
  <si>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</si>
  <si>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</si>
  <si>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</si>
  <si>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</si>
  <si>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</si>
  <si>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</si>
  <si>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slaughter_share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</si>
  <si>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</si>
  <si>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</si>
  <si>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</si>
  <si>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</si>
  <si>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</si>
  <si>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</si>
  <si>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</si>
  <si>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</si>
  <si>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</si>
  <si>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</si>
  <si>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</si>
  <si>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</si>
  <si>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</si>
  <si>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</si>
  <si>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</si>
  <si>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</si>
  <si>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</si>
  <si>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</si>
  <si>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</si>
  <si>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</si>
  <si>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</si>
  <si>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</si>
  <si>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</si>
  <si>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</si>
  <si>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</si>
  <si>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</si>
  <si>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</si>
  <si>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</si>
  <si>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</si>
  <si>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</si>
  <si>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</si>
  <si>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</si>
  <si>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</si>
  <si>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</si>
  <si>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</si>
  <si>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</si>
  <si>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</si>
  <si>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</si>
  <si>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</si>
  <si>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</si>
  <si>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</si>
  <si>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</si>
  <si>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</si>
  <si>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</si>
  <si>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</si>
  <si>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</si>
  <si>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</si>
  <si>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</si>
  <si>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</si>
  <si>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</si>
  <si>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</si>
  <si>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</si>
  <si>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</si>
  <si>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</si>
  <si>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</si>
  <si>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</si>
  <si>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</si>
  <si>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</si>
  <si>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</si>
  <si>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</si>
  <si>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</si>
  <si>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</si>
  <si>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</si>
  <si>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</si>
  <si>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</si>
  <si>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</si>
  <si>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</si>
  <si>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</si>
  <si>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</si>
  <si>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</si>
  <si>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</si>
  <si>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</si>
  <si>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</si>
  <si>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</si>
  <si>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</si>
  <si>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</si>
  <si>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</si>
  <si>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</si>
  <si>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</si>
  <si>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</si>
  <si>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</si>
  <si>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</si>
  <si>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</si>
  <si>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</si>
  <si>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</si>
  <si>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</si>
  <si>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</si>
  <si>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</si>
  <si>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</si>
  <si>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</si>
  <si>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</si>
  <si>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</si>
  <si>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</si>
  <si>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</si>
  <si>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</si>
  <si>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</si>
  <si>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</si>
  <si>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</si>
  <si>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</si>
  <si>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</si>
  <si>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</si>
  <si>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</si>
  <si>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</si>
  <si>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</si>
  <si>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</si>
  <si>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</si>
  <si>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</si>
  <si>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</si>
  <si>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</si>
  <si>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</si>
  <si>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</si>
  <si>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</si>
  <si>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</si>
  <si>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</si>
  <si>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</si>
  <si>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</si>
  <si>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</si>
  <si>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</si>
  <si>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</si>
  <si>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</si>
  <si>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</si>
  <si>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</si>
  <si>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</si>
  <si>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</si>
  <si>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</si>
  <si>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</si>
  <si>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</si>
  <si>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</si>
  <si>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</si>
  <si>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</si>
  <si>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</si>
  <si>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</si>
  <si>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</si>
  <si>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</si>
  <si>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</si>
  <si>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</si>
  <si>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</si>
  <si>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</si>
  <si>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</si>
  <si>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</si>
  <si>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</si>
  <si>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</si>
  <si>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</si>
  <si>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</si>
  <si>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</si>
  <si>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</si>
  <si>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</si>
  <si>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</si>
  <si>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</si>
  <si>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</si>
  <si>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</si>
  <si>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</si>
  <si>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</si>
  <si>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</si>
  <si>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</si>
  <si>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</si>
  <si>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</si>
  <si>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</si>
  <si>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</si>
  <si>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</si>
  <si>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</si>
  <si>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</si>
  <si>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</si>
  <si>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</si>
  <si>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</si>
  <si>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</si>
  <si>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</si>
  <si>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</si>
  <si>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</si>
  <si>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</si>
  <si>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</si>
  <si>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</si>
  <si>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</si>
  <si>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</si>
  <si>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</si>
  <si>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</si>
  <si>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</si>
  <si>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</si>
  <si>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</si>
  <si>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</si>
  <si>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</si>
  <si>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</si>
  <si>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</si>
  <si>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</si>
  <si>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</si>
  <si>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</si>
  <si>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</si>
  <si>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</si>
  <si>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</si>
  <si>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</si>
  <si>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</si>
  <si>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</si>
  <si>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</si>
  <si>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</si>
  <si>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</si>
  <si>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</si>
  <si>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</si>
  <si>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</si>
  <si>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</si>
  <si>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</si>
  <si>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</si>
  <si>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</si>
  <si>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</si>
  <si>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</si>
  <si>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</si>
  <si>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</si>
  <si>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</si>
  <si>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</si>
  <si>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</si>
  <si>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</si>
  <si>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</si>
  <si>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</si>
  <si>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</si>
  <si>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</si>
  <si>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</si>
  <si>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</si>
  <si>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</si>
  <si>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</si>
  <si>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</si>
  <si>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</si>
  <si>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</si>
  <si>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</si>
  <si>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</si>
  <si>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</si>
  <si>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</si>
  <si>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</si>
  <si>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</si>
  <si>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</si>
  <si>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</si>
  <si>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</si>
  <si>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</si>
  <si>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</si>
  <si>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</si>
  <si>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</si>
  <si>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</si>
  <si>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</si>
  <si>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</si>
  <si>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</si>
  <si>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</si>
  <si>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</si>
  <si>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</si>
  <si>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</si>
  <si>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</si>
  <si>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</si>
  <si>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</si>
  <si>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</si>
  <si>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</si>
  <si>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</si>
  <si>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</si>
  <si>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</si>
  <si>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</si>
  <si>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</si>
  <si>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</si>
  <si>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</si>
  <si>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</si>
  <si>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</si>
  <si>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</si>
  <si>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</si>
  <si>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</si>
  <si>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</si>
  <si>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</si>
  <si>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</si>
  <si>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</si>
  <si>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</si>
  <si>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</si>
  <si>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</si>
  <si>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</si>
  <si>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</si>
  <si>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</si>
  <si>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</si>
  <si>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</si>
  <si>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</si>
  <si>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</si>
  <si>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</si>
  <si>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</si>
  <si>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</si>
  <si>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</si>
  <si>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</si>
  <si>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</si>
  <si>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</si>
  <si>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</si>
  <si>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</si>
  <si>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</si>
  <si>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</si>
  <si>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</si>
  <si>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</si>
  <si>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</si>
  <si>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</si>
  <si>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</si>
  <si>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</si>
  <si>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silage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</si>
  <si>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</si>
  <si>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</si>
  <si>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</si>
  <si>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</si>
  <si>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</si>
  <si>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</si>
  <si>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</si>
  <si>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</si>
  <si>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</si>
  <si>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</si>
  <si>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</si>
  <si>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</si>
  <si>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</si>
  <si>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</si>
  <si>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</si>
  <si>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</si>
  <si>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</si>
  <si>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</si>
  <si>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</si>
  <si>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</si>
  <si>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</si>
  <si>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</si>
  <si>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</si>
  <si>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</si>
  <si>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</si>
  <si>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</si>
  <si>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</si>
  <si>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</si>
  <si>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</si>
  <si>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</si>
  <si>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</si>
  <si>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</si>
  <si>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</si>
  <si>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</si>
  <si>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</si>
  <si>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</si>
  <si>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</si>
  <si>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</si>
  <si>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</si>
  <si>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</si>
  <si>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</si>
  <si>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</si>
  <si>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</si>
  <si>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</si>
  <si>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</si>
  <si>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</si>
  <si>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</si>
  <si>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</si>
  <si>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</si>
  <si>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</si>
  <si>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</si>
  <si>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</si>
  <si>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</si>
  <si>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</si>
  <si>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</si>
  <si>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</si>
  <si>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</si>
  <si>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</si>
  <si>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</si>
  <si>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</si>
  <si>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</si>
  <si>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</si>
  <si>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</si>
  <si>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</si>
  <si>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</si>
  <si>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</si>
  <si>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</si>
  <si>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rapeseed meal/cake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</si>
  <si>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</si>
  <si>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</si>
  <si>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</si>
  <si>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</si>
  <si>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</si>
  <si>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</si>
  <si>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</si>
  <si>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</si>
  <si>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</si>
  <si>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</si>
  <si>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</si>
  <si>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</si>
  <si>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</si>
  <si>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</si>
  <si>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</si>
  <si>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</si>
  <si>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</si>
  <si>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</si>
  <si>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</si>
  <si>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</si>
  <si>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</si>
  <si>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</si>
  <si>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</si>
  <si>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</si>
  <si>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</si>
  <si>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</si>
  <si>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</si>
  <si>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</si>
  <si>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</si>
  <si>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</si>
  <si>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</si>
  <si>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</si>
  <si>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</si>
  <si>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</si>
  <si>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Maximum share of grazing in semi-natural grasslands</t>
  </si>
  <si>
    <t>max_sng_grazing</t>
  </si>
  <si>
    <t>This parameter specifies the maximum share of grazing demand that can be met from grazing in semi-natural grasslands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</si>
</sst>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6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53</xdr:row>
      <xdr:rowOff>130969</xdr:rowOff>
    </xdr:from>
    <xdr:to>
      <xdr:col>25</xdr:col>
      <xdr:colOff>523875</xdr:colOff>
      <xdr:row>54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51</xdr:row>
      <xdr:rowOff>71437</xdr:rowOff>
    </xdr:from>
    <xdr:to>
      <xdr:col>29</xdr:col>
      <xdr:colOff>333374</xdr:colOff>
      <xdr:row>52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201"/>
  <sheetViews>
    <sheetView tabSelected="1" workbookViewId="0">
      <pane ySplit="1" topLeftCell="A142" activePane="bottomLeft" state="frozen"/>
      <selection pane="bottomLeft" activeCell="K147" sqref="K147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2.570312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52</v>
      </c>
      <c r="B1" s="6" t="s">
        <v>296</v>
      </c>
      <c r="C1" s="6" t="s">
        <v>398</v>
      </c>
      <c r="D1" s="6" t="s">
        <v>53</v>
      </c>
      <c r="E1" s="6" t="s">
        <v>326</v>
      </c>
      <c r="F1" s="6" t="s">
        <v>336</v>
      </c>
      <c r="G1" s="6" t="s">
        <v>337</v>
      </c>
      <c r="H1" s="6" t="s">
        <v>48</v>
      </c>
      <c r="I1" s="6" t="s">
        <v>0</v>
      </c>
      <c r="J1" s="6" t="s">
        <v>49</v>
      </c>
      <c r="K1" s="6" t="s">
        <v>50</v>
      </c>
      <c r="L1" s="6" t="s">
        <v>51</v>
      </c>
    </row>
    <row r="2" spans="1:12" x14ac:dyDescent="0.25">
      <c r="A2" s="94" t="s">
        <v>298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304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44</v>
      </c>
      <c r="I4" s="2">
        <f>AVERAGE(9829,9903,9953,10112,10330)</f>
        <v>10025.4</v>
      </c>
      <c r="J4" t="s">
        <v>45</v>
      </c>
      <c r="K4" t="s">
        <v>396</v>
      </c>
      <c r="L4" t="s">
        <v>61</v>
      </c>
    </row>
    <row r="5" spans="1:12" x14ac:dyDescent="0.25">
      <c r="A5" t="s">
        <v>2</v>
      </c>
      <c r="B5" t="s">
        <v>1</v>
      </c>
      <c r="H5" t="s">
        <v>46</v>
      </c>
      <c r="I5" s="1">
        <f>AVERAGE(4.3,4.2,4.2,4.3,4.3)</f>
        <v>4.26</v>
      </c>
      <c r="J5" t="s">
        <v>9</v>
      </c>
      <c r="L5" t="s">
        <v>61</v>
      </c>
    </row>
    <row r="6" spans="1:12" x14ac:dyDescent="0.25">
      <c r="A6" t="s">
        <v>2</v>
      </c>
      <c r="B6" t="s">
        <v>1</v>
      </c>
      <c r="H6" t="s">
        <v>47</v>
      </c>
      <c r="I6" s="1">
        <f>AVERAGE(3.5,3.6,3.5,3.6,3.6)</f>
        <v>3.56</v>
      </c>
      <c r="J6" t="s">
        <v>9</v>
      </c>
      <c r="L6" t="s">
        <v>61</v>
      </c>
    </row>
    <row r="7" spans="1:12" x14ac:dyDescent="0.25">
      <c r="A7" t="s">
        <v>2</v>
      </c>
      <c r="B7" t="s">
        <v>5</v>
      </c>
      <c r="H7" t="s">
        <v>44</v>
      </c>
      <c r="I7" s="2">
        <f>AVERAGE(9135,9246,9280,9499,9676)</f>
        <v>9367.2000000000007</v>
      </c>
      <c r="J7" t="s">
        <v>45</v>
      </c>
      <c r="L7" t="s">
        <v>61</v>
      </c>
    </row>
    <row r="8" spans="1:12" x14ac:dyDescent="0.25">
      <c r="A8" t="s">
        <v>2</v>
      </c>
      <c r="B8" t="s">
        <v>5</v>
      </c>
      <c r="H8" t="s">
        <v>46</v>
      </c>
      <c r="I8" s="1">
        <f>AVERAGE(4.2,4.1,4.1,4.1,4.2)</f>
        <v>4.1399999999999997</v>
      </c>
      <c r="J8" t="s">
        <v>9</v>
      </c>
      <c r="L8" t="s">
        <v>61</v>
      </c>
    </row>
    <row r="9" spans="1:12" x14ac:dyDescent="0.25">
      <c r="A9" t="s">
        <v>2</v>
      </c>
      <c r="B9" t="s">
        <v>5</v>
      </c>
      <c r="H9" t="s">
        <v>47</v>
      </c>
      <c r="I9" s="1">
        <f>AVERAGE(3.4,3.4,3.4,3.5,3.5)</f>
        <v>3.44</v>
      </c>
      <c r="J9" t="s">
        <v>9</v>
      </c>
      <c r="L9" t="s">
        <v>61</v>
      </c>
    </row>
    <row r="10" spans="1:12" x14ac:dyDescent="0.25">
      <c r="A10" t="s">
        <v>2</v>
      </c>
      <c r="H10" t="s">
        <v>292</v>
      </c>
      <c r="I10" s="2">
        <v>89</v>
      </c>
      <c r="J10" t="s">
        <v>9</v>
      </c>
      <c r="K10" t="s">
        <v>335</v>
      </c>
      <c r="L10" t="s">
        <v>293</v>
      </c>
    </row>
    <row r="11" spans="1:12" x14ac:dyDescent="0.25">
      <c r="A11" s="100" t="s">
        <v>305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39</v>
      </c>
      <c r="H12" t="s">
        <v>44</v>
      </c>
      <c r="I12" s="111">
        <v>0</v>
      </c>
      <c r="J12" t="s">
        <v>45</v>
      </c>
      <c r="K12" s="93" t="s">
        <v>395</v>
      </c>
    </row>
    <row r="13" spans="1:12" x14ac:dyDescent="0.25">
      <c r="A13" t="s">
        <v>39</v>
      </c>
      <c r="H13" t="s">
        <v>46</v>
      </c>
      <c r="I13" s="157">
        <v>0</v>
      </c>
      <c r="J13" t="s">
        <v>9</v>
      </c>
    </row>
    <row r="14" spans="1:12" x14ac:dyDescent="0.25">
      <c r="A14" t="s">
        <v>39</v>
      </c>
      <c r="H14" t="s">
        <v>47</v>
      </c>
      <c r="I14" s="157">
        <v>0</v>
      </c>
      <c r="J14" t="s">
        <v>9</v>
      </c>
    </row>
    <row r="15" spans="1:12" x14ac:dyDescent="0.25">
      <c r="A15" t="s">
        <v>39</v>
      </c>
      <c r="H15" t="s">
        <v>292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299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304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407</v>
      </c>
      <c r="I30" s="93">
        <v>0</v>
      </c>
      <c r="J30" t="s">
        <v>408</v>
      </c>
    </row>
    <row r="31" spans="1:12" x14ac:dyDescent="0.25">
      <c r="A31" t="s">
        <v>2</v>
      </c>
      <c r="B31" t="s">
        <v>5</v>
      </c>
      <c r="H31" t="s">
        <v>407</v>
      </c>
      <c r="I31" s="93">
        <v>0</v>
      </c>
      <c r="J31" t="s">
        <v>408</v>
      </c>
    </row>
    <row r="33" spans="1:12" x14ac:dyDescent="0.25">
      <c r="A33" s="100" t="s">
        <v>305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39</v>
      </c>
      <c r="H34" t="s">
        <v>3</v>
      </c>
      <c r="I34">
        <v>12.7</v>
      </c>
      <c r="J34" t="s">
        <v>4</v>
      </c>
    </row>
    <row r="35" spans="1:12" x14ac:dyDescent="0.25">
      <c r="A35" t="s">
        <v>39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39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39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39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39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39</v>
      </c>
      <c r="H40" t="s">
        <v>16</v>
      </c>
      <c r="I40">
        <v>212.8</v>
      </c>
      <c r="J40" t="s">
        <v>17</v>
      </c>
    </row>
    <row r="41" spans="1:12" x14ac:dyDescent="0.25">
      <c r="A41" t="s">
        <v>39</v>
      </c>
      <c r="B41" t="s">
        <v>1</v>
      </c>
      <c r="H41" t="s">
        <v>407</v>
      </c>
      <c r="I41" s="93">
        <v>0</v>
      </c>
      <c r="J41" t="s">
        <v>408</v>
      </c>
    </row>
    <row r="42" spans="1:12" x14ac:dyDescent="0.25">
      <c r="A42" t="s">
        <v>39</v>
      </c>
      <c r="B42" t="s">
        <v>5</v>
      </c>
      <c r="H42" t="s">
        <v>407</v>
      </c>
      <c r="I42" s="93">
        <v>0</v>
      </c>
      <c r="J42" t="s">
        <v>408</v>
      </c>
    </row>
    <row r="44" spans="1:12" x14ac:dyDescent="0.25">
      <c r="A44" s="94" t="s">
        <v>300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304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301</v>
      </c>
      <c r="I46" s="2">
        <f>I94/(47/100)</f>
        <v>651.52821361702138</v>
      </c>
      <c r="J46" t="s">
        <v>134</v>
      </c>
      <c r="K46" s="109" t="s">
        <v>334</v>
      </c>
      <c r="L46" t="s">
        <v>333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344</v>
      </c>
      <c r="I47" s="93">
        <v>40</v>
      </c>
      <c r="J47" t="s">
        <v>134</v>
      </c>
      <c r="K47" s="93" t="s">
        <v>391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389</v>
      </c>
      <c r="I48" s="111">
        <f>I47+(I95/0.5-I47)/(I90*30.4)*I29</f>
        <v>130.26609162869005</v>
      </c>
      <c r="J48" t="s">
        <v>134</v>
      </c>
      <c r="K48" s="93" t="s">
        <v>392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330</v>
      </c>
      <c r="I49" s="111">
        <f>I$50</f>
        <v>339.02685500000001</v>
      </c>
      <c r="J49" t="s">
        <v>134</v>
      </c>
      <c r="K49" s="93" t="s">
        <v>350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297</v>
      </c>
      <c r="I50" s="2">
        <f>I95/(50/100)</f>
        <v>339.02685500000001</v>
      </c>
      <c r="J50" t="s">
        <v>134</v>
      </c>
      <c r="K50" s="109" t="s">
        <v>332</v>
      </c>
      <c r="L50" t="s">
        <v>333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297</v>
      </c>
      <c r="I51" s="2">
        <f>I96/(50/100)</f>
        <v>596.09653539999999</v>
      </c>
      <c r="J51" t="s">
        <v>134</v>
      </c>
      <c r="K51" s="109" t="s">
        <v>332</v>
      </c>
      <c r="L51" t="s">
        <v>333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297</v>
      </c>
      <c r="I52" s="2">
        <f>I97/(50/100)</f>
        <v>651.61428720000004</v>
      </c>
      <c r="J52" t="s">
        <v>134</v>
      </c>
      <c r="K52" s="109" t="s">
        <v>332</v>
      </c>
      <c r="L52" t="s">
        <v>333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297</v>
      </c>
      <c r="I53" s="2">
        <f>I98/(50/100)</f>
        <v>657.75311299999998</v>
      </c>
      <c r="J53" t="s">
        <v>134</v>
      </c>
      <c r="K53" s="109" t="s">
        <v>332</v>
      </c>
      <c r="L53" t="s">
        <v>333</v>
      </c>
    </row>
    <row r="54" spans="1:12" x14ac:dyDescent="0.25">
      <c r="A54" s="100" t="s">
        <v>305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39</v>
      </c>
      <c r="B55" s="4"/>
      <c r="C55" s="4"/>
      <c r="D55" s="110" t="s">
        <v>18</v>
      </c>
      <c r="E55" s="110"/>
      <c r="F55" s="110"/>
      <c r="G55" s="110"/>
      <c r="H55" s="110" t="s">
        <v>301</v>
      </c>
      <c r="I55" s="2">
        <f>I114/(47/100)</f>
        <v>724.68023255319144</v>
      </c>
      <c r="J55" t="s">
        <v>134</v>
      </c>
      <c r="K55" s="109" t="s">
        <v>334</v>
      </c>
      <c r="L55" t="s">
        <v>333</v>
      </c>
    </row>
    <row r="56" spans="1:12" x14ac:dyDescent="0.25">
      <c r="A56" t="s">
        <v>39</v>
      </c>
      <c r="D56" s="110" t="s">
        <v>20</v>
      </c>
      <c r="E56" s="110"/>
      <c r="F56" s="110"/>
      <c r="G56" s="110"/>
      <c r="H56" s="110" t="s">
        <v>344</v>
      </c>
      <c r="I56" s="93">
        <v>40</v>
      </c>
      <c r="J56" t="s">
        <v>134</v>
      </c>
      <c r="K56" s="93" t="s">
        <v>391</v>
      </c>
    </row>
    <row r="57" spans="1:12" x14ac:dyDescent="0.25">
      <c r="A57" t="s">
        <v>39</v>
      </c>
      <c r="D57" s="110" t="s">
        <v>20</v>
      </c>
      <c r="E57" s="110"/>
      <c r="F57" s="110"/>
      <c r="G57" s="110"/>
      <c r="H57" s="110" t="s">
        <v>389</v>
      </c>
      <c r="I57" s="111">
        <f>I56+(I115/0.5-I56)/(I110*30.4)*I40</f>
        <v>215.80423925763492</v>
      </c>
      <c r="J57" t="s">
        <v>134</v>
      </c>
      <c r="K57" s="93" t="s">
        <v>392</v>
      </c>
    </row>
    <row r="58" spans="1:12" x14ac:dyDescent="0.25">
      <c r="A58" t="s">
        <v>39</v>
      </c>
      <c r="D58" s="110" t="s">
        <v>20</v>
      </c>
      <c r="E58" s="110"/>
      <c r="F58" s="110"/>
      <c r="G58" s="110"/>
      <c r="H58" s="110" t="s">
        <v>330</v>
      </c>
      <c r="I58" s="111">
        <f>I$59</f>
        <v>314.63230679999998</v>
      </c>
      <c r="J58" t="s">
        <v>134</v>
      </c>
      <c r="K58" s="93" t="s">
        <v>350</v>
      </c>
    </row>
    <row r="59" spans="1:12" x14ac:dyDescent="0.25">
      <c r="A59" t="s">
        <v>39</v>
      </c>
      <c r="D59" s="110" t="s">
        <v>20</v>
      </c>
      <c r="E59" s="110"/>
      <c r="F59" s="110"/>
      <c r="G59" s="110"/>
      <c r="H59" s="110" t="s">
        <v>297</v>
      </c>
      <c r="I59" s="2">
        <f>I115/(50/100)</f>
        <v>314.63230679999998</v>
      </c>
      <c r="J59" t="s">
        <v>134</v>
      </c>
      <c r="K59" s="109" t="s">
        <v>332</v>
      </c>
      <c r="L59" t="s">
        <v>333</v>
      </c>
    </row>
    <row r="60" spans="1:12" x14ac:dyDescent="0.25">
      <c r="A60" t="s">
        <v>39</v>
      </c>
      <c r="D60" s="110" t="s">
        <v>33</v>
      </c>
      <c r="E60" s="110"/>
      <c r="F60" s="110"/>
      <c r="G60" s="110"/>
      <c r="H60" s="110" t="s">
        <v>297</v>
      </c>
      <c r="I60" s="2">
        <f t="shared" ref="I60:I62" si="0">I116/(50/100)</f>
        <v>618.33216919999995</v>
      </c>
      <c r="J60" t="s">
        <v>134</v>
      </c>
      <c r="K60" s="109" t="s">
        <v>332</v>
      </c>
      <c r="L60" t="s">
        <v>333</v>
      </c>
    </row>
    <row r="61" spans="1:12" x14ac:dyDescent="0.25">
      <c r="A61" t="s">
        <v>39</v>
      </c>
      <c r="D61" s="110" t="s">
        <v>34</v>
      </c>
      <c r="E61" s="110"/>
      <c r="F61" s="110"/>
      <c r="G61" s="110"/>
      <c r="H61" s="110" t="s">
        <v>297</v>
      </c>
      <c r="I61" s="2">
        <f t="shared" si="0"/>
        <v>671.19136400000002</v>
      </c>
      <c r="J61" t="s">
        <v>134</v>
      </c>
      <c r="K61" s="109" t="s">
        <v>332</v>
      </c>
      <c r="L61" t="s">
        <v>333</v>
      </c>
    </row>
    <row r="62" spans="1:12" x14ac:dyDescent="0.25">
      <c r="A62" t="s">
        <v>39</v>
      </c>
      <c r="D62" s="110" t="s">
        <v>35</v>
      </c>
      <c r="E62" s="110"/>
      <c r="F62" s="110"/>
      <c r="G62" s="110"/>
      <c r="H62" s="110" t="s">
        <v>297</v>
      </c>
      <c r="I62" s="2">
        <f t="shared" si="0"/>
        <v>716.86797000000001</v>
      </c>
      <c r="J62" t="s">
        <v>134</v>
      </c>
      <c r="K62" s="109" t="s">
        <v>332</v>
      </c>
      <c r="L62" t="s">
        <v>333</v>
      </c>
    </row>
    <row r="63" spans="1:12" x14ac:dyDescent="0.25">
      <c r="H63" s="160" t="s">
        <v>301</v>
      </c>
      <c r="I63" s="160">
        <v>0</v>
      </c>
      <c r="J63" s="160"/>
      <c r="K63" s="161" t="s">
        <v>430</v>
      </c>
    </row>
    <row r="64" spans="1:12" x14ac:dyDescent="0.25">
      <c r="A64" s="94" t="s">
        <v>302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304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305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39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39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39</v>
      </c>
      <c r="D78" t="s">
        <v>20</v>
      </c>
      <c r="H78" t="s">
        <v>23</v>
      </c>
      <c r="I78">
        <v>3</v>
      </c>
      <c r="J78" t="s">
        <v>17</v>
      </c>
      <c r="K78" t="s">
        <v>40</v>
      </c>
    </row>
    <row r="79" spans="1:12" x14ac:dyDescent="0.25">
      <c r="A79" t="s">
        <v>39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39</v>
      </c>
      <c r="D80" t="s">
        <v>20</v>
      </c>
      <c r="H80" t="s">
        <v>26</v>
      </c>
      <c r="I80">
        <v>10</v>
      </c>
      <c r="J80" t="s">
        <v>17</v>
      </c>
      <c r="K80" t="s">
        <v>40</v>
      </c>
    </row>
    <row r="81" spans="1:12" x14ac:dyDescent="0.25">
      <c r="A81" t="s">
        <v>39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39</v>
      </c>
      <c r="D82" t="s">
        <v>20</v>
      </c>
      <c r="H82" t="s">
        <v>29</v>
      </c>
      <c r="I82">
        <v>234</v>
      </c>
      <c r="J82" t="s">
        <v>17</v>
      </c>
      <c r="K82" t="s">
        <v>40</v>
      </c>
    </row>
    <row r="83" spans="1:12" x14ac:dyDescent="0.25">
      <c r="A83" t="s">
        <v>39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39</v>
      </c>
      <c r="D84" t="s">
        <v>20</v>
      </c>
      <c r="H84" t="s">
        <v>31</v>
      </c>
      <c r="I84">
        <v>241</v>
      </c>
      <c r="J84" t="s">
        <v>17</v>
      </c>
      <c r="K84" t="s">
        <v>40</v>
      </c>
    </row>
    <row r="86" spans="1:12" x14ac:dyDescent="0.25">
      <c r="A86" s="94" t="s">
        <v>303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304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431</v>
      </c>
      <c r="H99" t="s">
        <v>36</v>
      </c>
      <c r="I99" s="158">
        <v>0</v>
      </c>
      <c r="J99" s="93" t="s">
        <v>37</v>
      </c>
    </row>
    <row r="100" spans="1:12" x14ac:dyDescent="0.25">
      <c r="A100" t="s">
        <v>2</v>
      </c>
      <c r="B100" t="s">
        <v>1</v>
      </c>
      <c r="D100" t="s">
        <v>20</v>
      </c>
      <c r="H100" t="s">
        <v>38</v>
      </c>
      <c r="I100" s="13">
        <v>7.3026780053370048</v>
      </c>
      <c r="J100" t="s">
        <v>9</v>
      </c>
      <c r="K100" t="s">
        <v>409</v>
      </c>
    </row>
    <row r="101" spans="1:12" x14ac:dyDescent="0.25">
      <c r="A101" t="s">
        <v>2</v>
      </c>
      <c r="B101" t="s">
        <v>1</v>
      </c>
      <c r="D101" t="s">
        <v>33</v>
      </c>
      <c r="H101" t="s">
        <v>38</v>
      </c>
      <c r="I101" s="13">
        <v>11.663210958152954</v>
      </c>
      <c r="J101" t="s">
        <v>9</v>
      </c>
      <c r="K101" t="s">
        <v>409</v>
      </c>
    </row>
    <row r="102" spans="1:12" x14ac:dyDescent="0.25">
      <c r="A102" t="s">
        <v>2</v>
      </c>
      <c r="B102" t="s">
        <v>1</v>
      </c>
      <c r="D102" t="s">
        <v>34</v>
      </c>
      <c r="H102" t="s">
        <v>38</v>
      </c>
      <c r="I102" s="13">
        <v>11.871472568009434</v>
      </c>
      <c r="J102" t="s">
        <v>9</v>
      </c>
      <c r="K102" t="s">
        <v>409</v>
      </c>
    </row>
    <row r="103" spans="1:12" x14ac:dyDescent="0.25">
      <c r="A103" t="s">
        <v>2</v>
      </c>
      <c r="B103" t="s">
        <v>1</v>
      </c>
      <c r="D103" t="s">
        <v>35</v>
      </c>
      <c r="H103" t="s">
        <v>38</v>
      </c>
      <c r="I103" s="13">
        <v>69.162638468500603</v>
      </c>
      <c r="J103" t="s">
        <v>9</v>
      </c>
      <c r="K103" t="s">
        <v>409</v>
      </c>
    </row>
    <row r="104" spans="1:12" x14ac:dyDescent="0.25">
      <c r="A104" t="s">
        <v>2</v>
      </c>
      <c r="B104" t="s">
        <v>5</v>
      </c>
      <c r="D104" t="s">
        <v>20</v>
      </c>
      <c r="H104" t="s">
        <v>38</v>
      </c>
      <c r="I104" s="13">
        <v>7.708382338966838</v>
      </c>
      <c r="J104" t="s">
        <v>9</v>
      </c>
      <c r="K104" t="s">
        <v>409</v>
      </c>
    </row>
    <row r="105" spans="1:12" x14ac:dyDescent="0.25">
      <c r="A105" t="s">
        <v>2</v>
      </c>
      <c r="B105" t="s">
        <v>5</v>
      </c>
      <c r="D105" t="s">
        <v>33</v>
      </c>
      <c r="H105" t="s">
        <v>38</v>
      </c>
      <c r="I105" s="13">
        <v>5.8146980834756699</v>
      </c>
      <c r="J105" t="s">
        <v>9</v>
      </c>
      <c r="K105" t="s">
        <v>409</v>
      </c>
    </row>
    <row r="106" spans="1:12" x14ac:dyDescent="0.25">
      <c r="A106" t="s">
        <v>2</v>
      </c>
      <c r="B106" t="s">
        <v>5</v>
      </c>
      <c r="D106" t="s">
        <v>34</v>
      </c>
      <c r="H106" t="s">
        <v>38</v>
      </c>
      <c r="I106" s="13">
        <v>55.117551208615232</v>
      </c>
      <c r="J106" t="s">
        <v>9</v>
      </c>
      <c r="K106" t="s">
        <v>409</v>
      </c>
    </row>
    <row r="107" spans="1:12" x14ac:dyDescent="0.25">
      <c r="A107" t="s">
        <v>2</v>
      </c>
      <c r="B107" t="s">
        <v>5</v>
      </c>
      <c r="D107" t="s">
        <v>35</v>
      </c>
      <c r="H107" t="s">
        <v>38</v>
      </c>
      <c r="I107" s="13">
        <v>31.359368368942256</v>
      </c>
      <c r="J107" t="s">
        <v>9</v>
      </c>
      <c r="K107" t="s">
        <v>409</v>
      </c>
    </row>
    <row r="108" spans="1:12" x14ac:dyDescent="0.25">
      <c r="A108" s="100" t="s">
        <v>305</v>
      </c>
      <c r="B108" s="100"/>
      <c r="C108" s="100"/>
      <c r="D108" s="101"/>
      <c r="E108" s="101"/>
      <c r="F108" s="101"/>
      <c r="G108" s="101"/>
      <c r="H108" s="101"/>
      <c r="I108" s="101"/>
      <c r="J108" s="101"/>
      <c r="K108" s="101"/>
      <c r="L108" s="101"/>
    </row>
    <row r="109" spans="1:12" x14ac:dyDescent="0.25">
      <c r="A109" t="s">
        <v>39</v>
      </c>
      <c r="D109" t="s">
        <v>18</v>
      </c>
      <c r="H109" t="s">
        <v>32</v>
      </c>
      <c r="I109" s="13">
        <v>76.487234630000003</v>
      </c>
      <c r="J109" t="s">
        <v>4</v>
      </c>
    </row>
    <row r="110" spans="1:12" x14ac:dyDescent="0.25">
      <c r="A110" t="s">
        <v>39</v>
      </c>
      <c r="D110" t="s">
        <v>20</v>
      </c>
      <c r="H110" t="s">
        <v>32</v>
      </c>
      <c r="I110" s="13">
        <v>10.935038629999999</v>
      </c>
      <c r="J110" t="s">
        <v>4</v>
      </c>
    </row>
    <row r="111" spans="1:12" x14ac:dyDescent="0.25">
      <c r="A111" t="s">
        <v>39</v>
      </c>
      <c r="D111" t="s">
        <v>33</v>
      </c>
      <c r="H111" t="s">
        <v>32</v>
      </c>
      <c r="I111" s="13">
        <v>26.97454827</v>
      </c>
      <c r="J111" t="s">
        <v>4</v>
      </c>
    </row>
    <row r="112" spans="1:12" x14ac:dyDescent="0.25">
      <c r="A112" t="s">
        <v>39</v>
      </c>
      <c r="D112" t="s">
        <v>34</v>
      </c>
      <c r="H112" t="s">
        <v>32</v>
      </c>
      <c r="I112" s="13">
        <v>28.44764464</v>
      </c>
      <c r="J112" t="s">
        <v>4</v>
      </c>
    </row>
    <row r="113" spans="1:11" x14ac:dyDescent="0.25">
      <c r="A113" t="s">
        <v>39</v>
      </c>
      <c r="D113" t="s">
        <v>35</v>
      </c>
      <c r="H113" t="s">
        <v>32</v>
      </c>
      <c r="I113" s="13">
        <v>20.108223370000001</v>
      </c>
      <c r="J113" t="s">
        <v>4</v>
      </c>
    </row>
    <row r="114" spans="1:11" x14ac:dyDescent="0.25">
      <c r="A114" t="s">
        <v>39</v>
      </c>
      <c r="D114" t="s">
        <v>18</v>
      </c>
      <c r="H114" t="s">
        <v>36</v>
      </c>
      <c r="I114" s="13">
        <v>340.59970929999997</v>
      </c>
      <c r="J114" t="s">
        <v>37</v>
      </c>
    </row>
    <row r="115" spans="1:11" x14ac:dyDescent="0.25">
      <c r="A115" t="s">
        <v>39</v>
      </c>
      <c r="D115" t="s">
        <v>20</v>
      </c>
      <c r="H115" t="s">
        <v>36</v>
      </c>
      <c r="I115" s="13">
        <v>157.31615339999999</v>
      </c>
      <c r="J115" t="s">
        <v>37</v>
      </c>
    </row>
    <row r="116" spans="1:11" x14ac:dyDescent="0.25">
      <c r="A116" t="s">
        <v>39</v>
      </c>
      <c r="D116" t="s">
        <v>33</v>
      </c>
      <c r="H116" t="s">
        <v>36</v>
      </c>
      <c r="I116" s="13">
        <v>309.16608459999998</v>
      </c>
      <c r="J116" t="s">
        <v>37</v>
      </c>
    </row>
    <row r="117" spans="1:11" x14ac:dyDescent="0.25">
      <c r="A117" t="s">
        <v>39</v>
      </c>
      <c r="D117" t="s">
        <v>34</v>
      </c>
      <c r="H117" t="s">
        <v>36</v>
      </c>
      <c r="I117" s="13">
        <v>335.59568200000001</v>
      </c>
      <c r="J117" t="s">
        <v>37</v>
      </c>
    </row>
    <row r="118" spans="1:11" x14ac:dyDescent="0.25">
      <c r="A118" t="s">
        <v>39</v>
      </c>
      <c r="D118" t="s">
        <v>35</v>
      </c>
      <c r="H118" t="s">
        <v>36</v>
      </c>
      <c r="I118" s="13">
        <v>358.43398500000001</v>
      </c>
      <c r="J118" t="s">
        <v>37</v>
      </c>
    </row>
    <row r="119" spans="1:11" x14ac:dyDescent="0.25">
      <c r="A119" t="s">
        <v>39</v>
      </c>
      <c r="D119" t="s">
        <v>431</v>
      </c>
      <c r="H119" t="s">
        <v>36</v>
      </c>
      <c r="I119" s="158">
        <v>0</v>
      </c>
      <c r="J119" s="93" t="s">
        <v>37</v>
      </c>
    </row>
    <row r="120" spans="1:11" x14ac:dyDescent="0.25">
      <c r="A120" t="s">
        <v>39</v>
      </c>
      <c r="B120" t="s">
        <v>1</v>
      </c>
      <c r="D120" t="s">
        <v>20</v>
      </c>
      <c r="H120" t="s">
        <v>38</v>
      </c>
      <c r="I120" s="13">
        <v>2.328603209325836</v>
      </c>
      <c r="J120" t="s">
        <v>9</v>
      </c>
      <c r="K120" t="s">
        <v>409</v>
      </c>
    </row>
    <row r="121" spans="1:11" x14ac:dyDescent="0.25">
      <c r="A121" t="s">
        <v>39</v>
      </c>
      <c r="B121" t="s">
        <v>1</v>
      </c>
      <c r="D121" t="s">
        <v>33</v>
      </c>
      <c r="H121" t="s">
        <v>38</v>
      </c>
      <c r="I121" s="13">
        <v>29.35699252071155</v>
      </c>
      <c r="J121" t="s">
        <v>9</v>
      </c>
      <c r="K121" t="s">
        <v>409</v>
      </c>
    </row>
    <row r="122" spans="1:11" x14ac:dyDescent="0.25">
      <c r="A122" t="s">
        <v>39</v>
      </c>
      <c r="B122" t="s">
        <v>1</v>
      </c>
      <c r="D122" t="s">
        <v>34</v>
      </c>
      <c r="H122" t="s">
        <v>38</v>
      </c>
      <c r="I122" s="13">
        <v>6.3120739532851466</v>
      </c>
      <c r="J122" t="s">
        <v>9</v>
      </c>
      <c r="K122" t="s">
        <v>409</v>
      </c>
    </row>
    <row r="123" spans="1:11" x14ac:dyDescent="0.25">
      <c r="A123" t="s">
        <v>39</v>
      </c>
      <c r="B123" t="s">
        <v>1</v>
      </c>
      <c r="D123" t="s">
        <v>35</v>
      </c>
      <c r="H123" t="s">
        <v>38</v>
      </c>
      <c r="I123" s="13">
        <v>62.002330316677472</v>
      </c>
      <c r="J123" t="s">
        <v>9</v>
      </c>
      <c r="K123" t="s">
        <v>409</v>
      </c>
    </row>
    <row r="124" spans="1:11" x14ac:dyDescent="0.25">
      <c r="A124" t="s">
        <v>39</v>
      </c>
      <c r="B124" t="s">
        <v>5</v>
      </c>
      <c r="D124" t="s">
        <v>20</v>
      </c>
      <c r="H124" t="s">
        <v>38</v>
      </c>
      <c r="I124" s="13">
        <v>2.4579700542883822</v>
      </c>
      <c r="J124" t="s">
        <v>9</v>
      </c>
      <c r="K124" t="s">
        <v>409</v>
      </c>
    </row>
    <row r="125" spans="1:11" x14ac:dyDescent="0.25">
      <c r="A125" t="s">
        <v>39</v>
      </c>
      <c r="B125" t="s">
        <v>5</v>
      </c>
      <c r="D125" t="s">
        <v>33</v>
      </c>
      <c r="H125" t="s">
        <v>38</v>
      </c>
      <c r="I125" s="13">
        <v>25.954528557370729</v>
      </c>
      <c r="J125" t="s">
        <v>9</v>
      </c>
      <c r="K125" t="s">
        <v>409</v>
      </c>
    </row>
    <row r="126" spans="1:11" x14ac:dyDescent="0.25">
      <c r="A126" t="s">
        <v>39</v>
      </c>
      <c r="B126" t="s">
        <v>5</v>
      </c>
      <c r="D126" t="s">
        <v>34</v>
      </c>
      <c r="H126" t="s">
        <v>38</v>
      </c>
      <c r="I126" s="13">
        <v>25.642800435220909</v>
      </c>
      <c r="J126" t="s">
        <v>9</v>
      </c>
      <c r="K126" t="s">
        <v>409</v>
      </c>
    </row>
    <row r="127" spans="1:11" x14ac:dyDescent="0.25">
      <c r="A127" t="s">
        <v>39</v>
      </c>
      <c r="B127" t="s">
        <v>5</v>
      </c>
      <c r="D127" t="s">
        <v>35</v>
      </c>
      <c r="H127" t="s">
        <v>38</v>
      </c>
      <c r="I127" s="13">
        <v>45.944700953119977</v>
      </c>
      <c r="J127" t="s">
        <v>9</v>
      </c>
      <c r="K127" t="s">
        <v>409</v>
      </c>
    </row>
    <row r="129" spans="1:12" x14ac:dyDescent="0.25">
      <c r="A129" s="94" t="s">
        <v>307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A130" s="97" t="s">
        <v>304</v>
      </c>
      <c r="B130" s="97"/>
      <c r="C130" s="97"/>
      <c r="D130" s="98"/>
      <c r="E130" s="98"/>
      <c r="F130" s="98"/>
      <c r="G130" s="98"/>
      <c r="H130" s="98"/>
      <c r="I130" s="99"/>
      <c r="J130" s="98"/>
      <c r="K130" s="98"/>
      <c r="L130" s="98"/>
    </row>
    <row r="131" spans="1:12" x14ac:dyDescent="0.25">
      <c r="A131" t="s">
        <v>2</v>
      </c>
      <c r="F131" t="s">
        <v>5</v>
      </c>
      <c r="G131" t="s">
        <v>1</v>
      </c>
      <c r="H131" t="s">
        <v>338</v>
      </c>
      <c r="I131">
        <v>89</v>
      </c>
      <c r="J131" t="s">
        <v>9</v>
      </c>
      <c r="K131" t="s">
        <v>341</v>
      </c>
    </row>
    <row r="132" spans="1:12" x14ac:dyDescent="0.25">
      <c r="A132" t="s">
        <v>2</v>
      </c>
      <c r="F132" t="s">
        <v>5</v>
      </c>
      <c r="G132" t="s">
        <v>1</v>
      </c>
      <c r="H132" t="s">
        <v>339</v>
      </c>
      <c r="I132">
        <v>8.5</v>
      </c>
      <c r="J132" t="s">
        <v>9</v>
      </c>
      <c r="K132" t="s">
        <v>341</v>
      </c>
    </row>
    <row r="133" spans="1:12" x14ac:dyDescent="0.25">
      <c r="A133" s="100" t="s">
        <v>305</v>
      </c>
      <c r="B133" s="100"/>
      <c r="C133" s="100"/>
      <c r="D133" s="101"/>
      <c r="E133" s="101"/>
      <c r="F133" s="101"/>
      <c r="G133" s="101"/>
      <c r="H133" s="101"/>
      <c r="I133" s="101"/>
      <c r="J133" s="101"/>
      <c r="K133" s="101"/>
      <c r="L133" s="101"/>
    </row>
    <row r="134" spans="1:12" x14ac:dyDescent="0.25">
      <c r="A134" t="s">
        <v>39</v>
      </c>
      <c r="F134" t="s">
        <v>5</v>
      </c>
      <c r="G134" t="s">
        <v>1</v>
      </c>
      <c r="H134" t="s">
        <v>338</v>
      </c>
      <c r="I134">
        <v>14</v>
      </c>
      <c r="J134" t="s">
        <v>9</v>
      </c>
      <c r="K134" t="s">
        <v>341</v>
      </c>
    </row>
    <row r="135" spans="1:12" x14ac:dyDescent="0.25">
      <c r="A135" t="s">
        <v>39</v>
      </c>
      <c r="F135" t="s">
        <v>5</v>
      </c>
      <c r="G135" t="s">
        <v>1</v>
      </c>
      <c r="H135" t="s">
        <v>339</v>
      </c>
      <c r="I135">
        <v>8.5</v>
      </c>
      <c r="J135" t="s">
        <v>9</v>
      </c>
      <c r="K135" t="s">
        <v>341</v>
      </c>
    </row>
    <row r="137" spans="1:12" x14ac:dyDescent="0.25">
      <c r="A137" s="94" t="s">
        <v>411</v>
      </c>
      <c r="B137" s="94"/>
      <c r="C137" s="94"/>
      <c r="D137" s="95"/>
      <c r="E137" s="95"/>
      <c r="F137" s="95"/>
      <c r="G137" s="95"/>
      <c r="H137" s="95"/>
      <c r="I137" s="95"/>
      <c r="J137" s="95"/>
      <c r="K137" s="95"/>
      <c r="L137" s="95"/>
    </row>
    <row r="138" spans="1:12" x14ac:dyDescent="0.25">
      <c r="D138" t="s">
        <v>18</v>
      </c>
      <c r="H138" t="s">
        <v>412</v>
      </c>
      <c r="I138">
        <v>0.50700000000000001</v>
      </c>
      <c r="J138" t="s">
        <v>413</v>
      </c>
      <c r="L138" t="s">
        <v>415</v>
      </c>
    </row>
    <row r="139" spans="1:12" x14ac:dyDescent="0.25">
      <c r="H139" t="s">
        <v>412</v>
      </c>
      <c r="I139">
        <v>0.47499999999999998</v>
      </c>
      <c r="J139" t="s">
        <v>413</v>
      </c>
      <c r="L139" t="s">
        <v>416</v>
      </c>
    </row>
    <row r="140" spans="1:12" x14ac:dyDescent="0.25">
      <c r="D140" t="s">
        <v>18</v>
      </c>
      <c r="H140" t="s">
        <v>427</v>
      </c>
      <c r="I140" s="13">
        <v>5</v>
      </c>
      <c r="J140" t="s">
        <v>426</v>
      </c>
      <c r="L140" t="s">
        <v>415</v>
      </c>
    </row>
    <row r="141" spans="1:12" x14ac:dyDescent="0.25">
      <c r="A141" t="s">
        <v>2</v>
      </c>
      <c r="D141" t="s">
        <v>18</v>
      </c>
      <c r="H141" t="s">
        <v>417</v>
      </c>
      <c r="I141" s="13">
        <f>(0.013+0.021+0.038) * 30.4</f>
        <v>2.1888000000000001</v>
      </c>
      <c r="J141" t="s">
        <v>418</v>
      </c>
      <c r="K141" t="s">
        <v>419</v>
      </c>
      <c r="L141" t="s">
        <v>414</v>
      </c>
    </row>
    <row r="142" spans="1:12" x14ac:dyDescent="0.25">
      <c r="A142" t="s">
        <v>39</v>
      </c>
      <c r="D142" t="s">
        <v>18</v>
      </c>
      <c r="H142" t="s">
        <v>417</v>
      </c>
      <c r="I142" s="13">
        <f>(8 * 7 * 3.6)/100</f>
        <v>2.016</v>
      </c>
      <c r="J142" t="s">
        <v>418</v>
      </c>
      <c r="K142" t="s">
        <v>420</v>
      </c>
      <c r="L142" t="s">
        <v>421</v>
      </c>
    </row>
    <row r="143" spans="1:12" x14ac:dyDescent="0.25">
      <c r="H143" t="s">
        <v>422</v>
      </c>
      <c r="I143" s="1">
        <v>1</v>
      </c>
      <c r="J143" t="s">
        <v>428</v>
      </c>
    </row>
    <row r="144" spans="1:12" x14ac:dyDescent="0.25">
      <c r="A144" t="s">
        <v>2</v>
      </c>
      <c r="D144" t="s">
        <v>18</v>
      </c>
      <c r="H144" t="s">
        <v>422</v>
      </c>
      <c r="I144" s="1">
        <v>1.1100000000000001</v>
      </c>
      <c r="J144" t="s">
        <v>428</v>
      </c>
      <c r="L144" t="s">
        <v>414</v>
      </c>
    </row>
    <row r="145" spans="1:12" x14ac:dyDescent="0.25">
      <c r="A145" t="s">
        <v>39</v>
      </c>
      <c r="D145" t="s">
        <v>35</v>
      </c>
      <c r="H145" t="s">
        <v>422</v>
      </c>
      <c r="I145" s="1">
        <v>0.9</v>
      </c>
      <c r="J145" t="s">
        <v>428</v>
      </c>
      <c r="K145" t="s">
        <v>424</v>
      </c>
      <c r="L145" t="s">
        <v>423</v>
      </c>
    </row>
    <row r="146" spans="1:12" x14ac:dyDescent="0.25">
      <c r="D146" t="s">
        <v>33</v>
      </c>
      <c r="H146" t="s">
        <v>422</v>
      </c>
      <c r="I146" s="1">
        <v>1.05</v>
      </c>
      <c r="J146" t="s">
        <v>428</v>
      </c>
      <c r="L146" t="s">
        <v>423</v>
      </c>
    </row>
    <row r="147" spans="1:12" x14ac:dyDescent="0.25">
      <c r="A147" t="s">
        <v>2</v>
      </c>
      <c r="D147" t="s">
        <v>34</v>
      </c>
      <c r="H147" t="s">
        <v>422</v>
      </c>
      <c r="I147" s="1">
        <v>1.05</v>
      </c>
      <c r="J147" t="s">
        <v>428</v>
      </c>
      <c r="L147" t="s">
        <v>423</v>
      </c>
    </row>
    <row r="148" spans="1:12" x14ac:dyDescent="0.25">
      <c r="H148" t="s">
        <v>425</v>
      </c>
      <c r="I148" s="13">
        <v>0</v>
      </c>
      <c r="J148" t="s">
        <v>428</v>
      </c>
    </row>
    <row r="149" spans="1:12" x14ac:dyDescent="0.25">
      <c r="A149" t="s">
        <v>2</v>
      </c>
      <c r="D149" t="s">
        <v>18</v>
      </c>
      <c r="H149" t="s">
        <v>425</v>
      </c>
      <c r="I149" s="13">
        <v>-13.6</v>
      </c>
      <c r="J149" t="s">
        <v>428</v>
      </c>
      <c r="L149" t="s">
        <v>414</v>
      </c>
    </row>
    <row r="150" spans="1:12" x14ac:dyDescent="0.25">
      <c r="A150" s="97" t="s">
        <v>304</v>
      </c>
      <c r="B150" s="97"/>
      <c r="C150" s="97"/>
      <c r="D150" s="98"/>
      <c r="E150" s="98"/>
      <c r="F150" s="98"/>
      <c r="G150" s="98"/>
      <c r="H150" s="98"/>
      <c r="I150" s="99"/>
      <c r="J150" s="98"/>
      <c r="K150" s="98"/>
      <c r="L150" s="98"/>
    </row>
    <row r="151" spans="1:12" x14ac:dyDescent="0.25">
      <c r="A151" s="100" t="s">
        <v>305</v>
      </c>
      <c r="B151" s="100"/>
      <c r="C151" s="100"/>
      <c r="D151" s="101"/>
      <c r="E151" s="101"/>
      <c r="F151" s="101"/>
      <c r="G151" s="101"/>
      <c r="H151" s="101"/>
      <c r="I151" s="101"/>
      <c r="J151" s="101"/>
      <c r="K151" s="101"/>
      <c r="L151" s="101"/>
    </row>
    <row r="153" spans="1:12" x14ac:dyDescent="0.25">
      <c r="A153" s="94" t="s">
        <v>410</v>
      </c>
      <c r="B153" s="94"/>
      <c r="C153" s="94"/>
      <c r="D153" s="95"/>
      <c r="E153" s="95"/>
      <c r="F153" s="95"/>
      <c r="G153" s="95"/>
      <c r="H153" s="95"/>
      <c r="I153" s="95"/>
      <c r="J153" s="95" t="s">
        <v>328</v>
      </c>
      <c r="K153" s="95"/>
      <c r="L153" s="95"/>
    </row>
    <row r="154" spans="1:12" x14ac:dyDescent="0.25">
      <c r="H154" s="160" t="s">
        <v>327</v>
      </c>
      <c r="I154" s="160">
        <v>0</v>
      </c>
      <c r="J154" s="160"/>
      <c r="K154" s="160" t="s">
        <v>430</v>
      </c>
    </row>
    <row r="155" spans="1:12" x14ac:dyDescent="0.25">
      <c r="A155" s="97" t="s">
        <v>304</v>
      </c>
      <c r="B155" s="97"/>
      <c r="C155" s="97"/>
      <c r="D155" s="98"/>
      <c r="E155" s="98"/>
      <c r="F155" s="98"/>
      <c r="G155" s="98"/>
      <c r="H155" s="98"/>
      <c r="I155" s="99"/>
      <c r="J155" s="98"/>
      <c r="K155" s="98"/>
      <c r="L155" s="98"/>
    </row>
    <row r="156" spans="1:12" x14ac:dyDescent="0.25">
      <c r="A156" t="s">
        <v>2</v>
      </c>
      <c r="D156" t="s">
        <v>18</v>
      </c>
      <c r="E156" t="s">
        <v>329</v>
      </c>
      <c r="H156" t="s">
        <v>327</v>
      </c>
      <c r="I156">
        <v>40</v>
      </c>
    </row>
    <row r="157" spans="1:12" x14ac:dyDescent="0.25">
      <c r="A157" t="s">
        <v>2</v>
      </c>
      <c r="D157" t="s">
        <v>18</v>
      </c>
      <c r="E157" t="s">
        <v>429</v>
      </c>
      <c r="H157" t="s">
        <v>327</v>
      </c>
      <c r="I157">
        <v>10</v>
      </c>
    </row>
    <row r="158" spans="1:12" x14ac:dyDescent="0.25">
      <c r="A158" t="s">
        <v>2</v>
      </c>
      <c r="D158" t="s">
        <v>18</v>
      </c>
      <c r="E158" t="s">
        <v>399</v>
      </c>
      <c r="H158" t="s">
        <v>327</v>
      </c>
      <c r="I158">
        <v>35</v>
      </c>
    </row>
    <row r="159" spans="1:12" x14ac:dyDescent="0.25">
      <c r="A159" t="s">
        <v>2</v>
      </c>
      <c r="D159" t="s">
        <v>18</v>
      </c>
      <c r="E159" t="s">
        <v>397</v>
      </c>
      <c r="H159" t="s">
        <v>327</v>
      </c>
      <c r="I159">
        <v>15</v>
      </c>
    </row>
    <row r="160" spans="1:12" x14ac:dyDescent="0.25">
      <c r="A160" t="s">
        <v>2</v>
      </c>
      <c r="E160" t="s">
        <v>329</v>
      </c>
      <c r="H160" t="s">
        <v>327</v>
      </c>
      <c r="I160">
        <v>50</v>
      </c>
    </row>
    <row r="161" spans="1:12" x14ac:dyDescent="0.25">
      <c r="A161" t="s">
        <v>2</v>
      </c>
      <c r="E161" t="s">
        <v>429</v>
      </c>
      <c r="H161" t="s">
        <v>327</v>
      </c>
      <c r="I161">
        <v>25</v>
      </c>
    </row>
    <row r="162" spans="1:12" x14ac:dyDescent="0.25">
      <c r="A162" t="s">
        <v>2</v>
      </c>
      <c r="E162" t="s">
        <v>399</v>
      </c>
      <c r="H162" t="s">
        <v>327</v>
      </c>
      <c r="I162">
        <v>25</v>
      </c>
    </row>
    <row r="163" spans="1:12" x14ac:dyDescent="0.25">
      <c r="A163" t="s">
        <v>2</v>
      </c>
      <c r="E163" t="s">
        <v>397</v>
      </c>
      <c r="H163" t="s">
        <v>327</v>
      </c>
      <c r="I163">
        <v>0</v>
      </c>
    </row>
    <row r="164" spans="1:12" x14ac:dyDescent="0.25">
      <c r="A164" t="s">
        <v>2</v>
      </c>
      <c r="D164" t="s">
        <v>35</v>
      </c>
      <c r="E164" t="s">
        <v>329</v>
      </c>
      <c r="H164" t="s">
        <v>327</v>
      </c>
      <c r="I164">
        <v>50</v>
      </c>
    </row>
    <row r="165" spans="1:12" x14ac:dyDescent="0.25">
      <c r="A165" t="s">
        <v>2</v>
      </c>
      <c r="D165" t="s">
        <v>35</v>
      </c>
      <c r="E165" t="s">
        <v>429</v>
      </c>
      <c r="H165" t="s">
        <v>327</v>
      </c>
      <c r="I165">
        <v>0</v>
      </c>
    </row>
    <row r="166" spans="1:12" x14ac:dyDescent="0.25">
      <c r="A166" t="s">
        <v>2</v>
      </c>
      <c r="D166" t="s">
        <v>35</v>
      </c>
      <c r="E166" t="s">
        <v>399</v>
      </c>
      <c r="H166" t="s">
        <v>327</v>
      </c>
      <c r="I166">
        <v>50</v>
      </c>
    </row>
    <row r="167" spans="1:12" x14ac:dyDescent="0.25">
      <c r="A167" t="s">
        <v>2</v>
      </c>
      <c r="D167" t="s">
        <v>35</v>
      </c>
      <c r="E167" t="s">
        <v>397</v>
      </c>
      <c r="H167" t="s">
        <v>327</v>
      </c>
      <c r="I167">
        <v>0</v>
      </c>
    </row>
    <row r="169" spans="1:12" x14ac:dyDescent="0.25">
      <c r="A169" s="100" t="s">
        <v>305</v>
      </c>
      <c r="B169" s="100"/>
      <c r="C169" s="100"/>
      <c r="D169" s="101"/>
      <c r="E169" s="101"/>
      <c r="F169" s="101"/>
      <c r="G169" s="101"/>
      <c r="H169" s="101"/>
      <c r="I169" s="101"/>
      <c r="J169" s="101"/>
      <c r="K169" s="101"/>
      <c r="L169" s="101"/>
    </row>
    <row r="170" spans="1:12" x14ac:dyDescent="0.25">
      <c r="A170" t="s">
        <v>39</v>
      </c>
      <c r="E170" t="s">
        <v>329</v>
      </c>
      <c r="H170" t="s">
        <v>327</v>
      </c>
      <c r="I170">
        <v>60</v>
      </c>
    </row>
    <row r="171" spans="1:12" x14ac:dyDescent="0.25">
      <c r="A171" t="s">
        <v>39</v>
      </c>
      <c r="E171" t="s">
        <v>429</v>
      </c>
      <c r="H171" t="s">
        <v>327</v>
      </c>
      <c r="I171">
        <v>30</v>
      </c>
    </row>
    <row r="172" spans="1:12" x14ac:dyDescent="0.25">
      <c r="A172" t="s">
        <v>39</v>
      </c>
      <c r="E172" t="s">
        <v>399</v>
      </c>
      <c r="H172" t="s">
        <v>327</v>
      </c>
      <c r="I172">
        <v>10</v>
      </c>
    </row>
    <row r="173" spans="1:12" x14ac:dyDescent="0.25">
      <c r="A173" t="s">
        <v>39</v>
      </c>
      <c r="D173" t="s">
        <v>35</v>
      </c>
      <c r="E173" t="s">
        <v>329</v>
      </c>
      <c r="H173" t="s">
        <v>327</v>
      </c>
      <c r="I173">
        <v>50</v>
      </c>
    </row>
    <row r="174" spans="1:12" x14ac:dyDescent="0.25">
      <c r="A174" t="s">
        <v>39</v>
      </c>
      <c r="D174" t="s">
        <v>35</v>
      </c>
      <c r="E174" t="s">
        <v>429</v>
      </c>
      <c r="H174" t="s">
        <v>327</v>
      </c>
      <c r="I174">
        <v>0</v>
      </c>
    </row>
    <row r="175" spans="1:12" x14ac:dyDescent="0.25">
      <c r="A175" t="s">
        <v>39</v>
      </c>
      <c r="D175" t="s">
        <v>35</v>
      </c>
      <c r="E175" t="s">
        <v>399</v>
      </c>
      <c r="H175" t="s">
        <v>327</v>
      </c>
      <c r="I175">
        <v>50</v>
      </c>
    </row>
    <row r="177" spans="1:12" x14ac:dyDescent="0.25">
      <c r="H177" s="93"/>
      <c r="I177" s="93"/>
      <c r="J177" s="93"/>
      <c r="K177" s="93"/>
    </row>
    <row r="178" spans="1:12" x14ac:dyDescent="0.25">
      <c r="A178" s="94" t="s">
        <v>432</v>
      </c>
      <c r="B178" s="94"/>
      <c r="C178" s="94"/>
      <c r="D178" s="95"/>
      <c r="E178" s="95"/>
      <c r="F178" s="95"/>
      <c r="G178" s="95"/>
      <c r="H178" s="95"/>
      <c r="I178" s="95"/>
      <c r="J178" s="95" t="s">
        <v>9</v>
      </c>
      <c r="K178" s="95" t="s">
        <v>434</v>
      </c>
      <c r="L178" s="95"/>
    </row>
    <row r="179" spans="1:12" x14ac:dyDescent="0.25">
      <c r="A179" s="97" t="s">
        <v>304</v>
      </c>
      <c r="B179" s="97"/>
      <c r="C179" s="97"/>
      <c r="D179" s="98"/>
      <c r="E179" s="98"/>
      <c r="F179" s="98"/>
      <c r="G179" s="98"/>
      <c r="H179" s="98"/>
      <c r="I179" s="99"/>
      <c r="J179" s="98"/>
      <c r="K179" s="98"/>
      <c r="L179" s="98"/>
    </row>
    <row r="180" spans="1:12" x14ac:dyDescent="0.25">
      <c r="A180" t="s">
        <v>2</v>
      </c>
      <c r="D180" t="s">
        <v>18</v>
      </c>
      <c r="H180" t="s">
        <v>433</v>
      </c>
      <c r="I180" s="93">
        <v>5</v>
      </c>
      <c r="J180" s="93"/>
    </row>
    <row r="181" spans="1:12" x14ac:dyDescent="0.25">
      <c r="A181" t="s">
        <v>2</v>
      </c>
      <c r="D181" t="s">
        <v>20</v>
      </c>
      <c r="H181" t="s">
        <v>433</v>
      </c>
      <c r="I181" s="93">
        <v>5</v>
      </c>
      <c r="J181" s="93"/>
    </row>
    <row r="182" spans="1:12" x14ac:dyDescent="0.25">
      <c r="A182" t="s">
        <v>2</v>
      </c>
      <c r="D182" t="s">
        <v>35</v>
      </c>
      <c r="H182" t="s">
        <v>433</v>
      </c>
      <c r="I182" s="93">
        <v>0</v>
      </c>
      <c r="J182" s="93"/>
    </row>
    <row r="183" spans="1:12" x14ac:dyDescent="0.25">
      <c r="A183" t="s">
        <v>2</v>
      </c>
      <c r="D183" t="s">
        <v>33</v>
      </c>
      <c r="H183" t="s">
        <v>433</v>
      </c>
      <c r="I183" s="93">
        <v>100</v>
      </c>
      <c r="J183" s="93"/>
    </row>
    <row r="184" spans="1:12" x14ac:dyDescent="0.25">
      <c r="A184" t="s">
        <v>2</v>
      </c>
      <c r="D184" t="s">
        <v>34</v>
      </c>
      <c r="H184" t="s">
        <v>433</v>
      </c>
      <c r="I184" s="93">
        <v>100</v>
      </c>
      <c r="J184" s="93"/>
    </row>
    <row r="185" spans="1:12" x14ac:dyDescent="0.25">
      <c r="A185" t="s">
        <v>2</v>
      </c>
      <c r="D185" t="s">
        <v>431</v>
      </c>
      <c r="H185" t="s">
        <v>433</v>
      </c>
      <c r="I185" s="93">
        <v>0</v>
      </c>
      <c r="J185" s="93"/>
    </row>
    <row r="187" spans="1:12" x14ac:dyDescent="0.25">
      <c r="A187" s="100" t="s">
        <v>305</v>
      </c>
      <c r="B187" s="100"/>
      <c r="C187" s="100"/>
      <c r="D187" s="101"/>
      <c r="E187" s="101"/>
      <c r="F187" s="101"/>
      <c r="G187" s="101"/>
      <c r="H187" s="101"/>
      <c r="I187" s="101"/>
      <c r="J187" s="101"/>
      <c r="K187" s="101"/>
      <c r="L187" s="101"/>
    </row>
    <row r="188" spans="1:12" x14ac:dyDescent="0.25">
      <c r="A188" t="s">
        <v>39</v>
      </c>
      <c r="D188" t="s">
        <v>18</v>
      </c>
      <c r="H188" t="s">
        <v>433</v>
      </c>
      <c r="I188" s="93">
        <v>100</v>
      </c>
      <c r="J188" s="93"/>
    </row>
    <row r="189" spans="1:12" x14ac:dyDescent="0.25">
      <c r="A189" t="s">
        <v>39</v>
      </c>
      <c r="D189" t="s">
        <v>20</v>
      </c>
      <c r="H189" t="s">
        <v>433</v>
      </c>
      <c r="I189" s="93">
        <v>100</v>
      </c>
      <c r="J189" s="93"/>
    </row>
    <row r="190" spans="1:12" x14ac:dyDescent="0.25">
      <c r="A190" t="s">
        <v>39</v>
      </c>
      <c r="D190" t="s">
        <v>35</v>
      </c>
      <c r="H190" t="s">
        <v>433</v>
      </c>
      <c r="I190" s="93">
        <v>0</v>
      </c>
      <c r="J190" s="93"/>
    </row>
    <row r="191" spans="1:12" x14ac:dyDescent="0.25">
      <c r="A191" t="s">
        <v>39</v>
      </c>
      <c r="D191" t="s">
        <v>33</v>
      </c>
      <c r="H191" t="s">
        <v>433</v>
      </c>
      <c r="I191" s="93">
        <v>100</v>
      </c>
      <c r="J191" s="93"/>
    </row>
    <row r="192" spans="1:12" x14ac:dyDescent="0.25">
      <c r="A192" t="s">
        <v>39</v>
      </c>
      <c r="D192" t="s">
        <v>34</v>
      </c>
      <c r="H192" t="s">
        <v>433</v>
      </c>
      <c r="I192" s="93">
        <v>100</v>
      </c>
      <c r="J192" s="93"/>
    </row>
    <row r="193" spans="1:12" x14ac:dyDescent="0.25">
      <c r="A193" t="s">
        <v>39</v>
      </c>
      <c r="D193" t="s">
        <v>431</v>
      </c>
      <c r="H193" t="s">
        <v>433</v>
      </c>
      <c r="I193" s="93">
        <v>100</v>
      </c>
      <c r="J193" s="93"/>
    </row>
    <row r="195" spans="1:12" x14ac:dyDescent="0.25">
      <c r="A195" s="159" t="s">
        <v>306</v>
      </c>
      <c r="B195" s="159"/>
      <c r="C195" s="159"/>
      <c r="D195" s="95"/>
      <c r="E195" s="95"/>
      <c r="F195" s="95"/>
      <c r="G195" s="95"/>
      <c r="H195" s="95"/>
      <c r="I195" s="95"/>
      <c r="J195" s="95"/>
      <c r="K195" s="95"/>
      <c r="L195" s="95"/>
    </row>
    <row r="196" spans="1:12" x14ac:dyDescent="0.25">
      <c r="A196" s="93" t="s">
        <v>2</v>
      </c>
      <c r="D196" s="93" t="s">
        <v>18</v>
      </c>
      <c r="E196" s="93"/>
      <c r="F196" s="93"/>
      <c r="G196" s="93"/>
      <c r="H196" s="93" t="s">
        <v>41</v>
      </c>
      <c r="I196" s="93">
        <v>7.1</v>
      </c>
      <c r="J196" s="93" t="s">
        <v>4</v>
      </c>
      <c r="K196" s="93"/>
      <c r="L196" s="93" t="s">
        <v>42</v>
      </c>
    </row>
    <row r="197" spans="1:12" x14ac:dyDescent="0.25">
      <c r="A197" s="93" t="s">
        <v>39</v>
      </c>
      <c r="D197" s="93" t="s">
        <v>18</v>
      </c>
      <c r="E197" s="93"/>
      <c r="F197" s="93"/>
      <c r="G197" s="93"/>
      <c r="H197" s="93" t="s">
        <v>41</v>
      </c>
      <c r="I197" s="93">
        <v>5.0999999999999996</v>
      </c>
      <c r="J197" s="93" t="s">
        <v>4</v>
      </c>
      <c r="K197" s="93"/>
      <c r="L197" s="93" t="s">
        <v>42</v>
      </c>
    </row>
    <row r="198" spans="1:12" x14ac:dyDescent="0.25">
      <c r="A198" s="93"/>
      <c r="D198" s="93" t="s">
        <v>33</v>
      </c>
      <c r="E198" s="93"/>
      <c r="F198" s="93"/>
      <c r="G198" s="93"/>
      <c r="H198" s="93" t="s">
        <v>41</v>
      </c>
      <c r="I198" s="93">
        <v>5.7</v>
      </c>
      <c r="J198" s="93" t="s">
        <v>4</v>
      </c>
      <c r="K198" s="93"/>
      <c r="L198" s="93" t="s">
        <v>42</v>
      </c>
    </row>
    <row r="199" spans="1:12" x14ac:dyDescent="0.25">
      <c r="A199" s="93"/>
      <c r="D199" s="93" t="s">
        <v>20</v>
      </c>
      <c r="E199" s="93"/>
      <c r="F199" s="93"/>
      <c r="G199" s="93"/>
      <c r="H199" s="93" t="s">
        <v>41</v>
      </c>
      <c r="I199" s="93">
        <v>7.7</v>
      </c>
      <c r="J199" s="93" t="s">
        <v>4</v>
      </c>
      <c r="K199" s="93"/>
      <c r="L199" s="93" t="s">
        <v>42</v>
      </c>
    </row>
    <row r="200" spans="1:12" x14ac:dyDescent="0.25">
      <c r="A200" s="93"/>
      <c r="D200" s="93" t="s">
        <v>34</v>
      </c>
      <c r="E200" s="93"/>
      <c r="F200" s="93"/>
      <c r="G200" s="93"/>
      <c r="H200" s="93" t="s">
        <v>41</v>
      </c>
      <c r="I200" s="93">
        <v>9.1</v>
      </c>
      <c r="J200" s="93" t="s">
        <v>4</v>
      </c>
      <c r="K200" s="93" t="s">
        <v>43</v>
      </c>
      <c r="L200" s="93" t="s">
        <v>42</v>
      </c>
    </row>
    <row r="201" spans="1:12" x14ac:dyDescent="0.25">
      <c r="A201" s="93"/>
      <c r="D201" s="93" t="s">
        <v>35</v>
      </c>
      <c r="E201" s="93"/>
      <c r="F201" s="93"/>
      <c r="G201" s="93"/>
      <c r="H201" s="93" t="s">
        <v>41</v>
      </c>
      <c r="I201" s="93">
        <v>9.1</v>
      </c>
      <c r="J201" s="93" t="s">
        <v>4</v>
      </c>
      <c r="K201" s="93" t="s">
        <v>43</v>
      </c>
      <c r="L201" s="93" t="s">
        <v>42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2"/>
  <sheetViews>
    <sheetView workbookViewId="0">
      <selection activeCell="G5" sqref="G5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52</v>
      </c>
      <c r="B1" s="6" t="s">
        <v>48</v>
      </c>
      <c r="C1" s="6" t="s">
        <v>308</v>
      </c>
      <c r="D1" s="6" t="s">
        <v>54</v>
      </c>
      <c r="E1" s="6" t="s">
        <v>57</v>
      </c>
      <c r="F1" s="6" t="s">
        <v>55</v>
      </c>
      <c r="G1" s="6" t="s">
        <v>58</v>
      </c>
      <c r="H1" s="6" t="s">
        <v>59</v>
      </c>
      <c r="I1" s="6" t="s">
        <v>60</v>
      </c>
      <c r="J1" s="6" t="s">
        <v>56</v>
      </c>
    </row>
    <row r="2" spans="1:11" x14ac:dyDescent="0.25">
      <c r="A2" t="s">
        <v>2</v>
      </c>
      <c r="B2" t="s">
        <v>44</v>
      </c>
      <c r="C2" t="s">
        <v>309</v>
      </c>
      <c r="D2">
        <v>1</v>
      </c>
      <c r="E2" s="1">
        <f>D2*1.06</f>
        <v>1.06</v>
      </c>
      <c r="F2" s="1">
        <f t="shared" ref="F2:J2" si="0">E2*1.06</f>
        <v>1.1236000000000002</v>
      </c>
      <c r="G2" s="1">
        <f t="shared" si="0"/>
        <v>1.1910160000000003</v>
      </c>
      <c r="H2" s="1">
        <f t="shared" si="0"/>
        <v>1.2624769600000003</v>
      </c>
      <c r="I2" s="1">
        <f t="shared" si="0"/>
        <v>1.3382255776000005</v>
      </c>
      <c r="J2" s="1">
        <f t="shared" si="0"/>
        <v>1.4185191122560006</v>
      </c>
      <c r="K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6"/>
  <sheetViews>
    <sheetView topLeftCell="A70" zoomScale="80" zoomScaleNormal="80" workbookViewId="0">
      <selection activeCell="AB75" sqref="AB75"/>
    </sheetView>
  </sheetViews>
  <sheetFormatPr defaultRowHeight="15" x14ac:dyDescent="0.25"/>
  <cols>
    <col min="2" max="2" width="11.85546875" customWidth="1"/>
    <col min="3" max="3" width="10.140625" customWidth="1"/>
    <col min="4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62</v>
      </c>
      <c r="P2" s="5"/>
      <c r="Y2" s="4" t="s">
        <v>63</v>
      </c>
    </row>
    <row r="3" spans="2:47" x14ac:dyDescent="0.25">
      <c r="D3" s="6" t="s">
        <v>64</v>
      </c>
      <c r="F3" s="6" t="s">
        <v>65</v>
      </c>
      <c r="H3" s="6" t="s">
        <v>66</v>
      </c>
      <c r="J3" s="6" t="s">
        <v>67</v>
      </c>
      <c r="AA3" s="6" t="s">
        <v>64</v>
      </c>
      <c r="AC3" s="6" t="s">
        <v>65</v>
      </c>
      <c r="AE3" s="6" t="s">
        <v>66</v>
      </c>
      <c r="AG3" s="6" t="s">
        <v>67</v>
      </c>
    </row>
    <row r="4" spans="2:47" x14ac:dyDescent="0.25">
      <c r="B4" s="6"/>
      <c r="D4" t="s">
        <v>68</v>
      </c>
      <c r="E4" t="s">
        <v>69</v>
      </c>
      <c r="F4" t="s">
        <v>68</v>
      </c>
      <c r="G4" t="s">
        <v>69</v>
      </c>
      <c r="H4" t="s">
        <v>68</v>
      </c>
      <c r="I4" t="s">
        <v>69</v>
      </c>
      <c r="J4" t="s">
        <v>68</v>
      </c>
      <c r="K4" t="s">
        <v>69</v>
      </c>
      <c r="M4" s="7" t="s">
        <v>70</v>
      </c>
      <c r="N4" s="8"/>
      <c r="O4" s="8"/>
      <c r="P4" s="9" t="s">
        <v>71</v>
      </c>
      <c r="Q4" s="9" t="s">
        <v>72</v>
      </c>
      <c r="R4" s="9" t="s">
        <v>73</v>
      </c>
      <c r="S4" s="9"/>
      <c r="T4" s="9" t="s">
        <v>74</v>
      </c>
      <c r="U4" s="8"/>
      <c r="V4" s="8"/>
      <c r="W4" s="10"/>
      <c r="Y4" s="6"/>
      <c r="AA4" t="s">
        <v>68</v>
      </c>
      <c r="AB4" t="s">
        <v>69</v>
      </c>
      <c r="AC4" t="s">
        <v>68</v>
      </c>
      <c r="AD4" t="s">
        <v>69</v>
      </c>
      <c r="AE4" t="s">
        <v>68</v>
      </c>
      <c r="AF4" t="s">
        <v>69</v>
      </c>
      <c r="AG4" t="s">
        <v>68</v>
      </c>
      <c r="AH4" t="s">
        <v>69</v>
      </c>
      <c r="AJ4" s="7" t="s">
        <v>70</v>
      </c>
      <c r="AK4" s="8"/>
      <c r="AL4" s="8"/>
      <c r="AM4" s="9" t="s">
        <v>71</v>
      </c>
      <c r="AN4" s="9" t="s">
        <v>72</v>
      </c>
      <c r="AO4" s="9" t="s">
        <v>73</v>
      </c>
      <c r="AP4" s="9"/>
      <c r="AQ4" s="9" t="s">
        <v>74</v>
      </c>
      <c r="AR4" s="8"/>
      <c r="AS4" s="8"/>
      <c r="AT4" s="10"/>
    </row>
    <row r="5" spans="2:47" x14ac:dyDescent="0.25">
      <c r="B5" t="s">
        <v>75</v>
      </c>
      <c r="D5" s="11">
        <f>D82*(1-E60/100)</f>
        <v>261212.58800000002</v>
      </c>
      <c r="E5" s="11">
        <f>D82*(E60/100)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76</v>
      </c>
      <c r="N5" s="15"/>
      <c r="O5" s="15"/>
      <c r="P5" s="16">
        <v>13.2</v>
      </c>
      <c r="Q5" s="17">
        <v>12.9</v>
      </c>
      <c r="R5" s="15" t="s">
        <v>77</v>
      </c>
      <c r="S5" s="15"/>
      <c r="T5" s="15" t="s">
        <v>78</v>
      </c>
      <c r="U5" s="15"/>
      <c r="V5" s="15"/>
      <c r="W5" s="18"/>
      <c r="Y5" t="s">
        <v>75</v>
      </c>
      <c r="AA5" s="11">
        <f>D83*(1-E61/100)</f>
        <v>133821.07199999999</v>
      </c>
      <c r="AB5" s="11">
        <f>D83*(E61/100)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76</v>
      </c>
      <c r="AK5" s="15"/>
      <c r="AL5" s="15"/>
      <c r="AM5" s="19">
        <f>(12.7+12.7+12.7+12.7)/4</f>
        <v>12.7</v>
      </c>
      <c r="AN5" s="20">
        <v>12.7</v>
      </c>
      <c r="AO5" s="15" t="s">
        <v>77</v>
      </c>
      <c r="AP5" s="15"/>
      <c r="AQ5" s="15" t="s">
        <v>79</v>
      </c>
      <c r="AR5" s="15"/>
      <c r="AS5" s="15"/>
      <c r="AT5" s="18"/>
    </row>
    <row r="6" spans="2:47" x14ac:dyDescent="0.25">
      <c r="B6" t="s">
        <v>80</v>
      </c>
      <c r="D6" s="12">
        <f>D23*((P6-12)/12)+D27*((P25-12)/12)</f>
        <v>145613.9985194717</v>
      </c>
      <c r="E6" s="12">
        <f>E23*((Q6-12)/12)+E27*((Q25-12)/12)</f>
        <v>27661.239556033106</v>
      </c>
      <c r="F6" s="12">
        <f t="shared" ref="F6:G8" si="0">D27</f>
        <v>14496.22318437562</v>
      </c>
      <c r="G6" s="12">
        <f t="shared" si="0"/>
        <v>1676.6638512465397</v>
      </c>
      <c r="H6" s="13">
        <f>F6*P31/1000000</f>
        <v>4.3205742077731548</v>
      </c>
      <c r="I6" s="13">
        <f>G6*Q31/1000000</f>
        <v>0.49972675631879937</v>
      </c>
      <c r="M6" s="14" t="s">
        <v>81</v>
      </c>
      <c r="N6" s="15"/>
      <c r="O6" s="15"/>
      <c r="P6" s="19">
        <v>27</v>
      </c>
      <c r="Q6" s="17">
        <v>27</v>
      </c>
      <c r="R6" s="15" t="s">
        <v>77</v>
      </c>
      <c r="S6" s="15"/>
      <c r="T6" s="15" t="s">
        <v>78</v>
      </c>
      <c r="U6" s="15"/>
      <c r="V6" s="15"/>
      <c r="W6" s="18"/>
      <c r="Y6" t="s">
        <v>80</v>
      </c>
      <c r="AA6" s="12">
        <f>AA23*((AM6-12)/12)+AA27*((AM25-12)/12)</f>
        <v>82663.33054402894</v>
      </c>
      <c r="AB6" s="12">
        <f>AB23*((AN6-12)/12)+AB27*((AN25-12)/12)</f>
        <v>39646.055683481754</v>
      </c>
      <c r="AC6" s="12">
        <f t="shared" ref="AC6:AD8" si="1">AA27</f>
        <v>28827.315455613058</v>
      </c>
      <c r="AD6" s="12">
        <f t="shared" si="1"/>
        <v>11446.148181587963</v>
      </c>
      <c r="AE6" s="13">
        <f t="shared" ref="AE6:AF6" si="2">AC6*AM31/1000000</f>
        <v>8.9124282495710414</v>
      </c>
      <c r="AF6" s="13">
        <f t="shared" si="2"/>
        <v>3.538760817303142</v>
      </c>
      <c r="AJ6" s="14" t="s">
        <v>81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77</v>
      </c>
      <c r="AP6" s="15"/>
      <c r="AQ6" s="15" t="s">
        <v>82</v>
      </c>
      <c r="AR6" s="15"/>
      <c r="AS6" s="15"/>
      <c r="AT6" s="18"/>
    </row>
    <row r="7" spans="2:47" x14ac:dyDescent="0.25">
      <c r="B7" t="s">
        <v>83</v>
      </c>
      <c r="D7" s="12">
        <f>D28*((P27-12)/12)</f>
        <v>26049.351416489455</v>
      </c>
      <c r="E7" s="12">
        <f>E28*((Q27-12)/12)</f>
        <v>2234.4113657720814</v>
      </c>
      <c r="F7" s="12">
        <f t="shared" si="0"/>
        <v>17667.023538209978</v>
      </c>
      <c r="G7" s="12">
        <f t="shared" si="0"/>
        <v>1515.4081021821917</v>
      </c>
      <c r="H7" s="13">
        <f>F7*P33/1000000</f>
        <v>5.7560424745247181</v>
      </c>
      <c r="I7" s="13">
        <f>G7*Q33/1000000</f>
        <v>0.49373078512824453</v>
      </c>
      <c r="M7" s="14" t="s">
        <v>84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85</v>
      </c>
      <c r="U7" s="15"/>
      <c r="V7" s="15"/>
      <c r="W7" s="18"/>
      <c r="Y7" t="s">
        <v>83</v>
      </c>
      <c r="AA7" s="12">
        <f>AA28*((AM27-12)/12)</f>
        <v>8470.7832317065204</v>
      </c>
      <c r="AB7" s="12">
        <f>AB28*((AN27-12)/12)</f>
        <v>14238.043654459072</v>
      </c>
      <c r="AC7" s="12">
        <f t="shared" si="1"/>
        <v>6180.1796543566261</v>
      </c>
      <c r="AD7" s="12">
        <f t="shared" si="1"/>
        <v>10387.90219324291</v>
      </c>
      <c r="AE7" s="13">
        <f>AC7*AM33/1000000</f>
        <v>2.0740416059556912</v>
      </c>
      <c r="AF7" s="13">
        <f>AD7*AN33/1000000</f>
        <v>3.4861351210391405</v>
      </c>
      <c r="AJ7" s="14" t="s">
        <v>84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86</v>
      </c>
      <c r="AR7" s="15"/>
      <c r="AS7" s="15"/>
      <c r="AT7" s="18"/>
    </row>
    <row r="8" spans="2:47" x14ac:dyDescent="0.25">
      <c r="B8" t="s">
        <v>87</v>
      </c>
      <c r="D8" s="12">
        <f>D29*((P28-12)/12)</f>
        <v>90746.519191877553</v>
      </c>
      <c r="E8" s="12">
        <f>E29*((Q28-12)/12)</f>
        <v>760.16282282457325</v>
      </c>
      <c r="F8" s="12">
        <f t="shared" si="0"/>
        <v>102927.24468575264</v>
      </c>
      <c r="G8" s="12">
        <f t="shared" si="0"/>
        <v>862.19797257943128</v>
      </c>
      <c r="H8" s="13">
        <f>F8*P34/1000000</f>
        <v>33.85035780642496</v>
      </c>
      <c r="I8" s="13">
        <f>G8*Q34/1000000</f>
        <v>0.28355670027789898</v>
      </c>
      <c r="M8" s="14" t="s">
        <v>88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89</v>
      </c>
      <c r="U8" s="15"/>
      <c r="V8" s="15"/>
      <c r="W8" s="18"/>
      <c r="Y8" t="s">
        <v>87</v>
      </c>
      <c r="AA8" s="12">
        <f>AA29*((AM28-12)/12)</f>
        <v>41018.66223652081</v>
      </c>
      <c r="AB8" s="12">
        <f>AB29*((AN28-12)/12)</f>
        <v>12575.993000256574</v>
      </c>
      <c r="AC8" s="12">
        <f t="shared" si="1"/>
        <v>60706.75711053711</v>
      </c>
      <c r="AD8" s="12">
        <f t="shared" si="1"/>
        <v>18612.205051647394</v>
      </c>
      <c r="AE8" s="13">
        <f>AC8*AM34/1000000</f>
        <v>21.759364864733058</v>
      </c>
      <c r="AF8" s="13">
        <f>AD8*AN34/1000000</f>
        <v>6.6712468254333386</v>
      </c>
      <c r="AJ8" s="14" t="s">
        <v>88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90</v>
      </c>
      <c r="AR8" s="15"/>
      <c r="AS8" s="15"/>
      <c r="AT8" s="18"/>
    </row>
    <row r="9" spans="2:47" x14ac:dyDescent="0.25">
      <c r="B9" t="s">
        <v>91</v>
      </c>
      <c r="D9" s="12">
        <f>((D13-D17)*P16+(D14-D18)*P18+(D17-D19)*P20+(D18-D20)*P22+(D23+D27+D28+D29)*365.25+D24*P26*30.44)/365.25</f>
        <v>243538.13091008202</v>
      </c>
      <c r="E9" s="12">
        <f>((E13-E17)*Q16+(E14-E18)*Q18+(E17-E19)*Q20+(E18-E20)*Q22+(E23+E27+E28+E29)*365.25+E24*Q26*30.44)/365.25</f>
        <v>25125.947807487923</v>
      </c>
      <c r="F9" s="12">
        <f>D24</f>
        <v>10642.404107366099</v>
      </c>
      <c r="G9" s="12">
        <f>E24</f>
        <v>338.6208139706352</v>
      </c>
      <c r="H9" s="13">
        <f>F9*P32/1000000</f>
        <v>1.8040303974490131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92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91</v>
      </c>
      <c r="AA9" s="12">
        <f>((AA13-AA17)*AM16+(AA14-AA18)*AM18+(AA17-AA19)*AM20+(AA18-AA20)*AM22+(AA23+AA27+AA28+AA29)*365.25+AA24*AM26*30.44)/365.25</f>
        <v>133007.58910937712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2281.9425361200083</v>
      </c>
      <c r="AD9" s="12">
        <f>AB24</f>
        <v>1019.208690876269</v>
      </c>
      <c r="AE9" s="13">
        <f>AC9*AM32/1000000</f>
        <v>0.35898642211160675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92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93</v>
      </c>
      <c r="AR9" s="15"/>
      <c r="AS9" s="15"/>
      <c r="AT9" s="18"/>
    </row>
    <row r="10" spans="2:47" x14ac:dyDescent="0.25">
      <c r="D10" s="26"/>
      <c r="E10" s="26"/>
      <c r="M10" s="14" t="s">
        <v>94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85</v>
      </c>
      <c r="U10" s="15"/>
      <c r="V10" s="15"/>
      <c r="W10" s="18"/>
      <c r="AJ10" s="14" t="s">
        <v>94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79</v>
      </c>
      <c r="AR10" s="15"/>
      <c r="AS10" s="15"/>
      <c r="AT10" s="18"/>
    </row>
    <row r="11" spans="2:47" x14ac:dyDescent="0.25">
      <c r="B11" s="27" t="s">
        <v>95</v>
      </c>
      <c r="D11" t="s">
        <v>68</v>
      </c>
      <c r="E11" t="s">
        <v>69</v>
      </c>
      <c r="G11" t="s">
        <v>96</v>
      </c>
      <c r="H11" s="26">
        <f>SUM(H5:H9)/SUM($H5:$I9,$AE5:$AF9)</f>
        <v>0.50219194311094706</v>
      </c>
      <c r="I11" s="26">
        <f>SUM(I5:I9)/SUM($H5:$I9,$AE5:$AF9)</f>
        <v>4.515172332433659E-2</v>
      </c>
      <c r="M11" s="14" t="s">
        <v>97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98</v>
      </c>
      <c r="S11" s="15"/>
      <c r="T11" s="15" t="s">
        <v>86</v>
      </c>
      <c r="U11" s="15"/>
      <c r="V11" s="15"/>
      <c r="W11" s="18"/>
      <c r="Y11" s="27" t="s">
        <v>95</v>
      </c>
      <c r="AA11" t="s">
        <v>68</v>
      </c>
      <c r="AB11" t="s">
        <v>69</v>
      </c>
      <c r="AD11" t="s">
        <v>96</v>
      </c>
      <c r="AE11" s="26">
        <f>SUM(AE5:AE9)/SUM($H5:$I9,$AE5:$AF9)</f>
        <v>0.312469461184749</v>
      </c>
      <c r="AF11" s="26">
        <f>SUM(AF5:AF9)/SUM($H5:$I9,$AE5:$AF9)</f>
        <v>0.14018687237996749</v>
      </c>
      <c r="AJ11" s="14" t="s">
        <v>97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98</v>
      </c>
      <c r="AP11" s="15"/>
      <c r="AQ11" s="15" t="s">
        <v>86</v>
      </c>
      <c r="AR11" s="15"/>
      <c r="AS11" s="15"/>
      <c r="AT11" s="18"/>
      <c r="AU11" s="32"/>
    </row>
    <row r="12" spans="2:47" x14ac:dyDescent="0.25">
      <c r="B12" t="s">
        <v>99</v>
      </c>
      <c r="D12" s="12">
        <f>D5*P11</f>
        <v>241553.37703623809</v>
      </c>
      <c r="E12" s="12">
        <f>E5*Q11</f>
        <v>51781.285607087273</v>
      </c>
      <c r="H12" s="26">
        <f>H11/SUM(H11:I11)</f>
        <v>0.91750754399260925</v>
      </c>
      <c r="I12" s="26">
        <f>I11/SUM(H11:I11)</f>
        <v>8.2492456007390746E-2</v>
      </c>
      <c r="M12" s="14" t="s">
        <v>100</v>
      </c>
      <c r="N12" s="15"/>
      <c r="O12" s="15"/>
      <c r="P12" s="15">
        <v>100</v>
      </c>
      <c r="Q12" s="33">
        <f>P12</f>
        <v>100</v>
      </c>
      <c r="R12" s="15" t="s">
        <v>101</v>
      </c>
      <c r="S12" s="15"/>
      <c r="T12" s="15" t="s">
        <v>102</v>
      </c>
      <c r="U12" s="15"/>
      <c r="V12" s="15"/>
      <c r="W12" s="18"/>
      <c r="Y12" t="s">
        <v>99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0.69030175436631802</v>
      </c>
      <c r="AF12" s="26">
        <f>AF11/SUM(AE11:AF11)</f>
        <v>0.30969824563368209</v>
      </c>
      <c r="AJ12" s="14" t="s">
        <v>100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101</v>
      </c>
      <c r="AP12" s="15"/>
      <c r="AQ12" s="15"/>
      <c r="AR12" s="15"/>
      <c r="AS12" s="15"/>
      <c r="AT12" s="18"/>
      <c r="AU12" s="32"/>
    </row>
    <row r="13" spans="2:47" x14ac:dyDescent="0.25">
      <c r="B13" t="s">
        <v>103</v>
      </c>
      <c r="D13" s="12">
        <f>D12*P8/100</f>
        <v>122361.22653271889</v>
      </c>
      <c r="E13" s="12">
        <f>E12*Q8/100</f>
        <v>26230.316860251078</v>
      </c>
      <c r="M13" s="35" t="s">
        <v>104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103</v>
      </c>
      <c r="AA13" s="12">
        <f>AA12*AM8/100</f>
        <v>67784.690562793054</v>
      </c>
      <c r="AB13" s="12">
        <f>AB12*AN8/100</f>
        <v>36821.313392134514</v>
      </c>
      <c r="AJ13" s="35" t="s">
        <v>104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105</v>
      </c>
      <c r="D14" s="12">
        <f>D12-D13</f>
        <v>119192.15050351919</v>
      </c>
      <c r="E14" s="12">
        <f>E12-E13</f>
        <v>25550.968746836195</v>
      </c>
      <c r="M14" s="14" t="s">
        <v>106</v>
      </c>
      <c r="N14" s="15"/>
      <c r="O14" s="15"/>
      <c r="P14" s="15">
        <v>6.6</v>
      </c>
      <c r="Q14" s="37">
        <f t="shared" ref="Q14:Q22" si="4">P14</f>
        <v>6.6</v>
      </c>
      <c r="R14" s="24" t="s">
        <v>107</v>
      </c>
      <c r="S14" s="15"/>
      <c r="T14" s="15" t="s">
        <v>102</v>
      </c>
      <c r="U14" s="15"/>
      <c r="V14" s="15"/>
      <c r="W14" s="18"/>
      <c r="Y14" t="s">
        <v>105</v>
      </c>
      <c r="AA14" s="12">
        <f>AA12-AA13</f>
        <v>63326.896599282481</v>
      </c>
      <c r="AB14" s="12">
        <f>AB12-AB13</f>
        <v>34399.795683560864</v>
      </c>
      <c r="AJ14" s="14" t="s">
        <v>106</v>
      </c>
      <c r="AK14" s="15"/>
      <c r="AL14" s="15"/>
      <c r="AM14" s="19">
        <v>2</v>
      </c>
      <c r="AN14" s="37">
        <f t="shared" si="3"/>
        <v>2</v>
      </c>
      <c r="AO14" s="24" t="s">
        <v>107</v>
      </c>
      <c r="AP14" s="15"/>
      <c r="AQ14" s="15" t="s">
        <v>102</v>
      </c>
      <c r="AR14" s="15"/>
      <c r="AS14" s="15"/>
      <c r="AT14" s="18"/>
      <c r="AU14" s="32"/>
    </row>
    <row r="15" spans="2:47" x14ac:dyDescent="0.25">
      <c r="B15" t="s">
        <v>342</v>
      </c>
      <c r="D15" s="12">
        <f>D13*(1-P15/100)</f>
        <v>117222.05501834469</v>
      </c>
      <c r="E15" s="12">
        <f>E13*(1-Q15/100)</f>
        <v>25128.643552120531</v>
      </c>
      <c r="M15" s="14" t="s">
        <v>109</v>
      </c>
      <c r="N15" s="15"/>
      <c r="O15" s="15"/>
      <c r="P15" s="38">
        <v>4.2</v>
      </c>
      <c r="Q15" s="37">
        <f t="shared" si="4"/>
        <v>4.2</v>
      </c>
      <c r="R15" s="24" t="s">
        <v>110</v>
      </c>
      <c r="S15" s="15"/>
      <c r="T15" s="15" t="s">
        <v>102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109</v>
      </c>
      <c r="AK15" s="15"/>
      <c r="AL15" s="15"/>
      <c r="AM15" s="19">
        <v>4</v>
      </c>
      <c r="AN15" s="37">
        <f t="shared" si="3"/>
        <v>4</v>
      </c>
      <c r="AO15" s="24" t="s">
        <v>110</v>
      </c>
      <c r="AP15" s="15"/>
      <c r="AQ15" s="15" t="s">
        <v>102</v>
      </c>
      <c r="AR15" s="15"/>
      <c r="AS15" s="15"/>
      <c r="AT15" s="18"/>
      <c r="AU15" s="32"/>
    </row>
    <row r="16" spans="2:47" x14ac:dyDescent="0.25">
      <c r="B16" t="s">
        <v>343</v>
      </c>
      <c r="D16" s="12">
        <f>D14*(1-P17/100)</f>
        <v>115139.61738639954</v>
      </c>
      <c r="E16" s="12">
        <f>E14*(1-Q17/100)</f>
        <v>24682.235809443762</v>
      </c>
      <c r="M16" s="25" t="s">
        <v>112</v>
      </c>
      <c r="N16" s="15"/>
      <c r="O16" s="15"/>
      <c r="P16" s="15">
        <v>10</v>
      </c>
      <c r="Q16" s="37">
        <f t="shared" si="4"/>
        <v>10</v>
      </c>
      <c r="R16" s="15" t="s">
        <v>101</v>
      </c>
      <c r="S16" s="15"/>
      <c r="T16" s="15" t="s">
        <v>102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112</v>
      </c>
      <c r="AK16" s="15"/>
      <c r="AL16" s="15"/>
      <c r="AM16" s="15">
        <v>3</v>
      </c>
      <c r="AN16" s="37">
        <f t="shared" si="3"/>
        <v>3</v>
      </c>
      <c r="AO16" s="15" t="s">
        <v>101</v>
      </c>
      <c r="AP16" s="15"/>
      <c r="AQ16" s="15" t="s">
        <v>102</v>
      </c>
      <c r="AR16" s="15"/>
      <c r="AS16" s="15"/>
      <c r="AT16" s="18"/>
      <c r="AU16" s="32"/>
    </row>
    <row r="17" spans="2:47" x14ac:dyDescent="0.25">
      <c r="B17" t="s">
        <v>108</v>
      </c>
      <c r="D17" s="12">
        <f>D15+E15*P41/100</f>
        <v>139586.54777973198</v>
      </c>
      <c r="E17" s="12">
        <f>E15-E15*P41/100</f>
        <v>2764.1507907332598</v>
      </c>
      <c r="M17" s="14" t="s">
        <v>114</v>
      </c>
      <c r="N17" s="15"/>
      <c r="O17" s="15"/>
      <c r="P17" s="15">
        <v>3.4</v>
      </c>
      <c r="Q17" s="37">
        <f t="shared" si="4"/>
        <v>3.4</v>
      </c>
      <c r="R17" s="24" t="s">
        <v>110</v>
      </c>
      <c r="S17" s="15"/>
      <c r="T17" s="15" t="s">
        <v>102</v>
      </c>
      <c r="U17" s="15"/>
      <c r="V17" s="15"/>
      <c r="W17" s="18"/>
      <c r="Y17" t="s">
        <v>108</v>
      </c>
      <c r="AA17" s="12">
        <f>AA15+AB15*AM41/100</f>
        <v>70022.087460184208</v>
      </c>
      <c r="AB17" s="12">
        <f>AB15-AB15*AM41/100</f>
        <v>30399.676336546258</v>
      </c>
      <c r="AJ17" s="14" t="s">
        <v>114</v>
      </c>
      <c r="AK17" s="15"/>
      <c r="AL17" s="15"/>
      <c r="AM17" s="15">
        <v>3.2</v>
      </c>
      <c r="AN17" s="37">
        <f t="shared" si="3"/>
        <v>3.2</v>
      </c>
      <c r="AO17" s="24" t="s">
        <v>110</v>
      </c>
      <c r="AP17" s="15"/>
      <c r="AQ17" s="15" t="s">
        <v>102</v>
      </c>
      <c r="AR17" s="15"/>
      <c r="AS17" s="15"/>
      <c r="AT17" s="18"/>
      <c r="AU17" s="32"/>
    </row>
    <row r="18" spans="2:47" x14ac:dyDescent="0.25">
      <c r="B18" t="s">
        <v>111</v>
      </c>
      <c r="D18" s="12">
        <f>D16+E16*P42/100</f>
        <v>117237.60743020226</v>
      </c>
      <c r="E18" s="12">
        <f>E16-E16*P42/100</f>
        <v>22584.245765641041</v>
      </c>
      <c r="M18" s="25" t="s">
        <v>112</v>
      </c>
      <c r="N18" s="15"/>
      <c r="O18" s="15"/>
      <c r="P18" s="15">
        <v>10</v>
      </c>
      <c r="Q18" s="37">
        <f t="shared" si="4"/>
        <v>10</v>
      </c>
      <c r="R18" s="15" t="s">
        <v>101</v>
      </c>
      <c r="S18" s="15"/>
      <c r="T18" s="15" t="s">
        <v>102</v>
      </c>
      <c r="U18" s="15"/>
      <c r="V18" s="15"/>
      <c r="W18" s="18"/>
      <c r="Y18" t="s">
        <v>111</v>
      </c>
      <c r="AA18" s="12">
        <f>AA16+AB16*AM42/100</f>
        <v>64130.851096948827</v>
      </c>
      <c r="AB18" s="12">
        <f>AB16-AB16*AM42/100</f>
        <v>30468.58703284353</v>
      </c>
      <c r="AJ18" s="25" t="s">
        <v>112</v>
      </c>
      <c r="AK18" s="15"/>
      <c r="AL18" s="15"/>
      <c r="AM18" s="15">
        <v>10</v>
      </c>
      <c r="AN18" s="37">
        <f t="shared" si="3"/>
        <v>10</v>
      </c>
      <c r="AO18" s="15" t="s">
        <v>101</v>
      </c>
      <c r="AP18" s="15"/>
      <c r="AQ18" s="15" t="s">
        <v>102</v>
      </c>
      <c r="AR18" s="15"/>
      <c r="AS18" s="15"/>
      <c r="AT18" s="18"/>
      <c r="AU18" s="32"/>
    </row>
    <row r="19" spans="2:47" x14ac:dyDescent="0.25">
      <c r="B19" t="s">
        <v>113</v>
      </c>
      <c r="D19" s="12">
        <f>D17*(1-P19/100)</f>
        <v>130094.66253071019</v>
      </c>
      <c r="E19" s="12">
        <f>E17*(1-Q19/100)</f>
        <v>2576.1885369633978</v>
      </c>
      <c r="M19" s="14" t="s">
        <v>117</v>
      </c>
      <c r="N19" s="15"/>
      <c r="O19" s="15"/>
      <c r="P19" s="38">
        <v>6.8</v>
      </c>
      <c r="Q19" s="37">
        <f t="shared" si="4"/>
        <v>6.8</v>
      </c>
      <c r="R19" s="15" t="s">
        <v>118</v>
      </c>
      <c r="S19" s="15"/>
      <c r="T19" s="15" t="s">
        <v>102</v>
      </c>
      <c r="U19" s="15"/>
      <c r="V19" s="15"/>
      <c r="W19" s="18"/>
      <c r="Y19" t="s">
        <v>113</v>
      </c>
      <c r="AA19" s="12">
        <f>AA17*(1-AM19/100)</f>
        <v>68481.60153606016</v>
      </c>
      <c r="AB19" s="12">
        <f>AB17*(1-AN19/100)</f>
        <v>29730.883457142238</v>
      </c>
      <c r="AJ19" s="14" t="s">
        <v>117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118</v>
      </c>
      <c r="AP19" s="15"/>
      <c r="AQ19" s="15" t="s">
        <v>102</v>
      </c>
      <c r="AR19" s="15"/>
      <c r="AS19" s="15"/>
      <c r="AT19" s="18"/>
      <c r="AU19" s="32"/>
    </row>
    <row r="20" spans="2:47" x14ac:dyDescent="0.25">
      <c r="B20" t="s">
        <v>115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112</v>
      </c>
      <c r="N20" s="15"/>
      <c r="O20" s="15"/>
      <c r="P20" s="15">
        <v>59</v>
      </c>
      <c r="Q20" s="37">
        <f t="shared" si="4"/>
        <v>59</v>
      </c>
      <c r="R20" s="15" t="s">
        <v>101</v>
      </c>
      <c r="S20" s="15"/>
      <c r="T20" s="15" t="s">
        <v>102</v>
      </c>
      <c r="U20" s="15"/>
      <c r="V20" s="15"/>
      <c r="W20" s="18"/>
      <c r="Y20" t="s">
        <v>115</v>
      </c>
      <c r="AA20" s="12">
        <f>AA18*(1-AM21/100)</f>
        <v>63104.757479397646</v>
      </c>
      <c r="AB20" s="12">
        <f>AB18*(1-AN21/100)</f>
        <v>29981.089640318034</v>
      </c>
      <c r="AJ20" s="25" t="s">
        <v>112</v>
      </c>
      <c r="AK20" s="15"/>
      <c r="AL20" s="15"/>
      <c r="AM20" s="15">
        <v>234</v>
      </c>
      <c r="AN20" s="37">
        <f t="shared" si="3"/>
        <v>234</v>
      </c>
      <c r="AO20" s="15" t="s">
        <v>101</v>
      </c>
      <c r="AP20" s="15"/>
      <c r="AQ20" s="15" t="s">
        <v>102</v>
      </c>
      <c r="AR20" s="15"/>
      <c r="AS20" s="15"/>
      <c r="AT20" s="18"/>
      <c r="AU20" s="32"/>
    </row>
    <row r="21" spans="2:47" x14ac:dyDescent="0.25">
      <c r="B21" t="s">
        <v>116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121</v>
      </c>
      <c r="N21" s="15"/>
      <c r="O21" s="15"/>
      <c r="P21" s="23">
        <v>4</v>
      </c>
      <c r="Q21" s="40">
        <f t="shared" si="4"/>
        <v>4</v>
      </c>
      <c r="R21" s="15" t="s">
        <v>118</v>
      </c>
      <c r="S21" s="15"/>
      <c r="T21" s="15" t="s">
        <v>102</v>
      </c>
      <c r="U21" s="15"/>
      <c r="V21" s="15"/>
      <c r="W21" s="18"/>
      <c r="Y21" t="s">
        <v>116</v>
      </c>
      <c r="AA21" s="12">
        <f>AA13-AA15+AA17-AA19</f>
        <v>4251.8735466357757</v>
      </c>
      <c r="AB21" s="12">
        <f>AB13-AB15+AB17-AB19</f>
        <v>2141.6454150893987</v>
      </c>
      <c r="AJ21" s="14" t="s">
        <v>121</v>
      </c>
      <c r="AK21" s="15"/>
      <c r="AL21" s="15"/>
      <c r="AM21" s="15">
        <v>1.6</v>
      </c>
      <c r="AN21" s="40">
        <f t="shared" si="3"/>
        <v>1.6</v>
      </c>
      <c r="AO21" s="15" t="s">
        <v>118</v>
      </c>
      <c r="AP21" s="15"/>
      <c r="AQ21" s="15" t="s">
        <v>102</v>
      </c>
      <c r="AR21" s="15"/>
      <c r="AS21" s="15"/>
      <c r="AT21" s="18"/>
    </row>
    <row r="22" spans="2:47" x14ac:dyDescent="0.25">
      <c r="B22" t="s">
        <v>119</v>
      </c>
      <c r="D22" s="12">
        <f>D14-D16+D18-D20</f>
        <v>8742.0374143277586</v>
      </c>
      <c r="E22" s="12">
        <f>E14-E16+E18-E20</f>
        <v>1772.1027680180741</v>
      </c>
      <c r="M22" s="25" t="s">
        <v>112</v>
      </c>
      <c r="N22" s="15"/>
      <c r="O22" s="15"/>
      <c r="P22" s="15">
        <v>59</v>
      </c>
      <c r="Q22" s="37">
        <f t="shared" si="4"/>
        <v>59</v>
      </c>
      <c r="R22" s="15" t="s">
        <v>101</v>
      </c>
      <c r="S22" s="15"/>
      <c r="T22" s="15" t="s">
        <v>102</v>
      </c>
      <c r="U22" s="15"/>
      <c r="V22" s="15"/>
      <c r="W22" s="18"/>
      <c r="Y22" t="s">
        <v>119</v>
      </c>
      <c r="AA22" s="12">
        <f>AA14-AA16+AA18-AA20</f>
        <v>3052.5543087282203</v>
      </c>
      <c r="AB22" s="12">
        <f>AB14-AB16+AB18-AB20</f>
        <v>1588.2908543994417</v>
      </c>
      <c r="AJ22" s="25" t="s">
        <v>112</v>
      </c>
      <c r="AK22" s="15"/>
      <c r="AL22" s="15"/>
      <c r="AM22" s="15">
        <v>241</v>
      </c>
      <c r="AN22" s="37">
        <f t="shared" si="3"/>
        <v>241</v>
      </c>
      <c r="AO22" s="15" t="s">
        <v>101</v>
      </c>
      <c r="AP22" s="15"/>
      <c r="AQ22" s="15" t="s">
        <v>102</v>
      </c>
      <c r="AR22" s="15"/>
      <c r="AS22" s="15"/>
      <c r="AT22" s="18"/>
    </row>
    <row r="23" spans="2:47" x14ac:dyDescent="0.25">
      <c r="B23" t="s">
        <v>120</v>
      </c>
      <c r="D23" s="12">
        <f>D5*P7/100</f>
        <v>96909.870148000016</v>
      </c>
      <c r="E23" s="12">
        <f>E5*Q7/100</f>
        <v>19864.173731999999</v>
      </c>
      <c r="M23" s="35" t="s">
        <v>124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120</v>
      </c>
      <c r="AA23" s="12">
        <f>AA5*AM7/100</f>
        <v>33590.164258831006</v>
      </c>
      <c r="AB23" s="12">
        <f>AB5*AN7/100</f>
        <v>18246.508980105737</v>
      </c>
      <c r="AJ23" s="35" t="s">
        <v>124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122</v>
      </c>
      <c r="D24" s="12">
        <f>(SUM(D19:D20)-D23)*P36/100</f>
        <v>10642.404107366099</v>
      </c>
      <c r="E24" s="12">
        <f>(SUM(E19:E20)-E23)*Q36/100</f>
        <v>338.6208139706352</v>
      </c>
      <c r="M24" s="14" t="s">
        <v>106</v>
      </c>
      <c r="N24" s="21"/>
      <c r="O24" s="22"/>
      <c r="P24" s="23">
        <v>60.9</v>
      </c>
      <c r="Q24" s="23">
        <v>61.5</v>
      </c>
      <c r="R24" s="15" t="s">
        <v>77</v>
      </c>
      <c r="S24" s="15"/>
      <c r="T24" s="24" t="s">
        <v>85</v>
      </c>
      <c r="U24" s="15"/>
      <c r="V24" s="15"/>
      <c r="W24" s="18"/>
      <c r="Y24" t="s">
        <v>122</v>
      </c>
      <c r="AA24" s="12">
        <f>(SUM(AA19:AA20)-AA23)*AM36/100</f>
        <v>2281.9425361200083</v>
      </c>
      <c r="AB24" s="12">
        <f>(SUM(AB19:AB20)-AB23)*AN36/100</f>
        <v>1019.208690876269</v>
      </c>
      <c r="AJ24" s="14" t="s">
        <v>106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77</v>
      </c>
      <c r="AP24" s="15"/>
      <c r="AQ24" s="15"/>
      <c r="AR24" s="15"/>
      <c r="AS24" s="15"/>
      <c r="AT24" s="18"/>
    </row>
    <row r="25" spans="2:47" x14ac:dyDescent="0.25">
      <c r="B25" t="s">
        <v>123</v>
      </c>
      <c r="D25" s="12">
        <f>D24*(D19)/(D19+D20-D23)</f>
        <v>9500.3943067475739</v>
      </c>
      <c r="E25" s="12">
        <f>E24*(E19)/(E19+E20-E23)</f>
        <v>198.58246220177472</v>
      </c>
      <c r="M25" s="14" t="s">
        <v>127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77</v>
      </c>
      <c r="S25" s="15"/>
      <c r="T25" s="15"/>
      <c r="U25" s="15"/>
      <c r="V25" s="15"/>
      <c r="W25" s="18"/>
      <c r="Y25" t="s">
        <v>123</v>
      </c>
      <c r="AA25" s="12">
        <f>AA24*(AA19)/(AA19+AA20-AA23)</f>
        <v>1594.664771166428</v>
      </c>
      <c r="AB25" s="12">
        <f>AB24*(AB19)/(AB19+AB20-AB23)</f>
        <v>730.77621225193468</v>
      </c>
      <c r="AJ25" s="14" t="s">
        <v>127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77</v>
      </c>
      <c r="AP25" s="15"/>
      <c r="AQ25" s="15"/>
      <c r="AR25" s="15"/>
      <c r="AS25" s="15"/>
      <c r="AT25" s="18"/>
    </row>
    <row r="26" spans="2:47" x14ac:dyDescent="0.25">
      <c r="B26" t="s">
        <v>125</v>
      </c>
      <c r="D26" s="12">
        <f>D24-D25</f>
        <v>1142.0098006185253</v>
      </c>
      <c r="E26" s="12">
        <f>E24-E25</f>
        <v>140.03835176886048</v>
      </c>
      <c r="M26" s="14" t="s">
        <v>129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77</v>
      </c>
      <c r="S26" s="15"/>
      <c r="T26" s="15"/>
      <c r="U26" s="15"/>
      <c r="V26" s="15"/>
      <c r="W26" s="18"/>
      <c r="Y26" t="s">
        <v>125</v>
      </c>
      <c r="AA26" s="12">
        <f>AA24-AA25</f>
        <v>687.27776495358034</v>
      </c>
      <c r="AB26" s="12">
        <f>AB24-AB25</f>
        <v>288.43247862433429</v>
      </c>
      <c r="AJ26" s="14" t="s">
        <v>129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77</v>
      </c>
      <c r="AP26" s="15"/>
      <c r="AQ26" s="15"/>
      <c r="AR26" s="15"/>
      <c r="AS26" s="15"/>
      <c r="AT26" s="18"/>
    </row>
    <row r="27" spans="2:47" x14ac:dyDescent="0.25">
      <c r="B27" t="s">
        <v>126</v>
      </c>
      <c r="D27" s="12">
        <f>D20-D23-D26</f>
        <v>14496.22318437562</v>
      </c>
      <c r="E27" s="12">
        <f>E20-E23-E26</f>
        <v>1676.6638512465397</v>
      </c>
      <c r="M27" s="14" t="s">
        <v>131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77</v>
      </c>
      <c r="S27" s="15"/>
      <c r="T27" s="15"/>
      <c r="U27" s="15"/>
      <c r="V27" s="15"/>
      <c r="W27" s="18"/>
      <c r="Y27" t="s">
        <v>126</v>
      </c>
      <c r="AA27" s="12">
        <f>AA20-AA23-AA26</f>
        <v>28827.315455613058</v>
      </c>
      <c r="AB27" s="12">
        <f>AB20-AB23-AB26</f>
        <v>11446.148181587963</v>
      </c>
      <c r="AJ27" s="14" t="s">
        <v>131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77</v>
      </c>
      <c r="AP27" s="15"/>
      <c r="AQ27" s="15"/>
      <c r="AR27" s="15"/>
      <c r="AS27" s="15"/>
      <c r="AT27" s="18"/>
    </row>
    <row r="28" spans="2:47" x14ac:dyDescent="0.25">
      <c r="B28" t="s">
        <v>128</v>
      </c>
      <c r="D28" s="12">
        <f>(D19-D25)*(P38/SUM(P38:P39))</f>
        <v>17667.023538209978</v>
      </c>
      <c r="E28" s="12">
        <f>(E19-E25)*(Q38/SUM(Q38:Q39))</f>
        <v>1515.4081021821917</v>
      </c>
      <c r="M28" s="14" t="s">
        <v>132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77</v>
      </c>
      <c r="S28" s="15"/>
      <c r="T28" s="15"/>
      <c r="U28" s="15"/>
      <c r="V28" s="15"/>
      <c r="W28" s="18"/>
      <c r="Y28" t="s">
        <v>128</v>
      </c>
      <c r="AA28" s="12">
        <f>(AA19-AA25)*(AM38/SUM(AM38:AM39))</f>
        <v>6180.1796543566261</v>
      </c>
      <c r="AB28" s="12">
        <f>(AB19-AB25)*(AN38/SUM(AN38:AN39))</f>
        <v>10387.90219324291</v>
      </c>
      <c r="AJ28" s="14" t="s">
        <v>132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77</v>
      </c>
      <c r="AP28" s="15"/>
      <c r="AQ28" s="15"/>
      <c r="AR28" s="15"/>
      <c r="AS28" s="15"/>
      <c r="AT28" s="18"/>
    </row>
    <row r="29" spans="2:47" x14ac:dyDescent="0.25">
      <c r="B29" t="s">
        <v>130</v>
      </c>
      <c r="D29" s="12">
        <f>D19-D25-D28</f>
        <v>102927.24468575264</v>
      </c>
      <c r="E29" s="12">
        <f>E19-E25-E28</f>
        <v>862.19797257943128</v>
      </c>
      <c r="M29" s="43" t="s">
        <v>133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130</v>
      </c>
      <c r="AA29" s="12">
        <f>AA19-AA25-AA28</f>
        <v>60706.75711053711</v>
      </c>
      <c r="AB29" s="12">
        <f>AB19-AB25-AB28</f>
        <v>18612.205051647394</v>
      </c>
      <c r="AJ29" s="43" t="s">
        <v>133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106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134</v>
      </c>
      <c r="S30" s="19"/>
      <c r="T30" s="15"/>
      <c r="U30" s="15"/>
      <c r="V30" s="15"/>
      <c r="W30" s="18"/>
      <c r="AA30" s="12"/>
      <c r="AB30" s="26"/>
      <c r="AJ30" s="14" t="s">
        <v>106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134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127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134</v>
      </c>
      <c r="S31" s="19"/>
      <c r="T31" s="15"/>
      <c r="U31" s="15"/>
      <c r="V31" s="15"/>
      <c r="W31" s="18"/>
      <c r="AA31" s="12"/>
      <c r="AB31" s="26"/>
      <c r="AJ31" s="14" t="s">
        <v>127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134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129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134</v>
      </c>
      <c r="S32" s="19"/>
      <c r="T32" s="15"/>
      <c r="U32" s="15"/>
      <c r="V32" s="15"/>
      <c r="W32" s="18"/>
      <c r="AA32" s="45"/>
      <c r="AB32" s="26"/>
      <c r="AJ32" s="14" t="s">
        <v>129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134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131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134</v>
      </c>
      <c r="S33" s="19"/>
      <c r="T33" s="15"/>
      <c r="U33" s="15"/>
      <c r="V33" s="15"/>
      <c r="W33" s="18"/>
      <c r="AA33" s="12"/>
      <c r="AB33" s="26"/>
      <c r="AJ33" s="14" t="s">
        <v>131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134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132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134</v>
      </c>
      <c r="S34" s="19"/>
      <c r="T34" s="15"/>
      <c r="U34" s="15"/>
      <c r="V34" s="15"/>
      <c r="W34" s="18"/>
      <c r="AA34" s="12"/>
      <c r="AB34" s="26"/>
      <c r="AJ34" s="14" t="s">
        <v>132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134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135</v>
      </c>
      <c r="N35" s="21"/>
      <c r="O35" s="22"/>
      <c r="P35" s="19"/>
      <c r="Q35" s="37"/>
      <c r="R35" s="19"/>
      <c r="S35" s="19" t="s">
        <v>323</v>
      </c>
      <c r="T35" s="15"/>
      <c r="U35" s="15"/>
      <c r="V35" s="15"/>
      <c r="W35" s="18"/>
      <c r="AA35" s="12"/>
      <c r="AB35" s="26"/>
      <c r="AJ35" s="35" t="s">
        <v>135</v>
      </c>
      <c r="AK35" s="21"/>
      <c r="AL35" s="22"/>
      <c r="AM35" s="19"/>
      <c r="AN35" s="37"/>
      <c r="AO35" s="19"/>
      <c r="AP35" s="19" t="s">
        <v>323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129</v>
      </c>
      <c r="N36" s="21"/>
      <c r="O36" s="22"/>
      <c r="P36" s="19">
        <f>'G&amp;D sammanställning'!$T$13*S36</f>
        <v>7.3026780053370048</v>
      </c>
      <c r="Q36" s="19">
        <f>'G&amp;D sammanställning'!$T$13*T36</f>
        <v>7.708382338966838</v>
      </c>
      <c r="R36" s="19" t="s">
        <v>9</v>
      </c>
      <c r="S36" s="19">
        <v>0.9</v>
      </c>
      <c r="T36" s="19">
        <v>0.95</v>
      </c>
      <c r="U36" s="15"/>
      <c r="V36" s="15"/>
      <c r="W36" s="18"/>
      <c r="AA36" s="12"/>
      <c r="AB36" s="26"/>
      <c r="AJ36" s="14" t="s">
        <v>129</v>
      </c>
      <c r="AK36" s="21"/>
      <c r="AL36" s="22"/>
      <c r="AM36" s="19">
        <f>'G&amp;D sammanställning'!$W$13*AP36</f>
        <v>2.328603209325836</v>
      </c>
      <c r="AN36" s="19">
        <f>'G&amp;D sammanställning'!$W$13*AQ36</f>
        <v>2.4579700542883822</v>
      </c>
      <c r="AO36" s="19" t="s">
        <v>9</v>
      </c>
      <c r="AP36" s="19">
        <v>0.9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127</v>
      </c>
      <c r="N37" s="21"/>
      <c r="O37" s="22"/>
      <c r="P37" s="19">
        <f>'G&amp;D sammanställning'!$T$8*S37</f>
        <v>11.663210958152954</v>
      </c>
      <c r="Q37" s="19">
        <f>'G&amp;D sammanställning'!$T$8*T37</f>
        <v>5.8146980834756699</v>
      </c>
      <c r="R37" s="19" t="s">
        <v>9</v>
      </c>
      <c r="S37" s="19">
        <v>1</v>
      </c>
      <c r="T37" s="19">
        <v>0.49855036527578295</v>
      </c>
      <c r="U37" s="15"/>
      <c r="V37" s="15"/>
      <c r="W37" s="18"/>
      <c r="AA37" s="12"/>
      <c r="AB37" s="26"/>
      <c r="AJ37" s="14" t="s">
        <v>127</v>
      </c>
      <c r="AK37" s="21"/>
      <c r="AL37" s="22"/>
      <c r="AM37" s="19">
        <f>'G&amp;D sammanställning'!$W$8*AP37</f>
        <v>29.35699252071155</v>
      </c>
      <c r="AN37" s="19">
        <f>'G&amp;D sammanställning'!$W$8*AQ37</f>
        <v>25.954528557370729</v>
      </c>
      <c r="AO37" s="19" t="s">
        <v>9</v>
      </c>
      <c r="AP37" s="19">
        <v>1</v>
      </c>
      <c r="AQ37" s="19">
        <v>0.88410039070111279</v>
      </c>
      <c r="AR37" s="15"/>
      <c r="AS37" s="15"/>
      <c r="AT37" s="18"/>
    </row>
    <row r="38" spans="2:46" x14ac:dyDescent="0.25">
      <c r="D38" s="12"/>
      <c r="E38" s="42"/>
      <c r="M38" s="14" t="s">
        <v>131</v>
      </c>
      <c r="N38" s="21"/>
      <c r="O38" s="22"/>
      <c r="P38" s="19">
        <f>'G&amp;D sammanställning'!$T$9*S38</f>
        <v>11.871472568009434</v>
      </c>
      <c r="Q38" s="19">
        <f>'G&amp;D sammanställning'!$T$9*T38</f>
        <v>55.117551208615232</v>
      </c>
      <c r="R38" s="19" t="s">
        <v>9</v>
      </c>
      <c r="S38" s="19">
        <v>0.7</v>
      </c>
      <c r="T38" s="19">
        <v>3.25</v>
      </c>
      <c r="U38" s="15"/>
      <c r="V38" s="15"/>
      <c r="W38" s="18"/>
      <c r="AA38" s="12"/>
      <c r="AB38" s="26"/>
      <c r="AJ38" s="14" t="s">
        <v>131</v>
      </c>
      <c r="AK38" s="21"/>
      <c r="AL38" s="22"/>
      <c r="AM38" s="19">
        <f>'G&amp;D sammanställning'!$W$9*AP38</f>
        <v>6.3120739532851466</v>
      </c>
      <c r="AN38" s="19">
        <f>'G&amp;D sammanställning'!$W$9*AQ38</f>
        <v>25.642800435220909</v>
      </c>
      <c r="AO38" s="19" t="s">
        <v>9</v>
      </c>
      <c r="AP38" s="19">
        <v>0.8</v>
      </c>
      <c r="AQ38" s="19">
        <v>3.25</v>
      </c>
      <c r="AR38" s="15"/>
      <c r="AS38" s="15"/>
      <c r="AT38" s="18"/>
    </row>
    <row r="39" spans="2:46" x14ac:dyDescent="0.25">
      <c r="D39" s="12"/>
      <c r="E39" s="42"/>
      <c r="M39" s="14" t="s">
        <v>132</v>
      </c>
      <c r="N39" s="21"/>
      <c r="O39" s="22"/>
      <c r="P39" s="19">
        <f>100-SUM(P36:P38)</f>
        <v>69.162638468500603</v>
      </c>
      <c r="Q39" s="19">
        <f>100-SUM(Q36:Q38)</f>
        <v>31.359368368942256</v>
      </c>
      <c r="R39" s="19" t="s">
        <v>9</v>
      </c>
      <c r="S39" s="19"/>
      <c r="T39" s="15"/>
      <c r="U39" s="15"/>
      <c r="V39" s="15"/>
      <c r="W39" s="18"/>
      <c r="AA39" s="12"/>
      <c r="AB39" s="26"/>
      <c r="AJ39" s="14" t="s">
        <v>132</v>
      </c>
      <c r="AK39" s="21"/>
      <c r="AL39" s="22"/>
      <c r="AM39" s="19">
        <f>100-SUM(AM36:AM38)</f>
        <v>62.002330316677472</v>
      </c>
      <c r="AN39" s="19">
        <f>100-SUM(AN36:AN38)</f>
        <v>45.944700953119977</v>
      </c>
      <c r="AO39" s="19" t="s">
        <v>9</v>
      </c>
      <c r="AP39" s="19"/>
      <c r="AQ39" s="15"/>
      <c r="AR39" s="15"/>
      <c r="AS39" s="15"/>
      <c r="AT39" s="18"/>
    </row>
    <row r="40" spans="2:46" x14ac:dyDescent="0.25">
      <c r="D40" s="12"/>
      <c r="E40" s="42"/>
      <c r="J40" s="15"/>
      <c r="K40" s="21"/>
      <c r="L40" s="22"/>
      <c r="M40" s="103" t="s">
        <v>318</v>
      </c>
      <c r="N40" s="15"/>
      <c r="O40" s="19"/>
      <c r="P40" s="19"/>
      <c r="Q40" s="15"/>
      <c r="R40" s="15"/>
      <c r="S40" s="15"/>
      <c r="T40" s="15"/>
      <c r="U40" s="15"/>
      <c r="V40" s="15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3" t="s">
        <v>318</v>
      </c>
      <c r="AK40" s="15"/>
      <c r="AL40" s="19"/>
      <c r="AM40" s="19"/>
      <c r="AN40" s="15"/>
      <c r="AO40" s="15"/>
      <c r="AP40" s="15"/>
      <c r="AQ40" s="15"/>
      <c r="AR40" s="15"/>
      <c r="AS40" s="15"/>
      <c r="AT40" s="106"/>
    </row>
    <row r="41" spans="2:46" x14ac:dyDescent="0.25">
      <c r="D41" s="12"/>
      <c r="E41" s="42"/>
      <c r="J41" s="15"/>
      <c r="K41" s="21"/>
      <c r="L41" s="22"/>
      <c r="M41" s="104" t="s">
        <v>319</v>
      </c>
      <c r="N41" s="15"/>
      <c r="O41" s="19"/>
      <c r="P41" s="19">
        <v>89</v>
      </c>
      <c r="Q41" s="15"/>
      <c r="R41" s="108" t="s">
        <v>9</v>
      </c>
      <c r="S41" s="15"/>
      <c r="T41" s="15" t="s">
        <v>321</v>
      </c>
      <c r="U41" s="15"/>
      <c r="V41" s="15"/>
      <c r="W41" s="106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04" t="s">
        <v>319</v>
      </c>
      <c r="AK41" s="15"/>
      <c r="AL41" s="19"/>
      <c r="AM41" s="19">
        <v>14</v>
      </c>
      <c r="AN41" s="15"/>
      <c r="AO41" s="108" t="s">
        <v>9</v>
      </c>
      <c r="AP41" s="15"/>
      <c r="AQ41" s="15"/>
      <c r="AR41" s="15"/>
      <c r="AS41" s="15"/>
      <c r="AT41" s="106"/>
    </row>
    <row r="42" spans="2:46" x14ac:dyDescent="0.25">
      <c r="D42" s="12"/>
      <c r="E42" s="42"/>
      <c r="J42" s="15"/>
      <c r="K42" s="21"/>
      <c r="L42" s="22"/>
      <c r="M42" s="105" t="s">
        <v>320</v>
      </c>
      <c r="N42" s="47"/>
      <c r="O42" s="46"/>
      <c r="P42" s="46">
        <v>8.5</v>
      </c>
      <c r="Q42" s="47"/>
      <c r="R42" s="47" t="s">
        <v>9</v>
      </c>
      <c r="S42" s="47"/>
      <c r="T42" s="47" t="s">
        <v>321</v>
      </c>
      <c r="U42" s="47"/>
      <c r="V42" s="47"/>
      <c r="W42" s="107"/>
      <c r="X42" s="26"/>
      <c r="AA42" s="15"/>
      <c r="AB42" s="21"/>
      <c r="AC42" s="22"/>
      <c r="AD42" s="19"/>
      <c r="AE42" s="19"/>
      <c r="AF42" s="19"/>
      <c r="AG42" s="15"/>
      <c r="AH42" s="15"/>
      <c r="AI42" s="15"/>
      <c r="AJ42" s="105" t="s">
        <v>320</v>
      </c>
      <c r="AK42" s="47"/>
      <c r="AL42" s="46"/>
      <c r="AM42" s="46">
        <v>8.5</v>
      </c>
      <c r="AN42" s="47"/>
      <c r="AO42" s="47" t="s">
        <v>9</v>
      </c>
      <c r="AP42" s="47"/>
      <c r="AQ42" s="47"/>
      <c r="AR42" s="47"/>
      <c r="AS42" s="47"/>
      <c r="AT42" s="107"/>
    </row>
    <row r="43" spans="2:46" x14ac:dyDescent="0.25">
      <c r="D43" s="12"/>
      <c r="E43" s="42"/>
      <c r="J43" s="15"/>
      <c r="K43" s="21"/>
      <c r="L43" s="22"/>
      <c r="M43" s="19"/>
      <c r="O43" s="19"/>
      <c r="P43" s="19"/>
      <c r="Q43" s="15"/>
      <c r="R43" s="15"/>
      <c r="S43" s="15"/>
      <c r="T43" s="15"/>
      <c r="W43" s="12"/>
      <c r="X43" s="26"/>
      <c r="AA43" s="15"/>
      <c r="AB43" s="21"/>
      <c r="AC43" s="22"/>
      <c r="AD43" s="19"/>
      <c r="AE43" s="19"/>
      <c r="AF43" s="19"/>
      <c r="AG43" s="15"/>
      <c r="AH43" s="15"/>
      <c r="AI43" s="15"/>
      <c r="AJ43" s="15"/>
    </row>
    <row r="44" spans="2:46" x14ac:dyDescent="0.25">
      <c r="D44" s="6" t="s">
        <v>312</v>
      </c>
      <c r="F44" s="6" t="s">
        <v>313</v>
      </c>
      <c r="AH44" s="24"/>
      <c r="AI44" s="24"/>
    </row>
    <row r="45" spans="2:46" x14ac:dyDescent="0.25">
      <c r="B45" s="48" t="s">
        <v>136</v>
      </c>
      <c r="C45" s="48"/>
      <c r="D45" s="49" t="s">
        <v>278</v>
      </c>
      <c r="E45" s="49" t="s">
        <v>280</v>
      </c>
      <c r="F45" s="49" t="s">
        <v>138</v>
      </c>
      <c r="G45" s="49" t="s">
        <v>139</v>
      </c>
      <c r="H45" s="49" t="s">
        <v>340</v>
      </c>
      <c r="J45" s="48" t="s">
        <v>140</v>
      </c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81" t="s">
        <v>310</v>
      </c>
      <c r="C46" s="81"/>
      <c r="D46" s="50">
        <f>SUM(D5:E5)</f>
        <v>316238</v>
      </c>
      <c r="E46" s="102">
        <f>E5</f>
        <v>55025.411999999997</v>
      </c>
      <c r="F46" s="49"/>
      <c r="G46" s="49"/>
      <c r="H46" s="51">
        <f>(E46-D82*AD82/100)/(D82*AD82/100)</f>
        <v>1.3222904381312816E-16</v>
      </c>
      <c r="J46" s="48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24"/>
    </row>
    <row r="47" spans="2:46" x14ac:dyDescent="0.25">
      <c r="B47" s="81" t="s">
        <v>311</v>
      </c>
      <c r="C47" s="81"/>
      <c r="D47" s="50">
        <f>SUM(AA5:AB5)</f>
        <v>206514</v>
      </c>
      <c r="E47" s="102">
        <f>AB5</f>
        <v>72692.928000000014</v>
      </c>
      <c r="F47" s="49"/>
      <c r="G47" s="49"/>
      <c r="H47" s="51">
        <f>(E47-D83*AD83/100)/(D83*AD83/100)</f>
        <v>0</v>
      </c>
      <c r="J47" s="48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24"/>
    </row>
    <row r="48" spans="2:46" x14ac:dyDescent="0.25">
      <c r="B48" s="49" t="s">
        <v>141</v>
      </c>
      <c r="C48" s="49"/>
      <c r="D48" s="50">
        <f>SUM(D9:E9,AA9:AB9)</f>
        <v>462203.76921728684</v>
      </c>
      <c r="E48" s="102">
        <f>SUM(E9,AB9)</f>
        <v>85658.04919782767</v>
      </c>
      <c r="F48" s="51">
        <f>(D48-D84)/D84</f>
        <v>-1.0555058207473442E-2</v>
      </c>
      <c r="G48" s="49"/>
      <c r="H48" s="51">
        <f>(E48-D84*AD84/100)/(D84*AD84/100)</f>
        <v>-0.11841743142803166</v>
      </c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</row>
    <row r="49" spans="2:34" x14ac:dyDescent="0.25">
      <c r="B49" s="49" t="s">
        <v>142</v>
      </c>
      <c r="C49" s="49"/>
      <c r="D49" s="50">
        <f>SUM(D6:E8,AA6:AB8)</f>
        <v>491678.55122292211</v>
      </c>
      <c r="E49" s="102">
        <f>SUM(E6:E8,AB6:AB8)</f>
        <v>97115.906082827161</v>
      </c>
      <c r="F49" s="51">
        <f>(D49-D85)/D85</f>
        <v>-3.671093726031248E-3</v>
      </c>
      <c r="G49" s="49"/>
      <c r="H49" s="51">
        <f>(E49-D85*AD85/100)/(D85*AD85/100)</f>
        <v>4.0509755798961303E-3</v>
      </c>
      <c r="J49" s="52" t="s">
        <v>143</v>
      </c>
      <c r="K49" s="49"/>
      <c r="L49" s="49" t="s">
        <v>144</v>
      </c>
      <c r="M49" s="49" t="s">
        <v>145</v>
      </c>
      <c r="N49" s="49" t="s">
        <v>146</v>
      </c>
      <c r="O49" s="49" t="s">
        <v>147</v>
      </c>
      <c r="P49" s="49" t="s">
        <v>148</v>
      </c>
      <c r="Q49" s="49" t="s">
        <v>149</v>
      </c>
      <c r="R49" s="49" t="s">
        <v>150</v>
      </c>
      <c r="S49" s="49" t="s">
        <v>151</v>
      </c>
      <c r="T49" s="49" t="s">
        <v>152</v>
      </c>
      <c r="U49" s="49" t="s">
        <v>153</v>
      </c>
      <c r="V49" s="49" t="s">
        <v>154</v>
      </c>
      <c r="W49" s="49" t="s">
        <v>155</v>
      </c>
      <c r="X49" s="49" t="s">
        <v>156</v>
      </c>
      <c r="Y49" s="49" t="s">
        <v>157</v>
      </c>
      <c r="Z49" s="49" t="s">
        <v>158</v>
      </c>
      <c r="AA49" s="49" t="s">
        <v>159</v>
      </c>
      <c r="AB49" s="49" t="s">
        <v>160</v>
      </c>
      <c r="AC49" s="49" t="s">
        <v>161</v>
      </c>
      <c r="AD49" s="49" t="s">
        <v>162</v>
      </c>
      <c r="AE49" s="49" t="s">
        <v>163</v>
      </c>
      <c r="AF49" s="49" t="s">
        <v>164</v>
      </c>
      <c r="AG49" s="49" t="s">
        <v>165</v>
      </c>
      <c r="AH49" s="49"/>
    </row>
    <row r="50" spans="2:34" x14ac:dyDescent="0.25">
      <c r="B50" s="49" t="s">
        <v>166</v>
      </c>
      <c r="C50" s="49"/>
      <c r="D50" s="50">
        <f>SUM(F5:G5,AC5:AD5)</f>
        <v>143608.72911893675</v>
      </c>
      <c r="E50" s="102">
        <f>SUM(G5,AD5)</f>
        <v>33025.146960105732</v>
      </c>
      <c r="F50" s="51">
        <f>(D50/1000-SUM(D67:D68))/SUM(D67:D68)</f>
        <v>2.4946917630514015E-2</v>
      </c>
      <c r="G50" s="51">
        <f>(D50-'G&amp;D sammanställning'!R5)/'G&amp;D sammanställning'!R5</f>
        <v>8.606569480487368E-2</v>
      </c>
      <c r="H50" s="51">
        <f>(E50/1000-D69*AD69/100)/(D69*AD69/100)</f>
        <v>0.15897857237212781</v>
      </c>
      <c r="J50" s="49" t="s">
        <v>141</v>
      </c>
      <c r="K50" s="49"/>
      <c r="L50" s="53">
        <f t="shared" ref="L50:AG50" si="5">(($D$9/$D$5*D82+$AA$9/$AA$5*D83)-D84)/D84</f>
        <v>7.0567651108919369E-2</v>
      </c>
      <c r="M50" s="51">
        <f t="shared" si="5"/>
        <v>0.16428565553476779</v>
      </c>
      <c r="N50" s="51">
        <f t="shared" si="5"/>
        <v>6.29232968100773E-2</v>
      </c>
      <c r="O50" s="51">
        <f t="shared" si="5"/>
        <v>5.6432999688276822E-3</v>
      </c>
      <c r="P50" s="51">
        <f t="shared" si="5"/>
        <v>4.9940850253042152E-2</v>
      </c>
      <c r="Q50" s="51">
        <f t="shared" si="5"/>
        <v>8.9988832947862349E-2</v>
      </c>
      <c r="R50" s="51">
        <f t="shared" si="5"/>
        <v>4.801563688190278E-2</v>
      </c>
      <c r="S50" s="51">
        <f t="shared" si="5"/>
        <v>8.8346126923070672E-2</v>
      </c>
      <c r="T50" s="51">
        <f t="shared" si="5"/>
        <v>-1.3053013126565834E-3</v>
      </c>
      <c r="U50" s="51">
        <f t="shared" si="5"/>
        <v>6.6458475158377134E-2</v>
      </c>
      <c r="V50" s="51">
        <f t="shared" si="5"/>
        <v>5.1223825723131555E-2</v>
      </c>
      <c r="W50" s="51">
        <f t="shared" si="5"/>
        <v>9.0742762471561891E-2</v>
      </c>
      <c r="X50" s="51">
        <f t="shared" si="5"/>
        <v>4.2324397621382535E-2</v>
      </c>
      <c r="Y50" s="51">
        <f t="shared" si="5"/>
        <v>9.6527982947234178E-2</v>
      </c>
      <c r="Z50" s="51">
        <f t="shared" si="5"/>
        <v>-2.9235035751318694E-2</v>
      </c>
      <c r="AA50" s="51">
        <f t="shared" si="5"/>
        <v>-9.4370850386568381E-2</v>
      </c>
      <c r="AB50" s="51">
        <f t="shared" si="5"/>
        <v>9.4725383695888871E-2</v>
      </c>
      <c r="AC50" s="51">
        <f t="shared" si="5"/>
        <v>0.10801621466581503</v>
      </c>
      <c r="AD50" s="54">
        <f t="shared" si="5"/>
        <v>0.34294701056853988</v>
      </c>
      <c r="AE50" s="55">
        <f t="shared" si="5"/>
        <v>0.25019740980036187</v>
      </c>
      <c r="AF50" s="55">
        <f t="shared" si="5"/>
        <v>0.23028439730214209</v>
      </c>
      <c r="AG50" s="56">
        <f t="shared" si="5"/>
        <v>0.18970280918447885</v>
      </c>
      <c r="AH50" s="49"/>
    </row>
    <row r="51" spans="2:34" x14ac:dyDescent="0.25">
      <c r="B51" s="49" t="s">
        <v>167</v>
      </c>
      <c r="C51" s="49"/>
      <c r="D51" s="50">
        <f>SUM(F6:G6,AC6:AD6)</f>
        <v>56446.350672823188</v>
      </c>
      <c r="E51" s="102">
        <f>SUM(G6,AD6)</f>
        <v>13122.812032834503</v>
      </c>
      <c r="F51" s="51">
        <f>(D51/1000-D70)/D70</f>
        <v>-5.5259579018156563E-2</v>
      </c>
      <c r="G51" s="51">
        <f>(D51-'G&amp;D sammanställning'!R8)/'G&amp;D sammanställning'!R8</f>
        <v>6.2921961019156199E-3</v>
      </c>
      <c r="H51" s="51">
        <f>(E51/1000-D70*AD70/100)/(D70*AD70/100)</f>
        <v>0.13919089783196811</v>
      </c>
      <c r="J51" s="49" t="s">
        <v>142</v>
      </c>
      <c r="K51" s="49"/>
      <c r="L51" s="57">
        <f t="shared" ref="L51:AG51" si="6">((SUM($D$6:$D$8)/$D$5*D82+SUM($AA$6:$AA$8)/$AA$5*D83)-D85)/D85</f>
        <v>5.7015847620808531E-2</v>
      </c>
      <c r="M51" s="51">
        <f t="shared" si="6"/>
        <v>1.8568468348827829E-2</v>
      </c>
      <c r="N51" s="51">
        <f t="shared" si="6"/>
        <v>9.7547763854520395E-2</v>
      </c>
      <c r="O51" s="51">
        <f t="shared" si="6"/>
        <v>2.8900866787263398E-2</v>
      </c>
      <c r="P51" s="51">
        <f t="shared" si="6"/>
        <v>8.1608237862887387E-2</v>
      </c>
      <c r="Q51" s="51">
        <f t="shared" si="6"/>
        <v>5.2001124010337268E-2</v>
      </c>
      <c r="R51" s="51">
        <f t="shared" si="6"/>
        <v>1.976878604222624E-2</v>
      </c>
      <c r="S51" s="51">
        <f t="shared" si="6"/>
        <v>1.9189872738807099E-2</v>
      </c>
      <c r="T51" s="51">
        <f t="shared" si="6"/>
        <v>-6.9093568996367927E-2</v>
      </c>
      <c r="U51" s="51">
        <f t="shared" si="6"/>
        <v>-3.4570595683572842E-3</v>
      </c>
      <c r="V51" s="51">
        <f t="shared" si="6"/>
        <v>5.6529209241951477E-2</v>
      </c>
      <c r="W51" s="51">
        <f t="shared" si="6"/>
        <v>0.19860883665264267</v>
      </c>
      <c r="X51" s="51">
        <f t="shared" si="6"/>
        <v>1.7202000885598315E-2</v>
      </c>
      <c r="Y51" s="51">
        <f t="shared" si="6"/>
        <v>-6.470924544009618E-2</v>
      </c>
      <c r="Z51" s="51">
        <f t="shared" si="6"/>
        <v>-1.5516384765751141E-2</v>
      </c>
      <c r="AA51" s="51">
        <f t="shared" si="6"/>
        <v>0.15055915361707722</v>
      </c>
      <c r="AB51" s="51">
        <f t="shared" si="6"/>
        <v>0.18142526555154734</v>
      </c>
      <c r="AC51" s="51">
        <f t="shared" si="6"/>
        <v>9.1390741765444816E-2</v>
      </c>
      <c r="AD51" s="58">
        <f t="shared" si="6"/>
        <v>0.287907718299796</v>
      </c>
      <c r="AE51" s="59">
        <f t="shared" si="6"/>
        <v>0.23515247428657626</v>
      </c>
      <c r="AF51" s="59">
        <f t="shared" si="6"/>
        <v>0.1928830911729596</v>
      </c>
      <c r="AG51" s="60">
        <f t="shared" si="6"/>
        <v>0.19993280165636718</v>
      </c>
      <c r="AH51" s="49"/>
    </row>
    <row r="52" spans="2:34" x14ac:dyDescent="0.25">
      <c r="B52" s="49" t="s">
        <v>168</v>
      </c>
      <c r="C52" s="49"/>
      <c r="D52" s="50">
        <f>SUM(F7:G7,AC7:AD7)</f>
        <v>35750.513487991702</v>
      </c>
      <c r="E52" s="102">
        <f>SUM(G7,AD7)</f>
        <v>11903.310295425101</v>
      </c>
      <c r="F52" s="51">
        <f>(D52/1000-D72)/D72</f>
        <v>2.5839698364180839E-2</v>
      </c>
      <c r="G52" s="51">
        <f>(D52-'G&amp;D sammanställning'!R9)/'G&amp;D sammanställning'!R9</f>
        <v>8.9131190075543459E-2</v>
      </c>
      <c r="H52" s="51">
        <f>(E52/1000-D72*AD72/100)/(D72*AD72/100)</f>
        <v>0.25850553275751731</v>
      </c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61"/>
      <c r="AC52" s="61"/>
      <c r="AD52" s="61"/>
      <c r="AE52" s="62"/>
      <c r="AF52" s="62"/>
      <c r="AG52" s="61"/>
      <c r="AH52" s="49"/>
    </row>
    <row r="53" spans="2:34" x14ac:dyDescent="0.25">
      <c r="B53" s="49" t="s">
        <v>169</v>
      </c>
      <c r="C53" s="49"/>
      <c r="D53" s="50">
        <f>SUM(F8:G8,AC8:AD8)</f>
        <v>183108.40482051656</v>
      </c>
      <c r="E53" s="102">
        <f>SUM(G8,AD8)</f>
        <v>19474.403024226824</v>
      </c>
      <c r="F53" s="51">
        <f>(D53/1000-SUM(D73:D75))/SUM(D73:D75)</f>
        <v>2.5032588422589125E-2</v>
      </c>
      <c r="G53" s="51">
        <f>(D53-'G&amp;D sammanställning'!R10)/'G&amp;D sammanställning'!R10</f>
        <v>0.10643664488045215</v>
      </c>
      <c r="H53" s="51">
        <f>(E53/1000-D76*AD76/100)/(D76*AD76/100)</f>
        <v>0.26289563669704097</v>
      </c>
      <c r="J53" s="52" t="s">
        <v>170</v>
      </c>
      <c r="K53" s="49"/>
      <c r="L53" s="49" t="s">
        <v>171</v>
      </c>
      <c r="M53" s="49" t="s">
        <v>172</v>
      </c>
      <c r="N53" s="49" t="s">
        <v>173</v>
      </c>
      <c r="O53" s="49" t="s">
        <v>174</v>
      </c>
      <c r="P53" s="49" t="s">
        <v>175</v>
      </c>
      <c r="Q53" s="49" t="s">
        <v>176</v>
      </c>
      <c r="R53" s="49" t="s">
        <v>177</v>
      </c>
      <c r="S53" s="49" t="s">
        <v>178</v>
      </c>
      <c r="T53" s="49" t="s">
        <v>179</v>
      </c>
      <c r="U53" s="49"/>
      <c r="V53" s="49"/>
      <c r="W53" s="49"/>
      <c r="X53" s="49"/>
      <c r="Y53" s="49"/>
      <c r="Z53" s="49"/>
      <c r="AA53" s="49"/>
      <c r="AB53" s="61"/>
      <c r="AC53" s="61"/>
      <c r="AD53" s="61"/>
      <c r="AE53" s="62"/>
      <c r="AF53" s="62"/>
      <c r="AG53" s="61"/>
      <c r="AH53" s="49"/>
    </row>
    <row r="54" spans="2:34" x14ac:dyDescent="0.25">
      <c r="B54" s="49" t="s">
        <v>180</v>
      </c>
      <c r="C54" s="49"/>
      <c r="D54" s="50">
        <f>SUM(F9:G9,AC9:AD9)</f>
        <v>14282.176148333012</v>
      </c>
      <c r="E54" s="50">
        <f>SUM(G9,AD9)</f>
        <v>1357.8295048469042</v>
      </c>
      <c r="F54" s="51">
        <f>(D54/1000-D71)/D71</f>
        <v>-1.6604809616730918E-2</v>
      </c>
      <c r="G54" s="51">
        <f>(D54-'G&amp;D sammanställning'!R13)/'G&amp;D sammanställning'!R13</f>
        <v>1.7147588440825735E-2</v>
      </c>
      <c r="H54" s="51">
        <f>(E54/1000-D71*AD71/100)/(D71*AD71/100)</f>
        <v>0.21104877819764517</v>
      </c>
      <c r="J54" s="49" t="s">
        <v>141</v>
      </c>
      <c r="K54" s="49"/>
      <c r="L54" s="53">
        <f t="shared" ref="L54:T54" si="7">(($D$9/$D$5*D91+$AA$9/$AA$5*D92)-D89)/D89</f>
        <v>4.6975913889400971E-2</v>
      </c>
      <c r="M54" s="51">
        <f t="shared" si="7"/>
        <v>4.3416543430795845E-2</v>
      </c>
      <c r="N54" s="51">
        <f t="shared" si="7"/>
        <v>-2.9967408123502706E-2</v>
      </c>
      <c r="O54" s="51">
        <f t="shared" si="7"/>
        <v>7.7260932895614295E-2</v>
      </c>
      <c r="P54" s="51">
        <f t="shared" si="7"/>
        <v>-3.1761334406699412E-2</v>
      </c>
      <c r="Q54" s="51">
        <f t="shared" si="7"/>
        <v>-1.5111248501790358E-2</v>
      </c>
      <c r="R54" s="54">
        <f t="shared" si="7"/>
        <v>0.12215981762728687</v>
      </c>
      <c r="S54" s="55">
        <f t="shared" si="7"/>
        <v>0.20962147916435675</v>
      </c>
      <c r="T54" s="56">
        <f t="shared" si="7"/>
        <v>0.22950972680896922</v>
      </c>
      <c r="U54" s="49"/>
      <c r="V54" s="49"/>
      <c r="W54" s="49"/>
      <c r="X54" s="49"/>
      <c r="Y54" s="49"/>
      <c r="Z54" s="49"/>
      <c r="AA54" s="63" t="s">
        <v>181</v>
      </c>
      <c r="AB54" s="61"/>
      <c r="AC54" s="61"/>
      <c r="AD54" s="62"/>
      <c r="AE54" s="62"/>
      <c r="AF54" s="61"/>
      <c r="AG54" s="62"/>
      <c r="AH54" s="49"/>
    </row>
    <row r="55" spans="2:34" x14ac:dyDescent="0.25">
      <c r="B55" s="49" t="s">
        <v>182</v>
      </c>
      <c r="C55" s="49"/>
      <c r="D55" s="50">
        <f>SUM(D51:D54)</f>
        <v>289587.44512966444</v>
      </c>
      <c r="E55" s="50">
        <f>SUM(G6:G9,AD6:AD9)</f>
        <v>45858.354857333339</v>
      </c>
      <c r="F55" s="51">
        <f>(D55/1000-SUM(D70:D75))/SUM(D70:D75)</f>
        <v>6.3575821685736165E-3</v>
      </c>
      <c r="G55" s="51">
        <f>(D55-SUM('G&amp;D sammanställning'!R8:R10,'G&amp;D sammanställning'!R13))/SUM('G&amp;D sammanställning'!R8:R10,'G&amp;D sammanställning'!R13)</f>
        <v>7.8725190776739701E-2</v>
      </c>
      <c r="H55" s="51">
        <f>(E55/1000-D77*AD77/100)/(D77*AD77/100)</f>
        <v>0.22225900319868072</v>
      </c>
      <c r="J55" s="49" t="s">
        <v>142</v>
      </c>
      <c r="K55" s="49"/>
      <c r="L55" s="57">
        <f t="shared" ref="L55:T55" si="8">((SUM($D$6:$D$8)/$D$5*D91+SUM($AA$6:$AA$8)/$AA$5*D92)-D93)/D93</f>
        <v>0.13484216898424295</v>
      </c>
      <c r="M55" s="51">
        <f t="shared" si="8"/>
        <v>0.30429783000181515</v>
      </c>
      <c r="N55" s="51">
        <f t="shared" si="8"/>
        <v>7.1929309018960011E-2</v>
      </c>
      <c r="O55" s="51">
        <f t="shared" si="8"/>
        <v>0.13343925770862283</v>
      </c>
      <c r="P55" s="51">
        <f t="shared" si="8"/>
        <v>9.4603601705124801E-2</v>
      </c>
      <c r="Q55" s="51">
        <f t="shared" si="8"/>
        <v>8.2168005024971319E-2</v>
      </c>
      <c r="R55" s="58">
        <f t="shared" si="8"/>
        <v>0.16958509748713355</v>
      </c>
      <c r="S55" s="59">
        <f t="shared" si="8"/>
        <v>0.24192645201796639</v>
      </c>
      <c r="T55" s="60">
        <f t="shared" si="8"/>
        <v>0.22217041387546027</v>
      </c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</row>
    <row r="56" spans="2:34" x14ac:dyDescent="0.25">
      <c r="B56" s="49" t="s">
        <v>183</v>
      </c>
      <c r="C56" s="49"/>
      <c r="D56" s="50">
        <f>SUM(D50:D54)</f>
        <v>433196.17424860119</v>
      </c>
      <c r="E56" s="50">
        <f>SUM(G5:G9,AD5:AD9)</f>
        <v>78883.501817439072</v>
      </c>
      <c r="F56" s="51">
        <f>(D56/1000-D78)/D78</f>
        <v>1.2444958333115314E-2</v>
      </c>
      <c r="G56" s="51">
        <f>(D56-SUM('G&amp;D sammanställning'!R5,'G&amp;D sammanställning'!R8:R10,'G&amp;D sammanställning'!R13))/SUM('G&amp;D sammanställning'!R5,'G&amp;D sammanställning'!R8:R10,'G&amp;D sammanställning'!R13)</f>
        <v>8.1147619504058355E-2</v>
      </c>
      <c r="H56" s="51">
        <f>(E56/1000-D78*AD78/100)/(D78*AD78/100)</f>
        <v>0.19494406794260427</v>
      </c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</row>
    <row r="58" spans="2:34" x14ac:dyDescent="0.25">
      <c r="B58" s="6" t="s">
        <v>184</v>
      </c>
    </row>
    <row r="59" spans="2:34" x14ac:dyDescent="0.25">
      <c r="D59" s="49" t="s">
        <v>137</v>
      </c>
      <c r="E59" t="s">
        <v>144</v>
      </c>
      <c r="F59" t="s">
        <v>145</v>
      </c>
      <c r="G59" t="s">
        <v>146</v>
      </c>
      <c r="H59" t="s">
        <v>147</v>
      </c>
      <c r="I59" t="s">
        <v>148</v>
      </c>
      <c r="J59" t="s">
        <v>149</v>
      </c>
      <c r="K59" t="s">
        <v>150</v>
      </c>
      <c r="L59" t="s">
        <v>151</v>
      </c>
      <c r="M59" t="s">
        <v>152</v>
      </c>
      <c r="N59" t="s">
        <v>153</v>
      </c>
      <c r="O59" t="s">
        <v>154</v>
      </c>
      <c r="P59" t="s">
        <v>155</v>
      </c>
      <c r="Q59" t="s">
        <v>156</v>
      </c>
      <c r="R59" t="s">
        <v>157</v>
      </c>
      <c r="S59" t="s">
        <v>158</v>
      </c>
      <c r="T59" t="s">
        <v>159</v>
      </c>
      <c r="U59" t="s">
        <v>160</v>
      </c>
      <c r="V59" t="s">
        <v>161</v>
      </c>
      <c r="W59" t="s">
        <v>162</v>
      </c>
      <c r="X59" t="s">
        <v>163</v>
      </c>
      <c r="Y59" t="s">
        <v>164</v>
      </c>
      <c r="Z59" t="s">
        <v>165</v>
      </c>
    </row>
    <row r="60" spans="2:34" x14ac:dyDescent="0.25">
      <c r="B60" t="s">
        <v>185</v>
      </c>
      <c r="D60" s="49">
        <f>E5/SUM(D5:E5)*100</f>
        <v>17.399999999999999</v>
      </c>
      <c r="E60">
        <v>17.399999999999999</v>
      </c>
      <c r="F60">
        <v>23.6</v>
      </c>
      <c r="G60">
        <v>34.799999999999997</v>
      </c>
      <c r="H60">
        <v>27.4</v>
      </c>
      <c r="I60">
        <v>23.8</v>
      </c>
      <c r="J60">
        <v>18.8</v>
      </c>
      <c r="K60">
        <v>9.4</v>
      </c>
      <c r="L60">
        <v>4.5999999999999996</v>
      </c>
      <c r="M60">
        <v>6.6</v>
      </c>
      <c r="N60">
        <v>11</v>
      </c>
      <c r="O60">
        <v>12.6</v>
      </c>
      <c r="P60">
        <v>8.4</v>
      </c>
      <c r="Q60">
        <v>25</v>
      </c>
      <c r="R60">
        <v>32</v>
      </c>
      <c r="S60">
        <v>37.799999999999997</v>
      </c>
      <c r="T60">
        <v>34.6</v>
      </c>
      <c r="U60">
        <v>31.6</v>
      </c>
      <c r="V60">
        <v>24.8</v>
      </c>
      <c r="W60">
        <v>11</v>
      </c>
      <c r="X60">
        <v>18.8</v>
      </c>
      <c r="Y60">
        <v>12.2</v>
      </c>
      <c r="Z60">
        <v>9.4</v>
      </c>
      <c r="AF60" t="s">
        <v>324</v>
      </c>
    </row>
    <row r="61" spans="2:34" x14ac:dyDescent="0.25">
      <c r="B61" t="s">
        <v>186</v>
      </c>
      <c r="D61" s="64">
        <f>AB5/SUM(AA5:AB5)*100</f>
        <v>35.20000000000001</v>
      </c>
      <c r="E61">
        <v>35.200000000000003</v>
      </c>
      <c r="F61">
        <v>38.6</v>
      </c>
      <c r="G61">
        <v>35</v>
      </c>
      <c r="H61">
        <v>54</v>
      </c>
      <c r="I61">
        <v>49</v>
      </c>
      <c r="J61">
        <v>26.4</v>
      </c>
      <c r="K61">
        <v>22.2</v>
      </c>
      <c r="L61">
        <v>22.6</v>
      </c>
      <c r="M61">
        <v>32.4</v>
      </c>
      <c r="N61">
        <v>8.1999999999999993</v>
      </c>
      <c r="O61">
        <v>13.8</v>
      </c>
      <c r="P61">
        <v>20.8</v>
      </c>
      <c r="Q61">
        <v>48.8</v>
      </c>
      <c r="R61">
        <v>57</v>
      </c>
      <c r="S61">
        <v>45.8</v>
      </c>
      <c r="T61">
        <v>50.2</v>
      </c>
      <c r="U61">
        <v>50</v>
      </c>
      <c r="V61">
        <v>49.4</v>
      </c>
      <c r="W61">
        <v>50.2</v>
      </c>
      <c r="X61">
        <v>61.4</v>
      </c>
      <c r="Y61">
        <v>36</v>
      </c>
      <c r="Z61">
        <v>40.4</v>
      </c>
      <c r="AF61" t="s">
        <v>325</v>
      </c>
    </row>
    <row r="62" spans="2:34" x14ac:dyDescent="0.25">
      <c r="B62" t="s">
        <v>142</v>
      </c>
      <c r="D62" s="64">
        <f>SUM(E6:E8,AB6:AB8)/SUM(D6:E8,AA6:AB8)*100</f>
        <v>19.751910235107204</v>
      </c>
      <c r="E62">
        <v>19.600000000000001</v>
      </c>
      <c r="F62">
        <v>31.4</v>
      </c>
      <c r="G62">
        <v>30.2</v>
      </c>
      <c r="H62">
        <v>28.4</v>
      </c>
      <c r="I62">
        <v>26.4</v>
      </c>
      <c r="J62">
        <v>16.2</v>
      </c>
      <c r="K62">
        <v>11.8</v>
      </c>
      <c r="L62">
        <v>7.4</v>
      </c>
      <c r="M62">
        <v>10</v>
      </c>
      <c r="N62">
        <v>6.6</v>
      </c>
      <c r="O62">
        <v>10.6</v>
      </c>
      <c r="P62">
        <v>10.199999999999999</v>
      </c>
      <c r="Q62">
        <v>26.8</v>
      </c>
      <c r="R62">
        <v>43.6</v>
      </c>
      <c r="S62">
        <v>34</v>
      </c>
      <c r="T62">
        <v>35.799999999999997</v>
      </c>
      <c r="U62">
        <v>30.2</v>
      </c>
      <c r="V62">
        <v>30.6</v>
      </c>
      <c r="W62">
        <v>23.8</v>
      </c>
      <c r="X62">
        <v>30.6</v>
      </c>
      <c r="Y62">
        <v>13.2</v>
      </c>
      <c r="Z62">
        <v>13.2</v>
      </c>
    </row>
    <row r="63" spans="2:34" x14ac:dyDescent="0.25">
      <c r="B63" t="s">
        <v>141</v>
      </c>
      <c r="D63" s="64">
        <f>SUM(E9,AB9)/SUM(D9:E9,AA9:AB9)*100</f>
        <v>18.532529352342632</v>
      </c>
      <c r="E63">
        <v>20.8</v>
      </c>
      <c r="F63">
        <v>31.6</v>
      </c>
      <c r="G63">
        <v>27.4</v>
      </c>
      <c r="H63">
        <v>32</v>
      </c>
      <c r="I63">
        <v>28.6</v>
      </c>
      <c r="J63">
        <v>19.2</v>
      </c>
      <c r="K63">
        <v>14.2</v>
      </c>
      <c r="L63">
        <v>8.4</v>
      </c>
      <c r="M63">
        <v>11.4</v>
      </c>
      <c r="N63">
        <v>7.8</v>
      </c>
      <c r="O63">
        <v>10.8</v>
      </c>
      <c r="P63">
        <v>9.6</v>
      </c>
      <c r="Q63">
        <v>28.2</v>
      </c>
      <c r="R63">
        <v>43.4</v>
      </c>
      <c r="S63">
        <v>30.8</v>
      </c>
      <c r="T63">
        <v>29.2</v>
      </c>
      <c r="U63">
        <v>30.8</v>
      </c>
      <c r="V63">
        <v>30.8</v>
      </c>
      <c r="W63">
        <v>25.6</v>
      </c>
      <c r="X63">
        <v>35.200000000000003</v>
      </c>
      <c r="Y63">
        <v>13.4</v>
      </c>
      <c r="Z63">
        <v>12</v>
      </c>
    </row>
    <row r="65" spans="2:31" x14ac:dyDescent="0.25">
      <c r="B65" s="6" t="s">
        <v>187</v>
      </c>
    </row>
    <row r="66" spans="2:31" x14ac:dyDescent="0.25">
      <c r="D66" t="s">
        <v>144</v>
      </c>
      <c r="E66" t="s">
        <v>145</v>
      </c>
      <c r="F66" t="s">
        <v>146</v>
      </c>
      <c r="G66" t="s">
        <v>147</v>
      </c>
      <c r="H66" t="s">
        <v>148</v>
      </c>
      <c r="I66" t="s">
        <v>149</v>
      </c>
      <c r="J66" t="s">
        <v>150</v>
      </c>
      <c r="K66" t="s">
        <v>151</v>
      </c>
      <c r="L66" t="s">
        <v>152</v>
      </c>
      <c r="M66" t="s">
        <v>153</v>
      </c>
      <c r="N66" t="s">
        <v>154</v>
      </c>
      <c r="O66" t="s">
        <v>155</v>
      </c>
      <c r="P66" t="s">
        <v>156</v>
      </c>
      <c r="Q66" t="s">
        <v>157</v>
      </c>
      <c r="R66" t="s">
        <v>158</v>
      </c>
      <c r="S66" t="s">
        <v>159</v>
      </c>
      <c r="T66" t="s">
        <v>160</v>
      </c>
      <c r="U66" t="s">
        <v>161</v>
      </c>
      <c r="V66" t="s">
        <v>162</v>
      </c>
      <c r="W66" t="s">
        <v>163</v>
      </c>
      <c r="X66" t="s">
        <v>164</v>
      </c>
      <c r="Y66" t="s">
        <v>165</v>
      </c>
      <c r="Z66" t="s">
        <v>188</v>
      </c>
      <c r="AC66" s="6" t="s">
        <v>314</v>
      </c>
    </row>
    <row r="67" spans="2:31" x14ac:dyDescent="0.25">
      <c r="B67" t="s">
        <v>189</v>
      </c>
      <c r="D67" s="2">
        <v>35.743333333333332</v>
      </c>
      <c r="E67" s="2">
        <v>0.28000000000000003</v>
      </c>
      <c r="F67" s="2">
        <v>0.89666666666666661</v>
      </c>
      <c r="G67" s="2">
        <v>1.0833333333333333</v>
      </c>
      <c r="H67" s="2">
        <v>2.8699999999999997</v>
      </c>
      <c r="I67" s="2">
        <v>3.2833333333333337</v>
      </c>
      <c r="J67" s="2">
        <v>1.7300000000000002</v>
      </c>
      <c r="K67" s="2">
        <v>4.2733333333333334</v>
      </c>
      <c r="L67" s="2">
        <v>1.07</v>
      </c>
      <c r="M67" s="2">
        <v>0.54666666666666675</v>
      </c>
      <c r="N67" s="2">
        <v>5.2333333333333334</v>
      </c>
      <c r="O67" s="2">
        <v>2.6466666666666665</v>
      </c>
      <c r="P67" s="2">
        <v>6.7366666666666672</v>
      </c>
      <c r="Q67" s="2">
        <v>1.0266666666666666</v>
      </c>
      <c r="R67" s="2">
        <v>0.72333333333333327</v>
      </c>
      <c r="S67" s="2">
        <v>0.43</v>
      </c>
      <c r="T67" s="2">
        <v>0.51</v>
      </c>
      <c r="U67" s="2">
        <v>0.81666666666666676</v>
      </c>
      <c r="V67" s="2">
        <v>0.5033333333333333</v>
      </c>
      <c r="W67" s="2">
        <v>0.47333333333333333</v>
      </c>
      <c r="X67" s="2">
        <v>0.37666666666666671</v>
      </c>
      <c r="Y67" s="2">
        <v>0.10333333333333333</v>
      </c>
      <c r="Z67" s="2">
        <v>0.13999999999999999</v>
      </c>
      <c r="AC67" t="s">
        <v>189</v>
      </c>
      <c r="AD67">
        <v>18.459999999999997</v>
      </c>
      <c r="AE67" s="13">
        <f>D67*AD67/100</f>
        <v>6.5982193333333319</v>
      </c>
    </row>
    <row r="68" spans="2:31" x14ac:dyDescent="0.25">
      <c r="B68" t="s">
        <v>190</v>
      </c>
      <c r="D68" s="2">
        <v>104.37</v>
      </c>
      <c r="E68" s="2">
        <v>1.1766666666666667</v>
      </c>
      <c r="F68" s="2">
        <v>3.2466666666666666</v>
      </c>
      <c r="G68" s="2">
        <v>2.9333333333333336</v>
      </c>
      <c r="H68" s="2">
        <v>7.663333333333334</v>
      </c>
      <c r="I68" s="2">
        <v>8.9266666666666659</v>
      </c>
      <c r="J68" s="2">
        <v>4.0333333333333341</v>
      </c>
      <c r="K68" s="2">
        <v>10.626666666666667</v>
      </c>
      <c r="L68" s="2">
        <v>4.416666666666667</v>
      </c>
      <c r="M68" s="2">
        <v>1.6266666666666667</v>
      </c>
      <c r="N68" s="2">
        <v>13.51</v>
      </c>
      <c r="O68" s="2">
        <v>6.5766666666666671</v>
      </c>
      <c r="P68" s="2">
        <v>17.593333333333334</v>
      </c>
      <c r="Q68" s="2">
        <v>3.0033333333333334</v>
      </c>
      <c r="R68" s="2">
        <v>2.1933333333333334</v>
      </c>
      <c r="S68" s="2">
        <v>1.3266666666666667</v>
      </c>
      <c r="T68" s="2">
        <v>2.3966666666666665</v>
      </c>
      <c r="U68" s="2">
        <v>3.1666666666666665</v>
      </c>
      <c r="V68" s="2">
        <v>2.3166666666666664</v>
      </c>
      <c r="W68" s="2">
        <v>2.3033333333333332</v>
      </c>
      <c r="X68" s="2">
        <v>3.3966666666666669</v>
      </c>
      <c r="Y68" s="2">
        <v>1.4166666666666667</v>
      </c>
      <c r="Z68" s="2">
        <v>0.52333333333333332</v>
      </c>
      <c r="AC68" t="s">
        <v>190</v>
      </c>
      <c r="AD68">
        <v>20.98</v>
      </c>
      <c r="AE68" s="13">
        <f t="shared" ref="AE68:AE78" si="9">D68*AD68/100</f>
        <v>21.896826000000001</v>
      </c>
    </row>
    <row r="69" spans="2:31" x14ac:dyDescent="0.25">
      <c r="B69" t="s">
        <v>316</v>
      </c>
      <c r="D69" s="2">
        <f>SUM(D67:D68)</f>
        <v>140.11333333333334</v>
      </c>
      <c r="E69" s="2">
        <f t="shared" ref="E69:Z69" si="10">SUM(E67:E68)</f>
        <v>1.4566666666666668</v>
      </c>
      <c r="F69" s="2">
        <f t="shared" si="10"/>
        <v>4.1433333333333335</v>
      </c>
      <c r="G69" s="2">
        <f t="shared" si="10"/>
        <v>4.0166666666666666</v>
      </c>
      <c r="H69" s="2">
        <f t="shared" si="10"/>
        <v>10.533333333333333</v>
      </c>
      <c r="I69" s="2">
        <f t="shared" si="10"/>
        <v>12.209999999999999</v>
      </c>
      <c r="J69" s="2">
        <f t="shared" si="10"/>
        <v>5.7633333333333345</v>
      </c>
      <c r="K69" s="2">
        <f t="shared" si="10"/>
        <v>14.9</v>
      </c>
      <c r="L69" s="2">
        <f t="shared" si="10"/>
        <v>5.4866666666666672</v>
      </c>
      <c r="M69" s="2">
        <f t="shared" si="10"/>
        <v>2.1733333333333333</v>
      </c>
      <c r="N69" s="2">
        <f t="shared" si="10"/>
        <v>18.743333333333332</v>
      </c>
      <c r="O69" s="2">
        <f t="shared" si="10"/>
        <v>9.2233333333333327</v>
      </c>
      <c r="P69" s="2">
        <f t="shared" si="10"/>
        <v>24.330000000000002</v>
      </c>
      <c r="Q69" s="2">
        <f t="shared" si="10"/>
        <v>4.03</v>
      </c>
      <c r="R69" s="2">
        <f t="shared" si="10"/>
        <v>2.9166666666666665</v>
      </c>
      <c r="S69" s="2">
        <f t="shared" si="10"/>
        <v>1.7566666666666666</v>
      </c>
      <c r="T69" s="2">
        <f t="shared" si="10"/>
        <v>2.9066666666666663</v>
      </c>
      <c r="U69" s="2">
        <f t="shared" si="10"/>
        <v>3.9833333333333334</v>
      </c>
      <c r="V69" s="2">
        <f t="shared" si="10"/>
        <v>2.82</v>
      </c>
      <c r="W69" s="2">
        <f t="shared" si="10"/>
        <v>2.7766666666666664</v>
      </c>
      <c r="X69" s="2">
        <f t="shared" si="10"/>
        <v>3.7733333333333334</v>
      </c>
      <c r="Y69" s="2">
        <f t="shared" si="10"/>
        <v>1.52</v>
      </c>
      <c r="Z69" s="2">
        <f t="shared" si="10"/>
        <v>0.66333333333333333</v>
      </c>
      <c r="AC69" t="s">
        <v>316</v>
      </c>
      <c r="AD69" s="13">
        <f>SUMPRODUCT(D67:D68,AD67:AD68)/D69</f>
        <v>20.337140410144166</v>
      </c>
      <c r="AE69" s="13">
        <f t="shared" si="9"/>
        <v>28.495045333333334</v>
      </c>
    </row>
    <row r="70" spans="2:31" x14ac:dyDescent="0.25">
      <c r="B70" t="s">
        <v>191</v>
      </c>
      <c r="D70" s="2">
        <v>59.748000000000005</v>
      </c>
      <c r="E70" s="2">
        <v>0.81400000000000006</v>
      </c>
      <c r="F70" s="2">
        <v>1.514</v>
      </c>
      <c r="G70" s="2">
        <v>2.012</v>
      </c>
      <c r="H70" s="2">
        <v>3.774</v>
      </c>
      <c r="I70" s="2">
        <v>4.6639999999999997</v>
      </c>
      <c r="J70" s="2">
        <v>2.3920000000000003</v>
      </c>
      <c r="K70" s="2">
        <v>6.0519999999999996</v>
      </c>
      <c r="L70" s="2">
        <v>3.0759999999999996</v>
      </c>
      <c r="M70" s="2">
        <v>1.288</v>
      </c>
      <c r="N70" s="2">
        <v>10.8</v>
      </c>
      <c r="O70" s="2">
        <v>3.6740000000000004</v>
      </c>
      <c r="P70" s="2">
        <v>10.156000000000001</v>
      </c>
      <c r="Q70" s="2">
        <v>1.9739999999999998</v>
      </c>
      <c r="R70" s="2">
        <v>1.3880000000000001</v>
      </c>
      <c r="S70" s="2">
        <v>0.68600000000000005</v>
      </c>
      <c r="T70" s="2">
        <v>1.002</v>
      </c>
      <c r="U70" s="2">
        <v>1.22</v>
      </c>
      <c r="V70" s="2">
        <v>0.68399999999999994</v>
      </c>
      <c r="W70" s="2">
        <v>0.77</v>
      </c>
      <c r="X70" s="2">
        <v>1.024</v>
      </c>
      <c r="Y70" s="2">
        <v>0.44600000000000001</v>
      </c>
      <c r="Z70" s="2">
        <v>0.34600000000000003</v>
      </c>
      <c r="AA70" s="26"/>
      <c r="AC70" t="s">
        <v>191</v>
      </c>
      <c r="AD70">
        <v>19.279999999999998</v>
      </c>
      <c r="AE70" s="13">
        <f t="shared" si="9"/>
        <v>11.5194144</v>
      </c>
    </row>
    <row r="71" spans="2:31" x14ac:dyDescent="0.25">
      <c r="B71" t="s">
        <v>192</v>
      </c>
      <c r="D71" s="2">
        <v>14.523333333333333</v>
      </c>
      <c r="E71" s="2">
        <v>0.12666666666666668</v>
      </c>
      <c r="F71" s="2">
        <v>1.68</v>
      </c>
      <c r="G71" s="2">
        <v>0.22333333333333336</v>
      </c>
      <c r="H71" s="2">
        <v>0.20666666666666667</v>
      </c>
      <c r="I71" s="2">
        <v>0.38666666666666671</v>
      </c>
      <c r="J71" s="2">
        <v>8.3333333333333329E-2</v>
      </c>
      <c r="K71" s="2">
        <v>0.08</v>
      </c>
      <c r="L71" s="2">
        <v>0.01</v>
      </c>
      <c r="M71" s="2">
        <v>8.3333333333333329E-2</v>
      </c>
      <c r="N71" s="2">
        <v>3.22</v>
      </c>
      <c r="O71" s="2">
        <v>0.87333333333333341</v>
      </c>
      <c r="P71" s="2">
        <v>4.0333333333333323</v>
      </c>
      <c r="Q71" s="2">
        <v>8.666666666666667E-2</v>
      </c>
      <c r="R71" s="2">
        <v>0.3</v>
      </c>
      <c r="S71" s="2">
        <v>1.9999999999999998</v>
      </c>
      <c r="T71" s="2">
        <v>0.23666666666666666</v>
      </c>
      <c r="U71" s="2">
        <v>0.27333333333333337</v>
      </c>
      <c r="V71" s="2">
        <v>0.10666666666666667</v>
      </c>
      <c r="W71" s="2">
        <v>0.3</v>
      </c>
      <c r="X71" s="2">
        <v>6.3333333333333339E-2</v>
      </c>
      <c r="Y71" s="2">
        <v>7.3333333333333334E-2</v>
      </c>
      <c r="Z71" s="2">
        <v>9.0000000000000011E-2</v>
      </c>
      <c r="AA71" s="26"/>
      <c r="AC71" t="s">
        <v>192</v>
      </c>
      <c r="AD71">
        <v>7.7200000000000006</v>
      </c>
      <c r="AE71" s="13">
        <f t="shared" si="9"/>
        <v>1.1212013333333335</v>
      </c>
    </row>
    <row r="72" spans="2:31" x14ac:dyDescent="0.25">
      <c r="B72" t="s">
        <v>193</v>
      </c>
      <c r="D72" s="2">
        <v>34.85</v>
      </c>
      <c r="E72" s="2">
        <v>0.69399999999999995</v>
      </c>
      <c r="F72" s="2">
        <v>1.754</v>
      </c>
      <c r="G72" s="2">
        <v>1.006</v>
      </c>
      <c r="H72" s="2">
        <v>2.6080000000000001</v>
      </c>
      <c r="I72" s="2">
        <v>3.6</v>
      </c>
      <c r="J72" s="2">
        <v>2.0640000000000001</v>
      </c>
      <c r="K72" s="2">
        <v>4.2180000000000009</v>
      </c>
      <c r="L72" s="2">
        <v>1.024</v>
      </c>
      <c r="M72" s="2">
        <v>0.35200000000000004</v>
      </c>
      <c r="N72" s="2">
        <v>3.1059999999999999</v>
      </c>
      <c r="O72" s="2">
        <v>1.3479999999999999</v>
      </c>
      <c r="P72" s="2">
        <v>6.9460000000000006</v>
      </c>
      <c r="Q72" s="2">
        <v>1.0979999999999999</v>
      </c>
      <c r="R72" s="2">
        <v>0.76999999999999991</v>
      </c>
      <c r="S72" s="2">
        <v>0.40600000000000003</v>
      </c>
      <c r="T72" s="2">
        <v>0.42600000000000005</v>
      </c>
      <c r="U72" s="2">
        <v>1.0880000000000001</v>
      </c>
      <c r="V72" s="2">
        <v>0.29800000000000004</v>
      </c>
      <c r="W72" s="2">
        <v>0.748</v>
      </c>
      <c r="X72" s="2">
        <v>0.82599999999999996</v>
      </c>
      <c r="Y72" s="2">
        <v>0.28799999999999998</v>
      </c>
      <c r="Z72" s="2">
        <v>0.17800000000000002</v>
      </c>
      <c r="AA72" s="26"/>
      <c r="AC72" t="s">
        <v>193</v>
      </c>
      <c r="AD72">
        <v>27.140000000000004</v>
      </c>
      <c r="AE72" s="13">
        <f t="shared" si="9"/>
        <v>9.4582900000000016</v>
      </c>
    </row>
    <row r="73" spans="2:31" x14ac:dyDescent="0.25">
      <c r="B73" t="s">
        <v>194</v>
      </c>
      <c r="D73" s="2">
        <v>154.28666666666666</v>
      </c>
      <c r="E73" s="2">
        <v>1.0466666666666666</v>
      </c>
      <c r="F73" s="2">
        <v>2.91</v>
      </c>
      <c r="G73" s="2">
        <v>5.7266666666666666</v>
      </c>
      <c r="H73" s="2">
        <v>11.753333333333332</v>
      </c>
      <c r="I73" s="2">
        <v>11</v>
      </c>
      <c r="J73" s="2">
        <v>5.5966666666666667</v>
      </c>
      <c r="K73" s="2">
        <v>15.916666666666666</v>
      </c>
      <c r="L73" s="2">
        <v>9.7233333333333345</v>
      </c>
      <c r="M73" s="2">
        <v>3.6700000000000004</v>
      </c>
      <c r="N73" s="2">
        <v>25.656666666666666</v>
      </c>
      <c r="O73" s="2">
        <v>9.6866666666666656</v>
      </c>
      <c r="P73" s="2">
        <v>24.626666666666665</v>
      </c>
      <c r="Q73" s="2">
        <v>4.91</v>
      </c>
      <c r="R73" s="2">
        <v>4.4866666666666672</v>
      </c>
      <c r="S73" s="2">
        <v>2.0633333333333335</v>
      </c>
      <c r="T73" s="2">
        <v>3.9133333333333336</v>
      </c>
      <c r="U73" s="2">
        <v>4.3433333333333337</v>
      </c>
      <c r="V73" s="2">
        <v>1.6266666666666667</v>
      </c>
      <c r="W73" s="2">
        <v>1.5533333333333335</v>
      </c>
      <c r="X73" s="2">
        <v>2.3800000000000003</v>
      </c>
      <c r="Y73" s="2">
        <v>1.3333333333333333</v>
      </c>
      <c r="Z73" s="2">
        <v>0.36333333333333334</v>
      </c>
      <c r="AA73" s="26"/>
      <c r="AC73" t="s">
        <v>194</v>
      </c>
      <c r="AD73">
        <v>7.7200000000000006</v>
      </c>
      <c r="AE73" s="13">
        <f t="shared" si="9"/>
        <v>11.910930666666667</v>
      </c>
    </row>
    <row r="74" spans="2:31" x14ac:dyDescent="0.25">
      <c r="B74" t="s">
        <v>195</v>
      </c>
      <c r="D74" s="2">
        <v>21.216666666666669</v>
      </c>
      <c r="E74" s="2">
        <v>7.0000000000000007E-2</v>
      </c>
      <c r="F74" s="2">
        <v>0.13333333333333333</v>
      </c>
      <c r="G74" s="2">
        <v>0.43999999999999995</v>
      </c>
      <c r="H74" s="2">
        <v>1.0733333333333335</v>
      </c>
      <c r="I74" s="2">
        <v>1.8833333333333335</v>
      </c>
      <c r="J74" s="2">
        <v>1.04</v>
      </c>
      <c r="K74" s="2">
        <v>1.97</v>
      </c>
      <c r="L74" s="2">
        <v>1.08</v>
      </c>
      <c r="M74" s="2">
        <v>0.38666666666666671</v>
      </c>
      <c r="N74" s="2">
        <v>3.16</v>
      </c>
      <c r="O74" s="2">
        <v>0.67333333333333323</v>
      </c>
      <c r="P74" s="2">
        <v>5.05</v>
      </c>
      <c r="Q74" s="2">
        <v>1.0999999999999999</v>
      </c>
      <c r="R74" s="2">
        <v>0.52333333333333332</v>
      </c>
      <c r="S74" s="2">
        <v>0.24333333333333332</v>
      </c>
      <c r="T74" s="2">
        <v>0.34999999999999992</v>
      </c>
      <c r="U74" s="2">
        <v>0.49333333333333335</v>
      </c>
      <c r="V74" s="2">
        <v>0.33333333333333331</v>
      </c>
      <c r="W74" s="2">
        <v>0.36333333333333329</v>
      </c>
      <c r="X74" s="2">
        <v>0.63666666666666671</v>
      </c>
      <c r="Y74" s="2">
        <v>0.15666666666666668</v>
      </c>
      <c r="Z74" s="2">
        <v>7.0000000000000007E-2</v>
      </c>
      <c r="AA74" s="26"/>
      <c r="AC74" t="s">
        <v>195</v>
      </c>
      <c r="AD74">
        <v>12.48</v>
      </c>
      <c r="AE74" s="13">
        <f t="shared" si="9"/>
        <v>2.6478400000000004</v>
      </c>
    </row>
    <row r="75" spans="2:31" x14ac:dyDescent="0.25">
      <c r="B75" t="s">
        <v>196</v>
      </c>
      <c r="D75" s="2">
        <v>3.1333333333333333</v>
      </c>
      <c r="E75" s="2">
        <v>4.3333333333333335E-2</v>
      </c>
      <c r="F75" s="2">
        <v>6.6666666666666666E-2</v>
      </c>
      <c r="G75" s="2">
        <v>8.666666666666667E-2</v>
      </c>
      <c r="H75" s="2">
        <v>0.19333333333333333</v>
      </c>
      <c r="I75" s="2">
        <v>0.27666666666666667</v>
      </c>
      <c r="J75" s="2">
        <v>0.14000000000000001</v>
      </c>
      <c r="K75" s="2">
        <v>0.22666666666666668</v>
      </c>
      <c r="L75" s="2">
        <v>9.6666666666666679E-2</v>
      </c>
      <c r="M75" s="2">
        <v>7.6666666666666675E-2</v>
      </c>
      <c r="N75" s="2">
        <v>0.60333333333333339</v>
      </c>
      <c r="O75" s="2">
        <v>0.11666666666666665</v>
      </c>
      <c r="P75" s="2">
        <v>0.56666666666666676</v>
      </c>
      <c r="Q75" s="2">
        <v>0.11333333333333334</v>
      </c>
      <c r="R75" s="2">
        <v>7.0000000000000007E-2</v>
      </c>
      <c r="S75" s="2">
        <v>0.04</v>
      </c>
      <c r="T75" s="2">
        <v>0.08</v>
      </c>
      <c r="U75" s="2">
        <v>9.6666666666666679E-2</v>
      </c>
      <c r="V75" s="2">
        <v>5.6666666666666671E-2</v>
      </c>
      <c r="W75" s="2">
        <v>6.6666666666666666E-2</v>
      </c>
      <c r="X75" s="2">
        <v>7.3333333333333334E-2</v>
      </c>
      <c r="Y75" s="2">
        <v>1.6666666666666666E-2</v>
      </c>
      <c r="Z75" s="2">
        <v>0.04</v>
      </c>
      <c r="AA75" s="26"/>
      <c r="AC75" t="s">
        <v>196</v>
      </c>
      <c r="AD75">
        <v>27.5</v>
      </c>
      <c r="AE75" s="13">
        <f t="shared" si="9"/>
        <v>0.86166666666666669</v>
      </c>
    </row>
    <row r="76" spans="2:31" x14ac:dyDescent="0.25">
      <c r="B76" t="s">
        <v>315</v>
      </c>
      <c r="D76" s="2">
        <f>SUM(D73:D75)</f>
        <v>178.63666666666666</v>
      </c>
      <c r="E76" s="2">
        <f t="shared" ref="E76:Z76" si="11">SUM(E73:E75)</f>
        <v>1.1600000000000001</v>
      </c>
      <c r="F76" s="2">
        <f t="shared" si="11"/>
        <v>3.1100000000000003</v>
      </c>
      <c r="G76" s="2">
        <f t="shared" si="11"/>
        <v>6.253333333333333</v>
      </c>
      <c r="H76" s="2">
        <f t="shared" si="11"/>
        <v>13.02</v>
      </c>
      <c r="I76" s="2">
        <f t="shared" si="11"/>
        <v>13.16</v>
      </c>
      <c r="J76" s="2">
        <f t="shared" si="11"/>
        <v>6.7766666666666664</v>
      </c>
      <c r="K76" s="2">
        <f t="shared" si="11"/>
        <v>18.113333333333333</v>
      </c>
      <c r="L76" s="2">
        <f t="shared" si="11"/>
        <v>10.900000000000002</v>
      </c>
      <c r="M76" s="2">
        <f t="shared" si="11"/>
        <v>4.1333333333333337</v>
      </c>
      <c r="N76" s="2">
        <f t="shared" si="11"/>
        <v>29.419999999999998</v>
      </c>
      <c r="O76" s="2">
        <f t="shared" si="11"/>
        <v>10.476666666666667</v>
      </c>
      <c r="P76" s="2">
        <f t="shared" si="11"/>
        <v>30.243333333333332</v>
      </c>
      <c r="Q76" s="2">
        <f t="shared" si="11"/>
        <v>6.1233333333333331</v>
      </c>
      <c r="R76" s="2">
        <f t="shared" si="11"/>
        <v>5.080000000000001</v>
      </c>
      <c r="S76" s="2">
        <f t="shared" si="11"/>
        <v>2.3466666666666667</v>
      </c>
      <c r="T76" s="2">
        <f t="shared" si="11"/>
        <v>4.3433333333333337</v>
      </c>
      <c r="U76" s="2">
        <f t="shared" si="11"/>
        <v>4.9333333333333336</v>
      </c>
      <c r="V76" s="2">
        <f t="shared" si="11"/>
        <v>2.0166666666666666</v>
      </c>
      <c r="W76" s="2">
        <f t="shared" si="11"/>
        <v>1.9833333333333334</v>
      </c>
      <c r="X76" s="2">
        <f t="shared" si="11"/>
        <v>3.0900000000000003</v>
      </c>
      <c r="Y76" s="2">
        <f t="shared" si="11"/>
        <v>1.5066666666666666</v>
      </c>
      <c r="Z76" s="2">
        <f t="shared" si="11"/>
        <v>0.47333333333333333</v>
      </c>
      <c r="AA76" s="26"/>
      <c r="AC76" t="s">
        <v>315</v>
      </c>
      <c r="AD76" s="13">
        <f>SUMPRODUCT(D73:D75,AD73:AD75)/D76</f>
        <v>8.6322912429325847</v>
      </c>
      <c r="AE76" s="13">
        <f t="shared" si="9"/>
        <v>15.420437333333336</v>
      </c>
    </row>
    <row r="77" spans="2:31" x14ac:dyDescent="0.25">
      <c r="B77" t="s">
        <v>322</v>
      </c>
      <c r="D77" s="2">
        <f>SUM(D70:D75)</f>
        <v>287.75800000000004</v>
      </c>
      <c r="E77" s="2">
        <f t="shared" ref="E77:Z77" si="12">SUM(E70:E75)</f>
        <v>2.7946666666666666</v>
      </c>
      <c r="F77" s="2">
        <f t="shared" si="12"/>
        <v>8.0580000000000016</v>
      </c>
      <c r="G77" s="2">
        <f t="shared" si="12"/>
        <v>9.4946666666666655</v>
      </c>
      <c r="H77" s="2">
        <f t="shared" si="12"/>
        <v>19.608666666666664</v>
      </c>
      <c r="I77" s="2">
        <f t="shared" si="12"/>
        <v>21.810666666666666</v>
      </c>
      <c r="J77" s="2">
        <f t="shared" si="12"/>
        <v>11.315999999999999</v>
      </c>
      <c r="K77" s="2">
        <f t="shared" si="12"/>
        <v>28.463333333333331</v>
      </c>
      <c r="L77" s="2">
        <f t="shared" si="12"/>
        <v>15.010000000000002</v>
      </c>
      <c r="M77" s="2">
        <f t="shared" si="12"/>
        <v>5.8566666666666674</v>
      </c>
      <c r="N77" s="2">
        <f t="shared" si="12"/>
        <v>46.545999999999999</v>
      </c>
      <c r="O77" s="2">
        <f t="shared" si="12"/>
        <v>16.372</v>
      </c>
      <c r="P77" s="2">
        <f t="shared" si="12"/>
        <v>51.378666666666668</v>
      </c>
      <c r="Q77" s="2">
        <f t="shared" si="12"/>
        <v>9.2819999999999983</v>
      </c>
      <c r="R77" s="2">
        <f t="shared" si="12"/>
        <v>7.5380000000000011</v>
      </c>
      <c r="S77" s="2">
        <f t="shared" si="12"/>
        <v>5.4386666666666663</v>
      </c>
      <c r="T77" s="2">
        <f t="shared" si="12"/>
        <v>6.008</v>
      </c>
      <c r="U77" s="2">
        <f t="shared" si="12"/>
        <v>7.5146666666666668</v>
      </c>
      <c r="V77" s="2">
        <f t="shared" si="12"/>
        <v>3.1053333333333337</v>
      </c>
      <c r="W77" s="2">
        <f t="shared" si="12"/>
        <v>3.8013333333333335</v>
      </c>
      <c r="X77" s="2">
        <f t="shared" si="12"/>
        <v>5.003333333333333</v>
      </c>
      <c r="Y77" s="2">
        <f t="shared" si="12"/>
        <v>2.3139999999999996</v>
      </c>
      <c r="Z77" s="2">
        <f t="shared" si="12"/>
        <v>1.0873333333333335</v>
      </c>
      <c r="AA77" s="26"/>
      <c r="AC77" t="s">
        <v>322</v>
      </c>
      <c r="AD77" s="13">
        <f>SUMPRODUCT(D70:D75,AD70:AD75)/D77</f>
        <v>13.038505642472725</v>
      </c>
      <c r="AE77" s="13">
        <f t="shared" si="9"/>
        <v>37.519343066666671</v>
      </c>
    </row>
    <row r="78" spans="2:31" x14ac:dyDescent="0.25">
      <c r="B78" t="s">
        <v>317</v>
      </c>
      <c r="D78" s="2">
        <f>SUM(D67:D68,D70:D75)</f>
        <v>427.87133333333338</v>
      </c>
      <c r="E78" s="2">
        <f t="shared" ref="E78:Z78" si="13">SUM(E67:E68,E70:E75)</f>
        <v>4.2513333333333332</v>
      </c>
      <c r="F78" s="2">
        <f t="shared" si="13"/>
        <v>12.201333333333332</v>
      </c>
      <c r="G78" s="2">
        <f t="shared" si="13"/>
        <v>13.511333333333331</v>
      </c>
      <c r="H78" s="2">
        <f t="shared" si="13"/>
        <v>30.141999999999996</v>
      </c>
      <c r="I78" s="2">
        <f t="shared" si="13"/>
        <v>34.020666666666664</v>
      </c>
      <c r="J78" s="2">
        <f t="shared" si="13"/>
        <v>17.079333333333334</v>
      </c>
      <c r="K78" s="2">
        <f t="shared" si="13"/>
        <v>43.36333333333333</v>
      </c>
      <c r="L78" s="2">
        <f t="shared" si="13"/>
        <v>20.496666666666666</v>
      </c>
      <c r="M78" s="2">
        <f t="shared" si="13"/>
        <v>8.0299999999999994</v>
      </c>
      <c r="N78" s="2">
        <f t="shared" si="13"/>
        <v>65.289333333333346</v>
      </c>
      <c r="O78" s="2">
        <f t="shared" si="13"/>
        <v>25.595333333333329</v>
      </c>
      <c r="P78" s="2">
        <f t="shared" si="13"/>
        <v>75.708666666666659</v>
      </c>
      <c r="Q78" s="2">
        <f t="shared" si="13"/>
        <v>13.311999999999999</v>
      </c>
      <c r="R78" s="2">
        <f t="shared" si="13"/>
        <v>10.454666666666668</v>
      </c>
      <c r="S78" s="2">
        <f t="shared" si="13"/>
        <v>7.1953333333333331</v>
      </c>
      <c r="T78" s="2">
        <f t="shared" si="13"/>
        <v>8.9146666666666654</v>
      </c>
      <c r="U78" s="2">
        <f t="shared" si="13"/>
        <v>11.498000000000001</v>
      </c>
      <c r="V78" s="2">
        <f t="shared" si="13"/>
        <v>5.9253333333333327</v>
      </c>
      <c r="W78" s="2">
        <f t="shared" si="13"/>
        <v>6.5779999999999994</v>
      </c>
      <c r="X78" s="2">
        <f t="shared" si="13"/>
        <v>8.7766666666666673</v>
      </c>
      <c r="Y78" s="2">
        <f t="shared" si="13"/>
        <v>3.8340000000000001</v>
      </c>
      <c r="Z78" s="2">
        <f t="shared" si="13"/>
        <v>1.7506666666666668</v>
      </c>
      <c r="AA78" s="26"/>
      <c r="AC78" t="s">
        <v>317</v>
      </c>
      <c r="AD78" s="13">
        <f>(SUMPRODUCT(D67:D68,AD67:AD68)+SUMPRODUCT(D70:D75,AD70:AD75))/D78</f>
        <v>15.428560704386209</v>
      </c>
      <c r="AE78" s="13">
        <f t="shared" si="9"/>
        <v>66.014388400000001</v>
      </c>
    </row>
    <row r="80" spans="2:31" x14ac:dyDescent="0.25">
      <c r="B80" s="6" t="s">
        <v>197</v>
      </c>
    </row>
    <row r="81" spans="2:30" x14ac:dyDescent="0.25">
      <c r="D81" t="s">
        <v>144</v>
      </c>
      <c r="E81" t="s">
        <v>145</v>
      </c>
      <c r="F81" t="s">
        <v>146</v>
      </c>
      <c r="G81" t="s">
        <v>147</v>
      </c>
      <c r="H81" t="s">
        <v>148</v>
      </c>
      <c r="I81" t="s">
        <v>149</v>
      </c>
      <c r="J81" t="s">
        <v>150</v>
      </c>
      <c r="K81" t="s">
        <v>151</v>
      </c>
      <c r="L81" t="s">
        <v>152</v>
      </c>
      <c r="M81" t="s">
        <v>153</v>
      </c>
      <c r="N81" t="s">
        <v>154</v>
      </c>
      <c r="O81" t="s">
        <v>155</v>
      </c>
      <c r="P81" t="s">
        <v>156</v>
      </c>
      <c r="Q81" t="s">
        <v>157</v>
      </c>
      <c r="R81" t="s">
        <v>158</v>
      </c>
      <c r="S81" t="s">
        <v>159</v>
      </c>
      <c r="T81" t="s">
        <v>160</v>
      </c>
      <c r="U81" t="s">
        <v>161</v>
      </c>
      <c r="V81" t="s">
        <v>162</v>
      </c>
      <c r="W81" t="s">
        <v>163</v>
      </c>
      <c r="X81" t="s">
        <v>164</v>
      </c>
      <c r="Y81" t="s">
        <v>165</v>
      </c>
      <c r="AC81" s="6" t="s">
        <v>314</v>
      </c>
    </row>
    <row r="82" spans="2:30" x14ac:dyDescent="0.25">
      <c r="B82" t="s">
        <v>185</v>
      </c>
      <c r="D82" s="12">
        <v>316238</v>
      </c>
      <c r="E82" s="12">
        <v>2717.2</v>
      </c>
      <c r="F82" s="12">
        <v>9318</v>
      </c>
      <c r="G82" s="12">
        <v>8206.4</v>
      </c>
      <c r="H82" s="12">
        <v>22933.8</v>
      </c>
      <c r="I82" s="12">
        <v>27619.8</v>
      </c>
      <c r="J82" s="12">
        <v>11545.6</v>
      </c>
      <c r="K82" s="12">
        <v>37903.199999999997</v>
      </c>
      <c r="L82" s="12">
        <v>14629.4</v>
      </c>
      <c r="M82" s="12">
        <v>3597.4</v>
      </c>
      <c r="N82" s="12">
        <v>36976.800000000003</v>
      </c>
      <c r="O82" s="12">
        <v>24239.8</v>
      </c>
      <c r="P82" s="12">
        <v>55299</v>
      </c>
      <c r="Q82" s="12">
        <v>6701.8</v>
      </c>
      <c r="R82" s="12">
        <v>5795.4</v>
      </c>
      <c r="S82" s="12">
        <v>3987.8</v>
      </c>
      <c r="T82" s="12">
        <v>5756</v>
      </c>
      <c r="U82" s="12">
        <v>8167.8</v>
      </c>
      <c r="V82" s="12">
        <v>6641.6</v>
      </c>
      <c r="W82" s="12">
        <v>6628.8</v>
      </c>
      <c r="X82" s="12">
        <v>12408.8</v>
      </c>
      <c r="Y82" s="12">
        <v>5163.6000000000004</v>
      </c>
      <c r="AC82" t="s">
        <v>185</v>
      </c>
      <c r="AD82">
        <v>17.399999999999999</v>
      </c>
    </row>
    <row r="83" spans="2:30" x14ac:dyDescent="0.25">
      <c r="B83" t="s">
        <v>186</v>
      </c>
      <c r="D83" s="12">
        <v>206514</v>
      </c>
      <c r="E83" s="12">
        <v>3219.4</v>
      </c>
      <c r="F83" s="12">
        <v>5281</v>
      </c>
      <c r="G83" s="12">
        <v>6811.2</v>
      </c>
      <c r="H83" s="12">
        <v>15615.8</v>
      </c>
      <c r="I83" s="12">
        <v>17393.2</v>
      </c>
      <c r="J83" s="12">
        <v>10283.799999999999</v>
      </c>
      <c r="K83" s="12">
        <v>14520</v>
      </c>
      <c r="L83" s="12">
        <v>5263</v>
      </c>
      <c r="M83" s="12">
        <v>5621.8</v>
      </c>
      <c r="N83" s="12">
        <v>37247</v>
      </c>
      <c r="O83" s="12">
        <v>8272.4</v>
      </c>
      <c r="P83" s="12">
        <v>34587.599999999999</v>
      </c>
      <c r="Q83" s="12">
        <v>10191.799999999999</v>
      </c>
      <c r="R83" s="12">
        <v>5383.4</v>
      </c>
      <c r="S83" s="12">
        <v>2824.8</v>
      </c>
      <c r="T83" s="12">
        <v>5603.4</v>
      </c>
      <c r="U83" s="12">
        <v>6685</v>
      </c>
      <c r="V83" s="12">
        <v>4109</v>
      </c>
      <c r="W83" s="12">
        <v>4754.6000000000004</v>
      </c>
      <c r="X83" s="12">
        <v>1753.4</v>
      </c>
      <c r="Y83" s="12">
        <v>1092.4000000000001</v>
      </c>
      <c r="AC83" t="s">
        <v>186</v>
      </c>
      <c r="AD83">
        <v>35.200000000000003</v>
      </c>
    </row>
    <row r="84" spans="2:30" x14ac:dyDescent="0.25">
      <c r="B84" t="s">
        <v>141</v>
      </c>
      <c r="D84" s="12">
        <v>467134.4</v>
      </c>
      <c r="E84" s="12">
        <v>4924.2</v>
      </c>
      <c r="F84" s="12">
        <v>13111.4</v>
      </c>
      <c r="G84" s="12">
        <v>14340</v>
      </c>
      <c r="H84" s="12">
        <v>35147.599999999999</v>
      </c>
      <c r="I84" s="12">
        <v>39485.199999999997</v>
      </c>
      <c r="J84" s="12">
        <v>20024.2</v>
      </c>
      <c r="K84" s="12">
        <v>45730.2</v>
      </c>
      <c r="L84" s="12">
        <v>18895.2</v>
      </c>
      <c r="M84" s="12">
        <v>8384.4</v>
      </c>
      <c r="N84" s="12">
        <v>68011.600000000006</v>
      </c>
      <c r="O84" s="12">
        <v>28257.599999999999</v>
      </c>
      <c r="P84" s="12">
        <v>82445.2</v>
      </c>
      <c r="Q84" s="12">
        <v>14936.4</v>
      </c>
      <c r="R84" s="12">
        <v>11077.8</v>
      </c>
      <c r="S84" s="12">
        <v>7205.6</v>
      </c>
      <c r="T84" s="12">
        <v>9989.6</v>
      </c>
      <c r="U84" s="12">
        <v>12869.4</v>
      </c>
      <c r="V84" s="12">
        <v>7652</v>
      </c>
      <c r="W84" s="12">
        <v>8723.4</v>
      </c>
      <c r="X84" s="12">
        <v>10820.2</v>
      </c>
      <c r="Y84" s="12">
        <v>4959.2</v>
      </c>
      <c r="AC84" t="s">
        <v>141</v>
      </c>
      <c r="AD84">
        <v>20.8</v>
      </c>
    </row>
    <row r="85" spans="2:30" x14ac:dyDescent="0.25">
      <c r="B85" t="s">
        <v>142</v>
      </c>
      <c r="D85" s="12">
        <v>493490.2</v>
      </c>
      <c r="E85" s="12">
        <v>5801.2</v>
      </c>
      <c r="F85" s="12">
        <v>13280.4</v>
      </c>
      <c r="G85" s="12">
        <v>14549.8</v>
      </c>
      <c r="H85" s="12">
        <v>35558.199999999997</v>
      </c>
      <c r="I85" s="12">
        <v>42702.2</v>
      </c>
      <c r="J85" s="12">
        <v>21332.400000000001</v>
      </c>
      <c r="K85" s="12">
        <v>51429</v>
      </c>
      <c r="L85" s="12">
        <v>21370.400000000001</v>
      </c>
      <c r="M85" s="12">
        <v>9197.4</v>
      </c>
      <c r="N85" s="12">
        <v>69973.399999999994</v>
      </c>
      <c r="O85" s="12">
        <v>27131.599999999999</v>
      </c>
      <c r="P85" s="12">
        <v>88191.8</v>
      </c>
      <c r="Q85" s="12">
        <v>17959.400000000001</v>
      </c>
      <c r="R85" s="12">
        <v>11313.8</v>
      </c>
      <c r="S85" s="12">
        <v>5906.4</v>
      </c>
      <c r="T85" s="12">
        <v>9578.2000000000007</v>
      </c>
      <c r="U85" s="12">
        <v>13567</v>
      </c>
      <c r="V85" s="12">
        <v>8331.2000000000007</v>
      </c>
      <c r="W85" s="12">
        <v>9192.7999999999993</v>
      </c>
      <c r="X85" s="12">
        <v>11901.6</v>
      </c>
      <c r="Y85" s="12">
        <v>5222</v>
      </c>
      <c r="AC85" t="s">
        <v>142</v>
      </c>
      <c r="AD85">
        <v>19.600000000000001</v>
      </c>
    </row>
    <row r="86" spans="2:30" x14ac:dyDescent="0.25">
      <c r="D86" s="12"/>
      <c r="E86" s="65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65"/>
      <c r="T86" s="65"/>
      <c r="U86" s="65"/>
      <c r="V86" s="65"/>
      <c r="W86" s="65"/>
      <c r="X86" s="65"/>
      <c r="Y86" s="65"/>
    </row>
    <row r="87" spans="2:30" x14ac:dyDescent="0.25">
      <c r="B87" s="6" t="s">
        <v>200</v>
      </c>
      <c r="D87" s="12"/>
      <c r="E87" s="65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65"/>
      <c r="T87" s="65"/>
      <c r="U87" s="65"/>
      <c r="V87" s="65"/>
      <c r="W87" s="65"/>
      <c r="X87" s="65"/>
      <c r="Y87" s="65"/>
    </row>
    <row r="88" spans="2:30" x14ac:dyDescent="0.25">
      <c r="D88" t="s">
        <v>171</v>
      </c>
      <c r="E88" t="s">
        <v>172</v>
      </c>
      <c r="F88" t="s">
        <v>173</v>
      </c>
      <c r="G88" t="s">
        <v>174</v>
      </c>
      <c r="H88" t="s">
        <v>175</v>
      </c>
      <c r="I88" t="s">
        <v>176</v>
      </c>
      <c r="J88" t="s">
        <v>177</v>
      </c>
      <c r="K88" t="s">
        <v>178</v>
      </c>
      <c r="L88" t="s">
        <v>179</v>
      </c>
    </row>
    <row r="89" spans="2:30" x14ac:dyDescent="0.25">
      <c r="B89" s="66" t="s">
        <v>141</v>
      </c>
      <c r="D89" s="67">
        <v>465343.6</v>
      </c>
      <c r="E89" s="67">
        <v>32163.8</v>
      </c>
      <c r="F89" s="67">
        <v>87137</v>
      </c>
      <c r="G89" s="67">
        <v>160665.20000000001</v>
      </c>
      <c r="H89" s="67">
        <v>59280.4</v>
      </c>
      <c r="I89" s="67">
        <v>52508.6</v>
      </c>
      <c r="J89" s="67">
        <v>27806.6</v>
      </c>
      <c r="K89" s="67">
        <v>28476.2</v>
      </c>
      <c r="L89" s="67">
        <v>17305.8</v>
      </c>
    </row>
    <row r="90" spans="2:30" x14ac:dyDescent="0.25">
      <c r="B90" s="66" t="s">
        <v>198</v>
      </c>
      <c r="D90" s="67">
        <v>509619</v>
      </c>
      <c r="E90" s="67">
        <v>35341.199999999997</v>
      </c>
      <c r="F90" s="67">
        <v>88843.4</v>
      </c>
      <c r="G90" s="67">
        <v>180449.6</v>
      </c>
      <c r="H90" s="67">
        <v>60213.599999999999</v>
      </c>
      <c r="I90" s="67">
        <v>53861.4</v>
      </c>
      <c r="J90" s="67">
        <v>32377.4</v>
      </c>
      <c r="K90" s="67">
        <v>35998.6</v>
      </c>
      <c r="L90" s="67">
        <v>22533.8</v>
      </c>
    </row>
    <row r="91" spans="2:30" x14ac:dyDescent="0.25">
      <c r="B91" s="66" t="s">
        <v>185</v>
      </c>
      <c r="D91" s="67">
        <v>313676.79999999999</v>
      </c>
      <c r="E91" s="67">
        <v>25430.6</v>
      </c>
      <c r="F91" s="67">
        <v>61340.4</v>
      </c>
      <c r="G91" s="67">
        <v>101882</v>
      </c>
      <c r="H91" s="67">
        <v>39782.800000000003</v>
      </c>
      <c r="I91" s="67">
        <v>29534.400000000001</v>
      </c>
      <c r="J91" s="67">
        <v>15866.6</v>
      </c>
      <c r="K91" s="67">
        <v>21667</v>
      </c>
      <c r="L91" s="67">
        <v>18173</v>
      </c>
    </row>
    <row r="92" spans="2:30" x14ac:dyDescent="0.25">
      <c r="B92" s="66" t="s">
        <v>186</v>
      </c>
      <c r="D92" s="67">
        <v>195942.2</v>
      </c>
      <c r="E92" s="67">
        <v>9910.6</v>
      </c>
      <c r="F92" s="67">
        <v>27503</v>
      </c>
      <c r="G92" s="67">
        <v>78567.600000000006</v>
      </c>
      <c r="H92" s="67">
        <v>20430.8</v>
      </c>
      <c r="I92" s="67">
        <v>24327</v>
      </c>
      <c r="J92" s="67">
        <v>16510.8</v>
      </c>
      <c r="K92" s="67">
        <v>14331.6</v>
      </c>
      <c r="L92" s="67">
        <v>4360.8</v>
      </c>
    </row>
    <row r="93" spans="2:30" x14ac:dyDescent="0.25">
      <c r="B93" s="66" t="s">
        <v>142</v>
      </c>
      <c r="D93" s="67">
        <v>448180.4</v>
      </c>
      <c r="E93" s="67">
        <v>27090.6</v>
      </c>
      <c r="F93" s="67">
        <v>82824.2</v>
      </c>
      <c r="G93" s="67">
        <v>158753.20000000001</v>
      </c>
      <c r="H93" s="67">
        <v>54943.4</v>
      </c>
      <c r="I93" s="67">
        <v>49616.6</v>
      </c>
      <c r="J93" s="67">
        <v>27569</v>
      </c>
      <c r="K93" s="67">
        <v>28922.2</v>
      </c>
      <c r="L93" s="67">
        <v>18461.2</v>
      </c>
    </row>
    <row r="94" spans="2:30" x14ac:dyDescent="0.25">
      <c r="B94" s="66" t="s">
        <v>199</v>
      </c>
      <c r="D94" s="67">
        <v>1423143</v>
      </c>
      <c r="E94" s="67">
        <v>94595.6</v>
      </c>
      <c r="F94" s="67">
        <v>258804.6</v>
      </c>
      <c r="G94" s="67">
        <v>499868</v>
      </c>
      <c r="H94" s="67">
        <v>174437.4</v>
      </c>
      <c r="I94" s="67">
        <v>155986.6</v>
      </c>
      <c r="J94" s="67">
        <v>87753</v>
      </c>
      <c r="K94" s="67">
        <v>93397</v>
      </c>
      <c r="L94" s="67">
        <v>58300.800000000003</v>
      </c>
    </row>
    <row r="96" spans="2:30" x14ac:dyDescent="0.25">
      <c r="B96" t="s">
        <v>406</v>
      </c>
    </row>
    <row r="98" spans="2:11" x14ac:dyDescent="0.25">
      <c r="C98" t="s">
        <v>317</v>
      </c>
      <c r="F98" t="s">
        <v>401</v>
      </c>
      <c r="I98" t="s">
        <v>404</v>
      </c>
    </row>
    <row r="99" spans="2:11" x14ac:dyDescent="0.25">
      <c r="C99" t="s">
        <v>18</v>
      </c>
      <c r="D99" t="s">
        <v>402</v>
      </c>
      <c r="E99" t="s">
        <v>403</v>
      </c>
      <c r="F99" t="s">
        <v>18</v>
      </c>
      <c r="G99" t="s">
        <v>402</v>
      </c>
      <c r="H99" t="s">
        <v>403</v>
      </c>
      <c r="I99" t="s">
        <v>18</v>
      </c>
      <c r="J99" t="s">
        <v>402</v>
      </c>
      <c r="K99" t="s">
        <v>403</v>
      </c>
    </row>
    <row r="100" spans="2:11" x14ac:dyDescent="0.25">
      <c r="B100">
        <v>2016</v>
      </c>
      <c r="C100">
        <v>193657</v>
      </c>
      <c r="D100">
        <v>10379</v>
      </c>
      <c r="E100" s="2">
        <f>C100/D100</f>
        <v>18.658541285287601</v>
      </c>
      <c r="F100">
        <v>67398</v>
      </c>
      <c r="G100">
        <v>2191</v>
      </c>
      <c r="H100" s="2">
        <f>F100/G100</f>
        <v>30.761296211775445</v>
      </c>
      <c r="I100">
        <f>C100-F100</f>
        <v>126259</v>
      </c>
      <c r="J100">
        <f>D100-G100</f>
        <v>8188</v>
      </c>
      <c r="K100" s="2">
        <f>I100/J100</f>
        <v>15.42000488519785</v>
      </c>
    </row>
    <row r="101" spans="2:11" x14ac:dyDescent="0.25">
      <c r="B101">
        <v>2017</v>
      </c>
      <c r="C101">
        <v>207620</v>
      </c>
      <c r="D101">
        <v>10471</v>
      </c>
      <c r="E101" s="2">
        <f t="shared" ref="E101:E105" si="14">C101/D101</f>
        <v>19.828096647884635</v>
      </c>
      <c r="F101">
        <v>70054</v>
      </c>
      <c r="G101">
        <v>2210</v>
      </c>
      <c r="H101" s="2">
        <f t="shared" ref="H101:H105" si="15">F101/G101</f>
        <v>31.698642533936653</v>
      </c>
      <c r="I101">
        <f t="shared" ref="I101:I104" si="16">C101-F101</f>
        <v>137566</v>
      </c>
      <c r="J101">
        <f t="shared" ref="J101:J104" si="17">D101-G101</f>
        <v>8261</v>
      </c>
      <c r="K101" s="2">
        <f t="shared" ref="K101:K105" si="18">I101/J101</f>
        <v>16.652463382157123</v>
      </c>
    </row>
    <row r="102" spans="2:11" x14ac:dyDescent="0.25">
      <c r="B102">
        <v>2018</v>
      </c>
      <c r="C102">
        <v>214257</v>
      </c>
      <c r="D102">
        <v>10418</v>
      </c>
      <c r="E102" s="2">
        <f t="shared" si="14"/>
        <v>20.566039546937994</v>
      </c>
      <c r="F102">
        <v>75021</v>
      </c>
      <c r="G102">
        <v>2330</v>
      </c>
      <c r="H102" s="2">
        <f t="shared" si="15"/>
        <v>32.197854077253218</v>
      </c>
      <c r="I102">
        <f t="shared" si="16"/>
        <v>139236</v>
      </c>
      <c r="J102">
        <f t="shared" si="17"/>
        <v>8088</v>
      </c>
      <c r="K102" s="2">
        <f t="shared" si="18"/>
        <v>17.215133531157271</v>
      </c>
    </row>
    <row r="103" spans="2:11" x14ac:dyDescent="0.25">
      <c r="B103">
        <v>2019</v>
      </c>
      <c r="C103">
        <v>210086</v>
      </c>
      <c r="D103">
        <v>10266</v>
      </c>
      <c r="E103" s="2">
        <f t="shared" si="14"/>
        <v>20.464250925384764</v>
      </c>
      <c r="F103">
        <v>74796</v>
      </c>
      <c r="G103">
        <v>2386</v>
      </c>
      <c r="H103" s="2">
        <f t="shared" si="15"/>
        <v>31.347862531433361</v>
      </c>
      <c r="I103">
        <f t="shared" si="16"/>
        <v>135290</v>
      </c>
      <c r="J103">
        <f t="shared" si="17"/>
        <v>7880</v>
      </c>
      <c r="K103" s="2">
        <f t="shared" si="18"/>
        <v>17.168781725888326</v>
      </c>
    </row>
    <row r="104" spans="2:11" x14ac:dyDescent="0.25">
      <c r="B104">
        <v>2020</v>
      </c>
      <c r="C104">
        <v>206950</v>
      </c>
      <c r="D104">
        <v>10063</v>
      </c>
      <c r="E104" s="2">
        <f t="shared" si="14"/>
        <v>20.565437742223988</v>
      </c>
      <c r="F104">
        <v>74103</v>
      </c>
      <c r="G104">
        <v>2291</v>
      </c>
      <c r="H104" s="2">
        <f t="shared" si="15"/>
        <v>32.345264076822346</v>
      </c>
      <c r="I104">
        <f t="shared" si="16"/>
        <v>132847</v>
      </c>
      <c r="J104">
        <f t="shared" si="17"/>
        <v>7772</v>
      </c>
      <c r="K104" s="2">
        <f t="shared" si="18"/>
        <v>17.093026248069997</v>
      </c>
    </row>
    <row r="105" spans="2:11" x14ac:dyDescent="0.25">
      <c r="B105" s="155" t="s">
        <v>400</v>
      </c>
      <c r="C105" s="2">
        <f>AVERAGE(C100:C104)</f>
        <v>206514</v>
      </c>
      <c r="D105" s="2">
        <f t="shared" ref="D105" si="19">AVERAGE(D100:D104)</f>
        <v>10319.4</v>
      </c>
      <c r="E105" s="2">
        <f t="shared" si="14"/>
        <v>20.012210012210012</v>
      </c>
      <c r="F105" s="2">
        <f>AVERAGE(F100:F104)</f>
        <v>72274.399999999994</v>
      </c>
      <c r="G105" s="2">
        <f t="shared" ref="G105" si="20">AVERAGE(G100:G104)</f>
        <v>2281.6</v>
      </c>
      <c r="H105" s="2">
        <f t="shared" si="15"/>
        <v>31.677068723702664</v>
      </c>
      <c r="I105" s="2">
        <f>AVERAGE(I100:I104)</f>
        <v>134239.6</v>
      </c>
      <c r="J105" s="2">
        <f t="shared" ref="J105" si="21">AVERAGE(J100:J104)</f>
        <v>8037.8</v>
      </c>
      <c r="K105" s="2">
        <f t="shared" si="18"/>
        <v>16.70103759735251</v>
      </c>
    </row>
    <row r="106" spans="2:11" x14ac:dyDescent="0.25">
      <c r="D106" s="155" t="s">
        <v>405</v>
      </c>
      <c r="E106" s="156">
        <f>1/E105</f>
        <v>4.9969493593654671E-2</v>
      </c>
      <c r="H106" s="156">
        <f>1/H105</f>
        <v>3.1568577532293592E-2</v>
      </c>
      <c r="K106" s="156">
        <f>1/K105</f>
        <v>5.9876519298329253E-2</v>
      </c>
    </row>
  </sheetData>
  <conditionalFormatting sqref="L50:AG51 L54:T55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L1" t="s">
        <v>203</v>
      </c>
      <c r="M1" t="s">
        <v>211</v>
      </c>
    </row>
    <row r="2" spans="1:15" x14ac:dyDescent="0.25">
      <c r="A2" t="s">
        <v>212</v>
      </c>
      <c r="B2" t="s">
        <v>213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212</v>
      </c>
      <c r="B3" t="s">
        <v>213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214</v>
      </c>
      <c r="M3" t="s">
        <v>215</v>
      </c>
      <c r="N3" t="s">
        <v>216</v>
      </c>
      <c r="O3" t="s">
        <v>217</v>
      </c>
    </row>
    <row r="4" spans="1:15" x14ac:dyDescent="0.25">
      <c r="A4" t="s">
        <v>212</v>
      </c>
      <c r="B4" t="s">
        <v>213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218</v>
      </c>
      <c r="M4" s="12"/>
      <c r="N4" s="12"/>
      <c r="O4" s="12"/>
    </row>
    <row r="5" spans="1:15" x14ac:dyDescent="0.25">
      <c r="A5" t="s">
        <v>212</v>
      </c>
      <c r="B5" t="s">
        <v>213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219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212</v>
      </c>
      <c r="B6" t="s">
        <v>213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212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212</v>
      </c>
      <c r="B7" t="s">
        <v>213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220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212</v>
      </c>
      <c r="B8" t="s">
        <v>221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222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212</v>
      </c>
      <c r="B9" t="s">
        <v>221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222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212</v>
      </c>
      <c r="B10" t="s">
        <v>221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223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212</v>
      </c>
      <c r="B11" t="s">
        <v>221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223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212</v>
      </c>
      <c r="B12" t="s">
        <v>221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224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212</v>
      </c>
      <c r="B13" t="s">
        <v>221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225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212</v>
      </c>
      <c r="B14" t="s">
        <v>226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227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212</v>
      </c>
      <c r="B15" t="s">
        <v>226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129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212</v>
      </c>
      <c r="B16" t="s">
        <v>226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129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212</v>
      </c>
      <c r="B17" t="s">
        <v>226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228</v>
      </c>
      <c r="M17" s="12"/>
      <c r="N17" s="12"/>
      <c r="O17" s="12"/>
    </row>
    <row r="18" spans="1:24" x14ac:dyDescent="0.25">
      <c r="A18" t="s">
        <v>212</v>
      </c>
      <c r="B18" t="s">
        <v>226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219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212</v>
      </c>
      <c r="B19" t="s">
        <v>226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212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212</v>
      </c>
      <c r="B20" t="s">
        <v>229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220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212</v>
      </c>
      <c r="B21" t="s">
        <v>229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222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212</v>
      </c>
      <c r="B22" t="s">
        <v>229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222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212</v>
      </c>
      <c r="B23" t="s">
        <v>229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223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212</v>
      </c>
      <c r="B24" t="s">
        <v>229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223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212</v>
      </c>
      <c r="B25" t="s">
        <v>229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224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212</v>
      </c>
      <c r="B26" t="s">
        <v>230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225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212</v>
      </c>
      <c r="B27" t="s">
        <v>230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227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212</v>
      </c>
      <c r="B28" t="s">
        <v>230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129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212</v>
      </c>
      <c r="B29" t="s">
        <v>230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129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212</v>
      </c>
      <c r="B30" t="s">
        <v>230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231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212</v>
      </c>
      <c r="B31" t="s">
        <v>230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219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212</v>
      </c>
      <c r="B32" t="s">
        <v>232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212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212</v>
      </c>
      <c r="B33" t="s">
        <v>232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220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212</v>
      </c>
      <c r="B34" t="s">
        <v>232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222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212</v>
      </c>
      <c r="B35" t="s">
        <v>232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222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212</v>
      </c>
      <c r="B36" t="s">
        <v>232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223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212</v>
      </c>
      <c r="B37" t="s">
        <v>232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223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212</v>
      </c>
      <c r="B38" t="s">
        <v>233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224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212</v>
      </c>
      <c r="B39" t="s">
        <v>233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225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212</v>
      </c>
      <c r="B40" t="s">
        <v>233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227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212</v>
      </c>
      <c r="B41" t="s">
        <v>233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129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212</v>
      </c>
      <c r="B42" t="s">
        <v>233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129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212</v>
      </c>
      <c r="B43" t="s">
        <v>233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234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212</v>
      </c>
      <c r="B44" t="s">
        <v>235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212</v>
      </c>
      <c r="B45" t="s">
        <v>235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212</v>
      </c>
      <c r="B46" t="s">
        <v>235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212</v>
      </c>
      <c r="B47" t="s">
        <v>235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212</v>
      </c>
      <c r="B48" t="s">
        <v>235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212</v>
      </c>
      <c r="B49" t="s">
        <v>235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212</v>
      </c>
      <c r="B50" t="s">
        <v>236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212</v>
      </c>
      <c r="B51" t="s">
        <v>236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212</v>
      </c>
      <c r="B52" t="s">
        <v>236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212</v>
      </c>
      <c r="B53" t="s">
        <v>236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212</v>
      </c>
      <c r="B54" t="s">
        <v>236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212</v>
      </c>
      <c r="B55" t="s">
        <v>236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212</v>
      </c>
      <c r="B56" t="s">
        <v>237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212</v>
      </c>
      <c r="B57" t="s">
        <v>237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212</v>
      </c>
      <c r="B58" t="s">
        <v>237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212</v>
      </c>
      <c r="B59" t="s">
        <v>237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212</v>
      </c>
      <c r="B60" t="s">
        <v>237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212</v>
      </c>
      <c r="B61" t="s">
        <v>237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220</v>
      </c>
      <c r="B62" t="s">
        <v>213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220</v>
      </c>
      <c r="B63" t="s">
        <v>213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220</v>
      </c>
      <c r="B64" t="s">
        <v>213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220</v>
      </c>
      <c r="B65" t="s">
        <v>213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220</v>
      </c>
      <c r="B66" t="s">
        <v>213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220</v>
      </c>
      <c r="B67" t="s">
        <v>213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220</v>
      </c>
      <c r="B68" t="s">
        <v>221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220</v>
      </c>
      <c r="B69" t="s">
        <v>221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220</v>
      </c>
      <c r="B70" t="s">
        <v>221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220</v>
      </c>
      <c r="B71" t="s">
        <v>221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220</v>
      </c>
      <c r="B72" t="s">
        <v>221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220</v>
      </c>
      <c r="B73" t="s">
        <v>221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220</v>
      </c>
      <c r="B74" t="s">
        <v>226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220</v>
      </c>
      <c r="B75" t="s">
        <v>226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220</v>
      </c>
      <c r="B76" t="s">
        <v>226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220</v>
      </c>
      <c r="B77" t="s">
        <v>226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220</v>
      </c>
      <c r="B78" t="s">
        <v>226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220</v>
      </c>
      <c r="B79" t="s">
        <v>226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220</v>
      </c>
      <c r="B80" t="s">
        <v>229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220</v>
      </c>
      <c r="B81" t="s">
        <v>229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220</v>
      </c>
      <c r="B82" t="s">
        <v>229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220</v>
      </c>
      <c r="B83" t="s">
        <v>229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220</v>
      </c>
      <c r="B84" t="s">
        <v>229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220</v>
      </c>
      <c r="B85" t="s">
        <v>229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220</v>
      </c>
      <c r="B86" t="s">
        <v>230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220</v>
      </c>
      <c r="B87" t="s">
        <v>230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220</v>
      </c>
      <c r="B88" t="s">
        <v>230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220</v>
      </c>
      <c r="B89" t="s">
        <v>230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220</v>
      </c>
      <c r="B90" t="s">
        <v>230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220</v>
      </c>
      <c r="B91" t="s">
        <v>230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220</v>
      </c>
      <c r="B92" t="s">
        <v>232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220</v>
      </c>
      <c r="B93" t="s">
        <v>232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220</v>
      </c>
      <c r="B94" t="s">
        <v>232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220</v>
      </c>
      <c r="B95" t="s">
        <v>232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220</v>
      </c>
      <c r="B96" t="s">
        <v>232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220</v>
      </c>
      <c r="B97" t="s">
        <v>232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220</v>
      </c>
      <c r="B98" t="s">
        <v>233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220</v>
      </c>
      <c r="B99" t="s">
        <v>233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220</v>
      </c>
      <c r="B100" t="s">
        <v>233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220</v>
      </c>
      <c r="B101" t="s">
        <v>233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220</v>
      </c>
      <c r="B102" t="s">
        <v>233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220</v>
      </c>
      <c r="B103" t="s">
        <v>233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220</v>
      </c>
      <c r="B104" t="s">
        <v>235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220</v>
      </c>
      <c r="B105" t="s">
        <v>235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220</v>
      </c>
      <c r="B106" t="s">
        <v>235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220</v>
      </c>
      <c r="B107" t="s">
        <v>235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220</v>
      </c>
      <c r="B108" t="s">
        <v>235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220</v>
      </c>
      <c r="B109" t="s">
        <v>235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220</v>
      </c>
      <c r="B110" t="s">
        <v>236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220</v>
      </c>
      <c r="B111" t="s">
        <v>236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220</v>
      </c>
      <c r="B112" t="s">
        <v>236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220</v>
      </c>
      <c r="B113" t="s">
        <v>236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220</v>
      </c>
      <c r="B114" t="s">
        <v>236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220</v>
      </c>
      <c r="B115" t="s">
        <v>236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220</v>
      </c>
      <c r="B116" t="s">
        <v>237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220</v>
      </c>
      <c r="B117" t="s">
        <v>237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220</v>
      </c>
      <c r="B118" t="s">
        <v>237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220</v>
      </c>
      <c r="B119" t="s">
        <v>237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220</v>
      </c>
      <c r="B120" t="s">
        <v>237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220</v>
      </c>
      <c r="B121" t="s">
        <v>237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222</v>
      </c>
      <c r="B122" t="s">
        <v>213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222</v>
      </c>
      <c r="B123" t="s">
        <v>213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222</v>
      </c>
      <c r="B124" t="s">
        <v>213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222</v>
      </c>
      <c r="B125" t="s">
        <v>213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222</v>
      </c>
      <c r="B126" t="s">
        <v>213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222</v>
      </c>
      <c r="B127" t="s">
        <v>213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222</v>
      </c>
      <c r="B128" t="s">
        <v>221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222</v>
      </c>
      <c r="B129" t="s">
        <v>221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222</v>
      </c>
      <c r="B130" t="s">
        <v>221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222</v>
      </c>
      <c r="B131" t="s">
        <v>221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222</v>
      </c>
      <c r="B132" t="s">
        <v>221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222</v>
      </c>
      <c r="B133" t="s">
        <v>221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222</v>
      </c>
      <c r="B134" t="s">
        <v>226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222</v>
      </c>
      <c r="B135" t="s">
        <v>226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222</v>
      </c>
      <c r="B136" t="s">
        <v>226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222</v>
      </c>
      <c r="B137" t="s">
        <v>226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222</v>
      </c>
      <c r="B138" t="s">
        <v>226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222</v>
      </c>
      <c r="B139" t="s">
        <v>226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222</v>
      </c>
      <c r="B140" t="s">
        <v>229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222</v>
      </c>
      <c r="B141" t="s">
        <v>229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222</v>
      </c>
      <c r="B142" t="s">
        <v>229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222</v>
      </c>
      <c r="B143" t="s">
        <v>229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222</v>
      </c>
      <c r="B144" t="s">
        <v>229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222</v>
      </c>
      <c r="B145" t="s">
        <v>229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222</v>
      </c>
      <c r="B146" t="s">
        <v>230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222</v>
      </c>
      <c r="B147" t="s">
        <v>230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222</v>
      </c>
      <c r="B148" t="s">
        <v>230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222</v>
      </c>
      <c r="B149" t="s">
        <v>230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222</v>
      </c>
      <c r="B150" t="s">
        <v>230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222</v>
      </c>
      <c r="B151" t="s">
        <v>230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222</v>
      </c>
      <c r="B152" t="s">
        <v>232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222</v>
      </c>
      <c r="B153" t="s">
        <v>232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222</v>
      </c>
      <c r="B154" t="s">
        <v>232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222</v>
      </c>
      <c r="B155" t="s">
        <v>232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222</v>
      </c>
      <c r="B156" t="s">
        <v>232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222</v>
      </c>
      <c r="B157" t="s">
        <v>232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222</v>
      </c>
      <c r="B158" t="s">
        <v>233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222</v>
      </c>
      <c r="B159" t="s">
        <v>233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222</v>
      </c>
      <c r="B160" t="s">
        <v>233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222</v>
      </c>
      <c r="B161" t="s">
        <v>233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222</v>
      </c>
      <c r="B162" t="s">
        <v>233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222</v>
      </c>
      <c r="B163" t="s">
        <v>233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222</v>
      </c>
      <c r="B164" t="s">
        <v>235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222</v>
      </c>
      <c r="B165" t="s">
        <v>235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222</v>
      </c>
      <c r="B166" t="s">
        <v>235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222</v>
      </c>
      <c r="B167" t="s">
        <v>235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222</v>
      </c>
      <c r="B168" t="s">
        <v>235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222</v>
      </c>
      <c r="B169" t="s">
        <v>235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222</v>
      </c>
      <c r="B170" t="s">
        <v>236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222</v>
      </c>
      <c r="B171" t="s">
        <v>236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222</v>
      </c>
      <c r="B172" t="s">
        <v>236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222</v>
      </c>
      <c r="B173" t="s">
        <v>236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222</v>
      </c>
      <c r="B174" t="s">
        <v>236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222</v>
      </c>
      <c r="B175" t="s">
        <v>236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222</v>
      </c>
      <c r="B176" t="s">
        <v>237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222</v>
      </c>
      <c r="B177" t="s">
        <v>237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222</v>
      </c>
      <c r="B178" t="s">
        <v>237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222</v>
      </c>
      <c r="B179" t="s">
        <v>237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222</v>
      </c>
      <c r="B180" t="s">
        <v>237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222</v>
      </c>
      <c r="B181" t="s">
        <v>237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223</v>
      </c>
      <c r="B182" t="s">
        <v>213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223</v>
      </c>
      <c r="B183" t="s">
        <v>213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223</v>
      </c>
      <c r="B184" t="s">
        <v>213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223</v>
      </c>
      <c r="B185" t="s">
        <v>213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223</v>
      </c>
      <c r="B186" t="s">
        <v>213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223</v>
      </c>
      <c r="B187" t="s">
        <v>213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223</v>
      </c>
      <c r="B188" t="s">
        <v>221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223</v>
      </c>
      <c r="B189" t="s">
        <v>221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223</v>
      </c>
      <c r="B190" t="s">
        <v>221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223</v>
      </c>
      <c r="B191" t="s">
        <v>221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223</v>
      </c>
      <c r="B192" t="s">
        <v>221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223</v>
      </c>
      <c r="B193" t="s">
        <v>221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223</v>
      </c>
      <c r="B194" t="s">
        <v>226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223</v>
      </c>
      <c r="B195" t="s">
        <v>226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223</v>
      </c>
      <c r="B196" t="s">
        <v>226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223</v>
      </c>
      <c r="B197" t="s">
        <v>226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223</v>
      </c>
      <c r="B198" t="s">
        <v>226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223</v>
      </c>
      <c r="B199" t="s">
        <v>226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223</v>
      </c>
      <c r="B200" t="s">
        <v>229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223</v>
      </c>
      <c r="B201" t="s">
        <v>229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223</v>
      </c>
      <c r="B202" t="s">
        <v>229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223</v>
      </c>
      <c r="B203" t="s">
        <v>229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223</v>
      </c>
      <c r="B204" t="s">
        <v>229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223</v>
      </c>
      <c r="B205" t="s">
        <v>229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223</v>
      </c>
      <c r="B206" t="s">
        <v>230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223</v>
      </c>
      <c r="B207" t="s">
        <v>230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223</v>
      </c>
      <c r="B208" t="s">
        <v>230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223</v>
      </c>
      <c r="B209" t="s">
        <v>230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223</v>
      </c>
      <c r="B210" t="s">
        <v>230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223</v>
      </c>
      <c r="B211" t="s">
        <v>230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223</v>
      </c>
      <c r="B212" t="s">
        <v>232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223</v>
      </c>
      <c r="B213" t="s">
        <v>232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223</v>
      </c>
      <c r="B214" t="s">
        <v>232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223</v>
      </c>
      <c r="B215" t="s">
        <v>232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223</v>
      </c>
      <c r="B216" t="s">
        <v>232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223</v>
      </c>
      <c r="B217" t="s">
        <v>232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223</v>
      </c>
      <c r="B218" t="s">
        <v>233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223</v>
      </c>
      <c r="B219" t="s">
        <v>233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223</v>
      </c>
      <c r="B220" t="s">
        <v>233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223</v>
      </c>
      <c r="B221" t="s">
        <v>233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223</v>
      </c>
      <c r="B222" t="s">
        <v>233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223</v>
      </c>
      <c r="B223" t="s">
        <v>233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223</v>
      </c>
      <c r="B224" t="s">
        <v>235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223</v>
      </c>
      <c r="B225" t="s">
        <v>235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223</v>
      </c>
      <c r="B226" t="s">
        <v>235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223</v>
      </c>
      <c r="B227" t="s">
        <v>235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223</v>
      </c>
      <c r="B228" t="s">
        <v>235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223</v>
      </c>
      <c r="B229" t="s">
        <v>235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223</v>
      </c>
      <c r="B230" t="s">
        <v>236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223</v>
      </c>
      <c r="B231" t="s">
        <v>236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223</v>
      </c>
      <c r="B232" t="s">
        <v>236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223</v>
      </c>
      <c r="B233" t="s">
        <v>236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223</v>
      </c>
      <c r="B234" t="s">
        <v>236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223</v>
      </c>
      <c r="B235" t="s">
        <v>236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223</v>
      </c>
      <c r="B236" t="s">
        <v>237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223</v>
      </c>
      <c r="B237" t="s">
        <v>237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223</v>
      </c>
      <c r="B238" t="s">
        <v>237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223</v>
      </c>
      <c r="B239" t="s">
        <v>237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223</v>
      </c>
      <c r="B240" t="s">
        <v>237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223</v>
      </c>
      <c r="B241" t="s">
        <v>237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225</v>
      </c>
      <c r="B242" t="s">
        <v>213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225</v>
      </c>
      <c r="B243" t="s">
        <v>213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225</v>
      </c>
      <c r="B244" t="s">
        <v>213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225</v>
      </c>
      <c r="B245" t="s">
        <v>213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225</v>
      </c>
      <c r="B246" t="s">
        <v>213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225</v>
      </c>
      <c r="B247" t="s">
        <v>213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225</v>
      </c>
      <c r="B248" t="s">
        <v>221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225</v>
      </c>
      <c r="B249" t="s">
        <v>221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225</v>
      </c>
      <c r="B250" t="s">
        <v>221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225</v>
      </c>
      <c r="B251" t="s">
        <v>221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225</v>
      </c>
      <c r="B252" t="s">
        <v>221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225</v>
      </c>
      <c r="B253" t="s">
        <v>221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225</v>
      </c>
      <c r="B254" t="s">
        <v>226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225</v>
      </c>
      <c r="B255" t="s">
        <v>226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225</v>
      </c>
      <c r="B256" t="s">
        <v>226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225</v>
      </c>
      <c r="B257" t="s">
        <v>226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225</v>
      </c>
      <c r="B258" t="s">
        <v>226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225</v>
      </c>
      <c r="B259" t="s">
        <v>226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225</v>
      </c>
      <c r="B260" t="s">
        <v>229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225</v>
      </c>
      <c r="B261" t="s">
        <v>229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225</v>
      </c>
      <c r="B262" t="s">
        <v>229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225</v>
      </c>
      <c r="B263" t="s">
        <v>229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225</v>
      </c>
      <c r="B264" t="s">
        <v>229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225</v>
      </c>
      <c r="B265" t="s">
        <v>229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225</v>
      </c>
      <c r="B266" t="s">
        <v>230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225</v>
      </c>
      <c r="B267" t="s">
        <v>230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225</v>
      </c>
      <c r="B268" t="s">
        <v>230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225</v>
      </c>
      <c r="B269" t="s">
        <v>230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225</v>
      </c>
      <c r="B270" t="s">
        <v>230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225</v>
      </c>
      <c r="B271" t="s">
        <v>230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225</v>
      </c>
      <c r="B272" t="s">
        <v>232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225</v>
      </c>
      <c r="B273" t="s">
        <v>232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225</v>
      </c>
      <c r="B274" t="s">
        <v>232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225</v>
      </c>
      <c r="B275" t="s">
        <v>232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225</v>
      </c>
      <c r="B276" t="s">
        <v>232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225</v>
      </c>
      <c r="B277" t="s">
        <v>232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225</v>
      </c>
      <c r="B278" t="s">
        <v>233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225</v>
      </c>
      <c r="B279" t="s">
        <v>233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225</v>
      </c>
      <c r="B280" t="s">
        <v>233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225</v>
      </c>
      <c r="B281" t="s">
        <v>233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225</v>
      </c>
      <c r="B282" t="s">
        <v>233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225</v>
      </c>
      <c r="B283" t="s">
        <v>233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225</v>
      </c>
      <c r="B284" t="s">
        <v>235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225</v>
      </c>
      <c r="B285" t="s">
        <v>235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225</v>
      </c>
      <c r="B286" t="s">
        <v>235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225</v>
      </c>
      <c r="B287" t="s">
        <v>235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225</v>
      </c>
      <c r="B288" t="s">
        <v>235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225</v>
      </c>
      <c r="B289" t="s">
        <v>235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225</v>
      </c>
      <c r="B290" t="s">
        <v>236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225</v>
      </c>
      <c r="B291" t="s">
        <v>236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225</v>
      </c>
      <c r="B292" t="s">
        <v>236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225</v>
      </c>
      <c r="B293" t="s">
        <v>236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225</v>
      </c>
      <c r="B294" t="s">
        <v>236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225</v>
      </c>
      <c r="B295" t="s">
        <v>236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225</v>
      </c>
      <c r="B296" t="s">
        <v>237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225</v>
      </c>
      <c r="B297" t="s">
        <v>237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225</v>
      </c>
      <c r="B298" t="s">
        <v>237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225</v>
      </c>
      <c r="B299" t="s">
        <v>237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225</v>
      </c>
      <c r="B300" t="s">
        <v>237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225</v>
      </c>
      <c r="B301" t="s">
        <v>237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227</v>
      </c>
      <c r="B302" t="s">
        <v>213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227</v>
      </c>
      <c r="B303" t="s">
        <v>213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227</v>
      </c>
      <c r="B304" t="s">
        <v>213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227</v>
      </c>
      <c r="B305" t="s">
        <v>213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227</v>
      </c>
      <c r="B306" t="s">
        <v>213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227</v>
      </c>
      <c r="B307" t="s">
        <v>213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227</v>
      </c>
      <c r="B308" t="s">
        <v>221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227</v>
      </c>
      <c r="B309" t="s">
        <v>221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227</v>
      </c>
      <c r="B310" t="s">
        <v>221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227</v>
      </c>
      <c r="B311" t="s">
        <v>221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227</v>
      </c>
      <c r="B312" t="s">
        <v>221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227</v>
      </c>
      <c r="B313" t="s">
        <v>221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227</v>
      </c>
      <c r="B314" t="s">
        <v>226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227</v>
      </c>
      <c r="B315" t="s">
        <v>226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227</v>
      </c>
      <c r="B316" t="s">
        <v>226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227</v>
      </c>
      <c r="B317" t="s">
        <v>226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227</v>
      </c>
      <c r="B318" t="s">
        <v>226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227</v>
      </c>
      <c r="B319" t="s">
        <v>226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227</v>
      </c>
      <c r="B320" t="s">
        <v>229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227</v>
      </c>
      <c r="B321" t="s">
        <v>229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227</v>
      </c>
      <c r="B322" t="s">
        <v>229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227</v>
      </c>
      <c r="B323" t="s">
        <v>229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227</v>
      </c>
      <c r="B324" t="s">
        <v>229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227</v>
      </c>
      <c r="B325" t="s">
        <v>229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227</v>
      </c>
      <c r="B326" t="s">
        <v>230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227</v>
      </c>
      <c r="B327" t="s">
        <v>230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227</v>
      </c>
      <c r="B328" t="s">
        <v>230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227</v>
      </c>
      <c r="B329" t="s">
        <v>230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227</v>
      </c>
      <c r="B330" t="s">
        <v>230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227</v>
      </c>
      <c r="B331" t="s">
        <v>230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227</v>
      </c>
      <c r="B332" t="s">
        <v>232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227</v>
      </c>
      <c r="B333" t="s">
        <v>232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227</v>
      </c>
      <c r="B334" t="s">
        <v>232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227</v>
      </c>
      <c r="B335" t="s">
        <v>232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227</v>
      </c>
      <c r="B336" t="s">
        <v>232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227</v>
      </c>
      <c r="B337" t="s">
        <v>232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227</v>
      </c>
      <c r="B338" t="s">
        <v>233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227</v>
      </c>
      <c r="B339" t="s">
        <v>233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227</v>
      </c>
      <c r="B340" t="s">
        <v>233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227</v>
      </c>
      <c r="B341" t="s">
        <v>233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227</v>
      </c>
      <c r="B342" t="s">
        <v>233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227</v>
      </c>
      <c r="B343" t="s">
        <v>233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227</v>
      </c>
      <c r="B344" t="s">
        <v>235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227</v>
      </c>
      <c r="B345" t="s">
        <v>235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227</v>
      </c>
      <c r="B346" t="s">
        <v>235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227</v>
      </c>
      <c r="B347" t="s">
        <v>235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227</v>
      </c>
      <c r="B348" t="s">
        <v>235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227</v>
      </c>
      <c r="B349" t="s">
        <v>235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227</v>
      </c>
      <c r="B350" t="s">
        <v>236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227</v>
      </c>
      <c r="B351" t="s">
        <v>236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227</v>
      </c>
      <c r="B352" t="s">
        <v>236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227</v>
      </c>
      <c r="B353" t="s">
        <v>236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227</v>
      </c>
      <c r="B354" t="s">
        <v>236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227</v>
      </c>
      <c r="B355" t="s">
        <v>236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227</v>
      </c>
      <c r="B356" t="s">
        <v>237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227</v>
      </c>
      <c r="B357" t="s">
        <v>237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227</v>
      </c>
      <c r="B358" t="s">
        <v>237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227</v>
      </c>
      <c r="B359" t="s">
        <v>237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227</v>
      </c>
      <c r="B360" t="s">
        <v>237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227</v>
      </c>
      <c r="B361" t="s">
        <v>237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129</v>
      </c>
      <c r="B362" t="s">
        <v>213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129</v>
      </c>
      <c r="B363" t="s">
        <v>213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129</v>
      </c>
      <c r="B364" t="s">
        <v>213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129</v>
      </c>
      <c r="B365" t="s">
        <v>213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129</v>
      </c>
      <c r="B366" t="s">
        <v>213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129</v>
      </c>
      <c r="B367" t="s">
        <v>213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129</v>
      </c>
      <c r="B368" t="s">
        <v>221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129</v>
      </c>
      <c r="B369" t="s">
        <v>221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129</v>
      </c>
      <c r="B370" t="s">
        <v>221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129</v>
      </c>
      <c r="B371" t="s">
        <v>221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129</v>
      </c>
      <c r="B372" t="s">
        <v>221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129</v>
      </c>
      <c r="B373" t="s">
        <v>221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129</v>
      </c>
      <c r="B374" t="s">
        <v>226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129</v>
      </c>
      <c r="B375" t="s">
        <v>226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129</v>
      </c>
      <c r="B376" t="s">
        <v>226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129</v>
      </c>
      <c r="B377" t="s">
        <v>226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129</v>
      </c>
      <c r="B378" t="s">
        <v>226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129</v>
      </c>
      <c r="B379" t="s">
        <v>226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129</v>
      </c>
      <c r="B380" t="s">
        <v>229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129</v>
      </c>
      <c r="B381" t="s">
        <v>229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129</v>
      </c>
      <c r="B382" t="s">
        <v>229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129</v>
      </c>
      <c r="B383" t="s">
        <v>229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129</v>
      </c>
      <c r="B384" t="s">
        <v>229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129</v>
      </c>
      <c r="B385" t="s">
        <v>229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129</v>
      </c>
      <c r="B386" t="s">
        <v>230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129</v>
      </c>
      <c r="B387" t="s">
        <v>230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129</v>
      </c>
      <c r="B388" t="s">
        <v>230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129</v>
      </c>
      <c r="B389" t="s">
        <v>230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129</v>
      </c>
      <c r="B390" t="s">
        <v>230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129</v>
      </c>
      <c r="B391" t="s">
        <v>230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129</v>
      </c>
      <c r="B392" t="s">
        <v>232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129</v>
      </c>
      <c r="B393" t="s">
        <v>232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129</v>
      </c>
      <c r="B394" t="s">
        <v>232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129</v>
      </c>
      <c r="B395" t="s">
        <v>232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129</v>
      </c>
      <c r="B396" t="s">
        <v>232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129</v>
      </c>
      <c r="B397" t="s">
        <v>232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129</v>
      </c>
      <c r="B398" t="s">
        <v>233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129</v>
      </c>
      <c r="B399" t="s">
        <v>233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129</v>
      </c>
      <c r="B400" t="s">
        <v>233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129</v>
      </c>
      <c r="B401" t="s">
        <v>233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129</v>
      </c>
      <c r="B402" t="s">
        <v>233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129</v>
      </c>
      <c r="B403" t="s">
        <v>233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129</v>
      </c>
      <c r="B404" t="s">
        <v>235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129</v>
      </c>
      <c r="B405" t="s">
        <v>235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129</v>
      </c>
      <c r="B406" t="s">
        <v>235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129</v>
      </c>
      <c r="B407" t="s">
        <v>235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129</v>
      </c>
      <c r="B408" t="s">
        <v>235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129</v>
      </c>
      <c r="B409" t="s">
        <v>235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129</v>
      </c>
      <c r="B410" t="s">
        <v>236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129</v>
      </c>
      <c r="B411" t="s">
        <v>236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129</v>
      </c>
      <c r="B412" t="s">
        <v>236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129</v>
      </c>
      <c r="B413" t="s">
        <v>236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129</v>
      </c>
      <c r="B414" t="s">
        <v>236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129</v>
      </c>
      <c r="B415" t="s">
        <v>236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129</v>
      </c>
      <c r="B416" t="s">
        <v>237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129</v>
      </c>
      <c r="B417" t="s">
        <v>237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129</v>
      </c>
      <c r="B418" t="s">
        <v>237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129</v>
      </c>
      <c r="B419" t="s">
        <v>237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129</v>
      </c>
      <c r="B420" t="s">
        <v>237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129</v>
      </c>
      <c r="B421" t="s">
        <v>237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A8" sqref="A8:E8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238</v>
      </c>
    </row>
    <row r="3" spans="1:24" x14ac:dyDescent="0.25">
      <c r="B3" s="6" t="s">
        <v>205</v>
      </c>
      <c r="H3" s="6" t="s">
        <v>239</v>
      </c>
      <c r="N3" s="6" t="s">
        <v>240</v>
      </c>
      <c r="T3" s="6" t="s">
        <v>241</v>
      </c>
    </row>
    <row r="4" spans="1:24" ht="30" customHeight="1" x14ac:dyDescent="0.25">
      <c r="B4" s="70" t="s">
        <v>218</v>
      </c>
      <c r="C4" s="70" t="s">
        <v>228</v>
      </c>
      <c r="D4" s="70" t="s">
        <v>231</v>
      </c>
      <c r="E4" s="70" t="s">
        <v>242</v>
      </c>
      <c r="F4" s="70" t="s">
        <v>243</v>
      </c>
      <c r="G4" s="70"/>
      <c r="H4" s="70" t="s">
        <v>218</v>
      </c>
      <c r="I4" s="70" t="s">
        <v>228</v>
      </c>
      <c r="J4" s="70" t="s">
        <v>231</v>
      </c>
      <c r="K4" s="70" t="s">
        <v>242</v>
      </c>
      <c r="L4" s="70" t="s">
        <v>243</v>
      </c>
      <c r="M4" s="71"/>
      <c r="N4" s="70" t="s">
        <v>218</v>
      </c>
      <c r="O4" s="70" t="s">
        <v>228</v>
      </c>
      <c r="P4" s="70" t="s">
        <v>231</v>
      </c>
      <c r="Q4" s="70" t="s">
        <v>242</v>
      </c>
      <c r="R4" s="70" t="s">
        <v>243</v>
      </c>
      <c r="S4" s="70"/>
      <c r="T4" s="70" t="s">
        <v>218</v>
      </c>
      <c r="U4" s="70" t="s">
        <v>228</v>
      </c>
      <c r="V4" s="70" t="s">
        <v>231</v>
      </c>
      <c r="W4" s="70" t="s">
        <v>242</v>
      </c>
      <c r="X4" s="70" t="s">
        <v>243</v>
      </c>
    </row>
    <row r="5" spans="1:24" x14ac:dyDescent="0.25">
      <c r="A5" s="6" t="s">
        <v>244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212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220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222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223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224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225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227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129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245</v>
      </c>
    </row>
    <row r="2" spans="1:19" x14ac:dyDescent="0.25">
      <c r="A2" s="27"/>
      <c r="B2" s="27"/>
    </row>
    <row r="4" spans="1:19" x14ac:dyDescent="0.25">
      <c r="C4" s="6" t="s">
        <v>204</v>
      </c>
      <c r="D4" s="6" t="s">
        <v>246</v>
      </c>
      <c r="E4" s="6" t="s">
        <v>205</v>
      </c>
      <c r="F4" s="6" t="s">
        <v>247</v>
      </c>
      <c r="G4" s="6" t="s">
        <v>248</v>
      </c>
      <c r="H4" s="6" t="s">
        <v>239</v>
      </c>
      <c r="I4" s="6" t="s">
        <v>249</v>
      </c>
      <c r="N4" t="s">
        <v>204</v>
      </c>
      <c r="P4" t="s">
        <v>205</v>
      </c>
      <c r="R4" t="s">
        <v>239</v>
      </c>
    </row>
    <row r="5" spans="1:19" x14ac:dyDescent="0.25">
      <c r="A5" s="77" t="s">
        <v>250</v>
      </c>
      <c r="B5" s="78" t="s">
        <v>251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252</v>
      </c>
      <c r="L5" s="13">
        <f>SUMPRODUCT(C5:C6,H5:H6)/SUM(C5:C6)/12</f>
        <v>5.0579254131664273</v>
      </c>
      <c r="M5" t="s">
        <v>253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189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84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254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255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192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193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194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256</v>
      </c>
      <c r="B11" s="81" t="s">
        <v>251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189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254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192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193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194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257</v>
      </c>
      <c r="B17" s="81" t="s">
        <v>251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189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254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192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193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194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258</v>
      </c>
      <c r="B23" s="81" t="s">
        <v>251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189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254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192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193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194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259</v>
      </c>
      <c r="B29" s="81" t="s">
        <v>251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189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254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192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193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194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260</v>
      </c>
      <c r="B35" s="81" t="s">
        <v>251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189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254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192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193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194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204</v>
      </c>
      <c r="P40" t="s">
        <v>205</v>
      </c>
      <c r="R40" t="s">
        <v>239</v>
      </c>
    </row>
    <row r="41" spans="1:19" x14ac:dyDescent="0.25">
      <c r="A41" s="83" t="s">
        <v>261</v>
      </c>
      <c r="B41" s="84" t="s">
        <v>251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252</v>
      </c>
      <c r="L41" s="13">
        <f>SUMPRODUCT(C41:C42,H41:H42)/SUM(C41:C42)/12</f>
        <v>6.4128831355158482</v>
      </c>
      <c r="M41" t="s">
        <v>253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189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84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254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255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192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193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194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262</v>
      </c>
      <c r="B47" s="87" t="s">
        <v>251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252</v>
      </c>
      <c r="L47" s="13">
        <f>SUMPRODUCT(C47:C48,H47:H48)/SUM(C47:C48)/12</f>
        <v>6.4392738490745138</v>
      </c>
      <c r="M47" t="s">
        <v>253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189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84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254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255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192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193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194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263</v>
      </c>
      <c r="B53" s="91" t="s">
        <v>251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189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254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192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193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194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264</v>
      </c>
      <c r="B59" s="91" t="s">
        <v>251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189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254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192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193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194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265</v>
      </c>
      <c r="B65" s="91" t="s">
        <v>251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189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254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192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193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194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266</v>
      </c>
      <c r="B71" s="91" t="s">
        <v>251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189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254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192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193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194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260</v>
      </c>
      <c r="B77" s="91" t="s">
        <v>251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189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254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192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193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194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204</v>
      </c>
      <c r="P82" t="s">
        <v>205</v>
      </c>
      <c r="R82" t="s">
        <v>239</v>
      </c>
    </row>
    <row r="83" spans="1:19" x14ac:dyDescent="0.25">
      <c r="A83" s="87" t="s">
        <v>267</v>
      </c>
      <c r="B83" s="87" t="s">
        <v>251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252</v>
      </c>
      <c r="L83" s="13">
        <f>SUMPRODUCT(C83:C84,H83:H84)/SUM(C83:C84)/12</f>
        <v>6.3976205997392439</v>
      </c>
      <c r="M83" t="s">
        <v>253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189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84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254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255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192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193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194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268</v>
      </c>
      <c r="B89" s="91" t="s">
        <v>251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189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254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192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193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194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269</v>
      </c>
      <c r="B95" s="91" t="s">
        <v>251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189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254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192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193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194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270</v>
      </c>
      <c r="B101" s="91" t="s">
        <v>251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189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254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192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193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194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271</v>
      </c>
      <c r="B107" s="91" t="s">
        <v>251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189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254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192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193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194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272</v>
      </c>
      <c r="B113" s="91" t="s">
        <v>251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189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254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192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193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194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273</v>
      </c>
      <c r="B119" s="91" t="s">
        <v>251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189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254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192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193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194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260</v>
      </c>
      <c r="B125" s="91" t="s">
        <v>251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189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254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192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193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194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274</v>
      </c>
      <c r="G1" t="s">
        <v>275</v>
      </c>
    </row>
    <row r="2" spans="2:15" x14ac:dyDescent="0.25">
      <c r="C2" t="s">
        <v>276</v>
      </c>
      <c r="D2" t="s">
        <v>294</v>
      </c>
      <c r="E2" t="s">
        <v>277</v>
      </c>
      <c r="G2" t="s">
        <v>278</v>
      </c>
      <c r="H2" t="s">
        <v>279</v>
      </c>
      <c r="I2" t="s">
        <v>280</v>
      </c>
      <c r="J2" t="s">
        <v>281</v>
      </c>
      <c r="K2" t="s">
        <v>278</v>
      </c>
      <c r="L2" t="s">
        <v>279</v>
      </c>
      <c r="M2" t="s">
        <v>280</v>
      </c>
      <c r="O2" t="s">
        <v>282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291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289</v>
      </c>
    </row>
    <row r="12" spans="2:15" x14ac:dyDescent="0.25">
      <c r="B12" s="6" t="s">
        <v>288</v>
      </c>
      <c r="L12" t="s">
        <v>290</v>
      </c>
      <c r="N12" t="s">
        <v>287</v>
      </c>
    </row>
    <row r="13" spans="2:15" x14ac:dyDescent="0.25">
      <c r="B13" t="s">
        <v>203</v>
      </c>
      <c r="C13" t="s">
        <v>283</v>
      </c>
      <c r="D13" t="s">
        <v>284</v>
      </c>
      <c r="E13" t="s">
        <v>285</v>
      </c>
      <c r="F13" t="s">
        <v>295</v>
      </c>
      <c r="G13" t="s">
        <v>185</v>
      </c>
      <c r="H13" t="s">
        <v>286</v>
      </c>
      <c r="I13" t="s">
        <v>287</v>
      </c>
      <c r="K13" t="s">
        <v>203</v>
      </c>
      <c r="L13" t="s">
        <v>71</v>
      </c>
      <c r="M13" t="s">
        <v>72</v>
      </c>
      <c r="N13" t="s">
        <v>71</v>
      </c>
      <c r="O13" t="s">
        <v>72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351</v>
      </c>
      <c r="R1" s="4" t="s">
        <v>352</v>
      </c>
    </row>
    <row r="2" spans="6:31" x14ac:dyDescent="0.25">
      <c r="G2" t="s">
        <v>348</v>
      </c>
    </row>
    <row r="3" spans="6:31" x14ac:dyDescent="0.25">
      <c r="F3" t="s">
        <v>349</v>
      </c>
      <c r="G3" t="s">
        <v>345</v>
      </c>
      <c r="H3" t="s">
        <v>346</v>
      </c>
      <c r="I3" t="s">
        <v>347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353</v>
      </c>
      <c r="S4" s="118"/>
      <c r="T4" s="118"/>
      <c r="U4" s="118"/>
      <c r="V4" s="118"/>
      <c r="W4" s="118"/>
      <c r="X4" s="112"/>
      <c r="Y4" s="112"/>
      <c r="AB4" t="s">
        <v>349</v>
      </c>
      <c r="AC4" t="s">
        <v>386</v>
      </c>
      <c r="AD4" t="s">
        <v>356</v>
      </c>
      <c r="AE4" t="s">
        <v>357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355</v>
      </c>
      <c r="S5" s="119" t="s">
        <v>354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134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390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387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349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356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394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355</v>
      </c>
      <c r="S15" s="119" t="s">
        <v>388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134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393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355</v>
      </c>
      <c r="S25" s="119" t="s">
        <v>388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134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39" t="s">
        <v>359</v>
      </c>
      <c r="B3" s="139"/>
    </row>
    <row r="4" spans="1:9" x14ac:dyDescent="0.25">
      <c r="A4" s="136" t="s">
        <v>360</v>
      </c>
      <c r="B4" s="136">
        <v>0.99434308508956182</v>
      </c>
    </row>
    <row r="5" spans="1:9" x14ac:dyDescent="0.25">
      <c r="A5" s="136" t="s">
        <v>361</v>
      </c>
      <c r="B5" s="136">
        <v>0.98871817086542757</v>
      </c>
    </row>
    <row r="6" spans="1:9" x14ac:dyDescent="0.25">
      <c r="A6" s="136" t="s">
        <v>362</v>
      </c>
      <c r="B6" s="141">
        <v>0.9876437109478492</v>
      </c>
    </row>
    <row r="7" spans="1:9" x14ac:dyDescent="0.25">
      <c r="A7" s="136" t="s">
        <v>363</v>
      </c>
      <c r="B7" s="136">
        <v>0.64295634155271764</v>
      </c>
    </row>
    <row r="8" spans="1:9" ht="15.75" thickBot="1" x14ac:dyDescent="0.3">
      <c r="A8" s="137" t="s">
        <v>364</v>
      </c>
      <c r="B8" s="137">
        <v>24</v>
      </c>
    </row>
    <row r="10" spans="1:9" ht="15.75" thickBot="1" x14ac:dyDescent="0.3">
      <c r="A10" t="s">
        <v>365</v>
      </c>
    </row>
    <row r="11" spans="1:9" x14ac:dyDescent="0.25">
      <c r="A11" s="138"/>
      <c r="B11" s="138" t="s">
        <v>369</v>
      </c>
      <c r="C11" s="138" t="s">
        <v>370</v>
      </c>
      <c r="D11" s="138" t="s">
        <v>371</v>
      </c>
      <c r="E11" s="138" t="s">
        <v>372</v>
      </c>
      <c r="F11" s="138" t="s">
        <v>373</v>
      </c>
    </row>
    <row r="12" spans="1:9" x14ac:dyDescent="0.25">
      <c r="A12" s="136" t="s">
        <v>366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367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317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374</v>
      </c>
      <c r="C16" s="138" t="s">
        <v>363</v>
      </c>
      <c r="D16" s="138" t="s">
        <v>375</v>
      </c>
      <c r="E16" s="138" t="s">
        <v>376</v>
      </c>
      <c r="F16" s="138" t="s">
        <v>377</v>
      </c>
      <c r="G16" s="138" t="s">
        <v>378</v>
      </c>
      <c r="H16" s="138" t="s">
        <v>379</v>
      </c>
      <c r="I16" s="138" t="s">
        <v>380</v>
      </c>
    </row>
    <row r="17" spans="1:9" x14ac:dyDescent="0.25">
      <c r="A17" s="136" t="s">
        <v>368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349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356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8" t="s">
        <v>382</v>
      </c>
      <c r="B25" s="138" t="s">
        <v>383</v>
      </c>
      <c r="C25" s="138" t="s">
        <v>384</v>
      </c>
      <c r="D25" s="138" t="s">
        <v>385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39" t="s">
        <v>359</v>
      </c>
      <c r="B3" s="139"/>
    </row>
    <row r="4" spans="1:9" x14ac:dyDescent="0.25">
      <c r="A4" s="136" t="s">
        <v>360</v>
      </c>
      <c r="B4" s="136">
        <v>0.99923601209082613</v>
      </c>
    </row>
    <row r="5" spans="1:9" x14ac:dyDescent="0.25">
      <c r="A5" s="136" t="s">
        <v>361</v>
      </c>
      <c r="B5" s="136">
        <v>0.99847260785917769</v>
      </c>
    </row>
    <row r="6" spans="1:9" x14ac:dyDescent="0.25">
      <c r="A6" s="136" t="s">
        <v>362</v>
      </c>
      <c r="B6" s="141">
        <v>0.95294863548914033</v>
      </c>
    </row>
    <row r="7" spans="1:9" x14ac:dyDescent="0.25">
      <c r="A7" s="136" t="s">
        <v>363</v>
      </c>
      <c r="B7" s="136">
        <v>0.63937706804773409</v>
      </c>
    </row>
    <row r="8" spans="1:9" ht="15.75" thickBot="1" x14ac:dyDescent="0.3">
      <c r="A8" s="137" t="s">
        <v>364</v>
      </c>
      <c r="B8" s="137">
        <v>24</v>
      </c>
    </row>
    <row r="10" spans="1:9" ht="15.75" thickBot="1" x14ac:dyDescent="0.3">
      <c r="A10" t="s">
        <v>365</v>
      </c>
    </row>
    <row r="11" spans="1:9" x14ac:dyDescent="0.25">
      <c r="A11" s="138"/>
      <c r="B11" s="138" t="s">
        <v>369</v>
      </c>
      <c r="C11" s="138" t="s">
        <v>370</v>
      </c>
      <c r="D11" s="138" t="s">
        <v>371</v>
      </c>
      <c r="E11" s="138" t="s">
        <v>372</v>
      </c>
      <c r="F11" s="138" t="s">
        <v>373</v>
      </c>
    </row>
    <row r="12" spans="1:9" x14ac:dyDescent="0.25">
      <c r="A12" s="136" t="s">
        <v>366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367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317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374</v>
      </c>
      <c r="C16" s="138" t="s">
        <v>363</v>
      </c>
      <c r="D16" s="138" t="s">
        <v>375</v>
      </c>
      <c r="E16" s="138" t="s">
        <v>376</v>
      </c>
      <c r="F16" s="138" t="s">
        <v>377</v>
      </c>
      <c r="G16" s="138" t="s">
        <v>378</v>
      </c>
      <c r="H16" s="138" t="s">
        <v>379</v>
      </c>
      <c r="I16" s="138" t="s">
        <v>380</v>
      </c>
    </row>
    <row r="17" spans="1:9" x14ac:dyDescent="0.25">
      <c r="A17" s="136" t="s">
        <v>368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349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356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8" t="s">
        <v>382</v>
      </c>
      <c r="B25" s="138" t="s">
        <v>383</v>
      </c>
      <c r="C25" s="138" t="s">
        <v>384</v>
      </c>
      <c r="D25" s="138" t="s">
        <v>385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scn_baseline</vt:lpstr>
      <vt:lpstr>Antal djur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2023-05-03T14:05:37Z</dcterms:modified>
</cp:coreProperties>
</file>